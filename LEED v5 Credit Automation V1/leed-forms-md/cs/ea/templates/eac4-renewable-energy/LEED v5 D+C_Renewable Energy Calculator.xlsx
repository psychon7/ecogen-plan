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gbc.sharepoint.com/sites/LEEDTechDevTeam/Shared Documents/LEED v5/Documentation/Published LEED v5 Calculators/For December 2025/"/>
    </mc:Choice>
  </mc:AlternateContent>
  <xr:revisionPtr revIDLastSave="15" documentId="13_ncr:1_{2D9526ED-38E9-B54D-A1E2-02139EFBFC5D}" xr6:coauthVersionLast="47" xr6:coauthVersionMax="47" xr10:uidLastSave="{467D00CB-B25E-42E1-835E-24856D17219C}"/>
  <bookViews>
    <workbookView xWindow="-108" yWindow="-108" windowWidth="23256" windowHeight="12456" xr2:uid="{00000000-000D-0000-FFFF-FFFF00000000}"/>
  </bookViews>
  <sheets>
    <sheet name="Instructions" sheetId="6" r:id="rId1"/>
    <sheet name="Input" sheetId="2" r:id="rId2"/>
    <sheet name="Database" sheetId="3" state="hidden" r:id="rId3"/>
    <sheet name="Summary" sheetId="4" r:id="rId4"/>
  </sheets>
  <definedNames>
    <definedName name="energy_offset_dropdown">IF(table_renewsummary[[#This Row],[4cat]]="Tier 1",Tier_1,IF(table_renewsummary[[#This Row],[4cat]]="Tier 2",Tier_2,Tier_3))</definedName>
    <definedName name="energyCategories">Input!$C$35:$C$144</definedName>
    <definedName name="energyTypes">Input!$D$35:$D$144</definedName>
    <definedName name="energyUnits">Database!$B$29:$B$37</definedName>
    <definedName name="IP_Units">Database!$B$21:$B$26</definedName>
    <definedName name="kWhUnits">Database!$C$29:$C$37</definedName>
    <definedName name="projectType">Input!$D$7</definedName>
    <definedName name="renewableGen">Input!$G$35:$G$144</definedName>
    <definedName name="SI_Units">Database!$C$21:$C$24</definedName>
    <definedName name="Tier_1">Database!$B$56:$B$57</definedName>
    <definedName name="Tier_2">Database!$C$56</definedName>
    <definedName name="Tier_3">Database!$D$56:$D$57</definedName>
    <definedName name="Tier1_cs">Database!$G$69:$H$73</definedName>
    <definedName name="Tier1_cs_min">Database!$G$69:$G$73</definedName>
    <definedName name="Tier1_cs_pts">Database!$H$69:$H$73</definedName>
    <definedName name="Tier1_nc_idc">Database!$C$69:$D$75</definedName>
    <definedName name="Tier1_nc_idc_min">Database!$C$69:$C$75</definedName>
    <definedName name="Tier1_nc_idc_pts">Database!$D$69:$D$75</definedName>
    <definedName name="Tier2_cs">Database!$G$74:$H$78</definedName>
    <definedName name="Tier2_cs_min">Database!$G$74:$G$78</definedName>
    <definedName name="Tier2_cs_pts">Database!$H$74:$H$78</definedName>
    <definedName name="Tier2_nc_idc">Database!$C$76:$D$81</definedName>
    <definedName name="Tier2_nc_idc_min">Database!$C$76:$C$81</definedName>
    <definedName name="Tier2_nc_idc_pts">Database!$D$76:$D$81</definedName>
    <definedName name="Tier3_cs">Database!$G$79:$H$81</definedName>
    <definedName name="Tier3_cs_min">Database!$G$79:$G$81</definedName>
    <definedName name="Tier3_cs_pts">Database!$H$79:$H$81</definedName>
    <definedName name="Tier3_nc_idc">Database!$C$82:$D$84</definedName>
    <definedName name="Tier3_nc_idc_min">Database!$C$82:$C$84</definedName>
    <definedName name="Tier3_nc_idc_pts">Database!$D$82:$D$84</definedName>
    <definedName name="unitOption">Input!$D$6</definedName>
    <definedName name="unitsConverter">Database!$B$29:$B$36</definedName>
    <definedName name="unitsTable">Database!$B$29:$C$36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iEAF917d4uC0tLbmE+dgbdNjIxGUPeEx3Jo0WI+rM8="/>
    </ext>
  </extLst>
</workbook>
</file>

<file path=xl/calcChain.xml><?xml version="1.0" encoding="utf-8"?>
<calcChain xmlns="http://schemas.openxmlformats.org/spreadsheetml/2006/main">
  <c r="I22" i="2" l="1"/>
  <c r="F159" i="2"/>
  <c r="I3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G39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G164" i="2"/>
  <c r="G154" i="2"/>
  <c r="G159" i="2"/>
  <c r="G158" i="2"/>
  <c r="G157" i="2"/>
  <c r="H22" i="2"/>
  <c r="H23" i="2"/>
  <c r="H24" i="2"/>
  <c r="H25" i="2"/>
  <c r="G37" i="2"/>
  <c r="G38" i="2"/>
  <c r="C21" i="2"/>
  <c r="J33" i="2" s="1"/>
  <c r="G35" i="2" l="1"/>
  <c r="G147" i="2" s="1"/>
  <c r="I36" i="2"/>
  <c r="B154" i="2" l="1"/>
  <c r="E22" i="2"/>
  <c r="F164" i="2"/>
  <c r="E170" i="2" s="1"/>
  <c r="G36" i="2"/>
  <c r="G145" i="2" l="1"/>
  <c r="G146" i="2"/>
  <c r="G148" i="2"/>
  <c r="F21" i="2"/>
  <c r="E21" i="2"/>
  <c r="E24" i="2"/>
  <c r="D8" i="4"/>
  <c r="B164" i="2"/>
  <c r="D17" i="4" l="1"/>
  <c r="F12" i="4"/>
  <c r="D21" i="4"/>
  <c r="D19" i="4"/>
  <c r="H16" i="2"/>
  <c r="I23" i="2"/>
  <c r="I24" i="2"/>
  <c r="I25" i="2"/>
  <c r="I29" i="2" l="1"/>
  <c r="I28" i="2"/>
  <c r="I27" i="2"/>
  <c r="I147" i="2"/>
  <c r="D12" i="4"/>
  <c r="D23" i="4"/>
  <c r="E23" i="2"/>
  <c r="E25" i="2"/>
  <c r="E29" i="2" l="1"/>
  <c r="E27" i="2"/>
  <c r="E28" i="2"/>
  <c r="F22" i="2" l="1"/>
  <c r="J22" i="2"/>
  <c r="J25" i="2"/>
  <c r="J23" i="2"/>
  <c r="J24" i="2"/>
  <c r="F24" i="2"/>
  <c r="F25" i="2"/>
  <c r="J29" i="2" l="1"/>
  <c r="J27" i="2"/>
  <c r="J28" i="2"/>
  <c r="F28" i="2"/>
  <c r="H39" i="2" s="1"/>
  <c r="F23" i="2"/>
  <c r="F29" i="2" l="1"/>
  <c r="I38" i="2" s="1"/>
  <c r="H37" i="2"/>
  <c r="H38" i="2"/>
  <c r="I39" i="2"/>
  <c r="I146" i="2" s="1"/>
  <c r="I37" i="2"/>
  <c r="H35" i="2"/>
  <c r="H146" i="2" s="1"/>
  <c r="H36" i="2"/>
  <c r="F27" i="2"/>
  <c r="I145" i="2" l="1"/>
  <c r="J144" i="2"/>
  <c r="J140" i="2"/>
  <c r="J136" i="2"/>
  <c r="J132" i="2"/>
  <c r="J128" i="2"/>
  <c r="J127" i="2"/>
  <c r="J142" i="2"/>
  <c r="J138" i="2"/>
  <c r="J134" i="2"/>
  <c r="J130" i="2"/>
  <c r="J126" i="2"/>
  <c r="J124" i="2"/>
  <c r="J143" i="2"/>
  <c r="J135" i="2"/>
  <c r="J137" i="2"/>
  <c r="J129" i="2"/>
  <c r="J125" i="2"/>
  <c r="J139" i="2"/>
  <c r="J131" i="2"/>
  <c r="J39" i="2"/>
  <c r="J141" i="2"/>
  <c r="J133" i="2"/>
  <c r="H145" i="2"/>
  <c r="J146" i="2"/>
  <c r="J86" i="2"/>
  <c r="J94" i="2"/>
  <c r="J102" i="2"/>
  <c r="J87" i="2"/>
  <c r="J95" i="2"/>
  <c r="J103" i="2"/>
  <c r="J88" i="2"/>
  <c r="J96" i="2"/>
  <c r="J104" i="2"/>
  <c r="J89" i="2"/>
  <c r="J97" i="2"/>
  <c r="J105" i="2"/>
  <c r="J90" i="2"/>
  <c r="J98" i="2"/>
  <c r="J91" i="2"/>
  <c r="J99" i="2"/>
  <c r="J92" i="2"/>
  <c r="J100" i="2"/>
  <c r="J85" i="2"/>
  <c r="J93" i="2"/>
  <c r="J101" i="2"/>
  <c r="J66" i="2"/>
  <c r="J74" i="2"/>
  <c r="J81" i="2"/>
  <c r="J108" i="2"/>
  <c r="J116" i="2"/>
  <c r="J68" i="2"/>
  <c r="J83" i="2"/>
  <c r="J118" i="2"/>
  <c r="J107" i="2"/>
  <c r="J73" i="2"/>
  <c r="J67" i="2"/>
  <c r="J75" i="2"/>
  <c r="J82" i="2"/>
  <c r="J109" i="2"/>
  <c r="J117" i="2"/>
  <c r="J76" i="2"/>
  <c r="J110" i="2"/>
  <c r="J71" i="2"/>
  <c r="J113" i="2"/>
  <c r="J79" i="2"/>
  <c r="J114" i="2"/>
  <c r="J80" i="2"/>
  <c r="J115" i="2"/>
  <c r="J123" i="2"/>
  <c r="J69" i="2"/>
  <c r="J84" i="2"/>
  <c r="J111" i="2"/>
  <c r="J119" i="2"/>
  <c r="J70" i="2"/>
  <c r="J77" i="2"/>
  <c r="J106" i="2"/>
  <c r="J112" i="2"/>
  <c r="J120" i="2"/>
  <c r="J78" i="2"/>
  <c r="J121" i="2"/>
  <c r="J72" i="2"/>
  <c r="J122" i="2"/>
  <c r="J47" i="2"/>
  <c r="J54" i="2"/>
  <c r="J62" i="2"/>
  <c r="J64" i="2"/>
  <c r="J59" i="2"/>
  <c r="J45" i="2"/>
  <c r="J52" i="2"/>
  <c r="J46" i="2"/>
  <c r="J61" i="2"/>
  <c r="J40" i="2"/>
  <c r="J48" i="2"/>
  <c r="J55" i="2"/>
  <c r="J63" i="2"/>
  <c r="J41" i="2"/>
  <c r="J49" i="2"/>
  <c r="J56" i="2"/>
  <c r="J42" i="2"/>
  <c r="J50" i="2"/>
  <c r="J57" i="2"/>
  <c r="J65" i="2"/>
  <c r="J43" i="2"/>
  <c r="J58" i="2"/>
  <c r="J44" i="2"/>
  <c r="J51" i="2"/>
  <c r="J60" i="2"/>
  <c r="J53" i="2"/>
  <c r="J36" i="2"/>
  <c r="J35" i="2"/>
  <c r="J38" i="2"/>
  <c r="J37" i="2"/>
  <c r="I148" i="2"/>
  <c r="J145" i="2" l="1"/>
  <c r="H147" i="2"/>
  <c r="C170" i="2" l="1" a="1"/>
  <c r="C170" i="2" s="1"/>
  <c r="H17" i="4" s="1"/>
  <c r="F17" i="4"/>
  <c r="J147" i="2"/>
  <c r="C171" i="2" s="1" a="1"/>
  <c r="C171" i="2" s="1"/>
  <c r="H19" i="4" s="1"/>
  <c r="H148" i="2"/>
  <c r="H12" i="4" l="1"/>
  <c r="F19" i="4"/>
  <c r="J148" i="2"/>
  <c r="J149" i="2" s="1"/>
  <c r="H28" i="4" s="1"/>
  <c r="F23" i="4" l="1"/>
  <c r="F21" i="4"/>
  <c r="C172" i="2" a="1"/>
  <c r="C172" i="2" s="1"/>
  <c r="H21" i="4" s="1"/>
  <c r="H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Gail Hampsmire</author>
    <author>LENOVO</author>
  </authors>
  <commentList>
    <comment ref="B13" authorId="0" shapeId="0" xr:uid="{246D50FD-F439-438D-AB1B-183478E53F43}">
      <text>
        <r>
          <rPr>
            <b/>
            <sz val="9"/>
            <color rgb="FF000000"/>
            <rFont val="Tahoma"/>
            <family val="2"/>
          </rPr>
          <t xml:space="preserve">DES Multipliers: </t>
        </r>
        <r>
          <rPr>
            <sz val="9"/>
            <color rgb="FF000000"/>
            <rFont val="Tahoma"/>
            <family val="2"/>
          </rPr>
          <t>Adjusts project site energy use reported in Step 3 by multiplying district cooling by 0.325, and multiplying district heating by 1.2. Not applicable to projects modeled using ASHRAE Standard 90.1-2022 Addendum a.</t>
        </r>
      </text>
    </comment>
    <comment ref="C21" authorId="1" shapeId="0" xr:uid="{E5BB7B93-71C2-475E-89A9-6D199F5DFCD3}">
      <text>
        <r>
          <rPr>
            <sz val="9"/>
            <color indexed="81"/>
            <rFont val="Tahoma"/>
            <family val="2"/>
          </rPr>
          <t xml:space="preserve">Report the total estimated building energy consumption inclusive of base building energy use and tenant use.
</t>
        </r>
      </text>
    </comment>
    <comment ref="G21" authorId="1" shapeId="0" xr:uid="{48265194-8A13-447E-9474-4BE5AFBB39FF}">
      <text>
        <r>
          <rPr>
            <sz val="9"/>
            <color indexed="81"/>
            <rFont val="Tahoma"/>
            <family val="2"/>
          </rPr>
          <t xml:space="preserve">Report the total annual site energy consumption from base building energy meters.
</t>
        </r>
      </text>
    </comment>
    <comment ref="E33" authorId="0" shapeId="0" xr:uid="{26D774FD-CC7D-4F0B-9AEF-AF51A02F0060}">
      <text>
        <r>
          <rPr>
            <b/>
            <sz val="9"/>
            <color rgb="FF000000"/>
            <rFont val="Tahoma"/>
            <family val="2"/>
          </rPr>
          <t xml:space="preserve">Contract duration adjustment:
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For a contract duration shorter than ten years or a one-time bulk purchase, calculate the annual renewable energy quantity by prorating the total contracted EACs or RECs across ten years.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<sst xmlns="http://schemas.openxmlformats.org/spreadsheetml/2006/main" count="415" uniqueCount="304">
  <si>
    <t>CREDIT INSTRUCTIONS</t>
  </si>
  <si>
    <t>EAc4 Renewable Energy:</t>
  </si>
  <si>
    <t>Option 1. Renewable Energy Supply or Procurement</t>
  </si>
  <si>
    <t>INPUT INSTRUCTIONS</t>
  </si>
  <si>
    <t>SI Units</t>
  </si>
  <si>
    <t>Project Type</t>
  </si>
  <si>
    <t>BD+C: New Construction</t>
  </si>
  <si>
    <t>Yes</t>
  </si>
  <si>
    <t>Energy Type</t>
  </si>
  <si>
    <t>Units</t>
  </si>
  <si>
    <t>Electricity</t>
  </si>
  <si>
    <t>Fuel(s)</t>
  </si>
  <si>
    <t>MJ</t>
  </si>
  <si>
    <t>Other</t>
  </si>
  <si>
    <t>%</t>
  </si>
  <si>
    <t>Renewable Energy Category</t>
  </si>
  <si>
    <t>Energy Offset Type</t>
  </si>
  <si>
    <t>Annual Renewable Generation</t>
  </si>
  <si>
    <t>Units of Energy</t>
  </si>
  <si>
    <t>Tier 2</t>
  </si>
  <si>
    <t>Tier 1</t>
  </si>
  <si>
    <t>Tier 3</t>
  </si>
  <si>
    <t>kBtu</t>
  </si>
  <si>
    <t>STEP 5: TIER 1 MINIMUM RATED CAPACITY METHOD (OPTIONAL)</t>
  </si>
  <si>
    <t>Total installed renewable capacity (Watts)</t>
  </si>
  <si>
    <t>Unit systems</t>
  </si>
  <si>
    <t>Options</t>
  </si>
  <si>
    <t>Select</t>
  </si>
  <si>
    <t>Area</t>
  </si>
  <si>
    <t>Energy</t>
  </si>
  <si>
    <t>m2</t>
  </si>
  <si>
    <t>IP Units</t>
  </si>
  <si>
    <t>Project type</t>
  </si>
  <si>
    <t>BD+C: Core and Shell</t>
  </si>
  <si>
    <t>No</t>
  </si>
  <si>
    <t>PROJECT SITE ENERGY USE</t>
  </si>
  <si>
    <t>Energy Consumption Units</t>
  </si>
  <si>
    <t>convert to kWh</t>
  </si>
  <si>
    <t>GJ</t>
  </si>
  <si>
    <t>Offset Energy type</t>
  </si>
  <si>
    <t>RENEWABLE ENERGY GENERATION</t>
  </si>
  <si>
    <t>LEED Renewable Category</t>
  </si>
  <si>
    <t>Tier 1 On-site renewable sources</t>
  </si>
  <si>
    <t>Tier 2 Renewable Electricity Generation Sources</t>
  </si>
  <si>
    <t>Tier 3 Renewable Generation Sources</t>
  </si>
  <si>
    <t>Energy Generation Type</t>
  </si>
  <si>
    <t>Points</t>
  </si>
  <si>
    <t>BD+C: New Construction / ID+C:Interior Design and Construction</t>
  </si>
  <si>
    <t>Tier</t>
  </si>
  <si>
    <t>Qualifying Percent of Total Annual Site Energy</t>
  </si>
  <si>
    <t>Tier 1: On-site renewable energy percent of annual project site energy use</t>
  </si>
  <si>
    <t>Tier 2. New Off-site renewable electricity percent of annual project site energy use</t>
  </si>
  <si>
    <t>Tier 3. Off-site renewable percent of annual project site energy use</t>
  </si>
  <si>
    <t>Points:</t>
  </si>
  <si>
    <t>ID+C: Interior Design and Construction</t>
  </si>
  <si>
    <t>ft2</t>
  </si>
  <si>
    <t>W/m2</t>
  </si>
  <si>
    <t>Name of Energy Field</t>
  </si>
  <si>
    <t>Tenant annual site energy</t>
  </si>
  <si>
    <t>Annual base building site energy</t>
  </si>
  <si>
    <t>Annual site energy</t>
  </si>
  <si>
    <t>Total annual building site energy</t>
  </si>
  <si>
    <t>Base building metered site energy</t>
  </si>
  <si>
    <t>DES Multipliers (projects with district cooling)</t>
  </si>
  <si>
    <t>Apply DES Multipliers to reported project site energy use?</t>
  </si>
  <si>
    <t>Core and Shell Only</t>
  </si>
  <si>
    <t>All rating systems</t>
  </si>
  <si>
    <t>Name</t>
  </si>
  <si>
    <t>STEP 4: RENEWABLE ENERGY GENERATION SUMMARY</t>
  </si>
  <si>
    <t>4name</t>
  </si>
  <si>
    <t>4cat</t>
  </si>
  <si>
    <t>4offset</t>
  </si>
  <si>
    <t>4qty</t>
  </si>
  <si>
    <t>4units</t>
  </si>
  <si>
    <t>4qty_calc</t>
  </si>
  <si>
    <t>Column1</t>
  </si>
  <si>
    <t>Percent of annual project electricity + district energy</t>
  </si>
  <si>
    <t>Column2</t>
  </si>
  <si>
    <t>4per_elec</t>
  </si>
  <si>
    <t>4per_fuel</t>
  </si>
  <si>
    <t>4per_site</t>
  </si>
  <si>
    <t>Annual Renewable Generation (kWh)</t>
  </si>
  <si>
    <t>How many above-grade floors does the project building have?</t>
  </si>
  <si>
    <t>Total gross floor area of base building</t>
  </si>
  <si>
    <t>Project gross floor area</t>
  </si>
  <si>
    <t>Total eligible percent for Tier 1 + Tier 2 + Tier 3</t>
  </si>
  <si>
    <t>Area of the three largest floors, prorated to the project based on project area</t>
  </si>
  <si>
    <t>Optional for projects with district energy systems (select only one)</t>
  </si>
  <si>
    <t>Provide the percentage of total reported fuel(s) associated with the district heating system (determine this value using submetering in the energy simulation).</t>
  </si>
  <si>
    <t xml:space="preserve">District heating energy reported as fuel(s)  </t>
  </si>
  <si>
    <t>Rated capacity:</t>
  </si>
  <si>
    <t>Project characteristics (all rating systems)</t>
  </si>
  <si>
    <t>Additional project characteristics (Interior Design and Construction only)</t>
  </si>
  <si>
    <t>Results:</t>
  </si>
  <si>
    <t>W/ft2</t>
  </si>
  <si>
    <t>% Mínimum</t>
  </si>
  <si>
    <t>or</t>
  </si>
  <si>
    <t>Capacity method</t>
  </si>
  <si>
    <t>Percent of annual site energy method</t>
  </si>
  <si>
    <t>Calculations refer to the method leading to highest points achievement for Tier 1, and round down to the nearest whole number, up to the maximum available points.</t>
  </si>
  <si>
    <t>Meets renewable energy thresholds for LEED Platinum eligibility</t>
  </si>
  <si>
    <t xml:space="preserve"> (100% Tier 1 + Tier 2 + Tier 3)</t>
  </si>
  <si>
    <t>Annual renewable generation (kWh)</t>
  </si>
  <si>
    <t>Tier 1 total renewable quantity and eligible percent</t>
  </si>
  <si>
    <t>Tier 2 total renewable quantity and eligible percent</t>
  </si>
  <si>
    <t>Tier 3 total renewable quantity and eligible percent</t>
  </si>
  <si>
    <t>Renewable energy summary</t>
  </si>
  <si>
    <t>(if applicable)</t>
  </si>
  <si>
    <t>Total (Tier 1 + Tier 2 + Tier 3)</t>
  </si>
  <si>
    <t>Tier 1 renewable capacity per unit area for the three largest floors</t>
  </si>
  <si>
    <t>User input cell formatting.</t>
  </si>
  <si>
    <t>Automatic input cell formatting.</t>
  </si>
  <si>
    <t xml:space="preserve">STEP 1: GENERAL INFORMATION </t>
  </si>
  <si>
    <t>STEP 2: DISTRICT ENERGY SYSTEMS (DES)</t>
  </si>
  <si>
    <t>STEP 3: PROJECT ANNUAL SITE ENERGY USE</t>
  </si>
  <si>
    <r>
      <t>Total Tier 1 + Tier 2 + Tier 3</t>
    </r>
    <r>
      <rPr>
        <sz val="10"/>
        <color theme="1"/>
        <rFont val="Arial"/>
        <family val="2"/>
      </rPr>
      <t xml:space="preserve"> (not accounting for energy source eligibility)</t>
    </r>
  </si>
  <si>
    <r>
      <t xml:space="preserve">USGBC Calculator || LEED for Building Operations and Maintenance &amp; Interior Design and Construction
</t>
    </r>
    <r>
      <rPr>
        <b/>
        <sz val="12"/>
        <color theme="0"/>
        <rFont val="Arial"/>
        <family val="2"/>
      </rPr>
      <t>LEED v5 EAc4: Renewable Energy
Database</t>
    </r>
  </si>
  <si>
    <t xml:space="preserve">GENERAL INFORMATION </t>
  </si>
  <si>
    <t>EA CREDIT RENEWABLE ENERGY</t>
  </si>
  <si>
    <t>therms</t>
  </si>
  <si>
    <t>ton Hours</t>
  </si>
  <si>
    <t>W</t>
  </si>
  <si>
    <t>IP_Units</t>
  </si>
  <si>
    <t>SI_Units</t>
  </si>
  <si>
    <t>According to august 22</t>
  </si>
  <si>
    <t>According to Leed v5</t>
  </si>
  <si>
    <t>Partial Points</t>
  </si>
  <si>
    <t>Project Annual Site Energy Use</t>
  </si>
  <si>
    <t>General project information</t>
  </si>
  <si>
    <t>Renewable fuels can only be applied to project fuel use or district heat up to 100% of annual fuel plus district heat use.</t>
  </si>
  <si>
    <t>STEP 6: PARTIAL POINTS DETERMINATION</t>
  </si>
  <si>
    <t>Two methods are considered:</t>
  </si>
  <si>
    <t>Source</t>
  </si>
  <si>
    <t>MMBtu</t>
  </si>
  <si>
    <t>kWh</t>
  </si>
  <si>
    <t>MWh</t>
  </si>
  <si>
    <t>Base building metered site energy (kWh)</t>
  </si>
  <si>
    <t>Subtotal: Electricity + District Energy (kWh)</t>
  </si>
  <si>
    <t>Annual base building site energy (kWh)</t>
  </si>
  <si>
    <t>Total (kWh)</t>
  </si>
  <si>
    <t>EPA, 2025. Thermal Energy Conversions. ENERGY STAR Portfolio Manager.</t>
  </si>
  <si>
    <t>▪</t>
  </si>
  <si>
    <t>Enter the tenant annual site energy use (electricity + fuels + district energy within the tenant space).</t>
  </si>
  <si>
    <t xml:space="preserve">Enter the data required to calculate Area [A]. </t>
  </si>
  <si>
    <t>Enter the Total installed renewable capacity in Watts (DC).</t>
  </si>
  <si>
    <t>Partial Points Determination</t>
  </si>
  <si>
    <t>Percent of Annual Site Energy Method (all Tiers).</t>
  </si>
  <si>
    <t>Capacity Method (Tier 1 only).</t>
  </si>
  <si>
    <t xml:space="preserve">BD+C: Core &amp; Shell:
</t>
  </si>
  <si>
    <t>BD+C: New Construction:</t>
  </si>
  <si>
    <t xml:space="preserve">District Energy Systems (DES) Optional: </t>
  </si>
  <si>
    <t>Select the Units of energy.</t>
  </si>
  <si>
    <t>Unit of Measurement System</t>
  </si>
  <si>
    <t>Select the Unit of Measurement system</t>
  </si>
  <si>
    <t>Enter Project Name</t>
  </si>
  <si>
    <t xml:space="preserve">Select Project Type </t>
  </si>
  <si>
    <t>Tier 1 Minimum Rated Capacity Method (optional)</t>
  </si>
  <si>
    <t>District cooling</t>
  </si>
  <si>
    <t>District heating</t>
  </si>
  <si>
    <t xml:space="preserve">Subtotal: Fuel(s) + District Heating </t>
  </si>
  <si>
    <t>Percent of annual project fuel(s) + district heating + other</t>
  </si>
  <si>
    <r>
      <rPr>
        <b/>
        <i/>
        <sz val="10"/>
        <color theme="1"/>
        <rFont val="Arial"/>
        <family val="2"/>
      </rPr>
      <t>Points Allocation.</t>
    </r>
    <r>
      <rPr>
        <sz val="10"/>
        <color theme="1"/>
        <rFont val="Arial"/>
        <family val="2"/>
      </rPr>
      <t xml:space="preserve"> Projects earn: </t>
    </r>
    <r>
      <rPr>
        <b/>
        <sz val="10"/>
        <color theme="1"/>
        <rFont val="Arial"/>
        <family val="2"/>
      </rPr>
      <t xml:space="preserve"> </t>
    </r>
  </si>
  <si>
    <t>Complete the Renewable Energy Generation Summary</t>
  </si>
  <si>
    <t xml:space="preserve">Reporting energy use for district energy systems: </t>
  </si>
  <si>
    <r>
      <rPr>
        <b/>
        <u/>
        <sz val="10"/>
        <color theme="1"/>
        <rFont val="Arial"/>
        <family val="2"/>
      </rPr>
      <t>Tier 1: On-site Renewable Energy Generation or Social Impact Project</t>
    </r>
    <r>
      <rPr>
        <sz val="10"/>
        <color theme="1"/>
        <rFont val="Arial"/>
        <family val="2"/>
      </rPr>
      <t xml:space="preserve"> 
</t>
    </r>
  </si>
  <si>
    <t xml:space="preserve">This tier includes energy generated from renewable systems located on the project site, on the campus, or on the site of a qualifying social </t>
  </si>
  <si>
    <t xml:space="preserve">impact project. </t>
  </si>
  <si>
    <t>Points can be earned via two methods, and the calculator will automatically award the highest achievement:</t>
  </si>
  <si>
    <r>
      <rPr>
        <b/>
        <sz val="10"/>
        <color theme="1"/>
        <rFont val="Arial"/>
        <family val="2"/>
      </rPr>
      <t>Percent of Annual Site Energy Method:</t>
    </r>
    <r>
      <rPr>
        <sz val="10"/>
        <color theme="1"/>
        <rFont val="Arial"/>
        <family val="2"/>
      </rPr>
      <t xml:space="preserve"> Offsetting a percentage of the building’s annual energy use with on-site generation. This is the</t>
    </r>
  </si>
  <si>
    <t>required method for earning more than two points in this tier.</t>
  </si>
  <si>
    <r>
      <rPr>
        <b/>
        <sz val="10"/>
        <color theme="1"/>
        <rFont val="Arial"/>
        <family val="2"/>
      </rPr>
      <t xml:space="preserve">Minimum Rated Capacity Method: </t>
    </r>
    <r>
      <rPr>
        <sz val="10"/>
        <color theme="1"/>
        <rFont val="Arial"/>
        <family val="2"/>
      </rPr>
      <t>Installing a minimum renewable energy system capacity based on the building's floor area. This path is</t>
    </r>
  </si>
  <si>
    <t>designed for multi-story buildings or projects with high process loads.</t>
  </si>
  <si>
    <r>
      <rPr>
        <b/>
        <u/>
        <sz val="10"/>
        <color theme="1"/>
        <rFont val="Arial"/>
        <family val="2"/>
      </rPr>
      <t xml:space="preserve">Tier 2: New Off-site Renewable Electricity </t>
    </r>
    <r>
      <rPr>
        <sz val="10"/>
        <color theme="1"/>
        <rFont val="Arial"/>
        <family val="2"/>
      </rPr>
      <t xml:space="preserve">
</t>
    </r>
  </si>
  <si>
    <t>This tier involves procuring electricity from new, off-site renewable generation assets. To qualify, the asset must be contracted to be operational</t>
  </si>
  <si>
    <t>within two years of the project's occupancy or have a commercial operations date no more than five years before the contract execution.</t>
  </si>
  <si>
    <t xml:space="preserve">Tier 3: Off-site Renewable Energy </t>
  </si>
  <si>
    <t>This tier includes the procurement of renewable electricity that is Green-e® Energy certified or equivalent, or renewable fuels certified to the</t>
  </si>
  <si>
    <t>Green-e® Renewable Fuels standard or equivalent.</t>
  </si>
  <si>
    <t xml:space="preserve">A key requirement for all tiers is that renewable energy contracts must have a duration of at least 10 years. For contracts shorter than 10 years </t>
  </si>
  <si>
    <t>or for one-time bulk purchases, the energy quantity must be prorated over a 10-year period.</t>
  </si>
  <si>
    <t>District Energy Systems (DES):</t>
  </si>
  <si>
    <t>Projects served by District Energy Systems (DES) must account for renewable energy separately for district cooling and district heating.</t>
  </si>
  <si>
    <t>Only the portion of energy purchased from the DES that is renewable may be counted.</t>
  </si>
  <si>
    <t>DES Multipliers:</t>
  </si>
  <si>
    <t>When calculating renewable energy contributions from district energy, the following factors are applied:</t>
  </si>
  <si>
    <t>District Cooling is multiplied by 0.325 (conversion factor to site energy), and District Heating by 1.2 (conversion factor to site energy).</t>
  </si>
  <si>
    <t>These multipliers must be applied consistently to both total consumption and renewable energy portions.</t>
  </si>
  <si>
    <t>Fuel Assignment:</t>
  </si>
  <si>
    <t xml:space="preserve">District heating may include a portion of fuels. If renewable fuels are used in district heating, include them under the fuel block (up to 100% of </t>
  </si>
  <si>
    <t>District cooling is always treated under the electricity block.</t>
  </si>
  <si>
    <t>Applicable Energy Use:</t>
  </si>
  <si>
    <t xml:space="preserve">Renewable Electricity (on-site generation or EAC/REC purchases) may only be applied to offset electricity consumption and district energy </t>
  </si>
  <si>
    <t>electricity of the project, up to 100% of the annual electricity use plus district energy electricity.</t>
  </si>
  <si>
    <t xml:space="preserve">Renewable Fuels (e.g., biomethane, biodiesel, certified renewable thermal energy) may only be applied to offset fuel consumption and district </t>
  </si>
  <si>
    <t>heating of the project, up to 100% of the annual fuel use plus district heating.</t>
  </si>
  <si>
    <t>fuel + district heating use).</t>
  </si>
  <si>
    <t>The maximum allowable renewable energy applied in the calculator is capped at 100% of each respective block (electricity + district energy, or</t>
  </si>
  <si>
    <t>fuel + district heating).</t>
  </si>
  <si>
    <t>No renewable source may be double-counted or applied to offset the other block (e.g., RECs cannot be used to offset gas consumption).</t>
  </si>
  <si>
    <t>on-site systems).
Environmental attributes (EAC/REC) must be retired on behalf of the project to claim credit.</t>
  </si>
  <si>
    <t>All renewable energy sources applied must be supported by contracts, ownership of EAC/REC certificates, or commissioning documents (for
Environmental attributes (EAC/REC) must be retired on behalf of the project to claim credit.</t>
  </si>
  <si>
    <t>This method is optional and applies only to Tier 1 (on-site renewable generation).</t>
  </si>
  <si>
    <t xml:space="preserve">It allows projects to earn credit points based on the installed renewable energy capacity (Watts per square meter), instead of (or in addition to) </t>
  </si>
  <si>
    <t>annual renewable energy generation.</t>
  </si>
  <si>
    <t>electricity up to 100% of the total estimated annual base building electricity plus district energy electricity.</t>
  </si>
  <si>
    <t>Renewable fuels may only be applied to base building fuel and district heating up to 100% of the total estimated annual base building fuel plus</t>
  </si>
  <si>
    <t>district heating.</t>
  </si>
  <si>
    <t>For Interior Design &amp; Construction projects, all renewable energy calculations are based on tenant energy use only, not the entire building.</t>
  </si>
  <si>
    <t>For Multi-story buildings with equal floor plates, use the area-weighted tenant floor area as reference (A).</t>
  </si>
  <si>
    <t>For Buildings with three or fewer floors, use the total tenant gross floor area.</t>
  </si>
  <si>
    <r>
      <rPr>
        <b/>
        <sz val="10"/>
        <color theme="1"/>
        <rFont val="Arial"/>
        <family val="2"/>
      </rPr>
      <t>If your project is served by a District Energy System (DES) multipliers (projects with district cooling),</t>
    </r>
    <r>
      <rPr>
        <sz val="10"/>
        <color theme="1"/>
        <rFont val="Arial"/>
        <family val="2"/>
      </rPr>
      <t xml:space="preserve"> select that DES </t>
    </r>
  </si>
  <si>
    <t xml:space="preserve"> multipliers is applicable. Please chech that percentage of total reported fuel(s) associated with the district heating system is 0% </t>
  </si>
  <si>
    <t xml:space="preserve"> (default value).</t>
  </si>
  <si>
    <r>
      <t xml:space="preserve">If documenting </t>
    </r>
    <r>
      <rPr>
        <b/>
        <sz val="10"/>
        <color theme="1"/>
        <rFont val="Arial"/>
        <family val="2"/>
      </rPr>
      <t>renewable electricity for district heating reported as fuel(s)</t>
    </r>
    <r>
      <rPr>
        <sz val="10"/>
        <color theme="1"/>
        <rFont val="Arial"/>
        <family val="2"/>
      </rPr>
      <t xml:space="preserve">, indicate the percentage of fuel(s) associated </t>
    </r>
  </si>
  <si>
    <t>with the district heating system based on submetering results from the energy simulation.</t>
  </si>
  <si>
    <t xml:space="preserve">Select this to adjust the total project site energy use calculated in Step 3.  Reported district cooling will be multiplied by 0.325 and </t>
  </si>
  <si>
    <t xml:space="preserve"> reported district heating will be multiplied by 1.2. </t>
  </si>
  <si>
    <r>
      <rPr>
        <i/>
        <sz val="10"/>
        <color rgb="FF7F7F7F"/>
        <rFont val="Arial"/>
        <family val="2"/>
      </rPr>
      <t xml:space="preserve">Do not select this option if the project was modeled using ASHRAE Standard 90.1-2022 Addendum a in EAp2: Minimum </t>
    </r>
    <r>
      <rPr>
        <sz val="10"/>
        <color theme="1"/>
        <rFont val="Arial"/>
        <family val="2"/>
      </rPr>
      <t xml:space="preserve">
</t>
    </r>
  </si>
  <si>
    <r>
      <rPr>
        <i/>
        <sz val="10"/>
        <color rgb="FF7F7F7F"/>
        <rFont val="Arial"/>
        <family val="2"/>
      </rPr>
      <t>Energy Efficiency.</t>
    </r>
    <r>
      <rPr>
        <sz val="10"/>
        <color theme="1"/>
        <rFont val="Arial"/>
        <family val="2"/>
      </rPr>
      <t xml:space="preserve">
</t>
    </r>
  </si>
  <si>
    <t xml:space="preserve">Enter the annual site energy use for the project (electricity + fuels + district energy) for each energy source in the Consumption </t>
  </si>
  <si>
    <t>column.</t>
  </si>
  <si>
    <t>Enter the annual base building energy use. This is defined as the greater of:</t>
  </si>
  <si>
    <t>25% of the total estimated building energy use, OR the metered base building load.</t>
  </si>
  <si>
    <t xml:space="preserve">Total estimated building: </t>
  </si>
  <si>
    <t>Report the total estimated building energy consumption inclusive of base building energy use and tenant use.</t>
  </si>
  <si>
    <t xml:space="preserve">Base building metered: </t>
  </si>
  <si>
    <t xml:space="preserve">Report the total annual site energy consumption from base building energy meters.Include the full explanation of base building </t>
  </si>
  <si>
    <t>energy.</t>
  </si>
  <si>
    <t>ID+C: Interior Design + Construction:</t>
  </si>
  <si>
    <t xml:space="preserve">Report the site energy use for district heating and district cooling directly. Do not adjust with DES multipliers (these adjustments </t>
  </si>
  <si>
    <t>Report the site energy use for electricity and fuel(s) from energy simulation results that estimate the upstream DES electricity</t>
  </si>
  <si>
    <t>and fuel use allocated to the building. Energy simulation results must be documented using default virtual DES efficiencies from</t>
  </si>
  <si>
    <t>ASHRAE Standard 90.1-2022, Addendum a, or improved DES efficiencies documented for EAc3: Enhanced Energy Efficiency.</t>
  </si>
  <si>
    <t xml:space="preserve">For Fuel(s), include all combustion fuels and any fuel input for fuel cells. </t>
  </si>
  <si>
    <t>Fill in one row for each type of renewable energy you are tracking.</t>
  </si>
  <si>
    <t>Select the Renewable Energy Category (Tier 1, Tier 2, or Tier 3).</t>
  </si>
  <si>
    <t>Select the Energy Offset Type (Electricity or Fuel). Note that Tier 2 is only applicable to electricity.</t>
  </si>
  <si>
    <t>Enter the Annual Renewable Generation.</t>
  </si>
  <si>
    <t>the total contracted EACs or RECs across ten years.</t>
  </si>
  <si>
    <t xml:space="preserve">For a contract duration shorter than ten years or a one-time bulk purchase, calculate the annual renewable energy quantity by prorating </t>
  </si>
  <si>
    <t>project electricity use or district energy use up to 100% of annual electricity plus district energy use.</t>
  </si>
  <si>
    <t xml:space="preserve">The specific inputs will change depending on your selected Rating System to ensure the calculation is correct for NC, C&amp;S, or ID+C </t>
  </si>
  <si>
    <t>projects.</t>
  </si>
  <si>
    <t xml:space="preserve">For ID+C projects. </t>
  </si>
  <si>
    <t xml:space="preserve">The value for Area [A] is not the building's full floor plate area but is instead a value prorated to your project's area relative to the total base </t>
  </si>
  <si>
    <t>building area.</t>
  </si>
  <si>
    <t>When  ID+C is selected, additional data input is needed, such as "Project Area," "Total gross area of base building," and the building's</t>
  </si>
  <si>
    <t xml:space="preserve">Manually proration is needed; simply provide the requested areas, and the calculator will determine the correct Area [A] for the capacity </t>
  </si>
  <si>
    <t>calculation.</t>
  </si>
  <si>
    <t>floor plate areas.</t>
  </si>
  <si>
    <t>When Tier 1 renewable energy is reported in both Step 4: Renewable Energy Generation and Step 5: Tier 1 Minimum rated Capacity</t>
  </si>
  <si>
    <t>Step 5.</t>
  </si>
  <si>
    <t xml:space="preserve">Calculates partial points for each Tier (Tier 1, Tier 2, Tier 3) based on the renewable energy percentages entered in Step 4 and </t>
  </si>
  <si>
    <r>
      <t>Renewable Energy Readiness (Core &amp; Shell only).</t>
    </r>
    <r>
      <rPr>
        <sz val="10"/>
        <color theme="1"/>
        <rFont val="Arial"/>
        <family val="2"/>
      </rPr>
      <t xml:space="preserve"> Projects may earn 1 point by incorporating solar or equivalent renewable</t>
    </r>
  </si>
  <si>
    <t xml:space="preserve">readiness features in design, including designated solar zones, structural and mounting considerations, interconnection pathways, </t>
  </si>
  <si>
    <r>
      <rPr>
        <sz val="10"/>
        <color theme="1"/>
        <rFont val="Arial"/>
        <family val="2"/>
      </rPr>
      <t xml:space="preserve">and reserved electrical service capacity. </t>
    </r>
    <r>
      <rPr>
        <b/>
        <sz val="10"/>
        <color theme="1"/>
        <rFont val="Arial"/>
        <family val="2"/>
      </rPr>
      <t>Note: This option is not included or evaluated in the calculator inputs.</t>
    </r>
  </si>
  <si>
    <t>Maximum Credit Allowance:</t>
  </si>
  <si>
    <t>Tier 1 Minimum Rated Capacity Method (Optional):</t>
  </si>
  <si>
    <r>
      <rPr>
        <b/>
        <i/>
        <sz val="10"/>
        <color theme="1"/>
        <rFont val="Arial"/>
        <family val="2"/>
      </rPr>
      <t xml:space="preserve">Included Options. </t>
    </r>
    <r>
      <rPr>
        <sz val="10"/>
        <color theme="1"/>
        <rFont val="Arial"/>
        <family val="2"/>
      </rPr>
      <t xml:space="preserve">Renewable energy may be supplied or procured from Tier 1 (on-site or social impact project), Tier 2 (new off-site </t>
    </r>
  </si>
  <si>
    <t>renewable electricity), and Tier 3 (off-site renewable energy certified Green-e® or equivalent).</t>
  </si>
  <si>
    <t>calculation of project area.</t>
  </si>
  <si>
    <r>
      <t>Contract Requirements.</t>
    </r>
    <r>
      <rPr>
        <sz val="10"/>
        <color theme="1"/>
        <rFont val="Arial"/>
        <family val="2"/>
      </rPr>
      <t xml:space="preserve"> All renewable energy contracts must demonstrate ownership of environmental attributes (EACs/RECs), meet </t>
    </r>
  </si>
  <si>
    <t>a minimum 10-year term (or prorated equivalent), and comply with location and vintage requirements.</t>
  </si>
  <si>
    <t xml:space="preserve">procuring renewable energy to offset a percentage of the building's energy use. The credit establishes a three-tier hierarchy that rewards </t>
  </si>
  <si>
    <t>renewable energy sources based on their direct impact.</t>
  </si>
  <si>
    <t>1 point: 5% (Tier 1), 20% (Tier 2), or 50% (Tier 3) of annual site energy</t>
  </si>
  <si>
    <t>2 points: 10% (Tier 1), 40% (Tier 2), or 100% (Tier 3)</t>
  </si>
  <si>
    <t>3 points: 20% (Tier 2) or 60% (Tier 3)</t>
  </si>
  <si>
    <t>4 points: 35% (Tier 2) or 80% (Tier 3)</t>
  </si>
  <si>
    <t>5 points: 100% of annual site energy from Tier 1 and/or Tier 2 renewables</t>
  </si>
  <si>
    <t>1 point: 15% (Tier 1), 35% (Tier 2), or 100% (Tier 3) of base building energy use</t>
  </si>
  <si>
    <t>2 points: 30% (Tier 1), 70% (Tier 2), or 200% (Tier 3)</t>
  </si>
  <si>
    <t>3 points: 65% (Tier 2) or 100% (Tier 3)</t>
  </si>
  <si>
    <t>4 points: 100% (Tier 1) or 200% (Tier 2) of base building energy use</t>
  </si>
  <si>
    <t xml:space="preserve">(1–5 points New Construction, 1–4 points Core and Shell, 1-5 points Interior Design and Construction) Projects earn points by supplying or </t>
  </si>
  <si>
    <t xml:space="preserve">For Core and Shell projects, renewable electricity (generation or EAC/REC) may only be applied to base building electricity and district energy </t>
  </si>
  <si>
    <t>Interior Design &amp; Construction Projects</t>
  </si>
  <si>
    <t>Core &amp; Shell Projects</t>
  </si>
  <si>
    <r>
      <rPr>
        <b/>
        <sz val="10"/>
        <color theme="1"/>
        <rFont val="Arial"/>
        <family val="2"/>
      </rPr>
      <t>Interior Design and Construction</t>
    </r>
    <r>
      <rPr>
        <sz val="10"/>
        <color theme="1"/>
        <rFont val="Arial"/>
        <family val="2"/>
      </rPr>
      <t xml:space="preserve"> (1–5 points): follows the same requirements as New Construction, but with a prorated</t>
    </r>
  </si>
  <si>
    <r>
      <rPr>
        <b/>
        <sz val="10"/>
        <color theme="1"/>
        <rFont val="Arial"/>
        <family val="2"/>
      </rPr>
      <t xml:space="preserve">Building Design and Construction - New Construction </t>
    </r>
    <r>
      <rPr>
        <sz val="10"/>
        <color theme="1"/>
        <rFont val="Arial"/>
        <family val="2"/>
      </rPr>
      <t xml:space="preserve">(between 1–5 points):  for supplying or procuring renewable energy </t>
    </r>
  </si>
  <si>
    <t>from any combination of Tier 1,Tier 2, and Tier 3.</t>
  </si>
  <si>
    <r>
      <rPr>
        <b/>
        <sz val="10"/>
        <color theme="1"/>
        <rFont val="Arial"/>
        <family val="2"/>
      </rPr>
      <t xml:space="preserve">Building Design and Construction - Core &amp; Shell </t>
    </r>
    <r>
      <rPr>
        <sz val="10"/>
        <color theme="1"/>
        <rFont val="Arial"/>
        <family val="2"/>
      </rPr>
      <t xml:space="preserve">(1–4 points): for supplying or procuring renewable energy from Tier 1, Tier </t>
    </r>
  </si>
  <si>
    <t>2, and Tier 3.</t>
  </si>
  <si>
    <r>
      <t xml:space="preserve">Points are based on the percentage of </t>
    </r>
    <r>
      <rPr>
        <b/>
        <sz val="10"/>
        <color theme="1"/>
        <rFont val="Arial"/>
        <family val="2"/>
      </rPr>
      <t>annual base building</t>
    </r>
    <r>
      <rPr>
        <sz val="10"/>
        <color theme="1"/>
        <rFont val="Arial"/>
        <family val="2"/>
      </rPr>
      <t xml:space="preserve"> site energy use supplied by renewable sources:</t>
    </r>
  </si>
  <si>
    <r>
      <t xml:space="preserve">Points are based on the percentage of </t>
    </r>
    <r>
      <rPr>
        <b/>
        <sz val="10"/>
        <color theme="1"/>
        <rFont val="Arial"/>
        <family val="2"/>
      </rPr>
      <t xml:space="preserve">annual site energy </t>
    </r>
    <r>
      <rPr>
        <sz val="10"/>
        <color theme="1"/>
        <rFont val="Arial"/>
        <family val="2"/>
      </rPr>
      <t>supplied by renewable sources:</t>
    </r>
  </si>
  <si>
    <r>
      <t>Platinum Prerequisite.</t>
    </r>
    <r>
      <rPr>
        <sz val="10"/>
        <color theme="1"/>
        <rFont val="Arial"/>
        <family val="2"/>
      </rPr>
      <t xml:space="preserve"> For LEED Platinum, projects must achieve 100% of annual energy use (Building Desing and Construction </t>
    </r>
  </si>
  <si>
    <t>renewable energy sources.</t>
  </si>
  <si>
    <t xml:space="preserve">and Interior Design and Construction) or 100% of annual base building energy use (Core &amp; Shell) from Tier 1, Tier 2, and/or Tier 3 </t>
  </si>
  <si>
    <t>Project energy source: Total renewable electricity generation and EAC/REC procurement for Tier 1 + Tier 2 + Tier 3 can only be applied to</t>
  </si>
  <si>
    <t>Note: Applicable to All Rating Systems:</t>
  </si>
  <si>
    <t xml:space="preserve">Method, points achievement will be determined based on the higher level of points documented using the PERCENTAGE OF ANNUAL </t>
  </si>
  <si>
    <t>SITE ENERGY METHOD or the MINIMUM RATED CAPACITY METHOD.</t>
  </si>
  <si>
    <t>are applied in the calculator if selected in Step 2).</t>
  </si>
  <si>
    <t>Click + to left for additional rows</t>
  </si>
  <si>
    <t>Calculation cell formating.</t>
  </si>
  <si>
    <t>For buildings with three floors or less, this value is the same as the "Combined gross floor area" of all floors in the building.</t>
  </si>
  <si>
    <r>
      <t xml:space="preserve">LEED v5 Renewable Energy Calculator
</t>
    </r>
    <r>
      <rPr>
        <b/>
        <sz val="12"/>
        <color theme="0"/>
        <rFont val="Arial"/>
        <family val="2"/>
      </rPr>
      <t>LEED for Building Design and Construction | Interior Design and Construction</t>
    </r>
    <r>
      <rPr>
        <b/>
        <sz val="12"/>
        <color rgb="FFFFFFFF"/>
        <rFont val="Arial"/>
        <family val="2"/>
      </rPr>
      <t xml:space="preserve">
Instructions</t>
    </r>
  </si>
  <si>
    <t>v02</t>
  </si>
  <si>
    <r>
      <t xml:space="preserve">Copyright </t>
    </r>
    <r>
      <rPr>
        <sz val="9"/>
        <color theme="0" tint="-0.499984740745262"/>
        <rFont val="Arial"/>
        <family val="2"/>
      </rPr>
      <t>©</t>
    </r>
    <r>
      <rPr>
        <sz val="8"/>
        <color theme="0" tint="-0.499984740745262"/>
        <rFont val="Arial"/>
        <family val="2"/>
      </rPr>
      <t xml:space="preserve"> 2025</t>
    </r>
  </si>
  <si>
    <t>U.S. Green Building Council</t>
  </si>
  <si>
    <t>All Rights Reserved</t>
  </si>
  <si>
    <t>Last Updated: 12/19/2025</t>
  </si>
  <si>
    <r>
      <t xml:space="preserve">LEED v5 Renewable Energy Calculator
</t>
    </r>
    <r>
      <rPr>
        <b/>
        <sz val="12"/>
        <color theme="0"/>
        <rFont val="Arial"/>
        <family val="2"/>
      </rPr>
      <t>LEED for Building Design and Construction | Interior Design and Construction</t>
    </r>
    <r>
      <rPr>
        <b/>
        <sz val="14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Inputs</t>
    </r>
  </si>
  <si>
    <r>
      <t xml:space="preserve">LEED v5 Renewable Energy Calculator
</t>
    </r>
    <r>
      <rPr>
        <b/>
        <sz val="12"/>
        <color theme="0"/>
        <rFont val="Arial"/>
        <family val="2"/>
      </rPr>
      <t>LEED for Building Design and Construction | Interior Design and Construction
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</si>
</sst>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"/>
    <numFmt numFmtId="165" formatCode="m\-d\-yy"/>
    <numFmt numFmtId="166" formatCode="0.0"/>
    <numFmt numFmtId="167" formatCode="0.0%"/>
    <numFmt numFmtId="168" formatCode="#,##0_ ;\-#,##0\ "/>
    <numFmt numFmtId="169" formatCode="#,##0_);\(#,##0\);;@"/>
    <numFmt numFmtId="170" formatCode="0.0%_);\(0.0%\);;@"/>
    <numFmt numFmtId="171" formatCode="#,##0.00_);\(#,##0.00\);;@"/>
    <numFmt numFmtId="172" formatCode="0%_);\(0%\);;@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sz val="11"/>
      <color rgb="FFFF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4"/>
      <color theme="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rgb="FF7F7F7F"/>
      <name val="Arial"/>
      <family val="2"/>
    </font>
    <font>
      <i/>
      <sz val="9"/>
      <color rgb="FF7F7F7F"/>
      <name val="Arial"/>
      <family val="2"/>
    </font>
    <font>
      <sz val="10"/>
      <color theme="0" tint="-0.34998626667073579"/>
      <name val="Arial"/>
      <family val="2"/>
    </font>
    <font>
      <i/>
      <sz val="10"/>
      <color rgb="FF1B1C1D"/>
      <name val="Arial"/>
      <family val="2"/>
    </font>
    <font>
      <b/>
      <i/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i/>
      <sz val="10"/>
      <color theme="0" tint="-0.499984740745262"/>
      <name val="Arial"/>
      <family val="2"/>
    </font>
    <font>
      <i/>
      <sz val="10"/>
      <color rgb="FFFF0000"/>
      <name val="Arial"/>
      <family val="2"/>
    </font>
    <font>
      <sz val="8"/>
      <color theme="0" tint="-0.499984740745262"/>
      <name val="Arial"/>
      <family val="2"/>
    </font>
    <font>
      <sz val="9"/>
      <color theme="0" tint="-0.49998474074526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C75127"/>
        <bgColor rgb="FFC75127"/>
      </patternFill>
    </fill>
    <fill>
      <patternFill patternType="solid">
        <fgColor rgb="FFF7F8F6"/>
        <bgColor rgb="FFF7F8F6"/>
      </patternFill>
    </fill>
    <fill>
      <patternFill patternType="solid">
        <fgColor rgb="FFF7F8F6"/>
        <bgColor rgb="FFF2F2F2"/>
      </patternFill>
    </fill>
    <fill>
      <patternFill patternType="solid">
        <fgColor rgb="FFF7F8F6"/>
        <bgColor indexed="64"/>
      </patternFill>
    </fill>
    <fill>
      <patternFill patternType="solid">
        <fgColor rgb="FFF7F8F6"/>
        <bgColor rgb="FFFFFFFF"/>
      </patternFill>
    </fill>
    <fill>
      <patternFill patternType="solid">
        <fgColor rgb="FFF7F8F6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7F8F6"/>
      </patternFill>
    </fill>
    <fill>
      <patternFill patternType="solid">
        <fgColor theme="0"/>
        <bgColor rgb="FFBFBFBF"/>
      </patternFill>
    </fill>
    <fill>
      <patternFill patternType="solid">
        <fgColor rgb="FFF7F8F6"/>
        <bgColor rgb="FFDDDDDD"/>
      </patternFill>
    </fill>
    <fill>
      <patternFill patternType="solid">
        <fgColor rgb="FFF7F8F6"/>
        <bgColor theme="0"/>
      </patternFill>
    </fill>
    <fill>
      <patternFill patternType="solid">
        <fgColor rgb="FFB6B7B8"/>
        <bgColor rgb="FFB6B7B8"/>
      </patternFill>
    </fill>
    <fill>
      <patternFill patternType="solid">
        <fgColor rgb="FFB6B7B8"/>
        <bgColor rgb="FFF2F2F2"/>
      </patternFill>
    </fill>
    <fill>
      <patternFill patternType="solid">
        <fgColor rgb="FFB6B7B8"/>
        <bgColor indexed="64"/>
      </patternFill>
    </fill>
    <fill>
      <patternFill patternType="solid">
        <fgColor rgb="FFB6B7B8"/>
        <bgColor rgb="FFFFFFFF"/>
      </patternFill>
    </fill>
    <fill>
      <patternFill patternType="solid">
        <fgColor rgb="FFF2F2F2"/>
        <bgColor theme="0"/>
      </patternFill>
    </fill>
    <fill>
      <patternFill patternType="solid">
        <fgColor rgb="FFB6B7B8"/>
        <bgColor rgb="FFD8D8D8"/>
      </patternFill>
    </fill>
    <fill>
      <patternFill patternType="solid">
        <fgColor rgb="FFF2F2F2"/>
        <bgColor rgb="FFD8D8D8"/>
      </patternFill>
    </fill>
    <fill>
      <patternFill patternType="solid">
        <fgColor rgb="FFF2F2F2"/>
        <bgColor indexed="64"/>
      </patternFill>
    </fill>
    <fill>
      <patternFill patternType="solid">
        <fgColor rgb="FFB6B7B8"/>
        <bgColor rgb="FFDDDDDD"/>
      </patternFill>
    </fill>
    <fill>
      <patternFill patternType="solid">
        <fgColor rgb="FFB6B7B8"/>
        <bgColor theme="0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DDDDDD"/>
      </patternFill>
    </fill>
    <fill>
      <patternFill patternType="solid">
        <fgColor rgb="FFB6B7B8"/>
        <bgColor rgb="FF7F7F7F"/>
      </patternFill>
    </fill>
    <fill>
      <patternFill patternType="solid">
        <fgColor rgb="FFF2F2F2"/>
        <bgColor rgb="FFBFBFBF"/>
      </patternFill>
    </fill>
    <fill>
      <patternFill patternType="solid">
        <fgColor rgb="FFF2F2F2"/>
        <bgColor rgb="FFE2EFD9"/>
      </patternFill>
    </fill>
    <fill>
      <patternFill patternType="solid">
        <fgColor theme="1"/>
        <bgColor rgb="FFF2F2F2"/>
      </patternFill>
    </fill>
    <fill>
      <patternFill patternType="solid">
        <fgColor rgb="FF7F7F7F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9" fillId="0" borderId="11"/>
    <xf numFmtId="0" fontId="1" fillId="0" borderId="11"/>
    <xf numFmtId="0" fontId="23" fillId="0" borderId="11"/>
  </cellStyleXfs>
  <cellXfs count="349">
    <xf numFmtId="0" fontId="0" fillId="0" borderId="0" xfId="0"/>
    <xf numFmtId="0" fontId="2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vertical="center"/>
    </xf>
    <xf numFmtId="0" fontId="2" fillId="9" borderId="1" xfId="0" applyFont="1" applyFill="1" applyBorder="1"/>
    <xf numFmtId="0" fontId="2" fillId="10" borderId="0" xfId="0" applyFont="1" applyFill="1"/>
    <xf numFmtId="0" fontId="0" fillId="10" borderId="0" xfId="0" applyFill="1"/>
    <xf numFmtId="0" fontId="2" fillId="10" borderId="2" xfId="0" applyFont="1" applyFill="1" applyBorder="1"/>
    <xf numFmtId="0" fontId="2" fillId="9" borderId="11" xfId="0" applyFont="1" applyFill="1" applyBorder="1"/>
    <xf numFmtId="0" fontId="3" fillId="8" borderId="11" xfId="0" applyFont="1" applyFill="1" applyBorder="1" applyAlignment="1">
      <alignment vertical="center"/>
    </xf>
    <xf numFmtId="0" fontId="2" fillId="5" borderId="18" xfId="0" applyFont="1" applyFill="1" applyBorder="1"/>
    <xf numFmtId="0" fontId="2" fillId="5" borderId="19" xfId="0" applyFont="1" applyFill="1" applyBorder="1"/>
    <xf numFmtId="0" fontId="2" fillId="5" borderId="20" xfId="0" applyFont="1" applyFill="1" applyBorder="1"/>
    <xf numFmtId="0" fontId="3" fillId="3" borderId="21" xfId="0" applyFont="1" applyFill="1" applyBorder="1" applyAlignment="1">
      <alignment vertical="center"/>
    </xf>
    <xf numFmtId="0" fontId="3" fillId="14" borderId="22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vertical="center"/>
    </xf>
    <xf numFmtId="0" fontId="2" fillId="9" borderId="1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" fillId="9" borderId="1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5" fillId="21" borderId="13" xfId="0" applyFont="1" applyFill="1" applyBorder="1" applyAlignment="1">
      <alignment horizontal="centerContinuous" vertical="center" wrapText="1"/>
    </xf>
    <xf numFmtId="0" fontId="5" fillId="20" borderId="13" xfId="0" applyFont="1" applyFill="1" applyBorder="1" applyAlignment="1">
      <alignment horizontal="centerContinuous"/>
    </xf>
    <xf numFmtId="0" fontId="5" fillId="19" borderId="13" xfId="0" applyFont="1" applyFill="1" applyBorder="1" applyAlignment="1">
      <alignment horizontal="centerContinuous" vertical="center" wrapText="1"/>
    </xf>
    <xf numFmtId="0" fontId="5" fillId="20" borderId="13" xfId="0" applyFont="1" applyFill="1" applyBorder="1" applyAlignment="1">
      <alignment horizontal="centerContinuous" wrapText="1"/>
    </xf>
    <xf numFmtId="169" fontId="9" fillId="2" borderId="13" xfId="0" applyNumberFormat="1" applyFont="1" applyFill="1" applyBorder="1" applyAlignment="1">
      <alignment horizontal="center" vertical="center" wrapText="1"/>
    </xf>
    <xf numFmtId="169" fontId="26" fillId="24" borderId="13" xfId="0" applyNumberFormat="1" applyFont="1" applyFill="1" applyBorder="1" applyAlignment="1">
      <alignment horizontal="center" vertical="center" wrapText="1"/>
    </xf>
    <xf numFmtId="0" fontId="6" fillId="25" borderId="13" xfId="0" applyFont="1" applyFill="1" applyBorder="1"/>
    <xf numFmtId="169" fontId="23" fillId="24" borderId="13" xfId="0" applyNumberFormat="1" applyFont="1" applyFill="1" applyBorder="1" applyAlignment="1">
      <alignment horizontal="center" vertical="center" wrapText="1"/>
    </xf>
    <xf numFmtId="0" fontId="28" fillId="26" borderId="13" xfId="0" applyFont="1" applyFill="1" applyBorder="1" applyAlignment="1">
      <alignment horizontal="center" vertical="center" wrapText="1"/>
    </xf>
    <xf numFmtId="0" fontId="5" fillId="27" borderId="13" xfId="0" applyFont="1" applyFill="1" applyBorder="1" applyAlignment="1">
      <alignment horizontal="left" vertical="center"/>
    </xf>
    <xf numFmtId="0" fontId="27" fillId="20" borderId="13" xfId="0" applyFont="1" applyFill="1" applyBorder="1" applyAlignment="1">
      <alignment horizontal="left" vertical="center" wrapText="1"/>
    </xf>
    <xf numFmtId="0" fontId="27" fillId="20" borderId="13" xfId="0" applyFont="1" applyFill="1" applyBorder="1" applyAlignment="1">
      <alignment horizontal="center" vertical="center" wrapText="1"/>
    </xf>
    <xf numFmtId="0" fontId="5" fillId="27" borderId="13" xfId="0" applyFont="1" applyFill="1" applyBorder="1" applyAlignment="1">
      <alignment horizontal="center" vertical="center" wrapText="1"/>
    </xf>
    <xf numFmtId="0" fontId="5" fillId="27" borderId="13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vertical="center"/>
    </xf>
    <xf numFmtId="0" fontId="6" fillId="21" borderId="13" xfId="0" applyFont="1" applyFill="1" applyBorder="1" applyAlignment="1">
      <alignment vertical="center"/>
    </xf>
    <xf numFmtId="0" fontId="9" fillId="20" borderId="13" xfId="0" applyFont="1" applyFill="1" applyBorder="1" applyAlignment="1">
      <alignment horizontal="left" vertical="center" wrapText="1"/>
    </xf>
    <xf numFmtId="0" fontId="9" fillId="20" borderId="13" xfId="0" applyFont="1" applyFill="1" applyBorder="1" applyAlignment="1">
      <alignment horizontal="center" vertical="center" wrapText="1"/>
    </xf>
    <xf numFmtId="0" fontId="6" fillId="27" borderId="13" xfId="0" applyFont="1" applyFill="1" applyBorder="1" applyAlignment="1">
      <alignment horizontal="center" vertical="center" wrapText="1"/>
    </xf>
    <xf numFmtId="0" fontId="6" fillId="27" borderId="13" xfId="0" applyFont="1" applyFill="1" applyBorder="1" applyAlignment="1">
      <alignment horizontal="center" vertical="center"/>
    </xf>
    <xf numFmtId="170" fontId="6" fillId="25" borderId="13" xfId="2" applyNumberFormat="1" applyFont="1" applyFill="1" applyBorder="1" applyAlignment="1">
      <alignment horizontal="center" vertical="center"/>
    </xf>
    <xf numFmtId="171" fontId="6" fillId="2" borderId="13" xfId="0" applyNumberFormat="1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vertical="center"/>
    </xf>
    <xf numFmtId="0" fontId="5" fillId="12" borderId="11" xfId="0" applyFont="1" applyFill="1" applyBorder="1" applyAlignment="1">
      <alignment vertical="center"/>
    </xf>
    <xf numFmtId="0" fontId="6" fillId="12" borderId="11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2" fontId="23" fillId="16" borderId="11" xfId="0" applyNumberFormat="1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vertical="center"/>
    </xf>
    <xf numFmtId="0" fontId="5" fillId="19" borderId="13" xfId="0" applyFont="1" applyFill="1" applyBorder="1" applyAlignment="1">
      <alignment horizontal="centerContinuous" vertical="center"/>
    </xf>
    <xf numFmtId="0" fontId="28" fillId="26" borderId="15" xfId="0" applyFont="1" applyFill="1" applyBorder="1" applyAlignment="1">
      <alignment horizontal="center" vertical="center" wrapText="1"/>
    </xf>
    <xf numFmtId="0" fontId="26" fillId="26" borderId="13" xfId="0" applyFont="1" applyFill="1" applyBorder="1" applyAlignment="1">
      <alignment horizontal="center" vertical="center" wrapText="1"/>
    </xf>
    <xf numFmtId="2" fontId="23" fillId="29" borderId="13" xfId="0" applyNumberFormat="1" applyFont="1" applyFill="1" applyBorder="1" applyAlignment="1">
      <alignment horizontal="center" vertical="center" wrapText="1"/>
    </xf>
    <xf numFmtId="2" fontId="23" fillId="29" borderId="27" xfId="0" applyNumberFormat="1" applyFont="1" applyFill="1" applyBorder="1" applyAlignment="1">
      <alignment horizontal="center" vertical="center" wrapText="1"/>
    </xf>
    <xf numFmtId="166" fontId="25" fillId="26" borderId="15" xfId="0" applyNumberFormat="1" applyFont="1" applyFill="1" applyBorder="1" applyAlignment="1">
      <alignment horizontal="center" vertical="center" wrapText="1"/>
    </xf>
    <xf numFmtId="166" fontId="25" fillId="26" borderId="13" xfId="0" applyNumberFormat="1" applyFont="1" applyFill="1" applyBorder="1" applyAlignment="1">
      <alignment horizontal="center" vertical="center" wrapText="1"/>
    </xf>
    <xf numFmtId="0" fontId="5" fillId="10" borderId="11" xfId="0" applyFont="1" applyFill="1" applyBorder="1"/>
    <xf numFmtId="0" fontId="6" fillId="9" borderId="1" xfId="0" applyFont="1" applyFill="1" applyBorder="1"/>
    <xf numFmtId="0" fontId="8" fillId="9" borderId="1" xfId="0" applyFont="1" applyFill="1" applyBorder="1"/>
    <xf numFmtId="0" fontId="6" fillId="9" borderId="12" xfId="0" applyFont="1" applyFill="1" applyBorder="1"/>
    <xf numFmtId="0" fontId="8" fillId="9" borderId="12" xfId="0" applyFont="1" applyFill="1" applyBorder="1"/>
    <xf numFmtId="0" fontId="5" fillId="10" borderId="12" xfId="0" applyFont="1" applyFill="1" applyBorder="1" applyAlignment="1">
      <alignment horizontal="center"/>
    </xf>
    <xf numFmtId="0" fontId="6" fillId="9" borderId="11" xfId="0" applyFont="1" applyFill="1" applyBorder="1"/>
    <xf numFmtId="0" fontId="6" fillId="10" borderId="1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wrapText="1"/>
    </xf>
    <xf numFmtId="0" fontId="2" fillId="9" borderId="10" xfId="0" applyFont="1" applyFill="1" applyBorder="1"/>
    <xf numFmtId="0" fontId="8" fillId="9" borderId="10" xfId="0" applyFont="1" applyFill="1" applyBorder="1"/>
    <xf numFmtId="43" fontId="8" fillId="9" borderId="1" xfId="1" applyFont="1" applyFill="1" applyBorder="1"/>
    <xf numFmtId="0" fontId="2" fillId="10" borderId="0" xfId="0" applyFont="1" applyFill="1" applyAlignment="1">
      <alignment wrapText="1"/>
    </xf>
    <xf numFmtId="0" fontId="23" fillId="30" borderId="8" xfId="0" applyFont="1" applyFill="1" applyBorder="1" applyAlignment="1">
      <alignment horizontal="center"/>
    </xf>
    <xf numFmtId="0" fontId="23" fillId="30" borderId="9" xfId="0" applyFont="1" applyFill="1" applyBorder="1" applyAlignment="1">
      <alignment horizontal="center"/>
    </xf>
    <xf numFmtId="0" fontId="23" fillId="30" borderId="8" xfId="0" applyFont="1" applyFill="1" applyBorder="1" applyAlignment="1">
      <alignment horizontal="center" wrapText="1"/>
    </xf>
    <xf numFmtId="0" fontId="9" fillId="22" borderId="8" xfId="0" applyFont="1" applyFill="1" applyBorder="1" applyAlignment="1">
      <alignment horizontal="right"/>
    </xf>
    <xf numFmtId="0" fontId="6" fillId="22" borderId="8" xfId="0" applyFont="1" applyFill="1" applyBorder="1"/>
    <xf numFmtId="0" fontId="9" fillId="22" borderId="8" xfId="0" applyFont="1" applyFill="1" applyBorder="1" applyAlignment="1">
      <alignment horizontal="left"/>
    </xf>
    <xf numFmtId="0" fontId="6" fillId="2" borderId="8" xfId="0" applyFont="1" applyFill="1" applyBorder="1"/>
    <xf numFmtId="0" fontId="6" fillId="2" borderId="13" xfId="0" applyFont="1" applyFill="1" applyBorder="1" applyAlignment="1">
      <alignment wrapText="1"/>
    </xf>
    <xf numFmtId="0" fontId="6" fillId="25" borderId="8" xfId="0" applyFont="1" applyFill="1" applyBorder="1" applyAlignment="1">
      <alignment horizontal="center"/>
    </xf>
    <xf numFmtId="2" fontId="6" fillId="25" borderId="8" xfId="0" applyNumberFormat="1" applyFont="1" applyFill="1" applyBorder="1" applyAlignment="1">
      <alignment horizontal="center"/>
    </xf>
    <xf numFmtId="0" fontId="6" fillId="31" borderId="8" xfId="0" applyFont="1" applyFill="1" applyBorder="1" applyAlignment="1">
      <alignment horizontal="center"/>
    </xf>
    <xf numFmtId="0" fontId="6" fillId="25" borderId="8" xfId="0" applyFont="1" applyFill="1" applyBorder="1" applyAlignment="1">
      <alignment horizontal="left"/>
    </xf>
    <xf numFmtId="0" fontId="5" fillId="20" borderId="8" xfId="0" applyFont="1" applyFill="1" applyBorder="1" applyAlignment="1">
      <alignment horizontal="center"/>
    </xf>
    <xf numFmtId="0" fontId="5" fillId="20" borderId="28" xfId="0" applyFont="1" applyFill="1" applyBorder="1" applyAlignment="1">
      <alignment horizontal="center"/>
    </xf>
    <xf numFmtId="0" fontId="6" fillId="25" borderId="29" xfId="0" applyFont="1" applyFill="1" applyBorder="1" applyAlignment="1">
      <alignment horizontal="center"/>
    </xf>
    <xf numFmtId="2" fontId="6" fillId="25" borderId="29" xfId="0" applyNumberFormat="1" applyFont="1" applyFill="1" applyBorder="1" applyAlignment="1">
      <alignment horizontal="center"/>
    </xf>
    <xf numFmtId="0" fontId="25" fillId="25" borderId="13" xfId="0" applyFont="1" applyFill="1" applyBorder="1" applyAlignment="1">
      <alignment horizontal="center"/>
    </xf>
    <xf numFmtId="2" fontId="25" fillId="25" borderId="13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wrapText="1"/>
    </xf>
    <xf numFmtId="0" fontId="6" fillId="24" borderId="8" xfId="0" applyFont="1" applyFill="1" applyBorder="1" applyAlignment="1">
      <alignment horizontal="center"/>
    </xf>
    <xf numFmtId="0" fontId="6" fillId="25" borderId="8" xfId="0" applyFont="1" applyFill="1" applyBorder="1"/>
    <xf numFmtId="0" fontId="6" fillId="32" borderId="8" xfId="0" applyFont="1" applyFill="1" applyBorder="1"/>
    <xf numFmtId="9" fontId="6" fillId="25" borderId="13" xfId="0" applyNumberFormat="1" applyFont="1" applyFill="1" applyBorder="1" applyAlignment="1">
      <alignment horizontal="right"/>
    </xf>
    <xf numFmtId="0" fontId="6" fillId="25" borderId="13" xfId="0" applyFont="1" applyFill="1" applyBorder="1" applyAlignment="1">
      <alignment horizontal="right"/>
    </xf>
    <xf numFmtId="0" fontId="5" fillId="20" borderId="29" xfId="0" applyFont="1" applyFill="1" applyBorder="1" applyAlignment="1">
      <alignment horizontal="left"/>
    </xf>
    <xf numFmtId="0" fontId="7" fillId="20" borderId="29" xfId="0" applyFont="1" applyFill="1" applyBorder="1" applyAlignment="1">
      <alignment horizontal="left"/>
    </xf>
    <xf numFmtId="0" fontId="5" fillId="20" borderId="13" xfId="0" applyFont="1" applyFill="1" applyBorder="1" applyAlignment="1">
      <alignment horizontal="left"/>
    </xf>
    <xf numFmtId="0" fontId="6" fillId="5" borderId="11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12" fillId="5" borderId="11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left" vertical="center" wrapText="1"/>
    </xf>
    <xf numFmtId="0" fontId="9" fillId="5" borderId="2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 wrapText="1"/>
    </xf>
    <xf numFmtId="49" fontId="6" fillId="5" borderId="11" xfId="0" applyNumberFormat="1" applyFont="1" applyFill="1" applyBorder="1" applyAlignment="1">
      <alignment vertical="center"/>
    </xf>
    <xf numFmtId="167" fontId="6" fillId="5" borderId="11" xfId="0" applyNumberFormat="1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left" vertical="center"/>
    </xf>
    <xf numFmtId="0" fontId="6" fillId="24" borderId="8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vertical="center"/>
    </xf>
    <xf numFmtId="0" fontId="9" fillId="22" borderId="8" xfId="0" applyFont="1" applyFill="1" applyBorder="1" applyAlignment="1">
      <alignment horizontal="left" wrapText="1"/>
    </xf>
    <xf numFmtId="0" fontId="6" fillId="2" borderId="9" xfId="0" applyFont="1" applyFill="1" applyBorder="1" applyAlignment="1">
      <alignment wrapText="1"/>
    </xf>
    <xf numFmtId="0" fontId="14" fillId="10" borderId="0" xfId="0" applyFont="1" applyFill="1"/>
    <xf numFmtId="170" fontId="6" fillId="25" borderId="15" xfId="2" applyNumberFormat="1" applyFont="1" applyFill="1" applyBorder="1" applyAlignment="1">
      <alignment horizontal="center" vertical="center"/>
    </xf>
    <xf numFmtId="0" fontId="23" fillId="22" borderId="8" xfId="0" applyFont="1" applyFill="1" applyBorder="1"/>
    <xf numFmtId="172" fontId="6" fillId="25" borderId="13" xfId="2" applyNumberFormat="1" applyFont="1" applyFill="1" applyBorder="1" applyAlignment="1">
      <alignment horizontal="center" vertical="center"/>
    </xf>
    <xf numFmtId="0" fontId="25" fillId="25" borderId="13" xfId="0" applyFont="1" applyFill="1" applyBorder="1" applyAlignment="1">
      <alignment horizontal="left" wrapText="1"/>
    </xf>
    <xf numFmtId="0" fontId="6" fillId="6" borderId="4" xfId="0" applyFont="1" applyFill="1" applyBorder="1" applyAlignment="1">
      <alignment horizontal="left" vertical="top" wrapText="1"/>
    </xf>
    <xf numFmtId="0" fontId="6" fillId="5" borderId="24" xfId="0" applyFont="1" applyFill="1" applyBorder="1" applyAlignment="1">
      <alignment horizontal="left" vertical="top" wrapText="1"/>
    </xf>
    <xf numFmtId="172" fontId="5" fillId="22" borderId="13" xfId="0" applyNumberFormat="1" applyFont="1" applyFill="1" applyBorder="1" applyAlignment="1">
      <alignment horizontal="center" vertical="center"/>
    </xf>
    <xf numFmtId="172" fontId="6" fillId="22" borderId="13" xfId="0" applyNumberFormat="1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left" vertical="top" wrapText="1"/>
    </xf>
    <xf numFmtId="0" fontId="22" fillId="10" borderId="1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/>
    </xf>
    <xf numFmtId="0" fontId="22" fillId="11" borderId="11" xfId="0" applyFont="1" applyFill="1" applyBorder="1" applyAlignment="1">
      <alignment vertical="center"/>
    </xf>
    <xf numFmtId="0" fontId="22" fillId="10" borderId="0" xfId="0" applyFont="1" applyFill="1"/>
    <xf numFmtId="0" fontId="22" fillId="10" borderId="11" xfId="0" applyFont="1" applyFill="1" applyBorder="1"/>
    <xf numFmtId="0" fontId="30" fillId="9" borderId="1" xfId="0" applyFont="1" applyFill="1" applyBorder="1"/>
    <xf numFmtId="0" fontId="30" fillId="9" borderId="1" xfId="0" applyFont="1" applyFill="1" applyBorder="1" applyAlignment="1">
      <alignment horizontal="left"/>
    </xf>
    <xf numFmtId="0" fontId="22" fillId="9" borderId="1" xfId="0" applyFont="1" applyFill="1" applyBorder="1"/>
    <xf numFmtId="0" fontId="31" fillId="9" borderId="1" xfId="0" applyFont="1" applyFill="1" applyBorder="1"/>
    <xf numFmtId="0" fontId="6" fillId="3" borderId="5" xfId="3" applyFont="1" applyFill="1" applyBorder="1" applyAlignment="1">
      <alignment horizontal="left" vertical="top" wrapText="1"/>
    </xf>
    <xf numFmtId="0" fontId="32" fillId="9" borderId="3" xfId="0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 wrapText="1"/>
      <protection locked="0"/>
    </xf>
    <xf numFmtId="0" fontId="6" fillId="3" borderId="20" xfId="0" applyFont="1" applyFill="1" applyBorder="1" applyAlignment="1" applyProtection="1">
      <alignment horizontal="center" vertical="center" wrapText="1"/>
      <protection locked="0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165" fontId="9" fillId="4" borderId="13" xfId="0" applyNumberFormat="1" applyFont="1" applyFill="1" applyBorder="1" applyAlignment="1" applyProtection="1">
      <alignment horizontal="left" vertical="center" wrapText="1"/>
      <protection locked="0"/>
    </xf>
    <xf numFmtId="165" fontId="6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6" fillId="6" borderId="13" xfId="0" applyFont="1" applyFill="1" applyBorder="1" applyAlignment="1" applyProtection="1">
      <alignment horizontal="center" vertical="center" wrapText="1"/>
      <protection locked="0"/>
    </xf>
    <xf numFmtId="0" fontId="6" fillId="6" borderId="36" xfId="0" applyFont="1" applyFill="1" applyBorder="1" applyAlignment="1" applyProtection="1">
      <alignment horizontal="center" vertical="center" wrapText="1"/>
      <protection locked="0"/>
    </xf>
    <xf numFmtId="0" fontId="6" fillId="3" borderId="6" xfId="3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left" vertical="top" wrapText="1"/>
    </xf>
    <xf numFmtId="0" fontId="21" fillId="5" borderId="11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6" fillId="6" borderId="11" xfId="0" applyFont="1" applyFill="1" applyBorder="1" applyAlignment="1">
      <alignment horizontal="left" vertical="top" wrapText="1"/>
    </xf>
    <xf numFmtId="0" fontId="5" fillId="5" borderId="11" xfId="0" applyFont="1" applyFill="1" applyBorder="1" applyAlignment="1">
      <alignment horizontal="left" vertical="top" wrapText="1"/>
    </xf>
    <xf numFmtId="0" fontId="23" fillId="6" borderId="11" xfId="0" applyFont="1" applyFill="1" applyBorder="1" applyAlignment="1">
      <alignment horizontal="left" vertical="top" wrapText="1"/>
    </xf>
    <xf numFmtId="0" fontId="21" fillId="6" borderId="4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14" fillId="5" borderId="11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/>
    </xf>
    <xf numFmtId="0" fontId="22" fillId="3" borderId="11" xfId="0" applyFont="1" applyFill="1" applyBorder="1" applyAlignment="1">
      <alignment horizontal="left" vertical="top"/>
    </xf>
    <xf numFmtId="0" fontId="5" fillId="5" borderId="21" xfId="0" applyFont="1" applyFill="1" applyBorder="1" applyAlignment="1">
      <alignment horizontal="left" vertical="top" wrapText="1"/>
    </xf>
    <xf numFmtId="0" fontId="21" fillId="5" borderId="5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34" fillId="5" borderId="11" xfId="0" applyFont="1" applyFill="1" applyBorder="1" applyAlignment="1">
      <alignment horizontal="left" vertical="top" wrapText="1"/>
    </xf>
    <xf numFmtId="0" fontId="5" fillId="5" borderId="24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2" xfId="0" applyFont="1" applyFill="1" applyBorder="1" applyAlignment="1">
      <alignment horizontal="left" vertical="top" wrapText="1"/>
    </xf>
    <xf numFmtId="0" fontId="2" fillId="9" borderId="11" xfId="0" applyFont="1" applyFill="1" applyBorder="1" applyAlignment="1">
      <alignment horizontal="left" vertical="top" wrapText="1"/>
    </xf>
    <xf numFmtId="0" fontId="2" fillId="5" borderId="2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2" fillId="5" borderId="22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21" fillId="5" borderId="2" xfId="0" applyFont="1" applyFill="1" applyBorder="1" applyAlignment="1">
      <alignment horizontal="left" vertical="top" wrapText="1"/>
    </xf>
    <xf numFmtId="0" fontId="6" fillId="3" borderId="11" xfId="3" applyFont="1" applyFill="1" applyAlignment="1">
      <alignment horizontal="left" vertical="top" wrapText="1"/>
    </xf>
    <xf numFmtId="0" fontId="23" fillId="6" borderId="5" xfId="0" applyFont="1" applyFill="1" applyBorder="1" applyAlignment="1">
      <alignment horizontal="left" vertical="top" wrapText="1"/>
    </xf>
    <xf numFmtId="0" fontId="23" fillId="6" borderId="6" xfId="0" applyFont="1" applyFill="1" applyBorder="1" applyAlignment="1">
      <alignment horizontal="left" vertical="top" wrapText="1"/>
    </xf>
    <xf numFmtId="0" fontId="14" fillId="6" borderId="11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34" borderId="8" xfId="0" applyFont="1" applyFill="1" applyBorder="1" applyAlignment="1">
      <alignment horizontal="left" vertical="top" wrapText="1"/>
    </xf>
    <xf numFmtId="0" fontId="6" fillId="9" borderId="11" xfId="0" applyFont="1" applyFill="1" applyBorder="1" applyAlignment="1">
      <alignment horizontal="left" vertical="top" wrapText="1"/>
    </xf>
    <xf numFmtId="0" fontId="6" fillId="5" borderId="21" xfId="0" applyFont="1" applyFill="1" applyBorder="1" applyAlignment="1">
      <alignment horizontal="left" vertical="top" wrapText="1"/>
    </xf>
    <xf numFmtId="0" fontId="6" fillId="5" borderId="22" xfId="0" applyFont="1" applyFill="1" applyBorder="1" applyAlignment="1">
      <alignment horizontal="left" vertical="top" wrapText="1"/>
    </xf>
    <xf numFmtId="0" fontId="6" fillId="10" borderId="0" xfId="0" applyFont="1" applyFill="1" applyAlignment="1">
      <alignment horizontal="left" vertical="top" wrapText="1"/>
    </xf>
    <xf numFmtId="0" fontId="2" fillId="5" borderId="11" xfId="0" applyFont="1" applyFill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3" fillId="6" borderId="22" xfId="0" applyFont="1" applyFill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" fillId="6" borderId="26" xfId="0" applyFont="1" applyFill="1" applyBorder="1" applyAlignment="1">
      <alignment horizontal="left" vertical="top" wrapText="1"/>
    </xf>
    <xf numFmtId="0" fontId="2" fillId="6" borderId="30" xfId="0" applyFont="1" applyFill="1" applyBorder="1" applyAlignment="1">
      <alignment horizontal="left" vertical="top" wrapText="1"/>
    </xf>
    <xf numFmtId="0" fontId="2" fillId="6" borderId="34" xfId="0" applyFont="1" applyFill="1" applyBorder="1" applyAlignment="1">
      <alignment horizontal="left" vertical="top" wrapText="1"/>
    </xf>
    <xf numFmtId="0" fontId="2" fillId="6" borderId="23" xfId="0" applyFont="1" applyFill="1" applyBorder="1" applyAlignment="1">
      <alignment horizontal="left" vertical="top" wrapText="1"/>
    </xf>
    <xf numFmtId="168" fontId="6" fillId="25" borderId="13" xfId="0" applyNumberFormat="1" applyFont="1" applyFill="1" applyBorder="1" applyAlignment="1">
      <alignment horizontal="right" vertical="center"/>
    </xf>
    <xf numFmtId="167" fontId="6" fillId="5" borderId="11" xfId="0" applyNumberFormat="1" applyFont="1" applyFill="1" applyBorder="1" applyAlignment="1">
      <alignment horizontal="right" vertical="center"/>
    </xf>
    <xf numFmtId="9" fontId="6" fillId="28" borderId="8" xfId="0" applyNumberFormat="1" applyFont="1" applyFill="1" applyBorder="1" applyAlignment="1">
      <alignment horizontal="right" vertical="center"/>
    </xf>
    <xf numFmtId="2" fontId="23" fillId="29" borderId="14" xfId="0" applyNumberFormat="1" applyFont="1" applyFill="1" applyBorder="1" applyAlignment="1">
      <alignment horizontal="right" vertical="center" wrapText="1"/>
    </xf>
    <xf numFmtId="168" fontId="6" fillId="6" borderId="11" xfId="0" applyNumberFormat="1" applyFont="1" applyFill="1" applyBorder="1" applyAlignment="1">
      <alignment horizontal="right" vertical="center"/>
    </xf>
    <xf numFmtId="49" fontId="6" fillId="5" borderId="11" xfId="0" applyNumberFormat="1" applyFont="1" applyFill="1" applyBorder="1" applyAlignment="1">
      <alignment horizontal="right" vertical="center"/>
    </xf>
    <xf numFmtId="9" fontId="6" fillId="5" borderId="11" xfId="0" applyNumberFormat="1" applyFont="1" applyFill="1" applyBorder="1" applyAlignment="1">
      <alignment horizontal="right" vertical="center"/>
    </xf>
    <xf numFmtId="1" fontId="6" fillId="5" borderId="11" xfId="0" applyNumberFormat="1" applyFont="1" applyFill="1" applyBorder="1" applyAlignment="1">
      <alignment horizontal="right" vertical="center"/>
    </xf>
    <xf numFmtId="168" fontId="6" fillId="5" borderId="11" xfId="0" applyNumberFormat="1" applyFont="1" applyFill="1" applyBorder="1" applyAlignment="1">
      <alignment horizontal="right" vertical="center"/>
    </xf>
    <xf numFmtId="0" fontId="2" fillId="4" borderId="21" xfId="0" applyFont="1" applyFill="1" applyBorder="1" applyAlignment="1">
      <alignment vertical="center"/>
    </xf>
    <xf numFmtId="0" fontId="2" fillId="4" borderId="22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6" fillId="24" borderId="13" xfId="0" applyFont="1" applyFill="1" applyBorder="1" applyAlignment="1">
      <alignment horizontal="center" vertical="center" wrapText="1"/>
    </xf>
    <xf numFmtId="165" fontId="6" fillId="2" borderId="13" xfId="0" applyNumberFormat="1" applyFont="1" applyFill="1" applyBorder="1" applyAlignment="1">
      <alignment horizontal="center" vertical="center"/>
    </xf>
    <xf numFmtId="0" fontId="6" fillId="25" borderId="13" xfId="0" applyFont="1" applyFill="1" applyBorder="1" applyAlignment="1">
      <alignment horizontal="center" vertical="center"/>
    </xf>
    <xf numFmtId="2" fontId="6" fillId="28" borderId="13" xfId="0" applyNumberFormat="1" applyFont="1" applyFill="1" applyBorder="1" applyAlignment="1">
      <alignment horizontal="center" vertical="center"/>
    </xf>
    <xf numFmtId="2" fontId="25" fillId="29" borderId="13" xfId="0" applyNumberFormat="1" applyFont="1" applyFill="1" applyBorder="1" applyAlignment="1">
      <alignment horizontal="center" vertical="center" wrapText="1"/>
    </xf>
    <xf numFmtId="2" fontId="6" fillId="9" borderId="11" xfId="0" applyNumberFormat="1" applyFont="1" applyFill="1" applyBorder="1" applyAlignment="1">
      <alignment vertical="center"/>
    </xf>
    <xf numFmtId="0" fontId="25" fillId="4" borderId="13" xfId="0" applyFont="1" applyFill="1" applyBorder="1" applyAlignment="1" applyProtection="1">
      <alignment horizontal="center" vertical="center" wrapText="1"/>
      <protection locked="0"/>
    </xf>
    <xf numFmtId="1" fontId="5" fillId="28" borderId="13" xfId="0" applyNumberFormat="1" applyFont="1" applyFill="1" applyBorder="1" applyAlignment="1">
      <alignment horizontal="center" vertical="center"/>
    </xf>
    <xf numFmtId="1" fontId="5" fillId="24" borderId="8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0" fontId="6" fillId="5" borderId="21" xfId="0" applyFont="1" applyFill="1" applyBorder="1" applyAlignment="1">
      <alignment vertical="center"/>
    </xf>
    <xf numFmtId="0" fontId="6" fillId="10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 wrapText="1"/>
    </xf>
    <xf numFmtId="0" fontId="6" fillId="5" borderId="21" xfId="0" applyFont="1" applyFill="1" applyBorder="1" applyAlignment="1">
      <alignment vertical="center" wrapText="1"/>
    </xf>
    <xf numFmtId="0" fontId="6" fillId="10" borderId="0" xfId="0" applyFont="1" applyFill="1" applyAlignment="1">
      <alignment vertical="center" wrapText="1"/>
    </xf>
    <xf numFmtId="2" fontId="6" fillId="9" borderId="1" xfId="0" applyNumberFormat="1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6" borderId="31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vertical="center"/>
    </xf>
    <xf numFmtId="0" fontId="6" fillId="8" borderId="11" xfId="0" applyFont="1" applyFill="1" applyBorder="1" applyAlignment="1">
      <alignment horizontal="center" vertical="center"/>
    </xf>
    <xf numFmtId="0" fontId="35" fillId="13" borderId="15" xfId="0" applyFont="1" applyFill="1" applyBorder="1" applyAlignment="1">
      <alignment vertical="center"/>
    </xf>
    <xf numFmtId="0" fontId="35" fillId="13" borderId="16" xfId="0" applyFont="1" applyFill="1" applyBorder="1" applyAlignment="1">
      <alignment vertical="center"/>
    </xf>
    <xf numFmtId="0" fontId="35" fillId="13" borderId="17" xfId="0" applyFont="1" applyFill="1" applyBorder="1" applyAlignment="1">
      <alignment vertical="center"/>
    </xf>
    <xf numFmtId="0" fontId="6" fillId="0" borderId="0" xfId="0" applyFont="1"/>
    <xf numFmtId="0" fontId="36" fillId="0" borderId="0" xfId="0" applyFont="1"/>
    <xf numFmtId="0" fontId="6" fillId="9" borderId="11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vertical="center"/>
    </xf>
    <xf numFmtId="0" fontId="6" fillId="9" borderId="0" xfId="0" applyFont="1" applyFill="1" applyAlignment="1">
      <alignment vertical="center"/>
    </xf>
    <xf numFmtId="0" fontId="6" fillId="10" borderId="0" xfId="0" applyFont="1" applyFill="1"/>
    <xf numFmtId="0" fontId="6" fillId="9" borderId="3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vertical="center"/>
    </xf>
    <xf numFmtId="2" fontId="6" fillId="11" borderId="11" xfId="0" applyNumberFormat="1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6" fillId="11" borderId="0" xfId="0" applyFont="1" applyFill="1" applyAlignment="1">
      <alignment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10" borderId="11" xfId="0" applyFont="1" applyFill="1" applyBorder="1"/>
    <xf numFmtId="0" fontId="6" fillId="9" borderId="0" xfId="0" applyFont="1" applyFill="1" applyAlignment="1">
      <alignment vertical="center" wrapText="1"/>
    </xf>
    <xf numFmtId="0" fontId="5" fillId="19" borderId="13" xfId="0" applyFont="1" applyFill="1" applyBorder="1" applyAlignment="1">
      <alignment vertical="center" wrapText="1"/>
    </xf>
    <xf numFmtId="0" fontId="5" fillId="19" borderId="13" xfId="0" applyFont="1" applyFill="1" applyBorder="1" applyAlignment="1">
      <alignment horizontal="center" vertical="center" wrapText="1"/>
    </xf>
    <xf numFmtId="164" fontId="5" fillId="19" borderId="13" xfId="0" applyNumberFormat="1" applyFont="1" applyFill="1" applyBorder="1" applyAlignment="1">
      <alignment horizontal="center" vertical="center" wrapText="1"/>
    </xf>
    <xf numFmtId="0" fontId="25" fillId="26" borderId="13" xfId="0" applyFont="1" applyFill="1" applyBorder="1" applyAlignment="1">
      <alignment horizontal="center" vertical="center" wrapText="1"/>
    </xf>
    <xf numFmtId="0" fontId="38" fillId="9" borderId="11" xfId="0" applyFont="1" applyFill="1" applyBorder="1" applyAlignment="1">
      <alignment vertical="center"/>
    </xf>
    <xf numFmtId="0" fontId="23" fillId="10" borderId="11" xfId="0" applyFont="1" applyFill="1" applyBorder="1"/>
    <xf numFmtId="166" fontId="6" fillId="17" borderId="11" xfId="0" applyNumberFormat="1" applyFont="1" applyFill="1" applyBorder="1" applyAlignment="1">
      <alignment horizontal="center" vertical="center" wrapText="1"/>
    </xf>
    <xf numFmtId="0" fontId="26" fillId="11" borderId="11" xfId="0" applyFont="1" applyFill="1" applyBorder="1" applyAlignment="1">
      <alignment vertical="center"/>
    </xf>
    <xf numFmtId="0" fontId="39" fillId="11" borderId="11" xfId="0" applyFont="1" applyFill="1" applyBorder="1" applyAlignment="1">
      <alignment vertical="center"/>
    </xf>
    <xf numFmtId="4" fontId="25" fillId="6" borderId="13" xfId="0" applyNumberFormat="1" applyFont="1" applyFill="1" applyBorder="1" applyAlignment="1" applyProtection="1">
      <alignment horizontal="right" vertical="center" wrapText="1"/>
      <protection locked="0"/>
    </xf>
    <xf numFmtId="169" fontId="6" fillId="2" borderId="13" xfId="0" applyNumberFormat="1" applyFont="1" applyFill="1" applyBorder="1" applyAlignment="1">
      <alignment horizontal="right" vertical="center" wrapText="1"/>
    </xf>
    <xf numFmtId="0" fontId="6" fillId="6" borderId="13" xfId="0" applyFont="1" applyFill="1" applyBorder="1" applyAlignment="1" applyProtection="1">
      <alignment horizontal="right" vertical="center" wrapText="1"/>
      <protection locked="0"/>
    </xf>
    <xf numFmtId="169" fontId="9" fillId="2" borderId="13" xfId="0" applyNumberFormat="1" applyFont="1" applyFill="1" applyBorder="1" applyAlignment="1">
      <alignment horizontal="right" vertical="center" wrapText="1"/>
    </xf>
    <xf numFmtId="0" fontId="6" fillId="3" borderId="13" xfId="0" applyFont="1" applyFill="1" applyBorder="1" applyAlignment="1" applyProtection="1">
      <alignment horizontal="right" vertical="center" wrapText="1"/>
      <protection locked="0"/>
    </xf>
    <xf numFmtId="0" fontId="6" fillId="3" borderId="36" xfId="0" applyFont="1" applyFill="1" applyBorder="1" applyAlignment="1" applyProtection="1">
      <alignment horizontal="right" vertical="center" wrapText="1"/>
      <protection locked="0"/>
    </xf>
    <xf numFmtId="169" fontId="5" fillId="25" borderId="13" xfId="0" applyNumberFormat="1" applyFont="1" applyFill="1" applyBorder="1" applyAlignment="1">
      <alignment horizontal="right" vertical="center"/>
    </xf>
    <xf numFmtId="169" fontId="6" fillId="28" borderId="13" xfId="0" applyNumberFormat="1" applyFont="1" applyFill="1" applyBorder="1" applyAlignment="1">
      <alignment horizontal="right" vertical="center"/>
    </xf>
    <xf numFmtId="169" fontId="6" fillId="25" borderId="13" xfId="0" applyNumberFormat="1" applyFont="1" applyFill="1" applyBorder="1" applyAlignment="1">
      <alignment horizontal="right" vertical="center"/>
    </xf>
    <xf numFmtId="0" fontId="6" fillId="6" borderId="11" xfId="0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top" wrapText="1"/>
    </xf>
    <xf numFmtId="0" fontId="21" fillId="5" borderId="11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6" fillId="3" borderId="5" xfId="3" applyFont="1" applyFill="1" applyBorder="1" applyAlignment="1">
      <alignment horizontal="left" vertical="top" wrapText="1"/>
    </xf>
    <xf numFmtId="0" fontId="6" fillId="3" borderId="6" xfId="3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23" fillId="6" borderId="5" xfId="0" applyFont="1" applyFill="1" applyBorder="1" applyAlignment="1">
      <alignment horizontal="left" vertical="top" wrapText="1"/>
    </xf>
    <xf numFmtId="0" fontId="23" fillId="6" borderId="6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5" fillId="5" borderId="11" xfId="0" applyFont="1" applyFill="1" applyBorder="1" applyAlignment="1">
      <alignment horizontal="left" vertical="top" wrapText="1"/>
    </xf>
    <xf numFmtId="0" fontId="23" fillId="6" borderId="11" xfId="0" applyFont="1" applyFill="1" applyBorder="1" applyAlignment="1">
      <alignment horizontal="left" vertical="top" wrapText="1"/>
    </xf>
    <xf numFmtId="0" fontId="26" fillId="6" borderId="11" xfId="0" applyFont="1" applyFill="1" applyBorder="1" applyAlignment="1">
      <alignment horizontal="left" vertical="top" wrapText="1"/>
    </xf>
    <xf numFmtId="0" fontId="17" fillId="7" borderId="15" xfId="0" applyFont="1" applyFill="1" applyBorder="1" applyAlignment="1">
      <alignment horizontal="left" vertical="center" wrapText="1"/>
    </xf>
    <xf numFmtId="0" fontId="17" fillId="7" borderId="16" xfId="0" applyFont="1" applyFill="1" applyBorder="1" applyAlignment="1">
      <alignment horizontal="left" vertical="center" wrapText="1"/>
    </xf>
    <xf numFmtId="0" fontId="17" fillId="7" borderId="17" xfId="0" applyFont="1" applyFill="1" applyBorder="1" applyAlignment="1">
      <alignment horizontal="left" vertical="center" wrapText="1"/>
    </xf>
    <xf numFmtId="0" fontId="2" fillId="5" borderId="19" xfId="0" applyFont="1" applyFill="1" applyBorder="1"/>
    <xf numFmtId="0" fontId="18" fillId="6" borderId="19" xfId="0" applyFont="1" applyFill="1" applyBorder="1"/>
    <xf numFmtId="0" fontId="20" fillId="13" borderId="15" xfId="0" applyFont="1" applyFill="1" applyBorder="1" applyAlignment="1">
      <alignment horizontal="left" vertical="center"/>
    </xf>
    <xf numFmtId="0" fontId="20" fillId="13" borderId="16" xfId="0" applyFont="1" applyFill="1" applyBorder="1" applyAlignment="1">
      <alignment horizontal="left" vertical="center"/>
    </xf>
    <xf numFmtId="0" fontId="20" fillId="13" borderId="17" xfId="0" applyFont="1" applyFill="1" applyBorder="1" applyAlignment="1">
      <alignment horizontal="left" vertical="center"/>
    </xf>
    <xf numFmtId="0" fontId="21" fillId="5" borderId="4" xfId="0" applyFont="1" applyFill="1" applyBorder="1" applyAlignment="1">
      <alignment horizontal="left" vertical="top" wrapText="1"/>
    </xf>
    <xf numFmtId="0" fontId="21" fillId="5" borderId="5" xfId="0" applyFont="1" applyFill="1" applyBorder="1" applyAlignment="1">
      <alignment horizontal="left" vertical="top" wrapText="1"/>
    </xf>
    <xf numFmtId="0" fontId="21" fillId="5" borderId="6" xfId="0" applyFont="1" applyFill="1" applyBorder="1" applyAlignment="1">
      <alignment horizontal="left" vertical="top" wrapText="1"/>
    </xf>
    <xf numFmtId="0" fontId="14" fillId="5" borderId="11" xfId="0" applyFont="1" applyFill="1" applyBorder="1" applyAlignment="1">
      <alignment horizontal="left" vertical="top" wrapText="1"/>
    </xf>
    <xf numFmtId="0" fontId="14" fillId="6" borderId="11" xfId="0" applyFont="1" applyFill="1" applyBorder="1" applyAlignment="1">
      <alignment horizontal="left" vertical="top" wrapText="1"/>
    </xf>
    <xf numFmtId="0" fontId="20" fillId="13" borderId="15" xfId="0" applyFont="1" applyFill="1" applyBorder="1" applyAlignment="1">
      <alignment horizontal="left" vertical="top" wrapText="1"/>
    </xf>
    <xf numFmtId="0" fontId="20" fillId="13" borderId="16" xfId="0" applyFont="1" applyFill="1" applyBorder="1" applyAlignment="1">
      <alignment horizontal="left" vertical="top" wrapText="1"/>
    </xf>
    <xf numFmtId="0" fontId="20" fillId="13" borderId="17" xfId="0" applyFont="1" applyFill="1" applyBorder="1" applyAlignment="1">
      <alignment horizontal="left" vertical="top" wrapText="1"/>
    </xf>
    <xf numFmtId="0" fontId="6" fillId="5" borderId="24" xfId="0" applyFont="1" applyFill="1" applyBorder="1" applyAlignment="1">
      <alignment horizontal="left" vertical="top" wrapText="1"/>
    </xf>
    <xf numFmtId="0" fontId="21" fillId="6" borderId="4" xfId="0" applyFont="1" applyFill="1" applyBorder="1" applyAlignment="1">
      <alignment horizontal="left" vertical="top" wrapText="1"/>
    </xf>
    <xf numFmtId="0" fontId="21" fillId="6" borderId="24" xfId="0" applyFont="1" applyFill="1" applyBorder="1" applyAlignment="1">
      <alignment horizontal="left" vertical="top" wrapText="1"/>
    </xf>
    <xf numFmtId="0" fontId="21" fillId="6" borderId="5" xfId="0" applyFont="1" applyFill="1" applyBorder="1" applyAlignment="1">
      <alignment horizontal="left" vertical="top" wrapText="1"/>
    </xf>
    <xf numFmtId="0" fontId="21" fillId="6" borderId="6" xfId="0" applyFont="1" applyFill="1" applyBorder="1" applyAlignment="1">
      <alignment horizontal="left" vertical="top" wrapText="1"/>
    </xf>
    <xf numFmtId="0" fontId="21" fillId="5" borderId="25" xfId="0" applyFont="1" applyFill="1" applyBorder="1" applyAlignment="1">
      <alignment horizontal="left" vertical="top" wrapText="1"/>
    </xf>
    <xf numFmtId="0" fontId="5" fillId="15" borderId="11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18" borderId="13" xfId="0" applyFont="1" applyFill="1" applyBorder="1" applyAlignment="1">
      <alignment horizontal="left" vertical="center"/>
    </xf>
    <xf numFmtId="0" fontId="26" fillId="23" borderId="13" xfId="0" applyFont="1" applyFill="1" applyBorder="1" applyAlignment="1">
      <alignment horizontal="left" vertical="center" wrapText="1"/>
    </xf>
    <xf numFmtId="165" fontId="5" fillId="19" borderId="13" xfId="0" applyNumberFormat="1" applyFont="1" applyFill="1" applyBorder="1" applyAlignment="1">
      <alignment horizontal="left" vertical="center"/>
    </xf>
    <xf numFmtId="0" fontId="6" fillId="4" borderId="13" xfId="0" applyFont="1" applyFill="1" applyBorder="1" applyAlignment="1" applyProtection="1">
      <alignment horizontal="center" vertical="center" wrapText="1"/>
      <protection locked="0"/>
    </xf>
    <xf numFmtId="0" fontId="35" fillId="13" borderId="15" xfId="0" applyFont="1" applyFill="1" applyBorder="1" applyAlignment="1">
      <alignment horizontal="left" vertical="center"/>
    </xf>
    <xf numFmtId="0" fontId="35" fillId="13" borderId="16" xfId="0" applyFont="1" applyFill="1" applyBorder="1" applyAlignment="1">
      <alignment horizontal="left" vertical="center"/>
    </xf>
    <xf numFmtId="0" fontId="35" fillId="13" borderId="17" xfId="0" applyFont="1" applyFill="1" applyBorder="1" applyAlignment="1">
      <alignment horizontal="left" vertical="center"/>
    </xf>
    <xf numFmtId="0" fontId="35" fillId="13" borderId="15" xfId="0" applyFont="1" applyFill="1" applyBorder="1" applyAlignment="1">
      <alignment vertical="center"/>
    </xf>
    <xf numFmtId="0" fontId="35" fillId="13" borderId="16" xfId="0" applyFont="1" applyFill="1" applyBorder="1" applyAlignment="1">
      <alignment vertical="center"/>
    </xf>
    <xf numFmtId="0" fontId="35" fillId="13" borderId="17" xfId="0" applyFont="1" applyFill="1" applyBorder="1" applyAlignment="1">
      <alignment vertical="center"/>
    </xf>
    <xf numFmtId="165" fontId="6" fillId="19" borderId="13" xfId="0" applyNumberFormat="1" applyFont="1" applyFill="1" applyBorder="1" applyAlignment="1">
      <alignment horizontal="left" vertical="center" wrapText="1"/>
    </xf>
    <xf numFmtId="0" fontId="23" fillId="20" borderId="13" xfId="0" applyFont="1" applyFill="1" applyBorder="1"/>
    <xf numFmtId="0" fontId="6" fillId="20" borderId="13" xfId="0" applyFont="1" applyFill="1" applyBorder="1"/>
    <xf numFmtId="0" fontId="25" fillId="19" borderId="13" xfId="0" applyFont="1" applyFill="1" applyBorder="1" applyAlignment="1">
      <alignment vertical="center" wrapText="1"/>
    </xf>
    <xf numFmtId="0" fontId="6" fillId="20" borderId="13" xfId="0" applyFont="1" applyFill="1" applyBorder="1" applyAlignment="1">
      <alignment wrapText="1"/>
    </xf>
    <xf numFmtId="0" fontId="5" fillId="19" borderId="13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vertical="center"/>
    </xf>
    <xf numFmtId="0" fontId="18" fillId="6" borderId="20" xfId="0" applyFont="1" applyFill="1" applyBorder="1" applyAlignment="1">
      <alignment vertical="center"/>
    </xf>
    <xf numFmtId="0" fontId="35" fillId="33" borderId="15" xfId="0" applyFont="1" applyFill="1" applyBorder="1" applyAlignment="1">
      <alignment horizontal="left" vertical="center"/>
    </xf>
    <xf numFmtId="0" fontId="35" fillId="33" borderId="16" xfId="0" applyFont="1" applyFill="1" applyBorder="1" applyAlignment="1">
      <alignment horizontal="left" vertical="center"/>
    </xf>
    <xf numFmtId="0" fontId="35" fillId="33" borderId="17" xfId="0" applyFont="1" applyFill="1" applyBorder="1" applyAlignment="1">
      <alignment horizontal="left" vertical="center"/>
    </xf>
    <xf numFmtId="0" fontId="33" fillId="5" borderId="11" xfId="0" applyFont="1" applyFill="1" applyBorder="1" applyAlignment="1">
      <alignment horizontal="left" vertical="center" wrapText="1"/>
    </xf>
    <xf numFmtId="0" fontId="6" fillId="28" borderId="15" xfId="0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 vertical="center" wrapText="1"/>
    </xf>
    <xf numFmtId="0" fontId="6" fillId="28" borderId="17" xfId="0" applyFont="1" applyFill="1" applyBorder="1" applyAlignment="1">
      <alignment horizontal="center" vertical="center" wrapText="1"/>
    </xf>
    <xf numFmtId="0" fontId="40" fillId="35" borderId="11" xfId="4" applyFont="1" applyFill="1" applyAlignment="1">
      <alignment horizontal="right" vertical="center"/>
    </xf>
    <xf numFmtId="0" fontId="40" fillId="35" borderId="11" xfId="5" applyFont="1" applyFill="1" applyAlignment="1">
      <alignment horizontal="right" vertical="center"/>
    </xf>
  </cellXfs>
  <cellStyles count="6">
    <cellStyle name="Comma" xfId="1" builtinId="3"/>
    <cellStyle name="Normal" xfId="0" builtinId="0"/>
    <cellStyle name="Normal 2" xfId="3" xr:uid="{9DA15998-7E8D-4FAD-B840-5C699DE94FC5}"/>
    <cellStyle name="Normal 2 2" xfId="5" xr:uid="{FF5E53A8-72DD-4DC3-A834-9FD8DF2D3433}"/>
    <cellStyle name="Normal 2 2 2" xfId="4" xr:uid="{FA1C630F-5198-4F8F-B02D-3087899B08EA}"/>
    <cellStyle name="Percent" xfId="2" builtinId="5"/>
  </cellStyles>
  <dxfs count="30">
    <dxf>
      <font>
        <color rgb="FFF2F2F2"/>
      </font>
      <fill>
        <patternFill patternType="solid">
          <fgColor rgb="FFF2F2F2"/>
          <bgColor rgb="FFF2F2F2"/>
        </patternFill>
      </fill>
    </dxf>
    <dxf>
      <font>
        <strike val="0"/>
        <color theme="1"/>
      </font>
      <fill>
        <patternFill>
          <fgColor rgb="FFB6B7B8"/>
          <bgColor rgb="FFB6B7B8"/>
        </patternFill>
      </fill>
    </dxf>
    <dxf>
      <font>
        <color rgb="FFB6B7B8"/>
      </font>
      <fill>
        <patternFill>
          <bgColor rgb="FFB6B7B8"/>
        </patternFill>
      </fill>
    </dxf>
    <dxf>
      <font>
        <color rgb="FFF2F2F2"/>
      </font>
      <fill>
        <patternFill patternType="solid">
          <fgColor rgb="FFF2F2F2"/>
          <bgColor rgb="FFF2F2F2"/>
        </patternFill>
      </fill>
    </dxf>
    <dxf>
      <font>
        <color rgb="FFF2F2F2"/>
      </font>
      <fill>
        <patternFill patternType="solid">
          <fgColor rgb="FFF2F2F2"/>
          <bgColor rgb="FFF2F2F2"/>
        </patternFill>
      </fill>
    </dxf>
    <dxf>
      <font>
        <color rgb="FFF2F2F2"/>
      </font>
      <fill>
        <patternFill patternType="solid">
          <fgColor rgb="FFF2F2F2"/>
          <bgColor rgb="FFF2F2F2"/>
        </patternFill>
      </fill>
    </dxf>
    <dxf>
      <fill>
        <patternFill>
          <bgColor rgb="FFFFCCCC"/>
        </patternFill>
      </fill>
    </dxf>
    <dxf>
      <font>
        <color rgb="FFF2F2F2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0.0%_);\(0.0%\);;@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numFmt numFmtId="170" formatCode="0.0%_);\(0.0%\);;@"/>
      <fill>
        <patternFill patternType="solid">
          <fgColor theme="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99999"/>
        </left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0.0%_);\(0.0%\);;@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numFmt numFmtId="170" formatCode="0.0%_);\(0.0%\);;@"/>
      <fill>
        <patternFill patternType="solid">
          <fgColor theme="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99999"/>
        </left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0.0%_);\(0.0%\);;@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numFmt numFmtId="169" formatCode="#,##0_);\(#,##0\);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9" formatCode="#,##0_);\(#,##0\);;@"/>
      <fill>
        <patternFill patternType="solid">
          <fgColor rgb="FFF2F2F2"/>
          <bgColor rgb="FFF2F2F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fill>
        <patternFill patternType="solid">
          <fgColor theme="0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fill>
        <patternFill patternType="solid">
          <fgColor theme="0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rgb="FF99999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999999"/>
        </top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>
          <bgColor rgb="FFF7F8F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>
          <bgColor rgb="FFF7F8F6"/>
        </patternFill>
      </fill>
      <alignment horizontal="center" vertical="center" textRotation="0" indent="0" justifyLastLine="0" shrinkToFit="0" readingOrder="0"/>
    </dxf>
    <dxf>
      <border outline="0"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DDDDD"/>
          <bgColor rgb="FFB6B7B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6B7B8"/>
      <color rgb="FFF7F8F6"/>
      <color rgb="FFC75127"/>
      <color rgb="FF7F7F7F"/>
      <color rgb="FFF2F2F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900056</xdr:colOff>
      <xdr:row>1</xdr:row>
      <xdr:rowOff>503368</xdr:rowOff>
    </xdr:from>
    <xdr:to>
      <xdr:col>7</xdr:col>
      <xdr:colOff>783360</xdr:colOff>
      <xdr:row>1</xdr:row>
      <xdr:rowOff>791488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4D289B-9A01-CC43-B0C3-EA53CE682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2480" y="736450"/>
          <a:ext cx="878386" cy="288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233763</xdr:colOff>
      <xdr:row>1</xdr:row>
      <xdr:rowOff>426930</xdr:rowOff>
    </xdr:from>
    <xdr:to>
      <xdr:col>9</xdr:col>
      <xdr:colOff>1140052</xdr:colOff>
      <xdr:row>1</xdr:row>
      <xdr:rowOff>726480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6EAC78-7B1E-F94D-9BBD-0C1857AD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528" y="677942"/>
          <a:ext cx="906289" cy="29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489857</xdr:colOff>
      <xdr:row>1</xdr:row>
      <xdr:rowOff>689429</xdr:rowOff>
    </xdr:from>
    <xdr:to>
      <xdr:col>11</xdr:col>
      <xdr:colOff>585432</xdr:colOff>
      <xdr:row>1</xdr:row>
      <xdr:rowOff>988979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16EA6-4455-C54B-A50C-9A08F5EC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4714" y="943429"/>
          <a:ext cx="912004" cy="29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802822</xdr:colOff>
      <xdr:row>1</xdr:row>
      <xdr:rowOff>471714</xdr:rowOff>
    </xdr:from>
    <xdr:to>
      <xdr:col>8</xdr:col>
      <xdr:colOff>822702</xdr:colOff>
      <xdr:row>1</xdr:row>
      <xdr:rowOff>771264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104BA-C176-F148-B98E-1187174A9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2251" y="725714"/>
          <a:ext cx="917951" cy="299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75EAD-B55A-4EEB-ACAD-E80C32653907}" name="table_renewsummary" displayName="table_renewsummary" ref="B34:J144" headerRowDxfId="29" dataDxfId="27" totalsRowDxfId="25" headerRowBorderDxfId="28" tableBorderDxfId="26" totalsRowBorderDxfId="24">
  <autoFilter ref="B34:J144" xr:uid="{F7B75EAD-B55A-4EEB-ACAD-E80C326539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B60284-F384-41A9-A17D-A853C13DA80F}" name="4name" totalsRowLabel="Total Tier 1 + Tier 2 + Tier 3 (not accounting for energy source eligibility)" dataDxfId="23"/>
    <tableColumn id="2" xr3:uid="{42D46AB9-B948-41CE-85CA-56C0AFE5A1D2}" name="4cat" dataDxfId="22" totalsRowDxfId="21"/>
    <tableColumn id="3" xr3:uid="{386490AE-6EDD-4542-B554-CA6018CE74B1}" name="4offset" dataDxfId="20" totalsRowDxfId="19"/>
    <tableColumn id="4" xr3:uid="{69C5F747-DDE3-452E-B65B-D74FEC44BA4E}" name="4qty" dataDxfId="18" totalsRowDxfId="17"/>
    <tableColumn id="5" xr3:uid="{F05CFAD9-4E3C-421E-9E79-F30BFBEF91DB}" name="4units" dataDxfId="16" totalsRowDxfId="15"/>
    <tableColumn id="6" xr3:uid="{A074A655-8213-4D76-B53F-009E5C4B1FC4}" name="4qty_calc" totalsRowFunction="sum" dataDxfId="14" totalsRowDxfId="13">
      <calculatedColumnFormula>IFERROR(table_renewsummary[[#This Row],[4qty]]*INDEX(unitsTable,MATCH(table_renewsummary[[#This Row],[4units]],INDEX(unitsTable,0,1),0),2),0)</calculatedColumnFormula>
    </tableColumn>
    <tableColumn id="7" xr3:uid="{FA2EB9FE-DB35-4363-9C84-9ED369EFC778}" name="4per_elec" totalsRowFunction="custom" dataDxfId="12" totalsRowDxfId="11">
      <calculatedColumnFormula>IFERROR(IF(table_renewsummary[[#This Row],[4offset]]="Electricity",(table_renewsummary[[#This Row],[4qty_calc]]/(IF(projectType="BD+C:Core and Shell",$E$28,$F$28))),0),0)</calculatedColumnFormula>
      <totalsRowFormula>SUM(table_renewsummary[4per_elec])</totalsRowFormula>
    </tableColumn>
    <tableColumn id="8" xr3:uid="{C6091FA9-602B-4B50-BA6F-9668CEAD4BD5}" name="4per_fuel" totalsRowFunction="custom" dataDxfId="10" totalsRowDxfId="9">
      <calculatedColumnFormula>IFERROR(IF(table_renewsummary[[#This Row],[4offset]]="Fuel(s)",(table_renewsummary[[#This Row],[4qty_calc]]/(IF(projectType="BD+C:Core and Shell",$E$29,$F$29))),0),0)</calculatedColumnFormula>
      <totalsRowFormula>SUM(table_renewsummary[4per_fuel])</totalsRowFormula>
    </tableColumn>
    <tableColumn id="9" xr3:uid="{76F3408D-4B88-4E60-8201-798BB63A1440}" name="4per_site" totalsRowFunction="custom" dataDxfId="8">
      <calculatedColumnFormula>IFERROR(table_renewsummary[[#This Row],[4qty_calc]]/$F$27,0)</calculatedColumnFormula>
      <totalsRowFormula>SUM(table_renewsummary[4per_site])</totalsRow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50C3-BE85-40DA-BD87-651910A6C385}">
  <dimension ref="A1:CL1067"/>
  <sheetViews>
    <sheetView showGridLines="0" tabSelected="1" zoomScale="90" zoomScaleNormal="90" workbookViewId="0"/>
  </sheetViews>
  <sheetFormatPr defaultColWidth="14.44140625" defaultRowHeight="15" customHeight="1" x14ac:dyDescent="0.25"/>
  <cols>
    <col min="1" max="1" width="3.77734375" style="4" customWidth="1"/>
    <col min="2" max="5" width="4.33203125" style="4" customWidth="1"/>
    <col min="6" max="6" width="90" style="4" customWidth="1"/>
    <col min="7" max="16384" width="14.44140625" style="4"/>
  </cols>
  <sheetData>
    <row r="1" spans="1:90" ht="19.8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90" s="5" customFormat="1" ht="97.8" customHeight="1" x14ac:dyDescent="0.3">
      <c r="A2" s="1"/>
      <c r="B2" s="290" t="s">
        <v>296</v>
      </c>
      <c r="C2" s="291"/>
      <c r="D2" s="291"/>
      <c r="E2" s="291"/>
      <c r="F2" s="291"/>
      <c r="G2" s="291"/>
      <c r="H2" s="292"/>
      <c r="I2" s="2"/>
      <c r="J2" s="2"/>
      <c r="K2" s="2"/>
      <c r="L2" s="2"/>
      <c r="M2" s="2"/>
      <c r="N2" s="2"/>
      <c r="O2" s="2"/>
    </row>
    <row r="3" spans="1:90" ht="18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</row>
    <row r="4" spans="1:90" ht="18" customHeight="1" x14ac:dyDescent="0.3">
      <c r="A4" s="7"/>
      <c r="B4" s="9"/>
      <c r="C4" s="293"/>
      <c r="D4" s="294"/>
      <c r="E4" s="294"/>
      <c r="F4" s="294"/>
      <c r="G4" s="10"/>
      <c r="H4" s="11"/>
      <c r="I4" s="7"/>
      <c r="J4" s="7"/>
      <c r="K4" s="7"/>
      <c r="L4" s="7"/>
      <c r="M4" s="7"/>
      <c r="N4" s="7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</row>
    <row r="5" spans="1:90" s="5" customFormat="1" ht="18" customHeight="1" x14ac:dyDescent="0.3">
      <c r="A5" s="1"/>
      <c r="B5" s="12"/>
      <c r="C5" s="295" t="s">
        <v>0</v>
      </c>
      <c r="D5" s="296"/>
      <c r="E5" s="296"/>
      <c r="F5" s="296"/>
      <c r="G5" s="297"/>
      <c r="H5" s="13"/>
      <c r="I5" s="8"/>
      <c r="J5" s="8"/>
      <c r="K5" s="8"/>
      <c r="L5" s="8"/>
      <c r="M5" s="8"/>
      <c r="N5" s="8"/>
      <c r="O5" s="8"/>
    </row>
    <row r="6" spans="1:90" s="178" customFormat="1" ht="18" customHeight="1" x14ac:dyDescent="0.3">
      <c r="A6" s="174"/>
      <c r="B6" s="175"/>
      <c r="C6" s="176"/>
      <c r="D6" s="176"/>
      <c r="E6" s="176"/>
      <c r="F6" s="176"/>
      <c r="G6" s="176"/>
      <c r="H6" s="177"/>
      <c r="I6" s="174"/>
      <c r="J6" s="174"/>
      <c r="K6" s="174"/>
      <c r="L6" s="174"/>
      <c r="M6" s="174"/>
      <c r="N6" s="174"/>
      <c r="O6" s="174"/>
      <c r="P6" s="174"/>
      <c r="Q6" s="174"/>
      <c r="AC6" s="174"/>
      <c r="AO6" s="174"/>
      <c r="BA6" s="174"/>
      <c r="BM6" s="174"/>
      <c r="BY6" s="174"/>
      <c r="CK6" s="174"/>
    </row>
    <row r="7" spans="1:90" s="178" customFormat="1" ht="18" customHeight="1" x14ac:dyDescent="0.3">
      <c r="A7" s="174"/>
      <c r="B7" s="175"/>
      <c r="C7" s="179"/>
      <c r="D7" s="298" t="s">
        <v>1</v>
      </c>
      <c r="E7" s="299"/>
      <c r="F7" s="299"/>
      <c r="G7" s="300"/>
      <c r="H7" s="177"/>
      <c r="I7" s="174"/>
      <c r="J7" s="174"/>
      <c r="K7" s="174"/>
      <c r="L7" s="174"/>
      <c r="M7" s="174"/>
      <c r="N7" s="174"/>
      <c r="O7" s="174"/>
      <c r="P7" s="174"/>
      <c r="Q7" s="174"/>
    </row>
    <row r="8" spans="1:90" s="178" customFormat="1" ht="18" customHeight="1" x14ac:dyDescent="0.3">
      <c r="A8" s="174"/>
      <c r="B8" s="175"/>
      <c r="C8" s="160"/>
      <c r="D8" s="180" t="s">
        <v>141</v>
      </c>
      <c r="E8" s="279" t="s">
        <v>258</v>
      </c>
      <c r="F8" s="279"/>
      <c r="G8" s="280"/>
      <c r="H8" s="177"/>
      <c r="I8" s="174"/>
      <c r="J8" s="174"/>
      <c r="K8" s="174"/>
      <c r="L8" s="174"/>
      <c r="M8" s="174"/>
      <c r="N8" s="174"/>
      <c r="O8" s="174"/>
      <c r="P8" s="174"/>
      <c r="Q8" s="174"/>
    </row>
    <row r="9" spans="1:90" s="178" customFormat="1" ht="18" customHeight="1" x14ac:dyDescent="0.3">
      <c r="A9" s="174"/>
      <c r="B9" s="175"/>
      <c r="C9" s="160"/>
      <c r="D9" s="180"/>
      <c r="E9" s="279" t="s">
        <v>259</v>
      </c>
      <c r="F9" s="279"/>
      <c r="G9" s="280"/>
      <c r="H9" s="177"/>
      <c r="I9" s="174"/>
      <c r="J9" s="174"/>
      <c r="K9" s="174"/>
      <c r="L9" s="174"/>
      <c r="M9" s="174"/>
      <c r="N9" s="174"/>
      <c r="O9" s="174"/>
      <c r="P9" s="174"/>
      <c r="Q9" s="174"/>
    </row>
    <row r="10" spans="1:90" s="178" customFormat="1" ht="18" customHeight="1" x14ac:dyDescent="0.3">
      <c r="A10" s="174"/>
      <c r="B10" s="175"/>
      <c r="C10" s="160"/>
      <c r="D10" s="180" t="s">
        <v>141</v>
      </c>
      <c r="E10" s="279" t="s">
        <v>161</v>
      </c>
      <c r="F10" s="279"/>
      <c r="G10" s="280"/>
      <c r="H10" s="177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90" s="178" customFormat="1" ht="18" customHeight="1" x14ac:dyDescent="0.3">
      <c r="A11" s="174"/>
      <c r="B11" s="175"/>
      <c r="C11" s="160"/>
      <c r="D11" s="180"/>
      <c r="E11" s="136"/>
      <c r="F11" s="279" t="s">
        <v>279</v>
      </c>
      <c r="G11" s="280"/>
      <c r="H11" s="177"/>
      <c r="I11" s="174"/>
      <c r="J11" s="174"/>
      <c r="K11" s="174"/>
      <c r="L11" s="174"/>
      <c r="M11" s="174"/>
      <c r="N11" s="174"/>
      <c r="O11" s="174"/>
      <c r="P11" s="174"/>
      <c r="Q11" s="174"/>
    </row>
    <row r="12" spans="1:90" s="178" customFormat="1" ht="18" customHeight="1" x14ac:dyDescent="0.3">
      <c r="A12" s="174"/>
      <c r="B12" s="175"/>
      <c r="C12" s="160"/>
      <c r="D12" s="180"/>
      <c r="E12" s="136"/>
      <c r="F12" s="279" t="s">
        <v>280</v>
      </c>
      <c r="G12" s="280"/>
      <c r="H12" s="177"/>
      <c r="I12" s="174"/>
      <c r="J12" s="174"/>
      <c r="K12" s="174"/>
      <c r="L12" s="174"/>
      <c r="M12" s="174"/>
      <c r="N12" s="174"/>
      <c r="O12" s="174"/>
      <c r="P12" s="174"/>
      <c r="Q12" s="174"/>
    </row>
    <row r="13" spans="1:90" s="178" customFormat="1" ht="18" customHeight="1" x14ac:dyDescent="0.3">
      <c r="A13" s="174"/>
      <c r="B13" s="175"/>
      <c r="C13" s="160"/>
      <c r="D13" s="180"/>
      <c r="E13" s="136"/>
      <c r="F13" s="279" t="s">
        <v>284</v>
      </c>
      <c r="G13" s="280"/>
      <c r="H13" s="177"/>
      <c r="I13" s="174"/>
      <c r="J13" s="174"/>
      <c r="K13" s="174"/>
      <c r="L13" s="174"/>
      <c r="M13" s="174"/>
      <c r="N13" s="174"/>
      <c r="O13" s="174"/>
      <c r="P13" s="174"/>
      <c r="Q13" s="174"/>
    </row>
    <row r="14" spans="1:90" s="178" customFormat="1" ht="18" customHeight="1" x14ac:dyDescent="0.3">
      <c r="A14" s="174"/>
      <c r="B14" s="175"/>
      <c r="C14" s="160"/>
      <c r="D14" s="180"/>
      <c r="E14" s="136"/>
      <c r="F14" s="136" t="s">
        <v>265</v>
      </c>
      <c r="G14" s="150"/>
      <c r="H14" s="177"/>
      <c r="I14" s="174"/>
      <c r="J14" s="174"/>
      <c r="K14" s="174"/>
      <c r="L14" s="174"/>
      <c r="M14" s="174"/>
      <c r="N14" s="174"/>
      <c r="O14" s="174"/>
      <c r="P14" s="174"/>
      <c r="Q14" s="174"/>
    </row>
    <row r="15" spans="1:90" s="178" customFormat="1" ht="18" customHeight="1" x14ac:dyDescent="0.3">
      <c r="A15" s="174"/>
      <c r="B15" s="175"/>
      <c r="C15" s="160"/>
      <c r="D15" s="180"/>
      <c r="E15" s="136"/>
      <c r="F15" s="136" t="s">
        <v>266</v>
      </c>
      <c r="G15" s="150"/>
      <c r="H15" s="177"/>
      <c r="I15" s="174"/>
      <c r="J15" s="174"/>
      <c r="K15" s="174"/>
      <c r="L15" s="174"/>
      <c r="M15" s="174"/>
      <c r="N15" s="174"/>
      <c r="O15" s="174"/>
      <c r="P15" s="174"/>
      <c r="Q15" s="174"/>
    </row>
    <row r="16" spans="1:90" s="178" customFormat="1" ht="18" customHeight="1" x14ac:dyDescent="0.3">
      <c r="A16" s="174"/>
      <c r="B16" s="175"/>
      <c r="C16" s="160"/>
      <c r="D16" s="180"/>
      <c r="E16" s="136"/>
      <c r="F16" s="136" t="s">
        <v>267</v>
      </c>
      <c r="G16" s="150"/>
      <c r="H16" s="177"/>
      <c r="I16" s="174"/>
      <c r="J16" s="174"/>
      <c r="K16" s="174"/>
      <c r="L16" s="174"/>
      <c r="M16" s="174"/>
      <c r="N16" s="174"/>
      <c r="O16" s="174"/>
      <c r="P16" s="174"/>
      <c r="Q16" s="174"/>
    </row>
    <row r="17" spans="1:17" s="178" customFormat="1" ht="18" customHeight="1" x14ac:dyDescent="0.3">
      <c r="A17" s="174"/>
      <c r="B17" s="175"/>
      <c r="C17" s="160"/>
      <c r="D17" s="180"/>
      <c r="E17" s="136"/>
      <c r="F17" s="136" t="s">
        <v>268</v>
      </c>
      <c r="G17" s="150"/>
      <c r="H17" s="177"/>
      <c r="I17" s="174"/>
      <c r="J17" s="174"/>
      <c r="K17" s="174"/>
      <c r="L17" s="174"/>
      <c r="M17" s="174"/>
      <c r="N17" s="174"/>
      <c r="O17" s="174"/>
      <c r="P17" s="174"/>
      <c r="Q17" s="174"/>
    </row>
    <row r="18" spans="1:17" s="178" customFormat="1" ht="18" customHeight="1" x14ac:dyDescent="0.3">
      <c r="A18" s="174"/>
      <c r="B18" s="175"/>
      <c r="C18" s="160"/>
      <c r="D18" s="180"/>
      <c r="E18" s="136"/>
      <c r="F18" s="279" t="s">
        <v>269</v>
      </c>
      <c r="G18" s="280"/>
      <c r="H18" s="177"/>
      <c r="I18" s="174"/>
      <c r="J18" s="174"/>
      <c r="K18" s="174"/>
      <c r="L18" s="174"/>
      <c r="M18" s="174"/>
      <c r="N18" s="174"/>
      <c r="O18" s="174"/>
      <c r="P18" s="174"/>
      <c r="Q18" s="174"/>
    </row>
    <row r="19" spans="1:17" s="178" customFormat="1" ht="18" customHeight="1" x14ac:dyDescent="0.3">
      <c r="A19" s="174"/>
      <c r="B19" s="175"/>
      <c r="C19" s="160"/>
      <c r="D19" s="180"/>
      <c r="E19" s="136"/>
      <c r="F19" s="279" t="s">
        <v>281</v>
      </c>
      <c r="G19" s="280"/>
      <c r="H19" s="177"/>
      <c r="I19" s="174"/>
      <c r="J19" s="174"/>
      <c r="K19" s="174"/>
      <c r="L19" s="174"/>
      <c r="M19" s="174"/>
      <c r="N19" s="174"/>
      <c r="O19" s="174"/>
      <c r="P19" s="174"/>
      <c r="Q19" s="174"/>
    </row>
    <row r="20" spans="1:17" s="178" customFormat="1" ht="18" customHeight="1" x14ac:dyDescent="0.3">
      <c r="A20" s="174"/>
      <c r="B20" s="175"/>
      <c r="C20" s="160"/>
      <c r="D20" s="180"/>
      <c r="E20" s="136"/>
      <c r="F20" s="279" t="s">
        <v>282</v>
      </c>
      <c r="G20" s="280"/>
      <c r="H20" s="177"/>
      <c r="I20" s="174"/>
      <c r="J20" s="174"/>
      <c r="K20" s="174"/>
      <c r="L20" s="174"/>
      <c r="M20" s="174"/>
      <c r="N20" s="174"/>
      <c r="O20" s="174"/>
      <c r="P20" s="174"/>
      <c r="Q20" s="174"/>
    </row>
    <row r="21" spans="1:17" s="178" customFormat="1" ht="18" customHeight="1" x14ac:dyDescent="0.3">
      <c r="A21" s="174"/>
      <c r="B21" s="175"/>
      <c r="C21" s="160"/>
      <c r="D21" s="180"/>
      <c r="E21" s="136"/>
      <c r="F21" s="279" t="s">
        <v>283</v>
      </c>
      <c r="G21" s="280"/>
      <c r="H21" s="177"/>
      <c r="I21" s="174"/>
      <c r="J21" s="174"/>
      <c r="K21" s="174"/>
      <c r="L21" s="174"/>
      <c r="M21" s="174"/>
      <c r="N21" s="174"/>
      <c r="O21" s="174"/>
      <c r="P21" s="174"/>
      <c r="Q21" s="174"/>
    </row>
    <row r="22" spans="1:17" s="178" customFormat="1" ht="18" customHeight="1" x14ac:dyDescent="0.3">
      <c r="A22" s="174"/>
      <c r="B22" s="175"/>
      <c r="C22" s="160"/>
      <c r="D22" s="180"/>
      <c r="E22" s="136"/>
      <c r="F22" s="136" t="s">
        <v>270</v>
      </c>
      <c r="G22" s="150"/>
      <c r="H22" s="177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s="178" customFormat="1" ht="18" customHeight="1" x14ac:dyDescent="0.3">
      <c r="A23" s="174"/>
      <c r="B23" s="175"/>
      <c r="C23" s="160"/>
      <c r="D23" s="180"/>
      <c r="E23" s="136"/>
      <c r="F23" s="136" t="s">
        <v>271</v>
      </c>
      <c r="G23" s="150"/>
      <c r="H23" s="177"/>
      <c r="I23" s="174"/>
      <c r="J23" s="174"/>
      <c r="K23" s="174"/>
      <c r="L23" s="174"/>
      <c r="M23" s="174"/>
      <c r="N23" s="174"/>
      <c r="O23" s="174"/>
      <c r="P23" s="174"/>
      <c r="Q23" s="174"/>
    </row>
    <row r="24" spans="1:17" s="178" customFormat="1" ht="18" customHeight="1" x14ac:dyDescent="0.3">
      <c r="A24" s="174"/>
      <c r="B24" s="175"/>
      <c r="C24" s="160"/>
      <c r="D24" s="180"/>
      <c r="E24" s="136"/>
      <c r="F24" s="136" t="s">
        <v>272</v>
      </c>
      <c r="G24" s="150"/>
      <c r="H24" s="177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s="178" customFormat="1" ht="18" customHeight="1" x14ac:dyDescent="0.3">
      <c r="A25" s="174"/>
      <c r="B25" s="175"/>
      <c r="C25" s="160"/>
      <c r="D25" s="180"/>
      <c r="E25" s="136"/>
      <c r="F25" s="136" t="s">
        <v>273</v>
      </c>
      <c r="G25" s="150"/>
      <c r="H25" s="177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7" s="178" customFormat="1" ht="18" customHeight="1" x14ac:dyDescent="0.3">
      <c r="A26" s="174"/>
      <c r="B26" s="175"/>
      <c r="C26" s="160"/>
      <c r="D26" s="180"/>
      <c r="E26" s="136"/>
      <c r="F26" s="279" t="s">
        <v>278</v>
      </c>
      <c r="G26" s="280"/>
      <c r="H26" s="177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1:17" s="178" customFormat="1" ht="18" customHeight="1" x14ac:dyDescent="0.3">
      <c r="A27" s="174"/>
      <c r="B27" s="175"/>
      <c r="C27" s="160"/>
      <c r="D27" s="180"/>
      <c r="E27" s="136"/>
      <c r="F27" s="279" t="s">
        <v>260</v>
      </c>
      <c r="G27" s="280"/>
      <c r="H27" s="177"/>
      <c r="I27" s="174"/>
      <c r="J27" s="174"/>
      <c r="K27" s="174"/>
      <c r="L27" s="174"/>
      <c r="M27" s="174"/>
      <c r="N27" s="174"/>
      <c r="O27" s="174"/>
      <c r="P27" s="174"/>
      <c r="Q27" s="174"/>
    </row>
    <row r="28" spans="1:17" s="178" customFormat="1" ht="18" customHeight="1" x14ac:dyDescent="0.3">
      <c r="A28" s="174"/>
      <c r="B28" s="175"/>
      <c r="C28" s="160"/>
      <c r="D28" s="180" t="s">
        <v>141</v>
      </c>
      <c r="E28" s="282" t="s">
        <v>285</v>
      </c>
      <c r="F28" s="282"/>
      <c r="G28" s="283"/>
      <c r="H28" s="177"/>
      <c r="I28" s="174"/>
      <c r="J28" s="174"/>
      <c r="K28" s="174"/>
      <c r="L28" s="174"/>
      <c r="M28" s="174"/>
      <c r="N28" s="174"/>
      <c r="O28" s="174"/>
      <c r="P28" s="174"/>
      <c r="Q28" s="174"/>
    </row>
    <row r="29" spans="1:17" s="178" customFormat="1" ht="18" customHeight="1" x14ac:dyDescent="0.3">
      <c r="A29" s="174"/>
      <c r="B29" s="175"/>
      <c r="C29" s="160"/>
      <c r="D29" s="180"/>
      <c r="E29" s="281" t="s">
        <v>287</v>
      </c>
      <c r="F29" s="282"/>
      <c r="G29" s="283"/>
      <c r="H29" s="177"/>
      <c r="I29" s="174"/>
      <c r="J29" s="174"/>
      <c r="K29" s="174"/>
      <c r="L29" s="174"/>
      <c r="M29" s="174"/>
      <c r="N29" s="174"/>
      <c r="O29" s="174"/>
      <c r="P29" s="174"/>
      <c r="Q29" s="174"/>
    </row>
    <row r="30" spans="1:17" s="178" customFormat="1" ht="18" customHeight="1" x14ac:dyDescent="0.3">
      <c r="A30" s="174"/>
      <c r="B30" s="175"/>
      <c r="C30" s="160"/>
      <c r="D30" s="180"/>
      <c r="E30" s="281" t="s">
        <v>286</v>
      </c>
      <c r="F30" s="282"/>
      <c r="G30" s="283"/>
      <c r="H30" s="177"/>
      <c r="I30" s="174"/>
      <c r="J30" s="174"/>
      <c r="K30" s="174"/>
      <c r="L30" s="174"/>
      <c r="M30" s="174"/>
      <c r="N30" s="174"/>
      <c r="O30" s="174"/>
      <c r="P30" s="174"/>
      <c r="Q30" s="174"/>
    </row>
    <row r="31" spans="1:17" s="178" customFormat="1" ht="18" customHeight="1" x14ac:dyDescent="0.3">
      <c r="A31" s="174"/>
      <c r="B31" s="175"/>
      <c r="C31" s="160"/>
      <c r="D31" s="180" t="s">
        <v>141</v>
      </c>
      <c r="E31" s="282" t="s">
        <v>261</v>
      </c>
      <c r="F31" s="282"/>
      <c r="G31" s="283"/>
      <c r="H31" s="177"/>
      <c r="I31" s="174"/>
      <c r="J31" s="174"/>
      <c r="K31" s="174"/>
      <c r="L31" s="174"/>
      <c r="M31" s="174"/>
      <c r="N31" s="174"/>
      <c r="O31" s="174"/>
      <c r="P31" s="174"/>
      <c r="Q31" s="174"/>
    </row>
    <row r="32" spans="1:17" s="178" customFormat="1" ht="18" customHeight="1" x14ac:dyDescent="0.3">
      <c r="A32" s="174"/>
      <c r="B32" s="175"/>
      <c r="C32" s="160"/>
      <c r="D32" s="180"/>
      <c r="E32" s="281" t="s">
        <v>262</v>
      </c>
      <c r="F32" s="282"/>
      <c r="G32" s="283"/>
      <c r="H32" s="177"/>
      <c r="I32" s="174"/>
      <c r="J32" s="174"/>
      <c r="K32" s="174"/>
      <c r="L32" s="174"/>
      <c r="M32" s="174"/>
      <c r="N32" s="174"/>
      <c r="O32" s="174"/>
      <c r="P32" s="174"/>
      <c r="Q32" s="174"/>
    </row>
    <row r="33" spans="1:17" s="178" customFormat="1" ht="18" customHeight="1" x14ac:dyDescent="0.3">
      <c r="A33" s="174"/>
      <c r="B33" s="175"/>
      <c r="C33" s="160"/>
      <c r="D33" s="180" t="s">
        <v>141</v>
      </c>
      <c r="E33" s="277" t="s">
        <v>253</v>
      </c>
      <c r="F33" s="277"/>
      <c r="G33" s="278"/>
      <c r="H33" s="177"/>
      <c r="I33" s="174"/>
      <c r="J33" s="174"/>
      <c r="K33" s="174"/>
      <c r="L33" s="174"/>
      <c r="M33" s="174"/>
      <c r="N33" s="174"/>
      <c r="O33" s="174"/>
      <c r="P33" s="174"/>
      <c r="Q33" s="174"/>
    </row>
    <row r="34" spans="1:17" s="178" customFormat="1" ht="18" customHeight="1" x14ac:dyDescent="0.3">
      <c r="A34" s="174"/>
      <c r="B34" s="175"/>
      <c r="C34" s="160"/>
      <c r="D34" s="180"/>
      <c r="E34" s="276" t="s">
        <v>254</v>
      </c>
      <c r="F34" s="277"/>
      <c r="G34" s="278"/>
      <c r="H34" s="177"/>
      <c r="I34" s="174"/>
      <c r="J34" s="174"/>
      <c r="K34" s="174"/>
      <c r="L34" s="174"/>
      <c r="M34" s="174"/>
      <c r="N34" s="174"/>
      <c r="O34" s="174"/>
      <c r="P34" s="174"/>
      <c r="Q34" s="174"/>
    </row>
    <row r="35" spans="1:17" s="178" customFormat="1" ht="18" customHeight="1" x14ac:dyDescent="0.3">
      <c r="A35" s="174"/>
      <c r="B35" s="175"/>
      <c r="C35" s="160"/>
      <c r="D35" s="180"/>
      <c r="E35" s="277" t="s">
        <v>255</v>
      </c>
      <c r="F35" s="277"/>
      <c r="G35" s="278"/>
      <c r="H35" s="177"/>
      <c r="I35" s="174"/>
      <c r="J35" s="174"/>
      <c r="K35" s="174"/>
      <c r="L35" s="174"/>
      <c r="M35" s="174"/>
      <c r="N35" s="174"/>
      <c r="O35" s="174"/>
      <c r="P35" s="174"/>
      <c r="Q35" s="174"/>
    </row>
    <row r="36" spans="1:17" s="178" customFormat="1" ht="18" customHeight="1" x14ac:dyDescent="0.3">
      <c r="A36" s="174"/>
      <c r="B36" s="175"/>
      <c r="C36" s="160"/>
      <c r="D36" s="181"/>
      <c r="E36" s="181"/>
      <c r="F36" s="181"/>
      <c r="G36" s="182"/>
      <c r="H36" s="177"/>
      <c r="I36" s="174"/>
      <c r="J36" s="174"/>
      <c r="K36" s="174"/>
      <c r="L36" s="174"/>
      <c r="M36" s="174"/>
      <c r="N36" s="174"/>
      <c r="O36" s="174"/>
      <c r="P36" s="174"/>
      <c r="Q36" s="174"/>
    </row>
    <row r="37" spans="1:17" s="178" customFormat="1" ht="18" customHeight="1" x14ac:dyDescent="0.3">
      <c r="A37" s="174"/>
      <c r="B37" s="175"/>
      <c r="C37" s="286" t="s">
        <v>2</v>
      </c>
      <c r="D37" s="284"/>
      <c r="E37" s="284"/>
      <c r="F37" s="284"/>
      <c r="G37" s="285"/>
      <c r="H37" s="177"/>
      <c r="I37" s="174"/>
      <c r="J37" s="174"/>
      <c r="K37" s="174"/>
      <c r="L37" s="174"/>
      <c r="M37" s="174"/>
      <c r="N37" s="174"/>
      <c r="O37" s="174"/>
      <c r="P37" s="174"/>
      <c r="Q37" s="174"/>
    </row>
    <row r="38" spans="1:17" s="178" customFormat="1" ht="18" customHeight="1" x14ac:dyDescent="0.3">
      <c r="A38" s="174"/>
      <c r="B38" s="175"/>
      <c r="C38" s="272" t="s">
        <v>274</v>
      </c>
      <c r="D38" s="284"/>
      <c r="E38" s="284"/>
      <c r="F38" s="284"/>
      <c r="G38" s="285"/>
      <c r="H38" s="177"/>
      <c r="I38" s="174"/>
      <c r="J38" s="174"/>
      <c r="K38" s="174"/>
      <c r="L38" s="174"/>
      <c r="M38" s="174"/>
      <c r="N38" s="174"/>
      <c r="O38" s="174"/>
      <c r="P38" s="174"/>
      <c r="Q38" s="174"/>
    </row>
    <row r="39" spans="1:17" s="178" customFormat="1" ht="18" customHeight="1" x14ac:dyDescent="0.3">
      <c r="A39" s="174"/>
      <c r="B39" s="175"/>
      <c r="C39" s="272" t="s">
        <v>263</v>
      </c>
      <c r="D39" s="284"/>
      <c r="E39" s="284"/>
      <c r="F39" s="284"/>
      <c r="G39" s="285"/>
      <c r="H39" s="177"/>
      <c r="I39" s="174"/>
      <c r="J39" s="174"/>
      <c r="K39" s="174"/>
      <c r="L39" s="174"/>
      <c r="M39" s="174"/>
      <c r="N39" s="174"/>
      <c r="O39" s="174"/>
      <c r="P39" s="174"/>
      <c r="Q39" s="174"/>
    </row>
    <row r="40" spans="1:17" s="178" customFormat="1" ht="18" customHeight="1" x14ac:dyDescent="0.3">
      <c r="A40" s="174"/>
      <c r="B40" s="175"/>
      <c r="C40" s="272" t="s">
        <v>264</v>
      </c>
      <c r="D40" s="284"/>
      <c r="E40" s="284"/>
      <c r="F40" s="284"/>
      <c r="G40" s="285"/>
      <c r="H40" s="177"/>
      <c r="I40" s="174"/>
      <c r="J40" s="174"/>
      <c r="K40" s="174"/>
      <c r="L40" s="174"/>
      <c r="M40" s="174"/>
      <c r="N40" s="174"/>
      <c r="O40" s="174"/>
      <c r="P40" s="174"/>
      <c r="Q40" s="174"/>
    </row>
    <row r="41" spans="1:17" s="178" customFormat="1" ht="18" customHeight="1" x14ac:dyDescent="0.3">
      <c r="A41" s="174"/>
      <c r="B41" s="175"/>
      <c r="C41" s="155"/>
      <c r="D41" s="157"/>
      <c r="E41" s="157"/>
      <c r="F41" s="157"/>
      <c r="G41" s="157"/>
      <c r="H41" s="177"/>
      <c r="I41" s="174"/>
      <c r="J41" s="174"/>
      <c r="K41" s="174"/>
      <c r="L41" s="174"/>
      <c r="M41" s="174"/>
      <c r="N41" s="174"/>
      <c r="O41" s="174"/>
      <c r="P41" s="174"/>
      <c r="Q41" s="174"/>
    </row>
    <row r="42" spans="1:17" s="178" customFormat="1" ht="18" customHeight="1" x14ac:dyDescent="0.3">
      <c r="A42" s="174"/>
      <c r="B42" s="175"/>
      <c r="C42" s="271" t="s">
        <v>164</v>
      </c>
      <c r="D42" s="288"/>
      <c r="E42" s="288"/>
      <c r="F42" s="288"/>
      <c r="G42" s="288"/>
      <c r="H42" s="177"/>
      <c r="I42" s="174"/>
      <c r="J42" s="174"/>
      <c r="K42" s="174"/>
      <c r="L42" s="174"/>
      <c r="M42" s="174"/>
      <c r="N42" s="174"/>
      <c r="O42" s="174"/>
      <c r="P42" s="174"/>
      <c r="Q42" s="174"/>
    </row>
    <row r="43" spans="1:17" s="178" customFormat="1" ht="18" customHeight="1" x14ac:dyDescent="0.3">
      <c r="A43" s="174"/>
      <c r="B43" s="175"/>
      <c r="C43" s="271" t="s">
        <v>165</v>
      </c>
      <c r="D43" s="288"/>
      <c r="E43" s="288"/>
      <c r="F43" s="288"/>
      <c r="G43" s="288"/>
      <c r="H43" s="177"/>
      <c r="I43" s="174"/>
      <c r="J43" s="174"/>
      <c r="K43" s="174"/>
      <c r="L43" s="174"/>
      <c r="M43" s="174"/>
      <c r="N43" s="174"/>
      <c r="O43" s="174"/>
      <c r="P43" s="174"/>
      <c r="Q43" s="174"/>
    </row>
    <row r="44" spans="1:17" s="178" customFormat="1" ht="18" customHeight="1" x14ac:dyDescent="0.3">
      <c r="A44" s="174"/>
      <c r="B44" s="175"/>
      <c r="C44" s="271" t="s">
        <v>166</v>
      </c>
      <c r="D44" s="288"/>
      <c r="E44" s="288"/>
      <c r="F44" s="288"/>
      <c r="G44" s="288"/>
      <c r="H44" s="177"/>
      <c r="I44" s="174"/>
      <c r="J44" s="174"/>
      <c r="K44" s="174"/>
      <c r="L44" s="174"/>
      <c r="M44" s="174"/>
      <c r="N44" s="174"/>
      <c r="O44" s="174"/>
      <c r="P44" s="174"/>
      <c r="Q44" s="174"/>
    </row>
    <row r="45" spans="1:17" s="178" customFormat="1" ht="18" customHeight="1" x14ac:dyDescent="0.3">
      <c r="A45" s="174"/>
      <c r="B45" s="175"/>
      <c r="C45" s="271" t="s">
        <v>167</v>
      </c>
      <c r="D45" s="288"/>
      <c r="E45" s="288"/>
      <c r="F45" s="288"/>
      <c r="G45" s="288"/>
      <c r="H45" s="177"/>
      <c r="I45" s="174"/>
      <c r="J45" s="174"/>
      <c r="K45" s="174"/>
      <c r="L45" s="174"/>
      <c r="M45" s="174"/>
      <c r="N45" s="174"/>
      <c r="O45" s="174"/>
      <c r="P45" s="174"/>
      <c r="Q45" s="174"/>
    </row>
    <row r="46" spans="1:17" s="178" customFormat="1" ht="18" customHeight="1" x14ac:dyDescent="0.3">
      <c r="A46" s="174"/>
      <c r="B46" s="175"/>
      <c r="C46" s="271" t="s">
        <v>168</v>
      </c>
      <c r="D46" s="288"/>
      <c r="E46" s="288"/>
      <c r="F46" s="288"/>
      <c r="G46" s="288"/>
      <c r="H46" s="177"/>
      <c r="I46" s="174"/>
      <c r="J46" s="174"/>
      <c r="K46" s="174"/>
      <c r="L46" s="174"/>
      <c r="M46" s="174"/>
      <c r="N46" s="174"/>
      <c r="O46" s="174"/>
      <c r="P46" s="174"/>
      <c r="Q46" s="174"/>
    </row>
    <row r="47" spans="1:17" s="178" customFormat="1" ht="18" customHeight="1" x14ac:dyDescent="0.3">
      <c r="A47" s="174"/>
      <c r="B47" s="175"/>
      <c r="C47" s="271" t="s">
        <v>169</v>
      </c>
      <c r="D47" s="288"/>
      <c r="E47" s="288"/>
      <c r="F47" s="288"/>
      <c r="G47" s="288"/>
      <c r="H47" s="177"/>
      <c r="I47" s="174"/>
      <c r="J47" s="174"/>
      <c r="K47" s="174"/>
      <c r="L47" s="174"/>
      <c r="M47" s="174"/>
      <c r="N47" s="174"/>
      <c r="O47" s="174"/>
      <c r="P47" s="174"/>
      <c r="Q47" s="174"/>
    </row>
    <row r="48" spans="1:17" s="178" customFormat="1" ht="18" customHeight="1" x14ac:dyDescent="0.3">
      <c r="A48" s="174"/>
      <c r="B48" s="175"/>
      <c r="C48" s="271" t="s">
        <v>170</v>
      </c>
      <c r="D48" s="288"/>
      <c r="E48" s="288"/>
      <c r="F48" s="288"/>
      <c r="G48" s="288"/>
      <c r="H48" s="177"/>
      <c r="I48" s="174"/>
      <c r="J48" s="174"/>
      <c r="K48" s="174"/>
      <c r="L48" s="174"/>
      <c r="M48" s="174"/>
      <c r="N48" s="174"/>
      <c r="O48" s="174"/>
      <c r="P48" s="174"/>
      <c r="Q48" s="174"/>
    </row>
    <row r="49" spans="1:17" s="178" customFormat="1" ht="18" customHeight="1" x14ac:dyDescent="0.3">
      <c r="A49" s="174"/>
      <c r="B49" s="175"/>
      <c r="C49" s="271" t="s">
        <v>171</v>
      </c>
      <c r="D49" s="288"/>
      <c r="E49" s="288"/>
      <c r="F49" s="288"/>
      <c r="G49" s="288"/>
      <c r="H49" s="177"/>
      <c r="I49" s="174"/>
      <c r="J49" s="174"/>
      <c r="K49" s="174"/>
      <c r="L49" s="174"/>
      <c r="M49" s="174"/>
      <c r="N49" s="174"/>
      <c r="O49" s="174"/>
      <c r="P49" s="174"/>
      <c r="Q49" s="174"/>
    </row>
    <row r="50" spans="1:17" s="178" customFormat="1" ht="18" customHeight="1" x14ac:dyDescent="0.3">
      <c r="A50" s="174"/>
      <c r="B50" s="175"/>
      <c r="C50" s="271" t="s">
        <v>172</v>
      </c>
      <c r="D50" s="288"/>
      <c r="E50" s="288"/>
      <c r="F50" s="288"/>
      <c r="G50" s="288"/>
      <c r="H50" s="177"/>
      <c r="I50" s="174"/>
      <c r="J50" s="174"/>
      <c r="K50" s="174"/>
      <c r="L50" s="174"/>
      <c r="M50" s="174"/>
      <c r="N50" s="174"/>
      <c r="O50" s="174"/>
      <c r="P50" s="174"/>
      <c r="Q50" s="174"/>
    </row>
    <row r="51" spans="1:17" s="178" customFormat="1" ht="18" customHeight="1" x14ac:dyDescent="0.3">
      <c r="A51" s="174"/>
      <c r="B51" s="175"/>
      <c r="C51" s="271" t="s">
        <v>173</v>
      </c>
      <c r="D51" s="271"/>
      <c r="E51" s="271"/>
      <c r="F51" s="271"/>
      <c r="G51" s="271"/>
      <c r="H51" s="177"/>
      <c r="I51" s="174"/>
      <c r="J51" s="174"/>
      <c r="K51" s="174"/>
      <c r="L51" s="174"/>
      <c r="M51" s="174"/>
      <c r="N51" s="174"/>
      <c r="O51" s="174"/>
      <c r="P51" s="174"/>
      <c r="Q51" s="174"/>
    </row>
    <row r="52" spans="1:17" s="178" customFormat="1" ht="18" customHeight="1" x14ac:dyDescent="0.3">
      <c r="A52" s="174"/>
      <c r="B52" s="175"/>
      <c r="C52" s="271" t="s">
        <v>174</v>
      </c>
      <c r="D52" s="288"/>
      <c r="E52" s="288"/>
      <c r="F52" s="288"/>
      <c r="G52" s="288"/>
      <c r="H52" s="177"/>
      <c r="I52" s="174"/>
      <c r="J52" s="174"/>
      <c r="K52" s="174"/>
      <c r="L52" s="174"/>
      <c r="M52" s="174"/>
      <c r="N52" s="174"/>
      <c r="O52" s="174"/>
      <c r="P52" s="174"/>
      <c r="Q52" s="174"/>
    </row>
    <row r="53" spans="1:17" s="178" customFormat="1" ht="18" customHeight="1" x14ac:dyDescent="0.3">
      <c r="A53" s="174"/>
      <c r="B53" s="175"/>
      <c r="C53" s="275" t="s">
        <v>175</v>
      </c>
      <c r="D53" s="288"/>
      <c r="E53" s="288"/>
      <c r="F53" s="288"/>
      <c r="G53" s="288"/>
      <c r="H53" s="177"/>
      <c r="I53" s="174"/>
      <c r="J53" s="174"/>
      <c r="K53" s="174"/>
      <c r="L53" s="174"/>
      <c r="M53" s="174"/>
      <c r="N53" s="174"/>
      <c r="O53" s="174"/>
      <c r="P53" s="174"/>
      <c r="Q53" s="174"/>
    </row>
    <row r="54" spans="1:17" s="178" customFormat="1" ht="18" customHeight="1" x14ac:dyDescent="0.3">
      <c r="A54" s="174"/>
      <c r="B54" s="175"/>
      <c r="C54" s="271" t="s">
        <v>176</v>
      </c>
      <c r="D54" s="288"/>
      <c r="E54" s="288"/>
      <c r="F54" s="288"/>
      <c r="G54" s="288"/>
      <c r="H54" s="177"/>
      <c r="I54" s="174"/>
      <c r="J54" s="174"/>
      <c r="K54" s="174"/>
      <c r="L54" s="174"/>
      <c r="M54" s="174"/>
      <c r="N54" s="174"/>
      <c r="O54" s="174"/>
      <c r="P54" s="174"/>
      <c r="Q54" s="174"/>
    </row>
    <row r="55" spans="1:17" s="178" customFormat="1" ht="18" customHeight="1" x14ac:dyDescent="0.3">
      <c r="A55" s="174"/>
      <c r="B55" s="175"/>
      <c r="C55" s="271" t="s">
        <v>177</v>
      </c>
      <c r="D55" s="288"/>
      <c r="E55" s="288"/>
      <c r="F55" s="288"/>
      <c r="G55" s="288"/>
      <c r="H55" s="177"/>
      <c r="I55" s="174"/>
      <c r="J55" s="174"/>
      <c r="K55" s="174"/>
      <c r="L55" s="174"/>
      <c r="M55" s="174"/>
      <c r="N55" s="174"/>
      <c r="O55" s="174"/>
      <c r="P55" s="174"/>
      <c r="Q55" s="174"/>
    </row>
    <row r="56" spans="1:17" s="178" customFormat="1" ht="18" customHeight="1" x14ac:dyDescent="0.3">
      <c r="A56" s="174"/>
      <c r="B56" s="175"/>
      <c r="C56" s="271" t="s">
        <v>178</v>
      </c>
      <c r="D56" s="288"/>
      <c r="E56" s="288"/>
      <c r="F56" s="288"/>
      <c r="G56" s="288"/>
      <c r="H56" s="177"/>
      <c r="I56" s="174"/>
      <c r="J56" s="174"/>
      <c r="K56" s="174"/>
      <c r="L56" s="174"/>
      <c r="M56" s="174"/>
      <c r="N56" s="174"/>
      <c r="O56" s="174"/>
      <c r="P56" s="174"/>
      <c r="Q56" s="174"/>
    </row>
    <row r="57" spans="1:17" s="178" customFormat="1" ht="18" customHeight="1" x14ac:dyDescent="0.3">
      <c r="A57" s="174"/>
      <c r="B57" s="175"/>
      <c r="C57" s="271" t="s">
        <v>179</v>
      </c>
      <c r="D57" s="288"/>
      <c r="E57" s="288"/>
      <c r="F57" s="288"/>
      <c r="G57" s="288"/>
      <c r="H57" s="177"/>
      <c r="I57" s="174"/>
      <c r="J57" s="174"/>
      <c r="K57" s="174"/>
      <c r="L57" s="174"/>
      <c r="M57" s="174"/>
      <c r="N57" s="174"/>
      <c r="O57" s="174"/>
      <c r="P57" s="174"/>
      <c r="Q57" s="174"/>
    </row>
    <row r="58" spans="1:17" s="178" customFormat="1" ht="18" customHeight="1" x14ac:dyDescent="0.3">
      <c r="A58" s="174"/>
      <c r="B58" s="175"/>
      <c r="C58" s="287" t="s">
        <v>180</v>
      </c>
      <c r="D58" s="288"/>
      <c r="E58" s="288"/>
      <c r="F58" s="288"/>
      <c r="G58" s="288"/>
      <c r="H58" s="177"/>
      <c r="I58" s="174"/>
      <c r="J58" s="174"/>
      <c r="K58" s="174"/>
      <c r="L58" s="174"/>
      <c r="M58" s="174"/>
      <c r="N58" s="174"/>
      <c r="O58" s="174"/>
      <c r="P58" s="174"/>
      <c r="Q58" s="174"/>
    </row>
    <row r="59" spans="1:17" s="178" customFormat="1" ht="18" customHeight="1" x14ac:dyDescent="0.3">
      <c r="A59" s="174"/>
      <c r="B59" s="175"/>
      <c r="C59" s="271" t="s">
        <v>181</v>
      </c>
      <c r="D59" s="288"/>
      <c r="E59" s="288"/>
      <c r="F59" s="288"/>
      <c r="G59" s="288"/>
      <c r="H59" s="177"/>
      <c r="I59" s="174"/>
      <c r="J59" s="174"/>
      <c r="K59" s="174"/>
      <c r="L59" s="174"/>
      <c r="M59" s="174"/>
      <c r="N59" s="174"/>
      <c r="O59" s="174"/>
      <c r="P59" s="174"/>
      <c r="Q59" s="174"/>
    </row>
    <row r="60" spans="1:17" s="178" customFormat="1" ht="18" customHeight="1" x14ac:dyDescent="0.3">
      <c r="A60" s="174"/>
      <c r="B60" s="175"/>
      <c r="C60" s="271" t="s">
        <v>182</v>
      </c>
      <c r="D60" s="288"/>
      <c r="E60" s="288"/>
      <c r="F60" s="288"/>
      <c r="G60" s="288"/>
      <c r="H60" s="177"/>
      <c r="I60" s="174"/>
      <c r="J60" s="174"/>
      <c r="K60" s="174"/>
      <c r="L60" s="174"/>
      <c r="M60" s="174"/>
      <c r="N60" s="174"/>
      <c r="O60" s="174"/>
      <c r="P60" s="174"/>
      <c r="Q60" s="174"/>
    </row>
    <row r="61" spans="1:17" s="178" customFormat="1" ht="18" customHeight="1" x14ac:dyDescent="0.3">
      <c r="A61" s="174"/>
      <c r="B61" s="175"/>
      <c r="C61" s="287" t="s">
        <v>183</v>
      </c>
      <c r="D61" s="288"/>
      <c r="E61" s="288"/>
      <c r="F61" s="288"/>
      <c r="G61" s="288"/>
      <c r="H61" s="177"/>
      <c r="I61" s="174"/>
      <c r="J61" s="174"/>
      <c r="K61" s="174"/>
      <c r="L61" s="174"/>
      <c r="M61" s="174"/>
      <c r="N61" s="174"/>
      <c r="O61" s="174"/>
      <c r="P61" s="174"/>
      <c r="Q61" s="174"/>
    </row>
    <row r="62" spans="1:17" s="178" customFormat="1" ht="18" customHeight="1" x14ac:dyDescent="0.3">
      <c r="A62" s="174"/>
      <c r="B62" s="175"/>
      <c r="C62" s="271" t="s">
        <v>184</v>
      </c>
      <c r="D62" s="288"/>
      <c r="E62" s="288"/>
      <c r="F62" s="288"/>
      <c r="G62" s="288"/>
      <c r="H62" s="177"/>
      <c r="I62" s="174"/>
      <c r="J62" s="174"/>
      <c r="K62" s="174"/>
      <c r="L62" s="174"/>
      <c r="M62" s="174"/>
      <c r="N62" s="174"/>
      <c r="O62" s="174"/>
      <c r="P62" s="174"/>
      <c r="Q62" s="174"/>
    </row>
    <row r="63" spans="1:17" s="178" customFormat="1" ht="18" customHeight="1" x14ac:dyDescent="0.3">
      <c r="A63" s="174"/>
      <c r="B63" s="175"/>
      <c r="C63" s="271" t="s">
        <v>185</v>
      </c>
      <c r="D63" s="288"/>
      <c r="E63" s="288"/>
      <c r="F63" s="288"/>
      <c r="G63" s="288"/>
      <c r="H63" s="177"/>
      <c r="I63" s="174"/>
      <c r="J63" s="174"/>
      <c r="K63" s="174"/>
      <c r="L63" s="174"/>
      <c r="M63" s="174"/>
      <c r="N63" s="174"/>
      <c r="O63" s="174"/>
      <c r="P63" s="174"/>
      <c r="Q63" s="174"/>
    </row>
    <row r="64" spans="1:17" s="178" customFormat="1" ht="18" customHeight="1" x14ac:dyDescent="0.3">
      <c r="A64" s="174"/>
      <c r="B64" s="175"/>
      <c r="C64" s="271" t="s">
        <v>186</v>
      </c>
      <c r="D64" s="288"/>
      <c r="E64" s="288"/>
      <c r="F64" s="288"/>
      <c r="G64" s="288"/>
      <c r="H64" s="177"/>
      <c r="I64" s="174"/>
      <c r="J64" s="174"/>
      <c r="K64" s="174"/>
      <c r="L64" s="174"/>
      <c r="M64" s="174"/>
      <c r="N64" s="174"/>
      <c r="O64" s="174"/>
      <c r="P64" s="174"/>
      <c r="Q64" s="174"/>
    </row>
    <row r="65" spans="1:17" s="178" customFormat="1" ht="18" customHeight="1" x14ac:dyDescent="0.3">
      <c r="A65" s="174"/>
      <c r="B65" s="175"/>
      <c r="C65" s="289" t="s">
        <v>187</v>
      </c>
      <c r="D65" s="288"/>
      <c r="E65" s="288"/>
      <c r="F65" s="288"/>
      <c r="G65" s="288"/>
      <c r="H65" s="177"/>
      <c r="I65" s="174"/>
      <c r="J65" s="174"/>
      <c r="K65" s="174"/>
      <c r="L65" s="174"/>
      <c r="M65" s="174"/>
      <c r="N65" s="174"/>
      <c r="O65" s="174"/>
      <c r="P65" s="174"/>
      <c r="Q65" s="174"/>
    </row>
    <row r="66" spans="1:17" s="178" customFormat="1" ht="18" customHeight="1" x14ac:dyDescent="0.3">
      <c r="A66" s="174"/>
      <c r="B66" s="175"/>
      <c r="C66" s="288" t="s">
        <v>188</v>
      </c>
      <c r="D66" s="288"/>
      <c r="E66" s="288"/>
      <c r="F66" s="288"/>
      <c r="G66" s="288"/>
      <c r="H66" s="177"/>
      <c r="I66" s="174"/>
      <c r="J66" s="174"/>
      <c r="K66" s="174"/>
      <c r="L66" s="174"/>
      <c r="M66" s="174"/>
      <c r="N66" s="174"/>
      <c r="O66" s="174"/>
      <c r="P66" s="174"/>
      <c r="Q66" s="174"/>
    </row>
    <row r="67" spans="1:17" s="178" customFormat="1" ht="18" customHeight="1" x14ac:dyDescent="0.3">
      <c r="A67" s="174"/>
      <c r="B67" s="175"/>
      <c r="C67" s="288" t="s">
        <v>195</v>
      </c>
      <c r="D67" s="288"/>
      <c r="E67" s="288"/>
      <c r="F67" s="288"/>
      <c r="G67" s="288"/>
      <c r="H67" s="177"/>
      <c r="I67" s="174"/>
      <c r="J67" s="174"/>
      <c r="K67" s="174"/>
      <c r="L67" s="174"/>
      <c r="M67" s="174"/>
      <c r="N67" s="174"/>
      <c r="O67" s="174"/>
      <c r="P67" s="174"/>
      <c r="Q67" s="174"/>
    </row>
    <row r="68" spans="1:17" s="178" customFormat="1" ht="18" customHeight="1" x14ac:dyDescent="0.3">
      <c r="A68" s="174"/>
      <c r="B68" s="175"/>
      <c r="C68" s="288" t="s">
        <v>189</v>
      </c>
      <c r="D68" s="288"/>
      <c r="E68" s="288"/>
      <c r="F68" s="288"/>
      <c r="G68" s="288"/>
      <c r="H68" s="177"/>
      <c r="I68" s="174"/>
      <c r="J68" s="174"/>
      <c r="K68" s="174"/>
      <c r="L68" s="174"/>
      <c r="M68" s="174"/>
      <c r="N68" s="174"/>
      <c r="O68" s="174"/>
      <c r="P68" s="174"/>
      <c r="Q68" s="174"/>
    </row>
    <row r="69" spans="1:17" s="178" customFormat="1" ht="18" customHeight="1" x14ac:dyDescent="0.3">
      <c r="A69" s="174"/>
      <c r="B69" s="175"/>
      <c r="C69" s="287" t="s">
        <v>190</v>
      </c>
      <c r="D69" s="271"/>
      <c r="E69" s="271"/>
      <c r="F69" s="271"/>
      <c r="G69" s="271"/>
      <c r="H69" s="177"/>
      <c r="I69" s="174"/>
      <c r="J69" s="174"/>
      <c r="K69" s="174"/>
      <c r="L69" s="174"/>
      <c r="M69" s="174"/>
      <c r="N69" s="174"/>
      <c r="O69" s="174"/>
      <c r="P69" s="174"/>
      <c r="Q69" s="174"/>
    </row>
    <row r="70" spans="1:17" s="178" customFormat="1" ht="18" customHeight="1" x14ac:dyDescent="0.3">
      <c r="A70" s="174"/>
      <c r="B70" s="175"/>
      <c r="C70" s="271" t="s">
        <v>191</v>
      </c>
      <c r="D70" s="271"/>
      <c r="E70" s="271"/>
      <c r="F70" s="271"/>
      <c r="G70" s="271"/>
      <c r="H70" s="177"/>
      <c r="I70" s="174"/>
      <c r="J70" s="174"/>
      <c r="K70" s="174"/>
      <c r="L70" s="174"/>
      <c r="M70" s="174"/>
      <c r="N70" s="174"/>
      <c r="O70" s="174"/>
      <c r="P70" s="174"/>
      <c r="Q70" s="174"/>
    </row>
    <row r="71" spans="1:17" s="178" customFormat="1" ht="18" customHeight="1" x14ac:dyDescent="0.3">
      <c r="A71" s="174"/>
      <c r="B71" s="175"/>
      <c r="C71" s="271" t="s">
        <v>192</v>
      </c>
      <c r="D71" s="271"/>
      <c r="E71" s="271"/>
      <c r="F71" s="271"/>
      <c r="G71" s="271"/>
      <c r="H71" s="177"/>
      <c r="I71" s="174"/>
      <c r="J71" s="174"/>
      <c r="K71" s="174"/>
      <c r="L71" s="174"/>
      <c r="M71" s="174"/>
      <c r="N71" s="174"/>
      <c r="O71" s="174"/>
      <c r="P71" s="174"/>
      <c r="Q71" s="174"/>
    </row>
    <row r="72" spans="1:17" s="178" customFormat="1" ht="18" customHeight="1" x14ac:dyDescent="0.3">
      <c r="A72" s="174"/>
      <c r="B72" s="175"/>
      <c r="C72" s="271" t="s">
        <v>193</v>
      </c>
      <c r="D72" s="271"/>
      <c r="E72" s="271"/>
      <c r="F72" s="271"/>
      <c r="G72" s="271"/>
      <c r="H72" s="177"/>
      <c r="I72" s="174"/>
      <c r="J72" s="174"/>
      <c r="K72" s="174"/>
      <c r="L72" s="174"/>
      <c r="M72" s="174"/>
      <c r="N72" s="174"/>
      <c r="O72" s="174"/>
      <c r="P72" s="174"/>
      <c r="Q72" s="174"/>
    </row>
    <row r="73" spans="1:17" s="178" customFormat="1" ht="18" customHeight="1" x14ac:dyDescent="0.3">
      <c r="A73" s="174"/>
      <c r="B73" s="175"/>
      <c r="C73" s="271" t="s">
        <v>194</v>
      </c>
      <c r="D73" s="271"/>
      <c r="E73" s="271"/>
      <c r="F73" s="271"/>
      <c r="G73" s="271"/>
      <c r="H73" s="177"/>
      <c r="I73" s="174"/>
      <c r="J73" s="174"/>
      <c r="K73" s="174"/>
      <c r="L73" s="174"/>
      <c r="M73" s="174"/>
      <c r="N73" s="174"/>
      <c r="O73" s="174"/>
      <c r="P73" s="174"/>
      <c r="Q73" s="174"/>
    </row>
    <row r="74" spans="1:17" s="178" customFormat="1" ht="18" customHeight="1" x14ac:dyDescent="0.3">
      <c r="A74" s="174"/>
      <c r="B74" s="175"/>
      <c r="C74" s="287" t="s">
        <v>256</v>
      </c>
      <c r="D74" s="287"/>
      <c r="E74" s="287"/>
      <c r="F74" s="287"/>
      <c r="G74" s="287"/>
      <c r="H74" s="177"/>
      <c r="I74" s="174"/>
      <c r="J74" s="174"/>
      <c r="K74" s="174"/>
      <c r="L74" s="174"/>
      <c r="M74" s="174"/>
      <c r="N74" s="174"/>
      <c r="O74" s="174"/>
      <c r="P74" s="174"/>
      <c r="Q74" s="174"/>
    </row>
    <row r="75" spans="1:17" s="178" customFormat="1" ht="18" customHeight="1" x14ac:dyDescent="0.3">
      <c r="A75" s="174"/>
      <c r="B75" s="175"/>
      <c r="C75" s="271" t="s">
        <v>196</v>
      </c>
      <c r="D75" s="271"/>
      <c r="E75" s="271"/>
      <c r="F75" s="271"/>
      <c r="G75" s="271"/>
      <c r="H75" s="177"/>
      <c r="I75" s="174"/>
      <c r="J75" s="174"/>
      <c r="K75" s="174"/>
      <c r="L75" s="174"/>
      <c r="M75" s="174"/>
      <c r="N75" s="174"/>
      <c r="O75" s="174"/>
      <c r="P75" s="174"/>
      <c r="Q75" s="174"/>
    </row>
    <row r="76" spans="1:17" s="178" customFormat="1" ht="18" customHeight="1" x14ac:dyDescent="0.3">
      <c r="A76" s="174"/>
      <c r="B76" s="175"/>
      <c r="C76" s="271" t="s">
        <v>197</v>
      </c>
      <c r="D76" s="271"/>
      <c r="E76" s="271"/>
      <c r="F76" s="271"/>
      <c r="G76" s="271"/>
      <c r="H76" s="177"/>
      <c r="I76" s="174"/>
      <c r="J76" s="174"/>
      <c r="K76" s="174"/>
      <c r="L76" s="174"/>
      <c r="M76" s="174"/>
      <c r="N76" s="174"/>
      <c r="O76" s="174"/>
      <c r="P76" s="174"/>
      <c r="Q76" s="174"/>
    </row>
    <row r="77" spans="1:17" s="178" customFormat="1" ht="18" customHeight="1" x14ac:dyDescent="0.3">
      <c r="A77" s="174"/>
      <c r="B77" s="175"/>
      <c r="C77" s="271" t="s">
        <v>198</v>
      </c>
      <c r="D77" s="271"/>
      <c r="E77" s="271"/>
      <c r="F77" s="271"/>
      <c r="G77" s="271"/>
      <c r="H77" s="177"/>
      <c r="I77" s="174"/>
      <c r="J77" s="174"/>
      <c r="K77" s="174"/>
      <c r="L77" s="174"/>
      <c r="M77" s="174"/>
      <c r="N77" s="174"/>
      <c r="O77" s="174"/>
      <c r="P77" s="174"/>
      <c r="Q77" s="174"/>
    </row>
    <row r="78" spans="1:17" s="178" customFormat="1" ht="18" customHeight="1" x14ac:dyDescent="0.3">
      <c r="A78" s="174"/>
      <c r="B78" s="175"/>
      <c r="C78" s="271" t="s">
        <v>200</v>
      </c>
      <c r="D78" s="271"/>
      <c r="E78" s="271"/>
      <c r="F78" s="271"/>
      <c r="G78" s="271"/>
      <c r="H78" s="177"/>
      <c r="I78" s="174"/>
      <c r="J78" s="174"/>
      <c r="K78" s="174"/>
      <c r="L78" s="174"/>
      <c r="M78" s="174"/>
      <c r="N78" s="174"/>
      <c r="O78" s="174"/>
      <c r="P78" s="174"/>
      <c r="Q78" s="174"/>
    </row>
    <row r="79" spans="1:17" s="178" customFormat="1" ht="18" customHeight="1" x14ac:dyDescent="0.3">
      <c r="A79" s="174"/>
      <c r="B79" s="175"/>
      <c r="C79" s="271" t="s">
        <v>199</v>
      </c>
      <c r="D79" s="271"/>
      <c r="E79" s="271"/>
      <c r="F79" s="271"/>
      <c r="G79" s="271"/>
      <c r="H79" s="177"/>
      <c r="I79" s="174"/>
      <c r="J79" s="174"/>
      <c r="K79" s="174"/>
      <c r="L79" s="174"/>
      <c r="M79" s="174"/>
      <c r="N79" s="174"/>
      <c r="O79" s="174"/>
      <c r="P79" s="174"/>
      <c r="Q79" s="174"/>
    </row>
    <row r="80" spans="1:17" s="178" customFormat="1" ht="18" customHeight="1" x14ac:dyDescent="0.3">
      <c r="A80" s="174"/>
      <c r="B80" s="175"/>
      <c r="C80" s="287" t="s">
        <v>257</v>
      </c>
      <c r="D80" s="287"/>
      <c r="E80" s="287"/>
      <c r="F80" s="287"/>
      <c r="G80" s="287"/>
      <c r="H80" s="177"/>
      <c r="I80" s="174"/>
      <c r="J80" s="174"/>
      <c r="K80" s="174"/>
      <c r="L80" s="174"/>
      <c r="M80" s="174"/>
      <c r="N80" s="174"/>
      <c r="O80" s="174"/>
      <c r="P80" s="174"/>
      <c r="Q80" s="174"/>
    </row>
    <row r="81" spans="1:17" s="178" customFormat="1" ht="18" customHeight="1" x14ac:dyDescent="0.3">
      <c r="A81" s="174"/>
      <c r="B81" s="175"/>
      <c r="C81" s="271" t="s">
        <v>201</v>
      </c>
      <c r="D81" s="271"/>
      <c r="E81" s="271"/>
      <c r="F81" s="271"/>
      <c r="G81" s="271"/>
      <c r="H81" s="177"/>
      <c r="I81" s="174"/>
      <c r="J81" s="174"/>
      <c r="K81" s="174"/>
      <c r="L81" s="174"/>
      <c r="M81" s="174"/>
      <c r="N81" s="174"/>
      <c r="O81" s="174"/>
      <c r="P81" s="174"/>
      <c r="Q81" s="174"/>
    </row>
    <row r="82" spans="1:17" s="178" customFormat="1" ht="18" customHeight="1" x14ac:dyDescent="0.3">
      <c r="A82" s="174"/>
      <c r="B82" s="175"/>
      <c r="C82" s="271" t="s">
        <v>202</v>
      </c>
      <c r="D82" s="271"/>
      <c r="E82" s="271"/>
      <c r="F82" s="271"/>
      <c r="G82" s="271"/>
      <c r="H82" s="177"/>
      <c r="I82" s="174"/>
      <c r="J82" s="174"/>
      <c r="K82" s="174"/>
      <c r="L82" s="174"/>
      <c r="M82" s="174"/>
      <c r="N82" s="174"/>
      <c r="O82" s="174"/>
      <c r="P82" s="174"/>
      <c r="Q82" s="174"/>
    </row>
    <row r="83" spans="1:17" s="178" customFormat="1" ht="18" customHeight="1" x14ac:dyDescent="0.3">
      <c r="A83" s="174"/>
      <c r="B83" s="175"/>
      <c r="C83" s="271" t="s">
        <v>203</v>
      </c>
      <c r="D83" s="271"/>
      <c r="E83" s="271"/>
      <c r="F83" s="271"/>
      <c r="G83" s="271"/>
      <c r="H83" s="177"/>
      <c r="I83" s="174"/>
      <c r="J83" s="174"/>
      <c r="K83" s="174"/>
      <c r="L83" s="174"/>
      <c r="M83" s="174"/>
      <c r="N83" s="174"/>
      <c r="O83" s="174"/>
      <c r="P83" s="174"/>
      <c r="Q83" s="174"/>
    </row>
    <row r="84" spans="1:17" s="178" customFormat="1" ht="18" customHeight="1" x14ac:dyDescent="0.3">
      <c r="A84" s="174"/>
      <c r="B84" s="175"/>
      <c r="C84" s="151"/>
      <c r="D84" s="151"/>
      <c r="E84" s="151"/>
      <c r="F84" s="151"/>
      <c r="G84" s="151"/>
      <c r="H84" s="177"/>
      <c r="I84" s="174"/>
      <c r="J84" s="174"/>
      <c r="K84" s="174"/>
      <c r="L84" s="174"/>
      <c r="M84" s="174"/>
      <c r="N84" s="174"/>
      <c r="O84" s="174"/>
      <c r="P84" s="174"/>
      <c r="Q84" s="174"/>
    </row>
    <row r="85" spans="1:17" s="178" customFormat="1" ht="18" customHeight="1" x14ac:dyDescent="0.3">
      <c r="A85" s="174"/>
      <c r="B85" s="175"/>
      <c r="C85" s="275" t="s">
        <v>277</v>
      </c>
      <c r="D85" s="271"/>
      <c r="E85" s="271"/>
      <c r="F85" s="271"/>
      <c r="G85" s="271"/>
      <c r="H85" s="177"/>
      <c r="I85" s="174"/>
      <c r="J85" s="174"/>
      <c r="K85" s="174"/>
      <c r="L85" s="174"/>
      <c r="M85" s="174"/>
      <c r="N85" s="174"/>
      <c r="O85" s="174"/>
      <c r="P85" s="174"/>
      <c r="Q85" s="174"/>
    </row>
    <row r="86" spans="1:17" s="178" customFormat="1" ht="18" customHeight="1" x14ac:dyDescent="0.3">
      <c r="A86" s="174"/>
      <c r="B86" s="175"/>
      <c r="C86" s="271" t="s">
        <v>275</v>
      </c>
      <c r="D86" s="271"/>
      <c r="E86" s="271"/>
      <c r="F86" s="271"/>
      <c r="G86" s="271"/>
      <c r="H86" s="177"/>
      <c r="I86" s="174"/>
      <c r="J86" s="174"/>
      <c r="K86" s="174"/>
      <c r="L86" s="174"/>
      <c r="M86" s="174"/>
      <c r="N86" s="174"/>
      <c r="O86" s="174"/>
      <c r="P86" s="174"/>
      <c r="Q86" s="174"/>
    </row>
    <row r="87" spans="1:17" s="178" customFormat="1" ht="18" customHeight="1" x14ac:dyDescent="0.3">
      <c r="A87" s="174"/>
      <c r="B87" s="175"/>
      <c r="C87" s="271" t="s">
        <v>204</v>
      </c>
      <c r="D87" s="271"/>
      <c r="E87" s="271"/>
      <c r="F87" s="271"/>
      <c r="G87" s="271"/>
      <c r="H87" s="177"/>
      <c r="I87" s="174"/>
      <c r="J87" s="174"/>
      <c r="K87" s="174"/>
      <c r="L87" s="174"/>
      <c r="M87" s="174"/>
      <c r="N87" s="174"/>
      <c r="O87" s="174"/>
      <c r="P87" s="174"/>
      <c r="Q87" s="174"/>
    </row>
    <row r="88" spans="1:17" s="178" customFormat="1" ht="18" customHeight="1" x14ac:dyDescent="0.3">
      <c r="A88" s="174"/>
      <c r="B88" s="175"/>
      <c r="C88" s="271" t="s">
        <v>205</v>
      </c>
      <c r="D88" s="271"/>
      <c r="E88" s="271"/>
      <c r="F88" s="271"/>
      <c r="G88" s="271"/>
      <c r="H88" s="177"/>
      <c r="I88" s="174"/>
      <c r="J88" s="174"/>
      <c r="K88" s="174"/>
      <c r="L88" s="174"/>
      <c r="M88" s="174"/>
      <c r="N88" s="174"/>
      <c r="O88" s="174"/>
      <c r="P88" s="174"/>
      <c r="Q88" s="174"/>
    </row>
    <row r="89" spans="1:17" s="178" customFormat="1" ht="18" customHeight="1" x14ac:dyDescent="0.3">
      <c r="A89" s="174"/>
      <c r="B89" s="175"/>
      <c r="C89" s="271" t="s">
        <v>206</v>
      </c>
      <c r="D89" s="271"/>
      <c r="E89" s="271"/>
      <c r="F89" s="271"/>
      <c r="G89" s="271"/>
      <c r="H89" s="177"/>
      <c r="I89" s="174"/>
      <c r="J89" s="174"/>
      <c r="K89" s="174"/>
      <c r="L89" s="174"/>
      <c r="M89" s="174"/>
      <c r="N89" s="174"/>
      <c r="O89" s="174"/>
      <c r="P89" s="174"/>
      <c r="Q89" s="174"/>
    </row>
    <row r="90" spans="1:17" s="178" customFormat="1" ht="18" customHeight="1" x14ac:dyDescent="0.3">
      <c r="A90" s="174"/>
      <c r="B90" s="175"/>
      <c r="C90" s="151"/>
      <c r="D90" s="151"/>
      <c r="E90" s="151"/>
      <c r="F90" s="151"/>
      <c r="G90" s="151"/>
      <c r="H90" s="177"/>
      <c r="I90" s="174"/>
      <c r="J90" s="174"/>
      <c r="K90" s="174"/>
      <c r="L90" s="174"/>
      <c r="M90" s="174"/>
      <c r="N90" s="174"/>
      <c r="O90" s="174"/>
      <c r="P90" s="174"/>
      <c r="Q90" s="174"/>
    </row>
    <row r="91" spans="1:17" s="178" customFormat="1" ht="18" customHeight="1" x14ac:dyDescent="0.3">
      <c r="A91" s="174"/>
      <c r="B91" s="175"/>
      <c r="C91" s="275" t="s">
        <v>276</v>
      </c>
      <c r="D91" s="287"/>
      <c r="E91" s="287"/>
      <c r="F91" s="287"/>
      <c r="G91" s="287"/>
      <c r="H91" s="177"/>
      <c r="I91" s="174"/>
      <c r="J91" s="174"/>
      <c r="K91" s="174"/>
      <c r="L91" s="174"/>
      <c r="M91" s="174"/>
      <c r="N91" s="174"/>
      <c r="O91" s="174"/>
      <c r="P91" s="174"/>
      <c r="Q91" s="174"/>
    </row>
    <row r="92" spans="1:17" s="178" customFormat="1" ht="18" customHeight="1" x14ac:dyDescent="0.3">
      <c r="A92" s="174"/>
      <c r="B92" s="175"/>
      <c r="C92" s="271" t="s">
        <v>207</v>
      </c>
      <c r="D92" s="271"/>
      <c r="E92" s="271"/>
      <c r="F92" s="271"/>
      <c r="G92" s="271"/>
      <c r="H92" s="177"/>
      <c r="I92" s="174"/>
      <c r="J92" s="174"/>
      <c r="K92" s="174"/>
      <c r="L92" s="174"/>
      <c r="M92" s="174"/>
      <c r="N92" s="174"/>
      <c r="O92" s="174"/>
      <c r="P92" s="174"/>
      <c r="Q92" s="174"/>
    </row>
    <row r="93" spans="1:17" s="178" customFormat="1" ht="18" customHeight="1" x14ac:dyDescent="0.3">
      <c r="A93" s="174"/>
      <c r="B93" s="175"/>
      <c r="C93" s="271" t="s">
        <v>208</v>
      </c>
      <c r="D93" s="271"/>
      <c r="E93" s="271"/>
      <c r="F93" s="271"/>
      <c r="G93" s="271"/>
      <c r="H93" s="177"/>
      <c r="I93" s="174"/>
      <c r="J93" s="174"/>
      <c r="K93" s="174"/>
      <c r="L93" s="174"/>
      <c r="M93" s="174"/>
      <c r="N93" s="174"/>
      <c r="O93" s="174"/>
      <c r="P93" s="174"/>
      <c r="Q93" s="174"/>
    </row>
    <row r="94" spans="1:17" s="178" customFormat="1" ht="18" customHeight="1" x14ac:dyDescent="0.3">
      <c r="A94" s="174"/>
      <c r="B94" s="175"/>
      <c r="C94" s="271" t="s">
        <v>209</v>
      </c>
      <c r="D94" s="271"/>
      <c r="E94" s="271"/>
      <c r="F94" s="271"/>
      <c r="G94" s="271"/>
      <c r="H94" s="177"/>
      <c r="I94" s="174"/>
      <c r="J94" s="174"/>
      <c r="K94" s="174"/>
      <c r="L94" s="174"/>
      <c r="M94" s="174"/>
      <c r="N94" s="174"/>
      <c r="O94" s="174"/>
      <c r="P94" s="174"/>
      <c r="Q94" s="174"/>
    </row>
    <row r="95" spans="1:17" s="178" customFormat="1" ht="18" customHeight="1" x14ac:dyDescent="0.3">
      <c r="A95" s="174"/>
      <c r="B95" s="175"/>
      <c r="C95" s="301"/>
      <c r="D95" s="302"/>
      <c r="E95" s="302"/>
      <c r="F95" s="302"/>
      <c r="G95" s="302"/>
      <c r="H95" s="177"/>
      <c r="I95" s="174"/>
      <c r="J95" s="174"/>
      <c r="K95" s="174"/>
      <c r="L95" s="174"/>
      <c r="M95" s="174"/>
      <c r="N95" s="174"/>
      <c r="O95" s="174"/>
      <c r="P95" s="174"/>
      <c r="Q95" s="174"/>
    </row>
    <row r="96" spans="1:17" s="178" customFormat="1" ht="18" customHeight="1" x14ac:dyDescent="0.3">
      <c r="A96" s="174"/>
      <c r="B96" s="175"/>
      <c r="C96" s="303" t="s">
        <v>3</v>
      </c>
      <c r="D96" s="304"/>
      <c r="E96" s="304"/>
      <c r="F96" s="304"/>
      <c r="G96" s="305"/>
      <c r="H96" s="177"/>
      <c r="I96" s="174"/>
      <c r="J96" s="174"/>
      <c r="K96" s="174"/>
      <c r="L96" s="174"/>
      <c r="M96" s="174"/>
      <c r="N96" s="174"/>
      <c r="O96" s="174"/>
      <c r="P96" s="174"/>
      <c r="Q96" s="174"/>
    </row>
    <row r="97" spans="1:30" s="178" customFormat="1" ht="18" customHeight="1" x14ac:dyDescent="0.3">
      <c r="A97" s="174"/>
      <c r="B97" s="175"/>
      <c r="C97" s="184"/>
      <c r="D97" s="184"/>
      <c r="E97" s="184"/>
      <c r="F97" s="184"/>
      <c r="G97" s="183"/>
      <c r="H97" s="177"/>
      <c r="I97" s="174"/>
      <c r="J97" s="174"/>
      <c r="K97" s="174"/>
      <c r="L97" s="174"/>
      <c r="M97" s="174"/>
      <c r="N97" s="174"/>
      <c r="O97" s="174"/>
      <c r="P97" s="174"/>
      <c r="Q97" s="174"/>
    </row>
    <row r="98" spans="1:30" s="178" customFormat="1" ht="18" customHeight="1" x14ac:dyDescent="0.3">
      <c r="A98" s="174"/>
      <c r="B98" s="175"/>
      <c r="C98" s="185"/>
      <c r="D98" s="184"/>
      <c r="E98" s="165" t="s">
        <v>110</v>
      </c>
      <c r="F98" s="164"/>
      <c r="G98" s="183"/>
      <c r="H98" s="177"/>
      <c r="I98" s="174"/>
      <c r="J98" s="174"/>
      <c r="K98" s="174"/>
      <c r="L98" s="174"/>
      <c r="M98" s="174"/>
      <c r="N98" s="174"/>
      <c r="O98" s="174"/>
      <c r="P98" s="174"/>
      <c r="Q98" s="174"/>
    </row>
    <row r="99" spans="1:30" s="178" customFormat="1" ht="18" customHeight="1" x14ac:dyDescent="0.3">
      <c r="A99" s="174"/>
      <c r="B99" s="175"/>
      <c r="C99" s="186"/>
      <c r="D99" s="184"/>
      <c r="E99" s="165" t="s">
        <v>111</v>
      </c>
      <c r="F99" s="164"/>
      <c r="G99" s="183"/>
      <c r="H99" s="177"/>
      <c r="I99" s="174"/>
      <c r="J99" s="174"/>
      <c r="K99" s="174"/>
      <c r="L99" s="174"/>
      <c r="M99" s="174"/>
      <c r="N99" s="174"/>
      <c r="O99" s="174"/>
      <c r="P99" s="174"/>
      <c r="Q99" s="174"/>
    </row>
    <row r="100" spans="1:30" s="178" customFormat="1" ht="18" customHeight="1" x14ac:dyDescent="0.3">
      <c r="A100" s="174"/>
      <c r="B100" s="175"/>
      <c r="C100" s="187"/>
      <c r="D100" s="184"/>
      <c r="E100" s="165" t="s">
        <v>294</v>
      </c>
      <c r="F100" s="165"/>
      <c r="G100" s="183"/>
      <c r="H100" s="177"/>
      <c r="I100" s="174"/>
      <c r="J100" s="174"/>
      <c r="K100" s="174"/>
      <c r="L100" s="174"/>
      <c r="M100" s="174"/>
      <c r="N100" s="174"/>
      <c r="O100" s="174"/>
      <c r="P100" s="174"/>
      <c r="Q100" s="174"/>
    </row>
    <row r="101" spans="1:30" s="178" customFormat="1" ht="18" customHeight="1" x14ac:dyDescent="0.3">
      <c r="A101" s="174"/>
      <c r="B101" s="175"/>
      <c r="C101" s="163"/>
      <c r="D101" s="183"/>
      <c r="E101" s="183"/>
      <c r="F101" s="183"/>
      <c r="G101" s="183"/>
      <c r="H101" s="177"/>
      <c r="I101" s="174"/>
      <c r="J101" s="174"/>
      <c r="K101" s="174"/>
      <c r="L101" s="174"/>
      <c r="M101" s="174"/>
      <c r="N101" s="174"/>
      <c r="O101" s="174"/>
      <c r="P101" s="174"/>
      <c r="Q101" s="174"/>
    </row>
    <row r="102" spans="1:30" s="191" customFormat="1" ht="18" customHeight="1" x14ac:dyDescent="0.3">
      <c r="A102" s="188"/>
      <c r="B102" s="189"/>
      <c r="C102" s="312" t="s">
        <v>3</v>
      </c>
      <c r="D102" s="312"/>
      <c r="E102" s="312"/>
      <c r="F102" s="312"/>
      <c r="G102" s="151"/>
      <c r="H102" s="190"/>
      <c r="I102" s="188"/>
      <c r="J102" s="188"/>
      <c r="K102" s="188"/>
      <c r="L102" s="188"/>
      <c r="M102" s="188"/>
      <c r="N102" s="174"/>
      <c r="O102" s="174"/>
      <c r="P102" s="174"/>
      <c r="Q102" s="174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</row>
    <row r="103" spans="1:30" s="178" customFormat="1" ht="18" customHeight="1" x14ac:dyDescent="0.3">
      <c r="A103" s="174"/>
      <c r="B103" s="175"/>
      <c r="C103" s="192"/>
      <c r="D103" s="192"/>
      <c r="E103" s="192"/>
      <c r="F103" s="192"/>
      <c r="G103" s="192"/>
      <c r="H103" s="177"/>
      <c r="I103" s="174"/>
      <c r="J103" s="174"/>
      <c r="K103" s="174"/>
      <c r="L103" s="174"/>
      <c r="M103" s="174"/>
      <c r="N103" s="174"/>
      <c r="O103" s="174"/>
      <c r="P103" s="174"/>
      <c r="Q103" s="174"/>
    </row>
    <row r="104" spans="1:30" s="178" customFormat="1" ht="18" customHeight="1" x14ac:dyDescent="0.3">
      <c r="A104" s="174"/>
      <c r="B104" s="166"/>
      <c r="C104" s="156">
        <v>1</v>
      </c>
      <c r="D104" s="275" t="s">
        <v>128</v>
      </c>
      <c r="E104" s="275"/>
      <c r="F104" s="275"/>
      <c r="G104" s="275"/>
      <c r="H104" s="177"/>
      <c r="I104" s="174"/>
      <c r="J104" s="174"/>
      <c r="K104" s="174"/>
      <c r="L104" s="174"/>
      <c r="M104" s="174"/>
      <c r="N104" s="174"/>
      <c r="O104" s="174"/>
      <c r="P104" s="174"/>
      <c r="Q104" s="174"/>
    </row>
    <row r="105" spans="1:30" s="178" customFormat="1" ht="18" customHeight="1" x14ac:dyDescent="0.3">
      <c r="A105" s="174"/>
      <c r="B105" s="166"/>
      <c r="C105" s="156"/>
      <c r="D105" s="151"/>
      <c r="E105" s="193" t="s">
        <v>141</v>
      </c>
      <c r="F105" s="271" t="s">
        <v>154</v>
      </c>
      <c r="G105" s="271"/>
      <c r="H105" s="177"/>
      <c r="I105" s="174"/>
      <c r="J105" s="174"/>
      <c r="K105" s="174"/>
      <c r="L105" s="174"/>
      <c r="M105" s="174"/>
      <c r="N105" s="174"/>
      <c r="O105" s="174"/>
      <c r="P105" s="174"/>
      <c r="Q105" s="174"/>
    </row>
    <row r="106" spans="1:30" s="178" customFormat="1" ht="18" customHeight="1" x14ac:dyDescent="0.3">
      <c r="A106" s="174"/>
      <c r="B106" s="189"/>
      <c r="C106" s="151"/>
      <c r="D106" s="151"/>
      <c r="E106" s="151" t="s">
        <v>141</v>
      </c>
      <c r="F106" s="271" t="s">
        <v>153</v>
      </c>
      <c r="G106" s="271"/>
      <c r="H106" s="177"/>
      <c r="I106" s="174"/>
      <c r="J106" s="174"/>
      <c r="K106" s="174"/>
      <c r="L106" s="174"/>
      <c r="M106" s="174"/>
      <c r="N106" s="174"/>
      <c r="O106" s="174"/>
      <c r="P106" s="174"/>
      <c r="Q106" s="174"/>
    </row>
    <row r="107" spans="1:30" s="178" customFormat="1" ht="18" customHeight="1" x14ac:dyDescent="0.3">
      <c r="A107" s="174"/>
      <c r="B107" s="189"/>
      <c r="C107" s="151"/>
      <c r="D107" s="151"/>
      <c r="E107" s="151" t="s">
        <v>141</v>
      </c>
      <c r="F107" s="306" t="s">
        <v>155</v>
      </c>
      <c r="G107" s="306"/>
      <c r="H107" s="194"/>
      <c r="I107" s="174"/>
      <c r="J107" s="174"/>
      <c r="K107" s="174"/>
      <c r="L107" s="174"/>
      <c r="M107" s="174"/>
      <c r="N107" s="174"/>
      <c r="O107" s="174"/>
      <c r="P107" s="174"/>
      <c r="Q107" s="174"/>
    </row>
    <row r="108" spans="1:30" s="178" customFormat="1" ht="18" customHeight="1" x14ac:dyDescent="0.3">
      <c r="A108" s="174"/>
      <c r="B108" s="189"/>
      <c r="C108" s="151"/>
      <c r="D108" s="151"/>
      <c r="E108" s="193"/>
      <c r="F108" s="123"/>
      <c r="G108" s="123"/>
      <c r="H108" s="194"/>
      <c r="I108" s="174"/>
      <c r="J108" s="174"/>
      <c r="K108" s="174"/>
      <c r="L108" s="174"/>
      <c r="M108" s="174"/>
      <c r="N108" s="174"/>
      <c r="O108" s="174"/>
      <c r="P108" s="174"/>
      <c r="Q108" s="174"/>
    </row>
    <row r="109" spans="1:30" s="178" customFormat="1" ht="18" customHeight="1" x14ac:dyDescent="0.3">
      <c r="A109" s="174"/>
      <c r="B109" s="166"/>
      <c r="C109" s="156">
        <v>2</v>
      </c>
      <c r="D109" s="307" t="s">
        <v>150</v>
      </c>
      <c r="E109" s="308"/>
      <c r="F109" s="309"/>
      <c r="G109" s="310"/>
      <c r="H109" s="177"/>
      <c r="I109" s="174"/>
      <c r="J109" s="174"/>
      <c r="K109" s="174"/>
      <c r="L109" s="174"/>
      <c r="M109" s="174"/>
      <c r="N109" s="174"/>
      <c r="O109" s="174"/>
      <c r="P109" s="174"/>
      <c r="Q109" s="174"/>
    </row>
    <row r="110" spans="1:30" s="178" customFormat="1" ht="18" customHeight="1" x14ac:dyDescent="0.3">
      <c r="A110" s="174"/>
      <c r="B110" s="166"/>
      <c r="C110" s="156"/>
      <c r="D110" s="122"/>
      <c r="E110" s="122" t="s">
        <v>141</v>
      </c>
      <c r="F110" s="272" t="s">
        <v>210</v>
      </c>
      <c r="G110" s="273"/>
      <c r="H110" s="177"/>
      <c r="I110" s="174"/>
      <c r="J110" s="174"/>
      <c r="K110" s="174"/>
      <c r="L110" s="174"/>
      <c r="M110" s="174"/>
      <c r="N110" s="174"/>
      <c r="O110" s="174"/>
      <c r="P110" s="174"/>
      <c r="Q110" s="174"/>
    </row>
    <row r="111" spans="1:30" s="178" customFormat="1" ht="18" customHeight="1" x14ac:dyDescent="0.3">
      <c r="A111" s="174"/>
      <c r="B111" s="166"/>
      <c r="C111" s="156"/>
      <c r="D111" s="122"/>
      <c r="E111" s="122"/>
      <c r="F111" s="272" t="s">
        <v>211</v>
      </c>
      <c r="G111" s="273"/>
      <c r="H111" s="177"/>
      <c r="I111" s="174"/>
      <c r="J111" s="174"/>
      <c r="K111" s="174"/>
      <c r="L111" s="174"/>
      <c r="M111" s="174"/>
      <c r="N111" s="174"/>
      <c r="O111" s="174"/>
      <c r="P111" s="174"/>
      <c r="Q111" s="174"/>
    </row>
    <row r="112" spans="1:30" s="178" customFormat="1" ht="18" customHeight="1" x14ac:dyDescent="0.3">
      <c r="A112" s="174"/>
      <c r="B112" s="166"/>
      <c r="C112" s="156"/>
      <c r="D112" s="122"/>
      <c r="E112" s="122"/>
      <c r="F112" s="272" t="s">
        <v>212</v>
      </c>
      <c r="G112" s="273"/>
      <c r="H112" s="177"/>
      <c r="I112" s="174"/>
      <c r="J112" s="174"/>
      <c r="K112" s="174"/>
      <c r="L112" s="174"/>
      <c r="M112" s="174"/>
      <c r="N112" s="174"/>
      <c r="O112" s="174"/>
      <c r="P112" s="174"/>
      <c r="Q112" s="174"/>
    </row>
    <row r="113" spans="1:17" s="178" customFormat="1" ht="18" customHeight="1" x14ac:dyDescent="0.3">
      <c r="A113" s="174"/>
      <c r="B113" s="166"/>
      <c r="C113" s="156"/>
      <c r="D113" s="122"/>
      <c r="E113" s="122" t="s">
        <v>141</v>
      </c>
      <c r="F113" s="272" t="s">
        <v>213</v>
      </c>
      <c r="G113" s="273"/>
      <c r="H113" s="177"/>
      <c r="I113" s="174"/>
      <c r="J113" s="174"/>
      <c r="K113" s="174"/>
      <c r="L113" s="174"/>
      <c r="M113" s="174"/>
      <c r="N113" s="174"/>
      <c r="O113" s="174"/>
      <c r="P113" s="174"/>
      <c r="Q113" s="174"/>
    </row>
    <row r="114" spans="1:17" s="178" customFormat="1" ht="18" customHeight="1" x14ac:dyDescent="0.3">
      <c r="A114" s="174"/>
      <c r="B114" s="166"/>
      <c r="C114" s="156"/>
      <c r="D114" s="122"/>
      <c r="E114" s="122"/>
      <c r="F114" s="272" t="s">
        <v>214</v>
      </c>
      <c r="G114" s="273"/>
      <c r="H114" s="177"/>
      <c r="I114" s="174"/>
      <c r="J114" s="174"/>
      <c r="K114" s="174"/>
      <c r="L114" s="174"/>
      <c r="M114" s="174"/>
      <c r="N114" s="174"/>
      <c r="O114" s="174"/>
      <c r="P114" s="174"/>
      <c r="Q114" s="174"/>
    </row>
    <row r="115" spans="1:17" s="178" customFormat="1" ht="18" customHeight="1" x14ac:dyDescent="0.3">
      <c r="A115" s="174"/>
      <c r="B115" s="166"/>
      <c r="C115" s="122"/>
      <c r="D115" s="122"/>
      <c r="E115" s="122" t="s">
        <v>141</v>
      </c>
      <c r="F115" s="272" t="s">
        <v>215</v>
      </c>
      <c r="G115" s="273"/>
      <c r="H115" s="177"/>
      <c r="I115" s="174"/>
      <c r="J115" s="174"/>
      <c r="K115" s="174"/>
      <c r="L115" s="174"/>
      <c r="M115" s="174"/>
      <c r="N115" s="174"/>
      <c r="O115" s="174"/>
      <c r="P115" s="174"/>
      <c r="Q115" s="174"/>
    </row>
    <row r="116" spans="1:17" s="178" customFormat="1" ht="18" customHeight="1" x14ac:dyDescent="0.3">
      <c r="A116" s="174"/>
      <c r="B116" s="166"/>
      <c r="C116" s="155"/>
      <c r="D116" s="126"/>
      <c r="E116" s="155"/>
      <c r="F116" s="272" t="s">
        <v>216</v>
      </c>
      <c r="G116" s="273"/>
      <c r="H116" s="177"/>
      <c r="I116" s="174"/>
      <c r="J116" s="174"/>
      <c r="K116" s="174"/>
      <c r="L116" s="174"/>
      <c r="M116" s="174"/>
      <c r="N116" s="174"/>
      <c r="O116" s="174"/>
      <c r="P116" s="174"/>
      <c r="Q116" s="174"/>
    </row>
    <row r="117" spans="1:17" s="178" customFormat="1" ht="18" customHeight="1" x14ac:dyDescent="0.3">
      <c r="A117" s="174"/>
      <c r="B117" s="166"/>
      <c r="C117" s="155"/>
      <c r="D117" s="126"/>
      <c r="E117" s="155"/>
      <c r="F117" s="272" t="s">
        <v>217</v>
      </c>
      <c r="G117" s="273"/>
      <c r="H117" s="177"/>
      <c r="I117" s="174"/>
      <c r="J117" s="174"/>
      <c r="K117" s="174"/>
      <c r="L117" s="174"/>
      <c r="M117" s="174"/>
      <c r="N117" s="174"/>
      <c r="O117" s="174"/>
      <c r="P117" s="174"/>
      <c r="Q117" s="174"/>
    </row>
    <row r="118" spans="1:17" s="178" customFormat="1" ht="18" customHeight="1" x14ac:dyDescent="0.3">
      <c r="A118" s="174"/>
      <c r="B118" s="166"/>
      <c r="C118" s="155"/>
      <c r="D118" s="126"/>
      <c r="E118" s="155"/>
      <c r="F118" s="272" t="s">
        <v>218</v>
      </c>
      <c r="G118" s="273"/>
      <c r="H118" s="177"/>
      <c r="I118" s="174"/>
      <c r="J118" s="174"/>
      <c r="K118" s="174"/>
      <c r="L118" s="174"/>
      <c r="M118" s="174"/>
      <c r="N118" s="174"/>
      <c r="O118" s="174"/>
      <c r="P118" s="174"/>
      <c r="Q118" s="174"/>
    </row>
    <row r="119" spans="1:17" s="178" customFormat="1" ht="18" customHeight="1" x14ac:dyDescent="0.3">
      <c r="A119" s="174"/>
      <c r="B119" s="166"/>
      <c r="C119" s="155"/>
      <c r="D119" s="126"/>
      <c r="E119" s="195"/>
      <c r="F119" s="126"/>
      <c r="G119" s="126"/>
      <c r="H119" s="177"/>
      <c r="I119" s="174"/>
      <c r="J119" s="174"/>
      <c r="K119" s="174"/>
      <c r="L119" s="174"/>
      <c r="M119" s="174"/>
      <c r="N119" s="174"/>
      <c r="O119" s="174"/>
      <c r="P119" s="174"/>
      <c r="Q119" s="174"/>
    </row>
    <row r="120" spans="1:17" s="178" customFormat="1" ht="18" customHeight="1" x14ac:dyDescent="0.3">
      <c r="A120" s="174"/>
      <c r="B120" s="166"/>
      <c r="C120" s="156">
        <v>3</v>
      </c>
      <c r="D120" s="311" t="s">
        <v>127</v>
      </c>
      <c r="E120" s="311"/>
      <c r="F120" s="311"/>
      <c r="G120" s="311"/>
      <c r="H120" s="177"/>
      <c r="I120" s="174"/>
      <c r="J120" s="174"/>
      <c r="K120" s="174"/>
      <c r="L120" s="174"/>
      <c r="M120" s="174"/>
      <c r="N120" s="174"/>
      <c r="O120" s="174"/>
      <c r="P120" s="174"/>
      <c r="Q120" s="174"/>
    </row>
    <row r="121" spans="1:17" s="178" customFormat="1" ht="18" customHeight="1" x14ac:dyDescent="0.3">
      <c r="A121" s="174"/>
      <c r="B121" s="166"/>
      <c r="C121" s="156"/>
      <c r="D121" s="167"/>
      <c r="E121" s="168"/>
      <c r="F121" s="153" t="s">
        <v>149</v>
      </c>
      <c r="G121" s="153"/>
      <c r="H121" s="177"/>
      <c r="I121" s="174"/>
      <c r="J121" s="174"/>
      <c r="K121" s="174"/>
      <c r="L121" s="174"/>
      <c r="M121" s="174"/>
      <c r="N121" s="174"/>
      <c r="O121" s="174"/>
      <c r="P121" s="174"/>
      <c r="Q121" s="174"/>
    </row>
    <row r="122" spans="1:17" s="178" customFormat="1" ht="18" customHeight="1" x14ac:dyDescent="0.3">
      <c r="A122" s="174"/>
      <c r="B122" s="166"/>
      <c r="C122" s="156"/>
      <c r="D122" s="167"/>
      <c r="E122" s="168" t="s">
        <v>141</v>
      </c>
      <c r="F122" s="271" t="s">
        <v>219</v>
      </c>
      <c r="G122" s="271"/>
      <c r="H122" s="177"/>
      <c r="I122" s="174"/>
      <c r="J122" s="174"/>
      <c r="K122" s="174"/>
      <c r="L122" s="174"/>
      <c r="M122" s="174"/>
      <c r="N122" s="174"/>
      <c r="O122" s="174"/>
      <c r="P122" s="174"/>
      <c r="Q122" s="174"/>
    </row>
    <row r="123" spans="1:17" s="178" customFormat="1" ht="18" customHeight="1" x14ac:dyDescent="0.3">
      <c r="A123" s="174"/>
      <c r="B123" s="166"/>
      <c r="C123" s="156"/>
      <c r="D123" s="167"/>
      <c r="E123" s="168"/>
      <c r="F123" s="271" t="s">
        <v>220</v>
      </c>
      <c r="G123" s="271"/>
      <c r="H123" s="177"/>
      <c r="I123" s="174"/>
      <c r="J123" s="174"/>
      <c r="K123" s="174"/>
      <c r="L123" s="174"/>
      <c r="M123" s="174"/>
      <c r="N123" s="174"/>
      <c r="O123" s="174"/>
      <c r="P123" s="174"/>
      <c r="Q123" s="174"/>
    </row>
    <row r="124" spans="1:17" s="178" customFormat="1" ht="18" customHeight="1" x14ac:dyDescent="0.3">
      <c r="A124" s="174"/>
      <c r="B124" s="166"/>
      <c r="C124" s="156"/>
      <c r="D124" s="167"/>
      <c r="E124" s="168"/>
      <c r="F124" s="275" t="s">
        <v>148</v>
      </c>
      <c r="G124" s="275"/>
      <c r="H124" s="177"/>
      <c r="I124" s="174"/>
      <c r="J124" s="174"/>
      <c r="K124" s="174"/>
      <c r="L124" s="174"/>
      <c r="M124" s="174"/>
      <c r="N124" s="174"/>
      <c r="O124" s="174"/>
      <c r="P124" s="174"/>
      <c r="Q124" s="174"/>
    </row>
    <row r="125" spans="1:17" s="178" customFormat="1" ht="18" customHeight="1" x14ac:dyDescent="0.3">
      <c r="A125" s="174"/>
      <c r="B125" s="166"/>
      <c r="C125" s="156"/>
      <c r="D125" s="167"/>
      <c r="E125" s="168" t="s">
        <v>141</v>
      </c>
      <c r="F125" s="271" t="s">
        <v>221</v>
      </c>
      <c r="G125" s="271"/>
      <c r="H125" s="177"/>
      <c r="I125" s="174"/>
      <c r="J125" s="174"/>
      <c r="K125" s="174"/>
      <c r="L125" s="174"/>
      <c r="M125" s="174"/>
      <c r="N125" s="174"/>
      <c r="O125" s="174"/>
      <c r="P125" s="174"/>
      <c r="Q125" s="174"/>
    </row>
    <row r="126" spans="1:17" s="178" customFormat="1" ht="18" customHeight="1" x14ac:dyDescent="0.3">
      <c r="A126" s="174"/>
      <c r="B126" s="166"/>
      <c r="C126" s="156"/>
      <c r="D126" s="167"/>
      <c r="E126" s="168"/>
      <c r="F126" s="271" t="s">
        <v>222</v>
      </c>
      <c r="G126" s="271"/>
      <c r="H126" s="177"/>
      <c r="I126" s="174"/>
      <c r="J126" s="174"/>
      <c r="K126" s="174"/>
      <c r="L126" s="174"/>
      <c r="M126" s="174"/>
      <c r="N126" s="174"/>
      <c r="O126" s="174"/>
      <c r="P126" s="174"/>
      <c r="Q126" s="174"/>
    </row>
    <row r="127" spans="1:17" s="178" customFormat="1" ht="18" customHeight="1" x14ac:dyDescent="0.3">
      <c r="A127" s="174"/>
      <c r="B127" s="166"/>
      <c r="C127" s="156"/>
      <c r="D127" s="167"/>
      <c r="E127" s="168" t="s">
        <v>141</v>
      </c>
      <c r="F127" s="274" t="s">
        <v>223</v>
      </c>
      <c r="G127" s="270"/>
      <c r="H127" s="177"/>
      <c r="I127" s="174"/>
      <c r="J127" s="174"/>
      <c r="K127" s="174"/>
      <c r="L127" s="174"/>
      <c r="M127" s="174"/>
      <c r="N127" s="174"/>
      <c r="O127" s="174"/>
      <c r="P127" s="174"/>
      <c r="Q127" s="174"/>
    </row>
    <row r="128" spans="1:17" s="178" customFormat="1" ht="18" customHeight="1" x14ac:dyDescent="0.3">
      <c r="A128" s="174"/>
      <c r="B128" s="166"/>
      <c r="C128" s="156"/>
      <c r="D128" s="167"/>
      <c r="E128" s="168"/>
      <c r="F128" s="270" t="s">
        <v>224</v>
      </c>
      <c r="G128" s="270"/>
      <c r="H128" s="177"/>
      <c r="I128" s="174"/>
      <c r="J128" s="174"/>
      <c r="K128" s="174"/>
      <c r="L128" s="174"/>
      <c r="M128" s="174"/>
      <c r="N128" s="174"/>
      <c r="O128" s="174"/>
      <c r="P128" s="174"/>
      <c r="Q128" s="174"/>
    </row>
    <row r="129" spans="1:17" s="178" customFormat="1" ht="18" customHeight="1" x14ac:dyDescent="0.3">
      <c r="A129" s="174"/>
      <c r="B129" s="166"/>
      <c r="C129" s="156"/>
      <c r="D129" s="167"/>
      <c r="E129" s="168" t="s">
        <v>141</v>
      </c>
      <c r="F129" s="274" t="s">
        <v>225</v>
      </c>
      <c r="G129" s="270"/>
      <c r="H129" s="177"/>
      <c r="I129" s="174"/>
      <c r="J129" s="174"/>
      <c r="K129" s="174"/>
      <c r="L129" s="174"/>
      <c r="M129" s="174"/>
      <c r="N129" s="174"/>
      <c r="O129" s="174"/>
      <c r="P129" s="174"/>
      <c r="Q129" s="174"/>
    </row>
    <row r="130" spans="1:17" s="178" customFormat="1" ht="18" customHeight="1" x14ac:dyDescent="0.3">
      <c r="A130" s="174"/>
      <c r="B130" s="166"/>
      <c r="C130" s="156"/>
      <c r="D130" s="167"/>
      <c r="E130" s="168"/>
      <c r="F130" s="270" t="s">
        <v>226</v>
      </c>
      <c r="G130" s="270"/>
      <c r="H130" s="177"/>
      <c r="I130" s="174"/>
      <c r="J130" s="174"/>
      <c r="K130" s="174"/>
      <c r="L130" s="174"/>
      <c r="M130" s="174"/>
      <c r="N130" s="174"/>
      <c r="O130" s="174"/>
      <c r="P130" s="174"/>
      <c r="Q130" s="174"/>
    </row>
    <row r="131" spans="1:17" s="178" customFormat="1" ht="18" customHeight="1" x14ac:dyDescent="0.3">
      <c r="A131" s="174"/>
      <c r="B131" s="166"/>
      <c r="C131" s="156"/>
      <c r="D131" s="167"/>
      <c r="E131" s="168"/>
      <c r="F131" s="270" t="s">
        <v>227</v>
      </c>
      <c r="G131" s="270"/>
      <c r="H131" s="177"/>
      <c r="I131" s="174"/>
      <c r="J131" s="174"/>
      <c r="K131" s="174"/>
      <c r="L131" s="174"/>
      <c r="M131" s="174"/>
      <c r="N131" s="174"/>
      <c r="O131" s="174"/>
      <c r="P131" s="174"/>
      <c r="Q131" s="174"/>
    </row>
    <row r="132" spans="1:17" s="178" customFormat="1" ht="18" customHeight="1" x14ac:dyDescent="0.3">
      <c r="A132" s="174"/>
      <c r="B132" s="166"/>
      <c r="C132" s="156"/>
      <c r="D132" s="167"/>
      <c r="E132" s="168"/>
      <c r="F132" s="275" t="s">
        <v>228</v>
      </c>
      <c r="G132" s="275"/>
      <c r="H132" s="177"/>
      <c r="I132" s="174"/>
      <c r="J132" s="174"/>
      <c r="K132" s="174"/>
      <c r="L132" s="174"/>
      <c r="M132" s="174"/>
      <c r="N132" s="174"/>
      <c r="O132" s="174"/>
      <c r="P132" s="174"/>
      <c r="Q132" s="174"/>
    </row>
    <row r="133" spans="1:17" s="178" customFormat="1" ht="18" customHeight="1" x14ac:dyDescent="0.3">
      <c r="A133" s="174"/>
      <c r="B133" s="166"/>
      <c r="C133" s="156"/>
      <c r="D133" s="167"/>
      <c r="E133" s="168" t="s">
        <v>141</v>
      </c>
      <c r="F133" s="271" t="s">
        <v>142</v>
      </c>
      <c r="G133" s="271"/>
      <c r="H133" s="177"/>
      <c r="I133" s="174"/>
      <c r="J133" s="174"/>
      <c r="K133" s="174"/>
      <c r="L133" s="174"/>
      <c r="M133" s="174"/>
      <c r="N133" s="174"/>
      <c r="O133" s="174"/>
      <c r="P133" s="174"/>
      <c r="Q133" s="174"/>
    </row>
    <row r="134" spans="1:17" s="178" customFormat="1" ht="18" customHeight="1" x14ac:dyDescent="0.3">
      <c r="A134" s="174"/>
      <c r="B134" s="166"/>
      <c r="C134" s="156"/>
      <c r="D134" s="167"/>
      <c r="E134" s="168"/>
      <c r="F134" s="169" t="s">
        <v>289</v>
      </c>
      <c r="G134" s="153"/>
      <c r="H134" s="177"/>
      <c r="I134" s="174"/>
      <c r="J134" s="174"/>
      <c r="K134" s="174"/>
      <c r="L134" s="174"/>
      <c r="M134" s="174"/>
      <c r="N134" s="174"/>
      <c r="O134" s="174"/>
      <c r="P134" s="174"/>
      <c r="Q134" s="174"/>
    </row>
    <row r="135" spans="1:17" s="178" customFormat="1" ht="18" customHeight="1" x14ac:dyDescent="0.3">
      <c r="A135" s="174"/>
      <c r="B135" s="166"/>
      <c r="C135" s="156"/>
      <c r="D135" s="167"/>
      <c r="E135" s="168"/>
      <c r="F135" s="271" t="s">
        <v>163</v>
      </c>
      <c r="G135" s="271"/>
      <c r="H135" s="177"/>
      <c r="I135" s="174"/>
      <c r="J135" s="174"/>
      <c r="K135" s="174"/>
      <c r="L135" s="174"/>
      <c r="M135" s="174"/>
      <c r="N135" s="174"/>
      <c r="O135" s="174"/>
      <c r="P135" s="174"/>
      <c r="Q135" s="174"/>
    </row>
    <row r="136" spans="1:17" s="178" customFormat="1" ht="18" customHeight="1" x14ac:dyDescent="0.3">
      <c r="A136" s="174"/>
      <c r="B136" s="166"/>
      <c r="C136" s="156"/>
      <c r="D136" s="167"/>
      <c r="E136" s="168" t="s">
        <v>141</v>
      </c>
      <c r="F136" s="271" t="s">
        <v>229</v>
      </c>
      <c r="G136" s="271"/>
      <c r="H136" s="177"/>
      <c r="I136" s="174"/>
      <c r="J136" s="174"/>
      <c r="K136" s="174"/>
      <c r="L136" s="174"/>
      <c r="M136" s="174"/>
      <c r="N136" s="174"/>
      <c r="O136" s="174"/>
      <c r="P136" s="174"/>
      <c r="Q136" s="174"/>
    </row>
    <row r="137" spans="1:17" s="178" customFormat="1" ht="18" customHeight="1" x14ac:dyDescent="0.3">
      <c r="A137" s="174"/>
      <c r="B137" s="166"/>
      <c r="C137" s="156"/>
      <c r="D137" s="167"/>
      <c r="E137" s="168"/>
      <c r="F137" s="271" t="s">
        <v>292</v>
      </c>
      <c r="G137" s="271"/>
      <c r="H137" s="177"/>
      <c r="I137" s="174"/>
      <c r="J137" s="174"/>
      <c r="K137" s="174"/>
      <c r="L137" s="174"/>
      <c r="M137" s="174"/>
      <c r="N137" s="174"/>
      <c r="O137" s="174"/>
      <c r="P137" s="174"/>
      <c r="Q137" s="174"/>
    </row>
    <row r="138" spans="1:17" s="178" customFormat="1" ht="18" customHeight="1" x14ac:dyDescent="0.3">
      <c r="A138" s="174"/>
      <c r="B138" s="166"/>
      <c r="C138" s="156"/>
      <c r="D138" s="167"/>
      <c r="E138" s="168" t="s">
        <v>141</v>
      </c>
      <c r="F138" s="271" t="s">
        <v>230</v>
      </c>
      <c r="G138" s="271"/>
      <c r="H138" s="177"/>
      <c r="I138" s="174"/>
      <c r="J138" s="174"/>
      <c r="K138" s="174"/>
      <c r="L138" s="174"/>
      <c r="M138" s="174"/>
      <c r="N138" s="174"/>
      <c r="O138" s="174"/>
      <c r="P138" s="174"/>
      <c r="Q138" s="174"/>
    </row>
    <row r="139" spans="1:17" s="178" customFormat="1" ht="18" customHeight="1" x14ac:dyDescent="0.3">
      <c r="A139" s="174"/>
      <c r="B139" s="166"/>
      <c r="C139" s="156"/>
      <c r="D139" s="167"/>
      <c r="E139" s="168"/>
      <c r="F139" s="271" t="s">
        <v>231</v>
      </c>
      <c r="G139" s="271"/>
      <c r="H139" s="177"/>
      <c r="I139" s="174"/>
      <c r="J139" s="174"/>
      <c r="K139" s="174"/>
      <c r="L139" s="174"/>
      <c r="M139" s="174"/>
      <c r="N139" s="174"/>
      <c r="O139" s="174"/>
      <c r="P139" s="174"/>
      <c r="Q139" s="174"/>
    </row>
    <row r="140" spans="1:17" s="178" customFormat="1" ht="18" customHeight="1" x14ac:dyDescent="0.3">
      <c r="A140" s="174"/>
      <c r="B140" s="166"/>
      <c r="C140" s="156"/>
      <c r="D140" s="167"/>
      <c r="E140" s="168"/>
      <c r="F140" s="271" t="s">
        <v>232</v>
      </c>
      <c r="G140" s="271"/>
      <c r="H140" s="177"/>
      <c r="I140" s="174"/>
      <c r="J140" s="174"/>
      <c r="K140" s="174"/>
      <c r="L140" s="174"/>
      <c r="M140" s="174"/>
      <c r="N140" s="174"/>
      <c r="O140" s="174"/>
      <c r="P140" s="174"/>
      <c r="Q140" s="174"/>
    </row>
    <row r="141" spans="1:17" s="178" customFormat="1" ht="18" customHeight="1" x14ac:dyDescent="0.3">
      <c r="A141" s="174"/>
      <c r="B141" s="166"/>
      <c r="C141" s="172"/>
      <c r="D141" s="167"/>
      <c r="E141" s="168" t="s">
        <v>141</v>
      </c>
      <c r="F141" s="276" t="s">
        <v>233</v>
      </c>
      <c r="G141" s="273"/>
      <c r="H141" s="177"/>
      <c r="I141" s="174"/>
      <c r="J141" s="174"/>
      <c r="K141" s="174"/>
      <c r="L141" s="174"/>
      <c r="M141" s="174"/>
      <c r="N141" s="174"/>
      <c r="O141" s="174"/>
      <c r="P141" s="174"/>
      <c r="Q141" s="174"/>
    </row>
    <row r="142" spans="1:17" s="178" customFormat="1" ht="18" customHeight="1" x14ac:dyDescent="0.3">
      <c r="A142" s="174"/>
      <c r="B142" s="166"/>
      <c r="C142" s="155"/>
      <c r="D142" s="167"/>
      <c r="E142" s="170"/>
      <c r="F142" s="154"/>
      <c r="G142" s="152"/>
      <c r="H142" s="177"/>
      <c r="I142" s="174"/>
      <c r="J142" s="174"/>
      <c r="K142" s="174"/>
      <c r="L142" s="174"/>
      <c r="M142" s="174"/>
      <c r="N142" s="174"/>
      <c r="O142" s="174"/>
      <c r="P142" s="174"/>
      <c r="Q142" s="174"/>
    </row>
    <row r="143" spans="1:17" s="178" customFormat="1" ht="18" customHeight="1" x14ac:dyDescent="0.3">
      <c r="A143" s="174"/>
      <c r="B143" s="166"/>
      <c r="C143" s="156">
        <v>4</v>
      </c>
      <c r="D143" s="307" t="s">
        <v>162</v>
      </c>
      <c r="E143" s="308"/>
      <c r="F143" s="309"/>
      <c r="G143" s="310"/>
      <c r="H143" s="177"/>
      <c r="I143" s="174"/>
      <c r="J143" s="174"/>
      <c r="K143" s="174"/>
      <c r="L143" s="174"/>
      <c r="M143" s="174"/>
      <c r="N143" s="174"/>
      <c r="O143" s="174"/>
      <c r="P143" s="174"/>
      <c r="Q143" s="174"/>
    </row>
    <row r="144" spans="1:17" s="178" customFormat="1" ht="18" customHeight="1" x14ac:dyDescent="0.3">
      <c r="A144" s="174"/>
      <c r="B144" s="166"/>
      <c r="C144" s="156"/>
      <c r="D144" s="158"/>
      <c r="E144" s="159" t="s">
        <v>141</v>
      </c>
      <c r="F144" s="276" t="s">
        <v>234</v>
      </c>
      <c r="G144" s="273"/>
      <c r="H144" s="177"/>
      <c r="I144" s="174"/>
      <c r="J144" s="174"/>
      <c r="K144" s="174"/>
      <c r="L144" s="174"/>
      <c r="M144" s="174"/>
      <c r="N144" s="174"/>
      <c r="O144" s="174"/>
      <c r="P144" s="174"/>
      <c r="Q144" s="174"/>
    </row>
    <row r="145" spans="1:17" s="178" customFormat="1" ht="18" customHeight="1" x14ac:dyDescent="0.3">
      <c r="A145" s="174"/>
      <c r="B145" s="166"/>
      <c r="C145" s="156"/>
      <c r="D145" s="158"/>
      <c r="E145" s="159" t="s">
        <v>141</v>
      </c>
      <c r="F145" s="276" t="s">
        <v>235</v>
      </c>
      <c r="G145" s="273"/>
      <c r="H145" s="177"/>
      <c r="I145" s="174"/>
      <c r="J145" s="174"/>
      <c r="K145" s="174"/>
      <c r="L145" s="174"/>
      <c r="M145" s="174"/>
      <c r="N145" s="174"/>
      <c r="O145" s="174"/>
      <c r="P145" s="174"/>
      <c r="Q145" s="174"/>
    </row>
    <row r="146" spans="1:17" s="178" customFormat="1" ht="18" customHeight="1" x14ac:dyDescent="0.3">
      <c r="A146" s="174"/>
      <c r="B146" s="166"/>
      <c r="C146" s="156"/>
      <c r="D146" s="158"/>
      <c r="E146" s="159" t="s">
        <v>141</v>
      </c>
      <c r="F146" s="276" t="s">
        <v>236</v>
      </c>
      <c r="G146" s="273"/>
      <c r="H146" s="177"/>
      <c r="I146" s="174"/>
      <c r="J146" s="174"/>
      <c r="K146" s="174"/>
      <c r="L146" s="174"/>
      <c r="M146" s="174"/>
      <c r="N146" s="174"/>
      <c r="O146" s="174"/>
      <c r="P146" s="174"/>
      <c r="Q146" s="174"/>
    </row>
    <row r="147" spans="1:17" s="178" customFormat="1" ht="18" customHeight="1" x14ac:dyDescent="0.3">
      <c r="A147" s="174"/>
      <c r="B147" s="166"/>
      <c r="C147" s="156"/>
      <c r="D147" s="158"/>
      <c r="E147" s="159" t="s">
        <v>141</v>
      </c>
      <c r="F147" s="276" t="s">
        <v>237</v>
      </c>
      <c r="G147" s="273"/>
      <c r="H147" s="177"/>
      <c r="I147" s="174"/>
      <c r="J147" s="174"/>
      <c r="K147" s="174"/>
      <c r="L147" s="174"/>
      <c r="M147" s="174"/>
      <c r="N147" s="174"/>
      <c r="O147" s="174"/>
      <c r="P147" s="174"/>
      <c r="Q147" s="174"/>
    </row>
    <row r="148" spans="1:17" s="178" customFormat="1" ht="18" customHeight="1" x14ac:dyDescent="0.3">
      <c r="A148" s="174"/>
      <c r="B148" s="166"/>
      <c r="C148" s="156"/>
      <c r="D148" s="158"/>
      <c r="E148" s="159" t="s">
        <v>141</v>
      </c>
      <c r="F148" s="276" t="s">
        <v>151</v>
      </c>
      <c r="G148" s="273"/>
      <c r="H148" s="177"/>
      <c r="I148" s="174"/>
      <c r="J148" s="174"/>
      <c r="K148" s="174"/>
      <c r="L148" s="174"/>
      <c r="M148" s="174"/>
      <c r="N148" s="174"/>
      <c r="O148" s="174"/>
      <c r="P148" s="174"/>
      <c r="Q148" s="174"/>
    </row>
    <row r="149" spans="1:17" s="178" customFormat="1" ht="18" customHeight="1" x14ac:dyDescent="0.3">
      <c r="A149" s="174"/>
      <c r="B149" s="166"/>
      <c r="C149" s="156"/>
      <c r="D149" s="272" t="s">
        <v>239</v>
      </c>
      <c r="E149" s="276"/>
      <c r="F149" s="276"/>
      <c r="G149" s="273"/>
      <c r="H149" s="177"/>
      <c r="I149" s="174"/>
      <c r="J149" s="174"/>
      <c r="K149" s="174"/>
      <c r="L149" s="174"/>
      <c r="M149" s="174"/>
      <c r="N149" s="174"/>
      <c r="O149" s="174"/>
      <c r="P149" s="174"/>
      <c r="Q149" s="174"/>
    </row>
    <row r="150" spans="1:17" s="178" customFormat="1" ht="18" customHeight="1" x14ac:dyDescent="0.3">
      <c r="A150" s="174"/>
      <c r="B150" s="166"/>
      <c r="C150" s="156"/>
      <c r="D150" s="272" t="s">
        <v>238</v>
      </c>
      <c r="E150" s="276"/>
      <c r="F150" s="276"/>
      <c r="G150" s="273"/>
      <c r="H150" s="177"/>
      <c r="I150" s="174"/>
      <c r="J150" s="174"/>
      <c r="K150" s="174"/>
      <c r="L150" s="174"/>
      <c r="M150" s="174"/>
      <c r="N150" s="174"/>
      <c r="O150" s="174"/>
      <c r="P150" s="174"/>
      <c r="Q150" s="174"/>
    </row>
    <row r="151" spans="1:17" s="178" customFormat="1" ht="18" customHeight="1" x14ac:dyDescent="0.3">
      <c r="A151" s="174"/>
      <c r="B151" s="166"/>
      <c r="C151" s="171"/>
      <c r="D151" s="313" t="s">
        <v>288</v>
      </c>
      <c r="E151" s="314"/>
      <c r="F151" s="314"/>
      <c r="G151" s="315"/>
      <c r="H151" s="177"/>
      <c r="I151" s="174"/>
      <c r="J151" s="174"/>
      <c r="K151" s="174"/>
      <c r="L151" s="174"/>
      <c r="M151" s="174"/>
      <c r="N151" s="174"/>
      <c r="O151" s="174"/>
      <c r="P151" s="174"/>
      <c r="Q151" s="174"/>
    </row>
    <row r="152" spans="1:17" s="178" customFormat="1" ht="18" customHeight="1" x14ac:dyDescent="0.3">
      <c r="A152" s="174"/>
      <c r="B152" s="166"/>
      <c r="C152" s="156"/>
      <c r="D152" s="313" t="s">
        <v>240</v>
      </c>
      <c r="E152" s="314"/>
      <c r="F152" s="314"/>
      <c r="G152" s="315"/>
      <c r="H152" s="177"/>
      <c r="I152" s="174"/>
      <c r="J152" s="174"/>
      <c r="K152" s="174"/>
      <c r="L152" s="174"/>
      <c r="M152" s="174"/>
      <c r="N152" s="174"/>
      <c r="O152" s="174"/>
      <c r="P152" s="174"/>
      <c r="Q152" s="174"/>
    </row>
    <row r="153" spans="1:17" s="178" customFormat="1" ht="18" customHeight="1" x14ac:dyDescent="0.3">
      <c r="A153" s="174"/>
      <c r="B153" s="166"/>
      <c r="C153" s="156"/>
      <c r="D153" s="313" t="s">
        <v>129</v>
      </c>
      <c r="E153" s="314"/>
      <c r="F153" s="314"/>
      <c r="G153" s="315"/>
      <c r="H153" s="177"/>
      <c r="I153" s="174"/>
      <c r="J153" s="174"/>
      <c r="K153" s="174"/>
      <c r="L153" s="174"/>
      <c r="M153" s="174"/>
      <c r="N153" s="174"/>
      <c r="O153" s="174"/>
      <c r="P153" s="174"/>
      <c r="Q153" s="174"/>
    </row>
    <row r="154" spans="1:17" s="178" customFormat="1" ht="18" customHeight="1" x14ac:dyDescent="0.3">
      <c r="A154" s="174"/>
      <c r="B154" s="166"/>
      <c r="C154" s="156"/>
      <c r="D154" s="160"/>
      <c r="E154" s="161"/>
      <c r="F154" s="161"/>
      <c r="G154" s="162"/>
      <c r="H154" s="177"/>
      <c r="I154" s="174"/>
      <c r="J154" s="174"/>
      <c r="K154" s="174"/>
      <c r="L154" s="174"/>
      <c r="M154" s="174"/>
      <c r="N154" s="174"/>
      <c r="O154" s="174"/>
      <c r="P154" s="174"/>
      <c r="Q154" s="174"/>
    </row>
    <row r="155" spans="1:17" s="178" customFormat="1" ht="18" customHeight="1" x14ac:dyDescent="0.3">
      <c r="A155" s="174"/>
      <c r="B155" s="166"/>
      <c r="C155" s="156">
        <v>5</v>
      </c>
      <c r="D155" s="307" t="s">
        <v>156</v>
      </c>
      <c r="E155" s="309"/>
      <c r="F155" s="309"/>
      <c r="G155" s="310"/>
      <c r="H155" s="177"/>
      <c r="I155" s="174"/>
      <c r="J155" s="174"/>
      <c r="K155" s="174"/>
      <c r="L155" s="174"/>
      <c r="M155" s="174"/>
      <c r="N155" s="174"/>
      <c r="O155" s="174"/>
      <c r="P155" s="174"/>
      <c r="Q155" s="174"/>
    </row>
    <row r="156" spans="1:17" s="178" customFormat="1" ht="18" customHeight="1" x14ac:dyDescent="0.3">
      <c r="A156" s="174"/>
      <c r="B156" s="166"/>
      <c r="C156" s="156"/>
      <c r="D156" s="272" t="s">
        <v>241</v>
      </c>
      <c r="E156" s="276"/>
      <c r="F156" s="276"/>
      <c r="G156" s="273"/>
      <c r="H156" s="177"/>
      <c r="I156" s="174"/>
      <c r="J156" s="174"/>
      <c r="K156" s="174"/>
      <c r="L156" s="174"/>
      <c r="M156" s="174"/>
      <c r="N156" s="174"/>
      <c r="O156" s="174"/>
      <c r="P156" s="174"/>
      <c r="Q156" s="174"/>
    </row>
    <row r="157" spans="1:17" s="178" customFormat="1" ht="18" customHeight="1" x14ac:dyDescent="0.3">
      <c r="A157" s="174"/>
      <c r="B157" s="166"/>
      <c r="C157" s="156"/>
      <c r="D157" s="272" t="s">
        <v>242</v>
      </c>
      <c r="E157" s="276"/>
      <c r="F157" s="276"/>
      <c r="G157" s="273"/>
      <c r="H157" s="177"/>
      <c r="I157" s="174"/>
      <c r="J157" s="174"/>
      <c r="K157" s="174"/>
      <c r="L157" s="174"/>
      <c r="M157" s="174"/>
      <c r="N157" s="174"/>
      <c r="O157" s="174"/>
      <c r="P157" s="174"/>
      <c r="Q157" s="174"/>
    </row>
    <row r="158" spans="1:17" s="178" customFormat="1" ht="18" customHeight="1" x14ac:dyDescent="0.3">
      <c r="A158" s="174"/>
      <c r="B158" s="166"/>
      <c r="C158" s="156"/>
      <c r="D158" s="122"/>
      <c r="E158" s="122" t="s">
        <v>141</v>
      </c>
      <c r="F158" s="272" t="s">
        <v>143</v>
      </c>
      <c r="G158" s="273"/>
      <c r="H158" s="177"/>
      <c r="I158" s="174"/>
      <c r="J158" s="174"/>
      <c r="K158" s="174"/>
      <c r="L158" s="174"/>
      <c r="M158" s="174"/>
      <c r="N158" s="174"/>
      <c r="O158" s="174"/>
      <c r="P158" s="174"/>
      <c r="Q158" s="174"/>
    </row>
    <row r="159" spans="1:17" s="178" customFormat="1" ht="18" customHeight="1" x14ac:dyDescent="0.3">
      <c r="A159" s="174"/>
      <c r="B159" s="166"/>
      <c r="C159" s="172"/>
      <c r="D159" s="122"/>
      <c r="E159" s="122" t="s">
        <v>141</v>
      </c>
      <c r="F159" s="272" t="s">
        <v>144</v>
      </c>
      <c r="G159" s="273"/>
      <c r="H159" s="177"/>
      <c r="I159" s="174"/>
      <c r="J159" s="174"/>
      <c r="K159" s="174"/>
      <c r="L159" s="174"/>
      <c r="M159" s="174"/>
      <c r="N159" s="174"/>
      <c r="O159" s="174"/>
      <c r="P159" s="174"/>
      <c r="Q159" s="174"/>
    </row>
    <row r="160" spans="1:17" s="178" customFormat="1" ht="18" customHeight="1" x14ac:dyDescent="0.3">
      <c r="A160" s="174"/>
      <c r="B160" s="166"/>
      <c r="C160" s="122"/>
      <c r="D160" s="272" t="s">
        <v>243</v>
      </c>
      <c r="E160" s="276"/>
      <c r="F160" s="276"/>
      <c r="G160" s="273"/>
      <c r="H160" s="177"/>
      <c r="I160" s="174"/>
      <c r="J160" s="174"/>
      <c r="K160" s="174"/>
      <c r="L160" s="174"/>
      <c r="M160" s="174"/>
      <c r="N160" s="174"/>
      <c r="O160" s="174"/>
      <c r="P160" s="174"/>
      <c r="Q160" s="174"/>
    </row>
    <row r="161" spans="1:17" s="178" customFormat="1" ht="18" customHeight="1" x14ac:dyDescent="0.3">
      <c r="A161" s="174"/>
      <c r="B161" s="166"/>
      <c r="C161" s="122"/>
      <c r="D161" s="272" t="s">
        <v>244</v>
      </c>
      <c r="E161" s="276"/>
      <c r="F161" s="276"/>
      <c r="G161" s="273"/>
      <c r="H161" s="177"/>
      <c r="I161" s="174"/>
      <c r="J161" s="174"/>
      <c r="K161" s="174"/>
      <c r="L161" s="174"/>
      <c r="M161" s="174"/>
      <c r="N161" s="174"/>
      <c r="O161" s="174"/>
      <c r="P161" s="174"/>
      <c r="Q161" s="174"/>
    </row>
    <row r="162" spans="1:17" s="178" customFormat="1" ht="18" customHeight="1" x14ac:dyDescent="0.3">
      <c r="A162" s="174"/>
      <c r="B162" s="166"/>
      <c r="C162" s="122"/>
      <c r="D162" s="272" t="s">
        <v>245</v>
      </c>
      <c r="E162" s="276"/>
      <c r="F162" s="276"/>
      <c r="G162" s="273"/>
      <c r="H162" s="177"/>
      <c r="I162" s="174"/>
      <c r="J162" s="174"/>
      <c r="K162" s="174"/>
      <c r="L162" s="174"/>
      <c r="M162" s="174"/>
      <c r="N162" s="174"/>
      <c r="O162" s="174"/>
      <c r="P162" s="174"/>
      <c r="Q162" s="174"/>
    </row>
    <row r="163" spans="1:17" s="178" customFormat="1" ht="18" customHeight="1" x14ac:dyDescent="0.3">
      <c r="A163" s="174"/>
      <c r="B163" s="166"/>
      <c r="C163" s="122"/>
      <c r="D163" s="272" t="s">
        <v>246</v>
      </c>
      <c r="E163" s="276"/>
      <c r="F163" s="276"/>
      <c r="G163" s="273"/>
      <c r="H163" s="177"/>
      <c r="I163" s="174"/>
      <c r="J163" s="174"/>
      <c r="K163" s="174"/>
      <c r="L163" s="174"/>
      <c r="M163" s="174"/>
      <c r="N163" s="174"/>
      <c r="O163" s="174"/>
      <c r="P163" s="174"/>
      <c r="Q163" s="174"/>
    </row>
    <row r="164" spans="1:17" s="178" customFormat="1" ht="18" customHeight="1" x14ac:dyDescent="0.3">
      <c r="A164" s="174"/>
      <c r="B164" s="166"/>
      <c r="C164" s="122"/>
      <c r="D164" s="272" t="s">
        <v>249</v>
      </c>
      <c r="E164" s="276"/>
      <c r="F164" s="276"/>
      <c r="G164" s="273"/>
      <c r="H164" s="177"/>
      <c r="I164" s="174"/>
      <c r="J164" s="174"/>
      <c r="K164" s="174"/>
      <c r="L164" s="174"/>
      <c r="M164" s="174"/>
      <c r="N164" s="174"/>
      <c r="O164" s="174"/>
      <c r="P164" s="174"/>
      <c r="Q164" s="174"/>
    </row>
    <row r="165" spans="1:17" s="178" customFormat="1" ht="18" customHeight="1" x14ac:dyDescent="0.3">
      <c r="A165" s="174"/>
      <c r="B165" s="166"/>
      <c r="C165" s="122"/>
      <c r="D165" s="272" t="s">
        <v>247</v>
      </c>
      <c r="E165" s="276"/>
      <c r="F165" s="276"/>
      <c r="G165" s="273"/>
      <c r="H165" s="177"/>
      <c r="I165" s="174"/>
      <c r="J165" s="174"/>
      <c r="K165" s="174"/>
      <c r="L165" s="174"/>
      <c r="M165" s="174"/>
      <c r="N165" s="174"/>
      <c r="O165" s="174"/>
      <c r="P165" s="174"/>
      <c r="Q165" s="174"/>
    </row>
    <row r="166" spans="1:17" s="178" customFormat="1" ht="18" customHeight="1" x14ac:dyDescent="0.3">
      <c r="A166" s="174"/>
      <c r="B166" s="166"/>
      <c r="C166" s="122"/>
      <c r="D166" s="272" t="s">
        <v>248</v>
      </c>
      <c r="E166" s="276"/>
      <c r="F166" s="276"/>
      <c r="G166" s="273"/>
      <c r="H166" s="177"/>
      <c r="I166" s="174"/>
      <c r="J166" s="174"/>
      <c r="K166" s="174"/>
      <c r="L166" s="174"/>
      <c r="M166" s="174"/>
      <c r="N166" s="174"/>
      <c r="O166" s="174"/>
      <c r="P166" s="174"/>
      <c r="Q166" s="174"/>
    </row>
    <row r="167" spans="1:17" s="178" customFormat="1" ht="18" customHeight="1" x14ac:dyDescent="0.3">
      <c r="A167" s="174"/>
      <c r="B167" s="166"/>
      <c r="C167" s="122"/>
      <c r="D167" s="272" t="s">
        <v>250</v>
      </c>
      <c r="E167" s="276"/>
      <c r="F167" s="276"/>
      <c r="G167" s="273"/>
      <c r="H167" s="177"/>
      <c r="I167" s="174"/>
      <c r="J167" s="174"/>
      <c r="K167" s="174"/>
      <c r="L167" s="174"/>
      <c r="M167" s="174"/>
      <c r="N167" s="174"/>
      <c r="O167" s="174"/>
      <c r="P167" s="174"/>
      <c r="Q167" s="174"/>
    </row>
    <row r="168" spans="1:17" s="178" customFormat="1" ht="18" customHeight="1" x14ac:dyDescent="0.3">
      <c r="A168" s="174"/>
      <c r="B168" s="166"/>
      <c r="C168" s="155"/>
      <c r="D168" s="272" t="s">
        <v>290</v>
      </c>
      <c r="E168" s="276"/>
      <c r="F168" s="276"/>
      <c r="G168" s="273"/>
      <c r="H168" s="177"/>
      <c r="I168" s="174"/>
      <c r="J168" s="174"/>
      <c r="K168" s="174"/>
      <c r="L168" s="174"/>
      <c r="M168" s="174"/>
      <c r="N168" s="174"/>
      <c r="O168" s="174"/>
      <c r="P168" s="174"/>
      <c r="Q168" s="174"/>
    </row>
    <row r="169" spans="1:17" s="178" customFormat="1" ht="18" customHeight="1" x14ac:dyDescent="0.3">
      <c r="A169" s="174"/>
      <c r="B169" s="166"/>
      <c r="C169" s="155"/>
      <c r="D169" s="272" t="s">
        <v>291</v>
      </c>
      <c r="E169" s="276"/>
      <c r="F169" s="276"/>
      <c r="G169" s="273"/>
      <c r="H169" s="177"/>
      <c r="I169" s="174"/>
      <c r="J169" s="174"/>
      <c r="K169" s="174"/>
      <c r="L169" s="174"/>
      <c r="M169" s="174"/>
      <c r="N169" s="174"/>
      <c r="O169" s="174"/>
      <c r="P169" s="174"/>
      <c r="Q169" s="174"/>
    </row>
    <row r="170" spans="1:17" s="178" customFormat="1" ht="18" customHeight="1" x14ac:dyDescent="0.3">
      <c r="A170" s="174"/>
      <c r="B170" s="166"/>
      <c r="C170" s="155"/>
      <c r="D170" s="122"/>
      <c r="E170" s="154"/>
      <c r="F170" s="154"/>
      <c r="G170" s="182"/>
      <c r="H170" s="177"/>
      <c r="I170" s="174"/>
      <c r="J170" s="174"/>
      <c r="K170" s="174"/>
      <c r="L170" s="174"/>
      <c r="M170" s="174"/>
      <c r="N170" s="174"/>
      <c r="O170" s="174"/>
      <c r="P170" s="174"/>
      <c r="Q170" s="174"/>
    </row>
    <row r="171" spans="1:17" s="178" customFormat="1" ht="18" customHeight="1" x14ac:dyDescent="0.3">
      <c r="A171" s="174"/>
      <c r="B171" s="166"/>
      <c r="C171" s="156">
        <v>6</v>
      </c>
      <c r="D171" s="307" t="s">
        <v>145</v>
      </c>
      <c r="E171" s="309"/>
      <c r="F171" s="309"/>
      <c r="G171" s="310"/>
      <c r="H171" s="177"/>
      <c r="I171" s="174"/>
      <c r="J171" s="174"/>
      <c r="K171" s="174"/>
      <c r="L171" s="174"/>
      <c r="M171" s="174"/>
      <c r="N171" s="174"/>
      <c r="O171" s="174"/>
      <c r="P171" s="174"/>
      <c r="Q171" s="174"/>
    </row>
    <row r="172" spans="1:17" s="178" customFormat="1" ht="18" customHeight="1" x14ac:dyDescent="0.3">
      <c r="A172" s="174"/>
      <c r="B172" s="166"/>
      <c r="C172" s="173"/>
      <c r="D172" s="173"/>
      <c r="E172" s="173" t="s">
        <v>141</v>
      </c>
      <c r="F172" s="272" t="s">
        <v>252</v>
      </c>
      <c r="G172" s="273"/>
      <c r="H172" s="177"/>
      <c r="I172" s="174"/>
      <c r="J172" s="174"/>
      <c r="K172" s="174"/>
      <c r="L172" s="174"/>
      <c r="M172" s="174"/>
      <c r="N172" s="174"/>
      <c r="O172" s="174"/>
      <c r="P172" s="174"/>
      <c r="Q172" s="174"/>
    </row>
    <row r="173" spans="1:17" s="178" customFormat="1" ht="18" customHeight="1" x14ac:dyDescent="0.3">
      <c r="A173" s="174"/>
      <c r="B173" s="166"/>
      <c r="C173" s="173"/>
      <c r="D173" s="155"/>
      <c r="E173" s="155"/>
      <c r="F173" s="272" t="s">
        <v>251</v>
      </c>
      <c r="G173" s="273"/>
      <c r="H173" s="177"/>
      <c r="I173" s="174"/>
      <c r="J173" s="174"/>
      <c r="K173" s="174"/>
      <c r="L173" s="174"/>
      <c r="M173" s="174"/>
      <c r="N173" s="174"/>
      <c r="O173" s="174"/>
      <c r="P173" s="174"/>
      <c r="Q173" s="174"/>
    </row>
    <row r="174" spans="1:17" s="178" customFormat="1" ht="18" customHeight="1" x14ac:dyDescent="0.3">
      <c r="A174" s="174"/>
      <c r="B174" s="166"/>
      <c r="C174" s="173"/>
      <c r="D174" s="316" t="s">
        <v>131</v>
      </c>
      <c r="E174" s="316"/>
      <c r="F174" s="316"/>
      <c r="G174" s="317"/>
      <c r="H174" s="177"/>
      <c r="I174" s="174"/>
      <c r="J174" s="174"/>
      <c r="K174" s="174"/>
      <c r="L174" s="174"/>
      <c r="M174" s="174"/>
      <c r="N174" s="174"/>
      <c r="O174" s="174"/>
      <c r="P174" s="174"/>
      <c r="Q174" s="174"/>
    </row>
    <row r="175" spans="1:17" s="178" customFormat="1" ht="18" customHeight="1" x14ac:dyDescent="0.3">
      <c r="A175" s="174"/>
      <c r="B175" s="166"/>
      <c r="C175" s="173"/>
      <c r="D175" s="281" t="s">
        <v>146</v>
      </c>
      <c r="E175" s="281"/>
      <c r="F175" s="281"/>
      <c r="G175" s="318"/>
      <c r="H175" s="177"/>
      <c r="I175" s="174"/>
      <c r="J175" s="174"/>
      <c r="K175" s="174"/>
      <c r="L175" s="174"/>
      <c r="M175" s="174"/>
      <c r="N175" s="174"/>
      <c r="O175" s="174"/>
      <c r="P175" s="174"/>
      <c r="Q175" s="174"/>
    </row>
    <row r="176" spans="1:17" s="178" customFormat="1" ht="18" customHeight="1" x14ac:dyDescent="0.3">
      <c r="A176" s="174"/>
      <c r="B176" s="166"/>
      <c r="C176" s="173"/>
      <c r="D176" s="319" t="s">
        <v>147</v>
      </c>
      <c r="E176" s="319"/>
      <c r="F176" s="319"/>
      <c r="G176" s="320"/>
      <c r="H176" s="177"/>
      <c r="I176" s="174"/>
      <c r="J176" s="174"/>
      <c r="K176" s="174"/>
      <c r="L176" s="174"/>
      <c r="M176" s="174"/>
      <c r="N176" s="174"/>
      <c r="O176" s="174"/>
      <c r="P176" s="174"/>
      <c r="Q176" s="174"/>
    </row>
    <row r="177" spans="1:30" s="178" customFormat="1" ht="18" customHeight="1" x14ac:dyDescent="0.3">
      <c r="A177" s="174"/>
      <c r="B177" s="196"/>
      <c r="C177" s="197"/>
      <c r="D177" s="197"/>
      <c r="E177" s="197"/>
      <c r="F177" s="197"/>
      <c r="G177" s="198"/>
      <c r="H177" s="199"/>
      <c r="I177" s="174"/>
      <c r="J177" s="174"/>
      <c r="K177" s="174"/>
      <c r="L177" s="174"/>
      <c r="M177" s="174"/>
      <c r="N177" s="174"/>
      <c r="O177" s="174"/>
      <c r="P177" s="174"/>
      <c r="Q177" s="174"/>
    </row>
    <row r="178" spans="1:30" ht="13.8" x14ac:dyDescent="0.25">
      <c r="A178" s="7"/>
      <c r="F178" s="7"/>
      <c r="G178" s="7"/>
      <c r="H178" s="347" t="s">
        <v>297</v>
      </c>
      <c r="I178" s="7"/>
      <c r="J178" s="7"/>
      <c r="K178" s="174"/>
      <c r="L178" s="174"/>
      <c r="M178" s="174"/>
      <c r="N178" s="174"/>
      <c r="O178" s="174"/>
      <c r="P178" s="174"/>
      <c r="Q178" s="174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</row>
    <row r="179" spans="1:30" ht="13.8" x14ac:dyDescent="0.25">
      <c r="A179" s="7"/>
      <c r="B179" s="7"/>
      <c r="C179" s="7"/>
      <c r="D179" s="7"/>
      <c r="E179" s="7"/>
      <c r="F179" s="7"/>
      <c r="G179" s="7"/>
      <c r="H179" s="347" t="s">
        <v>298</v>
      </c>
      <c r="I179" s="7"/>
      <c r="J179" s="7"/>
      <c r="K179" s="174"/>
      <c r="L179" s="174"/>
      <c r="M179" s="174"/>
      <c r="N179" s="174"/>
      <c r="O179" s="174"/>
      <c r="P179" s="174"/>
      <c r="Q179" s="174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</row>
    <row r="180" spans="1:30" ht="13.8" x14ac:dyDescent="0.25">
      <c r="A180" s="7"/>
      <c r="B180" s="7"/>
      <c r="C180" s="7"/>
      <c r="E180" s="7"/>
      <c r="F180" s="7"/>
      <c r="G180" s="7"/>
      <c r="H180" s="348" t="s">
        <v>299</v>
      </c>
      <c r="I180" s="7"/>
      <c r="J180" s="7"/>
      <c r="K180" s="174"/>
      <c r="L180" s="174"/>
      <c r="M180" s="174"/>
      <c r="N180" s="174"/>
      <c r="O180" s="174"/>
      <c r="P180" s="174"/>
      <c r="Q180" s="174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</row>
    <row r="181" spans="1:30" ht="13.8" x14ac:dyDescent="0.25">
      <c r="A181" s="7"/>
      <c r="B181" s="7"/>
      <c r="C181" s="7"/>
      <c r="D181" s="7"/>
      <c r="E181" s="7"/>
      <c r="F181" s="7"/>
      <c r="G181" s="7"/>
      <c r="H181" s="348" t="s">
        <v>300</v>
      </c>
      <c r="I181" s="7"/>
      <c r="J181" s="7"/>
      <c r="K181" s="174"/>
      <c r="L181" s="174"/>
      <c r="M181" s="174"/>
      <c r="N181" s="174"/>
      <c r="O181" s="174"/>
      <c r="P181" s="174"/>
      <c r="Q181" s="174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</row>
    <row r="182" spans="1:30" ht="13.8" x14ac:dyDescent="0.25">
      <c r="A182" s="7"/>
      <c r="B182" s="7"/>
      <c r="C182" s="7"/>
      <c r="D182" s="7"/>
      <c r="E182" s="7"/>
      <c r="F182" s="7"/>
      <c r="G182" s="7"/>
      <c r="H182" s="348" t="s">
        <v>301</v>
      </c>
      <c r="I182" s="7"/>
      <c r="J182" s="7"/>
      <c r="K182" s="174"/>
      <c r="L182" s="174"/>
      <c r="M182" s="174"/>
      <c r="N182" s="174"/>
      <c r="O182" s="174"/>
      <c r="P182" s="174"/>
      <c r="Q182" s="174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</row>
    <row r="183" spans="1:30" ht="13.8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74"/>
      <c r="L183" s="174"/>
      <c r="M183" s="174"/>
      <c r="N183" s="174"/>
      <c r="O183" s="174"/>
      <c r="P183" s="174"/>
      <c r="Q183" s="174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</row>
    <row r="184" spans="1:30" ht="13.8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174"/>
      <c r="L184" s="174"/>
      <c r="M184" s="174"/>
      <c r="N184" s="174"/>
      <c r="O184" s="174"/>
      <c r="P184" s="174"/>
      <c r="Q184" s="174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</row>
    <row r="185" spans="1:30" ht="13.8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174"/>
      <c r="L185" s="174"/>
      <c r="M185" s="174"/>
      <c r="N185" s="174"/>
      <c r="O185" s="174"/>
      <c r="P185" s="174"/>
      <c r="Q185" s="174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</row>
    <row r="186" spans="1:30" ht="13.8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74"/>
      <c r="M186" s="174"/>
      <c r="N186" s="174"/>
      <c r="O186" s="174"/>
      <c r="P186" s="174"/>
      <c r="Q186" s="174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</row>
    <row r="187" spans="1:30" ht="13.8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74"/>
      <c r="M187" s="174"/>
      <c r="N187" s="174"/>
      <c r="O187" s="174"/>
      <c r="P187" s="174"/>
      <c r="Q187" s="174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</row>
    <row r="188" spans="1:30" ht="13.8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74"/>
      <c r="M188" s="174"/>
      <c r="N188" s="174"/>
      <c r="O188" s="174"/>
      <c r="P188" s="174"/>
      <c r="Q188" s="174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</row>
    <row r="189" spans="1:30" ht="13.8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74"/>
      <c r="M189" s="174"/>
      <c r="N189" s="174"/>
      <c r="O189" s="174"/>
      <c r="P189" s="174"/>
      <c r="Q189" s="174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</row>
    <row r="190" spans="1:30" ht="13.8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74"/>
      <c r="M190" s="174"/>
      <c r="N190" s="174"/>
      <c r="O190" s="174"/>
      <c r="P190" s="174"/>
      <c r="Q190" s="174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</row>
    <row r="191" spans="1:30" ht="13.8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74"/>
      <c r="M191" s="174"/>
      <c r="N191" s="174"/>
      <c r="O191" s="174"/>
      <c r="P191" s="174"/>
      <c r="Q191" s="174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</row>
    <row r="192" spans="1:30" ht="13.8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74"/>
      <c r="M192" s="174"/>
      <c r="N192" s="174"/>
      <c r="O192" s="174"/>
      <c r="P192" s="174"/>
      <c r="Q192" s="174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</row>
    <row r="193" spans="1:30" ht="13.8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74"/>
      <c r="M193" s="174"/>
      <c r="N193" s="174"/>
      <c r="O193" s="174"/>
      <c r="P193" s="174"/>
      <c r="Q193" s="174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</row>
    <row r="194" spans="1:30" ht="13.8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74"/>
      <c r="M194" s="174"/>
      <c r="N194" s="174"/>
      <c r="O194" s="174"/>
      <c r="P194" s="174"/>
      <c r="Q194" s="174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</row>
    <row r="195" spans="1:30" ht="13.8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74"/>
      <c r="M195" s="174"/>
      <c r="N195" s="174"/>
      <c r="O195" s="174"/>
      <c r="P195" s="174"/>
      <c r="Q195" s="174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</row>
    <row r="196" spans="1:30" ht="13.8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74"/>
      <c r="M196" s="174"/>
      <c r="N196" s="174"/>
      <c r="O196" s="174"/>
      <c r="P196" s="174"/>
      <c r="Q196" s="174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</row>
    <row r="197" spans="1:30" ht="13.8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74"/>
      <c r="M197" s="174"/>
      <c r="N197" s="174"/>
      <c r="O197" s="174"/>
      <c r="P197" s="174"/>
      <c r="Q197" s="174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</row>
    <row r="198" spans="1:30" ht="13.8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74"/>
      <c r="M198" s="174"/>
      <c r="N198" s="174"/>
      <c r="O198" s="174"/>
      <c r="P198" s="174"/>
      <c r="Q198" s="174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</row>
    <row r="199" spans="1:30" ht="13.8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74"/>
      <c r="M199" s="174"/>
      <c r="N199" s="174"/>
      <c r="O199" s="174"/>
      <c r="P199" s="174"/>
      <c r="Q199" s="174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</row>
    <row r="200" spans="1:30" ht="13.8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74"/>
      <c r="M200" s="174"/>
      <c r="N200" s="174"/>
      <c r="O200" s="174"/>
      <c r="P200" s="174"/>
      <c r="Q200" s="174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</row>
    <row r="201" spans="1:30" ht="13.8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74"/>
      <c r="M201" s="174"/>
      <c r="N201" s="174"/>
      <c r="O201" s="174"/>
      <c r="P201" s="174"/>
      <c r="Q201" s="174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</row>
    <row r="202" spans="1:30" ht="13.8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74"/>
      <c r="M202" s="174"/>
      <c r="N202" s="174"/>
      <c r="O202" s="174"/>
      <c r="P202" s="174"/>
      <c r="Q202" s="174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</row>
    <row r="203" spans="1:30" ht="13.8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74"/>
      <c r="M203" s="174"/>
      <c r="N203" s="174"/>
      <c r="O203" s="174"/>
      <c r="P203" s="174"/>
      <c r="Q203" s="174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</row>
    <row r="204" spans="1:30" ht="13.8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74"/>
      <c r="M204" s="174"/>
      <c r="N204" s="174"/>
      <c r="O204" s="174"/>
      <c r="P204" s="174"/>
      <c r="Q204" s="174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</row>
    <row r="205" spans="1:30" ht="13.8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74"/>
      <c r="M205" s="174"/>
      <c r="N205" s="174"/>
      <c r="O205" s="174"/>
      <c r="P205" s="174"/>
      <c r="Q205" s="174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</row>
    <row r="206" spans="1:30" ht="13.8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74"/>
      <c r="M206" s="174"/>
      <c r="N206" s="174"/>
      <c r="O206" s="174"/>
      <c r="P206" s="174"/>
      <c r="Q206" s="174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</row>
    <row r="207" spans="1:30" ht="13.8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74"/>
      <c r="M207" s="174"/>
      <c r="N207" s="174"/>
      <c r="O207" s="174"/>
      <c r="P207" s="174"/>
      <c r="Q207" s="174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</row>
    <row r="208" spans="1:30" ht="13.8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74"/>
      <c r="M208" s="174"/>
      <c r="N208" s="174"/>
      <c r="O208" s="174"/>
      <c r="P208" s="174"/>
      <c r="Q208" s="174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</row>
    <row r="209" spans="1:30" ht="13.8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74"/>
      <c r="M209" s="174"/>
      <c r="N209" s="174"/>
      <c r="O209" s="174"/>
      <c r="P209" s="174"/>
      <c r="Q209" s="174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</row>
    <row r="210" spans="1:30" ht="13.8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74"/>
      <c r="M210" s="174"/>
      <c r="N210" s="174"/>
      <c r="O210" s="174"/>
      <c r="P210" s="174"/>
      <c r="Q210" s="174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</row>
    <row r="211" spans="1:30" ht="13.8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74"/>
      <c r="M211" s="174"/>
      <c r="N211" s="174"/>
      <c r="O211" s="174"/>
      <c r="P211" s="174"/>
      <c r="Q211" s="174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</row>
    <row r="212" spans="1:30" ht="13.8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74"/>
      <c r="M212" s="174"/>
      <c r="N212" s="174"/>
      <c r="O212" s="174"/>
      <c r="P212" s="174"/>
      <c r="Q212" s="174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</row>
    <row r="213" spans="1:30" ht="13.8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74"/>
      <c r="M213" s="174"/>
      <c r="N213" s="174"/>
      <c r="O213" s="174"/>
      <c r="P213" s="174"/>
      <c r="Q213" s="174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</row>
    <row r="214" spans="1:30" ht="13.8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74"/>
      <c r="M214" s="174"/>
      <c r="N214" s="174"/>
      <c r="O214" s="174"/>
      <c r="P214" s="174"/>
      <c r="Q214" s="174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</row>
    <row r="215" spans="1:30" ht="13.8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74"/>
      <c r="M215" s="174"/>
      <c r="N215" s="174"/>
      <c r="O215" s="174"/>
      <c r="P215" s="174"/>
      <c r="Q215" s="174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</row>
    <row r="216" spans="1:30" ht="13.8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74"/>
      <c r="M216" s="174"/>
      <c r="N216" s="174"/>
      <c r="O216" s="174"/>
      <c r="P216" s="174"/>
      <c r="Q216" s="174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</row>
    <row r="217" spans="1:30" ht="13.8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74"/>
      <c r="M217" s="174"/>
      <c r="N217" s="174"/>
      <c r="O217" s="174"/>
      <c r="P217" s="174"/>
      <c r="Q217" s="174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</row>
    <row r="218" spans="1:30" ht="13.8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74"/>
      <c r="M218" s="174"/>
      <c r="N218" s="174"/>
      <c r="O218" s="174"/>
      <c r="P218" s="174"/>
      <c r="Q218" s="174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</row>
    <row r="219" spans="1:30" ht="13.8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74"/>
      <c r="M219" s="174"/>
      <c r="N219" s="174"/>
      <c r="O219" s="174"/>
      <c r="P219" s="174"/>
      <c r="Q219" s="174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</row>
    <row r="220" spans="1:30" ht="13.8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74"/>
      <c r="M220" s="174"/>
      <c r="N220" s="174"/>
      <c r="O220" s="174"/>
      <c r="P220" s="174"/>
      <c r="Q220" s="174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</row>
    <row r="221" spans="1:30" ht="13.8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74"/>
      <c r="M221" s="174"/>
      <c r="N221" s="174"/>
      <c r="O221" s="174"/>
      <c r="P221" s="174"/>
      <c r="Q221" s="174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</row>
    <row r="222" spans="1:30" ht="13.8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74"/>
      <c r="M222" s="174"/>
      <c r="N222" s="174"/>
      <c r="O222" s="174"/>
      <c r="P222" s="174"/>
      <c r="Q222" s="174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</row>
    <row r="223" spans="1:30" ht="13.8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74"/>
      <c r="M223" s="174"/>
      <c r="N223" s="174"/>
      <c r="O223" s="174"/>
      <c r="P223" s="174"/>
      <c r="Q223" s="174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</row>
    <row r="224" spans="1:30" ht="13.8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74"/>
      <c r="M224" s="174"/>
      <c r="N224" s="174"/>
      <c r="O224" s="174"/>
      <c r="P224" s="174"/>
      <c r="Q224" s="174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</row>
    <row r="225" spans="1:30" ht="13.8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74"/>
      <c r="M225" s="174"/>
      <c r="N225" s="174"/>
      <c r="O225" s="174"/>
      <c r="P225" s="174"/>
      <c r="Q225" s="174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</row>
    <row r="226" spans="1:30" ht="13.8" x14ac:dyDescent="0.25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74"/>
      <c r="M226" s="174"/>
      <c r="N226" s="174"/>
      <c r="O226" s="174"/>
      <c r="P226" s="174"/>
      <c r="Q226" s="174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</row>
    <row r="227" spans="1:30" ht="13.8" x14ac:dyDescent="0.25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74"/>
      <c r="M227" s="174"/>
      <c r="N227" s="174"/>
      <c r="O227" s="174"/>
      <c r="P227" s="174"/>
      <c r="Q227" s="174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</row>
    <row r="228" spans="1:30" ht="13.8" x14ac:dyDescent="0.25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74"/>
      <c r="M228" s="174"/>
      <c r="N228" s="174"/>
      <c r="O228" s="174"/>
      <c r="P228" s="174"/>
      <c r="Q228" s="174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</row>
    <row r="229" spans="1:30" ht="13.8" x14ac:dyDescent="0.25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74"/>
      <c r="M229" s="174"/>
      <c r="N229" s="174"/>
      <c r="O229" s="174"/>
      <c r="P229" s="174"/>
      <c r="Q229" s="174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</row>
    <row r="230" spans="1:30" ht="13.8" x14ac:dyDescent="0.25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74"/>
      <c r="M230" s="174"/>
      <c r="N230" s="174"/>
      <c r="O230" s="174"/>
      <c r="P230" s="174"/>
      <c r="Q230" s="174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</row>
    <row r="231" spans="1:30" ht="13.8" x14ac:dyDescent="0.25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74"/>
      <c r="M231" s="174"/>
      <c r="N231" s="174"/>
      <c r="O231" s="174"/>
      <c r="P231" s="174"/>
      <c r="Q231" s="174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</row>
    <row r="232" spans="1:30" ht="13.8" x14ac:dyDescent="0.25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74"/>
      <c r="M232" s="174"/>
      <c r="N232" s="174"/>
      <c r="O232" s="174"/>
      <c r="P232" s="174"/>
      <c r="Q232" s="174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</row>
    <row r="233" spans="1:30" ht="13.8" x14ac:dyDescent="0.25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74"/>
      <c r="M233" s="174"/>
      <c r="N233" s="174"/>
      <c r="O233" s="174"/>
      <c r="P233" s="174"/>
      <c r="Q233" s="174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</row>
    <row r="234" spans="1:30" ht="13.8" x14ac:dyDescent="0.25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74"/>
      <c r="M234" s="174"/>
      <c r="N234" s="174"/>
      <c r="O234" s="174"/>
      <c r="P234" s="174"/>
      <c r="Q234" s="174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</row>
    <row r="235" spans="1:30" ht="13.8" x14ac:dyDescent="0.2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74"/>
      <c r="M235" s="174"/>
      <c r="N235" s="174"/>
      <c r="O235" s="174"/>
      <c r="P235" s="174"/>
      <c r="Q235" s="174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</row>
    <row r="236" spans="1:30" ht="13.8" x14ac:dyDescent="0.25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74"/>
      <c r="M236" s="174"/>
      <c r="N236" s="174"/>
      <c r="O236" s="174"/>
      <c r="P236" s="174"/>
      <c r="Q236" s="174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</row>
    <row r="237" spans="1:30" ht="13.8" x14ac:dyDescent="0.25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74"/>
      <c r="M237" s="174"/>
      <c r="N237" s="174"/>
      <c r="O237" s="174"/>
      <c r="P237" s="174"/>
      <c r="Q237" s="174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</row>
    <row r="238" spans="1:30" ht="13.8" x14ac:dyDescent="0.25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74"/>
      <c r="M238" s="174"/>
      <c r="N238" s="174"/>
      <c r="O238" s="174"/>
      <c r="P238" s="174"/>
      <c r="Q238" s="174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</row>
    <row r="239" spans="1:30" ht="13.8" x14ac:dyDescent="0.25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74"/>
      <c r="M239" s="174"/>
      <c r="N239" s="174"/>
      <c r="O239" s="174"/>
      <c r="P239" s="174"/>
      <c r="Q239" s="174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</row>
    <row r="240" spans="1:30" ht="13.8" x14ac:dyDescent="0.25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74"/>
      <c r="M240" s="174"/>
      <c r="N240" s="174"/>
      <c r="O240" s="174"/>
      <c r="P240" s="174"/>
      <c r="Q240" s="174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</row>
    <row r="241" spans="1:30" ht="13.8" x14ac:dyDescent="0.25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74"/>
      <c r="M241" s="174"/>
      <c r="N241" s="174"/>
      <c r="O241" s="174"/>
      <c r="P241" s="174"/>
      <c r="Q241" s="174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</row>
    <row r="242" spans="1:30" ht="13.8" x14ac:dyDescent="0.25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74"/>
      <c r="M242" s="174"/>
      <c r="N242" s="174"/>
      <c r="O242" s="174"/>
      <c r="P242" s="174"/>
      <c r="Q242" s="174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</row>
    <row r="243" spans="1:30" ht="13.8" x14ac:dyDescent="0.25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74"/>
      <c r="M243" s="174"/>
      <c r="N243" s="174"/>
      <c r="O243" s="174"/>
      <c r="P243" s="174"/>
      <c r="Q243" s="174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</row>
    <row r="244" spans="1:30" ht="13.8" x14ac:dyDescent="0.25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74"/>
      <c r="M244" s="174"/>
      <c r="N244" s="174"/>
      <c r="O244" s="174"/>
      <c r="P244" s="174"/>
      <c r="Q244" s="174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</row>
    <row r="245" spans="1:30" ht="13.8" x14ac:dyDescent="0.2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74"/>
      <c r="M245" s="174"/>
      <c r="N245" s="174"/>
      <c r="O245" s="174"/>
      <c r="P245" s="174"/>
      <c r="Q245" s="174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</row>
    <row r="246" spans="1:30" ht="13.8" x14ac:dyDescent="0.25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74"/>
      <c r="M246" s="174"/>
      <c r="N246" s="174"/>
      <c r="O246" s="174"/>
      <c r="P246" s="174"/>
      <c r="Q246" s="174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</row>
    <row r="247" spans="1:30" ht="13.8" x14ac:dyDescent="0.25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74"/>
      <c r="M247" s="174"/>
      <c r="N247" s="174"/>
      <c r="O247" s="174"/>
      <c r="P247" s="174"/>
      <c r="Q247" s="174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</row>
    <row r="248" spans="1:30" ht="13.8" x14ac:dyDescent="0.25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74"/>
      <c r="M248" s="174"/>
      <c r="N248" s="174"/>
      <c r="O248" s="174"/>
      <c r="P248" s="174"/>
      <c r="Q248" s="174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</row>
    <row r="249" spans="1:30" ht="13.8" x14ac:dyDescent="0.25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74"/>
      <c r="M249" s="174"/>
      <c r="N249" s="174"/>
      <c r="O249" s="174"/>
      <c r="P249" s="174"/>
      <c r="Q249" s="174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</row>
    <row r="250" spans="1:30" ht="13.8" x14ac:dyDescent="0.25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74"/>
      <c r="M250" s="174"/>
      <c r="N250" s="174"/>
      <c r="O250" s="174"/>
      <c r="P250" s="174"/>
      <c r="Q250" s="174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</row>
    <row r="251" spans="1:30" ht="13.8" x14ac:dyDescent="0.25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74"/>
      <c r="M251" s="174"/>
      <c r="N251" s="174"/>
      <c r="O251" s="174"/>
      <c r="P251" s="174"/>
      <c r="Q251" s="174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</row>
    <row r="252" spans="1:30" ht="13.8" x14ac:dyDescent="0.25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74"/>
      <c r="M252" s="174"/>
      <c r="N252" s="174"/>
      <c r="O252" s="174"/>
      <c r="P252" s="174"/>
      <c r="Q252" s="174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</row>
    <row r="253" spans="1:30" ht="13.8" x14ac:dyDescent="0.25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74"/>
      <c r="M253" s="174"/>
      <c r="N253" s="174"/>
      <c r="O253" s="174"/>
      <c r="P253" s="174"/>
      <c r="Q253" s="174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</row>
    <row r="254" spans="1:30" ht="13.8" x14ac:dyDescent="0.25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74"/>
      <c r="M254" s="174"/>
      <c r="N254" s="174"/>
      <c r="O254" s="174"/>
      <c r="P254" s="174"/>
      <c r="Q254" s="174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</row>
    <row r="255" spans="1:30" ht="13.8" x14ac:dyDescent="0.2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74"/>
      <c r="M255" s="174"/>
      <c r="N255" s="174"/>
      <c r="O255" s="174"/>
      <c r="P255" s="174"/>
      <c r="Q255" s="174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</row>
    <row r="256" spans="1:30" ht="13.8" x14ac:dyDescent="0.25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74"/>
      <c r="M256" s="174"/>
      <c r="N256" s="174"/>
      <c r="O256" s="174"/>
      <c r="P256" s="174"/>
      <c r="Q256" s="174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</row>
    <row r="257" spans="1:30" ht="13.8" x14ac:dyDescent="0.25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74"/>
      <c r="M257" s="174"/>
      <c r="N257" s="174"/>
      <c r="O257" s="174"/>
      <c r="P257" s="174"/>
      <c r="Q257" s="174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</row>
    <row r="258" spans="1:30" ht="13.8" x14ac:dyDescent="0.25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74"/>
      <c r="M258" s="174"/>
      <c r="N258" s="174"/>
      <c r="O258" s="174"/>
      <c r="P258" s="174"/>
      <c r="Q258" s="174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</row>
    <row r="259" spans="1:30" ht="13.8" x14ac:dyDescent="0.25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74"/>
      <c r="M259" s="174"/>
      <c r="N259" s="174"/>
      <c r="O259" s="174"/>
      <c r="P259" s="174"/>
      <c r="Q259" s="174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</row>
    <row r="260" spans="1:30" ht="13.8" x14ac:dyDescent="0.25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74"/>
      <c r="M260" s="174"/>
      <c r="N260" s="174"/>
      <c r="O260" s="174"/>
      <c r="P260" s="174"/>
      <c r="Q260" s="174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</row>
    <row r="261" spans="1:30" ht="13.8" x14ac:dyDescent="0.25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74"/>
      <c r="M261" s="174"/>
      <c r="N261" s="174"/>
      <c r="O261" s="174"/>
      <c r="P261" s="174"/>
      <c r="Q261" s="174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</row>
    <row r="262" spans="1:30" ht="13.8" x14ac:dyDescent="0.25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74"/>
      <c r="M262" s="174"/>
      <c r="N262" s="174"/>
      <c r="O262" s="174"/>
      <c r="P262" s="174"/>
      <c r="Q262" s="174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</row>
    <row r="263" spans="1:30" ht="13.8" x14ac:dyDescent="0.25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74"/>
      <c r="M263" s="174"/>
      <c r="N263" s="174"/>
      <c r="O263" s="174"/>
      <c r="P263" s="174"/>
      <c r="Q263" s="174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</row>
    <row r="264" spans="1:30" ht="13.8" x14ac:dyDescent="0.25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74"/>
      <c r="M264" s="174"/>
      <c r="N264" s="174"/>
      <c r="O264" s="174"/>
      <c r="P264" s="174"/>
      <c r="Q264" s="174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</row>
    <row r="265" spans="1:30" ht="13.8" x14ac:dyDescent="0.2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74"/>
      <c r="M265" s="174"/>
      <c r="N265" s="174"/>
      <c r="O265" s="174"/>
      <c r="P265" s="174"/>
      <c r="Q265" s="174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</row>
    <row r="266" spans="1:30" ht="13.8" x14ac:dyDescent="0.25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74"/>
      <c r="M266" s="174"/>
      <c r="N266" s="174"/>
      <c r="O266" s="174"/>
      <c r="P266" s="174"/>
      <c r="Q266" s="174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</row>
    <row r="267" spans="1:30" ht="13.8" x14ac:dyDescent="0.25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74"/>
      <c r="M267" s="174"/>
      <c r="N267" s="174"/>
      <c r="O267" s="174"/>
      <c r="P267" s="174"/>
      <c r="Q267" s="174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</row>
    <row r="268" spans="1:30" ht="13.8" x14ac:dyDescent="0.25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74"/>
      <c r="M268" s="174"/>
      <c r="N268" s="174"/>
      <c r="O268" s="174"/>
      <c r="P268" s="174"/>
      <c r="Q268" s="174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</row>
    <row r="269" spans="1:30" ht="13.8" x14ac:dyDescent="0.25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74"/>
      <c r="M269" s="174"/>
      <c r="N269" s="174"/>
      <c r="O269" s="174"/>
      <c r="P269" s="174"/>
      <c r="Q269" s="174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</row>
    <row r="270" spans="1:30" ht="13.8" x14ac:dyDescent="0.25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74"/>
      <c r="M270" s="174"/>
      <c r="N270" s="174"/>
      <c r="O270" s="174"/>
      <c r="P270" s="174"/>
      <c r="Q270" s="174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</row>
    <row r="271" spans="1:30" ht="13.8" x14ac:dyDescent="0.25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74"/>
      <c r="M271" s="174"/>
      <c r="N271" s="174"/>
      <c r="O271" s="174"/>
      <c r="P271" s="174"/>
      <c r="Q271" s="174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</row>
    <row r="272" spans="1:30" ht="13.8" x14ac:dyDescent="0.25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74"/>
      <c r="M272" s="174"/>
      <c r="N272" s="174"/>
      <c r="O272" s="174"/>
      <c r="P272" s="174"/>
      <c r="Q272" s="174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</row>
    <row r="273" spans="1:30" ht="13.8" x14ac:dyDescent="0.25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74"/>
      <c r="M273" s="174"/>
      <c r="N273" s="174"/>
      <c r="O273" s="174"/>
      <c r="P273" s="174"/>
      <c r="Q273" s="174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</row>
    <row r="274" spans="1:30" ht="13.8" x14ac:dyDescent="0.25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74"/>
      <c r="M274" s="174"/>
      <c r="N274" s="174"/>
      <c r="O274" s="174"/>
      <c r="P274" s="174"/>
      <c r="Q274" s="174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</row>
    <row r="275" spans="1:30" ht="13.8" x14ac:dyDescent="0.2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74"/>
      <c r="M275" s="174"/>
      <c r="N275" s="174"/>
      <c r="O275" s="174"/>
      <c r="P275" s="174"/>
      <c r="Q275" s="174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</row>
    <row r="276" spans="1:30" ht="13.8" x14ac:dyDescent="0.25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74"/>
      <c r="M276" s="174"/>
      <c r="N276" s="174"/>
      <c r="O276" s="174"/>
      <c r="P276" s="174"/>
      <c r="Q276" s="174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</row>
    <row r="277" spans="1:30" ht="13.8" x14ac:dyDescent="0.25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74"/>
      <c r="M277" s="174"/>
      <c r="N277" s="174"/>
      <c r="O277" s="174"/>
      <c r="P277" s="174"/>
      <c r="Q277" s="174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</row>
    <row r="278" spans="1:30" ht="13.8" x14ac:dyDescent="0.25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74"/>
      <c r="M278" s="174"/>
      <c r="N278" s="174"/>
      <c r="O278" s="174"/>
      <c r="P278" s="174"/>
      <c r="Q278" s="174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</row>
    <row r="279" spans="1:30" ht="13.8" x14ac:dyDescent="0.25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74"/>
      <c r="M279" s="174"/>
      <c r="N279" s="174"/>
      <c r="O279" s="174"/>
      <c r="P279" s="174"/>
      <c r="Q279" s="174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</row>
    <row r="280" spans="1:30" ht="13.8" x14ac:dyDescent="0.25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74"/>
      <c r="M280" s="174"/>
      <c r="N280" s="174"/>
      <c r="O280" s="174"/>
      <c r="P280" s="174"/>
      <c r="Q280" s="174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</row>
    <row r="281" spans="1:30" ht="13.8" x14ac:dyDescent="0.25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74"/>
      <c r="M281" s="174"/>
      <c r="N281" s="174"/>
      <c r="O281" s="174"/>
      <c r="P281" s="174"/>
      <c r="Q281" s="174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</row>
    <row r="282" spans="1:30" ht="13.8" x14ac:dyDescent="0.25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74"/>
      <c r="M282" s="174"/>
      <c r="N282" s="174"/>
      <c r="O282" s="174"/>
      <c r="P282" s="174"/>
      <c r="Q282" s="174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</row>
    <row r="283" spans="1:30" ht="13.8" x14ac:dyDescent="0.25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74"/>
      <c r="M283" s="174"/>
      <c r="N283" s="174"/>
      <c r="O283" s="174"/>
      <c r="P283" s="174"/>
      <c r="Q283" s="174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</row>
    <row r="284" spans="1:30" ht="13.8" x14ac:dyDescent="0.25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74"/>
      <c r="M284" s="174"/>
      <c r="N284" s="174"/>
      <c r="O284" s="174"/>
      <c r="P284" s="174"/>
      <c r="Q284" s="174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</row>
    <row r="285" spans="1:30" ht="13.8" x14ac:dyDescent="0.2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74"/>
      <c r="M285" s="174"/>
      <c r="N285" s="174"/>
      <c r="O285" s="174"/>
      <c r="P285" s="174"/>
      <c r="Q285" s="174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</row>
    <row r="286" spans="1:30" ht="13.8" x14ac:dyDescent="0.25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74"/>
      <c r="M286" s="174"/>
      <c r="N286" s="174"/>
      <c r="O286" s="174"/>
      <c r="P286" s="174"/>
      <c r="Q286" s="174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</row>
    <row r="287" spans="1:30" ht="13.8" x14ac:dyDescent="0.25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74"/>
      <c r="M287" s="174"/>
      <c r="N287" s="174"/>
      <c r="O287" s="174"/>
      <c r="P287" s="174"/>
      <c r="Q287" s="174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</row>
    <row r="288" spans="1:30" ht="13.8" x14ac:dyDescent="0.25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74"/>
      <c r="M288" s="174"/>
      <c r="N288" s="174"/>
      <c r="O288" s="174"/>
      <c r="P288" s="174"/>
      <c r="Q288" s="174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</row>
    <row r="289" spans="1:30" ht="13.8" x14ac:dyDescent="0.25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74"/>
      <c r="M289" s="174"/>
      <c r="N289" s="174"/>
      <c r="O289" s="174"/>
      <c r="P289" s="174"/>
      <c r="Q289" s="174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</row>
    <row r="290" spans="1:30" ht="13.8" x14ac:dyDescent="0.25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74"/>
      <c r="M290" s="174"/>
      <c r="N290" s="174"/>
      <c r="O290" s="174"/>
      <c r="P290" s="174"/>
      <c r="Q290" s="174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</row>
    <row r="291" spans="1:30" ht="13.8" x14ac:dyDescent="0.25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74"/>
      <c r="M291" s="174"/>
      <c r="N291" s="174"/>
      <c r="O291" s="174"/>
      <c r="P291" s="174"/>
      <c r="Q291" s="174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</row>
    <row r="292" spans="1:30" ht="13.8" x14ac:dyDescent="0.25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74"/>
      <c r="M292" s="174"/>
      <c r="N292" s="174"/>
      <c r="O292" s="174"/>
      <c r="P292" s="174"/>
      <c r="Q292" s="174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</row>
    <row r="293" spans="1:30" ht="13.8" x14ac:dyDescent="0.25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74"/>
      <c r="M293" s="174"/>
      <c r="N293" s="174"/>
      <c r="O293" s="174"/>
      <c r="P293" s="174"/>
      <c r="Q293" s="174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</row>
    <row r="294" spans="1:30" ht="13.8" x14ac:dyDescent="0.25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74"/>
      <c r="M294" s="174"/>
      <c r="N294" s="174"/>
      <c r="O294" s="174"/>
      <c r="P294" s="174"/>
      <c r="Q294" s="174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</row>
    <row r="295" spans="1:30" ht="13.8" x14ac:dyDescent="0.2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74"/>
      <c r="M295" s="174"/>
      <c r="N295" s="174"/>
      <c r="O295" s="174"/>
      <c r="P295" s="174"/>
      <c r="Q295" s="174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</row>
    <row r="296" spans="1:30" ht="13.8" x14ac:dyDescent="0.25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74"/>
      <c r="M296" s="174"/>
      <c r="N296" s="174"/>
      <c r="O296" s="174"/>
      <c r="P296" s="174"/>
      <c r="Q296" s="174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</row>
    <row r="297" spans="1:30" ht="13.8" x14ac:dyDescent="0.25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74"/>
      <c r="M297" s="174"/>
      <c r="N297" s="174"/>
      <c r="O297" s="174"/>
      <c r="P297" s="174"/>
      <c r="Q297" s="174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</row>
    <row r="298" spans="1:30" ht="13.8" x14ac:dyDescent="0.25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74"/>
      <c r="M298" s="174"/>
      <c r="N298" s="174"/>
      <c r="O298" s="174"/>
      <c r="P298" s="174"/>
      <c r="Q298" s="174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</row>
    <row r="299" spans="1:30" ht="13.8" x14ac:dyDescent="0.25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74"/>
      <c r="M299" s="174"/>
      <c r="N299" s="174"/>
      <c r="O299" s="174"/>
      <c r="P299" s="174"/>
      <c r="Q299" s="174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</row>
    <row r="300" spans="1:30" ht="13.8" x14ac:dyDescent="0.25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74"/>
      <c r="M300" s="174"/>
      <c r="N300" s="174"/>
      <c r="O300" s="174"/>
      <c r="P300" s="174"/>
      <c r="Q300" s="174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</row>
    <row r="301" spans="1:30" ht="13.8" x14ac:dyDescent="0.25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74"/>
      <c r="M301" s="174"/>
      <c r="N301" s="174"/>
      <c r="O301" s="174"/>
      <c r="P301" s="174"/>
      <c r="Q301" s="174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</row>
    <row r="302" spans="1:30" ht="13.8" x14ac:dyDescent="0.25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74"/>
      <c r="M302" s="174"/>
      <c r="N302" s="174"/>
      <c r="O302" s="174"/>
      <c r="P302" s="174"/>
      <c r="Q302" s="174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</row>
    <row r="303" spans="1:30" ht="13.8" x14ac:dyDescent="0.25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74"/>
      <c r="M303" s="174"/>
      <c r="N303" s="174"/>
      <c r="O303" s="174"/>
      <c r="P303" s="174"/>
      <c r="Q303" s="174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</row>
    <row r="304" spans="1:30" ht="13.8" x14ac:dyDescent="0.25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74"/>
      <c r="M304" s="174"/>
      <c r="N304" s="174"/>
      <c r="O304" s="174"/>
      <c r="P304" s="174"/>
      <c r="Q304" s="174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</row>
    <row r="305" spans="1:30" ht="13.8" x14ac:dyDescent="0.2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74"/>
      <c r="M305" s="174"/>
      <c r="N305" s="174"/>
      <c r="O305" s="174"/>
      <c r="P305" s="174"/>
      <c r="Q305" s="174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</row>
    <row r="306" spans="1:30" ht="13.8" x14ac:dyDescent="0.25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74"/>
      <c r="M306" s="174"/>
      <c r="N306" s="174"/>
      <c r="O306" s="174"/>
      <c r="P306" s="174"/>
      <c r="Q306" s="174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</row>
    <row r="307" spans="1:30" ht="13.8" x14ac:dyDescent="0.25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74"/>
      <c r="M307" s="174"/>
      <c r="N307" s="174"/>
      <c r="O307" s="174"/>
      <c r="P307" s="174"/>
      <c r="Q307" s="174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</row>
    <row r="308" spans="1:30" ht="13.8" x14ac:dyDescent="0.25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74"/>
      <c r="M308" s="174"/>
      <c r="N308" s="174"/>
      <c r="O308" s="174"/>
      <c r="P308" s="174"/>
      <c r="Q308" s="174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</row>
    <row r="309" spans="1:30" ht="13.8" x14ac:dyDescent="0.25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74"/>
      <c r="M309" s="174"/>
      <c r="N309" s="174"/>
      <c r="O309" s="174"/>
      <c r="P309" s="174"/>
      <c r="Q309" s="174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</row>
    <row r="310" spans="1:30" ht="13.8" x14ac:dyDescent="0.25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74"/>
      <c r="M310" s="174"/>
      <c r="N310" s="174"/>
      <c r="O310" s="174"/>
      <c r="P310" s="174"/>
      <c r="Q310" s="174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</row>
    <row r="311" spans="1:30" ht="13.8" x14ac:dyDescent="0.25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74"/>
      <c r="M311" s="174"/>
      <c r="N311" s="174"/>
      <c r="O311" s="174"/>
      <c r="P311" s="174"/>
      <c r="Q311" s="174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</row>
    <row r="312" spans="1:30" ht="13.8" x14ac:dyDescent="0.25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74"/>
      <c r="M312" s="174"/>
      <c r="N312" s="174"/>
      <c r="O312" s="174"/>
      <c r="P312" s="174"/>
      <c r="Q312" s="174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</row>
    <row r="313" spans="1:30" ht="13.8" x14ac:dyDescent="0.25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74"/>
      <c r="M313" s="174"/>
      <c r="N313" s="174"/>
      <c r="O313" s="174"/>
      <c r="P313" s="174"/>
      <c r="Q313" s="174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</row>
    <row r="314" spans="1:30" ht="13.8" x14ac:dyDescent="0.25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74"/>
      <c r="M314" s="174"/>
      <c r="N314" s="174"/>
      <c r="O314" s="174"/>
      <c r="P314" s="174"/>
      <c r="Q314" s="174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</row>
    <row r="315" spans="1:30" ht="13.8" x14ac:dyDescent="0.2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74"/>
      <c r="M315" s="174"/>
      <c r="N315" s="174"/>
      <c r="O315" s="174"/>
      <c r="P315" s="174"/>
      <c r="Q315" s="174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</row>
    <row r="316" spans="1:30" ht="13.8" x14ac:dyDescent="0.25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74"/>
      <c r="M316" s="174"/>
      <c r="N316" s="174"/>
      <c r="O316" s="174"/>
      <c r="P316" s="174"/>
      <c r="Q316" s="174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</row>
    <row r="317" spans="1:30" ht="13.8" x14ac:dyDescent="0.25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74"/>
      <c r="M317" s="174"/>
      <c r="N317" s="174"/>
      <c r="O317" s="174"/>
      <c r="P317" s="174"/>
      <c r="Q317" s="174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</row>
    <row r="318" spans="1:30" ht="13.8" x14ac:dyDescent="0.25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74"/>
      <c r="M318" s="174"/>
      <c r="N318" s="174"/>
      <c r="O318" s="174"/>
      <c r="P318" s="174"/>
      <c r="Q318" s="174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</row>
    <row r="319" spans="1:30" ht="13.8" x14ac:dyDescent="0.25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74"/>
      <c r="M319" s="174"/>
      <c r="N319" s="174"/>
      <c r="O319" s="174"/>
      <c r="P319" s="174"/>
      <c r="Q319" s="174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</row>
    <row r="320" spans="1:30" ht="13.8" x14ac:dyDescent="0.25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74"/>
      <c r="M320" s="174"/>
      <c r="N320" s="174"/>
      <c r="O320" s="174"/>
      <c r="P320" s="174"/>
      <c r="Q320" s="174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</row>
    <row r="321" spans="1:30" ht="13.8" x14ac:dyDescent="0.25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74"/>
      <c r="M321" s="174"/>
      <c r="N321" s="174"/>
      <c r="O321" s="174"/>
      <c r="P321" s="174"/>
      <c r="Q321" s="174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</row>
    <row r="322" spans="1:30" ht="13.8" x14ac:dyDescent="0.25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74"/>
      <c r="M322" s="174"/>
      <c r="N322" s="174"/>
      <c r="O322" s="174"/>
      <c r="P322" s="174"/>
      <c r="Q322" s="174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</row>
    <row r="323" spans="1:30" ht="13.8" x14ac:dyDescent="0.25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74"/>
      <c r="M323" s="174"/>
      <c r="N323" s="174"/>
      <c r="O323" s="174"/>
      <c r="P323" s="174"/>
      <c r="Q323" s="174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</row>
    <row r="324" spans="1:30" ht="13.8" x14ac:dyDescent="0.25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74"/>
      <c r="M324" s="174"/>
      <c r="N324" s="174"/>
      <c r="O324" s="174"/>
      <c r="P324" s="174"/>
      <c r="Q324" s="174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</row>
    <row r="325" spans="1:30" ht="13.8" x14ac:dyDescent="0.2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74"/>
      <c r="M325" s="174"/>
      <c r="N325" s="174"/>
      <c r="O325" s="174"/>
      <c r="P325" s="174"/>
      <c r="Q325" s="174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</row>
    <row r="326" spans="1:30" ht="13.8" x14ac:dyDescent="0.25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74"/>
      <c r="M326" s="174"/>
      <c r="N326" s="174"/>
      <c r="O326" s="174"/>
      <c r="P326" s="174"/>
      <c r="Q326" s="174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</row>
    <row r="327" spans="1:30" ht="13.8" x14ac:dyDescent="0.25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74"/>
      <c r="M327" s="174"/>
      <c r="N327" s="174"/>
      <c r="O327" s="174"/>
      <c r="P327" s="174"/>
      <c r="Q327" s="174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</row>
    <row r="328" spans="1:30" ht="13.8" x14ac:dyDescent="0.25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74"/>
      <c r="M328" s="174"/>
      <c r="N328" s="174"/>
      <c r="O328" s="174"/>
      <c r="P328" s="174"/>
      <c r="Q328" s="174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</row>
    <row r="329" spans="1:30" ht="13.8" x14ac:dyDescent="0.25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74"/>
      <c r="M329" s="174"/>
      <c r="N329" s="174"/>
      <c r="O329" s="174"/>
      <c r="P329" s="174"/>
      <c r="Q329" s="174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</row>
    <row r="330" spans="1:30" ht="13.8" x14ac:dyDescent="0.25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74"/>
      <c r="M330" s="174"/>
      <c r="N330" s="174"/>
      <c r="O330" s="174"/>
      <c r="P330" s="174"/>
      <c r="Q330" s="174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</row>
    <row r="331" spans="1:30" ht="13.8" x14ac:dyDescent="0.25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74"/>
      <c r="M331" s="174"/>
      <c r="N331" s="174"/>
      <c r="O331" s="174"/>
      <c r="P331" s="174"/>
      <c r="Q331" s="174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</row>
    <row r="332" spans="1:30" ht="13.8" x14ac:dyDescent="0.25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74"/>
      <c r="M332" s="174"/>
      <c r="N332" s="174"/>
      <c r="O332" s="174"/>
      <c r="P332" s="174"/>
      <c r="Q332" s="174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</row>
    <row r="333" spans="1:30" ht="13.8" x14ac:dyDescent="0.25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74"/>
      <c r="M333" s="174"/>
      <c r="N333" s="174"/>
      <c r="O333" s="174"/>
      <c r="P333" s="174"/>
      <c r="Q333" s="174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</row>
    <row r="334" spans="1:30" ht="13.8" x14ac:dyDescent="0.25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74"/>
      <c r="M334" s="174"/>
      <c r="N334" s="174"/>
      <c r="O334" s="174"/>
      <c r="P334" s="174"/>
      <c r="Q334" s="174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</row>
    <row r="335" spans="1:30" ht="13.8" x14ac:dyDescent="0.2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74"/>
      <c r="M335" s="174"/>
      <c r="N335" s="174"/>
      <c r="O335" s="174"/>
      <c r="P335" s="174"/>
      <c r="Q335" s="174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</row>
    <row r="336" spans="1:30" ht="13.8" x14ac:dyDescent="0.25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74"/>
      <c r="M336" s="174"/>
      <c r="N336" s="174"/>
      <c r="O336" s="174"/>
      <c r="P336" s="174"/>
      <c r="Q336" s="174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</row>
    <row r="337" spans="1:30" ht="13.8" x14ac:dyDescent="0.25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74"/>
      <c r="M337" s="174"/>
      <c r="N337" s="174"/>
      <c r="O337" s="174"/>
      <c r="P337" s="174"/>
      <c r="Q337" s="174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</row>
    <row r="338" spans="1:30" ht="13.8" x14ac:dyDescent="0.25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74"/>
      <c r="M338" s="174"/>
      <c r="N338" s="174"/>
      <c r="O338" s="174"/>
      <c r="P338" s="174"/>
      <c r="Q338" s="174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</row>
    <row r="339" spans="1:30" ht="13.8" x14ac:dyDescent="0.25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74"/>
      <c r="M339" s="174"/>
      <c r="N339" s="174"/>
      <c r="O339" s="174"/>
      <c r="P339" s="174"/>
      <c r="Q339" s="174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</row>
    <row r="340" spans="1:30" ht="13.8" x14ac:dyDescent="0.25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74"/>
      <c r="M340" s="174"/>
      <c r="N340" s="174"/>
      <c r="O340" s="174"/>
      <c r="P340" s="174"/>
      <c r="Q340" s="174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</row>
    <row r="341" spans="1:30" ht="13.8" x14ac:dyDescent="0.25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74"/>
      <c r="M341" s="174"/>
      <c r="N341" s="174"/>
      <c r="O341" s="174"/>
      <c r="P341" s="174"/>
      <c r="Q341" s="174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</row>
    <row r="342" spans="1:30" ht="13.8" x14ac:dyDescent="0.25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74"/>
      <c r="M342" s="174"/>
      <c r="N342" s="174"/>
      <c r="O342" s="174"/>
      <c r="P342" s="174"/>
      <c r="Q342" s="174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</row>
    <row r="343" spans="1:30" ht="13.8" x14ac:dyDescent="0.25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74"/>
      <c r="M343" s="174"/>
      <c r="N343" s="174"/>
      <c r="O343" s="174"/>
      <c r="P343" s="174"/>
      <c r="Q343" s="174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</row>
    <row r="344" spans="1:30" ht="13.8" x14ac:dyDescent="0.25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74"/>
      <c r="M344" s="174"/>
      <c r="N344" s="174"/>
      <c r="O344" s="174"/>
      <c r="P344" s="174"/>
      <c r="Q344" s="174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</row>
    <row r="345" spans="1:30" ht="13.8" x14ac:dyDescent="0.2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74"/>
      <c r="M345" s="174"/>
      <c r="N345" s="174"/>
      <c r="O345" s="174"/>
      <c r="P345" s="174"/>
      <c r="Q345" s="174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</row>
    <row r="346" spans="1:30" ht="13.8" x14ac:dyDescent="0.25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74"/>
      <c r="M346" s="174"/>
      <c r="N346" s="174"/>
      <c r="O346" s="174"/>
      <c r="P346" s="174"/>
      <c r="Q346" s="174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</row>
    <row r="347" spans="1:30" ht="13.8" x14ac:dyDescent="0.25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74"/>
      <c r="M347" s="174"/>
      <c r="N347" s="174"/>
      <c r="O347" s="174"/>
      <c r="P347" s="174"/>
      <c r="Q347" s="174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</row>
    <row r="348" spans="1:30" ht="13.8" x14ac:dyDescent="0.25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74"/>
      <c r="M348" s="174"/>
      <c r="N348" s="174"/>
      <c r="O348" s="174"/>
      <c r="P348" s="174"/>
      <c r="Q348" s="174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</row>
    <row r="349" spans="1:30" ht="13.8" x14ac:dyDescent="0.25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74"/>
      <c r="M349" s="174"/>
      <c r="N349" s="174"/>
      <c r="O349" s="174"/>
      <c r="P349" s="174"/>
      <c r="Q349" s="174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</row>
    <row r="350" spans="1:30" ht="13.8" x14ac:dyDescent="0.25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74"/>
      <c r="M350" s="174"/>
      <c r="N350" s="174"/>
      <c r="O350" s="174"/>
      <c r="P350" s="174"/>
      <c r="Q350" s="174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</row>
    <row r="351" spans="1:30" ht="13.8" x14ac:dyDescent="0.25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74"/>
      <c r="M351" s="174"/>
      <c r="N351" s="174"/>
      <c r="O351" s="174"/>
      <c r="P351" s="174"/>
      <c r="Q351" s="174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</row>
    <row r="352" spans="1:30" ht="13.8" x14ac:dyDescent="0.25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74"/>
      <c r="M352" s="174"/>
      <c r="N352" s="174"/>
      <c r="O352" s="174"/>
      <c r="P352" s="174"/>
      <c r="Q352" s="174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</row>
    <row r="353" spans="1:30" ht="13.8" x14ac:dyDescent="0.25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74"/>
      <c r="M353" s="174"/>
      <c r="N353" s="174"/>
      <c r="O353" s="174"/>
      <c r="P353" s="174"/>
      <c r="Q353" s="174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</row>
    <row r="354" spans="1:30" ht="13.8" x14ac:dyDescent="0.25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74"/>
      <c r="M354" s="174"/>
      <c r="N354" s="174"/>
      <c r="O354" s="174"/>
      <c r="P354" s="174"/>
      <c r="Q354" s="174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</row>
    <row r="355" spans="1:30" ht="13.8" x14ac:dyDescent="0.2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74"/>
      <c r="M355" s="174"/>
      <c r="N355" s="174"/>
      <c r="O355" s="174"/>
      <c r="P355" s="174"/>
      <c r="Q355" s="174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</row>
    <row r="356" spans="1:30" ht="13.8" x14ac:dyDescent="0.25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74"/>
      <c r="M356" s="174"/>
      <c r="N356" s="174"/>
      <c r="O356" s="174"/>
      <c r="P356" s="174"/>
      <c r="Q356" s="174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</row>
    <row r="357" spans="1:30" ht="13.8" x14ac:dyDescent="0.25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74"/>
      <c r="M357" s="174"/>
      <c r="N357" s="174"/>
      <c r="O357" s="174"/>
      <c r="P357" s="174"/>
      <c r="Q357" s="174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</row>
    <row r="358" spans="1:30" ht="13.8" x14ac:dyDescent="0.25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74"/>
      <c r="M358" s="174"/>
      <c r="N358" s="174"/>
      <c r="O358" s="174"/>
      <c r="P358" s="174"/>
      <c r="Q358" s="174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</row>
    <row r="359" spans="1:30" ht="13.8" x14ac:dyDescent="0.25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74"/>
      <c r="M359" s="174"/>
      <c r="N359" s="174"/>
      <c r="O359" s="174"/>
      <c r="P359" s="174"/>
      <c r="Q359" s="174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</row>
    <row r="360" spans="1:30" ht="13.8" x14ac:dyDescent="0.25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74"/>
      <c r="M360" s="174"/>
      <c r="N360" s="174"/>
      <c r="O360" s="174"/>
      <c r="P360" s="174"/>
      <c r="Q360" s="174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</row>
    <row r="361" spans="1:30" ht="13.8" x14ac:dyDescent="0.25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74"/>
      <c r="M361" s="174"/>
      <c r="N361" s="174"/>
      <c r="O361" s="174"/>
      <c r="P361" s="174"/>
      <c r="Q361" s="174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</row>
    <row r="362" spans="1:30" ht="13.8" x14ac:dyDescent="0.25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74"/>
      <c r="M362" s="174"/>
      <c r="N362" s="174"/>
      <c r="O362" s="174"/>
      <c r="P362" s="174"/>
      <c r="Q362" s="174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</row>
    <row r="363" spans="1:30" ht="13.8" x14ac:dyDescent="0.25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74"/>
      <c r="M363" s="174"/>
      <c r="N363" s="174"/>
      <c r="O363" s="174"/>
      <c r="P363" s="174"/>
      <c r="Q363" s="174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</row>
    <row r="364" spans="1:30" ht="13.8" x14ac:dyDescent="0.25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74"/>
      <c r="M364" s="174"/>
      <c r="N364" s="174"/>
      <c r="O364" s="174"/>
      <c r="P364" s="174"/>
      <c r="Q364" s="174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</row>
    <row r="365" spans="1:30" ht="13.8" x14ac:dyDescent="0.2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74"/>
      <c r="M365" s="174"/>
      <c r="N365" s="174"/>
      <c r="O365" s="174"/>
      <c r="P365" s="174"/>
      <c r="Q365" s="174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</row>
    <row r="366" spans="1:30" ht="13.8" x14ac:dyDescent="0.25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74"/>
      <c r="M366" s="174"/>
      <c r="N366" s="174"/>
      <c r="O366" s="174"/>
      <c r="P366" s="174"/>
      <c r="Q366" s="174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</row>
    <row r="367" spans="1:30" ht="13.8" x14ac:dyDescent="0.25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74"/>
      <c r="M367" s="174"/>
      <c r="N367" s="174"/>
      <c r="O367" s="174"/>
      <c r="P367" s="174"/>
      <c r="Q367" s="174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</row>
    <row r="368" spans="1:30" ht="13.8" x14ac:dyDescent="0.25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74"/>
      <c r="M368" s="174"/>
      <c r="N368" s="174"/>
      <c r="O368" s="174"/>
      <c r="P368" s="174"/>
      <c r="Q368" s="174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</row>
    <row r="369" spans="1:30" ht="13.8" x14ac:dyDescent="0.25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74"/>
      <c r="M369" s="174"/>
      <c r="N369" s="174"/>
      <c r="O369" s="174"/>
      <c r="P369" s="174"/>
      <c r="Q369" s="174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</row>
    <row r="370" spans="1:30" ht="13.8" x14ac:dyDescent="0.25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74"/>
      <c r="M370" s="174"/>
      <c r="N370" s="174"/>
      <c r="O370" s="174"/>
      <c r="P370" s="174"/>
      <c r="Q370" s="174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</row>
    <row r="371" spans="1:30" ht="13.8" x14ac:dyDescent="0.25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74"/>
      <c r="M371" s="174"/>
      <c r="N371" s="174"/>
      <c r="O371" s="174"/>
      <c r="P371" s="174"/>
      <c r="Q371" s="174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</row>
    <row r="372" spans="1:30" ht="13.8" x14ac:dyDescent="0.25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74"/>
      <c r="M372" s="174"/>
      <c r="N372" s="174"/>
      <c r="O372" s="174"/>
      <c r="P372" s="174"/>
      <c r="Q372" s="174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</row>
    <row r="373" spans="1:30" ht="13.8" x14ac:dyDescent="0.25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74"/>
      <c r="M373" s="174"/>
      <c r="N373" s="174"/>
      <c r="O373" s="174"/>
      <c r="P373" s="174"/>
      <c r="Q373" s="174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</row>
    <row r="374" spans="1:30" ht="13.8" x14ac:dyDescent="0.25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74"/>
      <c r="M374" s="174"/>
      <c r="N374" s="174"/>
      <c r="O374" s="174"/>
      <c r="P374" s="174"/>
      <c r="Q374" s="174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</row>
    <row r="375" spans="1:30" ht="13.8" x14ac:dyDescent="0.2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74"/>
      <c r="M375" s="174"/>
      <c r="N375" s="174"/>
      <c r="O375" s="174"/>
      <c r="P375" s="174"/>
      <c r="Q375" s="174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</row>
    <row r="376" spans="1:30" ht="13.8" x14ac:dyDescent="0.25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74"/>
      <c r="M376" s="174"/>
      <c r="N376" s="174"/>
      <c r="O376" s="174"/>
      <c r="P376" s="174"/>
      <c r="Q376" s="174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</row>
    <row r="377" spans="1:30" ht="13.8" x14ac:dyDescent="0.25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74"/>
      <c r="M377" s="174"/>
      <c r="N377" s="174"/>
      <c r="O377" s="174"/>
      <c r="P377" s="174"/>
      <c r="Q377" s="174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</row>
    <row r="378" spans="1:30" ht="13.8" x14ac:dyDescent="0.25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74"/>
      <c r="M378" s="174"/>
      <c r="N378" s="174"/>
      <c r="O378" s="174"/>
      <c r="P378" s="174"/>
      <c r="Q378" s="174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</row>
    <row r="379" spans="1:30" ht="13.8" x14ac:dyDescent="0.25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74"/>
      <c r="M379" s="174"/>
      <c r="N379" s="174"/>
      <c r="O379" s="174"/>
      <c r="P379" s="174"/>
      <c r="Q379" s="174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</row>
    <row r="380" spans="1:30" ht="13.8" x14ac:dyDescent="0.25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74"/>
      <c r="M380" s="174"/>
      <c r="N380" s="174"/>
      <c r="O380" s="174"/>
      <c r="P380" s="174"/>
      <c r="Q380" s="174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</row>
    <row r="381" spans="1:30" ht="13.8" x14ac:dyDescent="0.25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74"/>
      <c r="M381" s="174"/>
      <c r="N381" s="174"/>
      <c r="O381" s="174"/>
      <c r="P381" s="174"/>
      <c r="Q381" s="174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</row>
    <row r="382" spans="1:30" ht="13.8" x14ac:dyDescent="0.25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74"/>
      <c r="M382" s="174"/>
      <c r="N382" s="174"/>
      <c r="O382" s="174"/>
      <c r="P382" s="174"/>
      <c r="Q382" s="174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</row>
    <row r="383" spans="1:30" ht="13.8" x14ac:dyDescent="0.25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74"/>
      <c r="M383" s="174"/>
      <c r="N383" s="174"/>
      <c r="O383" s="174"/>
      <c r="P383" s="174"/>
      <c r="Q383" s="174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</row>
    <row r="384" spans="1:30" ht="13.8" x14ac:dyDescent="0.25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74"/>
      <c r="M384" s="174"/>
      <c r="N384" s="174"/>
      <c r="O384" s="174"/>
      <c r="P384" s="174"/>
      <c r="Q384" s="174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</row>
    <row r="385" spans="1:30" ht="13.8" x14ac:dyDescent="0.2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74"/>
      <c r="M385" s="174"/>
      <c r="N385" s="174"/>
      <c r="O385" s="174"/>
      <c r="P385" s="174"/>
      <c r="Q385" s="174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</row>
    <row r="386" spans="1:30" ht="13.8" x14ac:dyDescent="0.25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74"/>
      <c r="M386" s="174"/>
      <c r="N386" s="174"/>
      <c r="O386" s="174"/>
      <c r="P386" s="174"/>
      <c r="Q386" s="174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</row>
    <row r="387" spans="1:30" ht="13.8" x14ac:dyDescent="0.25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74"/>
      <c r="M387" s="174"/>
      <c r="N387" s="174"/>
      <c r="O387" s="174"/>
      <c r="P387" s="174"/>
      <c r="Q387" s="174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</row>
    <row r="388" spans="1:30" ht="13.8" x14ac:dyDescent="0.25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74"/>
      <c r="M388" s="174"/>
      <c r="N388" s="174"/>
      <c r="O388" s="174"/>
      <c r="P388" s="174"/>
      <c r="Q388" s="174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</row>
    <row r="389" spans="1:30" ht="13.8" x14ac:dyDescent="0.25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74"/>
      <c r="M389" s="174"/>
      <c r="N389" s="174"/>
      <c r="O389" s="174"/>
      <c r="P389" s="174"/>
      <c r="Q389" s="174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</row>
    <row r="390" spans="1:30" ht="13.8" x14ac:dyDescent="0.25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74"/>
      <c r="M390" s="174"/>
      <c r="N390" s="174"/>
      <c r="O390" s="174"/>
      <c r="P390" s="174"/>
      <c r="Q390" s="174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</row>
    <row r="391" spans="1:30" ht="13.8" x14ac:dyDescent="0.25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74"/>
      <c r="M391" s="174"/>
      <c r="N391" s="174"/>
      <c r="O391" s="174"/>
      <c r="P391" s="174"/>
      <c r="Q391" s="174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</row>
    <row r="392" spans="1:30" ht="13.8" x14ac:dyDescent="0.25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74"/>
      <c r="M392" s="174"/>
      <c r="N392" s="174"/>
      <c r="O392" s="174"/>
      <c r="P392" s="174"/>
      <c r="Q392" s="174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</row>
    <row r="393" spans="1:30" ht="13.8" x14ac:dyDescent="0.25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74"/>
      <c r="M393" s="174"/>
      <c r="N393" s="174"/>
      <c r="O393" s="174"/>
      <c r="P393" s="174"/>
      <c r="Q393" s="174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</row>
    <row r="394" spans="1:30" ht="13.8" x14ac:dyDescent="0.25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74"/>
      <c r="M394" s="174"/>
      <c r="N394" s="174"/>
      <c r="O394" s="174"/>
      <c r="P394" s="174"/>
      <c r="Q394" s="174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</row>
    <row r="395" spans="1:30" ht="13.8" x14ac:dyDescent="0.2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74"/>
      <c r="M395" s="174"/>
      <c r="N395" s="174"/>
      <c r="O395" s="174"/>
      <c r="P395" s="174"/>
      <c r="Q395" s="174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</row>
    <row r="396" spans="1:30" ht="13.8" x14ac:dyDescent="0.25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74"/>
      <c r="M396" s="174"/>
      <c r="N396" s="174"/>
      <c r="O396" s="174"/>
      <c r="P396" s="174"/>
      <c r="Q396" s="174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</row>
    <row r="397" spans="1:30" ht="13.8" x14ac:dyDescent="0.25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74"/>
      <c r="M397" s="174"/>
      <c r="N397" s="174"/>
      <c r="O397" s="174"/>
      <c r="P397" s="174"/>
      <c r="Q397" s="174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</row>
    <row r="398" spans="1:30" ht="13.8" x14ac:dyDescent="0.25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74"/>
      <c r="M398" s="174"/>
      <c r="N398" s="174"/>
      <c r="O398" s="174"/>
      <c r="P398" s="174"/>
      <c r="Q398" s="174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</row>
    <row r="399" spans="1:30" ht="13.8" x14ac:dyDescent="0.25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74"/>
      <c r="M399" s="174"/>
      <c r="N399" s="174"/>
      <c r="O399" s="174"/>
      <c r="P399" s="174"/>
      <c r="Q399" s="174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</row>
    <row r="400" spans="1:30" ht="13.8" x14ac:dyDescent="0.25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74"/>
      <c r="M400" s="174"/>
      <c r="N400" s="174"/>
      <c r="O400" s="174"/>
      <c r="P400" s="174"/>
      <c r="Q400" s="174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</row>
    <row r="401" spans="1:30" ht="13.8" x14ac:dyDescent="0.25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74"/>
      <c r="M401" s="174"/>
      <c r="N401" s="174"/>
      <c r="O401" s="174"/>
      <c r="P401" s="174"/>
      <c r="Q401" s="174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</row>
    <row r="402" spans="1:30" ht="13.8" x14ac:dyDescent="0.25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74"/>
      <c r="M402" s="174"/>
      <c r="N402" s="174"/>
      <c r="O402" s="174"/>
      <c r="P402" s="174"/>
      <c r="Q402" s="174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</row>
    <row r="403" spans="1:30" ht="13.8" x14ac:dyDescent="0.25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74"/>
      <c r="M403" s="174"/>
      <c r="N403" s="174"/>
      <c r="O403" s="174"/>
      <c r="P403" s="174"/>
      <c r="Q403" s="174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</row>
    <row r="404" spans="1:30" ht="13.8" x14ac:dyDescent="0.25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74"/>
      <c r="M404" s="174"/>
      <c r="N404" s="174"/>
      <c r="O404" s="174"/>
      <c r="P404" s="174"/>
      <c r="Q404" s="174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</row>
    <row r="405" spans="1:30" ht="13.8" x14ac:dyDescent="0.2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74"/>
      <c r="M405" s="174"/>
      <c r="N405" s="174"/>
      <c r="O405" s="174"/>
      <c r="P405" s="174"/>
      <c r="Q405" s="174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</row>
    <row r="406" spans="1:30" ht="13.8" x14ac:dyDescent="0.25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74"/>
      <c r="M406" s="174"/>
      <c r="N406" s="174"/>
      <c r="O406" s="174"/>
      <c r="P406" s="174"/>
      <c r="Q406" s="174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</row>
    <row r="407" spans="1:30" ht="13.8" x14ac:dyDescent="0.25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74"/>
      <c r="M407" s="174"/>
      <c r="N407" s="174"/>
      <c r="O407" s="174"/>
      <c r="P407" s="174"/>
      <c r="Q407" s="174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</row>
    <row r="408" spans="1:30" ht="13.8" x14ac:dyDescent="0.25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74"/>
      <c r="M408" s="174"/>
      <c r="N408" s="174"/>
      <c r="O408" s="174"/>
      <c r="P408" s="174"/>
      <c r="Q408" s="174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</row>
    <row r="409" spans="1:30" ht="13.8" x14ac:dyDescent="0.25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74"/>
      <c r="M409" s="174"/>
      <c r="N409" s="174"/>
      <c r="O409" s="174"/>
      <c r="P409" s="174"/>
      <c r="Q409" s="174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</row>
    <row r="410" spans="1:30" ht="13.8" x14ac:dyDescent="0.25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74"/>
      <c r="M410" s="174"/>
      <c r="N410" s="174"/>
      <c r="O410" s="174"/>
      <c r="P410" s="174"/>
      <c r="Q410" s="174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</row>
    <row r="411" spans="1:30" ht="13.8" x14ac:dyDescent="0.25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74"/>
      <c r="M411" s="174"/>
      <c r="N411" s="174"/>
      <c r="O411" s="174"/>
      <c r="P411" s="174"/>
      <c r="Q411" s="174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</row>
    <row r="412" spans="1:30" ht="13.8" x14ac:dyDescent="0.25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74"/>
      <c r="M412" s="174"/>
      <c r="N412" s="174"/>
      <c r="O412" s="174"/>
      <c r="P412" s="174"/>
      <c r="Q412" s="174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</row>
    <row r="413" spans="1:30" ht="13.8" x14ac:dyDescent="0.25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74"/>
      <c r="M413" s="174"/>
      <c r="N413" s="174"/>
      <c r="O413" s="174"/>
      <c r="P413" s="174"/>
      <c r="Q413" s="174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</row>
    <row r="414" spans="1:30" ht="13.8" x14ac:dyDescent="0.25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74"/>
      <c r="M414" s="174"/>
      <c r="N414" s="174"/>
      <c r="O414" s="174"/>
      <c r="P414" s="174"/>
      <c r="Q414" s="174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</row>
    <row r="415" spans="1:30" ht="13.8" x14ac:dyDescent="0.2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74"/>
      <c r="M415" s="174"/>
      <c r="N415" s="174"/>
      <c r="O415" s="174"/>
      <c r="P415" s="174"/>
      <c r="Q415" s="174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</row>
    <row r="416" spans="1:30" ht="13.8" x14ac:dyDescent="0.25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74"/>
      <c r="M416" s="174"/>
      <c r="N416" s="174"/>
      <c r="O416" s="174"/>
      <c r="P416" s="174"/>
      <c r="Q416" s="174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</row>
    <row r="417" spans="1:30" ht="13.8" x14ac:dyDescent="0.25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74"/>
      <c r="M417" s="174"/>
      <c r="N417" s="174"/>
      <c r="O417" s="174"/>
      <c r="P417" s="174"/>
      <c r="Q417" s="174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</row>
    <row r="418" spans="1:30" ht="13.8" x14ac:dyDescent="0.25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74"/>
      <c r="M418" s="174"/>
      <c r="N418" s="174"/>
      <c r="O418" s="174"/>
      <c r="P418" s="174"/>
      <c r="Q418" s="174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</row>
    <row r="419" spans="1:30" ht="13.8" x14ac:dyDescent="0.25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74"/>
      <c r="M419" s="174"/>
      <c r="N419" s="174"/>
      <c r="O419" s="174"/>
      <c r="P419" s="174"/>
      <c r="Q419" s="174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</row>
    <row r="420" spans="1:30" ht="13.8" x14ac:dyDescent="0.25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74"/>
      <c r="M420" s="174"/>
      <c r="N420" s="174"/>
      <c r="O420" s="174"/>
      <c r="P420" s="174"/>
      <c r="Q420" s="174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</row>
    <row r="421" spans="1:30" ht="13.8" x14ac:dyDescent="0.25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74"/>
      <c r="M421" s="174"/>
      <c r="N421" s="174"/>
      <c r="O421" s="174"/>
      <c r="P421" s="174"/>
      <c r="Q421" s="174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</row>
    <row r="422" spans="1:30" ht="13.8" x14ac:dyDescent="0.25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74"/>
      <c r="M422" s="174"/>
      <c r="N422" s="174"/>
      <c r="O422" s="174"/>
      <c r="P422" s="174"/>
      <c r="Q422" s="174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</row>
    <row r="423" spans="1:30" ht="13.8" x14ac:dyDescent="0.25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74"/>
      <c r="M423" s="174"/>
      <c r="N423" s="174"/>
      <c r="O423" s="174"/>
      <c r="P423" s="174"/>
      <c r="Q423" s="174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</row>
    <row r="424" spans="1:30" ht="13.8" x14ac:dyDescent="0.25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74"/>
      <c r="M424" s="174"/>
      <c r="N424" s="174"/>
      <c r="O424" s="174"/>
      <c r="P424" s="174"/>
      <c r="Q424" s="174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</row>
    <row r="425" spans="1:30" ht="13.8" x14ac:dyDescent="0.2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74"/>
      <c r="M425" s="174"/>
      <c r="N425" s="174"/>
      <c r="O425" s="174"/>
      <c r="P425" s="174"/>
      <c r="Q425" s="174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</row>
    <row r="426" spans="1:30" ht="13.8" x14ac:dyDescent="0.25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74"/>
      <c r="M426" s="174"/>
      <c r="N426" s="174"/>
      <c r="O426" s="174"/>
      <c r="P426" s="174"/>
      <c r="Q426" s="174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</row>
    <row r="427" spans="1:30" ht="13.8" x14ac:dyDescent="0.25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74"/>
      <c r="M427" s="174"/>
      <c r="N427" s="174"/>
      <c r="O427" s="174"/>
      <c r="P427" s="174"/>
      <c r="Q427" s="174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</row>
    <row r="428" spans="1:30" ht="13.8" x14ac:dyDescent="0.25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74"/>
      <c r="M428" s="174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30" ht="13.8" x14ac:dyDescent="0.25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74"/>
      <c r="M429" s="174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30" ht="13.8" x14ac:dyDescent="0.25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74"/>
      <c r="M430" s="174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30" ht="13.8" x14ac:dyDescent="0.25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74"/>
      <c r="M431" s="174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30" ht="13.8" x14ac:dyDescent="0.25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74"/>
      <c r="M432" s="174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8" x14ac:dyDescent="0.25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74"/>
      <c r="M433" s="174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8" x14ac:dyDescent="0.25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74"/>
      <c r="M434" s="174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8" x14ac:dyDescent="0.2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74"/>
      <c r="M435" s="174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8" x14ac:dyDescent="0.25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74"/>
      <c r="M436" s="174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8" x14ac:dyDescent="0.25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74"/>
      <c r="M437" s="174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8" x14ac:dyDescent="0.25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74"/>
      <c r="M438" s="174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8" x14ac:dyDescent="0.25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74"/>
      <c r="M439" s="174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8" x14ac:dyDescent="0.25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74"/>
      <c r="M440" s="174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8" x14ac:dyDescent="0.25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74"/>
      <c r="M441" s="174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8" x14ac:dyDescent="0.25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74"/>
      <c r="M442" s="174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8" x14ac:dyDescent="0.25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74"/>
      <c r="M443" s="174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8" x14ac:dyDescent="0.25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74"/>
      <c r="M444" s="174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8" x14ac:dyDescent="0.2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74"/>
      <c r="M445" s="174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8" x14ac:dyDescent="0.25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74"/>
      <c r="M446" s="174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8" x14ac:dyDescent="0.25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74"/>
      <c r="M447" s="174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8" x14ac:dyDescent="0.25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74"/>
      <c r="M448" s="174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8" x14ac:dyDescent="0.25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74"/>
      <c r="M449" s="174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8" x14ac:dyDescent="0.25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74"/>
      <c r="M450" s="174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8" x14ac:dyDescent="0.25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74"/>
      <c r="M451" s="174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8" x14ac:dyDescent="0.25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74"/>
      <c r="M452" s="174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8" x14ac:dyDescent="0.25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74"/>
      <c r="M453" s="174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8" x14ac:dyDescent="0.25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74"/>
      <c r="M454" s="174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8" x14ac:dyDescent="0.2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74"/>
      <c r="M455" s="174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8" x14ac:dyDescent="0.25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74"/>
      <c r="M456" s="174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8" x14ac:dyDescent="0.25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74"/>
      <c r="M457" s="174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8" x14ac:dyDescent="0.25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74"/>
      <c r="M458" s="174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8" x14ac:dyDescent="0.25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74"/>
      <c r="M459" s="174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8" x14ac:dyDescent="0.25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74"/>
      <c r="M460" s="174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8" x14ac:dyDescent="0.25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74"/>
      <c r="M461" s="174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8" x14ac:dyDescent="0.25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74"/>
      <c r="M462" s="174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8" x14ac:dyDescent="0.25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74"/>
      <c r="M463" s="174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8" x14ac:dyDescent="0.25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74"/>
      <c r="M464" s="174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8" x14ac:dyDescent="0.2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74"/>
      <c r="M465" s="174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8" x14ac:dyDescent="0.25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74"/>
      <c r="M466" s="174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8" x14ac:dyDescent="0.25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74"/>
      <c r="M467" s="174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8" x14ac:dyDescent="0.25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74"/>
      <c r="M468" s="174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8" x14ac:dyDescent="0.25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74"/>
      <c r="M469" s="174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8" x14ac:dyDescent="0.25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74"/>
      <c r="M470" s="174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8" x14ac:dyDescent="0.25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74"/>
      <c r="M471" s="174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8" x14ac:dyDescent="0.25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74"/>
      <c r="M472" s="174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8" x14ac:dyDescent="0.25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74"/>
      <c r="M473" s="174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8" x14ac:dyDescent="0.25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74"/>
      <c r="M474" s="174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8" x14ac:dyDescent="0.2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74"/>
      <c r="M475" s="174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8" x14ac:dyDescent="0.25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74"/>
      <c r="M476" s="174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8" x14ac:dyDescent="0.25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74"/>
      <c r="M477" s="174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8" x14ac:dyDescent="0.25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74"/>
      <c r="M478" s="174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8" x14ac:dyDescent="0.25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74"/>
      <c r="M479" s="174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8" x14ac:dyDescent="0.25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74"/>
      <c r="M480" s="174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8" x14ac:dyDescent="0.25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74"/>
      <c r="M481" s="174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8" x14ac:dyDescent="0.25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74"/>
      <c r="M482" s="174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8" x14ac:dyDescent="0.25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74"/>
      <c r="M483" s="174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8" x14ac:dyDescent="0.25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74"/>
      <c r="M484" s="174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8" x14ac:dyDescent="0.2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74"/>
      <c r="M485" s="174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8" x14ac:dyDescent="0.25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74"/>
      <c r="M486" s="174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8" x14ac:dyDescent="0.25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74"/>
      <c r="M487" s="174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8" x14ac:dyDescent="0.25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74"/>
      <c r="M488" s="174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8" x14ac:dyDescent="0.25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74"/>
      <c r="M489" s="174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8" x14ac:dyDescent="0.25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74"/>
      <c r="M490" s="174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8" x14ac:dyDescent="0.25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74"/>
      <c r="M491" s="174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8" x14ac:dyDescent="0.25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74"/>
      <c r="M492" s="174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8" x14ac:dyDescent="0.25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74"/>
      <c r="M493" s="174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8" x14ac:dyDescent="0.25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74"/>
      <c r="M494" s="174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8" x14ac:dyDescent="0.2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74"/>
      <c r="M495" s="174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8" x14ac:dyDescent="0.25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74"/>
      <c r="M496" s="174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8" x14ac:dyDescent="0.25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74"/>
      <c r="M497" s="174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8" x14ac:dyDescent="0.25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74"/>
      <c r="M498" s="174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8" x14ac:dyDescent="0.25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74"/>
      <c r="M499" s="174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8" x14ac:dyDescent="0.25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74"/>
      <c r="M500" s="174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8" x14ac:dyDescent="0.25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74"/>
      <c r="M501" s="174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8" x14ac:dyDescent="0.25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74"/>
      <c r="M502" s="174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8" x14ac:dyDescent="0.25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74"/>
      <c r="M503" s="174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8" x14ac:dyDescent="0.25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74"/>
      <c r="M504" s="174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8" x14ac:dyDescent="0.2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74"/>
      <c r="M505" s="174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8" x14ac:dyDescent="0.25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74"/>
      <c r="M506" s="174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8" x14ac:dyDescent="0.25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74"/>
      <c r="M507" s="174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8" x14ac:dyDescent="0.25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74"/>
      <c r="M508" s="174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8" x14ac:dyDescent="0.25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74"/>
      <c r="M509" s="174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8" x14ac:dyDescent="0.25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74"/>
      <c r="M510" s="174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8" x14ac:dyDescent="0.25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74"/>
      <c r="M511" s="174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8" x14ac:dyDescent="0.25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74"/>
      <c r="M512" s="174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8" x14ac:dyDescent="0.25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74"/>
      <c r="M513" s="174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8" x14ac:dyDescent="0.25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74"/>
      <c r="M514" s="174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8" x14ac:dyDescent="0.2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74"/>
      <c r="M515" s="174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8" x14ac:dyDescent="0.25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74"/>
      <c r="M516" s="174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8" x14ac:dyDescent="0.25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74"/>
      <c r="M517" s="174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8" x14ac:dyDescent="0.25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74"/>
      <c r="M518" s="174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8" x14ac:dyDescent="0.25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74"/>
      <c r="M519" s="174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8" x14ac:dyDescent="0.25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74"/>
      <c r="M520" s="174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8" x14ac:dyDescent="0.25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74"/>
      <c r="M521" s="174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8" x14ac:dyDescent="0.25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74"/>
      <c r="M522" s="174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8" x14ac:dyDescent="0.25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74"/>
      <c r="M523" s="174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8" x14ac:dyDescent="0.25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74"/>
      <c r="M524" s="174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8" x14ac:dyDescent="0.2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74"/>
      <c r="M525" s="174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8" x14ac:dyDescent="0.25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74"/>
      <c r="M526" s="174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8" x14ac:dyDescent="0.25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74"/>
      <c r="M527" s="174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8" x14ac:dyDescent="0.25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74"/>
      <c r="M528" s="174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8" x14ac:dyDescent="0.25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74"/>
      <c r="M529" s="174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8" x14ac:dyDescent="0.25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74"/>
      <c r="M530" s="174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8" x14ac:dyDescent="0.25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74"/>
      <c r="M531" s="174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8" x14ac:dyDescent="0.25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74"/>
      <c r="M532" s="174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8" x14ac:dyDescent="0.25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74"/>
      <c r="M533" s="174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8" x14ac:dyDescent="0.25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74"/>
      <c r="M534" s="174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8" x14ac:dyDescent="0.2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74"/>
      <c r="M535" s="174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8" x14ac:dyDescent="0.25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74"/>
      <c r="M536" s="174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8" x14ac:dyDescent="0.25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74"/>
      <c r="M537" s="174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8" x14ac:dyDescent="0.25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74"/>
      <c r="M538" s="174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8" x14ac:dyDescent="0.25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74"/>
      <c r="M539" s="174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8" x14ac:dyDescent="0.25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74"/>
      <c r="M540" s="174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8" x14ac:dyDescent="0.25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74"/>
      <c r="M541" s="174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8" x14ac:dyDescent="0.25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74"/>
      <c r="M542" s="174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8" x14ac:dyDescent="0.25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74"/>
      <c r="M543" s="174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8" x14ac:dyDescent="0.25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74"/>
      <c r="M544" s="174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8" x14ac:dyDescent="0.2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74"/>
      <c r="M545" s="174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8" x14ac:dyDescent="0.25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74"/>
      <c r="M546" s="174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8" x14ac:dyDescent="0.25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74"/>
      <c r="M547" s="174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8" x14ac:dyDescent="0.25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74"/>
      <c r="M548" s="174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8" x14ac:dyDescent="0.25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74"/>
      <c r="M549" s="174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8" x14ac:dyDescent="0.25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74"/>
      <c r="M550" s="174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8" x14ac:dyDescent="0.25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74"/>
      <c r="M551" s="174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8" x14ac:dyDescent="0.25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74"/>
      <c r="M552" s="174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8" x14ac:dyDescent="0.25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74"/>
      <c r="M553" s="17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8" x14ac:dyDescent="0.25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74"/>
      <c r="M554" s="174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8" x14ac:dyDescent="0.2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74"/>
      <c r="M555" s="174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8" x14ac:dyDescent="0.25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74"/>
      <c r="M556" s="174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8" x14ac:dyDescent="0.25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74"/>
      <c r="M557" s="174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8" x14ac:dyDescent="0.25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74"/>
      <c r="M558" s="174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8" x14ac:dyDescent="0.25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74"/>
      <c r="M559" s="174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8" x14ac:dyDescent="0.25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74"/>
      <c r="M560" s="174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8" x14ac:dyDescent="0.25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74"/>
      <c r="M561" s="174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8" x14ac:dyDescent="0.25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74"/>
      <c r="M562" s="174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8" x14ac:dyDescent="0.25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74"/>
      <c r="M563" s="174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8" x14ac:dyDescent="0.25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74"/>
      <c r="M564" s="174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8" x14ac:dyDescent="0.2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74"/>
      <c r="M565" s="174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8" x14ac:dyDescent="0.25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74"/>
      <c r="M566" s="174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8" x14ac:dyDescent="0.25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74"/>
      <c r="M567" s="174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8" x14ac:dyDescent="0.25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74"/>
      <c r="M568" s="174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8" x14ac:dyDescent="0.25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74"/>
      <c r="M569" s="174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8" x14ac:dyDescent="0.25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74"/>
      <c r="M570" s="174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8" x14ac:dyDescent="0.25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74"/>
      <c r="M571" s="174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8" x14ac:dyDescent="0.25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74"/>
      <c r="M572" s="174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8" x14ac:dyDescent="0.25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74"/>
      <c r="M573" s="174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8" x14ac:dyDescent="0.25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74"/>
      <c r="M574" s="174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8" x14ac:dyDescent="0.2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74"/>
      <c r="M575" s="174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8" x14ac:dyDescent="0.25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74"/>
      <c r="M576" s="174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8" x14ac:dyDescent="0.25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74"/>
      <c r="M577" s="174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8" x14ac:dyDescent="0.25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74"/>
      <c r="M578" s="174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8" x14ac:dyDescent="0.25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74"/>
      <c r="M579" s="174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8" x14ac:dyDescent="0.25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74"/>
      <c r="M580" s="174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8" x14ac:dyDescent="0.25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74"/>
      <c r="M581" s="174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8" x14ac:dyDescent="0.25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74"/>
      <c r="M582" s="174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8" x14ac:dyDescent="0.25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74"/>
      <c r="M583" s="174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8" x14ac:dyDescent="0.25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74"/>
      <c r="M584" s="174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8" x14ac:dyDescent="0.2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74"/>
      <c r="M585" s="174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8" x14ac:dyDescent="0.25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74"/>
      <c r="M586" s="174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8" x14ac:dyDescent="0.25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74"/>
      <c r="M587" s="174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8" x14ac:dyDescent="0.25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74"/>
      <c r="M588" s="174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8" x14ac:dyDescent="0.25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74"/>
      <c r="M589" s="174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8" x14ac:dyDescent="0.25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74"/>
      <c r="M590" s="174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8" x14ac:dyDescent="0.25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74"/>
      <c r="M591" s="174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8" x14ac:dyDescent="0.25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74"/>
      <c r="M592" s="174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8" x14ac:dyDescent="0.25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74"/>
      <c r="M593" s="174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8" x14ac:dyDescent="0.25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74"/>
      <c r="M594" s="174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8" x14ac:dyDescent="0.2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74"/>
      <c r="M595" s="174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8" x14ac:dyDescent="0.25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74"/>
      <c r="M596" s="174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8" x14ac:dyDescent="0.25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74"/>
      <c r="M597" s="174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8" x14ac:dyDescent="0.25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74"/>
      <c r="M598" s="174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8" x14ac:dyDescent="0.25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74"/>
      <c r="M599" s="174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8" x14ac:dyDescent="0.25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74"/>
      <c r="M600" s="174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8" x14ac:dyDescent="0.25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74"/>
      <c r="M601" s="174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8" x14ac:dyDescent="0.25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74"/>
      <c r="M602" s="174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8" x14ac:dyDescent="0.25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74"/>
      <c r="M603" s="174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8" x14ac:dyDescent="0.25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74"/>
      <c r="M604" s="174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8" x14ac:dyDescent="0.2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74"/>
      <c r="M605" s="174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8" x14ac:dyDescent="0.25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74"/>
      <c r="M606" s="174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8" x14ac:dyDescent="0.25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74"/>
      <c r="M607" s="174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8" x14ac:dyDescent="0.25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74"/>
      <c r="M608" s="174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8" x14ac:dyDescent="0.25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74"/>
      <c r="M609" s="174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8" x14ac:dyDescent="0.25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74"/>
      <c r="M610" s="174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8" x14ac:dyDescent="0.25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74"/>
      <c r="M611" s="174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8" x14ac:dyDescent="0.25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74"/>
      <c r="M612" s="174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8" x14ac:dyDescent="0.25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74"/>
      <c r="M613" s="174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8" x14ac:dyDescent="0.25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74"/>
      <c r="M614" s="174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8" x14ac:dyDescent="0.2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74"/>
      <c r="M615" s="174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8" x14ac:dyDescent="0.25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74"/>
      <c r="M616" s="174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8" x14ac:dyDescent="0.25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74"/>
      <c r="M617" s="174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8" x14ac:dyDescent="0.25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74"/>
      <c r="M618" s="174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8" x14ac:dyDescent="0.25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74"/>
      <c r="M619" s="174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8" x14ac:dyDescent="0.25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74"/>
      <c r="M620" s="174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8" x14ac:dyDescent="0.25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74"/>
      <c r="M621" s="174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8" x14ac:dyDescent="0.25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74"/>
      <c r="M622" s="174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8" x14ac:dyDescent="0.25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74"/>
      <c r="M623" s="174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8" x14ac:dyDescent="0.25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74"/>
      <c r="M624" s="174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8" x14ac:dyDescent="0.2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74"/>
      <c r="M625" s="174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8" x14ac:dyDescent="0.25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74"/>
      <c r="M626" s="174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8" x14ac:dyDescent="0.25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74"/>
      <c r="M627" s="174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8" x14ac:dyDescent="0.25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74"/>
      <c r="M628" s="174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8" x14ac:dyDescent="0.25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74"/>
      <c r="M629" s="174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8" x14ac:dyDescent="0.25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74"/>
      <c r="M630" s="174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8" x14ac:dyDescent="0.25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8" x14ac:dyDescent="0.25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8" x14ac:dyDescent="0.25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8" x14ac:dyDescent="0.25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8" x14ac:dyDescent="0.2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8" x14ac:dyDescent="0.25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8" x14ac:dyDescent="0.25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8" x14ac:dyDescent="0.25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8" x14ac:dyDescent="0.25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8" x14ac:dyDescent="0.25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8" x14ac:dyDescent="0.25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8" x14ac:dyDescent="0.25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8" x14ac:dyDescent="0.25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8" x14ac:dyDescent="0.25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8" x14ac:dyDescent="0.2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8" x14ac:dyDescent="0.25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8" x14ac:dyDescent="0.25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8" x14ac:dyDescent="0.25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8" x14ac:dyDescent="0.25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8" x14ac:dyDescent="0.25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8" x14ac:dyDescent="0.25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8" x14ac:dyDescent="0.25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8" x14ac:dyDescent="0.25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8" x14ac:dyDescent="0.25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8" x14ac:dyDescent="0.2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8" x14ac:dyDescent="0.25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8" x14ac:dyDescent="0.25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8" x14ac:dyDescent="0.25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8" x14ac:dyDescent="0.25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8" x14ac:dyDescent="0.25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8" x14ac:dyDescent="0.25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8" x14ac:dyDescent="0.25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8" x14ac:dyDescent="0.25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8" x14ac:dyDescent="0.25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8" x14ac:dyDescent="0.2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8" x14ac:dyDescent="0.25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8" x14ac:dyDescent="0.25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8" x14ac:dyDescent="0.25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8" x14ac:dyDescent="0.25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8" x14ac:dyDescent="0.25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8" x14ac:dyDescent="0.25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8" x14ac:dyDescent="0.25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8" x14ac:dyDescent="0.25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8" x14ac:dyDescent="0.25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8" x14ac:dyDescent="0.2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8" x14ac:dyDescent="0.25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8" x14ac:dyDescent="0.25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8" x14ac:dyDescent="0.25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8" x14ac:dyDescent="0.25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8" x14ac:dyDescent="0.25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8" x14ac:dyDescent="0.25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8" x14ac:dyDescent="0.25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8" x14ac:dyDescent="0.25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8" x14ac:dyDescent="0.25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8" x14ac:dyDescent="0.2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8" x14ac:dyDescent="0.25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8" x14ac:dyDescent="0.25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8" x14ac:dyDescent="0.25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8" x14ac:dyDescent="0.25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8" x14ac:dyDescent="0.25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8" x14ac:dyDescent="0.25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8" x14ac:dyDescent="0.25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8" x14ac:dyDescent="0.25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8" x14ac:dyDescent="0.25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8" x14ac:dyDescent="0.2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8" x14ac:dyDescent="0.25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8" x14ac:dyDescent="0.25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8" x14ac:dyDescent="0.25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8" x14ac:dyDescent="0.25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8" x14ac:dyDescent="0.25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8" x14ac:dyDescent="0.25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8" x14ac:dyDescent="0.25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8" x14ac:dyDescent="0.25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8" x14ac:dyDescent="0.25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8" x14ac:dyDescent="0.2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8" x14ac:dyDescent="0.25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8" x14ac:dyDescent="0.25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8" x14ac:dyDescent="0.25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8" x14ac:dyDescent="0.25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8" x14ac:dyDescent="0.25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8" x14ac:dyDescent="0.25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8" x14ac:dyDescent="0.25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8" x14ac:dyDescent="0.25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8" x14ac:dyDescent="0.25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8" x14ac:dyDescent="0.2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8" x14ac:dyDescent="0.25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8" x14ac:dyDescent="0.25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8" x14ac:dyDescent="0.25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8" x14ac:dyDescent="0.25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8" x14ac:dyDescent="0.25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8" x14ac:dyDescent="0.25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8" x14ac:dyDescent="0.25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8" x14ac:dyDescent="0.25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8" x14ac:dyDescent="0.25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8" x14ac:dyDescent="0.2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8" x14ac:dyDescent="0.25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8" x14ac:dyDescent="0.25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8" x14ac:dyDescent="0.25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8" x14ac:dyDescent="0.25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8" x14ac:dyDescent="0.25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8" x14ac:dyDescent="0.25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8" x14ac:dyDescent="0.25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8" x14ac:dyDescent="0.25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8" x14ac:dyDescent="0.25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8" x14ac:dyDescent="0.2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8" x14ac:dyDescent="0.25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8" x14ac:dyDescent="0.25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8" x14ac:dyDescent="0.25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8" x14ac:dyDescent="0.25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8" x14ac:dyDescent="0.25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8" x14ac:dyDescent="0.25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8" x14ac:dyDescent="0.25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8" x14ac:dyDescent="0.25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8" x14ac:dyDescent="0.25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8" x14ac:dyDescent="0.2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8" x14ac:dyDescent="0.25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8" x14ac:dyDescent="0.25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8" x14ac:dyDescent="0.25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8" x14ac:dyDescent="0.25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8" x14ac:dyDescent="0.25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8" x14ac:dyDescent="0.25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8" x14ac:dyDescent="0.25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8" x14ac:dyDescent="0.25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8" x14ac:dyDescent="0.25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8" x14ac:dyDescent="0.2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8" x14ac:dyDescent="0.25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8" x14ac:dyDescent="0.25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8" x14ac:dyDescent="0.25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8" x14ac:dyDescent="0.25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8" x14ac:dyDescent="0.25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8" x14ac:dyDescent="0.25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8" x14ac:dyDescent="0.25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8" x14ac:dyDescent="0.25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8" x14ac:dyDescent="0.25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8" x14ac:dyDescent="0.2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8" x14ac:dyDescent="0.25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8" x14ac:dyDescent="0.25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8" x14ac:dyDescent="0.25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8" x14ac:dyDescent="0.25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8" x14ac:dyDescent="0.25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8" x14ac:dyDescent="0.25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8" x14ac:dyDescent="0.25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8" x14ac:dyDescent="0.25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8" x14ac:dyDescent="0.25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8" x14ac:dyDescent="0.2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8" x14ac:dyDescent="0.25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8" x14ac:dyDescent="0.25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8" x14ac:dyDescent="0.25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8" x14ac:dyDescent="0.25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8" x14ac:dyDescent="0.25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8" x14ac:dyDescent="0.25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8" x14ac:dyDescent="0.25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8" x14ac:dyDescent="0.25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8" x14ac:dyDescent="0.25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8" x14ac:dyDescent="0.2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8" x14ac:dyDescent="0.25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8" x14ac:dyDescent="0.25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8" x14ac:dyDescent="0.25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8" x14ac:dyDescent="0.25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8" x14ac:dyDescent="0.25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8" x14ac:dyDescent="0.25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8" x14ac:dyDescent="0.25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8" x14ac:dyDescent="0.25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8" x14ac:dyDescent="0.25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8" x14ac:dyDescent="0.2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8" x14ac:dyDescent="0.25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8" x14ac:dyDescent="0.25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8" x14ac:dyDescent="0.25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8" x14ac:dyDescent="0.25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8" x14ac:dyDescent="0.25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8" x14ac:dyDescent="0.25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8" x14ac:dyDescent="0.25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8" x14ac:dyDescent="0.25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8" x14ac:dyDescent="0.25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8" x14ac:dyDescent="0.2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8" x14ac:dyDescent="0.25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8" x14ac:dyDescent="0.25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8" x14ac:dyDescent="0.25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8" x14ac:dyDescent="0.25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8" x14ac:dyDescent="0.25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8" x14ac:dyDescent="0.25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8" x14ac:dyDescent="0.25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8" x14ac:dyDescent="0.25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8" x14ac:dyDescent="0.25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8" x14ac:dyDescent="0.2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8" x14ac:dyDescent="0.25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8" x14ac:dyDescent="0.25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8" x14ac:dyDescent="0.25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8" x14ac:dyDescent="0.25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8" x14ac:dyDescent="0.25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8" x14ac:dyDescent="0.25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8" x14ac:dyDescent="0.25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8" x14ac:dyDescent="0.25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8" x14ac:dyDescent="0.25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8" x14ac:dyDescent="0.2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8" x14ac:dyDescent="0.25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8" x14ac:dyDescent="0.25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8" x14ac:dyDescent="0.25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8" x14ac:dyDescent="0.25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8" x14ac:dyDescent="0.25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8" x14ac:dyDescent="0.25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8" x14ac:dyDescent="0.25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8" x14ac:dyDescent="0.25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8" x14ac:dyDescent="0.25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8" x14ac:dyDescent="0.2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8" x14ac:dyDescent="0.25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8" x14ac:dyDescent="0.25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8" x14ac:dyDescent="0.25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8" x14ac:dyDescent="0.25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8" x14ac:dyDescent="0.25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8" x14ac:dyDescent="0.25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8" x14ac:dyDescent="0.25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8" x14ac:dyDescent="0.25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8" x14ac:dyDescent="0.25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8" x14ac:dyDescent="0.2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8" x14ac:dyDescent="0.25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8" x14ac:dyDescent="0.25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8" x14ac:dyDescent="0.25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8" x14ac:dyDescent="0.25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8" x14ac:dyDescent="0.25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8" x14ac:dyDescent="0.25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8" x14ac:dyDescent="0.25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8" x14ac:dyDescent="0.25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8" x14ac:dyDescent="0.25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8" x14ac:dyDescent="0.2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8" x14ac:dyDescent="0.25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8" x14ac:dyDescent="0.25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8" x14ac:dyDescent="0.25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8" x14ac:dyDescent="0.25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8" x14ac:dyDescent="0.25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8" x14ac:dyDescent="0.25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8" x14ac:dyDescent="0.25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8" x14ac:dyDescent="0.25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8" x14ac:dyDescent="0.25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8" x14ac:dyDescent="0.2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8" x14ac:dyDescent="0.25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8" x14ac:dyDescent="0.25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8" x14ac:dyDescent="0.25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8" x14ac:dyDescent="0.25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8" x14ac:dyDescent="0.25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8" x14ac:dyDescent="0.25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8" x14ac:dyDescent="0.25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8" x14ac:dyDescent="0.25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8" x14ac:dyDescent="0.25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8" x14ac:dyDescent="0.2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8" x14ac:dyDescent="0.25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8" x14ac:dyDescent="0.25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8" x14ac:dyDescent="0.25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8" x14ac:dyDescent="0.25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8" x14ac:dyDescent="0.25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8" x14ac:dyDescent="0.25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8" x14ac:dyDescent="0.25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8" x14ac:dyDescent="0.25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8" x14ac:dyDescent="0.25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8" x14ac:dyDescent="0.2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8" x14ac:dyDescent="0.25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8" x14ac:dyDescent="0.25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8" x14ac:dyDescent="0.25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8" x14ac:dyDescent="0.25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8" x14ac:dyDescent="0.25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8" x14ac:dyDescent="0.25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8" x14ac:dyDescent="0.25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8" x14ac:dyDescent="0.25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8" x14ac:dyDescent="0.25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.8" x14ac:dyDescent="0.2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.8" x14ac:dyDescent="0.25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.8" x14ac:dyDescent="0.25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.8" x14ac:dyDescent="0.25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.8" x14ac:dyDescent="0.25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.8" x14ac:dyDescent="0.25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.8" x14ac:dyDescent="0.25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.8" x14ac:dyDescent="0.25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.8" x14ac:dyDescent="0.25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3.8" x14ac:dyDescent="0.25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3.8" x14ac:dyDescent="0.2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3.8" x14ac:dyDescent="0.25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3.8" x14ac:dyDescent="0.25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3.8" x14ac:dyDescent="0.25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3.8" x14ac:dyDescent="0.25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3.8" x14ac:dyDescent="0.25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3.8" x14ac:dyDescent="0.25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3.8" x14ac:dyDescent="0.25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3.8" x14ac:dyDescent="0.25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3.8" x14ac:dyDescent="0.25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3.8" x14ac:dyDescent="0.2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3.8" x14ac:dyDescent="0.25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3.8" x14ac:dyDescent="0.25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3.8" x14ac:dyDescent="0.25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3.8" x14ac:dyDescent="0.25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3.8" x14ac:dyDescent="0.25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3.8" x14ac:dyDescent="0.25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3.8" x14ac:dyDescent="0.25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3.8" x14ac:dyDescent="0.25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3.8" x14ac:dyDescent="0.25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3.8" x14ac:dyDescent="0.2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3.8" x14ac:dyDescent="0.25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3.8" x14ac:dyDescent="0.25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3.8" x14ac:dyDescent="0.25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3.8" x14ac:dyDescent="0.25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3.8" x14ac:dyDescent="0.25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3.8" x14ac:dyDescent="0.25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3.8" x14ac:dyDescent="0.25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3.8" x14ac:dyDescent="0.25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3.8" x14ac:dyDescent="0.25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3.8" x14ac:dyDescent="0.2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3.8" x14ac:dyDescent="0.25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3.8" x14ac:dyDescent="0.25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3.8" x14ac:dyDescent="0.25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3.8" x14ac:dyDescent="0.25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3.8" x14ac:dyDescent="0.25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3.8" x14ac:dyDescent="0.25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3.8" x14ac:dyDescent="0.25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3.8" x14ac:dyDescent="0.25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3.8" x14ac:dyDescent="0.25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3.8" x14ac:dyDescent="0.2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3.8" x14ac:dyDescent="0.25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3.8" x14ac:dyDescent="0.25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3.8" x14ac:dyDescent="0.25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3.8" x14ac:dyDescent="0.25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3.8" x14ac:dyDescent="0.25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3.8" x14ac:dyDescent="0.25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3.8" x14ac:dyDescent="0.25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3.8" x14ac:dyDescent="0.25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3.8" x14ac:dyDescent="0.25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3.8" x14ac:dyDescent="0.2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3.8" x14ac:dyDescent="0.25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3.8" x14ac:dyDescent="0.25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3.8" x14ac:dyDescent="0.25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3.8" x14ac:dyDescent="0.25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3.8" x14ac:dyDescent="0.25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3.8" x14ac:dyDescent="0.25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3.8" x14ac:dyDescent="0.25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3.8" x14ac:dyDescent="0.25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3.8" x14ac:dyDescent="0.25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3.8" x14ac:dyDescent="0.25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3.8" x14ac:dyDescent="0.25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3.8" x14ac:dyDescent="0.25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3.8" x14ac:dyDescent="0.25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3.8" x14ac:dyDescent="0.25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3.8" x14ac:dyDescent="0.25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3.8" x14ac:dyDescent="0.25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3.8" x14ac:dyDescent="0.25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3.8" x14ac:dyDescent="0.25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3.8" x14ac:dyDescent="0.25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3.8" x14ac:dyDescent="0.25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3.8" x14ac:dyDescent="0.25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3.8" x14ac:dyDescent="0.25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3.8" x14ac:dyDescent="0.25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3.8" x14ac:dyDescent="0.25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3.8" x14ac:dyDescent="0.25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3.8" x14ac:dyDescent="0.25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3.8" x14ac:dyDescent="0.25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3.8" x14ac:dyDescent="0.25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3.8" x14ac:dyDescent="0.25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3.8" x14ac:dyDescent="0.25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3.8" x14ac:dyDescent="0.25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3.8" x14ac:dyDescent="0.25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3.8" x14ac:dyDescent="0.25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3.8" x14ac:dyDescent="0.25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3.8" x14ac:dyDescent="0.25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3.8" x14ac:dyDescent="0.25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3.8" x14ac:dyDescent="0.25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3.8" x14ac:dyDescent="0.25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3.8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3.8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3.8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3.8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3.8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3.8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3.8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3.8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spans="1:28" ht="13.8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spans="1:28" ht="13.8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spans="1:28" ht="13.8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spans="1:28" ht="13.8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spans="1:28" ht="13.8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spans="1:28" ht="13.8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spans="1:28" ht="13.8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spans="1:28" ht="13.8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spans="1:28" ht="13.8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spans="1:28" ht="13.8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spans="1:28" ht="13.8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spans="1:28" ht="13.8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spans="1:28" ht="13.8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spans="1:28" ht="13.8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spans="1:28" ht="13.8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spans="1:28" ht="13.8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spans="1:28" ht="13.8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spans="1:28" ht="13.8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spans="1:28" ht="13.8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spans="1:28" ht="13.8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spans="1:28" ht="13.8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spans="1:28" ht="13.8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spans="1:28" ht="13.8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spans="1:28" ht="13.8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spans="1:28" ht="13.8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spans="1:28" ht="13.8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spans="1:28" ht="13.8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spans="1:28" ht="13.8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spans="1:28" ht="13.8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spans="1:28" ht="13.8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spans="1:28" ht="13.8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spans="1:28" ht="13.8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spans="1:28" ht="13.8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spans="1:28" ht="13.8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spans="1:28" ht="13.8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spans="1:28" ht="13.8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spans="1:28" ht="13.8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spans="1:28" ht="13.8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spans="1:28" ht="13.8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spans="1:28" ht="13.8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spans="1:28" ht="13.8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spans="1:28" ht="13.8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spans="1:28" ht="13.8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spans="1:28" ht="13.8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spans="1:28" ht="13.8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spans="1:28" ht="13.8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spans="1:28" ht="13.8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spans="1:28" ht="13.8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spans="1:28" ht="13.8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spans="1:28" ht="13.8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spans="1:28" ht="13.8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spans="1:28" ht="13.8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spans="1:28" ht="13.8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spans="1:28" ht="13.8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spans="1:28" ht="13.8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spans="1:28" ht="13.8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spans="1:28" ht="13.8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spans="1:28" ht="13.8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spans="1:28" ht="13.8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spans="1:28" ht="13.8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spans="1:28" ht="13.8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spans="1:28" ht="13.8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spans="1:28" ht="13.8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spans="1:28" ht="13.8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spans="1:28" ht="13.8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spans="1:28" ht="13.8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</sheetData>
  <sheetProtection algorithmName="SHA-512" hashValue="LeZ61NkSUSv4PIRdk02MW9TMly2wRazfbQkgp//qEk3Si0yS5WsyynCMwbCpUbxVfqo2j6Nr00kjQUjv9UlzhQ==" saltValue="xfvEqMZ+HmSialZY9a688g==" spinCount="100000" sheet="1" objects="1" scenarios="1"/>
  <mergeCells count="148">
    <mergeCell ref="F172:G172"/>
    <mergeCell ref="D174:G174"/>
    <mergeCell ref="D175:G175"/>
    <mergeCell ref="D176:G176"/>
    <mergeCell ref="D143:G143"/>
    <mergeCell ref="F144:G144"/>
    <mergeCell ref="F145:G145"/>
    <mergeCell ref="D162:G162"/>
    <mergeCell ref="D164:G164"/>
    <mergeCell ref="D165:G165"/>
    <mergeCell ref="D166:G166"/>
    <mergeCell ref="D167:G167"/>
    <mergeCell ref="D168:G168"/>
    <mergeCell ref="D169:G169"/>
    <mergeCell ref="F146:G146"/>
    <mergeCell ref="F173:G173"/>
    <mergeCell ref="D171:G171"/>
    <mergeCell ref="D161:G161"/>
    <mergeCell ref="D163:G163"/>
    <mergeCell ref="F158:G158"/>
    <mergeCell ref="F159:G159"/>
    <mergeCell ref="D160:G160"/>
    <mergeCell ref="F141:G141"/>
    <mergeCell ref="F135:G135"/>
    <mergeCell ref="D150:G150"/>
    <mergeCell ref="D152:G152"/>
    <mergeCell ref="D153:G153"/>
    <mergeCell ref="D157:G157"/>
    <mergeCell ref="F147:G147"/>
    <mergeCell ref="F148:G148"/>
    <mergeCell ref="D149:G149"/>
    <mergeCell ref="D151:G151"/>
    <mergeCell ref="D155:G155"/>
    <mergeCell ref="D156:G156"/>
    <mergeCell ref="C42:G42"/>
    <mergeCell ref="C44:G44"/>
    <mergeCell ref="C43:G43"/>
    <mergeCell ref="C45:G45"/>
    <mergeCell ref="C46:G46"/>
    <mergeCell ref="F125:G125"/>
    <mergeCell ref="F110:G110"/>
    <mergeCell ref="C95:G95"/>
    <mergeCell ref="C96:G96"/>
    <mergeCell ref="D104:G104"/>
    <mergeCell ref="F105:G105"/>
    <mergeCell ref="F106:G106"/>
    <mergeCell ref="F107:G107"/>
    <mergeCell ref="D109:G109"/>
    <mergeCell ref="F113:G113"/>
    <mergeCell ref="F115:G115"/>
    <mergeCell ref="D120:G120"/>
    <mergeCell ref="F122:G122"/>
    <mergeCell ref="F124:G124"/>
    <mergeCell ref="F111:G111"/>
    <mergeCell ref="F112:G112"/>
    <mergeCell ref="F114:G114"/>
    <mergeCell ref="F116:G116"/>
    <mergeCell ref="C102:F102"/>
    <mergeCell ref="C52:G52"/>
    <mergeCell ref="C58:G58"/>
    <mergeCell ref="C61:G61"/>
    <mergeCell ref="C53:G53"/>
    <mergeCell ref="C54:G54"/>
    <mergeCell ref="C47:G47"/>
    <mergeCell ref="C48:G48"/>
    <mergeCell ref="C50:G50"/>
    <mergeCell ref="C49:G49"/>
    <mergeCell ref="C51:G51"/>
    <mergeCell ref="C60:G60"/>
    <mergeCell ref="B2:H2"/>
    <mergeCell ref="C4:F4"/>
    <mergeCell ref="C5:G5"/>
    <mergeCell ref="E8:G8"/>
    <mergeCell ref="E10:G10"/>
    <mergeCell ref="D7:G7"/>
    <mergeCell ref="F21:G21"/>
    <mergeCell ref="E31:G31"/>
    <mergeCell ref="E33:G33"/>
    <mergeCell ref="E28:G28"/>
    <mergeCell ref="E29:G29"/>
    <mergeCell ref="C62:G62"/>
    <mergeCell ref="C63:G63"/>
    <mergeCell ref="C64:G64"/>
    <mergeCell ref="C65:G65"/>
    <mergeCell ref="C55:G55"/>
    <mergeCell ref="C56:G56"/>
    <mergeCell ref="C57:G57"/>
    <mergeCell ref="C59:G59"/>
    <mergeCell ref="C76:G76"/>
    <mergeCell ref="C77:G77"/>
    <mergeCell ref="C79:G79"/>
    <mergeCell ref="C82:G82"/>
    <mergeCell ref="C66:G66"/>
    <mergeCell ref="C67:G67"/>
    <mergeCell ref="C70:G70"/>
    <mergeCell ref="C71:G71"/>
    <mergeCell ref="C73:G73"/>
    <mergeCell ref="C74:G74"/>
    <mergeCell ref="C75:G75"/>
    <mergeCell ref="C78:G78"/>
    <mergeCell ref="C80:G80"/>
    <mergeCell ref="C81:G81"/>
    <mergeCell ref="C68:G68"/>
    <mergeCell ref="C69:G69"/>
    <mergeCell ref="C72:G72"/>
    <mergeCell ref="C83:G83"/>
    <mergeCell ref="C86:G86"/>
    <mergeCell ref="C87:G87"/>
    <mergeCell ref="C89:G89"/>
    <mergeCell ref="C92:G92"/>
    <mergeCell ref="C85:G85"/>
    <mergeCell ref="C88:G88"/>
    <mergeCell ref="C91:G91"/>
    <mergeCell ref="C94:G94"/>
    <mergeCell ref="C93:G93"/>
    <mergeCell ref="E34:G34"/>
    <mergeCell ref="E35:G35"/>
    <mergeCell ref="E9:G9"/>
    <mergeCell ref="F18:G18"/>
    <mergeCell ref="F27:G27"/>
    <mergeCell ref="E30:G30"/>
    <mergeCell ref="E32:G32"/>
    <mergeCell ref="C39:G39"/>
    <mergeCell ref="C40:G40"/>
    <mergeCell ref="F12:G12"/>
    <mergeCell ref="F13:G13"/>
    <mergeCell ref="F20:G20"/>
    <mergeCell ref="F11:G11"/>
    <mergeCell ref="F19:G19"/>
    <mergeCell ref="F26:G26"/>
    <mergeCell ref="C37:G37"/>
    <mergeCell ref="C38:G38"/>
    <mergeCell ref="F130:G130"/>
    <mergeCell ref="F131:G131"/>
    <mergeCell ref="F137:G137"/>
    <mergeCell ref="F139:G139"/>
    <mergeCell ref="F140:G140"/>
    <mergeCell ref="F117:G117"/>
    <mergeCell ref="F118:G118"/>
    <mergeCell ref="F123:G123"/>
    <mergeCell ref="F126:G126"/>
    <mergeCell ref="F128:G128"/>
    <mergeCell ref="F127:G127"/>
    <mergeCell ref="F129:G129"/>
    <mergeCell ref="F136:G136"/>
    <mergeCell ref="F132:G132"/>
    <mergeCell ref="F133:G133"/>
    <mergeCell ref="F138:G1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AN234"/>
  <sheetViews>
    <sheetView showGridLines="0" zoomScale="90" zoomScaleNormal="90" zoomScaleSheetLayoutView="30" workbookViewId="0"/>
  </sheetViews>
  <sheetFormatPr defaultColWidth="14.44140625" defaultRowHeight="15" customHeight="1" outlineLevelRow="1" x14ac:dyDescent="0.25"/>
  <cols>
    <col min="1" max="1" width="3.77734375" style="4" customWidth="1"/>
    <col min="2" max="2" width="24.6640625" style="4" customWidth="1"/>
    <col min="3" max="6" width="22.33203125" style="4" customWidth="1"/>
    <col min="7" max="10" width="21.109375" style="4" customWidth="1"/>
    <col min="11" max="11" width="9.77734375" style="4" customWidth="1"/>
    <col min="12" max="12" width="12.6640625" style="4" customWidth="1"/>
    <col min="13" max="13" width="14.33203125" style="4" customWidth="1"/>
    <col min="14" max="39" width="21.6640625" style="4" customWidth="1"/>
    <col min="40" max="16384" width="14.44140625" style="4"/>
  </cols>
  <sheetData>
    <row r="1" spans="1:39" ht="19.95" customHeight="1" x14ac:dyDescent="0.25">
      <c r="A1" s="14"/>
      <c r="B1" s="15"/>
      <c r="C1" s="15"/>
      <c r="D1" s="15"/>
      <c r="E1" s="15"/>
      <c r="F1" s="15"/>
      <c r="G1" s="15"/>
      <c r="H1" s="15"/>
      <c r="I1" s="16"/>
      <c r="J1" s="15"/>
      <c r="K1" s="16"/>
      <c r="L1" s="15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8"/>
      <c r="AF1" s="18"/>
      <c r="AG1" s="18"/>
      <c r="AH1" s="18"/>
      <c r="AI1" s="18"/>
      <c r="AJ1" s="18"/>
      <c r="AK1" s="18"/>
      <c r="AL1" s="18"/>
      <c r="AM1" s="18"/>
    </row>
    <row r="2" spans="1:39" ht="97.8" customHeight="1" x14ac:dyDescent="0.25">
      <c r="A2" s="19"/>
      <c r="B2" s="290" t="s">
        <v>302</v>
      </c>
      <c r="C2" s="291"/>
      <c r="D2" s="291"/>
      <c r="E2" s="291"/>
      <c r="F2" s="291"/>
      <c r="G2" s="291"/>
      <c r="H2" s="291"/>
      <c r="I2" s="291"/>
      <c r="J2" s="292"/>
      <c r="K2" s="16"/>
      <c r="L2" s="15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8"/>
      <c r="AF2" s="18"/>
      <c r="AG2" s="18"/>
      <c r="AH2" s="18"/>
      <c r="AI2" s="18"/>
      <c r="AJ2" s="18"/>
      <c r="AK2" s="18"/>
      <c r="AL2" s="18"/>
      <c r="AM2" s="18"/>
    </row>
    <row r="3" spans="1:39" ht="18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8"/>
      <c r="AF3" s="18"/>
      <c r="AG3" s="18"/>
      <c r="AH3" s="18"/>
      <c r="AI3" s="18"/>
      <c r="AJ3" s="18"/>
      <c r="AK3" s="18"/>
      <c r="AL3" s="18"/>
      <c r="AM3" s="18"/>
    </row>
    <row r="4" spans="1:39" s="239" customFormat="1" ht="18" customHeight="1" x14ac:dyDescent="0.3">
      <c r="A4" s="234"/>
      <c r="B4" s="235" t="s">
        <v>112</v>
      </c>
      <c r="C4" s="236"/>
      <c r="D4" s="236"/>
      <c r="E4" s="236"/>
      <c r="F4" s="236"/>
      <c r="G4" s="236"/>
      <c r="H4" s="236"/>
      <c r="I4" s="236"/>
      <c r="J4" s="237"/>
      <c r="K4" s="23"/>
      <c r="L4" s="23"/>
      <c r="M4" s="51"/>
      <c r="N4" s="51"/>
      <c r="O4" s="5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38"/>
      <c r="AB4" s="238"/>
      <c r="AC4" s="238"/>
      <c r="AD4" s="238"/>
      <c r="AE4" s="238"/>
      <c r="AF4" s="238"/>
      <c r="AG4" s="238"/>
      <c r="AH4" s="238"/>
      <c r="AI4" s="238"/>
    </row>
    <row r="5" spans="1:39" s="243" customFormat="1" ht="18" customHeight="1" x14ac:dyDescent="0.25">
      <c r="A5" s="240"/>
      <c r="B5" s="23"/>
      <c r="C5" s="241"/>
      <c r="D5" s="22"/>
      <c r="E5" s="22"/>
      <c r="F5" s="22"/>
      <c r="G5" s="22"/>
      <c r="H5" s="22"/>
      <c r="I5" s="23"/>
      <c r="J5" s="22"/>
      <c r="K5" s="23"/>
      <c r="L5" s="23"/>
      <c r="M5" s="240"/>
      <c r="N5" s="51"/>
      <c r="O5" s="51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42"/>
      <c r="AF5" s="242"/>
      <c r="AG5" s="242"/>
      <c r="AH5" s="242"/>
      <c r="AI5" s="242"/>
      <c r="AJ5" s="242"/>
      <c r="AK5" s="242"/>
      <c r="AL5" s="242"/>
      <c r="AM5" s="242"/>
    </row>
    <row r="6" spans="1:39" s="243" customFormat="1" ht="18" customHeight="1" x14ac:dyDescent="0.25">
      <c r="A6" s="244"/>
      <c r="B6" s="321" t="s">
        <v>152</v>
      </c>
      <c r="C6" s="321"/>
      <c r="D6" s="324"/>
      <c r="E6" s="324"/>
      <c r="F6" s="22"/>
      <c r="G6" s="22"/>
      <c r="H6" s="22"/>
      <c r="I6" s="23"/>
      <c r="J6" s="22"/>
      <c r="K6" s="23"/>
      <c r="L6" s="23"/>
      <c r="M6" s="51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42"/>
      <c r="AF6" s="242"/>
      <c r="AG6" s="242"/>
      <c r="AH6" s="242"/>
      <c r="AI6" s="242"/>
      <c r="AJ6" s="242"/>
      <c r="AK6" s="242"/>
      <c r="AL6" s="242"/>
      <c r="AM6" s="242"/>
    </row>
    <row r="7" spans="1:39" s="243" customFormat="1" ht="18" customHeight="1" x14ac:dyDescent="0.25">
      <c r="A7" s="244"/>
      <c r="B7" s="321" t="s">
        <v>5</v>
      </c>
      <c r="C7" s="321"/>
      <c r="D7" s="324"/>
      <c r="E7" s="324"/>
      <c r="F7" s="22"/>
      <c r="G7" s="22"/>
      <c r="H7" s="22"/>
      <c r="I7" s="23"/>
      <c r="J7" s="22"/>
      <c r="K7" s="23"/>
      <c r="L7" s="23"/>
      <c r="M7" s="51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42"/>
      <c r="AF7" s="242"/>
      <c r="AG7" s="242"/>
      <c r="AH7" s="242"/>
      <c r="AI7" s="242"/>
      <c r="AJ7" s="242"/>
      <c r="AK7" s="242"/>
      <c r="AL7" s="242"/>
      <c r="AM7" s="242"/>
    </row>
    <row r="8" spans="1:39" s="243" customFormat="1" ht="18" customHeight="1" x14ac:dyDescent="0.25">
      <c r="A8" s="240"/>
      <c r="B8" s="23"/>
      <c r="C8" s="22"/>
      <c r="D8" s="22"/>
      <c r="E8" s="22"/>
      <c r="F8" s="22"/>
      <c r="G8" s="22"/>
      <c r="H8" s="22"/>
      <c r="I8" s="23"/>
      <c r="J8" s="22"/>
      <c r="K8" s="23"/>
      <c r="L8" s="23"/>
      <c r="M8" s="51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42"/>
      <c r="AF8" s="242"/>
      <c r="AG8" s="242"/>
      <c r="AH8" s="242"/>
      <c r="AI8" s="242"/>
      <c r="AJ8" s="242"/>
      <c r="AK8" s="242"/>
      <c r="AL8" s="242"/>
      <c r="AM8" s="242"/>
    </row>
    <row r="9" spans="1:39" s="239" customFormat="1" ht="18" customHeight="1" x14ac:dyDescent="0.3">
      <c r="A9" s="234"/>
      <c r="B9" s="328" t="s">
        <v>113</v>
      </c>
      <c r="C9" s="329"/>
      <c r="D9" s="329"/>
      <c r="E9" s="329"/>
      <c r="F9" s="329"/>
      <c r="G9" s="329"/>
      <c r="H9" s="329"/>
      <c r="I9" s="329"/>
      <c r="J9" s="330"/>
      <c r="K9" s="23"/>
      <c r="L9" s="23"/>
      <c r="M9" s="51"/>
      <c r="N9" s="51"/>
      <c r="O9" s="5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38"/>
      <c r="AB9" s="238"/>
      <c r="AC9" s="238"/>
      <c r="AD9" s="238"/>
      <c r="AE9" s="238"/>
      <c r="AF9" s="238"/>
      <c r="AG9" s="238"/>
      <c r="AH9" s="238"/>
      <c r="AI9" s="238"/>
    </row>
    <row r="10" spans="1:39" s="243" customFormat="1" ht="18" customHeight="1" x14ac:dyDescent="0.25">
      <c r="A10" s="240"/>
      <c r="B10" s="127" t="s">
        <v>87</v>
      </c>
      <c r="C10" s="22"/>
      <c r="D10" s="22"/>
      <c r="E10" s="22"/>
      <c r="F10" s="22"/>
      <c r="G10" s="22"/>
      <c r="H10" s="245"/>
      <c r="I10" s="246"/>
      <c r="J10" s="22"/>
      <c r="K10" s="23"/>
      <c r="L10" s="23"/>
      <c r="M10" s="51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42"/>
      <c r="AF10" s="242"/>
      <c r="AG10" s="242"/>
      <c r="AH10" s="242"/>
      <c r="AI10" s="242"/>
      <c r="AJ10" s="242"/>
      <c r="AK10" s="242"/>
      <c r="AL10" s="242"/>
      <c r="AM10" s="242"/>
    </row>
    <row r="11" spans="1:39" s="243" customFormat="1" ht="18" customHeight="1" x14ac:dyDescent="0.25">
      <c r="A11" s="240"/>
      <c r="B11" s="23"/>
      <c r="C11" s="23"/>
      <c r="D11" s="23"/>
      <c r="E11" s="23"/>
      <c r="F11" s="23"/>
      <c r="G11" s="23"/>
      <c r="H11" s="246"/>
      <c r="I11" s="246"/>
      <c r="J11" s="23"/>
      <c r="K11" s="23"/>
      <c r="L11" s="23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242"/>
      <c r="AF11" s="242"/>
      <c r="AG11" s="242"/>
      <c r="AH11" s="242"/>
      <c r="AI11" s="242"/>
      <c r="AJ11" s="242"/>
      <c r="AK11" s="242"/>
      <c r="AL11" s="242"/>
      <c r="AM11" s="242"/>
    </row>
    <row r="12" spans="1:39" s="243" customFormat="1" ht="18" customHeight="1" x14ac:dyDescent="0.25">
      <c r="A12" s="240"/>
      <c r="B12" s="46" t="s">
        <v>63</v>
      </c>
      <c r="C12" s="23"/>
      <c r="D12" s="23"/>
      <c r="E12" s="23"/>
      <c r="F12" s="23"/>
      <c r="G12" s="23"/>
      <c r="H12" s="246"/>
      <c r="I12" s="246"/>
      <c r="J12" s="23"/>
      <c r="K12" s="23"/>
      <c r="L12" s="23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242"/>
      <c r="AF12" s="242"/>
      <c r="AG12" s="242"/>
      <c r="AH12" s="242"/>
      <c r="AI12" s="242"/>
      <c r="AJ12" s="242"/>
      <c r="AK12" s="242"/>
      <c r="AL12" s="242"/>
      <c r="AM12" s="242"/>
    </row>
    <row r="13" spans="1:39" s="243" customFormat="1" ht="18" customHeight="1" x14ac:dyDescent="0.25">
      <c r="A13" s="244"/>
      <c r="B13" s="331" t="s">
        <v>64</v>
      </c>
      <c r="C13" s="333"/>
      <c r="D13" s="333"/>
      <c r="E13" s="333"/>
      <c r="F13" s="147"/>
      <c r="G13" s="22"/>
      <c r="H13" s="224"/>
      <c r="I13" s="224"/>
      <c r="J13" s="22"/>
      <c r="K13" s="23"/>
      <c r="L13" s="23"/>
      <c r="M13" s="51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42"/>
      <c r="AF13" s="242"/>
      <c r="AG13" s="242"/>
      <c r="AH13" s="242"/>
      <c r="AI13" s="242"/>
      <c r="AJ13" s="242"/>
      <c r="AK13" s="242"/>
      <c r="AL13" s="242"/>
      <c r="AM13" s="242"/>
    </row>
    <row r="14" spans="1:39" s="243" customFormat="1" ht="18" customHeight="1" x14ac:dyDescent="0.25">
      <c r="A14" s="240"/>
      <c r="B14" s="23"/>
      <c r="C14" s="23"/>
      <c r="D14" s="23"/>
      <c r="E14" s="23"/>
      <c r="F14" s="23"/>
      <c r="G14" s="23"/>
      <c r="H14" s="246"/>
      <c r="I14" s="246"/>
      <c r="J14" s="23"/>
      <c r="K14" s="23"/>
      <c r="L14" s="23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242"/>
      <c r="AF14" s="242"/>
      <c r="AG14" s="242"/>
      <c r="AH14" s="242"/>
      <c r="AI14" s="242"/>
      <c r="AJ14" s="242"/>
      <c r="AK14" s="242"/>
      <c r="AL14" s="242"/>
      <c r="AM14" s="242"/>
    </row>
    <row r="15" spans="1:39" s="243" customFormat="1" ht="18" customHeight="1" x14ac:dyDescent="0.25">
      <c r="A15" s="240"/>
      <c r="B15" s="46" t="s">
        <v>89</v>
      </c>
      <c r="C15" s="22"/>
      <c r="D15" s="22"/>
      <c r="E15" s="22"/>
      <c r="F15" s="22"/>
      <c r="G15" s="22"/>
      <c r="H15" s="245"/>
      <c r="I15" s="246"/>
      <c r="J15" s="22"/>
      <c r="K15" s="23"/>
      <c r="L15" s="23"/>
      <c r="M15" s="51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42"/>
      <c r="AF15" s="242"/>
      <c r="AG15" s="242"/>
      <c r="AH15" s="242"/>
      <c r="AI15" s="242"/>
      <c r="AJ15" s="242"/>
      <c r="AK15" s="242"/>
      <c r="AL15" s="242"/>
      <c r="AM15" s="242"/>
    </row>
    <row r="16" spans="1:39" s="243" customFormat="1" ht="30" customHeight="1" x14ac:dyDescent="0.25">
      <c r="A16" s="244"/>
      <c r="B16" s="334" t="s">
        <v>88</v>
      </c>
      <c r="C16" s="335"/>
      <c r="D16" s="335"/>
      <c r="E16" s="333"/>
      <c r="F16" s="219"/>
      <c r="G16" s="128" t="s">
        <v>14</v>
      </c>
      <c r="H16" s="247" t="str">
        <f>IF(AND($F$16&gt;0,F$13="Yes"),"This value must be zero if 'Yes' is selected above","")</f>
        <v/>
      </c>
      <c r="I16" s="246"/>
      <c r="J16" s="22"/>
      <c r="K16" s="23"/>
      <c r="L16" s="23"/>
      <c r="M16" s="51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42"/>
      <c r="AF16" s="242"/>
      <c r="AG16" s="242"/>
      <c r="AH16" s="242"/>
      <c r="AI16" s="242"/>
      <c r="AJ16" s="242"/>
      <c r="AK16" s="242"/>
      <c r="AL16" s="242"/>
      <c r="AM16" s="242"/>
    </row>
    <row r="17" spans="1:40" s="243" customFormat="1" ht="18" customHeight="1" x14ac:dyDescent="0.25">
      <c r="A17" s="240"/>
      <c r="B17" s="23"/>
      <c r="C17" s="248"/>
      <c r="D17" s="22"/>
      <c r="E17" s="22"/>
      <c r="F17" s="22"/>
      <c r="G17" s="22"/>
      <c r="H17" s="245"/>
      <c r="I17" s="246"/>
      <c r="J17" s="22"/>
      <c r="K17" s="23"/>
      <c r="L17" s="23"/>
      <c r="M17" s="51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42"/>
      <c r="AF17" s="242"/>
      <c r="AG17" s="242"/>
      <c r="AH17" s="242"/>
      <c r="AI17" s="242"/>
      <c r="AJ17" s="242"/>
      <c r="AK17" s="242"/>
      <c r="AL17" s="242"/>
      <c r="AM17" s="242"/>
    </row>
    <row r="18" spans="1:40" s="239" customFormat="1" ht="18" customHeight="1" x14ac:dyDescent="0.3">
      <c r="A18" s="234"/>
      <c r="B18" s="235" t="s">
        <v>114</v>
      </c>
      <c r="C18" s="236"/>
      <c r="D18" s="236"/>
      <c r="E18" s="236"/>
      <c r="F18" s="236"/>
      <c r="G18" s="236"/>
      <c r="H18" s="236"/>
      <c r="I18" s="236"/>
      <c r="J18" s="237"/>
      <c r="K18" s="23"/>
      <c r="L18" s="23"/>
      <c r="M18" s="51"/>
      <c r="N18" s="51"/>
      <c r="O18" s="5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40" s="243" customFormat="1" ht="18" customHeight="1" x14ac:dyDescent="0.25">
      <c r="A19" s="240"/>
      <c r="B19" s="23"/>
      <c r="C19" s="22"/>
      <c r="D19" s="22"/>
      <c r="E19" s="22"/>
      <c r="F19" s="22"/>
      <c r="G19" s="22"/>
      <c r="H19" s="22"/>
      <c r="I19" s="23"/>
      <c r="J19" s="22"/>
      <c r="K19" s="23"/>
      <c r="L19" s="23"/>
      <c r="M19" s="51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42"/>
      <c r="AF19" s="242"/>
      <c r="AG19" s="242"/>
      <c r="AH19" s="242"/>
      <c r="AI19" s="242"/>
      <c r="AJ19" s="242"/>
      <c r="AK19" s="242"/>
      <c r="AL19" s="242"/>
      <c r="AM19" s="242"/>
    </row>
    <row r="20" spans="1:40" s="243" customFormat="1" ht="18" customHeight="1" x14ac:dyDescent="0.25">
      <c r="A20" s="249"/>
      <c r="B20" s="24" t="s">
        <v>66</v>
      </c>
      <c r="C20" s="25"/>
      <c r="D20" s="26"/>
      <c r="E20" s="26"/>
      <c r="F20" s="26"/>
      <c r="G20" s="27" t="s">
        <v>65</v>
      </c>
      <c r="H20" s="25"/>
      <c r="I20" s="25"/>
      <c r="J20" s="25"/>
      <c r="L20" s="250"/>
      <c r="M20" s="51"/>
      <c r="N20" s="222"/>
      <c r="O20" s="222"/>
      <c r="P20" s="222"/>
      <c r="Q20" s="222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51"/>
      <c r="AF20" s="251"/>
      <c r="AG20" s="251"/>
      <c r="AH20" s="251"/>
      <c r="AI20" s="251"/>
      <c r="AJ20" s="251"/>
      <c r="AK20" s="251"/>
      <c r="AL20" s="251"/>
      <c r="AM20" s="251"/>
    </row>
    <row r="21" spans="1:40" s="243" customFormat="1" ht="40.049999999999997" customHeight="1" x14ac:dyDescent="0.25">
      <c r="A21" s="249"/>
      <c r="B21" s="252" t="s">
        <v>8</v>
      </c>
      <c r="C21" s="253" t="str">
        <f>IFERROR(VLOOKUP(projectType,Database!$D$11:$E$13,2,FALSE),Database!$E$11)</f>
        <v>Annual site energy</v>
      </c>
      <c r="D21" s="253" t="s">
        <v>9</v>
      </c>
      <c r="E21" s="254" t="str">
        <f>CONCATENATE(C21," (kWh)")</f>
        <v>Annual site energy (kWh)</v>
      </c>
      <c r="F21" s="253" t="str">
        <f>CONCATENATE(IF(projectType="BD+C: Core and Shell",$J$21,CONCATENATE($C21," (kWh)","")), " with DES adjustments")</f>
        <v>Annual site energy (kWh) with DES adjustments</v>
      </c>
      <c r="G21" s="253" t="s">
        <v>62</v>
      </c>
      <c r="H21" s="253" t="s">
        <v>9</v>
      </c>
      <c r="I21" s="253" t="s">
        <v>136</v>
      </c>
      <c r="J21" s="253" t="s">
        <v>138</v>
      </c>
      <c r="L21" s="250"/>
      <c r="M21" s="51"/>
      <c r="N21" s="222"/>
      <c r="O21" s="222"/>
      <c r="P21" s="222"/>
      <c r="Q21" s="222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51"/>
      <c r="AG21" s="251"/>
      <c r="AH21" s="251"/>
      <c r="AI21" s="251"/>
      <c r="AJ21" s="251"/>
      <c r="AK21" s="251"/>
      <c r="AL21" s="251"/>
      <c r="AM21" s="251"/>
      <c r="AN21" s="251"/>
    </row>
    <row r="22" spans="1:40" s="243" customFormat="1" ht="18" customHeight="1" x14ac:dyDescent="0.25">
      <c r="A22" s="249"/>
      <c r="B22" s="145" t="s">
        <v>10</v>
      </c>
      <c r="C22" s="261"/>
      <c r="D22" s="146"/>
      <c r="E22" s="262">
        <f>IFERROR($C22*VLOOKUP($D22,unitsTable, 2, FALSE),0)</f>
        <v>0</v>
      </c>
      <c r="F22" s="262">
        <f>IF(projectType="BD+C: Core and Shell",$J22,$E22)</f>
        <v>0</v>
      </c>
      <c r="G22" s="263"/>
      <c r="H22" s="28" t="str">
        <f>IF(G22="","",D22)</f>
        <v/>
      </c>
      <c r="I22" s="264">
        <f>IFERROR($G22 * VLOOKUP($D22,unitsTable, 2, FALSE),0)</f>
        <v>0</v>
      </c>
      <c r="J22" s="264">
        <f>IF(projectType="BD+C: Core and Shell",IF($I$27&gt;0.25*E$27,I22,E22*0.25),0)</f>
        <v>0</v>
      </c>
      <c r="L22" s="250"/>
      <c r="M22" s="51"/>
      <c r="N22" s="222"/>
      <c r="O22" s="222"/>
      <c r="P22" s="222"/>
      <c r="Q22" s="222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51"/>
      <c r="AG22" s="251"/>
      <c r="AH22" s="251"/>
      <c r="AI22" s="251"/>
      <c r="AJ22" s="251"/>
      <c r="AK22" s="251"/>
      <c r="AL22" s="251"/>
      <c r="AM22" s="251"/>
      <c r="AN22" s="251"/>
    </row>
    <row r="23" spans="1:40" s="243" customFormat="1" ht="18" customHeight="1" x14ac:dyDescent="0.25">
      <c r="A23" s="249"/>
      <c r="B23" s="145" t="s">
        <v>11</v>
      </c>
      <c r="C23" s="261"/>
      <c r="D23" s="146"/>
      <c r="E23" s="262">
        <f>IFERROR($C23*VLOOKUP($D23,unitsTable, 2, FALSE),0)</f>
        <v>0</v>
      </c>
      <c r="F23" s="262">
        <f>IF(projectType="BD+C: Core and Shell",$J23,$E23)*IF(F16&gt;0,100%-F16/100,1)</f>
        <v>0</v>
      </c>
      <c r="G23" s="263"/>
      <c r="H23" s="28" t="str">
        <f t="shared" ref="H23:H25" si="0">IF(G23="","",D23)</f>
        <v/>
      </c>
      <c r="I23" s="264">
        <f>IFERROR($G23 * VLOOKUP($D23,unitsTable, 2, FALSE),0)</f>
        <v>0</v>
      </c>
      <c r="J23" s="264">
        <f>IF(projectType="BD+C: Core and Shell",IF($I$27&gt;0.25*E$27,I23,E23*0.25),0)</f>
        <v>0</v>
      </c>
      <c r="L23" s="250"/>
      <c r="M23" s="51"/>
      <c r="N23" s="222"/>
      <c r="O23" s="222"/>
      <c r="P23" s="222"/>
      <c r="Q23" s="222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51"/>
      <c r="AG23" s="251"/>
      <c r="AH23" s="251"/>
      <c r="AI23" s="251"/>
      <c r="AJ23" s="251"/>
      <c r="AK23" s="251"/>
      <c r="AL23" s="251"/>
      <c r="AM23" s="251"/>
      <c r="AN23" s="251"/>
    </row>
    <row r="24" spans="1:40" s="243" customFormat="1" ht="18" customHeight="1" x14ac:dyDescent="0.25">
      <c r="A24" s="249"/>
      <c r="B24" s="145" t="s">
        <v>157</v>
      </c>
      <c r="C24" s="261"/>
      <c r="D24" s="146"/>
      <c r="E24" s="262">
        <f>IFERROR($C24*VLOOKUP($D24,unitsTable, 2, FALSE),0)</f>
        <v>0</v>
      </c>
      <c r="F24" s="262">
        <f>IF(projectType="BD+C: Core and Shell",$J24,$E24)*IF($F$13="Yes",0.325,1)</f>
        <v>0</v>
      </c>
      <c r="G24" s="263"/>
      <c r="H24" s="28" t="str">
        <f t="shared" si="0"/>
        <v/>
      </c>
      <c r="I24" s="264">
        <f>IFERROR($G24 * VLOOKUP($D24,unitsTable, 2, FALSE),0)</f>
        <v>0</v>
      </c>
      <c r="J24" s="264">
        <f>IF(projectType="BD+C: Core and Shell",IF($I$27&gt;0.25*E$27,I24,E24*0.25),0)</f>
        <v>0</v>
      </c>
      <c r="L24" s="250"/>
      <c r="M24" s="51"/>
      <c r="N24" s="222"/>
      <c r="O24" s="222"/>
      <c r="P24" s="222"/>
      <c r="Q24" s="222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51"/>
      <c r="AG24" s="251"/>
      <c r="AH24" s="251"/>
      <c r="AI24" s="251"/>
      <c r="AJ24" s="251"/>
      <c r="AK24" s="251"/>
      <c r="AL24" s="251"/>
      <c r="AM24" s="251"/>
      <c r="AN24" s="251"/>
    </row>
    <row r="25" spans="1:40" s="243" customFormat="1" ht="18" customHeight="1" x14ac:dyDescent="0.25">
      <c r="A25" s="249"/>
      <c r="B25" s="145" t="s">
        <v>158</v>
      </c>
      <c r="C25" s="261"/>
      <c r="D25" s="146"/>
      <c r="E25" s="262">
        <f>IFERROR($C25*VLOOKUP($D25,unitsTable, 2, FALSE),0)</f>
        <v>0</v>
      </c>
      <c r="F25" s="262">
        <f>IF(projectType="BD+C: Core and Shell",$J25,$E25)*IF(F16&gt;0,F16/100,IF(F13="Yes",1.2,1))</f>
        <v>0</v>
      </c>
      <c r="G25" s="263"/>
      <c r="H25" s="28" t="str">
        <f t="shared" si="0"/>
        <v/>
      </c>
      <c r="I25" s="264">
        <f>IFERROR($G25 * VLOOKUP($D25,unitsTable, 2, FALSE),0)</f>
        <v>0</v>
      </c>
      <c r="J25" s="264">
        <f>IF(projectType="BD+C: Core and Shell",IF($I$27&gt;0.25*E$27,I25,E25*0.25),0)</f>
        <v>0</v>
      </c>
      <c r="L25" s="250"/>
      <c r="M25" s="51"/>
      <c r="N25" s="222"/>
      <c r="O25" s="222"/>
      <c r="P25" s="222"/>
      <c r="Q25" s="222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51"/>
      <c r="AG25" s="251"/>
      <c r="AH25" s="251"/>
      <c r="AI25" s="251"/>
      <c r="AJ25" s="251"/>
      <c r="AK25" s="251"/>
      <c r="AL25" s="251"/>
      <c r="AM25" s="251"/>
      <c r="AN25" s="251"/>
    </row>
    <row r="26" spans="1:40" s="243" customFormat="1" ht="18" customHeight="1" x14ac:dyDescent="0.25">
      <c r="A26" s="240"/>
      <c r="B26" s="23"/>
      <c r="C26" s="22"/>
      <c r="D26" s="22"/>
      <c r="E26" s="22"/>
      <c r="G26" s="22"/>
      <c r="H26" s="23"/>
      <c r="I26" s="22"/>
      <c r="J26" s="23"/>
      <c r="L26" s="23"/>
      <c r="M26" s="51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42"/>
      <c r="AF26" s="242"/>
      <c r="AG26" s="242"/>
      <c r="AH26" s="242"/>
      <c r="AI26" s="242"/>
      <c r="AJ26" s="242"/>
      <c r="AK26" s="242"/>
      <c r="AL26" s="242"/>
      <c r="AM26" s="242"/>
    </row>
    <row r="27" spans="1:40" s="243" customFormat="1" ht="18" customHeight="1" x14ac:dyDescent="0.25">
      <c r="A27" s="244"/>
      <c r="B27" s="322" t="s">
        <v>139</v>
      </c>
      <c r="C27" s="322"/>
      <c r="D27" s="322"/>
      <c r="E27" s="29">
        <f>(SUM(E$22:E$25))</f>
        <v>0</v>
      </c>
      <c r="F27" s="29">
        <f>(SUM(F$22:F$25))</f>
        <v>0</v>
      </c>
      <c r="G27" s="213"/>
      <c r="H27" s="215"/>
      <c r="I27" s="29">
        <f>(SUM(I$22:I$25))</f>
        <v>0</v>
      </c>
      <c r="J27" s="29">
        <f>(SUM(J$22:J$25))</f>
        <v>0</v>
      </c>
      <c r="L27" s="23"/>
      <c r="M27" s="51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42"/>
      <c r="AF27" s="242"/>
      <c r="AG27" s="242"/>
      <c r="AH27" s="242"/>
      <c r="AI27" s="242"/>
      <c r="AJ27" s="242"/>
      <c r="AK27" s="242"/>
      <c r="AL27" s="242"/>
      <c r="AM27" s="242"/>
    </row>
    <row r="28" spans="1:40" s="243" customFormat="1" ht="18" customHeight="1" x14ac:dyDescent="0.25">
      <c r="A28" s="244"/>
      <c r="B28" s="323" t="s">
        <v>137</v>
      </c>
      <c r="C28" s="323"/>
      <c r="D28" s="323"/>
      <c r="E28" s="31">
        <f>E22+E24+E25</f>
        <v>0</v>
      </c>
      <c r="F28" s="31">
        <f>F22+F24+F25</f>
        <v>0</v>
      </c>
      <c r="G28" s="214"/>
      <c r="H28" s="215"/>
      <c r="I28" s="31">
        <f>I22+I24+I25</f>
        <v>0</v>
      </c>
      <c r="J28" s="31">
        <f>J22+J24+J25</f>
        <v>0</v>
      </c>
      <c r="L28" s="23"/>
      <c r="M28" s="51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42"/>
      <c r="AF28" s="242"/>
      <c r="AG28" s="242"/>
      <c r="AH28" s="242"/>
      <c r="AI28" s="242"/>
      <c r="AJ28" s="242"/>
      <c r="AK28" s="242"/>
      <c r="AL28" s="242"/>
      <c r="AM28" s="242"/>
    </row>
    <row r="29" spans="1:40" s="243" customFormat="1" ht="18" customHeight="1" x14ac:dyDescent="0.25">
      <c r="A29" s="244"/>
      <c r="B29" s="323" t="s">
        <v>159</v>
      </c>
      <c r="C29" s="323"/>
      <c r="D29" s="323"/>
      <c r="E29" s="31">
        <f>E23+E25</f>
        <v>0</v>
      </c>
      <c r="F29" s="31">
        <f>F23+F25</f>
        <v>0</v>
      </c>
      <c r="G29" s="214"/>
      <c r="H29" s="215"/>
      <c r="I29" s="31">
        <f>I23+I25</f>
        <v>0</v>
      </c>
      <c r="J29" s="31">
        <f>J23+J25</f>
        <v>0</v>
      </c>
      <c r="L29" s="23"/>
      <c r="M29" s="51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42"/>
      <c r="AF29" s="242"/>
      <c r="AG29" s="242"/>
      <c r="AH29" s="242"/>
      <c r="AI29" s="242"/>
      <c r="AJ29" s="242"/>
      <c r="AK29" s="242"/>
      <c r="AL29" s="242"/>
      <c r="AM29" s="242"/>
    </row>
    <row r="30" spans="1:40" s="243" customFormat="1" ht="18" customHeight="1" x14ac:dyDescent="0.25">
      <c r="A30" s="240"/>
      <c r="B30" s="250"/>
      <c r="C30" s="250"/>
      <c r="D30" s="23"/>
      <c r="E30" s="23"/>
      <c r="F30" s="23"/>
      <c r="G30" s="23"/>
      <c r="H30" s="246"/>
      <c r="I30" s="246"/>
      <c r="J30" s="23"/>
      <c r="L30" s="23"/>
      <c r="M30" s="51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42"/>
      <c r="AF30" s="242"/>
      <c r="AG30" s="242"/>
      <c r="AH30" s="242"/>
      <c r="AI30" s="242"/>
      <c r="AJ30" s="242"/>
      <c r="AK30" s="242"/>
      <c r="AL30" s="242"/>
      <c r="AM30" s="242"/>
    </row>
    <row r="31" spans="1:40" s="239" customFormat="1" ht="18" customHeight="1" x14ac:dyDescent="0.3">
      <c r="A31" s="234"/>
      <c r="B31" s="325" t="s">
        <v>68</v>
      </c>
      <c r="C31" s="326"/>
      <c r="D31" s="326"/>
      <c r="E31" s="326"/>
      <c r="F31" s="326"/>
      <c r="G31" s="326"/>
      <c r="H31" s="326"/>
      <c r="I31" s="326"/>
      <c r="J31" s="327"/>
      <c r="K31" s="243"/>
      <c r="L31" s="23"/>
      <c r="M31" s="51"/>
      <c r="N31" s="51"/>
      <c r="O31" s="5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38"/>
      <c r="AB31" s="238"/>
      <c r="AC31" s="238"/>
      <c r="AD31" s="238"/>
      <c r="AE31" s="238"/>
      <c r="AF31" s="238"/>
      <c r="AG31" s="238"/>
      <c r="AH31" s="238"/>
      <c r="AI31" s="238"/>
    </row>
    <row r="32" spans="1:40" s="243" customFormat="1" ht="18" customHeight="1" x14ac:dyDescent="0.25">
      <c r="A32" s="240"/>
      <c r="B32" s="23"/>
      <c r="C32" s="23"/>
      <c r="D32" s="23"/>
      <c r="E32" s="23"/>
      <c r="F32" s="23"/>
      <c r="G32" s="23"/>
      <c r="H32" s="246"/>
      <c r="I32" s="246"/>
      <c r="J32" s="23"/>
      <c r="K32" s="23"/>
      <c r="L32" s="23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242"/>
      <c r="AF32" s="242"/>
      <c r="AG32" s="242"/>
      <c r="AH32" s="242"/>
      <c r="AI32" s="242"/>
      <c r="AJ32" s="242"/>
      <c r="AK32" s="242"/>
      <c r="AL32" s="242"/>
      <c r="AM32" s="242"/>
    </row>
    <row r="33" spans="1:39" s="243" customFormat="1" ht="40.049999999999997" customHeight="1" x14ac:dyDescent="0.25">
      <c r="A33" s="244"/>
      <c r="B33" s="32" t="s">
        <v>67</v>
      </c>
      <c r="C33" s="32" t="s">
        <v>15</v>
      </c>
      <c r="D33" s="32" t="s">
        <v>16</v>
      </c>
      <c r="E33" s="32" t="s">
        <v>17</v>
      </c>
      <c r="F33" s="32" t="s">
        <v>18</v>
      </c>
      <c r="G33" s="32" t="s">
        <v>81</v>
      </c>
      <c r="H33" s="32" t="s">
        <v>76</v>
      </c>
      <c r="I33" s="32" t="s">
        <v>160</v>
      </c>
      <c r="J33" s="32" t="str">
        <f>CONCATENATE("Percent of ",IF(projectType="BD+C: Core and Shell",Database!$G$12,Input!$C$21))</f>
        <v>Percent of Annual site energy</v>
      </c>
      <c r="K33" s="51"/>
      <c r="L33" s="51"/>
      <c r="M33" s="51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42"/>
      <c r="AF33" s="242"/>
      <c r="AG33" s="242"/>
      <c r="AH33" s="242"/>
      <c r="AI33" s="242"/>
      <c r="AJ33" s="242"/>
      <c r="AK33" s="242"/>
      <c r="AL33" s="242"/>
      <c r="AM33" s="242"/>
    </row>
    <row r="34" spans="1:39" s="243" customFormat="1" ht="18" hidden="1" customHeight="1" x14ac:dyDescent="0.25">
      <c r="A34" s="240"/>
      <c r="B34" s="255" t="s">
        <v>69</v>
      </c>
      <c r="C34" s="255" t="s">
        <v>70</v>
      </c>
      <c r="D34" s="255" t="s">
        <v>71</v>
      </c>
      <c r="E34" s="255" t="s">
        <v>72</v>
      </c>
      <c r="F34" s="255" t="s">
        <v>73</v>
      </c>
      <c r="G34" s="255" t="s">
        <v>74</v>
      </c>
      <c r="H34" s="255" t="s">
        <v>78</v>
      </c>
      <c r="I34" s="255" t="s">
        <v>79</v>
      </c>
      <c r="J34" s="255" t="s">
        <v>80</v>
      </c>
      <c r="K34" s="51" t="s">
        <v>75</v>
      </c>
      <c r="L34" s="51" t="s">
        <v>77</v>
      </c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242"/>
      <c r="AF34" s="242"/>
      <c r="AG34" s="242"/>
      <c r="AH34" s="242"/>
      <c r="AI34" s="242"/>
      <c r="AJ34" s="242"/>
      <c r="AK34" s="242"/>
      <c r="AL34" s="242"/>
      <c r="AM34" s="242"/>
    </row>
    <row r="35" spans="1:39" s="243" customFormat="1" ht="18" customHeight="1" x14ac:dyDescent="0.25">
      <c r="A35" s="137">
        <v>1</v>
      </c>
      <c r="B35" s="140"/>
      <c r="C35" s="148"/>
      <c r="D35" s="148"/>
      <c r="E35" s="265"/>
      <c r="F35" s="141"/>
      <c r="G35" s="262">
        <f>IFERROR(table_renewsummary[[#This Row],[4qty]]*INDEX(unitsTable,MATCH(table_renewsummary[[#This Row],[4units]],INDEX(unitsTable,0,1),0),2),0)</f>
        <v>0</v>
      </c>
      <c r="H35" s="120">
        <f>IFERROR(IF(table_renewsummary[[#This Row],[4offset]]="Electricity",(table_renewsummary[[#This Row],[4qty_calc]]/(IF(projectType="BD+C:Core and Shell",$E$28,$F$28))),0),0)</f>
        <v>0</v>
      </c>
      <c r="I35" s="120">
        <f>IFERROR(IF(table_renewsummary[[#This Row],[4offset]]="Fuel(s)",(table_renewsummary[[#This Row],[4qty_calc]]/(IF(projectType="BD+C:Core and Shell",$E$29,$F$29))),0),0)</f>
        <v>0</v>
      </c>
      <c r="J35" s="120">
        <f>IFERROR(table_renewsummary[[#This Row],[4qty_calc]]/$F$27,0)</f>
        <v>0</v>
      </c>
      <c r="K35" s="51"/>
      <c r="L35" s="51"/>
      <c r="M35" s="51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42"/>
      <c r="AF35" s="242"/>
      <c r="AG35" s="242"/>
      <c r="AH35" s="242"/>
      <c r="AI35" s="242"/>
      <c r="AJ35" s="242"/>
      <c r="AK35" s="242"/>
      <c r="AL35" s="242"/>
      <c r="AM35" s="242"/>
    </row>
    <row r="36" spans="1:39" s="243" customFormat="1" ht="18" customHeight="1" x14ac:dyDescent="0.25">
      <c r="A36" s="137">
        <v>2</v>
      </c>
      <c r="B36" s="140"/>
      <c r="C36" s="148"/>
      <c r="D36" s="148"/>
      <c r="E36" s="265"/>
      <c r="F36" s="141"/>
      <c r="G36" s="262">
        <f>IFERROR(table_renewsummary[[#This Row],[4qty]]*INDEX(unitsTable,MATCH(table_renewsummary[[#This Row],[4units]],INDEX(unitsTable,0,1),0),2),0)</f>
        <v>0</v>
      </c>
      <c r="H36" s="120">
        <f>IFERROR(IF(table_renewsummary[[#This Row],[4offset]]="Electricity",(table_renewsummary[[#This Row],[4qty_calc]]/(IF(projectType="BD+C:Core and Shell",$E$28,$F$28))),0),0)</f>
        <v>0</v>
      </c>
      <c r="I36" s="120">
        <f>IFERROR(IF(table_renewsummary[[#This Row],[4offset]]="Fuel(s)",(table_renewsummary[[#This Row],[4qty_calc]]/(IF(projectType="BD+C:Core and Shell",$E$29,$F$29))),0),0)</f>
        <v>0</v>
      </c>
      <c r="J36" s="120">
        <f>IFERROR(table_renewsummary[[#This Row],[4qty_calc]]/$F$27,0)</f>
        <v>0</v>
      </c>
      <c r="K36" s="51"/>
      <c r="L36" s="51"/>
      <c r="M36" s="51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42"/>
      <c r="AF36" s="242"/>
      <c r="AG36" s="242"/>
      <c r="AH36" s="242"/>
      <c r="AI36" s="242"/>
      <c r="AJ36" s="242"/>
      <c r="AK36" s="242"/>
      <c r="AL36" s="242"/>
      <c r="AM36" s="242"/>
    </row>
    <row r="37" spans="1:39" s="243" customFormat="1" ht="18" customHeight="1" x14ac:dyDescent="0.25">
      <c r="A37" s="137">
        <v>3</v>
      </c>
      <c r="B37" s="140"/>
      <c r="C37" s="148"/>
      <c r="D37" s="148"/>
      <c r="E37" s="265"/>
      <c r="F37" s="141"/>
      <c r="G37" s="262">
        <f>IFERROR(table_renewsummary[[#This Row],[4qty]]*INDEX(unitsTable,MATCH(table_renewsummary[[#This Row],[4units]],INDEX(unitsTable,0,1),0),2),0)</f>
        <v>0</v>
      </c>
      <c r="H37" s="120">
        <f>IFERROR(IF(table_renewsummary[[#This Row],[4offset]]="Electricity",(table_renewsummary[[#This Row],[4qty_calc]]/(IF(projectType="BD+C:Core and Shell",$E$28,$F$28))),0),0)</f>
        <v>0</v>
      </c>
      <c r="I37" s="120">
        <f>IFERROR(IF(table_renewsummary[[#This Row],[4offset]]="Fuel(s)",(table_renewsummary[[#This Row],[4qty_calc]]/(IF(projectType="BD+C:Core and Shell",$E$29,$F$29))),0),0)</f>
        <v>0</v>
      </c>
      <c r="J37" s="120">
        <f>IFERROR(table_renewsummary[[#This Row],[4qty_calc]]/$F$27,0)</f>
        <v>0</v>
      </c>
      <c r="K37" s="51"/>
      <c r="L37" s="51"/>
      <c r="M37" s="51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42"/>
      <c r="AF37" s="242"/>
      <c r="AG37" s="242"/>
      <c r="AH37" s="242"/>
      <c r="AI37" s="242"/>
      <c r="AJ37" s="242"/>
      <c r="AK37" s="242"/>
      <c r="AL37" s="242"/>
      <c r="AM37" s="242"/>
    </row>
    <row r="38" spans="1:39" s="243" customFormat="1" ht="18" customHeight="1" x14ac:dyDescent="0.25">
      <c r="A38" s="137">
        <v>4</v>
      </c>
      <c r="B38" s="140"/>
      <c r="C38" s="148"/>
      <c r="D38" s="148"/>
      <c r="E38" s="265"/>
      <c r="F38" s="141"/>
      <c r="G38" s="262">
        <f>IFERROR(table_renewsummary[[#This Row],[4qty]]*INDEX(unitsTable,MATCH(table_renewsummary[[#This Row],[4units]],INDEX(unitsTable,0,1),0),2),0)</f>
        <v>0</v>
      </c>
      <c r="H38" s="120">
        <f>IFERROR(IF(table_renewsummary[[#This Row],[4offset]]="Electricity",(table_renewsummary[[#This Row],[4qty_calc]]/(IF(projectType="BD+C:Core and Shell",$E$28,$F$28))),0),0)</f>
        <v>0</v>
      </c>
      <c r="I38" s="120">
        <f>IFERROR(IF(table_renewsummary[[#This Row],[4offset]]="Fuel(s)",(table_renewsummary[[#This Row],[4qty_calc]]/(IF(projectType="BD+C:Core and Shell",$E$29,$F$29))),0),0)</f>
        <v>0</v>
      </c>
      <c r="J38" s="120">
        <f>IFERROR(table_renewsummary[[#This Row],[4qty_calc]]/$F$27,0)</f>
        <v>0</v>
      </c>
      <c r="K38" s="51"/>
      <c r="L38" s="51"/>
      <c r="M38" s="51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42"/>
      <c r="AF38" s="242"/>
      <c r="AG38" s="242"/>
      <c r="AH38" s="242"/>
      <c r="AI38" s="242"/>
      <c r="AJ38" s="242"/>
      <c r="AK38" s="242"/>
      <c r="AL38" s="242"/>
      <c r="AM38" s="242"/>
    </row>
    <row r="39" spans="1:39" s="243" customFormat="1" ht="18" customHeight="1" x14ac:dyDescent="0.25">
      <c r="A39" s="137">
        <v>5</v>
      </c>
      <c r="B39" s="140"/>
      <c r="C39" s="148"/>
      <c r="D39" s="148"/>
      <c r="E39" s="265"/>
      <c r="F39" s="141"/>
      <c r="G39" s="262">
        <f>IFERROR(table_renewsummary[[#This Row],[4qty]]*INDEX(unitsTable,MATCH(table_renewsummary[[#This Row],[4units]],INDEX(unitsTable,0,1),0),2),0)</f>
        <v>0</v>
      </c>
      <c r="H39" s="120">
        <f>IFERROR(IF(table_renewsummary[[#This Row],[4offset]]="Electricity",(table_renewsummary[[#This Row],[4qty_calc]]/(IF(projectType="BD+C:Core and Shell",$E$28,$F$28))),0),0)</f>
        <v>0</v>
      </c>
      <c r="I39" s="120">
        <f>IFERROR(IF(table_renewsummary[[#This Row],[4offset]]="Fuel(s)",(table_renewsummary[[#This Row],[4qty_calc]]/(IF(projectType="BD+C:Core and Shell",$E$29,$F$29))),0),0)</f>
        <v>0</v>
      </c>
      <c r="J39" s="120">
        <f>IFERROR(table_renewsummary[[#This Row],[4qty_calc]]/$F$27,0)</f>
        <v>0</v>
      </c>
      <c r="K39" s="51"/>
      <c r="L39" s="51"/>
      <c r="M39" s="51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42"/>
      <c r="AF39" s="242"/>
      <c r="AG39" s="242"/>
      <c r="AH39" s="242"/>
      <c r="AI39" s="242"/>
      <c r="AJ39" s="242"/>
      <c r="AK39" s="242"/>
      <c r="AL39" s="242"/>
      <c r="AM39" s="242"/>
    </row>
    <row r="40" spans="1:39" s="243" customFormat="1" ht="18" customHeight="1" x14ac:dyDescent="0.25">
      <c r="A40" s="137">
        <v>6</v>
      </c>
      <c r="B40" s="142"/>
      <c r="C40" s="148"/>
      <c r="D40" s="148"/>
      <c r="E40" s="265"/>
      <c r="F40" s="141"/>
      <c r="G40" s="262">
        <f>IFERROR(table_renewsummary[[#This Row],[4qty]]*INDEX(unitsTable,MATCH(table_renewsummary[[#This Row],[4units]],INDEX(unitsTable,0,1),0),2),0)</f>
        <v>0</v>
      </c>
      <c r="H40" s="44">
        <f>IFERROR(IF(table_renewsummary[[#This Row],[4offset]]="Electricity",(table_renewsummary[[#This Row],[4qty_calc]]/(IF(projectType="BD+C:Core and Shell",$E$28,$F$28))),0),0)</f>
        <v>0</v>
      </c>
      <c r="I40" s="44">
        <f>IFERROR(IF(table_renewsummary[[#This Row],[4offset]]="Fuel(s)",(table_renewsummary[[#This Row],[4qty_calc]]/(IF(projectType="BD+C:Core and Shell",$E$29,$F$29))),0),0)</f>
        <v>0</v>
      </c>
      <c r="J40" s="118">
        <f>IFERROR(table_renewsummary[[#This Row],[4qty_calc]]/$F$27,0)</f>
        <v>0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242"/>
      <c r="AF40" s="242"/>
      <c r="AG40" s="242"/>
      <c r="AH40" s="242"/>
      <c r="AI40" s="242"/>
      <c r="AJ40" s="242"/>
      <c r="AK40" s="242"/>
      <c r="AL40" s="242"/>
      <c r="AM40" s="242"/>
    </row>
    <row r="41" spans="1:39" s="243" customFormat="1" ht="18" customHeight="1" x14ac:dyDescent="0.25">
      <c r="A41" s="137">
        <v>7</v>
      </c>
      <c r="B41" s="142"/>
      <c r="C41" s="148"/>
      <c r="D41" s="148"/>
      <c r="E41" s="265"/>
      <c r="F41" s="141"/>
      <c r="G41" s="262">
        <f>IFERROR(table_renewsummary[[#This Row],[4qty]]*INDEX(unitsTable,MATCH(table_renewsummary[[#This Row],[4units]],INDEX(unitsTable,0,1),0),2),0)</f>
        <v>0</v>
      </c>
      <c r="H41" s="44">
        <f>IFERROR(IF(table_renewsummary[[#This Row],[4offset]]="Electricity",(table_renewsummary[[#This Row],[4qty_calc]]/(IF(projectType="BD+C:Core and Shell",$E$28,$F$28))),0),0)</f>
        <v>0</v>
      </c>
      <c r="I41" s="44">
        <f>IFERROR(IF(table_renewsummary[[#This Row],[4offset]]="Fuel(s)",(table_renewsummary[[#This Row],[4qty_calc]]/(IF(projectType="BD+C:Core and Shell",$E$29,$F$29))),0),0)</f>
        <v>0</v>
      </c>
      <c r="J41" s="118">
        <f>IFERROR(table_renewsummary[[#This Row],[4qty_calc]]/$F$27,0)</f>
        <v>0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242"/>
      <c r="AF41" s="242"/>
      <c r="AG41" s="242"/>
      <c r="AH41" s="242"/>
      <c r="AI41" s="242"/>
      <c r="AJ41" s="242"/>
      <c r="AK41" s="242"/>
      <c r="AL41" s="242"/>
      <c r="AM41" s="242"/>
    </row>
    <row r="42" spans="1:39" s="243" customFormat="1" ht="18" customHeight="1" x14ac:dyDescent="0.25">
      <c r="A42" s="137">
        <v>8</v>
      </c>
      <c r="B42" s="142"/>
      <c r="C42" s="148"/>
      <c r="D42" s="148"/>
      <c r="E42" s="265"/>
      <c r="F42" s="141"/>
      <c r="G42" s="262">
        <f>IFERROR(table_renewsummary[[#This Row],[4qty]]*INDEX(unitsTable,MATCH(table_renewsummary[[#This Row],[4units]],INDEX(unitsTable,0,1),0),2),0)</f>
        <v>0</v>
      </c>
      <c r="H42" s="44">
        <f>IFERROR(IF(table_renewsummary[[#This Row],[4offset]]="Electricity",(table_renewsummary[[#This Row],[4qty_calc]]/(IF(projectType="BD+C:Core and Shell",$E$28,$F$28))),0),0)</f>
        <v>0</v>
      </c>
      <c r="I42" s="44">
        <f>IFERROR(IF(table_renewsummary[[#This Row],[4offset]]="Fuel(s)",(table_renewsummary[[#This Row],[4qty_calc]]/(IF(projectType="BD+C:Core and Shell",$E$29,$F$29))),0),0)</f>
        <v>0</v>
      </c>
      <c r="J42" s="118">
        <f>IFERROR(table_renewsummary[[#This Row],[4qty_calc]]/$F$27,0)</f>
        <v>0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242"/>
      <c r="AF42" s="242"/>
      <c r="AG42" s="242"/>
      <c r="AH42" s="242"/>
      <c r="AI42" s="242"/>
      <c r="AJ42" s="242"/>
      <c r="AK42" s="242"/>
      <c r="AL42" s="242"/>
      <c r="AM42" s="242"/>
    </row>
    <row r="43" spans="1:39" s="243" customFormat="1" ht="18" customHeight="1" x14ac:dyDescent="0.25">
      <c r="A43" s="137">
        <v>9</v>
      </c>
      <c r="B43" s="142"/>
      <c r="C43" s="148"/>
      <c r="D43" s="148"/>
      <c r="E43" s="265"/>
      <c r="F43" s="141"/>
      <c r="G43" s="262">
        <f>IFERROR(table_renewsummary[[#This Row],[4qty]]*INDEX(unitsTable,MATCH(table_renewsummary[[#This Row],[4units]],INDEX(unitsTable,0,1),0),2),0)</f>
        <v>0</v>
      </c>
      <c r="H43" s="44">
        <f>IFERROR(IF(table_renewsummary[[#This Row],[4offset]]="Electricity",(table_renewsummary[[#This Row],[4qty_calc]]/(IF(projectType="BD+C:Core and Shell",$E$28,$F$28))),0),0)</f>
        <v>0</v>
      </c>
      <c r="I43" s="44">
        <f>IFERROR(IF(table_renewsummary[[#This Row],[4offset]]="Fuel(s)",(table_renewsummary[[#This Row],[4qty_calc]]/(IF(projectType="BD+C:Core and Shell",$E$29,$F$29))),0),0)</f>
        <v>0</v>
      </c>
      <c r="J43" s="118">
        <f>IFERROR(table_renewsummary[[#This Row],[4qty_calc]]/$F$27,0)</f>
        <v>0</v>
      </c>
      <c r="K43" s="256"/>
      <c r="L43" s="256"/>
      <c r="M43" s="25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242"/>
      <c r="AF43" s="242"/>
      <c r="AG43" s="242"/>
      <c r="AH43" s="242"/>
      <c r="AI43" s="242"/>
      <c r="AJ43" s="242"/>
      <c r="AK43" s="242"/>
      <c r="AL43" s="242"/>
      <c r="AM43" s="242"/>
    </row>
    <row r="44" spans="1:39" s="243" customFormat="1" ht="18" customHeight="1" x14ac:dyDescent="0.25">
      <c r="A44" s="137">
        <v>10</v>
      </c>
      <c r="B44" s="142"/>
      <c r="C44" s="148"/>
      <c r="D44" s="148"/>
      <c r="E44" s="265"/>
      <c r="F44" s="141"/>
      <c r="G44" s="262">
        <f>IFERROR(table_renewsummary[[#This Row],[4qty]]*INDEX(unitsTable,MATCH(table_renewsummary[[#This Row],[4units]],INDEX(unitsTable,0,1),0),2),0)</f>
        <v>0</v>
      </c>
      <c r="H44" s="44">
        <f>IFERROR(IF(table_renewsummary[[#This Row],[4offset]]="Electricity",(table_renewsummary[[#This Row],[4qty_calc]]/(IF(projectType="BD+C:Core and Shell",$E$28,$F$28))),0),0)</f>
        <v>0</v>
      </c>
      <c r="I44" s="44">
        <f>IFERROR(IF(table_renewsummary[[#This Row],[4offset]]="Fuel(s)",(table_renewsummary[[#This Row],[4qty_calc]]/(IF(projectType="BD+C:Core and Shell",$E$29,$F$29))),0),0)</f>
        <v>0</v>
      </c>
      <c r="J44" s="118">
        <f>IFERROR(table_renewsummary[[#This Row],[4qty_calc]]/$F$27,0)</f>
        <v>0</v>
      </c>
      <c r="K44" s="256"/>
      <c r="L44" s="256"/>
      <c r="M44" s="256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242"/>
      <c r="AF44" s="242"/>
      <c r="AG44" s="242"/>
      <c r="AH44" s="242"/>
      <c r="AI44" s="242"/>
      <c r="AJ44" s="242"/>
      <c r="AK44" s="242"/>
      <c r="AL44" s="242"/>
      <c r="AM44" s="242"/>
    </row>
    <row r="45" spans="1:39" s="243" customFormat="1" ht="18" hidden="1" customHeight="1" outlineLevel="1" x14ac:dyDescent="0.25">
      <c r="A45" s="137">
        <v>11</v>
      </c>
      <c r="B45" s="142"/>
      <c r="C45" s="148"/>
      <c r="D45" s="148"/>
      <c r="E45" s="265"/>
      <c r="F45" s="141"/>
      <c r="G45" s="262">
        <f>IFERROR(table_renewsummary[[#This Row],[4qty]]*INDEX(unitsTable,MATCH(table_renewsummary[[#This Row],[4units]],INDEX(unitsTable,0,1),0),2),0)</f>
        <v>0</v>
      </c>
      <c r="H45" s="44">
        <f>IFERROR(IF(table_renewsummary[[#This Row],[4offset]]="Electricity",(table_renewsummary[[#This Row],[4qty_calc]]/(IF(projectType="BD+C:Core and Shell",$E$28,$F$28))),0),0)</f>
        <v>0</v>
      </c>
      <c r="I45" s="44">
        <f>IFERROR(IF(table_renewsummary[[#This Row],[4offset]]="Fuel(s)",(table_renewsummary[[#This Row],[4qty_calc]]/(IF(projectType="BD+C:Core and Shell",$E$29,$F$29))),0),0)</f>
        <v>0</v>
      </c>
      <c r="J45" s="118">
        <f>IFERROR(table_renewsummary[[#This Row],[4qty_calc]]/$F$27,0)</f>
        <v>0</v>
      </c>
      <c r="K45" s="256"/>
      <c r="L45" s="256"/>
      <c r="M45" s="256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242"/>
      <c r="AF45" s="242"/>
      <c r="AG45" s="242"/>
      <c r="AH45" s="242"/>
      <c r="AI45" s="242"/>
      <c r="AJ45" s="242"/>
      <c r="AK45" s="242"/>
      <c r="AL45" s="242"/>
      <c r="AM45" s="242"/>
    </row>
    <row r="46" spans="1:39" s="243" customFormat="1" ht="18" hidden="1" customHeight="1" outlineLevel="1" x14ac:dyDescent="0.25">
      <c r="A46" s="137">
        <v>12</v>
      </c>
      <c r="B46" s="142"/>
      <c r="C46" s="148"/>
      <c r="D46" s="148"/>
      <c r="E46" s="265"/>
      <c r="F46" s="141"/>
      <c r="G46" s="262">
        <f>IFERROR(table_renewsummary[[#This Row],[4qty]]*INDEX(unitsTable,MATCH(table_renewsummary[[#This Row],[4units]],INDEX(unitsTable,0,1),0),2),0)</f>
        <v>0</v>
      </c>
      <c r="H46" s="44">
        <f>IFERROR(IF(table_renewsummary[[#This Row],[4offset]]="Electricity",(table_renewsummary[[#This Row],[4qty_calc]]/(IF(projectType="BD+C:Core and Shell",$E$28,$F$28))),0),0)</f>
        <v>0</v>
      </c>
      <c r="I46" s="44">
        <f>IFERROR(IF(table_renewsummary[[#This Row],[4offset]]="Fuel(s)",(table_renewsummary[[#This Row],[4qty_calc]]/(IF(projectType="BD+C:Core and Shell",$E$29,$F$29))),0),0)</f>
        <v>0</v>
      </c>
      <c r="J46" s="118">
        <f>IFERROR(table_renewsummary[[#This Row],[4qty_calc]]/$F$27,0)</f>
        <v>0</v>
      </c>
      <c r="K46" s="256"/>
      <c r="L46" s="256"/>
      <c r="M46" s="256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242"/>
      <c r="AF46" s="242"/>
      <c r="AG46" s="242"/>
      <c r="AH46" s="242"/>
      <c r="AI46" s="242"/>
      <c r="AJ46" s="242"/>
      <c r="AK46" s="242"/>
      <c r="AL46" s="242"/>
      <c r="AM46" s="242"/>
    </row>
    <row r="47" spans="1:39" s="243" customFormat="1" ht="18" hidden="1" customHeight="1" outlineLevel="1" x14ac:dyDescent="0.25">
      <c r="A47" s="137">
        <v>13</v>
      </c>
      <c r="B47" s="142"/>
      <c r="C47" s="148"/>
      <c r="D47" s="148"/>
      <c r="E47" s="265"/>
      <c r="F47" s="141"/>
      <c r="G47" s="262">
        <f>IFERROR(table_renewsummary[[#This Row],[4qty]]*INDEX(unitsTable,MATCH(table_renewsummary[[#This Row],[4units]],INDEX(unitsTable,0,1),0),2),0)</f>
        <v>0</v>
      </c>
      <c r="H47" s="44">
        <f>IFERROR(IF(table_renewsummary[[#This Row],[4offset]]="Electricity",(table_renewsummary[[#This Row],[4qty_calc]]/(IF(projectType="BD+C:Core and Shell",$E$28,$F$28))),0),0)</f>
        <v>0</v>
      </c>
      <c r="I47" s="44">
        <f>IFERROR(IF(table_renewsummary[[#This Row],[4offset]]="Fuel(s)",(table_renewsummary[[#This Row],[4qty_calc]]/(IF(projectType="BD+C:Core and Shell",$E$29,$F$29))),0),0)</f>
        <v>0</v>
      </c>
      <c r="J47" s="118">
        <f>IFERROR(table_renewsummary[[#This Row],[4qty_calc]]/$F$27,0)</f>
        <v>0</v>
      </c>
      <c r="K47" s="256"/>
      <c r="L47" s="256"/>
      <c r="M47" s="256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242"/>
      <c r="AF47" s="242"/>
      <c r="AG47" s="242"/>
      <c r="AH47" s="242"/>
      <c r="AI47" s="242"/>
      <c r="AJ47" s="242"/>
      <c r="AK47" s="242"/>
      <c r="AL47" s="242"/>
      <c r="AM47" s="242"/>
    </row>
    <row r="48" spans="1:39" s="243" customFormat="1" ht="18" hidden="1" customHeight="1" outlineLevel="1" x14ac:dyDescent="0.25">
      <c r="A48" s="137">
        <v>14</v>
      </c>
      <c r="B48" s="142"/>
      <c r="C48" s="148"/>
      <c r="D48" s="148"/>
      <c r="E48" s="265"/>
      <c r="F48" s="141"/>
      <c r="G48" s="262">
        <f>IFERROR(table_renewsummary[[#This Row],[4qty]]*INDEX(unitsTable,MATCH(table_renewsummary[[#This Row],[4units]],INDEX(unitsTable,0,1),0),2),0)</f>
        <v>0</v>
      </c>
      <c r="H48" s="44">
        <f>IFERROR(IF(table_renewsummary[[#This Row],[4offset]]="Electricity",(table_renewsummary[[#This Row],[4qty_calc]]/(IF(projectType="BD+C:Core and Shell",$E$28,$F$28))),0),0)</f>
        <v>0</v>
      </c>
      <c r="I48" s="44">
        <f>IFERROR(IF(table_renewsummary[[#This Row],[4offset]]="Fuel(s)",(table_renewsummary[[#This Row],[4qty_calc]]/(IF(projectType="BD+C:Core and Shell",$E$29,$F$29))),0),0)</f>
        <v>0</v>
      </c>
      <c r="J48" s="118">
        <f>IFERROR(table_renewsummary[[#This Row],[4qty_calc]]/$F$27,0)</f>
        <v>0</v>
      </c>
      <c r="K48" s="256"/>
      <c r="L48" s="256"/>
      <c r="M48" s="256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242"/>
      <c r="AF48" s="242"/>
      <c r="AG48" s="242"/>
      <c r="AH48" s="242"/>
      <c r="AI48" s="242"/>
      <c r="AJ48" s="242"/>
      <c r="AK48" s="242"/>
      <c r="AL48" s="242"/>
      <c r="AM48" s="242"/>
    </row>
    <row r="49" spans="1:39" s="243" customFormat="1" ht="18" hidden="1" customHeight="1" outlineLevel="1" x14ac:dyDescent="0.25">
      <c r="A49" s="137">
        <v>15</v>
      </c>
      <c r="B49" s="142"/>
      <c r="C49" s="148"/>
      <c r="D49" s="148"/>
      <c r="E49" s="265"/>
      <c r="F49" s="141"/>
      <c r="G49" s="262">
        <f>IFERROR(table_renewsummary[[#This Row],[4qty]]*INDEX(unitsTable,MATCH(table_renewsummary[[#This Row],[4units]],INDEX(unitsTable,0,1),0),2),0)</f>
        <v>0</v>
      </c>
      <c r="H49" s="44">
        <f>IFERROR(IF(table_renewsummary[[#This Row],[4offset]]="Electricity",(table_renewsummary[[#This Row],[4qty_calc]]/(IF(projectType="BD+C:Core and Shell",$E$28,$F$28))),0),0)</f>
        <v>0</v>
      </c>
      <c r="I49" s="44">
        <f>IFERROR(IF(table_renewsummary[[#This Row],[4offset]]="Fuel(s)",(table_renewsummary[[#This Row],[4qty_calc]]/(IF(projectType="BD+C:Core and Shell",$E$29,$F$29))),0),0)</f>
        <v>0</v>
      </c>
      <c r="J49" s="118">
        <f>IFERROR(table_renewsummary[[#This Row],[4qty_calc]]/$F$27,0)</f>
        <v>0</v>
      </c>
      <c r="K49" s="256"/>
      <c r="L49" s="256"/>
      <c r="M49" s="256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242"/>
      <c r="AF49" s="242"/>
      <c r="AG49" s="242"/>
      <c r="AH49" s="242"/>
      <c r="AI49" s="242"/>
      <c r="AJ49" s="242"/>
      <c r="AK49" s="242"/>
      <c r="AL49" s="242"/>
      <c r="AM49" s="242"/>
    </row>
    <row r="50" spans="1:39" s="243" customFormat="1" ht="18" hidden="1" customHeight="1" outlineLevel="1" x14ac:dyDescent="0.25">
      <c r="A50" s="137">
        <v>16</v>
      </c>
      <c r="B50" s="142"/>
      <c r="C50" s="148"/>
      <c r="D50" s="148"/>
      <c r="E50" s="265"/>
      <c r="F50" s="141"/>
      <c r="G50" s="262">
        <f>IFERROR(table_renewsummary[[#This Row],[4qty]]*INDEX(unitsTable,MATCH(table_renewsummary[[#This Row],[4units]],INDEX(unitsTable,0,1),0),2),0)</f>
        <v>0</v>
      </c>
      <c r="H50" s="44">
        <f>IFERROR(IF(table_renewsummary[[#This Row],[4offset]]="Electricity",(table_renewsummary[[#This Row],[4qty_calc]]/(IF(projectType="BD+C:Core and Shell",$E$28,$F$28))),0),0)</f>
        <v>0</v>
      </c>
      <c r="I50" s="44">
        <f>IFERROR(IF(table_renewsummary[[#This Row],[4offset]]="Fuel(s)",(table_renewsummary[[#This Row],[4qty_calc]]/(IF(projectType="BD+C:Core and Shell",$E$29,$F$29))),0),0)</f>
        <v>0</v>
      </c>
      <c r="J50" s="118">
        <f>IFERROR(table_renewsummary[[#This Row],[4qty_calc]]/$F$27,0)</f>
        <v>0</v>
      </c>
      <c r="K50" s="256"/>
      <c r="L50" s="256"/>
      <c r="M50" s="256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242"/>
      <c r="AF50" s="242"/>
      <c r="AG50" s="242"/>
      <c r="AH50" s="242"/>
      <c r="AI50" s="242"/>
      <c r="AJ50" s="242"/>
      <c r="AK50" s="242"/>
      <c r="AL50" s="242"/>
      <c r="AM50" s="242"/>
    </row>
    <row r="51" spans="1:39" s="243" customFormat="1" ht="18" hidden="1" customHeight="1" outlineLevel="1" x14ac:dyDescent="0.25">
      <c r="A51" s="137">
        <v>17</v>
      </c>
      <c r="B51" s="142"/>
      <c r="C51" s="148"/>
      <c r="D51" s="148"/>
      <c r="E51" s="265"/>
      <c r="F51" s="141"/>
      <c r="G51" s="262">
        <f>IFERROR(table_renewsummary[[#This Row],[4qty]]*INDEX(unitsTable,MATCH(table_renewsummary[[#This Row],[4units]],INDEX(unitsTable,0,1),0),2),0)</f>
        <v>0</v>
      </c>
      <c r="H51" s="44">
        <f>IFERROR(IF(table_renewsummary[[#This Row],[4offset]]="Electricity",(table_renewsummary[[#This Row],[4qty_calc]]/(IF(projectType="BD+C:Core and Shell",$E$28,$F$28))),0),0)</f>
        <v>0</v>
      </c>
      <c r="I51" s="44">
        <f>IFERROR(IF(table_renewsummary[[#This Row],[4offset]]="Fuel(s)",(table_renewsummary[[#This Row],[4qty_calc]]/(IF(projectType="BD+C:Core and Shell",$E$29,$F$29))),0),0)</f>
        <v>0</v>
      </c>
      <c r="J51" s="118">
        <f>IFERROR(table_renewsummary[[#This Row],[4qty_calc]]/$F$27,0)</f>
        <v>0</v>
      </c>
      <c r="K51" s="256"/>
      <c r="L51" s="256"/>
      <c r="M51" s="256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242"/>
      <c r="AF51" s="242"/>
      <c r="AG51" s="242"/>
      <c r="AH51" s="242"/>
      <c r="AI51" s="242"/>
      <c r="AJ51" s="242"/>
      <c r="AK51" s="242"/>
      <c r="AL51" s="242"/>
      <c r="AM51" s="242"/>
    </row>
    <row r="52" spans="1:39" s="243" customFormat="1" ht="18" hidden="1" customHeight="1" outlineLevel="1" x14ac:dyDescent="0.25">
      <c r="A52" s="137">
        <v>18</v>
      </c>
      <c r="B52" s="142"/>
      <c r="C52" s="148"/>
      <c r="D52" s="148"/>
      <c r="E52" s="265"/>
      <c r="F52" s="141"/>
      <c r="G52" s="262">
        <f>IFERROR(table_renewsummary[[#This Row],[4qty]]*INDEX(unitsTable,MATCH(table_renewsummary[[#This Row],[4units]],INDEX(unitsTable,0,1),0),2),0)</f>
        <v>0</v>
      </c>
      <c r="H52" s="44">
        <f>IFERROR(IF(table_renewsummary[[#This Row],[4offset]]="Electricity",(table_renewsummary[[#This Row],[4qty_calc]]/(IF(projectType="BD+C:Core and Shell",$E$28,$F$28))),0),0)</f>
        <v>0</v>
      </c>
      <c r="I52" s="44">
        <f>IFERROR(IF(table_renewsummary[[#This Row],[4offset]]="Fuel(s)",(table_renewsummary[[#This Row],[4qty_calc]]/(IF(projectType="BD+C:Core and Shell",$E$29,$F$29))),0),0)</f>
        <v>0</v>
      </c>
      <c r="J52" s="118">
        <f>IFERROR(table_renewsummary[[#This Row],[4qty_calc]]/$F$27,0)</f>
        <v>0</v>
      </c>
      <c r="K52" s="256"/>
      <c r="L52" s="256"/>
      <c r="M52" s="256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242"/>
      <c r="AF52" s="242"/>
      <c r="AG52" s="242"/>
      <c r="AH52" s="242"/>
      <c r="AI52" s="242"/>
      <c r="AJ52" s="242"/>
      <c r="AK52" s="242"/>
      <c r="AL52" s="242"/>
      <c r="AM52" s="242"/>
    </row>
    <row r="53" spans="1:39" s="243" customFormat="1" ht="18" hidden="1" customHeight="1" outlineLevel="1" x14ac:dyDescent="0.25">
      <c r="A53" s="137">
        <v>19</v>
      </c>
      <c r="B53" s="142"/>
      <c r="C53" s="148"/>
      <c r="D53" s="148"/>
      <c r="E53" s="265"/>
      <c r="F53" s="141"/>
      <c r="G53" s="262">
        <f>IFERROR(table_renewsummary[[#This Row],[4qty]]*INDEX(unitsTable,MATCH(table_renewsummary[[#This Row],[4units]],INDEX(unitsTable,0,1),0),2),0)</f>
        <v>0</v>
      </c>
      <c r="H53" s="44">
        <f>IFERROR(IF(table_renewsummary[[#This Row],[4offset]]="Electricity",(table_renewsummary[[#This Row],[4qty_calc]]/(IF(projectType="BD+C:Core and Shell",$E$28,$F$28))),0),0)</f>
        <v>0</v>
      </c>
      <c r="I53" s="44">
        <f>IFERROR(IF(table_renewsummary[[#This Row],[4offset]]="Fuel(s)",(table_renewsummary[[#This Row],[4qty_calc]]/(IF(projectType="BD+C:Core and Shell",$E$29,$F$29))),0),0)</f>
        <v>0</v>
      </c>
      <c r="J53" s="118">
        <f>IFERROR(table_renewsummary[[#This Row],[4qty_calc]]/$F$27,0)</f>
        <v>0</v>
      </c>
      <c r="K53" s="256"/>
      <c r="L53" s="256"/>
      <c r="M53" s="256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242"/>
      <c r="AF53" s="242"/>
      <c r="AG53" s="242"/>
      <c r="AH53" s="242"/>
      <c r="AI53" s="242"/>
      <c r="AJ53" s="242"/>
      <c r="AK53" s="242"/>
      <c r="AL53" s="242"/>
      <c r="AM53" s="242"/>
    </row>
    <row r="54" spans="1:39" s="243" customFormat="1" ht="18" hidden="1" customHeight="1" outlineLevel="1" x14ac:dyDescent="0.25">
      <c r="A54" s="137">
        <v>20</v>
      </c>
      <c r="B54" s="142"/>
      <c r="C54" s="148"/>
      <c r="D54" s="148"/>
      <c r="E54" s="265"/>
      <c r="F54" s="141"/>
      <c r="G54" s="262">
        <f>IFERROR(table_renewsummary[[#This Row],[4qty]]*INDEX(unitsTable,MATCH(table_renewsummary[[#This Row],[4units]],INDEX(unitsTable,0,1),0),2),0)</f>
        <v>0</v>
      </c>
      <c r="H54" s="44">
        <f>IFERROR(IF(table_renewsummary[[#This Row],[4offset]]="Electricity",(table_renewsummary[[#This Row],[4qty_calc]]/(IF(projectType="BD+C:Core and Shell",$E$28,$F$28))),0),0)</f>
        <v>0</v>
      </c>
      <c r="I54" s="44">
        <f>IFERROR(IF(table_renewsummary[[#This Row],[4offset]]="Fuel(s)",(table_renewsummary[[#This Row],[4qty_calc]]/(IF(projectType="BD+C:Core and Shell",$E$29,$F$29))),0),0)</f>
        <v>0</v>
      </c>
      <c r="J54" s="118">
        <f>IFERROR(table_renewsummary[[#This Row],[4qty_calc]]/$F$27,0)</f>
        <v>0</v>
      </c>
      <c r="K54" s="256"/>
      <c r="L54" s="256"/>
      <c r="M54" s="256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242"/>
      <c r="AF54" s="242"/>
      <c r="AG54" s="242"/>
      <c r="AH54" s="242"/>
      <c r="AI54" s="242"/>
      <c r="AJ54" s="242"/>
      <c r="AK54" s="242"/>
      <c r="AL54" s="242"/>
      <c r="AM54" s="242"/>
    </row>
    <row r="55" spans="1:39" s="243" customFormat="1" ht="18" hidden="1" customHeight="1" outlineLevel="1" x14ac:dyDescent="0.25">
      <c r="A55" s="137">
        <v>21</v>
      </c>
      <c r="B55" s="142"/>
      <c r="C55" s="148"/>
      <c r="D55" s="148"/>
      <c r="E55" s="265"/>
      <c r="F55" s="141"/>
      <c r="G55" s="262">
        <f>IFERROR(table_renewsummary[[#This Row],[4qty]]*INDEX(unitsTable,MATCH(table_renewsummary[[#This Row],[4units]],INDEX(unitsTable,0,1),0),2),0)</f>
        <v>0</v>
      </c>
      <c r="H55" s="44">
        <f>IFERROR(IF(table_renewsummary[[#This Row],[4offset]]="Electricity",(table_renewsummary[[#This Row],[4qty_calc]]/(IF(projectType="BD+C:Core and Shell",$E$28,$F$28))),0),0)</f>
        <v>0</v>
      </c>
      <c r="I55" s="44">
        <f>IFERROR(IF(table_renewsummary[[#This Row],[4offset]]="Fuel(s)",(table_renewsummary[[#This Row],[4qty_calc]]/(IF(projectType="BD+C:Core and Shell",$E$29,$F$29))),0),0)</f>
        <v>0</v>
      </c>
      <c r="J55" s="118">
        <f>IFERROR(table_renewsummary[[#This Row],[4qty_calc]]/$F$27,0)</f>
        <v>0</v>
      </c>
      <c r="K55" s="256"/>
      <c r="L55" s="256"/>
      <c r="M55" s="256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242"/>
      <c r="AF55" s="242"/>
      <c r="AG55" s="242"/>
      <c r="AH55" s="242"/>
      <c r="AI55" s="242"/>
      <c r="AJ55" s="242"/>
      <c r="AK55" s="242"/>
      <c r="AL55" s="242"/>
      <c r="AM55" s="242"/>
    </row>
    <row r="56" spans="1:39" s="243" customFormat="1" ht="18" hidden="1" customHeight="1" outlineLevel="1" x14ac:dyDescent="0.25">
      <c r="A56" s="137">
        <v>22</v>
      </c>
      <c r="B56" s="142"/>
      <c r="C56" s="148"/>
      <c r="D56" s="148"/>
      <c r="E56" s="265"/>
      <c r="F56" s="141"/>
      <c r="G56" s="262">
        <f>IFERROR(table_renewsummary[[#This Row],[4qty]]*INDEX(unitsTable,MATCH(table_renewsummary[[#This Row],[4units]],INDEX(unitsTable,0,1),0),2),0)</f>
        <v>0</v>
      </c>
      <c r="H56" s="44">
        <f>IFERROR(IF(table_renewsummary[[#This Row],[4offset]]="Electricity",(table_renewsummary[[#This Row],[4qty_calc]]/(IF(projectType="BD+C:Core and Shell",$E$28,$F$28))),0),0)</f>
        <v>0</v>
      </c>
      <c r="I56" s="44">
        <f>IFERROR(IF(table_renewsummary[[#This Row],[4offset]]="Fuel(s)",(table_renewsummary[[#This Row],[4qty_calc]]/(IF(projectType="BD+C:Core and Shell",$E$29,$F$29))),0),0)</f>
        <v>0</v>
      </c>
      <c r="J56" s="118">
        <f>IFERROR(table_renewsummary[[#This Row],[4qty_calc]]/$F$27,0)</f>
        <v>0</v>
      </c>
      <c r="K56" s="256"/>
      <c r="L56" s="256"/>
      <c r="M56" s="256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242"/>
      <c r="AF56" s="242"/>
      <c r="AG56" s="242"/>
      <c r="AH56" s="242"/>
      <c r="AI56" s="242"/>
      <c r="AJ56" s="242"/>
      <c r="AK56" s="242"/>
      <c r="AL56" s="242"/>
      <c r="AM56" s="242"/>
    </row>
    <row r="57" spans="1:39" s="243" customFormat="1" ht="18" hidden="1" customHeight="1" outlineLevel="1" x14ac:dyDescent="0.25">
      <c r="A57" s="137">
        <v>23</v>
      </c>
      <c r="B57" s="142"/>
      <c r="C57" s="148"/>
      <c r="D57" s="148"/>
      <c r="E57" s="265"/>
      <c r="F57" s="141"/>
      <c r="G57" s="262">
        <f>IFERROR(table_renewsummary[[#This Row],[4qty]]*INDEX(unitsTable,MATCH(table_renewsummary[[#This Row],[4units]],INDEX(unitsTable,0,1),0),2),0)</f>
        <v>0</v>
      </c>
      <c r="H57" s="44">
        <f>IFERROR(IF(table_renewsummary[[#This Row],[4offset]]="Electricity",(table_renewsummary[[#This Row],[4qty_calc]]/(IF(projectType="BD+C:Core and Shell",$E$28,$F$28))),0),0)</f>
        <v>0</v>
      </c>
      <c r="I57" s="44">
        <f>IFERROR(IF(table_renewsummary[[#This Row],[4offset]]="Fuel(s)",(table_renewsummary[[#This Row],[4qty_calc]]/(IF(projectType="BD+C:Core and Shell",$E$29,$F$29))),0),0)</f>
        <v>0</v>
      </c>
      <c r="J57" s="118">
        <f>IFERROR(table_renewsummary[[#This Row],[4qty_calc]]/$F$27,0)</f>
        <v>0</v>
      </c>
      <c r="K57" s="256"/>
      <c r="L57" s="256"/>
      <c r="M57" s="256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242"/>
      <c r="AF57" s="242"/>
      <c r="AG57" s="242"/>
      <c r="AH57" s="242"/>
      <c r="AI57" s="242"/>
      <c r="AJ57" s="242"/>
      <c r="AK57" s="242"/>
      <c r="AL57" s="242"/>
      <c r="AM57" s="242"/>
    </row>
    <row r="58" spans="1:39" s="243" customFormat="1" ht="18" hidden="1" customHeight="1" outlineLevel="1" x14ac:dyDescent="0.25">
      <c r="A58" s="137">
        <v>24</v>
      </c>
      <c r="B58" s="142"/>
      <c r="C58" s="148"/>
      <c r="D58" s="148"/>
      <c r="E58" s="265"/>
      <c r="F58" s="141"/>
      <c r="G58" s="262">
        <f>IFERROR(table_renewsummary[[#This Row],[4qty]]*INDEX(unitsTable,MATCH(table_renewsummary[[#This Row],[4units]],INDEX(unitsTable,0,1),0),2),0)</f>
        <v>0</v>
      </c>
      <c r="H58" s="44">
        <f>IFERROR(IF(table_renewsummary[[#This Row],[4offset]]="Electricity",(table_renewsummary[[#This Row],[4qty_calc]]/(IF(projectType="BD+C:Core and Shell",$E$28,$F$28))),0),0)</f>
        <v>0</v>
      </c>
      <c r="I58" s="44">
        <f>IFERROR(IF(table_renewsummary[[#This Row],[4offset]]="Fuel(s)",(table_renewsummary[[#This Row],[4qty_calc]]/(IF(projectType="BD+C:Core and Shell",$E$29,$F$29))),0),0)</f>
        <v>0</v>
      </c>
      <c r="J58" s="118">
        <f>IFERROR(table_renewsummary[[#This Row],[4qty_calc]]/$F$27,0)</f>
        <v>0</v>
      </c>
      <c r="K58" s="256"/>
      <c r="L58" s="256"/>
      <c r="M58" s="256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242"/>
      <c r="AF58" s="242"/>
      <c r="AG58" s="242"/>
      <c r="AH58" s="242"/>
      <c r="AI58" s="242"/>
      <c r="AJ58" s="242"/>
      <c r="AK58" s="242"/>
      <c r="AL58" s="242"/>
      <c r="AM58" s="242"/>
    </row>
    <row r="59" spans="1:39" s="243" customFormat="1" ht="18" hidden="1" customHeight="1" outlineLevel="1" x14ac:dyDescent="0.25">
      <c r="A59" s="137">
        <v>25</v>
      </c>
      <c r="B59" s="142"/>
      <c r="C59" s="148"/>
      <c r="D59" s="148"/>
      <c r="E59" s="265"/>
      <c r="F59" s="141"/>
      <c r="G59" s="262">
        <f>IFERROR(table_renewsummary[[#This Row],[4qty]]*INDEX(unitsTable,MATCH(table_renewsummary[[#This Row],[4units]],INDEX(unitsTable,0,1),0),2),0)</f>
        <v>0</v>
      </c>
      <c r="H59" s="44">
        <f>IFERROR(IF(table_renewsummary[[#This Row],[4offset]]="Electricity",(table_renewsummary[[#This Row],[4qty_calc]]/(IF(projectType="BD+C:Core and Shell",$E$28,$F$28))),0),0)</f>
        <v>0</v>
      </c>
      <c r="I59" s="44">
        <f>IFERROR(IF(table_renewsummary[[#This Row],[4offset]]="Fuel(s)",(table_renewsummary[[#This Row],[4qty_calc]]/(IF(projectType="BD+C:Core and Shell",$E$29,$F$29))),0),0)</f>
        <v>0</v>
      </c>
      <c r="J59" s="118">
        <f>IFERROR(table_renewsummary[[#This Row],[4qty_calc]]/$F$27,0)</f>
        <v>0</v>
      </c>
      <c r="K59" s="256"/>
      <c r="L59" s="256"/>
      <c r="M59" s="256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242"/>
      <c r="AF59" s="242"/>
      <c r="AG59" s="242"/>
      <c r="AH59" s="242"/>
      <c r="AI59" s="242"/>
      <c r="AJ59" s="242"/>
      <c r="AK59" s="242"/>
      <c r="AL59" s="242"/>
      <c r="AM59" s="242"/>
    </row>
    <row r="60" spans="1:39" s="243" customFormat="1" ht="18" hidden="1" customHeight="1" outlineLevel="1" x14ac:dyDescent="0.25">
      <c r="A60" s="137">
        <v>26</v>
      </c>
      <c r="B60" s="142"/>
      <c r="C60" s="148"/>
      <c r="D60" s="148"/>
      <c r="E60" s="265"/>
      <c r="F60" s="141"/>
      <c r="G60" s="262">
        <f>IFERROR(table_renewsummary[[#This Row],[4qty]]*INDEX(unitsTable,MATCH(table_renewsummary[[#This Row],[4units]],INDEX(unitsTable,0,1),0),2),0)</f>
        <v>0</v>
      </c>
      <c r="H60" s="44">
        <f>IFERROR(IF(table_renewsummary[[#This Row],[4offset]]="Electricity",(table_renewsummary[[#This Row],[4qty_calc]]/(IF(projectType="BD+C:Core and Shell",$E$28,$F$28))),0),0)</f>
        <v>0</v>
      </c>
      <c r="I60" s="44">
        <f>IFERROR(IF(table_renewsummary[[#This Row],[4offset]]="Fuel(s)",(table_renewsummary[[#This Row],[4qty_calc]]/(IF(projectType="BD+C:Core and Shell",$E$29,$F$29))),0),0)</f>
        <v>0</v>
      </c>
      <c r="J60" s="118">
        <f>IFERROR(table_renewsummary[[#This Row],[4qty_calc]]/$F$27,0)</f>
        <v>0</v>
      </c>
      <c r="K60" s="256"/>
      <c r="L60" s="256"/>
      <c r="M60" s="256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242"/>
      <c r="AF60" s="242"/>
      <c r="AG60" s="242"/>
      <c r="AH60" s="242"/>
      <c r="AI60" s="242"/>
      <c r="AJ60" s="242"/>
      <c r="AK60" s="242"/>
      <c r="AL60" s="242"/>
      <c r="AM60" s="242"/>
    </row>
    <row r="61" spans="1:39" s="243" customFormat="1" ht="18" hidden="1" customHeight="1" outlineLevel="1" x14ac:dyDescent="0.25">
      <c r="A61" s="137">
        <v>27</v>
      </c>
      <c r="B61" s="142"/>
      <c r="C61" s="148"/>
      <c r="D61" s="148"/>
      <c r="E61" s="265"/>
      <c r="F61" s="141"/>
      <c r="G61" s="262">
        <f>IFERROR(table_renewsummary[[#This Row],[4qty]]*INDEX(unitsTable,MATCH(table_renewsummary[[#This Row],[4units]],INDEX(unitsTable,0,1),0),2),0)</f>
        <v>0</v>
      </c>
      <c r="H61" s="44">
        <f>IFERROR(IF(table_renewsummary[[#This Row],[4offset]]="Electricity",(table_renewsummary[[#This Row],[4qty_calc]]/(IF(projectType="BD+C:Core and Shell",$E$28,$F$28))),0),0)</f>
        <v>0</v>
      </c>
      <c r="I61" s="44">
        <f>IFERROR(IF(table_renewsummary[[#This Row],[4offset]]="Fuel(s)",(table_renewsummary[[#This Row],[4qty_calc]]/(IF(projectType="BD+C:Core and Shell",$E$29,$F$29))),0),0)</f>
        <v>0</v>
      </c>
      <c r="J61" s="118">
        <f>IFERROR(table_renewsummary[[#This Row],[4qty_calc]]/$F$27,0)</f>
        <v>0</v>
      </c>
      <c r="K61" s="256"/>
      <c r="L61" s="256"/>
      <c r="M61" s="256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242"/>
      <c r="AF61" s="242"/>
      <c r="AG61" s="242"/>
      <c r="AH61" s="242"/>
      <c r="AI61" s="242"/>
      <c r="AJ61" s="242"/>
      <c r="AK61" s="242"/>
      <c r="AL61" s="242"/>
      <c r="AM61" s="242"/>
    </row>
    <row r="62" spans="1:39" s="243" customFormat="1" ht="18" hidden="1" customHeight="1" outlineLevel="1" x14ac:dyDescent="0.25">
      <c r="A62" s="137">
        <v>28</v>
      </c>
      <c r="B62" s="142"/>
      <c r="C62" s="148"/>
      <c r="D62" s="148"/>
      <c r="E62" s="265"/>
      <c r="F62" s="141"/>
      <c r="G62" s="262">
        <f>IFERROR(table_renewsummary[[#This Row],[4qty]]*INDEX(unitsTable,MATCH(table_renewsummary[[#This Row],[4units]],INDEX(unitsTable,0,1),0),2),0)</f>
        <v>0</v>
      </c>
      <c r="H62" s="44">
        <f>IFERROR(IF(table_renewsummary[[#This Row],[4offset]]="Electricity",(table_renewsummary[[#This Row],[4qty_calc]]/(IF(projectType="BD+C:Core and Shell",$E$28,$F$28))),0),0)</f>
        <v>0</v>
      </c>
      <c r="I62" s="44">
        <f>IFERROR(IF(table_renewsummary[[#This Row],[4offset]]="Fuel(s)",(table_renewsummary[[#This Row],[4qty_calc]]/(IF(projectType="BD+C:Core and Shell",$E$29,$F$29))),0),0)</f>
        <v>0</v>
      </c>
      <c r="J62" s="118">
        <f>IFERROR(table_renewsummary[[#This Row],[4qty_calc]]/$F$27,0)</f>
        <v>0</v>
      </c>
      <c r="K62" s="256"/>
      <c r="L62" s="256"/>
      <c r="M62" s="256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242"/>
      <c r="AF62" s="242"/>
      <c r="AG62" s="242"/>
      <c r="AH62" s="242"/>
      <c r="AI62" s="242"/>
      <c r="AJ62" s="242"/>
      <c r="AK62" s="242"/>
      <c r="AL62" s="242"/>
      <c r="AM62" s="242"/>
    </row>
    <row r="63" spans="1:39" s="243" customFormat="1" ht="18" hidden="1" customHeight="1" outlineLevel="1" x14ac:dyDescent="0.25">
      <c r="A63" s="137">
        <v>29</v>
      </c>
      <c r="B63" s="142"/>
      <c r="C63" s="148"/>
      <c r="D63" s="148"/>
      <c r="E63" s="265"/>
      <c r="F63" s="141"/>
      <c r="G63" s="262">
        <f>IFERROR(table_renewsummary[[#This Row],[4qty]]*INDEX(unitsTable,MATCH(table_renewsummary[[#This Row],[4units]],INDEX(unitsTable,0,1),0),2),0)</f>
        <v>0</v>
      </c>
      <c r="H63" s="44">
        <f>IFERROR(IF(table_renewsummary[[#This Row],[4offset]]="Electricity",(table_renewsummary[[#This Row],[4qty_calc]]/(IF(projectType="BD+C:Core and Shell",$E$28,$F$28))),0),0)</f>
        <v>0</v>
      </c>
      <c r="I63" s="44">
        <f>IFERROR(IF(table_renewsummary[[#This Row],[4offset]]="Fuel(s)",(table_renewsummary[[#This Row],[4qty_calc]]/(IF(projectType="BD+C:Core and Shell",$E$29,$F$29))),0),0)</f>
        <v>0</v>
      </c>
      <c r="J63" s="118">
        <f>IFERROR(table_renewsummary[[#This Row],[4qty_calc]]/$F$27,0)</f>
        <v>0</v>
      </c>
      <c r="K63" s="256"/>
      <c r="L63" s="256"/>
      <c r="M63" s="256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242"/>
      <c r="AF63" s="242"/>
      <c r="AG63" s="242"/>
      <c r="AH63" s="242"/>
      <c r="AI63" s="242"/>
      <c r="AJ63" s="242"/>
      <c r="AK63" s="242"/>
      <c r="AL63" s="242"/>
      <c r="AM63" s="242"/>
    </row>
    <row r="64" spans="1:39" s="243" customFormat="1" ht="18" customHeight="1" collapsed="1" x14ac:dyDescent="0.25">
      <c r="A64" s="137">
        <v>30</v>
      </c>
      <c r="B64" s="142"/>
      <c r="C64" s="148"/>
      <c r="D64" s="148"/>
      <c r="E64" s="265"/>
      <c r="F64" s="141"/>
      <c r="G64" s="262">
        <f>IFERROR(table_renewsummary[[#This Row],[4qty]]*INDEX(unitsTable,MATCH(table_renewsummary[[#This Row],[4units]],INDEX(unitsTable,0,1),0),2),0)</f>
        <v>0</v>
      </c>
      <c r="H64" s="44">
        <f>IFERROR(IF(table_renewsummary[[#This Row],[4offset]]="Electricity",(table_renewsummary[[#This Row],[4qty_calc]]/(IF(projectType="BD+C:Core and Shell",$E$28,$F$28))),0),0)</f>
        <v>0</v>
      </c>
      <c r="I64" s="44">
        <f>IFERROR(IF(table_renewsummary[[#This Row],[4offset]]="Fuel(s)",(table_renewsummary[[#This Row],[4qty_calc]]/(IF(projectType="BD+C:Core and Shell",$E$29,$F$29))),0),0)</f>
        <v>0</v>
      </c>
      <c r="J64" s="118">
        <f>IFERROR(table_renewsummary[[#This Row],[4qty_calc]]/$F$27,0)</f>
        <v>0</v>
      </c>
      <c r="K64" s="256"/>
      <c r="L64" s="256"/>
      <c r="M64" s="256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242"/>
      <c r="AF64" s="242"/>
      <c r="AG64" s="242"/>
      <c r="AH64" s="242"/>
      <c r="AI64" s="242"/>
      <c r="AJ64" s="242"/>
      <c r="AK64" s="242"/>
      <c r="AL64" s="242"/>
      <c r="AM64" s="242"/>
    </row>
    <row r="65" spans="1:39" s="243" customFormat="1" ht="18" hidden="1" customHeight="1" outlineLevel="1" x14ac:dyDescent="0.25">
      <c r="A65" s="137">
        <v>31</v>
      </c>
      <c r="B65" s="142"/>
      <c r="C65" s="148"/>
      <c r="D65" s="148"/>
      <c r="E65" s="265"/>
      <c r="F65" s="141"/>
      <c r="G65" s="262">
        <f>IFERROR(table_renewsummary[[#This Row],[4qty]]*INDEX(unitsTable,MATCH(table_renewsummary[[#This Row],[4units]],INDEX(unitsTable,0,1),0),2),0)</f>
        <v>0</v>
      </c>
      <c r="H65" s="44">
        <f>IFERROR(IF(table_renewsummary[[#This Row],[4offset]]="Electricity",(table_renewsummary[[#This Row],[4qty_calc]]/(IF(projectType="BD+C:Core and Shell",$E$28,$F$28))),0),0)</f>
        <v>0</v>
      </c>
      <c r="I65" s="44">
        <f>IFERROR(IF(table_renewsummary[[#This Row],[4offset]]="Fuel(s)",(table_renewsummary[[#This Row],[4qty_calc]]/(IF(projectType="BD+C:Core and Shell",$E$29,$F$29))),0),0)</f>
        <v>0</v>
      </c>
      <c r="J65" s="118">
        <f>IFERROR(table_renewsummary[[#This Row],[4qty_calc]]/$F$27,0)</f>
        <v>0</v>
      </c>
      <c r="K65" s="256"/>
      <c r="L65" s="256"/>
      <c r="M65" s="256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242"/>
      <c r="AF65" s="242"/>
      <c r="AG65" s="242"/>
      <c r="AH65" s="242"/>
      <c r="AI65" s="242"/>
      <c r="AJ65" s="242"/>
      <c r="AK65" s="242"/>
      <c r="AL65" s="242"/>
      <c r="AM65" s="242"/>
    </row>
    <row r="66" spans="1:39" s="243" customFormat="1" ht="18" hidden="1" customHeight="1" outlineLevel="1" x14ac:dyDescent="0.25">
      <c r="A66" s="137">
        <v>32</v>
      </c>
      <c r="B66" s="142"/>
      <c r="C66" s="148"/>
      <c r="D66" s="148"/>
      <c r="E66" s="265"/>
      <c r="F66" s="141"/>
      <c r="G66" s="262">
        <f>IFERROR(table_renewsummary[[#This Row],[4qty]]*INDEX(unitsTable,MATCH(table_renewsummary[[#This Row],[4units]],INDEX(unitsTable,0,1),0),2),0)</f>
        <v>0</v>
      </c>
      <c r="H66" s="44">
        <f>IFERROR(IF(table_renewsummary[[#This Row],[4offset]]="Electricity",(table_renewsummary[[#This Row],[4qty_calc]]/(IF(projectType="BD+C:Core and Shell",$E$28,$F$28))),0),0)</f>
        <v>0</v>
      </c>
      <c r="I66" s="44">
        <f>IFERROR(IF(table_renewsummary[[#This Row],[4offset]]="Fuel(s)",(table_renewsummary[[#This Row],[4qty_calc]]/(IF(projectType="BD+C:Core and Shell",$E$29,$F$29))),0),0)</f>
        <v>0</v>
      </c>
      <c r="J66" s="118">
        <f>IFERROR(table_renewsummary[[#This Row],[4qty_calc]]/$F$27,0)</f>
        <v>0</v>
      </c>
      <c r="K66" s="256"/>
      <c r="L66" s="256"/>
      <c r="M66" s="256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242"/>
      <c r="AF66" s="242"/>
      <c r="AG66" s="242"/>
      <c r="AH66" s="242"/>
      <c r="AI66" s="242"/>
      <c r="AJ66" s="242"/>
      <c r="AK66" s="242"/>
      <c r="AL66" s="242"/>
      <c r="AM66" s="242"/>
    </row>
    <row r="67" spans="1:39" s="243" customFormat="1" ht="18" hidden="1" customHeight="1" outlineLevel="1" x14ac:dyDescent="0.25">
      <c r="A67" s="137">
        <v>33</v>
      </c>
      <c r="B67" s="142"/>
      <c r="C67" s="148"/>
      <c r="D67" s="148"/>
      <c r="E67" s="265"/>
      <c r="F67" s="141"/>
      <c r="G67" s="262">
        <f>IFERROR(table_renewsummary[[#This Row],[4qty]]*INDEX(unitsTable,MATCH(table_renewsummary[[#This Row],[4units]],INDEX(unitsTable,0,1),0),2),0)</f>
        <v>0</v>
      </c>
      <c r="H67" s="44">
        <f>IFERROR(IF(table_renewsummary[[#This Row],[4offset]]="Electricity",(table_renewsummary[[#This Row],[4qty_calc]]/(IF(projectType="BD+C:Core and Shell",$E$28,$F$28))),0),0)</f>
        <v>0</v>
      </c>
      <c r="I67" s="44">
        <f>IFERROR(IF(table_renewsummary[[#This Row],[4offset]]="Fuel(s)",(table_renewsummary[[#This Row],[4qty_calc]]/(IF(projectType="BD+C:Core and Shell",$E$29,$F$29))),0),0)</f>
        <v>0</v>
      </c>
      <c r="J67" s="118">
        <f>IFERROR(table_renewsummary[[#This Row],[4qty_calc]]/$F$27,0)</f>
        <v>0</v>
      </c>
      <c r="K67" s="256"/>
      <c r="L67" s="256"/>
      <c r="M67" s="256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242"/>
      <c r="AF67" s="242"/>
      <c r="AG67" s="242"/>
      <c r="AH67" s="242"/>
      <c r="AI67" s="242"/>
      <c r="AJ67" s="242"/>
      <c r="AK67" s="242"/>
      <c r="AL67" s="242"/>
      <c r="AM67" s="242"/>
    </row>
    <row r="68" spans="1:39" s="243" customFormat="1" ht="18" hidden="1" customHeight="1" outlineLevel="1" x14ac:dyDescent="0.25">
      <c r="A68" s="137">
        <v>34</v>
      </c>
      <c r="B68" s="142"/>
      <c r="C68" s="148"/>
      <c r="D68" s="148"/>
      <c r="E68" s="265"/>
      <c r="F68" s="141"/>
      <c r="G68" s="262">
        <f>IFERROR(table_renewsummary[[#This Row],[4qty]]*INDEX(unitsTable,MATCH(table_renewsummary[[#This Row],[4units]],INDEX(unitsTable,0,1),0),2),0)</f>
        <v>0</v>
      </c>
      <c r="H68" s="44">
        <f>IFERROR(IF(table_renewsummary[[#This Row],[4offset]]="Electricity",(table_renewsummary[[#This Row],[4qty_calc]]/(IF(projectType="BD+C:Core and Shell",$E$28,$F$28))),0),0)</f>
        <v>0</v>
      </c>
      <c r="I68" s="44">
        <f>IFERROR(IF(table_renewsummary[[#This Row],[4offset]]="Fuel(s)",(table_renewsummary[[#This Row],[4qty_calc]]/(IF(projectType="BD+C:Core and Shell",$E$29,$F$29))),0),0)</f>
        <v>0</v>
      </c>
      <c r="J68" s="118">
        <f>IFERROR(table_renewsummary[[#This Row],[4qty_calc]]/$F$27,0)</f>
        <v>0</v>
      </c>
      <c r="K68" s="256"/>
      <c r="L68" s="256"/>
      <c r="M68" s="256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242"/>
      <c r="AF68" s="242"/>
      <c r="AG68" s="242"/>
      <c r="AH68" s="242"/>
      <c r="AI68" s="242"/>
      <c r="AJ68" s="242"/>
      <c r="AK68" s="242"/>
      <c r="AL68" s="242"/>
      <c r="AM68" s="242"/>
    </row>
    <row r="69" spans="1:39" s="243" customFormat="1" ht="18" hidden="1" customHeight="1" outlineLevel="1" x14ac:dyDescent="0.25">
      <c r="A69" s="137">
        <v>35</v>
      </c>
      <c r="B69" s="142"/>
      <c r="C69" s="148"/>
      <c r="D69" s="148"/>
      <c r="E69" s="265"/>
      <c r="F69" s="141"/>
      <c r="G69" s="262">
        <f>IFERROR(table_renewsummary[[#This Row],[4qty]]*INDEX(unitsTable,MATCH(table_renewsummary[[#This Row],[4units]],INDEX(unitsTable,0,1),0),2),0)</f>
        <v>0</v>
      </c>
      <c r="H69" s="44">
        <f>IFERROR(IF(table_renewsummary[[#This Row],[4offset]]="Electricity",(table_renewsummary[[#This Row],[4qty_calc]]/(IF(projectType="BD+C:Core and Shell",$E$28,$F$28))),0),0)</f>
        <v>0</v>
      </c>
      <c r="I69" s="44">
        <f>IFERROR(IF(table_renewsummary[[#This Row],[4offset]]="Fuel(s)",(table_renewsummary[[#This Row],[4qty_calc]]/(IF(projectType="BD+C:Core and Shell",$E$29,$F$29))),0),0)</f>
        <v>0</v>
      </c>
      <c r="J69" s="118">
        <f>IFERROR(table_renewsummary[[#This Row],[4qty_calc]]/$F$27,0)</f>
        <v>0</v>
      </c>
      <c r="K69" s="256"/>
      <c r="L69" s="256"/>
      <c r="M69" s="256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242"/>
      <c r="AF69" s="242"/>
      <c r="AG69" s="242"/>
      <c r="AH69" s="242"/>
      <c r="AI69" s="242"/>
      <c r="AJ69" s="242"/>
      <c r="AK69" s="242"/>
      <c r="AL69" s="242"/>
      <c r="AM69" s="242"/>
    </row>
    <row r="70" spans="1:39" s="243" customFormat="1" ht="18" hidden="1" customHeight="1" outlineLevel="1" x14ac:dyDescent="0.25">
      <c r="A70" s="137">
        <v>36</v>
      </c>
      <c r="B70" s="142"/>
      <c r="C70" s="148"/>
      <c r="D70" s="148"/>
      <c r="E70" s="265"/>
      <c r="F70" s="141"/>
      <c r="G70" s="262">
        <f>IFERROR(table_renewsummary[[#This Row],[4qty]]*INDEX(unitsTable,MATCH(table_renewsummary[[#This Row],[4units]],INDEX(unitsTable,0,1),0),2),0)</f>
        <v>0</v>
      </c>
      <c r="H70" s="44">
        <f>IFERROR(IF(table_renewsummary[[#This Row],[4offset]]="Electricity",(table_renewsummary[[#This Row],[4qty_calc]]/(IF(projectType="BD+C:Core and Shell",$E$28,$F$28))),0),0)</f>
        <v>0</v>
      </c>
      <c r="I70" s="44">
        <f>IFERROR(IF(table_renewsummary[[#This Row],[4offset]]="Fuel(s)",(table_renewsummary[[#This Row],[4qty_calc]]/(IF(projectType="BD+C:Core and Shell",$E$29,$F$29))),0),0)</f>
        <v>0</v>
      </c>
      <c r="J70" s="118">
        <f>IFERROR(table_renewsummary[[#This Row],[4qty_calc]]/$F$27,0)</f>
        <v>0</v>
      </c>
      <c r="K70" s="256"/>
      <c r="L70" s="256"/>
      <c r="M70" s="256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242"/>
      <c r="AF70" s="242"/>
      <c r="AG70" s="242"/>
      <c r="AH70" s="242"/>
      <c r="AI70" s="242"/>
      <c r="AJ70" s="242"/>
      <c r="AK70" s="242"/>
      <c r="AL70" s="242"/>
      <c r="AM70" s="242"/>
    </row>
    <row r="71" spans="1:39" s="243" customFormat="1" ht="18" hidden="1" customHeight="1" outlineLevel="1" x14ac:dyDescent="0.25">
      <c r="A71" s="137">
        <v>37</v>
      </c>
      <c r="B71" s="142"/>
      <c r="C71" s="148"/>
      <c r="D71" s="148"/>
      <c r="E71" s="265"/>
      <c r="F71" s="141"/>
      <c r="G71" s="262">
        <f>IFERROR(table_renewsummary[[#This Row],[4qty]]*INDEX(unitsTable,MATCH(table_renewsummary[[#This Row],[4units]],INDEX(unitsTable,0,1),0),2),0)</f>
        <v>0</v>
      </c>
      <c r="H71" s="44">
        <f>IFERROR(IF(table_renewsummary[[#This Row],[4offset]]="Electricity",(table_renewsummary[[#This Row],[4qty_calc]]/(IF(projectType="BD+C:Core and Shell",$E$28,$F$28))),0),0)</f>
        <v>0</v>
      </c>
      <c r="I71" s="44">
        <f>IFERROR(IF(table_renewsummary[[#This Row],[4offset]]="Fuel(s)",(table_renewsummary[[#This Row],[4qty_calc]]/(IF(projectType="BD+C:Core and Shell",$E$29,$F$29))),0),0)</f>
        <v>0</v>
      </c>
      <c r="J71" s="118">
        <f>IFERROR(table_renewsummary[[#This Row],[4qty_calc]]/$F$27,0)</f>
        <v>0</v>
      </c>
      <c r="K71" s="256"/>
      <c r="L71" s="256"/>
      <c r="M71" s="256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242"/>
      <c r="AF71" s="242"/>
      <c r="AG71" s="242"/>
      <c r="AH71" s="242"/>
      <c r="AI71" s="242"/>
      <c r="AJ71" s="242"/>
      <c r="AK71" s="242"/>
      <c r="AL71" s="242"/>
      <c r="AM71" s="242"/>
    </row>
    <row r="72" spans="1:39" s="243" customFormat="1" ht="18" hidden="1" customHeight="1" outlineLevel="1" x14ac:dyDescent="0.25">
      <c r="A72" s="137">
        <v>38</v>
      </c>
      <c r="B72" s="142"/>
      <c r="C72" s="148"/>
      <c r="D72" s="148"/>
      <c r="E72" s="265"/>
      <c r="F72" s="141"/>
      <c r="G72" s="262">
        <f>IFERROR(table_renewsummary[[#This Row],[4qty]]*INDEX(unitsTable,MATCH(table_renewsummary[[#This Row],[4units]],INDEX(unitsTable,0,1),0),2),0)</f>
        <v>0</v>
      </c>
      <c r="H72" s="44">
        <f>IFERROR(IF(table_renewsummary[[#This Row],[4offset]]="Electricity",(table_renewsummary[[#This Row],[4qty_calc]]/(IF(projectType="BD+C:Core and Shell",$E$28,$F$28))),0),0)</f>
        <v>0</v>
      </c>
      <c r="I72" s="44">
        <f>IFERROR(IF(table_renewsummary[[#This Row],[4offset]]="Fuel(s)",(table_renewsummary[[#This Row],[4qty_calc]]/(IF(projectType="BD+C:Core and Shell",$E$29,$F$29))),0),0)</f>
        <v>0</v>
      </c>
      <c r="J72" s="118">
        <f>IFERROR(table_renewsummary[[#This Row],[4qty_calc]]/$F$27,0)</f>
        <v>0</v>
      </c>
      <c r="K72" s="256"/>
      <c r="L72" s="256"/>
      <c r="M72" s="256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242"/>
      <c r="AF72" s="242"/>
      <c r="AG72" s="242"/>
      <c r="AH72" s="242"/>
      <c r="AI72" s="242"/>
      <c r="AJ72" s="242"/>
      <c r="AK72" s="242"/>
      <c r="AL72" s="242"/>
      <c r="AM72" s="242"/>
    </row>
    <row r="73" spans="1:39" s="243" customFormat="1" ht="18" hidden="1" customHeight="1" outlineLevel="1" x14ac:dyDescent="0.25">
      <c r="A73" s="137">
        <v>39</v>
      </c>
      <c r="B73" s="142"/>
      <c r="C73" s="148"/>
      <c r="D73" s="148"/>
      <c r="E73" s="265"/>
      <c r="F73" s="141"/>
      <c r="G73" s="262">
        <f>IFERROR(table_renewsummary[[#This Row],[4qty]]*INDEX(unitsTable,MATCH(table_renewsummary[[#This Row],[4units]],INDEX(unitsTable,0,1),0),2),0)</f>
        <v>0</v>
      </c>
      <c r="H73" s="44">
        <f>IFERROR(IF(table_renewsummary[[#This Row],[4offset]]="Electricity",(table_renewsummary[[#This Row],[4qty_calc]]/(IF(projectType="BD+C:Core and Shell",$E$28,$F$28))),0),0)</f>
        <v>0</v>
      </c>
      <c r="I73" s="44">
        <f>IFERROR(IF(table_renewsummary[[#This Row],[4offset]]="Fuel(s)",(table_renewsummary[[#This Row],[4qty_calc]]/(IF(projectType="BD+C:Core and Shell",$E$29,$F$29))),0),0)</f>
        <v>0</v>
      </c>
      <c r="J73" s="118">
        <f>IFERROR(table_renewsummary[[#This Row],[4qty_calc]]/$F$27,0)</f>
        <v>0</v>
      </c>
      <c r="K73" s="256"/>
      <c r="L73" s="256"/>
      <c r="M73" s="256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242"/>
      <c r="AF73" s="242"/>
      <c r="AG73" s="242"/>
      <c r="AH73" s="242"/>
      <c r="AI73" s="242"/>
      <c r="AJ73" s="242"/>
      <c r="AK73" s="242"/>
      <c r="AL73" s="242"/>
      <c r="AM73" s="242"/>
    </row>
    <row r="74" spans="1:39" s="243" customFormat="1" ht="18" hidden="1" customHeight="1" outlineLevel="1" x14ac:dyDescent="0.25">
      <c r="A74" s="137">
        <v>40</v>
      </c>
      <c r="B74" s="142"/>
      <c r="C74" s="148"/>
      <c r="D74" s="148"/>
      <c r="E74" s="265"/>
      <c r="F74" s="141"/>
      <c r="G74" s="262">
        <f>IFERROR(table_renewsummary[[#This Row],[4qty]]*INDEX(unitsTable,MATCH(table_renewsummary[[#This Row],[4units]],INDEX(unitsTable,0,1),0),2),0)</f>
        <v>0</v>
      </c>
      <c r="H74" s="44">
        <f>IFERROR(IF(table_renewsummary[[#This Row],[4offset]]="Electricity",(table_renewsummary[[#This Row],[4qty_calc]]/(IF(projectType="BD+C:Core and Shell",$E$28,$F$28))),0),0)</f>
        <v>0</v>
      </c>
      <c r="I74" s="44">
        <f>IFERROR(IF(table_renewsummary[[#This Row],[4offset]]="Fuel(s)",(table_renewsummary[[#This Row],[4qty_calc]]/(IF(projectType="BD+C:Core and Shell",$E$29,$F$29))),0),0)</f>
        <v>0</v>
      </c>
      <c r="J74" s="118">
        <f>IFERROR(table_renewsummary[[#This Row],[4qty_calc]]/$F$27,0)</f>
        <v>0</v>
      </c>
      <c r="K74" s="256"/>
      <c r="L74" s="256"/>
      <c r="M74" s="256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242"/>
      <c r="AF74" s="242"/>
      <c r="AG74" s="242"/>
      <c r="AH74" s="242"/>
      <c r="AI74" s="242"/>
      <c r="AJ74" s="242"/>
      <c r="AK74" s="242"/>
      <c r="AL74" s="242"/>
      <c r="AM74" s="242"/>
    </row>
    <row r="75" spans="1:39" s="243" customFormat="1" ht="18" hidden="1" customHeight="1" outlineLevel="1" x14ac:dyDescent="0.25">
      <c r="A75" s="137">
        <v>41</v>
      </c>
      <c r="B75" s="142"/>
      <c r="C75" s="148"/>
      <c r="D75" s="148"/>
      <c r="E75" s="265"/>
      <c r="F75" s="141"/>
      <c r="G75" s="262">
        <f>IFERROR(table_renewsummary[[#This Row],[4qty]]*INDEX(unitsTable,MATCH(table_renewsummary[[#This Row],[4units]],INDEX(unitsTable,0,1),0),2),0)</f>
        <v>0</v>
      </c>
      <c r="H75" s="44">
        <f>IFERROR(IF(table_renewsummary[[#This Row],[4offset]]="Electricity",(table_renewsummary[[#This Row],[4qty_calc]]/(IF(projectType="BD+C:Core and Shell",$E$28,$F$28))),0),0)</f>
        <v>0</v>
      </c>
      <c r="I75" s="44">
        <f>IFERROR(IF(table_renewsummary[[#This Row],[4offset]]="Fuel(s)",(table_renewsummary[[#This Row],[4qty_calc]]/(IF(projectType="BD+C:Core and Shell",$E$29,$F$29))),0),0)</f>
        <v>0</v>
      </c>
      <c r="J75" s="118">
        <f>IFERROR(table_renewsummary[[#This Row],[4qty_calc]]/$F$27,0)</f>
        <v>0</v>
      </c>
      <c r="K75" s="256"/>
      <c r="L75" s="256"/>
      <c r="M75" s="256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242"/>
      <c r="AF75" s="242"/>
      <c r="AG75" s="242"/>
      <c r="AH75" s="242"/>
      <c r="AI75" s="242"/>
      <c r="AJ75" s="242"/>
      <c r="AK75" s="242"/>
      <c r="AL75" s="242"/>
      <c r="AM75" s="242"/>
    </row>
    <row r="76" spans="1:39" s="243" customFormat="1" ht="18" hidden="1" customHeight="1" outlineLevel="1" x14ac:dyDescent="0.25">
      <c r="A76" s="137">
        <v>42</v>
      </c>
      <c r="B76" s="142"/>
      <c r="C76" s="148"/>
      <c r="D76" s="148"/>
      <c r="E76" s="265"/>
      <c r="F76" s="141"/>
      <c r="G76" s="262">
        <f>IFERROR(table_renewsummary[[#This Row],[4qty]]*INDEX(unitsTable,MATCH(table_renewsummary[[#This Row],[4units]],INDEX(unitsTable,0,1),0),2),0)</f>
        <v>0</v>
      </c>
      <c r="H76" s="44">
        <f>IFERROR(IF(table_renewsummary[[#This Row],[4offset]]="Electricity",(table_renewsummary[[#This Row],[4qty_calc]]/(IF(projectType="BD+C:Core and Shell",$E$28,$F$28))),0),0)</f>
        <v>0</v>
      </c>
      <c r="I76" s="44">
        <f>IFERROR(IF(table_renewsummary[[#This Row],[4offset]]="Fuel(s)",(table_renewsummary[[#This Row],[4qty_calc]]/(IF(projectType="BD+C:Core and Shell",$E$29,$F$29))),0),0)</f>
        <v>0</v>
      </c>
      <c r="J76" s="118">
        <f>IFERROR(table_renewsummary[[#This Row],[4qty_calc]]/$F$27,0)</f>
        <v>0</v>
      </c>
      <c r="K76" s="256"/>
      <c r="L76" s="256"/>
      <c r="M76" s="256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242"/>
      <c r="AF76" s="242"/>
      <c r="AG76" s="242"/>
      <c r="AH76" s="242"/>
      <c r="AI76" s="242"/>
      <c r="AJ76" s="242"/>
      <c r="AK76" s="242"/>
      <c r="AL76" s="242"/>
      <c r="AM76" s="242"/>
    </row>
    <row r="77" spans="1:39" s="243" customFormat="1" ht="18" hidden="1" customHeight="1" outlineLevel="1" x14ac:dyDescent="0.25">
      <c r="A77" s="137">
        <v>43</v>
      </c>
      <c r="B77" s="142"/>
      <c r="C77" s="148"/>
      <c r="D77" s="148"/>
      <c r="E77" s="265"/>
      <c r="F77" s="141"/>
      <c r="G77" s="262">
        <f>IFERROR(table_renewsummary[[#This Row],[4qty]]*INDEX(unitsTable,MATCH(table_renewsummary[[#This Row],[4units]],INDEX(unitsTable,0,1),0),2),0)</f>
        <v>0</v>
      </c>
      <c r="H77" s="44">
        <f>IFERROR(IF(table_renewsummary[[#This Row],[4offset]]="Electricity",(table_renewsummary[[#This Row],[4qty_calc]]/(IF(projectType="BD+C:Core and Shell",$E$28,$F$28))),0),0)</f>
        <v>0</v>
      </c>
      <c r="I77" s="44">
        <f>IFERROR(IF(table_renewsummary[[#This Row],[4offset]]="Fuel(s)",(table_renewsummary[[#This Row],[4qty_calc]]/(IF(projectType="BD+C:Core and Shell",$E$29,$F$29))),0),0)</f>
        <v>0</v>
      </c>
      <c r="J77" s="118">
        <f>IFERROR(table_renewsummary[[#This Row],[4qty_calc]]/$F$27,0)</f>
        <v>0</v>
      </c>
      <c r="K77" s="256"/>
      <c r="L77" s="256"/>
      <c r="M77" s="256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242"/>
      <c r="AF77" s="242"/>
      <c r="AG77" s="242"/>
      <c r="AH77" s="242"/>
      <c r="AI77" s="242"/>
      <c r="AJ77" s="242"/>
      <c r="AK77" s="242"/>
      <c r="AL77" s="242"/>
      <c r="AM77" s="242"/>
    </row>
    <row r="78" spans="1:39" s="243" customFormat="1" ht="18" hidden="1" customHeight="1" outlineLevel="1" x14ac:dyDescent="0.25">
      <c r="A78" s="137">
        <v>44</v>
      </c>
      <c r="B78" s="142"/>
      <c r="C78" s="148"/>
      <c r="D78" s="148"/>
      <c r="E78" s="265"/>
      <c r="F78" s="141"/>
      <c r="G78" s="262">
        <f>IFERROR(table_renewsummary[[#This Row],[4qty]]*INDEX(unitsTable,MATCH(table_renewsummary[[#This Row],[4units]],INDEX(unitsTable,0,1),0),2),0)</f>
        <v>0</v>
      </c>
      <c r="H78" s="44">
        <f>IFERROR(IF(table_renewsummary[[#This Row],[4offset]]="Electricity",(table_renewsummary[[#This Row],[4qty_calc]]/(IF(projectType="BD+C:Core and Shell",$E$28,$F$28))),0),0)</f>
        <v>0</v>
      </c>
      <c r="I78" s="44">
        <f>IFERROR(IF(table_renewsummary[[#This Row],[4offset]]="Fuel(s)",(table_renewsummary[[#This Row],[4qty_calc]]/(IF(projectType="BD+C:Core and Shell",$E$29,$F$29))),0),0)</f>
        <v>0</v>
      </c>
      <c r="J78" s="118">
        <f>IFERROR(table_renewsummary[[#This Row],[4qty_calc]]/$F$27,0)</f>
        <v>0</v>
      </c>
      <c r="K78" s="256"/>
      <c r="L78" s="256"/>
      <c r="M78" s="256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242"/>
      <c r="AF78" s="242"/>
      <c r="AG78" s="242"/>
      <c r="AH78" s="242"/>
      <c r="AI78" s="242"/>
      <c r="AJ78" s="242"/>
      <c r="AK78" s="242"/>
      <c r="AL78" s="242"/>
      <c r="AM78" s="242"/>
    </row>
    <row r="79" spans="1:39" s="243" customFormat="1" ht="18" hidden="1" customHeight="1" outlineLevel="1" x14ac:dyDescent="0.25">
      <c r="A79" s="137">
        <v>45</v>
      </c>
      <c r="B79" s="142"/>
      <c r="C79" s="148"/>
      <c r="D79" s="148"/>
      <c r="E79" s="265"/>
      <c r="F79" s="141"/>
      <c r="G79" s="262">
        <f>IFERROR(table_renewsummary[[#This Row],[4qty]]*INDEX(unitsTable,MATCH(table_renewsummary[[#This Row],[4units]],INDEX(unitsTable,0,1),0),2),0)</f>
        <v>0</v>
      </c>
      <c r="H79" s="44">
        <f>IFERROR(IF(table_renewsummary[[#This Row],[4offset]]="Electricity",(table_renewsummary[[#This Row],[4qty_calc]]/(IF(projectType="BD+C:Core and Shell",$E$28,$F$28))),0),0)</f>
        <v>0</v>
      </c>
      <c r="I79" s="44">
        <f>IFERROR(IF(table_renewsummary[[#This Row],[4offset]]="Fuel(s)",(table_renewsummary[[#This Row],[4qty_calc]]/(IF(projectType="BD+C:Core and Shell",$E$29,$F$29))),0),0)</f>
        <v>0</v>
      </c>
      <c r="J79" s="118">
        <f>IFERROR(table_renewsummary[[#This Row],[4qty_calc]]/$F$27,0)</f>
        <v>0</v>
      </c>
      <c r="K79" s="256"/>
      <c r="L79" s="256"/>
      <c r="M79" s="256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242"/>
      <c r="AF79" s="242"/>
      <c r="AG79" s="242"/>
      <c r="AH79" s="242"/>
      <c r="AI79" s="242"/>
      <c r="AJ79" s="242"/>
      <c r="AK79" s="242"/>
      <c r="AL79" s="242"/>
      <c r="AM79" s="242"/>
    </row>
    <row r="80" spans="1:39" s="243" customFormat="1" ht="18" hidden="1" customHeight="1" outlineLevel="1" x14ac:dyDescent="0.25">
      <c r="A80" s="137">
        <v>46</v>
      </c>
      <c r="B80" s="142"/>
      <c r="C80" s="148"/>
      <c r="D80" s="148"/>
      <c r="E80" s="265"/>
      <c r="F80" s="141"/>
      <c r="G80" s="262">
        <f>IFERROR(table_renewsummary[[#This Row],[4qty]]*INDEX(unitsTable,MATCH(table_renewsummary[[#This Row],[4units]],INDEX(unitsTable,0,1),0),2),0)</f>
        <v>0</v>
      </c>
      <c r="H80" s="44">
        <f>IFERROR(IF(table_renewsummary[[#This Row],[4offset]]="Electricity",(table_renewsummary[[#This Row],[4qty_calc]]/(IF(projectType="BD+C:Core and Shell",$E$28,$F$28))),0),0)</f>
        <v>0</v>
      </c>
      <c r="I80" s="44">
        <f>IFERROR(IF(table_renewsummary[[#This Row],[4offset]]="Fuel(s)",(table_renewsummary[[#This Row],[4qty_calc]]/(IF(projectType="BD+C:Core and Shell",$E$29,$F$29))),0),0)</f>
        <v>0</v>
      </c>
      <c r="J80" s="118">
        <f>IFERROR(table_renewsummary[[#This Row],[4qty_calc]]/$F$27,0)</f>
        <v>0</v>
      </c>
      <c r="K80" s="256"/>
      <c r="L80" s="256"/>
      <c r="M80" s="256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242"/>
      <c r="AF80" s="242"/>
      <c r="AG80" s="242"/>
      <c r="AH80" s="242"/>
      <c r="AI80" s="242"/>
      <c r="AJ80" s="242"/>
      <c r="AK80" s="242"/>
      <c r="AL80" s="242"/>
      <c r="AM80" s="242"/>
    </row>
    <row r="81" spans="1:39" s="243" customFormat="1" ht="18" hidden="1" customHeight="1" outlineLevel="1" x14ac:dyDescent="0.25">
      <c r="A81" s="137">
        <v>47</v>
      </c>
      <c r="B81" s="142"/>
      <c r="C81" s="148"/>
      <c r="D81" s="148"/>
      <c r="E81" s="265"/>
      <c r="F81" s="141"/>
      <c r="G81" s="262">
        <f>IFERROR(table_renewsummary[[#This Row],[4qty]]*INDEX(unitsTable,MATCH(table_renewsummary[[#This Row],[4units]],INDEX(unitsTable,0,1),0),2),0)</f>
        <v>0</v>
      </c>
      <c r="H81" s="44">
        <f>IFERROR(IF(table_renewsummary[[#This Row],[4offset]]="Electricity",(table_renewsummary[[#This Row],[4qty_calc]]/(IF(projectType="BD+C:Core and Shell",$E$28,$F$28))),0),0)</f>
        <v>0</v>
      </c>
      <c r="I81" s="44">
        <f>IFERROR(IF(table_renewsummary[[#This Row],[4offset]]="Fuel(s)",(table_renewsummary[[#This Row],[4qty_calc]]/(IF(projectType="BD+C:Core and Shell",$E$29,$F$29))),0),0)</f>
        <v>0</v>
      </c>
      <c r="J81" s="118">
        <f>IFERROR(table_renewsummary[[#This Row],[4qty_calc]]/$F$27,0)</f>
        <v>0</v>
      </c>
      <c r="K81" s="256"/>
      <c r="L81" s="256"/>
      <c r="M81" s="256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242"/>
      <c r="AF81" s="242"/>
      <c r="AG81" s="242"/>
      <c r="AH81" s="242"/>
      <c r="AI81" s="242"/>
      <c r="AJ81" s="242"/>
      <c r="AK81" s="242"/>
      <c r="AL81" s="242"/>
      <c r="AM81" s="242"/>
    </row>
    <row r="82" spans="1:39" s="243" customFormat="1" ht="18" hidden="1" customHeight="1" outlineLevel="1" x14ac:dyDescent="0.25">
      <c r="A82" s="137">
        <v>48</v>
      </c>
      <c r="B82" s="142"/>
      <c r="C82" s="148"/>
      <c r="D82" s="148"/>
      <c r="E82" s="265"/>
      <c r="F82" s="141"/>
      <c r="G82" s="262">
        <f>IFERROR(table_renewsummary[[#This Row],[4qty]]*INDEX(unitsTable,MATCH(table_renewsummary[[#This Row],[4units]],INDEX(unitsTable,0,1),0),2),0)</f>
        <v>0</v>
      </c>
      <c r="H82" s="44">
        <f>IFERROR(IF(table_renewsummary[[#This Row],[4offset]]="Electricity",(table_renewsummary[[#This Row],[4qty_calc]]/(IF(projectType="BD+C:Core and Shell",$E$28,$F$28))),0),0)</f>
        <v>0</v>
      </c>
      <c r="I82" s="44">
        <f>IFERROR(IF(table_renewsummary[[#This Row],[4offset]]="Fuel(s)",(table_renewsummary[[#This Row],[4qty_calc]]/(IF(projectType="BD+C:Core and Shell",$E$29,$F$29))),0),0)</f>
        <v>0</v>
      </c>
      <c r="J82" s="118">
        <f>IFERROR(table_renewsummary[[#This Row],[4qty_calc]]/$F$27,0)</f>
        <v>0</v>
      </c>
      <c r="K82" s="256"/>
      <c r="L82" s="256"/>
      <c r="M82" s="256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242"/>
      <c r="AF82" s="242"/>
      <c r="AG82" s="242"/>
      <c r="AH82" s="242"/>
      <c r="AI82" s="242"/>
      <c r="AJ82" s="242"/>
      <c r="AK82" s="242"/>
      <c r="AL82" s="242"/>
      <c r="AM82" s="242"/>
    </row>
    <row r="83" spans="1:39" s="243" customFormat="1" ht="18" hidden="1" customHeight="1" outlineLevel="1" x14ac:dyDescent="0.25">
      <c r="A83" s="137">
        <v>49</v>
      </c>
      <c r="B83" s="142"/>
      <c r="C83" s="148"/>
      <c r="D83" s="148"/>
      <c r="E83" s="265"/>
      <c r="F83" s="141"/>
      <c r="G83" s="262">
        <f>IFERROR(table_renewsummary[[#This Row],[4qty]]*INDEX(unitsTable,MATCH(table_renewsummary[[#This Row],[4units]],INDEX(unitsTable,0,1),0),2),0)</f>
        <v>0</v>
      </c>
      <c r="H83" s="44">
        <f>IFERROR(IF(table_renewsummary[[#This Row],[4offset]]="Electricity",(table_renewsummary[[#This Row],[4qty_calc]]/(IF(projectType="BD+C:Core and Shell",$E$28,$F$28))),0),0)</f>
        <v>0</v>
      </c>
      <c r="I83" s="44">
        <f>IFERROR(IF(table_renewsummary[[#This Row],[4offset]]="Fuel(s)",(table_renewsummary[[#This Row],[4qty_calc]]/(IF(projectType="BD+C:Core and Shell",$E$29,$F$29))),0),0)</f>
        <v>0</v>
      </c>
      <c r="J83" s="118">
        <f>IFERROR(table_renewsummary[[#This Row],[4qty_calc]]/$F$27,0)</f>
        <v>0</v>
      </c>
      <c r="K83" s="256"/>
      <c r="L83" s="256"/>
      <c r="M83" s="256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242"/>
      <c r="AF83" s="242"/>
      <c r="AG83" s="242"/>
      <c r="AH83" s="242"/>
      <c r="AI83" s="242"/>
      <c r="AJ83" s="242"/>
      <c r="AK83" s="242"/>
      <c r="AL83" s="242"/>
      <c r="AM83" s="242"/>
    </row>
    <row r="84" spans="1:39" s="243" customFormat="1" ht="18" customHeight="1" collapsed="1" x14ac:dyDescent="0.25">
      <c r="A84" s="137">
        <v>50</v>
      </c>
      <c r="B84" s="142"/>
      <c r="C84" s="148"/>
      <c r="D84" s="148"/>
      <c r="E84" s="265"/>
      <c r="F84" s="141"/>
      <c r="G84" s="262">
        <f>IFERROR(table_renewsummary[[#This Row],[4qty]]*INDEX(unitsTable,MATCH(table_renewsummary[[#This Row],[4units]],INDEX(unitsTable,0,1),0),2),0)</f>
        <v>0</v>
      </c>
      <c r="H84" s="44">
        <f>IFERROR(IF(table_renewsummary[[#This Row],[4offset]]="Electricity",(table_renewsummary[[#This Row],[4qty_calc]]/(IF(projectType="BD+C:Core and Shell",$E$28,$F$28))),0),0)</f>
        <v>0</v>
      </c>
      <c r="I84" s="44">
        <f>IFERROR(IF(table_renewsummary[[#This Row],[4offset]]="Fuel(s)",(table_renewsummary[[#This Row],[4qty_calc]]/(IF(projectType="BD+C:Core and Shell",$E$29,$F$29))),0),0)</f>
        <v>0</v>
      </c>
      <c r="J84" s="118">
        <f>IFERROR(table_renewsummary[[#This Row],[4qty_calc]]/$F$27,0)</f>
        <v>0</v>
      </c>
      <c r="K84" s="256" t="s">
        <v>293</v>
      </c>
      <c r="L84" s="256"/>
      <c r="M84" s="256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242"/>
      <c r="AF84" s="242"/>
      <c r="AG84" s="242"/>
      <c r="AH84" s="242"/>
      <c r="AI84" s="242"/>
      <c r="AJ84" s="242"/>
      <c r="AK84" s="242"/>
      <c r="AL84" s="242"/>
      <c r="AM84" s="242"/>
    </row>
    <row r="85" spans="1:39" s="243" customFormat="1" ht="18" hidden="1" customHeight="1" outlineLevel="1" x14ac:dyDescent="0.25">
      <c r="A85" s="137">
        <v>51</v>
      </c>
      <c r="B85" s="142"/>
      <c r="C85" s="148"/>
      <c r="D85" s="148"/>
      <c r="E85" s="265"/>
      <c r="F85" s="141"/>
      <c r="G85" s="262">
        <f>IFERROR(table_renewsummary[[#This Row],[4qty]]*INDEX(unitsTable,MATCH(table_renewsummary[[#This Row],[4units]],INDEX(unitsTable,0,1),0),2),0)</f>
        <v>0</v>
      </c>
      <c r="H85" s="44">
        <f>IFERROR(IF(table_renewsummary[[#This Row],[4offset]]="Electricity",(table_renewsummary[[#This Row],[4qty_calc]]/(IF(projectType="BD+C:Core and Shell",$E$28,$F$28))),0),0)</f>
        <v>0</v>
      </c>
      <c r="I85" s="44">
        <f>IFERROR(IF(table_renewsummary[[#This Row],[4offset]]="Fuel(s)",(table_renewsummary[[#This Row],[4qty_calc]]/(IF(projectType="BD+C:Core and Shell",$E$29,$F$29))),0),0)</f>
        <v>0</v>
      </c>
      <c r="J85" s="118">
        <f>IFERROR(table_renewsummary[[#This Row],[4qty_calc]]/$F$27,0)</f>
        <v>0</v>
      </c>
      <c r="K85" s="256"/>
      <c r="L85" s="256"/>
      <c r="M85" s="256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242"/>
      <c r="AF85" s="242"/>
      <c r="AG85" s="242"/>
      <c r="AH85" s="242"/>
      <c r="AI85" s="242"/>
      <c r="AJ85" s="242"/>
      <c r="AK85" s="242"/>
      <c r="AL85" s="242"/>
      <c r="AM85" s="242"/>
    </row>
    <row r="86" spans="1:39" s="243" customFormat="1" ht="18" hidden="1" customHeight="1" outlineLevel="1" x14ac:dyDescent="0.25">
      <c r="A86" s="137">
        <v>52</v>
      </c>
      <c r="B86" s="142"/>
      <c r="C86" s="148"/>
      <c r="D86" s="148"/>
      <c r="E86" s="265"/>
      <c r="F86" s="141"/>
      <c r="G86" s="262">
        <f>IFERROR(table_renewsummary[[#This Row],[4qty]]*INDEX(unitsTable,MATCH(table_renewsummary[[#This Row],[4units]],INDEX(unitsTable,0,1),0),2),0)</f>
        <v>0</v>
      </c>
      <c r="H86" s="44">
        <f>IFERROR(IF(table_renewsummary[[#This Row],[4offset]]="Electricity",(table_renewsummary[[#This Row],[4qty_calc]]/(IF(projectType="BD+C:Core and Shell",$E$28,$F$28))),0),0)</f>
        <v>0</v>
      </c>
      <c r="I86" s="44">
        <f>IFERROR(IF(table_renewsummary[[#This Row],[4offset]]="Fuel(s)",(table_renewsummary[[#This Row],[4qty_calc]]/(IF(projectType="BD+C:Core and Shell",$E$29,$F$29))),0),0)</f>
        <v>0</v>
      </c>
      <c r="J86" s="118">
        <f>IFERROR(table_renewsummary[[#This Row],[4qty_calc]]/$F$27,0)</f>
        <v>0</v>
      </c>
      <c r="K86" s="256"/>
      <c r="L86" s="256"/>
      <c r="M86" s="256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242"/>
      <c r="AF86" s="242"/>
      <c r="AG86" s="242"/>
      <c r="AH86" s="242"/>
      <c r="AI86" s="242"/>
      <c r="AJ86" s="242"/>
      <c r="AK86" s="242"/>
      <c r="AL86" s="242"/>
      <c r="AM86" s="242"/>
    </row>
    <row r="87" spans="1:39" s="243" customFormat="1" ht="18" hidden="1" customHeight="1" outlineLevel="1" x14ac:dyDescent="0.25">
      <c r="A87" s="137">
        <v>53</v>
      </c>
      <c r="B87" s="142"/>
      <c r="C87" s="148"/>
      <c r="D87" s="148"/>
      <c r="E87" s="265"/>
      <c r="F87" s="141"/>
      <c r="G87" s="262">
        <f>IFERROR(table_renewsummary[[#This Row],[4qty]]*INDEX(unitsTable,MATCH(table_renewsummary[[#This Row],[4units]],INDEX(unitsTable,0,1),0),2),0)</f>
        <v>0</v>
      </c>
      <c r="H87" s="44">
        <f>IFERROR(IF(table_renewsummary[[#This Row],[4offset]]="Electricity",(table_renewsummary[[#This Row],[4qty_calc]]/(IF(projectType="BD+C:Core and Shell",$E$28,$F$28))),0),0)</f>
        <v>0</v>
      </c>
      <c r="I87" s="44">
        <f>IFERROR(IF(table_renewsummary[[#This Row],[4offset]]="Fuel(s)",(table_renewsummary[[#This Row],[4qty_calc]]/(IF(projectType="BD+C:Core and Shell",$E$29,$F$29))),0),0)</f>
        <v>0</v>
      </c>
      <c r="J87" s="118">
        <f>IFERROR(table_renewsummary[[#This Row],[4qty_calc]]/$F$27,0)</f>
        <v>0</v>
      </c>
      <c r="K87" s="256"/>
      <c r="L87" s="256"/>
      <c r="M87" s="256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242"/>
      <c r="AF87" s="242"/>
      <c r="AG87" s="242"/>
      <c r="AH87" s="242"/>
      <c r="AI87" s="242"/>
      <c r="AJ87" s="242"/>
      <c r="AK87" s="242"/>
      <c r="AL87" s="242"/>
      <c r="AM87" s="242"/>
    </row>
    <row r="88" spans="1:39" s="243" customFormat="1" ht="18" hidden="1" customHeight="1" outlineLevel="1" x14ac:dyDescent="0.25">
      <c r="A88" s="137">
        <v>54</v>
      </c>
      <c r="B88" s="142"/>
      <c r="C88" s="148"/>
      <c r="D88" s="148"/>
      <c r="E88" s="265"/>
      <c r="F88" s="141"/>
      <c r="G88" s="262">
        <f>IFERROR(table_renewsummary[[#This Row],[4qty]]*INDEX(unitsTable,MATCH(table_renewsummary[[#This Row],[4units]],INDEX(unitsTable,0,1),0),2),0)</f>
        <v>0</v>
      </c>
      <c r="H88" s="44">
        <f>IFERROR(IF(table_renewsummary[[#This Row],[4offset]]="Electricity",(table_renewsummary[[#This Row],[4qty_calc]]/(IF(projectType="BD+C:Core and Shell",$E$28,$F$28))),0),0)</f>
        <v>0</v>
      </c>
      <c r="I88" s="44">
        <f>IFERROR(IF(table_renewsummary[[#This Row],[4offset]]="Fuel(s)",(table_renewsummary[[#This Row],[4qty_calc]]/(IF(projectType="BD+C:Core and Shell",$E$29,$F$29))),0),0)</f>
        <v>0</v>
      </c>
      <c r="J88" s="118">
        <f>IFERROR(table_renewsummary[[#This Row],[4qty_calc]]/$F$27,0)</f>
        <v>0</v>
      </c>
      <c r="K88" s="256"/>
      <c r="L88" s="256"/>
      <c r="M88" s="256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242"/>
      <c r="AF88" s="242"/>
      <c r="AG88" s="242"/>
      <c r="AH88" s="242"/>
      <c r="AI88" s="242"/>
      <c r="AJ88" s="242"/>
      <c r="AK88" s="242"/>
      <c r="AL88" s="242"/>
      <c r="AM88" s="242"/>
    </row>
    <row r="89" spans="1:39" s="243" customFormat="1" ht="18" hidden="1" customHeight="1" outlineLevel="1" x14ac:dyDescent="0.25">
      <c r="A89" s="137">
        <v>55</v>
      </c>
      <c r="B89" s="142"/>
      <c r="C89" s="148"/>
      <c r="D89" s="148"/>
      <c r="E89" s="265"/>
      <c r="F89" s="141"/>
      <c r="G89" s="262">
        <f>IFERROR(table_renewsummary[[#This Row],[4qty]]*INDEX(unitsTable,MATCH(table_renewsummary[[#This Row],[4units]],INDEX(unitsTable,0,1),0),2),0)</f>
        <v>0</v>
      </c>
      <c r="H89" s="44">
        <f>IFERROR(IF(table_renewsummary[[#This Row],[4offset]]="Electricity",(table_renewsummary[[#This Row],[4qty_calc]]/(IF(projectType="BD+C:Core and Shell",$E$28,$F$28))),0),0)</f>
        <v>0</v>
      </c>
      <c r="I89" s="44">
        <f>IFERROR(IF(table_renewsummary[[#This Row],[4offset]]="Fuel(s)",(table_renewsummary[[#This Row],[4qty_calc]]/(IF(projectType="BD+C:Core and Shell",$E$29,$F$29))),0),0)</f>
        <v>0</v>
      </c>
      <c r="J89" s="118">
        <f>IFERROR(table_renewsummary[[#This Row],[4qty_calc]]/$F$27,0)</f>
        <v>0</v>
      </c>
      <c r="K89" s="256"/>
      <c r="L89" s="256"/>
      <c r="M89" s="256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242"/>
      <c r="AF89" s="242"/>
      <c r="AG89" s="242"/>
      <c r="AH89" s="242"/>
      <c r="AI89" s="242"/>
      <c r="AJ89" s="242"/>
      <c r="AK89" s="242"/>
      <c r="AL89" s="242"/>
      <c r="AM89" s="242"/>
    </row>
    <row r="90" spans="1:39" s="243" customFormat="1" ht="18" hidden="1" customHeight="1" outlineLevel="1" x14ac:dyDescent="0.25">
      <c r="A90" s="137">
        <v>56</v>
      </c>
      <c r="B90" s="142"/>
      <c r="C90" s="148"/>
      <c r="D90" s="148"/>
      <c r="E90" s="265"/>
      <c r="F90" s="141"/>
      <c r="G90" s="262">
        <f>IFERROR(table_renewsummary[[#This Row],[4qty]]*INDEX(unitsTable,MATCH(table_renewsummary[[#This Row],[4units]],INDEX(unitsTable,0,1),0),2),0)</f>
        <v>0</v>
      </c>
      <c r="H90" s="44">
        <f>IFERROR(IF(table_renewsummary[[#This Row],[4offset]]="Electricity",(table_renewsummary[[#This Row],[4qty_calc]]/(IF(projectType="BD+C:Core and Shell",$E$28,$F$28))),0),0)</f>
        <v>0</v>
      </c>
      <c r="I90" s="44">
        <f>IFERROR(IF(table_renewsummary[[#This Row],[4offset]]="Fuel(s)",(table_renewsummary[[#This Row],[4qty_calc]]/(IF(projectType="BD+C:Core and Shell",$E$29,$F$29))),0),0)</f>
        <v>0</v>
      </c>
      <c r="J90" s="118">
        <f>IFERROR(table_renewsummary[[#This Row],[4qty_calc]]/$F$27,0)</f>
        <v>0</v>
      </c>
      <c r="K90" s="256"/>
      <c r="L90" s="256"/>
      <c r="M90" s="256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242"/>
      <c r="AF90" s="242"/>
      <c r="AG90" s="242"/>
      <c r="AH90" s="242"/>
      <c r="AI90" s="242"/>
      <c r="AJ90" s="242"/>
      <c r="AK90" s="242"/>
      <c r="AL90" s="242"/>
      <c r="AM90" s="242"/>
    </row>
    <row r="91" spans="1:39" s="243" customFormat="1" ht="18" hidden="1" customHeight="1" outlineLevel="1" x14ac:dyDescent="0.25">
      <c r="A91" s="137">
        <v>57</v>
      </c>
      <c r="B91" s="142"/>
      <c r="C91" s="148"/>
      <c r="D91" s="148"/>
      <c r="E91" s="265"/>
      <c r="F91" s="141"/>
      <c r="G91" s="262">
        <f>IFERROR(table_renewsummary[[#This Row],[4qty]]*INDEX(unitsTable,MATCH(table_renewsummary[[#This Row],[4units]],INDEX(unitsTable,0,1),0),2),0)</f>
        <v>0</v>
      </c>
      <c r="H91" s="44">
        <f>IFERROR(IF(table_renewsummary[[#This Row],[4offset]]="Electricity",(table_renewsummary[[#This Row],[4qty_calc]]/(IF(projectType="BD+C:Core and Shell",$E$28,$F$28))),0),0)</f>
        <v>0</v>
      </c>
      <c r="I91" s="44">
        <f>IFERROR(IF(table_renewsummary[[#This Row],[4offset]]="Fuel(s)",(table_renewsummary[[#This Row],[4qty_calc]]/(IF(projectType="BD+C:Core and Shell",$E$29,$F$29))),0),0)</f>
        <v>0</v>
      </c>
      <c r="J91" s="118">
        <f>IFERROR(table_renewsummary[[#This Row],[4qty_calc]]/$F$27,0)</f>
        <v>0</v>
      </c>
      <c r="K91" s="256"/>
      <c r="L91" s="256"/>
      <c r="M91" s="256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242"/>
      <c r="AF91" s="242"/>
      <c r="AG91" s="242"/>
      <c r="AH91" s="242"/>
      <c r="AI91" s="242"/>
      <c r="AJ91" s="242"/>
      <c r="AK91" s="242"/>
      <c r="AL91" s="242"/>
      <c r="AM91" s="242"/>
    </row>
    <row r="92" spans="1:39" s="243" customFormat="1" ht="18" hidden="1" customHeight="1" outlineLevel="1" x14ac:dyDescent="0.25">
      <c r="A92" s="137">
        <v>58</v>
      </c>
      <c r="B92" s="142"/>
      <c r="C92" s="148"/>
      <c r="D92" s="148"/>
      <c r="E92" s="265"/>
      <c r="F92" s="141"/>
      <c r="G92" s="262">
        <f>IFERROR(table_renewsummary[[#This Row],[4qty]]*INDEX(unitsTable,MATCH(table_renewsummary[[#This Row],[4units]],INDEX(unitsTable,0,1),0),2),0)</f>
        <v>0</v>
      </c>
      <c r="H92" s="44">
        <f>IFERROR(IF(table_renewsummary[[#This Row],[4offset]]="Electricity",(table_renewsummary[[#This Row],[4qty_calc]]/(IF(projectType="BD+C:Core and Shell",$E$28,$F$28))),0),0)</f>
        <v>0</v>
      </c>
      <c r="I92" s="44">
        <f>IFERROR(IF(table_renewsummary[[#This Row],[4offset]]="Fuel(s)",(table_renewsummary[[#This Row],[4qty_calc]]/(IF(projectType="BD+C:Core and Shell",$E$29,$F$29))),0),0)</f>
        <v>0</v>
      </c>
      <c r="J92" s="118">
        <f>IFERROR(table_renewsummary[[#This Row],[4qty_calc]]/$F$27,0)</f>
        <v>0</v>
      </c>
      <c r="K92" s="256"/>
      <c r="L92" s="256"/>
      <c r="M92" s="256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242"/>
      <c r="AF92" s="242"/>
      <c r="AG92" s="242"/>
      <c r="AH92" s="242"/>
      <c r="AI92" s="242"/>
      <c r="AJ92" s="242"/>
      <c r="AK92" s="242"/>
      <c r="AL92" s="242"/>
      <c r="AM92" s="242"/>
    </row>
    <row r="93" spans="1:39" s="243" customFormat="1" ht="18" hidden="1" customHeight="1" outlineLevel="1" x14ac:dyDescent="0.25">
      <c r="A93" s="137">
        <v>59</v>
      </c>
      <c r="B93" s="142"/>
      <c r="C93" s="148"/>
      <c r="D93" s="148"/>
      <c r="E93" s="265"/>
      <c r="F93" s="141"/>
      <c r="G93" s="262">
        <f>IFERROR(table_renewsummary[[#This Row],[4qty]]*INDEX(unitsTable,MATCH(table_renewsummary[[#This Row],[4units]],INDEX(unitsTable,0,1),0),2),0)</f>
        <v>0</v>
      </c>
      <c r="H93" s="44">
        <f>IFERROR(IF(table_renewsummary[[#This Row],[4offset]]="Electricity",(table_renewsummary[[#This Row],[4qty_calc]]/(IF(projectType="BD+C:Core and Shell",$E$28,$F$28))),0),0)</f>
        <v>0</v>
      </c>
      <c r="I93" s="44">
        <f>IFERROR(IF(table_renewsummary[[#This Row],[4offset]]="Fuel(s)",(table_renewsummary[[#This Row],[4qty_calc]]/(IF(projectType="BD+C:Core and Shell",$E$29,$F$29))),0),0)</f>
        <v>0</v>
      </c>
      <c r="J93" s="118">
        <f>IFERROR(table_renewsummary[[#This Row],[4qty_calc]]/$F$27,0)</f>
        <v>0</v>
      </c>
      <c r="K93" s="256"/>
      <c r="L93" s="256"/>
      <c r="M93" s="256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242"/>
      <c r="AF93" s="242"/>
      <c r="AG93" s="242"/>
      <c r="AH93" s="242"/>
      <c r="AI93" s="242"/>
      <c r="AJ93" s="242"/>
      <c r="AK93" s="242"/>
      <c r="AL93" s="242"/>
      <c r="AM93" s="242"/>
    </row>
    <row r="94" spans="1:39" s="243" customFormat="1" ht="18" hidden="1" customHeight="1" outlineLevel="1" x14ac:dyDescent="0.25">
      <c r="A94" s="137">
        <v>60</v>
      </c>
      <c r="B94" s="142"/>
      <c r="C94" s="148"/>
      <c r="D94" s="148"/>
      <c r="E94" s="265"/>
      <c r="F94" s="141"/>
      <c r="G94" s="262">
        <f>IFERROR(table_renewsummary[[#This Row],[4qty]]*INDEX(unitsTable,MATCH(table_renewsummary[[#This Row],[4units]],INDEX(unitsTable,0,1),0),2),0)</f>
        <v>0</v>
      </c>
      <c r="H94" s="44">
        <f>IFERROR(IF(table_renewsummary[[#This Row],[4offset]]="Electricity",(table_renewsummary[[#This Row],[4qty_calc]]/(IF(projectType="BD+C:Core and Shell",$E$28,$F$28))),0),0)</f>
        <v>0</v>
      </c>
      <c r="I94" s="44">
        <f>IFERROR(IF(table_renewsummary[[#This Row],[4offset]]="Fuel(s)",(table_renewsummary[[#This Row],[4qty_calc]]/(IF(projectType="BD+C:Core and Shell",$E$29,$F$29))),0),0)</f>
        <v>0</v>
      </c>
      <c r="J94" s="118">
        <f>IFERROR(table_renewsummary[[#This Row],[4qty_calc]]/$F$27,0)</f>
        <v>0</v>
      </c>
      <c r="K94" s="256"/>
      <c r="L94" s="256"/>
      <c r="M94" s="256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242"/>
      <c r="AF94" s="242"/>
      <c r="AG94" s="242"/>
      <c r="AH94" s="242"/>
      <c r="AI94" s="242"/>
      <c r="AJ94" s="242"/>
      <c r="AK94" s="242"/>
      <c r="AL94" s="242"/>
      <c r="AM94" s="242"/>
    </row>
    <row r="95" spans="1:39" s="243" customFormat="1" ht="18" hidden="1" customHeight="1" outlineLevel="1" x14ac:dyDescent="0.25">
      <c r="A95" s="137">
        <v>61</v>
      </c>
      <c r="B95" s="142"/>
      <c r="C95" s="148"/>
      <c r="D95" s="148"/>
      <c r="E95" s="265"/>
      <c r="F95" s="141"/>
      <c r="G95" s="262">
        <f>IFERROR(table_renewsummary[[#This Row],[4qty]]*INDEX(unitsTable,MATCH(table_renewsummary[[#This Row],[4units]],INDEX(unitsTable,0,1),0),2),0)</f>
        <v>0</v>
      </c>
      <c r="H95" s="44">
        <f>IFERROR(IF(table_renewsummary[[#This Row],[4offset]]="Electricity",(table_renewsummary[[#This Row],[4qty_calc]]/(IF(projectType="BD+C:Core and Shell",$E$28,$F$28))),0),0)</f>
        <v>0</v>
      </c>
      <c r="I95" s="44">
        <f>IFERROR(IF(table_renewsummary[[#This Row],[4offset]]="Fuel(s)",(table_renewsummary[[#This Row],[4qty_calc]]/(IF(projectType="BD+C:Core and Shell",$E$29,$F$29))),0),0)</f>
        <v>0</v>
      </c>
      <c r="J95" s="118">
        <f>IFERROR(table_renewsummary[[#This Row],[4qty_calc]]/$F$27,0)</f>
        <v>0</v>
      </c>
      <c r="K95" s="256"/>
      <c r="L95" s="256"/>
      <c r="M95" s="256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242"/>
      <c r="AF95" s="242"/>
      <c r="AG95" s="242"/>
      <c r="AH95" s="242"/>
      <c r="AI95" s="242"/>
      <c r="AJ95" s="242"/>
      <c r="AK95" s="242"/>
      <c r="AL95" s="242"/>
      <c r="AM95" s="242"/>
    </row>
    <row r="96" spans="1:39" s="243" customFormat="1" ht="18" hidden="1" customHeight="1" outlineLevel="1" x14ac:dyDescent="0.25">
      <c r="A96" s="137">
        <v>62</v>
      </c>
      <c r="B96" s="142"/>
      <c r="C96" s="148"/>
      <c r="D96" s="148"/>
      <c r="E96" s="265"/>
      <c r="F96" s="141"/>
      <c r="G96" s="262">
        <f>IFERROR(table_renewsummary[[#This Row],[4qty]]*INDEX(unitsTable,MATCH(table_renewsummary[[#This Row],[4units]],INDEX(unitsTable,0,1),0),2),0)</f>
        <v>0</v>
      </c>
      <c r="H96" s="44">
        <f>IFERROR(IF(table_renewsummary[[#This Row],[4offset]]="Electricity",(table_renewsummary[[#This Row],[4qty_calc]]/(IF(projectType="BD+C:Core and Shell",$E$28,$F$28))),0),0)</f>
        <v>0</v>
      </c>
      <c r="I96" s="44">
        <f>IFERROR(IF(table_renewsummary[[#This Row],[4offset]]="Fuel(s)",(table_renewsummary[[#This Row],[4qty_calc]]/(IF(projectType="BD+C:Core and Shell",$E$29,$F$29))),0),0)</f>
        <v>0</v>
      </c>
      <c r="J96" s="118">
        <f>IFERROR(table_renewsummary[[#This Row],[4qty_calc]]/$F$27,0)</f>
        <v>0</v>
      </c>
      <c r="K96" s="256"/>
      <c r="L96" s="256"/>
      <c r="M96" s="256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242"/>
      <c r="AF96" s="242"/>
      <c r="AG96" s="242"/>
      <c r="AH96" s="242"/>
      <c r="AI96" s="242"/>
      <c r="AJ96" s="242"/>
      <c r="AK96" s="242"/>
      <c r="AL96" s="242"/>
      <c r="AM96" s="242"/>
    </row>
    <row r="97" spans="1:39" s="243" customFormat="1" ht="18" hidden="1" customHeight="1" outlineLevel="1" x14ac:dyDescent="0.25">
      <c r="A97" s="137">
        <v>63</v>
      </c>
      <c r="B97" s="142"/>
      <c r="C97" s="148"/>
      <c r="D97" s="148"/>
      <c r="E97" s="265"/>
      <c r="F97" s="141"/>
      <c r="G97" s="262">
        <f>IFERROR(table_renewsummary[[#This Row],[4qty]]*INDEX(unitsTable,MATCH(table_renewsummary[[#This Row],[4units]],INDEX(unitsTable,0,1),0),2),0)</f>
        <v>0</v>
      </c>
      <c r="H97" s="44">
        <f>IFERROR(IF(table_renewsummary[[#This Row],[4offset]]="Electricity",(table_renewsummary[[#This Row],[4qty_calc]]/(IF(projectType="BD+C:Core and Shell",$E$28,$F$28))),0),0)</f>
        <v>0</v>
      </c>
      <c r="I97" s="44">
        <f>IFERROR(IF(table_renewsummary[[#This Row],[4offset]]="Fuel(s)",(table_renewsummary[[#This Row],[4qty_calc]]/(IF(projectType="BD+C:Core and Shell",$E$29,$F$29))),0),0)</f>
        <v>0</v>
      </c>
      <c r="J97" s="118">
        <f>IFERROR(table_renewsummary[[#This Row],[4qty_calc]]/$F$27,0)</f>
        <v>0</v>
      </c>
      <c r="K97" s="256"/>
      <c r="L97" s="256"/>
      <c r="M97" s="256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242"/>
      <c r="AF97" s="242"/>
      <c r="AG97" s="242"/>
      <c r="AH97" s="242"/>
      <c r="AI97" s="242"/>
      <c r="AJ97" s="242"/>
      <c r="AK97" s="242"/>
      <c r="AL97" s="242"/>
      <c r="AM97" s="242"/>
    </row>
    <row r="98" spans="1:39" s="243" customFormat="1" ht="18" hidden="1" customHeight="1" outlineLevel="1" x14ac:dyDescent="0.25">
      <c r="A98" s="137">
        <v>64</v>
      </c>
      <c r="B98" s="142"/>
      <c r="C98" s="148"/>
      <c r="D98" s="148"/>
      <c r="E98" s="265"/>
      <c r="F98" s="141"/>
      <c r="G98" s="262">
        <f>IFERROR(table_renewsummary[[#This Row],[4qty]]*INDEX(unitsTable,MATCH(table_renewsummary[[#This Row],[4units]],INDEX(unitsTable,0,1),0),2),0)</f>
        <v>0</v>
      </c>
      <c r="H98" s="44">
        <f>IFERROR(IF(table_renewsummary[[#This Row],[4offset]]="Electricity",(table_renewsummary[[#This Row],[4qty_calc]]/(IF(projectType="BD+C:Core and Shell",$E$28,$F$28))),0),0)</f>
        <v>0</v>
      </c>
      <c r="I98" s="44">
        <f>IFERROR(IF(table_renewsummary[[#This Row],[4offset]]="Fuel(s)",(table_renewsummary[[#This Row],[4qty_calc]]/(IF(projectType="BD+C:Core and Shell",$E$29,$F$29))),0),0)</f>
        <v>0</v>
      </c>
      <c r="J98" s="118">
        <f>IFERROR(table_renewsummary[[#This Row],[4qty_calc]]/$F$27,0)</f>
        <v>0</v>
      </c>
      <c r="K98" s="256"/>
      <c r="L98" s="256"/>
      <c r="M98" s="256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242"/>
      <c r="AF98" s="242"/>
      <c r="AG98" s="242"/>
      <c r="AH98" s="242"/>
      <c r="AI98" s="242"/>
      <c r="AJ98" s="242"/>
      <c r="AK98" s="242"/>
      <c r="AL98" s="242"/>
      <c r="AM98" s="242"/>
    </row>
    <row r="99" spans="1:39" s="243" customFormat="1" ht="18" hidden="1" customHeight="1" outlineLevel="1" x14ac:dyDescent="0.25">
      <c r="A99" s="137">
        <v>65</v>
      </c>
      <c r="B99" s="142"/>
      <c r="C99" s="148"/>
      <c r="D99" s="148"/>
      <c r="E99" s="265"/>
      <c r="F99" s="141"/>
      <c r="G99" s="262">
        <f>IFERROR(table_renewsummary[[#This Row],[4qty]]*INDEX(unitsTable,MATCH(table_renewsummary[[#This Row],[4units]],INDEX(unitsTable,0,1),0),2),0)</f>
        <v>0</v>
      </c>
      <c r="H99" s="44">
        <f>IFERROR(IF(table_renewsummary[[#This Row],[4offset]]="Electricity",(table_renewsummary[[#This Row],[4qty_calc]]/(IF(projectType="BD+C:Core and Shell",$E$28,$F$28))),0),0)</f>
        <v>0</v>
      </c>
      <c r="I99" s="44">
        <f>IFERROR(IF(table_renewsummary[[#This Row],[4offset]]="Fuel(s)",(table_renewsummary[[#This Row],[4qty_calc]]/(IF(projectType="BD+C:Core and Shell",$E$29,$F$29))),0),0)</f>
        <v>0</v>
      </c>
      <c r="J99" s="118">
        <f>IFERROR(table_renewsummary[[#This Row],[4qty_calc]]/$F$27,0)</f>
        <v>0</v>
      </c>
      <c r="K99" s="256"/>
      <c r="L99" s="256"/>
      <c r="M99" s="256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242"/>
      <c r="AF99" s="242"/>
      <c r="AG99" s="242"/>
      <c r="AH99" s="242"/>
      <c r="AI99" s="242"/>
      <c r="AJ99" s="242"/>
      <c r="AK99" s="242"/>
      <c r="AL99" s="242"/>
      <c r="AM99" s="242"/>
    </row>
    <row r="100" spans="1:39" s="243" customFormat="1" ht="18" hidden="1" customHeight="1" outlineLevel="1" x14ac:dyDescent="0.25">
      <c r="A100" s="137">
        <v>66</v>
      </c>
      <c r="B100" s="142"/>
      <c r="C100" s="148"/>
      <c r="D100" s="148"/>
      <c r="E100" s="265"/>
      <c r="F100" s="141"/>
      <c r="G100" s="262">
        <f>IFERROR(table_renewsummary[[#This Row],[4qty]]*INDEX(unitsTable,MATCH(table_renewsummary[[#This Row],[4units]],INDEX(unitsTable,0,1),0),2),0)</f>
        <v>0</v>
      </c>
      <c r="H100" s="44">
        <f>IFERROR(IF(table_renewsummary[[#This Row],[4offset]]="Electricity",(table_renewsummary[[#This Row],[4qty_calc]]/(IF(projectType="BD+C:Core and Shell",$E$28,$F$28))),0),0)</f>
        <v>0</v>
      </c>
      <c r="I100" s="44">
        <f>IFERROR(IF(table_renewsummary[[#This Row],[4offset]]="Fuel(s)",(table_renewsummary[[#This Row],[4qty_calc]]/(IF(projectType="BD+C:Core and Shell",$E$29,$F$29))),0),0)</f>
        <v>0</v>
      </c>
      <c r="J100" s="118">
        <f>IFERROR(table_renewsummary[[#This Row],[4qty_calc]]/$F$27,0)</f>
        <v>0</v>
      </c>
      <c r="K100" s="256"/>
      <c r="L100" s="256"/>
      <c r="M100" s="256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242"/>
      <c r="AF100" s="242"/>
      <c r="AG100" s="242"/>
      <c r="AH100" s="242"/>
      <c r="AI100" s="242"/>
      <c r="AJ100" s="242"/>
      <c r="AK100" s="242"/>
      <c r="AL100" s="242"/>
      <c r="AM100" s="242"/>
    </row>
    <row r="101" spans="1:39" s="243" customFormat="1" ht="18" hidden="1" customHeight="1" outlineLevel="1" x14ac:dyDescent="0.25">
      <c r="A101" s="137">
        <v>67</v>
      </c>
      <c r="B101" s="142"/>
      <c r="C101" s="148"/>
      <c r="D101" s="148"/>
      <c r="E101" s="265"/>
      <c r="F101" s="141"/>
      <c r="G101" s="262">
        <f>IFERROR(table_renewsummary[[#This Row],[4qty]]*INDEX(unitsTable,MATCH(table_renewsummary[[#This Row],[4units]],INDEX(unitsTable,0,1),0),2),0)</f>
        <v>0</v>
      </c>
      <c r="H101" s="44">
        <f>IFERROR(IF(table_renewsummary[[#This Row],[4offset]]="Electricity",(table_renewsummary[[#This Row],[4qty_calc]]/(IF(projectType="BD+C:Core and Shell",$E$28,$F$28))),0),0)</f>
        <v>0</v>
      </c>
      <c r="I101" s="44">
        <f>IFERROR(IF(table_renewsummary[[#This Row],[4offset]]="Fuel(s)",(table_renewsummary[[#This Row],[4qty_calc]]/(IF(projectType="BD+C:Core and Shell",$E$29,$F$29))),0),0)</f>
        <v>0</v>
      </c>
      <c r="J101" s="118">
        <f>IFERROR(table_renewsummary[[#This Row],[4qty_calc]]/$F$27,0)</f>
        <v>0</v>
      </c>
      <c r="K101" s="256"/>
      <c r="L101" s="256"/>
      <c r="M101" s="256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242"/>
      <c r="AF101" s="242"/>
      <c r="AG101" s="242"/>
      <c r="AH101" s="242"/>
      <c r="AI101" s="242"/>
      <c r="AJ101" s="242"/>
      <c r="AK101" s="242"/>
      <c r="AL101" s="242"/>
      <c r="AM101" s="242"/>
    </row>
    <row r="102" spans="1:39" s="243" customFormat="1" ht="18" hidden="1" customHeight="1" outlineLevel="1" x14ac:dyDescent="0.25">
      <c r="A102" s="137">
        <v>68</v>
      </c>
      <c r="B102" s="142"/>
      <c r="C102" s="148"/>
      <c r="D102" s="148"/>
      <c r="E102" s="265"/>
      <c r="F102" s="141"/>
      <c r="G102" s="262">
        <f>IFERROR(table_renewsummary[[#This Row],[4qty]]*INDEX(unitsTable,MATCH(table_renewsummary[[#This Row],[4units]],INDEX(unitsTable,0,1),0),2),0)</f>
        <v>0</v>
      </c>
      <c r="H102" s="44">
        <f>IFERROR(IF(table_renewsummary[[#This Row],[4offset]]="Electricity",(table_renewsummary[[#This Row],[4qty_calc]]/(IF(projectType="BD+C:Core and Shell",$E$28,$F$28))),0),0)</f>
        <v>0</v>
      </c>
      <c r="I102" s="44">
        <f>IFERROR(IF(table_renewsummary[[#This Row],[4offset]]="Fuel(s)",(table_renewsummary[[#This Row],[4qty_calc]]/(IF(projectType="BD+C:Core and Shell",$E$29,$F$29))),0),0)</f>
        <v>0</v>
      </c>
      <c r="J102" s="118">
        <f>IFERROR(table_renewsummary[[#This Row],[4qty_calc]]/$F$27,0)</f>
        <v>0</v>
      </c>
      <c r="K102" s="256"/>
      <c r="L102" s="256"/>
      <c r="M102" s="256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242"/>
      <c r="AF102" s="242"/>
      <c r="AG102" s="242"/>
      <c r="AH102" s="242"/>
      <c r="AI102" s="242"/>
      <c r="AJ102" s="242"/>
      <c r="AK102" s="242"/>
      <c r="AL102" s="242"/>
      <c r="AM102" s="242"/>
    </row>
    <row r="103" spans="1:39" s="243" customFormat="1" ht="18" hidden="1" customHeight="1" outlineLevel="1" x14ac:dyDescent="0.25">
      <c r="A103" s="137">
        <v>69</v>
      </c>
      <c r="B103" s="142"/>
      <c r="C103" s="148"/>
      <c r="D103" s="148"/>
      <c r="E103" s="265"/>
      <c r="F103" s="141"/>
      <c r="G103" s="262">
        <f>IFERROR(table_renewsummary[[#This Row],[4qty]]*INDEX(unitsTable,MATCH(table_renewsummary[[#This Row],[4units]],INDEX(unitsTable,0,1),0),2),0)</f>
        <v>0</v>
      </c>
      <c r="H103" s="44">
        <f>IFERROR(IF(table_renewsummary[[#This Row],[4offset]]="Electricity",(table_renewsummary[[#This Row],[4qty_calc]]/(IF(projectType="BD+C:Core and Shell",$E$28,$F$28))),0),0)</f>
        <v>0</v>
      </c>
      <c r="I103" s="44">
        <f>IFERROR(IF(table_renewsummary[[#This Row],[4offset]]="Fuel(s)",(table_renewsummary[[#This Row],[4qty_calc]]/(IF(projectType="BD+C:Core and Shell",$E$29,$F$29))),0),0)</f>
        <v>0</v>
      </c>
      <c r="J103" s="118">
        <f>IFERROR(table_renewsummary[[#This Row],[4qty_calc]]/$F$27,0)</f>
        <v>0</v>
      </c>
      <c r="K103" s="256"/>
      <c r="L103" s="256"/>
      <c r="M103" s="256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242"/>
      <c r="AF103" s="242"/>
      <c r="AG103" s="242"/>
      <c r="AH103" s="242"/>
      <c r="AI103" s="242"/>
      <c r="AJ103" s="242"/>
      <c r="AK103" s="242"/>
      <c r="AL103" s="242"/>
      <c r="AM103" s="242"/>
    </row>
    <row r="104" spans="1:39" s="243" customFormat="1" ht="18" customHeight="1" collapsed="1" x14ac:dyDescent="0.25">
      <c r="A104" s="137">
        <v>70</v>
      </c>
      <c r="B104" s="142"/>
      <c r="C104" s="148"/>
      <c r="D104" s="148"/>
      <c r="E104" s="265"/>
      <c r="F104" s="141"/>
      <c r="G104" s="262">
        <f>IFERROR(table_renewsummary[[#This Row],[4qty]]*INDEX(unitsTable,MATCH(table_renewsummary[[#This Row],[4units]],INDEX(unitsTable,0,1),0),2),0)</f>
        <v>0</v>
      </c>
      <c r="H104" s="44">
        <f>IFERROR(IF(table_renewsummary[[#This Row],[4offset]]="Electricity",(table_renewsummary[[#This Row],[4qty_calc]]/(IF(projectType="BD+C:Core and Shell",$E$28,$F$28))),0),0)</f>
        <v>0</v>
      </c>
      <c r="I104" s="44">
        <f>IFERROR(IF(table_renewsummary[[#This Row],[4offset]]="Fuel(s)",(table_renewsummary[[#This Row],[4qty_calc]]/(IF(projectType="BD+C:Core and Shell",$E$29,$F$29))),0),0)</f>
        <v>0</v>
      </c>
      <c r="J104" s="118">
        <f>IFERROR(table_renewsummary[[#This Row],[4qty_calc]]/$F$27,0)</f>
        <v>0</v>
      </c>
      <c r="K104" s="256" t="s">
        <v>293</v>
      </c>
      <c r="L104" s="256"/>
      <c r="M104" s="256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242"/>
      <c r="AF104" s="242"/>
      <c r="AG104" s="242"/>
      <c r="AH104" s="242"/>
      <c r="AI104" s="242"/>
      <c r="AJ104" s="242"/>
      <c r="AK104" s="242"/>
      <c r="AL104" s="242"/>
      <c r="AM104" s="242"/>
    </row>
    <row r="105" spans="1:39" s="243" customFormat="1" ht="18" hidden="1" customHeight="1" outlineLevel="1" x14ac:dyDescent="0.25">
      <c r="A105" s="137">
        <v>71</v>
      </c>
      <c r="B105" s="142"/>
      <c r="C105" s="148"/>
      <c r="D105" s="148"/>
      <c r="E105" s="265"/>
      <c r="F105" s="141"/>
      <c r="G105" s="262">
        <f>IFERROR(table_renewsummary[[#This Row],[4qty]]*INDEX(unitsTable,MATCH(table_renewsummary[[#This Row],[4units]],INDEX(unitsTable,0,1),0),2),0)</f>
        <v>0</v>
      </c>
      <c r="H105" s="44">
        <f>IFERROR(IF(table_renewsummary[[#This Row],[4offset]]="Electricity",(table_renewsummary[[#This Row],[4qty_calc]]/(IF(projectType="BD+C:Core and Shell",$E$28,$F$28))),0),0)</f>
        <v>0</v>
      </c>
      <c r="I105" s="44">
        <f>IFERROR(IF(table_renewsummary[[#This Row],[4offset]]="Fuel(s)",(table_renewsummary[[#This Row],[4qty_calc]]/(IF(projectType="BD+C:Core and Shell",$E$29,$F$29))),0),0)</f>
        <v>0</v>
      </c>
      <c r="J105" s="118">
        <f>IFERROR(table_renewsummary[[#This Row],[4qty_calc]]/$F$27,0)</f>
        <v>0</v>
      </c>
      <c r="K105" s="256"/>
      <c r="L105" s="256"/>
      <c r="M105" s="256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242"/>
      <c r="AF105" s="242"/>
      <c r="AG105" s="242"/>
      <c r="AH105" s="242"/>
      <c r="AI105" s="242"/>
      <c r="AJ105" s="242"/>
      <c r="AK105" s="242"/>
      <c r="AL105" s="242"/>
      <c r="AM105" s="242"/>
    </row>
    <row r="106" spans="1:39" s="243" customFormat="1" ht="18" hidden="1" customHeight="1" outlineLevel="1" x14ac:dyDescent="0.25">
      <c r="A106" s="137">
        <v>72</v>
      </c>
      <c r="B106" s="142"/>
      <c r="C106" s="148"/>
      <c r="D106" s="148"/>
      <c r="E106" s="265"/>
      <c r="F106" s="141"/>
      <c r="G106" s="262">
        <f>IFERROR(table_renewsummary[[#This Row],[4qty]]*INDEX(unitsTable,MATCH(table_renewsummary[[#This Row],[4units]],INDEX(unitsTable,0,1),0),2),0)</f>
        <v>0</v>
      </c>
      <c r="H106" s="44">
        <f>IFERROR(IF(table_renewsummary[[#This Row],[4offset]]="Electricity",(table_renewsummary[[#This Row],[4qty_calc]]/(IF(projectType="BD+C:Core and Shell",$E$28,$F$28))),0),0)</f>
        <v>0</v>
      </c>
      <c r="I106" s="44">
        <f>IFERROR(IF(table_renewsummary[[#This Row],[4offset]]="Fuel(s)",(table_renewsummary[[#This Row],[4qty_calc]]/(IF(projectType="BD+C:Core and Shell",$E$29,$F$29))),0),0)</f>
        <v>0</v>
      </c>
      <c r="J106" s="118">
        <f>IFERROR(table_renewsummary[[#This Row],[4qty_calc]]/$F$27,0)</f>
        <v>0</v>
      </c>
      <c r="K106" s="256"/>
      <c r="L106" s="256"/>
      <c r="M106" s="256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242"/>
      <c r="AF106" s="242"/>
      <c r="AG106" s="242"/>
      <c r="AH106" s="242"/>
      <c r="AI106" s="242"/>
      <c r="AJ106" s="242"/>
      <c r="AK106" s="242"/>
      <c r="AL106" s="242"/>
      <c r="AM106" s="242"/>
    </row>
    <row r="107" spans="1:39" s="243" customFormat="1" ht="18" hidden="1" customHeight="1" outlineLevel="1" x14ac:dyDescent="0.25">
      <c r="A107" s="137">
        <v>73</v>
      </c>
      <c r="B107" s="142"/>
      <c r="C107" s="148"/>
      <c r="D107" s="148"/>
      <c r="E107" s="265"/>
      <c r="F107" s="141"/>
      <c r="G107" s="262">
        <f>IFERROR(table_renewsummary[[#This Row],[4qty]]*INDEX(unitsTable,MATCH(table_renewsummary[[#This Row],[4units]],INDEX(unitsTable,0,1),0),2),0)</f>
        <v>0</v>
      </c>
      <c r="H107" s="44">
        <f>IFERROR(IF(table_renewsummary[[#This Row],[4offset]]="Electricity",(table_renewsummary[[#This Row],[4qty_calc]]/(IF(projectType="BD+C:Core and Shell",$E$28,$F$28))),0),0)</f>
        <v>0</v>
      </c>
      <c r="I107" s="44">
        <f>IFERROR(IF(table_renewsummary[[#This Row],[4offset]]="Fuel(s)",(table_renewsummary[[#This Row],[4qty_calc]]/(IF(projectType="BD+C:Core and Shell",$E$29,$F$29))),0),0)</f>
        <v>0</v>
      </c>
      <c r="J107" s="118">
        <f>IFERROR(table_renewsummary[[#This Row],[4qty_calc]]/$F$27,0)</f>
        <v>0</v>
      </c>
      <c r="K107" s="256"/>
      <c r="L107" s="256"/>
      <c r="M107" s="256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242"/>
      <c r="AF107" s="242"/>
      <c r="AG107" s="242"/>
      <c r="AH107" s="242"/>
      <c r="AI107" s="242"/>
      <c r="AJ107" s="242"/>
      <c r="AK107" s="242"/>
      <c r="AL107" s="242"/>
      <c r="AM107" s="242"/>
    </row>
    <row r="108" spans="1:39" s="243" customFormat="1" ht="18" hidden="1" customHeight="1" outlineLevel="1" x14ac:dyDescent="0.25">
      <c r="A108" s="137">
        <v>74</v>
      </c>
      <c r="B108" s="142"/>
      <c r="C108" s="148"/>
      <c r="D108" s="148"/>
      <c r="E108" s="265"/>
      <c r="F108" s="141"/>
      <c r="G108" s="262">
        <f>IFERROR(table_renewsummary[[#This Row],[4qty]]*INDEX(unitsTable,MATCH(table_renewsummary[[#This Row],[4units]],INDEX(unitsTable,0,1),0),2),0)</f>
        <v>0</v>
      </c>
      <c r="H108" s="44">
        <f>IFERROR(IF(table_renewsummary[[#This Row],[4offset]]="Electricity",(table_renewsummary[[#This Row],[4qty_calc]]/(IF(projectType="BD+C:Core and Shell",$E$28,$F$28))),0),0)</f>
        <v>0</v>
      </c>
      <c r="I108" s="44">
        <f>IFERROR(IF(table_renewsummary[[#This Row],[4offset]]="Fuel(s)",(table_renewsummary[[#This Row],[4qty_calc]]/(IF(projectType="BD+C:Core and Shell",$E$29,$F$29))),0),0)</f>
        <v>0</v>
      </c>
      <c r="J108" s="118">
        <f>IFERROR(table_renewsummary[[#This Row],[4qty_calc]]/$F$27,0)</f>
        <v>0</v>
      </c>
      <c r="K108" s="256"/>
      <c r="L108" s="256"/>
      <c r="M108" s="256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242"/>
      <c r="AF108" s="242"/>
      <c r="AG108" s="242"/>
      <c r="AH108" s="242"/>
      <c r="AI108" s="242"/>
      <c r="AJ108" s="242"/>
      <c r="AK108" s="242"/>
      <c r="AL108" s="242"/>
      <c r="AM108" s="242"/>
    </row>
    <row r="109" spans="1:39" s="243" customFormat="1" ht="18" hidden="1" customHeight="1" outlineLevel="1" x14ac:dyDescent="0.25">
      <c r="A109" s="137">
        <v>75</v>
      </c>
      <c r="B109" s="142"/>
      <c r="C109" s="148"/>
      <c r="D109" s="148"/>
      <c r="E109" s="265"/>
      <c r="F109" s="141"/>
      <c r="G109" s="262">
        <f>IFERROR(table_renewsummary[[#This Row],[4qty]]*INDEX(unitsTable,MATCH(table_renewsummary[[#This Row],[4units]],INDEX(unitsTable,0,1),0),2),0)</f>
        <v>0</v>
      </c>
      <c r="H109" s="44">
        <f>IFERROR(IF(table_renewsummary[[#This Row],[4offset]]="Electricity",(table_renewsummary[[#This Row],[4qty_calc]]/(IF(projectType="BD+C:Core and Shell",$E$28,$F$28))),0),0)</f>
        <v>0</v>
      </c>
      <c r="I109" s="44">
        <f>IFERROR(IF(table_renewsummary[[#This Row],[4offset]]="Fuel(s)",(table_renewsummary[[#This Row],[4qty_calc]]/(IF(projectType="BD+C:Core and Shell",$E$29,$F$29))),0),0)</f>
        <v>0</v>
      </c>
      <c r="J109" s="118">
        <f>IFERROR(table_renewsummary[[#This Row],[4qty_calc]]/$F$27,0)</f>
        <v>0</v>
      </c>
      <c r="K109" s="256"/>
      <c r="L109" s="256"/>
      <c r="M109" s="256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242"/>
      <c r="AF109" s="242"/>
      <c r="AG109" s="242"/>
      <c r="AH109" s="242"/>
      <c r="AI109" s="242"/>
      <c r="AJ109" s="242"/>
      <c r="AK109" s="242"/>
      <c r="AL109" s="242"/>
      <c r="AM109" s="242"/>
    </row>
    <row r="110" spans="1:39" s="243" customFormat="1" ht="18" hidden="1" customHeight="1" outlineLevel="1" x14ac:dyDescent="0.25">
      <c r="A110" s="137">
        <v>76</v>
      </c>
      <c r="B110" s="142"/>
      <c r="C110" s="148"/>
      <c r="D110" s="148"/>
      <c r="E110" s="265"/>
      <c r="F110" s="141"/>
      <c r="G110" s="262">
        <f>IFERROR(table_renewsummary[[#This Row],[4qty]]*INDEX(unitsTable,MATCH(table_renewsummary[[#This Row],[4units]],INDEX(unitsTable,0,1),0),2),0)</f>
        <v>0</v>
      </c>
      <c r="H110" s="44">
        <f>IFERROR(IF(table_renewsummary[[#This Row],[4offset]]="Electricity",(table_renewsummary[[#This Row],[4qty_calc]]/(IF(projectType="BD+C:Core and Shell",$E$28,$F$28))),0),0)</f>
        <v>0</v>
      </c>
      <c r="I110" s="44">
        <f>IFERROR(IF(table_renewsummary[[#This Row],[4offset]]="Fuel(s)",(table_renewsummary[[#This Row],[4qty_calc]]/(IF(projectType="BD+C:Core and Shell",$E$29,$F$29))),0),0)</f>
        <v>0</v>
      </c>
      <c r="J110" s="118">
        <f>IFERROR(table_renewsummary[[#This Row],[4qty_calc]]/$F$27,0)</f>
        <v>0</v>
      </c>
      <c r="K110" s="256"/>
      <c r="L110" s="256"/>
      <c r="M110" s="256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242"/>
      <c r="AF110" s="242"/>
      <c r="AG110" s="242"/>
      <c r="AH110" s="242"/>
      <c r="AI110" s="242"/>
      <c r="AJ110" s="242"/>
      <c r="AK110" s="242"/>
      <c r="AL110" s="242"/>
      <c r="AM110" s="242"/>
    </row>
    <row r="111" spans="1:39" s="243" customFormat="1" ht="18" hidden="1" customHeight="1" outlineLevel="1" x14ac:dyDescent="0.25">
      <c r="A111" s="137">
        <v>77</v>
      </c>
      <c r="B111" s="142"/>
      <c r="C111" s="148"/>
      <c r="D111" s="148"/>
      <c r="E111" s="265"/>
      <c r="F111" s="141"/>
      <c r="G111" s="262">
        <f>IFERROR(table_renewsummary[[#This Row],[4qty]]*INDEX(unitsTable,MATCH(table_renewsummary[[#This Row],[4units]],INDEX(unitsTable,0,1),0),2),0)</f>
        <v>0</v>
      </c>
      <c r="H111" s="44">
        <f>IFERROR(IF(table_renewsummary[[#This Row],[4offset]]="Electricity",(table_renewsummary[[#This Row],[4qty_calc]]/(IF(projectType="BD+C:Core and Shell",$E$28,$F$28))),0),0)</f>
        <v>0</v>
      </c>
      <c r="I111" s="44">
        <f>IFERROR(IF(table_renewsummary[[#This Row],[4offset]]="Fuel(s)",(table_renewsummary[[#This Row],[4qty_calc]]/(IF(projectType="BD+C:Core and Shell",$E$29,$F$29))),0),0)</f>
        <v>0</v>
      </c>
      <c r="J111" s="118">
        <f>IFERROR(table_renewsummary[[#This Row],[4qty_calc]]/$F$27,0)</f>
        <v>0</v>
      </c>
      <c r="K111" s="256"/>
      <c r="L111" s="256"/>
      <c r="M111" s="256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242"/>
      <c r="AF111" s="242"/>
      <c r="AG111" s="242"/>
      <c r="AH111" s="242"/>
      <c r="AI111" s="242"/>
      <c r="AJ111" s="242"/>
      <c r="AK111" s="242"/>
      <c r="AL111" s="242"/>
      <c r="AM111" s="242"/>
    </row>
    <row r="112" spans="1:39" s="243" customFormat="1" ht="18" hidden="1" customHeight="1" outlineLevel="1" x14ac:dyDescent="0.25">
      <c r="A112" s="137">
        <v>78</v>
      </c>
      <c r="B112" s="142"/>
      <c r="C112" s="148"/>
      <c r="D112" s="148"/>
      <c r="E112" s="265"/>
      <c r="F112" s="141"/>
      <c r="G112" s="262">
        <f>IFERROR(table_renewsummary[[#This Row],[4qty]]*INDEX(unitsTable,MATCH(table_renewsummary[[#This Row],[4units]],INDEX(unitsTable,0,1),0),2),0)</f>
        <v>0</v>
      </c>
      <c r="H112" s="44">
        <f>IFERROR(IF(table_renewsummary[[#This Row],[4offset]]="Electricity",(table_renewsummary[[#This Row],[4qty_calc]]/(IF(projectType="BD+C:Core and Shell",$E$28,$F$28))),0),0)</f>
        <v>0</v>
      </c>
      <c r="I112" s="44">
        <f>IFERROR(IF(table_renewsummary[[#This Row],[4offset]]="Fuel(s)",(table_renewsummary[[#This Row],[4qty_calc]]/(IF(projectType="BD+C:Core and Shell",$E$29,$F$29))),0),0)</f>
        <v>0</v>
      </c>
      <c r="J112" s="118">
        <f>IFERROR(table_renewsummary[[#This Row],[4qty_calc]]/$F$27,0)</f>
        <v>0</v>
      </c>
      <c r="K112" s="256"/>
      <c r="L112" s="256"/>
      <c r="M112" s="256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242"/>
      <c r="AF112" s="242"/>
      <c r="AG112" s="242"/>
      <c r="AH112" s="242"/>
      <c r="AI112" s="242"/>
      <c r="AJ112" s="242"/>
      <c r="AK112" s="242"/>
      <c r="AL112" s="242"/>
      <c r="AM112" s="242"/>
    </row>
    <row r="113" spans="1:39" s="243" customFormat="1" ht="18" hidden="1" customHeight="1" outlineLevel="1" x14ac:dyDescent="0.25">
      <c r="A113" s="137">
        <v>79</v>
      </c>
      <c r="B113" s="142"/>
      <c r="C113" s="148"/>
      <c r="D113" s="148"/>
      <c r="E113" s="265"/>
      <c r="F113" s="141"/>
      <c r="G113" s="262">
        <f>IFERROR(table_renewsummary[[#This Row],[4qty]]*INDEX(unitsTable,MATCH(table_renewsummary[[#This Row],[4units]],INDEX(unitsTable,0,1),0),2),0)</f>
        <v>0</v>
      </c>
      <c r="H113" s="44">
        <f>IFERROR(IF(table_renewsummary[[#This Row],[4offset]]="Electricity",(table_renewsummary[[#This Row],[4qty_calc]]/(IF(projectType="BD+C:Core and Shell",$E$28,$F$28))),0),0)</f>
        <v>0</v>
      </c>
      <c r="I113" s="44">
        <f>IFERROR(IF(table_renewsummary[[#This Row],[4offset]]="Fuel(s)",(table_renewsummary[[#This Row],[4qty_calc]]/(IF(projectType="BD+C:Core and Shell",$E$29,$F$29))),0),0)</f>
        <v>0</v>
      </c>
      <c r="J113" s="118">
        <f>IFERROR(table_renewsummary[[#This Row],[4qty_calc]]/$F$27,0)</f>
        <v>0</v>
      </c>
      <c r="K113" s="256"/>
      <c r="L113" s="256"/>
      <c r="M113" s="256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242"/>
      <c r="AF113" s="242"/>
      <c r="AG113" s="242"/>
      <c r="AH113" s="242"/>
      <c r="AI113" s="242"/>
      <c r="AJ113" s="242"/>
      <c r="AK113" s="242"/>
      <c r="AL113" s="242"/>
      <c r="AM113" s="242"/>
    </row>
    <row r="114" spans="1:39" s="243" customFormat="1" ht="18" hidden="1" customHeight="1" outlineLevel="1" x14ac:dyDescent="0.25">
      <c r="A114" s="137">
        <v>80</v>
      </c>
      <c r="B114" s="142"/>
      <c r="C114" s="148"/>
      <c r="D114" s="148"/>
      <c r="E114" s="265"/>
      <c r="F114" s="141"/>
      <c r="G114" s="262">
        <f>IFERROR(table_renewsummary[[#This Row],[4qty]]*INDEX(unitsTable,MATCH(table_renewsummary[[#This Row],[4units]],INDEX(unitsTable,0,1),0),2),0)</f>
        <v>0</v>
      </c>
      <c r="H114" s="44">
        <f>IFERROR(IF(table_renewsummary[[#This Row],[4offset]]="Electricity",(table_renewsummary[[#This Row],[4qty_calc]]/(IF(projectType="BD+C:Core and Shell",$E$28,$F$28))),0),0)</f>
        <v>0</v>
      </c>
      <c r="I114" s="44">
        <f>IFERROR(IF(table_renewsummary[[#This Row],[4offset]]="Fuel(s)",(table_renewsummary[[#This Row],[4qty_calc]]/(IF(projectType="BD+C:Core and Shell",$E$29,$F$29))),0),0)</f>
        <v>0</v>
      </c>
      <c r="J114" s="118">
        <f>IFERROR(table_renewsummary[[#This Row],[4qty_calc]]/$F$27,0)</f>
        <v>0</v>
      </c>
      <c r="K114" s="256"/>
      <c r="L114" s="256"/>
      <c r="M114" s="256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242"/>
      <c r="AF114" s="242"/>
      <c r="AG114" s="242"/>
      <c r="AH114" s="242"/>
      <c r="AI114" s="242"/>
      <c r="AJ114" s="242"/>
      <c r="AK114" s="242"/>
      <c r="AL114" s="242"/>
      <c r="AM114" s="242"/>
    </row>
    <row r="115" spans="1:39" s="243" customFormat="1" ht="18" hidden="1" customHeight="1" outlineLevel="1" x14ac:dyDescent="0.25">
      <c r="A115" s="137">
        <v>81</v>
      </c>
      <c r="B115" s="142"/>
      <c r="C115" s="148"/>
      <c r="D115" s="148"/>
      <c r="E115" s="265"/>
      <c r="F115" s="141"/>
      <c r="G115" s="262">
        <f>IFERROR(table_renewsummary[[#This Row],[4qty]]*INDEX(unitsTable,MATCH(table_renewsummary[[#This Row],[4units]],INDEX(unitsTable,0,1),0),2),0)</f>
        <v>0</v>
      </c>
      <c r="H115" s="44">
        <f>IFERROR(IF(table_renewsummary[[#This Row],[4offset]]="Electricity",(table_renewsummary[[#This Row],[4qty_calc]]/(IF(projectType="BD+C:Core and Shell",$E$28,$F$28))),0),0)</f>
        <v>0</v>
      </c>
      <c r="I115" s="44">
        <f>IFERROR(IF(table_renewsummary[[#This Row],[4offset]]="Fuel(s)",(table_renewsummary[[#This Row],[4qty_calc]]/(IF(projectType="BD+C:Core and Shell",$E$29,$F$29))),0),0)</f>
        <v>0</v>
      </c>
      <c r="J115" s="118">
        <f>IFERROR(table_renewsummary[[#This Row],[4qty_calc]]/$F$27,0)</f>
        <v>0</v>
      </c>
      <c r="K115" s="256"/>
      <c r="L115" s="256"/>
      <c r="M115" s="256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242"/>
      <c r="AF115" s="242"/>
      <c r="AG115" s="242"/>
      <c r="AH115" s="242"/>
      <c r="AI115" s="242"/>
      <c r="AJ115" s="242"/>
      <c r="AK115" s="242"/>
      <c r="AL115" s="242"/>
      <c r="AM115" s="242"/>
    </row>
    <row r="116" spans="1:39" s="243" customFormat="1" ht="18" hidden="1" customHeight="1" outlineLevel="1" x14ac:dyDescent="0.25">
      <c r="A116" s="137">
        <v>82</v>
      </c>
      <c r="B116" s="142"/>
      <c r="C116" s="148"/>
      <c r="D116" s="148"/>
      <c r="E116" s="265"/>
      <c r="F116" s="141"/>
      <c r="G116" s="262">
        <f>IFERROR(table_renewsummary[[#This Row],[4qty]]*INDEX(unitsTable,MATCH(table_renewsummary[[#This Row],[4units]],INDEX(unitsTable,0,1),0),2),0)</f>
        <v>0</v>
      </c>
      <c r="H116" s="44">
        <f>IFERROR(IF(table_renewsummary[[#This Row],[4offset]]="Electricity",(table_renewsummary[[#This Row],[4qty_calc]]/(IF(projectType="BD+C:Core and Shell",$E$28,$F$28))),0),0)</f>
        <v>0</v>
      </c>
      <c r="I116" s="44">
        <f>IFERROR(IF(table_renewsummary[[#This Row],[4offset]]="Fuel(s)",(table_renewsummary[[#This Row],[4qty_calc]]/(IF(projectType="BD+C:Core and Shell",$E$29,$F$29))),0),0)</f>
        <v>0</v>
      </c>
      <c r="J116" s="118">
        <f>IFERROR(table_renewsummary[[#This Row],[4qty_calc]]/$F$27,0)</f>
        <v>0</v>
      </c>
      <c r="K116" s="256"/>
      <c r="L116" s="256"/>
      <c r="M116" s="256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242"/>
      <c r="AF116" s="242"/>
      <c r="AG116" s="242"/>
      <c r="AH116" s="242"/>
      <c r="AI116" s="242"/>
      <c r="AJ116" s="242"/>
      <c r="AK116" s="242"/>
      <c r="AL116" s="242"/>
      <c r="AM116" s="242"/>
    </row>
    <row r="117" spans="1:39" s="243" customFormat="1" ht="18" hidden="1" customHeight="1" outlineLevel="1" x14ac:dyDescent="0.25">
      <c r="A117" s="137">
        <v>83</v>
      </c>
      <c r="B117" s="142"/>
      <c r="C117" s="148"/>
      <c r="D117" s="148"/>
      <c r="E117" s="265"/>
      <c r="F117" s="141"/>
      <c r="G117" s="262">
        <f>IFERROR(table_renewsummary[[#This Row],[4qty]]*INDEX(unitsTable,MATCH(table_renewsummary[[#This Row],[4units]],INDEX(unitsTable,0,1),0),2),0)</f>
        <v>0</v>
      </c>
      <c r="H117" s="44">
        <f>IFERROR(IF(table_renewsummary[[#This Row],[4offset]]="Electricity",(table_renewsummary[[#This Row],[4qty_calc]]/(IF(projectType="BD+C:Core and Shell",$E$28,$F$28))),0),0)</f>
        <v>0</v>
      </c>
      <c r="I117" s="44">
        <f>IFERROR(IF(table_renewsummary[[#This Row],[4offset]]="Fuel(s)",(table_renewsummary[[#This Row],[4qty_calc]]/(IF(projectType="BD+C:Core and Shell",$E$29,$F$29))),0),0)</f>
        <v>0</v>
      </c>
      <c r="J117" s="118">
        <f>IFERROR(table_renewsummary[[#This Row],[4qty_calc]]/$F$27,0)</f>
        <v>0</v>
      </c>
      <c r="K117" s="256"/>
      <c r="L117" s="256"/>
      <c r="M117" s="256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242"/>
      <c r="AF117" s="242"/>
      <c r="AG117" s="242"/>
      <c r="AH117" s="242"/>
      <c r="AI117" s="242"/>
      <c r="AJ117" s="242"/>
      <c r="AK117" s="242"/>
      <c r="AL117" s="242"/>
      <c r="AM117" s="242"/>
    </row>
    <row r="118" spans="1:39" s="243" customFormat="1" ht="18" hidden="1" customHeight="1" outlineLevel="1" x14ac:dyDescent="0.25">
      <c r="A118" s="137">
        <v>84</v>
      </c>
      <c r="B118" s="142"/>
      <c r="C118" s="148"/>
      <c r="D118" s="148"/>
      <c r="E118" s="265"/>
      <c r="F118" s="141"/>
      <c r="G118" s="262">
        <f>IFERROR(table_renewsummary[[#This Row],[4qty]]*INDEX(unitsTable,MATCH(table_renewsummary[[#This Row],[4units]],INDEX(unitsTable,0,1),0),2),0)</f>
        <v>0</v>
      </c>
      <c r="H118" s="44">
        <f>IFERROR(IF(table_renewsummary[[#This Row],[4offset]]="Electricity",(table_renewsummary[[#This Row],[4qty_calc]]/(IF(projectType="BD+C:Core and Shell",$E$28,$F$28))),0),0)</f>
        <v>0</v>
      </c>
      <c r="I118" s="44">
        <f>IFERROR(IF(table_renewsummary[[#This Row],[4offset]]="Fuel(s)",(table_renewsummary[[#This Row],[4qty_calc]]/(IF(projectType="BD+C:Core and Shell",$E$29,$F$29))),0),0)</f>
        <v>0</v>
      </c>
      <c r="J118" s="118">
        <f>IFERROR(table_renewsummary[[#This Row],[4qty_calc]]/$F$27,0)</f>
        <v>0</v>
      </c>
      <c r="K118" s="256"/>
      <c r="L118" s="256"/>
      <c r="M118" s="256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242"/>
      <c r="AF118" s="242"/>
      <c r="AG118" s="242"/>
      <c r="AH118" s="242"/>
      <c r="AI118" s="242"/>
      <c r="AJ118" s="242"/>
      <c r="AK118" s="242"/>
      <c r="AL118" s="242"/>
      <c r="AM118" s="242"/>
    </row>
    <row r="119" spans="1:39" s="243" customFormat="1" ht="18" hidden="1" customHeight="1" outlineLevel="1" x14ac:dyDescent="0.25">
      <c r="A119" s="137">
        <v>85</v>
      </c>
      <c r="B119" s="142"/>
      <c r="C119" s="148"/>
      <c r="D119" s="148"/>
      <c r="E119" s="265"/>
      <c r="F119" s="141"/>
      <c r="G119" s="262">
        <f>IFERROR(table_renewsummary[[#This Row],[4qty]]*INDEX(unitsTable,MATCH(table_renewsummary[[#This Row],[4units]],INDEX(unitsTable,0,1),0),2),0)</f>
        <v>0</v>
      </c>
      <c r="H119" s="44">
        <f>IFERROR(IF(table_renewsummary[[#This Row],[4offset]]="Electricity",(table_renewsummary[[#This Row],[4qty_calc]]/(IF(projectType="BD+C:Core and Shell",$E$28,$F$28))),0),0)</f>
        <v>0</v>
      </c>
      <c r="I119" s="44">
        <f>IFERROR(IF(table_renewsummary[[#This Row],[4offset]]="Fuel(s)",(table_renewsummary[[#This Row],[4qty_calc]]/(IF(projectType="BD+C:Core and Shell",$E$29,$F$29))),0),0)</f>
        <v>0</v>
      </c>
      <c r="J119" s="118">
        <f>IFERROR(table_renewsummary[[#This Row],[4qty_calc]]/$F$27,0)</f>
        <v>0</v>
      </c>
      <c r="K119" s="256"/>
      <c r="L119" s="256"/>
      <c r="M119" s="256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242"/>
      <c r="AF119" s="242"/>
      <c r="AG119" s="242"/>
      <c r="AH119" s="242"/>
      <c r="AI119" s="242"/>
      <c r="AJ119" s="242"/>
      <c r="AK119" s="242"/>
      <c r="AL119" s="242"/>
      <c r="AM119" s="242"/>
    </row>
    <row r="120" spans="1:39" s="243" customFormat="1" ht="18" hidden="1" customHeight="1" outlineLevel="1" x14ac:dyDescent="0.25">
      <c r="A120" s="137">
        <v>86</v>
      </c>
      <c r="B120" s="142"/>
      <c r="C120" s="148"/>
      <c r="D120" s="148"/>
      <c r="E120" s="265"/>
      <c r="F120" s="141"/>
      <c r="G120" s="262">
        <f>IFERROR(table_renewsummary[[#This Row],[4qty]]*INDEX(unitsTable,MATCH(table_renewsummary[[#This Row],[4units]],INDEX(unitsTable,0,1),0),2),0)</f>
        <v>0</v>
      </c>
      <c r="H120" s="44">
        <f>IFERROR(IF(table_renewsummary[[#This Row],[4offset]]="Electricity",(table_renewsummary[[#This Row],[4qty_calc]]/(IF(projectType="BD+C:Core and Shell",$E$28,$F$28))),0),0)</f>
        <v>0</v>
      </c>
      <c r="I120" s="44">
        <f>IFERROR(IF(table_renewsummary[[#This Row],[4offset]]="Fuel(s)",(table_renewsummary[[#This Row],[4qty_calc]]/(IF(projectType="BD+C:Core and Shell",$E$29,$F$29))),0),0)</f>
        <v>0</v>
      </c>
      <c r="J120" s="118">
        <f>IFERROR(table_renewsummary[[#This Row],[4qty_calc]]/$F$27,0)</f>
        <v>0</v>
      </c>
      <c r="K120" s="256"/>
      <c r="L120" s="256"/>
      <c r="M120" s="256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242"/>
      <c r="AF120" s="242"/>
      <c r="AG120" s="242"/>
      <c r="AH120" s="242"/>
      <c r="AI120" s="242"/>
      <c r="AJ120" s="242"/>
      <c r="AK120" s="242"/>
      <c r="AL120" s="242"/>
      <c r="AM120" s="242"/>
    </row>
    <row r="121" spans="1:39" s="243" customFormat="1" ht="18" hidden="1" customHeight="1" outlineLevel="1" x14ac:dyDescent="0.25">
      <c r="A121" s="137">
        <v>87</v>
      </c>
      <c r="B121" s="142"/>
      <c r="C121" s="148"/>
      <c r="D121" s="148"/>
      <c r="E121" s="265"/>
      <c r="F121" s="141"/>
      <c r="G121" s="262">
        <f>IFERROR(table_renewsummary[[#This Row],[4qty]]*INDEX(unitsTable,MATCH(table_renewsummary[[#This Row],[4units]],INDEX(unitsTable,0,1),0),2),0)</f>
        <v>0</v>
      </c>
      <c r="H121" s="44">
        <f>IFERROR(IF(table_renewsummary[[#This Row],[4offset]]="Electricity",(table_renewsummary[[#This Row],[4qty_calc]]/(IF(projectType="BD+C:Core and Shell",$E$28,$F$28))),0),0)</f>
        <v>0</v>
      </c>
      <c r="I121" s="44">
        <f>IFERROR(IF(table_renewsummary[[#This Row],[4offset]]="Fuel(s)",(table_renewsummary[[#This Row],[4qty_calc]]/(IF(projectType="BD+C:Core and Shell",$E$29,$F$29))),0),0)</f>
        <v>0</v>
      </c>
      <c r="J121" s="118">
        <f>IFERROR(table_renewsummary[[#This Row],[4qty_calc]]/$F$27,0)</f>
        <v>0</v>
      </c>
      <c r="K121" s="256"/>
      <c r="L121" s="256"/>
      <c r="M121" s="256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242"/>
      <c r="AF121" s="242"/>
      <c r="AG121" s="242"/>
      <c r="AH121" s="242"/>
      <c r="AI121" s="242"/>
      <c r="AJ121" s="242"/>
      <c r="AK121" s="242"/>
      <c r="AL121" s="242"/>
      <c r="AM121" s="242"/>
    </row>
    <row r="122" spans="1:39" s="243" customFormat="1" ht="18" hidden="1" customHeight="1" outlineLevel="1" x14ac:dyDescent="0.25">
      <c r="A122" s="137">
        <v>88</v>
      </c>
      <c r="B122" s="142"/>
      <c r="C122" s="148"/>
      <c r="D122" s="148"/>
      <c r="E122" s="265"/>
      <c r="F122" s="141"/>
      <c r="G122" s="262">
        <f>IFERROR(table_renewsummary[[#This Row],[4qty]]*INDEX(unitsTable,MATCH(table_renewsummary[[#This Row],[4units]],INDEX(unitsTable,0,1),0),2),0)</f>
        <v>0</v>
      </c>
      <c r="H122" s="44">
        <f>IFERROR(IF(table_renewsummary[[#This Row],[4offset]]="Electricity",(table_renewsummary[[#This Row],[4qty_calc]]/(IF(projectType="BD+C:Core and Shell",$E$28,$F$28))),0),0)</f>
        <v>0</v>
      </c>
      <c r="I122" s="44">
        <f>IFERROR(IF(table_renewsummary[[#This Row],[4offset]]="Fuel(s)",(table_renewsummary[[#This Row],[4qty_calc]]/(IF(projectType="BD+C:Core and Shell",$E$29,$F$29))),0),0)</f>
        <v>0</v>
      </c>
      <c r="J122" s="118">
        <f>IFERROR(table_renewsummary[[#This Row],[4qty_calc]]/$F$27,0)</f>
        <v>0</v>
      </c>
      <c r="K122" s="256"/>
      <c r="L122" s="256"/>
      <c r="M122" s="256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242"/>
      <c r="AF122" s="242"/>
      <c r="AG122" s="242"/>
      <c r="AH122" s="242"/>
      <c r="AI122" s="242"/>
      <c r="AJ122" s="242"/>
      <c r="AK122" s="242"/>
      <c r="AL122" s="242"/>
      <c r="AM122" s="242"/>
    </row>
    <row r="123" spans="1:39" s="243" customFormat="1" ht="18" hidden="1" customHeight="1" outlineLevel="1" x14ac:dyDescent="0.25">
      <c r="A123" s="137">
        <v>89</v>
      </c>
      <c r="B123" s="142"/>
      <c r="C123" s="148"/>
      <c r="D123" s="148"/>
      <c r="E123" s="265"/>
      <c r="F123" s="141"/>
      <c r="G123" s="262">
        <f>IFERROR(table_renewsummary[[#This Row],[4qty]]*INDEX(unitsTable,MATCH(table_renewsummary[[#This Row],[4units]],INDEX(unitsTable,0,1),0),2),0)</f>
        <v>0</v>
      </c>
      <c r="H123" s="44">
        <f>IFERROR(IF(table_renewsummary[[#This Row],[4offset]]="Electricity",(table_renewsummary[[#This Row],[4qty_calc]]/(IF(projectType="BD+C:Core and Shell",$E$28,$F$28))),0),0)</f>
        <v>0</v>
      </c>
      <c r="I123" s="44">
        <f>IFERROR(IF(table_renewsummary[[#This Row],[4offset]]="Fuel(s)",(table_renewsummary[[#This Row],[4qty_calc]]/(IF(projectType="BD+C:Core and Shell",$E$29,$F$29))),0),0)</f>
        <v>0</v>
      </c>
      <c r="J123" s="118">
        <f>IFERROR(table_renewsummary[[#This Row],[4qty_calc]]/$F$27,0)</f>
        <v>0</v>
      </c>
      <c r="K123" s="256"/>
      <c r="L123" s="256"/>
      <c r="M123" s="256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242"/>
      <c r="AF123" s="242"/>
      <c r="AG123" s="242"/>
      <c r="AH123" s="242"/>
      <c r="AI123" s="242"/>
      <c r="AJ123" s="242"/>
      <c r="AK123" s="242"/>
      <c r="AL123" s="242"/>
      <c r="AM123" s="242"/>
    </row>
    <row r="124" spans="1:39" s="243" customFormat="1" ht="18" customHeight="1" collapsed="1" x14ac:dyDescent="0.25">
      <c r="A124" s="137">
        <v>90</v>
      </c>
      <c r="B124" s="142"/>
      <c r="C124" s="148"/>
      <c r="D124" s="148"/>
      <c r="E124" s="265"/>
      <c r="F124" s="141"/>
      <c r="G124" s="262">
        <f>IFERROR(table_renewsummary[[#This Row],[4qty]]*INDEX(unitsTable,MATCH(table_renewsummary[[#This Row],[4units]],INDEX(unitsTable,0,1),0),2),0)</f>
        <v>0</v>
      </c>
      <c r="H124" s="44">
        <f>IFERROR(IF(table_renewsummary[[#This Row],[4offset]]="Electricity",(table_renewsummary[[#This Row],[4qty_calc]]/(IF(projectType="BD+C:Core and Shell",$E$28,$F$28))),0),0)</f>
        <v>0</v>
      </c>
      <c r="I124" s="44">
        <f>IFERROR(IF(table_renewsummary[[#This Row],[4offset]]="Fuel(s)",(table_renewsummary[[#This Row],[4qty_calc]]/(IF(projectType="BD+C:Core and Shell",$E$29,$F$29))),0),0)</f>
        <v>0</v>
      </c>
      <c r="J124" s="118">
        <f>IFERROR(table_renewsummary[[#This Row],[4qty_calc]]/$F$27,0)</f>
        <v>0</v>
      </c>
      <c r="K124" s="256" t="s">
        <v>293</v>
      </c>
      <c r="L124" s="256"/>
      <c r="M124" s="256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242"/>
      <c r="AF124" s="242"/>
      <c r="AG124" s="242"/>
      <c r="AH124" s="242"/>
      <c r="AI124" s="242"/>
      <c r="AJ124" s="242"/>
      <c r="AK124" s="242"/>
      <c r="AL124" s="242"/>
      <c r="AM124" s="242"/>
    </row>
    <row r="125" spans="1:39" s="243" customFormat="1" ht="18" hidden="1" customHeight="1" outlineLevel="1" x14ac:dyDescent="0.25">
      <c r="A125" s="137">
        <v>91</v>
      </c>
      <c r="B125" s="142"/>
      <c r="C125" s="148"/>
      <c r="D125" s="148"/>
      <c r="E125" s="265"/>
      <c r="F125" s="141"/>
      <c r="G125" s="262">
        <f>IFERROR(table_renewsummary[[#This Row],[4qty]]*INDEX(unitsTable,MATCH(table_renewsummary[[#This Row],[4units]],INDEX(unitsTable,0,1),0),2),0)</f>
        <v>0</v>
      </c>
      <c r="H125" s="44">
        <f>IFERROR(IF(table_renewsummary[[#This Row],[4offset]]="Electricity",(table_renewsummary[[#This Row],[4qty_calc]]/(IF(projectType="BD+C:Core and Shell",$E$28,$F$28))),0),0)</f>
        <v>0</v>
      </c>
      <c r="I125" s="44">
        <f>IFERROR(IF(table_renewsummary[[#This Row],[4offset]]="Fuel(s)",(table_renewsummary[[#This Row],[4qty_calc]]/(IF(projectType="BD+C:Core and Shell",$E$29,$F$29))),0),0)</f>
        <v>0</v>
      </c>
      <c r="J125" s="118">
        <f>IFERROR(table_renewsummary[[#This Row],[4qty_calc]]/$F$27,0)</f>
        <v>0</v>
      </c>
      <c r="K125" s="256"/>
      <c r="L125" s="256"/>
      <c r="M125" s="256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242"/>
      <c r="AF125" s="242"/>
      <c r="AG125" s="242"/>
      <c r="AH125" s="242"/>
      <c r="AI125" s="242"/>
      <c r="AJ125" s="242"/>
      <c r="AK125" s="242"/>
      <c r="AL125" s="242"/>
      <c r="AM125" s="242"/>
    </row>
    <row r="126" spans="1:39" s="243" customFormat="1" ht="18" hidden="1" customHeight="1" outlineLevel="1" x14ac:dyDescent="0.25">
      <c r="A126" s="137">
        <v>92</v>
      </c>
      <c r="B126" s="142"/>
      <c r="C126" s="148"/>
      <c r="D126" s="148"/>
      <c r="E126" s="265"/>
      <c r="F126" s="141"/>
      <c r="G126" s="262">
        <f>IFERROR(table_renewsummary[[#This Row],[4qty]]*INDEX(unitsTable,MATCH(table_renewsummary[[#This Row],[4units]],INDEX(unitsTable,0,1),0),2),0)</f>
        <v>0</v>
      </c>
      <c r="H126" s="44">
        <f>IFERROR(IF(table_renewsummary[[#This Row],[4offset]]="Electricity",(table_renewsummary[[#This Row],[4qty_calc]]/(IF(projectType="BD+C:Core and Shell",$E$28,$F$28))),0),0)</f>
        <v>0</v>
      </c>
      <c r="I126" s="44">
        <f>IFERROR(IF(table_renewsummary[[#This Row],[4offset]]="Fuel(s)",(table_renewsummary[[#This Row],[4qty_calc]]/(IF(projectType="BD+C:Core and Shell",$E$29,$F$29))),0),0)</f>
        <v>0</v>
      </c>
      <c r="J126" s="118">
        <f>IFERROR(table_renewsummary[[#This Row],[4qty_calc]]/$F$27,0)</f>
        <v>0</v>
      </c>
      <c r="K126" s="256"/>
      <c r="L126" s="256"/>
      <c r="M126" s="256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242"/>
      <c r="AF126" s="242"/>
      <c r="AG126" s="242"/>
      <c r="AH126" s="242"/>
      <c r="AI126" s="242"/>
      <c r="AJ126" s="242"/>
      <c r="AK126" s="242"/>
      <c r="AL126" s="242"/>
      <c r="AM126" s="242"/>
    </row>
    <row r="127" spans="1:39" s="243" customFormat="1" ht="18" hidden="1" customHeight="1" outlineLevel="1" x14ac:dyDescent="0.25">
      <c r="A127" s="137">
        <v>93</v>
      </c>
      <c r="B127" s="142"/>
      <c r="C127" s="148"/>
      <c r="D127" s="148"/>
      <c r="E127" s="265"/>
      <c r="F127" s="141"/>
      <c r="G127" s="262">
        <f>IFERROR(table_renewsummary[[#This Row],[4qty]]*INDEX(unitsTable,MATCH(table_renewsummary[[#This Row],[4units]],INDEX(unitsTable,0,1),0),2),0)</f>
        <v>0</v>
      </c>
      <c r="H127" s="44">
        <f>IFERROR(IF(table_renewsummary[[#This Row],[4offset]]="Electricity",(table_renewsummary[[#This Row],[4qty_calc]]/(IF(projectType="BD+C:Core and Shell",$E$28,$F$28))),0),0)</f>
        <v>0</v>
      </c>
      <c r="I127" s="44">
        <f>IFERROR(IF(table_renewsummary[[#This Row],[4offset]]="Fuel(s)",(table_renewsummary[[#This Row],[4qty_calc]]/(IF(projectType="BD+C:Core and Shell",$E$29,$F$29))),0),0)</f>
        <v>0</v>
      </c>
      <c r="J127" s="118">
        <f>IFERROR(table_renewsummary[[#This Row],[4qty_calc]]/$F$27,0)</f>
        <v>0</v>
      </c>
      <c r="K127" s="256"/>
      <c r="L127" s="256"/>
      <c r="M127" s="256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242"/>
      <c r="AF127" s="242"/>
      <c r="AG127" s="242"/>
      <c r="AH127" s="242"/>
      <c r="AI127" s="242"/>
      <c r="AJ127" s="242"/>
      <c r="AK127" s="242"/>
      <c r="AL127" s="242"/>
      <c r="AM127" s="242"/>
    </row>
    <row r="128" spans="1:39" s="243" customFormat="1" ht="18" hidden="1" customHeight="1" outlineLevel="1" x14ac:dyDescent="0.25">
      <c r="A128" s="137">
        <v>94</v>
      </c>
      <c r="B128" s="142"/>
      <c r="C128" s="148"/>
      <c r="D128" s="148"/>
      <c r="E128" s="265"/>
      <c r="F128" s="141"/>
      <c r="G128" s="262">
        <f>IFERROR(table_renewsummary[[#This Row],[4qty]]*INDEX(unitsTable,MATCH(table_renewsummary[[#This Row],[4units]],INDEX(unitsTable,0,1),0),2),0)</f>
        <v>0</v>
      </c>
      <c r="H128" s="44">
        <f>IFERROR(IF(table_renewsummary[[#This Row],[4offset]]="Electricity",(table_renewsummary[[#This Row],[4qty_calc]]/(IF(projectType="BD+C:Core and Shell",$E$28,$F$28))),0),0)</f>
        <v>0</v>
      </c>
      <c r="I128" s="44">
        <f>IFERROR(IF(table_renewsummary[[#This Row],[4offset]]="Fuel(s)",(table_renewsummary[[#This Row],[4qty_calc]]/(IF(projectType="BD+C:Core and Shell",$E$29,$F$29))),0),0)</f>
        <v>0</v>
      </c>
      <c r="J128" s="118">
        <f>IFERROR(table_renewsummary[[#This Row],[4qty_calc]]/$F$27,0)</f>
        <v>0</v>
      </c>
      <c r="K128" s="256"/>
      <c r="L128" s="256"/>
      <c r="M128" s="256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242"/>
      <c r="AF128" s="242"/>
      <c r="AG128" s="242"/>
      <c r="AH128" s="242"/>
      <c r="AI128" s="242"/>
      <c r="AJ128" s="242"/>
      <c r="AK128" s="242"/>
      <c r="AL128" s="242"/>
      <c r="AM128" s="242"/>
    </row>
    <row r="129" spans="1:39" s="243" customFormat="1" ht="18" hidden="1" customHeight="1" outlineLevel="1" x14ac:dyDescent="0.25">
      <c r="A129" s="137">
        <v>95</v>
      </c>
      <c r="B129" s="142"/>
      <c r="C129" s="148"/>
      <c r="D129" s="148"/>
      <c r="E129" s="265"/>
      <c r="F129" s="141"/>
      <c r="G129" s="262">
        <f>IFERROR(table_renewsummary[[#This Row],[4qty]]*INDEX(unitsTable,MATCH(table_renewsummary[[#This Row],[4units]],INDEX(unitsTable,0,1),0),2),0)</f>
        <v>0</v>
      </c>
      <c r="H129" s="44">
        <f>IFERROR(IF(table_renewsummary[[#This Row],[4offset]]="Electricity",(table_renewsummary[[#This Row],[4qty_calc]]/(IF(projectType="BD+C:Core and Shell",$E$28,$F$28))),0),0)</f>
        <v>0</v>
      </c>
      <c r="I129" s="44">
        <f>IFERROR(IF(table_renewsummary[[#This Row],[4offset]]="Fuel(s)",(table_renewsummary[[#This Row],[4qty_calc]]/(IF(projectType="BD+C:Core and Shell",$E$29,$F$29))),0),0)</f>
        <v>0</v>
      </c>
      <c r="J129" s="118">
        <f>IFERROR(table_renewsummary[[#This Row],[4qty_calc]]/$F$27,0)</f>
        <v>0</v>
      </c>
      <c r="K129" s="256"/>
      <c r="L129" s="256"/>
      <c r="M129" s="256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242"/>
      <c r="AF129" s="242"/>
      <c r="AG129" s="242"/>
      <c r="AH129" s="242"/>
      <c r="AI129" s="242"/>
      <c r="AJ129" s="242"/>
      <c r="AK129" s="242"/>
      <c r="AL129" s="242"/>
      <c r="AM129" s="242"/>
    </row>
    <row r="130" spans="1:39" s="243" customFormat="1" ht="18" hidden="1" customHeight="1" outlineLevel="1" x14ac:dyDescent="0.25">
      <c r="A130" s="137">
        <v>96</v>
      </c>
      <c r="B130" s="142"/>
      <c r="C130" s="148"/>
      <c r="D130" s="148"/>
      <c r="E130" s="265"/>
      <c r="F130" s="141"/>
      <c r="G130" s="262">
        <f>IFERROR(table_renewsummary[[#This Row],[4qty]]*INDEX(unitsTable,MATCH(table_renewsummary[[#This Row],[4units]],INDEX(unitsTable,0,1),0),2),0)</f>
        <v>0</v>
      </c>
      <c r="H130" s="44">
        <f>IFERROR(IF(table_renewsummary[[#This Row],[4offset]]="Electricity",(table_renewsummary[[#This Row],[4qty_calc]]/(IF(projectType="BD+C:Core and Shell",$E$28,$F$28))),0),0)</f>
        <v>0</v>
      </c>
      <c r="I130" s="44">
        <f>IFERROR(IF(table_renewsummary[[#This Row],[4offset]]="Fuel(s)",(table_renewsummary[[#This Row],[4qty_calc]]/(IF(projectType="BD+C:Core and Shell",$E$29,$F$29))),0),0)</f>
        <v>0</v>
      </c>
      <c r="J130" s="118">
        <f>IFERROR(table_renewsummary[[#This Row],[4qty_calc]]/$F$27,0)</f>
        <v>0</v>
      </c>
      <c r="K130" s="256"/>
      <c r="L130" s="256"/>
      <c r="M130" s="256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242"/>
      <c r="AF130" s="242"/>
      <c r="AG130" s="242"/>
      <c r="AH130" s="242"/>
      <c r="AI130" s="242"/>
      <c r="AJ130" s="242"/>
      <c r="AK130" s="242"/>
      <c r="AL130" s="242"/>
      <c r="AM130" s="242"/>
    </row>
    <row r="131" spans="1:39" s="243" customFormat="1" ht="18" hidden="1" customHeight="1" outlineLevel="1" x14ac:dyDescent="0.25">
      <c r="A131" s="137">
        <v>97</v>
      </c>
      <c r="B131" s="142"/>
      <c r="C131" s="148"/>
      <c r="D131" s="148"/>
      <c r="E131" s="265"/>
      <c r="F131" s="141"/>
      <c r="G131" s="262">
        <f>IFERROR(table_renewsummary[[#This Row],[4qty]]*INDEX(unitsTable,MATCH(table_renewsummary[[#This Row],[4units]],INDEX(unitsTable,0,1),0),2),0)</f>
        <v>0</v>
      </c>
      <c r="H131" s="44">
        <f>IFERROR(IF(table_renewsummary[[#This Row],[4offset]]="Electricity",(table_renewsummary[[#This Row],[4qty_calc]]/(IF(projectType="BD+C:Core and Shell",$E$28,$F$28))),0),0)</f>
        <v>0</v>
      </c>
      <c r="I131" s="44">
        <f>IFERROR(IF(table_renewsummary[[#This Row],[4offset]]="Fuel(s)",(table_renewsummary[[#This Row],[4qty_calc]]/(IF(projectType="BD+C:Core and Shell",$E$29,$F$29))),0),0)</f>
        <v>0</v>
      </c>
      <c r="J131" s="118">
        <f>IFERROR(table_renewsummary[[#This Row],[4qty_calc]]/$F$27,0)</f>
        <v>0</v>
      </c>
      <c r="K131" s="256"/>
      <c r="L131" s="256"/>
      <c r="M131" s="256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242"/>
      <c r="AF131" s="242"/>
      <c r="AG131" s="242"/>
      <c r="AH131" s="242"/>
      <c r="AI131" s="242"/>
      <c r="AJ131" s="242"/>
      <c r="AK131" s="242"/>
      <c r="AL131" s="242"/>
      <c r="AM131" s="242"/>
    </row>
    <row r="132" spans="1:39" s="243" customFormat="1" ht="18" hidden="1" customHeight="1" outlineLevel="1" x14ac:dyDescent="0.25">
      <c r="A132" s="137">
        <v>98</v>
      </c>
      <c r="B132" s="142"/>
      <c r="C132" s="148"/>
      <c r="D132" s="148"/>
      <c r="E132" s="265"/>
      <c r="F132" s="141"/>
      <c r="G132" s="262">
        <f>IFERROR(table_renewsummary[[#This Row],[4qty]]*INDEX(unitsTable,MATCH(table_renewsummary[[#This Row],[4units]],INDEX(unitsTable,0,1),0),2),0)</f>
        <v>0</v>
      </c>
      <c r="H132" s="44">
        <f>IFERROR(IF(table_renewsummary[[#This Row],[4offset]]="Electricity",(table_renewsummary[[#This Row],[4qty_calc]]/(IF(projectType="BD+C:Core and Shell",$E$28,$F$28))),0),0)</f>
        <v>0</v>
      </c>
      <c r="I132" s="44">
        <f>IFERROR(IF(table_renewsummary[[#This Row],[4offset]]="Fuel(s)",(table_renewsummary[[#This Row],[4qty_calc]]/(IF(projectType="BD+C:Core and Shell",$E$29,$F$29))),0),0)</f>
        <v>0</v>
      </c>
      <c r="J132" s="118">
        <f>IFERROR(table_renewsummary[[#This Row],[4qty_calc]]/$F$27,0)</f>
        <v>0</v>
      </c>
      <c r="K132" s="256"/>
      <c r="L132" s="256"/>
      <c r="M132" s="256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242"/>
      <c r="AF132" s="242"/>
      <c r="AG132" s="242"/>
      <c r="AH132" s="242"/>
      <c r="AI132" s="242"/>
      <c r="AJ132" s="242"/>
      <c r="AK132" s="242"/>
      <c r="AL132" s="242"/>
      <c r="AM132" s="242"/>
    </row>
    <row r="133" spans="1:39" s="243" customFormat="1" ht="18" hidden="1" customHeight="1" outlineLevel="1" x14ac:dyDescent="0.25">
      <c r="A133" s="137">
        <v>99</v>
      </c>
      <c r="B133" s="142"/>
      <c r="C133" s="148"/>
      <c r="D133" s="148"/>
      <c r="E133" s="265"/>
      <c r="F133" s="141"/>
      <c r="G133" s="262">
        <f>IFERROR(table_renewsummary[[#This Row],[4qty]]*INDEX(unitsTable,MATCH(table_renewsummary[[#This Row],[4units]],INDEX(unitsTable,0,1),0),2),0)</f>
        <v>0</v>
      </c>
      <c r="H133" s="44">
        <f>IFERROR(IF(table_renewsummary[[#This Row],[4offset]]="Electricity",(table_renewsummary[[#This Row],[4qty_calc]]/(IF(projectType="BD+C:Core and Shell",$E$28,$F$28))),0),0)</f>
        <v>0</v>
      </c>
      <c r="I133" s="44">
        <f>IFERROR(IF(table_renewsummary[[#This Row],[4offset]]="Fuel(s)",(table_renewsummary[[#This Row],[4qty_calc]]/(IF(projectType="BD+C:Core and Shell",$E$29,$F$29))),0),0)</f>
        <v>0</v>
      </c>
      <c r="J133" s="118">
        <f>IFERROR(table_renewsummary[[#This Row],[4qty_calc]]/$F$27,0)</f>
        <v>0</v>
      </c>
      <c r="K133" s="256"/>
      <c r="L133" s="256"/>
      <c r="M133" s="256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242"/>
      <c r="AF133" s="242"/>
      <c r="AG133" s="242"/>
      <c r="AH133" s="242"/>
      <c r="AI133" s="242"/>
      <c r="AJ133" s="242"/>
      <c r="AK133" s="242"/>
      <c r="AL133" s="242"/>
      <c r="AM133" s="242"/>
    </row>
    <row r="134" spans="1:39" s="243" customFormat="1" ht="18" hidden="1" customHeight="1" outlineLevel="1" x14ac:dyDescent="0.25">
      <c r="A134" s="137">
        <v>100</v>
      </c>
      <c r="B134" s="142"/>
      <c r="C134" s="148"/>
      <c r="D134" s="148"/>
      <c r="E134" s="265"/>
      <c r="F134" s="141"/>
      <c r="G134" s="262">
        <f>IFERROR(table_renewsummary[[#This Row],[4qty]]*INDEX(unitsTable,MATCH(table_renewsummary[[#This Row],[4units]],INDEX(unitsTable,0,1),0),2),0)</f>
        <v>0</v>
      </c>
      <c r="H134" s="44">
        <f>IFERROR(IF(table_renewsummary[[#This Row],[4offset]]="Electricity",(table_renewsummary[[#This Row],[4qty_calc]]/(IF(projectType="BD+C:Core and Shell",$E$28,$F$28))),0),0)</f>
        <v>0</v>
      </c>
      <c r="I134" s="44">
        <f>IFERROR(IF(table_renewsummary[[#This Row],[4offset]]="Fuel(s)",(table_renewsummary[[#This Row],[4qty_calc]]/(IF(projectType="BD+C:Core and Shell",$E$29,$F$29))),0),0)</f>
        <v>0</v>
      </c>
      <c r="J134" s="118">
        <f>IFERROR(table_renewsummary[[#This Row],[4qty_calc]]/$F$27,0)</f>
        <v>0</v>
      </c>
      <c r="K134" s="256"/>
      <c r="L134" s="256"/>
      <c r="M134" s="256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242"/>
      <c r="AF134" s="242"/>
      <c r="AG134" s="242"/>
      <c r="AH134" s="242"/>
      <c r="AI134" s="242"/>
      <c r="AJ134" s="242"/>
      <c r="AK134" s="242"/>
      <c r="AL134" s="242"/>
      <c r="AM134" s="242"/>
    </row>
    <row r="135" spans="1:39" s="243" customFormat="1" ht="18" hidden="1" customHeight="1" outlineLevel="1" x14ac:dyDescent="0.25">
      <c r="A135" s="137">
        <v>101</v>
      </c>
      <c r="B135" s="142"/>
      <c r="C135" s="148"/>
      <c r="D135" s="148"/>
      <c r="E135" s="265"/>
      <c r="F135" s="141"/>
      <c r="G135" s="262">
        <f>IFERROR(table_renewsummary[[#This Row],[4qty]]*INDEX(unitsTable,MATCH(table_renewsummary[[#This Row],[4units]],INDEX(unitsTable,0,1),0),2),0)</f>
        <v>0</v>
      </c>
      <c r="H135" s="44">
        <f>IFERROR(IF(table_renewsummary[[#This Row],[4offset]]="Electricity",(table_renewsummary[[#This Row],[4qty_calc]]/(IF(projectType="BD+C:Core and Shell",$E$28,$F$28))),0),0)</f>
        <v>0</v>
      </c>
      <c r="I135" s="44">
        <f>IFERROR(IF(table_renewsummary[[#This Row],[4offset]]="Fuel(s)",(table_renewsummary[[#This Row],[4qty_calc]]/(IF(projectType="BD+C:Core and Shell",$E$29,$F$29))),0),0)</f>
        <v>0</v>
      </c>
      <c r="J135" s="118">
        <f>IFERROR(table_renewsummary[[#This Row],[4qty_calc]]/$F$27,0)</f>
        <v>0</v>
      </c>
      <c r="K135" s="256"/>
      <c r="L135" s="256"/>
      <c r="M135" s="256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242"/>
      <c r="AF135" s="242"/>
      <c r="AG135" s="242"/>
      <c r="AH135" s="242"/>
      <c r="AI135" s="242"/>
      <c r="AJ135" s="242"/>
      <c r="AK135" s="242"/>
      <c r="AL135" s="242"/>
      <c r="AM135" s="242"/>
    </row>
    <row r="136" spans="1:39" s="243" customFormat="1" ht="18" hidden="1" customHeight="1" outlineLevel="1" x14ac:dyDescent="0.25">
      <c r="A136" s="137">
        <v>102</v>
      </c>
      <c r="B136" s="142"/>
      <c r="C136" s="148"/>
      <c r="D136" s="148"/>
      <c r="E136" s="265"/>
      <c r="F136" s="141"/>
      <c r="G136" s="262">
        <f>IFERROR(table_renewsummary[[#This Row],[4qty]]*INDEX(unitsTable,MATCH(table_renewsummary[[#This Row],[4units]],INDEX(unitsTable,0,1),0),2),0)</f>
        <v>0</v>
      </c>
      <c r="H136" s="44">
        <f>IFERROR(IF(table_renewsummary[[#This Row],[4offset]]="Electricity",(table_renewsummary[[#This Row],[4qty_calc]]/(IF(projectType="BD+C:Core and Shell",$E$28,$F$28))),0),0)</f>
        <v>0</v>
      </c>
      <c r="I136" s="44">
        <f>IFERROR(IF(table_renewsummary[[#This Row],[4offset]]="Fuel(s)",(table_renewsummary[[#This Row],[4qty_calc]]/(IF(projectType="BD+C:Core and Shell",$E$29,$F$29))),0),0)</f>
        <v>0</v>
      </c>
      <c r="J136" s="118">
        <f>IFERROR(table_renewsummary[[#This Row],[4qty_calc]]/$F$27,0)</f>
        <v>0</v>
      </c>
      <c r="K136" s="256"/>
      <c r="L136" s="256"/>
      <c r="M136" s="256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242"/>
      <c r="AF136" s="242"/>
      <c r="AG136" s="242"/>
      <c r="AH136" s="242"/>
      <c r="AI136" s="242"/>
      <c r="AJ136" s="242"/>
      <c r="AK136" s="242"/>
      <c r="AL136" s="242"/>
      <c r="AM136" s="242"/>
    </row>
    <row r="137" spans="1:39" s="243" customFormat="1" ht="18" hidden="1" customHeight="1" outlineLevel="1" x14ac:dyDescent="0.25">
      <c r="A137" s="137">
        <v>103</v>
      </c>
      <c r="B137" s="142"/>
      <c r="C137" s="148"/>
      <c r="D137" s="148"/>
      <c r="E137" s="265"/>
      <c r="F137" s="141"/>
      <c r="G137" s="262">
        <f>IFERROR(table_renewsummary[[#This Row],[4qty]]*INDEX(unitsTable,MATCH(table_renewsummary[[#This Row],[4units]],INDEX(unitsTable,0,1),0),2),0)</f>
        <v>0</v>
      </c>
      <c r="H137" s="44">
        <f>IFERROR(IF(table_renewsummary[[#This Row],[4offset]]="Electricity",(table_renewsummary[[#This Row],[4qty_calc]]/(IF(projectType="BD+C:Core and Shell",$E$28,$F$28))),0),0)</f>
        <v>0</v>
      </c>
      <c r="I137" s="44">
        <f>IFERROR(IF(table_renewsummary[[#This Row],[4offset]]="Fuel(s)",(table_renewsummary[[#This Row],[4qty_calc]]/(IF(projectType="BD+C:Core and Shell",$E$29,$F$29))),0),0)</f>
        <v>0</v>
      </c>
      <c r="J137" s="118">
        <f>IFERROR(table_renewsummary[[#This Row],[4qty_calc]]/$F$27,0)</f>
        <v>0</v>
      </c>
      <c r="K137" s="256"/>
      <c r="L137" s="256"/>
      <c r="M137" s="256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242"/>
      <c r="AF137" s="242"/>
      <c r="AG137" s="242"/>
      <c r="AH137" s="242"/>
      <c r="AI137" s="242"/>
      <c r="AJ137" s="242"/>
      <c r="AK137" s="242"/>
      <c r="AL137" s="242"/>
      <c r="AM137" s="242"/>
    </row>
    <row r="138" spans="1:39" s="243" customFormat="1" ht="18" hidden="1" customHeight="1" outlineLevel="1" x14ac:dyDescent="0.25">
      <c r="A138" s="137">
        <v>104</v>
      </c>
      <c r="B138" s="142"/>
      <c r="C138" s="148"/>
      <c r="D138" s="148"/>
      <c r="E138" s="265"/>
      <c r="F138" s="141"/>
      <c r="G138" s="262">
        <f>IFERROR(table_renewsummary[[#This Row],[4qty]]*INDEX(unitsTable,MATCH(table_renewsummary[[#This Row],[4units]],INDEX(unitsTable,0,1),0),2),0)</f>
        <v>0</v>
      </c>
      <c r="H138" s="44">
        <f>IFERROR(IF(table_renewsummary[[#This Row],[4offset]]="Electricity",(table_renewsummary[[#This Row],[4qty_calc]]/(IF(projectType="BD+C:Core and Shell",$E$28,$F$28))),0),0)</f>
        <v>0</v>
      </c>
      <c r="I138" s="44">
        <f>IFERROR(IF(table_renewsummary[[#This Row],[4offset]]="Fuel(s)",(table_renewsummary[[#This Row],[4qty_calc]]/(IF(projectType="BD+C:Core and Shell",$E$29,$F$29))),0),0)</f>
        <v>0</v>
      </c>
      <c r="J138" s="118">
        <f>IFERROR(table_renewsummary[[#This Row],[4qty_calc]]/$F$27,0)</f>
        <v>0</v>
      </c>
      <c r="K138" s="256"/>
      <c r="L138" s="256"/>
      <c r="M138" s="256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242"/>
      <c r="AF138" s="242"/>
      <c r="AG138" s="242"/>
      <c r="AH138" s="242"/>
      <c r="AI138" s="242"/>
      <c r="AJ138" s="242"/>
      <c r="AK138" s="242"/>
      <c r="AL138" s="242"/>
      <c r="AM138" s="242"/>
    </row>
    <row r="139" spans="1:39" s="243" customFormat="1" ht="18" hidden="1" customHeight="1" outlineLevel="1" x14ac:dyDescent="0.25">
      <c r="A139" s="137">
        <v>105</v>
      </c>
      <c r="B139" s="142"/>
      <c r="C139" s="148"/>
      <c r="D139" s="148"/>
      <c r="E139" s="265"/>
      <c r="F139" s="141"/>
      <c r="G139" s="262">
        <f>IFERROR(table_renewsummary[[#This Row],[4qty]]*INDEX(unitsTable,MATCH(table_renewsummary[[#This Row],[4units]],INDEX(unitsTable,0,1),0),2),0)</f>
        <v>0</v>
      </c>
      <c r="H139" s="44">
        <f>IFERROR(IF(table_renewsummary[[#This Row],[4offset]]="Electricity",(table_renewsummary[[#This Row],[4qty_calc]]/(IF(projectType="BD+C:Core and Shell",$E$28,$F$28))),0),0)</f>
        <v>0</v>
      </c>
      <c r="I139" s="44">
        <f>IFERROR(IF(table_renewsummary[[#This Row],[4offset]]="Fuel(s)",(table_renewsummary[[#This Row],[4qty_calc]]/(IF(projectType="BD+C:Core and Shell",$E$29,$F$29))),0),0)</f>
        <v>0</v>
      </c>
      <c r="J139" s="118">
        <f>IFERROR(table_renewsummary[[#This Row],[4qty_calc]]/$F$27,0)</f>
        <v>0</v>
      </c>
      <c r="K139" s="256"/>
      <c r="L139" s="256"/>
      <c r="M139" s="256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242"/>
      <c r="AF139" s="242"/>
      <c r="AG139" s="242"/>
      <c r="AH139" s="242"/>
      <c r="AI139" s="242"/>
      <c r="AJ139" s="242"/>
      <c r="AK139" s="242"/>
      <c r="AL139" s="242"/>
      <c r="AM139" s="242"/>
    </row>
    <row r="140" spans="1:39" s="243" customFormat="1" ht="18" hidden="1" customHeight="1" outlineLevel="1" x14ac:dyDescent="0.25">
      <c r="A140" s="137">
        <v>106</v>
      </c>
      <c r="B140" s="142"/>
      <c r="C140" s="148"/>
      <c r="D140" s="148"/>
      <c r="E140" s="265"/>
      <c r="F140" s="141"/>
      <c r="G140" s="262">
        <f>IFERROR(table_renewsummary[[#This Row],[4qty]]*INDEX(unitsTable,MATCH(table_renewsummary[[#This Row],[4units]],INDEX(unitsTable,0,1),0),2),0)</f>
        <v>0</v>
      </c>
      <c r="H140" s="44">
        <f>IFERROR(IF(table_renewsummary[[#This Row],[4offset]]="Electricity",(table_renewsummary[[#This Row],[4qty_calc]]/(IF(projectType="BD+C:Core and Shell",$E$28,$F$28))),0),0)</f>
        <v>0</v>
      </c>
      <c r="I140" s="44">
        <f>IFERROR(IF(table_renewsummary[[#This Row],[4offset]]="Fuel(s)",(table_renewsummary[[#This Row],[4qty_calc]]/(IF(projectType="BD+C:Core and Shell",$E$29,$F$29))),0),0)</f>
        <v>0</v>
      </c>
      <c r="J140" s="118">
        <f>IFERROR(table_renewsummary[[#This Row],[4qty_calc]]/$F$27,0)</f>
        <v>0</v>
      </c>
      <c r="K140" s="256"/>
      <c r="L140" s="256"/>
      <c r="M140" s="256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242"/>
      <c r="AF140" s="242"/>
      <c r="AG140" s="242"/>
      <c r="AH140" s="242"/>
      <c r="AI140" s="242"/>
      <c r="AJ140" s="242"/>
      <c r="AK140" s="242"/>
      <c r="AL140" s="242"/>
      <c r="AM140" s="242"/>
    </row>
    <row r="141" spans="1:39" s="243" customFormat="1" ht="18" hidden="1" customHeight="1" outlineLevel="1" x14ac:dyDescent="0.25">
      <c r="A141" s="137">
        <v>107</v>
      </c>
      <c r="B141" s="142"/>
      <c r="C141" s="148"/>
      <c r="D141" s="148"/>
      <c r="E141" s="265"/>
      <c r="F141" s="141"/>
      <c r="G141" s="262">
        <f>IFERROR(table_renewsummary[[#This Row],[4qty]]*INDEX(unitsTable,MATCH(table_renewsummary[[#This Row],[4units]],INDEX(unitsTable,0,1),0),2),0)</f>
        <v>0</v>
      </c>
      <c r="H141" s="44">
        <f>IFERROR(IF(table_renewsummary[[#This Row],[4offset]]="Electricity",(table_renewsummary[[#This Row],[4qty_calc]]/(IF(projectType="BD+C:Core and Shell",$E$28,$F$28))),0),0)</f>
        <v>0</v>
      </c>
      <c r="I141" s="44">
        <f>IFERROR(IF(table_renewsummary[[#This Row],[4offset]]="Fuel(s)",(table_renewsummary[[#This Row],[4qty_calc]]/(IF(projectType="BD+C:Core and Shell",$E$29,$F$29))),0),0)</f>
        <v>0</v>
      </c>
      <c r="J141" s="118">
        <f>IFERROR(table_renewsummary[[#This Row],[4qty_calc]]/$F$27,0)</f>
        <v>0</v>
      </c>
      <c r="K141" s="256"/>
      <c r="L141" s="256"/>
      <c r="M141" s="256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242"/>
      <c r="AF141" s="242"/>
      <c r="AG141" s="242"/>
      <c r="AH141" s="242"/>
      <c r="AI141" s="242"/>
      <c r="AJ141" s="242"/>
      <c r="AK141" s="242"/>
      <c r="AL141" s="242"/>
      <c r="AM141" s="242"/>
    </row>
    <row r="142" spans="1:39" s="243" customFormat="1" ht="18" hidden="1" customHeight="1" outlineLevel="1" x14ac:dyDescent="0.25">
      <c r="A142" s="137">
        <v>108</v>
      </c>
      <c r="B142" s="142"/>
      <c r="C142" s="148"/>
      <c r="D142" s="148"/>
      <c r="E142" s="265"/>
      <c r="F142" s="141"/>
      <c r="G142" s="262">
        <f>IFERROR(table_renewsummary[[#This Row],[4qty]]*INDEX(unitsTable,MATCH(table_renewsummary[[#This Row],[4units]],INDEX(unitsTable,0,1),0),2),0)</f>
        <v>0</v>
      </c>
      <c r="H142" s="44">
        <f>IFERROR(IF(table_renewsummary[[#This Row],[4offset]]="Electricity",(table_renewsummary[[#This Row],[4qty_calc]]/(IF(projectType="BD+C:Core and Shell",$E$28,$F$28))),0),0)</f>
        <v>0</v>
      </c>
      <c r="I142" s="44">
        <f>IFERROR(IF(table_renewsummary[[#This Row],[4offset]]="Fuel(s)",(table_renewsummary[[#This Row],[4qty_calc]]/(IF(projectType="BD+C:Core and Shell",$E$29,$F$29))),0),0)</f>
        <v>0</v>
      </c>
      <c r="J142" s="118">
        <f>IFERROR(table_renewsummary[[#This Row],[4qty_calc]]/$F$27,0)</f>
        <v>0</v>
      </c>
      <c r="K142" s="256"/>
      <c r="L142" s="256"/>
      <c r="M142" s="256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242"/>
      <c r="AF142" s="242"/>
      <c r="AG142" s="242"/>
      <c r="AH142" s="242"/>
      <c r="AI142" s="242"/>
      <c r="AJ142" s="242"/>
      <c r="AK142" s="242"/>
      <c r="AL142" s="242"/>
      <c r="AM142" s="242"/>
    </row>
    <row r="143" spans="1:39" s="243" customFormat="1" ht="18" hidden="1" customHeight="1" outlineLevel="1" x14ac:dyDescent="0.25">
      <c r="A143" s="137">
        <v>109</v>
      </c>
      <c r="B143" s="142"/>
      <c r="C143" s="148"/>
      <c r="D143" s="148"/>
      <c r="E143" s="265"/>
      <c r="F143" s="141"/>
      <c r="G143" s="262">
        <f>IFERROR(table_renewsummary[[#This Row],[4qty]]*INDEX(unitsTable,MATCH(table_renewsummary[[#This Row],[4units]],INDEX(unitsTable,0,1),0),2),0)</f>
        <v>0</v>
      </c>
      <c r="H143" s="44">
        <f>IFERROR(IF(table_renewsummary[[#This Row],[4offset]]="Electricity",(table_renewsummary[[#This Row],[4qty_calc]]/(IF(projectType="BD+C:Core and Shell",$E$28,$F$28))),0),0)</f>
        <v>0</v>
      </c>
      <c r="I143" s="44">
        <f>IFERROR(IF(table_renewsummary[[#This Row],[4offset]]="Fuel(s)",(table_renewsummary[[#This Row],[4qty_calc]]/(IF(projectType="BD+C:Core and Shell",$E$29,$F$29))),0),0)</f>
        <v>0</v>
      </c>
      <c r="J143" s="118">
        <f>IFERROR(table_renewsummary[[#This Row],[4qty_calc]]/$F$27,0)</f>
        <v>0</v>
      </c>
      <c r="K143" s="256"/>
      <c r="L143" s="256"/>
      <c r="M143" s="256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242"/>
      <c r="AF143" s="242"/>
      <c r="AG143" s="242"/>
      <c r="AH143" s="242"/>
      <c r="AI143" s="242"/>
      <c r="AJ143" s="242"/>
      <c r="AK143" s="242"/>
      <c r="AL143" s="242"/>
      <c r="AM143" s="242"/>
    </row>
    <row r="144" spans="1:39" s="243" customFormat="1" ht="18" customHeight="1" collapsed="1" x14ac:dyDescent="0.25">
      <c r="A144" s="137">
        <v>110</v>
      </c>
      <c r="B144" s="143"/>
      <c r="C144" s="149"/>
      <c r="D144" s="149"/>
      <c r="E144" s="266"/>
      <c r="F144" s="144"/>
      <c r="G144" s="262">
        <f>IFERROR(table_renewsummary[[#This Row],[4qty]]*INDEX(unitsTable,MATCH(table_renewsummary[[#This Row],[4units]],INDEX(unitsTable,0,1),0),2),0)</f>
        <v>0</v>
      </c>
      <c r="H144" s="44">
        <f>IFERROR(IF(table_renewsummary[[#This Row],[4offset]]="Electricity",(table_renewsummary[[#This Row],[4qty_calc]]/(IF(projectType="BD+C:Core and Shell",$E$28,$F$28))),0),0)</f>
        <v>0</v>
      </c>
      <c r="I144" s="44">
        <f>IFERROR(IF(table_renewsummary[[#This Row],[4offset]]="Fuel(s)",(table_renewsummary[[#This Row],[4qty_calc]]/(IF(projectType="BD+C:Core and Shell",$E$29,$F$29))),0),0)</f>
        <v>0</v>
      </c>
      <c r="J144" s="118">
        <f>IFERROR(table_renewsummary[[#This Row],[4qty_calc]]/$F$27,0)</f>
        <v>0</v>
      </c>
      <c r="K144" s="256" t="s">
        <v>293</v>
      </c>
      <c r="L144" s="256"/>
      <c r="M144" s="256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242"/>
      <c r="AF144" s="242"/>
      <c r="AG144" s="242"/>
      <c r="AH144" s="242"/>
      <c r="AI144" s="242"/>
      <c r="AJ144" s="242"/>
      <c r="AK144" s="242"/>
      <c r="AL144" s="242"/>
      <c r="AM144" s="242"/>
    </row>
    <row r="145" spans="1:39" s="243" customFormat="1" ht="18" customHeight="1" x14ac:dyDescent="0.25">
      <c r="A145" s="240"/>
      <c r="B145" s="33" t="s">
        <v>115</v>
      </c>
      <c r="C145" s="34"/>
      <c r="D145" s="35"/>
      <c r="E145" s="36"/>
      <c r="F145" s="37"/>
      <c r="G145" s="267">
        <f>SUM(table_renewsummary[4qty_calc])</f>
        <v>0</v>
      </c>
      <c r="H145" s="124">
        <f>MIN(SUM(table_renewsummary[4per_elec]),1)</f>
        <v>0</v>
      </c>
      <c r="I145" s="124">
        <f>MIN(SUM(table_renewsummary[4per_fuel]),1)</f>
        <v>0</v>
      </c>
      <c r="J145" s="124">
        <f>SUM(table_renewsummary[4per_site])</f>
        <v>0</v>
      </c>
      <c r="K145" s="256"/>
      <c r="L145" s="256"/>
      <c r="M145" s="256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242"/>
      <c r="AF145" s="242"/>
      <c r="AG145" s="242"/>
      <c r="AH145" s="242"/>
      <c r="AI145" s="242"/>
      <c r="AJ145" s="242"/>
      <c r="AK145" s="242"/>
      <c r="AL145" s="242"/>
      <c r="AM145" s="242"/>
    </row>
    <row r="146" spans="1:39" s="243" customFormat="1" ht="18" customHeight="1" x14ac:dyDescent="0.25">
      <c r="A146" s="240"/>
      <c r="B146" s="38" t="s">
        <v>103</v>
      </c>
      <c r="C146" s="39"/>
      <c r="D146" s="39"/>
      <c r="E146" s="39"/>
      <c r="F146" s="39"/>
      <c r="G146" s="268">
        <f>(SUMIF(energyCategories,"Tier 1",table_renewsummary[4qty_calc]))</f>
        <v>0</v>
      </c>
      <c r="H146" s="125">
        <f>MIN(SUMIF(energyCategories,"Tier 1",table_renewsummary[4per_elec]),1)</f>
        <v>0</v>
      </c>
      <c r="I146" s="125">
        <f>MIN(SUMIF(energyCategories,"Tier 1",table_renewsummary[4per_fuel]),1)</f>
        <v>0</v>
      </c>
      <c r="J146" s="124">
        <f>IF(projectType="BD+C:Core and Shell",(IFERROR(ROUNDUP(IF(projectType="BD+C: Core and Shell",$H146*$E$28+$I146*$E$29,$H146*$F28+$I146*$F$29)/$F$27,3),0)),(IFERROR(ROUNDUP(IF(projectType="BD+C: Core and Shell",$H146*$E$28+$I146*$E$29,$H146*$F28+$I146*$F$29)/$F$27,3),0)))</f>
        <v>0</v>
      </c>
      <c r="K146" s="256"/>
      <c r="L146" s="256"/>
      <c r="M146" s="256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242"/>
      <c r="AF146" s="242"/>
      <c r="AG146" s="242"/>
      <c r="AH146" s="242"/>
      <c r="AI146" s="242"/>
      <c r="AJ146" s="242"/>
      <c r="AK146" s="242"/>
      <c r="AL146" s="242"/>
      <c r="AM146" s="242"/>
    </row>
    <row r="147" spans="1:39" s="243" customFormat="1" ht="18" customHeight="1" x14ac:dyDescent="0.25">
      <c r="A147" s="240"/>
      <c r="B147" s="38" t="s">
        <v>104</v>
      </c>
      <c r="C147" s="39"/>
      <c r="D147" s="39"/>
      <c r="E147" s="39"/>
      <c r="F147" s="39"/>
      <c r="G147" s="268">
        <f>(SUMIF(energyCategories,"Tier 2",table_renewsummary[4qty_calc]))</f>
        <v>0</v>
      </c>
      <c r="H147" s="125">
        <f>MIN(SUMIF(energyCategories,"Tier 2",table_renewsummary[4per_elec]),1-H146)</f>
        <v>0</v>
      </c>
      <c r="I147" s="125">
        <f>MIN(SUMIF(energyCategories,"Tier 2",table_renewsummary[4per_fuel]),1)</f>
        <v>0</v>
      </c>
      <c r="J147" s="124">
        <f>IF(projectType="BD+C:Core and Shell",(IFERROR(ROUNDUP(IF(projectType="BD+C: Core and Shell",$H147*$E$28+$I147*$E$29,$H147*$F28+$I147*$F$29)/$F$27,3),0)),(IFERROR(ROUNDUP(IF(projectType="BD+C: Core and Shell",$H147*$E$28+$I147*$E$29,$H147*$F28+$I147*$F$29)/$F$27,3),0)))</f>
        <v>0</v>
      </c>
      <c r="K147" s="51"/>
      <c r="L147" s="51"/>
      <c r="M147" s="51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42"/>
      <c r="AF147" s="242"/>
      <c r="AG147" s="242"/>
      <c r="AH147" s="242"/>
      <c r="AI147" s="242"/>
      <c r="AJ147" s="242"/>
      <c r="AK147" s="242"/>
      <c r="AL147" s="242"/>
      <c r="AM147" s="242"/>
    </row>
    <row r="148" spans="1:39" s="239" customFormat="1" ht="18" customHeight="1" x14ac:dyDescent="0.3">
      <c r="A148" s="234"/>
      <c r="B148" s="38" t="s">
        <v>105</v>
      </c>
      <c r="C148" s="39"/>
      <c r="D148" s="39"/>
      <c r="E148" s="39"/>
      <c r="F148" s="39"/>
      <c r="G148" s="268">
        <f>(SUMIF(energyCategories,"Tier 3",table_renewsummary[4qty_calc]))</f>
        <v>0</v>
      </c>
      <c r="H148" s="125">
        <f>MIN(SUMIF(energyCategories,"Tier 3",table_renewsummary[4per_elec]),1-H147-H146)</f>
        <v>0</v>
      </c>
      <c r="I148" s="125">
        <f>MIN(SUMIF(energyCategories,"Tier 3",table_renewsummary[4per_fuel]),1-I146)</f>
        <v>0</v>
      </c>
      <c r="J148" s="124">
        <f>IF(projectType="BD+C:Core and Shell",(IFERROR(ROUNDUP(IF(projectType="BD+C: Core and Shell",$H148*$E$28+$I148*$E$29,$H148*$F28+$I148*$F$29)/$F$27,3),0)),(IFERROR(ROUNDUP(IF(projectType="BD+C: Core and Shell",$H148*$E$28+$I148*$E$29,$H148*$F28+$I148*$F$29)/$F$27,3),0)))</f>
        <v>0</v>
      </c>
      <c r="K148" s="51"/>
      <c r="L148" s="51"/>
      <c r="M148" s="51"/>
      <c r="N148" s="51"/>
      <c r="O148" s="5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38"/>
      <c r="AB148" s="238"/>
      <c r="AC148" s="238"/>
      <c r="AD148" s="238"/>
      <c r="AE148" s="238"/>
      <c r="AF148" s="238"/>
      <c r="AG148" s="238"/>
      <c r="AH148" s="238"/>
      <c r="AI148" s="238"/>
    </row>
    <row r="149" spans="1:39" s="243" customFormat="1" ht="18" customHeight="1" x14ac:dyDescent="0.25">
      <c r="A149" s="240"/>
      <c r="B149" s="33" t="s">
        <v>85</v>
      </c>
      <c r="C149" s="40"/>
      <c r="D149" s="41"/>
      <c r="E149" s="42"/>
      <c r="F149" s="43"/>
      <c r="G149" s="269"/>
      <c r="H149" s="124"/>
      <c r="I149" s="124"/>
      <c r="J149" s="124">
        <f>SUM(J$146:J$148)</f>
        <v>0</v>
      </c>
      <c r="K149" s="51"/>
      <c r="L149" s="51"/>
      <c r="M149" s="51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42"/>
      <c r="AF149" s="242"/>
      <c r="AG149" s="242"/>
      <c r="AH149" s="242"/>
      <c r="AI149" s="242"/>
      <c r="AJ149" s="242"/>
      <c r="AK149" s="242"/>
      <c r="AL149" s="242"/>
      <c r="AM149" s="242"/>
    </row>
    <row r="150" spans="1:39" s="243" customFormat="1" ht="18" customHeight="1" x14ac:dyDescent="0.25">
      <c r="A150" s="244"/>
      <c r="B150" s="23"/>
      <c r="C150" s="23"/>
      <c r="D150" s="23"/>
      <c r="E150" s="23"/>
      <c r="F150" s="23"/>
      <c r="G150" s="23"/>
      <c r="H150" s="246"/>
      <c r="I150" s="246"/>
      <c r="J150" s="23"/>
      <c r="K150" s="51"/>
      <c r="L150" s="51"/>
      <c r="M150" s="51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42"/>
      <c r="AF150" s="242"/>
      <c r="AG150" s="242"/>
      <c r="AH150" s="242"/>
      <c r="AI150" s="242"/>
      <c r="AJ150" s="242"/>
      <c r="AK150" s="242"/>
      <c r="AL150" s="242"/>
      <c r="AM150" s="242"/>
    </row>
    <row r="151" spans="1:39" s="243" customFormat="1" ht="18" customHeight="1" x14ac:dyDescent="0.25">
      <c r="A151" s="240"/>
      <c r="B151" s="325" t="s">
        <v>23</v>
      </c>
      <c r="C151" s="326"/>
      <c r="D151" s="326"/>
      <c r="E151" s="326"/>
      <c r="F151" s="326"/>
      <c r="G151" s="326"/>
      <c r="H151" s="326"/>
      <c r="I151" s="326"/>
      <c r="J151" s="327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242"/>
      <c r="AF151" s="242"/>
      <c r="AG151" s="242"/>
      <c r="AH151" s="242"/>
      <c r="AI151" s="242"/>
      <c r="AJ151" s="242"/>
      <c r="AK151" s="242"/>
      <c r="AL151" s="242"/>
      <c r="AM151" s="242"/>
    </row>
    <row r="152" spans="1:39" s="243" customFormat="1" ht="18" customHeight="1" x14ac:dyDescent="0.25">
      <c r="A152" s="240"/>
      <c r="B152" s="46" t="s">
        <v>91</v>
      </c>
      <c r="C152" s="257"/>
      <c r="D152" s="250"/>
      <c r="E152" s="250"/>
      <c r="F152" s="258"/>
      <c r="G152" s="23"/>
      <c r="H152" s="23"/>
      <c r="I152" s="23"/>
      <c r="J152" s="23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242"/>
      <c r="AF152" s="242"/>
      <c r="AG152" s="242"/>
      <c r="AH152" s="242"/>
      <c r="AI152" s="242"/>
      <c r="AJ152" s="242"/>
      <c r="AK152" s="242"/>
      <c r="AL152" s="242"/>
      <c r="AM152" s="242"/>
    </row>
    <row r="153" spans="1:39" s="243" customFormat="1" ht="18" customHeight="1" x14ac:dyDescent="0.25">
      <c r="A153" s="240"/>
      <c r="B153" s="331" t="s">
        <v>82</v>
      </c>
      <c r="C153" s="332"/>
      <c r="D153" s="333"/>
      <c r="E153" s="333"/>
      <c r="F153" s="138"/>
      <c r="G153" s="22"/>
      <c r="H153" s="22"/>
      <c r="I153" s="22"/>
      <c r="J153" s="22"/>
      <c r="K153" s="51"/>
      <c r="L153" s="51"/>
      <c r="M153" s="51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42"/>
      <c r="AF153" s="242"/>
      <c r="AG153" s="242"/>
      <c r="AH153" s="242"/>
      <c r="AI153" s="242"/>
      <c r="AJ153" s="242"/>
      <c r="AK153" s="242"/>
      <c r="AL153" s="242"/>
      <c r="AM153" s="242"/>
    </row>
    <row r="154" spans="1:39" s="243" customFormat="1" ht="18" customHeight="1" x14ac:dyDescent="0.25">
      <c r="A154" s="240"/>
      <c r="B154" s="331" t="str">
        <f>IF(F153&lt;=3, "Building gross floor area","Combined gross floor area of the three largest floors in the building")</f>
        <v>Building gross floor area</v>
      </c>
      <c r="C154" s="332"/>
      <c r="D154" s="333"/>
      <c r="E154" s="333"/>
      <c r="F154" s="139"/>
      <c r="G154" s="128" t="str">
        <f>IFERROR(VLOOKUP(Input!$D$6,Database!$D$7:$F$8,2,0),"")</f>
        <v/>
      </c>
      <c r="H154" s="224"/>
      <c r="I154" s="22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242"/>
      <c r="AF154" s="242"/>
      <c r="AG154" s="242"/>
      <c r="AH154" s="242"/>
      <c r="AI154" s="242"/>
      <c r="AJ154" s="242"/>
      <c r="AK154" s="242"/>
      <c r="AL154" s="242"/>
      <c r="AM154" s="242"/>
    </row>
    <row r="155" spans="1:39" s="243" customFormat="1" ht="18" customHeight="1" x14ac:dyDescent="0.25">
      <c r="A155" s="240"/>
      <c r="B155" s="23"/>
      <c r="C155" s="257"/>
      <c r="D155" s="250"/>
      <c r="E155" s="250"/>
      <c r="F155" s="258"/>
      <c r="G155" s="129"/>
      <c r="H155" s="23"/>
      <c r="I155" s="23"/>
      <c r="J155" s="23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242"/>
      <c r="AF155" s="242"/>
      <c r="AG155" s="242"/>
      <c r="AH155" s="242"/>
      <c r="AI155" s="242"/>
      <c r="AJ155" s="242"/>
      <c r="AK155" s="242"/>
      <c r="AL155" s="242"/>
      <c r="AM155" s="242"/>
    </row>
    <row r="156" spans="1:39" s="243" customFormat="1" ht="18" customHeight="1" x14ac:dyDescent="0.25">
      <c r="A156" s="240"/>
      <c r="B156" s="259" t="s">
        <v>92</v>
      </c>
      <c r="G156" s="130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242"/>
      <c r="AF156" s="242"/>
      <c r="AG156" s="242"/>
      <c r="AH156" s="242"/>
      <c r="AI156" s="242"/>
      <c r="AJ156" s="242"/>
      <c r="AK156" s="242"/>
      <c r="AL156" s="242"/>
      <c r="AM156" s="242"/>
    </row>
    <row r="157" spans="1:39" s="243" customFormat="1" ht="18" customHeight="1" x14ac:dyDescent="0.25">
      <c r="A157" s="240"/>
      <c r="B157" s="331" t="s">
        <v>83</v>
      </c>
      <c r="C157" s="332"/>
      <c r="D157" s="333"/>
      <c r="E157" s="333"/>
      <c r="F157" s="139"/>
      <c r="G157" s="128" t="str">
        <f>IFERROR(VLOOKUP(Input!$D$6,Database!$D$7:$F$8,2,0),"")</f>
        <v/>
      </c>
      <c r="H157" s="260" t="s">
        <v>295</v>
      </c>
      <c r="I157" s="22"/>
      <c r="J157" s="22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242"/>
      <c r="AF157" s="242"/>
      <c r="AG157" s="242"/>
      <c r="AH157" s="242"/>
      <c r="AI157" s="242"/>
      <c r="AJ157" s="242"/>
      <c r="AK157" s="242"/>
      <c r="AL157" s="242"/>
      <c r="AM157" s="242"/>
    </row>
    <row r="158" spans="1:39" s="243" customFormat="1" ht="18" customHeight="1" x14ac:dyDescent="0.25">
      <c r="A158" s="240"/>
      <c r="B158" s="331" t="s">
        <v>84</v>
      </c>
      <c r="C158" s="332"/>
      <c r="D158" s="333"/>
      <c r="E158" s="333"/>
      <c r="F158" s="139"/>
      <c r="G158" s="128" t="str">
        <f>IFERROR(VLOOKUP(Input!$D$6,Database!$D$7:$F$8,2,0),"")</f>
        <v/>
      </c>
      <c r="H158" s="23"/>
      <c r="I158" s="23"/>
      <c r="J158" s="23"/>
      <c r="K158" s="51"/>
      <c r="L158" s="51"/>
      <c r="M158" s="51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42"/>
      <c r="AF158" s="242"/>
      <c r="AG158" s="242"/>
      <c r="AH158" s="242"/>
      <c r="AI158" s="242"/>
      <c r="AJ158" s="242"/>
      <c r="AK158" s="242"/>
      <c r="AL158" s="242"/>
      <c r="AM158" s="242"/>
    </row>
    <row r="159" spans="1:39" s="243" customFormat="1" ht="18" customHeight="1" x14ac:dyDescent="0.25">
      <c r="A159" s="240"/>
      <c r="B159" s="331" t="s">
        <v>86</v>
      </c>
      <c r="C159" s="332"/>
      <c r="D159" s="333"/>
      <c r="E159" s="333"/>
      <c r="F159" s="220" t="str">
        <f>IFERROR(IF(F158&gt;F157,"Error",F158/F157*F154),"")</f>
        <v/>
      </c>
      <c r="G159" s="128" t="str">
        <f>IFERROR(VLOOKUP(Input!$D$6,Database!$D$7:$F$8,2,0),"")</f>
        <v/>
      </c>
      <c r="H159" s="23"/>
      <c r="I159" s="23"/>
      <c r="J159" s="23"/>
      <c r="K159" s="23"/>
      <c r="L159" s="23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242"/>
      <c r="AF159" s="242"/>
      <c r="AG159" s="242"/>
      <c r="AH159" s="242"/>
      <c r="AI159" s="242"/>
      <c r="AJ159" s="242"/>
      <c r="AK159" s="242"/>
      <c r="AL159" s="242"/>
      <c r="AM159" s="242"/>
    </row>
    <row r="160" spans="1:39" s="243" customFormat="1" ht="18" customHeight="1" x14ac:dyDescent="0.25">
      <c r="A160" s="240"/>
      <c r="B160" s="23"/>
      <c r="C160" s="257"/>
      <c r="D160" s="250"/>
      <c r="E160" s="250"/>
      <c r="F160" s="258"/>
      <c r="G160" s="129"/>
      <c r="H160" s="23"/>
      <c r="I160" s="23"/>
      <c r="J160" s="23"/>
      <c r="K160" s="23"/>
      <c r="L160" s="23"/>
      <c r="M160" s="51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42"/>
      <c r="AF160" s="242"/>
      <c r="AG160" s="242"/>
      <c r="AH160" s="242"/>
      <c r="AI160" s="242"/>
      <c r="AJ160" s="242"/>
      <c r="AK160" s="242"/>
      <c r="AL160" s="242"/>
      <c r="AM160" s="242"/>
    </row>
    <row r="161" spans="1:40" s="243" customFormat="1" ht="18" customHeight="1" x14ac:dyDescent="0.25">
      <c r="A161" s="244"/>
      <c r="B161" s="46" t="s">
        <v>90</v>
      </c>
      <c r="C161" s="257"/>
      <c r="D161" s="250"/>
      <c r="E161" s="250"/>
      <c r="F161" s="258"/>
      <c r="G161" s="129"/>
      <c r="H161" s="23"/>
      <c r="I161" s="23"/>
      <c r="J161" s="23"/>
      <c r="K161" s="23"/>
      <c r="L161" s="23"/>
      <c r="M161" s="51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42"/>
      <c r="AF161" s="242"/>
      <c r="AG161" s="242"/>
      <c r="AH161" s="242"/>
      <c r="AI161" s="242"/>
      <c r="AJ161" s="242"/>
      <c r="AK161" s="242"/>
      <c r="AL161" s="242"/>
      <c r="AM161" s="242"/>
    </row>
    <row r="162" spans="1:40" s="243" customFormat="1" ht="18" customHeight="1" x14ac:dyDescent="0.25">
      <c r="A162" s="240"/>
      <c r="B162" s="331" t="s">
        <v>24</v>
      </c>
      <c r="C162" s="332"/>
      <c r="D162" s="333"/>
      <c r="E162" s="333"/>
      <c r="F162" s="138"/>
      <c r="G162" s="128" t="s">
        <v>121</v>
      </c>
      <c r="H162" s="22"/>
      <c r="I162" s="22"/>
      <c r="J162" s="23"/>
      <c r="K162" s="23"/>
      <c r="L162" s="23"/>
      <c r="M162" s="51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42"/>
      <c r="AF162" s="242"/>
      <c r="AG162" s="242"/>
      <c r="AH162" s="242"/>
      <c r="AI162" s="242"/>
      <c r="AJ162" s="242"/>
      <c r="AK162" s="242"/>
      <c r="AL162" s="242"/>
      <c r="AM162" s="242"/>
    </row>
    <row r="163" spans="1:40" s="243" customFormat="1" ht="18" customHeight="1" x14ac:dyDescent="0.25">
      <c r="A163" s="51"/>
      <c r="B163" s="46" t="s">
        <v>93</v>
      </c>
      <c r="C163" s="257"/>
      <c r="D163" s="250"/>
      <c r="E163" s="250"/>
      <c r="F163" s="258"/>
      <c r="G163" s="129"/>
      <c r="H163" s="23"/>
      <c r="I163" s="23"/>
      <c r="J163" s="23"/>
      <c r="K163" s="48"/>
      <c r="L163" s="48"/>
      <c r="M163" s="51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42"/>
      <c r="AF163" s="242"/>
      <c r="AG163" s="242"/>
      <c r="AH163" s="242"/>
      <c r="AI163" s="242"/>
      <c r="AJ163" s="242"/>
      <c r="AK163" s="242"/>
      <c r="AL163" s="242"/>
      <c r="AM163" s="242"/>
    </row>
    <row r="164" spans="1:40" s="243" customFormat="1" ht="18" customHeight="1" x14ac:dyDescent="0.25">
      <c r="A164" s="51"/>
      <c r="B164" s="331" t="str">
        <f>CONCATENATE("Renewable capacity per unit area for the three largest floors",IF(projectType="ID+C: Interior Design and Construction",", prorated based on project area",""))</f>
        <v>Renewable capacity per unit area for the three largest floors</v>
      </c>
      <c r="C164" s="332"/>
      <c r="D164" s="333"/>
      <c r="E164" s="333"/>
      <c r="F164" s="45">
        <f>IFERROR($F$162/IF(projectType="ID+C: Interior Design and Construction",$F$159,$F$154),0)</f>
        <v>0</v>
      </c>
      <c r="G164" s="128" t="str">
        <f>IFERROR(VLOOKUP(Input!$D$6,Database!$D$7:$F$8,3,0),"")</f>
        <v/>
      </c>
      <c r="H164" s="22"/>
      <c r="I164" s="22"/>
      <c r="J164" s="23"/>
      <c r="K164" s="23"/>
      <c r="L164" s="23"/>
      <c r="M164" s="51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42"/>
      <c r="AF164" s="242"/>
      <c r="AG164" s="242"/>
      <c r="AH164" s="242"/>
      <c r="AI164" s="242"/>
      <c r="AJ164" s="242"/>
      <c r="AK164" s="242"/>
      <c r="AL164" s="242"/>
      <c r="AM164" s="242"/>
    </row>
    <row r="165" spans="1:40" s="243" customFormat="1" ht="18" customHeight="1" x14ac:dyDescent="0.25">
      <c r="A165" s="244"/>
      <c r="B165" s="23"/>
      <c r="C165" s="22"/>
      <c r="D165" s="22"/>
      <c r="E165" s="22"/>
      <c r="F165" s="22"/>
      <c r="G165" s="22"/>
      <c r="H165" s="245"/>
      <c r="I165" s="246"/>
      <c r="J165" s="23"/>
      <c r="K165" s="51"/>
      <c r="L165" s="51"/>
      <c r="M165" s="51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42"/>
      <c r="AF165" s="242"/>
      <c r="AG165" s="242"/>
      <c r="AH165" s="242"/>
      <c r="AI165" s="242"/>
      <c r="AJ165" s="242"/>
      <c r="AK165" s="242"/>
      <c r="AL165" s="242"/>
      <c r="AM165" s="242"/>
    </row>
    <row r="166" spans="1:40" s="243" customFormat="1" ht="18" customHeight="1" x14ac:dyDescent="0.25">
      <c r="A166" s="222"/>
      <c r="B166" s="325" t="s">
        <v>130</v>
      </c>
      <c r="C166" s="326"/>
      <c r="D166" s="326"/>
      <c r="E166" s="326"/>
      <c r="F166" s="326"/>
      <c r="G166" s="326"/>
      <c r="H166" s="326"/>
      <c r="I166" s="326"/>
      <c r="J166" s="327"/>
      <c r="K166" s="23"/>
      <c r="L166" s="23"/>
      <c r="M166" s="51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42"/>
      <c r="AG166" s="242"/>
      <c r="AH166" s="242"/>
      <c r="AI166" s="242"/>
      <c r="AJ166" s="242"/>
      <c r="AK166" s="242"/>
      <c r="AL166" s="242"/>
      <c r="AM166" s="242"/>
      <c r="AN166" s="242"/>
    </row>
    <row r="167" spans="1:40" s="243" customFormat="1" ht="18" customHeight="1" x14ac:dyDescent="0.25">
      <c r="A167" s="222"/>
      <c r="B167" s="47"/>
      <c r="C167" s="48"/>
      <c r="D167" s="48"/>
      <c r="E167" s="48"/>
      <c r="F167" s="48"/>
      <c r="G167" s="23"/>
      <c r="H167" s="48"/>
      <c r="I167" s="48"/>
      <c r="J167" s="48"/>
      <c r="K167" s="51"/>
      <c r="L167" s="51"/>
      <c r="M167" s="51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42"/>
      <c r="AG167" s="242"/>
      <c r="AH167" s="242"/>
      <c r="AI167" s="242"/>
      <c r="AJ167" s="242"/>
      <c r="AK167" s="242"/>
      <c r="AL167" s="242"/>
      <c r="AM167" s="242"/>
      <c r="AN167" s="242"/>
    </row>
    <row r="168" spans="1:40" s="243" customFormat="1" ht="18" customHeight="1" x14ac:dyDescent="0.25">
      <c r="A168" s="222"/>
      <c r="B168" s="49"/>
      <c r="C168" s="52" t="s">
        <v>126</v>
      </c>
      <c r="D168" s="52"/>
      <c r="E168" s="52"/>
      <c r="F168" s="48"/>
      <c r="G168" s="51"/>
      <c r="H168" s="51"/>
      <c r="I168" s="51"/>
      <c r="J168" s="51"/>
      <c r="K168" s="51"/>
      <c r="L168" s="51"/>
      <c r="M168" s="51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42"/>
      <c r="AG168" s="242"/>
      <c r="AH168" s="242"/>
      <c r="AI168" s="242"/>
      <c r="AJ168" s="242"/>
      <c r="AK168" s="242"/>
      <c r="AL168" s="242"/>
      <c r="AM168" s="242"/>
      <c r="AN168" s="242"/>
    </row>
    <row r="169" spans="1:40" s="243" customFormat="1" ht="30" customHeight="1" x14ac:dyDescent="0.25">
      <c r="A169" s="222"/>
      <c r="B169" s="53" t="s">
        <v>48</v>
      </c>
      <c r="C169" s="54" t="s">
        <v>98</v>
      </c>
      <c r="D169" s="54"/>
      <c r="E169" s="54" t="s">
        <v>97</v>
      </c>
      <c r="F169" s="48"/>
      <c r="G169" s="51"/>
      <c r="H169" s="51"/>
      <c r="I169" s="51"/>
      <c r="J169" s="51"/>
      <c r="K169" s="51"/>
      <c r="L169" s="51"/>
      <c r="M169" s="51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42"/>
      <c r="AG169" s="242"/>
      <c r="AH169" s="242"/>
      <c r="AI169" s="242"/>
      <c r="AJ169" s="242"/>
      <c r="AK169" s="242"/>
      <c r="AL169" s="242"/>
      <c r="AM169" s="242"/>
      <c r="AN169" s="242"/>
    </row>
    <row r="170" spans="1:40" s="243" customFormat="1" ht="18" customHeight="1" x14ac:dyDescent="0.25">
      <c r="A170" s="222"/>
      <c r="B170" s="57" t="s">
        <v>20</v>
      </c>
      <c r="C170" s="55" cm="1">
        <f t="array" ref="C170">IF($D$7="BD+C: Core and Shell",
   IF($J$146&lt;=MIN(Tier1_cs_min),
      INDEX(Tier1_cs_pts,1),
      IF($J$146&gt;=MAX(Tier1_cs_min),
         INDEX(Tier1_cs_pts,ROWS(Tier1_cs_pts)),
         INDEX(Tier1_cs_pts, MATCH($J$146, Tier1_cs_min, 1)) +
         (
           ($J$146 - INDEX(Tier1_cs_min, MATCH($J$146, Tier1_cs_min, 1))) /
           (INDEX(Tier1_cs_min, MATCH($J$146, Tier1_cs_min, 1)+1) -
            INDEX(Tier1_cs_min, MATCH($J$146, Tier1_cs_min, 1)))
         ) *
         (INDEX(Tier1_cs_pts, MATCH($J$146, Tier1_cs_min, 1)+1) -
          INDEX(Tier1_cs_pts, MATCH($J$146, Tier1_cs_min, 1)))
      )
   ),
   IF($J$146&lt;=MIN(Tier1_nc_idc_min),
      INDEX(Tier1_nc_idc_pts,1),
      IF($J$146&gt;=MAX(Tier1_nc_idc_min),
         INDEX(Tier1_nc_idc_pts,ROWS(Tier1_nc_idc_pts)),
         INDEX(Tier1_nc_idc_pts, MATCH($J$146, Tier1_nc_idc_min, 1)) +
         (
           ($J$146 - INDEX(Tier1_nc_idc_min, MATCH($J$146, Tier1_nc_idc_min, 1))) /
           (INDEX(Tier1_nc_idc_min, MATCH($J$146, Tier1_nc_idc_min, 1)+1) -
            INDEX(Tier1_nc_idc_min, MATCH($J$146, Tier1_nc_idc_min, 1)))
         ) *
         (INDEX(Tier1_nc_idc_pts, MATCH($J$146, Tier1_nc_idc_min, 1)+1) -
          INDEX(Tier1_nc_idc_pts, MATCH($J$146, Tier1_nc_idc_min, 1)))
      )
   )
)</f>
        <v>0</v>
      </c>
      <c r="D170" s="55" t="s">
        <v>96</v>
      </c>
      <c r="E170" s="217">
        <f>IF($D$6="IP Units",IF(F164&gt;=2,2,IF(F164&gt;=(1),1,0)),IF(F164&gt;=21.6,2,IF(F164&gt;=10.8,1,0)))</f>
        <v>0</v>
      </c>
      <c r="F170" s="48"/>
      <c r="G170" s="51"/>
      <c r="H170" s="51"/>
      <c r="I170" s="51"/>
      <c r="J170" s="51"/>
      <c r="K170" s="51"/>
      <c r="L170" s="51"/>
      <c r="M170" s="51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42"/>
      <c r="AF170" s="242"/>
      <c r="AG170" s="242"/>
      <c r="AH170" s="242"/>
      <c r="AI170" s="242"/>
      <c r="AJ170" s="242"/>
      <c r="AK170" s="242"/>
      <c r="AL170" s="242"/>
      <c r="AM170" s="242"/>
    </row>
    <row r="171" spans="1:40" s="243" customFormat="1" ht="18" customHeight="1" x14ac:dyDescent="0.25">
      <c r="A171" s="51"/>
      <c r="B171" s="58" t="s">
        <v>19</v>
      </c>
      <c r="C171" s="56" cm="1">
        <f t="array" ref="C171">ROUNDDOWN(
 IF($D$7="BD+C: Core and Shell",
    IF($J$147&lt;=MIN(Tier2_cs_min),
       INDEX(Tier2_cs_pts,1),
       IF($J$147&gt;=MAX(Tier2_cs_min),
          INDEX(Tier2_cs_pts,ROWS(Tier2_cs_pts)),
          INDEX(Tier2_cs_pts,MATCH($J$147,Tier2_cs_min,1)) +
          (
            ($J$147 - INDEX(Tier2_cs_min,MATCH($J$147,Tier2_cs_min,1))) /
            (INDEX(Tier2_cs_min,MATCH($J$147,Tier2_cs_min,1)+1) -
             INDEX(Tier2_cs_min,MATCH($J$147,Tier2_cs_min,1)))
          ) *
          (INDEX(Tier2_cs_pts,MATCH($J$147,Tier2_cs_min,1)+1) -
           INDEX(Tier2_cs_pts,MATCH($J$147,Tier2_cs_min,1)))
       )
    ),
    IF($J$147&lt;=MIN(Tier2_nc_idc_min),
       INDEX(Tier2_nc_idc_pts,1),
       IF($J$147&gt;=MAX(Tier2_nc_idc_min),
          INDEX(Tier2_nc_idc_pts,ROWS(Tier2_nc_idc_pts)),
          INDEX(Tier2_nc_idc_pts,MATCH($J$147,Tier2_nc_idc_min,1)) +
          (
            ($J$147 - INDEX(Tier2_nc_idc_min,MATCH($J$147,Tier2_nc_idc_min,1))) /
            (INDEX(Tier2_nc_idc_min,MATCH($J$147,Tier2_nc_idc_min,1)+1) -
             INDEX(Tier2_nc_idc_min,MATCH($J$147,Tier2_nc_idc_min,1)))
          ) *
          (INDEX(Tier2_nc_idc_pts,MATCH($J$147,Tier2_nc_idc_min,1)+1) -
           INDEX(Tier2_nc_idc_pts,MATCH($J$147,Tier2_nc_idc_min,1)))
       )
    )
 ),2)</f>
        <v>0</v>
      </c>
      <c r="D171" s="50"/>
      <c r="E171" s="51"/>
      <c r="F171" s="48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242"/>
      <c r="AF171" s="242"/>
      <c r="AG171" s="242"/>
      <c r="AH171" s="242"/>
      <c r="AI171" s="242"/>
      <c r="AJ171" s="242"/>
      <c r="AK171" s="242"/>
      <c r="AL171" s="242"/>
      <c r="AM171" s="242"/>
    </row>
    <row r="172" spans="1:40" s="243" customFormat="1" ht="18" customHeight="1" x14ac:dyDescent="0.25">
      <c r="A172" s="51"/>
      <c r="B172" s="58" t="s">
        <v>21</v>
      </c>
      <c r="C172" s="55" cm="1">
        <f t="array" ref="C172">ROUNDDOWN(
 IF($D$7="BD+C: Core and Shell",
    IF($J$148&lt;=MIN(Tier3_cs_min),
       INDEX(Tier3_cs_pts,1),
       IF($J$148&gt;=MAX(Tier3_cs_min),
          INDEX(Tier3_cs_pts,ROWS(Tier3_cs_pts)),
          INDEX(Tier3_cs_pts,MATCH($J$148,Tier3_cs_min,1)) +
          (
            ($J$148 - INDEX(Tier3_cs_min,MATCH($J$148,Tier3_cs_min,1))) /
            (INDEX(Tier3_cs_min,MATCH($J$148,Tier3_cs_min,1)+1) -
             INDEX(Tier3_cs_min,MATCH($J$148,Tier3_cs_min,1)))
          ) *
          (INDEX(Tier3_cs_pts,MATCH($J$148,Tier3_cs_min,1)+1) -
           INDEX(Tier3_cs_pts,MATCH($J$148,Tier3_cs_min,1)))
       )
    ),
    IF($J$148&lt;=MIN(Tier3_nc_idc_min),
       INDEX(Tier3_nc_idc_pts,1),
       IF($J$148&gt;=MAX(Tier3_nc_idc_min),
          INDEX(Tier3_nc_idc_pts,ROWS(Tier3_nc_idc_pts)),
          INDEX(Tier3_nc_idc_pts,MATCH($J$148,Tier3_nc_idc_min,1)) +
          (
            ($J$148 - INDEX(Tier3_nc_idc_min,MATCH($J$148,Tier3_nc_idc_min,1))) /
            (INDEX(Tier3_nc_idc_min,MATCH($J$148,Tier3_nc_idc_min,1)+1) -
             INDEX(Tier3_nc_idc_min,MATCH($J$148,Tier3_nc_idc_min,1)))
          ) *
          (INDEX(Tier3_nc_idc_pts,MATCH($J$148,Tier3_nc_idc_min,1)+1) -
           INDEX(Tier3_nc_idc_pts,MATCH($J$148,Tier3_nc_idc_min,1)))
       )
    )
 ),
 2
)</f>
        <v>0</v>
      </c>
      <c r="D172" s="50"/>
      <c r="E172" s="51"/>
      <c r="F172" s="48"/>
      <c r="G172" s="51"/>
      <c r="H172" s="51"/>
      <c r="I172" s="51"/>
      <c r="J172" s="51"/>
      <c r="K172" s="51"/>
      <c r="L172" s="51"/>
      <c r="M172" s="51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42"/>
      <c r="AF172" s="242"/>
      <c r="AG172" s="242"/>
      <c r="AH172" s="242"/>
      <c r="AI172" s="242"/>
      <c r="AJ172" s="242"/>
      <c r="AK172" s="242"/>
      <c r="AL172" s="242"/>
      <c r="AM172" s="242"/>
    </row>
    <row r="173" spans="1:40" s="243" customFormat="1" ht="18" customHeight="1" x14ac:dyDescent="0.25">
      <c r="A173" s="51"/>
      <c r="B173" s="51"/>
      <c r="C173" s="218"/>
      <c r="D173" s="51"/>
      <c r="E173" s="51"/>
      <c r="F173" s="48"/>
      <c r="G173" s="51"/>
      <c r="H173" s="51"/>
      <c r="I173" s="51"/>
      <c r="J173" s="51"/>
      <c r="K173" s="51"/>
      <c r="L173" s="51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42"/>
      <c r="AF173" s="242"/>
      <c r="AG173" s="242"/>
      <c r="AH173" s="242"/>
      <c r="AI173" s="242"/>
      <c r="AJ173" s="242"/>
      <c r="AK173" s="242"/>
      <c r="AL173" s="242"/>
      <c r="AM173" s="242"/>
    </row>
    <row r="174" spans="1:40" s="243" customFormat="1" ht="14.25" customHeight="1" x14ac:dyDescent="0.25">
      <c r="A174" s="51"/>
      <c r="B174" s="131"/>
      <c r="C174" s="59"/>
      <c r="D174" s="49"/>
      <c r="E174" s="49"/>
      <c r="F174" s="49"/>
      <c r="G174" s="49"/>
      <c r="H174" s="49"/>
      <c r="I174" s="51"/>
      <c r="J174" s="51"/>
      <c r="K174" s="51"/>
      <c r="L174" s="51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42"/>
      <c r="AF174" s="242"/>
      <c r="AG174" s="242"/>
      <c r="AH174" s="242"/>
      <c r="AI174" s="242"/>
      <c r="AJ174" s="242"/>
      <c r="AK174" s="242"/>
      <c r="AL174" s="242"/>
      <c r="AM174" s="242"/>
    </row>
    <row r="175" spans="1:40" s="243" customFormat="1" ht="14.25" customHeight="1" x14ac:dyDescent="0.25">
      <c r="A175" s="51"/>
      <c r="B175" s="250"/>
      <c r="C175" s="250"/>
      <c r="D175" s="51"/>
      <c r="E175" s="51"/>
      <c r="F175" s="51"/>
      <c r="G175" s="51"/>
      <c r="H175" s="51"/>
      <c r="I175" s="51"/>
      <c r="J175" s="51"/>
      <c r="K175" s="51"/>
      <c r="L175" s="51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42"/>
      <c r="AF175" s="242"/>
      <c r="AG175" s="242"/>
      <c r="AH175" s="242"/>
      <c r="AI175" s="242"/>
      <c r="AJ175" s="242"/>
      <c r="AK175" s="242"/>
      <c r="AL175" s="242"/>
      <c r="AM175" s="242"/>
    </row>
    <row r="176" spans="1:40" s="243" customFormat="1" ht="14.25" customHeight="1" x14ac:dyDescent="0.25">
      <c r="A176" s="222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42"/>
      <c r="AF176" s="242"/>
      <c r="AG176" s="242"/>
      <c r="AH176" s="242"/>
      <c r="AI176" s="242"/>
      <c r="AJ176" s="242"/>
      <c r="AK176" s="242"/>
      <c r="AL176" s="242"/>
      <c r="AM176" s="242"/>
    </row>
    <row r="177" spans="1:39" s="243" customFormat="1" ht="14.25" customHeight="1" x14ac:dyDescent="0.25">
      <c r="A177" s="222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42"/>
      <c r="AF177" s="242"/>
      <c r="AG177" s="242"/>
      <c r="AH177" s="242"/>
      <c r="AI177" s="242"/>
      <c r="AJ177" s="242"/>
      <c r="AK177" s="242"/>
      <c r="AL177" s="242"/>
      <c r="AM177" s="242"/>
    </row>
    <row r="178" spans="1:39" s="243" customFormat="1" ht="14.25" customHeight="1" x14ac:dyDescent="0.25">
      <c r="A178" s="222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42"/>
      <c r="AF178" s="242"/>
      <c r="AG178" s="242"/>
      <c r="AH178" s="242"/>
      <c r="AI178" s="242"/>
      <c r="AJ178" s="242"/>
      <c r="AK178" s="242"/>
      <c r="AL178" s="242"/>
      <c r="AM178" s="242"/>
    </row>
    <row r="179" spans="1:39" s="243" customFormat="1" ht="14.25" customHeight="1" x14ac:dyDescent="0.25">
      <c r="A179" s="222"/>
      <c r="B179" s="222"/>
      <c r="C179" s="222"/>
      <c r="D179" s="222"/>
      <c r="E179" s="222"/>
      <c r="F179" s="222"/>
      <c r="G179" s="222"/>
      <c r="H179" s="222"/>
      <c r="I179" s="51"/>
      <c r="J179" s="222"/>
      <c r="K179" s="51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42"/>
      <c r="AF179" s="242"/>
      <c r="AG179" s="242"/>
      <c r="AH179" s="242"/>
      <c r="AI179" s="242"/>
      <c r="AJ179" s="242"/>
      <c r="AK179" s="242"/>
      <c r="AL179" s="242"/>
      <c r="AM179" s="242"/>
    </row>
    <row r="180" spans="1:39" s="243" customFormat="1" ht="14.25" customHeight="1" x14ac:dyDescent="0.25">
      <c r="A180" s="222"/>
      <c r="B180" s="222"/>
      <c r="C180" s="222"/>
      <c r="D180" s="222"/>
      <c r="E180" s="222"/>
      <c r="F180" s="222"/>
      <c r="G180" s="222"/>
      <c r="H180" s="222"/>
      <c r="I180" s="51"/>
      <c r="J180" s="222"/>
      <c r="K180" s="51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42"/>
      <c r="AF180" s="242"/>
      <c r="AG180" s="242"/>
      <c r="AH180" s="242"/>
      <c r="AI180" s="242"/>
      <c r="AJ180" s="242"/>
      <c r="AK180" s="242"/>
      <c r="AL180" s="242"/>
      <c r="AM180" s="242"/>
    </row>
    <row r="181" spans="1:39" s="243" customFormat="1" ht="14.25" customHeight="1" x14ac:dyDescent="0.25">
      <c r="A181" s="222"/>
      <c r="B181" s="222"/>
      <c r="C181" s="222"/>
      <c r="D181" s="222"/>
      <c r="E181" s="222"/>
      <c r="F181" s="222"/>
      <c r="G181" s="222"/>
      <c r="H181" s="222"/>
      <c r="I181" s="51"/>
      <c r="J181" s="222"/>
      <c r="K181" s="51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42"/>
      <c r="AF181" s="242"/>
      <c r="AG181" s="242"/>
      <c r="AH181" s="242"/>
      <c r="AI181" s="242"/>
      <c r="AJ181" s="242"/>
      <c r="AK181" s="242"/>
      <c r="AL181" s="242"/>
      <c r="AM181" s="242"/>
    </row>
    <row r="182" spans="1:39" s="243" customFormat="1" ht="14.25" customHeight="1" x14ac:dyDescent="0.25">
      <c r="A182" s="222"/>
      <c r="B182" s="222"/>
      <c r="C182" s="222"/>
      <c r="D182" s="222"/>
      <c r="E182" s="222"/>
      <c r="F182" s="222"/>
      <c r="G182" s="222"/>
      <c r="H182" s="222"/>
      <c r="I182" s="51"/>
      <c r="J182" s="222"/>
      <c r="K182" s="51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42"/>
      <c r="AF182" s="242"/>
      <c r="AG182" s="242"/>
      <c r="AH182" s="242"/>
      <c r="AI182" s="242"/>
      <c r="AJ182" s="242"/>
      <c r="AK182" s="242"/>
      <c r="AL182" s="242"/>
      <c r="AM182" s="242"/>
    </row>
    <row r="183" spans="1:39" s="243" customFormat="1" ht="14.25" customHeight="1" x14ac:dyDescent="0.25">
      <c r="A183" s="222"/>
      <c r="B183" s="222"/>
      <c r="C183" s="222"/>
      <c r="D183" s="222"/>
      <c r="E183" s="222"/>
      <c r="F183" s="222"/>
      <c r="G183" s="222"/>
      <c r="H183" s="222"/>
      <c r="I183" s="51"/>
      <c r="J183" s="222"/>
      <c r="K183" s="51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42"/>
      <c r="AF183" s="242"/>
      <c r="AG183" s="242"/>
      <c r="AH183" s="242"/>
      <c r="AI183" s="242"/>
      <c r="AJ183" s="242"/>
      <c r="AK183" s="242"/>
      <c r="AL183" s="242"/>
      <c r="AM183" s="242"/>
    </row>
    <row r="184" spans="1:39" s="243" customFormat="1" ht="14.25" customHeight="1" x14ac:dyDescent="0.25">
      <c r="A184" s="222"/>
      <c r="B184" s="222"/>
      <c r="C184" s="222"/>
      <c r="D184" s="222"/>
      <c r="E184" s="222"/>
      <c r="F184" s="222"/>
      <c r="G184" s="222"/>
      <c r="H184" s="222"/>
      <c r="I184" s="51"/>
      <c r="J184" s="222"/>
      <c r="K184" s="51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42"/>
      <c r="AF184" s="242"/>
      <c r="AG184" s="242"/>
      <c r="AH184" s="242"/>
      <c r="AI184" s="242"/>
      <c r="AJ184" s="242"/>
      <c r="AK184" s="242"/>
      <c r="AL184" s="242"/>
      <c r="AM184" s="242"/>
    </row>
    <row r="185" spans="1:39" s="243" customFormat="1" ht="14.25" customHeight="1" x14ac:dyDescent="0.25">
      <c r="A185" s="222"/>
      <c r="B185" s="222"/>
      <c r="C185" s="222"/>
      <c r="D185" s="222"/>
      <c r="E185" s="222"/>
      <c r="F185" s="222"/>
      <c r="G185" s="222"/>
      <c r="H185" s="222"/>
      <c r="I185" s="51"/>
      <c r="J185" s="222"/>
      <c r="K185" s="51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42"/>
      <c r="AF185" s="242"/>
      <c r="AG185" s="242"/>
      <c r="AH185" s="242"/>
      <c r="AI185" s="242"/>
      <c r="AJ185" s="242"/>
      <c r="AK185" s="242"/>
      <c r="AL185" s="242"/>
      <c r="AM185" s="242"/>
    </row>
    <row r="186" spans="1:39" s="243" customFormat="1" ht="14.25" customHeight="1" x14ac:dyDescent="0.25">
      <c r="A186" s="222"/>
      <c r="B186" s="222"/>
      <c r="C186" s="222"/>
      <c r="D186" s="222"/>
      <c r="E186" s="222"/>
      <c r="F186" s="222"/>
      <c r="G186" s="222"/>
      <c r="H186" s="222"/>
      <c r="I186" s="51"/>
      <c r="J186" s="222"/>
      <c r="K186" s="51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42"/>
      <c r="AF186" s="242"/>
      <c r="AG186" s="242"/>
      <c r="AH186" s="242"/>
      <c r="AI186" s="242"/>
      <c r="AJ186" s="242"/>
      <c r="AK186" s="242"/>
      <c r="AL186" s="242"/>
      <c r="AM186" s="242"/>
    </row>
    <row r="187" spans="1:39" s="243" customFormat="1" ht="14.25" customHeight="1" x14ac:dyDescent="0.25">
      <c r="A187" s="222"/>
      <c r="B187" s="222"/>
      <c r="C187" s="222"/>
      <c r="D187" s="222"/>
      <c r="E187" s="222"/>
      <c r="F187" s="222"/>
      <c r="G187" s="222"/>
      <c r="H187" s="222"/>
      <c r="I187" s="51"/>
      <c r="J187" s="222"/>
      <c r="K187" s="51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42"/>
      <c r="AF187" s="242"/>
      <c r="AG187" s="242"/>
      <c r="AH187" s="242"/>
      <c r="AI187" s="242"/>
      <c r="AJ187" s="242"/>
      <c r="AK187" s="242"/>
      <c r="AL187" s="242"/>
      <c r="AM187" s="242"/>
    </row>
    <row r="188" spans="1:39" s="243" customFormat="1" ht="14.25" customHeight="1" x14ac:dyDescent="0.25">
      <c r="A188" s="222"/>
      <c r="B188" s="222"/>
      <c r="C188" s="222"/>
      <c r="D188" s="222"/>
      <c r="E188" s="222"/>
      <c r="F188" s="222"/>
      <c r="G188" s="222"/>
      <c r="H188" s="222"/>
      <c r="I188" s="51"/>
      <c r="J188" s="222"/>
      <c r="K188" s="51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42"/>
      <c r="AF188" s="242"/>
      <c r="AG188" s="242"/>
      <c r="AH188" s="242"/>
      <c r="AI188" s="242"/>
      <c r="AJ188" s="242"/>
      <c r="AK188" s="242"/>
      <c r="AL188" s="242"/>
      <c r="AM188" s="242"/>
    </row>
    <row r="189" spans="1:39" s="243" customFormat="1" ht="14.25" customHeight="1" x14ac:dyDescent="0.25">
      <c r="A189" s="222"/>
      <c r="B189" s="222"/>
      <c r="C189" s="222"/>
      <c r="D189" s="222"/>
      <c r="E189" s="222"/>
      <c r="F189" s="222"/>
      <c r="G189" s="222"/>
      <c r="H189" s="222"/>
      <c r="I189" s="51"/>
      <c r="J189" s="222"/>
      <c r="K189" s="51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42"/>
      <c r="AF189" s="242"/>
      <c r="AG189" s="242"/>
      <c r="AH189" s="242"/>
      <c r="AI189" s="242"/>
      <c r="AJ189" s="242"/>
      <c r="AK189" s="242"/>
      <c r="AL189" s="242"/>
      <c r="AM189" s="242"/>
    </row>
    <row r="190" spans="1:39" s="243" customFormat="1" ht="14.25" customHeight="1" x14ac:dyDescent="0.25">
      <c r="A190" s="222"/>
      <c r="B190" s="222"/>
      <c r="C190" s="222"/>
      <c r="D190" s="222"/>
      <c r="E190" s="222"/>
      <c r="F190" s="222"/>
      <c r="G190" s="222"/>
      <c r="H190" s="222"/>
      <c r="I190" s="51"/>
      <c r="J190" s="222"/>
      <c r="K190" s="51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42"/>
      <c r="AF190" s="242"/>
      <c r="AG190" s="242"/>
      <c r="AH190" s="242"/>
      <c r="AI190" s="242"/>
      <c r="AJ190" s="242"/>
      <c r="AK190" s="242"/>
      <c r="AL190" s="242"/>
      <c r="AM190" s="242"/>
    </row>
    <row r="191" spans="1:39" s="243" customFormat="1" ht="14.25" customHeight="1" x14ac:dyDescent="0.25">
      <c r="A191" s="222"/>
      <c r="B191" s="222"/>
      <c r="C191" s="222"/>
      <c r="D191" s="222"/>
      <c r="E191" s="222"/>
      <c r="F191" s="222"/>
      <c r="G191" s="222"/>
      <c r="H191" s="222"/>
      <c r="I191" s="51"/>
      <c r="J191" s="222"/>
      <c r="K191" s="51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42"/>
      <c r="AF191" s="242"/>
      <c r="AG191" s="242"/>
      <c r="AH191" s="242"/>
      <c r="AI191" s="242"/>
      <c r="AJ191" s="242"/>
      <c r="AK191" s="242"/>
      <c r="AL191" s="242"/>
      <c r="AM191" s="242"/>
    </row>
    <row r="192" spans="1:39" s="243" customFormat="1" ht="14.25" customHeight="1" x14ac:dyDescent="0.25">
      <c r="A192" s="222"/>
      <c r="B192" s="222"/>
      <c r="C192" s="222"/>
      <c r="D192" s="222"/>
      <c r="E192" s="222"/>
      <c r="F192" s="222"/>
      <c r="G192" s="222"/>
      <c r="H192" s="222"/>
      <c r="I192" s="51"/>
      <c r="J192" s="222"/>
      <c r="K192" s="51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42"/>
      <c r="AF192" s="242"/>
      <c r="AG192" s="242"/>
      <c r="AH192" s="242"/>
      <c r="AI192" s="242"/>
      <c r="AJ192" s="242"/>
      <c r="AK192" s="242"/>
      <c r="AL192" s="242"/>
      <c r="AM192" s="242"/>
    </row>
    <row r="193" spans="1:39" s="243" customFormat="1" ht="14.25" customHeight="1" x14ac:dyDescent="0.25">
      <c r="A193" s="222"/>
      <c r="B193" s="222"/>
      <c r="C193" s="222"/>
      <c r="D193" s="222"/>
      <c r="E193" s="222"/>
      <c r="F193" s="222"/>
      <c r="G193" s="222"/>
      <c r="H193" s="222"/>
      <c r="I193" s="51"/>
      <c r="J193" s="222"/>
      <c r="K193" s="51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42"/>
      <c r="AF193" s="242"/>
      <c r="AG193" s="242"/>
      <c r="AH193" s="242"/>
      <c r="AI193" s="242"/>
      <c r="AJ193" s="242"/>
      <c r="AK193" s="242"/>
      <c r="AL193" s="242"/>
      <c r="AM193" s="242"/>
    </row>
    <row r="194" spans="1:39" s="243" customFormat="1" ht="14.25" customHeight="1" x14ac:dyDescent="0.25">
      <c r="A194" s="222"/>
      <c r="B194" s="222"/>
      <c r="C194" s="222"/>
      <c r="D194" s="222"/>
      <c r="E194" s="222"/>
      <c r="F194" s="222"/>
      <c r="G194" s="222"/>
      <c r="H194" s="222"/>
      <c r="I194" s="51"/>
      <c r="J194" s="222"/>
      <c r="K194" s="51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42"/>
      <c r="AF194" s="242"/>
      <c r="AG194" s="242"/>
      <c r="AH194" s="242"/>
      <c r="AI194" s="242"/>
      <c r="AJ194" s="242"/>
      <c r="AK194" s="242"/>
      <c r="AL194" s="242"/>
      <c r="AM194" s="242"/>
    </row>
    <row r="195" spans="1:39" s="243" customFormat="1" ht="14.25" customHeight="1" x14ac:dyDescent="0.25">
      <c r="A195" s="222"/>
      <c r="B195" s="222"/>
      <c r="C195" s="222"/>
      <c r="D195" s="222"/>
      <c r="E195" s="222"/>
      <c r="F195" s="222"/>
      <c r="G195" s="222"/>
      <c r="H195" s="222"/>
      <c r="I195" s="51"/>
      <c r="J195" s="222"/>
      <c r="K195" s="51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42"/>
      <c r="AF195" s="242"/>
      <c r="AG195" s="242"/>
      <c r="AH195" s="242"/>
      <c r="AI195" s="242"/>
      <c r="AJ195" s="242"/>
      <c r="AK195" s="242"/>
      <c r="AL195" s="242"/>
      <c r="AM195" s="242"/>
    </row>
    <row r="196" spans="1:39" s="243" customFormat="1" ht="14.25" customHeight="1" x14ac:dyDescent="0.25">
      <c r="A196" s="222"/>
      <c r="B196" s="222"/>
      <c r="C196" s="222"/>
      <c r="D196" s="222"/>
      <c r="E196" s="222"/>
      <c r="F196" s="222"/>
      <c r="G196" s="222"/>
      <c r="H196" s="222"/>
      <c r="I196" s="51"/>
      <c r="J196" s="222"/>
      <c r="K196" s="51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42"/>
      <c r="AF196" s="242"/>
      <c r="AG196" s="242"/>
      <c r="AH196" s="242"/>
      <c r="AI196" s="242"/>
      <c r="AJ196" s="242"/>
      <c r="AK196" s="242"/>
      <c r="AL196" s="242"/>
      <c r="AM196" s="242"/>
    </row>
    <row r="197" spans="1:39" s="243" customFormat="1" ht="14.25" customHeight="1" x14ac:dyDescent="0.25">
      <c r="A197" s="222"/>
      <c r="B197" s="222"/>
      <c r="C197" s="222"/>
      <c r="D197" s="222"/>
      <c r="E197" s="222"/>
      <c r="F197" s="222"/>
      <c r="G197" s="222"/>
      <c r="H197" s="222"/>
      <c r="I197" s="51"/>
      <c r="J197" s="222"/>
      <c r="K197" s="51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42"/>
      <c r="AF197" s="242"/>
      <c r="AG197" s="242"/>
      <c r="AH197" s="242"/>
      <c r="AI197" s="242"/>
      <c r="AJ197" s="242"/>
      <c r="AK197" s="242"/>
      <c r="AL197" s="242"/>
      <c r="AM197" s="242"/>
    </row>
    <row r="198" spans="1:39" s="243" customFormat="1" ht="14.25" customHeight="1" x14ac:dyDescent="0.25">
      <c r="A198" s="222"/>
      <c r="B198" s="222"/>
      <c r="C198" s="222"/>
      <c r="D198" s="222"/>
      <c r="E198" s="222"/>
      <c r="F198" s="222"/>
      <c r="G198" s="222"/>
      <c r="H198" s="222"/>
      <c r="I198" s="51"/>
      <c r="J198" s="222"/>
      <c r="K198" s="51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42"/>
      <c r="AF198" s="242"/>
      <c r="AG198" s="242"/>
      <c r="AH198" s="242"/>
      <c r="AI198" s="242"/>
      <c r="AJ198" s="242"/>
      <c r="AK198" s="242"/>
      <c r="AL198" s="242"/>
      <c r="AM198" s="242"/>
    </row>
    <row r="199" spans="1:39" s="243" customFormat="1" ht="14.25" customHeight="1" x14ac:dyDescent="0.25">
      <c r="A199" s="222"/>
      <c r="B199" s="222"/>
      <c r="C199" s="222"/>
      <c r="D199" s="222"/>
      <c r="E199" s="222"/>
      <c r="F199" s="222"/>
      <c r="G199" s="222"/>
      <c r="H199" s="222"/>
      <c r="I199" s="51"/>
      <c r="J199" s="222"/>
      <c r="K199" s="51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42"/>
      <c r="AF199" s="242"/>
      <c r="AG199" s="242"/>
      <c r="AH199" s="242"/>
      <c r="AI199" s="242"/>
      <c r="AJ199" s="242"/>
      <c r="AK199" s="242"/>
      <c r="AL199" s="242"/>
      <c r="AM199" s="242"/>
    </row>
    <row r="200" spans="1:39" s="243" customFormat="1" ht="14.25" customHeight="1" x14ac:dyDescent="0.25">
      <c r="A200" s="222"/>
      <c r="B200" s="222"/>
      <c r="C200" s="222"/>
      <c r="D200" s="222"/>
      <c r="E200" s="222"/>
      <c r="F200" s="222"/>
      <c r="G200" s="222"/>
      <c r="H200" s="222"/>
      <c r="I200" s="51"/>
      <c r="J200" s="222"/>
      <c r="K200" s="51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42"/>
      <c r="AF200" s="242"/>
      <c r="AG200" s="242"/>
      <c r="AH200" s="242"/>
      <c r="AI200" s="242"/>
      <c r="AJ200" s="242"/>
      <c r="AK200" s="242"/>
      <c r="AL200" s="242"/>
      <c r="AM200" s="242"/>
    </row>
    <row r="201" spans="1:39" s="243" customFormat="1" ht="14.25" customHeight="1" x14ac:dyDescent="0.25">
      <c r="A201" s="222"/>
      <c r="B201" s="222"/>
      <c r="C201" s="222"/>
      <c r="D201" s="222"/>
      <c r="E201" s="222"/>
      <c r="F201" s="222"/>
      <c r="G201" s="222"/>
      <c r="H201" s="222"/>
      <c r="I201" s="51"/>
      <c r="J201" s="222"/>
      <c r="K201" s="51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42"/>
      <c r="AF201" s="242"/>
      <c r="AG201" s="242"/>
      <c r="AH201" s="242"/>
      <c r="AI201" s="242"/>
      <c r="AJ201" s="242"/>
      <c r="AK201" s="242"/>
      <c r="AL201" s="242"/>
      <c r="AM201" s="242"/>
    </row>
    <row r="202" spans="1:39" s="243" customFormat="1" ht="14.25" customHeight="1" x14ac:dyDescent="0.25">
      <c r="A202" s="222"/>
      <c r="B202" s="222"/>
      <c r="C202" s="222"/>
      <c r="D202" s="222"/>
      <c r="E202" s="222"/>
      <c r="F202" s="222"/>
      <c r="G202" s="222"/>
      <c r="H202" s="222"/>
      <c r="I202" s="51"/>
      <c r="J202" s="222"/>
      <c r="K202" s="51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42"/>
      <c r="AF202" s="242"/>
      <c r="AG202" s="242"/>
      <c r="AH202" s="242"/>
      <c r="AI202" s="242"/>
      <c r="AJ202" s="242"/>
      <c r="AK202" s="242"/>
      <c r="AL202" s="242"/>
      <c r="AM202" s="242"/>
    </row>
    <row r="203" spans="1:39" s="243" customFormat="1" ht="14.25" customHeight="1" x14ac:dyDescent="0.25">
      <c r="A203" s="222"/>
      <c r="B203" s="222"/>
      <c r="C203" s="222"/>
      <c r="D203" s="222"/>
      <c r="E203" s="222"/>
      <c r="F203" s="222"/>
      <c r="G203" s="222"/>
      <c r="H203" s="222"/>
      <c r="I203" s="51"/>
      <c r="J203" s="222"/>
      <c r="K203" s="51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42"/>
      <c r="AF203" s="242"/>
      <c r="AG203" s="242"/>
      <c r="AH203" s="242"/>
      <c r="AI203" s="242"/>
      <c r="AJ203" s="242"/>
      <c r="AK203" s="242"/>
      <c r="AL203" s="242"/>
      <c r="AM203" s="242"/>
    </row>
    <row r="204" spans="1:39" s="243" customFormat="1" ht="14.25" customHeight="1" x14ac:dyDescent="0.25">
      <c r="A204" s="222"/>
      <c r="B204" s="222"/>
      <c r="C204" s="222"/>
      <c r="D204" s="222"/>
      <c r="E204" s="222"/>
      <c r="F204" s="222"/>
      <c r="G204" s="222"/>
      <c r="H204" s="222"/>
      <c r="I204" s="51"/>
      <c r="J204" s="222"/>
      <c r="K204" s="51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42"/>
      <c r="AF204" s="242"/>
      <c r="AG204" s="242"/>
      <c r="AH204" s="242"/>
      <c r="AI204" s="242"/>
      <c r="AJ204" s="242"/>
      <c r="AK204" s="242"/>
      <c r="AL204" s="242"/>
      <c r="AM204" s="242"/>
    </row>
    <row r="205" spans="1:39" s="243" customFormat="1" ht="14.25" customHeight="1" x14ac:dyDescent="0.25">
      <c r="A205" s="222"/>
      <c r="B205" s="222"/>
      <c r="C205" s="222"/>
      <c r="D205" s="222"/>
      <c r="E205" s="222"/>
      <c r="F205" s="222"/>
      <c r="G205" s="222"/>
      <c r="H205" s="222"/>
      <c r="I205" s="51"/>
      <c r="J205" s="222"/>
      <c r="K205" s="51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42"/>
      <c r="AF205" s="242"/>
      <c r="AG205" s="242"/>
      <c r="AH205" s="242"/>
      <c r="AI205" s="242"/>
      <c r="AJ205" s="242"/>
      <c r="AK205" s="242"/>
      <c r="AL205" s="242"/>
      <c r="AM205" s="242"/>
    </row>
    <row r="206" spans="1:39" s="243" customFormat="1" ht="14.25" customHeight="1" x14ac:dyDescent="0.25">
      <c r="A206" s="222"/>
      <c r="B206" s="222"/>
      <c r="C206" s="222"/>
      <c r="D206" s="222"/>
      <c r="E206" s="222"/>
      <c r="F206" s="222"/>
      <c r="G206" s="222"/>
      <c r="H206" s="222"/>
      <c r="I206" s="51"/>
      <c r="J206" s="222"/>
      <c r="K206" s="51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42"/>
      <c r="AF206" s="242"/>
      <c r="AG206" s="242"/>
      <c r="AH206" s="242"/>
      <c r="AI206" s="242"/>
      <c r="AJ206" s="242"/>
      <c r="AK206" s="242"/>
      <c r="AL206" s="242"/>
      <c r="AM206" s="242"/>
    </row>
    <row r="207" spans="1:39" s="243" customFormat="1" ht="14.25" customHeight="1" x14ac:dyDescent="0.25">
      <c r="A207" s="222"/>
      <c r="B207" s="222"/>
      <c r="C207" s="222"/>
      <c r="D207" s="222"/>
      <c r="E207" s="222"/>
      <c r="F207" s="222"/>
      <c r="G207" s="222"/>
      <c r="H207" s="222"/>
      <c r="I207" s="51"/>
      <c r="J207" s="222"/>
      <c r="K207" s="51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42"/>
      <c r="AF207" s="242"/>
      <c r="AG207" s="242"/>
      <c r="AH207" s="242"/>
      <c r="AI207" s="242"/>
      <c r="AJ207" s="242"/>
      <c r="AK207" s="242"/>
      <c r="AL207" s="242"/>
      <c r="AM207" s="242"/>
    </row>
    <row r="208" spans="1:39" s="243" customFormat="1" ht="14.25" customHeight="1" x14ac:dyDescent="0.25">
      <c r="A208" s="222"/>
      <c r="B208" s="222"/>
      <c r="C208" s="222"/>
      <c r="D208" s="222"/>
      <c r="E208" s="222"/>
      <c r="F208" s="222"/>
      <c r="G208" s="222"/>
      <c r="H208" s="222"/>
      <c r="I208" s="51"/>
      <c r="J208" s="222"/>
      <c r="K208" s="51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42"/>
      <c r="AF208" s="242"/>
      <c r="AG208" s="242"/>
      <c r="AH208" s="242"/>
      <c r="AI208" s="242"/>
      <c r="AJ208" s="242"/>
      <c r="AK208" s="242"/>
      <c r="AL208" s="242"/>
      <c r="AM208" s="242"/>
    </row>
    <row r="209" spans="1:39" s="243" customFormat="1" ht="14.25" customHeight="1" x14ac:dyDescent="0.25">
      <c r="A209" s="222"/>
      <c r="B209" s="222"/>
      <c r="C209" s="222"/>
      <c r="D209" s="222"/>
      <c r="E209" s="222"/>
      <c r="F209" s="222"/>
      <c r="G209" s="222"/>
      <c r="H209" s="222"/>
      <c r="I209" s="51"/>
      <c r="J209" s="222"/>
      <c r="K209" s="51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42"/>
      <c r="AF209" s="242"/>
      <c r="AG209" s="242"/>
      <c r="AH209" s="242"/>
      <c r="AI209" s="242"/>
      <c r="AJ209" s="242"/>
      <c r="AK209" s="242"/>
      <c r="AL209" s="242"/>
      <c r="AM209" s="242"/>
    </row>
    <row r="210" spans="1:39" s="243" customFormat="1" ht="14.25" customHeight="1" x14ac:dyDescent="0.25">
      <c r="A210" s="222"/>
      <c r="B210" s="222"/>
      <c r="C210" s="222"/>
      <c r="D210" s="222"/>
      <c r="E210" s="222"/>
      <c r="F210" s="222"/>
      <c r="G210" s="222"/>
      <c r="H210" s="222"/>
      <c r="I210" s="51"/>
      <c r="J210" s="222"/>
      <c r="K210" s="51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42"/>
      <c r="AF210" s="242"/>
      <c r="AG210" s="242"/>
      <c r="AH210" s="242"/>
      <c r="AI210" s="242"/>
      <c r="AJ210" s="242"/>
      <c r="AK210" s="242"/>
      <c r="AL210" s="242"/>
      <c r="AM210" s="242"/>
    </row>
    <row r="211" spans="1:39" s="243" customFormat="1" ht="14.25" customHeight="1" x14ac:dyDescent="0.25">
      <c r="A211" s="222"/>
      <c r="B211" s="222"/>
      <c r="C211" s="222"/>
      <c r="D211" s="222"/>
      <c r="E211" s="222"/>
      <c r="F211" s="222"/>
      <c r="G211" s="222"/>
      <c r="H211" s="222"/>
      <c r="I211" s="51"/>
      <c r="J211" s="222"/>
      <c r="K211" s="51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42"/>
      <c r="AF211" s="242"/>
      <c r="AG211" s="242"/>
      <c r="AH211" s="242"/>
      <c r="AI211" s="242"/>
      <c r="AJ211" s="242"/>
      <c r="AK211" s="242"/>
      <c r="AL211" s="242"/>
      <c r="AM211" s="242"/>
    </row>
    <row r="212" spans="1:39" s="243" customFormat="1" ht="14.25" customHeight="1" x14ac:dyDescent="0.25">
      <c r="A212" s="222"/>
      <c r="B212" s="222"/>
      <c r="C212" s="222"/>
      <c r="D212" s="222"/>
      <c r="E212" s="222"/>
      <c r="F212" s="222"/>
      <c r="G212" s="222"/>
      <c r="H212" s="222"/>
      <c r="I212" s="51"/>
      <c r="J212" s="222"/>
      <c r="K212" s="51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42"/>
      <c r="AF212" s="242"/>
      <c r="AG212" s="242"/>
      <c r="AH212" s="242"/>
      <c r="AI212" s="242"/>
      <c r="AJ212" s="242"/>
      <c r="AK212" s="242"/>
      <c r="AL212" s="242"/>
      <c r="AM212" s="242"/>
    </row>
    <row r="213" spans="1:39" s="243" customFormat="1" ht="14.25" customHeight="1" x14ac:dyDescent="0.25">
      <c r="A213" s="222"/>
      <c r="B213" s="222"/>
      <c r="C213" s="222"/>
      <c r="D213" s="222"/>
      <c r="E213" s="222"/>
      <c r="F213" s="222"/>
      <c r="G213" s="222"/>
      <c r="H213" s="222"/>
      <c r="I213" s="51"/>
      <c r="J213" s="222"/>
      <c r="K213" s="51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42"/>
      <c r="AF213" s="242"/>
      <c r="AG213" s="242"/>
      <c r="AH213" s="242"/>
      <c r="AI213" s="242"/>
      <c r="AJ213" s="242"/>
      <c r="AK213" s="242"/>
      <c r="AL213" s="242"/>
      <c r="AM213" s="242"/>
    </row>
    <row r="214" spans="1:39" s="243" customFormat="1" ht="14.25" customHeight="1" x14ac:dyDescent="0.25">
      <c r="A214" s="222"/>
      <c r="B214" s="222"/>
      <c r="C214" s="222"/>
      <c r="D214" s="222"/>
      <c r="E214" s="222"/>
      <c r="F214" s="222"/>
      <c r="G214" s="222"/>
      <c r="H214" s="222"/>
      <c r="I214" s="51"/>
      <c r="J214" s="222"/>
      <c r="K214" s="51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42"/>
      <c r="AF214" s="242"/>
      <c r="AG214" s="242"/>
      <c r="AH214" s="242"/>
      <c r="AI214" s="242"/>
      <c r="AJ214" s="242"/>
      <c r="AK214" s="242"/>
      <c r="AL214" s="242"/>
      <c r="AM214" s="242"/>
    </row>
    <row r="215" spans="1:39" s="243" customFormat="1" ht="14.25" customHeight="1" x14ac:dyDescent="0.25">
      <c r="A215" s="222"/>
      <c r="B215" s="222"/>
      <c r="C215" s="222"/>
      <c r="D215" s="222"/>
      <c r="E215" s="222"/>
      <c r="F215" s="222"/>
      <c r="G215" s="222"/>
      <c r="H215" s="222"/>
      <c r="I215" s="51"/>
      <c r="J215" s="222"/>
      <c r="K215" s="51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42"/>
      <c r="AF215" s="242"/>
      <c r="AG215" s="242"/>
      <c r="AH215" s="242"/>
      <c r="AI215" s="242"/>
      <c r="AJ215" s="242"/>
      <c r="AK215" s="242"/>
      <c r="AL215" s="242"/>
      <c r="AM215" s="242"/>
    </row>
    <row r="216" spans="1:39" s="243" customFormat="1" ht="14.25" customHeight="1" x14ac:dyDescent="0.25">
      <c r="A216" s="222"/>
      <c r="B216" s="222"/>
      <c r="C216" s="222"/>
      <c r="D216" s="222"/>
      <c r="E216" s="222"/>
      <c r="F216" s="222"/>
      <c r="G216" s="222"/>
      <c r="H216" s="222"/>
      <c r="I216" s="51"/>
      <c r="J216" s="222"/>
      <c r="K216" s="51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42"/>
      <c r="AF216" s="242"/>
      <c r="AG216" s="242"/>
      <c r="AH216" s="242"/>
      <c r="AI216" s="242"/>
      <c r="AJ216" s="242"/>
      <c r="AK216" s="242"/>
      <c r="AL216" s="242"/>
      <c r="AM216" s="242"/>
    </row>
    <row r="217" spans="1:39" s="243" customFormat="1" ht="14.25" customHeight="1" x14ac:dyDescent="0.25">
      <c r="A217" s="222"/>
      <c r="B217" s="222"/>
      <c r="C217" s="222"/>
      <c r="D217" s="222"/>
      <c r="E217" s="222"/>
      <c r="F217" s="222"/>
      <c r="G217" s="222"/>
      <c r="H217" s="222"/>
      <c r="I217" s="51"/>
      <c r="J217" s="222"/>
      <c r="K217" s="51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42"/>
      <c r="AF217" s="242"/>
      <c r="AG217" s="242"/>
      <c r="AH217" s="242"/>
      <c r="AI217" s="242"/>
      <c r="AJ217" s="242"/>
      <c r="AK217" s="242"/>
      <c r="AL217" s="242"/>
      <c r="AM217" s="242"/>
    </row>
    <row r="218" spans="1:39" s="243" customFormat="1" ht="14.25" customHeight="1" x14ac:dyDescent="0.25">
      <c r="A218" s="222"/>
      <c r="B218" s="222"/>
      <c r="C218" s="222"/>
      <c r="D218" s="222"/>
      <c r="E218" s="222"/>
      <c r="F218" s="222"/>
      <c r="G218" s="222"/>
      <c r="H218" s="222"/>
      <c r="I218" s="51"/>
      <c r="J218" s="222"/>
      <c r="K218" s="51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42"/>
      <c r="AF218" s="242"/>
      <c r="AG218" s="242"/>
      <c r="AH218" s="242"/>
      <c r="AI218" s="242"/>
      <c r="AJ218" s="242"/>
      <c r="AK218" s="242"/>
      <c r="AL218" s="242"/>
      <c r="AM218" s="242"/>
    </row>
    <row r="219" spans="1:39" s="243" customFormat="1" ht="14.25" customHeight="1" x14ac:dyDescent="0.25">
      <c r="A219" s="222"/>
      <c r="B219" s="222"/>
      <c r="C219" s="222"/>
      <c r="D219" s="222"/>
      <c r="E219" s="222"/>
      <c r="F219" s="222"/>
      <c r="G219" s="222"/>
      <c r="H219" s="222"/>
      <c r="I219" s="51"/>
      <c r="J219" s="222"/>
      <c r="K219" s="51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42"/>
      <c r="AF219" s="242"/>
      <c r="AG219" s="242"/>
      <c r="AH219" s="242"/>
      <c r="AI219" s="242"/>
      <c r="AJ219" s="242"/>
      <c r="AK219" s="242"/>
      <c r="AL219" s="242"/>
      <c r="AM219" s="242"/>
    </row>
    <row r="220" spans="1:39" s="243" customFormat="1" ht="14.25" customHeight="1" x14ac:dyDescent="0.25">
      <c r="A220" s="222"/>
      <c r="B220" s="222"/>
      <c r="C220" s="222"/>
      <c r="D220" s="222"/>
      <c r="E220" s="222"/>
      <c r="F220" s="222"/>
      <c r="G220" s="222"/>
      <c r="H220" s="222"/>
      <c r="I220" s="51"/>
      <c r="J220" s="222"/>
      <c r="K220" s="51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42"/>
      <c r="AF220" s="242"/>
      <c r="AG220" s="242"/>
      <c r="AH220" s="242"/>
      <c r="AI220" s="242"/>
      <c r="AJ220" s="242"/>
      <c r="AK220" s="242"/>
      <c r="AL220" s="242"/>
      <c r="AM220" s="242"/>
    </row>
    <row r="221" spans="1:39" s="243" customFormat="1" ht="14.25" customHeight="1" x14ac:dyDescent="0.25">
      <c r="A221" s="222"/>
      <c r="B221" s="222"/>
      <c r="C221" s="222"/>
      <c r="D221" s="222"/>
      <c r="E221" s="222"/>
      <c r="F221" s="222"/>
      <c r="G221" s="222"/>
      <c r="H221" s="222"/>
      <c r="I221" s="51"/>
      <c r="J221" s="222"/>
      <c r="K221" s="51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42"/>
      <c r="AF221" s="242"/>
      <c r="AG221" s="242"/>
      <c r="AH221" s="242"/>
      <c r="AI221" s="242"/>
      <c r="AJ221" s="242"/>
      <c r="AK221" s="242"/>
      <c r="AL221" s="242"/>
      <c r="AM221" s="242"/>
    </row>
    <row r="222" spans="1:39" s="243" customFormat="1" ht="14.25" customHeight="1" x14ac:dyDescent="0.25">
      <c r="A222" s="222"/>
      <c r="B222" s="222"/>
      <c r="C222" s="222"/>
      <c r="D222" s="222"/>
      <c r="E222" s="222"/>
      <c r="F222" s="222"/>
      <c r="G222" s="222"/>
      <c r="H222" s="222"/>
      <c r="I222" s="51"/>
      <c r="J222" s="222"/>
      <c r="K222" s="51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42"/>
      <c r="AF222" s="242"/>
      <c r="AG222" s="242"/>
      <c r="AH222" s="242"/>
      <c r="AI222" s="242"/>
      <c r="AJ222" s="242"/>
      <c r="AK222" s="242"/>
      <c r="AL222" s="242"/>
      <c r="AM222" s="242"/>
    </row>
    <row r="223" spans="1:39" s="243" customFormat="1" ht="14.25" customHeight="1" x14ac:dyDescent="0.25">
      <c r="A223" s="222"/>
      <c r="B223" s="222"/>
      <c r="C223" s="222"/>
      <c r="D223" s="222"/>
      <c r="E223" s="222"/>
      <c r="F223" s="222"/>
      <c r="G223" s="222"/>
      <c r="H223" s="222"/>
      <c r="I223" s="51"/>
      <c r="J223" s="222"/>
      <c r="K223" s="51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42"/>
      <c r="AF223" s="242"/>
      <c r="AG223" s="242"/>
      <c r="AH223" s="242"/>
      <c r="AI223" s="242"/>
      <c r="AJ223" s="242"/>
      <c r="AK223" s="242"/>
      <c r="AL223" s="242"/>
      <c r="AM223" s="242"/>
    </row>
    <row r="224" spans="1:39" s="243" customFormat="1" ht="14.25" customHeight="1" x14ac:dyDescent="0.25">
      <c r="A224" s="222"/>
      <c r="B224" s="222"/>
      <c r="C224" s="222"/>
      <c r="D224" s="222"/>
      <c r="E224" s="222"/>
      <c r="F224" s="222"/>
      <c r="G224" s="222"/>
      <c r="H224" s="222"/>
      <c r="I224" s="51"/>
      <c r="J224" s="222"/>
      <c r="K224" s="51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42"/>
      <c r="AF224" s="242"/>
      <c r="AG224" s="242"/>
      <c r="AH224" s="242"/>
      <c r="AI224" s="242"/>
      <c r="AJ224" s="242"/>
      <c r="AK224" s="242"/>
      <c r="AL224" s="242"/>
      <c r="AM224" s="242"/>
    </row>
    <row r="225" spans="1:39" s="243" customFormat="1" ht="14.25" customHeight="1" x14ac:dyDescent="0.25">
      <c r="A225" s="222"/>
      <c r="B225" s="222"/>
      <c r="C225" s="222"/>
      <c r="D225" s="222"/>
      <c r="E225" s="222"/>
      <c r="F225" s="222"/>
      <c r="G225" s="222"/>
      <c r="H225" s="222"/>
      <c r="I225" s="51"/>
      <c r="J225" s="222"/>
      <c r="K225" s="51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42"/>
      <c r="AF225" s="242"/>
      <c r="AG225" s="242"/>
      <c r="AH225" s="242"/>
      <c r="AI225" s="242"/>
      <c r="AJ225" s="242"/>
      <c r="AK225" s="242"/>
      <c r="AL225" s="242"/>
      <c r="AM225" s="242"/>
    </row>
    <row r="226" spans="1:39" s="243" customFormat="1" ht="14.25" customHeight="1" x14ac:dyDescent="0.25">
      <c r="A226" s="222"/>
      <c r="B226" s="222"/>
      <c r="C226" s="222"/>
      <c r="D226" s="222"/>
      <c r="E226" s="222"/>
      <c r="F226" s="222"/>
      <c r="G226" s="222"/>
      <c r="H226" s="222"/>
      <c r="I226" s="51"/>
      <c r="J226" s="222"/>
      <c r="K226" s="51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42"/>
      <c r="AF226" s="242"/>
      <c r="AG226" s="242"/>
      <c r="AH226" s="242"/>
      <c r="AI226" s="242"/>
      <c r="AJ226" s="242"/>
      <c r="AK226" s="242"/>
      <c r="AL226" s="242"/>
      <c r="AM226" s="242"/>
    </row>
    <row r="227" spans="1:39" s="243" customFormat="1" ht="14.25" customHeight="1" x14ac:dyDescent="0.25">
      <c r="A227" s="222"/>
      <c r="B227" s="222"/>
      <c r="C227" s="222"/>
      <c r="D227" s="222"/>
      <c r="E227" s="222"/>
      <c r="F227" s="222"/>
      <c r="G227" s="222"/>
      <c r="H227" s="222"/>
      <c r="I227" s="51"/>
      <c r="J227" s="222"/>
      <c r="K227" s="51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42"/>
      <c r="AF227" s="242"/>
      <c r="AG227" s="242"/>
      <c r="AH227" s="242"/>
      <c r="AI227" s="242"/>
      <c r="AJ227" s="242"/>
      <c r="AK227" s="242"/>
      <c r="AL227" s="242"/>
      <c r="AM227" s="242"/>
    </row>
    <row r="228" spans="1:39" s="243" customFormat="1" ht="14.25" customHeight="1" x14ac:dyDescent="0.25">
      <c r="A228" s="222"/>
      <c r="B228" s="222"/>
      <c r="C228" s="222"/>
      <c r="D228" s="222"/>
      <c r="E228" s="222"/>
      <c r="F228" s="222"/>
      <c r="G228" s="222"/>
      <c r="H228" s="222"/>
      <c r="I228" s="51"/>
      <c r="J228" s="222"/>
      <c r="K228" s="51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42"/>
      <c r="AF228" s="242"/>
      <c r="AG228" s="242"/>
      <c r="AH228" s="242"/>
      <c r="AI228" s="242"/>
      <c r="AJ228" s="242"/>
      <c r="AK228" s="242"/>
      <c r="AL228" s="242"/>
      <c r="AM228" s="242"/>
    </row>
    <row r="229" spans="1:39" ht="14.25" customHeight="1" x14ac:dyDescent="0.25">
      <c r="A229" s="17"/>
      <c r="B229" s="17"/>
      <c r="C229" s="17"/>
      <c r="D229" s="17"/>
      <c r="E229" s="17"/>
      <c r="F229" s="17"/>
      <c r="H229" s="17"/>
      <c r="I229" s="16"/>
      <c r="J229" s="17"/>
      <c r="K229" s="1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8"/>
      <c r="AF229" s="18"/>
      <c r="AG229" s="18"/>
      <c r="AH229" s="18"/>
      <c r="AI229" s="18"/>
      <c r="AJ229" s="18"/>
      <c r="AK229" s="18"/>
      <c r="AL229" s="18"/>
      <c r="AM229" s="18"/>
    </row>
    <row r="230" spans="1:39" ht="15" customHeight="1" x14ac:dyDescent="0.25">
      <c r="B230" s="17"/>
      <c r="C230" s="17"/>
      <c r="D230" s="17"/>
      <c r="E230" s="17"/>
      <c r="F230" s="17"/>
      <c r="H230" s="17"/>
      <c r="I230" s="16"/>
      <c r="J230" s="17"/>
      <c r="K230" s="16"/>
      <c r="L230" s="17"/>
    </row>
    <row r="231" spans="1:39" ht="15" customHeight="1" x14ac:dyDescent="0.25">
      <c r="B231" s="17"/>
      <c r="C231" s="17"/>
      <c r="D231" s="17"/>
      <c r="E231" s="17"/>
      <c r="F231" s="17"/>
      <c r="H231" s="17"/>
      <c r="I231" s="16"/>
      <c r="J231" s="17"/>
    </row>
    <row r="232" spans="1:39" ht="15" customHeight="1" x14ac:dyDescent="0.25">
      <c r="B232" s="17"/>
      <c r="C232" s="17"/>
      <c r="D232" s="17"/>
      <c r="E232" s="17"/>
      <c r="F232" s="17"/>
      <c r="H232" s="17"/>
      <c r="I232" s="16"/>
      <c r="J232" s="17"/>
    </row>
    <row r="233" spans="1:39" ht="15" customHeight="1" x14ac:dyDescent="0.25">
      <c r="B233" s="17"/>
      <c r="C233" s="17"/>
      <c r="D233" s="17"/>
      <c r="E233" s="17"/>
      <c r="F233" s="17"/>
      <c r="H233" s="17"/>
      <c r="I233" s="16"/>
      <c r="J233" s="17"/>
    </row>
    <row r="234" spans="1:39" ht="15" customHeight="1" x14ac:dyDescent="0.25">
      <c r="B234" s="17"/>
      <c r="C234" s="17"/>
      <c r="D234" s="17"/>
      <c r="E234" s="17"/>
      <c r="F234" s="17"/>
      <c r="H234" s="17"/>
      <c r="I234" s="16"/>
      <c r="J234" s="17"/>
    </row>
  </sheetData>
  <sheetProtection algorithmName="SHA-512" hashValue="Rg3jflWg/lNsOfgxRrYWVAHC0eBCBsw7lYF4GMKmZ/0Vu2q50ob/yu385hVrXVuJwJIUojXzseudGS7/eegKYA==" saltValue="ibls4TBBeQ3zwfN60Sy9Cg==" spinCount="100000" sheet="1" formatRows="0"/>
  <mergeCells count="21">
    <mergeCell ref="B166:J166"/>
    <mergeCell ref="B151:J151"/>
    <mergeCell ref="B31:J31"/>
    <mergeCell ref="B9:J9"/>
    <mergeCell ref="B164:E164"/>
    <mergeCell ref="B162:E162"/>
    <mergeCell ref="B157:E157"/>
    <mergeCell ref="B158:E158"/>
    <mergeCell ref="B159:E159"/>
    <mergeCell ref="B13:E13"/>
    <mergeCell ref="B16:E16"/>
    <mergeCell ref="B153:E153"/>
    <mergeCell ref="B154:E154"/>
    <mergeCell ref="B29:D29"/>
    <mergeCell ref="B2:J2"/>
    <mergeCell ref="B6:C6"/>
    <mergeCell ref="B7:C7"/>
    <mergeCell ref="B27:D27"/>
    <mergeCell ref="B28:D28"/>
    <mergeCell ref="D7:E7"/>
    <mergeCell ref="D6:E6"/>
  </mergeCells>
  <phoneticPr fontId="11" type="noConversion"/>
  <conditionalFormatting sqref="B35:B144 E35:F144 H35:J144">
    <cfRule type="expression" dxfId="7" priority="3">
      <formula>#REF!="Continue Step 5"</formula>
    </cfRule>
  </conditionalFormatting>
  <conditionalFormatting sqref="F16">
    <cfRule type="expression" dxfId="6" priority="28">
      <formula>AND($F$13="Yes",$F$16&gt;0)</formula>
    </cfRule>
  </conditionalFormatting>
  <conditionalFormatting sqref="F27:F28">
    <cfRule type="expression" dxfId="5" priority="20">
      <formula>#REF!="Continue Step 5"</formula>
    </cfRule>
  </conditionalFormatting>
  <conditionalFormatting sqref="F152:F153 F155 K163:L163 B167:F167 H167:J167 F168:F173">
    <cfRule type="expression" dxfId="4" priority="26">
      <formula>#REF!="No"</formula>
    </cfRule>
  </conditionalFormatting>
  <conditionalFormatting sqref="F152:F153 F155">
    <cfRule type="expression" dxfId="3" priority="27">
      <formula>#REF!="Continue Step 5"</formula>
    </cfRule>
  </conditionalFormatting>
  <conditionalFormatting sqref="F157:F159">
    <cfRule type="expression" dxfId="2" priority="1">
      <formula>$D$7&lt;&gt;"ID+C: Interior Design and Construction"</formula>
    </cfRule>
  </conditionalFormatting>
  <conditionalFormatting sqref="G27:J29 G20:J25">
    <cfRule type="expression" dxfId="1" priority="17">
      <formula>IF(projectType="BD+C: Core and Shell",FALSE,TRUE)</formula>
    </cfRule>
  </conditionalFormatting>
  <conditionalFormatting sqref="I27:J29">
    <cfRule type="expression" dxfId="0" priority="4">
      <formula>#REF!="Continue Step 5"</formula>
    </cfRule>
  </conditionalFormatting>
  <dataValidations count="5">
    <dataValidation type="decimal" allowBlank="1" showDropDown="1" showErrorMessage="1" sqref="F16" xr:uid="{00000000-0002-0000-0100-000001000000}">
      <formula1>0</formula1>
      <formula2>100</formula2>
    </dataValidation>
    <dataValidation type="list" allowBlank="1" sqref="D22:D25" xr:uid="{00000000-0002-0000-0100-000005000000}">
      <formula1>INDIRECT(SUBSTITUTE(unitOption," ","_"))</formula1>
    </dataValidation>
    <dataValidation type="list" allowBlank="1" showErrorMessage="1" sqref="F35:F144" xr:uid="{11CAA005-1307-4C36-BD99-C56565087F55}">
      <formula1>INDIRECT(SUBSTITUTE(unitOption," ","_"))</formula1>
    </dataValidation>
    <dataValidation type="list" allowBlank="1" showErrorMessage="1" sqref="D35:D144" xr:uid="{A98E1C1F-3B65-4F38-A7D0-BE46CE8BBD79}">
      <formula1>energy_offset_dropdown</formula1>
    </dataValidation>
    <dataValidation type="decimal" operator="greaterThan" allowBlank="1" showInputMessage="1" showErrorMessage="1" sqref="F157:F158 F153:F154 F162 C22:C25" xr:uid="{BE5BB60D-BA53-45DF-BDC4-3DB0641B66F4}">
      <formula1>0</formula1>
    </dataValidation>
  </dataValidations>
  <pageMargins left="0.7" right="0.7" top="0.75" bottom="0.75" header="0" footer="0"/>
  <pageSetup orientation="landscape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2000000}">
          <x14:formula1>
            <xm:f>Database!$F$60:$F$62</xm:f>
          </x14:formula1>
          <xm:sqref>F13</xm:sqref>
        </x14:dataValidation>
        <x14:dataValidation type="list" allowBlank="1" showErrorMessage="1" xr:uid="{00000000-0002-0000-0100-000006000000}">
          <x14:formula1>
            <xm:f>Database!$D$10:$D$13</xm:f>
          </x14:formula1>
          <xm:sqref>D7</xm:sqref>
        </x14:dataValidation>
        <x14:dataValidation type="list" allowBlank="1" showErrorMessage="1" xr:uid="{00000000-0002-0000-0100-000008000000}">
          <x14:formula1>
            <xm:f>Database!$D$6:$D$8</xm:f>
          </x14:formula1>
          <xm:sqref>D6</xm:sqref>
        </x14:dataValidation>
        <x14:dataValidation type="list" allowBlank="1" showErrorMessage="1" xr:uid="{00000000-0002-0000-0100-000004000000}">
          <x14:formula1>
            <xm:f>Database!$B$48:$B$50</xm:f>
          </x14:formula1>
          <xm:sqref>C35:C144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AM763"/>
  <sheetViews>
    <sheetView topLeftCell="A15" zoomScale="70" zoomScaleNormal="70" workbookViewId="0">
      <selection activeCell="E23" sqref="E23"/>
    </sheetView>
  </sheetViews>
  <sheetFormatPr defaultColWidth="14.44140625" defaultRowHeight="15" customHeight="1" x14ac:dyDescent="0.25"/>
  <cols>
    <col min="1" max="1" width="4.6640625" style="4" customWidth="1"/>
    <col min="2" max="2" width="32.6640625" style="4" customWidth="1"/>
    <col min="3" max="3" width="22.44140625" style="4" customWidth="1"/>
    <col min="4" max="4" width="35.6640625" style="4" customWidth="1"/>
    <col min="5" max="5" width="25.33203125" style="4" bestFit="1" customWidth="1"/>
    <col min="6" max="6" width="24.44140625" style="4" customWidth="1"/>
    <col min="7" max="7" width="20.44140625" style="4" customWidth="1"/>
    <col min="8" max="22" width="10.6640625" style="4" customWidth="1"/>
    <col min="23" max="23" width="13.44140625" style="4" customWidth="1"/>
    <col min="24" max="33" width="10.6640625" style="4" customWidth="1"/>
    <col min="34" max="16384" width="14.44140625" style="4"/>
  </cols>
  <sheetData>
    <row r="1" spans="1:39" ht="19.95" customHeight="1" x14ac:dyDescent="0.25">
      <c r="A1" s="3"/>
      <c r="B1" s="60"/>
      <c r="C1" s="60"/>
      <c r="D1" s="6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9" ht="94.5" customHeight="1" x14ac:dyDescent="0.25">
      <c r="A2" s="19"/>
      <c r="B2" s="290" t="s">
        <v>116</v>
      </c>
      <c r="C2" s="291"/>
      <c r="D2" s="291"/>
      <c r="E2" s="291"/>
      <c r="F2" s="291"/>
      <c r="G2" s="291"/>
      <c r="H2" s="291"/>
      <c r="I2" s="291"/>
      <c r="J2" s="291"/>
      <c r="K2" s="291"/>
      <c r="L2" s="292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8"/>
      <c r="AF2" s="18"/>
      <c r="AG2" s="18"/>
      <c r="AH2" s="18"/>
      <c r="AI2" s="18"/>
      <c r="AJ2" s="18"/>
      <c r="AK2" s="18"/>
      <c r="AL2" s="18"/>
      <c r="AM2" s="18"/>
    </row>
    <row r="3" spans="1:39" ht="19.95" customHeight="1" x14ac:dyDescent="0.25">
      <c r="A3" s="3"/>
      <c r="B3" s="60"/>
      <c r="C3" s="60"/>
      <c r="D3" s="6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9" ht="18" customHeight="1" x14ac:dyDescent="0.25">
      <c r="A4" s="3"/>
      <c r="B4" s="295" t="s">
        <v>117</v>
      </c>
      <c r="C4" s="296"/>
      <c r="D4" s="296"/>
      <c r="E4" s="296"/>
      <c r="F4" s="296"/>
      <c r="G4" s="296"/>
      <c r="H4" s="296"/>
      <c r="I4" s="296"/>
      <c r="J4" s="296"/>
      <c r="K4" s="296"/>
      <c r="L4" s="29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9" ht="18" customHeight="1" x14ac:dyDescent="0.25">
      <c r="A5" s="3"/>
      <c r="B5" s="60"/>
      <c r="C5" s="60"/>
      <c r="D5" s="6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9" ht="18" customHeight="1" x14ac:dyDescent="0.25">
      <c r="A6" s="3"/>
      <c r="B6" s="73" t="s">
        <v>25</v>
      </c>
      <c r="C6" s="74" t="s">
        <v>26</v>
      </c>
      <c r="D6" s="76" t="s">
        <v>27</v>
      </c>
      <c r="E6" s="77" t="s">
        <v>28</v>
      </c>
      <c r="F6" s="132" t="s">
        <v>29</v>
      </c>
      <c r="G6" s="6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9" ht="18" customHeight="1" x14ac:dyDescent="0.25">
      <c r="A7" s="3"/>
      <c r="B7" s="60"/>
      <c r="C7" s="60"/>
      <c r="D7" s="78" t="s">
        <v>4</v>
      </c>
      <c r="E7" s="119" t="s">
        <v>30</v>
      </c>
      <c r="F7" s="132" t="s">
        <v>56</v>
      </c>
      <c r="G7" s="6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9" ht="18" customHeight="1" x14ac:dyDescent="0.25">
      <c r="A8" s="3"/>
      <c r="B8" s="60"/>
      <c r="C8" s="60"/>
      <c r="D8" s="78" t="s">
        <v>31</v>
      </c>
      <c r="E8" s="119" t="s">
        <v>55</v>
      </c>
      <c r="F8" s="132" t="s">
        <v>94</v>
      </c>
      <c r="G8" s="6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9" ht="18" customHeight="1" x14ac:dyDescent="0.25">
      <c r="A9" s="3"/>
      <c r="B9" s="3"/>
      <c r="C9" s="3"/>
      <c r="D9" s="60"/>
      <c r="E9" s="60"/>
      <c r="F9" s="60"/>
      <c r="G9" s="6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9" ht="18" customHeight="1" x14ac:dyDescent="0.25">
      <c r="A10" s="3"/>
      <c r="B10" s="75" t="s">
        <v>32</v>
      </c>
      <c r="C10" s="73" t="s">
        <v>26</v>
      </c>
      <c r="D10" s="78" t="s">
        <v>27</v>
      </c>
      <c r="E10" s="79" t="s">
        <v>57</v>
      </c>
      <c r="F10" s="60"/>
      <c r="G10" s="6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9" ht="18" customHeight="1" x14ac:dyDescent="0.25">
      <c r="A11" s="3"/>
      <c r="B11" s="3"/>
      <c r="C11" s="3"/>
      <c r="D11" s="78" t="s">
        <v>6</v>
      </c>
      <c r="E11" s="79" t="s">
        <v>60</v>
      </c>
      <c r="F11" s="60"/>
      <c r="G11" s="6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9" s="72" customFormat="1" ht="28.2" customHeight="1" x14ac:dyDescent="0.25">
      <c r="A12" s="68"/>
      <c r="B12" s="68"/>
      <c r="C12" s="68"/>
      <c r="D12" s="115" t="s">
        <v>33</v>
      </c>
      <c r="E12" s="116" t="s">
        <v>61</v>
      </c>
      <c r="F12" s="80" t="s">
        <v>62</v>
      </c>
      <c r="G12" s="80" t="s">
        <v>59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</row>
    <row r="13" spans="1:39" ht="18" customHeight="1" x14ac:dyDescent="0.25">
      <c r="A13" s="3"/>
      <c r="B13" s="3"/>
      <c r="C13" s="3"/>
      <c r="D13" s="78" t="s">
        <v>54</v>
      </c>
      <c r="E13" s="79" t="s">
        <v>58</v>
      </c>
      <c r="F13" s="60"/>
      <c r="G13" s="6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9" ht="18" customHeight="1" x14ac:dyDescent="0.25">
      <c r="A14" s="3"/>
      <c r="B14" s="3"/>
      <c r="C14" s="3"/>
      <c r="D14" s="6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9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9" ht="18" customHeight="1" x14ac:dyDescent="0.25">
      <c r="A16" s="3"/>
      <c r="B16" s="60"/>
      <c r="C16" s="60"/>
      <c r="D16" s="6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8" customHeight="1" x14ac:dyDescent="0.25">
      <c r="A17" s="3"/>
      <c r="B17" s="295" t="s">
        <v>35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8" customHeight="1" x14ac:dyDescent="0.25">
      <c r="A18" s="3"/>
      <c r="B18" s="60"/>
      <c r="C18" s="60"/>
      <c r="D18" s="6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8" customHeight="1" x14ac:dyDescent="0.25">
      <c r="B19" s="7"/>
      <c r="H19" s="7"/>
      <c r="I19" s="3"/>
      <c r="J19" s="3"/>
      <c r="K19" s="3"/>
      <c r="L19" s="3"/>
      <c r="M19" s="3"/>
      <c r="N19" s="3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8" customHeight="1" x14ac:dyDescent="0.25">
      <c r="B20" s="86" t="s">
        <v>122</v>
      </c>
      <c r="C20" s="86" t="s">
        <v>123</v>
      </c>
      <c r="D20" s="117"/>
      <c r="H20" s="7"/>
      <c r="I20" s="3"/>
      <c r="J20" s="3"/>
      <c r="K20" s="3"/>
      <c r="L20" s="3"/>
      <c r="M20" s="3"/>
      <c r="N20" s="3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8" customHeight="1" x14ac:dyDescent="0.25">
      <c r="B21" s="90" t="s">
        <v>22</v>
      </c>
      <c r="C21" s="90" t="s">
        <v>38</v>
      </c>
      <c r="H21" s="7"/>
      <c r="I21" s="3"/>
      <c r="J21" s="3"/>
      <c r="K21" s="3"/>
      <c r="L21" s="3"/>
      <c r="M21" s="3"/>
      <c r="N21" s="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8" customHeight="1" x14ac:dyDescent="0.25">
      <c r="B22" s="90" t="s">
        <v>119</v>
      </c>
      <c r="C22" s="90" t="s">
        <v>12</v>
      </c>
      <c r="H22" s="7"/>
      <c r="I22" s="3"/>
      <c r="J22" s="3"/>
      <c r="K22" s="3"/>
      <c r="L22" s="3"/>
      <c r="M22" s="3"/>
      <c r="N22" s="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8" customHeight="1" x14ac:dyDescent="0.25">
      <c r="B23" s="90" t="s">
        <v>133</v>
      </c>
      <c r="C23" s="90" t="s">
        <v>134</v>
      </c>
      <c r="H23" s="7"/>
      <c r="I23" s="3"/>
      <c r="J23" s="3"/>
      <c r="K23" s="3"/>
      <c r="L23" s="3"/>
      <c r="M23" s="3"/>
      <c r="N23" s="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8" customHeight="1" x14ac:dyDescent="0.25">
      <c r="B24" s="90" t="s">
        <v>120</v>
      </c>
      <c r="C24" s="90" t="s">
        <v>135</v>
      </c>
      <c r="H24" s="7"/>
      <c r="I24" s="3"/>
      <c r="J24" s="3"/>
      <c r="K24" s="3"/>
      <c r="L24" s="3"/>
      <c r="M24" s="3"/>
      <c r="N24" s="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8" customHeight="1" x14ac:dyDescent="0.25">
      <c r="B25" s="90" t="s">
        <v>134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8" customHeight="1" x14ac:dyDescent="0.25">
      <c r="B26" s="90" t="s">
        <v>135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8" customHeight="1" x14ac:dyDescent="0.25">
      <c r="H27" s="7"/>
      <c r="I27" s="3"/>
      <c r="J27" s="3"/>
      <c r="K27" s="3"/>
      <c r="L27" s="3"/>
      <c r="M27" s="3"/>
      <c r="N27" s="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8" customHeight="1" x14ac:dyDescent="0.25">
      <c r="A28" s="3"/>
      <c r="B28" s="86" t="s">
        <v>36</v>
      </c>
      <c r="C28" s="86" t="s">
        <v>37</v>
      </c>
      <c r="D28" s="86" t="s">
        <v>132</v>
      </c>
      <c r="E28" s="6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28.95" customHeight="1" x14ac:dyDescent="0.25">
      <c r="A29" s="3"/>
      <c r="B29" s="89" t="s">
        <v>38</v>
      </c>
      <c r="C29" s="90">
        <v>277.77777780000002</v>
      </c>
      <c r="D29" s="121" t="s">
        <v>140</v>
      </c>
      <c r="E29" s="6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28.95" customHeight="1" x14ac:dyDescent="0.25">
      <c r="A30" s="3"/>
      <c r="B30" s="89" t="s">
        <v>12</v>
      </c>
      <c r="C30" s="90">
        <v>0.27777777799999998</v>
      </c>
      <c r="D30" s="121" t="s">
        <v>140</v>
      </c>
      <c r="E30" s="6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28.95" customHeight="1" x14ac:dyDescent="0.25">
      <c r="A31" s="3"/>
      <c r="B31" s="87" t="s">
        <v>134</v>
      </c>
      <c r="C31" s="88">
        <v>1</v>
      </c>
      <c r="D31" s="121" t="s">
        <v>140</v>
      </c>
      <c r="E31" s="6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28.95" customHeight="1" x14ac:dyDescent="0.25">
      <c r="A32" s="3"/>
      <c r="B32" s="81" t="s">
        <v>135</v>
      </c>
      <c r="C32" s="82">
        <v>1000</v>
      </c>
      <c r="D32" s="121" t="s">
        <v>140</v>
      </c>
      <c r="E32" s="6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8.95" customHeight="1" x14ac:dyDescent="0.25">
      <c r="A33" s="3"/>
      <c r="B33" s="81" t="s">
        <v>22</v>
      </c>
      <c r="C33" s="82">
        <v>0.29308323563892147</v>
      </c>
      <c r="D33" s="121" t="s">
        <v>140</v>
      </c>
      <c r="E33" s="6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28.95" customHeight="1" x14ac:dyDescent="0.25">
      <c r="A34" s="3"/>
      <c r="B34" s="81" t="s">
        <v>119</v>
      </c>
      <c r="C34" s="82">
        <v>29.308323563892145</v>
      </c>
      <c r="D34" s="121" t="s">
        <v>140</v>
      </c>
      <c r="E34" s="6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28.95" customHeight="1" x14ac:dyDescent="0.25">
      <c r="A35" s="3"/>
      <c r="B35" s="81" t="s">
        <v>133</v>
      </c>
      <c r="C35" s="82">
        <v>293.08323563892145</v>
      </c>
      <c r="D35" s="121" t="s">
        <v>140</v>
      </c>
      <c r="E35" s="6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28.95" customHeight="1" x14ac:dyDescent="0.25">
      <c r="A36" s="3"/>
      <c r="B36" s="81" t="s">
        <v>120</v>
      </c>
      <c r="C36" s="82">
        <v>3.5169988276670576</v>
      </c>
      <c r="D36" s="121" t="s">
        <v>140</v>
      </c>
      <c r="E36" s="6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8" customHeight="1" x14ac:dyDescent="0.25">
      <c r="A37" s="3"/>
      <c r="B37" s="81" t="s">
        <v>27</v>
      </c>
      <c r="C37" s="83"/>
      <c r="D37" s="60"/>
      <c r="E37" s="6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8" customHeight="1" x14ac:dyDescent="0.25">
      <c r="A38" s="3"/>
      <c r="B38" s="60"/>
      <c r="C38" s="60"/>
      <c r="D38" s="60"/>
      <c r="E38" s="6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8" customHeight="1" x14ac:dyDescent="0.25">
      <c r="A39" s="3"/>
      <c r="B39" s="85" t="s">
        <v>39</v>
      </c>
      <c r="C39" s="60"/>
      <c r="D39" s="60"/>
      <c r="E39" s="60"/>
      <c r="F39" s="6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8" customHeight="1" x14ac:dyDescent="0.25">
      <c r="A40" s="3"/>
      <c r="B40" s="81" t="s">
        <v>10</v>
      </c>
      <c r="C40" s="60"/>
      <c r="D40" s="60"/>
      <c r="E40" s="60"/>
      <c r="F40" s="6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8" customHeight="1" x14ac:dyDescent="0.25">
      <c r="A41" s="3"/>
      <c r="B41" s="81" t="s">
        <v>11</v>
      </c>
      <c r="C41" s="60"/>
      <c r="D41" s="60"/>
      <c r="E41" s="60"/>
      <c r="F41" s="6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8" customHeight="1" x14ac:dyDescent="0.25">
      <c r="A42" s="3"/>
      <c r="B42" s="81" t="s">
        <v>13</v>
      </c>
      <c r="C42" s="60"/>
      <c r="D42" s="60"/>
      <c r="E42" s="60"/>
      <c r="F42" s="6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8" customHeight="1" x14ac:dyDescent="0.25">
      <c r="A43" s="3"/>
      <c r="B43" s="60"/>
      <c r="C43" s="60"/>
      <c r="D43" s="60"/>
      <c r="E43" s="60"/>
      <c r="F43" s="6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8" customHeight="1" x14ac:dyDescent="0.25">
      <c r="A44" s="3"/>
      <c r="B44" s="60"/>
      <c r="C44" s="60"/>
      <c r="D44" s="6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8" customHeight="1" thickBot="1" x14ac:dyDescent="0.3">
      <c r="A45" s="3"/>
      <c r="B45" s="295" t="s">
        <v>40</v>
      </c>
      <c r="C45" s="296"/>
      <c r="D45" s="296"/>
      <c r="E45" s="296"/>
      <c r="F45" s="296"/>
      <c r="G45" s="296"/>
      <c r="H45" s="296"/>
      <c r="I45" s="296"/>
      <c r="J45" s="296"/>
      <c r="K45" s="296"/>
      <c r="L45" s="29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8" customHeight="1" x14ac:dyDescent="0.25">
      <c r="A46" s="3"/>
      <c r="B46" s="60"/>
      <c r="C46" s="60"/>
      <c r="D46" s="62"/>
      <c r="E46" s="62"/>
      <c r="F46" s="62"/>
      <c r="G46" s="63"/>
      <c r="H46" s="64"/>
      <c r="I46" s="6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33" ht="18" customHeight="1" x14ac:dyDescent="0.25">
      <c r="A47" s="3"/>
      <c r="B47" s="85" t="s">
        <v>41</v>
      </c>
      <c r="C47" s="60"/>
      <c r="D47" s="65"/>
      <c r="E47" s="65"/>
      <c r="F47" s="65"/>
      <c r="G47" s="66"/>
      <c r="H47" s="66"/>
      <c r="I47" s="6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33" ht="18" customHeight="1" x14ac:dyDescent="0.25">
      <c r="A48" s="3"/>
      <c r="B48" s="84" t="s">
        <v>20</v>
      </c>
      <c r="C48" s="133">
        <v>1</v>
      </c>
      <c r="D48" s="65"/>
      <c r="E48" s="65"/>
      <c r="F48" s="65"/>
      <c r="G48" s="66"/>
      <c r="H48" s="66"/>
      <c r="I48" s="6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33" ht="18" customHeight="1" x14ac:dyDescent="0.25">
      <c r="A49" s="3"/>
      <c r="B49" s="84" t="s">
        <v>19</v>
      </c>
      <c r="C49" s="133">
        <v>2</v>
      </c>
      <c r="D49" s="65"/>
      <c r="E49" s="65"/>
      <c r="F49" s="65"/>
      <c r="G49" s="66"/>
      <c r="H49" s="66"/>
      <c r="I49" s="6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33" ht="18" customHeight="1" x14ac:dyDescent="0.25">
      <c r="A50" s="3"/>
      <c r="B50" s="84" t="s">
        <v>21</v>
      </c>
      <c r="C50" s="133">
        <v>3</v>
      </c>
      <c r="D50" s="65"/>
      <c r="E50" s="65"/>
      <c r="F50" s="65"/>
      <c r="G50" s="66"/>
      <c r="H50" s="66"/>
      <c r="I50" s="6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33" ht="18" customHeight="1" x14ac:dyDescent="0.25">
      <c r="A51" s="3"/>
      <c r="B51" s="84" t="s">
        <v>27</v>
      </c>
      <c r="C51" s="67"/>
      <c r="D51" s="65"/>
      <c r="E51" s="65"/>
      <c r="F51" s="65"/>
      <c r="G51" s="66"/>
      <c r="H51" s="66"/>
      <c r="I51" s="6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33" ht="18" customHeight="1" x14ac:dyDescent="0.25">
      <c r="A52" s="3"/>
      <c r="B52" s="60"/>
      <c r="C52" s="60"/>
      <c r="D52" s="65"/>
      <c r="E52" s="65"/>
      <c r="F52" s="65"/>
      <c r="G52" s="66"/>
      <c r="H52" s="66"/>
      <c r="I52" s="6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33" ht="18" customHeight="1" x14ac:dyDescent="0.25">
      <c r="A53" s="3"/>
      <c r="B53" s="60"/>
      <c r="C53" s="60"/>
      <c r="D53" s="60"/>
      <c r="E53" s="60"/>
      <c r="F53" s="6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8" customHeight="1" x14ac:dyDescent="0.25">
      <c r="A54" s="68"/>
      <c r="B54" s="85" t="s">
        <v>42</v>
      </c>
      <c r="C54" s="85" t="s">
        <v>43</v>
      </c>
      <c r="D54" s="85" t="s">
        <v>44</v>
      </c>
      <c r="E54" s="91"/>
      <c r="F54" s="85" t="s">
        <v>45</v>
      </c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8" customHeight="1" x14ac:dyDescent="0.25">
      <c r="A55" s="3"/>
      <c r="B55" s="92" t="s">
        <v>27</v>
      </c>
      <c r="C55" s="92" t="s">
        <v>27</v>
      </c>
      <c r="D55" s="92" t="s">
        <v>27</v>
      </c>
      <c r="E55" s="60"/>
      <c r="F55" s="92" t="s">
        <v>27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8" customHeight="1" x14ac:dyDescent="0.25">
      <c r="A56" s="3"/>
      <c r="B56" s="93" t="s">
        <v>10</v>
      </c>
      <c r="C56" s="93" t="s">
        <v>10</v>
      </c>
      <c r="D56" s="93" t="s">
        <v>10</v>
      </c>
      <c r="E56" s="60"/>
      <c r="F56" s="93" t="s">
        <v>10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8" customHeight="1" x14ac:dyDescent="0.25">
      <c r="A57" s="3"/>
      <c r="B57" s="93" t="s">
        <v>11</v>
      </c>
      <c r="C57" s="94"/>
      <c r="D57" s="93" t="s">
        <v>11</v>
      </c>
      <c r="E57" s="60"/>
      <c r="F57" s="93" t="s">
        <v>11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8" customHeight="1" x14ac:dyDescent="0.25">
      <c r="A58" s="3"/>
      <c r="B58" s="94"/>
      <c r="C58" s="94"/>
      <c r="D58" s="94"/>
      <c r="E58" s="60"/>
      <c r="F58" s="9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8" customHeight="1" x14ac:dyDescent="0.25">
      <c r="A59" s="3"/>
      <c r="B59" s="94"/>
      <c r="C59" s="94"/>
      <c r="D59" s="94"/>
      <c r="E59" s="60"/>
      <c r="F59" s="6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8" customHeight="1" x14ac:dyDescent="0.25">
      <c r="A60" s="3"/>
      <c r="B60" s="93"/>
      <c r="C60" s="94"/>
      <c r="D60" s="94"/>
      <c r="E60" s="60"/>
      <c r="F60" s="85" t="s">
        <v>27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8" customHeight="1" x14ac:dyDescent="0.25">
      <c r="A61" s="3"/>
      <c r="B61" s="93"/>
      <c r="C61" s="94"/>
      <c r="D61" s="94"/>
      <c r="E61" s="60"/>
      <c r="F61" s="81" t="s">
        <v>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8" customHeight="1" x14ac:dyDescent="0.25">
      <c r="A62" s="3"/>
      <c r="B62" s="93"/>
      <c r="C62" s="93"/>
      <c r="D62" s="93"/>
      <c r="E62" s="60"/>
      <c r="F62" s="81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8" customHeight="1" x14ac:dyDescent="0.25">
      <c r="A63" s="3"/>
      <c r="B63" s="60"/>
      <c r="C63" s="60"/>
      <c r="D63" s="60"/>
      <c r="E63" s="60"/>
      <c r="F63" s="6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8" customHeight="1" x14ac:dyDescent="0.25">
      <c r="A64" s="3"/>
      <c r="B64" s="60"/>
      <c r="C64" s="60"/>
      <c r="D64" s="6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8" customHeight="1" x14ac:dyDescent="0.25">
      <c r="A65" s="3"/>
      <c r="B65" s="295" t="s">
        <v>46</v>
      </c>
      <c r="C65" s="296"/>
      <c r="D65" s="296"/>
      <c r="E65" s="296"/>
      <c r="F65" s="296"/>
      <c r="G65" s="296"/>
      <c r="H65" s="296"/>
      <c r="I65" s="296"/>
      <c r="J65" s="296"/>
      <c r="K65" s="296"/>
      <c r="L65" s="29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8" customHeight="1" x14ac:dyDescent="0.25">
      <c r="A66" s="3"/>
      <c r="B66" s="3"/>
      <c r="C66" s="3"/>
      <c r="E66" s="3"/>
      <c r="F66" s="3"/>
      <c r="G66" s="3"/>
      <c r="H66" s="3"/>
      <c r="J66" s="3"/>
      <c r="K66" s="3"/>
      <c r="L66" s="3"/>
      <c r="M66" s="3"/>
      <c r="N66" s="69"/>
      <c r="O66" s="69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8" customHeight="1" x14ac:dyDescent="0.25">
      <c r="A67" s="3"/>
      <c r="B67" s="99" t="s">
        <v>47</v>
      </c>
      <c r="C67" s="99"/>
      <c r="D67" s="99"/>
      <c r="E67" s="60"/>
      <c r="F67" s="336" t="s">
        <v>33</v>
      </c>
      <c r="G67" s="336"/>
      <c r="H67" s="336"/>
      <c r="I67" s="61"/>
      <c r="J67" s="61"/>
      <c r="K67" s="61"/>
      <c r="L67" s="61"/>
      <c r="M67" s="61"/>
      <c r="N67" s="70"/>
      <c r="O67" s="70"/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8" customHeight="1" x14ac:dyDescent="0.25">
      <c r="A68" s="3"/>
      <c r="B68" s="98" t="s">
        <v>48</v>
      </c>
      <c r="C68" s="98" t="s">
        <v>95</v>
      </c>
      <c r="D68" s="98" t="s">
        <v>46</v>
      </c>
      <c r="E68" s="60"/>
      <c r="F68" s="97" t="s">
        <v>48</v>
      </c>
      <c r="G68" s="97" t="s">
        <v>95</v>
      </c>
      <c r="H68" s="97" t="s">
        <v>46</v>
      </c>
      <c r="I68" s="61"/>
      <c r="J68" s="61"/>
      <c r="K68" s="61"/>
      <c r="L68" s="61"/>
      <c r="M68" s="61"/>
      <c r="N68" s="61"/>
      <c r="O68" s="61"/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8" customHeight="1" x14ac:dyDescent="0.25">
      <c r="A69" s="3"/>
      <c r="B69" s="30" t="s">
        <v>20</v>
      </c>
      <c r="C69" s="95">
        <v>0</v>
      </c>
      <c r="D69" s="96">
        <v>0</v>
      </c>
      <c r="E69" s="60"/>
      <c r="F69" s="30" t="s">
        <v>20</v>
      </c>
      <c r="G69" s="95">
        <v>0</v>
      </c>
      <c r="H69" s="96">
        <v>0</v>
      </c>
      <c r="I69" s="61"/>
      <c r="J69" s="61"/>
      <c r="K69" s="61"/>
      <c r="L69" s="61"/>
      <c r="M69" s="61"/>
      <c r="N69" s="61"/>
      <c r="O69" s="61"/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8" customHeight="1" x14ac:dyDescent="0.25">
      <c r="A70" s="3"/>
      <c r="B70" s="30" t="s">
        <v>20</v>
      </c>
      <c r="C70" s="95">
        <v>0.05</v>
      </c>
      <c r="D70" s="96">
        <v>1</v>
      </c>
      <c r="E70" s="60"/>
      <c r="F70" s="30" t="s">
        <v>20</v>
      </c>
      <c r="G70" s="95">
        <v>0.15</v>
      </c>
      <c r="H70" s="96">
        <v>1</v>
      </c>
      <c r="I70" s="61"/>
      <c r="J70" s="61"/>
      <c r="K70" s="61"/>
      <c r="L70" s="61"/>
      <c r="M70" s="61"/>
      <c r="N70" s="61"/>
      <c r="O70" s="61"/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8" customHeight="1" x14ac:dyDescent="0.25">
      <c r="A71" s="3"/>
      <c r="B71" s="30" t="s">
        <v>20</v>
      </c>
      <c r="C71" s="95">
        <v>0.1</v>
      </c>
      <c r="D71" s="96">
        <v>2</v>
      </c>
      <c r="E71" s="60"/>
      <c r="F71" s="30" t="s">
        <v>20</v>
      </c>
      <c r="G71" s="95">
        <v>0.3</v>
      </c>
      <c r="H71" s="96">
        <v>2</v>
      </c>
      <c r="I71" s="61"/>
      <c r="J71" s="61"/>
      <c r="K71" s="61"/>
      <c r="L71" s="71"/>
      <c r="M71" s="61"/>
      <c r="N71" s="61"/>
      <c r="O71" s="61"/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8" customHeight="1" x14ac:dyDescent="0.25">
      <c r="A72" s="3"/>
      <c r="B72" s="30" t="s">
        <v>20</v>
      </c>
      <c r="C72" s="95">
        <v>0.2</v>
      </c>
      <c r="D72" s="96">
        <v>3</v>
      </c>
      <c r="E72" s="60"/>
      <c r="F72" s="30" t="s">
        <v>20</v>
      </c>
      <c r="G72" s="95">
        <v>0.65</v>
      </c>
      <c r="H72" s="96">
        <v>3</v>
      </c>
      <c r="I72" s="61"/>
      <c r="J72" s="61"/>
      <c r="K72" s="61"/>
      <c r="L72" s="61"/>
      <c r="M72" s="61"/>
      <c r="N72" s="61"/>
      <c r="O72" s="61"/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8" customHeight="1" x14ac:dyDescent="0.25">
      <c r="A73" s="3"/>
      <c r="B73" s="30" t="s">
        <v>20</v>
      </c>
      <c r="C73" s="95">
        <v>0.35</v>
      </c>
      <c r="D73" s="96">
        <v>4</v>
      </c>
      <c r="E73" s="60"/>
      <c r="F73" s="30" t="s">
        <v>20</v>
      </c>
      <c r="G73" s="95">
        <v>1</v>
      </c>
      <c r="H73" s="96">
        <v>4</v>
      </c>
      <c r="I73" s="61"/>
      <c r="J73" s="61"/>
      <c r="K73" s="61"/>
      <c r="L73" s="61"/>
      <c r="M73" s="61"/>
      <c r="N73" s="61"/>
      <c r="O73" s="61"/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8" customHeight="1" x14ac:dyDescent="0.25">
      <c r="A74" s="3"/>
      <c r="B74" s="30" t="s">
        <v>20</v>
      </c>
      <c r="C74" s="95">
        <v>0.55000000000000004</v>
      </c>
      <c r="D74" s="96">
        <v>5</v>
      </c>
      <c r="E74" s="60"/>
      <c r="F74" s="30" t="s">
        <v>19</v>
      </c>
      <c r="G74" s="95">
        <v>0</v>
      </c>
      <c r="H74" s="96">
        <v>0</v>
      </c>
      <c r="I74" s="61"/>
      <c r="J74" s="61"/>
      <c r="K74" s="61"/>
      <c r="L74" s="61"/>
      <c r="M74" s="61"/>
      <c r="N74" s="61"/>
      <c r="O74" s="61"/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8" customHeight="1" x14ac:dyDescent="0.25">
      <c r="A75" s="3"/>
      <c r="B75" s="30" t="s">
        <v>20</v>
      </c>
      <c r="C75" s="95">
        <v>1</v>
      </c>
      <c r="D75" s="96">
        <v>5</v>
      </c>
      <c r="E75" s="60"/>
      <c r="F75" s="30" t="s">
        <v>19</v>
      </c>
      <c r="G75" s="95">
        <v>0.35</v>
      </c>
      <c r="H75" s="96">
        <v>1</v>
      </c>
      <c r="I75" s="61"/>
      <c r="J75" s="61"/>
      <c r="K75" s="61"/>
      <c r="L75" s="61"/>
      <c r="M75" s="61"/>
      <c r="N75" s="61"/>
      <c r="O75" s="61"/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8" customHeight="1" x14ac:dyDescent="0.25">
      <c r="A76" s="3"/>
      <c r="B76" s="30" t="s">
        <v>19</v>
      </c>
      <c r="C76" s="95">
        <v>0</v>
      </c>
      <c r="D76" s="96">
        <v>0</v>
      </c>
      <c r="E76" s="60"/>
      <c r="F76" s="30" t="s">
        <v>19</v>
      </c>
      <c r="G76" s="95">
        <v>0.7</v>
      </c>
      <c r="H76" s="96">
        <v>2</v>
      </c>
      <c r="I76" s="61"/>
      <c r="J76" s="61"/>
      <c r="K76" s="61"/>
      <c r="L76" s="61"/>
      <c r="M76" s="61"/>
      <c r="N76" s="61"/>
      <c r="O76" s="61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8" customHeight="1" x14ac:dyDescent="0.25">
      <c r="A77" s="3"/>
      <c r="B77" s="30" t="s">
        <v>19</v>
      </c>
      <c r="C77" s="95">
        <v>0.2</v>
      </c>
      <c r="D77" s="96">
        <v>1</v>
      </c>
      <c r="E77" s="60"/>
      <c r="F77" s="30" t="s">
        <v>19</v>
      </c>
      <c r="G77" s="95">
        <v>1</v>
      </c>
      <c r="H77" s="96">
        <v>3</v>
      </c>
      <c r="I77" s="61"/>
      <c r="J77" s="61"/>
      <c r="K77" s="61"/>
      <c r="L77" s="61"/>
      <c r="M77" s="61"/>
      <c r="N77" s="61"/>
      <c r="O77" s="61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8" customHeight="1" x14ac:dyDescent="0.25">
      <c r="A78" s="3"/>
      <c r="B78" s="30" t="s">
        <v>19</v>
      </c>
      <c r="C78" s="95">
        <v>0.4</v>
      </c>
      <c r="D78" s="96">
        <v>2</v>
      </c>
      <c r="E78" s="60"/>
      <c r="F78" s="30" t="s">
        <v>19</v>
      </c>
      <c r="G78" s="95">
        <v>2</v>
      </c>
      <c r="H78" s="96">
        <v>4</v>
      </c>
      <c r="I78" s="61"/>
      <c r="J78" s="61"/>
      <c r="K78" s="61"/>
      <c r="L78" s="61"/>
      <c r="M78" s="61"/>
      <c r="N78" s="61"/>
      <c r="O78" s="61"/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8" customHeight="1" x14ac:dyDescent="0.25">
      <c r="A79" s="3"/>
      <c r="B79" s="30" t="s">
        <v>19</v>
      </c>
      <c r="C79" s="95">
        <v>0.6</v>
      </c>
      <c r="D79" s="96">
        <v>3</v>
      </c>
      <c r="E79" s="60"/>
      <c r="F79" s="30" t="s">
        <v>21</v>
      </c>
      <c r="G79" s="95">
        <v>0</v>
      </c>
      <c r="H79" s="96">
        <v>0</v>
      </c>
      <c r="I79" s="61"/>
      <c r="J79" s="61"/>
      <c r="K79" s="61"/>
      <c r="L79" s="61"/>
      <c r="M79" s="61"/>
      <c r="N79" s="61"/>
      <c r="O79" s="61"/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8" customHeight="1" x14ac:dyDescent="0.25">
      <c r="A80" s="3"/>
      <c r="B80" s="30" t="s">
        <v>19</v>
      </c>
      <c r="C80" s="95">
        <v>0.8</v>
      </c>
      <c r="D80" s="96">
        <v>4</v>
      </c>
      <c r="E80" s="60"/>
      <c r="F80" s="30" t="s">
        <v>21</v>
      </c>
      <c r="G80" s="95">
        <v>1</v>
      </c>
      <c r="H80" s="96">
        <v>1</v>
      </c>
      <c r="I80" s="61"/>
      <c r="J80" s="61"/>
      <c r="K80" s="61"/>
      <c r="L80" s="61"/>
      <c r="M80" s="61"/>
      <c r="N80" s="61"/>
      <c r="O80" s="61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8" customHeight="1" x14ac:dyDescent="0.25">
      <c r="A81" s="3"/>
      <c r="B81" s="30" t="s">
        <v>19</v>
      </c>
      <c r="C81" s="95">
        <v>1</v>
      </c>
      <c r="D81" s="96">
        <v>5</v>
      </c>
      <c r="E81" s="60"/>
      <c r="F81" s="30" t="s">
        <v>21</v>
      </c>
      <c r="G81" s="95">
        <v>2</v>
      </c>
      <c r="H81" s="96">
        <v>2</v>
      </c>
      <c r="I81" s="61"/>
      <c r="J81" s="61"/>
      <c r="K81" s="61"/>
      <c r="L81" s="61"/>
      <c r="M81" s="61"/>
      <c r="N81" s="61"/>
      <c r="O81" s="61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8" customHeight="1" x14ac:dyDescent="0.25">
      <c r="A82" s="3"/>
      <c r="B82" s="30" t="s">
        <v>21</v>
      </c>
      <c r="C82" s="95">
        <v>0</v>
      </c>
      <c r="D82" s="96">
        <v>0</v>
      </c>
      <c r="E82" s="60"/>
      <c r="F82" s="134" t="s">
        <v>125</v>
      </c>
      <c r="G82" s="60"/>
      <c r="H82" s="60"/>
      <c r="I82" s="61"/>
      <c r="J82" s="61"/>
      <c r="K82" s="61"/>
      <c r="L82" s="61"/>
      <c r="M82" s="61"/>
      <c r="N82" s="61"/>
      <c r="O82" s="61"/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8" customHeight="1" x14ac:dyDescent="0.25">
      <c r="A83" s="3"/>
      <c r="B83" s="30" t="s">
        <v>21</v>
      </c>
      <c r="C83" s="95">
        <v>0.55000000000000004</v>
      </c>
      <c r="D83" s="96">
        <v>1</v>
      </c>
      <c r="E83" s="60"/>
      <c r="F83" s="60"/>
      <c r="G83" s="60"/>
      <c r="H83" s="60"/>
      <c r="I83" s="61"/>
      <c r="J83" s="61"/>
      <c r="K83" s="61"/>
      <c r="L83" s="61"/>
      <c r="M83" s="61"/>
      <c r="N83" s="61"/>
      <c r="O83" s="61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4.25" customHeight="1" x14ac:dyDescent="0.25">
      <c r="A84" s="3"/>
      <c r="B84" s="30" t="s">
        <v>21</v>
      </c>
      <c r="C84" s="95">
        <v>1</v>
      </c>
      <c r="D84" s="96">
        <v>2</v>
      </c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4.25" customHeight="1" x14ac:dyDescent="0.25">
      <c r="A85" s="3"/>
      <c r="B85" s="135" t="s">
        <v>124</v>
      </c>
      <c r="C85" s="61"/>
      <c r="D85" s="61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4.25" customHeight="1" x14ac:dyDescent="0.25">
      <c r="A87" s="3"/>
      <c r="B87" s="60"/>
      <c r="C87" s="60"/>
      <c r="D87" s="6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4.25" customHeight="1" x14ac:dyDescent="0.25">
      <c r="A88" s="3"/>
      <c r="B88" s="60"/>
      <c r="C88" s="60"/>
      <c r="D88" s="6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4.25" customHeight="1" x14ac:dyDescent="0.25">
      <c r="A89" s="3"/>
      <c r="B89" s="60"/>
      <c r="C89" s="60"/>
      <c r="D89" s="6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4.25" customHeight="1" x14ac:dyDescent="0.25">
      <c r="A90" s="3"/>
      <c r="B90" s="60"/>
      <c r="C90" s="60"/>
      <c r="D90" s="6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4.25" customHeight="1" x14ac:dyDescent="0.25">
      <c r="A91" s="3"/>
      <c r="B91" s="60"/>
      <c r="C91" s="60"/>
      <c r="D91" s="6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4.25" customHeight="1" x14ac:dyDescent="0.25">
      <c r="A92" s="3"/>
      <c r="B92" s="60"/>
      <c r="C92" s="60"/>
      <c r="D92" s="6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4.25" customHeight="1" x14ac:dyDescent="0.25">
      <c r="A93" s="3"/>
      <c r="B93" s="60"/>
      <c r="C93" s="60"/>
      <c r="D93" s="6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4.25" customHeight="1" x14ac:dyDescent="0.25">
      <c r="A94" s="3"/>
      <c r="B94" s="60"/>
      <c r="C94" s="60"/>
      <c r="D94" s="6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4.25" customHeight="1" x14ac:dyDescent="0.25">
      <c r="A95" s="3"/>
      <c r="B95" s="60"/>
      <c r="C95" s="60"/>
      <c r="D95" s="6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4.25" customHeight="1" x14ac:dyDescent="0.25">
      <c r="A96" s="3"/>
      <c r="B96" s="60"/>
      <c r="C96" s="60"/>
      <c r="D96" s="6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4.25" customHeight="1" x14ac:dyDescent="0.25">
      <c r="A97" s="3"/>
      <c r="B97" s="60"/>
      <c r="C97" s="60"/>
      <c r="D97" s="6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4.25" customHeight="1" x14ac:dyDescent="0.25">
      <c r="A98" s="3"/>
      <c r="B98" s="60"/>
      <c r="C98" s="60"/>
      <c r="D98" s="6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4.25" customHeight="1" x14ac:dyDescent="0.25">
      <c r="A99" s="3"/>
      <c r="B99" s="60"/>
      <c r="C99" s="60"/>
      <c r="D99" s="6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4.25" customHeight="1" x14ac:dyDescent="0.25">
      <c r="A100" s="3"/>
      <c r="B100" s="60"/>
      <c r="C100" s="60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4.25" customHeight="1" x14ac:dyDescent="0.25">
      <c r="A101" s="3"/>
      <c r="B101" s="60"/>
      <c r="C101" s="60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4.25" customHeight="1" x14ac:dyDescent="0.25">
      <c r="A102" s="3"/>
      <c r="B102" s="60"/>
      <c r="C102" s="60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4.25" customHeight="1" x14ac:dyDescent="0.25">
      <c r="A103" s="3"/>
      <c r="B103" s="60"/>
      <c r="C103" s="60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4.25" customHeight="1" x14ac:dyDescent="0.25">
      <c r="A104" s="3"/>
      <c r="B104" s="60"/>
      <c r="C104" s="60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4.25" customHeight="1" x14ac:dyDescent="0.25">
      <c r="A105" s="3"/>
      <c r="B105" s="60"/>
      <c r="C105" s="60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4.25" customHeight="1" x14ac:dyDescent="0.25">
      <c r="A106" s="3"/>
      <c r="B106" s="60"/>
      <c r="C106" s="60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4.25" customHeight="1" x14ac:dyDescent="0.25">
      <c r="A107" s="3"/>
      <c r="B107" s="60"/>
      <c r="C107" s="60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4.25" customHeight="1" x14ac:dyDescent="0.25">
      <c r="A108" s="3"/>
      <c r="B108" s="60"/>
      <c r="C108" s="60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4.25" customHeight="1" x14ac:dyDescent="0.25">
      <c r="A109" s="3"/>
      <c r="B109" s="60"/>
      <c r="C109" s="60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4.25" customHeight="1" x14ac:dyDescent="0.25">
      <c r="A110" s="3"/>
      <c r="B110" s="60"/>
      <c r="C110" s="60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4.25" customHeight="1" x14ac:dyDescent="0.25">
      <c r="A111" s="3"/>
      <c r="B111" s="60"/>
      <c r="C111" s="60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4.25" customHeight="1" x14ac:dyDescent="0.25">
      <c r="A112" s="3"/>
      <c r="B112" s="60"/>
      <c r="C112" s="60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4.25" customHeight="1" x14ac:dyDescent="0.25">
      <c r="A113" s="3"/>
      <c r="B113" s="60"/>
      <c r="C113" s="60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4.25" customHeight="1" x14ac:dyDescent="0.25">
      <c r="A114" s="3"/>
      <c r="B114" s="60"/>
      <c r="C114" s="60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4.25" customHeight="1" x14ac:dyDescent="0.25">
      <c r="A115" s="3"/>
      <c r="B115" s="60"/>
      <c r="C115" s="60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4.25" customHeight="1" x14ac:dyDescent="0.25">
      <c r="A116" s="3"/>
      <c r="B116" s="60"/>
      <c r="C116" s="60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4.25" customHeight="1" x14ac:dyDescent="0.25">
      <c r="A117" s="3"/>
      <c r="B117" s="60"/>
      <c r="C117" s="60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4.25" customHeight="1" x14ac:dyDescent="0.25">
      <c r="A118" s="3"/>
      <c r="B118" s="60"/>
      <c r="C118" s="60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4.25" customHeight="1" x14ac:dyDescent="0.25">
      <c r="A119" s="3"/>
      <c r="B119" s="60"/>
      <c r="C119" s="60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4.25" customHeight="1" x14ac:dyDescent="0.25">
      <c r="A120" s="3"/>
      <c r="B120" s="60"/>
      <c r="C120" s="60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4.25" customHeight="1" x14ac:dyDescent="0.25">
      <c r="A121" s="3"/>
      <c r="B121" s="60"/>
      <c r="C121" s="60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4.25" customHeight="1" x14ac:dyDescent="0.25">
      <c r="A122" s="3"/>
      <c r="B122" s="60"/>
      <c r="C122" s="60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4.25" customHeight="1" x14ac:dyDescent="0.25">
      <c r="A123" s="3"/>
      <c r="B123" s="60"/>
      <c r="C123" s="60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4.25" customHeight="1" x14ac:dyDescent="0.25">
      <c r="A124" s="3"/>
      <c r="B124" s="60"/>
      <c r="C124" s="60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4.25" customHeight="1" x14ac:dyDescent="0.25">
      <c r="A125" s="3"/>
      <c r="B125" s="60"/>
      <c r="C125" s="60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4.25" customHeight="1" x14ac:dyDescent="0.25">
      <c r="A126" s="3"/>
      <c r="B126" s="60"/>
      <c r="C126" s="60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4.25" customHeight="1" x14ac:dyDescent="0.25">
      <c r="A127" s="3"/>
      <c r="B127" s="60"/>
      <c r="C127" s="60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4.25" customHeight="1" x14ac:dyDescent="0.25">
      <c r="A128" s="3"/>
      <c r="B128" s="60"/>
      <c r="C128" s="60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4.25" customHeight="1" x14ac:dyDescent="0.25">
      <c r="A129" s="3"/>
      <c r="B129" s="60"/>
      <c r="C129" s="60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4.25" customHeight="1" x14ac:dyDescent="0.25">
      <c r="A130" s="3"/>
      <c r="B130" s="60"/>
      <c r="C130" s="60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4.25" customHeight="1" x14ac:dyDescent="0.25">
      <c r="A131" s="3"/>
      <c r="B131" s="60"/>
      <c r="C131" s="60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4.25" customHeight="1" x14ac:dyDescent="0.25">
      <c r="A132" s="3"/>
      <c r="B132" s="60"/>
      <c r="C132" s="60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4.25" customHeight="1" x14ac:dyDescent="0.25">
      <c r="A133" s="3"/>
      <c r="B133" s="60"/>
      <c r="C133" s="60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4.25" customHeight="1" x14ac:dyDescent="0.25">
      <c r="A134" s="3"/>
      <c r="B134" s="60"/>
      <c r="C134" s="60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4.25" customHeight="1" x14ac:dyDescent="0.25">
      <c r="A135" s="3"/>
      <c r="B135" s="60"/>
      <c r="C135" s="60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4.25" customHeight="1" x14ac:dyDescent="0.25">
      <c r="A136" s="3"/>
      <c r="B136" s="60"/>
      <c r="C136" s="60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4.25" customHeight="1" x14ac:dyDescent="0.25">
      <c r="A137" s="3"/>
      <c r="B137" s="60"/>
      <c r="C137" s="60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4.25" customHeight="1" x14ac:dyDescent="0.25">
      <c r="A138" s="3"/>
      <c r="B138" s="60"/>
      <c r="C138" s="60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4.25" customHeight="1" x14ac:dyDescent="0.25">
      <c r="A139" s="3"/>
      <c r="B139" s="60"/>
      <c r="C139" s="60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4.25" customHeight="1" x14ac:dyDescent="0.25">
      <c r="A140" s="3"/>
      <c r="B140" s="60"/>
      <c r="C140" s="60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4.25" customHeight="1" x14ac:dyDescent="0.25">
      <c r="A141" s="3"/>
      <c r="B141" s="60"/>
      <c r="C141" s="60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4.25" customHeight="1" x14ac:dyDescent="0.25">
      <c r="A142" s="3"/>
      <c r="B142" s="60"/>
      <c r="C142" s="60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4.25" customHeight="1" x14ac:dyDescent="0.25">
      <c r="A143" s="3"/>
      <c r="B143" s="60"/>
      <c r="C143" s="60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4.25" customHeight="1" x14ac:dyDescent="0.25">
      <c r="A144" s="3"/>
      <c r="B144" s="60"/>
      <c r="C144" s="60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4.25" customHeight="1" x14ac:dyDescent="0.25">
      <c r="A145" s="3"/>
      <c r="B145" s="60"/>
      <c r="C145" s="60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4.25" customHeight="1" x14ac:dyDescent="0.25">
      <c r="A146" s="3"/>
      <c r="B146" s="60"/>
      <c r="C146" s="60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4.25" customHeight="1" x14ac:dyDescent="0.25">
      <c r="A147" s="3"/>
      <c r="B147" s="60"/>
      <c r="C147" s="60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4.25" customHeight="1" x14ac:dyDescent="0.25">
      <c r="A148" s="3"/>
      <c r="B148" s="60"/>
      <c r="C148" s="60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4.25" customHeight="1" x14ac:dyDescent="0.25">
      <c r="A149" s="3"/>
      <c r="B149" s="60"/>
      <c r="C149" s="60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4.25" customHeight="1" x14ac:dyDescent="0.25">
      <c r="A150" s="3"/>
      <c r="B150" s="60"/>
      <c r="C150" s="60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4.25" customHeight="1" x14ac:dyDescent="0.25">
      <c r="A151" s="3"/>
      <c r="B151" s="60"/>
      <c r="C151" s="60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4.25" customHeight="1" x14ac:dyDescent="0.25">
      <c r="A152" s="3"/>
      <c r="B152" s="60"/>
      <c r="C152" s="60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4.25" customHeight="1" x14ac:dyDescent="0.25">
      <c r="A153" s="3"/>
      <c r="B153" s="60"/>
      <c r="C153" s="60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4.25" customHeight="1" x14ac:dyDescent="0.25">
      <c r="A154" s="3"/>
      <c r="B154" s="60"/>
      <c r="C154" s="60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4.25" customHeight="1" x14ac:dyDescent="0.25">
      <c r="A155" s="3"/>
      <c r="B155" s="60"/>
      <c r="C155" s="60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4.25" customHeight="1" x14ac:dyDescent="0.25">
      <c r="A156" s="3"/>
      <c r="B156" s="60"/>
      <c r="C156" s="60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4.25" customHeight="1" x14ac:dyDescent="0.25">
      <c r="A157" s="3"/>
      <c r="B157" s="60"/>
      <c r="C157" s="60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4.25" customHeight="1" x14ac:dyDescent="0.25">
      <c r="A158" s="3"/>
      <c r="B158" s="60"/>
      <c r="C158" s="60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4.25" customHeight="1" x14ac:dyDescent="0.25">
      <c r="A159" s="3"/>
      <c r="B159" s="60"/>
      <c r="C159" s="60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4.25" customHeight="1" x14ac:dyDescent="0.25">
      <c r="A160" s="3"/>
      <c r="B160" s="60"/>
      <c r="C160" s="60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4.25" customHeight="1" x14ac:dyDescent="0.25">
      <c r="A161" s="3"/>
      <c r="B161" s="60"/>
      <c r="C161" s="60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4.25" customHeight="1" x14ac:dyDescent="0.25">
      <c r="A162" s="3"/>
      <c r="B162" s="60"/>
      <c r="C162" s="60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4.25" customHeight="1" x14ac:dyDescent="0.25">
      <c r="A163" s="3"/>
      <c r="B163" s="60"/>
      <c r="C163" s="60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4.25" customHeight="1" x14ac:dyDescent="0.25">
      <c r="A164" s="3"/>
      <c r="B164" s="60"/>
      <c r="C164" s="60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4.25" customHeight="1" x14ac:dyDescent="0.25">
      <c r="A165" s="3"/>
      <c r="B165" s="60"/>
      <c r="C165" s="60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4.25" customHeight="1" x14ac:dyDescent="0.25">
      <c r="A166" s="3"/>
      <c r="B166" s="60"/>
      <c r="C166" s="60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4.25" customHeight="1" x14ac:dyDescent="0.25">
      <c r="A167" s="3"/>
      <c r="B167" s="60"/>
      <c r="C167" s="60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4.25" customHeight="1" x14ac:dyDescent="0.25">
      <c r="A168" s="3"/>
      <c r="B168" s="60"/>
      <c r="C168" s="60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4.25" customHeight="1" x14ac:dyDescent="0.25">
      <c r="A169" s="3"/>
      <c r="B169" s="60"/>
      <c r="C169" s="60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4.25" customHeight="1" x14ac:dyDescent="0.25">
      <c r="A170" s="3"/>
      <c r="B170" s="60"/>
      <c r="C170" s="60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4.25" customHeight="1" x14ac:dyDescent="0.25">
      <c r="A171" s="3"/>
      <c r="B171" s="60"/>
      <c r="C171" s="60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4.25" customHeight="1" x14ac:dyDescent="0.25">
      <c r="A172" s="3"/>
      <c r="B172" s="60"/>
      <c r="C172" s="60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4.25" customHeight="1" x14ac:dyDescent="0.25">
      <c r="A173" s="3"/>
      <c r="B173" s="60"/>
      <c r="C173" s="60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4.25" customHeight="1" x14ac:dyDescent="0.25">
      <c r="A174" s="3"/>
      <c r="B174" s="60"/>
      <c r="C174" s="60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4.25" customHeight="1" x14ac:dyDescent="0.25">
      <c r="A175" s="3"/>
      <c r="B175" s="60"/>
      <c r="C175" s="60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4.25" customHeight="1" x14ac:dyDescent="0.25">
      <c r="A176" s="3"/>
      <c r="B176" s="60"/>
      <c r="C176" s="60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4.25" customHeight="1" x14ac:dyDescent="0.25">
      <c r="A177" s="3"/>
      <c r="B177" s="60"/>
      <c r="C177" s="60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4.25" customHeight="1" x14ac:dyDescent="0.25">
      <c r="A178" s="3"/>
      <c r="B178" s="60"/>
      <c r="C178" s="60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4.25" customHeight="1" x14ac:dyDescent="0.25">
      <c r="A179" s="3"/>
      <c r="B179" s="60"/>
      <c r="C179" s="60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4.25" customHeight="1" x14ac:dyDescent="0.25">
      <c r="A180" s="3"/>
      <c r="B180" s="60"/>
      <c r="C180" s="60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4.25" customHeight="1" x14ac:dyDescent="0.25">
      <c r="A181" s="3"/>
      <c r="B181" s="60"/>
      <c r="C181" s="60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4.25" customHeight="1" x14ac:dyDescent="0.25">
      <c r="A182" s="3"/>
      <c r="B182" s="60"/>
      <c r="C182" s="60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4.25" customHeight="1" x14ac:dyDescent="0.25">
      <c r="A183" s="3"/>
      <c r="B183" s="60"/>
      <c r="C183" s="60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4.25" customHeight="1" x14ac:dyDescent="0.25">
      <c r="A184" s="3"/>
      <c r="B184" s="60"/>
      <c r="C184" s="60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4.25" customHeight="1" x14ac:dyDescent="0.25">
      <c r="A185" s="3"/>
      <c r="B185" s="60"/>
      <c r="C185" s="60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4.25" customHeight="1" x14ac:dyDescent="0.25">
      <c r="A186" s="3"/>
      <c r="B186" s="60"/>
      <c r="C186" s="60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4.25" customHeight="1" x14ac:dyDescent="0.25">
      <c r="A187" s="3"/>
      <c r="B187" s="60"/>
      <c r="C187" s="60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4.25" customHeight="1" x14ac:dyDescent="0.25">
      <c r="A188" s="3"/>
      <c r="B188" s="60"/>
      <c r="C188" s="60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4.25" customHeight="1" x14ac:dyDescent="0.25">
      <c r="A189" s="3"/>
      <c r="B189" s="60"/>
      <c r="C189" s="60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4.25" customHeight="1" x14ac:dyDescent="0.25">
      <c r="A190" s="3"/>
      <c r="B190" s="60"/>
      <c r="C190" s="60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4.25" customHeight="1" x14ac:dyDescent="0.25">
      <c r="A191" s="3"/>
      <c r="B191" s="60"/>
      <c r="C191" s="60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4.25" customHeight="1" x14ac:dyDescent="0.25">
      <c r="A192" s="3"/>
      <c r="B192" s="60"/>
      <c r="C192" s="60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4.25" customHeight="1" x14ac:dyDescent="0.25">
      <c r="A193" s="3"/>
      <c r="B193" s="60"/>
      <c r="C193" s="60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4.25" customHeight="1" x14ac:dyDescent="0.25">
      <c r="A194" s="3"/>
      <c r="B194" s="60"/>
      <c r="C194" s="60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4.25" customHeight="1" x14ac:dyDescent="0.25">
      <c r="A195" s="3"/>
      <c r="B195" s="60"/>
      <c r="C195" s="60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 x14ac:dyDescent="0.25"/>
    <row r="197" spans="1:33" ht="15.75" customHeight="1" x14ac:dyDescent="0.25"/>
    <row r="198" spans="1:33" ht="15.75" customHeight="1" x14ac:dyDescent="0.25"/>
    <row r="199" spans="1:33" ht="15.75" customHeight="1" x14ac:dyDescent="0.25"/>
    <row r="200" spans="1:33" ht="15.75" customHeight="1" x14ac:dyDescent="0.25"/>
    <row r="201" spans="1:33" ht="15.75" customHeight="1" x14ac:dyDescent="0.25"/>
    <row r="202" spans="1:33" ht="15.75" customHeight="1" x14ac:dyDescent="0.25"/>
    <row r="203" spans="1:33" ht="15.75" customHeight="1" x14ac:dyDescent="0.25"/>
    <row r="204" spans="1:33" ht="15.75" customHeight="1" x14ac:dyDescent="0.25"/>
    <row r="205" spans="1:33" ht="15.75" customHeight="1" x14ac:dyDescent="0.25"/>
    <row r="206" spans="1:33" ht="15.75" customHeight="1" x14ac:dyDescent="0.25"/>
    <row r="207" spans="1:33" ht="15.75" customHeight="1" x14ac:dyDescent="0.25"/>
    <row r="208" spans="1:33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</sheetData>
  <mergeCells count="6">
    <mergeCell ref="F67:H67"/>
    <mergeCell ref="B2:L2"/>
    <mergeCell ref="B4:L4"/>
    <mergeCell ref="B17:L17"/>
    <mergeCell ref="B45:L45"/>
    <mergeCell ref="B65:L65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M1008"/>
  <sheetViews>
    <sheetView showGridLines="0" zoomScale="90" zoomScaleNormal="90" workbookViewId="0">
      <selection activeCell="B2" sqref="B2:I2"/>
    </sheetView>
  </sheetViews>
  <sheetFormatPr defaultColWidth="14.44140625" defaultRowHeight="15" customHeight="1" x14ac:dyDescent="0.3"/>
  <cols>
    <col min="1" max="1" width="3.77734375" style="20" customWidth="1"/>
    <col min="2" max="2" width="6.44140625" style="20" customWidth="1"/>
    <col min="3" max="3" width="75.77734375" style="20" customWidth="1"/>
    <col min="4" max="4" width="12.77734375" style="20" customWidth="1"/>
    <col min="5" max="5" width="3.33203125" style="20" customWidth="1"/>
    <col min="6" max="6" width="12.77734375" style="20" customWidth="1"/>
    <col min="7" max="7" width="2.77734375" style="20" customWidth="1"/>
    <col min="8" max="8" width="12.77734375" style="20" customWidth="1"/>
    <col min="9" max="9" width="13.44140625" style="20" customWidth="1"/>
    <col min="10" max="27" width="10.6640625" style="20" customWidth="1"/>
    <col min="28" max="16384" width="14.44140625" style="20"/>
  </cols>
  <sheetData>
    <row r="1" spans="1:39" ht="19.95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39" ht="98.4" customHeight="1" x14ac:dyDescent="0.3">
      <c r="A2" s="19"/>
      <c r="B2" s="290" t="s">
        <v>303</v>
      </c>
      <c r="C2" s="291"/>
      <c r="D2" s="291"/>
      <c r="E2" s="291"/>
      <c r="F2" s="291"/>
      <c r="G2" s="291"/>
      <c r="H2" s="291"/>
      <c r="I2" s="292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8"/>
      <c r="AF2" s="18"/>
      <c r="AG2" s="18"/>
      <c r="AH2" s="18"/>
      <c r="AI2" s="18"/>
      <c r="AJ2" s="18"/>
      <c r="AK2" s="18"/>
      <c r="AL2" s="18"/>
      <c r="AM2" s="18"/>
    </row>
    <row r="3" spans="1:39" ht="19.9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39" ht="18" customHeight="1" x14ac:dyDescent="0.3">
      <c r="A4" s="17"/>
      <c r="B4" s="337"/>
      <c r="C4" s="338"/>
      <c r="D4" s="338"/>
      <c r="E4" s="338"/>
      <c r="F4" s="338"/>
      <c r="G4" s="338"/>
      <c r="H4" s="338"/>
      <c r="I4" s="339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39" s="224" customFormat="1" ht="18" customHeight="1" x14ac:dyDescent="0.3">
      <c r="A5" s="222"/>
      <c r="B5" s="232"/>
      <c r="C5" s="340" t="s">
        <v>118</v>
      </c>
      <c r="D5" s="341"/>
      <c r="E5" s="341"/>
      <c r="F5" s="341"/>
      <c r="G5" s="341"/>
      <c r="H5" s="342"/>
      <c r="I5" s="233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</row>
    <row r="6" spans="1:39" ht="18" customHeight="1" x14ac:dyDescent="0.3">
      <c r="A6" s="17"/>
      <c r="B6" s="209"/>
      <c r="C6" s="211"/>
      <c r="D6" s="211"/>
      <c r="E6" s="211"/>
      <c r="F6" s="211"/>
      <c r="G6" s="211"/>
      <c r="H6" s="211"/>
      <c r="I6" s="210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39" ht="18" customHeight="1" x14ac:dyDescent="0.3">
      <c r="A7" s="17"/>
      <c r="B7" s="212"/>
      <c r="C7" s="102"/>
      <c r="D7" s="100"/>
      <c r="E7" s="100"/>
      <c r="F7" s="100"/>
      <c r="G7" s="100"/>
      <c r="H7" s="100"/>
      <c r="I7" s="101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9" s="224" customFormat="1" ht="18" customHeight="1" x14ac:dyDescent="0.3">
      <c r="A8" s="222"/>
      <c r="B8" s="223"/>
      <c r="C8" s="102" t="s">
        <v>5</v>
      </c>
      <c r="D8" s="344">
        <f>projectType</f>
        <v>0</v>
      </c>
      <c r="E8" s="345"/>
      <c r="F8" s="345"/>
      <c r="G8" s="345"/>
      <c r="H8" s="346"/>
      <c r="I8" s="101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</row>
    <row r="9" spans="1:39" s="224" customFormat="1" ht="18" customHeight="1" x14ac:dyDescent="0.3">
      <c r="A9" s="222"/>
      <c r="B9" s="223"/>
      <c r="C9" s="102"/>
      <c r="D9" s="100"/>
      <c r="E9" s="100"/>
      <c r="F9" s="100"/>
      <c r="G9" s="100"/>
      <c r="H9" s="100"/>
      <c r="I9" s="101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</row>
    <row r="10" spans="1:39" s="224" customFormat="1" ht="18" customHeight="1" x14ac:dyDescent="0.3">
      <c r="A10" s="51"/>
      <c r="B10" s="223"/>
      <c r="C10" s="103" t="s">
        <v>106</v>
      </c>
      <c r="D10" s="100"/>
      <c r="E10" s="100"/>
      <c r="F10" s="100"/>
      <c r="G10" s="100"/>
      <c r="H10" s="100"/>
      <c r="I10" s="10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9" s="224" customFormat="1" ht="18" customHeight="1" x14ac:dyDescent="0.3">
      <c r="A11" s="51"/>
      <c r="B11" s="223"/>
      <c r="C11" s="103"/>
      <c r="D11" s="104"/>
      <c r="E11" s="100"/>
      <c r="F11" s="100"/>
      <c r="G11" s="100"/>
      <c r="H11" s="100"/>
      <c r="I11" s="10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9" s="224" customFormat="1" ht="30" customHeight="1" x14ac:dyDescent="0.3">
      <c r="A12" s="51"/>
      <c r="B12" s="223"/>
      <c r="C12" s="105" t="s">
        <v>109</v>
      </c>
      <c r="D12" s="203">
        <f>Input!F164</f>
        <v>0</v>
      </c>
      <c r="E12" s="100"/>
      <c r="F12" s="100" t="str">
        <f>Input!G164</f>
        <v/>
      </c>
      <c r="G12" s="100"/>
      <c r="H12" s="216" t="str">
        <f>IF(Input!$C$170&lt;Input!$E$170,Input!$E$170,"Not applicable")</f>
        <v>Not applicable</v>
      </c>
      <c r="I12" s="114" t="s">
        <v>46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39" s="224" customFormat="1" ht="18" customHeight="1" x14ac:dyDescent="0.3">
      <c r="A13" s="51"/>
      <c r="B13" s="223"/>
      <c r="C13" s="100" t="s">
        <v>107</v>
      </c>
      <c r="D13" s="100"/>
      <c r="E13" s="100"/>
      <c r="F13" s="100"/>
      <c r="G13" s="100"/>
      <c r="H13" s="100"/>
      <c r="I13" s="10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9" s="224" customFormat="1" ht="18" customHeight="1" x14ac:dyDescent="0.3">
      <c r="A14" s="51"/>
      <c r="B14" s="223"/>
      <c r="C14" s="102"/>
      <c r="D14" s="100"/>
      <c r="E14" s="100"/>
      <c r="F14" s="100"/>
      <c r="G14" s="100"/>
      <c r="H14" s="100"/>
      <c r="I14" s="10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39" s="224" customFormat="1" ht="49.95" customHeight="1" x14ac:dyDescent="0.3">
      <c r="A15" s="225"/>
      <c r="B15" s="226"/>
      <c r="C15" s="107"/>
      <c r="D15" s="104" t="s">
        <v>102</v>
      </c>
      <c r="E15" s="104"/>
      <c r="F15" s="104" t="s">
        <v>49</v>
      </c>
      <c r="G15" s="104"/>
      <c r="H15" s="104"/>
      <c r="I15" s="108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7"/>
    </row>
    <row r="16" spans="1:39" s="224" customFormat="1" ht="18" customHeight="1" x14ac:dyDescent="0.3">
      <c r="A16" s="222"/>
      <c r="B16" s="223"/>
      <c r="C16" s="102"/>
      <c r="D16" s="109"/>
      <c r="E16" s="109"/>
      <c r="F16" s="109"/>
      <c r="G16" s="109"/>
      <c r="H16" s="109"/>
      <c r="I16" s="101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</row>
    <row r="17" spans="1:27" s="224" customFormat="1" ht="30" customHeight="1" x14ac:dyDescent="0.3">
      <c r="A17" s="222"/>
      <c r="B17" s="223"/>
      <c r="C17" s="105" t="s">
        <v>50</v>
      </c>
      <c r="D17" s="200">
        <f>Input!$G$146</f>
        <v>0</v>
      </c>
      <c r="E17" s="201"/>
      <c r="F17" s="202">
        <f>Input!$J$146</f>
        <v>0</v>
      </c>
      <c r="G17" s="201"/>
      <c r="H17" s="203">
        <f>IF(Input!$C$170&lt;Input!$E$170,"Not applicable",Input!C170)</f>
        <v>0</v>
      </c>
      <c r="I17" s="114" t="s">
        <v>46</v>
      </c>
      <c r="J17" s="228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</row>
    <row r="18" spans="1:27" s="224" customFormat="1" ht="18" customHeight="1" x14ac:dyDescent="0.3">
      <c r="A18" s="222"/>
      <c r="B18" s="223"/>
      <c r="C18" s="109"/>
      <c r="D18" s="204"/>
      <c r="E18" s="205"/>
      <c r="F18" s="206"/>
      <c r="G18" s="205"/>
      <c r="H18" s="207"/>
      <c r="I18" s="106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</row>
    <row r="19" spans="1:27" s="224" customFormat="1" ht="30" customHeight="1" x14ac:dyDescent="0.3">
      <c r="A19" s="222"/>
      <c r="B19" s="223"/>
      <c r="C19" s="105" t="s">
        <v>51</v>
      </c>
      <c r="D19" s="200">
        <f>Input!$G$147</f>
        <v>0</v>
      </c>
      <c r="E19" s="201"/>
      <c r="F19" s="202">
        <f>Input!$J$147</f>
        <v>0</v>
      </c>
      <c r="G19" s="201"/>
      <c r="H19" s="203">
        <f>Input!C171</f>
        <v>0</v>
      </c>
      <c r="I19" s="114" t="s">
        <v>46</v>
      </c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</row>
    <row r="20" spans="1:27" s="224" customFormat="1" ht="18" customHeight="1" x14ac:dyDescent="0.3">
      <c r="A20" s="222"/>
      <c r="B20" s="223"/>
      <c r="C20" s="109"/>
      <c r="D20" s="204"/>
      <c r="E20" s="205"/>
      <c r="F20" s="206"/>
      <c r="G20" s="205"/>
      <c r="H20" s="207"/>
      <c r="I20" s="106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</row>
    <row r="21" spans="1:27" s="224" customFormat="1" ht="30" customHeight="1" x14ac:dyDescent="0.3">
      <c r="A21" s="222"/>
      <c r="B21" s="223"/>
      <c r="C21" s="105" t="s">
        <v>52</v>
      </c>
      <c r="D21" s="200">
        <f>Input!$G$148</f>
        <v>0</v>
      </c>
      <c r="E21" s="201"/>
      <c r="F21" s="202">
        <f>Input!$J$148</f>
        <v>0</v>
      </c>
      <c r="G21" s="201"/>
      <c r="H21" s="203">
        <f>Input!C172</f>
        <v>0</v>
      </c>
      <c r="I21" s="114" t="s">
        <v>46</v>
      </c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</row>
    <row r="22" spans="1:27" s="224" customFormat="1" ht="18" customHeight="1" x14ac:dyDescent="0.3">
      <c r="A22" s="222"/>
      <c r="B22" s="223"/>
      <c r="C22" s="105"/>
      <c r="D22" s="208"/>
      <c r="E22" s="201"/>
      <c r="F22" s="206"/>
      <c r="G22" s="201"/>
      <c r="H22" s="201"/>
      <c r="I22" s="101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</row>
    <row r="23" spans="1:27" s="224" customFormat="1" ht="30" customHeight="1" x14ac:dyDescent="0.3">
      <c r="A23" s="51"/>
      <c r="B23" s="223"/>
      <c r="C23" s="105" t="s">
        <v>108</v>
      </c>
      <c r="D23" s="200">
        <f>Input!$G$145</f>
        <v>0</v>
      </c>
      <c r="E23" s="201"/>
      <c r="F23" s="202">
        <f>Input!$J$149</f>
        <v>0</v>
      </c>
      <c r="G23" s="201"/>
      <c r="H23" s="201"/>
      <c r="I23" s="10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s="224" customFormat="1" ht="18" customHeight="1" x14ac:dyDescent="0.3">
      <c r="A24" s="51"/>
      <c r="B24" s="223"/>
      <c r="C24" s="105"/>
      <c r="D24" s="110"/>
      <c r="E24" s="110"/>
      <c r="F24" s="110"/>
      <c r="G24" s="110"/>
      <c r="H24" s="110"/>
      <c r="I24" s="10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s="224" customFormat="1" ht="30" customHeight="1" x14ac:dyDescent="0.3">
      <c r="A25" s="222"/>
      <c r="B25" s="223"/>
      <c r="C25" s="103" t="s">
        <v>53</v>
      </c>
      <c r="D25" s="107"/>
      <c r="E25" s="111"/>
      <c r="F25" s="107"/>
      <c r="G25" s="111"/>
      <c r="H25" s="221">
        <f>MIN(
  IF($D$8="BD+C: Core and Shell", 4, 5),
  ROUNDDOWN( IF($H$17="Not applicable", $H$12, $H$17) + $H$19 + $H$21, 0 )
)</f>
        <v>0</v>
      </c>
      <c r="I25" s="114" t="s">
        <v>46</v>
      </c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</row>
    <row r="26" spans="1:27" s="224" customFormat="1" ht="30" customHeight="1" x14ac:dyDescent="0.3">
      <c r="A26" s="51"/>
      <c r="B26" s="223"/>
      <c r="C26" s="343" t="s">
        <v>99</v>
      </c>
      <c r="D26" s="343"/>
      <c r="E26" s="343"/>
      <c r="F26" s="343"/>
      <c r="G26" s="111"/>
      <c r="H26" s="100"/>
      <c r="I26" s="10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27" s="224" customFormat="1" ht="18" customHeight="1" x14ac:dyDescent="0.3">
      <c r="A27" s="222"/>
      <c r="B27" s="223"/>
      <c r="C27" s="109"/>
      <c r="D27" s="100"/>
      <c r="E27" s="100"/>
      <c r="F27" s="100"/>
      <c r="G27" s="100"/>
      <c r="H27" s="100"/>
      <c r="I27" s="101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</row>
    <row r="28" spans="1:27" s="224" customFormat="1" ht="30" customHeight="1" x14ac:dyDescent="0.3">
      <c r="A28" s="222"/>
      <c r="B28" s="223"/>
      <c r="C28" s="112" t="s">
        <v>100</v>
      </c>
      <c r="D28" s="107"/>
      <c r="E28" s="100"/>
      <c r="F28" s="107"/>
      <c r="G28" s="100"/>
      <c r="H28" s="113" t="str">
        <f>IF(Input!$J$149&gt;=1,"Yes","No")</f>
        <v>No</v>
      </c>
      <c r="I28" s="101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</row>
    <row r="29" spans="1:27" s="224" customFormat="1" ht="18" customHeight="1" x14ac:dyDescent="0.3">
      <c r="A29" s="222"/>
      <c r="B29" s="223"/>
      <c r="C29" s="105" t="s">
        <v>101</v>
      </c>
      <c r="D29" s="110"/>
      <c r="E29" s="110"/>
      <c r="F29" s="110"/>
      <c r="G29" s="110"/>
      <c r="H29" s="110"/>
      <c r="I29" s="101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</row>
    <row r="30" spans="1:27" s="224" customFormat="1" ht="18" customHeight="1" x14ac:dyDescent="0.3">
      <c r="A30" s="222"/>
      <c r="B30" s="223"/>
      <c r="C30" s="105"/>
      <c r="D30" s="110"/>
      <c r="E30" s="110"/>
      <c r="F30" s="110"/>
      <c r="G30" s="110"/>
      <c r="H30" s="110"/>
      <c r="I30" s="101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</row>
    <row r="31" spans="1:27" s="224" customFormat="1" ht="18" customHeight="1" x14ac:dyDescent="0.3">
      <c r="A31" s="222"/>
      <c r="B31" s="229"/>
      <c r="C31" s="230"/>
      <c r="D31" s="230"/>
      <c r="E31" s="230"/>
      <c r="F31" s="230"/>
      <c r="G31" s="230"/>
      <c r="H31" s="230"/>
      <c r="I31" s="231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</row>
    <row r="32" spans="1:27" s="224" customFormat="1" ht="18" customHeight="1" x14ac:dyDescent="0.3">
      <c r="A32" s="222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</row>
    <row r="33" spans="1:27" s="224" customFormat="1" ht="18" customHeight="1" x14ac:dyDescent="0.3">
      <c r="A33" s="222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 spans="1:27" s="224" customFormat="1" ht="14.25" customHeight="1" x14ac:dyDescent="0.3">
      <c r="A34" s="222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 spans="1:27" s="224" customFormat="1" ht="14.25" customHeight="1" x14ac:dyDescent="0.3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 spans="1:27" s="224" customFormat="1" ht="14.25" customHeight="1" x14ac:dyDescent="0.3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 spans="1:27" s="224" customFormat="1" ht="14.25" customHeight="1" x14ac:dyDescent="0.3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 spans="1:27" s="224" customFormat="1" ht="14.25" customHeight="1" x14ac:dyDescent="0.3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  <row r="39" spans="1:27" s="224" customFormat="1" ht="14.25" customHeight="1" x14ac:dyDescent="0.3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</row>
    <row r="40" spans="1:27" s="224" customFormat="1" ht="14.25" customHeight="1" x14ac:dyDescent="0.3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</row>
    <row r="41" spans="1:27" s="224" customFormat="1" ht="14.25" customHeight="1" x14ac:dyDescent="0.3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</row>
    <row r="42" spans="1:27" s="224" customFormat="1" ht="14.25" customHeight="1" x14ac:dyDescent="0.3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</row>
    <row r="43" spans="1:27" s="224" customFormat="1" ht="14.25" customHeight="1" x14ac:dyDescent="0.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</row>
    <row r="44" spans="1:27" s="224" customFormat="1" ht="14.25" customHeight="1" x14ac:dyDescent="0.3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</row>
    <row r="45" spans="1:27" s="224" customFormat="1" ht="14.25" customHeight="1" x14ac:dyDescent="0.3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</row>
    <row r="46" spans="1:27" s="224" customFormat="1" ht="14.25" customHeight="1" x14ac:dyDescent="0.3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</row>
    <row r="47" spans="1:27" s="224" customFormat="1" ht="14.25" customHeight="1" x14ac:dyDescent="0.3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</row>
    <row r="48" spans="1:27" s="224" customFormat="1" ht="14.25" customHeight="1" x14ac:dyDescent="0.3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</row>
    <row r="49" spans="1:27" s="224" customFormat="1" ht="14.25" customHeight="1" x14ac:dyDescent="0.3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</row>
    <row r="50" spans="1:27" s="224" customFormat="1" ht="14.25" customHeight="1" x14ac:dyDescent="0.3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</row>
    <row r="51" spans="1:27" s="224" customFormat="1" ht="14.25" customHeight="1" x14ac:dyDescent="0.3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</row>
    <row r="52" spans="1:27" s="224" customFormat="1" ht="14.25" customHeight="1" x14ac:dyDescent="0.3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</row>
    <row r="53" spans="1:27" s="224" customFormat="1" ht="14.25" customHeight="1" x14ac:dyDescent="0.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</row>
    <row r="54" spans="1:27" s="224" customFormat="1" ht="14.25" customHeight="1" x14ac:dyDescent="0.3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</row>
    <row r="55" spans="1:27" s="224" customFormat="1" ht="14.25" customHeight="1" x14ac:dyDescent="0.3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</row>
    <row r="56" spans="1:27" s="224" customFormat="1" ht="14.25" customHeight="1" x14ac:dyDescent="0.3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</row>
    <row r="57" spans="1:27" s="224" customFormat="1" ht="14.25" customHeight="1" x14ac:dyDescent="0.3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</row>
    <row r="58" spans="1:27" s="224" customFormat="1" ht="14.25" customHeight="1" x14ac:dyDescent="0.3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</row>
    <row r="59" spans="1:27" s="224" customFormat="1" ht="14.25" customHeight="1" x14ac:dyDescent="0.3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</row>
    <row r="60" spans="1:27" s="224" customFormat="1" ht="14.25" customHeight="1" x14ac:dyDescent="0.3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</row>
    <row r="61" spans="1:27" s="224" customFormat="1" ht="14.25" customHeight="1" x14ac:dyDescent="0.3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</row>
    <row r="62" spans="1:27" s="224" customFormat="1" ht="14.25" customHeight="1" x14ac:dyDescent="0.3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</row>
    <row r="63" spans="1:27" s="224" customFormat="1" ht="14.25" customHeight="1" x14ac:dyDescent="0.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</row>
    <row r="64" spans="1:27" s="224" customFormat="1" ht="14.25" customHeight="1" x14ac:dyDescent="0.3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</row>
    <row r="65" spans="1:27" s="224" customFormat="1" ht="14.25" customHeight="1" x14ac:dyDescent="0.3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</row>
    <row r="66" spans="1:27" s="224" customFormat="1" ht="14.25" customHeight="1" x14ac:dyDescent="0.3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</row>
    <row r="67" spans="1:27" s="224" customFormat="1" ht="14.25" customHeight="1" x14ac:dyDescent="0.3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</row>
    <row r="68" spans="1:27" s="224" customFormat="1" ht="14.25" customHeight="1" x14ac:dyDescent="0.3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</row>
    <row r="69" spans="1:27" s="224" customFormat="1" ht="14.25" customHeight="1" x14ac:dyDescent="0.3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</row>
    <row r="70" spans="1:27" s="224" customFormat="1" ht="14.25" customHeight="1" x14ac:dyDescent="0.3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</row>
    <row r="71" spans="1:27" s="224" customFormat="1" ht="14.25" customHeight="1" x14ac:dyDescent="0.3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</row>
    <row r="72" spans="1:27" s="224" customFormat="1" ht="14.25" customHeight="1" x14ac:dyDescent="0.3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</row>
    <row r="73" spans="1:27" s="224" customFormat="1" ht="14.25" customHeight="1" x14ac:dyDescent="0.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</row>
    <row r="74" spans="1:27" s="224" customFormat="1" ht="14.25" customHeight="1" x14ac:dyDescent="0.3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</row>
    <row r="75" spans="1:27" s="224" customFormat="1" ht="14.25" customHeight="1" x14ac:dyDescent="0.3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</row>
    <row r="76" spans="1:27" s="224" customFormat="1" ht="14.25" customHeight="1" x14ac:dyDescent="0.3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</row>
    <row r="77" spans="1:27" ht="14.2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ht="14.2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14.2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ht="14.2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14.2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ht="14.2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14.2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ht="14.2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14.2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ht="14.2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14.2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ht="14.2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14.2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ht="14.2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14.2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ht="14.2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4.2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ht="14.2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14.2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ht="14.2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14.2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ht="14.2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14.2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ht="14.2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4.2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ht="14.2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14.2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ht="14.2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14.2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ht="14.2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14.2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ht="14.2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14.2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14.2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14.2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ht="14.2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14.2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ht="14.2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14.2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ht="14.2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14.2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ht="14.2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14.2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ht="14.2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14.2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ht="14.2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14.2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14.2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4.2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14.2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4.2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14.2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4.2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14.2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4.2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ht="14.2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4.2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14.2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4.2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14.2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14.2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ht="14.2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14.2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ht="14.2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4.2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ht="14.2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14.2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ht="14.2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14.2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ht="14.2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14.2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14.2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14.2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14.2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14.2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14.2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14.2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14.2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14.2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14.2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14.2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14.2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14.2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14.2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14.2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14.2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14.2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14.2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14.2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14.2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14.2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14.2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14.2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14.2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14.2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ht="14.2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ht="14.2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ht="14.2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ht="14.2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ht="14.2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ht="14.2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ht="14.2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ht="14.2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ht="14.2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ht="14.2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ht="14.2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ht="14.2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ht="14.2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ht="14.2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ht="14.2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ht="14.2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ht="14.2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ht="14.2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ht="14.2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ht="14.2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ht="14.2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ht="14.2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ht="14.2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ht="14.2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ht="14.2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ht="14.2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ht="14.2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ht="14.2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ht="14.2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ht="14.2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ht="14.2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ht="14.2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ht="14.2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ht="14.2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ht="14.2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ht="14.2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ht="14.2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ht="14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ht="14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14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14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14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14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ht="14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ht="14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ht="14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ht="14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ht="14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ht="14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ht="14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ht="14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ht="14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ht="14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ht="14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ht="14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ht="14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ht="14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ht="15.75" customHeight="1" x14ac:dyDescent="0.3"/>
    <row r="230" spans="1:27" ht="15.75" customHeight="1" x14ac:dyDescent="0.3"/>
    <row r="231" spans="1:27" ht="15.75" customHeight="1" x14ac:dyDescent="0.3"/>
    <row r="232" spans="1:27" ht="15.75" customHeight="1" x14ac:dyDescent="0.3"/>
    <row r="233" spans="1:27" ht="15.75" customHeight="1" x14ac:dyDescent="0.3"/>
    <row r="234" spans="1:27" ht="15.75" customHeight="1" x14ac:dyDescent="0.3"/>
    <row r="235" spans="1:27" ht="15.75" customHeight="1" x14ac:dyDescent="0.3"/>
    <row r="236" spans="1:27" ht="15.75" customHeight="1" x14ac:dyDescent="0.3"/>
    <row r="237" spans="1:27" ht="15.75" customHeight="1" x14ac:dyDescent="0.3"/>
    <row r="238" spans="1:27" ht="15.75" customHeight="1" x14ac:dyDescent="0.3"/>
    <row r="239" spans="1:27" ht="15.75" customHeight="1" x14ac:dyDescent="0.3"/>
    <row r="240" spans="1:27" ht="15.75" customHeight="1" x14ac:dyDescent="0.3"/>
    <row r="241" s="20" customFormat="1" ht="15.75" customHeight="1" x14ac:dyDescent="0.3"/>
    <row r="242" s="20" customFormat="1" ht="15.75" customHeight="1" x14ac:dyDescent="0.3"/>
    <row r="243" s="20" customFormat="1" ht="15.75" customHeight="1" x14ac:dyDescent="0.3"/>
    <row r="244" s="20" customFormat="1" ht="15.75" customHeight="1" x14ac:dyDescent="0.3"/>
    <row r="245" s="20" customFormat="1" ht="15.75" customHeight="1" x14ac:dyDescent="0.3"/>
    <row r="246" s="20" customFormat="1" ht="15.75" customHeight="1" x14ac:dyDescent="0.3"/>
    <row r="247" s="20" customFormat="1" ht="15.75" customHeight="1" x14ac:dyDescent="0.3"/>
    <row r="248" s="20" customFormat="1" ht="15.75" customHeight="1" x14ac:dyDescent="0.3"/>
    <row r="249" s="20" customFormat="1" ht="15.75" customHeight="1" x14ac:dyDescent="0.3"/>
    <row r="250" s="20" customFormat="1" ht="15.75" customHeight="1" x14ac:dyDescent="0.3"/>
    <row r="251" s="20" customFormat="1" ht="15.75" customHeight="1" x14ac:dyDescent="0.3"/>
    <row r="252" s="20" customFormat="1" ht="15.75" customHeight="1" x14ac:dyDescent="0.3"/>
    <row r="253" s="20" customFormat="1" ht="15.75" customHeight="1" x14ac:dyDescent="0.3"/>
    <row r="254" s="20" customFormat="1" ht="15.75" customHeight="1" x14ac:dyDescent="0.3"/>
    <row r="255" s="20" customFormat="1" ht="15.75" customHeight="1" x14ac:dyDescent="0.3"/>
    <row r="256" s="20" customFormat="1" ht="15.75" customHeight="1" x14ac:dyDescent="0.3"/>
    <row r="257" s="20" customFormat="1" ht="15.75" customHeight="1" x14ac:dyDescent="0.3"/>
    <row r="258" s="20" customFormat="1" ht="15.75" customHeight="1" x14ac:dyDescent="0.3"/>
    <row r="259" s="20" customFormat="1" ht="15.75" customHeight="1" x14ac:dyDescent="0.3"/>
    <row r="260" s="20" customFormat="1" ht="15.75" customHeight="1" x14ac:dyDescent="0.3"/>
    <row r="261" s="20" customFormat="1" ht="15.75" customHeight="1" x14ac:dyDescent="0.3"/>
    <row r="262" s="20" customFormat="1" ht="15.75" customHeight="1" x14ac:dyDescent="0.3"/>
    <row r="263" s="20" customFormat="1" ht="15.75" customHeight="1" x14ac:dyDescent="0.3"/>
    <row r="264" s="20" customFormat="1" ht="15.75" customHeight="1" x14ac:dyDescent="0.3"/>
    <row r="265" s="20" customFormat="1" ht="15.75" customHeight="1" x14ac:dyDescent="0.3"/>
    <row r="266" s="20" customFormat="1" ht="15.75" customHeight="1" x14ac:dyDescent="0.3"/>
    <row r="267" s="20" customFormat="1" ht="15.75" customHeight="1" x14ac:dyDescent="0.3"/>
    <row r="268" s="20" customFormat="1" ht="15.75" customHeight="1" x14ac:dyDescent="0.3"/>
    <row r="269" s="20" customFormat="1" ht="15.75" customHeight="1" x14ac:dyDescent="0.3"/>
    <row r="270" s="20" customFormat="1" ht="15.75" customHeight="1" x14ac:dyDescent="0.3"/>
    <row r="271" s="20" customFormat="1" ht="15.75" customHeight="1" x14ac:dyDescent="0.3"/>
    <row r="272" s="20" customFormat="1" ht="15.75" customHeight="1" x14ac:dyDescent="0.3"/>
    <row r="273" s="20" customFormat="1" ht="15.75" customHeight="1" x14ac:dyDescent="0.3"/>
    <row r="274" s="20" customFormat="1" ht="15.75" customHeight="1" x14ac:dyDescent="0.3"/>
    <row r="275" s="20" customFormat="1" ht="15.75" customHeight="1" x14ac:dyDescent="0.3"/>
    <row r="276" s="20" customFormat="1" ht="15.75" customHeight="1" x14ac:dyDescent="0.3"/>
    <row r="277" s="20" customFormat="1" ht="15.75" customHeight="1" x14ac:dyDescent="0.3"/>
    <row r="278" s="20" customFormat="1" ht="15.75" customHeight="1" x14ac:dyDescent="0.3"/>
    <row r="279" s="20" customFormat="1" ht="15.75" customHeight="1" x14ac:dyDescent="0.3"/>
    <row r="280" s="20" customFormat="1" ht="15.75" customHeight="1" x14ac:dyDescent="0.3"/>
    <row r="281" s="20" customFormat="1" ht="15.75" customHeight="1" x14ac:dyDescent="0.3"/>
    <row r="282" s="20" customFormat="1" ht="15.75" customHeight="1" x14ac:dyDescent="0.3"/>
    <row r="283" s="20" customFormat="1" ht="15.75" customHeight="1" x14ac:dyDescent="0.3"/>
    <row r="284" s="20" customFormat="1" ht="15.75" customHeight="1" x14ac:dyDescent="0.3"/>
    <row r="285" s="20" customFormat="1" ht="15.75" customHeight="1" x14ac:dyDescent="0.3"/>
    <row r="286" s="20" customFormat="1" ht="15.75" customHeight="1" x14ac:dyDescent="0.3"/>
    <row r="287" s="20" customFormat="1" ht="15.75" customHeight="1" x14ac:dyDescent="0.3"/>
    <row r="288" s="20" customFormat="1" ht="15.75" customHeight="1" x14ac:dyDescent="0.3"/>
    <row r="289" s="20" customFormat="1" ht="15.75" customHeight="1" x14ac:dyDescent="0.3"/>
    <row r="290" s="20" customFormat="1" ht="15.75" customHeight="1" x14ac:dyDescent="0.3"/>
    <row r="291" s="20" customFormat="1" ht="15.75" customHeight="1" x14ac:dyDescent="0.3"/>
    <row r="292" s="20" customFormat="1" ht="15.75" customHeight="1" x14ac:dyDescent="0.3"/>
    <row r="293" s="20" customFormat="1" ht="15.75" customHeight="1" x14ac:dyDescent="0.3"/>
    <row r="294" s="20" customFormat="1" ht="15.75" customHeight="1" x14ac:dyDescent="0.3"/>
    <row r="295" s="20" customFormat="1" ht="15.75" customHeight="1" x14ac:dyDescent="0.3"/>
    <row r="296" s="20" customFormat="1" ht="15.75" customHeight="1" x14ac:dyDescent="0.3"/>
    <row r="297" s="20" customFormat="1" ht="15.75" customHeight="1" x14ac:dyDescent="0.3"/>
    <row r="298" s="20" customFormat="1" ht="15.75" customHeight="1" x14ac:dyDescent="0.3"/>
    <row r="299" s="20" customFormat="1" ht="15.75" customHeight="1" x14ac:dyDescent="0.3"/>
    <row r="300" s="20" customFormat="1" ht="15.75" customHeight="1" x14ac:dyDescent="0.3"/>
    <row r="301" s="20" customFormat="1" ht="15.75" customHeight="1" x14ac:dyDescent="0.3"/>
    <row r="302" s="20" customFormat="1" ht="15.75" customHeight="1" x14ac:dyDescent="0.3"/>
    <row r="303" s="20" customFormat="1" ht="15.75" customHeight="1" x14ac:dyDescent="0.3"/>
    <row r="304" s="20" customFormat="1" ht="15.75" customHeight="1" x14ac:dyDescent="0.3"/>
    <row r="305" s="20" customFormat="1" ht="15.75" customHeight="1" x14ac:dyDescent="0.3"/>
    <row r="306" s="20" customFormat="1" ht="15.75" customHeight="1" x14ac:dyDescent="0.3"/>
    <row r="307" s="20" customFormat="1" ht="15.75" customHeight="1" x14ac:dyDescent="0.3"/>
    <row r="308" s="20" customFormat="1" ht="15.75" customHeight="1" x14ac:dyDescent="0.3"/>
    <row r="309" s="20" customFormat="1" ht="15.75" customHeight="1" x14ac:dyDescent="0.3"/>
    <row r="310" s="20" customFormat="1" ht="15.75" customHeight="1" x14ac:dyDescent="0.3"/>
    <row r="311" s="20" customFormat="1" ht="15.75" customHeight="1" x14ac:dyDescent="0.3"/>
    <row r="312" s="20" customFormat="1" ht="15.75" customHeight="1" x14ac:dyDescent="0.3"/>
    <row r="313" s="20" customFormat="1" ht="15.75" customHeight="1" x14ac:dyDescent="0.3"/>
    <row r="314" s="20" customFormat="1" ht="15.75" customHeight="1" x14ac:dyDescent="0.3"/>
    <row r="315" s="20" customFormat="1" ht="15.75" customHeight="1" x14ac:dyDescent="0.3"/>
    <row r="316" s="20" customFormat="1" ht="15.75" customHeight="1" x14ac:dyDescent="0.3"/>
    <row r="317" s="20" customFormat="1" ht="15.75" customHeight="1" x14ac:dyDescent="0.3"/>
    <row r="318" s="20" customFormat="1" ht="15.75" customHeight="1" x14ac:dyDescent="0.3"/>
    <row r="319" s="20" customFormat="1" ht="15.75" customHeight="1" x14ac:dyDescent="0.3"/>
    <row r="320" s="20" customFormat="1" ht="15.75" customHeight="1" x14ac:dyDescent="0.3"/>
    <row r="321" s="20" customFormat="1" ht="15.75" customHeight="1" x14ac:dyDescent="0.3"/>
    <row r="322" s="20" customFormat="1" ht="15.75" customHeight="1" x14ac:dyDescent="0.3"/>
    <row r="323" s="20" customFormat="1" ht="15.75" customHeight="1" x14ac:dyDescent="0.3"/>
    <row r="324" s="20" customFormat="1" ht="15.75" customHeight="1" x14ac:dyDescent="0.3"/>
    <row r="325" s="20" customFormat="1" ht="15.75" customHeight="1" x14ac:dyDescent="0.3"/>
    <row r="326" s="20" customFormat="1" ht="15.75" customHeight="1" x14ac:dyDescent="0.3"/>
    <row r="327" s="20" customFormat="1" ht="15.75" customHeight="1" x14ac:dyDescent="0.3"/>
    <row r="328" s="20" customFormat="1" ht="15.75" customHeight="1" x14ac:dyDescent="0.3"/>
    <row r="329" s="20" customFormat="1" ht="15.75" customHeight="1" x14ac:dyDescent="0.3"/>
    <row r="330" s="20" customFormat="1" ht="15.75" customHeight="1" x14ac:dyDescent="0.3"/>
    <row r="331" s="20" customFormat="1" ht="15.75" customHeight="1" x14ac:dyDescent="0.3"/>
    <row r="332" s="20" customFormat="1" ht="15.75" customHeight="1" x14ac:dyDescent="0.3"/>
    <row r="333" s="20" customFormat="1" ht="15.75" customHeight="1" x14ac:dyDescent="0.3"/>
    <row r="334" s="20" customFormat="1" ht="15.75" customHeight="1" x14ac:dyDescent="0.3"/>
    <row r="335" s="20" customFormat="1" ht="15.75" customHeight="1" x14ac:dyDescent="0.3"/>
    <row r="336" s="20" customFormat="1" ht="15.75" customHeight="1" x14ac:dyDescent="0.3"/>
    <row r="337" s="20" customFormat="1" ht="15.75" customHeight="1" x14ac:dyDescent="0.3"/>
    <row r="338" s="20" customFormat="1" ht="15.75" customHeight="1" x14ac:dyDescent="0.3"/>
    <row r="339" s="20" customFormat="1" ht="15.75" customHeight="1" x14ac:dyDescent="0.3"/>
    <row r="340" s="20" customFormat="1" ht="15.75" customHeight="1" x14ac:dyDescent="0.3"/>
    <row r="341" s="20" customFormat="1" ht="15.75" customHeight="1" x14ac:dyDescent="0.3"/>
    <row r="342" s="20" customFormat="1" ht="15.75" customHeight="1" x14ac:dyDescent="0.3"/>
    <row r="343" s="20" customFormat="1" ht="15.75" customHeight="1" x14ac:dyDescent="0.3"/>
    <row r="344" s="20" customFormat="1" ht="15.75" customHeight="1" x14ac:dyDescent="0.3"/>
    <row r="345" s="20" customFormat="1" ht="15.75" customHeight="1" x14ac:dyDescent="0.3"/>
    <row r="346" s="20" customFormat="1" ht="15.75" customHeight="1" x14ac:dyDescent="0.3"/>
    <row r="347" s="20" customFormat="1" ht="15.75" customHeight="1" x14ac:dyDescent="0.3"/>
    <row r="348" s="20" customFormat="1" ht="15.75" customHeight="1" x14ac:dyDescent="0.3"/>
    <row r="349" s="20" customFormat="1" ht="15.75" customHeight="1" x14ac:dyDescent="0.3"/>
    <row r="350" s="20" customFormat="1" ht="15.75" customHeight="1" x14ac:dyDescent="0.3"/>
    <row r="351" s="20" customFormat="1" ht="15.75" customHeight="1" x14ac:dyDescent="0.3"/>
    <row r="352" s="20" customFormat="1" ht="15.75" customHeight="1" x14ac:dyDescent="0.3"/>
    <row r="353" s="20" customFormat="1" ht="15.75" customHeight="1" x14ac:dyDescent="0.3"/>
    <row r="354" s="20" customFormat="1" ht="15.75" customHeight="1" x14ac:dyDescent="0.3"/>
    <row r="355" s="20" customFormat="1" ht="15.75" customHeight="1" x14ac:dyDescent="0.3"/>
    <row r="356" s="20" customFormat="1" ht="15.75" customHeight="1" x14ac:dyDescent="0.3"/>
    <row r="357" s="20" customFormat="1" ht="15.75" customHeight="1" x14ac:dyDescent="0.3"/>
    <row r="358" s="20" customFormat="1" ht="15.75" customHeight="1" x14ac:dyDescent="0.3"/>
    <row r="359" s="20" customFormat="1" ht="15.75" customHeight="1" x14ac:dyDescent="0.3"/>
    <row r="360" s="20" customFormat="1" ht="15.75" customHeight="1" x14ac:dyDescent="0.3"/>
    <row r="361" s="20" customFormat="1" ht="15.75" customHeight="1" x14ac:dyDescent="0.3"/>
    <row r="362" s="20" customFormat="1" ht="15.75" customHeight="1" x14ac:dyDescent="0.3"/>
    <row r="363" s="20" customFormat="1" ht="15.75" customHeight="1" x14ac:dyDescent="0.3"/>
    <row r="364" s="20" customFormat="1" ht="15.75" customHeight="1" x14ac:dyDescent="0.3"/>
    <row r="365" s="20" customFormat="1" ht="15.75" customHeight="1" x14ac:dyDescent="0.3"/>
    <row r="366" s="20" customFormat="1" ht="15.75" customHeight="1" x14ac:dyDescent="0.3"/>
    <row r="367" s="20" customFormat="1" ht="15.75" customHeight="1" x14ac:dyDescent="0.3"/>
    <row r="368" s="20" customFormat="1" ht="15.75" customHeight="1" x14ac:dyDescent="0.3"/>
    <row r="369" s="20" customFormat="1" ht="15.75" customHeight="1" x14ac:dyDescent="0.3"/>
    <row r="370" s="20" customFormat="1" ht="15.75" customHeight="1" x14ac:dyDescent="0.3"/>
    <row r="371" s="20" customFormat="1" ht="15.75" customHeight="1" x14ac:dyDescent="0.3"/>
    <row r="372" s="20" customFormat="1" ht="15.75" customHeight="1" x14ac:dyDescent="0.3"/>
    <row r="373" s="20" customFormat="1" ht="15.75" customHeight="1" x14ac:dyDescent="0.3"/>
    <row r="374" s="20" customFormat="1" ht="15.75" customHeight="1" x14ac:dyDescent="0.3"/>
    <row r="375" s="20" customFormat="1" ht="15.75" customHeight="1" x14ac:dyDescent="0.3"/>
    <row r="376" s="20" customFormat="1" ht="15.75" customHeight="1" x14ac:dyDescent="0.3"/>
    <row r="377" s="20" customFormat="1" ht="15.75" customHeight="1" x14ac:dyDescent="0.3"/>
    <row r="378" s="20" customFormat="1" ht="15.75" customHeight="1" x14ac:dyDescent="0.3"/>
    <row r="379" s="20" customFormat="1" ht="15.75" customHeight="1" x14ac:dyDescent="0.3"/>
    <row r="380" s="20" customFormat="1" ht="15.75" customHeight="1" x14ac:dyDescent="0.3"/>
    <row r="381" s="20" customFormat="1" ht="15.75" customHeight="1" x14ac:dyDescent="0.3"/>
    <row r="382" s="20" customFormat="1" ht="15.75" customHeight="1" x14ac:dyDescent="0.3"/>
    <row r="383" s="20" customFormat="1" ht="15.75" customHeight="1" x14ac:dyDescent="0.3"/>
    <row r="384" s="20" customFormat="1" ht="15.75" customHeight="1" x14ac:dyDescent="0.3"/>
    <row r="385" s="20" customFormat="1" ht="15.75" customHeight="1" x14ac:dyDescent="0.3"/>
    <row r="386" s="20" customFormat="1" ht="15.75" customHeight="1" x14ac:dyDescent="0.3"/>
    <row r="387" s="20" customFormat="1" ht="15.75" customHeight="1" x14ac:dyDescent="0.3"/>
    <row r="388" s="20" customFormat="1" ht="15.75" customHeight="1" x14ac:dyDescent="0.3"/>
    <row r="389" s="20" customFormat="1" ht="15.75" customHeight="1" x14ac:dyDescent="0.3"/>
    <row r="390" s="20" customFormat="1" ht="15.75" customHeight="1" x14ac:dyDescent="0.3"/>
    <row r="391" s="20" customFormat="1" ht="15.75" customHeight="1" x14ac:dyDescent="0.3"/>
    <row r="392" s="20" customFormat="1" ht="15.75" customHeight="1" x14ac:dyDescent="0.3"/>
    <row r="393" s="20" customFormat="1" ht="15.75" customHeight="1" x14ac:dyDescent="0.3"/>
    <row r="394" s="20" customFormat="1" ht="15.75" customHeight="1" x14ac:dyDescent="0.3"/>
    <row r="395" s="20" customFormat="1" ht="15.75" customHeight="1" x14ac:dyDescent="0.3"/>
    <row r="396" s="20" customFormat="1" ht="15.75" customHeight="1" x14ac:dyDescent="0.3"/>
    <row r="397" s="20" customFormat="1" ht="15.75" customHeight="1" x14ac:dyDescent="0.3"/>
    <row r="398" s="20" customFormat="1" ht="15.75" customHeight="1" x14ac:dyDescent="0.3"/>
    <row r="399" s="20" customFormat="1" ht="15.75" customHeight="1" x14ac:dyDescent="0.3"/>
    <row r="400" s="20" customFormat="1" ht="15.75" customHeight="1" x14ac:dyDescent="0.3"/>
    <row r="401" s="20" customFormat="1" ht="15.75" customHeight="1" x14ac:dyDescent="0.3"/>
    <row r="402" s="20" customFormat="1" ht="15.75" customHeight="1" x14ac:dyDescent="0.3"/>
    <row r="403" s="20" customFormat="1" ht="15.75" customHeight="1" x14ac:dyDescent="0.3"/>
    <row r="404" s="20" customFormat="1" ht="15.75" customHeight="1" x14ac:dyDescent="0.3"/>
    <row r="405" s="20" customFormat="1" ht="15.75" customHeight="1" x14ac:dyDescent="0.3"/>
    <row r="406" s="20" customFormat="1" ht="15.75" customHeight="1" x14ac:dyDescent="0.3"/>
    <row r="407" s="20" customFormat="1" ht="15.75" customHeight="1" x14ac:dyDescent="0.3"/>
    <row r="408" s="20" customFormat="1" ht="15.75" customHeight="1" x14ac:dyDescent="0.3"/>
    <row r="409" s="20" customFormat="1" ht="15.75" customHeight="1" x14ac:dyDescent="0.3"/>
    <row r="410" s="20" customFormat="1" ht="15.75" customHeight="1" x14ac:dyDescent="0.3"/>
    <row r="411" s="20" customFormat="1" ht="15.75" customHeight="1" x14ac:dyDescent="0.3"/>
    <row r="412" s="20" customFormat="1" ht="15.75" customHeight="1" x14ac:dyDescent="0.3"/>
    <row r="413" s="20" customFormat="1" ht="15.75" customHeight="1" x14ac:dyDescent="0.3"/>
    <row r="414" s="20" customFormat="1" ht="15.75" customHeight="1" x14ac:dyDescent="0.3"/>
    <row r="415" s="20" customFormat="1" ht="15.75" customHeight="1" x14ac:dyDescent="0.3"/>
    <row r="416" s="20" customFormat="1" ht="15.75" customHeight="1" x14ac:dyDescent="0.3"/>
    <row r="417" s="20" customFormat="1" ht="15.75" customHeight="1" x14ac:dyDescent="0.3"/>
    <row r="418" s="20" customFormat="1" ht="15.75" customHeight="1" x14ac:dyDescent="0.3"/>
    <row r="419" s="20" customFormat="1" ht="15.75" customHeight="1" x14ac:dyDescent="0.3"/>
    <row r="420" s="20" customFormat="1" ht="15.75" customHeight="1" x14ac:dyDescent="0.3"/>
    <row r="421" s="20" customFormat="1" ht="15.75" customHeight="1" x14ac:dyDescent="0.3"/>
    <row r="422" s="20" customFormat="1" ht="15.75" customHeight="1" x14ac:dyDescent="0.3"/>
    <row r="423" s="20" customFormat="1" ht="15.75" customHeight="1" x14ac:dyDescent="0.3"/>
    <row r="424" s="20" customFormat="1" ht="15.75" customHeight="1" x14ac:dyDescent="0.3"/>
    <row r="425" s="20" customFormat="1" ht="15.75" customHeight="1" x14ac:dyDescent="0.3"/>
    <row r="426" s="20" customFormat="1" ht="15.75" customHeight="1" x14ac:dyDescent="0.3"/>
    <row r="427" s="20" customFormat="1" ht="15.75" customHeight="1" x14ac:dyDescent="0.3"/>
    <row r="428" s="20" customFormat="1" ht="15.75" customHeight="1" x14ac:dyDescent="0.3"/>
    <row r="429" s="20" customFormat="1" ht="15.75" customHeight="1" x14ac:dyDescent="0.3"/>
    <row r="430" s="20" customFormat="1" ht="15.75" customHeight="1" x14ac:dyDescent="0.3"/>
    <row r="431" s="20" customFormat="1" ht="15.75" customHeight="1" x14ac:dyDescent="0.3"/>
    <row r="432" s="20" customFormat="1" ht="15.75" customHeight="1" x14ac:dyDescent="0.3"/>
    <row r="433" s="20" customFormat="1" ht="15.75" customHeight="1" x14ac:dyDescent="0.3"/>
    <row r="434" s="20" customFormat="1" ht="15.75" customHeight="1" x14ac:dyDescent="0.3"/>
    <row r="435" s="20" customFormat="1" ht="15.75" customHeight="1" x14ac:dyDescent="0.3"/>
    <row r="436" s="20" customFormat="1" ht="15.75" customHeight="1" x14ac:dyDescent="0.3"/>
    <row r="437" s="20" customFormat="1" ht="15.75" customHeight="1" x14ac:dyDescent="0.3"/>
    <row r="438" s="20" customFormat="1" ht="15.75" customHeight="1" x14ac:dyDescent="0.3"/>
    <row r="439" s="20" customFormat="1" ht="15.75" customHeight="1" x14ac:dyDescent="0.3"/>
    <row r="440" s="20" customFormat="1" ht="15.75" customHeight="1" x14ac:dyDescent="0.3"/>
    <row r="441" s="20" customFormat="1" ht="15.75" customHeight="1" x14ac:dyDescent="0.3"/>
    <row r="442" s="20" customFormat="1" ht="15.75" customHeight="1" x14ac:dyDescent="0.3"/>
    <row r="443" s="20" customFormat="1" ht="15.75" customHeight="1" x14ac:dyDescent="0.3"/>
    <row r="444" s="20" customFormat="1" ht="15.75" customHeight="1" x14ac:dyDescent="0.3"/>
    <row r="445" s="20" customFormat="1" ht="15.75" customHeight="1" x14ac:dyDescent="0.3"/>
    <row r="446" s="20" customFormat="1" ht="15.75" customHeight="1" x14ac:dyDescent="0.3"/>
    <row r="447" s="20" customFormat="1" ht="15.75" customHeight="1" x14ac:dyDescent="0.3"/>
    <row r="448" s="20" customFormat="1" ht="15.75" customHeight="1" x14ac:dyDescent="0.3"/>
    <row r="449" s="20" customFormat="1" ht="15.75" customHeight="1" x14ac:dyDescent="0.3"/>
    <row r="450" s="20" customFormat="1" ht="15.75" customHeight="1" x14ac:dyDescent="0.3"/>
    <row r="451" s="20" customFormat="1" ht="15.75" customHeight="1" x14ac:dyDescent="0.3"/>
    <row r="452" s="20" customFormat="1" ht="15.75" customHeight="1" x14ac:dyDescent="0.3"/>
    <row r="453" s="20" customFormat="1" ht="15.75" customHeight="1" x14ac:dyDescent="0.3"/>
    <row r="454" s="20" customFormat="1" ht="15.75" customHeight="1" x14ac:dyDescent="0.3"/>
    <row r="455" s="20" customFormat="1" ht="15.75" customHeight="1" x14ac:dyDescent="0.3"/>
    <row r="456" s="20" customFormat="1" ht="15.75" customHeight="1" x14ac:dyDescent="0.3"/>
    <row r="457" s="20" customFormat="1" ht="15.75" customHeight="1" x14ac:dyDescent="0.3"/>
    <row r="458" s="20" customFormat="1" ht="15.75" customHeight="1" x14ac:dyDescent="0.3"/>
    <row r="459" s="20" customFormat="1" ht="15.75" customHeight="1" x14ac:dyDescent="0.3"/>
    <row r="460" s="20" customFormat="1" ht="15.75" customHeight="1" x14ac:dyDescent="0.3"/>
    <row r="461" s="20" customFormat="1" ht="15.75" customHeight="1" x14ac:dyDescent="0.3"/>
    <row r="462" s="20" customFormat="1" ht="15.75" customHeight="1" x14ac:dyDescent="0.3"/>
    <row r="463" s="20" customFormat="1" ht="15.75" customHeight="1" x14ac:dyDescent="0.3"/>
    <row r="464" s="20" customFormat="1" ht="15.75" customHeight="1" x14ac:dyDescent="0.3"/>
    <row r="465" s="20" customFormat="1" ht="15.75" customHeight="1" x14ac:dyDescent="0.3"/>
    <row r="466" s="20" customFormat="1" ht="15.75" customHeight="1" x14ac:dyDescent="0.3"/>
    <row r="467" s="20" customFormat="1" ht="15.75" customHeight="1" x14ac:dyDescent="0.3"/>
    <row r="468" s="20" customFormat="1" ht="15.75" customHeight="1" x14ac:dyDescent="0.3"/>
    <row r="469" s="20" customFormat="1" ht="15.75" customHeight="1" x14ac:dyDescent="0.3"/>
    <row r="470" s="20" customFormat="1" ht="15.75" customHeight="1" x14ac:dyDescent="0.3"/>
    <row r="471" s="20" customFormat="1" ht="15.75" customHeight="1" x14ac:dyDescent="0.3"/>
    <row r="472" s="20" customFormat="1" ht="15.75" customHeight="1" x14ac:dyDescent="0.3"/>
    <row r="473" s="20" customFormat="1" ht="15.75" customHeight="1" x14ac:dyDescent="0.3"/>
    <row r="474" s="20" customFormat="1" ht="15.75" customHeight="1" x14ac:dyDescent="0.3"/>
    <row r="475" s="20" customFormat="1" ht="15.75" customHeight="1" x14ac:dyDescent="0.3"/>
    <row r="476" s="20" customFormat="1" ht="15.75" customHeight="1" x14ac:dyDescent="0.3"/>
    <row r="477" s="20" customFormat="1" ht="15.75" customHeight="1" x14ac:dyDescent="0.3"/>
    <row r="478" s="20" customFormat="1" ht="15.75" customHeight="1" x14ac:dyDescent="0.3"/>
    <row r="479" s="20" customFormat="1" ht="15.75" customHeight="1" x14ac:dyDescent="0.3"/>
    <row r="480" s="20" customFormat="1" ht="15.75" customHeight="1" x14ac:dyDescent="0.3"/>
    <row r="481" s="20" customFormat="1" ht="15.75" customHeight="1" x14ac:dyDescent="0.3"/>
    <row r="482" s="20" customFormat="1" ht="15.75" customHeight="1" x14ac:dyDescent="0.3"/>
    <row r="483" s="20" customFormat="1" ht="15.75" customHeight="1" x14ac:dyDescent="0.3"/>
    <row r="484" s="20" customFormat="1" ht="15.75" customHeight="1" x14ac:dyDescent="0.3"/>
    <row r="485" s="20" customFormat="1" ht="15.75" customHeight="1" x14ac:dyDescent="0.3"/>
    <row r="486" s="20" customFormat="1" ht="15.75" customHeight="1" x14ac:dyDescent="0.3"/>
    <row r="487" s="20" customFormat="1" ht="15.75" customHeight="1" x14ac:dyDescent="0.3"/>
    <row r="488" s="20" customFormat="1" ht="15.75" customHeight="1" x14ac:dyDescent="0.3"/>
    <row r="489" s="20" customFormat="1" ht="15.75" customHeight="1" x14ac:dyDescent="0.3"/>
    <row r="490" s="20" customFormat="1" ht="15.75" customHeight="1" x14ac:dyDescent="0.3"/>
    <row r="491" s="20" customFormat="1" ht="15.75" customHeight="1" x14ac:dyDescent="0.3"/>
    <row r="492" s="20" customFormat="1" ht="15.75" customHeight="1" x14ac:dyDescent="0.3"/>
    <row r="493" s="20" customFormat="1" ht="15.75" customHeight="1" x14ac:dyDescent="0.3"/>
    <row r="494" s="20" customFormat="1" ht="15.75" customHeight="1" x14ac:dyDescent="0.3"/>
    <row r="495" s="20" customFormat="1" ht="15.75" customHeight="1" x14ac:dyDescent="0.3"/>
    <row r="496" s="20" customFormat="1" ht="15.75" customHeight="1" x14ac:dyDescent="0.3"/>
    <row r="497" s="20" customFormat="1" ht="15.75" customHeight="1" x14ac:dyDescent="0.3"/>
    <row r="498" s="20" customFormat="1" ht="15.75" customHeight="1" x14ac:dyDescent="0.3"/>
    <row r="499" s="20" customFormat="1" ht="15.75" customHeight="1" x14ac:dyDescent="0.3"/>
    <row r="500" s="20" customFormat="1" ht="15.75" customHeight="1" x14ac:dyDescent="0.3"/>
    <row r="501" s="20" customFormat="1" ht="15.75" customHeight="1" x14ac:dyDescent="0.3"/>
    <row r="502" s="20" customFormat="1" ht="15.75" customHeight="1" x14ac:dyDescent="0.3"/>
    <row r="503" s="20" customFormat="1" ht="15.75" customHeight="1" x14ac:dyDescent="0.3"/>
    <row r="504" s="20" customFormat="1" ht="15.75" customHeight="1" x14ac:dyDescent="0.3"/>
    <row r="505" s="20" customFormat="1" ht="15.75" customHeight="1" x14ac:dyDescent="0.3"/>
    <row r="506" s="20" customFormat="1" ht="15.75" customHeight="1" x14ac:dyDescent="0.3"/>
    <row r="507" s="20" customFormat="1" ht="15.75" customHeight="1" x14ac:dyDescent="0.3"/>
    <row r="508" s="20" customFormat="1" ht="15.75" customHeight="1" x14ac:dyDescent="0.3"/>
    <row r="509" s="20" customFormat="1" ht="15.75" customHeight="1" x14ac:dyDescent="0.3"/>
    <row r="510" s="20" customFormat="1" ht="15.75" customHeight="1" x14ac:dyDescent="0.3"/>
    <row r="511" s="20" customFormat="1" ht="15.75" customHeight="1" x14ac:dyDescent="0.3"/>
    <row r="512" s="20" customFormat="1" ht="15.75" customHeight="1" x14ac:dyDescent="0.3"/>
    <row r="513" s="20" customFormat="1" ht="15.75" customHeight="1" x14ac:dyDescent="0.3"/>
    <row r="514" s="20" customFormat="1" ht="15.75" customHeight="1" x14ac:dyDescent="0.3"/>
    <row r="515" s="20" customFormat="1" ht="15.75" customHeight="1" x14ac:dyDescent="0.3"/>
    <row r="516" s="20" customFormat="1" ht="15.75" customHeight="1" x14ac:dyDescent="0.3"/>
    <row r="517" s="20" customFormat="1" ht="15.75" customHeight="1" x14ac:dyDescent="0.3"/>
    <row r="518" s="20" customFormat="1" ht="15.75" customHeight="1" x14ac:dyDescent="0.3"/>
    <row r="519" s="20" customFormat="1" ht="15.75" customHeight="1" x14ac:dyDescent="0.3"/>
    <row r="520" s="20" customFormat="1" ht="15.75" customHeight="1" x14ac:dyDescent="0.3"/>
    <row r="521" s="20" customFormat="1" ht="15.75" customHeight="1" x14ac:dyDescent="0.3"/>
    <row r="522" s="20" customFormat="1" ht="15.75" customHeight="1" x14ac:dyDescent="0.3"/>
    <row r="523" s="20" customFormat="1" ht="15.75" customHeight="1" x14ac:dyDescent="0.3"/>
    <row r="524" s="20" customFormat="1" ht="15.75" customHeight="1" x14ac:dyDescent="0.3"/>
    <row r="525" s="20" customFormat="1" ht="15.75" customHeight="1" x14ac:dyDescent="0.3"/>
    <row r="526" s="20" customFormat="1" ht="15.75" customHeight="1" x14ac:dyDescent="0.3"/>
    <row r="527" s="20" customFormat="1" ht="15.75" customHeight="1" x14ac:dyDescent="0.3"/>
    <row r="528" s="20" customFormat="1" ht="15.75" customHeight="1" x14ac:dyDescent="0.3"/>
    <row r="529" s="20" customFormat="1" ht="15.75" customHeight="1" x14ac:dyDescent="0.3"/>
    <row r="530" s="20" customFormat="1" ht="15.75" customHeight="1" x14ac:dyDescent="0.3"/>
    <row r="531" s="20" customFormat="1" ht="15.75" customHeight="1" x14ac:dyDescent="0.3"/>
    <row r="532" s="20" customFormat="1" ht="15.75" customHeight="1" x14ac:dyDescent="0.3"/>
    <row r="533" s="20" customFormat="1" ht="15.75" customHeight="1" x14ac:dyDescent="0.3"/>
    <row r="534" s="20" customFormat="1" ht="15.75" customHeight="1" x14ac:dyDescent="0.3"/>
    <row r="535" s="20" customFormat="1" ht="15.75" customHeight="1" x14ac:dyDescent="0.3"/>
    <row r="536" s="20" customFormat="1" ht="15.75" customHeight="1" x14ac:dyDescent="0.3"/>
    <row r="537" s="20" customFormat="1" ht="15.75" customHeight="1" x14ac:dyDescent="0.3"/>
    <row r="538" s="20" customFormat="1" ht="15.75" customHeight="1" x14ac:dyDescent="0.3"/>
    <row r="539" s="20" customFormat="1" ht="15.75" customHeight="1" x14ac:dyDescent="0.3"/>
    <row r="540" s="20" customFormat="1" ht="15.75" customHeight="1" x14ac:dyDescent="0.3"/>
    <row r="541" s="20" customFormat="1" ht="15.75" customHeight="1" x14ac:dyDescent="0.3"/>
    <row r="542" s="20" customFormat="1" ht="15.75" customHeight="1" x14ac:dyDescent="0.3"/>
    <row r="543" s="20" customFormat="1" ht="15.75" customHeight="1" x14ac:dyDescent="0.3"/>
    <row r="544" s="20" customFormat="1" ht="15.75" customHeight="1" x14ac:dyDescent="0.3"/>
    <row r="545" s="20" customFormat="1" ht="15.75" customHeight="1" x14ac:dyDescent="0.3"/>
    <row r="546" s="20" customFormat="1" ht="15.75" customHeight="1" x14ac:dyDescent="0.3"/>
    <row r="547" s="20" customFormat="1" ht="15.75" customHeight="1" x14ac:dyDescent="0.3"/>
    <row r="548" s="20" customFormat="1" ht="15.75" customHeight="1" x14ac:dyDescent="0.3"/>
    <row r="549" s="20" customFormat="1" ht="15.75" customHeight="1" x14ac:dyDescent="0.3"/>
    <row r="550" s="20" customFormat="1" ht="15.75" customHeight="1" x14ac:dyDescent="0.3"/>
    <row r="551" s="20" customFormat="1" ht="15.75" customHeight="1" x14ac:dyDescent="0.3"/>
    <row r="552" s="20" customFormat="1" ht="15.75" customHeight="1" x14ac:dyDescent="0.3"/>
    <row r="553" s="20" customFormat="1" ht="15.75" customHeight="1" x14ac:dyDescent="0.3"/>
    <row r="554" s="20" customFormat="1" ht="15.75" customHeight="1" x14ac:dyDescent="0.3"/>
    <row r="555" s="20" customFormat="1" ht="15.75" customHeight="1" x14ac:dyDescent="0.3"/>
    <row r="556" s="20" customFormat="1" ht="15.75" customHeight="1" x14ac:dyDescent="0.3"/>
    <row r="557" s="20" customFormat="1" ht="15.75" customHeight="1" x14ac:dyDescent="0.3"/>
    <row r="558" s="20" customFormat="1" ht="15.75" customHeight="1" x14ac:dyDescent="0.3"/>
    <row r="559" s="20" customFormat="1" ht="15.75" customHeight="1" x14ac:dyDescent="0.3"/>
    <row r="560" s="20" customFormat="1" ht="15.75" customHeight="1" x14ac:dyDescent="0.3"/>
    <row r="561" s="20" customFormat="1" ht="15.75" customHeight="1" x14ac:dyDescent="0.3"/>
    <row r="562" s="20" customFormat="1" ht="15.75" customHeight="1" x14ac:dyDescent="0.3"/>
    <row r="563" s="20" customFormat="1" ht="15.75" customHeight="1" x14ac:dyDescent="0.3"/>
    <row r="564" s="20" customFormat="1" ht="15.75" customHeight="1" x14ac:dyDescent="0.3"/>
    <row r="565" s="20" customFormat="1" ht="15.75" customHeight="1" x14ac:dyDescent="0.3"/>
    <row r="566" s="20" customFormat="1" ht="15.75" customHeight="1" x14ac:dyDescent="0.3"/>
    <row r="567" s="20" customFormat="1" ht="15.75" customHeight="1" x14ac:dyDescent="0.3"/>
    <row r="568" s="20" customFormat="1" ht="15.75" customHeight="1" x14ac:dyDescent="0.3"/>
    <row r="569" s="20" customFormat="1" ht="15.75" customHeight="1" x14ac:dyDescent="0.3"/>
    <row r="570" s="20" customFormat="1" ht="15.75" customHeight="1" x14ac:dyDescent="0.3"/>
    <row r="571" s="20" customFormat="1" ht="15.75" customHeight="1" x14ac:dyDescent="0.3"/>
    <row r="572" s="20" customFormat="1" ht="15.75" customHeight="1" x14ac:dyDescent="0.3"/>
    <row r="573" s="20" customFormat="1" ht="15.75" customHeight="1" x14ac:dyDescent="0.3"/>
    <row r="574" s="20" customFormat="1" ht="15.75" customHeight="1" x14ac:dyDescent="0.3"/>
    <row r="575" s="20" customFormat="1" ht="15.75" customHeight="1" x14ac:dyDescent="0.3"/>
    <row r="576" s="20" customFormat="1" ht="15.75" customHeight="1" x14ac:dyDescent="0.3"/>
    <row r="577" s="20" customFormat="1" ht="15.75" customHeight="1" x14ac:dyDescent="0.3"/>
    <row r="578" s="20" customFormat="1" ht="15.75" customHeight="1" x14ac:dyDescent="0.3"/>
    <row r="579" s="20" customFormat="1" ht="15.75" customHeight="1" x14ac:dyDescent="0.3"/>
    <row r="580" s="20" customFormat="1" ht="15.75" customHeight="1" x14ac:dyDescent="0.3"/>
    <row r="581" s="20" customFormat="1" ht="15.75" customHeight="1" x14ac:dyDescent="0.3"/>
    <row r="582" s="20" customFormat="1" ht="15.75" customHeight="1" x14ac:dyDescent="0.3"/>
    <row r="583" s="20" customFormat="1" ht="15.75" customHeight="1" x14ac:dyDescent="0.3"/>
    <row r="584" s="20" customFormat="1" ht="15.75" customHeight="1" x14ac:dyDescent="0.3"/>
    <row r="585" s="20" customFormat="1" ht="15.75" customHeight="1" x14ac:dyDescent="0.3"/>
    <row r="586" s="20" customFormat="1" ht="15.75" customHeight="1" x14ac:dyDescent="0.3"/>
    <row r="587" s="20" customFormat="1" ht="15.75" customHeight="1" x14ac:dyDescent="0.3"/>
    <row r="588" s="20" customFormat="1" ht="15.75" customHeight="1" x14ac:dyDescent="0.3"/>
    <row r="589" s="20" customFormat="1" ht="15.75" customHeight="1" x14ac:dyDescent="0.3"/>
    <row r="590" s="20" customFormat="1" ht="15.75" customHeight="1" x14ac:dyDescent="0.3"/>
    <row r="591" s="20" customFormat="1" ht="15.75" customHeight="1" x14ac:dyDescent="0.3"/>
    <row r="592" s="20" customFormat="1" ht="15.75" customHeight="1" x14ac:dyDescent="0.3"/>
    <row r="593" s="20" customFormat="1" ht="15.75" customHeight="1" x14ac:dyDescent="0.3"/>
    <row r="594" s="20" customFormat="1" ht="15.75" customHeight="1" x14ac:dyDescent="0.3"/>
    <row r="595" s="20" customFormat="1" ht="15.75" customHeight="1" x14ac:dyDescent="0.3"/>
    <row r="596" s="20" customFormat="1" ht="15.75" customHeight="1" x14ac:dyDescent="0.3"/>
    <row r="597" s="20" customFormat="1" ht="15.75" customHeight="1" x14ac:dyDescent="0.3"/>
    <row r="598" s="20" customFormat="1" ht="15.75" customHeight="1" x14ac:dyDescent="0.3"/>
    <row r="599" s="20" customFormat="1" ht="15.75" customHeight="1" x14ac:dyDescent="0.3"/>
    <row r="600" s="20" customFormat="1" ht="15.75" customHeight="1" x14ac:dyDescent="0.3"/>
    <row r="601" s="20" customFormat="1" ht="15.75" customHeight="1" x14ac:dyDescent="0.3"/>
    <row r="602" s="20" customFormat="1" ht="15.75" customHeight="1" x14ac:dyDescent="0.3"/>
    <row r="603" s="20" customFormat="1" ht="15.75" customHeight="1" x14ac:dyDescent="0.3"/>
    <row r="604" s="20" customFormat="1" ht="15.75" customHeight="1" x14ac:dyDescent="0.3"/>
    <row r="605" s="20" customFormat="1" ht="15.75" customHeight="1" x14ac:dyDescent="0.3"/>
    <row r="606" s="20" customFormat="1" ht="15.75" customHeight="1" x14ac:dyDescent="0.3"/>
    <row r="607" s="20" customFormat="1" ht="15.75" customHeight="1" x14ac:dyDescent="0.3"/>
    <row r="608" s="20" customFormat="1" ht="15.75" customHeight="1" x14ac:dyDescent="0.3"/>
    <row r="609" s="20" customFormat="1" ht="15.75" customHeight="1" x14ac:dyDescent="0.3"/>
    <row r="610" s="20" customFormat="1" ht="15.75" customHeight="1" x14ac:dyDescent="0.3"/>
    <row r="611" s="20" customFormat="1" ht="15.75" customHeight="1" x14ac:dyDescent="0.3"/>
    <row r="612" s="20" customFormat="1" ht="15.75" customHeight="1" x14ac:dyDescent="0.3"/>
    <row r="613" s="20" customFormat="1" ht="15.75" customHeight="1" x14ac:dyDescent="0.3"/>
    <row r="614" s="20" customFormat="1" ht="15.75" customHeight="1" x14ac:dyDescent="0.3"/>
    <row r="615" s="20" customFormat="1" ht="15.75" customHeight="1" x14ac:dyDescent="0.3"/>
    <row r="616" s="20" customFormat="1" ht="15.75" customHeight="1" x14ac:dyDescent="0.3"/>
    <row r="617" s="20" customFormat="1" ht="15.75" customHeight="1" x14ac:dyDescent="0.3"/>
    <row r="618" s="20" customFormat="1" ht="15.75" customHeight="1" x14ac:dyDescent="0.3"/>
    <row r="619" s="20" customFormat="1" ht="15.75" customHeight="1" x14ac:dyDescent="0.3"/>
    <row r="620" s="20" customFormat="1" ht="15.75" customHeight="1" x14ac:dyDescent="0.3"/>
    <row r="621" s="20" customFormat="1" ht="15.75" customHeight="1" x14ac:dyDescent="0.3"/>
    <row r="622" s="20" customFormat="1" ht="15.75" customHeight="1" x14ac:dyDescent="0.3"/>
    <row r="623" s="20" customFormat="1" ht="15.75" customHeight="1" x14ac:dyDescent="0.3"/>
    <row r="624" s="20" customFormat="1" ht="15.75" customHeight="1" x14ac:dyDescent="0.3"/>
    <row r="625" s="20" customFormat="1" ht="15.75" customHeight="1" x14ac:dyDescent="0.3"/>
    <row r="626" s="20" customFormat="1" ht="15.75" customHeight="1" x14ac:dyDescent="0.3"/>
    <row r="627" s="20" customFormat="1" ht="15.75" customHeight="1" x14ac:dyDescent="0.3"/>
    <row r="628" s="20" customFormat="1" ht="15.75" customHeight="1" x14ac:dyDescent="0.3"/>
    <row r="629" s="20" customFormat="1" ht="15.75" customHeight="1" x14ac:dyDescent="0.3"/>
    <row r="630" s="20" customFormat="1" ht="15.75" customHeight="1" x14ac:dyDescent="0.3"/>
    <row r="631" s="20" customFormat="1" ht="15.75" customHeight="1" x14ac:dyDescent="0.3"/>
    <row r="632" s="20" customFormat="1" ht="15.75" customHeight="1" x14ac:dyDescent="0.3"/>
    <row r="633" s="20" customFormat="1" ht="15.75" customHeight="1" x14ac:dyDescent="0.3"/>
    <row r="634" s="20" customFormat="1" ht="15.75" customHeight="1" x14ac:dyDescent="0.3"/>
    <row r="635" s="20" customFormat="1" ht="15.75" customHeight="1" x14ac:dyDescent="0.3"/>
    <row r="636" s="20" customFormat="1" ht="15.75" customHeight="1" x14ac:dyDescent="0.3"/>
    <row r="637" s="20" customFormat="1" ht="15.75" customHeight="1" x14ac:dyDescent="0.3"/>
    <row r="638" s="20" customFormat="1" ht="15.75" customHeight="1" x14ac:dyDescent="0.3"/>
    <row r="639" s="20" customFormat="1" ht="15.75" customHeight="1" x14ac:dyDescent="0.3"/>
    <row r="640" s="20" customFormat="1" ht="15.75" customHeight="1" x14ac:dyDescent="0.3"/>
    <row r="641" s="20" customFormat="1" ht="15.75" customHeight="1" x14ac:dyDescent="0.3"/>
    <row r="642" s="20" customFormat="1" ht="15.75" customHeight="1" x14ac:dyDescent="0.3"/>
    <row r="643" s="20" customFormat="1" ht="15.75" customHeight="1" x14ac:dyDescent="0.3"/>
    <row r="644" s="20" customFormat="1" ht="15.75" customHeight="1" x14ac:dyDescent="0.3"/>
    <row r="645" s="20" customFormat="1" ht="15.75" customHeight="1" x14ac:dyDescent="0.3"/>
    <row r="646" s="20" customFormat="1" ht="15.75" customHeight="1" x14ac:dyDescent="0.3"/>
    <row r="647" s="20" customFormat="1" ht="15.75" customHeight="1" x14ac:dyDescent="0.3"/>
    <row r="648" s="20" customFormat="1" ht="15.75" customHeight="1" x14ac:dyDescent="0.3"/>
    <row r="649" s="20" customFormat="1" ht="15.75" customHeight="1" x14ac:dyDescent="0.3"/>
    <row r="650" s="20" customFormat="1" ht="15.75" customHeight="1" x14ac:dyDescent="0.3"/>
    <row r="651" s="20" customFormat="1" ht="15.75" customHeight="1" x14ac:dyDescent="0.3"/>
    <row r="652" s="20" customFormat="1" ht="15.75" customHeight="1" x14ac:dyDescent="0.3"/>
    <row r="653" s="20" customFormat="1" ht="15.75" customHeight="1" x14ac:dyDescent="0.3"/>
    <row r="654" s="20" customFormat="1" ht="15.75" customHeight="1" x14ac:dyDescent="0.3"/>
    <row r="655" s="20" customFormat="1" ht="15.75" customHeight="1" x14ac:dyDescent="0.3"/>
    <row r="656" s="20" customFormat="1" ht="15.75" customHeight="1" x14ac:dyDescent="0.3"/>
    <row r="657" s="20" customFormat="1" ht="15.75" customHeight="1" x14ac:dyDescent="0.3"/>
    <row r="658" s="20" customFormat="1" ht="15.75" customHeight="1" x14ac:dyDescent="0.3"/>
    <row r="659" s="20" customFormat="1" ht="15.75" customHeight="1" x14ac:dyDescent="0.3"/>
    <row r="660" s="20" customFormat="1" ht="15.75" customHeight="1" x14ac:dyDescent="0.3"/>
    <row r="661" s="20" customFormat="1" ht="15.75" customHeight="1" x14ac:dyDescent="0.3"/>
    <row r="662" s="20" customFormat="1" ht="15.75" customHeight="1" x14ac:dyDescent="0.3"/>
    <row r="663" s="20" customFormat="1" ht="15.75" customHeight="1" x14ac:dyDescent="0.3"/>
    <row r="664" s="20" customFormat="1" ht="15.75" customHeight="1" x14ac:dyDescent="0.3"/>
    <row r="665" s="20" customFormat="1" ht="15.75" customHeight="1" x14ac:dyDescent="0.3"/>
    <row r="666" s="20" customFormat="1" ht="15.75" customHeight="1" x14ac:dyDescent="0.3"/>
    <row r="667" s="20" customFormat="1" ht="15.75" customHeight="1" x14ac:dyDescent="0.3"/>
    <row r="668" s="20" customFormat="1" ht="15.75" customHeight="1" x14ac:dyDescent="0.3"/>
    <row r="669" s="20" customFormat="1" ht="15.75" customHeight="1" x14ac:dyDescent="0.3"/>
    <row r="670" s="20" customFormat="1" ht="15.75" customHeight="1" x14ac:dyDescent="0.3"/>
    <row r="671" s="20" customFormat="1" ht="15.75" customHeight="1" x14ac:dyDescent="0.3"/>
    <row r="672" s="20" customFormat="1" ht="15.75" customHeight="1" x14ac:dyDescent="0.3"/>
    <row r="673" s="20" customFormat="1" ht="15.75" customHeight="1" x14ac:dyDescent="0.3"/>
    <row r="674" s="20" customFormat="1" ht="15.75" customHeight="1" x14ac:dyDescent="0.3"/>
    <row r="675" s="20" customFormat="1" ht="15.75" customHeight="1" x14ac:dyDescent="0.3"/>
    <row r="676" s="20" customFormat="1" ht="15.75" customHeight="1" x14ac:dyDescent="0.3"/>
    <row r="677" s="20" customFormat="1" ht="15.75" customHeight="1" x14ac:dyDescent="0.3"/>
    <row r="678" s="20" customFormat="1" ht="15.75" customHeight="1" x14ac:dyDescent="0.3"/>
    <row r="679" s="20" customFormat="1" ht="15.75" customHeight="1" x14ac:dyDescent="0.3"/>
    <row r="680" s="20" customFormat="1" ht="15.75" customHeight="1" x14ac:dyDescent="0.3"/>
    <row r="681" s="20" customFormat="1" ht="15.75" customHeight="1" x14ac:dyDescent="0.3"/>
    <row r="682" s="20" customFormat="1" ht="15.75" customHeight="1" x14ac:dyDescent="0.3"/>
    <row r="683" s="20" customFormat="1" ht="15.75" customHeight="1" x14ac:dyDescent="0.3"/>
    <row r="684" s="20" customFormat="1" ht="15.75" customHeight="1" x14ac:dyDescent="0.3"/>
    <row r="685" s="20" customFormat="1" ht="15.75" customHeight="1" x14ac:dyDescent="0.3"/>
    <row r="686" s="20" customFormat="1" ht="15.75" customHeight="1" x14ac:dyDescent="0.3"/>
    <row r="687" s="20" customFormat="1" ht="15.75" customHeight="1" x14ac:dyDescent="0.3"/>
    <row r="688" s="20" customFormat="1" ht="15.75" customHeight="1" x14ac:dyDescent="0.3"/>
    <row r="689" s="20" customFormat="1" ht="15.75" customHeight="1" x14ac:dyDescent="0.3"/>
    <row r="690" s="20" customFormat="1" ht="15.75" customHeight="1" x14ac:dyDescent="0.3"/>
    <row r="691" s="20" customFormat="1" ht="15.75" customHeight="1" x14ac:dyDescent="0.3"/>
    <row r="692" s="20" customFormat="1" ht="15.75" customHeight="1" x14ac:dyDescent="0.3"/>
    <row r="693" s="20" customFormat="1" ht="15.75" customHeight="1" x14ac:dyDescent="0.3"/>
    <row r="694" s="20" customFormat="1" ht="15.75" customHeight="1" x14ac:dyDescent="0.3"/>
    <row r="695" s="20" customFormat="1" ht="15.75" customHeight="1" x14ac:dyDescent="0.3"/>
    <row r="696" s="20" customFormat="1" ht="15.75" customHeight="1" x14ac:dyDescent="0.3"/>
    <row r="697" s="20" customFormat="1" ht="15.75" customHeight="1" x14ac:dyDescent="0.3"/>
    <row r="698" s="20" customFormat="1" ht="15.75" customHeight="1" x14ac:dyDescent="0.3"/>
    <row r="699" s="20" customFormat="1" ht="15.75" customHeight="1" x14ac:dyDescent="0.3"/>
    <row r="700" s="20" customFormat="1" ht="15.75" customHeight="1" x14ac:dyDescent="0.3"/>
    <row r="701" s="20" customFormat="1" ht="15.75" customHeight="1" x14ac:dyDescent="0.3"/>
    <row r="702" s="20" customFormat="1" ht="15.75" customHeight="1" x14ac:dyDescent="0.3"/>
    <row r="703" s="20" customFormat="1" ht="15.75" customHeight="1" x14ac:dyDescent="0.3"/>
    <row r="704" s="20" customFormat="1" ht="15.75" customHeight="1" x14ac:dyDescent="0.3"/>
    <row r="705" s="20" customFormat="1" ht="15.75" customHeight="1" x14ac:dyDescent="0.3"/>
    <row r="706" s="20" customFormat="1" ht="15.75" customHeight="1" x14ac:dyDescent="0.3"/>
    <row r="707" s="20" customFormat="1" ht="15.75" customHeight="1" x14ac:dyDescent="0.3"/>
    <row r="708" s="20" customFormat="1" ht="15.75" customHeight="1" x14ac:dyDescent="0.3"/>
    <row r="709" s="20" customFormat="1" ht="15.75" customHeight="1" x14ac:dyDescent="0.3"/>
    <row r="710" s="20" customFormat="1" ht="15.75" customHeight="1" x14ac:dyDescent="0.3"/>
    <row r="711" s="20" customFormat="1" ht="15.75" customHeight="1" x14ac:dyDescent="0.3"/>
    <row r="712" s="20" customFormat="1" ht="15.75" customHeight="1" x14ac:dyDescent="0.3"/>
    <row r="713" s="20" customFormat="1" ht="15.75" customHeight="1" x14ac:dyDescent="0.3"/>
    <row r="714" s="20" customFormat="1" ht="15.75" customHeight="1" x14ac:dyDescent="0.3"/>
    <row r="715" s="20" customFormat="1" ht="15.75" customHeight="1" x14ac:dyDescent="0.3"/>
    <row r="716" s="20" customFormat="1" ht="15.75" customHeight="1" x14ac:dyDescent="0.3"/>
    <row r="717" s="20" customFormat="1" ht="15.75" customHeight="1" x14ac:dyDescent="0.3"/>
    <row r="718" s="20" customFormat="1" ht="15.75" customHeight="1" x14ac:dyDescent="0.3"/>
    <row r="719" s="20" customFormat="1" ht="15.75" customHeight="1" x14ac:dyDescent="0.3"/>
    <row r="720" s="20" customFormat="1" ht="15.75" customHeight="1" x14ac:dyDescent="0.3"/>
    <row r="721" s="20" customFormat="1" ht="15.75" customHeight="1" x14ac:dyDescent="0.3"/>
    <row r="722" s="20" customFormat="1" ht="15.75" customHeight="1" x14ac:dyDescent="0.3"/>
    <row r="723" s="20" customFormat="1" ht="15.75" customHeight="1" x14ac:dyDescent="0.3"/>
    <row r="724" s="20" customFormat="1" ht="15.75" customHeight="1" x14ac:dyDescent="0.3"/>
    <row r="725" s="20" customFormat="1" ht="15.75" customHeight="1" x14ac:dyDescent="0.3"/>
    <row r="726" s="20" customFormat="1" ht="15.75" customHeight="1" x14ac:dyDescent="0.3"/>
    <row r="727" s="20" customFormat="1" ht="15.75" customHeight="1" x14ac:dyDescent="0.3"/>
    <row r="728" s="20" customFormat="1" ht="15.75" customHeight="1" x14ac:dyDescent="0.3"/>
    <row r="729" s="20" customFormat="1" ht="15.75" customHeight="1" x14ac:dyDescent="0.3"/>
    <row r="730" s="20" customFormat="1" ht="15.75" customHeight="1" x14ac:dyDescent="0.3"/>
    <row r="731" s="20" customFormat="1" ht="15.75" customHeight="1" x14ac:dyDescent="0.3"/>
    <row r="732" s="20" customFormat="1" ht="15.75" customHeight="1" x14ac:dyDescent="0.3"/>
    <row r="733" s="20" customFormat="1" ht="15.75" customHeight="1" x14ac:dyDescent="0.3"/>
    <row r="734" s="20" customFormat="1" ht="15.75" customHeight="1" x14ac:dyDescent="0.3"/>
    <row r="735" s="20" customFormat="1" ht="15.75" customHeight="1" x14ac:dyDescent="0.3"/>
    <row r="736" s="20" customFormat="1" ht="15.75" customHeight="1" x14ac:dyDescent="0.3"/>
    <row r="737" s="20" customFormat="1" ht="15.75" customHeight="1" x14ac:dyDescent="0.3"/>
    <row r="738" s="20" customFormat="1" ht="15.75" customHeight="1" x14ac:dyDescent="0.3"/>
    <row r="739" s="20" customFormat="1" ht="15.75" customHeight="1" x14ac:dyDescent="0.3"/>
    <row r="740" s="20" customFormat="1" ht="15.75" customHeight="1" x14ac:dyDescent="0.3"/>
    <row r="741" s="20" customFormat="1" ht="15.75" customHeight="1" x14ac:dyDescent="0.3"/>
    <row r="742" s="20" customFormat="1" ht="15.75" customHeight="1" x14ac:dyDescent="0.3"/>
    <row r="743" s="20" customFormat="1" ht="15.75" customHeight="1" x14ac:dyDescent="0.3"/>
    <row r="744" s="20" customFormat="1" ht="15.75" customHeight="1" x14ac:dyDescent="0.3"/>
    <row r="745" s="20" customFormat="1" ht="15.75" customHeight="1" x14ac:dyDescent="0.3"/>
    <row r="746" s="20" customFormat="1" ht="15.75" customHeight="1" x14ac:dyDescent="0.3"/>
    <row r="747" s="20" customFormat="1" ht="15.75" customHeight="1" x14ac:dyDescent="0.3"/>
    <row r="748" s="20" customFormat="1" ht="15.75" customHeight="1" x14ac:dyDescent="0.3"/>
    <row r="749" s="20" customFormat="1" ht="15.75" customHeight="1" x14ac:dyDescent="0.3"/>
    <row r="750" s="20" customFormat="1" ht="15.75" customHeight="1" x14ac:dyDescent="0.3"/>
    <row r="751" s="20" customFormat="1" ht="15.75" customHeight="1" x14ac:dyDescent="0.3"/>
    <row r="752" s="20" customFormat="1" ht="15.75" customHeight="1" x14ac:dyDescent="0.3"/>
    <row r="753" s="20" customFormat="1" ht="15.75" customHeight="1" x14ac:dyDescent="0.3"/>
    <row r="754" s="20" customFormat="1" ht="15.75" customHeight="1" x14ac:dyDescent="0.3"/>
    <row r="755" s="20" customFormat="1" ht="15.75" customHeight="1" x14ac:dyDescent="0.3"/>
    <row r="756" s="20" customFormat="1" ht="15.75" customHeight="1" x14ac:dyDescent="0.3"/>
    <row r="757" s="20" customFormat="1" ht="15.75" customHeight="1" x14ac:dyDescent="0.3"/>
    <row r="758" s="20" customFormat="1" ht="15.75" customHeight="1" x14ac:dyDescent="0.3"/>
    <row r="759" s="20" customFormat="1" ht="15.75" customHeight="1" x14ac:dyDescent="0.3"/>
    <row r="760" s="20" customFormat="1" ht="15.75" customHeight="1" x14ac:dyDescent="0.3"/>
    <row r="761" s="20" customFormat="1" ht="15.75" customHeight="1" x14ac:dyDescent="0.3"/>
    <row r="762" s="20" customFormat="1" ht="15.75" customHeight="1" x14ac:dyDescent="0.3"/>
    <row r="763" s="20" customFormat="1" ht="15.75" customHeight="1" x14ac:dyDescent="0.3"/>
    <row r="764" s="20" customFormat="1" ht="15.75" customHeight="1" x14ac:dyDescent="0.3"/>
    <row r="765" s="20" customFormat="1" ht="15.75" customHeight="1" x14ac:dyDescent="0.3"/>
    <row r="766" s="20" customFormat="1" ht="15.75" customHeight="1" x14ac:dyDescent="0.3"/>
    <row r="767" s="20" customFormat="1" ht="15.75" customHeight="1" x14ac:dyDescent="0.3"/>
    <row r="768" s="20" customFormat="1" ht="15.75" customHeight="1" x14ac:dyDescent="0.3"/>
    <row r="769" s="20" customFormat="1" ht="15.75" customHeight="1" x14ac:dyDescent="0.3"/>
    <row r="770" s="20" customFormat="1" ht="15.75" customHeight="1" x14ac:dyDescent="0.3"/>
    <row r="771" s="20" customFormat="1" ht="15.75" customHeight="1" x14ac:dyDescent="0.3"/>
    <row r="772" s="20" customFormat="1" ht="15.75" customHeight="1" x14ac:dyDescent="0.3"/>
    <row r="773" s="20" customFormat="1" ht="15.75" customHeight="1" x14ac:dyDescent="0.3"/>
    <row r="774" s="20" customFormat="1" ht="15.75" customHeight="1" x14ac:dyDescent="0.3"/>
    <row r="775" s="20" customFormat="1" ht="15.75" customHeight="1" x14ac:dyDescent="0.3"/>
    <row r="776" s="20" customFormat="1" ht="15.75" customHeight="1" x14ac:dyDescent="0.3"/>
    <row r="777" s="20" customFormat="1" ht="15.75" customHeight="1" x14ac:dyDescent="0.3"/>
    <row r="778" s="20" customFormat="1" ht="15.75" customHeight="1" x14ac:dyDescent="0.3"/>
    <row r="779" s="20" customFormat="1" ht="15.75" customHeight="1" x14ac:dyDescent="0.3"/>
    <row r="780" s="20" customFormat="1" ht="15.75" customHeight="1" x14ac:dyDescent="0.3"/>
    <row r="781" s="20" customFormat="1" ht="15.75" customHeight="1" x14ac:dyDescent="0.3"/>
    <row r="782" s="20" customFormat="1" ht="15.75" customHeight="1" x14ac:dyDescent="0.3"/>
    <row r="783" s="20" customFormat="1" ht="15.75" customHeight="1" x14ac:dyDescent="0.3"/>
    <row r="784" s="20" customFormat="1" ht="15.75" customHeight="1" x14ac:dyDescent="0.3"/>
    <row r="785" s="20" customFormat="1" ht="15.75" customHeight="1" x14ac:dyDescent="0.3"/>
    <row r="786" s="20" customFormat="1" ht="15.75" customHeight="1" x14ac:dyDescent="0.3"/>
    <row r="787" s="20" customFormat="1" ht="15.75" customHeight="1" x14ac:dyDescent="0.3"/>
    <row r="788" s="20" customFormat="1" ht="15.75" customHeight="1" x14ac:dyDescent="0.3"/>
    <row r="789" s="20" customFormat="1" ht="15.75" customHeight="1" x14ac:dyDescent="0.3"/>
    <row r="790" s="20" customFormat="1" ht="15.75" customHeight="1" x14ac:dyDescent="0.3"/>
    <row r="791" s="20" customFormat="1" ht="15.75" customHeight="1" x14ac:dyDescent="0.3"/>
    <row r="792" s="20" customFormat="1" ht="15.75" customHeight="1" x14ac:dyDescent="0.3"/>
    <row r="793" s="20" customFormat="1" ht="15.75" customHeight="1" x14ac:dyDescent="0.3"/>
    <row r="794" s="20" customFormat="1" ht="15.75" customHeight="1" x14ac:dyDescent="0.3"/>
    <row r="795" s="20" customFormat="1" ht="15.75" customHeight="1" x14ac:dyDescent="0.3"/>
    <row r="796" s="20" customFormat="1" ht="15.75" customHeight="1" x14ac:dyDescent="0.3"/>
    <row r="797" s="20" customFormat="1" ht="15.75" customHeight="1" x14ac:dyDescent="0.3"/>
    <row r="798" s="20" customFormat="1" ht="15.75" customHeight="1" x14ac:dyDescent="0.3"/>
    <row r="799" s="20" customFormat="1" ht="15.75" customHeight="1" x14ac:dyDescent="0.3"/>
    <row r="800" s="20" customFormat="1" ht="15.75" customHeight="1" x14ac:dyDescent="0.3"/>
    <row r="801" s="20" customFormat="1" ht="15.75" customHeight="1" x14ac:dyDescent="0.3"/>
    <row r="802" s="20" customFormat="1" ht="15.75" customHeight="1" x14ac:dyDescent="0.3"/>
    <row r="803" s="20" customFormat="1" ht="15.75" customHeight="1" x14ac:dyDescent="0.3"/>
    <row r="804" s="20" customFormat="1" ht="15.75" customHeight="1" x14ac:dyDescent="0.3"/>
    <row r="805" s="20" customFormat="1" ht="15.75" customHeight="1" x14ac:dyDescent="0.3"/>
    <row r="806" s="20" customFormat="1" ht="15.75" customHeight="1" x14ac:dyDescent="0.3"/>
    <row r="807" s="20" customFormat="1" ht="15.75" customHeight="1" x14ac:dyDescent="0.3"/>
    <row r="808" s="20" customFormat="1" ht="15.75" customHeight="1" x14ac:dyDescent="0.3"/>
    <row r="809" s="20" customFormat="1" ht="15.75" customHeight="1" x14ac:dyDescent="0.3"/>
    <row r="810" s="20" customFormat="1" ht="15.75" customHeight="1" x14ac:dyDescent="0.3"/>
    <row r="811" s="20" customFormat="1" ht="15.75" customHeight="1" x14ac:dyDescent="0.3"/>
    <row r="812" s="20" customFormat="1" ht="15.75" customHeight="1" x14ac:dyDescent="0.3"/>
    <row r="813" s="20" customFormat="1" ht="15.75" customHeight="1" x14ac:dyDescent="0.3"/>
    <row r="814" s="20" customFormat="1" ht="15.75" customHeight="1" x14ac:dyDescent="0.3"/>
    <row r="815" s="20" customFormat="1" ht="15.75" customHeight="1" x14ac:dyDescent="0.3"/>
    <row r="816" s="20" customFormat="1" ht="15.75" customHeight="1" x14ac:dyDescent="0.3"/>
    <row r="817" s="20" customFormat="1" ht="15.75" customHeight="1" x14ac:dyDescent="0.3"/>
    <row r="818" s="20" customFormat="1" ht="15.75" customHeight="1" x14ac:dyDescent="0.3"/>
    <row r="819" s="20" customFormat="1" ht="15.75" customHeight="1" x14ac:dyDescent="0.3"/>
    <row r="820" s="20" customFormat="1" ht="15.75" customHeight="1" x14ac:dyDescent="0.3"/>
    <row r="821" s="20" customFormat="1" ht="15.75" customHeight="1" x14ac:dyDescent="0.3"/>
    <row r="822" s="20" customFormat="1" ht="15.75" customHeight="1" x14ac:dyDescent="0.3"/>
    <row r="823" s="20" customFormat="1" ht="15.75" customHeight="1" x14ac:dyDescent="0.3"/>
    <row r="824" s="20" customFormat="1" ht="15.75" customHeight="1" x14ac:dyDescent="0.3"/>
    <row r="825" s="20" customFormat="1" ht="15.75" customHeight="1" x14ac:dyDescent="0.3"/>
    <row r="826" s="20" customFormat="1" ht="15.75" customHeight="1" x14ac:dyDescent="0.3"/>
    <row r="827" s="20" customFormat="1" ht="15.75" customHeight="1" x14ac:dyDescent="0.3"/>
    <row r="828" s="20" customFormat="1" ht="15.75" customHeight="1" x14ac:dyDescent="0.3"/>
    <row r="829" s="20" customFormat="1" ht="15.75" customHeight="1" x14ac:dyDescent="0.3"/>
    <row r="830" s="20" customFormat="1" ht="15.75" customHeight="1" x14ac:dyDescent="0.3"/>
    <row r="831" s="20" customFormat="1" ht="15.75" customHeight="1" x14ac:dyDescent="0.3"/>
    <row r="832" s="20" customFormat="1" ht="15.75" customHeight="1" x14ac:dyDescent="0.3"/>
    <row r="833" s="20" customFormat="1" ht="15.75" customHeight="1" x14ac:dyDescent="0.3"/>
    <row r="834" s="20" customFormat="1" ht="15.75" customHeight="1" x14ac:dyDescent="0.3"/>
    <row r="835" s="20" customFormat="1" ht="15.75" customHeight="1" x14ac:dyDescent="0.3"/>
    <row r="836" s="20" customFormat="1" ht="15.75" customHeight="1" x14ac:dyDescent="0.3"/>
    <row r="837" s="20" customFormat="1" ht="15.75" customHeight="1" x14ac:dyDescent="0.3"/>
    <row r="838" s="20" customFormat="1" ht="15.75" customHeight="1" x14ac:dyDescent="0.3"/>
    <row r="839" s="20" customFormat="1" ht="15.75" customHeight="1" x14ac:dyDescent="0.3"/>
    <row r="840" s="20" customFormat="1" ht="15.75" customHeight="1" x14ac:dyDescent="0.3"/>
    <row r="841" s="20" customFormat="1" ht="15.75" customHeight="1" x14ac:dyDescent="0.3"/>
    <row r="842" s="20" customFormat="1" ht="15.75" customHeight="1" x14ac:dyDescent="0.3"/>
    <row r="843" s="20" customFormat="1" ht="15.75" customHeight="1" x14ac:dyDescent="0.3"/>
    <row r="844" s="20" customFormat="1" ht="15.75" customHeight="1" x14ac:dyDescent="0.3"/>
    <row r="845" s="20" customFormat="1" ht="15.75" customHeight="1" x14ac:dyDescent="0.3"/>
    <row r="846" s="20" customFormat="1" ht="15.75" customHeight="1" x14ac:dyDescent="0.3"/>
    <row r="847" s="20" customFormat="1" ht="15.75" customHeight="1" x14ac:dyDescent="0.3"/>
    <row r="848" s="20" customFormat="1" ht="15.75" customHeight="1" x14ac:dyDescent="0.3"/>
    <row r="849" s="20" customFormat="1" ht="15.75" customHeight="1" x14ac:dyDescent="0.3"/>
    <row r="850" s="20" customFormat="1" ht="15.75" customHeight="1" x14ac:dyDescent="0.3"/>
    <row r="851" s="20" customFormat="1" ht="15.75" customHeight="1" x14ac:dyDescent="0.3"/>
    <row r="852" s="20" customFormat="1" ht="15.75" customHeight="1" x14ac:dyDescent="0.3"/>
    <row r="853" s="20" customFormat="1" ht="15.75" customHeight="1" x14ac:dyDescent="0.3"/>
    <row r="854" s="20" customFormat="1" ht="15.75" customHeight="1" x14ac:dyDescent="0.3"/>
    <row r="855" s="20" customFormat="1" ht="15.75" customHeight="1" x14ac:dyDescent="0.3"/>
    <row r="856" s="20" customFormat="1" ht="15.75" customHeight="1" x14ac:dyDescent="0.3"/>
    <row r="857" s="20" customFormat="1" ht="15.75" customHeight="1" x14ac:dyDescent="0.3"/>
    <row r="858" s="20" customFormat="1" ht="15.75" customHeight="1" x14ac:dyDescent="0.3"/>
    <row r="859" s="20" customFormat="1" ht="15.75" customHeight="1" x14ac:dyDescent="0.3"/>
    <row r="860" s="20" customFormat="1" ht="15.75" customHeight="1" x14ac:dyDescent="0.3"/>
    <row r="861" s="20" customFormat="1" ht="15.75" customHeight="1" x14ac:dyDescent="0.3"/>
    <row r="862" s="20" customFormat="1" ht="15.75" customHeight="1" x14ac:dyDescent="0.3"/>
    <row r="863" s="20" customFormat="1" ht="15.75" customHeight="1" x14ac:dyDescent="0.3"/>
    <row r="864" s="20" customFormat="1" ht="15.75" customHeight="1" x14ac:dyDescent="0.3"/>
    <row r="865" s="20" customFormat="1" ht="15.75" customHeight="1" x14ac:dyDescent="0.3"/>
    <row r="866" s="20" customFormat="1" ht="15.75" customHeight="1" x14ac:dyDescent="0.3"/>
    <row r="867" s="20" customFormat="1" ht="15.75" customHeight="1" x14ac:dyDescent="0.3"/>
    <row r="868" s="20" customFormat="1" ht="15.75" customHeight="1" x14ac:dyDescent="0.3"/>
    <row r="869" s="20" customFormat="1" ht="15.75" customHeight="1" x14ac:dyDescent="0.3"/>
    <row r="870" s="20" customFormat="1" ht="15.75" customHeight="1" x14ac:dyDescent="0.3"/>
    <row r="871" s="20" customFormat="1" ht="15.75" customHeight="1" x14ac:dyDescent="0.3"/>
    <row r="872" s="20" customFormat="1" ht="15.75" customHeight="1" x14ac:dyDescent="0.3"/>
    <row r="873" s="20" customFormat="1" ht="15.75" customHeight="1" x14ac:dyDescent="0.3"/>
    <row r="874" s="20" customFormat="1" ht="15.75" customHeight="1" x14ac:dyDescent="0.3"/>
    <row r="875" s="20" customFormat="1" ht="15.75" customHeight="1" x14ac:dyDescent="0.3"/>
    <row r="876" s="20" customFormat="1" ht="15.75" customHeight="1" x14ac:dyDescent="0.3"/>
    <row r="877" s="20" customFormat="1" ht="15.75" customHeight="1" x14ac:dyDescent="0.3"/>
    <row r="878" s="20" customFormat="1" ht="15.75" customHeight="1" x14ac:dyDescent="0.3"/>
    <row r="879" s="20" customFormat="1" ht="15.75" customHeight="1" x14ac:dyDescent="0.3"/>
    <row r="880" s="20" customFormat="1" ht="15.75" customHeight="1" x14ac:dyDescent="0.3"/>
    <row r="881" s="20" customFormat="1" ht="15.75" customHeight="1" x14ac:dyDescent="0.3"/>
    <row r="882" s="20" customFormat="1" ht="15.75" customHeight="1" x14ac:dyDescent="0.3"/>
    <row r="883" s="20" customFormat="1" ht="15.75" customHeight="1" x14ac:dyDescent="0.3"/>
    <row r="884" s="20" customFormat="1" ht="15.75" customHeight="1" x14ac:dyDescent="0.3"/>
    <row r="885" s="20" customFormat="1" ht="15.75" customHeight="1" x14ac:dyDescent="0.3"/>
    <row r="886" s="20" customFormat="1" ht="15.75" customHeight="1" x14ac:dyDescent="0.3"/>
    <row r="887" s="20" customFormat="1" ht="15.75" customHeight="1" x14ac:dyDescent="0.3"/>
    <row r="888" s="20" customFormat="1" ht="15.75" customHeight="1" x14ac:dyDescent="0.3"/>
    <row r="889" s="20" customFormat="1" ht="15.75" customHeight="1" x14ac:dyDescent="0.3"/>
    <row r="890" s="20" customFormat="1" ht="15.75" customHeight="1" x14ac:dyDescent="0.3"/>
    <row r="891" s="20" customFormat="1" ht="15.75" customHeight="1" x14ac:dyDescent="0.3"/>
    <row r="892" s="20" customFormat="1" ht="15.75" customHeight="1" x14ac:dyDescent="0.3"/>
    <row r="893" s="20" customFormat="1" ht="15.75" customHeight="1" x14ac:dyDescent="0.3"/>
    <row r="894" s="20" customFormat="1" ht="15.75" customHeight="1" x14ac:dyDescent="0.3"/>
    <row r="895" s="20" customFormat="1" ht="15.75" customHeight="1" x14ac:dyDescent="0.3"/>
    <row r="896" s="20" customFormat="1" ht="15.75" customHeight="1" x14ac:dyDescent="0.3"/>
    <row r="897" s="20" customFormat="1" ht="15.75" customHeight="1" x14ac:dyDescent="0.3"/>
    <row r="898" s="20" customFormat="1" ht="15.75" customHeight="1" x14ac:dyDescent="0.3"/>
    <row r="899" s="20" customFormat="1" ht="15.75" customHeight="1" x14ac:dyDescent="0.3"/>
    <row r="900" s="20" customFormat="1" ht="15.75" customHeight="1" x14ac:dyDescent="0.3"/>
    <row r="901" s="20" customFormat="1" ht="15.75" customHeight="1" x14ac:dyDescent="0.3"/>
    <row r="902" s="20" customFormat="1" ht="15.75" customHeight="1" x14ac:dyDescent="0.3"/>
    <row r="903" s="20" customFormat="1" ht="15.75" customHeight="1" x14ac:dyDescent="0.3"/>
    <row r="904" s="20" customFormat="1" ht="15.75" customHeight="1" x14ac:dyDescent="0.3"/>
    <row r="905" s="20" customFormat="1" ht="15.75" customHeight="1" x14ac:dyDescent="0.3"/>
    <row r="906" s="20" customFormat="1" ht="15.75" customHeight="1" x14ac:dyDescent="0.3"/>
    <row r="907" s="20" customFormat="1" ht="15.75" customHeight="1" x14ac:dyDescent="0.3"/>
    <row r="908" s="20" customFormat="1" ht="15.75" customHeight="1" x14ac:dyDescent="0.3"/>
    <row r="909" s="20" customFormat="1" ht="15.75" customHeight="1" x14ac:dyDescent="0.3"/>
    <row r="910" s="20" customFormat="1" ht="15.75" customHeight="1" x14ac:dyDescent="0.3"/>
    <row r="911" s="20" customFormat="1" ht="15.75" customHeight="1" x14ac:dyDescent="0.3"/>
    <row r="912" s="20" customFormat="1" ht="15.75" customHeight="1" x14ac:dyDescent="0.3"/>
    <row r="913" s="20" customFormat="1" ht="15.75" customHeight="1" x14ac:dyDescent="0.3"/>
    <row r="914" s="20" customFormat="1" ht="15.75" customHeight="1" x14ac:dyDescent="0.3"/>
    <row r="915" s="20" customFormat="1" ht="15.75" customHeight="1" x14ac:dyDescent="0.3"/>
    <row r="916" s="20" customFormat="1" ht="15.75" customHeight="1" x14ac:dyDescent="0.3"/>
    <row r="917" s="20" customFormat="1" ht="15.75" customHeight="1" x14ac:dyDescent="0.3"/>
    <row r="918" s="20" customFormat="1" ht="15.75" customHeight="1" x14ac:dyDescent="0.3"/>
    <row r="919" s="20" customFormat="1" ht="15.75" customHeight="1" x14ac:dyDescent="0.3"/>
    <row r="920" s="20" customFormat="1" ht="15.75" customHeight="1" x14ac:dyDescent="0.3"/>
    <row r="921" s="20" customFormat="1" ht="15.75" customHeight="1" x14ac:dyDescent="0.3"/>
    <row r="922" s="20" customFormat="1" ht="15.75" customHeight="1" x14ac:dyDescent="0.3"/>
    <row r="923" s="20" customFormat="1" ht="15.75" customHeight="1" x14ac:dyDescent="0.3"/>
    <row r="924" s="20" customFormat="1" ht="15.75" customHeight="1" x14ac:dyDescent="0.3"/>
    <row r="925" s="20" customFormat="1" ht="15.75" customHeight="1" x14ac:dyDescent="0.3"/>
    <row r="926" s="20" customFormat="1" ht="15.75" customHeight="1" x14ac:dyDescent="0.3"/>
    <row r="927" s="20" customFormat="1" ht="15.75" customHeight="1" x14ac:dyDescent="0.3"/>
    <row r="928" s="20" customFormat="1" ht="15.75" customHeight="1" x14ac:dyDescent="0.3"/>
    <row r="929" s="20" customFormat="1" ht="15.75" customHeight="1" x14ac:dyDescent="0.3"/>
    <row r="930" s="20" customFormat="1" ht="15.75" customHeight="1" x14ac:dyDescent="0.3"/>
    <row r="931" s="20" customFormat="1" ht="15.75" customHeight="1" x14ac:dyDescent="0.3"/>
    <row r="932" s="20" customFormat="1" ht="15.75" customHeight="1" x14ac:dyDescent="0.3"/>
    <row r="933" s="20" customFormat="1" ht="15.75" customHeight="1" x14ac:dyDescent="0.3"/>
    <row r="934" s="20" customFormat="1" ht="15.75" customHeight="1" x14ac:dyDescent="0.3"/>
    <row r="935" s="20" customFormat="1" ht="15.75" customHeight="1" x14ac:dyDescent="0.3"/>
    <row r="936" s="20" customFormat="1" ht="15.75" customHeight="1" x14ac:dyDescent="0.3"/>
    <row r="937" s="20" customFormat="1" ht="15.75" customHeight="1" x14ac:dyDescent="0.3"/>
    <row r="938" s="20" customFormat="1" ht="15.75" customHeight="1" x14ac:dyDescent="0.3"/>
    <row r="939" s="20" customFormat="1" ht="15.75" customHeight="1" x14ac:dyDescent="0.3"/>
    <row r="940" s="20" customFormat="1" ht="15.75" customHeight="1" x14ac:dyDescent="0.3"/>
    <row r="941" s="20" customFormat="1" ht="15.75" customHeight="1" x14ac:dyDescent="0.3"/>
    <row r="942" s="20" customFormat="1" ht="15.75" customHeight="1" x14ac:dyDescent="0.3"/>
    <row r="943" s="20" customFormat="1" ht="15.75" customHeight="1" x14ac:dyDescent="0.3"/>
    <row r="944" s="20" customFormat="1" ht="15.75" customHeight="1" x14ac:dyDescent="0.3"/>
    <row r="945" s="20" customFormat="1" ht="15.75" customHeight="1" x14ac:dyDescent="0.3"/>
    <row r="946" s="20" customFormat="1" ht="15.75" customHeight="1" x14ac:dyDescent="0.3"/>
    <row r="947" s="20" customFormat="1" ht="15.75" customHeight="1" x14ac:dyDescent="0.3"/>
    <row r="948" s="20" customFormat="1" ht="15.75" customHeight="1" x14ac:dyDescent="0.3"/>
    <row r="949" s="20" customFormat="1" ht="15.75" customHeight="1" x14ac:dyDescent="0.3"/>
    <row r="950" s="20" customFormat="1" ht="15.75" customHeight="1" x14ac:dyDescent="0.3"/>
    <row r="951" s="20" customFormat="1" ht="15.75" customHeight="1" x14ac:dyDescent="0.3"/>
    <row r="952" s="20" customFormat="1" ht="15.75" customHeight="1" x14ac:dyDescent="0.3"/>
    <row r="953" s="20" customFormat="1" ht="15.75" customHeight="1" x14ac:dyDescent="0.3"/>
    <row r="954" s="20" customFormat="1" ht="15.75" customHeight="1" x14ac:dyDescent="0.3"/>
    <row r="955" s="20" customFormat="1" ht="15.75" customHeight="1" x14ac:dyDescent="0.3"/>
    <row r="956" s="20" customFormat="1" ht="15.75" customHeight="1" x14ac:dyDescent="0.3"/>
    <row r="957" s="20" customFormat="1" ht="15.75" customHeight="1" x14ac:dyDescent="0.3"/>
    <row r="958" s="20" customFormat="1" ht="15.75" customHeight="1" x14ac:dyDescent="0.3"/>
    <row r="959" s="20" customFormat="1" ht="15.75" customHeight="1" x14ac:dyDescent="0.3"/>
    <row r="960" s="20" customFormat="1" ht="15.75" customHeight="1" x14ac:dyDescent="0.3"/>
    <row r="961" s="20" customFormat="1" ht="15.75" customHeight="1" x14ac:dyDescent="0.3"/>
    <row r="962" s="20" customFormat="1" ht="15.75" customHeight="1" x14ac:dyDescent="0.3"/>
    <row r="963" s="20" customFormat="1" ht="15.75" customHeight="1" x14ac:dyDescent="0.3"/>
    <row r="964" s="20" customFormat="1" ht="15.75" customHeight="1" x14ac:dyDescent="0.3"/>
    <row r="965" s="20" customFormat="1" ht="15.75" customHeight="1" x14ac:dyDescent="0.3"/>
    <row r="966" s="20" customFormat="1" ht="15.75" customHeight="1" x14ac:dyDescent="0.3"/>
    <row r="967" s="20" customFormat="1" ht="15.75" customHeight="1" x14ac:dyDescent="0.3"/>
    <row r="968" s="20" customFormat="1" ht="15.75" customHeight="1" x14ac:dyDescent="0.3"/>
    <row r="969" s="20" customFormat="1" ht="15.75" customHeight="1" x14ac:dyDescent="0.3"/>
    <row r="970" s="20" customFormat="1" ht="15.75" customHeight="1" x14ac:dyDescent="0.3"/>
    <row r="971" s="20" customFormat="1" ht="15.75" customHeight="1" x14ac:dyDescent="0.3"/>
    <row r="972" s="20" customFormat="1" ht="15.75" customHeight="1" x14ac:dyDescent="0.3"/>
    <row r="973" s="20" customFormat="1" ht="15.75" customHeight="1" x14ac:dyDescent="0.3"/>
    <row r="974" s="20" customFormat="1" ht="15.75" customHeight="1" x14ac:dyDescent="0.3"/>
    <row r="975" s="20" customFormat="1" ht="15.75" customHeight="1" x14ac:dyDescent="0.3"/>
    <row r="976" s="20" customFormat="1" ht="15.75" customHeight="1" x14ac:dyDescent="0.3"/>
    <row r="977" s="20" customFormat="1" ht="15.75" customHeight="1" x14ac:dyDescent="0.3"/>
    <row r="978" s="20" customFormat="1" ht="15.75" customHeight="1" x14ac:dyDescent="0.3"/>
    <row r="979" s="20" customFormat="1" ht="15.75" customHeight="1" x14ac:dyDescent="0.3"/>
    <row r="980" s="20" customFormat="1" ht="15.75" customHeight="1" x14ac:dyDescent="0.3"/>
    <row r="981" s="20" customFormat="1" ht="15.75" customHeight="1" x14ac:dyDescent="0.3"/>
    <row r="982" s="20" customFormat="1" ht="15.75" customHeight="1" x14ac:dyDescent="0.3"/>
    <row r="983" s="20" customFormat="1" ht="15.75" customHeight="1" x14ac:dyDescent="0.3"/>
    <row r="984" s="20" customFormat="1" ht="15.75" customHeight="1" x14ac:dyDescent="0.3"/>
    <row r="985" s="20" customFormat="1" ht="15.75" customHeight="1" x14ac:dyDescent="0.3"/>
    <row r="986" s="20" customFormat="1" ht="15.75" customHeight="1" x14ac:dyDescent="0.3"/>
    <row r="987" s="20" customFormat="1" ht="15.75" customHeight="1" x14ac:dyDescent="0.3"/>
    <row r="988" s="20" customFormat="1" ht="15.75" customHeight="1" x14ac:dyDescent="0.3"/>
    <row r="989" s="20" customFormat="1" ht="15.75" customHeight="1" x14ac:dyDescent="0.3"/>
    <row r="990" s="20" customFormat="1" ht="15.75" customHeight="1" x14ac:dyDescent="0.3"/>
    <row r="991" s="20" customFormat="1" ht="15.75" customHeight="1" x14ac:dyDescent="0.3"/>
    <row r="992" s="20" customFormat="1" ht="15.75" customHeight="1" x14ac:dyDescent="0.3"/>
    <row r="993" s="20" customFormat="1" ht="15.75" customHeight="1" x14ac:dyDescent="0.3"/>
    <row r="994" s="20" customFormat="1" ht="15.75" customHeight="1" x14ac:dyDescent="0.3"/>
    <row r="995" s="20" customFormat="1" ht="15.75" customHeight="1" x14ac:dyDescent="0.3"/>
    <row r="996" s="20" customFormat="1" ht="15.75" customHeight="1" x14ac:dyDescent="0.3"/>
    <row r="997" s="20" customFormat="1" ht="15.75" customHeight="1" x14ac:dyDescent="0.3"/>
    <row r="998" s="20" customFormat="1" ht="15.75" customHeight="1" x14ac:dyDescent="0.3"/>
    <row r="999" s="20" customFormat="1" ht="15.75" customHeight="1" x14ac:dyDescent="0.3"/>
    <row r="1000" s="20" customFormat="1" ht="15.75" customHeight="1" x14ac:dyDescent="0.3"/>
    <row r="1001" s="20" customFormat="1" ht="15.75" customHeight="1" x14ac:dyDescent="0.3"/>
    <row r="1002" s="20" customFormat="1" ht="15.75" customHeight="1" x14ac:dyDescent="0.3"/>
    <row r="1003" s="20" customFormat="1" ht="15.75" customHeight="1" x14ac:dyDescent="0.3"/>
    <row r="1004" s="20" customFormat="1" ht="15.75" customHeight="1" x14ac:dyDescent="0.3"/>
    <row r="1005" s="20" customFormat="1" ht="15.75" customHeight="1" x14ac:dyDescent="0.3"/>
    <row r="1006" s="20" customFormat="1" ht="15.75" customHeight="1" x14ac:dyDescent="0.3"/>
    <row r="1007" s="20" customFormat="1" ht="15.75" customHeight="1" x14ac:dyDescent="0.3"/>
    <row r="1008" s="20" customFormat="1" ht="15.75" customHeight="1" x14ac:dyDescent="0.3"/>
  </sheetData>
  <sheetProtection algorithmName="SHA-512" hashValue="m2AJ4C5F0UrxsOHX7nTruwxm+bToGo2bpkz3IJ3Gme37GE1ZQXo7soA41/HEF4pvFTX9KaFlyBiD0UAvqbatMw==" saltValue="zAC4cjJ/sIPnuQdtlcNGeQ==" spinCount="100000" sheet="1" formatRows="0"/>
  <mergeCells count="5">
    <mergeCell ref="B4:I4"/>
    <mergeCell ref="C5:H5"/>
    <mergeCell ref="B2:I2"/>
    <mergeCell ref="C26:F26"/>
    <mergeCell ref="D8:H8"/>
  </mergeCells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5b7889-32f6-4f7a-ad46-d91d7f417e7c" xsi:nil="true"/>
    <lcf76f155ced4ddcb4097134ff3c332f xmlns="5ff4af7e-cfd7-415a-baed-ead09a9487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FF25DD9E404D47B4D42F6BE6E7B1CE" ma:contentTypeVersion="19" ma:contentTypeDescription="Create a new document." ma:contentTypeScope="" ma:versionID="e212d71a322a78bb08f9d68de253e47d">
  <xsd:schema xmlns:xsd="http://www.w3.org/2001/XMLSchema" xmlns:xs="http://www.w3.org/2001/XMLSchema" xmlns:p="http://schemas.microsoft.com/office/2006/metadata/properties" xmlns:ns2="5ff4af7e-cfd7-415a-baed-ead09a9487b3" xmlns:ns3="ff5b7889-32f6-4f7a-ad46-d91d7f417e7c" targetNamespace="http://schemas.microsoft.com/office/2006/metadata/properties" ma:root="true" ma:fieldsID="2ff1c932fd67b7b8dab90a69ada6dc17" ns2:_="" ns3:_="">
    <xsd:import namespace="5ff4af7e-cfd7-415a-baed-ead09a9487b3"/>
    <xsd:import namespace="ff5b7889-32f6-4f7a-ad46-d91d7f417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4af7e-cfd7-415a-baed-ead09a9487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71b379c-1df0-4d09-9e1f-75e90cd1f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b7889-32f6-4f7a-ad46-d91d7f417e7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fcc327-06d5-4d54-8212-b6b5f17e5e28}" ma:internalName="TaxCatchAll" ma:showField="CatchAllData" ma:web="ff5b7889-32f6-4f7a-ad46-d91d7f417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6B1D6-4818-4907-8C95-5749EA3E2A86}">
  <ds:schemaRefs>
    <ds:schemaRef ds:uri="http://www.w3.org/XML/1998/namespace"/>
    <ds:schemaRef ds:uri="http://schemas.microsoft.com/office/2006/documentManagement/types"/>
    <ds:schemaRef ds:uri="f38467ca-bee8-40fb-b45d-3575f26b64ee"/>
    <ds:schemaRef ds:uri="38953c7c-aa2d-4ced-91da-b25e4f24a99a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ff5b7889-32f6-4f7a-ad46-d91d7f417e7c"/>
    <ds:schemaRef ds:uri="5ff4af7e-cfd7-415a-baed-ead09a9487b3"/>
  </ds:schemaRefs>
</ds:datastoreItem>
</file>

<file path=customXml/itemProps2.xml><?xml version="1.0" encoding="utf-8"?>
<ds:datastoreItem xmlns:ds="http://schemas.openxmlformats.org/officeDocument/2006/customXml" ds:itemID="{E075F51C-8711-4535-89C2-04E3E862E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4af7e-cfd7-415a-baed-ead09a9487b3"/>
    <ds:schemaRef ds:uri="ff5b7889-32f6-4f7a-ad46-d91d7f417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333E3E-548C-4A84-854C-B11B59E5003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473bd35-a793-4476-b755-d10c6831b239}" enabled="0" method="" siteId="{6473bd35-a793-4476-b755-d10c6831b2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32</vt:i4>
      </vt:variant>
    </vt:vector>
  </HeadingPairs>
  <TitlesOfParts>
    <vt:vector size="36" baseType="lpstr">
      <vt:lpstr>Instructions</vt:lpstr>
      <vt:lpstr>Input</vt:lpstr>
      <vt:lpstr>Database</vt:lpstr>
      <vt:lpstr>Summary</vt:lpstr>
      <vt:lpstr>energyCategories</vt:lpstr>
      <vt:lpstr>energyTypes</vt:lpstr>
      <vt:lpstr>energyUnits</vt:lpstr>
      <vt:lpstr>IP_Units</vt:lpstr>
      <vt:lpstr>kWhUnits</vt:lpstr>
      <vt:lpstr>projectType</vt:lpstr>
      <vt:lpstr>renewableGen</vt:lpstr>
      <vt:lpstr>SI_Units</vt:lpstr>
      <vt:lpstr>Tier_1</vt:lpstr>
      <vt:lpstr>Tier_2</vt:lpstr>
      <vt:lpstr>Tier_3</vt:lpstr>
      <vt:lpstr>Tier1_cs</vt:lpstr>
      <vt:lpstr>Tier1_cs_min</vt:lpstr>
      <vt:lpstr>Tier1_cs_pts</vt:lpstr>
      <vt:lpstr>Tier1_nc_idc</vt:lpstr>
      <vt:lpstr>Tier1_nc_idc_min</vt:lpstr>
      <vt:lpstr>Tier1_nc_idc_pts</vt:lpstr>
      <vt:lpstr>Tier2_cs</vt:lpstr>
      <vt:lpstr>Tier2_cs_min</vt:lpstr>
      <vt:lpstr>Tier2_cs_pts</vt:lpstr>
      <vt:lpstr>Tier2_nc_idc</vt:lpstr>
      <vt:lpstr>Tier2_nc_idc_min</vt:lpstr>
      <vt:lpstr>Tier2_nc_idc_pts</vt:lpstr>
      <vt:lpstr>Tier3_cs</vt:lpstr>
      <vt:lpstr>Tier3_cs_min</vt:lpstr>
      <vt:lpstr>Tier3_cs_pts</vt:lpstr>
      <vt:lpstr>Tier3_nc_idc</vt:lpstr>
      <vt:lpstr>Tier3_nc_idc_min</vt:lpstr>
      <vt:lpstr>Tier3_nc_idc_pts</vt:lpstr>
      <vt:lpstr>unitOption</vt:lpstr>
      <vt:lpstr>unitsConverter</vt:lpstr>
      <vt:lpstr>unitsTable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Corey Enck</cp:lastModifiedBy>
  <cp:lastPrinted>2025-09-16T21:04:30Z</cp:lastPrinted>
  <dcterms:created xsi:type="dcterms:W3CDTF">2015-06-05T18:19:34Z</dcterms:created>
  <dcterms:modified xsi:type="dcterms:W3CDTF">2025-12-19T15:57:12Z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0x01010001FF25DD9E404D47B4D42F6BE6E7B1CE</vt:lpwstr>
  </property>
  <property fmtid="{D5CDD505-2E9C-101B-9397-08002B2CF9AE}" pid="3" name="MediaServiceImageTags">
    <vt:lpwstr/>
  </property>
</Properties>
</file>