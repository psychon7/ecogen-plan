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November 3, 2025/"/>
    </mc:Choice>
  </mc:AlternateContent>
  <xr:revisionPtr revIDLastSave="3" documentId="13_ncr:1_{9C16ADA5-9EC6-488A-B4D4-0C83050720AF}" xr6:coauthVersionLast="47" xr6:coauthVersionMax="47" xr10:uidLastSave="{CBB09F45-1D98-4ECD-A88B-29FD2055405F}"/>
  <workbookProtection workbookAlgorithmName="SHA-512" workbookHashValue="ssLpFx3KhKBaba8Fp4ZQNBMOG3iIVBaO876AGZtdCy602I5lwQ974ceo8UfoGcXa+93Jab6re6rGmXOnU+Mahw==" workbookSaltValue="n9o9dz3XohtZ3r9MxcAilQ==" workbookSpinCount="100000" lockStructure="1"/>
  <bookViews>
    <workbookView xWindow="-108" yWindow="-108" windowWidth="23256" windowHeight="12456" tabRatio="845" firstSheet="2" activeTab="6" xr2:uid="{A2ABE215-9A73-4B33-B75D-D7BB02D35148}"/>
  </bookViews>
  <sheets>
    <sheet name="Revision History" sheetId="7" state="hidden" r:id="rId1"/>
    <sheet name="Internal Style Guide" sheetId="13" state="hidden" r:id="rId2"/>
    <sheet name="Instructions" sheetId="8" r:id="rId3"/>
    <sheet name="Inputs" sheetId="11" r:id="rId4"/>
    <sheet name="Logic" sheetId="14" state="hidden" r:id="rId5"/>
    <sheet name="Database" sheetId="12" state="hidden" r:id="rId6"/>
    <sheet name="Summary" sheetId="9" r:id="rId7"/>
  </sheets>
  <definedNames>
    <definedName name="_xlnm._FilterDatabase" localSheetId="5" hidden="1">Database!$A$67:$Z$67</definedName>
    <definedName name="baseEnvelopeCooling">Inputs!$E$399</definedName>
    <definedName name="baselineEnvelopeCooling">Inputs!$E$399</definedName>
    <definedName name="baselineEnvelopeHeating">Inputs!$D$399</definedName>
    <definedName name="baselineSimCooling">Inputs!$E$417</definedName>
    <definedName name="baselineSimHeating">Inputs!$D$417</definedName>
    <definedName name="baselineVentCooling">Inputs!$E$408</definedName>
    <definedName name="baselineVentHeating">Inputs!$D$408</definedName>
    <definedName name="buildingType">Inputs!$E$8</definedName>
    <definedName name="cz">Inputs!$E$12</definedName>
    <definedName name="envelopeLoadsReduction">Logic!$F$399</definedName>
    <definedName name="envelopeTradeOffCredits">Logic!$G$399</definedName>
    <definedName name="heatRecoveryRequirement">Logic!$F$140</definedName>
    <definedName name="inputs_EquipNo">Inputs!$A$22:$A$136</definedName>
    <definedName name="inputs_EquipTag">Inputs!$B$22:$B$136</definedName>
    <definedName name="inputs_EquipType">Inputs!$C$22:$C$136</definedName>
    <definedName name="inputs_HeatRecReq">Inputs!$G$22:$G$136</definedName>
    <definedName name="inputs_optpath">Inputs!$E$6</definedName>
    <definedName name="inputs_OutdoorAirFlow">Inputs!$E$22:$E$136</definedName>
    <definedName name="inputs_pkclid">Inputs!$B$274:$B$384</definedName>
    <definedName name="inputs_pkclno">Inputs!$A$274:$A$384</definedName>
    <definedName name="inputs_pkclpl">Inputs!$D$274:$D$384</definedName>
    <definedName name="inputs_pkclst">Inputs!$C$274:$C$384</definedName>
    <definedName name="inputs_pkclty">Inputs!$E$274:$E$384</definedName>
    <definedName name="inputs_pkhtid">Inputs!$B$150:$B$264</definedName>
    <definedName name="inputs_pkhtno">Inputs!$A$150:$A$264</definedName>
    <definedName name="inputs_pkhtpl">Inputs!$D$150:$D$264</definedName>
    <definedName name="inputs_pkhtst">Inputs!$C$150:$C$264</definedName>
    <definedName name="inputs_pkhtty">Inputs!$E$150:$E$264</definedName>
    <definedName name="inputs_VentEquipQuant">Inputs!$D$22:$D$136</definedName>
    <definedName name="logic_EquipNo">Logic!$A$22:$A$136</definedName>
    <definedName name="logic_optpath">Logic!$E$6</definedName>
    <definedName name="logic_VentFlow">Logic!$F$22:$F$136</definedName>
    <definedName name="MPF">Logic!$F$408</definedName>
    <definedName name="option4path2credits">Summary!$G$18</definedName>
    <definedName name="optpath">Database!$D$7:$D$13</definedName>
    <definedName name="performanceIndex">Logic!$F$417</definedName>
    <definedName name="proposedEnvelopeCooling">Inputs!$C$399</definedName>
    <definedName name="proposedEnvelopeHeating">Inputs!$B$399</definedName>
    <definedName name="proposedSimCooling">Inputs!$C$417</definedName>
    <definedName name="proposedSimHeating">Inputs!$B$417</definedName>
    <definedName name="proposedVentCooling">Inputs!$C$408</definedName>
    <definedName name="proposedVentHeating">Inputs!$B$408</definedName>
    <definedName name="residential">Logic!$E$8</definedName>
    <definedName name="totalCompliantVentAirFlow">Logic!$F$138</definedName>
    <definedName name="totalVentAirFlow">Logic!$F$137</definedName>
    <definedName name="units" comment="Units in kg or lbs">Inputs!$E$10</definedName>
    <definedName name="ventLoadsReduction">Logic!$G$408</definedName>
    <definedName name="ventNonCompliantPercentage">Logic!$F$139</definedName>
    <definedName name="ventTradeOffCredits">Logic!$H$408</definedName>
    <definedName name="yesNoList">Database!$D$61:$D$62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2" i="14" l="1"/>
  <c r="F408" i="14" l="1" a="1"/>
  <c r="F408" i="14" s="1"/>
  <c r="G52" i="14"/>
  <c r="E52" i="14"/>
  <c r="D52" i="14"/>
  <c r="C52" i="14"/>
  <c r="B52" i="14"/>
  <c r="G73" i="14"/>
  <c r="E73" i="14"/>
  <c r="D73" i="14"/>
  <c r="C73" i="14"/>
  <c r="B73" i="14"/>
  <c r="G94" i="14"/>
  <c r="E94" i="14"/>
  <c r="D94" i="14"/>
  <c r="C94" i="14"/>
  <c r="B94" i="14"/>
  <c r="G115" i="14"/>
  <c r="E115" i="14"/>
  <c r="D115" i="14"/>
  <c r="C115" i="14"/>
  <c r="B115" i="14"/>
  <c r="E244" i="14"/>
  <c r="D244" i="14"/>
  <c r="C244" i="14"/>
  <c r="B244" i="14"/>
  <c r="E223" i="14"/>
  <c r="D223" i="14"/>
  <c r="C223" i="14"/>
  <c r="B223" i="14"/>
  <c r="E202" i="14"/>
  <c r="D202" i="14"/>
  <c r="C202" i="14"/>
  <c r="B202" i="14"/>
  <c r="E181" i="14"/>
  <c r="D181" i="14"/>
  <c r="C181" i="14"/>
  <c r="B181" i="14"/>
  <c r="B138" i="14"/>
  <c r="G135" i="14"/>
  <c r="G134" i="14"/>
  <c r="G133" i="14"/>
  <c r="G132" i="14"/>
  <c r="G131" i="14"/>
  <c r="G130" i="14"/>
  <c r="G129" i="14"/>
  <c r="G128" i="14"/>
  <c r="G127" i="14"/>
  <c r="G126" i="14"/>
  <c r="G125" i="14"/>
  <c r="G124" i="14"/>
  <c r="G123" i="14"/>
  <c r="G122" i="14"/>
  <c r="G121" i="14"/>
  <c r="G120" i="14"/>
  <c r="G119" i="14"/>
  <c r="G118" i="14"/>
  <c r="G117" i="14"/>
  <c r="G116" i="14"/>
  <c r="G114" i="14"/>
  <c r="G113" i="14"/>
  <c r="G112" i="14"/>
  <c r="G111" i="14"/>
  <c r="G110" i="14"/>
  <c r="G109" i="14"/>
  <c r="G108" i="14"/>
  <c r="G107" i="14"/>
  <c r="G106" i="14"/>
  <c r="G105" i="14"/>
  <c r="G104" i="14"/>
  <c r="G103" i="14"/>
  <c r="G102" i="14"/>
  <c r="G101" i="14"/>
  <c r="G100" i="14"/>
  <c r="G99" i="14"/>
  <c r="G98" i="14"/>
  <c r="G97" i="14"/>
  <c r="G96" i="14"/>
  <c r="G95" i="14"/>
  <c r="G93" i="14"/>
  <c r="G92" i="14"/>
  <c r="G91" i="14"/>
  <c r="G90" i="14"/>
  <c r="G89" i="14"/>
  <c r="G88" i="14"/>
  <c r="G87" i="14"/>
  <c r="G86" i="14"/>
  <c r="G85" i="14"/>
  <c r="G84" i="14"/>
  <c r="G83" i="14"/>
  <c r="G82" i="14"/>
  <c r="G81" i="14"/>
  <c r="G80" i="14"/>
  <c r="G79" i="14"/>
  <c r="G78" i="14"/>
  <c r="G77" i="14"/>
  <c r="G76" i="14"/>
  <c r="G75" i="14"/>
  <c r="G74" i="14"/>
  <c r="G72" i="14"/>
  <c r="G71" i="14"/>
  <c r="G70" i="14"/>
  <c r="G69" i="14"/>
  <c r="G68" i="14"/>
  <c r="G67" i="14"/>
  <c r="G66" i="14"/>
  <c r="G65" i="14"/>
  <c r="G64" i="14"/>
  <c r="G63" i="14"/>
  <c r="G62" i="14"/>
  <c r="G61" i="14"/>
  <c r="G60" i="14"/>
  <c r="G59" i="14"/>
  <c r="G58" i="14"/>
  <c r="G57" i="14"/>
  <c r="G56" i="14"/>
  <c r="G55" i="14"/>
  <c r="G54" i="14"/>
  <c r="G53" i="14"/>
  <c r="G51" i="14"/>
  <c r="G50" i="14"/>
  <c r="G49" i="14"/>
  <c r="G48" i="14"/>
  <c r="G47" i="14"/>
  <c r="G46" i="14"/>
  <c r="G45" i="14"/>
  <c r="G44" i="14"/>
  <c r="G43" i="14"/>
  <c r="G42" i="14"/>
  <c r="G41" i="14"/>
  <c r="G40" i="14"/>
  <c r="G39" i="14"/>
  <c r="G38" i="14"/>
  <c r="G37" i="14"/>
  <c r="G36" i="14"/>
  <c r="G35" i="14"/>
  <c r="G34" i="14"/>
  <c r="G33" i="14"/>
  <c r="G32" i="14"/>
  <c r="G31" i="14"/>
  <c r="G29" i="14"/>
  <c r="G28" i="14"/>
  <c r="G27" i="14"/>
  <c r="G26" i="14"/>
  <c r="G25" i="14"/>
  <c r="G24" i="14"/>
  <c r="G23" i="14"/>
  <c r="G22" i="14"/>
  <c r="G30" i="14"/>
  <c r="E384" i="14"/>
  <c r="D384" i="14"/>
  <c r="C384" i="14"/>
  <c r="B384" i="14"/>
  <c r="E383" i="14"/>
  <c r="D383" i="14"/>
  <c r="C383" i="14"/>
  <c r="B383" i="14"/>
  <c r="E382" i="14"/>
  <c r="D382" i="14"/>
  <c r="C382" i="14"/>
  <c r="B382" i="14"/>
  <c r="E381" i="14"/>
  <c r="D381" i="14"/>
  <c r="C381" i="14"/>
  <c r="B381" i="14"/>
  <c r="E380" i="14"/>
  <c r="D380" i="14"/>
  <c r="C380" i="14"/>
  <c r="B380" i="14"/>
  <c r="E379" i="14"/>
  <c r="D379" i="14"/>
  <c r="C379" i="14"/>
  <c r="B379" i="14"/>
  <c r="E378" i="14"/>
  <c r="D378" i="14"/>
  <c r="C378" i="14"/>
  <c r="B378" i="14"/>
  <c r="E377" i="14"/>
  <c r="D377" i="14"/>
  <c r="C377" i="14"/>
  <c r="B377" i="14"/>
  <c r="E376" i="14"/>
  <c r="D376" i="14"/>
  <c r="C376" i="14"/>
  <c r="B376" i="14"/>
  <c r="E375" i="14"/>
  <c r="D375" i="14"/>
  <c r="C375" i="14"/>
  <c r="B375" i="14"/>
  <c r="E374" i="14"/>
  <c r="D374" i="14"/>
  <c r="C374" i="14"/>
  <c r="B374" i="14"/>
  <c r="E373" i="14"/>
  <c r="D373" i="14"/>
  <c r="C373" i="14"/>
  <c r="B373" i="14"/>
  <c r="E372" i="14"/>
  <c r="D372" i="14"/>
  <c r="C372" i="14"/>
  <c r="B372" i="14"/>
  <c r="E371" i="14"/>
  <c r="D371" i="14"/>
  <c r="C371" i="14"/>
  <c r="B371" i="14"/>
  <c r="E370" i="14"/>
  <c r="D370" i="14"/>
  <c r="C370" i="14"/>
  <c r="B370" i="14"/>
  <c r="E369" i="14"/>
  <c r="D369" i="14"/>
  <c r="C369" i="14"/>
  <c r="B369" i="14"/>
  <c r="E368" i="14"/>
  <c r="D368" i="14"/>
  <c r="C368" i="14"/>
  <c r="B368" i="14"/>
  <c r="E367" i="14"/>
  <c r="D367" i="14"/>
  <c r="C367" i="14"/>
  <c r="B367" i="14"/>
  <c r="E366" i="14"/>
  <c r="D366" i="14"/>
  <c r="C366" i="14"/>
  <c r="B366" i="14"/>
  <c r="E365" i="14"/>
  <c r="D365" i="14"/>
  <c r="C365" i="14"/>
  <c r="B365" i="14"/>
  <c r="E364" i="14"/>
  <c r="D364" i="14"/>
  <c r="C364" i="14"/>
  <c r="B364" i="14"/>
  <c r="E363" i="14"/>
  <c r="D363" i="14"/>
  <c r="C363" i="14"/>
  <c r="B363" i="14"/>
  <c r="E362" i="14"/>
  <c r="D362" i="14"/>
  <c r="C362" i="14"/>
  <c r="B362" i="14"/>
  <c r="E361" i="14"/>
  <c r="D361" i="14"/>
  <c r="C361" i="14"/>
  <c r="B361" i="14"/>
  <c r="E360" i="14"/>
  <c r="D360" i="14"/>
  <c r="C360" i="14"/>
  <c r="B360" i="14"/>
  <c r="E359" i="14"/>
  <c r="D359" i="14"/>
  <c r="C359" i="14"/>
  <c r="B359" i="14"/>
  <c r="E358" i="14"/>
  <c r="D358" i="14"/>
  <c r="C358" i="14"/>
  <c r="B358" i="14"/>
  <c r="E357" i="14"/>
  <c r="D357" i="14"/>
  <c r="C357" i="14"/>
  <c r="B357" i="14"/>
  <c r="E356" i="14"/>
  <c r="D356" i="14"/>
  <c r="C356" i="14"/>
  <c r="B356" i="14"/>
  <c r="E355" i="14"/>
  <c r="D355" i="14"/>
  <c r="C355" i="14"/>
  <c r="B355" i="14"/>
  <c r="E354" i="14"/>
  <c r="D354" i="14"/>
  <c r="C354" i="14"/>
  <c r="B354" i="14"/>
  <c r="E353" i="14"/>
  <c r="D353" i="14"/>
  <c r="C353" i="14"/>
  <c r="B353" i="14"/>
  <c r="E352" i="14"/>
  <c r="D352" i="14"/>
  <c r="C352" i="14"/>
  <c r="B352" i="14"/>
  <c r="E351" i="14"/>
  <c r="D351" i="14"/>
  <c r="C351" i="14"/>
  <c r="B351" i="14"/>
  <c r="E350" i="14"/>
  <c r="D350" i="14"/>
  <c r="C350" i="14"/>
  <c r="B350" i="14"/>
  <c r="E349" i="14"/>
  <c r="D349" i="14"/>
  <c r="C349" i="14"/>
  <c r="B349" i="14"/>
  <c r="E348" i="14"/>
  <c r="D348" i="14"/>
  <c r="C348" i="14"/>
  <c r="B348" i="14"/>
  <c r="E347" i="14"/>
  <c r="D347" i="14"/>
  <c r="C347" i="14"/>
  <c r="B347" i="14"/>
  <c r="E346" i="14"/>
  <c r="D346" i="14"/>
  <c r="C346" i="14"/>
  <c r="B346" i="14"/>
  <c r="E345" i="14"/>
  <c r="D345" i="14"/>
  <c r="C345" i="14"/>
  <c r="B345" i="14"/>
  <c r="E344" i="14"/>
  <c r="D344" i="14"/>
  <c r="C344" i="14"/>
  <c r="B344" i="14"/>
  <c r="E343" i="14"/>
  <c r="D343" i="14"/>
  <c r="C343" i="14"/>
  <c r="B343" i="14"/>
  <c r="E342" i="14"/>
  <c r="D342" i="14"/>
  <c r="C342" i="14"/>
  <c r="B342" i="14"/>
  <c r="E341" i="14"/>
  <c r="D341" i="14"/>
  <c r="C341" i="14"/>
  <c r="B341" i="14"/>
  <c r="E340" i="14"/>
  <c r="D340" i="14"/>
  <c r="C340" i="14"/>
  <c r="B340" i="14"/>
  <c r="E339" i="14"/>
  <c r="D339" i="14"/>
  <c r="C339" i="14"/>
  <c r="B339" i="14"/>
  <c r="E338" i="14"/>
  <c r="D338" i="14"/>
  <c r="C338" i="14"/>
  <c r="B338" i="14"/>
  <c r="E337" i="14"/>
  <c r="D337" i="14"/>
  <c r="C337" i="14"/>
  <c r="B337" i="14"/>
  <c r="E336" i="14"/>
  <c r="D336" i="14"/>
  <c r="C336" i="14"/>
  <c r="B336" i="14"/>
  <c r="E335" i="14"/>
  <c r="D335" i="14"/>
  <c r="C335" i="14"/>
  <c r="B335" i="14"/>
  <c r="E334" i="14"/>
  <c r="D334" i="14"/>
  <c r="C334" i="14"/>
  <c r="B334" i="14"/>
  <c r="E333" i="14"/>
  <c r="D333" i="14"/>
  <c r="C333" i="14"/>
  <c r="B333" i="14"/>
  <c r="E332" i="14"/>
  <c r="D332" i="14"/>
  <c r="C332" i="14"/>
  <c r="B332" i="14"/>
  <c r="E331" i="14"/>
  <c r="D331" i="14"/>
  <c r="C331" i="14"/>
  <c r="B331" i="14"/>
  <c r="E330" i="14"/>
  <c r="D330" i="14"/>
  <c r="C330" i="14"/>
  <c r="B330" i="14"/>
  <c r="E329" i="14"/>
  <c r="D329" i="14"/>
  <c r="C329" i="14"/>
  <c r="B329" i="14"/>
  <c r="E328" i="14"/>
  <c r="D328" i="14"/>
  <c r="C328" i="14"/>
  <c r="B328" i="14"/>
  <c r="E327" i="14"/>
  <c r="D327" i="14"/>
  <c r="C327" i="14"/>
  <c r="B327" i="14"/>
  <c r="E326" i="14"/>
  <c r="D326" i="14"/>
  <c r="C326" i="14"/>
  <c r="B326" i="14"/>
  <c r="E325" i="14"/>
  <c r="D325" i="14"/>
  <c r="C325" i="14"/>
  <c r="B325" i="14"/>
  <c r="E324" i="14"/>
  <c r="D324" i="14"/>
  <c r="C324" i="14"/>
  <c r="B324" i="14"/>
  <c r="E323" i="14"/>
  <c r="D323" i="14"/>
  <c r="C323" i="14"/>
  <c r="B323" i="14"/>
  <c r="E322" i="14"/>
  <c r="D322" i="14"/>
  <c r="C322" i="14"/>
  <c r="B322" i="14"/>
  <c r="E321" i="14"/>
  <c r="D321" i="14"/>
  <c r="C321" i="14"/>
  <c r="B321" i="14"/>
  <c r="E320" i="14"/>
  <c r="D320" i="14"/>
  <c r="C320" i="14"/>
  <c r="B320" i="14"/>
  <c r="E319" i="14"/>
  <c r="D319" i="14"/>
  <c r="C319" i="14"/>
  <c r="B319" i="14"/>
  <c r="E318" i="14"/>
  <c r="D318" i="14"/>
  <c r="C318" i="14"/>
  <c r="B318" i="14"/>
  <c r="E317" i="14"/>
  <c r="D317" i="14"/>
  <c r="C317" i="14"/>
  <c r="B317" i="14"/>
  <c r="E316" i="14"/>
  <c r="D316" i="14"/>
  <c r="C316" i="14"/>
  <c r="B316" i="14"/>
  <c r="E315" i="14"/>
  <c r="D315" i="14"/>
  <c r="C315" i="14"/>
  <c r="B315" i="14"/>
  <c r="E314" i="14"/>
  <c r="D314" i="14"/>
  <c r="C314" i="14"/>
  <c r="B314" i="14"/>
  <c r="E313" i="14"/>
  <c r="D313" i="14"/>
  <c r="C313" i="14"/>
  <c r="B313" i="14"/>
  <c r="E312" i="14"/>
  <c r="D312" i="14"/>
  <c r="C312" i="14"/>
  <c r="B312" i="14"/>
  <c r="E311" i="14"/>
  <c r="D311" i="14"/>
  <c r="C311" i="14"/>
  <c r="B311" i="14"/>
  <c r="E310" i="14"/>
  <c r="D310" i="14"/>
  <c r="C310" i="14"/>
  <c r="B310" i="14"/>
  <c r="E309" i="14"/>
  <c r="D309" i="14"/>
  <c r="C309" i="14"/>
  <c r="B309" i="14"/>
  <c r="E308" i="14"/>
  <c r="D308" i="14"/>
  <c r="C308" i="14"/>
  <c r="B308" i="14"/>
  <c r="E307" i="14"/>
  <c r="D307" i="14"/>
  <c r="C307" i="14"/>
  <c r="B307" i="14"/>
  <c r="E306" i="14"/>
  <c r="D306" i="14"/>
  <c r="C306" i="14"/>
  <c r="B306" i="14"/>
  <c r="E305" i="14"/>
  <c r="D305" i="14"/>
  <c r="C305" i="14"/>
  <c r="B305" i="14"/>
  <c r="E304" i="14"/>
  <c r="D304" i="14"/>
  <c r="C304" i="14"/>
  <c r="B304" i="14"/>
  <c r="E303" i="14"/>
  <c r="D303" i="14"/>
  <c r="C303" i="14"/>
  <c r="B303" i="14"/>
  <c r="E302" i="14"/>
  <c r="D302" i="14"/>
  <c r="C302" i="14"/>
  <c r="B302" i="14"/>
  <c r="E301" i="14"/>
  <c r="D301" i="14"/>
  <c r="C301" i="14"/>
  <c r="B301" i="14"/>
  <c r="E300" i="14"/>
  <c r="D300" i="14"/>
  <c r="C300" i="14"/>
  <c r="B300" i="14"/>
  <c r="E299" i="14"/>
  <c r="D299" i="14"/>
  <c r="C299" i="14"/>
  <c r="B299" i="14"/>
  <c r="E298" i="14"/>
  <c r="D298" i="14"/>
  <c r="C298" i="14"/>
  <c r="B298" i="14"/>
  <c r="E297" i="14"/>
  <c r="D297" i="14"/>
  <c r="C297" i="14"/>
  <c r="B297" i="14"/>
  <c r="E296" i="14"/>
  <c r="D296" i="14"/>
  <c r="C296" i="14"/>
  <c r="B296" i="14"/>
  <c r="E295" i="14"/>
  <c r="D295" i="14"/>
  <c r="C295" i="14"/>
  <c r="B295" i="14"/>
  <c r="E294" i="14"/>
  <c r="D294" i="14"/>
  <c r="C294" i="14"/>
  <c r="B294" i="14"/>
  <c r="E293" i="14"/>
  <c r="D293" i="14"/>
  <c r="C293" i="14"/>
  <c r="B293" i="14"/>
  <c r="E292" i="14"/>
  <c r="D292" i="14"/>
  <c r="C292" i="14"/>
  <c r="B292" i="14"/>
  <c r="E291" i="14"/>
  <c r="D291" i="14"/>
  <c r="C291" i="14"/>
  <c r="B291" i="14"/>
  <c r="E290" i="14"/>
  <c r="D290" i="14"/>
  <c r="C290" i="14"/>
  <c r="B290" i="14"/>
  <c r="E289" i="14"/>
  <c r="D289" i="14"/>
  <c r="C289" i="14"/>
  <c r="B289" i="14"/>
  <c r="E288" i="14"/>
  <c r="D288" i="14"/>
  <c r="C288" i="14"/>
  <c r="B288" i="14"/>
  <c r="E287" i="14"/>
  <c r="D287" i="14"/>
  <c r="C287" i="14"/>
  <c r="B287" i="14"/>
  <c r="E286" i="14"/>
  <c r="D286" i="14"/>
  <c r="C286" i="14"/>
  <c r="B286" i="14"/>
  <c r="E285" i="14"/>
  <c r="D285" i="14"/>
  <c r="C285" i="14"/>
  <c r="B285" i="14"/>
  <c r="E284" i="14"/>
  <c r="D284" i="14"/>
  <c r="C284" i="14"/>
  <c r="B284" i="14"/>
  <c r="E283" i="14"/>
  <c r="D283" i="14"/>
  <c r="C283" i="14"/>
  <c r="B283" i="14"/>
  <c r="E282" i="14"/>
  <c r="D282" i="14"/>
  <c r="C282" i="14"/>
  <c r="B282" i="14"/>
  <c r="E281" i="14"/>
  <c r="D281" i="14"/>
  <c r="C281" i="14"/>
  <c r="B281" i="14"/>
  <c r="E280" i="14"/>
  <c r="D280" i="14"/>
  <c r="C280" i="14"/>
  <c r="B280" i="14"/>
  <c r="E279" i="14"/>
  <c r="D279" i="14"/>
  <c r="C279" i="14"/>
  <c r="B279" i="14"/>
  <c r="E278" i="14"/>
  <c r="D278" i="14"/>
  <c r="C278" i="14"/>
  <c r="B278" i="14"/>
  <c r="E277" i="14"/>
  <c r="D277" i="14"/>
  <c r="C277" i="14"/>
  <c r="B277" i="14"/>
  <c r="E276" i="14"/>
  <c r="D276" i="14"/>
  <c r="C276" i="14"/>
  <c r="B276" i="14"/>
  <c r="D275" i="14"/>
  <c r="C275" i="14"/>
  <c r="B275" i="14"/>
  <c r="G265" i="14"/>
  <c r="F265" i="14"/>
  <c r="E265" i="14"/>
  <c r="F136" i="14"/>
  <c r="E264" i="14"/>
  <c r="D264" i="14"/>
  <c r="C264" i="14"/>
  <c r="B264" i="14"/>
  <c r="E263" i="14"/>
  <c r="D263" i="14"/>
  <c r="C263" i="14"/>
  <c r="B263" i="14"/>
  <c r="E262" i="14"/>
  <c r="D262" i="14"/>
  <c r="C262" i="14"/>
  <c r="B262" i="14"/>
  <c r="E261" i="14"/>
  <c r="D261" i="14"/>
  <c r="C261" i="14"/>
  <c r="B261" i="14"/>
  <c r="E260" i="14"/>
  <c r="D260" i="14"/>
  <c r="C260" i="14"/>
  <c r="B260" i="14"/>
  <c r="E259" i="14"/>
  <c r="D259" i="14"/>
  <c r="C259" i="14"/>
  <c r="B259" i="14"/>
  <c r="E258" i="14"/>
  <c r="D258" i="14"/>
  <c r="C258" i="14"/>
  <c r="B258" i="14"/>
  <c r="E257" i="14"/>
  <c r="D257" i="14"/>
  <c r="C257" i="14"/>
  <c r="B257" i="14"/>
  <c r="E256" i="14"/>
  <c r="D256" i="14"/>
  <c r="C256" i="14"/>
  <c r="B256" i="14"/>
  <c r="E255" i="14"/>
  <c r="D255" i="14"/>
  <c r="C255" i="14"/>
  <c r="B255" i="14"/>
  <c r="E254" i="14"/>
  <c r="D254" i="14"/>
  <c r="C254" i="14"/>
  <c r="B254" i="14"/>
  <c r="E253" i="14"/>
  <c r="D253" i="14"/>
  <c r="C253" i="14"/>
  <c r="B253" i="14"/>
  <c r="E252" i="14"/>
  <c r="D252" i="14"/>
  <c r="C252" i="14"/>
  <c r="B252" i="14"/>
  <c r="E251" i="14"/>
  <c r="D251" i="14"/>
  <c r="C251" i="14"/>
  <c r="B251" i="14"/>
  <c r="E250" i="14"/>
  <c r="D250" i="14"/>
  <c r="C250" i="14"/>
  <c r="B250" i="14"/>
  <c r="E249" i="14"/>
  <c r="D249" i="14"/>
  <c r="C249" i="14"/>
  <c r="B249" i="14"/>
  <c r="E248" i="14"/>
  <c r="D248" i="14"/>
  <c r="C248" i="14"/>
  <c r="B248" i="14"/>
  <c r="E247" i="14"/>
  <c r="D247" i="14"/>
  <c r="C247" i="14"/>
  <c r="B247" i="14"/>
  <c r="E246" i="14"/>
  <c r="D246" i="14"/>
  <c r="C246" i="14"/>
  <c r="B246" i="14"/>
  <c r="E245" i="14"/>
  <c r="D245" i="14"/>
  <c r="C245" i="14"/>
  <c r="B245" i="14"/>
  <c r="E243" i="14"/>
  <c r="D243" i="14"/>
  <c r="C243" i="14"/>
  <c r="B243" i="14"/>
  <c r="E242" i="14"/>
  <c r="D242" i="14"/>
  <c r="C242" i="14"/>
  <c r="B242" i="14"/>
  <c r="E241" i="14"/>
  <c r="D241" i="14"/>
  <c r="C241" i="14"/>
  <c r="B241" i="14"/>
  <c r="E240" i="14"/>
  <c r="D240" i="14"/>
  <c r="C240" i="14"/>
  <c r="B240" i="14"/>
  <c r="E239" i="14"/>
  <c r="D239" i="14"/>
  <c r="C239" i="14"/>
  <c r="B239" i="14"/>
  <c r="E238" i="14"/>
  <c r="D238" i="14"/>
  <c r="C238" i="14"/>
  <c r="B238" i="14"/>
  <c r="E237" i="14"/>
  <c r="D237" i="14"/>
  <c r="C237" i="14"/>
  <c r="B237" i="14"/>
  <c r="E236" i="14"/>
  <c r="D236" i="14"/>
  <c r="C236" i="14"/>
  <c r="B236" i="14"/>
  <c r="E235" i="14"/>
  <c r="D235" i="14"/>
  <c r="C235" i="14"/>
  <c r="B235" i="14"/>
  <c r="E234" i="14"/>
  <c r="D234" i="14"/>
  <c r="C234" i="14"/>
  <c r="B234" i="14"/>
  <c r="E233" i="14"/>
  <c r="D233" i="14"/>
  <c r="C233" i="14"/>
  <c r="B233" i="14"/>
  <c r="E232" i="14"/>
  <c r="D232" i="14"/>
  <c r="C232" i="14"/>
  <c r="B232" i="14"/>
  <c r="E231" i="14"/>
  <c r="D231" i="14"/>
  <c r="C231" i="14"/>
  <c r="B231" i="14"/>
  <c r="E230" i="14"/>
  <c r="D230" i="14"/>
  <c r="C230" i="14"/>
  <c r="B230" i="14"/>
  <c r="E229" i="14"/>
  <c r="D229" i="14"/>
  <c r="C229" i="14"/>
  <c r="B229" i="14"/>
  <c r="E228" i="14"/>
  <c r="D228" i="14"/>
  <c r="C228" i="14"/>
  <c r="B228" i="14"/>
  <c r="E227" i="14"/>
  <c r="D227" i="14"/>
  <c r="C227" i="14"/>
  <c r="B227" i="14"/>
  <c r="E226" i="14"/>
  <c r="D226" i="14"/>
  <c r="C226" i="14"/>
  <c r="B226" i="14"/>
  <c r="E225" i="14"/>
  <c r="D225" i="14"/>
  <c r="C225" i="14"/>
  <c r="B225" i="14"/>
  <c r="E224" i="14"/>
  <c r="D224" i="14"/>
  <c r="C224" i="14"/>
  <c r="B224" i="14"/>
  <c r="E222" i="14"/>
  <c r="D222" i="14"/>
  <c r="C222" i="14"/>
  <c r="B222" i="14"/>
  <c r="E221" i="14"/>
  <c r="D221" i="14"/>
  <c r="C221" i="14"/>
  <c r="B221" i="14"/>
  <c r="E220" i="14"/>
  <c r="D220" i="14"/>
  <c r="C220" i="14"/>
  <c r="B220" i="14"/>
  <c r="E219" i="14"/>
  <c r="D219" i="14"/>
  <c r="C219" i="14"/>
  <c r="B219" i="14"/>
  <c r="E218" i="14"/>
  <c r="D218" i="14"/>
  <c r="C218" i="14"/>
  <c r="B218" i="14"/>
  <c r="E217" i="14"/>
  <c r="D217" i="14"/>
  <c r="C217" i="14"/>
  <c r="B217" i="14"/>
  <c r="E216" i="14"/>
  <c r="D216" i="14"/>
  <c r="C216" i="14"/>
  <c r="B216" i="14"/>
  <c r="E215" i="14"/>
  <c r="D215" i="14"/>
  <c r="C215" i="14"/>
  <c r="B215" i="14"/>
  <c r="E214" i="14"/>
  <c r="D214" i="14"/>
  <c r="C214" i="14"/>
  <c r="B214" i="14"/>
  <c r="E213" i="14"/>
  <c r="D213" i="14"/>
  <c r="C213" i="14"/>
  <c r="B213" i="14"/>
  <c r="E212" i="14"/>
  <c r="D212" i="14"/>
  <c r="C212" i="14"/>
  <c r="B212" i="14"/>
  <c r="E211" i="14"/>
  <c r="D211" i="14"/>
  <c r="C211" i="14"/>
  <c r="B211" i="14"/>
  <c r="E210" i="14"/>
  <c r="D210" i="14"/>
  <c r="C210" i="14"/>
  <c r="B210" i="14"/>
  <c r="E209" i="14"/>
  <c r="D209" i="14"/>
  <c r="C209" i="14"/>
  <c r="B209" i="14"/>
  <c r="E208" i="14"/>
  <c r="D208" i="14"/>
  <c r="C208" i="14"/>
  <c r="B208" i="14"/>
  <c r="E207" i="14"/>
  <c r="D207" i="14"/>
  <c r="C207" i="14"/>
  <c r="B207" i="14"/>
  <c r="E206" i="14"/>
  <c r="D206" i="14"/>
  <c r="C206" i="14"/>
  <c r="B206" i="14"/>
  <c r="E205" i="14"/>
  <c r="D205" i="14"/>
  <c r="C205" i="14"/>
  <c r="B205" i="14"/>
  <c r="E204" i="14"/>
  <c r="D204" i="14"/>
  <c r="C204" i="14"/>
  <c r="B204" i="14"/>
  <c r="E203" i="14"/>
  <c r="D203" i="14"/>
  <c r="C203" i="14"/>
  <c r="B203" i="14"/>
  <c r="E201" i="14"/>
  <c r="D201" i="14"/>
  <c r="C201" i="14"/>
  <c r="B201" i="14"/>
  <c r="E200" i="14"/>
  <c r="D200" i="14"/>
  <c r="C200" i="14"/>
  <c r="B200" i="14"/>
  <c r="E199" i="14"/>
  <c r="D199" i="14"/>
  <c r="C199" i="14"/>
  <c r="B199" i="14"/>
  <c r="E198" i="14"/>
  <c r="D198" i="14"/>
  <c r="C198" i="14"/>
  <c r="B198" i="14"/>
  <c r="E197" i="14"/>
  <c r="D197" i="14"/>
  <c r="C197" i="14"/>
  <c r="B197" i="14"/>
  <c r="E196" i="14"/>
  <c r="D196" i="14"/>
  <c r="C196" i="14"/>
  <c r="B196" i="14"/>
  <c r="E195" i="14"/>
  <c r="D195" i="14"/>
  <c r="C195" i="14"/>
  <c r="B195" i="14"/>
  <c r="E194" i="14"/>
  <c r="D194" i="14"/>
  <c r="C194" i="14"/>
  <c r="B194" i="14"/>
  <c r="E193" i="14"/>
  <c r="D193" i="14"/>
  <c r="C193" i="14"/>
  <c r="B193" i="14"/>
  <c r="E192" i="14"/>
  <c r="D192" i="14"/>
  <c r="C192" i="14"/>
  <c r="B192" i="14"/>
  <c r="E191" i="14"/>
  <c r="D191" i="14"/>
  <c r="C191" i="14"/>
  <c r="B191" i="14"/>
  <c r="E190" i="14"/>
  <c r="D190" i="14"/>
  <c r="C190" i="14"/>
  <c r="B190" i="14"/>
  <c r="E189" i="14"/>
  <c r="D189" i="14"/>
  <c r="C189" i="14"/>
  <c r="B189" i="14"/>
  <c r="E188" i="14"/>
  <c r="D188" i="14"/>
  <c r="C188" i="14"/>
  <c r="B188" i="14"/>
  <c r="E187" i="14"/>
  <c r="D187" i="14"/>
  <c r="C187" i="14"/>
  <c r="B187" i="14"/>
  <c r="E186" i="14"/>
  <c r="D186" i="14"/>
  <c r="C186" i="14"/>
  <c r="B186" i="14"/>
  <c r="E185" i="14"/>
  <c r="D185" i="14"/>
  <c r="C185" i="14"/>
  <c r="B185" i="14"/>
  <c r="E184" i="14"/>
  <c r="D184" i="14"/>
  <c r="C184" i="14"/>
  <c r="B184" i="14"/>
  <c r="E183" i="14"/>
  <c r="D183" i="14"/>
  <c r="C183" i="14"/>
  <c r="B183" i="14"/>
  <c r="E182" i="14"/>
  <c r="D182" i="14"/>
  <c r="C182" i="14"/>
  <c r="B182" i="14"/>
  <c r="E180" i="14"/>
  <c r="D180" i="14"/>
  <c r="C180" i="14"/>
  <c r="B180" i="14"/>
  <c r="E179" i="14"/>
  <c r="D179" i="14"/>
  <c r="C179" i="14"/>
  <c r="B179" i="14"/>
  <c r="E178" i="14"/>
  <c r="D178" i="14"/>
  <c r="C178" i="14"/>
  <c r="B178" i="14"/>
  <c r="E177" i="14"/>
  <c r="D177" i="14"/>
  <c r="C177" i="14"/>
  <c r="B177" i="14"/>
  <c r="E176" i="14"/>
  <c r="D176" i="14"/>
  <c r="C176" i="14"/>
  <c r="B176" i="14"/>
  <c r="E175" i="14"/>
  <c r="D175" i="14"/>
  <c r="C175" i="14"/>
  <c r="B175" i="14"/>
  <c r="E174" i="14"/>
  <c r="D174" i="14"/>
  <c r="C174" i="14"/>
  <c r="B174" i="14"/>
  <c r="E173" i="14"/>
  <c r="D173" i="14"/>
  <c r="C173" i="14"/>
  <c r="B173" i="14"/>
  <c r="E172" i="14"/>
  <c r="D172" i="14"/>
  <c r="C172" i="14"/>
  <c r="B172" i="14"/>
  <c r="E171" i="14"/>
  <c r="D171" i="14"/>
  <c r="C171" i="14"/>
  <c r="B171" i="14"/>
  <c r="E170" i="14"/>
  <c r="D170" i="14"/>
  <c r="C170" i="14"/>
  <c r="B170" i="14"/>
  <c r="E169" i="14"/>
  <c r="D169" i="14"/>
  <c r="C169" i="14"/>
  <c r="B169" i="14"/>
  <c r="E168" i="14"/>
  <c r="D168" i="14"/>
  <c r="C168" i="14"/>
  <c r="B168" i="14"/>
  <c r="E167" i="14"/>
  <c r="D167" i="14"/>
  <c r="C167" i="14"/>
  <c r="B167" i="14"/>
  <c r="E166" i="14"/>
  <c r="D166" i="14"/>
  <c r="C166" i="14"/>
  <c r="B166" i="14"/>
  <c r="E165" i="14"/>
  <c r="D165" i="14"/>
  <c r="C165" i="14"/>
  <c r="B165" i="14"/>
  <c r="E164" i="14"/>
  <c r="D164" i="14"/>
  <c r="C164" i="14"/>
  <c r="B164" i="14"/>
  <c r="E163" i="14"/>
  <c r="D163" i="14"/>
  <c r="C163" i="14"/>
  <c r="B163" i="14"/>
  <c r="E162" i="14"/>
  <c r="D162" i="14"/>
  <c r="C162" i="14"/>
  <c r="B162" i="14"/>
  <c r="E161" i="14"/>
  <c r="D161" i="14"/>
  <c r="C161" i="14"/>
  <c r="B161" i="14"/>
  <c r="E160" i="14"/>
  <c r="D160" i="14"/>
  <c r="C160" i="14"/>
  <c r="B160" i="14"/>
  <c r="E159" i="14"/>
  <c r="D159" i="14"/>
  <c r="C159" i="14"/>
  <c r="B159" i="14"/>
  <c r="E158" i="14"/>
  <c r="D158" i="14"/>
  <c r="C158" i="14"/>
  <c r="B158" i="14"/>
  <c r="E157" i="14"/>
  <c r="D157" i="14"/>
  <c r="C157" i="14"/>
  <c r="B157" i="14"/>
  <c r="E156" i="14"/>
  <c r="D156" i="14"/>
  <c r="C156" i="14"/>
  <c r="B156" i="14"/>
  <c r="E155" i="14"/>
  <c r="D155" i="14"/>
  <c r="C155" i="14"/>
  <c r="B155" i="14"/>
  <c r="E154" i="14"/>
  <c r="D154" i="14"/>
  <c r="C154" i="14"/>
  <c r="B154" i="14"/>
  <c r="E153" i="14"/>
  <c r="D153" i="14"/>
  <c r="C153" i="14"/>
  <c r="B153" i="14"/>
  <c r="E152" i="14"/>
  <c r="D152" i="14"/>
  <c r="C152" i="14"/>
  <c r="B152" i="14"/>
  <c r="D151" i="14"/>
  <c r="C151" i="14"/>
  <c r="B151" i="14"/>
  <c r="E135" i="14"/>
  <c r="E134" i="14"/>
  <c r="E133" i="14"/>
  <c r="E132" i="14"/>
  <c r="E131" i="14"/>
  <c r="E130" i="14"/>
  <c r="E129" i="14"/>
  <c r="E128" i="14"/>
  <c r="E127" i="14"/>
  <c r="E126" i="14"/>
  <c r="E125" i="14"/>
  <c r="E124" i="14"/>
  <c r="E123" i="14"/>
  <c r="E122" i="14"/>
  <c r="E121" i="14"/>
  <c r="E120" i="14"/>
  <c r="E119" i="14"/>
  <c r="E118" i="14"/>
  <c r="E117" i="14"/>
  <c r="E116" i="14"/>
  <c r="E114" i="14"/>
  <c r="E113" i="14"/>
  <c r="E112" i="14"/>
  <c r="E111" i="14"/>
  <c r="E110" i="14"/>
  <c r="E109" i="14"/>
  <c r="E108" i="14"/>
  <c r="E107" i="14"/>
  <c r="E106" i="14"/>
  <c r="E105" i="14"/>
  <c r="E104" i="14"/>
  <c r="E103" i="14"/>
  <c r="E102" i="14"/>
  <c r="E101" i="14"/>
  <c r="E100" i="14"/>
  <c r="E99" i="14"/>
  <c r="E98" i="14"/>
  <c r="E97" i="14"/>
  <c r="E96" i="14"/>
  <c r="E95" i="14"/>
  <c r="E93" i="14"/>
  <c r="E92" i="14"/>
  <c r="E91" i="14"/>
  <c r="E90" i="14"/>
  <c r="E89" i="14"/>
  <c r="E88" i="14"/>
  <c r="E87" i="14"/>
  <c r="E86" i="14"/>
  <c r="E85" i="14"/>
  <c r="E84" i="14"/>
  <c r="E83" i="14"/>
  <c r="E82" i="14"/>
  <c r="E81" i="14"/>
  <c r="E80" i="14"/>
  <c r="E79" i="14"/>
  <c r="E78" i="14"/>
  <c r="E77" i="14"/>
  <c r="E76" i="14"/>
  <c r="E75" i="14"/>
  <c r="E74" i="14"/>
  <c r="E72" i="14"/>
  <c r="E71" i="14"/>
  <c r="E70" i="14"/>
  <c r="E69" i="14"/>
  <c r="E68" i="14"/>
  <c r="E67" i="14"/>
  <c r="E66" i="14"/>
  <c r="E65" i="14"/>
  <c r="E64" i="14"/>
  <c r="E63" i="14"/>
  <c r="E62" i="14"/>
  <c r="E61" i="14"/>
  <c r="E60" i="14"/>
  <c r="E59" i="14"/>
  <c r="E58" i="14"/>
  <c r="E57" i="14"/>
  <c r="E56" i="14"/>
  <c r="E55" i="14"/>
  <c r="E54" i="14"/>
  <c r="E53"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D135" i="14"/>
  <c r="D134" i="14"/>
  <c r="D133" i="14"/>
  <c r="D132" i="14"/>
  <c r="D131" i="14"/>
  <c r="D130" i="14"/>
  <c r="D129" i="14"/>
  <c r="D128" i="14"/>
  <c r="D127" i="14"/>
  <c r="D126" i="14"/>
  <c r="D125" i="14"/>
  <c r="D124" i="14"/>
  <c r="D123" i="14"/>
  <c r="D122" i="14"/>
  <c r="D121" i="14"/>
  <c r="D120" i="14"/>
  <c r="D119" i="14"/>
  <c r="D118" i="14"/>
  <c r="D117" i="14"/>
  <c r="D116" i="14"/>
  <c r="D114" i="14"/>
  <c r="D113" i="14"/>
  <c r="D112" i="14"/>
  <c r="D111" i="14"/>
  <c r="D110" i="14"/>
  <c r="D109" i="14"/>
  <c r="D108" i="14"/>
  <c r="D107" i="14"/>
  <c r="D106" i="14"/>
  <c r="D105" i="14"/>
  <c r="D104" i="14"/>
  <c r="D103" i="14"/>
  <c r="D102" i="14"/>
  <c r="D101" i="14"/>
  <c r="D100" i="14"/>
  <c r="D99" i="14"/>
  <c r="D98" i="14"/>
  <c r="D97" i="14"/>
  <c r="D96" i="14"/>
  <c r="D95" i="14"/>
  <c r="D93" i="14"/>
  <c r="D92" i="14"/>
  <c r="D91" i="14"/>
  <c r="D90" i="14"/>
  <c r="D89" i="14"/>
  <c r="D88" i="14"/>
  <c r="D87" i="14"/>
  <c r="D86" i="14"/>
  <c r="D85" i="14"/>
  <c r="D84" i="14"/>
  <c r="D83" i="14"/>
  <c r="D82" i="14"/>
  <c r="D81" i="14"/>
  <c r="D80" i="14"/>
  <c r="D79" i="14"/>
  <c r="D78" i="14"/>
  <c r="D77" i="14"/>
  <c r="D76" i="14"/>
  <c r="D75" i="14"/>
  <c r="D74" i="14"/>
  <c r="D72" i="14"/>
  <c r="D71" i="14"/>
  <c r="D70" i="14"/>
  <c r="D69" i="14"/>
  <c r="D68" i="14"/>
  <c r="D67" i="14"/>
  <c r="D66" i="14"/>
  <c r="D65" i="14"/>
  <c r="D64" i="14"/>
  <c r="D63" i="14"/>
  <c r="D62" i="14"/>
  <c r="D61" i="14"/>
  <c r="D60" i="14"/>
  <c r="D59" i="14"/>
  <c r="D58" i="14"/>
  <c r="D57" i="14"/>
  <c r="D56" i="14"/>
  <c r="D55" i="14"/>
  <c r="D54" i="14"/>
  <c r="D53"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C135" i="14"/>
  <c r="C134" i="14"/>
  <c r="C133" i="14"/>
  <c r="C132" i="14"/>
  <c r="C131" i="14"/>
  <c r="C130" i="14"/>
  <c r="C129" i="14"/>
  <c r="C128" i="14"/>
  <c r="C127" i="14"/>
  <c r="C126" i="14"/>
  <c r="C125" i="14"/>
  <c r="C124" i="14"/>
  <c r="C123" i="14"/>
  <c r="C122" i="14"/>
  <c r="C121" i="14"/>
  <c r="C120" i="14"/>
  <c r="C119" i="14"/>
  <c r="C118" i="14"/>
  <c r="C117" i="14"/>
  <c r="C116" i="14"/>
  <c r="C114" i="14"/>
  <c r="C113" i="14"/>
  <c r="C112" i="14"/>
  <c r="C111" i="14"/>
  <c r="C110" i="14"/>
  <c r="C109" i="14"/>
  <c r="C108" i="14"/>
  <c r="C107" i="14"/>
  <c r="C106" i="14"/>
  <c r="C105" i="14"/>
  <c r="C104" i="14"/>
  <c r="C103" i="14"/>
  <c r="C102" i="14"/>
  <c r="C101" i="14"/>
  <c r="C100" i="14"/>
  <c r="C99" i="14"/>
  <c r="C98" i="14"/>
  <c r="C97" i="14"/>
  <c r="C96" i="14"/>
  <c r="C95" i="14"/>
  <c r="C93" i="14"/>
  <c r="C92" i="14"/>
  <c r="C91" i="14"/>
  <c r="C90" i="14"/>
  <c r="C89" i="14"/>
  <c r="C88" i="14"/>
  <c r="C87" i="14"/>
  <c r="C86" i="14"/>
  <c r="C85" i="14"/>
  <c r="C84" i="14"/>
  <c r="C83" i="14"/>
  <c r="C82" i="14"/>
  <c r="C81" i="14"/>
  <c r="C80" i="14"/>
  <c r="C79" i="14"/>
  <c r="C78" i="14"/>
  <c r="C77" i="14"/>
  <c r="C76" i="14"/>
  <c r="C75" i="14"/>
  <c r="C74" i="14"/>
  <c r="C72" i="14"/>
  <c r="C71" i="14"/>
  <c r="C70" i="14"/>
  <c r="C69" i="14"/>
  <c r="C68" i="14"/>
  <c r="C67" i="14"/>
  <c r="C66" i="14"/>
  <c r="C65" i="14"/>
  <c r="C64" i="14"/>
  <c r="C63" i="14"/>
  <c r="C62" i="14"/>
  <c r="C61" i="14"/>
  <c r="C60" i="14"/>
  <c r="C59" i="14"/>
  <c r="C58" i="14"/>
  <c r="C57" i="14"/>
  <c r="C56" i="14"/>
  <c r="C55" i="14"/>
  <c r="C54" i="14"/>
  <c r="C53"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B135" i="14"/>
  <c r="B134" i="14"/>
  <c r="B133" i="14"/>
  <c r="B132" i="14"/>
  <c r="B131" i="14"/>
  <c r="B130" i="14"/>
  <c r="B129" i="14"/>
  <c r="B128" i="14"/>
  <c r="B127" i="14"/>
  <c r="B126" i="14"/>
  <c r="B125" i="14"/>
  <c r="B124" i="14"/>
  <c r="B123" i="14"/>
  <c r="B122" i="14"/>
  <c r="B121" i="14"/>
  <c r="B120" i="14"/>
  <c r="B119" i="14"/>
  <c r="B118" i="14"/>
  <c r="B117" i="14"/>
  <c r="B116" i="14"/>
  <c r="B114" i="14"/>
  <c r="B113" i="14"/>
  <c r="B112" i="14"/>
  <c r="B111" i="14"/>
  <c r="B110" i="14"/>
  <c r="B109" i="14"/>
  <c r="B108" i="14"/>
  <c r="B107" i="14"/>
  <c r="B106" i="14"/>
  <c r="B105" i="14"/>
  <c r="B104" i="14"/>
  <c r="B103" i="14"/>
  <c r="B102" i="14"/>
  <c r="B101" i="14"/>
  <c r="B100" i="14"/>
  <c r="B99" i="14"/>
  <c r="B98" i="14"/>
  <c r="B97" i="14"/>
  <c r="B96" i="14"/>
  <c r="B95" i="14"/>
  <c r="B93" i="14"/>
  <c r="B92" i="14"/>
  <c r="B91" i="14"/>
  <c r="B90" i="14"/>
  <c r="B89" i="14"/>
  <c r="B88" i="14"/>
  <c r="B87" i="14"/>
  <c r="B86" i="14"/>
  <c r="B85" i="14"/>
  <c r="B84" i="14"/>
  <c r="B83" i="14"/>
  <c r="B82" i="14"/>
  <c r="B81" i="14"/>
  <c r="B80" i="14"/>
  <c r="B79" i="14"/>
  <c r="B78" i="14"/>
  <c r="B77" i="14"/>
  <c r="B76" i="14"/>
  <c r="B75" i="14"/>
  <c r="B74" i="14"/>
  <c r="B72" i="14"/>
  <c r="B71" i="14"/>
  <c r="B70" i="14"/>
  <c r="B69" i="14"/>
  <c r="B68" i="14"/>
  <c r="B67" i="14"/>
  <c r="B66" i="14"/>
  <c r="B65" i="14"/>
  <c r="B64" i="14"/>
  <c r="B63" i="14"/>
  <c r="B62" i="14"/>
  <c r="B61" i="14"/>
  <c r="B60" i="14"/>
  <c r="B59" i="14"/>
  <c r="B58" i="14"/>
  <c r="B57" i="14"/>
  <c r="B56" i="14"/>
  <c r="B55" i="14"/>
  <c r="B54" i="14"/>
  <c r="B53"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G385" i="14"/>
  <c r="F385" i="14"/>
  <c r="E151" i="14"/>
  <c r="E385" i="14"/>
  <c r="E275" i="14"/>
  <c r="C415" i="14"/>
  <c r="E398" i="14"/>
  <c r="D398" i="14"/>
  <c r="B398" i="14"/>
  <c r="C398" i="14"/>
  <c r="E406" i="14"/>
  <c r="D406" i="14"/>
  <c r="C406" i="14"/>
  <c r="B406" i="14"/>
  <c r="E6" i="14"/>
  <c r="F5" i="9" s="1"/>
  <c r="F115" i="14" l="1"/>
  <c r="F115" i="11" s="1"/>
  <c r="F94" i="14"/>
  <c r="F94" i="11" s="1"/>
  <c r="F95" i="14"/>
  <c r="F52" i="14"/>
  <c r="F66" i="14"/>
  <c r="F73" i="14"/>
  <c r="G244" i="14"/>
  <c r="G223" i="14"/>
  <c r="G202" i="14"/>
  <c r="G181" i="14"/>
  <c r="F135" i="14"/>
  <c r="F23" i="14"/>
  <c r="F24" i="14"/>
  <c r="F82" i="14"/>
  <c r="F111" i="14"/>
  <c r="F26" i="14"/>
  <c r="F84" i="14"/>
  <c r="F27" i="14"/>
  <c r="F85" i="14"/>
  <c r="F25" i="14"/>
  <c r="F28" i="14"/>
  <c r="F30" i="14"/>
  <c r="F86" i="14"/>
  <c r="F31" i="14"/>
  <c r="F22" i="14"/>
  <c r="F29" i="14"/>
  <c r="F61" i="14"/>
  <c r="F120" i="14"/>
  <c r="F97" i="14"/>
  <c r="F69" i="14"/>
  <c r="F99" i="14"/>
  <c r="F59" i="14"/>
  <c r="F109" i="14"/>
  <c r="F98" i="14"/>
  <c r="F114" i="14"/>
  <c r="F72" i="14"/>
  <c r="F91" i="14"/>
  <c r="F71" i="14"/>
  <c r="F60" i="14"/>
  <c r="F110" i="14"/>
  <c r="F79" i="14"/>
  <c r="F54" i="14"/>
  <c r="F104" i="14"/>
  <c r="F122" i="14"/>
  <c r="F123" i="14"/>
  <c r="F57" i="14"/>
  <c r="F74" i="14"/>
  <c r="F107" i="14"/>
  <c r="F124" i="14"/>
  <c r="F134" i="14"/>
  <c r="F129" i="14"/>
  <c r="F132" i="14"/>
  <c r="F132" i="11" s="1"/>
  <c r="F117" i="14"/>
  <c r="F47" i="14"/>
  <c r="F34" i="14"/>
  <c r="F35" i="14"/>
  <c r="F36" i="14"/>
  <c r="F46" i="14"/>
  <c r="F48" i="14"/>
  <c r="F49" i="14"/>
  <c r="F75" i="14"/>
  <c r="F87" i="14"/>
  <c r="F100" i="14"/>
  <c r="F112" i="14"/>
  <c r="F125" i="14"/>
  <c r="F37" i="14"/>
  <c r="F62" i="14"/>
  <c r="F38" i="14"/>
  <c r="F63" i="14"/>
  <c r="F76" i="14"/>
  <c r="F88" i="14"/>
  <c r="F101" i="14"/>
  <c r="F113" i="14"/>
  <c r="F126" i="14"/>
  <c r="F77" i="14"/>
  <c r="F39" i="14"/>
  <c r="F89" i="14"/>
  <c r="F53" i="14"/>
  <c r="F65" i="14"/>
  <c r="F78" i="14"/>
  <c r="F90" i="14"/>
  <c r="F103" i="14"/>
  <c r="F116" i="14"/>
  <c r="F128" i="14"/>
  <c r="F51" i="14"/>
  <c r="F127" i="14"/>
  <c r="F64" i="14"/>
  <c r="F102" i="14"/>
  <c r="F55" i="14"/>
  <c r="F67" i="14"/>
  <c r="F80" i="14"/>
  <c r="F92" i="14"/>
  <c r="F105" i="14"/>
  <c r="F118" i="14"/>
  <c r="F130" i="14"/>
  <c r="F50" i="14"/>
  <c r="F40" i="14"/>
  <c r="G299" i="14"/>
  <c r="G280" i="14"/>
  <c r="G304" i="14"/>
  <c r="G301" i="14"/>
  <c r="G289" i="14"/>
  <c r="G296" i="14"/>
  <c r="G284" i="14"/>
  <c r="G291" i="14"/>
  <c r="G279" i="14"/>
  <c r="G287" i="14"/>
  <c r="G298" i="14"/>
  <c r="G286" i="14"/>
  <c r="G293" i="14"/>
  <c r="G281" i="14"/>
  <c r="G300" i="14"/>
  <c r="G288" i="14"/>
  <c r="G295" i="14"/>
  <c r="G283" i="14"/>
  <c r="G303" i="14"/>
  <c r="G302" i="14"/>
  <c r="G290" i="14"/>
  <c r="G282" i="14"/>
  <c r="G297" i="14"/>
  <c r="G285" i="14"/>
  <c r="G294" i="14"/>
  <c r="G292" i="14"/>
  <c r="F275" i="14" a="1"/>
  <c r="F275" i="14" s="1"/>
  <c r="F56" i="14"/>
  <c r="F68" i="14"/>
  <c r="F81" i="14"/>
  <c r="F93" i="14"/>
  <c r="F106" i="14"/>
  <c r="F119" i="14"/>
  <c r="F131" i="14"/>
  <c r="F33" i="14"/>
  <c r="F45" i="14"/>
  <c r="F58" i="14"/>
  <c r="F70" i="14"/>
  <c r="F83" i="14"/>
  <c r="F96" i="14"/>
  <c r="F108" i="14"/>
  <c r="F121" i="14"/>
  <c r="F133" i="14"/>
  <c r="F41" i="14"/>
  <c r="F42" i="14"/>
  <c r="F43" i="14"/>
  <c r="F32" i="14"/>
  <c r="F44" i="14"/>
  <c r="E19" i="11"/>
  <c r="B387" i="14"/>
  <c r="B386" i="14"/>
  <c r="B267" i="14"/>
  <c r="B266" i="14"/>
  <c r="D148" i="14"/>
  <c r="B417" i="14"/>
  <c r="F52" i="11" l="1"/>
  <c r="F73" i="11"/>
  <c r="F138" i="14"/>
  <c r="G278" i="14"/>
  <c r="G276" i="14"/>
  <c r="G277" i="14"/>
  <c r="F151" i="14" a="1"/>
  <c r="F151" i="14" s="1"/>
  <c r="G151" i="14" s="1"/>
  <c r="D266" i="14"/>
  <c r="D265" i="11" s="1"/>
  <c r="D386" i="14"/>
  <c r="D385" i="11" s="1"/>
  <c r="G380" i="14"/>
  <c r="G224" i="14"/>
  <c r="G211" i="14"/>
  <c r="G260" i="14"/>
  <c r="G198" i="14"/>
  <c r="G236" i="14"/>
  <c r="G249" i="14"/>
  <c r="G261" i="14"/>
  <c r="G161" i="14"/>
  <c r="G173" i="14"/>
  <c r="G186" i="14"/>
  <c r="G162" i="14"/>
  <c r="G174" i="14"/>
  <c r="G187" i="14"/>
  <c r="G199" i="14"/>
  <c r="G212" i="14"/>
  <c r="G225" i="14"/>
  <c r="G237" i="14"/>
  <c r="G250" i="14"/>
  <c r="G262" i="14"/>
  <c r="G200" i="14"/>
  <c r="G164" i="14"/>
  <c r="G176" i="14"/>
  <c r="G189" i="14"/>
  <c r="G201" i="14"/>
  <c r="G214" i="14"/>
  <c r="G227" i="14"/>
  <c r="G239" i="14"/>
  <c r="G252" i="14"/>
  <c r="G264" i="14"/>
  <c r="G213" i="14"/>
  <c r="G263" i="14"/>
  <c r="G165" i="14"/>
  <c r="G177" i="14"/>
  <c r="G190" i="14"/>
  <c r="G203" i="14"/>
  <c r="G215" i="14"/>
  <c r="G228" i="14"/>
  <c r="G240" i="14"/>
  <c r="G253" i="14"/>
  <c r="G166" i="14"/>
  <c r="G178" i="14"/>
  <c r="G191" i="14"/>
  <c r="G204" i="14"/>
  <c r="G216" i="14"/>
  <c r="G229" i="14"/>
  <c r="G241" i="14"/>
  <c r="G254" i="14"/>
  <c r="G238" i="14"/>
  <c r="G167" i="14"/>
  <c r="G179" i="14"/>
  <c r="G192" i="14"/>
  <c r="G205" i="14"/>
  <c r="G217" i="14"/>
  <c r="G230" i="14"/>
  <c r="G242" i="14"/>
  <c r="G255" i="14"/>
  <c r="G226" i="14"/>
  <c r="G168" i="14"/>
  <c r="G180" i="14"/>
  <c r="G193" i="14"/>
  <c r="G206" i="14"/>
  <c r="G218" i="14"/>
  <c r="G231" i="14"/>
  <c r="G243" i="14"/>
  <c r="G256" i="14"/>
  <c r="G163" i="14"/>
  <c r="G251" i="14"/>
  <c r="G169" i="14"/>
  <c r="G182" i="14"/>
  <c r="G194" i="14"/>
  <c r="G207" i="14"/>
  <c r="G219" i="14"/>
  <c r="G232" i="14"/>
  <c r="G245" i="14"/>
  <c r="G257" i="14"/>
  <c r="G188" i="14"/>
  <c r="G158" i="14"/>
  <c r="G170" i="14"/>
  <c r="G183" i="14"/>
  <c r="G195" i="14"/>
  <c r="G208" i="14"/>
  <c r="G220" i="14"/>
  <c r="G233" i="14"/>
  <c r="G246" i="14"/>
  <c r="G258" i="14"/>
  <c r="G175" i="14"/>
  <c r="G159" i="14"/>
  <c r="G171" i="14"/>
  <c r="G184" i="14"/>
  <c r="G196" i="14"/>
  <c r="G209" i="14"/>
  <c r="G221" i="14"/>
  <c r="G234" i="14"/>
  <c r="G247" i="14"/>
  <c r="G259" i="14"/>
  <c r="G160" i="14"/>
  <c r="G172" i="14"/>
  <c r="G185" i="14"/>
  <c r="G197" i="14"/>
  <c r="G210" i="14"/>
  <c r="G222" i="14"/>
  <c r="G235" i="14"/>
  <c r="G248" i="14"/>
  <c r="G325" i="14"/>
  <c r="G354" i="14"/>
  <c r="G349" i="14"/>
  <c r="G331" i="14"/>
  <c r="G321" i="14"/>
  <c r="G306" i="14"/>
  <c r="G318" i="14"/>
  <c r="G329" i="14"/>
  <c r="G341" i="14"/>
  <c r="G352" i="14"/>
  <c r="G364" i="14"/>
  <c r="G375" i="14"/>
  <c r="G343" i="14"/>
  <c r="G377" i="14"/>
  <c r="G314" i="14"/>
  <c r="G344" i="14"/>
  <c r="G313" i="14"/>
  <c r="G336" i="14"/>
  <c r="G347" i="14"/>
  <c r="G359" i="14"/>
  <c r="G370" i="14"/>
  <c r="G382" i="14"/>
  <c r="G365" i="14"/>
  <c r="G326" i="14"/>
  <c r="G361" i="14"/>
  <c r="G372" i="14"/>
  <c r="G322" i="14"/>
  <c r="G356" i="14"/>
  <c r="G379" i="14"/>
  <c r="G305" i="14"/>
  <c r="G317" i="14"/>
  <c r="G328" i="14"/>
  <c r="G340" i="14"/>
  <c r="G351" i="14"/>
  <c r="G363" i="14"/>
  <c r="G374" i="14"/>
  <c r="G338" i="14"/>
  <c r="G367" i="14"/>
  <c r="G312" i="14"/>
  <c r="G324" i="14"/>
  <c r="G335" i="14"/>
  <c r="G346" i="14"/>
  <c r="G358" i="14"/>
  <c r="G369" i="14"/>
  <c r="G381" i="14"/>
  <c r="G308" i="14"/>
  <c r="G315" i="14"/>
  <c r="G384" i="14"/>
  <c r="G310" i="14"/>
  <c r="G333" i="14"/>
  <c r="G307" i="14"/>
  <c r="G319" i="14"/>
  <c r="G330" i="14"/>
  <c r="G342" i="14"/>
  <c r="G353" i="14"/>
  <c r="G376" i="14"/>
  <c r="G337" i="14"/>
  <c r="G348" i="14"/>
  <c r="G360" i="14"/>
  <c r="G371" i="14"/>
  <c r="G383" i="14"/>
  <c r="G378" i="14"/>
  <c r="G320" i="14"/>
  <c r="G366" i="14"/>
  <c r="G316" i="14"/>
  <c r="G327" i="14"/>
  <c r="G339" i="14"/>
  <c r="G350" i="14"/>
  <c r="G362" i="14"/>
  <c r="G373" i="14"/>
  <c r="G309" i="14"/>
  <c r="G332" i="14"/>
  <c r="G355" i="14"/>
  <c r="G311" i="14"/>
  <c r="G323" i="14"/>
  <c r="G334" i="14"/>
  <c r="G345" i="14"/>
  <c r="G357" i="14"/>
  <c r="G368" i="14"/>
  <c r="G157" i="14" l="1"/>
  <c r="G275" i="14"/>
  <c r="G156" i="14"/>
  <c r="G155" i="14"/>
  <c r="G154" i="14"/>
  <c r="G153" i="14"/>
  <c r="G152" i="14"/>
  <c r="G387" i="14" l="1"/>
  <c r="G267" i="14"/>
  <c r="D266" i="11" l="1"/>
  <c r="E268" i="14"/>
  <c r="E267" i="11" s="1"/>
  <c r="D386" i="11"/>
  <c r="E388" i="14"/>
  <c r="E387" i="11" s="1"/>
  <c r="F30" i="11"/>
  <c r="B137" i="14"/>
  <c r="B399" i="14" l="1"/>
  <c r="C399" i="14"/>
  <c r="D399" i="14"/>
  <c r="E399" i="14"/>
  <c r="B408" i="14"/>
  <c r="C408" i="14"/>
  <c r="D408" i="14"/>
  <c r="E408" i="14"/>
  <c r="B415" i="14"/>
  <c r="D415" i="14"/>
  <c r="E415" i="14"/>
  <c r="C417" i="14"/>
  <c r="D417" i="14"/>
  <c r="E417" i="14"/>
  <c r="F399" i="14" l="1"/>
  <c r="G399" i="14" s="1"/>
  <c r="F417" i="14"/>
  <c r="G408" i="14"/>
  <c r="H408" i="14" s="1"/>
  <c r="E415" i="11"/>
  <c r="D415" i="11"/>
  <c r="C415" i="11"/>
  <c r="B415" i="11"/>
  <c r="E406" i="11"/>
  <c r="D406" i="11"/>
  <c r="C406" i="11"/>
  <c r="B406" i="11"/>
  <c r="E397" i="11"/>
  <c r="D397" i="11"/>
  <c r="C397" i="11"/>
  <c r="B397" i="11"/>
  <c r="B138" i="11"/>
  <c r="F19" i="14"/>
  <c r="E19" i="14"/>
  <c r="F19" i="11"/>
  <c r="F83" i="11" l="1"/>
  <c r="F133" i="11"/>
  <c r="F108" i="11"/>
  <c r="F134" i="11"/>
  <c r="F110" i="11"/>
  <c r="F48" i="11"/>
  <c r="F114" i="11"/>
  <c r="F33" i="11"/>
  <c r="F54" i="11"/>
  <c r="F53" i="11"/>
  <c r="F77" i="11"/>
  <c r="F88" i="11"/>
  <c r="F84" i="11"/>
  <c r="F118" i="11"/>
  <c r="F103" i="11"/>
  <c r="F112" i="11"/>
  <c r="F85" i="11"/>
  <c r="F95" i="11"/>
  <c r="F32" i="11"/>
  <c r="F57" i="11"/>
  <c r="F78" i="11"/>
  <c r="F41" i="11"/>
  <c r="F76" i="11"/>
  <c r="F101" i="11"/>
  <c r="F75" i="11"/>
  <c r="F39" i="11"/>
  <c r="F120" i="11"/>
  <c r="F43" i="11"/>
  <c r="F82" i="11"/>
  <c r="F56" i="11"/>
  <c r="F81" i="11"/>
  <c r="F80" i="11"/>
  <c r="F117" i="11"/>
  <c r="F116" i="11"/>
  <c r="F79" i="11"/>
  <c r="F102" i="11"/>
  <c r="F40" i="11"/>
  <c r="F100" i="11"/>
  <c r="F74" i="11"/>
  <c r="F38" i="11"/>
  <c r="F99" i="11"/>
  <c r="F37" i="11"/>
  <c r="F130" i="11"/>
  <c r="F46" i="11"/>
  <c r="F58" i="11"/>
  <c r="F104" i="11"/>
  <c r="F126" i="11"/>
  <c r="F44" i="11"/>
  <c r="F42" i="11"/>
  <c r="F62" i="11"/>
  <c r="F36" i="11"/>
  <c r="F97" i="11"/>
  <c r="F61" i="11"/>
  <c r="F35" i="11"/>
  <c r="F70" i="11"/>
  <c r="F68" i="11"/>
  <c r="F59" i="11"/>
  <c r="F55" i="11"/>
  <c r="F98" i="11"/>
  <c r="F96" i="11"/>
  <c r="F60" i="11"/>
  <c r="F34" i="11"/>
  <c r="F122" i="11"/>
  <c r="F22" i="11"/>
  <c r="F121" i="11"/>
  <c r="F90" i="11"/>
  <c r="F49" i="11"/>
  <c r="F124" i="11"/>
  <c r="F119" i="11"/>
  <c r="F89" i="11"/>
  <c r="F47" i="11"/>
  <c r="F129" i="11"/>
  <c r="F50" i="11"/>
  <c r="F87" i="11"/>
  <c r="F106" i="11"/>
  <c r="F123" i="11"/>
  <c r="F92" i="11"/>
  <c r="F71" i="11"/>
  <c r="F135" i="11"/>
  <c r="F128" i="11"/>
  <c r="F113" i="11"/>
  <c r="F72" i="11"/>
  <c r="F109" i="11"/>
  <c r="F65" i="11"/>
  <c r="F51" i="11"/>
  <c r="F111" i="11"/>
  <c r="F67" i="11"/>
  <c r="F107" i="11"/>
  <c r="F69" i="11"/>
  <c r="F131" i="11"/>
  <c r="F66" i="11"/>
  <c r="F127" i="11"/>
  <c r="F105" i="11"/>
  <c r="F64" i="11"/>
  <c r="F63" i="11"/>
  <c r="F91" i="11"/>
  <c r="F125" i="11"/>
  <c r="F93" i="11"/>
  <c r="F86" i="11"/>
  <c r="F45" i="11"/>
  <c r="F29" i="11"/>
  <c r="F28" i="11"/>
  <c r="F23" i="11"/>
  <c r="F31" i="11"/>
  <c r="F27" i="11"/>
  <c r="F26" i="11"/>
  <c r="F25" i="11"/>
  <c r="F24" i="11"/>
  <c r="F138" i="11" l="1"/>
  <c r="F137" i="14"/>
  <c r="F139" i="14" s="1"/>
  <c r="B83" i="12" l="1"/>
  <c r="B82" i="12"/>
  <c r="B81" i="12"/>
  <c r="B80" i="12"/>
  <c r="B78" i="12"/>
  <c r="B137" i="11"/>
  <c r="F408" i="11"/>
  <c r="E8" i="14"/>
  <c r="E80" i="12"/>
  <c r="E81" i="12"/>
  <c r="D81" i="12"/>
  <c r="D80" i="12"/>
  <c r="F80" i="12"/>
  <c r="F81" i="12"/>
  <c r="E12" i="14"/>
  <c r="E10" i="14"/>
  <c r="G43" i="9" l="1"/>
  <c r="G23" i="9" l="1"/>
  <c r="G31" i="9"/>
  <c r="F417" i="11"/>
  <c r="F140" i="14"/>
  <c r="G12" i="9" s="1"/>
  <c r="F137" i="11"/>
  <c r="F399" i="11"/>
  <c r="G40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Amy Boyce</author>
    <author>Connell, Gioia</author>
  </authors>
  <commentList>
    <comment ref="G19" authorId="0" shapeId="0" xr:uid="{0D8E4AB5-03E6-468B-B59A-533D82C8692B}">
      <text>
        <r>
          <rPr>
            <b/>
            <sz val="9"/>
            <color indexed="81"/>
            <rFont val="Tahoma"/>
            <family val="2"/>
          </rPr>
          <t xml:space="preserve">Note 
</t>
        </r>
        <r>
          <rPr>
            <sz val="9"/>
            <color indexed="81"/>
            <rFont val="Tahoma"/>
            <family val="2"/>
          </rPr>
          <t>Qualifying energy or heat recovery system must have a minimum 70% enthalpy recovery ratio or a minimum of 75% sensible heat recovery ratio and provisions to bypass or control the energy recovery system during moderate outside conditions.</t>
        </r>
      </text>
    </comment>
    <comment ref="F405" authorId="1" shapeId="0" xr:uid="{63999638-E484-4F5B-AF2C-EA2FB677A82B}">
      <text>
        <r>
          <rPr>
            <b/>
            <sz val="9"/>
            <color indexed="81"/>
            <rFont val="Tahoma"/>
            <family val="2"/>
          </rPr>
          <t>Note</t>
        </r>
        <r>
          <rPr>
            <sz val="9"/>
            <color indexed="81"/>
            <rFont val="Tahoma"/>
            <family val="2"/>
          </rPr>
          <t xml:space="preserve">
The MPF is determined by the building type and climate zone.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Amy Boyce</author>
  </authors>
  <commentList>
    <comment ref="G19" authorId="0" shapeId="0" xr:uid="{F062EC53-8A95-4470-9967-BADA19B9FCB6}">
      <text>
        <r>
          <rPr>
            <b/>
            <sz val="9"/>
            <color indexed="81"/>
            <rFont val="Tahoma"/>
            <family val="2"/>
          </rPr>
          <t xml:space="preserve">Note 
</t>
        </r>
        <r>
          <rPr>
            <sz val="9"/>
            <color indexed="81"/>
            <rFont val="Tahoma"/>
            <family val="2"/>
          </rPr>
          <t>Qualifying energy or heat recovery system must have a minimum 70% enthalpy recovery ratio or a minimum of 75% sensible heat recovery ratio and provisions to bypass or control the energy reocvery system during moderate outside conditions.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<sst xmlns="http://schemas.openxmlformats.org/spreadsheetml/2006/main" count="460" uniqueCount="293">
  <si>
    <t>Date</t>
  </si>
  <si>
    <t>Related TASK No.</t>
  </si>
  <si>
    <t xml:space="preserve">  </t>
  </si>
  <si>
    <t>NA</t>
  </si>
  <si>
    <t>Draft Calculator Revision History</t>
  </si>
  <si>
    <t>TASKS</t>
  </si>
  <si>
    <t>Party</t>
  </si>
  <si>
    <t>Tab Edited</t>
  </si>
  <si>
    <t>Field Edited</t>
  </si>
  <si>
    <t>Description</t>
  </si>
  <si>
    <t>No.</t>
  </si>
  <si>
    <t>Date Complete</t>
  </si>
  <si>
    <t>Source File</t>
  </si>
  <si>
    <t>WSP</t>
  </si>
  <si>
    <t>ALL</t>
  </si>
  <si>
    <t xml:space="preserve">Templatized </t>
  </si>
  <si>
    <t>Make sure to create named fields (Formulas &gt; Name Manager) and use formulas using named field values (note be sure to delete unused names from the template document)</t>
  </si>
  <si>
    <t>Make sure all credit calculation requirements are included</t>
  </si>
  <si>
    <t>Make sure formulas work, values correct, validation included where needed (i.e. positive numbers only, etc.)</t>
  </si>
  <si>
    <t>Make sure labels are correct (including make explicit where inputs are required or optional)</t>
  </si>
  <si>
    <t>QC Cell Formatting (see internal style guide)</t>
  </si>
  <si>
    <t>Add Notes where needed</t>
  </si>
  <si>
    <t>Add summary "Point calculation" tab</t>
  </si>
  <si>
    <t>Update instructions tab</t>
  </si>
  <si>
    <t>Add flags as needed (i.e. for CFCs, IDC BDC &gt;700 GWP)</t>
  </si>
  <si>
    <t>Allow Add rows without macros, include instructions (NOTE prior calculator drafts have used Groups, welcome other recommendations)</t>
  </si>
  <si>
    <t>Update formatting per USGBC (including If required create named fields; If guidance says use tables, convert to tables)</t>
  </si>
  <si>
    <t>Spell Check</t>
  </si>
  <si>
    <t>Final Lock Settings and QC</t>
  </si>
  <si>
    <t>Internal Style Guide</t>
  </si>
  <si>
    <t>TEMP LOCK PASSWORD</t>
  </si>
  <si>
    <t>LEED</t>
  </si>
  <si>
    <t>Workbook Structure</t>
  </si>
  <si>
    <t>Inputs Tab: User input AND final summary values only, can have some automatic input cells IF important for user data, can have multiple inputs tabs if needed</t>
  </si>
  <si>
    <t xml:space="preserve">Logic Tab: Calculations for values needed for LEED Performance, no user input, will be hidden from users </t>
  </si>
  <si>
    <t xml:space="preserve">Database Tab: Constants, values for logic calculations, points, limit to static values no formulas where possible, will be hidden from users </t>
  </si>
  <si>
    <t>Summary Tab: Points, values needed for LEED performance (see Reference Guide Documentation requirements for what needs to be included)</t>
  </si>
  <si>
    <t>Note calculators must use Formula &gt; Name Manager to name fields and cells that are used for calculations or pulled into other cells. Recommend developing full calculator structure and initial formulas before naming fields and updating formulas.</t>
  </si>
  <si>
    <t>General Sheet Formating</t>
  </si>
  <si>
    <t>Turn-off view gridlines</t>
  </si>
  <si>
    <t>Columns to left and right of boarder to be Width of 3.5 (42 pxl)</t>
  </si>
  <si>
    <t>Rows above and below boarder to be Height of 20 (34 pxl)</t>
  </si>
  <si>
    <t>Sheet Background Fill</t>
  </si>
  <si>
    <t>#F7F8F6;  fill up to row 300, 600, or 900 as needed; fill up to column Z</t>
  </si>
  <si>
    <t>Instructions + Summary Background Fill</t>
  </si>
  <si>
    <t>#FFFFFF</t>
  </si>
  <si>
    <t>Title Fill</t>
  </si>
  <si>
    <t>IP</t>
  </si>
  <si>
    <t>#952713</t>
  </si>
  <si>
    <t>LT</t>
  </si>
  <si>
    <t>#B87400</t>
  </si>
  <si>
    <t>SS</t>
  </si>
  <si>
    <t>#536426</t>
  </si>
  <si>
    <t>WE</t>
  </si>
  <si>
    <t>#006570</t>
  </si>
  <si>
    <t>EA</t>
  </si>
  <si>
    <t>#C75127</t>
  </si>
  <si>
    <t>MR</t>
  </si>
  <si>
    <t>#7C4901</t>
  </si>
  <si>
    <t>EQ</t>
  </si>
  <si>
    <t>#684659</t>
  </si>
  <si>
    <t>PR</t>
  </si>
  <si>
    <t>#7E8AA2</t>
  </si>
  <si>
    <t>Title Format</t>
  </si>
  <si>
    <t xml:space="preserve">Use downloadable PNG logo w and maintain aspect ratio in all cases. Logo must never be more than 1 inch (72 pixels) wide. </t>
  </si>
  <si>
    <t xml:space="preserve">Suggest standard header height of 90.0 (150 pxl) with an increase to 95.0 (160 pxl) prerequisite and credit combo. </t>
  </si>
  <si>
    <t xml:space="preserve">Note naming convention (see below for example): </t>
  </si>
  <si>
    <r>
      <t xml:space="preserve">USGBC Calculator || LEED for Building Operations and Maintenance [14 point font, bold]
</t>
    </r>
    <r>
      <rPr>
        <b/>
        <sz val="12"/>
        <color theme="0"/>
        <rFont val="Arial"/>
        <family val="2"/>
      </rPr>
      <t>LEED v5 EAp4: Fundamental Refigerant Management  [12 point font, bold]
LEED v5 EAc3: Enhanced Refrigerant Management Performance [12 point font, bold]
SHEET NAME (I.E. INPUTS, LOGIC, DATABASE, SUMMARY) [12 point font, bold]</t>
    </r>
  </si>
  <si>
    <t>Cell Outline</t>
  </si>
  <si>
    <t>Automatic, Default Weight</t>
  </si>
  <si>
    <t>Standard Row Width</t>
  </si>
  <si>
    <t>18.0 (30 pxls)</t>
  </si>
  <si>
    <t>Text Alignment</t>
  </si>
  <si>
    <t>Left, Vertical Center</t>
  </si>
  <si>
    <t>Number Formatting</t>
  </si>
  <si>
    <t>All numbers left justified, text right justified</t>
  </si>
  <si>
    <t>CONFIRM WHICH DATA USES THIS FORMAT</t>
  </si>
  <si>
    <t>Font</t>
  </si>
  <si>
    <t>Headings</t>
  </si>
  <si>
    <t>Arial 11 Bold UPPERCASE</t>
  </si>
  <si>
    <t>Subheading</t>
  </si>
  <si>
    <t>Arial 10 Bold</t>
  </si>
  <si>
    <t>Text</t>
  </si>
  <si>
    <t>Arial 10</t>
  </si>
  <si>
    <t>HEADING</t>
  </si>
  <si>
    <t xml:space="preserve">FILL HEX #353434, TEXT HEX # F7F8F6 </t>
  </si>
  <si>
    <t>FILL FOR SUBHEADING CELLS HEX #B6B7B8 CENTER ALL HEADERS</t>
  </si>
  <si>
    <t>Manual input</t>
  </si>
  <si>
    <t>FILL FOR USER INPUT CELLS HEX #000000</t>
  </si>
  <si>
    <t>Auto input</t>
  </si>
  <si>
    <t>FILL FOR AUTOMATIC CELLS HEX #F2F2F2</t>
  </si>
  <si>
    <t>Calculation</t>
  </si>
  <si>
    <t>FILL FOR AUTOMATIC CELLS HEX #D9D9D9 Database and logic only</t>
  </si>
  <si>
    <t>Supplemental instructions</t>
  </si>
  <si>
    <t>Formulas</t>
  </si>
  <si>
    <t>Use Formulas &gt; Name Manager to name arrays and cells where possible</t>
  </si>
  <si>
    <t>CREDIT INSTRUCTIONS</t>
  </si>
  <si>
    <t>EAc2 Reduce Peak Thermal Loads</t>
  </si>
  <si>
    <t>▪</t>
  </si>
  <si>
    <r>
      <rPr>
        <b/>
        <sz val="10"/>
        <color rgb="FF000000"/>
        <rFont val="Arial"/>
        <family val="2"/>
      </rPr>
      <t>For All Options:</t>
    </r>
    <r>
      <rPr>
        <sz val="10"/>
        <color rgb="FF000000"/>
        <rFont val="Arial"/>
        <family val="2"/>
      </rPr>
      <t xml:space="preserve"> the building envelope must meet the requirements of ASHRAE 90.1, Section 5.5, Prescriptive Building Envelope Compliance Path or ASHRAE 90.1, Section 5.6, Building Envelope Trade-Off Compliance Path per the version of ASHRAE 90.1  referenced in EAp2 Minimum Energy Efficiency. Building envelope efficiency shall not be traded off with other building systems</t>
    </r>
  </si>
  <si>
    <t>Option 2. Ventilation Energy Recovery Requirements:</t>
  </si>
  <si>
    <t>Each fan system supplying outdoor air must have an energy or heat recovery system with a minimum 70% enthalpy recovery ratio or a minimum of 75% sensible heat recovery ratio. Provisions must be made to bypass or control the energy recovery system during moderate outside air conditions.</t>
  </si>
  <si>
    <t>In aggregate, fan systems supplying less than 15% of the project’s total outdoor air can be excluded.</t>
  </si>
  <si>
    <t>Fan systems must supply a minimum of 50% of the ventilation air required for the project per ASHRAE Standard 62.1-2022, Ventilation Rate Procedure, to qualify for this option.</t>
  </si>
  <si>
    <t>Option 4. Peak Thermal Load Reductions Requirements:</t>
  </si>
  <si>
    <t>Ventilation loads must be included in the determination of peak coincident loads</t>
  </si>
  <si>
    <t>Measure building envelope air leakage using air leakage testing and use the measured air leakage to calculate the peak loads for Path 2 or Path 3.</t>
  </si>
  <si>
    <t>Demonstrate balanced ventilation meeting the criteria in Option 1 above.</t>
  </si>
  <si>
    <r>
      <rPr>
        <u/>
        <sz val="10"/>
        <color theme="1"/>
        <rFont val="Arial"/>
        <family val="2"/>
      </rPr>
      <t>For Path 2. ASHRAE 90.1 Trade-off Methods</t>
    </r>
    <r>
      <rPr>
        <sz val="10"/>
        <color theme="1"/>
        <rFont val="Arial"/>
        <family val="2"/>
      </rPr>
      <t>: Calculate the improvement in peak thermal loads due to envelope and/or ventilation changes between the baseline and proposed.</t>
    </r>
  </si>
  <si>
    <r>
      <rPr>
        <u/>
        <sz val="10"/>
        <color theme="1"/>
        <rFont val="Arial"/>
        <family val="2"/>
      </rPr>
      <t>For Path 3. Energy Simulation</t>
    </r>
    <r>
      <rPr>
        <sz val="10"/>
        <color theme="1"/>
        <rFont val="Arial"/>
        <family val="2"/>
      </rPr>
      <t>: Calculate the improvement in peak thermal loads over a baseline based on an energy simulation.</t>
    </r>
  </si>
  <si>
    <t>INPUT INSTRUCTIONS</t>
  </si>
  <si>
    <t>User input cell formatting.</t>
  </si>
  <si>
    <t>Automatic input cell formatting.</t>
  </si>
  <si>
    <t>Calculation cell formatting.</t>
  </si>
  <si>
    <t>All input cells are required unless otherwise noted.</t>
  </si>
  <si>
    <t>Project teams must fill out input cells from top section rows.</t>
  </si>
  <si>
    <t>Input General Information for the project, including Credit Option and Pathway, Building Type, and Unit System.</t>
  </si>
  <si>
    <t>Fill in ventilation and exhaust equipment tables for Option 2.</t>
  </si>
  <si>
    <t>Optional fields for this option:</t>
  </si>
  <si>
    <r>
      <t xml:space="preserve">▪    </t>
    </r>
    <r>
      <rPr>
        <b/>
        <sz val="10"/>
        <color rgb="FF000000"/>
        <rFont val="Arial"/>
        <family val="2"/>
      </rPr>
      <t xml:space="preserve">Equipment Type. </t>
    </r>
    <r>
      <rPr>
        <sz val="10"/>
        <color rgb="FF000000"/>
        <rFont val="Arial"/>
        <family val="2"/>
      </rPr>
      <t>Inputs type of ventilation equipment.</t>
    </r>
  </si>
  <si>
    <t>Required fields for this option:</t>
  </si>
  <si>
    <r>
      <t xml:space="preserve">▪    </t>
    </r>
    <r>
      <rPr>
        <b/>
        <sz val="10"/>
        <color rgb="FF000000"/>
        <rFont val="Arial"/>
        <family val="2"/>
      </rPr>
      <t>Equipment Tag Name.</t>
    </r>
    <r>
      <rPr>
        <sz val="10"/>
        <color rgb="FF000000"/>
        <rFont val="Arial"/>
        <family val="2"/>
      </rPr>
      <t xml:space="preserve"> Unique name for each ventilation equipment based on design documents.</t>
    </r>
  </si>
  <si>
    <r>
      <t xml:space="preserve">▪    </t>
    </r>
    <r>
      <rPr>
        <b/>
        <sz val="10"/>
        <color rgb="FF000000"/>
        <rFont val="Arial"/>
        <family val="2"/>
      </rPr>
      <t xml:space="preserve">Equipment Quantity. </t>
    </r>
    <r>
      <rPr>
        <sz val="10"/>
        <color rgb="FF000000"/>
        <rFont val="Arial"/>
        <family val="2"/>
      </rPr>
      <t>Number of pieces of this type of equipment are in the project.</t>
    </r>
  </si>
  <si>
    <r>
      <t xml:space="preserve">▪    </t>
    </r>
    <r>
      <rPr>
        <b/>
        <sz val="10"/>
        <color rgb="FF000000"/>
        <rFont val="Arial"/>
        <family val="2"/>
      </rPr>
      <t>Outdoor Air Flow per Individual Equipment.</t>
    </r>
    <r>
      <rPr>
        <sz val="10"/>
        <color rgb="FF000000"/>
        <rFont val="Arial"/>
        <family val="2"/>
      </rPr>
      <t xml:space="preserve"> Design outdoor air flow for the ventilation equipment type.</t>
    </r>
  </si>
  <si>
    <r>
      <t xml:space="preserve">▪    </t>
    </r>
    <r>
      <rPr>
        <b/>
        <sz val="10"/>
        <color rgb="FF000000"/>
        <rFont val="Arial"/>
        <family val="2"/>
      </rPr>
      <t>Does ventilation equipment have a qualifying heat or energy recovery system?</t>
    </r>
    <r>
      <rPr>
        <sz val="10"/>
        <color rgb="FF000000"/>
        <rFont val="Arial"/>
        <family val="2"/>
      </rPr>
      <t xml:space="preserve"> Indicate whether the equipment has a 
     qualifying energy/heat recovery system associated with it (refer to the instructions above).</t>
    </r>
  </si>
  <si>
    <r>
      <t>List Peak Heating and Cooling Loads by System</t>
    </r>
    <r>
      <rPr>
        <b/>
        <sz val="10"/>
        <color theme="1"/>
        <rFont val="Arial"/>
        <family val="2"/>
      </rPr>
      <t>.</t>
    </r>
    <r>
      <rPr>
        <sz val="10"/>
        <color theme="1"/>
        <rFont val="Arial"/>
        <family val="2"/>
      </rPr>
      <t xml:space="preserve"> (Optional)</t>
    </r>
  </si>
  <si>
    <t>This step is optional for those users looking for assistance determining the peak coincident and non-coincident loads based on the individual systems in their project scope. Fields below apply to both Peak Heating By System and Peak Cooling By System tables.</t>
  </si>
  <si>
    <t>Optional fields:</t>
  </si>
  <si>
    <r>
      <t xml:space="preserve">▪    </t>
    </r>
    <r>
      <rPr>
        <b/>
        <sz val="10"/>
        <color rgb="FF000000"/>
        <rFont val="Arial"/>
        <family val="2"/>
      </rPr>
      <t xml:space="preserve">System ID. </t>
    </r>
    <r>
      <rPr>
        <sz val="10"/>
        <color rgb="FF000000"/>
        <rFont val="Arial"/>
        <family val="2"/>
      </rPr>
      <t>Indicate System ID based on design documents.</t>
    </r>
  </si>
  <si>
    <r>
      <t xml:space="preserve">▪    </t>
    </r>
    <r>
      <rPr>
        <b/>
        <sz val="10"/>
        <color rgb="FF000000"/>
        <rFont val="Arial"/>
        <family val="2"/>
      </rPr>
      <t xml:space="preserve">System Type. </t>
    </r>
    <r>
      <rPr>
        <sz val="10"/>
        <color rgb="FF000000"/>
        <rFont val="Arial"/>
        <family val="2"/>
      </rPr>
      <t>Indicate System ID based on design documents.</t>
    </r>
  </si>
  <si>
    <r>
      <t xml:space="preserve">▪    </t>
    </r>
    <r>
      <rPr>
        <b/>
        <sz val="10"/>
        <color rgb="FF000000"/>
        <rFont val="Arial"/>
        <family val="2"/>
      </rPr>
      <t xml:space="preserve">Peak Load. </t>
    </r>
    <r>
      <rPr>
        <sz val="10"/>
        <color rgb="FF000000"/>
        <rFont val="Arial"/>
        <family val="2"/>
      </rPr>
      <t>Indicate peak heating or cooling load for each system.</t>
    </r>
  </si>
  <si>
    <r>
      <t xml:space="preserve">▪    </t>
    </r>
    <r>
      <rPr>
        <b/>
        <sz val="10"/>
        <color rgb="FF000000"/>
        <rFont val="Arial"/>
        <family val="2"/>
      </rPr>
      <t>Time of year.</t>
    </r>
    <r>
      <rPr>
        <sz val="10"/>
        <color rgb="FF000000"/>
        <rFont val="Arial"/>
        <family val="2"/>
      </rPr>
      <t xml:space="preserve"> Indicate day of the year the system's peak loading occurs. Input as MM/YY.</t>
    </r>
  </si>
  <si>
    <t>Enter compliance with Option 4. Peak Thermal Load Reductions.</t>
  </si>
  <si>
    <t>Included ventilation loads in the determination of peak coincident loads. If during the construction phase, use measured air leakage to calculate the peak loads.</t>
  </si>
  <si>
    <r>
      <t>▪</t>
    </r>
    <r>
      <rPr>
        <b/>
        <sz val="10"/>
        <color rgb="FF000000"/>
        <rFont val="Arial"/>
        <family val="2"/>
      </rPr>
      <t xml:space="preserve">    Proposed Envelope Sum of the System Peak Heating Loads.</t>
    </r>
    <r>
      <rPr>
        <sz val="10"/>
        <color rgb="FF000000"/>
        <rFont val="Arial"/>
        <family val="2"/>
      </rPr>
      <t xml:space="preserve"> The peak heating load for the proposed design.</t>
    </r>
  </si>
  <si>
    <r>
      <t>▪</t>
    </r>
    <r>
      <rPr>
        <b/>
        <sz val="10"/>
        <color rgb="FF000000"/>
        <rFont val="Arial"/>
        <family val="2"/>
      </rPr>
      <t xml:space="preserve">    Proposed Envelope Sum of the System Peak Cooling Loads.</t>
    </r>
    <r>
      <rPr>
        <sz val="10"/>
        <color rgb="FF000000"/>
        <rFont val="Arial"/>
        <family val="2"/>
      </rPr>
      <t xml:space="preserve"> The peak cooling load for the proposed design.</t>
    </r>
  </si>
  <si>
    <r>
      <t>▪</t>
    </r>
    <r>
      <rPr>
        <b/>
        <sz val="10"/>
        <color rgb="FF000000"/>
        <rFont val="Arial"/>
        <family val="2"/>
      </rPr>
      <t xml:space="preserve">    Baseline Envelope Sum of the System Peak Heating Loads.</t>
    </r>
    <r>
      <rPr>
        <sz val="10"/>
        <color rgb="FF000000"/>
        <rFont val="Arial"/>
        <family val="2"/>
      </rPr>
      <t xml:space="preserve"> The peak heating load for the baseline design.</t>
    </r>
  </si>
  <si>
    <r>
      <t>▪</t>
    </r>
    <r>
      <rPr>
        <b/>
        <sz val="10"/>
        <color rgb="FF000000"/>
        <rFont val="Arial"/>
        <family val="2"/>
      </rPr>
      <t xml:space="preserve">    Baseline Envelope Sum of the System Peak Cooling Loads.</t>
    </r>
    <r>
      <rPr>
        <sz val="10"/>
        <color rgb="FF000000"/>
        <rFont val="Arial"/>
        <family val="2"/>
      </rPr>
      <t xml:space="preserve"> The peak cooling load for the baseline design.</t>
    </r>
  </si>
  <si>
    <t>Required fields for Option 4. Path 2:</t>
  </si>
  <si>
    <r>
      <t>▪</t>
    </r>
    <r>
      <rPr>
        <b/>
        <sz val="10"/>
        <color rgb="FF000000"/>
        <rFont val="Arial"/>
        <family val="2"/>
      </rPr>
      <t xml:space="preserve">    Proposed Ventilation Load Peak Heating Coincident.</t>
    </r>
    <r>
      <rPr>
        <sz val="10"/>
        <color rgb="FF000000"/>
        <rFont val="Arial"/>
        <family val="2"/>
      </rPr>
      <t xml:space="preserve"> The peak heating load for the proposed design.</t>
    </r>
  </si>
  <si>
    <r>
      <t>▪</t>
    </r>
    <r>
      <rPr>
        <b/>
        <sz val="10"/>
        <color rgb="FF000000"/>
        <rFont val="Arial"/>
        <family val="2"/>
      </rPr>
      <t xml:space="preserve">    Proposed Ventilation Load Peak Cooling Coincident.</t>
    </r>
    <r>
      <rPr>
        <sz val="10"/>
        <color rgb="FF000000"/>
        <rFont val="Arial"/>
        <family val="2"/>
      </rPr>
      <t xml:space="preserve"> The peak cooling load for the proposed design.</t>
    </r>
  </si>
  <si>
    <r>
      <t>▪</t>
    </r>
    <r>
      <rPr>
        <b/>
        <sz val="10"/>
        <color rgb="FF000000"/>
        <rFont val="Arial"/>
        <family val="2"/>
      </rPr>
      <t xml:space="preserve">    Baseline Ventilation Load Peak Heating Coincident.</t>
    </r>
    <r>
      <rPr>
        <sz val="10"/>
        <color rgb="FF000000"/>
        <rFont val="Arial"/>
        <family val="2"/>
      </rPr>
      <t xml:space="preserve"> The peak heating load for the baseline design.</t>
    </r>
  </si>
  <si>
    <r>
      <t>▪</t>
    </r>
    <r>
      <rPr>
        <b/>
        <sz val="10"/>
        <color rgb="FF000000"/>
        <rFont val="Arial"/>
        <family val="2"/>
      </rPr>
      <t xml:space="preserve">    Baseline Ventilation Load Peak Cooling Coincident.</t>
    </r>
    <r>
      <rPr>
        <sz val="10"/>
        <color rgb="FF000000"/>
        <rFont val="Arial"/>
        <family val="2"/>
      </rPr>
      <t xml:space="preserve"> The peak cooling load for the baseline design.</t>
    </r>
  </si>
  <si>
    <t>Required fields for Option 4. Path 3:</t>
  </si>
  <si>
    <r>
      <t>▪</t>
    </r>
    <r>
      <rPr>
        <b/>
        <sz val="10"/>
        <color rgb="FF000000"/>
        <rFont val="Arial"/>
        <family val="2"/>
      </rPr>
      <t xml:space="preserve">    Proposed Energy Simulation Load Peak Heating Coincident.</t>
    </r>
    <r>
      <rPr>
        <sz val="10"/>
        <color rgb="FF000000"/>
        <rFont val="Arial"/>
        <family val="2"/>
      </rPr>
      <t xml:space="preserve"> The peak heating load for the proposed design.</t>
    </r>
  </si>
  <si>
    <r>
      <t>▪</t>
    </r>
    <r>
      <rPr>
        <b/>
        <sz val="10"/>
        <color rgb="FF000000"/>
        <rFont val="Arial"/>
        <family val="2"/>
      </rPr>
      <t xml:space="preserve">    Proposed Energy Simulation Load Peak Cooling Coincident.</t>
    </r>
    <r>
      <rPr>
        <sz val="10"/>
        <color rgb="FF000000"/>
        <rFont val="Arial"/>
        <family val="2"/>
      </rPr>
      <t xml:space="preserve"> The peak cooling load for the proposed design.</t>
    </r>
  </si>
  <si>
    <r>
      <t>▪</t>
    </r>
    <r>
      <rPr>
        <b/>
        <sz val="10"/>
        <color rgb="FF000000"/>
        <rFont val="Arial"/>
        <family val="2"/>
      </rPr>
      <t xml:space="preserve">    Baseline Energy Simulation Load Peak Heating Coincident.</t>
    </r>
    <r>
      <rPr>
        <sz val="10"/>
        <color rgb="FF000000"/>
        <rFont val="Arial"/>
        <family val="2"/>
      </rPr>
      <t xml:space="preserve"> The peak heating load for the baseline design.</t>
    </r>
  </si>
  <si>
    <r>
      <t>▪</t>
    </r>
    <r>
      <rPr>
        <b/>
        <sz val="10"/>
        <color rgb="FF000000"/>
        <rFont val="Arial"/>
        <family val="2"/>
      </rPr>
      <t xml:space="preserve">    Baseline Energy Simulation Load Peak Cooling Coincident.</t>
    </r>
    <r>
      <rPr>
        <sz val="10"/>
        <color rgb="FF000000"/>
        <rFont val="Arial"/>
        <family val="2"/>
      </rPr>
      <t xml:space="preserve"> The peak cooling load for the baseline design.</t>
    </r>
  </si>
  <si>
    <t xml:space="preserve">STEP 1: GENERAL INFORMATION </t>
  </si>
  <si>
    <t>Credit Option and Pathway</t>
  </si>
  <si>
    <t>Option 4. Path 2 + 3</t>
  </si>
  <si>
    <t>Building Type</t>
  </si>
  <si>
    <t>Office (Large)</t>
  </si>
  <si>
    <t>Units</t>
  </si>
  <si>
    <t>SI</t>
  </si>
  <si>
    <t>ASHRAE Climate Zone</t>
  </si>
  <si>
    <t>3C</t>
  </si>
  <si>
    <t>STEP 2: COMPLIANCE WITH OPTION 2. VENTILATION ENERGY RECOVERY SYSTEMS</t>
  </si>
  <si>
    <t>Click + to the left to add additional rows. Click - to the left to collapse (content will be saved).</t>
  </si>
  <si>
    <t>Ventilation Equipment Table</t>
  </si>
  <si>
    <t>Equipment Tag Name</t>
  </si>
  <si>
    <r>
      <t xml:space="preserve">Equipment Type </t>
    </r>
    <r>
      <rPr>
        <sz val="10"/>
        <color theme="1"/>
        <rFont val="Arial"/>
        <family val="2"/>
      </rPr>
      <t>(Optional)</t>
    </r>
  </si>
  <si>
    <t>Equipment Quantity</t>
  </si>
  <si>
    <t>Does ventilation equipment have a qualifying heat or energy recovery system?</t>
  </si>
  <si>
    <t>SF</t>
  </si>
  <si>
    <t>Yes</t>
  </si>
  <si>
    <t>AHU</t>
  </si>
  <si>
    <t>No</t>
  </si>
  <si>
    <t>DOAS</t>
  </si>
  <si>
    <t>FCU</t>
  </si>
  <si>
    <t>Click + to left for additional rows</t>
  </si>
  <si>
    <t>STEP 3: LIST PEAK HEATING AND COOLING LOADS BY SYSTEM (Optional)</t>
  </si>
  <si>
    <t>Users looking for assistance in determining the peak coincedent and non-coincedent loads based on the individual systems in the project scope should enter information below; otherwise, skip to Step 4.</t>
  </si>
  <si>
    <r>
      <t xml:space="preserve">Peak Heating By System </t>
    </r>
    <r>
      <rPr>
        <sz val="10"/>
        <color theme="1"/>
        <rFont val="Arial"/>
        <family val="2"/>
      </rPr>
      <t>(Optional)</t>
    </r>
  </si>
  <si>
    <t>Heating System ID</t>
  </si>
  <si>
    <t>System Type</t>
  </si>
  <si>
    <t>Peak Heating Load (W)</t>
  </si>
  <si>
    <t>Time of the Year (mm/dd)</t>
  </si>
  <si>
    <t>Total non-coincedent peak loads (W)</t>
  </si>
  <si>
    <t>Total coincedent peak load (W)</t>
  </si>
  <si>
    <t>Peak Heating Day</t>
  </si>
  <si>
    <r>
      <t xml:space="preserve">Peak Cooling By System </t>
    </r>
    <r>
      <rPr>
        <sz val="10"/>
        <color theme="1"/>
        <rFont val="Arial"/>
        <family val="2"/>
      </rPr>
      <t>(Optional)</t>
    </r>
  </si>
  <si>
    <t>Cooling System ID</t>
  </si>
  <si>
    <t>Peak Cooling Load (W)</t>
  </si>
  <si>
    <t>Peak Cooling Day</t>
  </si>
  <si>
    <t>STEP 4: COMPLIANCE WITH OPTION 4. PATH 2 OR 3</t>
  </si>
  <si>
    <t>Fill out the Envelope Loads and Ventilation Loads table for Path 2 OR the Energy Simulation table for Path 3.</t>
  </si>
  <si>
    <t>Required for Option 4. Path 2. ASHRAE 90.1 Trade-off Methods - Envelope Loads</t>
  </si>
  <si>
    <t>Envelope Loads</t>
  </si>
  <si>
    <t>Proposed envelope performance factor</t>
  </si>
  <si>
    <t>Base envelope performance factor</t>
  </si>
  <si>
    <t>Peak Loads Reduction (%)</t>
  </si>
  <si>
    <t>AND/OR</t>
  </si>
  <si>
    <t>Required for Option 4. Path 2. ASHRAE 90.1 Trade-off Methods - Ventilation Loads</t>
  </si>
  <si>
    <t>ASHRAE 90.1 Trade-Off Methods</t>
  </si>
  <si>
    <t>Proposed TSPR</t>
  </si>
  <si>
    <t>Reference TSPR</t>
  </si>
  <si>
    <t>MPF</t>
  </si>
  <si>
    <t>Improvement (%)</t>
  </si>
  <si>
    <t>OR</t>
  </si>
  <si>
    <t>Required for Option 4. Path 3. Energy Simulation</t>
  </si>
  <si>
    <t>Energy Simulation</t>
  </si>
  <si>
    <t>Proposed</t>
  </si>
  <si>
    <t>Baseline</t>
  </si>
  <si>
    <t>Performance Index</t>
  </si>
  <si>
    <t xml:space="preserve">LOGIC 1: GENERAL INFORMATION </t>
  </si>
  <si>
    <t>Residential Building?</t>
  </si>
  <si>
    <t>LOGIC 2: COMPLIANCE WITH OPTION 2. VENTILATION ENERGY RECOVERY SYSTEMS</t>
  </si>
  <si>
    <t>% of OA not meeting requirements</t>
  </si>
  <si>
    <t>Does each fan system supplying outdoor have an energy or heat recovery system with a minimum 70% enthalpy recovery ratio or a minimum of 75% sensible heat recovery ratio?</t>
  </si>
  <si>
    <t>LOGIC 3: LIST PEAK HEATING AND COOLING LOADS BY SYSTEM (Optional)</t>
  </si>
  <si>
    <t>Heating System</t>
  </si>
  <si>
    <t>Time of the year (mm/dd)</t>
  </si>
  <si>
    <t>Peak Days</t>
  </si>
  <si>
    <t>Peak Heating Loads by Day</t>
  </si>
  <si>
    <t>Peak Day</t>
  </si>
  <si>
    <t>LOGIC 4: COMPLIANCE WITH OPTION 4. PATH 2 OR 3</t>
  </si>
  <si>
    <t>Envelope Trade-off Credits</t>
  </si>
  <si>
    <t>Ventilation Trade-off Credits</t>
  </si>
  <si>
    <t>GENERAL INFORMATION</t>
  </si>
  <si>
    <t>Option and Path</t>
  </si>
  <si>
    <t>Options</t>
  </si>
  <si>
    <t>Select</t>
  </si>
  <si>
    <t>Option 2.</t>
  </si>
  <si>
    <t>Option 4. Path 2</t>
  </si>
  <si>
    <t>Option 4. Path 3</t>
  </si>
  <si>
    <t>Option 2. + Option 4. Path 2</t>
  </si>
  <si>
    <t>Option 2. + Option 4. Path 3</t>
  </si>
  <si>
    <t>Option 2. + Option 4. Path 2 + 3</t>
  </si>
  <si>
    <t>Office (Small/Med)</t>
  </si>
  <si>
    <t>Retail</t>
  </si>
  <si>
    <t>Hotel/Motel</t>
  </si>
  <si>
    <t>Apartment/Dormitory</t>
  </si>
  <si>
    <t>School/Education</t>
  </si>
  <si>
    <t>Other</t>
  </si>
  <si>
    <t>Select Project Climate Zone</t>
  </si>
  <si>
    <t>0A</t>
  </si>
  <si>
    <t>0B</t>
  </si>
  <si>
    <t>1A</t>
  </si>
  <si>
    <t>1B</t>
  </si>
  <si>
    <t>2A</t>
  </si>
  <si>
    <t>2B</t>
  </si>
  <si>
    <t>3A</t>
  </si>
  <si>
    <t>3B</t>
  </si>
  <si>
    <t>4A</t>
  </si>
  <si>
    <t>4B</t>
  </si>
  <si>
    <t>4C</t>
  </si>
  <si>
    <t>5A</t>
  </si>
  <si>
    <t>5B</t>
  </si>
  <si>
    <t>5C</t>
  </si>
  <si>
    <t>6A</t>
  </si>
  <si>
    <t>6B</t>
  </si>
  <si>
    <t>Ventilation Equipment</t>
  </si>
  <si>
    <t>50 Pascals (0.2 H2O)</t>
  </si>
  <si>
    <t>75 Pascals (0.3 H2O)</t>
  </si>
  <si>
    <t>Heat Recovery</t>
  </si>
  <si>
    <t>CLIMATE ZONE BUILDING TYPES</t>
  </si>
  <si>
    <t>TEST CONDITIONS AIR LEAKAGE</t>
  </si>
  <si>
    <t>Test Conditions</t>
  </si>
  <si>
    <t>Maximum Air Leakage</t>
  </si>
  <si>
    <t>New Construction</t>
  </si>
  <si>
    <t>Major Renovation</t>
  </si>
  <si>
    <t>ACH</t>
  </si>
  <si>
    <t>OPTION 2: VENTILATION ENERGY RECOVERY (1 POINT)</t>
  </si>
  <si>
    <t>Ventilation Energy Recovery</t>
  </si>
  <si>
    <t>Associated Points</t>
  </si>
  <si>
    <t>Minimum 70% enthalpy recovery ratio or Minimum of 75% Sensible Heat Recovery Ratio</t>
  </si>
  <si>
    <t>OPTION 4: PATH 2.  ASHRAE 90.1 TRADE-OFF METHODS (1 - 3 POINTS)</t>
  </si>
  <si>
    <t>Option 4. Path 2. ASHRAE 90.1 Trade-off Methods - Envelope Loads</t>
  </si>
  <si>
    <t>&lt; 10%</t>
  </si>
  <si>
    <t>=&gt; 10%</t>
  </si>
  <si>
    <t>=&gt; 20%</t>
  </si>
  <si>
    <t>ASHRAE 90.1 Envelope Loads Trade-off</t>
  </si>
  <si>
    <t>Option 4. Path 2. ASHRAE 90.1 Trade-off Methods - Ventilation Loads</t>
  </si>
  <si>
    <t>ASHRAE 90.1 Ventilation Loads Trade-off</t>
  </si>
  <si>
    <t>OPTION 4: PATH 3. ENERGY SIMULATION (1 - 3 POINTS)</t>
  </si>
  <si>
    <t>Energy Simulation Performance Index</t>
  </si>
  <si>
    <t>&gt; 0.5</t>
  </si>
  <si>
    <t>&gt;= 0.5</t>
  </si>
  <si>
    <t>&gt;= 0.4</t>
  </si>
  <si>
    <t>&gt;= 0.3</t>
  </si>
  <si>
    <t>Ventilation Energy Recovery Met</t>
  </si>
  <si>
    <r>
      <t xml:space="preserve">LEED v5 Reduce Peak Thermal Loads Calculator BD+C
</t>
    </r>
    <r>
      <rPr>
        <b/>
        <sz val="12"/>
        <color rgb="FFFFFFFF"/>
        <rFont val="Arial"/>
        <family val="2"/>
      </rPr>
      <t>LEED for Building Design and Construction
Database</t>
    </r>
  </si>
  <si>
    <r>
      <t xml:space="preserve">LEED v5 Reduce Peak Thermal Loads Calculator BD+C
</t>
    </r>
    <r>
      <rPr>
        <b/>
        <sz val="12"/>
        <color rgb="FFFFFFFF"/>
        <rFont val="Arial"/>
        <family val="2"/>
      </rPr>
      <t xml:space="preserve">LEED for Building Design and Construction
Logic </t>
    </r>
  </si>
  <si>
    <t>Required for Option 4 Path 2 only</t>
  </si>
  <si>
    <r>
      <t xml:space="preserve">LEED v5 Reduce Peak Thermal Loads Calculator
</t>
    </r>
    <r>
      <rPr>
        <b/>
        <sz val="12"/>
        <color theme="0"/>
        <rFont val="Arial"/>
        <family val="2"/>
      </rPr>
      <t>LEED for Building Design and Construction
Instructions</t>
    </r>
  </si>
  <si>
    <r>
      <t xml:space="preserve">LEED v5 Reduce Peak Thermal Loads Calculator 
</t>
    </r>
    <r>
      <rPr>
        <b/>
        <sz val="12"/>
        <color rgb="FFFFFFFF"/>
        <rFont val="Arial"/>
        <family val="2"/>
      </rPr>
      <t>LEED for Building Design and Construction
Inputs</t>
    </r>
  </si>
  <si>
    <r>
      <t xml:space="preserve">LEED v5 Reduce Peak Thermal Loads Calculator 
</t>
    </r>
    <r>
      <rPr>
        <b/>
        <sz val="12"/>
        <color rgb="FFFFFFFF"/>
        <rFont val="Arial"/>
        <family val="2"/>
      </rPr>
      <t>LEED for Building Design and Construction
Summary</t>
    </r>
  </si>
  <si>
    <t>V01</t>
  </si>
  <si>
    <r>
      <t xml:space="preserve">Copyright </t>
    </r>
    <r>
      <rPr>
        <sz val="9"/>
        <color theme="0" tint="-0.499984740745262"/>
        <rFont val="Arial"/>
        <family val="2"/>
      </rPr>
      <t>©</t>
    </r>
    <r>
      <rPr>
        <sz val="8"/>
        <color theme="0" tint="-0.499984740745262"/>
        <rFont val="Arial"/>
        <family val="2"/>
      </rPr>
      <t xml:space="preserve"> 2025</t>
    </r>
  </si>
  <si>
    <t>U.S. Green Building Council</t>
  </si>
  <si>
    <t>All Rights Reserved</t>
  </si>
  <si>
    <t>Last Updated: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</si>
</sst>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_);_(* \(#,##0\);_(* &quot;-&quot;??_);_(@_)"/>
    <numFmt numFmtId="165" formatCode="0.0%"/>
    <numFmt numFmtId="166" formatCode="0."/>
    <numFmt numFmtId="167" formatCode="m/d;@"/>
    <numFmt numFmtId="168" formatCode="#,##0.0_);\(#,##0.0\)"/>
  </numFmts>
  <fonts count="51">
    <font>
      <sz val="12"/>
      <color theme="1"/>
      <name val="Aptos Narrow"/>
      <family val="2"/>
      <scheme val="minor"/>
    </font>
    <font>
      <sz val="11"/>
      <color theme="1"/>
      <name val="Arial"/>
      <family val="2"/>
    </font>
    <font>
      <sz val="11"/>
      <color theme="1"/>
      <name val="Aptos Narrow"/>
      <family val="2"/>
      <scheme val="minor"/>
    </font>
    <font>
      <sz val="11"/>
      <color theme="1"/>
      <name val="Aptos Narrow"/>
      <family val="2"/>
      <scheme val="minor"/>
    </font>
    <font>
      <u/>
      <sz val="12"/>
      <color theme="10"/>
      <name val="Aptos Narrow"/>
      <family val="2"/>
      <scheme val="minor"/>
    </font>
    <font>
      <b/>
      <sz val="10"/>
      <name val="Arial"/>
      <family val="2"/>
    </font>
    <font>
      <b/>
      <sz val="10"/>
      <color theme="1"/>
      <name val="Arial"/>
      <family val="2"/>
    </font>
    <font>
      <sz val="10"/>
      <color theme="1"/>
      <name val="Arial"/>
      <family val="2"/>
    </font>
    <font>
      <b/>
      <sz val="12"/>
      <color theme="1"/>
      <name val="Arial"/>
      <family val="2"/>
    </font>
    <font>
      <b/>
      <sz val="14"/>
      <color theme="1"/>
      <name val="Arial"/>
      <family val="2"/>
    </font>
    <font>
      <sz val="10"/>
      <name val="Arial"/>
      <family val="2"/>
    </font>
    <font>
      <sz val="12"/>
      <color theme="1"/>
      <name val="Arial"/>
      <family val="2"/>
    </font>
    <font>
      <sz val="11"/>
      <color theme="1"/>
      <name val="Arial"/>
      <family val="2"/>
    </font>
    <font>
      <b/>
      <sz val="11"/>
      <color theme="1"/>
      <name val="Arial"/>
      <family val="2"/>
    </font>
    <font>
      <sz val="9"/>
      <color theme="1"/>
      <name val="Arial"/>
      <family val="2"/>
    </font>
    <font>
      <b/>
      <sz val="12"/>
      <name val="Arial"/>
      <family val="2"/>
    </font>
    <font>
      <sz val="12"/>
      <color rgb="FFFF0000"/>
      <name val="Arial"/>
      <family val="2"/>
    </font>
    <font>
      <u/>
      <sz val="10"/>
      <name val="Arial"/>
      <family val="2"/>
    </font>
    <font>
      <sz val="11"/>
      <color theme="1"/>
      <name val="Helvetica Neue"/>
    </font>
    <font>
      <sz val="10"/>
      <color theme="1"/>
      <name val="Helvetica Neue"/>
    </font>
    <font>
      <sz val="9"/>
      <color theme="1"/>
      <name val="Helvetica Neue"/>
    </font>
    <font>
      <i/>
      <sz val="10"/>
      <color theme="0" tint="-0.499984740745262"/>
      <name val="Arial"/>
      <family val="2"/>
    </font>
    <font>
      <i/>
      <sz val="10"/>
      <color theme="1"/>
      <name val="Arial"/>
      <family val="2"/>
    </font>
    <font>
      <b/>
      <sz val="11"/>
      <name val="Arial"/>
      <family val="2"/>
    </font>
    <font>
      <b/>
      <u/>
      <sz val="10"/>
      <color theme="1"/>
      <name val="Arial"/>
      <family val="2"/>
    </font>
    <font>
      <b/>
      <sz val="11"/>
      <color theme="0"/>
      <name val="Arial"/>
      <family val="2"/>
    </font>
    <font>
      <sz val="14"/>
      <color theme="1"/>
      <name val="Arial"/>
      <family val="2"/>
    </font>
    <font>
      <b/>
      <sz val="14"/>
      <color theme="0"/>
      <name val="Arial"/>
      <family val="2"/>
    </font>
    <font>
      <b/>
      <sz val="12"/>
      <color theme="0"/>
      <name val="Arial"/>
      <family val="2"/>
    </font>
    <font>
      <sz val="8"/>
      <name val="Aptos Narrow"/>
      <family val="2"/>
      <scheme val="minor"/>
    </font>
    <font>
      <b/>
      <sz val="10"/>
      <color rgb="FF000000"/>
      <name val="Arial"/>
      <family val="2"/>
    </font>
    <font>
      <i/>
      <sz val="10"/>
      <color rgb="FF000000"/>
      <name val="Arial"/>
      <family val="2"/>
    </font>
    <font>
      <sz val="10"/>
      <color rgb="FF000000"/>
      <name val="Arial"/>
      <family val="2"/>
    </font>
    <font>
      <sz val="11"/>
      <color rgb="FF000000"/>
      <name val="Arial"/>
      <family val="2"/>
    </font>
    <font>
      <i/>
      <sz val="10"/>
      <color rgb="FF808080"/>
      <name val="Arial"/>
      <family val="2"/>
    </font>
    <font>
      <b/>
      <u/>
      <sz val="10"/>
      <color rgb="FF000000"/>
      <name val="Arial"/>
      <family val="2"/>
    </font>
    <font>
      <b/>
      <i/>
      <sz val="10"/>
      <color rgb="FF000000"/>
      <name val="Arial"/>
      <family val="2"/>
    </font>
    <font>
      <sz val="12"/>
      <color theme="1"/>
      <name val="Aptos Narrow"/>
      <family val="2"/>
      <scheme val="minor"/>
    </font>
    <font>
      <i/>
      <sz val="10"/>
      <color theme="0" tint="-0.249977111117893"/>
      <name val="Arial"/>
      <family val="2"/>
    </font>
    <font>
      <b/>
      <i/>
      <sz val="10"/>
      <color theme="1"/>
      <name val="Arial"/>
      <family val="2"/>
    </font>
    <font>
      <sz val="11"/>
      <color theme="0" tint="-0.499984740745262"/>
      <name val="Arial"/>
      <family val="2"/>
    </font>
    <font>
      <b/>
      <sz val="9"/>
      <color indexed="81"/>
      <name val="Tahoma"/>
      <family val="2"/>
    </font>
    <font>
      <sz val="9"/>
      <color indexed="81"/>
      <name val="Tahoma"/>
      <family val="2"/>
    </font>
    <font>
      <u/>
      <sz val="10"/>
      <color theme="1"/>
      <name val="Arial"/>
      <family val="2"/>
    </font>
    <font>
      <b/>
      <sz val="9"/>
      <color theme="1"/>
      <name val="Arial"/>
      <family val="2"/>
    </font>
    <font>
      <b/>
      <sz val="9"/>
      <color theme="0" tint="-0.249977111117893"/>
      <name val="Arial"/>
      <family val="2"/>
    </font>
    <font>
      <sz val="9"/>
      <color theme="0" tint="-0.34998626667073579"/>
      <name val="Arial"/>
      <family val="2"/>
    </font>
    <font>
      <b/>
      <sz val="14"/>
      <color rgb="FFFFFFFF"/>
      <name val="Arial"/>
      <family val="2"/>
    </font>
    <font>
      <b/>
      <sz val="12"/>
      <color rgb="FFFFFFFF"/>
      <name val="Arial"/>
      <family val="2"/>
    </font>
    <font>
      <sz val="8"/>
      <color theme="0" tint="-0.499984740745262"/>
      <name val="Arial"/>
      <family val="2"/>
    </font>
    <font>
      <sz val="9"/>
      <color theme="0" tint="-0.499984740745262"/>
      <name val="Arial"/>
      <family val="2"/>
    </font>
  </fonts>
  <fills count="2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rgb="FFF2F2F2"/>
      </patternFill>
    </fill>
    <fill>
      <patternFill patternType="solid">
        <fgColor theme="0" tint="-4.9989318521683403E-2"/>
        <bgColor rgb="FFF2F2F2"/>
      </patternFill>
    </fill>
    <fill>
      <patternFill patternType="solid">
        <fgColor theme="0"/>
        <bgColor rgb="FFF2F2F2"/>
      </patternFill>
    </fill>
    <fill>
      <patternFill patternType="solid">
        <fgColor theme="0" tint="-4.9989318521683403E-2"/>
        <bgColor theme="0"/>
      </patternFill>
    </fill>
    <fill>
      <patternFill patternType="solid">
        <fgColor theme="0"/>
        <bgColor rgb="FFFFFFFF"/>
      </patternFill>
    </fill>
    <fill>
      <patternFill patternType="solid">
        <fgColor theme="1"/>
        <bgColor rgb="FFBFBFBF"/>
      </patternFill>
    </fill>
    <fill>
      <patternFill patternType="solid">
        <fgColor rgb="FFB6B7B8"/>
        <bgColor indexed="64"/>
      </patternFill>
    </fill>
    <fill>
      <patternFill patternType="solid">
        <fgColor theme="1"/>
        <bgColor rgb="FFF8F8F6"/>
      </patternFill>
    </fill>
    <fill>
      <patternFill patternType="solid">
        <fgColor rgb="FFC75127"/>
        <bgColor indexed="64"/>
      </patternFill>
    </fill>
    <fill>
      <patternFill patternType="solid">
        <fgColor rgb="FFC75127"/>
        <bgColor rgb="FFF8F8F6"/>
      </patternFill>
    </fill>
    <fill>
      <patternFill patternType="solid">
        <fgColor rgb="FFB6B7B8"/>
        <bgColor rgb="FF000000"/>
      </patternFill>
    </fill>
    <fill>
      <patternFill patternType="solid">
        <fgColor rgb="FFFFFFFF"/>
        <bgColor rgb="FFF2F2F2"/>
      </patternFill>
    </fill>
    <fill>
      <patternFill patternType="solid">
        <fgColor rgb="FFFFFFFF"/>
        <bgColor rgb="FF000000"/>
      </patternFill>
    </fill>
    <fill>
      <patternFill patternType="solid">
        <fgColor rgb="FFF7F8F6"/>
        <bgColor indexed="64"/>
      </patternFill>
    </fill>
    <fill>
      <patternFill patternType="solid">
        <fgColor rgb="FFF7F8F6"/>
        <bgColor rgb="FFF2F2F2"/>
      </patternFill>
    </fill>
    <fill>
      <patternFill patternType="solid">
        <fgColor theme="0" tint="-0.14999847407452621"/>
        <bgColor rgb="FFF2F2F2"/>
      </patternFill>
    </fill>
    <fill>
      <patternFill patternType="solid">
        <fgColor theme="0" tint="-4.9989318521683403E-2"/>
        <bgColor rgb="FFFFFFFF"/>
      </patternFill>
    </fill>
    <fill>
      <patternFill patternType="solid">
        <fgColor rgb="FFB6B7B8"/>
        <bgColor rgb="FF7F7F7F"/>
      </patternFill>
    </fill>
    <fill>
      <patternFill patternType="solid">
        <fgColor theme="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3">
    <xf numFmtId="0" fontId="0" fillId="0" borderId="0"/>
    <xf numFmtId="0" fontId="4" fillId="0" borderId="0" applyNumberFormat="0" applyFill="0" applyBorder="0" applyAlignment="0" applyProtection="0"/>
    <xf numFmtId="0" fontId="25" fillId="10" borderId="0">
      <alignment vertical="center"/>
    </xf>
    <xf numFmtId="0" fontId="7" fillId="4" borderId="0">
      <alignment vertical="center"/>
    </xf>
    <xf numFmtId="0" fontId="7" fillId="2" borderId="0">
      <alignment vertical="center"/>
    </xf>
    <xf numFmtId="0" fontId="6" fillId="11" borderId="0">
      <alignment horizontal="center" vertical="center"/>
    </xf>
    <xf numFmtId="0" fontId="7" fillId="0" borderId="0">
      <alignment vertical="center"/>
    </xf>
    <xf numFmtId="0" fontId="2" fillId="0" borderId="0"/>
    <xf numFmtId="43" fontId="37" fillId="0" borderId="0" applyFont="0" applyFill="0" applyBorder="0" applyAlignment="0" applyProtection="0"/>
    <xf numFmtId="9" fontId="37" fillId="0" borderId="0" applyFont="0" applyFill="0" applyBorder="0" applyAlignment="0" applyProtection="0"/>
    <xf numFmtId="0" fontId="2" fillId="0" borderId="0"/>
    <xf numFmtId="0" fontId="37" fillId="0" borderId="0"/>
    <xf numFmtId="0" fontId="10" fillId="0" borderId="0"/>
  </cellStyleXfs>
  <cellXfs count="360">
    <xf numFmtId="0" fontId="0" fillId="0" borderId="0" xfId="0"/>
    <xf numFmtId="0" fontId="12" fillId="0" borderId="0" xfId="0" applyFont="1" applyAlignment="1">
      <alignment vertical="center"/>
    </xf>
    <xf numFmtId="0" fontId="13" fillId="7" borderId="14" xfId="0" applyFont="1" applyFill="1" applyBorder="1" applyAlignment="1">
      <alignment vertical="center"/>
    </xf>
    <xf numFmtId="0" fontId="13" fillId="7" borderId="12" xfId="0" applyFont="1" applyFill="1" applyBorder="1" applyAlignment="1">
      <alignment vertical="center"/>
    </xf>
    <xf numFmtId="0" fontId="13" fillId="0" borderId="0" xfId="0" applyFont="1" applyAlignment="1">
      <alignment vertical="center"/>
    </xf>
    <xf numFmtId="0" fontId="6" fillId="7" borderId="14" xfId="0" applyFont="1" applyFill="1" applyBorder="1" applyAlignment="1">
      <alignment vertical="center"/>
    </xf>
    <xf numFmtId="0" fontId="6" fillId="7" borderId="12" xfId="0" applyFont="1" applyFill="1" applyBorder="1" applyAlignment="1">
      <alignment vertical="center"/>
    </xf>
    <xf numFmtId="0" fontId="6" fillId="0" borderId="0" xfId="0" applyFont="1" applyAlignment="1">
      <alignment vertical="center"/>
    </xf>
    <xf numFmtId="0" fontId="24" fillId="7" borderId="14" xfId="0" applyFont="1" applyFill="1" applyBorder="1" applyAlignment="1">
      <alignment horizontal="center" vertical="center"/>
    </xf>
    <xf numFmtId="0" fontId="24" fillId="3" borderId="12" xfId="0" applyFont="1" applyFill="1" applyBorder="1" applyAlignment="1">
      <alignment vertical="center"/>
    </xf>
    <xf numFmtId="0" fontId="24" fillId="0" borderId="0" xfId="0" applyFont="1" applyAlignment="1">
      <alignment vertical="center"/>
    </xf>
    <xf numFmtId="0" fontId="7" fillId="7" borderId="14" xfId="0" applyFont="1" applyFill="1" applyBorder="1" applyAlignment="1">
      <alignment horizontal="center" vertical="top"/>
    </xf>
    <xf numFmtId="0" fontId="7" fillId="3" borderId="12" xfId="0" applyFont="1" applyFill="1" applyBorder="1" applyAlignment="1">
      <alignment vertical="top"/>
    </xf>
    <xf numFmtId="0" fontId="7" fillId="4" borderId="0" xfId="0" applyFont="1" applyFill="1" applyAlignment="1">
      <alignment vertical="top"/>
    </xf>
    <xf numFmtId="0" fontId="7" fillId="0" borderId="0" xfId="0" applyFont="1" applyAlignment="1">
      <alignment vertical="top"/>
    </xf>
    <xf numFmtId="0" fontId="7" fillId="7" borderId="14" xfId="0" applyFont="1" applyFill="1" applyBorder="1" applyAlignment="1">
      <alignment horizontal="center" vertical="center"/>
    </xf>
    <xf numFmtId="0" fontId="7" fillId="3" borderId="0" xfId="0" applyFont="1" applyFill="1" applyAlignment="1">
      <alignment vertical="center"/>
    </xf>
    <xf numFmtId="0" fontId="7" fillId="3" borderId="12" xfId="0" applyFont="1" applyFill="1" applyBorder="1" applyAlignment="1">
      <alignment vertical="center"/>
    </xf>
    <xf numFmtId="0" fontId="7" fillId="4" borderId="0" xfId="0" applyFont="1" applyFill="1" applyAlignment="1">
      <alignment vertical="center"/>
    </xf>
    <xf numFmtId="0" fontId="7" fillId="0" borderId="0" xfId="0" applyFont="1" applyAlignment="1">
      <alignment vertical="center"/>
    </xf>
    <xf numFmtId="0" fontId="6" fillId="7" borderId="14" xfId="0" applyFont="1" applyFill="1" applyBorder="1" applyAlignment="1">
      <alignment horizontal="center" vertical="center"/>
    </xf>
    <xf numFmtId="0" fontId="6" fillId="3" borderId="12" xfId="0" applyFont="1" applyFill="1" applyBorder="1" applyAlignment="1">
      <alignment vertical="center"/>
    </xf>
    <xf numFmtId="0" fontId="6" fillId="4" borderId="0" xfId="0" applyFont="1" applyFill="1" applyAlignment="1">
      <alignment vertical="center"/>
    </xf>
    <xf numFmtId="0" fontId="7" fillId="3" borderId="14" xfId="0" applyFont="1" applyFill="1" applyBorder="1" applyAlignment="1">
      <alignment vertical="top"/>
    </xf>
    <xf numFmtId="0" fontId="7" fillId="3" borderId="14" xfId="0" applyFont="1" applyFill="1" applyBorder="1" applyAlignment="1">
      <alignment vertical="center"/>
    </xf>
    <xf numFmtId="0" fontId="22" fillId="7" borderId="14" xfId="0" applyFont="1" applyFill="1" applyBorder="1" applyAlignment="1">
      <alignment horizontal="center" vertical="center"/>
    </xf>
    <xf numFmtId="0" fontId="22" fillId="0" borderId="0" xfId="0" applyFont="1" applyAlignment="1">
      <alignment vertical="center"/>
    </xf>
    <xf numFmtId="0" fontId="11" fillId="3" borderId="7" xfId="0" applyFont="1" applyFill="1" applyBorder="1" applyAlignment="1">
      <alignment vertical="center"/>
    </xf>
    <xf numFmtId="0" fontId="11" fillId="3" borderId="7" xfId="0" applyFont="1" applyFill="1" applyBorder="1" applyAlignment="1">
      <alignment vertical="center" wrapText="1"/>
    </xf>
    <xf numFmtId="0" fontId="11" fillId="3" borderId="11" xfId="0" applyFont="1" applyFill="1" applyBorder="1" applyAlignment="1">
      <alignment vertical="center"/>
    </xf>
    <xf numFmtId="0" fontId="11" fillId="4" borderId="0" xfId="0" applyFont="1" applyFill="1" applyAlignment="1">
      <alignment vertical="center"/>
    </xf>
    <xf numFmtId="0" fontId="11" fillId="0" borderId="0" xfId="0" applyFont="1" applyAlignment="1">
      <alignment vertical="center"/>
    </xf>
    <xf numFmtId="0" fontId="11" fillId="0" borderId="0" xfId="0" applyFont="1" applyAlignment="1">
      <alignment vertical="center" wrapText="1"/>
    </xf>
    <xf numFmtId="0" fontId="12" fillId="0" borderId="0" xfId="0" applyFont="1"/>
    <xf numFmtId="0" fontId="7" fillId="6" borderId="0" xfId="0" applyFont="1" applyFill="1" applyAlignment="1">
      <alignment horizontal="center" vertical="center"/>
    </xf>
    <xf numFmtId="0" fontId="7" fillId="6" borderId="0" xfId="0" applyFont="1" applyFill="1" applyAlignment="1">
      <alignment vertical="center"/>
    </xf>
    <xf numFmtId="0" fontId="7" fillId="0" borderId="0" xfId="0" applyFont="1"/>
    <xf numFmtId="166" fontId="7" fillId="4" borderId="0" xfId="0" applyNumberFormat="1" applyFont="1" applyFill="1" applyAlignment="1">
      <alignment vertical="center"/>
    </xf>
    <xf numFmtId="0" fontId="11" fillId="4" borderId="0" xfId="0" applyFont="1" applyFill="1"/>
    <xf numFmtId="0" fontId="11" fillId="0" borderId="0" xfId="0" applyFont="1"/>
    <xf numFmtId="0" fontId="7" fillId="4" borderId="1" xfId="0" applyFont="1" applyFill="1" applyBorder="1" applyAlignment="1">
      <alignment vertical="center"/>
    </xf>
    <xf numFmtId="0" fontId="8" fillId="0" borderId="0" xfId="0" applyFont="1" applyAlignment="1" applyProtection="1">
      <alignment vertical="top"/>
      <protection locked="0"/>
    </xf>
    <xf numFmtId="0" fontId="8" fillId="0" borderId="0" xfId="0" applyFont="1" applyAlignment="1" applyProtection="1">
      <alignment vertical="top" wrapText="1"/>
      <protection locked="0"/>
    </xf>
    <xf numFmtId="0" fontId="11" fillId="0" borderId="0" xfId="0" applyFont="1" applyAlignment="1" applyProtection="1">
      <alignment vertical="top" wrapText="1"/>
      <protection locked="0"/>
    </xf>
    <xf numFmtId="0" fontId="11" fillId="0" borderId="0" xfId="0" applyFont="1" applyAlignment="1" applyProtection="1">
      <alignment horizontal="center" vertical="top" wrapText="1"/>
      <protection locked="0"/>
    </xf>
    <xf numFmtId="0" fontId="15" fillId="4" borderId="0" xfId="0" applyFont="1" applyFill="1" applyAlignment="1" applyProtection="1">
      <alignment horizontal="left" vertical="top" wrapText="1"/>
      <protection locked="0"/>
    </xf>
    <xf numFmtId="14" fontId="15" fillId="4" borderId="0" xfId="0" applyNumberFormat="1" applyFont="1" applyFill="1" applyAlignment="1" applyProtection="1">
      <alignment horizontal="center" vertical="top" wrapText="1"/>
      <protection locked="0"/>
    </xf>
    <xf numFmtId="0" fontId="11" fillId="4" borderId="0" xfId="0" applyFont="1" applyFill="1" applyAlignment="1" applyProtection="1">
      <alignment vertical="top" wrapText="1"/>
      <protection locked="0"/>
    </xf>
    <xf numFmtId="0" fontId="11" fillId="4" borderId="0" xfId="0" applyFont="1" applyFill="1" applyAlignment="1" applyProtection="1">
      <alignment vertical="top"/>
      <protection locked="0"/>
    </xf>
    <xf numFmtId="0" fontId="16" fillId="4" borderId="0" xfId="0" applyFont="1" applyFill="1" applyAlignment="1" applyProtection="1">
      <alignment horizontal="center" vertical="top" wrapText="1"/>
      <protection locked="0"/>
    </xf>
    <xf numFmtId="14" fontId="16" fillId="4" borderId="0" xfId="0" applyNumberFormat="1" applyFont="1" applyFill="1" applyAlignment="1" applyProtection="1">
      <alignment horizontal="center"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horizontal="left" vertical="top" wrapText="1"/>
      <protection locked="0"/>
    </xf>
    <xf numFmtId="0" fontId="12" fillId="0" borderId="0" xfId="0" applyFont="1" applyAlignment="1" applyProtection="1">
      <alignment vertical="top" wrapText="1"/>
      <protection locked="0"/>
    </xf>
    <xf numFmtId="0" fontId="13" fillId="2" borderId="1" xfId="0" applyFont="1" applyFill="1" applyBorder="1" applyAlignment="1" applyProtection="1">
      <alignment horizontal="center" vertical="top" wrapText="1"/>
      <protection locked="0"/>
    </xf>
    <xf numFmtId="14" fontId="13" fillId="2" borderId="1" xfId="0" applyNumberFormat="1" applyFont="1" applyFill="1" applyBorder="1" applyAlignment="1" applyProtection="1">
      <alignment horizontal="center" vertical="top" wrapText="1"/>
      <protection locked="0"/>
    </xf>
    <xf numFmtId="0" fontId="13" fillId="2" borderId="1" xfId="0" applyFont="1" applyFill="1" applyBorder="1" applyAlignment="1" applyProtection="1">
      <alignment vertical="top"/>
      <protection locked="0"/>
    </xf>
    <xf numFmtId="14" fontId="7" fillId="0" borderId="1" xfId="0" applyNumberFormat="1" applyFont="1" applyBorder="1" applyAlignment="1" applyProtection="1">
      <alignment vertical="top" wrapText="1"/>
      <protection locked="0"/>
    </xf>
    <xf numFmtId="0" fontId="7" fillId="0" borderId="1" xfId="0" applyFont="1" applyBorder="1" applyAlignment="1" applyProtection="1">
      <alignment vertical="top" wrapText="1"/>
      <protection locked="0"/>
    </xf>
    <xf numFmtId="0" fontId="7" fillId="0" borderId="1" xfId="0" applyFont="1" applyBorder="1" applyAlignment="1" applyProtection="1">
      <alignment horizontal="center" vertical="top" wrapText="1"/>
      <protection locked="0"/>
    </xf>
    <xf numFmtId="0" fontId="7" fillId="0" borderId="0" xfId="0" applyFont="1" applyAlignment="1" applyProtection="1">
      <alignment vertical="top" wrapText="1"/>
      <protection locked="0"/>
    </xf>
    <xf numFmtId="0" fontId="10" fillId="4" borderId="1" xfId="0" applyFont="1" applyFill="1" applyBorder="1" applyAlignment="1" applyProtection="1">
      <alignment horizontal="center" vertical="top" wrapText="1"/>
      <protection locked="0"/>
    </xf>
    <xf numFmtId="14" fontId="10" fillId="4" borderId="1" xfId="0" applyNumberFormat="1" applyFont="1" applyFill="1" applyBorder="1" applyAlignment="1" applyProtection="1">
      <alignment horizontal="center" vertical="top" wrapText="1"/>
      <protection locked="0"/>
    </xf>
    <xf numFmtId="0" fontId="10" fillId="4" borderId="1" xfId="0" applyFont="1" applyFill="1" applyBorder="1" applyAlignment="1" applyProtection="1">
      <alignment vertical="top" wrapText="1"/>
      <protection locked="0"/>
    </xf>
    <xf numFmtId="0" fontId="17" fillId="4" borderId="1" xfId="1" applyFont="1" applyFill="1" applyBorder="1" applyAlignment="1" applyProtection="1">
      <alignment vertical="top"/>
      <protection locked="0"/>
    </xf>
    <xf numFmtId="0" fontId="10" fillId="4" borderId="1" xfId="0" applyFont="1" applyFill="1" applyBorder="1" applyAlignment="1" applyProtection="1">
      <alignment vertical="top"/>
      <protection locked="0"/>
    </xf>
    <xf numFmtId="14" fontId="10" fillId="0" borderId="1" xfId="0" applyNumberFormat="1" applyFont="1" applyBorder="1" applyAlignment="1" applyProtection="1">
      <alignment vertical="top" wrapText="1"/>
      <protection locked="0"/>
    </xf>
    <xf numFmtId="0" fontId="10" fillId="0" borderId="1" xfId="0" applyFont="1" applyBorder="1" applyAlignment="1" applyProtection="1">
      <alignment vertical="top" wrapText="1"/>
      <protection locked="0"/>
    </xf>
    <xf numFmtId="0" fontId="10" fillId="0" borderId="1" xfId="0" applyFont="1" applyBorder="1" applyAlignment="1" applyProtection="1">
      <alignment horizontal="center" vertical="top" wrapText="1"/>
      <protection locked="0"/>
    </xf>
    <xf numFmtId="0" fontId="10" fillId="0" borderId="0" xfId="0" applyFont="1" applyAlignment="1" applyProtection="1">
      <alignment vertical="top" wrapText="1"/>
      <protection locked="0"/>
    </xf>
    <xf numFmtId="0" fontId="0" fillId="0" borderId="0" xfId="0" applyProtection="1">
      <protection locked="0"/>
    </xf>
    <xf numFmtId="0" fontId="7" fillId="5" borderId="0" xfId="0" applyFont="1" applyFill="1" applyAlignment="1">
      <alignment vertical="center"/>
    </xf>
    <xf numFmtId="0" fontId="23" fillId="3" borderId="0" xfId="0" applyFont="1" applyFill="1" applyAlignment="1">
      <alignment horizontal="left" vertical="center"/>
    </xf>
    <xf numFmtId="0" fontId="23" fillId="3" borderId="0" xfId="0" applyFont="1" applyFill="1" applyAlignment="1">
      <alignment horizontal="center" vertical="center" wrapText="1"/>
    </xf>
    <xf numFmtId="0" fontId="11" fillId="3" borderId="14" xfId="0" applyFont="1" applyFill="1" applyBorder="1" applyAlignment="1">
      <alignment vertical="center"/>
    </xf>
    <xf numFmtId="14" fontId="7" fillId="3" borderId="0" xfId="0" applyNumberFormat="1" applyFont="1" applyFill="1" applyAlignment="1">
      <alignment vertical="center"/>
    </xf>
    <xf numFmtId="0" fontId="11" fillId="3" borderId="12" xfId="0" applyFont="1" applyFill="1" applyBorder="1" applyAlignment="1">
      <alignment vertical="center"/>
    </xf>
    <xf numFmtId="164" fontId="7" fillId="3" borderId="0" xfId="0" applyNumberFormat="1" applyFont="1" applyFill="1" applyAlignment="1">
      <alignment vertical="center"/>
    </xf>
    <xf numFmtId="0" fontId="11" fillId="3" borderId="0" xfId="0" applyFont="1" applyFill="1" applyAlignment="1">
      <alignment vertical="center"/>
    </xf>
    <xf numFmtId="37" fontId="11" fillId="3" borderId="0" xfId="0" applyNumberFormat="1" applyFont="1" applyFill="1" applyAlignment="1">
      <alignment horizontal="center" vertical="center"/>
    </xf>
    <xf numFmtId="0" fontId="8" fillId="3" borderId="10" xfId="0" applyFont="1" applyFill="1" applyBorder="1" applyAlignment="1">
      <alignment vertical="center"/>
    </xf>
    <xf numFmtId="0" fontId="7" fillId="3" borderId="11" xfId="0" applyFont="1" applyFill="1" applyBorder="1" applyAlignment="1">
      <alignment vertical="center"/>
    </xf>
    <xf numFmtId="0" fontId="3" fillId="0" borderId="0" xfId="0" applyFont="1" applyAlignment="1">
      <alignment vertical="center"/>
    </xf>
    <xf numFmtId="0" fontId="3" fillId="0" borderId="0" xfId="0" applyFont="1"/>
    <xf numFmtId="0" fontId="25" fillId="10" borderId="1" xfId="0" applyFont="1" applyFill="1" applyBorder="1" applyAlignment="1">
      <alignment vertical="center"/>
    </xf>
    <xf numFmtId="0" fontId="8" fillId="4" borderId="0" xfId="0" applyFont="1" applyFill="1" applyAlignment="1">
      <alignment vertical="center"/>
    </xf>
    <xf numFmtId="0" fontId="9" fillId="4" borderId="0" xfId="0" applyFont="1" applyFill="1" applyAlignment="1">
      <alignment vertical="center"/>
    </xf>
    <xf numFmtId="0" fontId="6" fillId="11" borderId="1" xfId="5" applyBorder="1">
      <alignment horizontal="center" vertical="center"/>
    </xf>
    <xf numFmtId="0" fontId="26" fillId="0" borderId="0" xfId="0" applyFont="1" applyAlignment="1">
      <alignment vertical="center" wrapText="1"/>
    </xf>
    <xf numFmtId="0" fontId="25" fillId="10" borderId="2" xfId="2" applyBorder="1">
      <alignment vertical="center"/>
    </xf>
    <xf numFmtId="0" fontId="25" fillId="10" borderId="3" xfId="2" applyBorder="1">
      <alignment vertical="center"/>
    </xf>
    <xf numFmtId="0" fontId="25" fillId="10" borderId="4" xfId="2" applyBorder="1">
      <alignment vertical="center"/>
    </xf>
    <xf numFmtId="0" fontId="6" fillId="11" borderId="2" xfId="5" applyBorder="1" applyAlignment="1">
      <alignment horizontal="left" vertical="center"/>
    </xf>
    <xf numFmtId="0" fontId="6" fillId="11" borderId="3" xfId="5" applyBorder="1" applyAlignment="1">
      <alignment horizontal="left" vertical="center"/>
    </xf>
    <xf numFmtId="0" fontId="6" fillId="11" borderId="4" xfId="5" applyBorder="1" applyAlignment="1">
      <alignment horizontal="left" vertical="center"/>
    </xf>
    <xf numFmtId="0" fontId="7" fillId="0" borderId="1" xfId="0" applyFont="1" applyBorder="1" applyAlignment="1">
      <alignment vertical="center"/>
    </xf>
    <xf numFmtId="0" fontId="7" fillId="2" borderId="1" xfId="0" applyFont="1" applyFill="1" applyBorder="1" applyAlignment="1">
      <alignment vertical="center"/>
    </xf>
    <xf numFmtId="0" fontId="6" fillId="3" borderId="0" xfId="0" applyFont="1" applyFill="1" applyAlignment="1">
      <alignment vertical="center"/>
    </xf>
    <xf numFmtId="0" fontId="30" fillId="15" borderId="1" xfId="0" applyFont="1" applyFill="1" applyBorder="1" applyAlignment="1">
      <alignment horizontal="center" vertical="center"/>
    </xf>
    <xf numFmtId="0" fontId="32" fillId="5" borderId="1" xfId="0" applyFont="1" applyFill="1" applyBorder="1" applyAlignment="1">
      <alignment vertical="center"/>
    </xf>
    <xf numFmtId="0" fontId="7" fillId="4" borderId="6" xfId="5" applyFont="1" applyFill="1" applyBorder="1">
      <alignment horizontal="center" vertical="center"/>
    </xf>
    <xf numFmtId="0" fontId="7" fillId="4" borderId="9" xfId="5" applyFont="1" applyFill="1" applyBorder="1">
      <alignment horizontal="center" vertical="center"/>
    </xf>
    <xf numFmtId="0" fontId="7" fillId="4" borderId="12" xfId="5" applyFont="1" applyFill="1" applyBorder="1">
      <alignment horizontal="center" vertical="center"/>
    </xf>
    <xf numFmtId="0" fontId="7" fillId="4" borderId="7" xfId="5" applyFont="1" applyFill="1" applyBorder="1">
      <alignment horizontal="center" vertical="center"/>
    </xf>
    <xf numFmtId="0" fontId="7" fillId="4" borderId="11" xfId="5" applyFont="1" applyFill="1" applyBorder="1">
      <alignment horizontal="center" vertical="center"/>
    </xf>
    <xf numFmtId="0" fontId="10" fillId="3" borderId="0" xfId="0" applyFont="1" applyFill="1" applyAlignment="1">
      <alignment horizontal="left" vertical="center"/>
    </xf>
    <xf numFmtId="0" fontId="10" fillId="3" borderId="0" xfId="0" applyFont="1" applyFill="1" applyAlignment="1">
      <alignment horizontal="center" vertical="center" wrapText="1"/>
    </xf>
    <xf numFmtId="9" fontId="7" fillId="4" borderId="6" xfId="5" applyNumberFormat="1" applyFont="1" applyFill="1" applyBorder="1">
      <alignment horizontal="center" vertical="center"/>
    </xf>
    <xf numFmtId="9" fontId="7" fillId="4" borderId="7" xfId="5" applyNumberFormat="1" applyFont="1" applyFill="1" applyBorder="1">
      <alignment horizontal="center" vertical="center"/>
    </xf>
    <xf numFmtId="0" fontId="5" fillId="3" borderId="0" xfId="0" applyFont="1" applyFill="1" applyAlignment="1">
      <alignment horizontal="left" vertical="center"/>
    </xf>
    <xf numFmtId="0" fontId="5" fillId="3" borderId="0" xfId="0" applyFont="1" applyFill="1" applyAlignment="1">
      <alignment horizontal="center" vertical="center" wrapText="1"/>
    </xf>
    <xf numFmtId="37" fontId="6" fillId="3" borderId="0" xfId="0" applyNumberFormat="1" applyFont="1" applyFill="1" applyAlignment="1">
      <alignment horizontal="center" vertical="center"/>
    </xf>
    <xf numFmtId="0" fontId="30" fillId="16" borderId="1" xfId="0" applyFont="1" applyFill="1" applyBorder="1" applyAlignment="1">
      <alignment vertical="center"/>
    </xf>
    <xf numFmtId="0" fontId="30" fillId="5" borderId="1" xfId="0" applyFont="1" applyFill="1" applyBorder="1" applyAlignment="1">
      <alignment vertical="center"/>
    </xf>
    <xf numFmtId="3" fontId="7" fillId="4" borderId="1" xfId="0" applyNumberFormat="1" applyFont="1" applyFill="1" applyBorder="1" applyAlignment="1">
      <alignment horizontal="center" vertical="center" wrapText="1"/>
    </xf>
    <xf numFmtId="0" fontId="12" fillId="0" borderId="0" xfId="7" applyFont="1" applyAlignment="1">
      <alignment vertical="center"/>
    </xf>
    <xf numFmtId="43" fontId="7" fillId="3" borderId="1" xfId="8" applyFont="1" applyFill="1" applyBorder="1" applyAlignment="1" applyProtection="1">
      <alignment horizontal="left" vertical="center"/>
      <protection locked="0"/>
    </xf>
    <xf numFmtId="0" fontId="6" fillId="11" borderId="1" xfId="5" applyBorder="1" applyAlignment="1">
      <alignment vertical="center" wrapText="1"/>
    </xf>
    <xf numFmtId="0" fontId="6" fillId="7" borderId="0" xfId="0" applyFont="1" applyFill="1" applyAlignment="1">
      <alignment vertical="center"/>
    </xf>
    <xf numFmtId="0" fontId="24" fillId="3" borderId="0" xfId="0" applyFont="1" applyFill="1" applyAlignment="1">
      <alignment vertical="center"/>
    </xf>
    <xf numFmtId="0" fontId="35" fillId="17" borderId="0" xfId="0" applyFont="1" applyFill="1" applyAlignment="1">
      <alignment vertical="center"/>
    </xf>
    <xf numFmtId="0" fontId="32" fillId="17" borderId="0" xfId="0" applyFont="1" applyFill="1" applyAlignment="1">
      <alignment vertical="top"/>
    </xf>
    <xf numFmtId="0" fontId="36" fillId="17" borderId="0" xfId="0" applyFont="1" applyFill="1" applyAlignment="1">
      <alignment horizontal="left" vertical="top" wrapText="1"/>
    </xf>
    <xf numFmtId="0" fontId="7" fillId="3" borderId="0" xfId="0" applyFont="1" applyFill="1" applyAlignment="1">
      <alignment vertical="center" wrapText="1"/>
    </xf>
    <xf numFmtId="0" fontId="30" fillId="16" borderId="0" xfId="0" applyFont="1" applyFill="1" applyAlignment="1">
      <alignment vertical="center"/>
    </xf>
    <xf numFmtId="0" fontId="30" fillId="16" borderId="0" xfId="0" applyFont="1" applyFill="1" applyAlignment="1">
      <alignment horizontal="center" vertical="center"/>
    </xf>
    <xf numFmtId="0" fontId="22" fillId="0" borderId="12" xfId="0" applyFont="1" applyBorder="1" applyAlignment="1">
      <alignment vertical="center"/>
    </xf>
    <xf numFmtId="0" fontId="7" fillId="3" borderId="12" xfId="0" applyFont="1" applyFill="1" applyBorder="1" applyAlignment="1">
      <alignment vertical="center" wrapText="1"/>
    </xf>
    <xf numFmtId="0" fontId="7" fillId="4" borderId="3" xfId="5" applyFont="1" applyFill="1" applyBorder="1">
      <alignment horizontal="center" vertical="center"/>
    </xf>
    <xf numFmtId="0" fontId="7" fillId="4" borderId="4" xfId="5" applyFont="1" applyFill="1" applyBorder="1">
      <alignment horizontal="center" vertical="center"/>
    </xf>
    <xf numFmtId="167" fontId="7" fillId="3" borderId="1" xfId="8" applyNumberFormat="1" applyFont="1" applyFill="1" applyBorder="1" applyAlignment="1" applyProtection="1">
      <alignment horizontal="center" vertical="center"/>
      <protection locked="0"/>
    </xf>
    <xf numFmtId="43" fontId="32" fillId="5" borderId="1" xfId="8" applyFont="1" applyFill="1" applyBorder="1" applyAlignment="1">
      <alignment vertical="center"/>
    </xf>
    <xf numFmtId="0" fontId="6" fillId="11" borderId="2" xfId="5" applyBorder="1" applyAlignment="1">
      <alignment vertical="center" wrapText="1"/>
    </xf>
    <xf numFmtId="0" fontId="6" fillId="11" borderId="3" xfId="5" applyBorder="1" applyAlignment="1">
      <alignment vertical="center" wrapText="1"/>
    </xf>
    <xf numFmtId="0" fontId="6" fillId="11" borderId="4" xfId="5" applyBorder="1" applyAlignment="1">
      <alignment vertical="center" wrapText="1"/>
    </xf>
    <xf numFmtId="0" fontId="36" fillId="17" borderId="0" xfId="0" applyFont="1" applyFill="1" applyAlignment="1">
      <alignment vertical="center"/>
    </xf>
    <xf numFmtId="0" fontId="7" fillId="18" borderId="0" xfId="0" applyFont="1" applyFill="1" applyAlignment="1">
      <alignment vertical="top"/>
    </xf>
    <xf numFmtId="0" fontId="7" fillId="18" borderId="0" xfId="0" applyFont="1" applyFill="1"/>
    <xf numFmtId="0" fontId="7" fillId="18" borderId="0" xfId="0" applyFont="1" applyFill="1" applyAlignment="1">
      <alignment vertical="center"/>
    </xf>
    <xf numFmtId="0" fontId="21" fillId="19" borderId="0" xfId="0" applyFont="1" applyFill="1" applyAlignment="1">
      <alignment horizontal="left" vertical="center" indent="1"/>
    </xf>
    <xf numFmtId="166" fontId="7" fillId="18" borderId="0" xfId="0" applyNumberFormat="1" applyFont="1" applyFill="1" applyAlignment="1">
      <alignment vertical="center"/>
    </xf>
    <xf numFmtId="0" fontId="6" fillId="18" borderId="0" xfId="0" applyFont="1" applyFill="1" applyAlignment="1">
      <alignment vertical="center"/>
    </xf>
    <xf numFmtId="0" fontId="7" fillId="18" borderId="0" xfId="0" applyFont="1" applyFill="1" applyAlignment="1">
      <alignment horizontal="left" vertical="center"/>
    </xf>
    <xf numFmtId="0" fontId="11" fillId="18" borderId="0" xfId="0" applyFont="1" applyFill="1"/>
    <xf numFmtId="0" fontId="0" fillId="18" borderId="0" xfId="0" applyFill="1"/>
    <xf numFmtId="0" fontId="7" fillId="19" borderId="0" xfId="0" applyFont="1" applyFill="1" applyAlignment="1">
      <alignment horizontal="center" vertical="center"/>
    </xf>
    <xf numFmtId="0" fontId="7" fillId="19" borderId="0" xfId="0" applyFont="1" applyFill="1"/>
    <xf numFmtId="0" fontId="9" fillId="18" borderId="0" xfId="0" applyFont="1" applyFill="1" applyAlignment="1">
      <alignment vertical="center" wrapText="1"/>
    </xf>
    <xf numFmtId="0" fontId="26" fillId="18" borderId="0" xfId="0" applyFont="1" applyFill="1" applyAlignment="1">
      <alignment vertical="center" wrapText="1"/>
    </xf>
    <xf numFmtId="3" fontId="7" fillId="18" borderId="0" xfId="0" applyNumberFormat="1" applyFont="1" applyFill="1" applyAlignment="1">
      <alignment horizontal="left" vertical="center"/>
    </xf>
    <xf numFmtId="165" fontId="7" fillId="18" borderId="0" xfId="0" applyNumberFormat="1" applyFont="1" applyFill="1" applyAlignment="1">
      <alignment horizontal="left" vertical="center"/>
    </xf>
    <xf numFmtId="0" fontId="11" fillId="18" borderId="0" xfId="0" applyFont="1" applyFill="1" applyAlignment="1">
      <alignment vertical="center"/>
    </xf>
    <xf numFmtId="0" fontId="7" fillId="19" borderId="0" xfId="0" applyFont="1" applyFill="1" applyAlignment="1">
      <alignment vertical="center"/>
    </xf>
    <xf numFmtId="0" fontId="22" fillId="18" borderId="0" xfId="0" applyFont="1" applyFill="1" applyAlignment="1">
      <alignment vertical="center"/>
    </xf>
    <xf numFmtId="0" fontId="7" fillId="18" borderId="0" xfId="0" quotePrefix="1" applyFont="1" applyFill="1" applyAlignment="1">
      <alignment vertical="center"/>
    </xf>
    <xf numFmtId="0" fontId="38" fillId="19" borderId="0" xfId="0" applyFont="1" applyFill="1"/>
    <xf numFmtId="0" fontId="21" fillId="19" borderId="0" xfId="0" applyFont="1" applyFill="1"/>
    <xf numFmtId="0" fontId="32" fillId="19" borderId="0" xfId="0" applyFont="1" applyFill="1" applyAlignment="1">
      <alignment horizontal="center" vertical="center"/>
    </xf>
    <xf numFmtId="0" fontId="40" fillId="19" borderId="0" xfId="0" applyFont="1" applyFill="1"/>
    <xf numFmtId="0" fontId="21" fillId="19" borderId="0" xfId="7" applyFont="1" applyFill="1" applyAlignment="1">
      <alignment horizontal="left" vertical="center" indent="1"/>
    </xf>
    <xf numFmtId="0" fontId="6" fillId="11" borderId="15" xfId="5" applyBorder="1" applyAlignment="1">
      <alignment horizontal="center" vertical="center" wrapText="1"/>
    </xf>
    <xf numFmtId="0" fontId="30" fillId="17" borderId="0" xfId="0" applyFont="1" applyFill="1" applyAlignment="1">
      <alignment horizontal="left" vertical="top" wrapText="1"/>
    </xf>
    <xf numFmtId="0" fontId="6" fillId="3" borderId="0" xfId="0" applyFont="1" applyFill="1" applyAlignment="1">
      <alignment vertical="top"/>
    </xf>
    <xf numFmtId="0" fontId="7" fillId="3" borderId="0" xfId="0" applyFont="1" applyFill="1" applyAlignment="1">
      <alignment vertical="top"/>
    </xf>
    <xf numFmtId="0" fontId="30" fillId="20" borderId="1" xfId="0" applyFont="1" applyFill="1" applyBorder="1" applyAlignment="1">
      <alignment vertical="center"/>
    </xf>
    <xf numFmtId="0" fontId="6" fillId="19" borderId="0" xfId="0" applyFont="1" applyFill="1" applyAlignment="1">
      <alignment vertical="center"/>
    </xf>
    <xf numFmtId="0" fontId="11" fillId="19" borderId="0" xfId="0" applyFont="1" applyFill="1"/>
    <xf numFmtId="0" fontId="7" fillId="19" borderId="0" xfId="0" applyFont="1" applyFill="1" applyAlignment="1">
      <alignment horizontal="left" vertical="center"/>
    </xf>
    <xf numFmtId="0" fontId="14" fillId="19" borderId="0" xfId="0" applyFont="1" applyFill="1" applyAlignment="1">
      <alignment vertical="center"/>
    </xf>
    <xf numFmtId="0" fontId="19" fillId="19" borderId="0" xfId="0" applyFont="1" applyFill="1"/>
    <xf numFmtId="0" fontId="20" fillId="19" borderId="0" xfId="0" applyFont="1" applyFill="1" applyAlignment="1">
      <alignment horizontal="left"/>
    </xf>
    <xf numFmtId="0" fontId="18" fillId="19" borderId="0" xfId="0" applyFont="1" applyFill="1"/>
    <xf numFmtId="0" fontId="18" fillId="19" borderId="0" xfId="0" applyFont="1" applyFill="1" applyAlignment="1">
      <alignment horizontal="left"/>
    </xf>
    <xf numFmtId="0" fontId="18" fillId="19" borderId="0" xfId="0" applyFont="1" applyFill="1" applyAlignment="1">
      <alignment vertical="center"/>
    </xf>
    <xf numFmtId="0" fontId="18" fillId="19" borderId="0" xfId="0" applyFont="1" applyFill="1" applyAlignment="1">
      <alignment horizontal="left" vertical="center"/>
    </xf>
    <xf numFmtId="0" fontId="19" fillId="19" borderId="0" xfId="0" applyFont="1" applyFill="1" applyAlignment="1">
      <alignment vertical="center"/>
    </xf>
    <xf numFmtId="0" fontId="19" fillId="0" borderId="0" xfId="0" applyFont="1"/>
    <xf numFmtId="0" fontId="20" fillId="0" borderId="0" xfId="0" applyFont="1" applyAlignment="1">
      <alignment horizontal="left"/>
    </xf>
    <xf numFmtId="0" fontId="18" fillId="0" borderId="0" xfId="0" applyFont="1"/>
    <xf numFmtId="0" fontId="18" fillId="0" borderId="0" xfId="0" applyFont="1" applyAlignment="1">
      <alignment horizontal="left"/>
    </xf>
    <xf numFmtId="0" fontId="3" fillId="0" borderId="0" xfId="0" applyFont="1" applyAlignment="1">
      <alignment horizontal="left"/>
    </xf>
    <xf numFmtId="0" fontId="7" fillId="18" borderId="0" xfId="7" applyFont="1" applyFill="1" applyAlignment="1">
      <alignment vertical="center"/>
    </xf>
    <xf numFmtId="0" fontId="32" fillId="18" borderId="0" xfId="0" applyFont="1" applyFill="1" applyAlignment="1">
      <alignment vertical="center"/>
    </xf>
    <xf numFmtId="0" fontId="33" fillId="18" borderId="0" xfId="0" applyFont="1" applyFill="1" applyAlignment="1">
      <alignment horizontal="left" vertical="center"/>
    </xf>
    <xf numFmtId="0" fontId="33" fillId="18" borderId="0" xfId="0" applyFont="1" applyFill="1" applyAlignment="1">
      <alignment vertical="center"/>
    </xf>
    <xf numFmtId="0" fontId="32" fillId="18" borderId="0" xfId="0" applyFont="1" applyFill="1" applyAlignment="1">
      <alignment horizontal="left" vertical="center"/>
    </xf>
    <xf numFmtId="0" fontId="7" fillId="18" borderId="0" xfId="0" applyFont="1" applyFill="1" applyAlignment="1">
      <alignment horizontal="center" vertical="center"/>
    </xf>
    <xf numFmtId="43" fontId="7" fillId="4" borderId="1" xfId="8" applyFont="1" applyFill="1" applyBorder="1" applyAlignment="1" applyProtection="1">
      <alignment horizontal="left" vertical="center"/>
    </xf>
    <xf numFmtId="0" fontId="45" fillId="18" borderId="0" xfId="0" applyFont="1" applyFill="1" applyAlignment="1">
      <alignment horizontal="center" vertical="center"/>
    </xf>
    <xf numFmtId="0" fontId="46" fillId="19" borderId="0" xfId="10" applyFont="1" applyFill="1" applyAlignment="1">
      <alignment horizontal="center" vertical="center"/>
    </xf>
    <xf numFmtId="0" fontId="5" fillId="19" borderId="0" xfId="0" applyFont="1" applyFill="1" applyAlignment="1">
      <alignment horizontal="left" vertical="center"/>
    </xf>
    <xf numFmtId="0" fontId="14" fillId="19" borderId="0" xfId="10" applyFont="1" applyFill="1" applyAlignment="1">
      <alignment vertical="center"/>
    </xf>
    <xf numFmtId="0" fontId="1" fillId="19" borderId="0" xfId="7" applyFont="1" applyFill="1"/>
    <xf numFmtId="0" fontId="14" fillId="0" borderId="0" xfId="10" applyFont="1" applyAlignment="1">
      <alignment vertical="center"/>
    </xf>
    <xf numFmtId="43" fontId="7" fillId="3" borderId="2" xfId="8" applyFont="1" applyFill="1" applyBorder="1" applyAlignment="1" applyProtection="1">
      <alignment horizontal="left" vertical="center"/>
      <protection locked="0"/>
    </xf>
    <xf numFmtId="43" fontId="7" fillId="3" borderId="4" xfId="8" applyFont="1" applyFill="1" applyBorder="1" applyAlignment="1" applyProtection="1">
      <alignment horizontal="left" vertical="center"/>
      <protection locked="0"/>
    </xf>
    <xf numFmtId="37" fontId="7" fillId="4" borderId="1" xfId="8" applyNumberFormat="1" applyFont="1" applyFill="1" applyBorder="1" applyAlignment="1" applyProtection="1">
      <alignment horizontal="right" vertical="center"/>
    </xf>
    <xf numFmtId="37" fontId="7" fillId="3" borderId="1" xfId="8" applyNumberFormat="1" applyFont="1" applyFill="1" applyBorder="1" applyAlignment="1" applyProtection="1">
      <alignment horizontal="right" vertical="center"/>
      <protection locked="0"/>
    </xf>
    <xf numFmtId="39" fontId="7" fillId="4" borderId="1" xfId="8" applyNumberFormat="1" applyFont="1" applyFill="1" applyBorder="1" applyAlignment="1" applyProtection="1">
      <alignment horizontal="right" vertical="center"/>
    </xf>
    <xf numFmtId="43" fontId="7" fillId="2" borderId="1" xfId="8" applyFont="1" applyFill="1" applyBorder="1" applyAlignment="1" applyProtection="1">
      <alignment horizontal="left" vertical="center"/>
    </xf>
    <xf numFmtId="164" fontId="32" fillId="20" borderId="1" xfId="8" applyNumberFormat="1" applyFont="1" applyFill="1" applyBorder="1" applyAlignment="1">
      <alignment horizontal="center" vertical="center"/>
    </xf>
    <xf numFmtId="0" fontId="6" fillId="11" borderId="2" xfId="5" applyBorder="1" applyAlignment="1">
      <alignment vertical="center"/>
    </xf>
    <xf numFmtId="0" fontId="6" fillId="11" borderId="3" xfId="5" applyBorder="1" applyAlignment="1">
      <alignment vertical="center"/>
    </xf>
    <xf numFmtId="0" fontId="6" fillId="11" borderId="4" xfId="5" applyBorder="1" applyAlignment="1">
      <alignment vertical="center"/>
    </xf>
    <xf numFmtId="0" fontId="32" fillId="5" borderId="2" xfId="0" applyFont="1" applyFill="1" applyBorder="1" applyAlignment="1">
      <alignment vertical="center"/>
    </xf>
    <xf numFmtId="0" fontId="32" fillId="5" borderId="4" xfId="0" applyFont="1" applyFill="1" applyBorder="1" applyAlignment="1">
      <alignment vertical="center"/>
    </xf>
    <xf numFmtId="0" fontId="6" fillId="11" borderId="4" xfId="5" applyBorder="1">
      <alignment horizontal="center" vertical="center"/>
    </xf>
    <xf numFmtId="0" fontId="5" fillId="22" borderId="17" xfId="7" applyFont="1" applyFill="1" applyBorder="1" applyAlignment="1">
      <alignment horizontal="center" vertical="center"/>
    </xf>
    <xf numFmtId="0" fontId="10" fillId="22" borderId="13" xfId="7" applyFont="1" applyFill="1" applyBorder="1" applyAlignment="1">
      <alignment horizontal="center" vertical="center"/>
    </xf>
    <xf numFmtId="0" fontId="32" fillId="15" borderId="1" xfId="0" applyFont="1" applyFill="1" applyBorder="1" applyAlignment="1">
      <alignment horizontal="center" vertical="center"/>
    </xf>
    <xf numFmtId="0" fontId="21" fillId="19" borderId="0" xfId="0" applyFont="1" applyFill="1" applyAlignment="1">
      <alignment vertical="center"/>
    </xf>
    <xf numFmtId="39" fontId="7" fillId="5" borderId="1" xfId="9" applyNumberFormat="1" applyFont="1" applyFill="1" applyBorder="1" applyAlignment="1">
      <alignment horizontal="right" vertical="center"/>
    </xf>
    <xf numFmtId="9" fontId="7" fillId="5" borderId="1" xfId="9" applyFont="1" applyFill="1" applyBorder="1" applyAlignment="1">
      <alignment vertical="center"/>
    </xf>
    <xf numFmtId="0" fontId="38" fillId="19" borderId="0" xfId="0" applyFont="1" applyFill="1" applyAlignment="1">
      <alignment vertical="center"/>
    </xf>
    <xf numFmtId="168" fontId="7" fillId="4" borderId="1" xfId="0" applyNumberFormat="1" applyFont="1" applyFill="1" applyBorder="1" applyAlignment="1">
      <alignment horizontal="right" vertical="center"/>
    </xf>
    <xf numFmtId="168" fontId="7" fillId="3" borderId="1" xfId="8" applyNumberFormat="1" applyFont="1" applyFill="1" applyBorder="1" applyAlignment="1" applyProtection="1">
      <alignment horizontal="right" vertical="center"/>
      <protection locked="0"/>
    </xf>
    <xf numFmtId="0" fontId="1" fillId="19" borderId="0" xfId="0" applyFont="1" applyFill="1" applyAlignment="1">
      <alignment vertical="center"/>
    </xf>
    <xf numFmtId="0" fontId="1" fillId="19" borderId="0" xfId="0" applyFont="1" applyFill="1"/>
    <xf numFmtId="0" fontId="1" fillId="0" borderId="0" xfId="0" applyFont="1"/>
    <xf numFmtId="0" fontId="1" fillId="18" borderId="0" xfId="0" applyFont="1" applyFill="1"/>
    <xf numFmtId="43" fontId="1" fillId="19" borderId="0" xfId="0" applyNumberFormat="1" applyFont="1" applyFill="1"/>
    <xf numFmtId="0" fontId="1" fillId="19" borderId="0" xfId="0" applyFont="1" applyFill="1" applyAlignment="1">
      <alignment horizontal="left" vertical="center" wrapText="1"/>
    </xf>
    <xf numFmtId="0" fontId="45" fillId="19" borderId="0" xfId="0" applyFont="1" applyFill="1" applyAlignment="1">
      <alignment horizontal="center" vertical="center"/>
    </xf>
    <xf numFmtId="0" fontId="1" fillId="0" borderId="0" xfId="7" applyFont="1"/>
    <xf numFmtId="167" fontId="7" fillId="2" borderId="1" xfId="8" applyNumberFormat="1" applyFont="1" applyFill="1" applyBorder="1" applyAlignment="1" applyProtection="1">
      <alignment horizontal="center" vertical="center"/>
    </xf>
    <xf numFmtId="167" fontId="7" fillId="4" borderId="1" xfId="8" applyNumberFormat="1" applyFont="1" applyFill="1" applyBorder="1" applyAlignment="1" applyProtection="1">
      <alignment horizontal="center" vertical="center"/>
    </xf>
    <xf numFmtId="0" fontId="32" fillId="17" borderId="0" xfId="0" applyFont="1" applyFill="1" applyAlignment="1">
      <alignment vertical="center"/>
    </xf>
    <xf numFmtId="0" fontId="32" fillId="17" borderId="0" xfId="0" applyFont="1" applyFill="1" applyAlignment="1">
      <alignment vertical="top" wrapText="1"/>
    </xf>
    <xf numFmtId="0" fontId="1" fillId="19" borderId="0" xfId="7" applyFont="1" applyFill="1" applyAlignment="1">
      <alignment horizontal="center" vertical="center"/>
    </xf>
    <xf numFmtId="0" fontId="7" fillId="7" borderId="14" xfId="7" applyFont="1" applyFill="1" applyBorder="1" applyAlignment="1">
      <alignment horizontal="center" vertical="top"/>
    </xf>
    <xf numFmtId="0" fontId="39" fillId="7" borderId="0" xfId="7" applyFont="1" applyFill="1" applyAlignment="1">
      <alignment vertical="center"/>
    </xf>
    <xf numFmtId="0" fontId="6" fillId="7" borderId="0" xfId="7" applyFont="1" applyFill="1" applyAlignment="1">
      <alignment vertical="center"/>
    </xf>
    <xf numFmtId="0" fontId="6" fillId="7" borderId="0" xfId="7" applyFont="1" applyFill="1" applyAlignment="1">
      <alignment vertical="top"/>
    </xf>
    <xf numFmtId="0" fontId="7" fillId="7" borderId="12" xfId="0" applyFont="1" applyFill="1" applyBorder="1" applyAlignment="1">
      <alignment vertical="top"/>
    </xf>
    <xf numFmtId="0" fontId="7" fillId="0" borderId="0" xfId="7" applyFont="1" applyAlignment="1">
      <alignment vertical="top"/>
    </xf>
    <xf numFmtId="0" fontId="7" fillId="7" borderId="0" xfId="7" applyFont="1" applyFill="1" applyAlignment="1">
      <alignment vertical="center"/>
    </xf>
    <xf numFmtId="0" fontId="1" fillId="7" borderId="10" xfId="0" applyFont="1" applyFill="1" applyBorder="1" applyAlignment="1">
      <alignment horizontal="center" vertical="center"/>
    </xf>
    <xf numFmtId="0" fontId="1" fillId="0" borderId="0" xfId="0" applyFont="1" applyAlignment="1">
      <alignment vertical="center"/>
    </xf>
    <xf numFmtId="0" fontId="31" fillId="5" borderId="2" xfId="0" applyFont="1" applyFill="1" applyBorder="1" applyAlignment="1">
      <alignment vertical="center"/>
    </xf>
    <xf numFmtId="0" fontId="31" fillId="5" borderId="4" xfId="0" applyFont="1" applyFill="1" applyBorder="1" applyAlignment="1">
      <alignment vertical="center"/>
    </xf>
    <xf numFmtId="0" fontId="7" fillId="4" borderId="2" xfId="0" applyFont="1" applyFill="1" applyBorder="1" applyAlignment="1">
      <alignment vertical="center"/>
    </xf>
    <xf numFmtId="0" fontId="7" fillId="4" borderId="4" xfId="0" applyFont="1" applyFill="1" applyBorder="1" applyAlignment="1">
      <alignment vertical="center"/>
    </xf>
    <xf numFmtId="0" fontId="22" fillId="8" borderId="2" xfId="7" applyFont="1" applyFill="1" applyBorder="1" applyAlignment="1">
      <alignment horizontal="left" vertical="center"/>
    </xf>
    <xf numFmtId="0" fontId="22" fillId="8" borderId="4" xfId="7" applyFont="1" applyFill="1" applyBorder="1" applyAlignment="1">
      <alignment horizontal="left" vertical="center"/>
    </xf>
    <xf numFmtId="0" fontId="7" fillId="8" borderId="2" xfId="7" applyFont="1" applyFill="1" applyBorder="1" applyAlignment="1">
      <alignment horizontal="left" vertical="center"/>
    </xf>
    <xf numFmtId="0" fontId="7" fillId="8" borderId="4" xfId="7" applyFont="1" applyFill="1" applyBorder="1" applyAlignment="1">
      <alignment horizontal="left" vertical="center"/>
    </xf>
    <xf numFmtId="0" fontId="7" fillId="8" borderId="8" xfId="7" applyFont="1" applyFill="1" applyBorder="1" applyAlignment="1">
      <alignment horizontal="left" vertical="center"/>
    </xf>
    <xf numFmtId="0" fontId="7" fillId="8" borderId="9" xfId="7" applyFont="1" applyFill="1" applyBorder="1" applyAlignment="1">
      <alignment horizontal="left" vertical="center"/>
    </xf>
    <xf numFmtId="0" fontId="7" fillId="8" borderId="10" xfId="7" applyFont="1" applyFill="1" applyBorder="1" applyAlignment="1">
      <alignment horizontal="left" vertical="center"/>
    </xf>
    <xf numFmtId="0" fontId="7" fillId="8" borderId="11" xfId="7" applyFont="1" applyFill="1" applyBorder="1" applyAlignment="1">
      <alignment horizontal="left" vertical="center"/>
    </xf>
    <xf numFmtId="39" fontId="7" fillId="4" borderId="1" xfId="8" applyNumberFormat="1" applyFont="1" applyFill="1" applyBorder="1" applyAlignment="1">
      <alignment horizontal="right" vertical="center"/>
    </xf>
    <xf numFmtId="9" fontId="7" fillId="4" borderId="1" xfId="9" applyFont="1" applyFill="1" applyBorder="1" applyAlignment="1">
      <alignment horizontal="center" vertical="center"/>
    </xf>
    <xf numFmtId="39" fontId="7" fillId="4" borderId="1" xfId="0" applyNumberFormat="1" applyFont="1" applyFill="1" applyBorder="1" applyAlignment="1">
      <alignment horizontal="center" vertical="center"/>
    </xf>
    <xf numFmtId="37" fontId="7" fillId="4" borderId="2" xfId="0" applyNumberFormat="1" applyFont="1" applyFill="1" applyBorder="1" applyAlignment="1">
      <alignment horizontal="left" vertical="center" indent="2"/>
    </xf>
    <xf numFmtId="9" fontId="7" fillId="4" borderId="8" xfId="5" applyNumberFormat="1" applyFont="1" applyFill="1" applyBorder="1" applyAlignment="1">
      <alignment horizontal="left" vertical="center" indent="2"/>
    </xf>
    <xf numFmtId="0" fontId="7" fillId="4" borderId="0" xfId="5" applyFont="1" applyFill="1">
      <alignment horizontal="center" vertical="center"/>
    </xf>
    <xf numFmtId="0" fontId="7" fillId="4" borderId="8" xfId="5" applyFont="1" applyFill="1" applyBorder="1" applyAlignment="1">
      <alignment horizontal="left" vertical="center" indent="2"/>
    </xf>
    <xf numFmtId="0" fontId="7" fillId="4" borderId="14" xfId="5" applyFont="1" applyFill="1" applyBorder="1" applyAlignment="1">
      <alignment horizontal="left" vertical="center" indent="2"/>
    </xf>
    <xf numFmtId="0" fontId="7" fillId="4" borderId="10" xfId="5" applyFont="1" applyFill="1" applyBorder="1" applyAlignment="1">
      <alignment horizontal="left" vertical="center" indent="2"/>
    </xf>
    <xf numFmtId="9" fontId="7" fillId="4" borderId="0" xfId="5" applyNumberFormat="1" applyFont="1" applyFill="1">
      <alignment horizontal="center" vertical="center"/>
    </xf>
    <xf numFmtId="9" fontId="7" fillId="4" borderId="14" xfId="5" quotePrefix="1" applyNumberFormat="1" applyFont="1" applyFill="1" applyBorder="1" applyAlignment="1">
      <alignment horizontal="left" vertical="center" indent="2"/>
    </xf>
    <xf numFmtId="9" fontId="7" fillId="4" borderId="10" xfId="5" quotePrefix="1" applyNumberFormat="1" applyFont="1" applyFill="1" applyBorder="1" applyAlignment="1">
      <alignment horizontal="left" vertical="center" indent="2"/>
    </xf>
    <xf numFmtId="43" fontId="7" fillId="2" borderId="1" xfId="8" applyFont="1" applyFill="1" applyBorder="1" applyAlignment="1" applyProtection="1">
      <alignment horizontal="center" vertical="center"/>
    </xf>
    <xf numFmtId="43" fontId="32" fillId="20" borderId="1" xfId="0" applyNumberFormat="1" applyFont="1" applyFill="1" applyBorder="1" applyAlignment="1">
      <alignment horizontal="center" vertical="center"/>
    </xf>
    <xf numFmtId="167" fontId="32" fillId="20" borderId="1" xfId="0" applyNumberFormat="1" applyFont="1" applyFill="1" applyBorder="1" applyAlignment="1">
      <alignment horizontal="center" vertical="center"/>
    </xf>
    <xf numFmtId="164" fontId="32" fillId="20" borderId="1" xfId="8" applyNumberFormat="1" applyFont="1" applyFill="1" applyBorder="1" applyAlignment="1" applyProtection="1">
      <alignment horizontal="center" vertical="center"/>
    </xf>
    <xf numFmtId="167" fontId="7" fillId="20" borderId="1" xfId="8" applyNumberFormat="1" applyFont="1" applyFill="1" applyBorder="1" applyAlignment="1" applyProtection="1">
      <alignment horizontal="center" vertical="center"/>
    </xf>
    <xf numFmtId="0" fontId="1" fillId="0" borderId="0" xfId="0" applyFont="1" applyAlignment="1" applyProtection="1">
      <alignment vertical="top" wrapText="1"/>
      <protection locked="0"/>
    </xf>
    <xf numFmtId="0" fontId="1" fillId="5" borderId="0" xfId="0" applyFont="1" applyFill="1" applyAlignment="1">
      <alignment horizontal="center" vertical="center"/>
    </xf>
    <xf numFmtId="0" fontId="1" fillId="18" borderId="0" xfId="0" applyFont="1" applyFill="1" applyAlignment="1">
      <alignment vertical="top"/>
    </xf>
    <xf numFmtId="0" fontId="1" fillId="7" borderId="8" xfId="0" applyFont="1" applyFill="1" applyBorder="1" applyAlignment="1">
      <alignment vertical="center"/>
    </xf>
    <xf numFmtId="0" fontId="1" fillId="7" borderId="6" xfId="0" applyFont="1" applyFill="1" applyBorder="1" applyAlignment="1">
      <alignment vertical="center"/>
    </xf>
    <xf numFmtId="0" fontId="1" fillId="7" borderId="9" xfId="0" applyFont="1" applyFill="1" applyBorder="1" applyAlignment="1">
      <alignment vertical="center"/>
    </xf>
    <xf numFmtId="0" fontId="1" fillId="19" borderId="0" xfId="0" applyFont="1" applyFill="1" applyAlignment="1">
      <alignment horizontal="center" vertical="center"/>
    </xf>
    <xf numFmtId="9" fontId="1" fillId="20" borderId="1" xfId="9" applyFont="1" applyFill="1" applyBorder="1" applyAlignment="1">
      <alignment vertical="center"/>
    </xf>
    <xf numFmtId="0" fontId="1" fillId="20" borderId="1" xfId="0" applyFont="1" applyFill="1" applyBorder="1" applyAlignment="1">
      <alignment vertical="center"/>
    </xf>
    <xf numFmtId="0" fontId="1" fillId="18" borderId="0" xfId="0" applyFont="1" applyFill="1" applyAlignment="1">
      <alignment horizontal="center" vertical="center"/>
    </xf>
    <xf numFmtId="0" fontId="1" fillId="18" borderId="0" xfId="0" applyFont="1" applyFill="1" applyAlignment="1">
      <alignment vertical="center"/>
    </xf>
    <xf numFmtId="0" fontId="1" fillId="18" borderId="0" xfId="0" applyFont="1" applyFill="1" applyAlignment="1">
      <alignment horizontal="left" vertical="center"/>
    </xf>
    <xf numFmtId="0" fontId="1" fillId="18" borderId="0" xfId="7" applyFont="1" applyFill="1" applyAlignment="1">
      <alignment horizontal="left" vertical="center"/>
    </xf>
    <xf numFmtId="0" fontId="1" fillId="18" borderId="0" xfId="7" applyFont="1" applyFill="1" applyAlignment="1">
      <alignment vertical="center"/>
    </xf>
    <xf numFmtId="0" fontId="1" fillId="19" borderId="0" xfId="7" applyFont="1" applyFill="1" applyAlignment="1">
      <alignment vertical="center"/>
    </xf>
    <xf numFmtId="0" fontId="1" fillId="5" borderId="0" xfId="7" applyFont="1" applyFill="1" applyAlignment="1">
      <alignment vertical="center"/>
    </xf>
    <xf numFmtId="0" fontId="1" fillId="19" borderId="0" xfId="0" applyFont="1" applyFill="1" applyAlignment="1">
      <alignment horizontal="left" vertical="center"/>
    </xf>
    <xf numFmtId="0" fontId="1" fillId="5" borderId="1" xfId="0" applyFont="1" applyFill="1" applyBorder="1"/>
    <xf numFmtId="39" fontId="1" fillId="5" borderId="1" xfId="0" applyNumberFormat="1" applyFont="1" applyFill="1" applyBorder="1"/>
    <xf numFmtId="0" fontId="2" fillId="0" borderId="0" xfId="0" applyFont="1"/>
    <xf numFmtId="0" fontId="2" fillId="0" borderId="0" xfId="0" applyFont="1" applyAlignment="1">
      <alignment horizontal="left"/>
    </xf>
    <xf numFmtId="0" fontId="1" fillId="5" borderId="0" xfId="0" applyFont="1" applyFill="1"/>
    <xf numFmtId="0" fontId="1" fillId="5" borderId="0" xfId="0" applyFont="1" applyFill="1" applyAlignment="1">
      <alignment vertical="center"/>
    </xf>
    <xf numFmtId="0" fontId="1" fillId="6" borderId="0" xfId="0" applyFont="1" applyFill="1" applyAlignment="1">
      <alignment vertical="center"/>
    </xf>
    <xf numFmtId="0" fontId="1" fillId="6" borderId="0" xfId="0" applyFont="1" applyFill="1" applyAlignment="1">
      <alignment horizontal="left" vertical="center"/>
    </xf>
    <xf numFmtId="0" fontId="1" fillId="7" borderId="6" xfId="0" applyFont="1" applyFill="1" applyBorder="1" applyAlignment="1">
      <alignment horizontal="left" vertical="center"/>
    </xf>
    <xf numFmtId="0" fontId="1" fillId="3" borderId="14" xfId="0" applyFont="1" applyFill="1" applyBorder="1" applyAlignment="1">
      <alignment vertical="center"/>
    </xf>
    <xf numFmtId="0" fontId="1" fillId="3" borderId="0" xfId="0" applyFont="1" applyFill="1" applyAlignment="1">
      <alignment vertical="center"/>
    </xf>
    <xf numFmtId="0" fontId="1" fillId="3" borderId="12" xfId="0" applyFont="1" applyFill="1" applyBorder="1" applyAlignment="1">
      <alignment vertical="center"/>
    </xf>
    <xf numFmtId="0" fontId="1" fillId="4" borderId="0" xfId="0" applyFont="1" applyFill="1" applyAlignment="1">
      <alignment vertical="center"/>
    </xf>
    <xf numFmtId="0" fontId="1" fillId="4" borderId="0" xfId="0" applyFont="1" applyFill="1" applyAlignment="1">
      <alignment vertical="top"/>
    </xf>
    <xf numFmtId="0" fontId="1" fillId="4" borderId="0" xfId="0" applyFont="1" applyFill="1"/>
    <xf numFmtId="43" fontId="32" fillId="5" borderId="1" xfId="8" applyFont="1" applyFill="1" applyBorder="1" applyAlignment="1" applyProtection="1">
      <alignment vertical="center"/>
    </xf>
    <xf numFmtId="0" fontId="21" fillId="19" borderId="0" xfId="0" applyFont="1" applyFill="1" applyAlignment="1">
      <alignment horizontal="left" indent="1"/>
    </xf>
    <xf numFmtId="0" fontId="27" fillId="12" borderId="2" xfId="0" applyFont="1" applyFill="1" applyBorder="1" applyAlignment="1">
      <alignment horizontal="left" vertical="center" wrapText="1"/>
    </xf>
    <xf numFmtId="0" fontId="27" fillId="12" borderId="3" xfId="0" applyFont="1" applyFill="1" applyBorder="1" applyAlignment="1">
      <alignment horizontal="left" vertical="center" wrapText="1"/>
    </xf>
    <xf numFmtId="0" fontId="27" fillId="12" borderId="4" xfId="0" applyFont="1" applyFill="1" applyBorder="1" applyAlignment="1">
      <alignment horizontal="left" vertical="center" wrapText="1"/>
    </xf>
    <xf numFmtId="0" fontId="27" fillId="13" borderId="2" xfId="0" applyFont="1" applyFill="1" applyBorder="1" applyAlignment="1">
      <alignment horizontal="left" vertical="center" wrapText="1"/>
    </xf>
    <xf numFmtId="0" fontId="27" fillId="13" borderId="3" xfId="0" applyFont="1" applyFill="1" applyBorder="1" applyAlignment="1">
      <alignment horizontal="left" vertical="center" wrapText="1"/>
    </xf>
    <xf numFmtId="0" fontId="27" fillId="13" borderId="4" xfId="0" applyFont="1" applyFill="1" applyBorder="1" applyAlignment="1">
      <alignment horizontal="left" vertical="center" wrapText="1"/>
    </xf>
    <xf numFmtId="0" fontId="32" fillId="23" borderId="0" xfId="0" applyFont="1" applyFill="1" applyAlignment="1">
      <alignment horizontal="left" vertical="top" wrapText="1"/>
    </xf>
    <xf numFmtId="0" fontId="32" fillId="17" borderId="0" xfId="0" applyFont="1" applyFill="1" applyAlignment="1">
      <alignment horizontal="left" vertical="center" wrapText="1"/>
    </xf>
    <xf numFmtId="0" fontId="35" fillId="17" borderId="0" xfId="0" applyFont="1" applyFill="1" applyAlignment="1">
      <alignment vertical="center"/>
    </xf>
    <xf numFmtId="0" fontId="35" fillId="17" borderId="12" xfId="0" applyFont="1" applyFill="1" applyBorder="1" applyAlignment="1">
      <alignment vertical="center"/>
    </xf>
    <xf numFmtId="0" fontId="27" fillId="14" borderId="2" xfId="0" applyFont="1" applyFill="1" applyBorder="1" applyAlignment="1">
      <alignment horizontal="left" vertical="center" wrapText="1"/>
    </xf>
    <xf numFmtId="0" fontId="27" fillId="14" borderId="3" xfId="0" applyFont="1" applyFill="1" applyBorder="1" applyAlignment="1">
      <alignment horizontal="left" vertical="center" wrapText="1"/>
    </xf>
    <xf numFmtId="0" fontId="27" fillId="14" borderId="4" xfId="0" applyFont="1" applyFill="1" applyBorder="1" applyAlignment="1">
      <alignment horizontal="left" vertical="center" wrapText="1"/>
    </xf>
    <xf numFmtId="0" fontId="34" fillId="16" borderId="0" xfId="0" applyFont="1" applyFill="1" applyAlignment="1">
      <alignment vertical="center"/>
    </xf>
    <xf numFmtId="0" fontId="30" fillId="17" borderId="0" xfId="0" applyFont="1" applyFill="1" applyAlignment="1">
      <alignment horizontal="left" vertical="top" wrapText="1"/>
    </xf>
    <xf numFmtId="0" fontId="36" fillId="17" borderId="0" xfId="0" applyFont="1" applyFill="1" applyAlignment="1">
      <alignment horizontal="left" vertical="top" wrapText="1"/>
    </xf>
    <xf numFmtId="0" fontId="30" fillId="17" borderId="0" xfId="0" applyFont="1" applyFill="1" applyAlignment="1">
      <alignment horizontal="left" vertical="center" wrapText="1"/>
    </xf>
    <xf numFmtId="43" fontId="7" fillId="3" borderId="2" xfId="8" applyFont="1" applyFill="1" applyBorder="1" applyAlignment="1" applyProtection="1">
      <alignment horizontal="left" vertical="center"/>
      <protection locked="0"/>
    </xf>
    <xf numFmtId="43" fontId="7" fillId="3" borderId="4" xfId="8" applyFont="1" applyFill="1" applyBorder="1" applyAlignment="1" applyProtection="1">
      <alignment horizontal="left" vertical="center"/>
      <protection locked="0"/>
    </xf>
    <xf numFmtId="0" fontId="6" fillId="11" borderId="3" xfId="5" applyBorder="1" applyAlignment="1">
      <alignment horizontal="left" vertical="center"/>
    </xf>
    <xf numFmtId="0" fontId="6" fillId="11" borderId="4" xfId="5" applyBorder="1" applyAlignment="1">
      <alignment horizontal="left" vertical="center"/>
    </xf>
    <xf numFmtId="0" fontId="6" fillId="11" borderId="5" xfId="5" applyBorder="1" applyAlignment="1">
      <alignment horizontal="center" vertical="center" wrapText="1"/>
    </xf>
    <xf numFmtId="0" fontId="6" fillId="11" borderId="1" xfId="5" applyBorder="1" applyAlignment="1">
      <alignment horizontal="center" vertical="center" wrapText="1"/>
    </xf>
    <xf numFmtId="0" fontId="6" fillId="11" borderId="2" xfId="5" applyBorder="1" applyAlignment="1">
      <alignment horizontal="left" vertical="center" wrapText="1"/>
    </xf>
    <xf numFmtId="0" fontId="6" fillId="11" borderId="3" xfId="5" applyBorder="1" applyAlignment="1">
      <alignment horizontal="left" vertical="center" wrapText="1"/>
    </xf>
    <xf numFmtId="0" fontId="6" fillId="11" borderId="4" xfId="5" applyBorder="1" applyAlignment="1">
      <alignment horizontal="left" vertical="center" wrapText="1"/>
    </xf>
    <xf numFmtId="0" fontId="7" fillId="9" borderId="1" xfId="0" applyFont="1" applyFill="1" applyBorder="1" applyAlignment="1" applyProtection="1">
      <alignment horizontal="center" vertical="center" wrapText="1"/>
      <protection locked="0"/>
    </xf>
    <xf numFmtId="0" fontId="7" fillId="9" borderId="2" xfId="0" applyFont="1" applyFill="1" applyBorder="1" applyAlignment="1" applyProtection="1">
      <alignment horizontal="center" vertical="center" wrapText="1"/>
      <protection locked="0"/>
    </xf>
    <xf numFmtId="0" fontId="7" fillId="9" borderId="4" xfId="0" applyFont="1" applyFill="1" applyBorder="1" applyAlignment="1" applyProtection="1">
      <alignment horizontal="center" vertical="center" wrapText="1"/>
      <protection locked="0"/>
    </xf>
    <xf numFmtId="0" fontId="6" fillId="11" borderId="1" xfId="5" applyBorder="1">
      <alignment horizontal="center" vertical="center"/>
    </xf>
    <xf numFmtId="0" fontId="6" fillId="11" borderId="2" xfId="5" applyBorder="1">
      <alignment horizontal="center" vertical="center"/>
    </xf>
    <xf numFmtId="0" fontId="6" fillId="11" borderId="4" xfId="5" applyBorder="1">
      <alignment horizontal="center" vertical="center"/>
    </xf>
    <xf numFmtId="0" fontId="6" fillId="11" borderId="15" xfId="5" applyBorder="1" applyAlignment="1">
      <alignment horizontal="center" vertical="center" wrapText="1"/>
    </xf>
    <xf numFmtId="0" fontId="6" fillId="11" borderId="16" xfId="5" applyBorder="1" applyAlignment="1">
      <alignment horizontal="center" vertical="center" wrapText="1"/>
    </xf>
    <xf numFmtId="0" fontId="6" fillId="11" borderId="1" xfId="5" applyBorder="1" applyAlignment="1">
      <alignment horizontal="left" vertical="center" wrapText="1"/>
    </xf>
    <xf numFmtId="0" fontId="44" fillId="11" borderId="1" xfId="5" applyFont="1" applyBorder="1" applyAlignment="1">
      <alignment horizontal="center" vertical="center" wrapText="1"/>
    </xf>
    <xf numFmtId="0" fontId="6" fillId="11" borderId="2" xfId="5" applyBorder="1" applyAlignment="1">
      <alignment horizontal="left" vertical="center"/>
    </xf>
    <xf numFmtId="0" fontId="47" fillId="14" borderId="2" xfId="0" applyFont="1" applyFill="1" applyBorder="1" applyAlignment="1">
      <alignment horizontal="left" vertical="center" wrapText="1"/>
    </xf>
    <xf numFmtId="0" fontId="6" fillId="11" borderId="8" xfId="5" applyBorder="1" applyAlignment="1">
      <alignment horizontal="center" vertical="center" wrapText="1"/>
    </xf>
    <xf numFmtId="0" fontId="6" fillId="11" borderId="9" xfId="5" applyBorder="1" applyAlignment="1">
      <alignment horizontal="center" vertical="center" wrapText="1"/>
    </xf>
    <xf numFmtId="0" fontId="6" fillId="11" borderId="14" xfId="5" applyBorder="1" applyAlignment="1">
      <alignment horizontal="center" vertical="center" wrapText="1"/>
    </xf>
    <xf numFmtId="0" fontId="6" fillId="11" borderId="12" xfId="5" applyBorder="1" applyAlignment="1">
      <alignment horizontal="center" vertical="center" wrapText="1"/>
    </xf>
    <xf numFmtId="0" fontId="6" fillId="11" borderId="10" xfId="5" applyBorder="1" applyAlignment="1">
      <alignment horizontal="center" vertical="center" wrapText="1"/>
    </xf>
    <xf numFmtId="0" fontId="6" fillId="11" borderId="11" xfId="5" applyBorder="1" applyAlignment="1">
      <alignment horizontal="center" vertical="center" wrapText="1"/>
    </xf>
    <xf numFmtId="0" fontId="7" fillId="21" borderId="2" xfId="0" applyFont="1" applyFill="1" applyBorder="1" applyAlignment="1">
      <alignment horizontal="center" vertical="center" wrapText="1"/>
    </xf>
    <xf numFmtId="0" fontId="7" fillId="21" borderId="4" xfId="0" applyFont="1" applyFill="1" applyBorder="1" applyAlignment="1">
      <alignment horizontal="center" vertical="center" wrapText="1"/>
    </xf>
    <xf numFmtId="43" fontId="7" fillId="4" borderId="2" xfId="8" applyFont="1" applyFill="1" applyBorder="1" applyAlignment="1" applyProtection="1">
      <alignment horizontal="left" vertical="center"/>
    </xf>
    <xf numFmtId="43" fontId="7" fillId="4" borderId="4" xfId="8" applyFont="1" applyFill="1" applyBorder="1" applyAlignment="1" applyProtection="1">
      <alignment horizontal="left" vertical="center"/>
    </xf>
    <xf numFmtId="0" fontId="32" fillId="20" borderId="1" xfId="0" applyFont="1" applyFill="1" applyBorder="1" applyAlignment="1">
      <alignment horizontal="left" vertical="center"/>
    </xf>
    <xf numFmtId="0" fontId="6" fillId="11" borderId="15" xfId="5" applyBorder="1">
      <alignment horizontal="center" vertical="center"/>
    </xf>
    <xf numFmtId="0" fontId="6" fillId="11" borderId="5" xfId="5" applyBorder="1">
      <alignment horizontal="center" vertical="center"/>
    </xf>
    <xf numFmtId="0" fontId="6" fillId="11" borderId="15" xfId="5" applyBorder="1" applyAlignment="1">
      <alignment horizontal="left" vertical="center" wrapText="1"/>
    </xf>
    <xf numFmtId="0" fontId="6" fillId="11" borderId="5" xfId="5" applyBorder="1" applyAlignment="1">
      <alignment horizontal="left" vertical="center" wrapText="1"/>
    </xf>
    <xf numFmtId="0" fontId="9" fillId="14" borderId="3" xfId="0" applyFont="1" applyFill="1" applyBorder="1" applyAlignment="1">
      <alignment horizontal="left" vertical="center" wrapText="1"/>
    </xf>
    <xf numFmtId="0" fontId="9" fillId="14" borderId="4" xfId="0" applyFont="1" applyFill="1" applyBorder="1" applyAlignment="1">
      <alignment horizontal="left" vertical="center" wrapText="1"/>
    </xf>
    <xf numFmtId="39" fontId="7" fillId="4" borderId="2" xfId="0" applyNumberFormat="1" applyFont="1" applyFill="1" applyBorder="1" applyAlignment="1">
      <alignment horizontal="left" vertical="center" indent="1"/>
    </xf>
    <xf numFmtId="39" fontId="7" fillId="4" borderId="4" xfId="0" applyNumberFormat="1" applyFont="1" applyFill="1" applyBorder="1" applyAlignment="1">
      <alignment horizontal="left" vertical="center" indent="1"/>
    </xf>
    <xf numFmtId="0" fontId="49" fillId="18" borderId="0" xfId="10" applyFont="1" applyFill="1" applyAlignment="1">
      <alignment horizontal="right" vertical="center"/>
    </xf>
    <xf numFmtId="0" fontId="49" fillId="18" borderId="0" xfId="12" applyFont="1" applyFill="1" applyAlignment="1">
      <alignment horizontal="right" vertical="center"/>
    </xf>
  </cellXfs>
  <cellStyles count="13">
    <cellStyle name="Calc 0 HEADER" xfId="2" xr:uid="{3C5F2EF4-1705-4B95-821B-4AC553D653A8}"/>
    <cellStyle name="Calc 1 Subheading" xfId="5" xr:uid="{BB7CAA6B-F34E-427D-959F-D348FBAD20D9}"/>
    <cellStyle name="Calc 2 Manual" xfId="6" xr:uid="{DD617E3E-2897-44E9-AEFF-40548CC85168}"/>
    <cellStyle name="Calc 3 Auto" xfId="3" xr:uid="{01AF682D-207F-4406-801C-6EA411FCF9F1}"/>
    <cellStyle name="Calc 4 Calculation" xfId="4" xr:uid="{CBBD31ED-89AC-4274-A92D-438163EF32BE}"/>
    <cellStyle name="Comma" xfId="8" builtinId="3"/>
    <cellStyle name="Hyperlink" xfId="1" builtinId="8"/>
    <cellStyle name="Normal" xfId="0" builtinId="0"/>
    <cellStyle name="Normal 2" xfId="7" xr:uid="{32D8C9EB-E7B1-439C-9A4C-E3F7860833C9}"/>
    <cellStyle name="Normal 2 2" xfId="12" xr:uid="{713E78D5-F344-4D8F-85E1-569F81BE15AD}"/>
    <cellStyle name="Normal 2 2 2" xfId="10" xr:uid="{754FEF36-9A95-4073-97FB-F6408065CC78}"/>
    <cellStyle name="Normal 3" xfId="11" xr:uid="{CF668A73-0DEA-4F09-91D1-FDCE69C8AE1C}"/>
    <cellStyle name="Percent" xfId="9" builtinId="5"/>
  </cellStyles>
  <dxfs count="22">
    <dxf>
      <fill>
        <patternFill>
          <bgColor theme="0"/>
        </patternFill>
      </fill>
    </dxf>
    <dxf>
      <fill>
        <patternFill>
          <bgColor theme="0"/>
        </patternFill>
      </fill>
    </dxf>
    <dxf>
      <font>
        <color theme="0" tint="-0.499984740745262"/>
      </font>
    </dxf>
    <dxf>
      <fill>
        <patternFill>
          <bgColor theme="0"/>
        </patternFill>
      </fill>
    </dxf>
    <dxf>
      <fill>
        <patternFill>
          <bgColor theme="0"/>
        </patternFill>
      </fill>
    </dxf>
    <dxf>
      <fill>
        <patternFill>
          <bgColor theme="0"/>
        </patternFill>
      </fill>
    </dxf>
    <dxf>
      <fill>
        <patternFill>
          <bgColor theme="0"/>
        </patternFill>
      </fill>
    </dxf>
    <dxf>
      <font>
        <color theme="0" tint="-0.499984740745262"/>
      </font>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B6B7B8"/>
        </patternFill>
      </fill>
    </dxf>
    <dxf>
      <fill>
        <patternFill patternType="darkUp">
          <fgColor theme="0" tint="-0.14996795556505021"/>
        </patternFill>
      </fill>
    </dxf>
    <dxf>
      <fill>
        <patternFill patternType="darkUp">
          <fgColor theme="0" tint="-0.14996795556505021"/>
        </patternFill>
      </fill>
    </dxf>
    <dxf>
      <font>
        <color theme="0" tint="-0.499984740745262"/>
      </font>
      <fill>
        <patternFill>
          <bgColor rgb="FFB6B7B8"/>
        </patternFill>
      </fill>
    </dxf>
    <dxf>
      <fill>
        <patternFill patternType="solid">
          <bgColor rgb="FFB6B7B8"/>
        </patternFill>
      </fill>
    </dxf>
    <dxf>
      <fill>
        <patternFill>
          <bgColor rgb="FFCCECFF"/>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2" xr9:uid="{3EA2E18B-DF56-427F-8E23-3C06AC846FF3}">
      <tableStyleElement type="wholeTable" dxfId="21"/>
      <tableStyleElement type="headerRow" dxfId="20"/>
    </tableStyle>
    <tableStyle name="Table Style 2" pivot="0" count="3" xr9:uid="{4DA85417-2B61-4B0F-B495-3E662A0E4ED9}">
      <tableStyleElement type="wholeTable" dxfId="19"/>
      <tableStyleElement type="headerRow" dxfId="18"/>
      <tableStyleElement type="lastTotalCell" dxfId="17"/>
    </tableStyle>
  </tableStyles>
  <colors>
    <mruColors>
      <color rgb="FFB6B7B8"/>
      <color rgb="FFF7F8F6"/>
      <color rgb="FFC75127"/>
      <color rgb="FFFFCCCC"/>
      <color rgb="FF7F7F7F"/>
      <color rgb="FFCCECFF"/>
      <color rgb="FFBFBFB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609592</xdr:colOff>
      <xdr:row>1</xdr:row>
      <xdr:rowOff>304800</xdr:rowOff>
    </xdr:from>
    <xdr:to>
      <xdr:col>6</xdr:col>
      <xdr:colOff>681982</xdr:colOff>
      <xdr:row>1</xdr:row>
      <xdr:rowOff>604350</xdr:rowOff>
    </xdr:to>
    <xdr:pic>
      <xdr:nvPicPr>
        <xdr:cNvPr id="3" name="Picture 2">
          <a:extLst>
            <a:ext uri="{FF2B5EF4-FFF2-40B4-BE49-F238E27FC236}">
              <a16:creationId xmlns:a16="http://schemas.microsoft.com/office/drawing/2014/main" id="{3CAF9843-6D48-492A-B953-A688261BD4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4125" y="558800"/>
          <a:ext cx="910590" cy="29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6689507</xdr:colOff>
      <xdr:row>1</xdr:row>
      <xdr:rowOff>562187</xdr:rowOff>
    </xdr:from>
    <xdr:to>
      <xdr:col>6</xdr:col>
      <xdr:colOff>157897</xdr:colOff>
      <xdr:row>1</xdr:row>
      <xdr:rowOff>861737</xdr:rowOff>
    </xdr:to>
    <xdr:pic>
      <xdr:nvPicPr>
        <xdr:cNvPr id="2" name="Picture 1">
          <a:extLst>
            <a:ext uri="{FF2B5EF4-FFF2-40B4-BE49-F238E27FC236}">
              <a16:creationId xmlns:a16="http://schemas.microsoft.com/office/drawing/2014/main" id="{7C16561C-629D-45A6-AB74-B6FDCC70CE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45867" y="813647"/>
          <a:ext cx="905510" cy="299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276220</xdr:colOff>
      <xdr:row>1</xdr:row>
      <xdr:rowOff>578907</xdr:rowOff>
    </xdr:from>
    <xdr:to>
      <xdr:col>7</xdr:col>
      <xdr:colOff>1188080</xdr:colOff>
      <xdr:row>1</xdr:row>
      <xdr:rowOff>868932</xdr:rowOff>
    </xdr:to>
    <xdr:pic>
      <xdr:nvPicPr>
        <xdr:cNvPr id="3" name="Picture 1">
          <a:extLst>
            <a:ext uri="{FF2B5EF4-FFF2-40B4-BE49-F238E27FC236}">
              <a16:creationId xmlns:a16="http://schemas.microsoft.com/office/drawing/2014/main" id="{38824B29-384D-4DB5-A5A2-CAA0A7D443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6687" y="832907"/>
          <a:ext cx="910590" cy="293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270930</xdr:colOff>
      <xdr:row>1</xdr:row>
      <xdr:rowOff>575733</xdr:rowOff>
    </xdr:from>
    <xdr:to>
      <xdr:col>7</xdr:col>
      <xdr:colOff>1183636</xdr:colOff>
      <xdr:row>1</xdr:row>
      <xdr:rowOff>875283</xdr:rowOff>
    </xdr:to>
    <xdr:pic>
      <xdr:nvPicPr>
        <xdr:cNvPr id="2" name="Picture 1">
          <a:extLst>
            <a:ext uri="{FF2B5EF4-FFF2-40B4-BE49-F238E27FC236}">
              <a16:creationId xmlns:a16="http://schemas.microsoft.com/office/drawing/2014/main" id="{23C0E5D9-5BA1-4F08-B326-B8114F16FE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1397" y="829733"/>
          <a:ext cx="912706" cy="299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245530</xdr:colOff>
      <xdr:row>1</xdr:row>
      <xdr:rowOff>584200</xdr:rowOff>
    </xdr:from>
    <xdr:ext cx="910590" cy="299550"/>
    <xdr:pic>
      <xdr:nvPicPr>
        <xdr:cNvPr id="2" name="Picture 1">
          <a:extLst>
            <a:ext uri="{FF2B5EF4-FFF2-40B4-BE49-F238E27FC236}">
              <a16:creationId xmlns:a16="http://schemas.microsoft.com/office/drawing/2014/main" id="{6829BF07-B6E0-4C66-A8D5-D7FE8C067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78397" y="838200"/>
          <a:ext cx="910590" cy="2995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431794</xdr:colOff>
      <xdr:row>1</xdr:row>
      <xdr:rowOff>575732</xdr:rowOff>
    </xdr:from>
    <xdr:to>
      <xdr:col>7</xdr:col>
      <xdr:colOff>80851</xdr:colOff>
      <xdr:row>1</xdr:row>
      <xdr:rowOff>875282</xdr:rowOff>
    </xdr:to>
    <xdr:pic>
      <xdr:nvPicPr>
        <xdr:cNvPr id="3" name="Picture 2">
          <a:extLst>
            <a:ext uri="{FF2B5EF4-FFF2-40B4-BE49-F238E27FC236}">
              <a16:creationId xmlns:a16="http://schemas.microsoft.com/office/drawing/2014/main" id="{12ED1D34-58D1-48A5-9263-1AD5528132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75394" y="829732"/>
          <a:ext cx="910590" cy="29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8A1A-C815-47E1-9A73-82CD7C997B4A}">
  <sheetPr codeName="Sheet3">
    <tabColor theme="0"/>
  </sheetPr>
  <dimension ref="A1:L60"/>
  <sheetViews>
    <sheetView showGridLines="0" zoomScale="80" zoomScaleNormal="80" workbookViewId="0">
      <selection activeCell="E3" sqref="E3"/>
    </sheetView>
  </sheetViews>
  <sheetFormatPr defaultColWidth="8.59765625" defaultRowHeight="15.6"/>
  <cols>
    <col min="1" max="2" width="8.59765625" style="70"/>
    <col min="3" max="3" width="26.09765625" style="70" customWidth="1"/>
    <col min="4" max="4" width="31.09765625" style="70" customWidth="1"/>
    <col min="5" max="5" width="39.59765625" style="70" customWidth="1"/>
    <col min="6" max="6" width="8.3984375" style="70" customWidth="1"/>
    <col min="7" max="7" width="8.59765625" style="70"/>
    <col min="8" max="8" width="8.09765625" style="70" bestFit="1" customWidth="1"/>
    <col min="9" max="9" width="13.3984375" style="70" customWidth="1"/>
    <col min="10" max="11" width="39.09765625" style="70" customWidth="1"/>
    <col min="12" max="16384" width="8.59765625" style="70"/>
  </cols>
  <sheetData>
    <row r="1" spans="1:12" s="43" customFormat="1">
      <c r="A1" s="41" t="s">
        <v>4</v>
      </c>
      <c r="B1" s="42"/>
      <c r="F1" s="44"/>
      <c r="H1" s="45" t="s">
        <v>5</v>
      </c>
      <c r="I1" s="46"/>
      <c r="J1" s="47"/>
      <c r="K1" s="48"/>
    </row>
    <row r="2" spans="1:12" s="43" customFormat="1">
      <c r="A2" s="42"/>
      <c r="B2" s="42"/>
      <c r="F2" s="44"/>
      <c r="H2" s="49"/>
      <c r="I2" s="50"/>
      <c r="J2" s="47"/>
      <c r="K2" s="48"/>
    </row>
    <row r="3" spans="1:12" s="53" customFormat="1" ht="41.4">
      <c r="A3" s="51" t="s">
        <v>0</v>
      </c>
      <c r="B3" s="51" t="s">
        <v>6</v>
      </c>
      <c r="C3" s="51" t="s">
        <v>7</v>
      </c>
      <c r="D3" s="51" t="s">
        <v>8</v>
      </c>
      <c r="E3" s="51" t="s">
        <v>9</v>
      </c>
      <c r="F3" s="52" t="s">
        <v>1</v>
      </c>
      <c r="G3" s="267"/>
      <c r="H3" s="54" t="s">
        <v>10</v>
      </c>
      <c r="I3" s="55" t="s">
        <v>11</v>
      </c>
      <c r="J3" s="51" t="s">
        <v>7</v>
      </c>
      <c r="K3" s="56" t="s">
        <v>12</v>
      </c>
      <c r="L3" s="267"/>
    </row>
    <row r="4" spans="1:12" s="60" customFormat="1" ht="52.8">
      <c r="A4" s="57">
        <v>45881</v>
      </c>
      <c r="B4" s="57" t="s">
        <v>13</v>
      </c>
      <c r="C4" s="58" t="s">
        <v>14</v>
      </c>
      <c r="D4" s="58" t="s">
        <v>14</v>
      </c>
      <c r="E4" s="58" t="s">
        <v>15</v>
      </c>
      <c r="F4" s="59" t="s">
        <v>3</v>
      </c>
      <c r="H4" s="61">
        <v>1</v>
      </c>
      <c r="I4" s="62"/>
      <c r="J4" s="63" t="s">
        <v>16</v>
      </c>
      <c r="K4" s="64"/>
      <c r="L4" s="60" t="s">
        <v>2</v>
      </c>
    </row>
    <row r="5" spans="1:12" s="60" customFormat="1" ht="26.4">
      <c r="A5" s="57"/>
      <c r="B5" s="57"/>
      <c r="C5" s="58"/>
      <c r="D5" s="58"/>
      <c r="E5" s="58"/>
      <c r="F5" s="59"/>
      <c r="H5" s="61">
        <v>2</v>
      </c>
      <c r="I5" s="62"/>
      <c r="J5" s="63" t="s">
        <v>17</v>
      </c>
      <c r="K5" s="64"/>
      <c r="L5" s="60" t="s">
        <v>2</v>
      </c>
    </row>
    <row r="6" spans="1:12" s="60" customFormat="1" ht="39.6">
      <c r="A6" s="57"/>
      <c r="B6" s="57"/>
      <c r="C6" s="58"/>
      <c r="D6" s="58"/>
      <c r="E6" s="58"/>
      <c r="F6" s="59"/>
      <c r="H6" s="61">
        <v>3</v>
      </c>
      <c r="I6" s="62"/>
      <c r="J6" s="63" t="s">
        <v>18</v>
      </c>
      <c r="K6" s="64"/>
      <c r="L6" s="60" t="s">
        <v>2</v>
      </c>
    </row>
    <row r="7" spans="1:12" s="60" customFormat="1" ht="26.4">
      <c r="A7" s="57"/>
      <c r="B7" s="57"/>
      <c r="C7" s="58"/>
      <c r="D7" s="58"/>
      <c r="E7" s="58"/>
      <c r="F7" s="59"/>
      <c r="H7" s="61">
        <v>4</v>
      </c>
      <c r="I7" s="62"/>
      <c r="J7" s="63" t="s">
        <v>19</v>
      </c>
      <c r="K7" s="64"/>
      <c r="L7" s="60" t="s">
        <v>2</v>
      </c>
    </row>
    <row r="8" spans="1:12" s="60" customFormat="1" ht="13.2">
      <c r="A8" s="57"/>
      <c r="B8" s="57"/>
      <c r="C8" s="58"/>
      <c r="D8" s="58"/>
      <c r="E8" s="58"/>
      <c r="F8" s="59"/>
      <c r="H8" s="61">
        <v>5</v>
      </c>
      <c r="I8" s="62"/>
      <c r="J8" s="63" t="s">
        <v>20</v>
      </c>
      <c r="K8" s="64"/>
      <c r="L8" s="60" t="s">
        <v>2</v>
      </c>
    </row>
    <row r="9" spans="1:12" s="60" customFormat="1" ht="13.2">
      <c r="A9" s="57"/>
      <c r="B9" s="57"/>
      <c r="C9" s="58"/>
      <c r="D9" s="58"/>
      <c r="E9" s="58"/>
      <c r="F9" s="59"/>
      <c r="H9" s="61">
        <v>6</v>
      </c>
      <c r="I9" s="62"/>
      <c r="J9" s="63" t="s">
        <v>21</v>
      </c>
      <c r="K9" s="64"/>
      <c r="L9" s="60" t="s">
        <v>2</v>
      </c>
    </row>
    <row r="10" spans="1:12" s="60" customFormat="1" ht="13.2">
      <c r="A10" s="57"/>
      <c r="B10" s="57"/>
      <c r="C10" s="58"/>
      <c r="D10" s="58"/>
      <c r="E10" s="58"/>
      <c r="F10" s="59"/>
      <c r="H10" s="61">
        <v>7</v>
      </c>
      <c r="I10" s="62"/>
      <c r="J10" s="63" t="s">
        <v>22</v>
      </c>
      <c r="K10" s="64"/>
      <c r="L10" s="60" t="s">
        <v>2</v>
      </c>
    </row>
    <row r="11" spans="1:12" s="60" customFormat="1" ht="13.2">
      <c r="A11" s="57"/>
      <c r="B11" s="57"/>
      <c r="C11" s="58"/>
      <c r="D11" s="58"/>
      <c r="E11" s="58"/>
      <c r="F11" s="59"/>
      <c r="H11" s="61">
        <v>8</v>
      </c>
      <c r="I11" s="62"/>
      <c r="J11" s="63" t="s">
        <v>23</v>
      </c>
      <c r="K11" s="64"/>
      <c r="L11" s="60" t="s">
        <v>2</v>
      </c>
    </row>
    <row r="12" spans="1:12" s="60" customFormat="1" ht="26.4">
      <c r="A12" s="57"/>
      <c r="B12" s="57"/>
      <c r="C12" s="58"/>
      <c r="D12" s="58"/>
      <c r="E12" s="58"/>
      <c r="F12" s="59"/>
      <c r="H12" s="61">
        <v>9</v>
      </c>
      <c r="I12" s="62"/>
      <c r="J12" s="63" t="s">
        <v>24</v>
      </c>
      <c r="K12" s="64"/>
      <c r="L12" s="60" t="s">
        <v>2</v>
      </c>
    </row>
    <row r="13" spans="1:12" s="60" customFormat="1" ht="39.6">
      <c r="A13" s="57"/>
      <c r="B13" s="57"/>
      <c r="C13" s="58"/>
      <c r="D13" s="58"/>
      <c r="E13" s="58"/>
      <c r="F13" s="59"/>
      <c r="H13" s="61">
        <v>10</v>
      </c>
      <c r="I13" s="62"/>
      <c r="J13" s="63" t="s">
        <v>25</v>
      </c>
      <c r="K13" s="64"/>
      <c r="L13" s="60" t="s">
        <v>2</v>
      </c>
    </row>
    <row r="14" spans="1:12" s="60" customFormat="1" ht="39.6">
      <c r="A14" s="57"/>
      <c r="B14" s="57"/>
      <c r="C14" s="58"/>
      <c r="D14" s="58"/>
      <c r="E14" s="58"/>
      <c r="F14" s="59"/>
      <c r="H14" s="61">
        <v>11</v>
      </c>
      <c r="I14" s="62"/>
      <c r="J14" s="63" t="s">
        <v>26</v>
      </c>
      <c r="K14" s="64"/>
      <c r="L14" s="60" t="s">
        <v>2</v>
      </c>
    </row>
    <row r="15" spans="1:12" s="60" customFormat="1" ht="13.2">
      <c r="A15" s="57"/>
      <c r="B15" s="57"/>
      <c r="C15" s="58"/>
      <c r="D15" s="58"/>
      <c r="E15" s="58"/>
      <c r="F15" s="59"/>
      <c r="H15" s="61">
        <v>12</v>
      </c>
      <c r="I15" s="62"/>
      <c r="J15" s="63" t="s">
        <v>27</v>
      </c>
      <c r="K15" s="64"/>
      <c r="L15" s="60" t="s">
        <v>2</v>
      </c>
    </row>
    <row r="16" spans="1:12" s="60" customFormat="1" ht="13.2">
      <c r="A16" s="57"/>
      <c r="B16" s="57"/>
      <c r="C16" s="58"/>
      <c r="D16" s="58"/>
      <c r="E16" s="58"/>
      <c r="F16" s="59"/>
      <c r="H16" s="61">
        <v>13</v>
      </c>
      <c r="I16" s="62"/>
      <c r="J16" s="63" t="s">
        <v>28</v>
      </c>
      <c r="K16" s="64"/>
      <c r="L16" s="60" t="s">
        <v>2</v>
      </c>
    </row>
    <row r="17" spans="1:12" s="60" customFormat="1" ht="13.2">
      <c r="A17" s="57"/>
      <c r="B17" s="57"/>
      <c r="C17" s="58"/>
      <c r="D17" s="58"/>
      <c r="E17" s="58"/>
      <c r="F17" s="59"/>
      <c r="H17" s="61"/>
      <c r="I17" s="62"/>
      <c r="J17" s="63"/>
      <c r="K17" s="64"/>
      <c r="L17" s="60" t="s">
        <v>2</v>
      </c>
    </row>
    <row r="18" spans="1:12" s="60" customFormat="1" ht="13.2">
      <c r="A18" s="57"/>
      <c r="B18" s="57"/>
      <c r="C18" s="58"/>
      <c r="D18" s="58"/>
      <c r="E18" s="58"/>
      <c r="F18" s="59"/>
      <c r="H18" s="61"/>
      <c r="I18" s="62"/>
      <c r="J18" s="63"/>
      <c r="K18" s="65"/>
      <c r="L18" s="60" t="s">
        <v>2</v>
      </c>
    </row>
    <row r="19" spans="1:12" s="60" customFormat="1" ht="13.2">
      <c r="A19" s="57"/>
      <c r="B19" s="57"/>
      <c r="C19" s="58"/>
      <c r="D19" s="58"/>
      <c r="E19" s="58"/>
      <c r="F19" s="59"/>
      <c r="H19" s="61"/>
      <c r="I19" s="62"/>
      <c r="J19" s="63"/>
      <c r="K19" s="65"/>
      <c r="L19" s="60" t="s">
        <v>2</v>
      </c>
    </row>
    <row r="20" spans="1:12" s="60" customFormat="1" ht="13.2">
      <c r="A20" s="57"/>
      <c r="B20" s="57"/>
      <c r="C20" s="58"/>
      <c r="D20" s="58"/>
      <c r="E20" s="58"/>
      <c r="F20" s="59"/>
      <c r="H20" s="61"/>
      <c r="I20" s="62"/>
      <c r="J20" s="63"/>
      <c r="K20" s="65"/>
      <c r="L20" s="60" t="s">
        <v>2</v>
      </c>
    </row>
    <row r="21" spans="1:12" s="60" customFormat="1" ht="13.2">
      <c r="A21" s="57"/>
      <c r="B21" s="57"/>
      <c r="C21" s="58"/>
      <c r="D21" s="58"/>
      <c r="E21" s="58"/>
      <c r="F21" s="59"/>
      <c r="H21" s="61"/>
      <c r="I21" s="62"/>
      <c r="J21" s="63"/>
      <c r="K21" s="65"/>
      <c r="L21" s="60" t="s">
        <v>2</v>
      </c>
    </row>
    <row r="22" spans="1:12" s="60" customFormat="1" ht="13.2">
      <c r="A22" s="57"/>
      <c r="B22" s="57"/>
      <c r="C22" s="58"/>
      <c r="D22" s="58"/>
      <c r="E22" s="58"/>
      <c r="F22" s="59"/>
      <c r="H22" s="61"/>
      <c r="I22" s="62"/>
      <c r="J22" s="63"/>
      <c r="K22" s="65"/>
      <c r="L22" s="60" t="s">
        <v>2</v>
      </c>
    </row>
    <row r="23" spans="1:12" s="60" customFormat="1" ht="13.2">
      <c r="A23" s="57"/>
      <c r="B23" s="57"/>
      <c r="C23" s="58"/>
      <c r="D23" s="58"/>
      <c r="E23" s="58"/>
      <c r="F23" s="59"/>
      <c r="H23" s="61"/>
      <c r="I23" s="62"/>
      <c r="J23" s="63"/>
      <c r="K23" s="65"/>
    </row>
    <row r="24" spans="1:12" s="60" customFormat="1" ht="13.2">
      <c r="A24" s="57"/>
      <c r="B24" s="57"/>
      <c r="C24" s="58"/>
      <c r="D24" s="58"/>
      <c r="E24" s="58"/>
      <c r="F24" s="59"/>
      <c r="H24" s="61"/>
      <c r="I24" s="62"/>
      <c r="J24" s="63"/>
      <c r="K24" s="65"/>
    </row>
    <row r="25" spans="1:12" s="60" customFormat="1" ht="13.2">
      <c r="A25" s="57"/>
      <c r="B25" s="57"/>
      <c r="C25" s="58"/>
      <c r="D25" s="58"/>
      <c r="E25" s="58"/>
      <c r="F25" s="59"/>
      <c r="H25" s="61"/>
      <c r="I25" s="62"/>
      <c r="J25" s="63"/>
      <c r="K25" s="65"/>
      <c r="L25" s="60" t="s">
        <v>2</v>
      </c>
    </row>
    <row r="26" spans="1:12" s="60" customFormat="1" ht="13.2">
      <c r="A26" s="57"/>
      <c r="B26" s="57"/>
      <c r="C26" s="58"/>
      <c r="D26" s="58"/>
      <c r="E26" s="58"/>
      <c r="F26" s="59"/>
      <c r="H26" s="61"/>
      <c r="I26" s="62"/>
      <c r="J26" s="63"/>
      <c r="K26" s="65"/>
    </row>
    <row r="27" spans="1:12" s="60" customFormat="1" ht="13.2">
      <c r="A27" s="57"/>
      <c r="B27" s="57"/>
      <c r="C27" s="58"/>
      <c r="D27" s="58"/>
      <c r="E27" s="58"/>
      <c r="F27" s="59"/>
      <c r="H27" s="61"/>
      <c r="I27" s="62"/>
      <c r="J27" s="63"/>
      <c r="K27" s="65"/>
    </row>
    <row r="28" spans="1:12" s="60" customFormat="1" ht="13.2">
      <c r="A28" s="57"/>
      <c r="B28" s="57"/>
      <c r="C28" s="58"/>
      <c r="D28" s="58"/>
      <c r="E28" s="58"/>
      <c r="F28" s="59"/>
      <c r="H28" s="61"/>
      <c r="I28" s="62"/>
      <c r="J28" s="63"/>
      <c r="K28" s="65"/>
    </row>
    <row r="29" spans="1:12" s="60" customFormat="1" ht="13.2">
      <c r="A29" s="57"/>
      <c r="B29" s="57"/>
      <c r="C29" s="58"/>
      <c r="D29" s="58"/>
      <c r="E29" s="58"/>
      <c r="F29" s="59"/>
      <c r="H29" s="61"/>
      <c r="I29" s="62"/>
      <c r="J29" s="63"/>
      <c r="K29" s="65"/>
    </row>
    <row r="30" spans="1:12" s="60" customFormat="1" ht="13.2">
      <c r="A30" s="57"/>
      <c r="B30" s="57"/>
      <c r="C30" s="58"/>
      <c r="D30" s="58"/>
      <c r="E30" s="58"/>
      <c r="F30" s="59"/>
      <c r="H30" s="61"/>
      <c r="I30" s="62"/>
      <c r="J30" s="63"/>
      <c r="K30" s="65"/>
    </row>
    <row r="31" spans="1:12" s="60" customFormat="1" ht="13.2">
      <c r="A31" s="57"/>
      <c r="B31" s="57"/>
      <c r="C31" s="58"/>
      <c r="D31" s="58"/>
      <c r="E31" s="58"/>
      <c r="F31" s="59"/>
      <c r="H31" s="61"/>
      <c r="I31" s="62"/>
      <c r="J31" s="63"/>
      <c r="K31" s="65"/>
    </row>
    <row r="32" spans="1:12" s="60" customFormat="1" ht="13.2">
      <c r="A32" s="57"/>
      <c r="B32" s="57"/>
      <c r="C32" s="58"/>
      <c r="D32" s="58"/>
      <c r="E32" s="58"/>
      <c r="F32" s="59"/>
      <c r="H32" s="61"/>
      <c r="I32" s="62"/>
      <c r="J32" s="63"/>
      <c r="K32" s="65"/>
    </row>
    <row r="33" spans="1:11" s="60" customFormat="1" ht="13.2">
      <c r="A33" s="57"/>
      <c r="B33" s="57"/>
      <c r="C33" s="58"/>
      <c r="D33" s="58"/>
      <c r="E33" s="58"/>
      <c r="F33" s="59"/>
      <c r="H33" s="61"/>
      <c r="I33" s="62"/>
      <c r="J33" s="63"/>
      <c r="K33" s="65"/>
    </row>
    <row r="34" spans="1:11" s="60" customFormat="1" ht="13.2">
      <c r="A34" s="57"/>
      <c r="B34" s="57"/>
      <c r="C34" s="58"/>
      <c r="D34" s="58"/>
      <c r="E34" s="58"/>
      <c r="F34" s="59"/>
      <c r="H34" s="61"/>
      <c r="I34" s="62"/>
      <c r="J34" s="63"/>
      <c r="K34" s="65"/>
    </row>
    <row r="35" spans="1:11" s="60" customFormat="1" ht="13.2">
      <c r="A35" s="57"/>
      <c r="B35" s="57"/>
      <c r="C35" s="58"/>
      <c r="D35" s="58"/>
      <c r="E35" s="58"/>
      <c r="F35" s="59"/>
      <c r="H35" s="61"/>
      <c r="I35" s="62"/>
      <c r="J35" s="63"/>
      <c r="K35" s="65"/>
    </row>
    <row r="36" spans="1:11" s="69" customFormat="1" ht="13.2">
      <c r="A36" s="66"/>
      <c r="B36" s="66"/>
      <c r="C36" s="58"/>
      <c r="D36" s="67"/>
      <c r="E36" s="67"/>
      <c r="F36" s="68"/>
      <c r="H36" s="61"/>
      <c r="I36" s="62"/>
      <c r="J36" s="63"/>
      <c r="K36" s="65"/>
    </row>
    <row r="37" spans="1:11" s="69" customFormat="1" ht="13.2">
      <c r="A37" s="66"/>
      <c r="B37" s="66"/>
      <c r="C37" s="58"/>
      <c r="D37" s="67"/>
      <c r="E37" s="67"/>
      <c r="F37" s="68"/>
      <c r="H37" s="61"/>
      <c r="I37" s="62"/>
      <c r="J37" s="63"/>
      <c r="K37" s="65"/>
    </row>
    <row r="38" spans="1:11" s="69" customFormat="1" ht="13.2">
      <c r="A38" s="66"/>
      <c r="B38" s="66"/>
      <c r="C38" s="58"/>
      <c r="D38" s="67"/>
      <c r="E38" s="67"/>
      <c r="F38" s="68"/>
      <c r="H38" s="61"/>
      <c r="I38" s="62"/>
      <c r="J38" s="63"/>
      <c r="K38" s="65"/>
    </row>
    <row r="39" spans="1:11" s="69" customFormat="1" ht="13.2">
      <c r="A39" s="66"/>
      <c r="B39" s="66"/>
      <c r="C39" s="58"/>
      <c r="D39" s="67"/>
      <c r="E39" s="67"/>
      <c r="F39" s="68"/>
      <c r="H39" s="61"/>
      <c r="I39" s="62"/>
      <c r="J39" s="63"/>
      <c r="K39" s="65"/>
    </row>
    <row r="40" spans="1:11" s="69" customFormat="1" ht="13.2">
      <c r="A40" s="66"/>
      <c r="B40" s="66"/>
      <c r="C40" s="58"/>
      <c r="D40" s="67"/>
      <c r="E40" s="67"/>
      <c r="F40" s="68"/>
      <c r="H40" s="61"/>
      <c r="I40" s="62"/>
      <c r="J40" s="63"/>
      <c r="K40" s="65"/>
    </row>
    <row r="41" spans="1:11" s="69" customFormat="1" ht="13.2">
      <c r="A41" s="66"/>
      <c r="B41" s="66"/>
      <c r="C41" s="58"/>
      <c r="D41" s="67"/>
      <c r="E41" s="67"/>
      <c r="F41" s="68"/>
      <c r="H41" s="61"/>
      <c r="I41" s="62"/>
      <c r="J41" s="63"/>
      <c r="K41" s="65"/>
    </row>
    <row r="42" spans="1:11" s="69" customFormat="1" ht="13.2">
      <c r="A42" s="66"/>
      <c r="B42" s="66"/>
      <c r="C42" s="58"/>
      <c r="D42" s="67"/>
      <c r="E42" s="67"/>
      <c r="F42" s="68"/>
      <c r="H42" s="61"/>
      <c r="I42" s="62"/>
      <c r="J42" s="63"/>
      <c r="K42" s="65"/>
    </row>
    <row r="43" spans="1:11" s="69" customFormat="1" ht="13.2">
      <c r="A43" s="66"/>
      <c r="B43" s="66"/>
      <c r="C43" s="58"/>
      <c r="D43" s="67"/>
      <c r="E43" s="58"/>
      <c r="F43" s="68"/>
      <c r="H43" s="61"/>
      <c r="I43" s="62"/>
      <c r="J43" s="63"/>
      <c r="K43" s="65"/>
    </row>
    <row r="44" spans="1:11" s="60" customFormat="1" ht="13.2">
      <c r="A44" s="57"/>
      <c r="B44" s="57"/>
      <c r="C44" s="58"/>
      <c r="D44" s="58"/>
      <c r="E44" s="58"/>
      <c r="F44" s="59"/>
      <c r="H44" s="61"/>
      <c r="I44" s="62"/>
      <c r="J44" s="63"/>
      <c r="K44" s="65"/>
    </row>
    <row r="45" spans="1:11" s="60" customFormat="1" ht="13.2">
      <c r="A45" s="57"/>
      <c r="B45" s="57"/>
      <c r="C45" s="58"/>
      <c r="D45" s="58"/>
      <c r="E45" s="58"/>
      <c r="F45" s="59"/>
      <c r="H45" s="61"/>
      <c r="I45" s="62"/>
      <c r="J45" s="63"/>
      <c r="K45" s="65"/>
    </row>
    <row r="46" spans="1:11" s="60" customFormat="1" ht="13.2">
      <c r="A46" s="57"/>
      <c r="B46" s="57"/>
      <c r="C46" s="58"/>
      <c r="D46" s="58"/>
      <c r="E46" s="58"/>
      <c r="F46" s="59"/>
      <c r="H46" s="61"/>
      <c r="I46" s="62"/>
      <c r="J46" s="63"/>
      <c r="K46" s="65"/>
    </row>
    <row r="47" spans="1:11" s="60" customFormat="1" ht="13.2">
      <c r="A47" s="57"/>
      <c r="B47" s="57"/>
      <c r="C47" s="58"/>
      <c r="D47" s="58"/>
      <c r="E47" s="58"/>
      <c r="F47" s="59"/>
      <c r="H47" s="61"/>
      <c r="I47" s="62"/>
      <c r="J47" s="63"/>
      <c r="K47" s="65"/>
    </row>
    <row r="48" spans="1:11" s="60" customFormat="1" ht="13.2">
      <c r="A48" s="57"/>
      <c r="B48" s="57"/>
      <c r="C48" s="58"/>
      <c r="D48" s="58"/>
      <c r="E48" s="58"/>
      <c r="F48" s="59"/>
      <c r="H48" s="61"/>
      <c r="I48" s="62"/>
      <c r="J48" s="63"/>
      <c r="K48" s="65"/>
    </row>
    <row r="49" spans="1:11" s="60" customFormat="1" ht="13.2">
      <c r="A49" s="57"/>
      <c r="B49" s="57"/>
      <c r="C49" s="58"/>
      <c r="D49" s="58"/>
      <c r="E49" s="58"/>
      <c r="F49" s="59"/>
      <c r="H49" s="61"/>
      <c r="I49" s="62"/>
      <c r="J49" s="63"/>
      <c r="K49" s="65"/>
    </row>
    <row r="50" spans="1:11" s="69" customFormat="1" ht="13.2">
      <c r="A50" s="66"/>
      <c r="B50" s="66"/>
      <c r="C50" s="58"/>
      <c r="D50" s="67"/>
      <c r="E50" s="67"/>
      <c r="F50" s="68"/>
      <c r="H50" s="61"/>
      <c r="I50" s="62"/>
      <c r="J50" s="63"/>
      <c r="K50" s="65"/>
    </row>
    <row r="51" spans="1:11" s="69" customFormat="1" ht="13.2">
      <c r="A51" s="66"/>
      <c r="B51" s="66"/>
      <c r="C51" s="58"/>
      <c r="D51" s="67"/>
      <c r="E51" s="67"/>
      <c r="F51" s="68"/>
      <c r="H51" s="61"/>
      <c r="I51" s="62"/>
      <c r="J51" s="63"/>
      <c r="K51" s="65"/>
    </row>
    <row r="52" spans="1:11" s="69" customFormat="1" ht="13.2">
      <c r="A52" s="66"/>
      <c r="B52" s="66"/>
      <c r="C52" s="58"/>
      <c r="D52" s="67"/>
      <c r="E52" s="67"/>
      <c r="F52" s="68"/>
      <c r="H52" s="61"/>
      <c r="I52" s="62"/>
      <c r="J52" s="63"/>
      <c r="K52" s="65"/>
    </row>
    <row r="53" spans="1:11" s="69" customFormat="1" ht="13.2">
      <c r="A53" s="66"/>
      <c r="B53" s="66"/>
      <c r="C53" s="58"/>
      <c r="D53" s="67"/>
      <c r="E53" s="67"/>
      <c r="F53" s="68"/>
      <c r="H53" s="61"/>
      <c r="I53" s="62"/>
      <c r="J53" s="63"/>
      <c r="K53" s="65"/>
    </row>
    <row r="54" spans="1:11" s="60" customFormat="1" ht="13.2">
      <c r="A54" s="57"/>
      <c r="B54" s="57"/>
      <c r="C54" s="58"/>
      <c r="D54" s="67"/>
      <c r="E54" s="58"/>
      <c r="F54" s="59"/>
      <c r="H54" s="61"/>
      <c r="I54" s="62"/>
      <c r="J54" s="63"/>
      <c r="K54" s="65"/>
    </row>
    <row r="55" spans="1:11" s="60" customFormat="1" ht="13.2">
      <c r="A55" s="57"/>
      <c r="B55" s="57"/>
      <c r="C55" s="58"/>
      <c r="D55" s="58"/>
      <c r="E55" s="58"/>
      <c r="F55" s="59"/>
      <c r="H55" s="61"/>
      <c r="I55" s="62"/>
      <c r="J55" s="63"/>
      <c r="K55" s="65"/>
    </row>
    <row r="56" spans="1:11" s="60" customFormat="1" ht="13.2">
      <c r="A56" s="57"/>
      <c r="B56" s="57"/>
      <c r="C56" s="58"/>
      <c r="D56" s="58"/>
      <c r="E56" s="58"/>
      <c r="F56" s="59"/>
      <c r="H56" s="61"/>
      <c r="I56" s="62"/>
      <c r="J56" s="63"/>
      <c r="K56" s="65"/>
    </row>
    <row r="57" spans="1:11" s="60" customFormat="1" ht="13.2">
      <c r="A57" s="57"/>
      <c r="B57" s="57"/>
      <c r="C57" s="58"/>
      <c r="D57" s="58"/>
      <c r="E57" s="58"/>
      <c r="F57" s="59"/>
      <c r="H57" s="61"/>
      <c r="I57" s="62"/>
      <c r="J57" s="63"/>
      <c r="K57" s="65"/>
    </row>
    <row r="58" spans="1:11" s="60" customFormat="1" ht="13.2">
      <c r="A58" s="57"/>
      <c r="B58" s="57"/>
      <c r="C58" s="58"/>
      <c r="D58" s="58"/>
      <c r="E58" s="58"/>
      <c r="F58" s="59"/>
      <c r="H58" s="61"/>
      <c r="I58" s="62"/>
      <c r="J58" s="63"/>
      <c r="K58" s="65"/>
    </row>
    <row r="59" spans="1:11" s="60" customFormat="1" ht="13.2">
      <c r="A59" s="57"/>
      <c r="B59" s="57"/>
      <c r="C59" s="58"/>
      <c r="D59" s="58"/>
      <c r="E59" s="58"/>
      <c r="F59" s="59"/>
      <c r="H59" s="61"/>
      <c r="I59" s="62"/>
      <c r="J59" s="63"/>
      <c r="K59" s="65"/>
    </row>
    <row r="60" spans="1:11" s="60" customFormat="1" ht="13.2">
      <c r="A60" s="57"/>
      <c r="B60" s="57"/>
      <c r="C60" s="58"/>
      <c r="D60" s="58"/>
      <c r="E60" s="58"/>
      <c r="F60" s="59"/>
      <c r="H60" s="61"/>
      <c r="I60" s="62"/>
      <c r="J60" s="63"/>
      <c r="K60" s="6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6B09-A9F7-4FF8-BC32-6BED79B9B7DA}">
  <sheetPr codeName="Sheet4">
    <tabColor theme="0"/>
  </sheetPr>
  <dimension ref="A1:Z616"/>
  <sheetViews>
    <sheetView showGridLines="0" zoomScale="90" zoomScaleNormal="90" workbookViewId="0">
      <selection activeCell="E13" sqref="E13"/>
    </sheetView>
  </sheetViews>
  <sheetFormatPr defaultRowHeight="15.6"/>
  <cols>
    <col min="1" max="1" width="4.09765625" style="39" customWidth="1"/>
    <col min="2" max="7" width="11" customWidth="1"/>
  </cols>
  <sheetData>
    <row r="1" spans="1:26" s="33" customFormat="1" ht="20.100000000000001" customHeight="1">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row>
    <row r="2" spans="1:26" s="33" customFormat="1" ht="72" customHeight="1">
      <c r="A2" s="268"/>
      <c r="B2" s="301" t="s">
        <v>29</v>
      </c>
      <c r="C2" s="302"/>
      <c r="D2" s="302"/>
      <c r="E2" s="302"/>
      <c r="F2" s="302"/>
      <c r="G2" s="303"/>
      <c r="H2" s="217"/>
      <c r="I2" s="217"/>
      <c r="J2" s="217"/>
      <c r="K2" s="217"/>
      <c r="L2" s="217"/>
      <c r="M2" s="217"/>
      <c r="N2" s="217"/>
      <c r="O2" s="217"/>
      <c r="P2" s="217"/>
      <c r="Q2" s="217"/>
      <c r="R2" s="217"/>
      <c r="S2" s="217"/>
      <c r="T2" s="217"/>
      <c r="U2" s="217"/>
      <c r="V2" s="217"/>
      <c r="W2" s="217"/>
      <c r="X2" s="217"/>
      <c r="Y2" s="217"/>
      <c r="Z2" s="217"/>
    </row>
    <row r="3" spans="1:26" s="36" customFormat="1" ht="18" customHeight="1">
      <c r="A3" s="145"/>
      <c r="B3" s="146"/>
      <c r="C3" s="146"/>
      <c r="D3" s="146"/>
      <c r="E3" s="146"/>
      <c r="F3" s="146"/>
      <c r="G3" s="146"/>
      <c r="H3" s="146"/>
      <c r="I3" s="146"/>
      <c r="J3" s="152"/>
      <c r="K3" s="152"/>
      <c r="L3" s="152"/>
      <c r="M3" s="146"/>
      <c r="N3" s="146"/>
      <c r="O3" s="146"/>
      <c r="P3" s="146"/>
      <c r="Q3" s="146"/>
      <c r="R3" s="146"/>
      <c r="S3" s="146"/>
      <c r="T3" s="146"/>
      <c r="U3" s="146"/>
      <c r="V3" s="146"/>
      <c r="W3" s="146"/>
      <c r="X3" s="146"/>
      <c r="Y3" s="146"/>
      <c r="Z3" s="146"/>
    </row>
    <row r="4" spans="1:26" s="19" customFormat="1" ht="18" customHeight="1">
      <c r="A4" s="141"/>
      <c r="B4" s="141" t="s">
        <v>30</v>
      </c>
      <c r="C4" s="138"/>
      <c r="D4" s="138"/>
      <c r="E4" s="138" t="s">
        <v>31</v>
      </c>
      <c r="F4" s="138"/>
      <c r="G4" s="138"/>
      <c r="H4" s="138"/>
      <c r="I4" s="138"/>
      <c r="J4" s="138"/>
      <c r="K4" s="138"/>
      <c r="L4" s="138"/>
      <c r="M4" s="138"/>
      <c r="N4" s="138"/>
      <c r="O4" s="138"/>
      <c r="P4" s="138"/>
      <c r="Q4" s="138"/>
      <c r="R4" s="138"/>
      <c r="S4" s="138"/>
      <c r="T4" s="138"/>
      <c r="U4" s="138"/>
      <c r="V4" s="138"/>
      <c r="W4" s="138"/>
      <c r="X4" s="138"/>
      <c r="Y4" s="138"/>
      <c r="Z4" s="138"/>
    </row>
    <row r="5" spans="1:26" s="19" customFormat="1" ht="18" customHeight="1">
      <c r="A5" s="141"/>
      <c r="B5" s="141" t="s">
        <v>32</v>
      </c>
      <c r="C5" s="138"/>
      <c r="D5" s="138"/>
      <c r="E5" s="138" t="s">
        <v>33</v>
      </c>
      <c r="F5" s="138"/>
      <c r="G5" s="138"/>
      <c r="H5" s="138"/>
      <c r="I5" s="138"/>
      <c r="J5" s="138"/>
      <c r="K5" s="138"/>
      <c r="L5" s="138"/>
      <c r="M5" s="138"/>
      <c r="N5" s="138"/>
      <c r="O5" s="138"/>
      <c r="P5" s="138"/>
      <c r="Q5" s="138"/>
      <c r="R5" s="138"/>
      <c r="S5" s="138"/>
      <c r="T5" s="138"/>
      <c r="U5" s="138"/>
      <c r="V5" s="138"/>
      <c r="W5" s="138"/>
      <c r="X5" s="138"/>
      <c r="Y5" s="138"/>
      <c r="Z5" s="138"/>
    </row>
    <row r="6" spans="1:26" s="19" customFormat="1" ht="18" customHeight="1">
      <c r="A6" s="141"/>
      <c r="B6" s="141"/>
      <c r="C6" s="138"/>
      <c r="D6" s="138"/>
      <c r="E6" s="138" t="s">
        <v>34</v>
      </c>
      <c r="F6" s="138"/>
      <c r="G6" s="138"/>
      <c r="H6" s="138"/>
      <c r="I6" s="138"/>
      <c r="J6" s="138"/>
      <c r="K6" s="138"/>
      <c r="L6" s="138"/>
      <c r="M6" s="138"/>
      <c r="N6" s="138"/>
      <c r="O6" s="138"/>
      <c r="P6" s="138"/>
      <c r="Q6" s="138"/>
      <c r="R6" s="138"/>
      <c r="S6" s="138"/>
      <c r="T6" s="138"/>
      <c r="U6" s="138"/>
      <c r="V6" s="138"/>
      <c r="W6" s="138"/>
      <c r="X6" s="138"/>
      <c r="Y6" s="138"/>
      <c r="Z6" s="138"/>
    </row>
    <row r="7" spans="1:26" s="19" customFormat="1" ht="18" customHeight="1">
      <c r="A7" s="141"/>
      <c r="B7" s="141"/>
      <c r="C7" s="138"/>
      <c r="D7" s="138"/>
      <c r="E7" s="138" t="s">
        <v>35</v>
      </c>
      <c r="F7" s="138"/>
      <c r="G7" s="138"/>
      <c r="H7" s="138"/>
      <c r="I7" s="138"/>
      <c r="J7" s="138"/>
      <c r="K7" s="138"/>
      <c r="L7" s="138"/>
      <c r="M7" s="138"/>
      <c r="N7" s="138"/>
      <c r="O7" s="138"/>
      <c r="P7" s="138"/>
      <c r="Q7" s="138"/>
      <c r="R7" s="138"/>
      <c r="S7" s="138"/>
      <c r="T7" s="138"/>
      <c r="U7" s="138"/>
      <c r="V7" s="138"/>
      <c r="W7" s="138"/>
      <c r="X7" s="138"/>
      <c r="Y7" s="138"/>
      <c r="Z7" s="138"/>
    </row>
    <row r="8" spans="1:26" s="19" customFormat="1" ht="18" customHeight="1">
      <c r="A8" s="141"/>
      <c r="B8" s="141"/>
      <c r="C8" s="138"/>
      <c r="D8" s="138"/>
      <c r="E8" s="138" t="s">
        <v>36</v>
      </c>
      <c r="F8" s="138"/>
      <c r="G8" s="138"/>
      <c r="H8" s="138"/>
      <c r="I8" s="138"/>
      <c r="J8" s="138"/>
      <c r="K8" s="138"/>
      <c r="L8" s="138"/>
      <c r="M8" s="138"/>
      <c r="N8" s="138"/>
      <c r="O8" s="138"/>
      <c r="P8" s="138"/>
      <c r="Q8" s="138"/>
      <c r="R8" s="138"/>
      <c r="S8" s="138"/>
      <c r="T8" s="138"/>
      <c r="U8" s="138"/>
      <c r="V8" s="138"/>
      <c r="W8" s="138"/>
      <c r="X8" s="138"/>
      <c r="Y8" s="138"/>
      <c r="Z8" s="138"/>
    </row>
    <row r="9" spans="1:26" s="19" customFormat="1" ht="18" customHeight="1">
      <c r="A9" s="141"/>
      <c r="B9" s="141"/>
      <c r="C9" s="138"/>
      <c r="D9" s="138"/>
      <c r="E9" s="153" t="s">
        <v>37</v>
      </c>
      <c r="F9" s="138"/>
      <c r="G9" s="138"/>
      <c r="H9" s="138"/>
      <c r="I9" s="138"/>
      <c r="J9" s="138"/>
      <c r="K9" s="138"/>
      <c r="L9" s="138"/>
      <c r="M9" s="138"/>
      <c r="N9" s="138"/>
      <c r="O9" s="138"/>
      <c r="P9" s="138"/>
      <c r="Q9" s="138"/>
      <c r="R9" s="138"/>
      <c r="S9" s="138"/>
      <c r="T9" s="138"/>
      <c r="U9" s="138"/>
      <c r="V9" s="138"/>
      <c r="W9" s="138"/>
      <c r="X9" s="138"/>
      <c r="Y9" s="138"/>
      <c r="Z9" s="138"/>
    </row>
    <row r="10" spans="1:26" s="19" customFormat="1" ht="18" customHeight="1">
      <c r="A10" s="141"/>
      <c r="B10" s="141" t="s">
        <v>38</v>
      </c>
      <c r="C10" s="138"/>
      <c r="D10" s="138"/>
      <c r="E10" s="138" t="s">
        <v>39</v>
      </c>
      <c r="F10" s="138"/>
      <c r="G10" s="138"/>
      <c r="H10" s="138"/>
      <c r="I10" s="138"/>
      <c r="J10" s="138"/>
      <c r="K10" s="138"/>
      <c r="L10" s="138"/>
      <c r="M10" s="138"/>
      <c r="N10" s="138"/>
      <c r="O10" s="138"/>
      <c r="P10" s="138"/>
      <c r="Q10" s="138"/>
      <c r="R10" s="138"/>
      <c r="S10" s="138"/>
      <c r="T10" s="138"/>
      <c r="U10" s="138"/>
      <c r="V10" s="138"/>
      <c r="W10" s="138"/>
      <c r="X10" s="138"/>
      <c r="Y10" s="138"/>
      <c r="Z10" s="138"/>
    </row>
    <row r="11" spans="1:26" s="19" customFormat="1" ht="18" customHeight="1">
      <c r="A11" s="141"/>
      <c r="B11" s="141"/>
      <c r="C11" s="138"/>
      <c r="D11" s="138"/>
      <c r="E11" s="138" t="s">
        <v>40</v>
      </c>
      <c r="F11" s="138"/>
      <c r="G11" s="138"/>
      <c r="H11" s="138"/>
      <c r="I11" s="138"/>
      <c r="J11" s="138"/>
      <c r="K11" s="138"/>
      <c r="L11" s="138"/>
      <c r="M11" s="138"/>
      <c r="N11" s="138"/>
      <c r="O11" s="138"/>
      <c r="P11" s="138"/>
      <c r="Q11" s="138"/>
      <c r="R11" s="138"/>
      <c r="S11" s="138"/>
      <c r="T11" s="138"/>
      <c r="U11" s="138"/>
      <c r="V11" s="138"/>
      <c r="W11" s="138"/>
      <c r="X11" s="138"/>
      <c r="Y11" s="138"/>
      <c r="Z11" s="138"/>
    </row>
    <row r="12" spans="1:26" s="19" customFormat="1" ht="18" customHeight="1">
      <c r="A12" s="141"/>
      <c r="B12" s="141"/>
      <c r="C12" s="138"/>
      <c r="D12" s="138"/>
      <c r="E12" s="138" t="s">
        <v>41</v>
      </c>
      <c r="F12" s="138"/>
      <c r="G12" s="138"/>
      <c r="H12" s="138"/>
      <c r="I12" s="138"/>
      <c r="J12" s="138"/>
      <c r="K12" s="138"/>
      <c r="L12" s="138"/>
      <c r="M12" s="138"/>
      <c r="N12" s="138"/>
      <c r="O12" s="138"/>
      <c r="P12" s="138"/>
      <c r="Q12" s="138"/>
      <c r="R12" s="138"/>
      <c r="S12" s="138"/>
      <c r="T12" s="138"/>
      <c r="U12" s="138"/>
      <c r="V12" s="138"/>
      <c r="W12" s="138"/>
      <c r="X12" s="138"/>
      <c r="Y12" s="138"/>
      <c r="Z12" s="138"/>
    </row>
    <row r="13" spans="1:26" s="19" customFormat="1" ht="18" customHeight="1">
      <c r="A13" s="141"/>
      <c r="B13" s="141" t="s">
        <v>42</v>
      </c>
      <c r="C13" s="138"/>
      <c r="D13" s="138"/>
      <c r="E13" s="138" t="s">
        <v>43</v>
      </c>
      <c r="F13" s="138"/>
      <c r="G13" s="138"/>
      <c r="H13" s="138"/>
      <c r="I13" s="138"/>
      <c r="J13" s="138"/>
      <c r="K13" s="138"/>
      <c r="L13" s="138"/>
      <c r="M13" s="138"/>
      <c r="N13" s="138"/>
      <c r="O13" s="138"/>
      <c r="P13" s="138"/>
      <c r="Q13" s="138"/>
      <c r="R13" s="138"/>
      <c r="S13" s="138"/>
      <c r="T13" s="138"/>
      <c r="U13" s="138"/>
      <c r="V13" s="138"/>
      <c r="W13" s="138"/>
      <c r="X13" s="138"/>
      <c r="Y13" s="138"/>
      <c r="Z13" s="138"/>
    </row>
    <row r="14" spans="1:26" s="19" customFormat="1" ht="18" customHeight="1">
      <c r="A14" s="141"/>
      <c r="B14" s="141" t="s">
        <v>44</v>
      </c>
      <c r="C14" s="138"/>
      <c r="D14" s="138"/>
      <c r="E14" s="138" t="s">
        <v>45</v>
      </c>
      <c r="F14" s="138"/>
      <c r="G14" s="138"/>
      <c r="H14" s="138"/>
      <c r="I14" s="138"/>
      <c r="J14" s="138"/>
      <c r="K14" s="138"/>
      <c r="L14" s="138"/>
      <c r="M14" s="138"/>
      <c r="N14" s="138"/>
      <c r="O14" s="138"/>
      <c r="P14" s="138"/>
      <c r="Q14" s="138"/>
      <c r="R14" s="138"/>
      <c r="S14" s="138"/>
      <c r="T14" s="138"/>
      <c r="U14" s="138"/>
      <c r="V14" s="138"/>
      <c r="W14" s="138"/>
      <c r="X14" s="138"/>
      <c r="Y14" s="138"/>
      <c r="Z14" s="138"/>
    </row>
    <row r="15" spans="1:26" s="19" customFormat="1" ht="18" customHeight="1">
      <c r="A15" s="141"/>
      <c r="B15" s="141" t="s">
        <v>46</v>
      </c>
      <c r="C15" s="138"/>
      <c r="D15" s="138"/>
      <c r="E15" s="138" t="s">
        <v>47</v>
      </c>
      <c r="F15" s="138" t="s">
        <v>48</v>
      </c>
      <c r="G15" s="138"/>
      <c r="H15" s="138"/>
      <c r="I15" s="138"/>
      <c r="J15" s="138"/>
      <c r="K15" s="138"/>
      <c r="L15" s="138"/>
      <c r="M15" s="138"/>
      <c r="N15" s="138"/>
      <c r="O15" s="138"/>
      <c r="P15" s="138"/>
      <c r="Q15" s="138"/>
      <c r="R15" s="138"/>
      <c r="S15" s="138"/>
      <c r="T15" s="138"/>
      <c r="U15" s="138"/>
      <c r="V15" s="138"/>
      <c r="W15" s="138"/>
      <c r="X15" s="138"/>
      <c r="Y15" s="138"/>
      <c r="Z15" s="138"/>
    </row>
    <row r="16" spans="1:26" s="19" customFormat="1" ht="18" customHeight="1">
      <c r="A16" s="141"/>
      <c r="B16" s="141"/>
      <c r="C16" s="138"/>
      <c r="D16" s="138"/>
      <c r="E16" s="138" t="s">
        <v>49</v>
      </c>
      <c r="F16" s="138" t="s">
        <v>50</v>
      </c>
      <c r="G16" s="138"/>
      <c r="H16" s="138"/>
      <c r="I16" s="138"/>
      <c r="J16" s="138"/>
      <c r="K16" s="138"/>
      <c r="L16" s="138"/>
      <c r="M16" s="138"/>
      <c r="N16" s="138"/>
      <c r="O16" s="138"/>
      <c r="P16" s="138"/>
      <c r="Q16" s="138"/>
      <c r="R16" s="138"/>
      <c r="S16" s="138"/>
      <c r="T16" s="138"/>
      <c r="U16" s="138"/>
      <c r="V16" s="138"/>
      <c r="W16" s="138"/>
      <c r="X16" s="138"/>
      <c r="Y16" s="138"/>
      <c r="Z16" s="138"/>
    </row>
    <row r="17" spans="1:26" s="19" customFormat="1" ht="18" customHeight="1">
      <c r="A17" s="141"/>
      <c r="B17" s="141"/>
      <c r="C17" s="138"/>
      <c r="D17" s="138"/>
      <c r="E17" s="138" t="s">
        <v>51</v>
      </c>
      <c r="F17" s="138" t="s">
        <v>52</v>
      </c>
      <c r="G17" s="138"/>
      <c r="H17" s="138"/>
      <c r="I17" s="138"/>
      <c r="J17" s="138"/>
      <c r="K17" s="138"/>
      <c r="L17" s="138"/>
      <c r="M17" s="138"/>
      <c r="N17" s="138"/>
      <c r="O17" s="138"/>
      <c r="P17" s="138"/>
      <c r="Q17" s="138"/>
      <c r="R17" s="138"/>
      <c r="S17" s="138"/>
      <c r="T17" s="138"/>
      <c r="U17" s="138"/>
      <c r="V17" s="138"/>
      <c r="W17" s="138"/>
      <c r="X17" s="138"/>
      <c r="Y17" s="138"/>
      <c r="Z17" s="138"/>
    </row>
    <row r="18" spans="1:26" s="19" customFormat="1" ht="18" customHeight="1">
      <c r="A18" s="141"/>
      <c r="B18" s="141"/>
      <c r="C18" s="138"/>
      <c r="D18" s="138"/>
      <c r="E18" s="138" t="s">
        <v>53</v>
      </c>
      <c r="F18" s="138" t="s">
        <v>54</v>
      </c>
      <c r="G18" s="138"/>
      <c r="H18" s="138"/>
      <c r="I18" s="138"/>
      <c r="J18" s="138"/>
      <c r="K18" s="138"/>
      <c r="L18" s="138"/>
      <c r="M18" s="138"/>
      <c r="N18" s="138"/>
      <c r="O18" s="138"/>
      <c r="P18" s="138"/>
      <c r="Q18" s="138"/>
      <c r="R18" s="138"/>
      <c r="S18" s="138"/>
      <c r="T18" s="138"/>
      <c r="U18" s="138"/>
      <c r="V18" s="138"/>
      <c r="W18" s="138"/>
      <c r="X18" s="138"/>
      <c r="Y18" s="138"/>
      <c r="Z18" s="138"/>
    </row>
    <row r="19" spans="1:26" s="19" customFormat="1" ht="18" customHeight="1">
      <c r="A19" s="141"/>
      <c r="B19" s="141"/>
      <c r="C19" s="138"/>
      <c r="D19" s="138"/>
      <c r="E19" s="138" t="s">
        <v>55</v>
      </c>
      <c r="F19" s="138" t="s">
        <v>56</v>
      </c>
      <c r="G19" s="138"/>
      <c r="H19" s="138"/>
      <c r="I19" s="138"/>
      <c r="J19" s="138"/>
      <c r="K19" s="138"/>
      <c r="L19" s="138"/>
      <c r="M19" s="138"/>
      <c r="N19" s="138"/>
      <c r="O19" s="138"/>
      <c r="P19" s="138"/>
      <c r="Q19" s="138"/>
      <c r="R19" s="138"/>
      <c r="S19" s="138"/>
      <c r="T19" s="138"/>
      <c r="U19" s="138"/>
      <c r="V19" s="138"/>
      <c r="W19" s="138"/>
      <c r="X19" s="138"/>
      <c r="Y19" s="138"/>
      <c r="Z19" s="138"/>
    </row>
    <row r="20" spans="1:26" s="19" customFormat="1" ht="18" customHeight="1">
      <c r="A20" s="141"/>
      <c r="B20" s="141"/>
      <c r="C20" s="138"/>
      <c r="D20" s="138"/>
      <c r="E20" s="138" t="s">
        <v>57</v>
      </c>
      <c r="F20" s="138" t="s">
        <v>58</v>
      </c>
      <c r="G20" s="138"/>
      <c r="H20" s="138"/>
      <c r="I20" s="138"/>
      <c r="J20" s="138"/>
      <c r="K20" s="138"/>
      <c r="L20" s="138"/>
      <c r="M20" s="138"/>
      <c r="N20" s="138"/>
      <c r="O20" s="138"/>
      <c r="P20" s="138"/>
      <c r="Q20" s="138"/>
      <c r="R20" s="138"/>
      <c r="S20" s="138"/>
      <c r="T20" s="138"/>
      <c r="U20" s="138"/>
      <c r="V20" s="138"/>
      <c r="W20" s="138"/>
      <c r="X20" s="138"/>
      <c r="Y20" s="138"/>
      <c r="Z20" s="138"/>
    </row>
    <row r="21" spans="1:26" s="19" customFormat="1" ht="18" customHeight="1">
      <c r="A21" s="141"/>
      <c r="B21" s="141"/>
      <c r="C21" s="138"/>
      <c r="D21" s="138"/>
      <c r="E21" s="138" t="s">
        <v>59</v>
      </c>
      <c r="F21" s="138" t="s">
        <v>60</v>
      </c>
      <c r="G21" s="138"/>
      <c r="H21" s="138"/>
      <c r="I21" s="138"/>
      <c r="J21" s="138"/>
      <c r="K21" s="138"/>
      <c r="L21" s="138"/>
      <c r="M21" s="138"/>
      <c r="N21" s="138"/>
      <c r="O21" s="138"/>
      <c r="P21" s="138"/>
      <c r="Q21" s="138"/>
      <c r="R21" s="138"/>
      <c r="S21" s="138"/>
      <c r="T21" s="138"/>
      <c r="U21" s="138"/>
      <c r="V21" s="138"/>
      <c r="W21" s="138"/>
      <c r="X21" s="138"/>
      <c r="Y21" s="138"/>
      <c r="Z21" s="138"/>
    </row>
    <row r="22" spans="1:26" s="19" customFormat="1" ht="18" customHeight="1">
      <c r="A22" s="141"/>
      <c r="B22" s="141"/>
      <c r="C22" s="138"/>
      <c r="D22" s="138"/>
      <c r="E22" s="138" t="s">
        <v>61</v>
      </c>
      <c r="F22" s="138" t="s">
        <v>62</v>
      </c>
      <c r="G22" s="138"/>
      <c r="H22" s="138"/>
      <c r="I22" s="138"/>
      <c r="J22" s="138"/>
      <c r="K22" s="138"/>
      <c r="L22" s="138"/>
      <c r="M22" s="138"/>
      <c r="N22" s="138"/>
      <c r="O22" s="138"/>
      <c r="P22" s="138"/>
      <c r="Q22" s="138"/>
      <c r="R22" s="138"/>
      <c r="S22" s="138"/>
      <c r="T22" s="138"/>
      <c r="U22" s="138"/>
      <c r="V22" s="138"/>
      <c r="W22" s="138"/>
      <c r="X22" s="138"/>
      <c r="Y22" s="138"/>
      <c r="Z22" s="138"/>
    </row>
    <row r="23" spans="1:26" s="19" customFormat="1" ht="18" customHeight="1">
      <c r="A23" s="141"/>
      <c r="B23" s="141" t="s">
        <v>63</v>
      </c>
      <c r="C23" s="138"/>
      <c r="D23" s="138"/>
      <c r="E23" s="154" t="s">
        <v>64</v>
      </c>
      <c r="F23" s="138"/>
      <c r="G23" s="138"/>
      <c r="H23" s="138"/>
      <c r="I23" s="138"/>
      <c r="J23" s="138"/>
      <c r="K23" s="138"/>
      <c r="L23" s="138"/>
      <c r="M23" s="138"/>
      <c r="N23" s="138"/>
      <c r="O23" s="138"/>
      <c r="P23" s="138"/>
      <c r="Q23" s="138"/>
      <c r="R23" s="138"/>
      <c r="S23" s="138"/>
      <c r="T23" s="138"/>
      <c r="U23" s="138"/>
      <c r="V23" s="138"/>
      <c r="W23" s="138"/>
      <c r="X23" s="138"/>
      <c r="Y23" s="138"/>
      <c r="Z23" s="138"/>
    </row>
    <row r="24" spans="1:26" s="19" customFormat="1" ht="18" customHeight="1">
      <c r="A24" s="141"/>
      <c r="B24" s="141"/>
      <c r="C24" s="138"/>
      <c r="D24" s="138"/>
      <c r="E24" s="138" t="s">
        <v>65</v>
      </c>
      <c r="F24" s="138"/>
      <c r="G24" s="138"/>
      <c r="H24" s="138"/>
      <c r="I24" s="138"/>
      <c r="J24" s="138"/>
      <c r="K24" s="138"/>
      <c r="L24" s="138"/>
      <c r="M24" s="138"/>
      <c r="N24" s="138"/>
      <c r="O24" s="138"/>
      <c r="P24" s="138"/>
      <c r="Q24" s="138"/>
      <c r="R24" s="138"/>
      <c r="S24" s="138"/>
      <c r="T24" s="138"/>
      <c r="U24" s="138"/>
      <c r="V24" s="138"/>
      <c r="W24" s="138"/>
      <c r="X24" s="138"/>
      <c r="Y24" s="138"/>
      <c r="Z24" s="138"/>
    </row>
    <row r="25" spans="1:26" s="19" customFormat="1" ht="18" customHeight="1">
      <c r="A25" s="141"/>
      <c r="B25" s="141"/>
      <c r="C25" s="138"/>
      <c r="D25" s="138"/>
      <c r="E25" s="138" t="s">
        <v>66</v>
      </c>
      <c r="F25" s="138"/>
      <c r="G25" s="138"/>
      <c r="H25" s="138"/>
      <c r="I25" s="138"/>
      <c r="J25" s="138"/>
      <c r="K25" s="138"/>
      <c r="L25" s="138"/>
      <c r="M25" s="138"/>
      <c r="N25" s="138"/>
      <c r="O25" s="138"/>
      <c r="P25" s="138"/>
      <c r="Q25" s="138"/>
      <c r="R25" s="138"/>
      <c r="S25" s="138"/>
      <c r="T25" s="138"/>
      <c r="U25" s="138"/>
      <c r="V25" s="138"/>
      <c r="W25" s="138"/>
      <c r="X25" s="138"/>
      <c r="Y25" s="138"/>
      <c r="Z25" s="138"/>
    </row>
    <row r="26" spans="1:26" s="88" customFormat="1" ht="95.1" customHeight="1">
      <c r="A26" s="147"/>
      <c r="B26" s="147"/>
      <c r="C26" s="148"/>
      <c r="D26" s="148"/>
      <c r="E26" s="148"/>
      <c r="F26" s="304" t="s">
        <v>67</v>
      </c>
      <c r="G26" s="305"/>
      <c r="H26" s="305"/>
      <c r="I26" s="305"/>
      <c r="J26" s="305"/>
      <c r="K26" s="305"/>
      <c r="L26" s="305"/>
      <c r="M26" s="305"/>
      <c r="N26" s="305"/>
      <c r="O26" s="305"/>
      <c r="P26" s="306"/>
      <c r="Q26" s="148"/>
      <c r="R26" s="148"/>
      <c r="S26" s="148"/>
      <c r="T26" s="148"/>
      <c r="U26" s="148"/>
      <c r="V26" s="148"/>
      <c r="W26" s="148"/>
      <c r="X26" s="148"/>
      <c r="Y26" s="148"/>
      <c r="Z26" s="148"/>
    </row>
    <row r="27" spans="1:26" s="19" customFormat="1" ht="18" customHeight="1">
      <c r="A27" s="141"/>
      <c r="B27" s="141" t="s">
        <v>68</v>
      </c>
      <c r="C27" s="138"/>
      <c r="D27" s="138"/>
      <c r="E27" s="138" t="s">
        <v>69</v>
      </c>
      <c r="F27" s="138"/>
      <c r="G27" s="138"/>
      <c r="H27" s="138"/>
      <c r="I27" s="138"/>
      <c r="J27" s="138"/>
      <c r="K27" s="138"/>
      <c r="L27" s="138"/>
      <c r="M27" s="138"/>
      <c r="N27" s="138"/>
      <c r="O27" s="138"/>
      <c r="P27" s="138"/>
      <c r="Q27" s="138"/>
      <c r="R27" s="138"/>
      <c r="S27" s="138"/>
      <c r="T27" s="138"/>
      <c r="U27" s="138"/>
      <c r="V27" s="138"/>
      <c r="W27" s="138"/>
      <c r="X27" s="138"/>
      <c r="Y27" s="138"/>
      <c r="Z27" s="138"/>
    </row>
    <row r="28" spans="1:26" s="19" customFormat="1" ht="18" customHeight="1">
      <c r="A28" s="141"/>
      <c r="B28" s="141" t="s">
        <v>70</v>
      </c>
      <c r="C28" s="138"/>
      <c r="D28" s="138"/>
      <c r="E28" s="138" t="s">
        <v>71</v>
      </c>
      <c r="F28" s="138"/>
      <c r="G28" s="138"/>
      <c r="H28" s="138"/>
      <c r="I28" s="138"/>
      <c r="J28" s="138"/>
      <c r="K28" s="138"/>
      <c r="L28" s="138"/>
      <c r="M28" s="138"/>
      <c r="N28" s="138"/>
      <c r="O28" s="138"/>
      <c r="P28" s="138"/>
      <c r="Q28" s="138"/>
      <c r="R28" s="138"/>
      <c r="S28" s="138"/>
      <c r="T28" s="138"/>
      <c r="U28" s="138"/>
      <c r="V28" s="138"/>
      <c r="W28" s="138"/>
      <c r="X28" s="138"/>
      <c r="Y28" s="138"/>
      <c r="Z28" s="138"/>
    </row>
    <row r="29" spans="1:26" s="19" customFormat="1" ht="18" customHeight="1">
      <c r="A29" s="141"/>
      <c r="B29" s="141" t="s">
        <v>72</v>
      </c>
      <c r="C29" s="138"/>
      <c r="D29" s="138"/>
      <c r="E29" s="138" t="s">
        <v>73</v>
      </c>
      <c r="F29" s="138"/>
      <c r="G29" s="138"/>
      <c r="H29" s="138"/>
      <c r="I29" s="138"/>
      <c r="J29" s="138"/>
      <c r="K29" s="138"/>
      <c r="L29" s="138"/>
      <c r="M29" s="138"/>
      <c r="N29" s="138"/>
      <c r="O29" s="138"/>
      <c r="P29" s="138"/>
      <c r="Q29" s="138"/>
      <c r="R29" s="138"/>
      <c r="S29" s="138"/>
      <c r="T29" s="138"/>
      <c r="U29" s="138"/>
      <c r="V29" s="138"/>
      <c r="W29" s="138"/>
      <c r="X29" s="138"/>
      <c r="Y29" s="138"/>
      <c r="Z29" s="138"/>
    </row>
    <row r="30" spans="1:26" s="19" customFormat="1" ht="18" customHeight="1">
      <c r="A30" s="141"/>
      <c r="B30" s="141" t="s">
        <v>74</v>
      </c>
      <c r="C30" s="138"/>
      <c r="D30" s="138"/>
      <c r="E30" s="138" t="s">
        <v>75</v>
      </c>
      <c r="F30" s="138"/>
      <c r="G30" s="138"/>
      <c r="H30" s="138"/>
      <c r="I30" s="138"/>
      <c r="J30" s="138"/>
      <c r="K30" s="138"/>
      <c r="L30" s="138"/>
      <c r="M30" s="138"/>
      <c r="N30" s="138"/>
      <c r="O30" s="138"/>
      <c r="P30" s="138"/>
      <c r="Q30" s="138"/>
      <c r="R30" s="138"/>
      <c r="S30" s="138"/>
      <c r="T30" s="138"/>
      <c r="U30" s="138"/>
      <c r="V30" s="138"/>
      <c r="W30" s="138"/>
      <c r="X30" s="138"/>
      <c r="Y30" s="138"/>
      <c r="Z30" s="138"/>
    </row>
    <row r="31" spans="1:26" s="19" customFormat="1" ht="18" customHeight="1">
      <c r="A31" s="141"/>
      <c r="B31" s="138"/>
      <c r="C31" s="138"/>
      <c r="D31" s="149">
        <v>1000</v>
      </c>
      <c r="E31" s="138" t="s">
        <v>76</v>
      </c>
      <c r="F31" s="138"/>
      <c r="G31" s="138"/>
      <c r="H31" s="138"/>
      <c r="I31" s="138"/>
      <c r="J31" s="138"/>
      <c r="K31" s="138"/>
      <c r="L31" s="138"/>
      <c r="M31" s="138"/>
      <c r="N31" s="138"/>
      <c r="O31" s="138"/>
      <c r="P31" s="138"/>
      <c r="Q31" s="138"/>
      <c r="R31" s="138"/>
      <c r="S31" s="138"/>
      <c r="T31" s="138"/>
      <c r="U31" s="138"/>
      <c r="V31" s="138"/>
      <c r="W31" s="138"/>
      <c r="X31" s="138"/>
      <c r="Y31" s="138"/>
      <c r="Z31" s="138"/>
    </row>
    <row r="32" spans="1:26" s="19" customFormat="1" ht="18" customHeight="1">
      <c r="A32" s="141"/>
      <c r="B32" s="138"/>
      <c r="C32" s="138"/>
      <c r="D32" s="142">
        <v>1.1000000000000001</v>
      </c>
      <c r="E32" s="138" t="s">
        <v>76</v>
      </c>
      <c r="F32" s="138"/>
      <c r="G32" s="138"/>
      <c r="H32" s="138"/>
      <c r="I32" s="138"/>
      <c r="J32" s="138"/>
      <c r="K32" s="138"/>
      <c r="L32" s="138"/>
      <c r="M32" s="138"/>
      <c r="N32" s="138"/>
      <c r="O32" s="138"/>
      <c r="P32" s="138"/>
      <c r="Q32" s="138"/>
      <c r="R32" s="138"/>
      <c r="S32" s="138"/>
      <c r="T32" s="138"/>
      <c r="U32" s="138"/>
      <c r="V32" s="138"/>
      <c r="W32" s="138"/>
      <c r="X32" s="138"/>
      <c r="Y32" s="138"/>
      <c r="Z32" s="138"/>
    </row>
    <row r="33" spans="1:26" s="19" customFormat="1" ht="18" customHeight="1">
      <c r="A33" s="141"/>
      <c r="B33" s="138"/>
      <c r="C33" s="138"/>
      <c r="D33" s="150">
        <v>1.0999999999999999E-2</v>
      </c>
      <c r="E33" s="138" t="s">
        <v>76</v>
      </c>
      <c r="F33" s="138"/>
      <c r="G33" s="138"/>
      <c r="H33" s="138"/>
      <c r="I33" s="143"/>
      <c r="J33" s="143"/>
      <c r="K33" s="138"/>
      <c r="L33" s="138"/>
      <c r="M33" s="138"/>
      <c r="N33" s="138"/>
      <c r="O33" s="138"/>
      <c r="P33" s="138"/>
      <c r="Q33" s="138"/>
      <c r="R33" s="138"/>
      <c r="S33" s="138"/>
      <c r="T33" s="138"/>
      <c r="U33" s="138"/>
      <c r="V33" s="138"/>
      <c r="W33" s="138"/>
      <c r="X33" s="138"/>
      <c r="Y33" s="138"/>
      <c r="Z33" s="138"/>
    </row>
    <row r="34" spans="1:26" s="19" customFormat="1" ht="18" customHeight="1">
      <c r="A34" s="140"/>
      <c r="B34" s="141" t="s">
        <v>77</v>
      </c>
      <c r="C34" s="141"/>
      <c r="D34" s="142" t="s">
        <v>78</v>
      </c>
      <c r="E34" s="138" t="s">
        <v>79</v>
      </c>
      <c r="F34" s="138"/>
      <c r="G34" s="138"/>
      <c r="H34" s="138"/>
      <c r="I34" s="143"/>
      <c r="J34" s="143"/>
      <c r="K34" s="138"/>
      <c r="L34" s="138"/>
      <c r="M34" s="138"/>
      <c r="N34" s="138"/>
      <c r="O34" s="138"/>
      <c r="P34" s="138"/>
      <c r="Q34" s="138"/>
      <c r="R34" s="138"/>
      <c r="S34" s="138"/>
      <c r="T34" s="138"/>
      <c r="U34" s="138"/>
      <c r="V34" s="138"/>
      <c r="W34" s="138"/>
      <c r="X34" s="138"/>
      <c r="Y34" s="138"/>
      <c r="Z34" s="138"/>
    </row>
    <row r="35" spans="1:26" s="19" customFormat="1" ht="18" customHeight="1">
      <c r="A35" s="269"/>
      <c r="B35" s="138"/>
      <c r="C35" s="141"/>
      <c r="D35" s="142" t="s">
        <v>80</v>
      </c>
      <c r="E35" s="138" t="s">
        <v>81</v>
      </c>
      <c r="F35" s="138"/>
      <c r="G35" s="138"/>
      <c r="H35" s="137"/>
      <c r="I35" s="137"/>
      <c r="J35" s="137"/>
      <c r="K35" s="138"/>
      <c r="L35" s="138"/>
      <c r="M35" s="138"/>
      <c r="N35" s="138"/>
      <c r="O35" s="138"/>
      <c r="P35" s="138"/>
      <c r="Q35" s="138"/>
      <c r="R35" s="138"/>
      <c r="S35" s="138"/>
      <c r="T35" s="138"/>
      <c r="U35" s="138"/>
      <c r="V35" s="138"/>
      <c r="W35" s="138"/>
      <c r="X35" s="138"/>
      <c r="Y35" s="138"/>
      <c r="Z35" s="138"/>
    </row>
    <row r="36" spans="1:26" s="39" customFormat="1" ht="18" customHeight="1">
      <c r="A36" s="269"/>
      <c r="B36" s="141"/>
      <c r="C36" s="141"/>
      <c r="D36" s="142" t="s">
        <v>82</v>
      </c>
      <c r="E36" s="138" t="s">
        <v>83</v>
      </c>
      <c r="F36" s="138"/>
      <c r="G36" s="138"/>
      <c r="H36" s="137"/>
      <c r="I36" s="137"/>
      <c r="J36" s="137"/>
      <c r="K36" s="138"/>
      <c r="L36" s="143"/>
      <c r="M36" s="143"/>
      <c r="N36" s="143"/>
      <c r="O36" s="143"/>
      <c r="P36" s="143"/>
      <c r="Q36" s="143"/>
      <c r="R36" s="143"/>
      <c r="S36" s="143"/>
      <c r="T36" s="143"/>
      <c r="U36" s="143"/>
      <c r="V36" s="143"/>
      <c r="W36" s="143"/>
      <c r="X36" s="143"/>
      <c r="Y36" s="143"/>
      <c r="Z36" s="143"/>
    </row>
    <row r="37" spans="1:26" s="39" customFormat="1" ht="18" customHeight="1">
      <c r="A37" s="269"/>
      <c r="B37" s="138"/>
      <c r="C37" s="138"/>
      <c r="D37" s="142"/>
      <c r="E37" s="84" t="s">
        <v>84</v>
      </c>
      <c r="F37" s="139" t="s">
        <v>85</v>
      </c>
      <c r="G37" s="137"/>
      <c r="H37" s="137"/>
      <c r="I37" s="137"/>
      <c r="J37" s="137"/>
      <c r="K37" s="143"/>
      <c r="L37" s="143"/>
      <c r="M37" s="143"/>
      <c r="N37" s="143"/>
      <c r="O37" s="143"/>
      <c r="P37" s="143"/>
      <c r="Q37" s="143"/>
      <c r="R37" s="143"/>
      <c r="S37" s="143"/>
      <c r="T37" s="143"/>
      <c r="U37" s="143"/>
      <c r="V37" s="143"/>
      <c r="W37" s="143"/>
      <c r="X37" s="143"/>
      <c r="Y37" s="143"/>
      <c r="Z37" s="143"/>
    </row>
    <row r="38" spans="1:26" s="39" customFormat="1" ht="18" customHeight="1">
      <c r="A38" s="269"/>
      <c r="B38" s="151"/>
      <c r="C38" s="151"/>
      <c r="D38" s="138"/>
      <c r="E38" s="87" t="s">
        <v>80</v>
      </c>
      <c r="F38" s="139" t="s">
        <v>86</v>
      </c>
      <c r="G38" s="137"/>
      <c r="H38" s="137"/>
      <c r="I38" s="137"/>
      <c r="J38" s="137"/>
      <c r="K38" s="143"/>
      <c r="L38" s="143"/>
      <c r="M38" s="143"/>
      <c r="N38" s="143"/>
      <c r="O38" s="143"/>
      <c r="P38" s="143"/>
      <c r="Q38" s="143"/>
      <c r="R38" s="143"/>
      <c r="S38" s="143"/>
      <c r="T38" s="143"/>
      <c r="U38" s="143"/>
      <c r="V38" s="143"/>
      <c r="W38" s="143"/>
      <c r="X38" s="143"/>
      <c r="Y38" s="143"/>
      <c r="Z38" s="143"/>
    </row>
    <row r="39" spans="1:26" s="39" customFormat="1" ht="18" customHeight="1">
      <c r="A39" s="136"/>
      <c r="B39" s="151"/>
      <c r="C39" s="151"/>
      <c r="D39" s="138"/>
      <c r="E39" s="95" t="s">
        <v>87</v>
      </c>
      <c r="F39" s="139" t="s">
        <v>88</v>
      </c>
      <c r="G39" s="137"/>
      <c r="H39" s="137"/>
      <c r="I39" s="137"/>
      <c r="J39" s="137"/>
      <c r="K39" s="143"/>
      <c r="L39" s="143"/>
      <c r="M39" s="143"/>
      <c r="N39" s="143"/>
      <c r="O39" s="143"/>
      <c r="P39" s="143"/>
      <c r="Q39" s="143"/>
      <c r="R39" s="143"/>
      <c r="S39" s="143"/>
      <c r="T39" s="143"/>
      <c r="U39" s="143"/>
      <c r="V39" s="143"/>
      <c r="W39" s="143"/>
      <c r="X39" s="143"/>
      <c r="Y39" s="143"/>
      <c r="Z39" s="143"/>
    </row>
    <row r="40" spans="1:26" s="36" customFormat="1" ht="18" customHeight="1">
      <c r="A40" s="136"/>
      <c r="B40" s="137"/>
      <c r="C40" s="138"/>
      <c r="D40" s="138"/>
      <c r="E40" s="40" t="s">
        <v>89</v>
      </c>
      <c r="F40" s="139" t="s">
        <v>90</v>
      </c>
      <c r="G40" s="137"/>
      <c r="H40" s="137"/>
      <c r="I40" s="137"/>
      <c r="J40" s="137"/>
      <c r="K40" s="143"/>
      <c r="L40" s="137"/>
      <c r="M40" s="137"/>
      <c r="N40" s="137"/>
      <c r="O40" s="137"/>
      <c r="P40" s="137"/>
      <c r="Q40" s="137"/>
      <c r="R40" s="137"/>
      <c r="S40" s="137"/>
      <c r="T40" s="137"/>
      <c r="U40" s="137"/>
      <c r="V40" s="137"/>
      <c r="W40" s="137"/>
      <c r="X40" s="137"/>
      <c r="Y40" s="137"/>
      <c r="Z40" s="137"/>
    </row>
    <row r="41" spans="1:26" s="36" customFormat="1" ht="18" customHeight="1">
      <c r="A41" s="136"/>
      <c r="B41" s="137"/>
      <c r="C41" s="137"/>
      <c r="D41" s="138"/>
      <c r="E41" s="96" t="s">
        <v>91</v>
      </c>
      <c r="F41" s="139" t="s">
        <v>92</v>
      </c>
      <c r="G41" s="137"/>
      <c r="H41" s="137"/>
      <c r="I41" s="137"/>
      <c r="J41" s="137"/>
      <c r="K41" s="137"/>
      <c r="L41" s="137"/>
      <c r="M41" s="137"/>
      <c r="N41" s="137"/>
      <c r="O41" s="137"/>
      <c r="P41" s="137"/>
      <c r="Q41" s="137"/>
      <c r="R41" s="137"/>
      <c r="S41" s="137"/>
      <c r="T41" s="137"/>
      <c r="U41" s="137"/>
      <c r="V41" s="137"/>
      <c r="W41" s="137"/>
      <c r="X41" s="137"/>
      <c r="Y41" s="137"/>
      <c r="Z41" s="137"/>
    </row>
    <row r="42" spans="1:26" s="36" customFormat="1" ht="17.399999999999999" customHeight="1">
      <c r="A42" s="136"/>
      <c r="B42" s="137"/>
      <c r="C42" s="137"/>
      <c r="D42" s="138"/>
      <c r="E42" s="139" t="s">
        <v>93</v>
      </c>
      <c r="F42" s="137"/>
      <c r="G42" s="137"/>
      <c r="H42" s="137"/>
      <c r="I42" s="137"/>
      <c r="J42" s="137"/>
      <c r="K42" s="137"/>
      <c r="L42" s="137"/>
      <c r="M42" s="137"/>
      <c r="N42" s="137"/>
      <c r="O42" s="137"/>
      <c r="P42" s="137"/>
      <c r="Q42" s="137"/>
      <c r="R42" s="137"/>
      <c r="S42" s="137"/>
      <c r="T42" s="137"/>
      <c r="U42" s="137"/>
      <c r="V42" s="137"/>
      <c r="W42" s="137"/>
      <c r="X42" s="137"/>
      <c r="Y42" s="137"/>
      <c r="Z42" s="137"/>
    </row>
    <row r="43" spans="1:26" s="19" customFormat="1" ht="18" customHeight="1">
      <c r="A43" s="140"/>
      <c r="B43" s="141" t="s">
        <v>94</v>
      </c>
      <c r="C43" s="141"/>
      <c r="D43" s="142"/>
      <c r="E43" s="138" t="s">
        <v>95</v>
      </c>
      <c r="F43" s="138"/>
      <c r="G43" s="138"/>
      <c r="H43" s="138"/>
      <c r="I43" s="143"/>
      <c r="J43" s="143"/>
      <c r="K43" s="138"/>
      <c r="L43" s="138"/>
      <c r="M43" s="138"/>
      <c r="N43" s="138"/>
      <c r="O43" s="138"/>
      <c r="P43" s="138"/>
      <c r="Q43" s="138"/>
      <c r="R43" s="138"/>
      <c r="S43" s="138"/>
      <c r="T43" s="138"/>
      <c r="U43" s="138"/>
      <c r="V43" s="138"/>
      <c r="W43" s="138"/>
      <c r="X43" s="138"/>
      <c r="Y43" s="138"/>
      <c r="Z43" s="138"/>
    </row>
    <row r="44" spans="1:26" s="36" customFormat="1" ht="18" customHeight="1">
      <c r="A44" s="136"/>
      <c r="B44" s="137"/>
      <c r="C44" s="137"/>
      <c r="D44" s="137"/>
      <c r="E44" s="144"/>
      <c r="F44" s="137"/>
      <c r="G44" s="137"/>
      <c r="H44" s="137"/>
      <c r="I44" s="137"/>
      <c r="J44" s="137"/>
      <c r="K44" s="137"/>
      <c r="L44" s="137"/>
      <c r="M44" s="137"/>
      <c r="N44" s="137"/>
      <c r="O44" s="137"/>
      <c r="P44" s="137"/>
      <c r="Q44" s="137"/>
      <c r="R44" s="137"/>
      <c r="S44" s="137"/>
      <c r="T44" s="137"/>
      <c r="U44" s="137"/>
      <c r="V44" s="137"/>
      <c r="W44" s="137"/>
      <c r="X44" s="137"/>
      <c r="Y44" s="137"/>
      <c r="Z44" s="137"/>
    </row>
    <row r="45" spans="1:26" s="36" customFormat="1" ht="18" customHeight="1">
      <c r="A45" s="136"/>
      <c r="B45" s="144"/>
      <c r="C45" s="144"/>
      <c r="D45" s="144"/>
      <c r="E45" s="144"/>
      <c r="F45" s="144"/>
      <c r="G45" s="144"/>
      <c r="H45" s="144"/>
      <c r="I45" s="144"/>
      <c r="J45" s="137"/>
      <c r="K45" s="137"/>
      <c r="L45" s="137"/>
      <c r="M45" s="137"/>
      <c r="N45" s="137"/>
      <c r="O45" s="137"/>
      <c r="P45" s="137"/>
      <c r="Q45" s="137"/>
      <c r="R45" s="137"/>
      <c r="S45" s="137"/>
      <c r="T45" s="137"/>
      <c r="U45" s="137"/>
      <c r="V45" s="137"/>
      <c r="W45" s="137"/>
      <c r="X45" s="137"/>
      <c r="Y45" s="137"/>
      <c r="Z45" s="137"/>
    </row>
    <row r="46" spans="1:26" s="36" customFormat="1" ht="18" customHeight="1">
      <c r="A46" s="136"/>
      <c r="B46" s="137"/>
      <c r="C46" s="137"/>
      <c r="D46" s="138"/>
      <c r="E46" s="139"/>
      <c r="F46" s="137"/>
      <c r="G46" s="137"/>
      <c r="H46" s="137"/>
      <c r="I46" s="137"/>
      <c r="J46" s="137"/>
      <c r="K46" s="137"/>
      <c r="L46" s="137"/>
      <c r="M46" s="137"/>
      <c r="N46" s="137"/>
      <c r="O46" s="137"/>
      <c r="P46" s="137"/>
      <c r="Q46" s="137"/>
      <c r="R46" s="137"/>
      <c r="S46" s="137"/>
      <c r="T46" s="137"/>
      <c r="U46" s="137"/>
      <c r="V46" s="137"/>
      <c r="W46" s="137"/>
      <c r="X46" s="137"/>
      <c r="Y46" s="137"/>
      <c r="Z46" s="137"/>
    </row>
    <row r="47" spans="1:26" s="36" customFormat="1" ht="18" customHeight="1">
      <c r="A47" s="136"/>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s="36" customFormat="1" ht="18" customHeight="1">
      <c r="A48" s="136"/>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s="36" customFormat="1" ht="18" customHeight="1">
      <c r="A49" s="219"/>
      <c r="B49" s="144"/>
      <c r="C49" s="144"/>
      <c r="D49" s="144"/>
      <c r="E49" s="144"/>
      <c r="F49" s="144"/>
      <c r="G49" s="144"/>
      <c r="H49" s="144"/>
      <c r="I49" s="144"/>
      <c r="J49" s="137"/>
      <c r="K49" s="137"/>
      <c r="L49" s="137"/>
      <c r="M49" s="137"/>
      <c r="N49" s="137"/>
      <c r="O49" s="137"/>
      <c r="P49" s="137"/>
      <c r="Q49" s="137"/>
      <c r="R49" s="137"/>
      <c r="S49" s="137"/>
      <c r="T49" s="137"/>
      <c r="U49" s="137"/>
      <c r="V49" s="137"/>
      <c r="W49" s="137"/>
      <c r="X49" s="137"/>
      <c r="Y49" s="137"/>
      <c r="Z49" s="137"/>
    </row>
    <row r="50" spans="1:26" ht="18" customHeight="1">
      <c r="A50" s="219"/>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spans="1:26" ht="18" customHeight="1">
      <c r="A51" s="269"/>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spans="1:26" ht="18" customHeight="1">
      <c r="A52" s="269"/>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spans="1:26" ht="18" customHeight="1">
      <c r="A53" s="219"/>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spans="1:26" ht="18" customHeight="1">
      <c r="A54" s="219"/>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spans="1:26" ht="18" customHeight="1">
      <c r="A55" s="219"/>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spans="1:26" ht="18" customHeight="1">
      <c r="A56" s="219"/>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spans="1:26" ht="18" customHeight="1">
      <c r="A57" s="219"/>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spans="1:26" ht="18" customHeight="1">
      <c r="A58" s="219"/>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spans="1:26" ht="18" customHeight="1">
      <c r="A59" s="269"/>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spans="1:26" ht="18" customHeight="1">
      <c r="A60" s="219"/>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spans="1:26" ht="18" customHeight="1">
      <c r="A61" s="219"/>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spans="1:26" ht="18" customHeight="1">
      <c r="A62" s="269"/>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spans="1:26" ht="18" customHeight="1">
      <c r="A63" s="269"/>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spans="1:26" ht="18" customHeight="1">
      <c r="A64" s="219"/>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spans="1:26" ht="18" customHeight="1">
      <c r="A65" s="219"/>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spans="1:26" ht="18" customHeight="1">
      <c r="A66" s="143"/>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spans="1:26" ht="18" customHeight="1">
      <c r="A67" s="143"/>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spans="1:26" ht="18" customHeight="1">
      <c r="A68" s="269"/>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spans="1:26" ht="18" customHeight="1">
      <c r="A69" s="143"/>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spans="1:26" ht="18" customHeight="1">
      <c r="A70" s="143"/>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spans="1:26" ht="18" customHeight="1">
      <c r="A71" s="143"/>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spans="1:26" ht="18" customHeight="1">
      <c r="A72" s="143"/>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spans="1:26" ht="18" customHeight="1">
      <c r="A73" s="143"/>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spans="1:26" ht="18" customHeight="1">
      <c r="A74" s="143"/>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spans="1:26" ht="18" customHeight="1">
      <c r="A75" s="143"/>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spans="1:26" ht="18" customHeight="1">
      <c r="A76" s="143"/>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spans="1:26" ht="18" customHeight="1">
      <c r="A77" s="143"/>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spans="1:26" ht="18" customHeight="1">
      <c r="A78" s="143"/>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spans="1:26" ht="18" customHeight="1">
      <c r="A79" s="143"/>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spans="1:26" ht="18" customHeight="1">
      <c r="A80" s="143"/>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spans="1:26" ht="18" customHeight="1">
      <c r="A81" s="143"/>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spans="1:26" ht="18" customHeight="1">
      <c r="A82" s="143"/>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spans="1:26" ht="18" customHeight="1">
      <c r="A83" s="143"/>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spans="1:26" ht="18" customHeight="1">
      <c r="A84" s="143"/>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spans="1:26" ht="18" customHeight="1">
      <c r="A85" s="143"/>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spans="1:26" ht="18" customHeight="1">
      <c r="A86" s="143"/>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spans="1:26" ht="18" customHeight="1">
      <c r="A87" s="143"/>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spans="1:26" ht="18" customHeight="1">
      <c r="A88" s="143"/>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spans="1:26" ht="18" customHeight="1">
      <c r="A89" s="143"/>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spans="1:26" ht="18" customHeight="1">
      <c r="A90" s="143"/>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spans="1:26" ht="18" customHeight="1">
      <c r="A91" s="143"/>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spans="1:26" ht="18" customHeight="1">
      <c r="A92" s="143"/>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spans="1:26" ht="18" customHeight="1">
      <c r="A93" s="143"/>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spans="1:26" ht="18" customHeight="1">
      <c r="A94" s="143"/>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spans="1:26" ht="18" customHeight="1">
      <c r="A95" s="143"/>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spans="1:26" ht="18" customHeight="1">
      <c r="A96" s="143"/>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spans="1:26" ht="18" customHeight="1">
      <c r="A97" s="143"/>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spans="1:26" ht="18" customHeight="1">
      <c r="A98" s="143"/>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spans="1:26" ht="18" customHeight="1">
      <c r="A99" s="143"/>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spans="1:26" ht="18" customHeight="1">
      <c r="A100" s="143"/>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spans="1:26" ht="18" customHeight="1">
      <c r="A101" s="143"/>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spans="1:26" ht="18" customHeight="1">
      <c r="A102" s="143"/>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spans="1:26" ht="18" customHeight="1">
      <c r="A103" s="143"/>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spans="1:26" ht="18" customHeight="1">
      <c r="A104" s="143"/>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spans="1:26" ht="18" customHeight="1">
      <c r="A105" s="143"/>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spans="1:26" ht="18" customHeight="1">
      <c r="A106" s="143"/>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spans="1:26" ht="18" customHeight="1">
      <c r="A107" s="143"/>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spans="1:26" ht="18" customHeight="1">
      <c r="A108" s="143"/>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spans="1:26" ht="18" customHeight="1">
      <c r="A109" s="143"/>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spans="1:26" ht="18" customHeight="1">
      <c r="A110" s="143"/>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spans="1:26" ht="18" customHeight="1">
      <c r="A111" s="143"/>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spans="1:26" ht="18" customHeight="1">
      <c r="A112" s="143"/>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spans="1:26" ht="18" customHeight="1">
      <c r="A113" s="143"/>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spans="1:26" ht="18" customHeight="1">
      <c r="A114" s="143"/>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spans="1:26" ht="18" customHeight="1">
      <c r="A115" s="143"/>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spans="1:26" ht="18" customHeight="1">
      <c r="A116" s="143"/>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spans="1:26" ht="18" customHeight="1">
      <c r="A117" s="143"/>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spans="1:26" ht="18" customHeight="1">
      <c r="A118" s="143"/>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spans="1:26" ht="18" customHeight="1">
      <c r="A119" s="143"/>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spans="1:26" ht="18" customHeight="1">
      <c r="A120" s="143"/>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spans="1:26" ht="18" customHeight="1">
      <c r="A121" s="143"/>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spans="1:26" ht="18" customHeight="1">
      <c r="A122" s="143"/>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spans="1:26" ht="18" customHeight="1">
      <c r="A123" s="143"/>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spans="1:26" ht="18" customHeight="1">
      <c r="A124" s="143"/>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spans="1:26" ht="18" customHeight="1">
      <c r="A125" s="143"/>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spans="1:26" ht="18" customHeight="1">
      <c r="A126" s="143"/>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spans="1:26" ht="18" customHeight="1">
      <c r="A127" s="143"/>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spans="1:26" ht="18" customHeight="1">
      <c r="A128" s="143"/>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spans="1:26" ht="18" customHeight="1">
      <c r="A129" s="143"/>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spans="1:26" ht="18" customHeight="1">
      <c r="A130" s="143"/>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spans="1:26" ht="18" customHeight="1">
      <c r="A131" s="143"/>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spans="1:26" ht="18" customHeight="1">
      <c r="A132" s="143"/>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spans="1:26" ht="18" customHeight="1">
      <c r="A133" s="143"/>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spans="1:26" ht="18" customHeight="1">
      <c r="A134" s="143"/>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spans="1:26" ht="18" customHeight="1">
      <c r="A135" s="143"/>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spans="1:26" ht="18" customHeight="1">
      <c r="A136" s="143"/>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spans="1:26" ht="18" customHeight="1">
      <c r="A137" s="143"/>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spans="1:26" ht="18" customHeight="1">
      <c r="A138" s="143"/>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spans="1:26" ht="18" customHeight="1">
      <c r="A139" s="143"/>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spans="1:26" ht="18" customHeight="1">
      <c r="A140" s="143"/>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spans="1:26" ht="18" customHeight="1">
      <c r="A141" s="143"/>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spans="1:26" ht="18" customHeight="1">
      <c r="A142" s="143"/>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spans="1:26" ht="18" customHeight="1">
      <c r="A143" s="143"/>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spans="1:26" ht="18" customHeight="1">
      <c r="A144" s="143"/>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spans="1:26" ht="18" customHeight="1">
      <c r="A145" s="143"/>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spans="1:26" ht="18" customHeight="1">
      <c r="A146" s="143"/>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spans="1:26" ht="18" customHeight="1">
      <c r="A147" s="143"/>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spans="1:26" ht="18" customHeight="1">
      <c r="A148" s="143"/>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spans="1:26" ht="18" customHeight="1">
      <c r="A149" s="143"/>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spans="1:26" ht="18" customHeight="1">
      <c r="A150" s="143"/>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spans="1:26" ht="18" customHeight="1">
      <c r="A151" s="143"/>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spans="1:26" ht="18" customHeight="1">
      <c r="A152" s="143"/>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spans="1:26" ht="18" customHeight="1">
      <c r="A153" s="143"/>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spans="1:26" ht="18" customHeight="1">
      <c r="A154" s="143"/>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spans="1:26" ht="18" customHeight="1">
      <c r="A155" s="143"/>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spans="1:26" ht="18" customHeight="1">
      <c r="A156" s="143"/>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spans="1:26" ht="18" customHeight="1">
      <c r="A157" s="143"/>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spans="1:26" ht="18" customHeight="1">
      <c r="A158" s="143"/>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spans="1:26" ht="18" customHeight="1">
      <c r="A159" s="143"/>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spans="1:26" ht="18" customHeight="1">
      <c r="A160" s="143"/>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spans="1:26" ht="18" customHeight="1">
      <c r="A161" s="143"/>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spans="1:26" ht="18" customHeight="1">
      <c r="A162" s="143"/>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spans="1:26" ht="18" customHeight="1">
      <c r="A163" s="143"/>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spans="1:26" ht="18" customHeight="1">
      <c r="A164" s="143"/>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spans="1:26" ht="18" customHeight="1">
      <c r="A165" s="143"/>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spans="1:26" ht="18" customHeight="1">
      <c r="A166" s="143"/>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spans="1:26" ht="18" customHeight="1">
      <c r="A167" s="143"/>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spans="1:26" ht="18" customHeight="1">
      <c r="A168" s="143"/>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spans="1:26" ht="18" customHeight="1">
      <c r="A169" s="143"/>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spans="1:26" ht="18" customHeight="1">
      <c r="A170" s="143"/>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spans="1:26" ht="18" customHeight="1">
      <c r="A171" s="143"/>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spans="1:26" ht="18" customHeight="1">
      <c r="A172" s="143"/>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spans="1:26" ht="18" customHeight="1">
      <c r="A173" s="143"/>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spans="1:26" ht="18" customHeight="1">
      <c r="A174" s="143"/>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spans="1:26" ht="18" customHeight="1">
      <c r="A175" s="143"/>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spans="1:26" ht="18" customHeight="1">
      <c r="A176" s="143"/>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spans="1:26" ht="18" customHeight="1">
      <c r="A177" s="143"/>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spans="1:26" ht="18" customHeight="1">
      <c r="A178" s="143"/>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spans="1:26" ht="18" customHeight="1">
      <c r="A179" s="143"/>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spans="1:26" ht="18" customHeight="1">
      <c r="A180" s="143"/>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spans="1:26" ht="18" customHeight="1">
      <c r="A181" s="143"/>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spans="1:26" ht="18" customHeight="1">
      <c r="A182" s="143"/>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spans="1:26" ht="18" customHeight="1">
      <c r="A183" s="143"/>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spans="1:26" ht="18" customHeight="1">
      <c r="A184" s="143"/>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spans="1:26" ht="18" customHeight="1">
      <c r="A185" s="143"/>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spans="1:26" ht="18" customHeight="1">
      <c r="A186" s="143"/>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spans="1:26" ht="18" customHeight="1">
      <c r="A187" s="143"/>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spans="1:26" ht="18" customHeight="1">
      <c r="A188" s="143"/>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spans="1:26" ht="18" customHeight="1">
      <c r="A189" s="143"/>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spans="1:26" ht="18" customHeight="1">
      <c r="A190" s="143"/>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spans="1:26" ht="18" customHeight="1">
      <c r="A191" s="143"/>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spans="1:26" ht="18" customHeight="1">
      <c r="A192" s="143"/>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spans="1:26" ht="18" customHeight="1">
      <c r="A193" s="143"/>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spans="1:26" ht="18" customHeight="1">
      <c r="A194" s="143"/>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spans="1:26" ht="18" customHeight="1">
      <c r="A195" s="143"/>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spans="1:26" ht="18" customHeight="1">
      <c r="A196" s="143"/>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spans="1:26" ht="18" customHeight="1">
      <c r="A197" s="143"/>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spans="1:26" ht="18" customHeight="1">
      <c r="A198" s="143"/>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spans="1:26" ht="18" customHeight="1">
      <c r="A199" s="143"/>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spans="1:26" ht="18" customHeight="1">
      <c r="A200" s="143"/>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spans="1:26" ht="18" customHeight="1">
      <c r="A201" s="143"/>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spans="1:26" ht="18" customHeight="1">
      <c r="A202" s="143"/>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spans="1:26" ht="18" customHeight="1">
      <c r="A203" s="143"/>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spans="1:26" ht="18" customHeight="1">
      <c r="A204" s="143"/>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spans="1:26" ht="18" customHeight="1">
      <c r="A205" s="143"/>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spans="1:26" ht="18" customHeight="1">
      <c r="A206" s="143"/>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spans="1:26" ht="18" customHeight="1">
      <c r="A207" s="143"/>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spans="1:26" ht="18" customHeight="1">
      <c r="A208" s="143"/>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spans="1:26" ht="18" customHeight="1">
      <c r="A209" s="143"/>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spans="1:26" ht="18" customHeight="1">
      <c r="A210" s="143"/>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spans="1:26" ht="18" customHeight="1">
      <c r="A211" s="143"/>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spans="1:26" ht="18" customHeight="1">
      <c r="A212" s="143"/>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spans="1:26" ht="18" customHeight="1">
      <c r="A213" s="143"/>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spans="1:26" ht="18" customHeight="1">
      <c r="A214" s="143"/>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spans="1:26" ht="18" customHeight="1">
      <c r="A215" s="143"/>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spans="1:26" ht="18" customHeight="1">
      <c r="A216" s="143"/>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spans="1:26" ht="18" customHeight="1">
      <c r="A217" s="143"/>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spans="1:26" ht="18" customHeight="1">
      <c r="A218" s="143"/>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spans="1:26" ht="18" customHeight="1">
      <c r="A219" s="143"/>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spans="1:26" ht="18" customHeight="1">
      <c r="A220" s="143"/>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spans="1:26" ht="18" customHeight="1">
      <c r="A221" s="143"/>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spans="1:26" ht="18" customHeight="1">
      <c r="A222" s="143"/>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spans="1:26" ht="18" customHeight="1">
      <c r="A223" s="143"/>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spans="1:26" ht="18" customHeight="1">
      <c r="A224" s="143"/>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spans="1:26" ht="18" customHeight="1">
      <c r="A225" s="143"/>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spans="1:26" ht="18" customHeight="1">
      <c r="A226" s="143"/>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spans="1:26" ht="18" customHeight="1">
      <c r="A227" s="143"/>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spans="1:26" ht="18" customHeight="1">
      <c r="A228" s="143"/>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spans="1:26" ht="18" customHeight="1">
      <c r="A229" s="143"/>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spans="1:26" ht="18" customHeight="1">
      <c r="A230" s="143"/>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spans="1:26" ht="18" customHeight="1">
      <c r="A231" s="143"/>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spans="1:26" ht="18" customHeight="1">
      <c r="A232" s="143"/>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row>
    <row r="233" spans="1:26" ht="18" customHeight="1">
      <c r="A233" s="143"/>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row>
    <row r="234" spans="1:26" ht="18" customHeight="1">
      <c r="A234" s="143"/>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row>
    <row r="235" spans="1:26" ht="18" customHeight="1">
      <c r="A235" s="143"/>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row>
    <row r="236" spans="1:26" ht="18" customHeight="1">
      <c r="A236" s="143"/>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row>
    <row r="237" spans="1:26" ht="18" customHeight="1">
      <c r="A237" s="143"/>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row>
    <row r="238" spans="1:26" ht="18" customHeight="1">
      <c r="A238" s="143"/>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row>
    <row r="239" spans="1:26" ht="18" customHeight="1">
      <c r="A239" s="143"/>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row>
    <row r="240" spans="1:26" ht="18" customHeight="1">
      <c r="A240" s="143"/>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row>
    <row r="241" spans="1:26" ht="18" customHeight="1">
      <c r="A241" s="143"/>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row>
    <row r="242" spans="1:26" ht="18" customHeight="1">
      <c r="A242" s="143"/>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row>
    <row r="243" spans="1:26" ht="18" customHeight="1">
      <c r="A243" s="143"/>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row>
    <row r="244" spans="1:26" ht="18" customHeight="1">
      <c r="A244" s="143"/>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row>
    <row r="245" spans="1:26" ht="18" customHeight="1">
      <c r="A245" s="143"/>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row>
    <row r="246" spans="1:26" ht="18" customHeight="1">
      <c r="A246" s="143"/>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row>
    <row r="247" spans="1:26" ht="18" customHeight="1">
      <c r="A247" s="143"/>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row>
    <row r="248" spans="1:26" ht="18" customHeight="1">
      <c r="A248" s="143"/>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row>
    <row r="249" spans="1:26" ht="18" customHeight="1">
      <c r="A249" s="143"/>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row>
    <row r="250" spans="1:26" ht="18" customHeight="1">
      <c r="A250" s="143"/>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row>
    <row r="251" spans="1:26" ht="18" customHeight="1">
      <c r="A251" s="143"/>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row>
    <row r="252" spans="1:26" ht="18" customHeight="1">
      <c r="A252" s="143"/>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row>
    <row r="253" spans="1:26" ht="18" customHeight="1">
      <c r="A253" s="143"/>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row>
    <row r="254" spans="1:26" ht="18" customHeight="1">
      <c r="A254" s="143"/>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row>
    <row r="255" spans="1:26" ht="18" customHeight="1">
      <c r="A255" s="143"/>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row>
    <row r="256" spans="1:26" ht="18" customHeight="1">
      <c r="A256" s="143"/>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row>
    <row r="257" spans="1:26" ht="18" customHeight="1">
      <c r="A257" s="143"/>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row>
    <row r="258" spans="1:26" ht="18" customHeight="1">
      <c r="A258" s="143"/>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row>
    <row r="259" spans="1:26" ht="18" customHeight="1">
      <c r="A259" s="143"/>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row>
    <row r="260" spans="1:26" ht="18" customHeight="1">
      <c r="A260" s="143"/>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row>
    <row r="261" spans="1:26" ht="18" customHeight="1">
      <c r="A261" s="143"/>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row>
    <row r="262" spans="1:26" ht="18" customHeight="1">
      <c r="A262" s="143"/>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row>
    <row r="263" spans="1:26" ht="18" customHeight="1">
      <c r="A263" s="143"/>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row>
    <row r="264" spans="1:26" ht="18" customHeight="1">
      <c r="A264" s="143"/>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row>
    <row r="265" spans="1:26" ht="18" customHeight="1">
      <c r="A265" s="143"/>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row>
    <row r="266" spans="1:26" ht="18" customHeight="1">
      <c r="A266" s="143"/>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row>
    <row r="267" spans="1:26" ht="18" customHeight="1">
      <c r="A267" s="143"/>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row>
    <row r="268" spans="1:26" ht="18" customHeight="1">
      <c r="A268" s="143"/>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row>
    <row r="269" spans="1:26" ht="18" customHeight="1">
      <c r="A269" s="143"/>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row>
    <row r="270" spans="1:26" ht="18" customHeight="1">
      <c r="A270" s="143"/>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row>
    <row r="271" spans="1:26" ht="18" customHeight="1">
      <c r="A271" s="143"/>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row>
    <row r="272" spans="1:26" ht="18" customHeight="1">
      <c r="A272" s="143"/>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row>
    <row r="273" spans="1:26" ht="18" customHeight="1">
      <c r="A273" s="143"/>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row>
    <row r="274" spans="1:26" ht="18" customHeight="1">
      <c r="A274" s="143"/>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row>
    <row r="275" spans="1:26" ht="18" customHeight="1">
      <c r="A275" s="143"/>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row>
    <row r="276" spans="1:26" ht="18" customHeight="1">
      <c r="A276" s="143"/>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row>
    <row r="277" spans="1:26" ht="18" customHeight="1">
      <c r="A277" s="143"/>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row>
    <row r="278" spans="1:26" ht="18" customHeight="1">
      <c r="A278" s="143"/>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row>
    <row r="279" spans="1:26" ht="18" customHeight="1">
      <c r="A279" s="143"/>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row>
    <row r="280" spans="1:26" ht="18" customHeight="1">
      <c r="A280" s="143"/>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row>
    <row r="281" spans="1:26" ht="18" customHeight="1">
      <c r="A281" s="143"/>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row>
    <row r="282" spans="1:26" ht="18" customHeight="1">
      <c r="A282" s="143"/>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row>
    <row r="283" spans="1:26" ht="18" customHeight="1">
      <c r="A283" s="143"/>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row>
    <row r="284" spans="1:26" ht="18" customHeight="1">
      <c r="A284" s="143"/>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row>
    <row r="285" spans="1:26" ht="18" customHeight="1">
      <c r="A285" s="143"/>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row>
    <row r="286" spans="1:26" ht="18" customHeight="1">
      <c r="A286" s="143"/>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row>
    <row r="287" spans="1:26" ht="18" customHeight="1">
      <c r="A287" s="143"/>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row>
    <row r="288" spans="1:26" ht="18" customHeight="1">
      <c r="A288" s="143"/>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row>
    <row r="289" spans="1:26" ht="18" customHeight="1">
      <c r="A289" s="143"/>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row>
    <row r="290" spans="1:26" ht="18" customHeight="1">
      <c r="A290" s="143"/>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row>
    <row r="291" spans="1:26" ht="18" customHeight="1">
      <c r="A291" s="143"/>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row>
    <row r="292" spans="1:26" ht="18" customHeight="1">
      <c r="A292" s="143"/>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row>
    <row r="293" spans="1:26" ht="18" customHeight="1">
      <c r="A293" s="143"/>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row>
    <row r="294" spans="1:26" ht="18" customHeight="1">
      <c r="A294" s="143"/>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row>
    <row r="295" spans="1:26" ht="18" customHeight="1">
      <c r="A295" s="143"/>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row>
    <row r="296" spans="1:26" ht="18" customHeight="1">
      <c r="A296" s="143"/>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row>
    <row r="297" spans="1:26" ht="18" customHeight="1">
      <c r="A297" s="143"/>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row>
    <row r="298" spans="1:26" ht="18" customHeight="1">
      <c r="A298" s="143"/>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row>
    <row r="299" spans="1:26" ht="18" customHeight="1">
      <c r="A299" s="143"/>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row>
    <row r="300" spans="1:26" ht="18" customHeight="1">
      <c r="A300" s="143"/>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row>
    <row r="301" spans="1:26" ht="18" customHeight="1">
      <c r="A301" s="143"/>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row>
    <row r="302" spans="1:26" ht="18" customHeight="1">
      <c r="A302" s="143"/>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row>
    <row r="303" spans="1:26" ht="18" customHeight="1">
      <c r="A303" s="143"/>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row>
    <row r="304" spans="1:26" ht="18" customHeight="1">
      <c r="A304" s="143"/>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row>
    <row r="305" spans="1:26" ht="18" customHeight="1">
      <c r="A305" s="143"/>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row>
    <row r="306" spans="1:26" ht="18" customHeight="1">
      <c r="A306" s="143"/>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row>
    <row r="307" spans="1:26" ht="18" customHeight="1">
      <c r="A307" s="143"/>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row>
    <row r="308" spans="1:26" ht="18" customHeight="1">
      <c r="A308" s="143"/>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row>
    <row r="309" spans="1:26" ht="18" customHeight="1">
      <c r="A309" s="143"/>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row>
    <row r="310" spans="1:26" ht="18" customHeight="1">
      <c r="A310" s="143"/>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row>
    <row r="311" spans="1:26" ht="18" customHeight="1">
      <c r="A311" s="143"/>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row>
    <row r="312" spans="1:26" ht="18" customHeight="1">
      <c r="A312" s="143"/>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row>
    <row r="313" spans="1:26" ht="18" customHeight="1">
      <c r="A313" s="143"/>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row>
    <row r="314" spans="1:26" ht="18" customHeight="1">
      <c r="A314" s="143"/>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row>
    <row r="315" spans="1:26" ht="18" customHeight="1">
      <c r="A315" s="143"/>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row>
    <row r="316" spans="1:26" ht="18" customHeight="1">
      <c r="A316" s="143"/>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row>
    <row r="317" spans="1:26" ht="18" customHeight="1">
      <c r="A317" s="143"/>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row>
    <row r="318" spans="1:26" ht="18" customHeight="1">
      <c r="A318" s="143"/>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row>
    <row r="319" spans="1:26" ht="18" customHeight="1">
      <c r="A319" s="143"/>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row>
    <row r="320" spans="1:26" ht="18" customHeight="1">
      <c r="A320" s="143"/>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row>
    <row r="321" spans="1:26" ht="18" customHeight="1">
      <c r="A321" s="143"/>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row>
    <row r="322" spans="1:26" ht="18" customHeight="1">
      <c r="A322" s="143"/>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row>
    <row r="323" spans="1:26" ht="18" customHeight="1">
      <c r="A323" s="143"/>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row>
    <row r="324" spans="1:26" ht="18" customHeight="1">
      <c r="A324" s="143"/>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row>
    <row r="325" spans="1:26" ht="18" customHeight="1">
      <c r="A325" s="143"/>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row>
    <row r="326" spans="1:26" ht="18" customHeight="1">
      <c r="A326" s="143"/>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row>
    <row r="327" spans="1:26" ht="18" customHeight="1">
      <c r="A327" s="143"/>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row>
    <row r="328" spans="1:26" ht="18" customHeight="1">
      <c r="A328" s="143"/>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row>
    <row r="329" spans="1:26" ht="18" customHeight="1">
      <c r="A329" s="143"/>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row>
    <row r="330" spans="1:26" ht="18" customHeight="1">
      <c r="A330" s="143"/>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row>
    <row r="331" spans="1:26" ht="18" customHeight="1">
      <c r="A331" s="143"/>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row>
    <row r="332" spans="1:26" ht="18" customHeight="1">
      <c r="A332" s="143"/>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row>
    <row r="333" spans="1:26" ht="18" customHeight="1">
      <c r="A333" s="143"/>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row>
    <row r="334" spans="1:26" ht="18" customHeight="1">
      <c r="A334" s="143"/>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row>
    <row r="335" spans="1:26" ht="18" customHeight="1">
      <c r="A335" s="143"/>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row>
    <row r="336" spans="1:26" ht="18" customHeight="1">
      <c r="A336" s="143"/>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row>
    <row r="337" spans="1:26" ht="18" customHeight="1">
      <c r="A337" s="143"/>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row>
    <row r="338" spans="1:26" ht="18" customHeight="1">
      <c r="A338" s="143"/>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row>
    <row r="339" spans="1:26" ht="18" customHeight="1">
      <c r="A339" s="143"/>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row>
    <row r="340" spans="1:26" ht="18" customHeight="1">
      <c r="A340" s="143"/>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row>
    <row r="341" spans="1:26" ht="18" customHeight="1">
      <c r="A341" s="143"/>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row>
    <row r="342" spans="1:26" ht="18" customHeight="1">
      <c r="A342" s="143"/>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row>
    <row r="343" spans="1:26" ht="18" customHeight="1">
      <c r="A343" s="143"/>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row>
    <row r="344" spans="1:26" ht="18" customHeight="1">
      <c r="A344" s="143"/>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row>
    <row r="345" spans="1:26" ht="18" customHeight="1">
      <c r="A345" s="143"/>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row>
    <row r="346" spans="1:26" ht="18" customHeight="1">
      <c r="A346" s="143"/>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row>
    <row r="347" spans="1:26" ht="18" customHeight="1">
      <c r="A347" s="143"/>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row>
    <row r="348" spans="1:26" ht="18" customHeight="1">
      <c r="A348" s="143"/>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row>
    <row r="349" spans="1:26" ht="18" customHeight="1">
      <c r="A349" s="143"/>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row>
    <row r="350" spans="1:26" ht="18" customHeight="1">
      <c r="A350" s="143"/>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row>
    <row r="351" spans="1:26" ht="18" customHeight="1">
      <c r="A351" s="143"/>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row>
    <row r="352" spans="1:26" ht="18" customHeight="1">
      <c r="A352" s="143"/>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row>
    <row r="353" spans="1:26" ht="18" customHeight="1">
      <c r="A353" s="143"/>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row>
    <row r="354" spans="1:26" ht="18" customHeight="1">
      <c r="A354" s="143"/>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row>
    <row r="355" spans="1:26" ht="18" customHeight="1">
      <c r="A355" s="143"/>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row>
    <row r="356" spans="1:26" ht="18" customHeight="1">
      <c r="A356" s="143"/>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row>
    <row r="357" spans="1:26" ht="18" customHeight="1">
      <c r="A357" s="143"/>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row>
    <row r="358" spans="1:26" ht="18" customHeight="1">
      <c r="A358" s="143"/>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row>
    <row r="359" spans="1:26" ht="18" customHeight="1">
      <c r="A359" s="143"/>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row>
    <row r="360" spans="1:26" ht="18" customHeight="1">
      <c r="A360" s="143"/>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row>
    <row r="361" spans="1:26" ht="18" customHeight="1">
      <c r="A361" s="143"/>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row>
    <row r="362" spans="1:26" ht="18" customHeight="1">
      <c r="A362" s="143"/>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row>
    <row r="363" spans="1:26" ht="18" customHeight="1">
      <c r="A363" s="143"/>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row>
    <row r="364" spans="1:26" ht="18" customHeight="1">
      <c r="A364" s="143"/>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row>
    <row r="365" spans="1:26" ht="18" customHeight="1">
      <c r="A365" s="143"/>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row>
    <row r="366" spans="1:26" ht="18" customHeight="1">
      <c r="A366" s="143"/>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row>
    <row r="367" spans="1:26" ht="18" customHeight="1">
      <c r="A367" s="143"/>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row>
    <row r="368" spans="1:26" ht="18" customHeight="1">
      <c r="A368" s="143"/>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row>
    <row r="369" spans="1:26" ht="18" customHeight="1">
      <c r="A369" s="143"/>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row>
    <row r="370" spans="1:26" ht="18" customHeight="1">
      <c r="A370" s="143"/>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row>
    <row r="371" spans="1:26" ht="18" customHeight="1">
      <c r="A371" s="143"/>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row>
    <row r="372" spans="1:26" ht="18" customHeight="1">
      <c r="A372" s="143"/>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row>
    <row r="373" spans="1:26" ht="18" customHeight="1">
      <c r="A373" s="143"/>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row>
    <row r="374" spans="1:26" ht="18" customHeight="1">
      <c r="A374" s="143"/>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row>
    <row r="375" spans="1:26" ht="18" customHeight="1">
      <c r="A375" s="143"/>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row>
    <row r="376" spans="1:26" ht="18" customHeight="1">
      <c r="A376" s="143"/>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row>
    <row r="377" spans="1:26" ht="18" customHeight="1">
      <c r="A377" s="143"/>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row>
    <row r="378" spans="1:26" ht="18" customHeight="1">
      <c r="A378" s="143"/>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row>
    <row r="379" spans="1:26" ht="18" customHeight="1">
      <c r="A379" s="143"/>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row>
    <row r="380" spans="1:26" ht="18" customHeight="1">
      <c r="A380" s="143"/>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row>
    <row r="381" spans="1:26" ht="18" customHeight="1">
      <c r="A381" s="143"/>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row>
    <row r="382" spans="1:26" ht="18" customHeight="1">
      <c r="A382" s="143"/>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row>
    <row r="383" spans="1:26" ht="18" customHeight="1">
      <c r="A383" s="143"/>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row>
    <row r="384" spans="1:26" ht="18" customHeight="1">
      <c r="A384" s="143"/>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row>
    <row r="385" spans="1:26" ht="18" customHeight="1">
      <c r="A385" s="143"/>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row>
    <row r="386" spans="1:26" ht="18" customHeight="1">
      <c r="A386" s="143"/>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row>
    <row r="387" spans="1:26" ht="18" customHeight="1">
      <c r="A387" s="143"/>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row>
    <row r="388" spans="1:26" ht="18" customHeight="1">
      <c r="A388" s="143"/>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row>
    <row r="389" spans="1:26" ht="18" customHeight="1">
      <c r="A389" s="143"/>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row>
    <row r="390" spans="1:26" ht="18" customHeight="1">
      <c r="A390" s="143"/>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row>
    <row r="391" spans="1:26" ht="18" customHeight="1">
      <c r="A391" s="143"/>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row>
    <row r="392" spans="1:26" ht="18" customHeight="1">
      <c r="A392" s="143"/>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row>
    <row r="393" spans="1:26" ht="18" customHeight="1">
      <c r="A393" s="143"/>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row>
    <row r="394" spans="1:26" ht="18" customHeight="1">
      <c r="A394" s="143"/>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row>
    <row r="395" spans="1:26" ht="18" customHeight="1">
      <c r="A395" s="143"/>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row>
    <row r="396" spans="1:26" ht="18" customHeight="1">
      <c r="A396" s="143"/>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row>
    <row r="397" spans="1:26" ht="18" customHeight="1">
      <c r="A397" s="143"/>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row>
    <row r="398" spans="1:26" ht="18" customHeight="1">
      <c r="A398" s="143"/>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row>
    <row r="399" spans="1:26" ht="18" customHeight="1">
      <c r="A399" s="143"/>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row>
    <row r="400" spans="1:26" ht="18" customHeight="1">
      <c r="A400" s="143"/>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row>
    <row r="401" spans="1:26" ht="18" customHeight="1">
      <c r="A401" s="143"/>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row>
    <row r="402" spans="1:26" ht="18" customHeight="1">
      <c r="A402" s="143"/>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row>
    <row r="403" spans="1:26" ht="18" customHeight="1">
      <c r="A403" s="143"/>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row>
    <row r="404" spans="1:26" ht="18" customHeight="1">
      <c r="A404" s="143"/>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row>
    <row r="405" spans="1:26" ht="18" customHeight="1">
      <c r="A405" s="143"/>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row>
    <row r="406" spans="1:26" ht="18" customHeight="1">
      <c r="A406" s="143"/>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row>
    <row r="407" spans="1:26" ht="18" customHeight="1">
      <c r="A407" s="143"/>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row>
    <row r="408" spans="1:26" ht="18" customHeight="1">
      <c r="A408" s="143"/>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row>
    <row r="409" spans="1:26" ht="18" customHeight="1">
      <c r="A409" s="143"/>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row>
    <row r="410" spans="1:26" ht="18" customHeight="1">
      <c r="A410" s="143"/>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row>
    <row r="411" spans="1:26" ht="18" customHeight="1">
      <c r="A411" s="143"/>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row>
    <row r="412" spans="1:26" ht="18" customHeight="1">
      <c r="A412" s="143"/>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row>
    <row r="413" spans="1:26" ht="18" customHeight="1">
      <c r="A413" s="143"/>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row>
    <row r="414" spans="1:26" ht="18" customHeight="1">
      <c r="A414" s="143"/>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row>
    <row r="415" spans="1:26" ht="18" customHeight="1">
      <c r="A415" s="143"/>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row>
    <row r="416" spans="1:26" ht="18" customHeight="1">
      <c r="A416" s="143"/>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row>
    <row r="417" spans="1:26" ht="18" customHeight="1">
      <c r="A417" s="143"/>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row>
    <row r="418" spans="1:26" ht="18" customHeight="1">
      <c r="A418" s="143"/>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row>
    <row r="419" spans="1:26" ht="18" customHeight="1">
      <c r="A419" s="143"/>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row>
    <row r="420" spans="1:26" ht="18" customHeight="1">
      <c r="A420" s="143"/>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row>
    <row r="421" spans="1:26" ht="18" customHeight="1">
      <c r="A421" s="143"/>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row>
    <row r="422" spans="1:26" ht="18" customHeight="1">
      <c r="A422" s="143"/>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row>
    <row r="423" spans="1:26" ht="18" customHeight="1">
      <c r="A423" s="143"/>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row>
    <row r="424" spans="1:26" ht="18" customHeight="1">
      <c r="A424" s="143"/>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row>
    <row r="425" spans="1:26" ht="18" customHeight="1">
      <c r="A425" s="143"/>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row>
    <row r="426" spans="1:26" ht="18" customHeight="1">
      <c r="A426" s="143"/>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row>
    <row r="427" spans="1:26" ht="18" customHeight="1">
      <c r="A427" s="143"/>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row>
    <row r="428" spans="1:26" ht="18" customHeight="1">
      <c r="A428" s="143"/>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row>
    <row r="429" spans="1:26" ht="18" customHeight="1">
      <c r="A429" s="143"/>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row>
    <row r="430" spans="1:26" ht="18" customHeight="1">
      <c r="A430" s="143"/>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row>
    <row r="431" spans="1:26" ht="18" customHeight="1">
      <c r="A431" s="143"/>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row>
    <row r="432" spans="1:26" ht="18" customHeight="1">
      <c r="A432" s="143"/>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row>
    <row r="433" spans="1:26" ht="18" customHeight="1">
      <c r="A433" s="143"/>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row>
    <row r="434" spans="1:26" ht="18" customHeight="1">
      <c r="A434" s="143"/>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row>
    <row r="435" spans="1:26" ht="18" customHeight="1">
      <c r="A435" s="143"/>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row>
    <row r="436" spans="1:26" ht="18" customHeight="1">
      <c r="A436" s="143"/>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row>
    <row r="437" spans="1:26" ht="18" customHeight="1">
      <c r="A437" s="143"/>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row>
    <row r="438" spans="1:26" ht="18" customHeight="1">
      <c r="A438" s="143"/>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row>
    <row r="439" spans="1:26" ht="18" customHeight="1">
      <c r="A439" s="143"/>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row>
    <row r="440" spans="1:26" ht="18" customHeight="1">
      <c r="A440" s="143"/>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row>
    <row r="441" spans="1:26" ht="18" customHeight="1">
      <c r="A441" s="143"/>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row>
    <row r="442" spans="1:26" ht="18" customHeight="1">
      <c r="A442" s="143"/>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row>
    <row r="443" spans="1:26" ht="18" customHeight="1">
      <c r="A443" s="143"/>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row>
    <row r="444" spans="1:26" ht="18" customHeight="1">
      <c r="A444" s="143"/>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row>
    <row r="445" spans="1:26" ht="18" customHeight="1">
      <c r="A445" s="143"/>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row>
    <row r="446" spans="1:26" ht="18" customHeight="1">
      <c r="A446" s="143"/>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row>
    <row r="447" spans="1:26" ht="18" customHeight="1">
      <c r="A447" s="143"/>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row>
    <row r="448" spans="1:26" ht="18" customHeight="1">
      <c r="A448" s="143"/>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row>
    <row r="449" spans="1:26" ht="18" customHeight="1">
      <c r="A449" s="143"/>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row>
    <row r="450" spans="1:26" ht="18" customHeight="1">
      <c r="A450" s="143"/>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row>
    <row r="451" spans="1:26" ht="18" customHeight="1">
      <c r="A451" s="143"/>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row>
    <row r="452" spans="1:26" ht="18" customHeight="1">
      <c r="A452" s="143"/>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row>
    <row r="453" spans="1:26" ht="18" customHeight="1">
      <c r="A453" s="143"/>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row>
    <row r="454" spans="1:26" ht="18" customHeight="1">
      <c r="A454" s="143"/>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row>
    <row r="455" spans="1:26" ht="18" customHeight="1">
      <c r="A455" s="143"/>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row>
    <row r="456" spans="1:26" ht="18" customHeight="1">
      <c r="A456" s="143"/>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row>
    <row r="457" spans="1:26" ht="18" customHeight="1">
      <c r="A457" s="143"/>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row>
    <row r="458" spans="1:26" ht="18" customHeight="1">
      <c r="A458" s="143"/>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row>
    <row r="459" spans="1:26" ht="18" customHeight="1">
      <c r="A459" s="143"/>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row>
    <row r="460" spans="1:26" ht="18" customHeight="1">
      <c r="A460" s="143"/>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row>
    <row r="461" spans="1:26" ht="18" customHeight="1">
      <c r="A461" s="143"/>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row>
    <row r="462" spans="1:26" ht="18" customHeight="1">
      <c r="A462" s="143"/>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row>
    <row r="463" spans="1:26" ht="18" customHeight="1">
      <c r="A463" s="143"/>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row>
    <row r="464" spans="1:26" ht="18" customHeight="1">
      <c r="A464" s="143"/>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row>
    <row r="465" spans="1:26" ht="18" customHeight="1">
      <c r="A465" s="143"/>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row>
    <row r="466" spans="1:26" ht="18" customHeight="1">
      <c r="A466" s="143"/>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row>
    <row r="467" spans="1:26" ht="18" customHeight="1">
      <c r="A467" s="143"/>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row>
    <row r="468" spans="1:26" ht="18" customHeight="1">
      <c r="A468" s="143"/>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row>
    <row r="469" spans="1:26" ht="18" customHeight="1">
      <c r="A469" s="143"/>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row>
    <row r="470" spans="1:26" ht="18" customHeight="1">
      <c r="A470" s="143"/>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row>
    <row r="471" spans="1:26" ht="18" customHeight="1">
      <c r="A471" s="143"/>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row>
    <row r="472" spans="1:26" ht="18" customHeight="1">
      <c r="A472" s="143"/>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row>
    <row r="473" spans="1:26" ht="18" customHeight="1">
      <c r="A473" s="143"/>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row>
    <row r="474" spans="1:26" ht="18" customHeight="1">
      <c r="A474" s="143"/>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row>
    <row r="475" spans="1:26" ht="18" customHeight="1">
      <c r="A475" s="143"/>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row>
    <row r="476" spans="1:26" ht="18" customHeight="1">
      <c r="A476" s="143"/>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row>
    <row r="477" spans="1:26" ht="18" customHeight="1">
      <c r="A477" s="143"/>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row>
    <row r="478" spans="1:26" ht="18" customHeight="1">
      <c r="A478" s="143"/>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spans="1:26" ht="18" customHeight="1">
      <c r="A479" s="143"/>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row>
    <row r="480" spans="1:26" ht="18" customHeight="1">
      <c r="A480" s="143"/>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spans="1:26" ht="18" customHeight="1">
      <c r="A481" s="143"/>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row>
    <row r="482" spans="1:26" ht="18" customHeight="1">
      <c r="A482" s="143"/>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row>
    <row r="483" spans="1:26" ht="18" customHeight="1">
      <c r="A483" s="143"/>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row>
    <row r="484" spans="1:26" ht="18" customHeight="1">
      <c r="A484" s="143"/>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row>
    <row r="485" spans="1:26" ht="18" customHeight="1">
      <c r="A485" s="143"/>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row>
    <row r="486" spans="1:26" ht="18" customHeight="1">
      <c r="A486" s="143"/>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row>
    <row r="487" spans="1:26" ht="18" customHeight="1">
      <c r="A487" s="143"/>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row>
    <row r="488" spans="1:26" ht="18" customHeight="1">
      <c r="A488" s="143"/>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row>
    <row r="489" spans="1:26" ht="18" customHeight="1">
      <c r="A489" s="143"/>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row>
    <row r="490" spans="1:26" ht="18" customHeight="1">
      <c r="A490" s="143"/>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row>
    <row r="491" spans="1:26" ht="18" customHeight="1">
      <c r="A491" s="143"/>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row>
    <row r="492" spans="1:26" ht="18" customHeight="1">
      <c r="A492" s="143"/>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row>
    <row r="493" spans="1:26" ht="18" customHeight="1">
      <c r="A493" s="143"/>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row>
    <row r="494" spans="1:26" ht="18" customHeight="1">
      <c r="A494" s="143"/>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row>
    <row r="495" spans="1:26" ht="18" customHeight="1">
      <c r="A495" s="143"/>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row>
    <row r="496" spans="1:26" ht="18" customHeight="1">
      <c r="A496" s="143"/>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row>
    <row r="497" spans="1:26" ht="18" customHeight="1">
      <c r="A497" s="143"/>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row>
    <row r="498" spans="1:26" ht="18" customHeight="1">
      <c r="A498" s="143"/>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row>
    <row r="499" spans="1:26" ht="18" customHeight="1">
      <c r="A499" s="143"/>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row>
    <row r="500" spans="1:26" ht="18" customHeight="1">
      <c r="A500" s="143"/>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row>
    <row r="501" spans="1:26" ht="18" customHeight="1">
      <c r="A501" s="143"/>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row>
    <row r="502" spans="1:26" ht="18" customHeight="1">
      <c r="A502" s="143"/>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row>
    <row r="503" spans="1:26" ht="18" customHeight="1">
      <c r="A503" s="143"/>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row>
    <row r="504" spans="1:26" ht="18" customHeight="1">
      <c r="A504" s="143"/>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row>
    <row r="505" spans="1:26" ht="18" customHeight="1">
      <c r="A505" s="143"/>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row>
    <row r="506" spans="1:26" ht="18" customHeight="1">
      <c r="A506" s="143"/>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row>
    <row r="507" spans="1:26" ht="18" customHeight="1">
      <c r="A507" s="143"/>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row>
    <row r="508" spans="1:26" ht="18" customHeight="1">
      <c r="A508" s="143"/>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row>
    <row r="509" spans="1:26" ht="18" customHeight="1">
      <c r="A509" s="143"/>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row>
    <row r="510" spans="1:26" ht="18" customHeight="1">
      <c r="A510" s="143"/>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row>
    <row r="511" spans="1:26" ht="18" customHeight="1">
      <c r="A511" s="143"/>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row>
    <row r="512" spans="1:26" ht="18" customHeight="1">
      <c r="A512" s="143"/>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row>
    <row r="513" spans="1:26" ht="18" customHeight="1">
      <c r="A513" s="143"/>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row>
    <row r="514" spans="1:26" ht="18" customHeight="1">
      <c r="A514" s="143"/>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row>
    <row r="515" spans="1:26" ht="18" customHeight="1">
      <c r="A515" s="143"/>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row>
    <row r="516" spans="1:26" ht="18" customHeight="1">
      <c r="A516" s="143"/>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row>
    <row r="517" spans="1:26" ht="18" customHeight="1">
      <c r="A517" s="143"/>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row>
    <row r="518" spans="1:26" ht="18" customHeight="1">
      <c r="A518" s="143"/>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row>
    <row r="519" spans="1:26" ht="18" customHeight="1">
      <c r="A519" s="143"/>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row>
    <row r="520" spans="1:26" ht="18" customHeight="1">
      <c r="A520" s="143"/>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row>
    <row r="521" spans="1:26" ht="18" customHeight="1">
      <c r="A521" s="143"/>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row>
    <row r="522" spans="1:26" ht="18" customHeight="1">
      <c r="A522" s="143"/>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row>
    <row r="523" spans="1:26" ht="18" customHeight="1">
      <c r="A523" s="143"/>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row>
    <row r="524" spans="1:26" ht="18" customHeight="1">
      <c r="A524" s="143"/>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row>
    <row r="525" spans="1:26" ht="18" customHeight="1">
      <c r="A525" s="143"/>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row>
    <row r="526" spans="1:26" ht="18" customHeight="1">
      <c r="A526" s="143"/>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row>
    <row r="527" spans="1:26" ht="18" customHeight="1">
      <c r="A527" s="143"/>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row>
    <row r="528" spans="1:26" ht="18" customHeight="1">
      <c r="A528" s="143"/>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row>
    <row r="529" spans="1:26" ht="18" customHeight="1">
      <c r="A529" s="143"/>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row>
    <row r="530" spans="1:26" ht="18" customHeight="1">
      <c r="A530" s="143"/>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row>
    <row r="531" spans="1:26" ht="18" customHeight="1">
      <c r="A531" s="143"/>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row>
    <row r="532" spans="1:26" ht="18" customHeight="1">
      <c r="A532" s="143"/>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row>
    <row r="533" spans="1:26" ht="18" customHeight="1">
      <c r="A533" s="143"/>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row>
    <row r="534" spans="1:26" ht="18" customHeight="1">
      <c r="A534" s="143"/>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row>
    <row r="535" spans="1:26" ht="18" customHeight="1">
      <c r="A535" s="143"/>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row>
    <row r="536" spans="1:26" ht="18" customHeight="1">
      <c r="A536" s="143"/>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row>
    <row r="537" spans="1:26" ht="18" customHeight="1">
      <c r="A537" s="143"/>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row>
    <row r="538" spans="1:26" ht="18" customHeight="1">
      <c r="A538" s="143"/>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row>
    <row r="539" spans="1:26" ht="18" customHeight="1">
      <c r="A539" s="143"/>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row>
    <row r="540" spans="1:26" ht="18" customHeight="1">
      <c r="A540" s="143"/>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row>
    <row r="541" spans="1:26" ht="18" customHeight="1">
      <c r="A541" s="143"/>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row>
    <row r="542" spans="1:26" ht="18" customHeight="1">
      <c r="A542" s="143"/>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row>
    <row r="543" spans="1:26" ht="18" customHeight="1">
      <c r="A543" s="143"/>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row>
    <row r="544" spans="1:26" ht="18" customHeight="1">
      <c r="A544" s="143"/>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row>
    <row r="545" spans="1:26" ht="18" customHeight="1">
      <c r="A545" s="143"/>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row>
    <row r="546" spans="1:26" ht="18" customHeight="1">
      <c r="A546" s="143"/>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row>
    <row r="547" spans="1:26" ht="18" customHeight="1">
      <c r="A547" s="143"/>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row>
    <row r="548" spans="1:26" ht="18" customHeight="1">
      <c r="A548" s="143"/>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row>
    <row r="549" spans="1:26" ht="18" customHeight="1">
      <c r="A549" s="143"/>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row>
    <row r="550" spans="1:26" ht="18" customHeight="1">
      <c r="A550" s="143"/>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row>
    <row r="551" spans="1:26" ht="18" customHeight="1">
      <c r="A551" s="143"/>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row>
    <row r="552" spans="1:26" ht="18" customHeight="1">
      <c r="A552" s="143"/>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row>
    <row r="553" spans="1:26" ht="18" customHeight="1">
      <c r="A553" s="143"/>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spans="1:26" ht="18" customHeight="1">
      <c r="A554" s="143"/>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spans="1:26" ht="18" customHeight="1">
      <c r="A555" s="143"/>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row>
    <row r="556" spans="1:26" ht="18" customHeight="1">
      <c r="A556" s="143"/>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row>
    <row r="557" spans="1:26" ht="18" customHeight="1">
      <c r="A557" s="143"/>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row>
    <row r="558" spans="1:26" ht="18" customHeight="1">
      <c r="A558" s="143"/>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row>
    <row r="559" spans="1:26" ht="18" customHeight="1">
      <c r="A559" s="143"/>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row>
    <row r="560" spans="1:26" ht="18" customHeight="1">
      <c r="A560" s="143"/>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row>
    <row r="561" spans="1:26" ht="18" customHeight="1">
      <c r="A561" s="143"/>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row>
    <row r="562" spans="1:26" ht="18" customHeight="1">
      <c r="A562" s="143"/>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row>
    <row r="563" spans="1:26" ht="18" customHeight="1">
      <c r="A563" s="143"/>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row>
    <row r="564" spans="1:26" ht="18" customHeight="1">
      <c r="A564" s="143"/>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row>
    <row r="565" spans="1:26" ht="18" customHeight="1">
      <c r="A565" s="143"/>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row>
    <row r="566" spans="1:26" ht="18" customHeight="1">
      <c r="A566" s="143"/>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row>
    <row r="567" spans="1:26" ht="18" customHeight="1">
      <c r="A567" s="143"/>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row>
    <row r="568" spans="1:26" ht="18" customHeight="1">
      <c r="A568" s="143"/>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row>
    <row r="569" spans="1:26" ht="18" customHeight="1">
      <c r="A569" s="143"/>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row>
    <row r="570" spans="1:26" ht="18" customHeight="1">
      <c r="A570" s="143"/>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row>
    <row r="571" spans="1:26" ht="18" customHeight="1">
      <c r="A571" s="143"/>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row>
    <row r="572" spans="1:26" ht="18" customHeight="1">
      <c r="A572" s="143"/>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row>
    <row r="573" spans="1:26" ht="18" customHeight="1">
      <c r="A573" s="143"/>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row>
    <row r="574" spans="1:26" ht="18" customHeight="1">
      <c r="A574" s="143"/>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row>
    <row r="575" spans="1:26" ht="18" customHeight="1">
      <c r="A575" s="143"/>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row>
    <row r="576" spans="1:26" ht="18" customHeight="1">
      <c r="A576" s="143"/>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row>
    <row r="577" spans="1:26" ht="18" customHeight="1">
      <c r="A577" s="143"/>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row>
    <row r="578" spans="1:26" ht="18" customHeight="1">
      <c r="A578" s="143"/>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row>
    <row r="579" spans="1:26" ht="18" customHeight="1">
      <c r="A579" s="143"/>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row>
    <row r="580" spans="1:26" ht="18" customHeight="1">
      <c r="A580" s="143"/>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row>
    <row r="581" spans="1:26" ht="18" customHeight="1">
      <c r="A581" s="143"/>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row>
    <row r="582" spans="1:26" ht="18" customHeight="1">
      <c r="A582" s="143"/>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row>
    <row r="583" spans="1:26" ht="18" customHeight="1">
      <c r="A583" s="143"/>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row>
    <row r="584" spans="1:26" ht="18" customHeight="1">
      <c r="A584" s="143"/>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row>
    <row r="585" spans="1:26" ht="18" customHeight="1">
      <c r="A585" s="143"/>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row>
    <row r="586" spans="1:26" ht="18" customHeight="1">
      <c r="A586" s="143"/>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row>
    <row r="587" spans="1:26" ht="18" customHeight="1">
      <c r="A587" s="143"/>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row>
    <row r="588" spans="1:26" ht="18" customHeight="1">
      <c r="A588" s="143"/>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row>
    <row r="589" spans="1:26" ht="18" customHeight="1">
      <c r="A589" s="143"/>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row>
    <row r="590" spans="1:26" ht="18" customHeight="1">
      <c r="A590" s="143"/>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row>
    <row r="591" spans="1:26" ht="18" customHeight="1">
      <c r="A591" s="143"/>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row>
    <row r="592" spans="1:26" ht="18" customHeight="1">
      <c r="A592" s="143"/>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row>
    <row r="593" spans="1:26" ht="18" customHeight="1">
      <c r="A593" s="143"/>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row>
    <row r="594" spans="1:26" ht="18" customHeight="1">
      <c r="A594" s="143"/>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row>
    <row r="595" spans="1:26" ht="18" customHeight="1">
      <c r="A595" s="143"/>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row>
    <row r="596" spans="1:26" ht="18" customHeight="1">
      <c r="A596" s="143"/>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row>
    <row r="597" spans="1:26" ht="18" customHeight="1">
      <c r="A597" s="143"/>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row>
    <row r="598" spans="1:26" ht="18" customHeight="1">
      <c r="A598" s="143"/>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row>
    <row r="599" spans="1:26" ht="18" customHeight="1">
      <c r="A599" s="143"/>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row>
    <row r="600" spans="1:26" ht="18" customHeight="1">
      <c r="A600" s="143"/>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row>
    <row r="601" spans="1:26" ht="18" customHeight="1">
      <c r="A601" s="143"/>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row>
    <row r="602" spans="1:26" ht="18" customHeight="1">
      <c r="A602" s="143"/>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row>
    <row r="603" spans="1:26" ht="18" customHeight="1">
      <c r="A603" s="143"/>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row>
    <row r="604" spans="1:26" ht="18" customHeight="1">
      <c r="A604" s="143"/>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row>
    <row r="605" spans="1:26" ht="18" customHeight="1">
      <c r="A605" s="143"/>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row>
    <row r="606" spans="1:26" ht="18" customHeight="1">
      <c r="A606" s="143"/>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row>
    <row r="607" spans="1:26" ht="18" customHeight="1">
      <c r="A607" s="143"/>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row>
    <row r="608" spans="1:26" ht="18" customHeight="1">
      <c r="A608" s="143"/>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row>
    <row r="609" spans="1:26" ht="18" customHeight="1">
      <c r="A609" s="143"/>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row>
    <row r="610" spans="1:26" ht="18" customHeight="1">
      <c r="A610" s="143"/>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row>
    <row r="611" spans="1:26" ht="18" customHeight="1">
      <c r="A611" s="143"/>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row>
    <row r="612" spans="1:26" ht="18" customHeight="1">
      <c r="A612" s="143"/>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row>
    <row r="613" spans="1:26" ht="18" customHeight="1">
      <c r="A613" s="143"/>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row>
    <row r="614" spans="1:26" ht="18" customHeight="1">
      <c r="A614" s="143"/>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row>
    <row r="615" spans="1:26" ht="18" customHeight="1">
      <c r="A615" s="143"/>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row>
    <row r="616" spans="1:26" ht="18" customHeight="1">
      <c r="A616" s="143"/>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row>
  </sheetData>
  <mergeCells count="2">
    <mergeCell ref="B2:G2"/>
    <mergeCell ref="F26:P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0AC0-9EF2-4383-BE22-19B09BE0C498}">
  <sheetPr codeName="Sheet5">
    <tabColor theme="1"/>
  </sheetPr>
  <dimension ref="A1:HU300"/>
  <sheetViews>
    <sheetView showGridLines="0" zoomScaleNormal="100" workbookViewId="0">
      <selection activeCell="B3" sqref="B3"/>
    </sheetView>
  </sheetViews>
  <sheetFormatPr defaultColWidth="8.59765625" defaultRowHeight="15"/>
  <cols>
    <col min="1" max="1" width="4.09765625" style="39" customWidth="1"/>
    <col min="2" max="2" width="4.09765625" style="31" customWidth="1"/>
    <col min="3" max="5" width="3.19921875" style="31" customWidth="1"/>
    <col min="6" max="6" width="97.59765625" style="32" customWidth="1"/>
    <col min="7" max="7" width="4.09765625" style="31" customWidth="1"/>
    <col min="8" max="26" width="8.59765625" style="31"/>
    <col min="27" max="229" width="8.59765625" style="1"/>
    <col min="230" max="16384" width="8.59765625" style="31"/>
  </cols>
  <sheetData>
    <row r="1" spans="1:26" s="33" customFormat="1" ht="20.100000000000001" customHeight="1">
      <c r="A1" s="228"/>
      <c r="B1" s="228"/>
      <c r="C1" s="228"/>
      <c r="D1" s="228"/>
      <c r="E1" s="228"/>
      <c r="F1" s="228"/>
      <c r="G1" s="228"/>
      <c r="H1" s="228"/>
      <c r="I1" s="228"/>
      <c r="J1" s="228"/>
      <c r="K1" s="228"/>
      <c r="L1" s="228"/>
      <c r="M1" s="228"/>
      <c r="N1" s="228"/>
      <c r="O1" s="228"/>
      <c r="P1" s="228"/>
      <c r="Q1" s="228"/>
      <c r="R1" s="228"/>
      <c r="S1" s="228"/>
      <c r="T1" s="228"/>
      <c r="U1" s="228"/>
      <c r="V1" s="228"/>
      <c r="W1" s="228"/>
      <c r="X1" s="228"/>
      <c r="Y1" s="228"/>
      <c r="Z1" s="228"/>
    </row>
    <row r="2" spans="1:26" s="1" customFormat="1" ht="80.25" customHeight="1">
      <c r="A2" s="228"/>
      <c r="B2" s="311" t="s">
        <v>285</v>
      </c>
      <c r="C2" s="312"/>
      <c r="D2" s="312"/>
      <c r="E2" s="312"/>
      <c r="F2" s="312"/>
      <c r="G2" s="313"/>
      <c r="H2" s="228"/>
      <c r="I2" s="228"/>
      <c r="J2" s="228"/>
      <c r="K2" s="228"/>
      <c r="L2" s="228"/>
      <c r="M2" s="228"/>
      <c r="N2" s="228"/>
      <c r="O2" s="228"/>
      <c r="P2" s="228"/>
      <c r="Q2" s="228"/>
      <c r="R2" s="228"/>
      <c r="S2" s="228"/>
      <c r="T2" s="228"/>
      <c r="U2" s="228"/>
      <c r="V2" s="228"/>
      <c r="W2" s="228"/>
      <c r="X2" s="228"/>
      <c r="Y2" s="228"/>
      <c r="Z2" s="228"/>
    </row>
    <row r="3" spans="1:26" s="1" customFormat="1" ht="18.600000000000001" customHeight="1">
      <c r="A3" s="228"/>
      <c r="B3" s="228"/>
      <c r="C3" s="228"/>
      <c r="D3" s="228"/>
      <c r="E3" s="228"/>
      <c r="F3" s="228"/>
      <c r="G3" s="228"/>
      <c r="H3" s="228"/>
      <c r="I3" s="228"/>
      <c r="J3" s="228"/>
      <c r="K3" s="228"/>
      <c r="L3" s="228"/>
      <c r="M3" s="228"/>
      <c r="N3" s="228"/>
      <c r="O3" s="228"/>
      <c r="P3" s="228"/>
      <c r="Q3" s="228"/>
      <c r="R3" s="228"/>
      <c r="S3" s="228"/>
      <c r="T3" s="228"/>
      <c r="U3" s="228"/>
      <c r="V3" s="228"/>
      <c r="W3" s="228"/>
      <c r="X3" s="228"/>
      <c r="Y3" s="228"/>
      <c r="Z3" s="228"/>
    </row>
    <row r="4" spans="1:26" s="1" customFormat="1" ht="18.600000000000001" customHeight="1">
      <c r="A4" s="228"/>
      <c r="B4" s="270"/>
      <c r="C4" s="271"/>
      <c r="D4" s="271"/>
      <c r="E4" s="271"/>
      <c r="F4" s="271"/>
      <c r="G4" s="272"/>
      <c r="H4" s="228"/>
      <c r="I4" s="228"/>
      <c r="J4" s="228"/>
      <c r="K4" s="228"/>
      <c r="L4" s="228"/>
      <c r="M4" s="228"/>
      <c r="N4" s="228"/>
      <c r="O4" s="228"/>
      <c r="P4" s="228"/>
      <c r="Q4" s="228"/>
      <c r="R4" s="228"/>
      <c r="S4" s="228"/>
      <c r="T4" s="228"/>
      <c r="U4" s="228"/>
      <c r="V4" s="228"/>
      <c r="W4" s="228"/>
      <c r="X4" s="228"/>
      <c r="Y4" s="228"/>
      <c r="Z4" s="228"/>
    </row>
    <row r="5" spans="1:26" s="4" customFormat="1" ht="18.600000000000001" customHeight="1">
      <c r="A5" s="228"/>
      <c r="B5" s="2"/>
      <c r="C5" s="89" t="s">
        <v>96</v>
      </c>
      <c r="D5" s="90"/>
      <c r="E5" s="90"/>
      <c r="F5" s="91"/>
      <c r="G5" s="3"/>
      <c r="H5" s="228"/>
      <c r="I5" s="228"/>
      <c r="J5" s="228"/>
      <c r="K5" s="228"/>
      <c r="L5" s="228"/>
      <c r="M5" s="228"/>
      <c r="N5" s="228"/>
      <c r="O5" s="228"/>
      <c r="P5" s="228"/>
      <c r="Q5" s="228"/>
      <c r="R5" s="228"/>
      <c r="S5" s="228"/>
      <c r="T5" s="228"/>
      <c r="U5" s="228"/>
      <c r="V5" s="228"/>
      <c r="W5" s="228"/>
      <c r="X5" s="228"/>
      <c r="Y5" s="228"/>
      <c r="Z5" s="228"/>
    </row>
    <row r="6" spans="1:26" s="7" customFormat="1" ht="18.600000000000001" customHeight="1">
      <c r="A6" s="228"/>
      <c r="B6" s="5"/>
      <c r="C6" s="118"/>
      <c r="D6" s="118"/>
      <c r="E6" s="118"/>
      <c r="F6" s="118"/>
      <c r="G6" s="6"/>
      <c r="H6" s="228"/>
      <c r="I6" s="228"/>
      <c r="J6" s="228"/>
      <c r="K6" s="228"/>
      <c r="L6" s="228"/>
      <c r="M6" s="228"/>
      <c r="N6" s="228"/>
      <c r="O6" s="228"/>
      <c r="P6" s="228"/>
      <c r="Q6" s="228"/>
      <c r="R6" s="228"/>
      <c r="S6" s="228"/>
      <c r="T6" s="228"/>
      <c r="U6" s="228"/>
      <c r="V6" s="228"/>
      <c r="W6" s="228"/>
      <c r="X6" s="228"/>
      <c r="Y6" s="228"/>
      <c r="Z6" s="228"/>
    </row>
    <row r="7" spans="1:26" s="10" customFormat="1" ht="18.600000000000001" customHeight="1">
      <c r="A7" s="228"/>
      <c r="B7" s="8"/>
      <c r="C7" s="119" t="s">
        <v>97</v>
      </c>
      <c r="D7" s="119"/>
      <c r="E7" s="119"/>
      <c r="F7" s="119"/>
      <c r="G7" s="9"/>
      <c r="H7" s="228"/>
      <c r="I7" s="228"/>
      <c r="J7" s="228"/>
      <c r="K7" s="228"/>
      <c r="L7" s="228"/>
      <c r="M7" s="228"/>
      <c r="N7" s="228"/>
      <c r="O7" s="228"/>
      <c r="P7" s="228"/>
      <c r="Q7" s="228"/>
      <c r="R7" s="228"/>
      <c r="S7" s="228"/>
      <c r="T7" s="228"/>
      <c r="U7" s="228"/>
      <c r="V7" s="228"/>
      <c r="W7" s="228"/>
      <c r="X7" s="228"/>
      <c r="Y7" s="228"/>
      <c r="Z7" s="228"/>
    </row>
    <row r="8" spans="1:26" s="14" customFormat="1" ht="13.8">
      <c r="A8" s="228"/>
      <c r="B8" s="23"/>
      <c r="C8" s="119"/>
      <c r="D8" s="119"/>
      <c r="E8" s="97"/>
      <c r="F8" s="123"/>
      <c r="G8" s="12"/>
      <c r="H8" s="228"/>
      <c r="I8" s="228"/>
      <c r="J8" s="228"/>
      <c r="K8" s="228"/>
      <c r="L8" s="228"/>
      <c r="M8" s="228"/>
      <c r="N8" s="228"/>
      <c r="O8" s="228"/>
      <c r="P8" s="228"/>
      <c r="Q8" s="228"/>
      <c r="R8" s="228"/>
      <c r="S8" s="228"/>
      <c r="T8" s="228"/>
      <c r="U8" s="228"/>
      <c r="V8" s="228"/>
      <c r="W8" s="228"/>
      <c r="X8" s="228"/>
      <c r="Y8" s="228"/>
      <c r="Z8" s="228"/>
    </row>
    <row r="9" spans="1:26" s="14" customFormat="1" ht="39.6" customHeight="1">
      <c r="A9" s="228"/>
      <c r="B9" s="11"/>
      <c r="C9" s="120"/>
      <c r="D9" s="121" t="s">
        <v>98</v>
      </c>
      <c r="E9" s="315" t="s">
        <v>99</v>
      </c>
      <c r="F9" s="316"/>
      <c r="G9" s="12"/>
      <c r="H9" s="228"/>
      <c r="I9" s="228"/>
      <c r="J9" s="228"/>
      <c r="K9" s="228"/>
      <c r="L9" s="228"/>
      <c r="M9" s="228"/>
      <c r="N9" s="228"/>
      <c r="O9" s="228"/>
      <c r="P9" s="228"/>
      <c r="Q9" s="228"/>
      <c r="R9" s="228"/>
      <c r="S9" s="228"/>
      <c r="T9" s="228"/>
      <c r="U9" s="228"/>
      <c r="V9" s="228"/>
      <c r="W9" s="228"/>
      <c r="X9" s="228"/>
      <c r="Y9" s="228"/>
      <c r="Z9" s="228"/>
    </row>
    <row r="10" spans="1:26" s="14" customFormat="1" ht="13.8">
      <c r="A10" s="228"/>
      <c r="B10" s="11"/>
      <c r="C10" s="120"/>
      <c r="D10" s="121"/>
      <c r="E10" s="161"/>
      <c r="F10" s="122"/>
      <c r="G10" s="12"/>
      <c r="H10" s="228"/>
      <c r="I10" s="228"/>
      <c r="J10" s="228"/>
      <c r="K10" s="228"/>
      <c r="L10" s="228"/>
      <c r="M10" s="228"/>
      <c r="N10" s="228"/>
      <c r="O10" s="228"/>
      <c r="P10" s="228"/>
      <c r="Q10" s="228"/>
      <c r="R10" s="228"/>
      <c r="S10" s="228"/>
      <c r="T10" s="228"/>
      <c r="U10" s="228"/>
      <c r="V10" s="228"/>
      <c r="W10" s="228"/>
      <c r="X10" s="228"/>
      <c r="Y10" s="228"/>
      <c r="Z10" s="228"/>
    </row>
    <row r="11" spans="1:26" s="19" customFormat="1" ht="18.600000000000001" customHeight="1">
      <c r="A11" s="228"/>
      <c r="B11" s="24"/>
      <c r="C11" s="119"/>
      <c r="D11" s="226" t="s">
        <v>98</v>
      </c>
      <c r="E11" s="317" t="s">
        <v>100</v>
      </c>
      <c r="F11" s="317"/>
      <c r="G11" s="17"/>
      <c r="H11" s="228"/>
      <c r="I11" s="228"/>
      <c r="J11" s="228"/>
      <c r="K11" s="228"/>
      <c r="L11" s="228"/>
      <c r="M11" s="228"/>
      <c r="N11" s="228"/>
      <c r="O11" s="228"/>
      <c r="P11" s="228"/>
      <c r="Q11" s="228"/>
      <c r="R11" s="228"/>
      <c r="S11" s="228"/>
      <c r="T11" s="228"/>
      <c r="U11" s="228"/>
      <c r="V11" s="228"/>
      <c r="W11" s="228"/>
      <c r="X11" s="228"/>
      <c r="Y11" s="228"/>
      <c r="Z11" s="228"/>
    </row>
    <row r="12" spans="1:26" s="19" customFormat="1" ht="39.6">
      <c r="A12" s="228"/>
      <c r="B12" s="24"/>
      <c r="C12" s="16"/>
      <c r="D12" s="163"/>
      <c r="E12" s="162" t="s">
        <v>98</v>
      </c>
      <c r="F12" s="123" t="s">
        <v>101</v>
      </c>
      <c r="G12" s="17"/>
      <c r="H12" s="228"/>
      <c r="I12" s="228"/>
      <c r="J12" s="228"/>
      <c r="K12" s="228"/>
      <c r="L12" s="228"/>
      <c r="M12" s="228"/>
      <c r="N12" s="228"/>
      <c r="O12" s="228"/>
      <c r="P12" s="228"/>
      <c r="Q12" s="228"/>
      <c r="R12" s="228"/>
      <c r="S12" s="228"/>
      <c r="T12" s="228"/>
      <c r="U12" s="228"/>
      <c r="V12" s="228"/>
      <c r="W12" s="228"/>
      <c r="X12" s="228"/>
      <c r="Y12" s="228"/>
      <c r="Z12" s="228"/>
    </row>
    <row r="13" spans="1:26" s="19" customFormat="1" ht="13.8">
      <c r="A13" s="228"/>
      <c r="B13" s="24"/>
      <c r="C13" s="119"/>
      <c r="D13" s="162"/>
      <c r="E13" s="162" t="s">
        <v>98</v>
      </c>
      <c r="F13" s="123" t="s">
        <v>102</v>
      </c>
      <c r="G13" s="17"/>
      <c r="H13" s="228"/>
      <c r="I13" s="228"/>
      <c r="J13" s="228"/>
      <c r="K13" s="228"/>
      <c r="L13" s="228"/>
      <c r="M13" s="228"/>
      <c r="N13" s="228"/>
      <c r="O13" s="228"/>
      <c r="P13" s="228"/>
      <c r="Q13" s="228"/>
      <c r="R13" s="228"/>
      <c r="S13" s="228"/>
      <c r="T13" s="228"/>
      <c r="U13" s="228"/>
      <c r="V13" s="228"/>
      <c r="W13" s="228"/>
      <c r="X13" s="228"/>
      <c r="Y13" s="228"/>
      <c r="Z13" s="228"/>
    </row>
    <row r="14" spans="1:26" s="19" customFormat="1" ht="26.4">
      <c r="A14" s="228"/>
      <c r="B14" s="24"/>
      <c r="C14" s="16"/>
      <c r="D14" s="163"/>
      <c r="E14" s="162" t="s">
        <v>98</v>
      </c>
      <c r="F14" s="123" t="s">
        <v>103</v>
      </c>
      <c r="G14" s="17"/>
      <c r="H14" s="228"/>
      <c r="I14" s="228"/>
      <c r="J14" s="228"/>
      <c r="K14" s="228"/>
      <c r="L14" s="228"/>
      <c r="M14" s="228"/>
      <c r="N14" s="228"/>
      <c r="O14" s="228"/>
      <c r="P14" s="228"/>
      <c r="Q14" s="228"/>
      <c r="R14" s="228"/>
      <c r="S14" s="228"/>
      <c r="T14" s="228"/>
      <c r="U14" s="228"/>
      <c r="V14" s="228"/>
      <c r="W14" s="228"/>
      <c r="X14" s="228"/>
      <c r="Y14" s="228"/>
      <c r="Z14" s="228"/>
    </row>
    <row r="15" spans="1:26" s="19" customFormat="1" ht="13.8">
      <c r="A15" s="228"/>
      <c r="B15" s="24"/>
      <c r="C15" s="16"/>
      <c r="D15" s="16"/>
      <c r="E15" s="97"/>
      <c r="F15" s="123"/>
      <c r="G15" s="17"/>
      <c r="H15" s="228"/>
      <c r="I15" s="228"/>
      <c r="J15" s="228"/>
      <c r="K15" s="228"/>
      <c r="L15" s="228"/>
      <c r="M15" s="228"/>
      <c r="N15" s="228"/>
      <c r="O15" s="228"/>
      <c r="P15" s="228"/>
      <c r="Q15" s="228"/>
      <c r="R15" s="228"/>
      <c r="S15" s="228"/>
      <c r="T15" s="228"/>
      <c r="U15" s="228"/>
      <c r="V15" s="228"/>
      <c r="W15" s="228"/>
      <c r="X15" s="228"/>
      <c r="Y15" s="228"/>
      <c r="Z15" s="228"/>
    </row>
    <row r="16" spans="1:26" s="19" customFormat="1" ht="18.600000000000001" customHeight="1">
      <c r="A16" s="228"/>
      <c r="B16" s="24"/>
      <c r="C16" s="119"/>
      <c r="D16" s="121" t="s">
        <v>98</v>
      </c>
      <c r="E16" s="315" t="s">
        <v>104</v>
      </c>
      <c r="F16" s="315"/>
      <c r="G16" s="17"/>
      <c r="H16" s="228"/>
      <c r="I16" s="228"/>
      <c r="J16" s="228"/>
      <c r="K16" s="228"/>
      <c r="L16" s="228"/>
      <c r="M16" s="228"/>
      <c r="N16" s="228"/>
      <c r="O16" s="228"/>
      <c r="P16" s="228"/>
      <c r="Q16" s="228"/>
      <c r="R16" s="228"/>
      <c r="S16" s="228"/>
      <c r="T16" s="228"/>
      <c r="U16" s="228"/>
      <c r="V16" s="228"/>
      <c r="W16" s="228"/>
      <c r="X16" s="228"/>
      <c r="Y16" s="228"/>
      <c r="Z16" s="228"/>
    </row>
    <row r="17" spans="1:229" s="19" customFormat="1" ht="13.8">
      <c r="A17" s="228"/>
      <c r="B17" s="24"/>
      <c r="C17" s="16"/>
      <c r="D17" s="16"/>
      <c r="E17" s="97" t="s">
        <v>98</v>
      </c>
      <c r="F17" s="123" t="s">
        <v>105</v>
      </c>
      <c r="G17" s="17"/>
      <c r="H17" s="228"/>
      <c r="I17" s="228"/>
      <c r="J17" s="228"/>
      <c r="K17" s="228"/>
      <c r="L17" s="228"/>
      <c r="M17" s="228"/>
      <c r="N17" s="228"/>
      <c r="O17" s="228"/>
      <c r="P17" s="228"/>
      <c r="Q17" s="228"/>
      <c r="R17" s="228"/>
      <c r="S17" s="228"/>
      <c r="T17" s="228"/>
      <c r="U17" s="228"/>
      <c r="V17" s="228"/>
      <c r="W17" s="228"/>
      <c r="X17" s="228"/>
      <c r="Y17" s="228"/>
      <c r="Z17" s="228"/>
    </row>
    <row r="18" spans="1:229" s="19" customFormat="1" ht="26.4">
      <c r="A18" s="228"/>
      <c r="B18" s="24"/>
      <c r="C18" s="119"/>
      <c r="D18" s="119"/>
      <c r="E18" s="97" t="s">
        <v>98</v>
      </c>
      <c r="F18" s="123" t="s">
        <v>106</v>
      </c>
      <c r="G18" s="17"/>
      <c r="H18" s="228"/>
      <c r="I18" s="228"/>
      <c r="J18" s="228"/>
      <c r="K18" s="228"/>
      <c r="L18" s="228"/>
      <c r="M18" s="228"/>
      <c r="N18" s="228"/>
      <c r="O18" s="228"/>
      <c r="P18" s="228"/>
      <c r="Q18" s="228"/>
      <c r="R18" s="228"/>
      <c r="S18" s="228"/>
      <c r="T18" s="228"/>
      <c r="U18" s="228"/>
      <c r="V18" s="228"/>
      <c r="W18" s="228"/>
      <c r="X18" s="228"/>
      <c r="Y18" s="228"/>
      <c r="Z18" s="228"/>
    </row>
    <row r="19" spans="1:229" s="19" customFormat="1" ht="13.8">
      <c r="A19" s="228"/>
      <c r="B19" s="24"/>
      <c r="C19" s="16"/>
      <c r="D19" s="16"/>
      <c r="E19" s="97" t="s">
        <v>98</v>
      </c>
      <c r="F19" s="123" t="s">
        <v>107</v>
      </c>
      <c r="G19" s="17"/>
      <c r="H19" s="228"/>
      <c r="I19" s="228"/>
      <c r="J19" s="228"/>
      <c r="K19" s="228"/>
      <c r="L19" s="228"/>
      <c r="M19" s="228"/>
      <c r="N19" s="228"/>
      <c r="O19" s="228"/>
      <c r="P19" s="228"/>
      <c r="Q19" s="228"/>
      <c r="R19" s="228"/>
      <c r="S19" s="228"/>
      <c r="T19" s="228"/>
      <c r="U19" s="228"/>
      <c r="V19" s="228"/>
      <c r="W19" s="228"/>
      <c r="X19" s="228"/>
      <c r="Y19" s="228"/>
      <c r="Z19" s="228"/>
    </row>
    <row r="20" spans="1:229" s="19" customFormat="1" ht="26.4">
      <c r="A20" s="228"/>
      <c r="B20" s="24"/>
      <c r="C20" s="16"/>
      <c r="D20" s="16"/>
      <c r="E20" s="97" t="s">
        <v>98</v>
      </c>
      <c r="F20" s="123" t="s">
        <v>108</v>
      </c>
      <c r="G20" s="17"/>
      <c r="H20" s="228"/>
      <c r="I20" s="228"/>
      <c r="J20" s="228"/>
      <c r="K20" s="228"/>
      <c r="L20" s="228"/>
      <c r="M20" s="228"/>
      <c r="N20" s="228"/>
      <c r="O20" s="228"/>
      <c r="P20" s="228"/>
      <c r="Q20" s="228"/>
      <c r="R20" s="228"/>
      <c r="S20" s="228"/>
      <c r="T20" s="228"/>
      <c r="U20" s="228"/>
      <c r="V20" s="228"/>
      <c r="W20" s="228"/>
      <c r="X20" s="228"/>
      <c r="Y20" s="228"/>
      <c r="Z20" s="228"/>
    </row>
    <row r="21" spans="1:229" s="19" customFormat="1" ht="13.8">
      <c r="A21" s="228"/>
      <c r="B21" s="24"/>
      <c r="C21" s="119"/>
      <c r="D21" s="119"/>
      <c r="E21" s="97" t="s">
        <v>98</v>
      </c>
      <c r="F21" s="123" t="s">
        <v>109</v>
      </c>
      <c r="G21" s="17"/>
      <c r="H21" s="228"/>
      <c r="I21" s="228"/>
      <c r="J21" s="228"/>
      <c r="K21" s="228"/>
      <c r="L21" s="228"/>
      <c r="M21" s="228"/>
      <c r="N21" s="228"/>
      <c r="O21" s="228"/>
      <c r="P21" s="228"/>
      <c r="Q21" s="228"/>
      <c r="R21" s="228"/>
      <c r="S21" s="228"/>
      <c r="T21" s="228"/>
      <c r="U21" s="228"/>
      <c r="V21" s="228"/>
      <c r="W21" s="228"/>
      <c r="X21" s="228"/>
      <c r="Y21" s="228"/>
      <c r="Z21" s="228"/>
    </row>
    <row r="22" spans="1:229" s="19" customFormat="1" ht="18.600000000000001" customHeight="1">
      <c r="A22" s="228"/>
      <c r="B22" s="24"/>
      <c r="C22" s="16"/>
      <c r="D22" s="16"/>
      <c r="E22" s="16"/>
      <c r="F22" s="123"/>
      <c r="G22" s="17"/>
      <c r="H22" s="228"/>
      <c r="I22" s="228"/>
      <c r="J22" s="228"/>
      <c r="K22" s="228"/>
      <c r="L22" s="228"/>
      <c r="M22" s="228"/>
      <c r="N22" s="228"/>
      <c r="O22" s="228"/>
      <c r="P22" s="228"/>
      <c r="Q22" s="228"/>
      <c r="R22" s="228"/>
      <c r="S22" s="228"/>
      <c r="T22" s="228"/>
      <c r="U22" s="228"/>
      <c r="V22" s="228"/>
      <c r="W22" s="228"/>
      <c r="X22" s="228"/>
      <c r="Y22" s="228"/>
      <c r="Z22" s="228"/>
    </row>
    <row r="23" spans="1:229" s="19" customFormat="1" ht="18.600000000000001" customHeight="1">
      <c r="A23" s="228"/>
      <c r="B23" s="24"/>
      <c r="C23" s="16"/>
      <c r="D23" s="16"/>
      <c r="E23" s="16"/>
      <c r="F23" s="123"/>
      <c r="G23" s="17"/>
      <c r="H23" s="228"/>
      <c r="I23" s="228"/>
      <c r="J23" s="228"/>
      <c r="K23" s="228"/>
      <c r="L23" s="228"/>
      <c r="M23" s="228"/>
      <c r="N23" s="228"/>
      <c r="O23" s="228"/>
      <c r="P23" s="228"/>
      <c r="Q23" s="228"/>
      <c r="R23" s="228"/>
      <c r="S23" s="228"/>
      <c r="T23" s="228"/>
      <c r="U23" s="228"/>
      <c r="V23" s="228"/>
      <c r="W23" s="228"/>
      <c r="X23" s="228"/>
      <c r="Y23" s="228"/>
      <c r="Z23" s="228"/>
    </row>
    <row r="24" spans="1:229" s="4" customFormat="1" ht="18.600000000000001" customHeight="1">
      <c r="A24" s="228"/>
      <c r="B24" s="2"/>
      <c r="C24" s="89" t="s">
        <v>110</v>
      </c>
      <c r="D24" s="90"/>
      <c r="E24" s="90"/>
      <c r="F24" s="91"/>
      <c r="G24" s="3"/>
      <c r="H24" s="228"/>
      <c r="I24" s="228"/>
      <c r="J24" s="228"/>
      <c r="K24" s="228"/>
      <c r="L24" s="228"/>
      <c r="M24" s="228"/>
      <c r="N24" s="228"/>
      <c r="O24" s="228"/>
      <c r="P24" s="228"/>
      <c r="Q24" s="228"/>
      <c r="R24" s="228"/>
      <c r="S24" s="228"/>
      <c r="T24" s="228"/>
      <c r="U24" s="228"/>
      <c r="V24" s="228"/>
      <c r="W24" s="228"/>
      <c r="X24" s="228"/>
      <c r="Y24" s="228"/>
      <c r="Z24" s="228"/>
    </row>
    <row r="25" spans="1:229" s="7" customFormat="1" ht="18.600000000000001" customHeight="1">
      <c r="A25" s="228"/>
      <c r="B25" s="5"/>
      <c r="C25" s="118"/>
      <c r="D25" s="118"/>
      <c r="E25" s="118"/>
      <c r="F25" s="118"/>
      <c r="G25" s="6"/>
      <c r="H25" s="228"/>
      <c r="I25" s="228"/>
      <c r="J25" s="228"/>
      <c r="K25" s="228"/>
      <c r="L25" s="228"/>
      <c r="M25" s="228"/>
      <c r="N25" s="228"/>
      <c r="O25" s="228"/>
      <c r="P25" s="228"/>
      <c r="Q25" s="228"/>
      <c r="R25" s="228"/>
      <c r="S25" s="228"/>
      <c r="T25" s="228"/>
      <c r="U25" s="228"/>
      <c r="V25" s="228"/>
      <c r="W25" s="228"/>
      <c r="X25" s="228"/>
      <c r="Y25" s="228"/>
      <c r="Z25" s="228"/>
    </row>
    <row r="26" spans="1:229" s="10" customFormat="1" ht="18.600000000000001" customHeight="1">
      <c r="A26" s="228"/>
      <c r="B26" s="8"/>
      <c r="C26" s="112"/>
      <c r="D26" s="124"/>
      <c r="E26" s="314" t="s">
        <v>111</v>
      </c>
      <c r="F26" s="314"/>
      <c r="G26" s="9"/>
      <c r="H26" s="228"/>
      <c r="I26" s="228"/>
      <c r="J26" s="228"/>
      <c r="K26" s="228"/>
      <c r="L26" s="228"/>
      <c r="M26" s="228"/>
      <c r="N26" s="228"/>
      <c r="O26" s="228"/>
      <c r="P26" s="228"/>
      <c r="Q26" s="228"/>
      <c r="R26" s="228"/>
      <c r="S26" s="228"/>
      <c r="T26" s="228"/>
      <c r="U26" s="228"/>
      <c r="V26" s="228"/>
      <c r="W26" s="228"/>
      <c r="X26" s="228"/>
      <c r="Y26" s="228"/>
      <c r="Z26" s="228"/>
    </row>
    <row r="27" spans="1:229" s="19" customFormat="1" ht="18.600000000000001" customHeight="1">
      <c r="A27" s="228"/>
      <c r="B27" s="15"/>
      <c r="C27" s="113"/>
      <c r="D27" s="124"/>
      <c r="E27" s="314" t="s">
        <v>112</v>
      </c>
      <c r="F27" s="314"/>
      <c r="G27" s="17"/>
      <c r="H27" s="228"/>
      <c r="I27" s="228"/>
      <c r="J27" s="228"/>
      <c r="K27" s="228"/>
      <c r="L27" s="228"/>
      <c r="M27" s="228"/>
      <c r="N27" s="228"/>
      <c r="O27" s="228"/>
      <c r="P27" s="228"/>
      <c r="Q27" s="228"/>
      <c r="R27" s="228"/>
      <c r="S27" s="228"/>
      <c r="T27" s="228"/>
      <c r="U27" s="228"/>
      <c r="V27" s="228"/>
      <c r="W27" s="228"/>
      <c r="X27" s="228"/>
      <c r="Y27" s="228"/>
      <c r="Z27" s="228"/>
    </row>
    <row r="28" spans="1:229" s="19" customFormat="1" ht="18.600000000000001" customHeight="1">
      <c r="A28" s="228"/>
      <c r="B28" s="15"/>
      <c r="C28" s="164"/>
      <c r="D28" s="124"/>
      <c r="E28" s="314" t="s">
        <v>113</v>
      </c>
      <c r="F28" s="314"/>
      <c r="G28" s="17"/>
      <c r="H28" s="228"/>
      <c r="I28" s="228"/>
      <c r="J28" s="228"/>
      <c r="K28" s="228"/>
      <c r="L28" s="228"/>
      <c r="M28" s="228"/>
      <c r="N28" s="228"/>
      <c r="O28" s="228"/>
      <c r="P28" s="228"/>
      <c r="Q28" s="228"/>
      <c r="R28" s="228"/>
      <c r="S28" s="228"/>
      <c r="T28" s="228"/>
      <c r="U28" s="228"/>
      <c r="V28" s="228"/>
      <c r="W28" s="228"/>
      <c r="X28" s="228"/>
      <c r="Y28" s="228"/>
      <c r="Z28" s="228"/>
    </row>
    <row r="29" spans="1:229" s="10" customFormat="1" ht="18.600000000000001" customHeight="1">
      <c r="A29" s="228"/>
      <c r="B29" s="8"/>
      <c r="C29" s="123"/>
      <c r="D29" s="123"/>
      <c r="E29" s="123"/>
      <c r="F29" s="123"/>
      <c r="G29" s="9"/>
      <c r="H29" s="228"/>
      <c r="I29" s="228"/>
      <c r="J29" s="228"/>
      <c r="K29" s="228"/>
      <c r="L29" s="228"/>
      <c r="M29" s="228"/>
      <c r="N29" s="228"/>
      <c r="O29" s="228"/>
      <c r="P29" s="228"/>
      <c r="Q29" s="228"/>
      <c r="R29" s="228"/>
      <c r="S29" s="228"/>
      <c r="T29" s="228"/>
      <c r="U29" s="228"/>
      <c r="V29" s="228"/>
      <c r="W29" s="228"/>
      <c r="X29" s="228"/>
      <c r="Y29" s="228"/>
      <c r="Z29" s="228"/>
    </row>
    <row r="30" spans="1:229" s="14" customFormat="1" ht="18" customHeight="1">
      <c r="A30" s="228"/>
      <c r="B30" s="229"/>
      <c r="C30" s="230" t="s">
        <v>114</v>
      </c>
      <c r="D30" s="231"/>
      <c r="E30" s="232"/>
      <c r="F30" s="231"/>
      <c r="G30" s="233"/>
      <c r="H30" s="228"/>
      <c r="I30" s="228"/>
      <c r="J30" s="228"/>
      <c r="K30" s="228"/>
      <c r="L30" s="228"/>
      <c r="M30" s="228"/>
      <c r="N30" s="228"/>
      <c r="O30" s="228"/>
      <c r="P30" s="228"/>
      <c r="Q30" s="228"/>
      <c r="R30" s="228"/>
      <c r="S30" s="228"/>
      <c r="T30" s="228"/>
      <c r="U30" s="228"/>
      <c r="V30" s="228"/>
      <c r="W30" s="228"/>
      <c r="X30" s="228"/>
      <c r="Y30" s="228"/>
      <c r="Z30" s="228"/>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c r="CE30" s="234"/>
      <c r="CF30" s="234"/>
      <c r="CG30" s="234"/>
      <c r="CH30" s="234"/>
      <c r="CI30" s="234"/>
      <c r="CJ30" s="234"/>
      <c r="CK30" s="234"/>
      <c r="CL30" s="234"/>
      <c r="CM30" s="234"/>
      <c r="CN30" s="234"/>
      <c r="CO30" s="234"/>
      <c r="CP30" s="234"/>
      <c r="CQ30" s="234"/>
      <c r="CR30" s="234"/>
      <c r="CS30" s="234"/>
      <c r="CT30" s="234"/>
      <c r="CU30" s="234"/>
      <c r="CV30" s="234"/>
      <c r="CW30" s="234"/>
      <c r="CX30" s="234"/>
      <c r="CY30" s="234"/>
      <c r="CZ30" s="234"/>
      <c r="DA30" s="234"/>
      <c r="DB30" s="234"/>
      <c r="DC30" s="234"/>
      <c r="DD30" s="234"/>
      <c r="DE30" s="234"/>
      <c r="DF30" s="234"/>
      <c r="DG30" s="234"/>
      <c r="DH30" s="234"/>
      <c r="DI30" s="234"/>
      <c r="DJ30" s="234"/>
      <c r="DK30" s="234"/>
      <c r="DL30" s="234"/>
      <c r="DM30" s="234"/>
      <c r="DN30" s="234"/>
      <c r="DO30" s="234"/>
      <c r="DP30" s="234"/>
      <c r="DQ30" s="234"/>
      <c r="DR30" s="234"/>
      <c r="DS30" s="234"/>
      <c r="DT30" s="234"/>
      <c r="DU30" s="234"/>
      <c r="DV30" s="234"/>
      <c r="DW30" s="234"/>
      <c r="DX30" s="234"/>
      <c r="DY30" s="234"/>
      <c r="DZ30" s="234"/>
      <c r="EA30" s="234"/>
      <c r="EB30" s="234"/>
      <c r="EC30" s="234"/>
      <c r="ED30" s="234"/>
      <c r="EE30" s="234"/>
      <c r="EF30" s="234"/>
      <c r="EG30" s="234"/>
      <c r="EH30" s="234"/>
      <c r="EI30" s="234"/>
      <c r="EJ30" s="234"/>
      <c r="EK30" s="234"/>
      <c r="EL30" s="234"/>
      <c r="EM30" s="234"/>
      <c r="EN30" s="234"/>
      <c r="EO30" s="234"/>
      <c r="EP30" s="234"/>
      <c r="EQ30" s="234"/>
      <c r="ER30" s="234"/>
      <c r="ES30" s="234"/>
      <c r="ET30" s="234"/>
      <c r="EU30" s="234"/>
      <c r="EV30" s="234"/>
      <c r="EW30" s="234"/>
      <c r="EX30" s="234"/>
      <c r="EY30" s="234"/>
      <c r="EZ30" s="234"/>
      <c r="FA30" s="234"/>
      <c r="FB30" s="234"/>
      <c r="FC30" s="234"/>
      <c r="FD30" s="234"/>
      <c r="FE30" s="234"/>
      <c r="FF30" s="234"/>
      <c r="FG30" s="234"/>
      <c r="FH30" s="234"/>
      <c r="FI30" s="234"/>
      <c r="FJ30" s="234"/>
      <c r="FK30" s="234"/>
      <c r="FL30" s="234"/>
      <c r="FM30" s="234"/>
      <c r="FN30" s="234"/>
      <c r="FO30" s="234"/>
      <c r="FP30" s="234"/>
      <c r="FQ30" s="234"/>
      <c r="FR30" s="234"/>
      <c r="FS30" s="234"/>
      <c r="FT30" s="234"/>
      <c r="FU30" s="234"/>
      <c r="FV30" s="234"/>
      <c r="FW30" s="234"/>
      <c r="FX30" s="234"/>
      <c r="FY30" s="234"/>
      <c r="FZ30" s="234"/>
      <c r="GA30" s="234"/>
      <c r="GB30" s="234"/>
      <c r="GC30" s="234"/>
      <c r="GD30" s="234"/>
      <c r="GE30" s="234"/>
      <c r="GF30" s="234"/>
      <c r="GG30" s="234"/>
      <c r="GH30" s="234"/>
      <c r="GI30" s="234"/>
      <c r="GJ30" s="234"/>
      <c r="GK30" s="234"/>
      <c r="GL30" s="234"/>
      <c r="GM30" s="234"/>
      <c r="GN30" s="234"/>
      <c r="GO30" s="234"/>
      <c r="GP30" s="234"/>
      <c r="GQ30" s="234"/>
      <c r="GR30" s="234"/>
      <c r="GS30" s="234"/>
      <c r="GT30" s="234"/>
      <c r="GU30" s="234"/>
      <c r="GV30" s="234"/>
      <c r="GW30" s="234"/>
      <c r="GX30" s="234"/>
      <c r="GY30" s="234"/>
      <c r="GZ30" s="234"/>
      <c r="HA30" s="234"/>
      <c r="HB30" s="234"/>
      <c r="HC30" s="234"/>
      <c r="HD30" s="234"/>
      <c r="HE30" s="234"/>
      <c r="HF30" s="234"/>
      <c r="HG30" s="234"/>
      <c r="HH30" s="234"/>
      <c r="HI30" s="234"/>
      <c r="HJ30" s="234"/>
      <c r="HK30" s="234"/>
      <c r="HL30" s="234"/>
      <c r="HM30" s="234"/>
      <c r="HN30" s="234"/>
      <c r="HO30" s="234"/>
      <c r="HP30" s="234"/>
      <c r="HQ30" s="234"/>
      <c r="HR30" s="234"/>
      <c r="HS30" s="234"/>
      <c r="HT30" s="234"/>
      <c r="HU30" s="234"/>
    </row>
    <row r="31" spans="1:229" s="14" customFormat="1" ht="18" customHeight="1">
      <c r="A31" s="228"/>
      <c r="B31" s="229"/>
      <c r="C31" s="235" t="s">
        <v>115</v>
      </c>
      <c r="D31" s="231"/>
      <c r="E31" s="232"/>
      <c r="F31" s="231"/>
      <c r="G31" s="233"/>
      <c r="H31" s="228"/>
      <c r="I31" s="228"/>
      <c r="J31" s="228"/>
      <c r="K31" s="228"/>
      <c r="L31" s="228"/>
      <c r="M31" s="228"/>
      <c r="N31" s="228"/>
      <c r="O31" s="228"/>
      <c r="P31" s="228"/>
      <c r="Q31" s="228"/>
      <c r="R31" s="228"/>
      <c r="S31" s="228"/>
      <c r="T31" s="228"/>
      <c r="U31" s="228"/>
      <c r="V31" s="228"/>
      <c r="W31" s="228"/>
      <c r="X31" s="228"/>
      <c r="Y31" s="228"/>
      <c r="Z31" s="228"/>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234"/>
      <c r="DD31" s="234"/>
      <c r="DE31" s="234"/>
      <c r="DF31" s="234"/>
      <c r="DG31" s="234"/>
      <c r="DH31" s="234"/>
      <c r="DI31" s="234"/>
      <c r="DJ31" s="234"/>
      <c r="DK31" s="234"/>
      <c r="DL31" s="234"/>
      <c r="DM31" s="234"/>
      <c r="DN31" s="234"/>
      <c r="DO31" s="234"/>
      <c r="DP31" s="234"/>
      <c r="DQ31" s="234"/>
      <c r="DR31" s="234"/>
      <c r="DS31" s="234"/>
      <c r="DT31" s="234"/>
      <c r="DU31" s="234"/>
      <c r="DV31" s="234"/>
      <c r="DW31" s="234"/>
      <c r="DX31" s="234"/>
      <c r="DY31" s="234"/>
      <c r="DZ31" s="234"/>
      <c r="EA31" s="234"/>
      <c r="EB31" s="234"/>
      <c r="EC31" s="234"/>
      <c r="ED31" s="234"/>
      <c r="EE31" s="234"/>
      <c r="EF31" s="234"/>
      <c r="EG31" s="234"/>
      <c r="EH31" s="234"/>
      <c r="EI31" s="234"/>
      <c r="EJ31" s="234"/>
      <c r="EK31" s="234"/>
      <c r="EL31" s="234"/>
      <c r="EM31" s="234"/>
      <c r="EN31" s="234"/>
      <c r="EO31" s="234"/>
      <c r="EP31" s="234"/>
      <c r="EQ31" s="234"/>
      <c r="ER31" s="234"/>
      <c r="ES31" s="234"/>
      <c r="ET31" s="234"/>
      <c r="EU31" s="234"/>
      <c r="EV31" s="234"/>
      <c r="EW31" s="234"/>
      <c r="EX31" s="234"/>
      <c r="EY31" s="234"/>
      <c r="EZ31" s="234"/>
      <c r="FA31" s="234"/>
      <c r="FB31" s="234"/>
      <c r="FC31" s="234"/>
      <c r="FD31" s="234"/>
      <c r="FE31" s="234"/>
      <c r="FF31" s="234"/>
      <c r="FG31" s="234"/>
      <c r="FH31" s="234"/>
      <c r="FI31" s="234"/>
      <c r="FJ31" s="234"/>
      <c r="FK31" s="234"/>
      <c r="FL31" s="234"/>
      <c r="FM31" s="234"/>
      <c r="FN31" s="234"/>
      <c r="FO31" s="234"/>
      <c r="FP31" s="234"/>
      <c r="FQ31" s="234"/>
      <c r="FR31" s="234"/>
      <c r="FS31" s="234"/>
      <c r="FT31" s="234"/>
      <c r="FU31" s="234"/>
      <c r="FV31" s="234"/>
      <c r="FW31" s="234"/>
      <c r="FX31" s="234"/>
      <c r="FY31" s="234"/>
      <c r="FZ31" s="234"/>
      <c r="GA31" s="234"/>
      <c r="GB31" s="234"/>
      <c r="GC31" s="234"/>
      <c r="GD31" s="234"/>
      <c r="GE31" s="234"/>
      <c r="GF31" s="234"/>
      <c r="GG31" s="234"/>
      <c r="GH31" s="234"/>
      <c r="GI31" s="234"/>
      <c r="GJ31" s="234"/>
      <c r="GK31" s="234"/>
      <c r="GL31" s="234"/>
      <c r="GM31" s="234"/>
      <c r="GN31" s="234"/>
      <c r="GO31" s="234"/>
      <c r="GP31" s="234"/>
      <c r="GQ31" s="234"/>
      <c r="GR31" s="234"/>
      <c r="GS31" s="234"/>
      <c r="GT31" s="234"/>
      <c r="GU31" s="234"/>
      <c r="GV31" s="234"/>
      <c r="GW31" s="234"/>
      <c r="GX31" s="234"/>
      <c r="GY31" s="234"/>
      <c r="GZ31" s="234"/>
      <c r="HA31" s="234"/>
      <c r="HB31" s="234"/>
      <c r="HC31" s="234"/>
      <c r="HD31" s="234"/>
      <c r="HE31" s="234"/>
      <c r="HF31" s="234"/>
      <c r="HG31" s="234"/>
      <c r="HH31" s="234"/>
      <c r="HI31" s="234"/>
      <c r="HJ31" s="234"/>
      <c r="HK31" s="234"/>
      <c r="HL31" s="234"/>
      <c r="HM31" s="234"/>
      <c r="HN31" s="234"/>
      <c r="HO31" s="234"/>
      <c r="HP31" s="234"/>
      <c r="HQ31" s="234"/>
      <c r="HR31" s="234"/>
      <c r="HS31" s="234"/>
      <c r="HT31" s="234"/>
      <c r="HU31" s="234"/>
    </row>
    <row r="32" spans="1:229" s="14" customFormat="1" ht="18" customHeight="1">
      <c r="A32" s="228"/>
      <c r="B32" s="229"/>
      <c r="C32" s="235"/>
      <c r="D32" s="231"/>
      <c r="E32" s="232"/>
      <c r="F32" s="231"/>
      <c r="G32" s="233"/>
      <c r="H32" s="228"/>
      <c r="I32" s="228"/>
      <c r="J32" s="228"/>
      <c r="K32" s="228"/>
      <c r="L32" s="228"/>
      <c r="M32" s="228"/>
      <c r="N32" s="228"/>
      <c r="O32" s="228"/>
      <c r="P32" s="228"/>
      <c r="Q32" s="228"/>
      <c r="R32" s="228"/>
      <c r="S32" s="228"/>
      <c r="T32" s="228"/>
      <c r="U32" s="228"/>
      <c r="V32" s="228"/>
      <c r="W32" s="228"/>
      <c r="X32" s="228"/>
      <c r="Y32" s="228"/>
      <c r="Z32" s="228"/>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4"/>
      <c r="CA32" s="234"/>
      <c r="CB32" s="234"/>
      <c r="CC32" s="234"/>
      <c r="CD32" s="234"/>
      <c r="CE32" s="234"/>
      <c r="CF32" s="234"/>
      <c r="CG32" s="234"/>
      <c r="CH32" s="234"/>
      <c r="CI32" s="234"/>
      <c r="CJ32" s="234"/>
      <c r="CK32" s="234"/>
      <c r="CL32" s="234"/>
      <c r="CM32" s="234"/>
      <c r="CN32" s="234"/>
      <c r="CO32" s="234"/>
      <c r="CP32" s="234"/>
      <c r="CQ32" s="234"/>
      <c r="CR32" s="234"/>
      <c r="CS32" s="234"/>
      <c r="CT32" s="234"/>
      <c r="CU32" s="234"/>
      <c r="CV32" s="234"/>
      <c r="CW32" s="234"/>
      <c r="CX32" s="234"/>
      <c r="CY32" s="234"/>
      <c r="CZ32" s="234"/>
      <c r="DA32" s="234"/>
      <c r="DB32" s="234"/>
      <c r="DC32" s="234"/>
      <c r="DD32" s="234"/>
      <c r="DE32" s="234"/>
      <c r="DF32" s="234"/>
      <c r="DG32" s="234"/>
      <c r="DH32" s="234"/>
      <c r="DI32" s="234"/>
      <c r="DJ32" s="234"/>
      <c r="DK32" s="234"/>
      <c r="DL32" s="234"/>
      <c r="DM32" s="234"/>
      <c r="DN32" s="234"/>
      <c r="DO32" s="234"/>
      <c r="DP32" s="234"/>
      <c r="DQ32" s="234"/>
      <c r="DR32" s="234"/>
      <c r="DS32" s="234"/>
      <c r="DT32" s="234"/>
      <c r="DU32" s="234"/>
      <c r="DV32" s="234"/>
      <c r="DW32" s="234"/>
      <c r="DX32" s="234"/>
      <c r="DY32" s="234"/>
      <c r="DZ32" s="234"/>
      <c r="EA32" s="234"/>
      <c r="EB32" s="234"/>
      <c r="EC32" s="234"/>
      <c r="ED32" s="234"/>
      <c r="EE32" s="234"/>
      <c r="EF32" s="234"/>
      <c r="EG32" s="234"/>
      <c r="EH32" s="234"/>
      <c r="EI32" s="234"/>
      <c r="EJ32" s="234"/>
      <c r="EK32" s="234"/>
      <c r="EL32" s="234"/>
      <c r="EM32" s="234"/>
      <c r="EN32" s="234"/>
      <c r="EO32" s="234"/>
      <c r="EP32" s="234"/>
      <c r="EQ32" s="234"/>
      <c r="ER32" s="234"/>
      <c r="ES32" s="234"/>
      <c r="ET32" s="234"/>
      <c r="EU32" s="234"/>
      <c r="EV32" s="234"/>
      <c r="EW32" s="234"/>
      <c r="EX32" s="234"/>
      <c r="EY32" s="234"/>
      <c r="EZ32" s="234"/>
      <c r="FA32" s="234"/>
      <c r="FB32" s="234"/>
      <c r="FC32" s="234"/>
      <c r="FD32" s="234"/>
      <c r="FE32" s="234"/>
      <c r="FF32" s="234"/>
      <c r="FG32" s="234"/>
      <c r="FH32" s="234"/>
      <c r="FI32" s="234"/>
      <c r="FJ32" s="234"/>
      <c r="FK32" s="234"/>
      <c r="FL32" s="234"/>
      <c r="FM32" s="234"/>
      <c r="FN32" s="234"/>
      <c r="FO32" s="234"/>
      <c r="FP32" s="234"/>
      <c r="FQ32" s="234"/>
      <c r="FR32" s="234"/>
      <c r="FS32" s="234"/>
      <c r="FT32" s="234"/>
      <c r="FU32" s="234"/>
      <c r="FV32" s="234"/>
      <c r="FW32" s="234"/>
      <c r="FX32" s="234"/>
      <c r="FY32" s="234"/>
      <c r="FZ32" s="234"/>
      <c r="GA32" s="234"/>
      <c r="GB32" s="234"/>
      <c r="GC32" s="234"/>
      <c r="GD32" s="234"/>
      <c r="GE32" s="234"/>
      <c r="GF32" s="234"/>
      <c r="GG32" s="234"/>
      <c r="GH32" s="234"/>
      <c r="GI32" s="234"/>
      <c r="GJ32" s="234"/>
      <c r="GK32" s="234"/>
      <c r="GL32" s="234"/>
      <c r="GM32" s="234"/>
      <c r="GN32" s="234"/>
      <c r="GO32" s="234"/>
      <c r="GP32" s="234"/>
      <c r="GQ32" s="234"/>
      <c r="GR32" s="234"/>
      <c r="GS32" s="234"/>
      <c r="GT32" s="234"/>
      <c r="GU32" s="234"/>
      <c r="GV32" s="234"/>
      <c r="GW32" s="234"/>
      <c r="GX32" s="234"/>
      <c r="GY32" s="234"/>
      <c r="GZ32" s="234"/>
      <c r="HA32" s="234"/>
      <c r="HB32" s="234"/>
      <c r="HC32" s="234"/>
      <c r="HD32" s="234"/>
      <c r="HE32" s="234"/>
      <c r="HF32" s="234"/>
      <c r="HG32" s="234"/>
      <c r="HH32" s="234"/>
      <c r="HI32" s="234"/>
      <c r="HJ32" s="234"/>
      <c r="HK32" s="234"/>
      <c r="HL32" s="234"/>
      <c r="HM32" s="234"/>
      <c r="HN32" s="234"/>
      <c r="HO32" s="234"/>
      <c r="HP32" s="234"/>
      <c r="HQ32" s="234"/>
      <c r="HR32" s="234"/>
      <c r="HS32" s="234"/>
      <c r="HT32" s="234"/>
      <c r="HU32" s="234"/>
    </row>
    <row r="33" spans="1:26" s="26" customFormat="1" ht="18" customHeight="1">
      <c r="A33" s="228"/>
      <c r="B33" s="25"/>
      <c r="C33" s="123"/>
      <c r="D33" s="125">
        <v>1</v>
      </c>
      <c r="E33" s="309" t="s">
        <v>116</v>
      </c>
      <c r="F33" s="309"/>
      <c r="G33" s="310"/>
      <c r="H33" s="228"/>
      <c r="I33" s="228"/>
      <c r="J33" s="228"/>
      <c r="K33" s="228"/>
      <c r="L33" s="228"/>
      <c r="M33" s="228"/>
      <c r="N33" s="228"/>
      <c r="O33" s="228"/>
      <c r="P33" s="228"/>
      <c r="Q33" s="228"/>
      <c r="R33" s="228"/>
      <c r="S33" s="228"/>
      <c r="T33" s="228"/>
      <c r="U33" s="228"/>
      <c r="V33" s="228"/>
      <c r="W33" s="228"/>
      <c r="X33" s="228"/>
      <c r="Y33" s="228"/>
      <c r="Z33" s="228"/>
    </row>
    <row r="34" spans="1:26" s="14" customFormat="1" ht="18" customHeight="1">
      <c r="A34" s="228"/>
      <c r="B34" s="11"/>
      <c r="C34" s="123"/>
      <c r="D34" s="123"/>
      <c r="E34" s="123"/>
      <c r="F34" s="123"/>
      <c r="G34" s="12"/>
      <c r="H34" s="228"/>
      <c r="I34" s="228"/>
      <c r="J34" s="228"/>
      <c r="K34" s="228"/>
      <c r="L34" s="228"/>
      <c r="M34" s="228"/>
      <c r="N34" s="228"/>
      <c r="O34" s="228"/>
      <c r="P34" s="228"/>
      <c r="Q34" s="228"/>
      <c r="R34" s="228"/>
      <c r="S34" s="228"/>
      <c r="T34" s="228"/>
      <c r="U34" s="228"/>
      <c r="V34" s="228"/>
      <c r="W34" s="228"/>
      <c r="X34" s="228"/>
      <c r="Y34" s="228"/>
      <c r="Z34" s="228"/>
    </row>
    <row r="35" spans="1:26" s="14" customFormat="1" ht="18" customHeight="1">
      <c r="A35" s="228"/>
      <c r="B35" s="11"/>
      <c r="C35" s="123"/>
      <c r="D35" s="125">
        <v>2</v>
      </c>
      <c r="E35" s="10" t="s">
        <v>117</v>
      </c>
      <c r="F35" s="26"/>
      <c r="G35" s="126"/>
      <c r="H35" s="228"/>
      <c r="I35" s="228"/>
      <c r="J35" s="228"/>
      <c r="K35" s="228"/>
      <c r="L35" s="228"/>
      <c r="M35" s="228"/>
      <c r="N35" s="228"/>
      <c r="O35" s="228"/>
      <c r="P35" s="228"/>
      <c r="Q35" s="228"/>
      <c r="R35" s="228"/>
      <c r="S35" s="228"/>
      <c r="T35" s="228"/>
      <c r="U35" s="228"/>
      <c r="V35" s="228"/>
      <c r="W35" s="228"/>
      <c r="X35" s="228"/>
      <c r="Y35" s="228"/>
      <c r="Z35" s="228"/>
    </row>
    <row r="36" spans="1:26" s="14" customFormat="1" ht="18" customHeight="1">
      <c r="A36" s="228"/>
      <c r="B36" s="11"/>
      <c r="C36" s="123"/>
      <c r="D36" s="123"/>
      <c r="E36" s="135" t="s">
        <v>118</v>
      </c>
      <c r="F36" s="123"/>
      <c r="G36" s="12"/>
      <c r="H36" s="228"/>
      <c r="I36" s="228"/>
      <c r="J36" s="228"/>
      <c r="K36" s="228"/>
      <c r="L36" s="228"/>
      <c r="M36" s="228"/>
      <c r="N36" s="228"/>
      <c r="O36" s="228"/>
      <c r="P36" s="228"/>
      <c r="Q36" s="228"/>
      <c r="R36" s="228"/>
      <c r="S36" s="228"/>
      <c r="T36" s="228"/>
      <c r="U36" s="228"/>
      <c r="V36" s="228"/>
      <c r="W36" s="228"/>
      <c r="X36" s="228"/>
      <c r="Y36" s="228"/>
      <c r="Z36" s="228"/>
    </row>
    <row r="37" spans="1:26" s="14" customFormat="1" ht="13.8">
      <c r="A37" s="228"/>
      <c r="B37" s="11"/>
      <c r="C37" s="123"/>
      <c r="D37" s="123"/>
      <c r="F37" s="121" t="s">
        <v>119</v>
      </c>
      <c r="G37" s="127"/>
      <c r="H37" s="228"/>
      <c r="I37" s="228"/>
      <c r="J37" s="228"/>
      <c r="K37" s="228"/>
      <c r="L37" s="228"/>
      <c r="M37" s="228"/>
      <c r="N37" s="228"/>
      <c r="O37" s="228"/>
      <c r="P37" s="228"/>
      <c r="Q37" s="228"/>
      <c r="R37" s="228"/>
      <c r="S37" s="228"/>
      <c r="T37" s="228"/>
      <c r="U37" s="228"/>
      <c r="V37" s="228"/>
      <c r="W37" s="228"/>
      <c r="X37" s="228"/>
      <c r="Y37" s="228"/>
      <c r="Z37" s="228"/>
    </row>
    <row r="38" spans="1:26" s="14" customFormat="1" ht="18" customHeight="1">
      <c r="A38" s="228"/>
      <c r="B38" s="11"/>
      <c r="C38" s="123"/>
      <c r="D38" s="123"/>
      <c r="E38" s="135" t="s">
        <v>120</v>
      </c>
      <c r="F38" s="123"/>
      <c r="G38" s="12"/>
      <c r="H38" s="228"/>
      <c r="I38" s="228"/>
      <c r="J38" s="228"/>
      <c r="K38" s="228"/>
      <c r="L38" s="228"/>
      <c r="M38" s="228"/>
      <c r="N38" s="228"/>
      <c r="O38" s="228"/>
      <c r="P38" s="228"/>
      <c r="Q38" s="228"/>
      <c r="R38" s="228"/>
      <c r="S38" s="228"/>
      <c r="T38" s="228"/>
      <c r="U38" s="228"/>
      <c r="V38" s="228"/>
      <c r="W38" s="228"/>
      <c r="X38" s="228"/>
      <c r="Y38" s="228"/>
      <c r="Z38" s="228"/>
    </row>
    <row r="39" spans="1:26" s="14" customFormat="1" ht="13.8">
      <c r="A39" s="228"/>
      <c r="B39" s="11"/>
      <c r="C39" s="123"/>
      <c r="D39" s="123"/>
      <c r="F39" s="121" t="s">
        <v>121</v>
      </c>
      <c r="G39" s="127"/>
      <c r="H39" s="228"/>
      <c r="I39" s="228"/>
      <c r="J39" s="228"/>
      <c r="K39" s="228"/>
      <c r="L39" s="228"/>
      <c r="M39" s="228"/>
      <c r="N39" s="228"/>
      <c r="O39" s="228"/>
      <c r="P39" s="228"/>
      <c r="Q39" s="228"/>
      <c r="R39" s="228"/>
      <c r="S39" s="228"/>
      <c r="T39" s="228"/>
      <c r="U39" s="228"/>
      <c r="V39" s="228"/>
      <c r="W39" s="228"/>
      <c r="X39" s="228"/>
      <c r="Y39" s="228"/>
      <c r="Z39" s="228"/>
    </row>
    <row r="40" spans="1:26" s="14" customFormat="1" ht="13.8">
      <c r="A40" s="228"/>
      <c r="B40" s="11"/>
      <c r="C40" s="123"/>
      <c r="D40" s="123"/>
      <c r="F40" s="121" t="s">
        <v>122</v>
      </c>
      <c r="G40" s="127"/>
      <c r="H40" s="228"/>
      <c r="I40" s="228"/>
      <c r="J40" s="228"/>
      <c r="K40" s="228"/>
      <c r="L40" s="228"/>
      <c r="M40" s="228"/>
      <c r="N40" s="228"/>
      <c r="O40" s="228"/>
      <c r="P40" s="228"/>
      <c r="Q40" s="228"/>
      <c r="R40" s="228"/>
      <c r="S40" s="228"/>
      <c r="T40" s="228"/>
      <c r="U40" s="228"/>
      <c r="V40" s="228"/>
      <c r="W40" s="228"/>
      <c r="X40" s="228"/>
      <c r="Y40" s="228"/>
      <c r="Z40" s="228"/>
    </row>
    <row r="41" spans="1:26" s="14" customFormat="1" ht="13.8">
      <c r="A41" s="228"/>
      <c r="B41" s="11"/>
      <c r="C41" s="123"/>
      <c r="D41" s="123"/>
      <c r="F41" s="121" t="s">
        <v>123</v>
      </c>
      <c r="G41" s="127"/>
      <c r="H41" s="228"/>
      <c r="I41" s="228"/>
      <c r="J41" s="228"/>
      <c r="K41" s="228"/>
      <c r="L41" s="228"/>
      <c r="M41" s="228"/>
      <c r="N41" s="228"/>
      <c r="O41" s="228"/>
      <c r="P41" s="228"/>
      <c r="Q41" s="228"/>
      <c r="R41" s="228"/>
      <c r="S41" s="228"/>
      <c r="T41" s="228"/>
      <c r="U41" s="228"/>
      <c r="V41" s="228"/>
      <c r="W41" s="228"/>
      <c r="X41" s="228"/>
      <c r="Y41" s="228"/>
      <c r="Z41" s="228"/>
    </row>
    <row r="42" spans="1:26" s="7" customFormat="1" ht="26.4">
      <c r="A42" s="228"/>
      <c r="B42" s="20"/>
      <c r="C42" s="123"/>
      <c r="D42" s="123"/>
      <c r="F42" s="227" t="s">
        <v>124</v>
      </c>
      <c r="G42" s="127"/>
      <c r="H42" s="228"/>
      <c r="I42" s="228"/>
      <c r="J42" s="228"/>
      <c r="K42" s="228"/>
      <c r="L42" s="228"/>
      <c r="M42" s="228"/>
      <c r="N42" s="228"/>
      <c r="O42" s="228"/>
      <c r="P42" s="228"/>
      <c r="Q42" s="228"/>
      <c r="R42" s="228"/>
      <c r="S42" s="228"/>
      <c r="T42" s="228"/>
      <c r="U42" s="228"/>
      <c r="V42" s="228"/>
      <c r="W42" s="228"/>
      <c r="X42" s="228"/>
      <c r="Y42" s="228"/>
      <c r="Z42" s="228"/>
    </row>
    <row r="43" spans="1:26" s="19" customFormat="1" ht="18" customHeight="1">
      <c r="A43" s="228"/>
      <c r="B43" s="15"/>
      <c r="C43" s="123"/>
      <c r="D43" s="123"/>
      <c r="E43" s="123"/>
      <c r="F43" s="123"/>
      <c r="G43" s="17"/>
      <c r="H43" s="228"/>
      <c r="I43" s="228"/>
      <c r="J43" s="228"/>
      <c r="K43" s="228"/>
      <c r="L43" s="228"/>
      <c r="M43" s="228"/>
      <c r="N43" s="228"/>
      <c r="O43" s="228"/>
      <c r="P43" s="228"/>
      <c r="Q43" s="228"/>
      <c r="R43" s="228"/>
      <c r="S43" s="228"/>
      <c r="T43" s="228"/>
      <c r="U43" s="228"/>
      <c r="V43" s="228"/>
      <c r="W43" s="228"/>
      <c r="X43" s="228"/>
      <c r="Y43" s="228"/>
      <c r="Z43" s="228"/>
    </row>
    <row r="44" spans="1:26" s="19" customFormat="1" ht="18" customHeight="1">
      <c r="A44" s="228"/>
      <c r="B44" s="15"/>
      <c r="C44" s="123"/>
      <c r="D44" s="125">
        <v>3</v>
      </c>
      <c r="E44" s="10" t="s">
        <v>125</v>
      </c>
      <c r="F44" s="26"/>
      <c r="G44" s="17"/>
      <c r="H44" s="228"/>
      <c r="I44" s="228"/>
      <c r="J44" s="228"/>
      <c r="K44" s="228"/>
      <c r="L44" s="228"/>
      <c r="M44" s="228"/>
      <c r="N44" s="228"/>
      <c r="O44" s="228"/>
      <c r="P44" s="228"/>
      <c r="Q44" s="228"/>
      <c r="R44" s="228"/>
      <c r="S44" s="228"/>
      <c r="T44" s="228"/>
      <c r="U44" s="228"/>
      <c r="V44" s="228"/>
      <c r="W44" s="228"/>
      <c r="X44" s="228"/>
      <c r="Y44" s="228"/>
      <c r="Z44" s="228"/>
    </row>
    <row r="45" spans="1:26" s="7" customFormat="1" ht="26.4" customHeight="1">
      <c r="A45" s="228"/>
      <c r="B45" s="20"/>
      <c r="C45" s="123"/>
      <c r="D45" s="123"/>
      <c r="E45" s="308" t="s">
        <v>126</v>
      </c>
      <c r="F45" s="308"/>
      <c r="G45" s="21"/>
      <c r="H45" s="228"/>
      <c r="I45" s="228"/>
      <c r="J45" s="228"/>
      <c r="K45" s="228"/>
      <c r="L45" s="228"/>
      <c r="M45" s="228"/>
      <c r="N45" s="228"/>
      <c r="O45" s="228"/>
      <c r="P45" s="228"/>
      <c r="Q45" s="228"/>
      <c r="R45" s="228"/>
      <c r="S45" s="228"/>
      <c r="T45" s="228"/>
      <c r="U45" s="228"/>
      <c r="V45" s="228"/>
      <c r="W45" s="228"/>
      <c r="X45" s="228"/>
      <c r="Y45" s="228"/>
      <c r="Z45" s="228"/>
    </row>
    <row r="46" spans="1:26" s="14" customFormat="1" ht="13.95" customHeight="1">
      <c r="A46" s="228"/>
      <c r="B46" s="11"/>
      <c r="C46" s="123"/>
      <c r="D46" s="123"/>
      <c r="E46" s="135" t="s">
        <v>127</v>
      </c>
      <c r="F46" s="123"/>
      <c r="G46" s="12"/>
      <c r="H46" s="228"/>
      <c r="I46" s="228"/>
      <c r="J46" s="228"/>
      <c r="K46" s="228"/>
      <c r="L46" s="228"/>
      <c r="M46" s="228"/>
      <c r="N46" s="228"/>
      <c r="O46" s="228"/>
      <c r="P46" s="228"/>
      <c r="Q46" s="228"/>
      <c r="R46" s="228"/>
      <c r="S46" s="228"/>
      <c r="T46" s="228"/>
      <c r="U46" s="228"/>
      <c r="V46" s="228"/>
      <c r="W46" s="228"/>
      <c r="X46" s="228"/>
      <c r="Y46" s="228"/>
      <c r="Z46" s="228"/>
    </row>
    <row r="47" spans="1:26" s="14" customFormat="1" ht="13.95" customHeight="1">
      <c r="A47" s="228"/>
      <c r="B47" s="11"/>
      <c r="C47" s="123"/>
      <c r="D47" s="123"/>
      <c r="F47" s="121" t="s">
        <v>128</v>
      </c>
      <c r="G47" s="127"/>
      <c r="H47" s="228"/>
      <c r="I47" s="228"/>
      <c r="J47" s="228"/>
      <c r="K47" s="228"/>
      <c r="L47" s="228"/>
      <c r="M47" s="228"/>
      <c r="N47" s="228"/>
      <c r="O47" s="228"/>
      <c r="P47" s="228"/>
      <c r="Q47" s="228"/>
      <c r="R47" s="228"/>
      <c r="S47" s="228"/>
      <c r="T47" s="228"/>
      <c r="U47" s="228"/>
      <c r="V47" s="228"/>
      <c r="W47" s="228"/>
      <c r="X47" s="228"/>
      <c r="Y47" s="228"/>
      <c r="Z47" s="228"/>
    </row>
    <row r="48" spans="1:26" s="14" customFormat="1" ht="13.95" customHeight="1">
      <c r="A48" s="228"/>
      <c r="B48" s="11"/>
      <c r="C48" s="123"/>
      <c r="D48" s="123"/>
      <c r="F48" s="121" t="s">
        <v>129</v>
      </c>
      <c r="G48" s="127"/>
      <c r="H48" s="228"/>
      <c r="I48" s="228"/>
      <c r="J48" s="228"/>
      <c r="K48" s="228"/>
      <c r="L48" s="228"/>
      <c r="M48" s="228"/>
      <c r="N48" s="228"/>
      <c r="O48" s="228"/>
      <c r="P48" s="228"/>
      <c r="Q48" s="228"/>
      <c r="R48" s="228"/>
      <c r="S48" s="228"/>
      <c r="T48" s="228"/>
      <c r="U48" s="228"/>
      <c r="V48" s="228"/>
      <c r="W48" s="228"/>
      <c r="X48" s="228"/>
      <c r="Y48" s="228"/>
      <c r="Z48" s="228"/>
    </row>
    <row r="49" spans="1:26" s="14" customFormat="1" ht="13.95" customHeight="1">
      <c r="A49" s="228"/>
      <c r="B49" s="11"/>
      <c r="C49" s="123"/>
      <c r="D49" s="123"/>
      <c r="F49" s="121" t="s">
        <v>130</v>
      </c>
      <c r="G49" s="127"/>
      <c r="H49" s="228"/>
      <c r="I49" s="228"/>
      <c r="J49" s="228"/>
      <c r="K49" s="228"/>
      <c r="L49" s="228"/>
      <c r="M49" s="228"/>
      <c r="N49" s="228"/>
      <c r="O49" s="228"/>
      <c r="P49" s="228"/>
      <c r="Q49" s="228"/>
      <c r="R49" s="228"/>
      <c r="S49" s="228"/>
      <c r="T49" s="228"/>
      <c r="U49" s="228"/>
      <c r="V49" s="228"/>
      <c r="W49" s="228"/>
      <c r="X49" s="228"/>
      <c r="Y49" s="228"/>
      <c r="Z49" s="228"/>
    </row>
    <row r="50" spans="1:26" s="14" customFormat="1" ht="13.95" customHeight="1">
      <c r="A50" s="228"/>
      <c r="B50" s="11"/>
      <c r="C50" s="123"/>
      <c r="D50" s="123"/>
      <c r="F50" s="121" t="s">
        <v>131</v>
      </c>
      <c r="G50" s="127"/>
      <c r="H50" s="228"/>
      <c r="I50" s="228"/>
      <c r="J50" s="228"/>
      <c r="K50" s="228"/>
      <c r="L50" s="228"/>
      <c r="M50" s="228"/>
      <c r="N50" s="228"/>
      <c r="O50" s="228"/>
      <c r="P50" s="228"/>
      <c r="Q50" s="228"/>
      <c r="R50" s="228"/>
      <c r="S50" s="228"/>
      <c r="T50" s="228"/>
      <c r="U50" s="228"/>
      <c r="V50" s="228"/>
      <c r="W50" s="228"/>
      <c r="X50" s="228"/>
      <c r="Y50" s="228"/>
      <c r="Z50" s="228"/>
    </row>
    <row r="51" spans="1:26" s="19" customFormat="1" ht="18" customHeight="1">
      <c r="A51" s="228"/>
      <c r="B51" s="15"/>
      <c r="C51" s="123"/>
      <c r="D51" s="123"/>
      <c r="E51" s="123"/>
      <c r="F51" s="123"/>
      <c r="G51" s="17"/>
      <c r="H51" s="228"/>
      <c r="I51" s="228"/>
      <c r="J51" s="228"/>
      <c r="K51" s="228"/>
      <c r="L51" s="228"/>
      <c r="M51" s="228"/>
      <c r="N51" s="228"/>
      <c r="O51" s="228"/>
      <c r="P51" s="228"/>
      <c r="Q51" s="228"/>
      <c r="R51" s="228"/>
      <c r="S51" s="228"/>
      <c r="T51" s="228"/>
      <c r="U51" s="228"/>
      <c r="V51" s="228"/>
      <c r="W51" s="228"/>
      <c r="X51" s="228"/>
      <c r="Y51" s="228"/>
      <c r="Z51" s="228"/>
    </row>
    <row r="52" spans="1:26" s="19" customFormat="1" ht="18" customHeight="1">
      <c r="A52" s="228"/>
      <c r="B52" s="15"/>
      <c r="C52" s="123"/>
      <c r="D52" s="125">
        <v>4</v>
      </c>
      <c r="E52" s="10" t="s">
        <v>132</v>
      </c>
      <c r="F52" s="123"/>
      <c r="G52" s="17"/>
      <c r="H52" s="228"/>
      <c r="I52" s="228"/>
      <c r="J52" s="228"/>
      <c r="K52" s="228"/>
      <c r="L52" s="228"/>
      <c r="M52" s="228"/>
      <c r="N52" s="228"/>
      <c r="O52" s="228"/>
      <c r="P52" s="228"/>
      <c r="Q52" s="228"/>
      <c r="R52" s="228"/>
      <c r="S52" s="228"/>
      <c r="T52" s="228"/>
      <c r="U52" s="228"/>
      <c r="V52" s="228"/>
      <c r="W52" s="228"/>
      <c r="X52" s="228"/>
      <c r="Y52" s="228"/>
      <c r="Z52" s="228"/>
    </row>
    <row r="53" spans="1:26" s="14" customFormat="1" ht="26.7" customHeight="1">
      <c r="A53" s="228"/>
      <c r="B53" s="11"/>
      <c r="C53" s="123"/>
      <c r="D53" s="123"/>
      <c r="E53" s="307" t="s">
        <v>133</v>
      </c>
      <c r="F53" s="307"/>
      <c r="G53" s="12"/>
      <c r="H53" s="228"/>
      <c r="I53" s="228"/>
      <c r="J53" s="228"/>
      <c r="K53" s="228"/>
      <c r="L53" s="228"/>
      <c r="M53" s="228"/>
      <c r="N53" s="228"/>
      <c r="O53" s="228"/>
      <c r="P53" s="228"/>
      <c r="Q53" s="228"/>
      <c r="R53" s="228"/>
      <c r="S53" s="228"/>
      <c r="T53" s="228"/>
      <c r="U53" s="228"/>
      <c r="V53" s="228"/>
      <c r="W53" s="228"/>
      <c r="X53" s="228"/>
      <c r="Y53" s="228"/>
      <c r="Z53" s="228"/>
    </row>
    <row r="54" spans="1:26" s="14" customFormat="1" ht="13.8">
      <c r="A54" s="228"/>
      <c r="B54" s="11"/>
      <c r="C54" s="123"/>
      <c r="D54" s="123"/>
      <c r="E54" s="135" t="s">
        <v>120</v>
      </c>
      <c r="F54" s="123"/>
      <c r="G54" s="12"/>
      <c r="H54" s="228"/>
      <c r="I54" s="228"/>
      <c r="J54" s="228"/>
      <c r="K54" s="228"/>
      <c r="L54" s="228"/>
      <c r="M54" s="228"/>
      <c r="N54" s="228"/>
      <c r="O54" s="228"/>
      <c r="P54" s="228"/>
      <c r="Q54" s="228"/>
      <c r="R54" s="228"/>
      <c r="S54" s="228"/>
      <c r="T54" s="228"/>
      <c r="U54" s="228"/>
      <c r="V54" s="228"/>
      <c r="W54" s="228"/>
      <c r="X54" s="228"/>
      <c r="Y54" s="228"/>
      <c r="Z54" s="228"/>
    </row>
    <row r="55" spans="1:26" s="14" customFormat="1" ht="13.8">
      <c r="A55" s="228"/>
      <c r="B55" s="11"/>
      <c r="C55" s="123"/>
      <c r="D55" s="123"/>
      <c r="F55" s="227" t="s">
        <v>134</v>
      </c>
      <c r="G55" s="12"/>
      <c r="H55" s="228"/>
      <c r="I55" s="228"/>
      <c r="J55" s="228"/>
      <c r="K55" s="228"/>
      <c r="L55" s="228"/>
      <c r="M55" s="228"/>
      <c r="N55" s="228"/>
      <c r="O55" s="228"/>
      <c r="P55" s="228"/>
      <c r="Q55" s="228"/>
      <c r="R55" s="228"/>
      <c r="S55" s="228"/>
      <c r="T55" s="228"/>
      <c r="U55" s="228"/>
      <c r="V55" s="228"/>
      <c r="W55" s="228"/>
      <c r="X55" s="228"/>
      <c r="Y55" s="228"/>
      <c r="Z55" s="228"/>
    </row>
    <row r="56" spans="1:26" s="14" customFormat="1" ht="13.8">
      <c r="A56" s="228"/>
      <c r="B56" s="11"/>
      <c r="C56" s="123"/>
      <c r="D56" s="123"/>
      <c r="F56" s="227" t="s">
        <v>135</v>
      </c>
      <c r="G56" s="12"/>
      <c r="H56" s="228"/>
      <c r="I56" s="228"/>
      <c r="J56" s="228"/>
      <c r="K56" s="228"/>
      <c r="L56" s="228"/>
      <c r="M56" s="228"/>
      <c r="N56" s="228"/>
      <c r="O56" s="228"/>
      <c r="P56" s="228"/>
      <c r="Q56" s="228"/>
      <c r="R56" s="228"/>
      <c r="S56" s="228"/>
      <c r="T56" s="228"/>
      <c r="U56" s="228"/>
      <c r="V56" s="228"/>
      <c r="W56" s="228"/>
      <c r="X56" s="228"/>
      <c r="Y56" s="228"/>
      <c r="Z56" s="228"/>
    </row>
    <row r="57" spans="1:26" s="14" customFormat="1" ht="13.8">
      <c r="A57" s="228"/>
      <c r="B57" s="11"/>
      <c r="C57" s="123"/>
      <c r="D57" s="123"/>
      <c r="F57" s="227" t="s">
        <v>136</v>
      </c>
      <c r="G57" s="12"/>
      <c r="H57" s="228"/>
      <c r="I57" s="228"/>
      <c r="J57" s="228"/>
      <c r="K57" s="228"/>
      <c r="L57" s="228"/>
      <c r="M57" s="228"/>
      <c r="N57" s="228"/>
      <c r="O57" s="228"/>
      <c r="P57" s="228"/>
      <c r="Q57" s="228"/>
      <c r="R57" s="228"/>
      <c r="S57" s="228"/>
      <c r="T57" s="228"/>
      <c r="U57" s="228"/>
      <c r="V57" s="228"/>
      <c r="W57" s="228"/>
      <c r="X57" s="228"/>
      <c r="Y57" s="228"/>
      <c r="Z57" s="228"/>
    </row>
    <row r="58" spans="1:26" s="14" customFormat="1" ht="13.8">
      <c r="A58" s="228"/>
      <c r="B58" s="11"/>
      <c r="C58" s="123"/>
      <c r="D58" s="123"/>
      <c r="F58" s="227" t="s">
        <v>137</v>
      </c>
      <c r="G58" s="12"/>
      <c r="H58" s="228"/>
      <c r="I58" s="228"/>
      <c r="J58" s="228"/>
      <c r="K58" s="228"/>
      <c r="L58" s="228"/>
      <c r="M58" s="228"/>
      <c r="N58" s="228"/>
      <c r="O58" s="228"/>
      <c r="P58" s="228"/>
      <c r="Q58" s="228"/>
      <c r="R58" s="228"/>
      <c r="S58" s="228"/>
      <c r="T58" s="228"/>
      <c r="U58" s="228"/>
      <c r="V58" s="228"/>
      <c r="W58" s="228"/>
      <c r="X58" s="228"/>
      <c r="Y58" s="228"/>
      <c r="Z58" s="228"/>
    </row>
    <row r="59" spans="1:26" s="14" customFormat="1" ht="13.8">
      <c r="A59" s="228"/>
      <c r="B59" s="11"/>
      <c r="C59" s="123"/>
      <c r="D59" s="123"/>
      <c r="E59" s="135" t="s">
        <v>138</v>
      </c>
      <c r="F59" s="123"/>
      <c r="G59" s="12"/>
      <c r="H59" s="228"/>
      <c r="I59" s="228"/>
      <c r="J59" s="228"/>
      <c r="K59" s="228"/>
      <c r="L59" s="228"/>
      <c r="M59" s="228"/>
      <c r="N59" s="228"/>
      <c r="O59" s="228"/>
      <c r="P59" s="228"/>
      <c r="Q59" s="228"/>
      <c r="R59" s="228"/>
      <c r="S59" s="228"/>
      <c r="T59" s="228"/>
      <c r="U59" s="228"/>
      <c r="V59" s="228"/>
      <c r="W59" s="228"/>
      <c r="X59" s="228"/>
      <c r="Y59" s="228"/>
      <c r="Z59" s="228"/>
    </row>
    <row r="60" spans="1:26" s="14" customFormat="1" ht="13.8">
      <c r="A60" s="228"/>
      <c r="B60" s="11"/>
      <c r="C60" s="123"/>
      <c r="D60" s="123"/>
      <c r="F60" s="227" t="s">
        <v>139</v>
      </c>
      <c r="G60" s="12"/>
      <c r="H60" s="228"/>
      <c r="I60" s="228"/>
      <c r="J60" s="228"/>
      <c r="K60" s="228"/>
      <c r="L60" s="228"/>
      <c r="M60" s="228"/>
      <c r="N60" s="228"/>
      <c r="O60" s="228"/>
      <c r="P60" s="228"/>
      <c r="Q60" s="228"/>
      <c r="R60" s="228"/>
      <c r="S60" s="228"/>
      <c r="T60" s="228"/>
      <c r="U60" s="228"/>
      <c r="V60" s="228"/>
      <c r="W60" s="228"/>
      <c r="X60" s="228"/>
      <c r="Y60" s="228"/>
      <c r="Z60" s="228"/>
    </row>
    <row r="61" spans="1:26" s="14" customFormat="1" ht="13.8">
      <c r="A61" s="228"/>
      <c r="B61" s="11"/>
      <c r="C61" s="123"/>
      <c r="D61" s="123"/>
      <c r="F61" s="227" t="s">
        <v>140</v>
      </c>
      <c r="G61" s="12"/>
      <c r="H61" s="228"/>
      <c r="I61" s="228"/>
      <c r="J61" s="228"/>
      <c r="K61" s="228"/>
      <c r="L61" s="228"/>
      <c r="M61" s="228"/>
      <c r="N61" s="228"/>
      <c r="O61" s="228"/>
      <c r="P61" s="228"/>
      <c r="Q61" s="228"/>
      <c r="R61" s="228"/>
      <c r="S61" s="228"/>
      <c r="T61" s="228"/>
      <c r="U61" s="228"/>
      <c r="V61" s="228"/>
      <c r="W61" s="228"/>
      <c r="X61" s="228"/>
      <c r="Y61" s="228"/>
      <c r="Z61" s="228"/>
    </row>
    <row r="62" spans="1:26" s="14" customFormat="1" ht="13.8">
      <c r="A62" s="228"/>
      <c r="B62" s="11"/>
      <c r="C62" s="123"/>
      <c r="D62" s="123"/>
      <c r="F62" s="227" t="s">
        <v>141</v>
      </c>
      <c r="G62" s="12"/>
      <c r="H62" s="228"/>
      <c r="I62" s="228"/>
      <c r="J62" s="228"/>
      <c r="K62" s="228"/>
      <c r="L62" s="228"/>
      <c r="M62" s="228"/>
      <c r="N62" s="228"/>
      <c r="O62" s="228"/>
      <c r="P62" s="228"/>
      <c r="Q62" s="228"/>
      <c r="R62" s="228"/>
      <c r="S62" s="228"/>
      <c r="T62" s="228"/>
      <c r="U62" s="228"/>
      <c r="V62" s="228"/>
      <c r="W62" s="228"/>
      <c r="X62" s="228"/>
      <c r="Y62" s="228"/>
      <c r="Z62" s="228"/>
    </row>
    <row r="63" spans="1:26" s="14" customFormat="1" ht="13.8">
      <c r="A63" s="228"/>
      <c r="B63" s="11"/>
      <c r="C63" s="123"/>
      <c r="D63" s="123"/>
      <c r="F63" s="227" t="s">
        <v>142</v>
      </c>
      <c r="G63" s="12"/>
      <c r="H63" s="228"/>
      <c r="I63" s="228"/>
      <c r="J63" s="228"/>
      <c r="K63" s="228"/>
      <c r="L63" s="228"/>
      <c r="M63" s="228"/>
      <c r="N63" s="228"/>
      <c r="O63" s="228"/>
      <c r="P63" s="228"/>
      <c r="Q63" s="228"/>
      <c r="R63" s="228"/>
      <c r="S63" s="228"/>
      <c r="T63" s="228"/>
      <c r="U63" s="228"/>
      <c r="V63" s="228"/>
      <c r="W63" s="228"/>
      <c r="X63" s="228"/>
      <c r="Y63" s="228"/>
      <c r="Z63" s="228"/>
    </row>
    <row r="64" spans="1:26" s="14" customFormat="1" ht="13.8">
      <c r="A64" s="228"/>
      <c r="B64" s="11"/>
      <c r="C64" s="123"/>
      <c r="D64" s="123"/>
      <c r="E64" s="135" t="s">
        <v>143</v>
      </c>
      <c r="F64" s="123"/>
      <c r="G64" s="12"/>
      <c r="H64" s="228"/>
      <c r="I64" s="228"/>
      <c r="J64" s="228"/>
      <c r="K64" s="228"/>
      <c r="L64" s="228"/>
      <c r="M64" s="228"/>
      <c r="N64" s="228"/>
      <c r="O64" s="228"/>
      <c r="P64" s="228"/>
      <c r="Q64" s="228"/>
      <c r="R64" s="228"/>
      <c r="S64" s="228"/>
      <c r="T64" s="228"/>
      <c r="U64" s="228"/>
      <c r="V64" s="228"/>
      <c r="W64" s="228"/>
      <c r="X64" s="228"/>
      <c r="Y64" s="228"/>
      <c r="Z64" s="228"/>
    </row>
    <row r="65" spans="1:229" s="14" customFormat="1" ht="13.8">
      <c r="A65" s="228"/>
      <c r="B65" s="11"/>
      <c r="C65" s="123"/>
      <c r="D65" s="123"/>
      <c r="F65" s="227" t="s">
        <v>144</v>
      </c>
      <c r="G65" s="12"/>
      <c r="H65" s="228"/>
      <c r="I65" s="228"/>
      <c r="J65" s="228"/>
      <c r="K65" s="228"/>
      <c r="L65" s="228"/>
      <c r="M65" s="228"/>
      <c r="N65" s="228"/>
      <c r="O65" s="228"/>
      <c r="P65" s="228"/>
      <c r="Q65" s="228"/>
      <c r="R65" s="228"/>
      <c r="S65" s="228"/>
      <c r="T65" s="228"/>
      <c r="U65" s="228"/>
      <c r="V65" s="228"/>
      <c r="W65" s="228"/>
      <c r="X65" s="228"/>
      <c r="Y65" s="228"/>
      <c r="Z65" s="228"/>
    </row>
    <row r="66" spans="1:229" s="14" customFormat="1" ht="13.8">
      <c r="A66" s="228"/>
      <c r="B66" s="11"/>
      <c r="C66" s="123"/>
      <c r="D66" s="123"/>
      <c r="E66" s="123"/>
      <c r="F66" s="227" t="s">
        <v>145</v>
      </c>
      <c r="G66" s="12"/>
      <c r="H66" s="228"/>
      <c r="I66" s="228"/>
      <c r="J66" s="228"/>
      <c r="K66" s="228"/>
      <c r="L66" s="228"/>
      <c r="M66" s="228"/>
      <c r="N66" s="228"/>
      <c r="O66" s="228"/>
      <c r="P66" s="228"/>
      <c r="Q66" s="228"/>
      <c r="R66" s="228"/>
      <c r="S66" s="228"/>
      <c r="T66" s="228"/>
      <c r="U66" s="228"/>
      <c r="V66" s="228"/>
      <c r="W66" s="228"/>
      <c r="X66" s="228"/>
      <c r="Y66" s="228"/>
      <c r="Z66" s="228"/>
    </row>
    <row r="67" spans="1:229" s="14" customFormat="1" ht="13.8">
      <c r="A67" s="228"/>
      <c r="B67" s="11"/>
      <c r="C67" s="123"/>
      <c r="D67" s="123"/>
      <c r="F67" s="227" t="s">
        <v>146</v>
      </c>
      <c r="G67" s="12"/>
      <c r="H67" s="228"/>
      <c r="I67" s="228"/>
      <c r="J67" s="228"/>
      <c r="K67" s="228"/>
      <c r="L67" s="228"/>
      <c r="M67" s="228"/>
      <c r="N67" s="228"/>
      <c r="O67" s="228"/>
      <c r="P67" s="228"/>
      <c r="Q67" s="228"/>
      <c r="R67" s="228"/>
      <c r="S67" s="228"/>
      <c r="T67" s="228"/>
      <c r="U67" s="228"/>
      <c r="V67" s="228"/>
      <c r="W67" s="228"/>
      <c r="X67" s="228"/>
      <c r="Y67" s="228"/>
      <c r="Z67" s="228"/>
    </row>
    <row r="68" spans="1:229" s="14" customFormat="1" ht="13.8">
      <c r="A68" s="228"/>
      <c r="B68" s="11"/>
      <c r="C68" s="123"/>
      <c r="D68" s="123"/>
      <c r="E68" s="123"/>
      <c r="F68" s="227" t="s">
        <v>147</v>
      </c>
      <c r="G68" s="12"/>
      <c r="H68" s="228"/>
      <c r="I68" s="228"/>
      <c r="J68" s="228"/>
      <c r="K68" s="228"/>
      <c r="L68" s="228"/>
      <c r="M68" s="228"/>
      <c r="N68" s="228"/>
      <c r="O68" s="228"/>
      <c r="P68" s="228"/>
      <c r="Q68" s="228"/>
      <c r="R68" s="228"/>
      <c r="S68" s="228"/>
      <c r="T68" s="228"/>
      <c r="U68" s="228"/>
      <c r="V68" s="228"/>
      <c r="W68" s="228"/>
      <c r="X68" s="228"/>
      <c r="Y68" s="228"/>
      <c r="Z68" s="228"/>
    </row>
    <row r="69" spans="1:229" s="14" customFormat="1" ht="13.8">
      <c r="A69" s="228"/>
      <c r="B69" s="11"/>
      <c r="C69" s="123"/>
      <c r="D69" s="123"/>
      <c r="E69" s="123"/>
      <c r="F69" s="123"/>
      <c r="G69" s="12"/>
      <c r="H69" s="228"/>
      <c r="I69" s="228"/>
      <c r="J69" s="228"/>
      <c r="K69" s="228"/>
      <c r="L69" s="228"/>
      <c r="M69" s="228"/>
      <c r="N69" s="228"/>
      <c r="O69" s="228"/>
      <c r="P69" s="228"/>
      <c r="Q69" s="228"/>
      <c r="R69" s="228"/>
      <c r="S69" s="228"/>
      <c r="T69" s="228"/>
      <c r="U69" s="228"/>
      <c r="V69" s="228"/>
      <c r="W69" s="228"/>
      <c r="X69" s="228"/>
      <c r="Y69" s="228"/>
      <c r="Z69" s="228"/>
    </row>
    <row r="70" spans="1:229" ht="18.600000000000001" customHeight="1">
      <c r="A70" s="228"/>
      <c r="B70" s="236"/>
      <c r="C70" s="27"/>
      <c r="D70" s="27"/>
      <c r="E70" s="27"/>
      <c r="F70" s="28"/>
      <c r="G70" s="29"/>
      <c r="H70" s="228"/>
      <c r="I70" s="228"/>
      <c r="J70" s="228"/>
      <c r="K70" s="228"/>
      <c r="L70" s="228"/>
      <c r="M70" s="228"/>
      <c r="N70" s="228"/>
      <c r="O70" s="228"/>
      <c r="P70" s="228"/>
      <c r="Q70" s="228"/>
      <c r="R70" s="228"/>
      <c r="S70" s="228"/>
      <c r="T70" s="228"/>
      <c r="U70" s="228"/>
      <c r="V70" s="228"/>
      <c r="W70" s="228"/>
      <c r="X70" s="228"/>
      <c r="Y70" s="228"/>
      <c r="Z70" s="228"/>
      <c r="AA70" s="237"/>
      <c r="AB70" s="237"/>
      <c r="AC70" s="237"/>
      <c r="AD70" s="237"/>
      <c r="AE70" s="237"/>
      <c r="AF70" s="237"/>
      <c r="AG70" s="237"/>
      <c r="AH70" s="237"/>
      <c r="AI70" s="237"/>
      <c r="AJ70" s="237"/>
      <c r="AK70" s="237"/>
      <c r="AL70" s="237"/>
      <c r="AM70" s="237"/>
      <c r="AN70" s="237"/>
      <c r="AO70" s="237"/>
      <c r="AP70" s="237"/>
      <c r="AQ70" s="237"/>
      <c r="AR70" s="237"/>
      <c r="AS70" s="237"/>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37"/>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37"/>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HU70" s="237"/>
    </row>
    <row r="71" spans="1:229" ht="18.600000000000001" customHeight="1">
      <c r="A71" s="228"/>
      <c r="B71" s="228"/>
      <c r="C71" s="228"/>
      <c r="D71" s="228"/>
      <c r="E71" s="228"/>
      <c r="F71" s="228"/>
      <c r="G71" s="228"/>
      <c r="H71" s="228"/>
      <c r="I71" s="228"/>
      <c r="J71" s="228"/>
      <c r="K71" s="228"/>
      <c r="L71" s="228"/>
      <c r="M71" s="228"/>
      <c r="N71" s="228"/>
      <c r="O71" s="228"/>
      <c r="P71" s="228"/>
      <c r="Q71" s="228"/>
      <c r="R71" s="228"/>
      <c r="S71" s="228"/>
      <c r="T71" s="228"/>
      <c r="U71" s="228"/>
      <c r="V71" s="228"/>
      <c r="W71" s="228"/>
      <c r="X71" s="228"/>
      <c r="Y71" s="228"/>
      <c r="Z71" s="228"/>
      <c r="AA71" s="237"/>
      <c r="AB71" s="237"/>
      <c r="AC71" s="237"/>
      <c r="AD71" s="237"/>
      <c r="AE71" s="237"/>
      <c r="AF71" s="237"/>
      <c r="AG71" s="237"/>
      <c r="AH71" s="237"/>
      <c r="AI71" s="237"/>
      <c r="AJ71" s="237"/>
      <c r="AK71" s="237"/>
      <c r="AL71" s="237"/>
      <c r="AM71" s="237"/>
      <c r="AN71" s="237"/>
      <c r="AO71" s="237"/>
      <c r="AP71" s="237"/>
      <c r="AQ71" s="237"/>
      <c r="AR71" s="237"/>
      <c r="AS71" s="237"/>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37"/>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37"/>
      <c r="DV71" s="237"/>
      <c r="DW71" s="237"/>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HU71" s="237"/>
    </row>
    <row r="72" spans="1:229" ht="18.600000000000001" customHeight="1">
      <c r="A72" s="228"/>
      <c r="B72" s="228"/>
      <c r="C72" s="228"/>
      <c r="D72" s="228"/>
      <c r="E72" s="228"/>
      <c r="F72" s="228"/>
      <c r="G72" s="228"/>
      <c r="H72" s="228"/>
      <c r="I72" s="228"/>
      <c r="J72" s="228"/>
      <c r="K72" s="228"/>
      <c r="L72" s="228"/>
      <c r="M72" s="228"/>
      <c r="N72" s="228"/>
      <c r="O72" s="228"/>
      <c r="P72" s="228"/>
      <c r="Q72" s="228"/>
      <c r="R72" s="228"/>
      <c r="S72" s="228"/>
      <c r="T72" s="228"/>
      <c r="U72" s="228"/>
      <c r="V72" s="228"/>
      <c r="W72" s="228"/>
      <c r="X72" s="228"/>
      <c r="Y72" s="228"/>
      <c r="Z72" s="228"/>
      <c r="AA72" s="237"/>
      <c r="AB72" s="237"/>
      <c r="AC72" s="237"/>
      <c r="AD72" s="237"/>
      <c r="AE72" s="237"/>
      <c r="AF72" s="237"/>
      <c r="AG72" s="237"/>
      <c r="AH72" s="237"/>
      <c r="AI72" s="237"/>
      <c r="AJ72" s="237"/>
      <c r="AK72" s="237"/>
      <c r="AL72" s="237"/>
      <c r="AM72" s="237"/>
      <c r="AN72" s="237"/>
      <c r="AO72" s="237"/>
      <c r="AP72" s="237"/>
      <c r="AQ72" s="237"/>
      <c r="AR72" s="237"/>
      <c r="AS72" s="237"/>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37"/>
      <c r="CQ72" s="237"/>
      <c r="CR72" s="237"/>
      <c r="CS72" s="237"/>
      <c r="CT72" s="237"/>
      <c r="CU72" s="237"/>
      <c r="CV72" s="237"/>
      <c r="CW72" s="237"/>
      <c r="CX72" s="237"/>
      <c r="CY72" s="237"/>
      <c r="CZ72" s="237"/>
      <c r="DA72" s="237"/>
      <c r="DB72" s="237"/>
      <c r="DC72" s="237"/>
      <c r="DD72" s="237"/>
      <c r="DE72" s="237"/>
      <c r="DF72" s="237"/>
      <c r="DG72" s="237"/>
      <c r="DH72" s="237"/>
      <c r="DI72" s="237"/>
      <c r="DJ72" s="237"/>
      <c r="DK72" s="237"/>
      <c r="DL72" s="237"/>
      <c r="DM72" s="237"/>
      <c r="DN72" s="237"/>
      <c r="DO72" s="237"/>
      <c r="DP72" s="237"/>
      <c r="DQ72" s="237"/>
      <c r="DR72" s="237"/>
      <c r="DS72" s="237"/>
      <c r="DT72" s="237"/>
      <c r="DU72" s="237"/>
      <c r="DV72" s="237"/>
      <c r="DW72" s="237"/>
      <c r="DX72" s="237"/>
      <c r="DY72" s="237"/>
      <c r="DZ72" s="237"/>
      <c r="EA72" s="237"/>
      <c r="EB72" s="237"/>
      <c r="EC72" s="237"/>
      <c r="ED72" s="237"/>
      <c r="EE72" s="237"/>
      <c r="EF72" s="237"/>
      <c r="EG72" s="237"/>
      <c r="EH72" s="237"/>
      <c r="EI72" s="237"/>
      <c r="EJ72" s="237"/>
      <c r="EK72" s="237"/>
      <c r="EL72" s="237"/>
      <c r="EM72" s="237"/>
      <c r="EN72" s="237"/>
      <c r="EO72" s="237"/>
      <c r="EP72" s="237"/>
      <c r="EQ72" s="237"/>
      <c r="ER72" s="237"/>
      <c r="ES72" s="237"/>
      <c r="ET72" s="237"/>
      <c r="EU72" s="237"/>
      <c r="EV72" s="237"/>
      <c r="EW72" s="237"/>
      <c r="EX72" s="237"/>
      <c r="EY72" s="237"/>
      <c r="EZ72" s="237"/>
      <c r="FA72" s="237"/>
      <c r="FB72" s="237"/>
      <c r="FC72" s="237"/>
      <c r="FD72" s="237"/>
      <c r="FE72" s="237"/>
      <c r="FF72" s="237"/>
      <c r="FG72" s="237"/>
      <c r="FH72" s="237"/>
      <c r="FI72" s="237"/>
      <c r="FJ72" s="237"/>
      <c r="FK72" s="237"/>
      <c r="FL72" s="237"/>
      <c r="FM72" s="237"/>
      <c r="FN72" s="237"/>
      <c r="FO72" s="237"/>
      <c r="FP72" s="237"/>
      <c r="FQ72" s="237"/>
      <c r="FR72" s="237"/>
      <c r="FS72" s="237"/>
      <c r="FT72" s="237"/>
      <c r="FU72" s="237"/>
      <c r="FV72" s="237"/>
      <c r="FW72" s="237"/>
      <c r="FX72" s="237"/>
      <c r="FY72" s="237"/>
      <c r="FZ72" s="237"/>
      <c r="GA72" s="237"/>
      <c r="GB72" s="237"/>
      <c r="GC72" s="237"/>
      <c r="GD72" s="237"/>
      <c r="GE72" s="237"/>
      <c r="GF72" s="237"/>
      <c r="GG72" s="237"/>
      <c r="GH72" s="237"/>
      <c r="GI72" s="237"/>
      <c r="GJ72" s="237"/>
      <c r="GK72" s="237"/>
      <c r="GL72" s="237"/>
      <c r="GM72" s="237"/>
      <c r="GN72" s="237"/>
      <c r="GO72" s="237"/>
      <c r="GP72" s="237"/>
      <c r="GQ72" s="237"/>
      <c r="GR72" s="237"/>
      <c r="GS72" s="237"/>
      <c r="GT72" s="237"/>
      <c r="GU72" s="237"/>
      <c r="GV72" s="237"/>
      <c r="GW72" s="237"/>
      <c r="GX72" s="237"/>
      <c r="GY72" s="237"/>
      <c r="GZ72" s="237"/>
      <c r="HA72" s="237"/>
      <c r="HB72" s="237"/>
      <c r="HC72" s="237"/>
      <c r="HD72" s="237"/>
      <c r="HE72" s="237"/>
      <c r="HF72" s="237"/>
      <c r="HG72" s="237"/>
      <c r="HH72" s="237"/>
      <c r="HI72" s="237"/>
      <c r="HJ72" s="237"/>
      <c r="HK72" s="237"/>
      <c r="HL72" s="237"/>
      <c r="HM72" s="237"/>
      <c r="HN72" s="237"/>
      <c r="HO72" s="237"/>
      <c r="HP72" s="237"/>
      <c r="HQ72" s="237"/>
      <c r="HR72" s="237"/>
      <c r="HS72" s="237"/>
      <c r="HT72" s="237"/>
      <c r="HU72" s="237"/>
    </row>
    <row r="73" spans="1:229" ht="18.600000000000001" customHeight="1">
      <c r="A73" s="228"/>
      <c r="B73" s="228"/>
      <c r="C73" s="228"/>
      <c r="D73" s="228"/>
      <c r="E73" s="228"/>
      <c r="F73" s="228"/>
      <c r="G73" s="228"/>
      <c r="H73" s="228"/>
      <c r="I73" s="228"/>
      <c r="J73" s="228"/>
      <c r="K73" s="228"/>
      <c r="L73" s="228"/>
      <c r="M73" s="228"/>
      <c r="N73" s="228"/>
      <c r="O73" s="228"/>
      <c r="P73" s="228"/>
      <c r="Q73" s="228"/>
      <c r="R73" s="228"/>
      <c r="S73" s="228"/>
      <c r="T73" s="228"/>
      <c r="U73" s="228"/>
      <c r="V73" s="228"/>
      <c r="W73" s="228"/>
      <c r="X73" s="228"/>
      <c r="Y73" s="228"/>
      <c r="Z73" s="228"/>
      <c r="AA73" s="237"/>
      <c r="AB73" s="237"/>
      <c r="AC73" s="237"/>
      <c r="AD73" s="237"/>
      <c r="AE73" s="237"/>
      <c r="AF73" s="237"/>
      <c r="AG73" s="237"/>
      <c r="AH73" s="237"/>
      <c r="AI73" s="237"/>
      <c r="AJ73" s="237"/>
      <c r="AK73" s="237"/>
      <c r="AL73" s="237"/>
      <c r="AM73" s="237"/>
      <c r="AN73" s="237"/>
      <c r="AO73" s="237"/>
      <c r="AP73" s="237"/>
      <c r="AQ73" s="237"/>
      <c r="AR73" s="237"/>
      <c r="AS73" s="237"/>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37"/>
      <c r="CQ73" s="237"/>
      <c r="CR73" s="237"/>
      <c r="CS73" s="237"/>
      <c r="CT73" s="237"/>
      <c r="CU73" s="237"/>
      <c r="CV73" s="237"/>
      <c r="CW73" s="237"/>
      <c r="CX73" s="237"/>
      <c r="CY73" s="237"/>
      <c r="CZ73" s="237"/>
      <c r="DA73" s="237"/>
      <c r="DB73" s="237"/>
      <c r="DC73" s="237"/>
      <c r="DD73" s="237"/>
      <c r="DE73" s="237"/>
      <c r="DF73" s="237"/>
      <c r="DG73" s="237"/>
      <c r="DH73" s="237"/>
      <c r="DI73" s="237"/>
      <c r="DJ73" s="237"/>
      <c r="DK73" s="237"/>
      <c r="DL73" s="237"/>
      <c r="DM73" s="237"/>
      <c r="DN73" s="237"/>
      <c r="DO73" s="237"/>
      <c r="DP73" s="237"/>
      <c r="DQ73" s="237"/>
      <c r="DR73" s="237"/>
      <c r="DS73" s="237"/>
      <c r="DT73" s="237"/>
      <c r="DU73" s="237"/>
      <c r="DV73" s="237"/>
      <c r="DW73" s="237"/>
      <c r="DX73" s="237"/>
      <c r="DY73" s="237"/>
      <c r="DZ73" s="237"/>
      <c r="EA73" s="237"/>
      <c r="EB73" s="237"/>
      <c r="EC73" s="237"/>
      <c r="ED73" s="237"/>
      <c r="EE73" s="237"/>
      <c r="EF73" s="237"/>
      <c r="EG73" s="237"/>
      <c r="EH73" s="237"/>
      <c r="EI73" s="237"/>
      <c r="EJ73" s="237"/>
      <c r="EK73" s="237"/>
      <c r="EL73" s="237"/>
      <c r="EM73" s="237"/>
      <c r="EN73" s="237"/>
      <c r="EO73" s="237"/>
      <c r="EP73" s="237"/>
      <c r="EQ73" s="237"/>
      <c r="ER73" s="237"/>
      <c r="ES73" s="237"/>
      <c r="ET73" s="237"/>
      <c r="EU73" s="237"/>
      <c r="EV73" s="237"/>
      <c r="EW73" s="237"/>
      <c r="EX73" s="237"/>
      <c r="EY73" s="237"/>
      <c r="EZ73" s="237"/>
      <c r="FA73" s="237"/>
      <c r="FB73" s="237"/>
      <c r="FC73" s="237"/>
      <c r="FD73" s="237"/>
      <c r="FE73" s="237"/>
      <c r="FF73" s="237"/>
      <c r="FG73" s="237"/>
      <c r="FH73" s="237"/>
      <c r="FI73" s="237"/>
      <c r="FJ73" s="237"/>
      <c r="FK73" s="237"/>
      <c r="FL73" s="237"/>
      <c r="FM73" s="237"/>
      <c r="FN73" s="237"/>
      <c r="FO73" s="237"/>
      <c r="FP73" s="237"/>
      <c r="FQ73" s="237"/>
      <c r="FR73" s="237"/>
      <c r="FS73" s="237"/>
      <c r="FT73" s="237"/>
      <c r="FU73" s="237"/>
      <c r="FV73" s="237"/>
      <c r="FW73" s="237"/>
      <c r="FX73" s="237"/>
      <c r="FY73" s="237"/>
      <c r="FZ73" s="237"/>
      <c r="GA73" s="237"/>
      <c r="GB73" s="237"/>
      <c r="GC73" s="237"/>
      <c r="GD73" s="237"/>
      <c r="GE73" s="237"/>
      <c r="GF73" s="237"/>
      <c r="GG73" s="237"/>
      <c r="GH73" s="237"/>
      <c r="GI73" s="237"/>
      <c r="GJ73" s="237"/>
      <c r="GK73" s="237"/>
      <c r="GL73" s="237"/>
      <c r="GM73" s="237"/>
      <c r="GN73" s="237"/>
      <c r="GO73" s="237"/>
      <c r="GP73" s="237"/>
      <c r="GQ73" s="237"/>
      <c r="GR73" s="237"/>
      <c r="GS73" s="237"/>
      <c r="GT73" s="237"/>
      <c r="GU73" s="237"/>
      <c r="GV73" s="237"/>
      <c r="GW73" s="237"/>
      <c r="GX73" s="237"/>
      <c r="GY73" s="237"/>
      <c r="GZ73" s="237"/>
      <c r="HA73" s="237"/>
      <c r="HB73" s="237"/>
      <c r="HC73" s="237"/>
      <c r="HD73" s="237"/>
      <c r="HE73" s="237"/>
      <c r="HF73" s="237"/>
      <c r="HG73" s="237"/>
      <c r="HH73" s="237"/>
      <c r="HI73" s="237"/>
      <c r="HJ73" s="237"/>
      <c r="HK73" s="237"/>
      <c r="HL73" s="237"/>
      <c r="HM73" s="237"/>
      <c r="HN73" s="237"/>
      <c r="HO73" s="237"/>
      <c r="HP73" s="237"/>
      <c r="HQ73" s="237"/>
      <c r="HR73" s="237"/>
      <c r="HS73" s="237"/>
      <c r="HT73" s="237"/>
      <c r="HU73" s="237"/>
    </row>
    <row r="74" spans="1:229">
      <c r="A74" s="228"/>
      <c r="B74" s="228"/>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37"/>
      <c r="AB74" s="237"/>
      <c r="AC74" s="237"/>
      <c r="AD74" s="237"/>
      <c r="AE74" s="237"/>
      <c r="AF74" s="237"/>
      <c r="AG74" s="237"/>
      <c r="AH74" s="237"/>
      <c r="AI74" s="237"/>
      <c r="AJ74" s="237"/>
      <c r="AK74" s="237"/>
      <c r="AL74" s="237"/>
      <c r="AM74" s="237"/>
      <c r="AN74" s="237"/>
      <c r="AO74" s="237"/>
      <c r="AP74" s="237"/>
      <c r="AQ74" s="237"/>
      <c r="AR74" s="237"/>
      <c r="AS74" s="237"/>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37"/>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37"/>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HU74" s="237"/>
    </row>
    <row r="75" spans="1:229">
      <c r="A75" s="228"/>
      <c r="B75" s="228"/>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37"/>
      <c r="AB75" s="237"/>
      <c r="AC75" s="237"/>
      <c r="AD75" s="237"/>
      <c r="AE75" s="237"/>
      <c r="AF75" s="237"/>
      <c r="AG75" s="237"/>
      <c r="AH75" s="237"/>
      <c r="AI75" s="237"/>
      <c r="AJ75" s="237"/>
      <c r="AK75" s="237"/>
      <c r="AL75" s="237"/>
      <c r="AM75" s="237"/>
      <c r="AN75" s="237"/>
      <c r="AO75" s="237"/>
      <c r="AP75" s="237"/>
      <c r="AQ75" s="237"/>
      <c r="AR75" s="237"/>
      <c r="AS75" s="237"/>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37"/>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37"/>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HU75" s="237"/>
    </row>
    <row r="76" spans="1:229">
      <c r="A76" s="228"/>
      <c r="B76" s="228"/>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37"/>
      <c r="AB76" s="237"/>
      <c r="AC76" s="237"/>
      <c r="AD76" s="237"/>
      <c r="AE76" s="237"/>
      <c r="AF76" s="237"/>
      <c r="AG76" s="237"/>
      <c r="AH76" s="237"/>
      <c r="AI76" s="237"/>
      <c r="AJ76" s="237"/>
      <c r="AK76" s="237"/>
      <c r="AL76" s="237"/>
      <c r="AM76" s="237"/>
      <c r="AN76" s="237"/>
      <c r="AO76" s="237"/>
      <c r="AP76" s="237"/>
      <c r="AQ76" s="237"/>
      <c r="AR76" s="237"/>
      <c r="AS76" s="237"/>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37"/>
      <c r="CQ76" s="237"/>
      <c r="CR76" s="237"/>
      <c r="CS76" s="237"/>
      <c r="CT76" s="237"/>
      <c r="CU76" s="237"/>
      <c r="CV76" s="237"/>
      <c r="CW76" s="237"/>
      <c r="CX76" s="237"/>
      <c r="CY76" s="237"/>
      <c r="CZ76" s="237"/>
      <c r="DA76" s="237"/>
      <c r="DB76" s="237"/>
      <c r="DC76" s="237"/>
      <c r="DD76" s="237"/>
      <c r="DE76" s="237"/>
      <c r="DF76" s="237"/>
      <c r="DG76" s="237"/>
      <c r="DH76" s="237"/>
      <c r="DI76" s="237"/>
      <c r="DJ76" s="237"/>
      <c r="DK76" s="237"/>
      <c r="DL76" s="237"/>
      <c r="DM76" s="237"/>
      <c r="DN76" s="237"/>
      <c r="DO76" s="237"/>
      <c r="DP76" s="237"/>
      <c r="DQ76" s="237"/>
      <c r="DR76" s="237"/>
      <c r="DS76" s="237"/>
      <c r="DT76" s="237"/>
      <c r="DU76" s="237"/>
      <c r="DV76" s="237"/>
      <c r="DW76" s="237"/>
      <c r="DX76" s="237"/>
      <c r="DY76" s="237"/>
      <c r="DZ76" s="237"/>
      <c r="EA76" s="237"/>
      <c r="EB76" s="237"/>
      <c r="EC76" s="237"/>
      <c r="ED76" s="237"/>
      <c r="EE76" s="237"/>
      <c r="EF76" s="237"/>
      <c r="EG76" s="237"/>
      <c r="EH76" s="237"/>
      <c r="EI76" s="237"/>
      <c r="EJ76" s="237"/>
      <c r="EK76" s="237"/>
      <c r="EL76" s="237"/>
      <c r="EM76" s="237"/>
      <c r="EN76" s="237"/>
      <c r="EO76" s="237"/>
      <c r="EP76" s="237"/>
      <c r="EQ76" s="237"/>
      <c r="ER76" s="237"/>
      <c r="ES76" s="237"/>
      <c r="ET76" s="237"/>
      <c r="EU76" s="237"/>
      <c r="EV76" s="237"/>
      <c r="EW76" s="237"/>
      <c r="EX76" s="237"/>
      <c r="EY76" s="237"/>
      <c r="EZ76" s="237"/>
      <c r="FA76" s="237"/>
      <c r="FB76" s="237"/>
      <c r="FC76" s="237"/>
      <c r="FD76" s="237"/>
      <c r="FE76" s="237"/>
      <c r="FF76" s="237"/>
      <c r="FG76" s="237"/>
      <c r="FH76" s="237"/>
      <c r="FI76" s="237"/>
      <c r="FJ76" s="237"/>
      <c r="FK76" s="237"/>
      <c r="FL76" s="237"/>
      <c r="FM76" s="237"/>
      <c r="FN76" s="237"/>
      <c r="FO76" s="237"/>
      <c r="FP76" s="237"/>
      <c r="FQ76" s="237"/>
      <c r="FR76" s="237"/>
      <c r="FS76" s="237"/>
      <c r="FT76" s="237"/>
      <c r="FU76" s="237"/>
      <c r="FV76" s="237"/>
      <c r="FW76" s="237"/>
      <c r="FX76" s="237"/>
      <c r="FY76" s="237"/>
      <c r="FZ76" s="237"/>
      <c r="GA76" s="237"/>
      <c r="GB76" s="237"/>
      <c r="GC76" s="237"/>
      <c r="GD76" s="237"/>
      <c r="GE76" s="237"/>
      <c r="GF76" s="237"/>
      <c r="GG76" s="237"/>
      <c r="GH76" s="237"/>
      <c r="GI76" s="237"/>
      <c r="GJ76" s="237"/>
      <c r="GK76" s="237"/>
      <c r="GL76" s="237"/>
      <c r="GM76" s="237"/>
      <c r="GN76" s="237"/>
      <c r="GO76" s="237"/>
      <c r="GP76" s="237"/>
      <c r="GQ76" s="237"/>
      <c r="GR76" s="237"/>
      <c r="GS76" s="237"/>
      <c r="GT76" s="237"/>
      <c r="GU76" s="237"/>
      <c r="GV76" s="237"/>
      <c r="GW76" s="237"/>
      <c r="GX76" s="237"/>
      <c r="GY76" s="237"/>
      <c r="GZ76" s="237"/>
      <c r="HA76" s="237"/>
      <c r="HB76" s="237"/>
      <c r="HC76" s="237"/>
      <c r="HD76" s="237"/>
      <c r="HE76" s="237"/>
      <c r="HF76" s="237"/>
      <c r="HG76" s="237"/>
      <c r="HH76" s="237"/>
      <c r="HI76" s="237"/>
      <c r="HJ76" s="237"/>
      <c r="HK76" s="237"/>
      <c r="HL76" s="237"/>
      <c r="HM76" s="237"/>
      <c r="HN76" s="237"/>
      <c r="HO76" s="237"/>
      <c r="HP76" s="237"/>
      <c r="HQ76" s="237"/>
      <c r="HR76" s="237"/>
      <c r="HS76" s="237"/>
      <c r="HT76" s="237"/>
      <c r="HU76" s="237"/>
    </row>
    <row r="77" spans="1:229">
      <c r="A77" s="228"/>
      <c r="B77" s="228"/>
      <c r="C77" s="228"/>
      <c r="D77" s="228"/>
      <c r="E77" s="228"/>
      <c r="F77" s="228"/>
      <c r="G77" s="228"/>
      <c r="H77" s="228"/>
      <c r="I77" s="228"/>
      <c r="J77" s="228"/>
      <c r="K77" s="228"/>
      <c r="L77" s="228"/>
      <c r="M77" s="228"/>
      <c r="N77" s="228"/>
      <c r="O77" s="228"/>
      <c r="P77" s="228"/>
      <c r="Q77" s="228"/>
      <c r="R77" s="228"/>
      <c r="S77" s="228"/>
      <c r="T77" s="228"/>
      <c r="U77" s="228"/>
      <c r="V77" s="228"/>
      <c r="W77" s="228"/>
      <c r="X77" s="228"/>
      <c r="Y77" s="228"/>
      <c r="Z77" s="228"/>
      <c r="AA77" s="237"/>
      <c r="AB77" s="237"/>
      <c r="AC77" s="237"/>
      <c r="AD77" s="237"/>
      <c r="AE77" s="237"/>
      <c r="AF77" s="237"/>
      <c r="AG77" s="237"/>
      <c r="AH77" s="237"/>
      <c r="AI77" s="237"/>
      <c r="AJ77" s="237"/>
      <c r="AK77" s="237"/>
      <c r="AL77" s="237"/>
      <c r="AM77" s="237"/>
      <c r="AN77" s="237"/>
      <c r="AO77" s="237"/>
      <c r="AP77" s="237"/>
      <c r="AQ77" s="237"/>
      <c r="AR77" s="237"/>
      <c r="AS77" s="237"/>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37"/>
      <c r="CQ77" s="237"/>
      <c r="CR77" s="237"/>
      <c r="CS77" s="237"/>
      <c r="CT77" s="237"/>
      <c r="CU77" s="237"/>
      <c r="CV77" s="237"/>
      <c r="CW77" s="237"/>
      <c r="CX77" s="237"/>
      <c r="CY77" s="237"/>
      <c r="CZ77" s="237"/>
      <c r="DA77" s="237"/>
      <c r="DB77" s="237"/>
      <c r="DC77" s="237"/>
      <c r="DD77" s="237"/>
      <c r="DE77" s="237"/>
      <c r="DF77" s="237"/>
      <c r="DG77" s="237"/>
      <c r="DH77" s="237"/>
      <c r="DI77" s="237"/>
      <c r="DJ77" s="237"/>
      <c r="DK77" s="237"/>
      <c r="DL77" s="237"/>
      <c r="DM77" s="237"/>
      <c r="DN77" s="237"/>
      <c r="DO77" s="237"/>
      <c r="DP77" s="237"/>
      <c r="DQ77" s="237"/>
      <c r="DR77" s="237"/>
      <c r="DS77" s="237"/>
      <c r="DT77" s="237"/>
      <c r="DU77" s="237"/>
      <c r="DV77" s="237"/>
      <c r="DW77" s="237"/>
      <c r="DX77" s="237"/>
      <c r="DY77" s="237"/>
      <c r="DZ77" s="237"/>
      <c r="EA77" s="237"/>
      <c r="EB77" s="237"/>
      <c r="EC77" s="237"/>
      <c r="ED77" s="237"/>
      <c r="EE77" s="237"/>
      <c r="EF77" s="237"/>
      <c r="EG77" s="237"/>
      <c r="EH77" s="237"/>
      <c r="EI77" s="237"/>
      <c r="EJ77" s="237"/>
      <c r="EK77" s="237"/>
      <c r="EL77" s="237"/>
      <c r="EM77" s="237"/>
      <c r="EN77" s="237"/>
      <c r="EO77" s="237"/>
      <c r="EP77" s="237"/>
      <c r="EQ77" s="237"/>
      <c r="ER77" s="237"/>
      <c r="ES77" s="237"/>
      <c r="ET77" s="237"/>
      <c r="EU77" s="237"/>
      <c r="EV77" s="237"/>
      <c r="EW77" s="237"/>
      <c r="EX77" s="237"/>
      <c r="EY77" s="237"/>
      <c r="EZ77" s="237"/>
      <c r="FA77" s="237"/>
      <c r="FB77" s="237"/>
      <c r="FC77" s="237"/>
      <c r="FD77" s="237"/>
      <c r="FE77" s="237"/>
      <c r="FF77" s="237"/>
      <c r="FG77" s="237"/>
      <c r="FH77" s="237"/>
      <c r="FI77" s="237"/>
      <c r="FJ77" s="237"/>
      <c r="FK77" s="237"/>
      <c r="FL77" s="237"/>
      <c r="FM77" s="237"/>
      <c r="FN77" s="237"/>
      <c r="FO77" s="237"/>
      <c r="FP77" s="237"/>
      <c r="FQ77" s="237"/>
      <c r="FR77" s="237"/>
      <c r="FS77" s="237"/>
      <c r="FT77" s="237"/>
      <c r="FU77" s="237"/>
      <c r="FV77" s="237"/>
      <c r="FW77" s="237"/>
      <c r="FX77" s="237"/>
      <c r="FY77" s="237"/>
      <c r="FZ77" s="237"/>
      <c r="GA77" s="237"/>
      <c r="GB77" s="237"/>
      <c r="GC77" s="237"/>
      <c r="GD77" s="237"/>
      <c r="GE77" s="237"/>
      <c r="GF77" s="237"/>
      <c r="GG77" s="237"/>
      <c r="GH77" s="237"/>
      <c r="GI77" s="237"/>
      <c r="GJ77" s="237"/>
      <c r="GK77" s="237"/>
      <c r="GL77" s="237"/>
      <c r="GM77" s="237"/>
      <c r="GN77" s="237"/>
      <c r="GO77" s="237"/>
      <c r="GP77" s="237"/>
      <c r="GQ77" s="237"/>
      <c r="GR77" s="237"/>
      <c r="GS77" s="237"/>
      <c r="GT77" s="237"/>
      <c r="GU77" s="237"/>
      <c r="GV77" s="237"/>
      <c r="GW77" s="237"/>
      <c r="GX77" s="237"/>
      <c r="GY77" s="237"/>
      <c r="GZ77" s="237"/>
      <c r="HA77" s="237"/>
      <c r="HB77" s="237"/>
      <c r="HC77" s="237"/>
      <c r="HD77" s="237"/>
      <c r="HE77" s="237"/>
      <c r="HF77" s="237"/>
      <c r="HG77" s="237"/>
      <c r="HH77" s="237"/>
      <c r="HI77" s="237"/>
      <c r="HJ77" s="237"/>
      <c r="HK77" s="237"/>
      <c r="HL77" s="237"/>
      <c r="HM77" s="237"/>
      <c r="HN77" s="237"/>
      <c r="HO77" s="237"/>
      <c r="HP77" s="237"/>
      <c r="HQ77" s="237"/>
      <c r="HR77" s="237"/>
      <c r="HS77" s="237"/>
      <c r="HT77" s="237"/>
      <c r="HU77" s="237"/>
    </row>
    <row r="78" spans="1:229">
      <c r="A78" s="228"/>
      <c r="B78" s="228"/>
      <c r="C78" s="228"/>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37"/>
      <c r="AB78" s="237"/>
      <c r="AC78" s="237"/>
      <c r="AD78" s="237"/>
      <c r="AE78" s="237"/>
      <c r="AF78" s="237"/>
      <c r="AG78" s="237"/>
      <c r="AH78" s="237"/>
      <c r="AI78" s="237"/>
      <c r="AJ78" s="237"/>
      <c r="AK78" s="237"/>
      <c r="AL78" s="237"/>
      <c r="AM78" s="237"/>
      <c r="AN78" s="237"/>
      <c r="AO78" s="237"/>
      <c r="AP78" s="237"/>
      <c r="AQ78" s="237"/>
      <c r="AR78" s="237"/>
      <c r="AS78" s="237"/>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37"/>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37"/>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HU78" s="237"/>
    </row>
    <row r="79" spans="1:229">
      <c r="A79" s="228"/>
      <c r="B79" s="228"/>
      <c r="C79" s="228"/>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37"/>
      <c r="AB79" s="237"/>
      <c r="AC79" s="237"/>
      <c r="AD79" s="237"/>
      <c r="AE79" s="237"/>
      <c r="AF79" s="237"/>
      <c r="AG79" s="237"/>
      <c r="AH79" s="237"/>
      <c r="AI79" s="237"/>
      <c r="AJ79" s="237"/>
      <c r="AK79" s="237"/>
      <c r="AL79" s="237"/>
      <c r="AM79" s="237"/>
      <c r="AN79" s="237"/>
      <c r="AO79" s="237"/>
      <c r="AP79" s="237"/>
      <c r="AQ79" s="237"/>
      <c r="AR79" s="237"/>
      <c r="AS79" s="237"/>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37"/>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37"/>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HU79" s="237"/>
    </row>
    <row r="80" spans="1:229">
      <c r="A80" s="228"/>
      <c r="B80" s="228"/>
      <c r="C80" s="228"/>
      <c r="D80" s="228"/>
      <c r="E80" s="228"/>
      <c r="F80" s="228"/>
      <c r="G80" s="228"/>
      <c r="H80" s="228"/>
      <c r="I80" s="228"/>
      <c r="J80" s="228"/>
      <c r="K80" s="228"/>
      <c r="L80" s="228"/>
      <c r="M80" s="228"/>
      <c r="N80" s="228"/>
      <c r="O80" s="228"/>
      <c r="P80" s="228"/>
      <c r="Q80" s="228"/>
      <c r="R80" s="228"/>
      <c r="S80" s="228"/>
      <c r="T80" s="228"/>
      <c r="U80" s="228"/>
      <c r="V80" s="228"/>
      <c r="W80" s="228"/>
      <c r="X80" s="228"/>
      <c r="Y80" s="228"/>
      <c r="Z80" s="228"/>
      <c r="AA80" s="237"/>
      <c r="AB80" s="237"/>
      <c r="AC80" s="237"/>
      <c r="AD80" s="237"/>
      <c r="AE80" s="237"/>
      <c r="AF80" s="237"/>
      <c r="AG80" s="237"/>
      <c r="AH80" s="237"/>
      <c r="AI80" s="237"/>
      <c r="AJ80" s="237"/>
      <c r="AK80" s="237"/>
      <c r="AL80" s="237"/>
      <c r="AM80" s="237"/>
      <c r="AN80" s="237"/>
      <c r="AO80" s="237"/>
      <c r="AP80" s="237"/>
      <c r="AQ80" s="237"/>
      <c r="AR80" s="237"/>
      <c r="AS80" s="237"/>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37"/>
      <c r="CQ80" s="237"/>
      <c r="CR80" s="237"/>
      <c r="CS80" s="237"/>
      <c r="CT80" s="237"/>
      <c r="CU80" s="237"/>
      <c r="CV80" s="237"/>
      <c r="CW80" s="237"/>
      <c r="CX80" s="237"/>
      <c r="CY80" s="237"/>
      <c r="CZ80" s="237"/>
      <c r="DA80" s="237"/>
      <c r="DB80" s="237"/>
      <c r="DC80" s="237"/>
      <c r="DD80" s="237"/>
      <c r="DE80" s="237"/>
      <c r="DF80" s="237"/>
      <c r="DG80" s="237"/>
      <c r="DH80" s="237"/>
      <c r="DI80" s="237"/>
      <c r="DJ80" s="237"/>
      <c r="DK80" s="237"/>
      <c r="DL80" s="237"/>
      <c r="DM80" s="237"/>
      <c r="DN80" s="237"/>
      <c r="DO80" s="237"/>
      <c r="DP80" s="237"/>
      <c r="DQ80" s="237"/>
      <c r="DR80" s="237"/>
      <c r="DS80" s="237"/>
      <c r="DT80" s="237"/>
      <c r="DU80" s="237"/>
      <c r="DV80" s="237"/>
      <c r="DW80" s="237"/>
      <c r="DX80" s="237"/>
      <c r="DY80" s="237"/>
      <c r="DZ80" s="237"/>
      <c r="EA80" s="237"/>
      <c r="EB80" s="237"/>
      <c r="EC80" s="237"/>
      <c r="ED80" s="237"/>
      <c r="EE80" s="237"/>
      <c r="EF80" s="237"/>
      <c r="EG80" s="237"/>
      <c r="EH80" s="237"/>
      <c r="EI80" s="237"/>
      <c r="EJ80" s="237"/>
      <c r="EK80" s="237"/>
      <c r="EL80" s="237"/>
      <c r="EM80" s="237"/>
      <c r="EN80" s="237"/>
      <c r="EO80" s="237"/>
      <c r="EP80" s="237"/>
      <c r="EQ80" s="237"/>
      <c r="ER80" s="237"/>
      <c r="ES80" s="237"/>
      <c r="ET80" s="237"/>
      <c r="EU80" s="237"/>
      <c r="EV80" s="237"/>
      <c r="EW80" s="237"/>
      <c r="EX80" s="237"/>
      <c r="EY80" s="237"/>
      <c r="EZ80" s="237"/>
      <c r="FA80" s="237"/>
      <c r="FB80" s="237"/>
      <c r="FC80" s="237"/>
      <c r="FD80" s="237"/>
      <c r="FE80" s="237"/>
      <c r="FF80" s="237"/>
      <c r="FG80" s="237"/>
      <c r="FH80" s="237"/>
      <c r="FI80" s="237"/>
      <c r="FJ80" s="237"/>
      <c r="FK80" s="237"/>
      <c r="FL80" s="237"/>
      <c r="FM80" s="237"/>
      <c r="FN80" s="237"/>
      <c r="FO80" s="237"/>
      <c r="FP80" s="237"/>
      <c r="FQ80" s="237"/>
      <c r="FR80" s="237"/>
      <c r="FS80" s="237"/>
      <c r="FT80" s="237"/>
      <c r="FU80" s="237"/>
      <c r="FV80" s="237"/>
      <c r="FW80" s="237"/>
      <c r="FX80" s="237"/>
      <c r="FY80" s="237"/>
      <c r="FZ80" s="237"/>
      <c r="GA80" s="237"/>
      <c r="GB80" s="237"/>
      <c r="GC80" s="237"/>
      <c r="GD80" s="237"/>
      <c r="GE80" s="237"/>
      <c r="GF80" s="237"/>
      <c r="GG80" s="237"/>
      <c r="GH80" s="237"/>
      <c r="GI80" s="237"/>
      <c r="GJ80" s="237"/>
      <c r="GK80" s="237"/>
      <c r="GL80" s="237"/>
      <c r="GM80" s="237"/>
      <c r="GN80" s="237"/>
      <c r="GO80" s="237"/>
      <c r="GP80" s="237"/>
      <c r="GQ80" s="237"/>
      <c r="GR80" s="237"/>
      <c r="GS80" s="237"/>
      <c r="GT80" s="237"/>
      <c r="GU80" s="237"/>
      <c r="GV80" s="237"/>
      <c r="GW80" s="237"/>
      <c r="GX80" s="237"/>
      <c r="GY80" s="237"/>
      <c r="GZ80" s="237"/>
      <c r="HA80" s="237"/>
      <c r="HB80" s="237"/>
      <c r="HC80" s="237"/>
      <c r="HD80" s="237"/>
      <c r="HE80" s="237"/>
      <c r="HF80" s="237"/>
      <c r="HG80" s="237"/>
      <c r="HH80" s="237"/>
      <c r="HI80" s="237"/>
      <c r="HJ80" s="237"/>
      <c r="HK80" s="237"/>
      <c r="HL80" s="237"/>
      <c r="HM80" s="237"/>
      <c r="HN80" s="237"/>
      <c r="HO80" s="237"/>
      <c r="HP80" s="237"/>
      <c r="HQ80" s="237"/>
      <c r="HR80" s="237"/>
      <c r="HS80" s="237"/>
      <c r="HT80" s="237"/>
      <c r="HU80" s="237"/>
    </row>
    <row r="81" spans="1:26">
      <c r="A81" s="228"/>
      <c r="B81" s="228"/>
      <c r="C81" s="228"/>
      <c r="D81" s="228"/>
      <c r="E81" s="228"/>
      <c r="F81" s="228"/>
      <c r="G81" s="228"/>
      <c r="H81" s="228"/>
      <c r="I81" s="228"/>
      <c r="J81" s="228"/>
      <c r="K81" s="228"/>
      <c r="L81" s="228"/>
      <c r="M81" s="228"/>
      <c r="N81" s="228"/>
      <c r="O81" s="228"/>
      <c r="P81" s="228"/>
      <c r="Q81" s="228"/>
      <c r="R81" s="228"/>
      <c r="S81" s="228"/>
      <c r="T81" s="228"/>
      <c r="U81" s="228"/>
      <c r="V81" s="228"/>
      <c r="W81" s="228"/>
      <c r="X81" s="228"/>
      <c r="Y81" s="228"/>
      <c r="Z81" s="228"/>
    </row>
    <row r="82" spans="1:26">
      <c r="A82" s="228"/>
      <c r="B82" s="228"/>
      <c r="C82" s="228"/>
      <c r="D82" s="228"/>
      <c r="E82" s="228"/>
      <c r="F82" s="228"/>
      <c r="G82" s="228"/>
      <c r="H82" s="228"/>
      <c r="I82" s="228"/>
      <c r="J82" s="228"/>
      <c r="K82" s="228"/>
      <c r="L82" s="228"/>
      <c r="M82" s="228"/>
      <c r="N82" s="228"/>
      <c r="O82" s="228"/>
      <c r="P82" s="228"/>
      <c r="Q82" s="228"/>
      <c r="R82" s="228"/>
      <c r="S82" s="228"/>
      <c r="T82" s="228"/>
      <c r="U82" s="228"/>
      <c r="V82" s="228"/>
      <c r="W82" s="228"/>
      <c r="X82" s="228"/>
      <c r="Y82" s="228"/>
      <c r="Z82" s="228"/>
    </row>
    <row r="83" spans="1:26">
      <c r="A83" s="228"/>
      <c r="B83" s="228"/>
      <c r="C83" s="228"/>
      <c r="D83" s="228"/>
      <c r="E83" s="228"/>
      <c r="F83" s="228"/>
      <c r="G83" s="228"/>
      <c r="H83" s="228"/>
      <c r="I83" s="228"/>
      <c r="J83" s="228"/>
      <c r="K83" s="228"/>
      <c r="L83" s="228"/>
      <c r="M83" s="228"/>
      <c r="N83" s="228"/>
      <c r="O83" s="228"/>
      <c r="P83" s="228"/>
      <c r="Q83" s="228"/>
      <c r="R83" s="228"/>
      <c r="S83" s="228"/>
      <c r="T83" s="228"/>
      <c r="U83" s="228"/>
      <c r="V83" s="228"/>
      <c r="W83" s="228"/>
      <c r="X83" s="228"/>
      <c r="Y83" s="228"/>
      <c r="Z83" s="228"/>
    </row>
    <row r="84" spans="1:26">
      <c r="A84" s="228"/>
      <c r="B84" s="228"/>
      <c r="C84" s="228"/>
      <c r="D84" s="228"/>
      <c r="E84" s="228"/>
      <c r="F84" s="228"/>
      <c r="G84" s="228"/>
      <c r="H84" s="228"/>
      <c r="I84" s="228"/>
      <c r="J84" s="228"/>
      <c r="K84" s="228"/>
      <c r="L84" s="228"/>
      <c r="M84" s="228"/>
      <c r="N84" s="228"/>
      <c r="O84" s="228"/>
      <c r="P84" s="228"/>
      <c r="Q84" s="228"/>
      <c r="R84" s="228"/>
      <c r="S84" s="228"/>
      <c r="T84" s="228"/>
      <c r="U84" s="228"/>
      <c r="V84" s="228"/>
      <c r="W84" s="228"/>
      <c r="X84" s="228"/>
      <c r="Y84" s="228"/>
      <c r="Z84" s="228"/>
    </row>
    <row r="85" spans="1:26">
      <c r="A85" s="228"/>
      <c r="B85" s="228"/>
      <c r="C85" s="228"/>
      <c r="D85" s="228"/>
      <c r="E85" s="228"/>
      <c r="F85" s="228"/>
      <c r="G85" s="228"/>
      <c r="H85" s="228"/>
      <c r="I85" s="228"/>
      <c r="J85" s="228"/>
      <c r="K85" s="228"/>
      <c r="L85" s="228"/>
      <c r="M85" s="228"/>
      <c r="N85" s="228"/>
      <c r="O85" s="228"/>
      <c r="P85" s="228"/>
      <c r="Q85" s="228"/>
      <c r="R85" s="228"/>
      <c r="S85" s="228"/>
      <c r="T85" s="228"/>
      <c r="U85" s="228"/>
      <c r="V85" s="228"/>
      <c r="W85" s="228"/>
      <c r="X85" s="228"/>
      <c r="Y85" s="228"/>
      <c r="Z85" s="228"/>
    </row>
    <row r="86" spans="1:26">
      <c r="A86" s="228"/>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row>
    <row r="87" spans="1:26">
      <c r="A87" s="228"/>
      <c r="B87" s="228"/>
      <c r="C87" s="228"/>
      <c r="D87" s="228"/>
      <c r="E87" s="228"/>
      <c r="F87" s="228"/>
      <c r="G87" s="228"/>
      <c r="H87" s="228"/>
      <c r="I87" s="228"/>
      <c r="J87" s="228"/>
      <c r="K87" s="228"/>
      <c r="L87" s="228"/>
      <c r="M87" s="228"/>
      <c r="N87" s="228"/>
      <c r="O87" s="228"/>
      <c r="P87" s="228"/>
      <c r="Q87" s="228"/>
      <c r="R87" s="228"/>
      <c r="S87" s="228"/>
      <c r="T87" s="228"/>
      <c r="U87" s="228"/>
      <c r="V87" s="228"/>
      <c r="W87" s="228"/>
      <c r="X87" s="228"/>
      <c r="Y87" s="228"/>
      <c r="Z87" s="228"/>
    </row>
    <row r="88" spans="1:26">
      <c r="A88" s="228"/>
      <c r="B88" s="228"/>
      <c r="C88" s="228"/>
      <c r="D88" s="228"/>
      <c r="E88" s="228"/>
      <c r="F88" s="228"/>
      <c r="G88" s="228"/>
      <c r="H88" s="228"/>
      <c r="I88" s="228"/>
      <c r="J88" s="228"/>
      <c r="K88" s="228"/>
      <c r="L88" s="228"/>
      <c r="M88" s="228"/>
      <c r="N88" s="228"/>
      <c r="O88" s="228"/>
      <c r="P88" s="228"/>
      <c r="Q88" s="228"/>
      <c r="R88" s="228"/>
      <c r="S88" s="228"/>
      <c r="T88" s="228"/>
      <c r="U88" s="228"/>
      <c r="V88" s="228"/>
      <c r="W88" s="228"/>
      <c r="X88" s="228"/>
      <c r="Y88" s="228"/>
      <c r="Z88" s="228"/>
    </row>
    <row r="89" spans="1:26">
      <c r="A89" s="228"/>
      <c r="B89" s="228"/>
      <c r="C89" s="228"/>
      <c r="D89" s="228"/>
      <c r="E89" s="228"/>
      <c r="F89" s="228"/>
      <c r="G89" s="228"/>
      <c r="H89" s="228"/>
      <c r="I89" s="228"/>
      <c r="J89" s="228"/>
      <c r="K89" s="228"/>
      <c r="L89" s="228"/>
      <c r="M89" s="228"/>
      <c r="N89" s="228"/>
      <c r="O89" s="228"/>
      <c r="P89" s="228"/>
      <c r="Q89" s="228"/>
      <c r="R89" s="228"/>
      <c r="S89" s="228"/>
      <c r="T89" s="228"/>
      <c r="U89" s="228"/>
      <c r="V89" s="228"/>
      <c r="W89" s="228"/>
      <c r="X89" s="228"/>
      <c r="Y89" s="228"/>
      <c r="Z89" s="228"/>
    </row>
    <row r="90" spans="1:26">
      <c r="A90" s="228"/>
      <c r="B90" s="228"/>
      <c r="C90" s="228"/>
      <c r="D90" s="228"/>
      <c r="E90" s="228"/>
      <c r="F90" s="228"/>
      <c r="G90" s="228"/>
      <c r="H90" s="228"/>
      <c r="I90" s="228"/>
      <c r="J90" s="228"/>
      <c r="K90" s="228"/>
      <c r="L90" s="228"/>
      <c r="M90" s="228"/>
      <c r="N90" s="228"/>
      <c r="O90" s="228"/>
      <c r="P90" s="228"/>
      <c r="Q90" s="228"/>
      <c r="R90" s="228"/>
      <c r="S90" s="228"/>
      <c r="T90" s="228"/>
      <c r="U90" s="228"/>
      <c r="V90" s="228"/>
      <c r="W90" s="228"/>
      <c r="X90" s="228"/>
      <c r="Y90" s="228"/>
      <c r="Z90" s="228"/>
    </row>
    <row r="91" spans="1:26">
      <c r="A91" s="228"/>
      <c r="B91" s="228"/>
      <c r="C91" s="228"/>
      <c r="D91" s="228"/>
      <c r="E91" s="228"/>
      <c r="F91" s="228"/>
      <c r="G91" s="228"/>
      <c r="H91" s="228"/>
      <c r="I91" s="228"/>
      <c r="J91" s="228"/>
      <c r="K91" s="228"/>
      <c r="L91" s="228"/>
      <c r="M91" s="228"/>
      <c r="N91" s="228"/>
      <c r="O91" s="228"/>
      <c r="P91" s="228"/>
      <c r="Q91" s="228"/>
      <c r="R91" s="228"/>
      <c r="S91" s="228"/>
      <c r="T91" s="228"/>
      <c r="U91" s="228"/>
      <c r="V91" s="228"/>
      <c r="W91" s="228"/>
      <c r="X91" s="228"/>
      <c r="Y91" s="228"/>
      <c r="Z91" s="228"/>
    </row>
    <row r="92" spans="1:26">
      <c r="A92" s="228"/>
      <c r="B92" s="228"/>
      <c r="C92" s="228"/>
      <c r="D92" s="228"/>
      <c r="E92" s="228"/>
      <c r="F92" s="228"/>
      <c r="G92" s="228"/>
      <c r="H92" s="228"/>
      <c r="I92" s="228"/>
      <c r="J92" s="228"/>
      <c r="K92" s="228"/>
      <c r="L92" s="228"/>
      <c r="M92" s="228"/>
      <c r="N92" s="228"/>
      <c r="O92" s="228"/>
      <c r="P92" s="228"/>
      <c r="Q92" s="228"/>
      <c r="R92" s="228"/>
      <c r="S92" s="228"/>
      <c r="T92" s="228"/>
      <c r="U92" s="228"/>
      <c r="V92" s="228"/>
      <c r="W92" s="228"/>
      <c r="X92" s="228"/>
      <c r="Y92" s="228"/>
      <c r="Z92" s="228"/>
    </row>
    <row r="93" spans="1:26">
      <c r="A93" s="228"/>
      <c r="B93" s="228"/>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8"/>
    </row>
    <row r="94" spans="1:26">
      <c r="A94" s="228"/>
      <c r="B94" s="228"/>
      <c r="C94" s="228"/>
      <c r="D94" s="228"/>
      <c r="E94" s="228"/>
      <c r="F94" s="228"/>
      <c r="G94" s="228"/>
      <c r="H94" s="228"/>
      <c r="I94" s="228"/>
      <c r="J94" s="228"/>
      <c r="K94" s="228"/>
      <c r="L94" s="228"/>
      <c r="M94" s="228"/>
      <c r="N94" s="228"/>
      <c r="O94" s="228"/>
      <c r="P94" s="228"/>
      <c r="Q94" s="228"/>
      <c r="R94" s="228"/>
      <c r="S94" s="228"/>
      <c r="T94" s="228"/>
      <c r="U94" s="228"/>
      <c r="V94" s="228"/>
      <c r="W94" s="228"/>
      <c r="X94" s="228"/>
      <c r="Y94" s="228"/>
      <c r="Z94" s="228"/>
    </row>
    <row r="95" spans="1:26">
      <c r="A95" s="228"/>
      <c r="B95" s="228"/>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8"/>
    </row>
    <row r="96" spans="1:26">
      <c r="A96" s="228"/>
      <c r="B96" s="228"/>
      <c r="C96" s="228"/>
      <c r="D96" s="228"/>
      <c r="E96" s="228"/>
      <c r="F96" s="228"/>
      <c r="G96" s="228"/>
      <c r="H96" s="228"/>
      <c r="I96" s="228"/>
      <c r="J96" s="228"/>
      <c r="K96" s="228"/>
      <c r="L96" s="228"/>
      <c r="M96" s="228"/>
      <c r="N96" s="228"/>
      <c r="O96" s="228"/>
      <c r="P96" s="228"/>
      <c r="Q96" s="228"/>
      <c r="R96" s="228"/>
      <c r="S96" s="228"/>
      <c r="T96" s="228"/>
      <c r="U96" s="228"/>
      <c r="V96" s="228"/>
      <c r="W96" s="228"/>
      <c r="X96" s="228"/>
      <c r="Y96" s="228"/>
      <c r="Z96" s="228"/>
    </row>
    <row r="97" spans="1:26">
      <c r="A97" s="228"/>
      <c r="B97" s="228"/>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row>
    <row r="98" spans="1:26">
      <c r="A98" s="228"/>
      <c r="B98" s="228"/>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8"/>
    </row>
    <row r="99" spans="1:26">
      <c r="A99" s="228"/>
      <c r="B99" s="228"/>
      <c r="C99" s="228"/>
      <c r="D99" s="228"/>
      <c r="E99" s="228"/>
      <c r="F99" s="228"/>
      <c r="G99" s="228"/>
      <c r="H99" s="228"/>
      <c r="I99" s="228"/>
      <c r="J99" s="228"/>
      <c r="K99" s="228"/>
      <c r="L99" s="228"/>
      <c r="M99" s="228"/>
      <c r="N99" s="228"/>
      <c r="O99" s="228"/>
      <c r="P99" s="228"/>
      <c r="Q99" s="228"/>
      <c r="R99" s="228"/>
      <c r="S99" s="228"/>
      <c r="T99" s="228"/>
      <c r="U99" s="228"/>
      <c r="V99" s="228"/>
      <c r="W99" s="228"/>
      <c r="X99" s="228"/>
      <c r="Y99" s="228"/>
      <c r="Z99" s="228"/>
    </row>
    <row r="100" spans="1:26">
      <c r="A100" s="228"/>
      <c r="B100" s="228"/>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row>
    <row r="101" spans="1:26">
      <c r="A101" s="228"/>
      <c r="B101" s="228"/>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row>
    <row r="102" spans="1:26">
      <c r="A102" s="228"/>
      <c r="B102" s="228"/>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row>
    <row r="103" spans="1:26">
      <c r="A103" s="228"/>
      <c r="B103" s="228"/>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row>
    <row r="104" spans="1:26">
      <c r="A104" s="228"/>
      <c r="B104" s="228"/>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row>
    <row r="105" spans="1:26">
      <c r="A105" s="228"/>
      <c r="B105" s="228"/>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row>
    <row r="106" spans="1:26">
      <c r="A106" s="228"/>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row>
    <row r="107" spans="1:26">
      <c r="A107" s="228"/>
      <c r="B107" s="228"/>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1:26">
      <c r="A108" s="228"/>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row>
    <row r="109" spans="1:26">
      <c r="A109" s="228"/>
      <c r="B109" s="228"/>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row>
    <row r="110" spans="1:26">
      <c r="A110" s="228"/>
      <c r="B110" s="228"/>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row>
    <row r="111" spans="1:26">
      <c r="A111" s="228"/>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row>
    <row r="112" spans="1:26">
      <c r="A112" s="228"/>
      <c r="B112" s="228"/>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row>
    <row r="113" spans="1:26">
      <c r="A113" s="228"/>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row>
    <row r="114" spans="1:26">
      <c r="A114" s="228"/>
      <c r="B114" s="228"/>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row>
    <row r="115" spans="1:26">
      <c r="A115" s="228"/>
      <c r="B115" s="228"/>
      <c r="C115" s="22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row>
    <row r="116" spans="1:26">
      <c r="A116" s="228"/>
      <c r="B116" s="228"/>
      <c r="C116" s="22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row>
    <row r="117" spans="1:26">
      <c r="A117" s="228"/>
      <c r="B117" s="228"/>
      <c r="C117" s="22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row>
    <row r="118" spans="1:26">
      <c r="A118" s="228"/>
      <c r="B118" s="228"/>
      <c r="C118" s="22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row>
    <row r="119" spans="1:26">
      <c r="A119" s="228"/>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row>
    <row r="120" spans="1:26">
      <c r="A120" s="228"/>
      <c r="B120" s="228"/>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row>
    <row r="121" spans="1:26">
      <c r="A121" s="228"/>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row>
    <row r="122" spans="1:26">
      <c r="A122" s="228"/>
      <c r="B122" s="228"/>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row>
    <row r="123" spans="1:26">
      <c r="A123" s="228"/>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row>
    <row r="124" spans="1:26">
      <c r="A124" s="228"/>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row>
    <row r="125" spans="1:26">
      <c r="A125" s="228"/>
      <c r="B125" s="228"/>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row>
    <row r="126" spans="1:26">
      <c r="A126" s="228"/>
      <c r="B126" s="228"/>
      <c r="C126" s="22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c r="Z126" s="228"/>
    </row>
    <row r="127" spans="1:26">
      <c r="A127" s="228"/>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row>
    <row r="128" spans="1:26">
      <c r="A128" s="228"/>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row>
    <row r="129" spans="1:26">
      <c r="A129" s="228"/>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row>
    <row r="130" spans="1:26">
      <c r="A130" s="228"/>
      <c r="B130" s="228"/>
      <c r="C130" s="22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row>
    <row r="131" spans="1:26">
      <c r="A131" s="228"/>
      <c r="B131" s="228"/>
      <c r="C131" s="22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row>
    <row r="132" spans="1:26">
      <c r="A132" s="228"/>
      <c r="B132" s="228"/>
      <c r="C132" s="22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row>
    <row r="133" spans="1:26">
      <c r="A133" s="228"/>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row>
    <row r="134" spans="1:26">
      <c r="A134" s="228"/>
      <c r="B134" s="228"/>
      <c r="C134" s="22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row>
    <row r="135" spans="1:26">
      <c r="A135" s="228"/>
      <c r="B135" s="228"/>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row>
    <row r="136" spans="1:26">
      <c r="A136" s="228"/>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row>
    <row r="137" spans="1:26">
      <c r="A137" s="228"/>
      <c r="B137" s="228"/>
      <c r="C137" s="22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row>
    <row r="138" spans="1:26">
      <c r="A138" s="228"/>
      <c r="B138" s="228"/>
      <c r="C138" s="22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row>
    <row r="139" spans="1:26">
      <c r="A139" s="228"/>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row>
    <row r="140" spans="1:26">
      <c r="A140" s="228"/>
      <c r="B140" s="228"/>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row>
    <row r="141" spans="1:26">
      <c r="A141" s="228"/>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row>
    <row r="142" spans="1:26">
      <c r="A142" s="228"/>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row>
    <row r="143" spans="1:26">
      <c r="A143" s="228"/>
      <c r="B143" s="228"/>
      <c r="C143" s="22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row>
    <row r="144" spans="1:26">
      <c r="A144" s="228"/>
      <c r="B144" s="228"/>
      <c r="C144" s="22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row>
    <row r="145" spans="1:26">
      <c r="A145" s="228"/>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row>
    <row r="146" spans="1:26">
      <c r="A146" s="228"/>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row>
    <row r="147" spans="1:26">
      <c r="A147" s="228"/>
      <c r="B147" s="228"/>
      <c r="C147" s="22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c r="Z147" s="228"/>
    </row>
    <row r="148" spans="1:26">
      <c r="A148" s="228"/>
      <c r="B148" s="228"/>
      <c r="C148" s="22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c r="Z148" s="228"/>
    </row>
    <row r="149" spans="1:26">
      <c r="A149" s="228"/>
      <c r="B149" s="228"/>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row>
    <row r="150" spans="1:26">
      <c r="A150" s="228"/>
      <c r="B150" s="228"/>
      <c r="C150" s="22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row>
    <row r="151" spans="1:26">
      <c r="A151" s="228"/>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row>
    <row r="152" spans="1:26">
      <c r="A152" s="228"/>
      <c r="B152" s="228"/>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row>
    <row r="153" spans="1:26">
      <c r="A153" s="228"/>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row>
    <row r="154" spans="1:26">
      <c r="A154" s="228"/>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row>
    <row r="155" spans="1:26">
      <c r="A155" s="228"/>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row>
    <row r="156" spans="1:26">
      <c r="A156" s="228"/>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row>
    <row r="157" spans="1:26">
      <c r="A157" s="228"/>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row>
    <row r="158" spans="1:26">
      <c r="A158" s="228"/>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row>
    <row r="159" spans="1:26">
      <c r="A159" s="228"/>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row>
    <row r="160" spans="1:26">
      <c r="A160" s="228"/>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1:26">
      <c r="A161" s="228"/>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row>
    <row r="162" spans="1:26">
      <c r="A162" s="228"/>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row>
    <row r="163" spans="1:26">
      <c r="A163" s="228"/>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row>
    <row r="164" spans="1:26">
      <c r="A164" s="228"/>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row>
    <row r="165" spans="1:26">
      <c r="A165" s="228"/>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row>
    <row r="166" spans="1:26">
      <c r="A166" s="228"/>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row>
    <row r="167" spans="1:26">
      <c r="A167" s="228"/>
      <c r="B167" s="228"/>
      <c r="C167" s="22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row>
    <row r="168" spans="1:26">
      <c r="A168" s="228"/>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row>
    <row r="169" spans="1:26">
      <c r="A169" s="228"/>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row>
    <row r="170" spans="1:26">
      <c r="A170" s="228"/>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row>
    <row r="171" spans="1:26">
      <c r="A171" s="228"/>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row>
    <row r="172" spans="1:26">
      <c r="A172" s="228"/>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row>
    <row r="173" spans="1:26">
      <c r="A173" s="228"/>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row>
    <row r="174" spans="1:26">
      <c r="A174" s="228"/>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row>
    <row r="175" spans="1:26">
      <c r="A175" s="228"/>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row>
    <row r="176" spans="1:26">
      <c r="A176" s="228"/>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row>
    <row r="177" spans="1:26">
      <c r="A177" s="228"/>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row>
    <row r="178" spans="1:26">
      <c r="A178" s="228"/>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row>
    <row r="179" spans="1:26">
      <c r="A179" s="228"/>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row>
    <row r="180" spans="1:26">
      <c r="A180" s="228"/>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row>
    <row r="181" spans="1:26">
      <c r="A181" s="228"/>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row>
    <row r="182" spans="1:26">
      <c r="A182" s="228"/>
      <c r="B182" s="228"/>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row>
    <row r="183" spans="1:26">
      <c r="A183" s="228"/>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row>
    <row r="184" spans="1:26">
      <c r="A184" s="228"/>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row>
    <row r="185" spans="1:26">
      <c r="A185" s="228"/>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row>
    <row r="186" spans="1:26">
      <c r="A186" s="228"/>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row>
    <row r="187" spans="1:26">
      <c r="A187" s="228"/>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row>
    <row r="188" spans="1:26">
      <c r="A188" s="228"/>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row>
    <row r="189" spans="1:26">
      <c r="A189" s="228"/>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row>
    <row r="190" spans="1:26">
      <c r="A190" s="228"/>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row>
    <row r="191" spans="1:26">
      <c r="A191" s="228"/>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row>
    <row r="192" spans="1:26">
      <c r="A192" s="228"/>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row>
    <row r="193" spans="1:26">
      <c r="A193" s="228"/>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row>
    <row r="194" spans="1:26">
      <c r="A194" s="228"/>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row>
    <row r="195" spans="1:26">
      <c r="A195" s="228"/>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row>
    <row r="196" spans="1:26">
      <c r="A196" s="228"/>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row>
    <row r="197" spans="1:26">
      <c r="A197" s="228"/>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row>
    <row r="198" spans="1:26">
      <c r="A198" s="228"/>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row>
    <row r="199" spans="1:26">
      <c r="A199" s="228"/>
      <c r="B199" s="228"/>
      <c r="C199" s="22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row>
    <row r="200" spans="1:26">
      <c r="A200" s="228"/>
      <c r="B200" s="228"/>
      <c r="C200" s="22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row>
    <row r="201" spans="1:26">
      <c r="A201" s="228"/>
      <c r="B201" s="228"/>
      <c r="C201" s="22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row>
    <row r="202" spans="1:26">
      <c r="A202" s="228"/>
      <c r="B202" s="228"/>
      <c r="C202" s="22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row>
    <row r="203" spans="1:26">
      <c r="A203" s="228"/>
      <c r="B203" s="228"/>
      <c r="C203" s="22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row>
    <row r="204" spans="1:26">
      <c r="A204" s="228"/>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row>
    <row r="205" spans="1:26">
      <c r="A205" s="228"/>
      <c r="B205" s="228"/>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row>
    <row r="206" spans="1:26">
      <c r="A206" s="228"/>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row>
    <row r="207" spans="1:26">
      <c r="A207" s="228"/>
      <c r="B207" s="228"/>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row>
    <row r="208" spans="1:26">
      <c r="A208" s="228"/>
      <c r="B208" s="228"/>
      <c r="C208" s="22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row>
    <row r="209" spans="1:26">
      <c r="A209" s="228"/>
      <c r="B209" s="228"/>
      <c r="C209" s="22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row>
    <row r="210" spans="1:26">
      <c r="A210" s="228"/>
      <c r="B210" s="228"/>
      <c r="C210" s="22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row>
    <row r="211" spans="1:26">
      <c r="A211" s="228"/>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row>
    <row r="212" spans="1:26">
      <c r="A212" s="228"/>
      <c r="B212" s="228"/>
      <c r="C212" s="22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c r="Z212" s="228"/>
    </row>
    <row r="213" spans="1:26">
      <c r="A213" s="228"/>
      <c r="B213" s="228"/>
      <c r="C213" s="22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c r="Z213" s="228"/>
    </row>
    <row r="214" spans="1:26">
      <c r="A214" s="228"/>
      <c r="B214" s="228"/>
      <c r="C214" s="22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1:26">
      <c r="A215" s="228"/>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row>
    <row r="216" spans="1:26">
      <c r="A216" s="228"/>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row>
    <row r="217" spans="1:26">
      <c r="A217" s="228"/>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row>
    <row r="218" spans="1:26">
      <c r="A218" s="228"/>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row>
    <row r="219" spans="1:26">
      <c r="A219" s="228"/>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row>
    <row r="220" spans="1:26">
      <c r="A220" s="228"/>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row>
    <row r="221" spans="1:26">
      <c r="A221" s="228"/>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row>
    <row r="222" spans="1:26">
      <c r="A222" s="228"/>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row>
    <row r="223" spans="1:26">
      <c r="A223" s="228"/>
      <c r="B223" s="228"/>
      <c r="C223" s="22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row>
    <row r="224" spans="1:26">
      <c r="A224" s="228"/>
      <c r="B224" s="228"/>
      <c r="C224" s="22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c r="Z224" s="228"/>
    </row>
    <row r="225" spans="1:26">
      <c r="A225" s="228"/>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row>
    <row r="226" spans="1:26">
      <c r="A226" s="228"/>
      <c r="B226" s="228"/>
      <c r="C226" s="22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c r="Z226" s="228"/>
    </row>
    <row r="227" spans="1:26">
      <c r="A227" s="228"/>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row>
    <row r="228" spans="1:26">
      <c r="A228" s="228"/>
      <c r="B228" s="228"/>
      <c r="C228" s="22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c r="Z228" s="228"/>
    </row>
    <row r="229" spans="1:26">
      <c r="A229" s="228"/>
      <c r="B229" s="228"/>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row>
    <row r="230" spans="1:26">
      <c r="A230" s="228"/>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row>
    <row r="231" spans="1:26">
      <c r="A231" s="228"/>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row>
    <row r="232" spans="1:26">
      <c r="A232" s="228"/>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row>
    <row r="233" spans="1:26">
      <c r="A233" s="228"/>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row>
    <row r="234" spans="1:26">
      <c r="A234" s="228"/>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row>
    <row r="235" spans="1:26">
      <c r="A235" s="228"/>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row>
    <row r="236" spans="1:26">
      <c r="A236" s="228"/>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row>
    <row r="237" spans="1:26">
      <c r="A237" s="228"/>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row>
    <row r="238" spans="1:26">
      <c r="A238" s="228"/>
      <c r="B238" s="228"/>
      <c r="C238" s="22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c r="Z238" s="228"/>
    </row>
    <row r="239" spans="1:26">
      <c r="A239" s="228"/>
      <c r="B239" s="228"/>
      <c r="C239" s="22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c r="Z239" s="228"/>
    </row>
    <row r="240" spans="1:26">
      <c r="A240" s="228"/>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row>
    <row r="241" spans="1:26">
      <c r="A241" s="228"/>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row>
    <row r="242" spans="1:26">
      <c r="A242" s="228"/>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row>
    <row r="243" spans="1:26">
      <c r="A243" s="228"/>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row>
    <row r="244" spans="1:26">
      <c r="A244" s="228"/>
      <c r="B244" s="228"/>
      <c r="C244" s="22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c r="Z244" s="228"/>
    </row>
    <row r="245" spans="1:26">
      <c r="A245" s="228"/>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row>
    <row r="246" spans="1:26">
      <c r="A246" s="228"/>
      <c r="B246" s="228"/>
      <c r="C246" s="22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c r="Z246" s="228"/>
    </row>
    <row r="247" spans="1:26">
      <c r="A247" s="228"/>
      <c r="B247" s="228"/>
      <c r="C247" s="22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c r="Z247" s="228"/>
    </row>
    <row r="248" spans="1:26">
      <c r="A248" s="228"/>
      <c r="B248" s="228"/>
      <c r="C248" s="22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c r="Z248" s="228"/>
    </row>
    <row r="249" spans="1:26">
      <c r="A249" s="228"/>
      <c r="B249" s="228"/>
      <c r="C249" s="22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c r="Z249" s="228"/>
    </row>
    <row r="250" spans="1:26">
      <c r="A250" s="228"/>
      <c r="B250" s="228"/>
      <c r="C250" s="22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c r="Z250" s="228"/>
    </row>
    <row r="251" spans="1:26">
      <c r="A251" s="228"/>
      <c r="B251" s="228"/>
      <c r="C251" s="22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c r="Z251" s="228"/>
    </row>
    <row r="252" spans="1:26">
      <c r="A252" s="228"/>
      <c r="B252" s="228"/>
      <c r="C252" s="22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c r="Z252" s="228"/>
    </row>
    <row r="253" spans="1:26">
      <c r="A253" s="228"/>
      <c r="B253" s="228"/>
      <c r="C253" s="22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c r="Z253" s="228"/>
    </row>
    <row r="254" spans="1:26">
      <c r="A254" s="228"/>
      <c r="B254" s="228"/>
      <c r="C254" s="22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c r="Z254" s="228"/>
    </row>
    <row r="255" spans="1:26">
      <c r="A255" s="228"/>
      <c r="B255" s="228"/>
      <c r="C255" s="22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c r="Z255" s="228"/>
    </row>
    <row r="256" spans="1:26">
      <c r="A256" s="228"/>
      <c r="B256" s="228"/>
      <c r="C256" s="22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c r="Z256" s="228"/>
    </row>
    <row r="257" spans="1:26">
      <c r="A257" s="228"/>
      <c r="B257" s="228"/>
      <c r="C257" s="22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c r="Z257" s="228"/>
    </row>
    <row r="258" spans="1:26">
      <c r="A258" s="228"/>
      <c r="B258" s="228"/>
      <c r="C258" s="22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c r="Z258" s="228"/>
    </row>
    <row r="259" spans="1:26">
      <c r="A259" s="228"/>
      <c r="B259" s="228"/>
      <c r="C259" s="22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c r="Z259" s="228"/>
    </row>
    <row r="260" spans="1:26">
      <c r="A260" s="228"/>
      <c r="B260" s="228"/>
      <c r="C260" s="22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c r="Z260" s="228"/>
    </row>
    <row r="261" spans="1:26">
      <c r="A261" s="228"/>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row>
    <row r="262" spans="1:26">
      <c r="A262" s="228"/>
      <c r="B262" s="228"/>
      <c r="C262" s="22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c r="Z262" s="228"/>
    </row>
    <row r="263" spans="1:26">
      <c r="A263" s="228"/>
      <c r="B263" s="228"/>
      <c r="C263" s="22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c r="Z263" s="228"/>
    </row>
    <row r="264" spans="1:26">
      <c r="A264" s="228"/>
      <c r="B264" s="228"/>
      <c r="C264" s="22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c r="Z264" s="228"/>
    </row>
    <row r="265" spans="1:26">
      <c r="A265" s="228"/>
      <c r="B265" s="228"/>
      <c r="C265" s="22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c r="Z265" s="228"/>
    </row>
    <row r="266" spans="1:26">
      <c r="A266" s="228"/>
      <c r="B266" s="228"/>
      <c r="C266" s="22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c r="Z266" s="228"/>
    </row>
    <row r="267" spans="1:26">
      <c r="A267" s="228"/>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row>
    <row r="268" spans="1:26">
      <c r="A268" s="228"/>
      <c r="B268" s="228"/>
      <c r="C268" s="22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c r="Z268" s="228"/>
    </row>
    <row r="269" spans="1:26">
      <c r="A269" s="228"/>
      <c r="B269" s="228"/>
      <c r="C269" s="22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c r="Z269" s="228"/>
    </row>
    <row r="270" spans="1:26">
      <c r="A270" s="228"/>
      <c r="B270" s="228"/>
      <c r="C270" s="22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c r="Z270" s="228"/>
    </row>
    <row r="271" spans="1:26">
      <c r="A271" s="228"/>
      <c r="B271" s="228"/>
      <c r="C271" s="22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c r="Z271" s="228"/>
    </row>
    <row r="272" spans="1:26">
      <c r="A272" s="228"/>
      <c r="B272" s="228"/>
      <c r="C272" s="22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c r="Z272" s="228"/>
    </row>
    <row r="273" spans="1:26">
      <c r="A273" s="228"/>
      <c r="B273" s="228"/>
      <c r="C273" s="22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c r="Z273" s="228"/>
    </row>
    <row r="274" spans="1:26">
      <c r="A274" s="228"/>
      <c r="B274" s="228"/>
      <c r="C274" s="22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c r="Z274" s="228"/>
    </row>
    <row r="275" spans="1:26">
      <c r="A275" s="228"/>
      <c r="B275" s="228"/>
      <c r="C275" s="22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c r="Z275" s="228"/>
    </row>
    <row r="276" spans="1:26">
      <c r="A276" s="228"/>
      <c r="B276" s="228"/>
      <c r="C276" s="22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c r="Z276" s="228"/>
    </row>
    <row r="277" spans="1:26">
      <c r="A277" s="228"/>
      <c r="B277" s="228"/>
      <c r="C277" s="22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c r="Z277" s="228"/>
    </row>
    <row r="278" spans="1:26">
      <c r="A278" s="228"/>
      <c r="B278" s="228"/>
      <c r="C278" s="22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c r="Z278" s="228"/>
    </row>
    <row r="279" spans="1:26">
      <c r="A279" s="228"/>
      <c r="B279" s="228"/>
      <c r="C279" s="22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c r="Z279" s="228"/>
    </row>
    <row r="280" spans="1:26">
      <c r="A280" s="228"/>
      <c r="B280" s="228"/>
      <c r="C280" s="22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c r="Z280" s="228"/>
    </row>
    <row r="281" spans="1:26">
      <c r="A281" s="228"/>
      <c r="B281" s="228"/>
      <c r="C281" s="22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c r="Z281" s="228"/>
    </row>
    <row r="282" spans="1:26">
      <c r="A282" s="228"/>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row>
    <row r="283" spans="1:26">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row>
    <row r="284" spans="1:26">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row>
    <row r="285" spans="1:26">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row>
    <row r="286" spans="1:26">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row>
    <row r="287" spans="1:26">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row>
    <row r="288" spans="1:26">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row>
    <row r="289" spans="1:26">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row>
    <row r="290" spans="1:26">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row>
    <row r="291" spans="1:26">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row>
    <row r="292" spans="1:26">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row>
    <row r="293" spans="1:26">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row>
    <row r="294" spans="1:26">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row>
    <row r="295" spans="1:26">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row>
    <row r="296" spans="1:26">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row>
    <row r="297" spans="1:26">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row>
    <row r="298" spans="1:26">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row>
    <row r="299" spans="1:26">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row>
    <row r="300" spans="1:26">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row>
  </sheetData>
  <sheetProtection algorithmName="SHA-512" hashValue="BQj+G6rjYknVk4q9P0oB16aghdoe5mjZWJYjX9/0WmL6IuJ1HJeCK/wqYjxfJcfNx5bYM2RcdaVVW08Wj5K/dg==" saltValue="31Yx2Fsy0cXqmS63owIhnQ==" spinCount="100000" sheet="1" objects="1" scenarios="1"/>
  <mergeCells count="10">
    <mergeCell ref="E53:F53"/>
    <mergeCell ref="E45:F45"/>
    <mergeCell ref="E33:G33"/>
    <mergeCell ref="B2:G2"/>
    <mergeCell ref="E26:F26"/>
    <mergeCell ref="E27:F27"/>
    <mergeCell ref="E9:F9"/>
    <mergeCell ref="E11:F11"/>
    <mergeCell ref="E16:F16"/>
    <mergeCell ref="E28:F2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AA02-E300-413F-9145-F44CA6C99C99}">
  <sheetPr codeName="Sheet6">
    <tabColor rgb="FFC75127"/>
  </sheetPr>
  <dimension ref="A1:AZ1413"/>
  <sheetViews>
    <sheetView showGridLines="0" zoomScaleNormal="100" workbookViewId="0">
      <selection activeCell="B2" sqref="B2:H2"/>
    </sheetView>
  </sheetViews>
  <sheetFormatPr defaultColWidth="9" defaultRowHeight="15" customHeight="1" outlineLevelRow="2"/>
  <cols>
    <col min="1" max="1" width="4.09765625" style="39" customWidth="1"/>
    <col min="2" max="9" width="17.69921875" style="33" customWidth="1"/>
    <col min="10" max="14" width="9" style="33" customWidth="1"/>
    <col min="15" max="17" width="9" style="36" customWidth="1"/>
    <col min="18" max="25" width="9" style="33" customWidth="1"/>
    <col min="26" max="16384" width="9" style="33"/>
  </cols>
  <sheetData>
    <row r="1" spans="1:27" ht="20.100000000000001" customHeight="1">
      <c r="A1" s="273"/>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8"/>
    </row>
    <row r="2" spans="1:27" ht="81" customHeight="1">
      <c r="A2" s="273"/>
      <c r="B2" s="338" t="s">
        <v>286</v>
      </c>
      <c r="C2" s="312"/>
      <c r="D2" s="312"/>
      <c r="E2" s="312"/>
      <c r="F2" s="312"/>
      <c r="G2" s="312"/>
      <c r="H2" s="313"/>
      <c r="I2" s="217"/>
      <c r="J2" s="217"/>
      <c r="K2" s="217"/>
      <c r="L2" s="217"/>
      <c r="M2" s="217"/>
      <c r="N2" s="217"/>
      <c r="O2" s="146"/>
      <c r="P2" s="146"/>
      <c r="Q2" s="146"/>
      <c r="R2" s="217"/>
      <c r="S2" s="217"/>
      <c r="T2" s="217"/>
      <c r="U2" s="217"/>
      <c r="V2" s="217"/>
      <c r="W2" s="217"/>
      <c r="X2" s="217"/>
      <c r="Y2" s="217"/>
      <c r="Z2" s="138"/>
      <c r="AA2" s="19"/>
    </row>
    <row r="3" spans="1:27" ht="18" customHeight="1">
      <c r="A3" s="145"/>
      <c r="B3" s="217"/>
      <c r="C3" s="217"/>
      <c r="D3" s="217"/>
      <c r="E3" s="217"/>
      <c r="F3" s="217"/>
      <c r="G3" s="217"/>
      <c r="H3" s="217"/>
      <c r="I3" s="217"/>
      <c r="J3" s="216"/>
      <c r="K3" s="216"/>
      <c r="L3" s="216"/>
      <c r="M3" s="217"/>
      <c r="N3" s="217"/>
      <c r="O3" s="146"/>
      <c r="P3" s="146"/>
      <c r="Q3" s="146"/>
      <c r="R3" s="217"/>
      <c r="S3" s="217"/>
      <c r="T3" s="217"/>
      <c r="U3" s="217"/>
      <c r="V3" s="217"/>
      <c r="W3" s="217"/>
      <c r="X3" s="217"/>
      <c r="Y3" s="217"/>
      <c r="Z3" s="138"/>
      <c r="AA3" s="19"/>
    </row>
    <row r="4" spans="1:27" ht="18" customHeight="1">
      <c r="A4" s="141"/>
      <c r="B4" s="89" t="s">
        <v>148</v>
      </c>
      <c r="C4" s="90"/>
      <c r="D4" s="90"/>
      <c r="E4" s="90"/>
      <c r="F4" s="90"/>
      <c r="G4" s="90"/>
      <c r="H4" s="91"/>
      <c r="I4" s="216"/>
      <c r="J4" s="216"/>
      <c r="K4" s="216"/>
      <c r="L4" s="217"/>
      <c r="M4" s="146"/>
      <c r="N4" s="146"/>
      <c r="O4" s="146"/>
      <c r="P4" s="146"/>
      <c r="Q4" s="146"/>
      <c r="R4" s="217"/>
      <c r="S4" s="217"/>
      <c r="T4" s="217"/>
      <c r="U4" s="217"/>
      <c r="V4" s="217"/>
      <c r="W4" s="217"/>
      <c r="X4" s="217"/>
      <c r="Y4" s="217"/>
      <c r="Z4" s="138"/>
      <c r="AA4" s="19"/>
    </row>
    <row r="5" spans="1:27" ht="18" customHeight="1">
      <c r="A5" s="141"/>
      <c r="B5" s="217"/>
      <c r="C5" s="217"/>
      <c r="D5" s="217"/>
      <c r="E5" s="217"/>
      <c r="F5" s="217"/>
      <c r="G5" s="217"/>
      <c r="H5" s="217"/>
      <c r="I5" s="217"/>
      <c r="J5" s="217"/>
      <c r="K5" s="216"/>
      <c r="L5" s="216"/>
      <c r="M5" s="216"/>
      <c r="N5" s="217"/>
      <c r="O5" s="146"/>
      <c r="P5" s="146"/>
      <c r="Q5" s="146"/>
      <c r="R5" s="217"/>
      <c r="S5" s="217"/>
      <c r="T5" s="217"/>
      <c r="U5" s="217"/>
      <c r="V5" s="217"/>
      <c r="W5" s="217"/>
      <c r="X5" s="217"/>
      <c r="Y5" s="217"/>
      <c r="Z5" s="138"/>
      <c r="AA5" s="19"/>
    </row>
    <row r="6" spans="1:27" ht="18" customHeight="1">
      <c r="A6" s="141"/>
      <c r="B6" s="92" t="s">
        <v>149</v>
      </c>
      <c r="C6" s="93"/>
      <c r="D6" s="94"/>
      <c r="E6" s="328"/>
      <c r="F6" s="329"/>
      <c r="G6" s="217"/>
      <c r="H6" s="217"/>
      <c r="I6" s="217"/>
      <c r="J6" s="217"/>
      <c r="K6" s="216"/>
      <c r="L6" s="216"/>
      <c r="M6" s="216"/>
      <c r="N6" s="217"/>
      <c r="O6" s="146"/>
      <c r="P6" s="146"/>
      <c r="Q6" s="146"/>
      <c r="R6" s="217"/>
      <c r="S6" s="217"/>
      <c r="T6" s="217"/>
      <c r="U6" s="217"/>
      <c r="V6" s="217"/>
      <c r="W6" s="217"/>
      <c r="X6" s="217"/>
      <c r="Y6" s="217"/>
      <c r="Z6" s="138"/>
      <c r="AA6" s="19"/>
    </row>
    <row r="7" spans="1:27" ht="18" customHeight="1">
      <c r="A7" s="141"/>
      <c r="B7" s="217"/>
      <c r="C7" s="217"/>
      <c r="D7" s="217"/>
      <c r="E7" s="217"/>
      <c r="F7" s="217"/>
      <c r="G7" s="217"/>
      <c r="H7" s="217"/>
      <c r="I7" s="217"/>
      <c r="J7" s="217"/>
      <c r="K7" s="216"/>
      <c r="L7" s="216"/>
      <c r="M7" s="216"/>
      <c r="N7" s="217"/>
      <c r="O7" s="146"/>
      <c r="P7" s="146"/>
      <c r="Q7" s="146"/>
      <c r="R7" s="217"/>
      <c r="S7" s="217"/>
      <c r="T7" s="217"/>
      <c r="U7" s="217"/>
      <c r="V7" s="217"/>
      <c r="W7" s="217"/>
      <c r="X7" s="217"/>
      <c r="Y7" s="217"/>
      <c r="Z7" s="138"/>
      <c r="AA7" s="19"/>
    </row>
    <row r="8" spans="1:27" ht="18" customHeight="1">
      <c r="A8" s="141"/>
      <c r="B8" s="92" t="s">
        <v>151</v>
      </c>
      <c r="C8" s="93"/>
      <c r="D8" s="94"/>
      <c r="E8" s="327"/>
      <c r="F8" s="327"/>
      <c r="G8" s="300" t="s">
        <v>284</v>
      </c>
      <c r="H8" s="217"/>
      <c r="I8" s="217"/>
      <c r="J8" s="217"/>
      <c r="K8" s="217"/>
      <c r="L8" s="216"/>
      <c r="M8" s="216"/>
      <c r="N8" s="217"/>
      <c r="O8" s="146"/>
      <c r="P8" s="146"/>
      <c r="Q8" s="146"/>
      <c r="R8" s="217"/>
      <c r="S8" s="217"/>
      <c r="T8" s="217"/>
      <c r="U8" s="217"/>
      <c r="V8" s="217"/>
      <c r="W8" s="217"/>
      <c r="X8" s="217"/>
      <c r="Y8" s="217"/>
      <c r="Z8" s="138"/>
      <c r="AA8" s="19"/>
    </row>
    <row r="9" spans="1:27" ht="18" customHeight="1">
      <c r="A9" s="141"/>
      <c r="B9" s="217"/>
      <c r="C9" s="217"/>
      <c r="D9" s="217"/>
      <c r="E9" s="146"/>
      <c r="F9" s="146"/>
      <c r="G9" s="217"/>
      <c r="H9" s="217"/>
      <c r="I9" s="217"/>
      <c r="J9" s="217"/>
      <c r="K9" s="216"/>
      <c r="L9" s="216"/>
      <c r="M9" s="216"/>
      <c r="N9" s="217"/>
      <c r="O9" s="146"/>
      <c r="P9" s="146"/>
      <c r="Q9" s="146"/>
      <c r="R9" s="217"/>
      <c r="S9" s="217"/>
      <c r="T9" s="217"/>
      <c r="U9" s="217"/>
      <c r="V9" s="217"/>
      <c r="W9" s="217"/>
      <c r="X9" s="217"/>
      <c r="Y9" s="217"/>
      <c r="Z9" s="138"/>
      <c r="AA9" s="19"/>
    </row>
    <row r="10" spans="1:27" ht="18" customHeight="1">
      <c r="A10" s="141"/>
      <c r="B10" s="92" t="s">
        <v>153</v>
      </c>
      <c r="C10" s="93"/>
      <c r="D10" s="94"/>
      <c r="E10" s="327"/>
      <c r="F10" s="327"/>
      <c r="G10" s="217"/>
      <c r="H10" s="217"/>
      <c r="I10" s="217"/>
      <c r="J10" s="217"/>
      <c r="K10" s="216"/>
      <c r="L10" s="216"/>
      <c r="M10" s="216"/>
      <c r="N10" s="217"/>
      <c r="O10" s="146"/>
      <c r="P10" s="146"/>
      <c r="Q10" s="146"/>
      <c r="R10" s="217"/>
      <c r="S10" s="217"/>
      <c r="T10" s="217"/>
      <c r="U10" s="217"/>
      <c r="V10" s="217"/>
      <c r="W10" s="217"/>
      <c r="X10" s="217"/>
      <c r="Y10" s="217"/>
      <c r="Z10" s="138"/>
      <c r="AA10" s="19"/>
    </row>
    <row r="11" spans="1:27" ht="18" customHeight="1">
      <c r="A11" s="141"/>
      <c r="B11" s="217"/>
      <c r="C11" s="217"/>
      <c r="D11" s="217"/>
      <c r="E11" s="146"/>
      <c r="F11" s="146"/>
      <c r="G11" s="217"/>
      <c r="H11" s="217"/>
      <c r="I11" s="217"/>
      <c r="J11" s="217"/>
      <c r="K11" s="216"/>
      <c r="L11" s="216"/>
      <c r="M11" s="216"/>
      <c r="N11" s="217"/>
      <c r="O11" s="146"/>
      <c r="P11" s="146"/>
      <c r="Q11" s="146"/>
      <c r="R11" s="217"/>
      <c r="S11" s="217"/>
      <c r="T11" s="217"/>
      <c r="U11" s="217"/>
      <c r="V11" s="217"/>
      <c r="W11" s="217"/>
      <c r="X11" s="217"/>
      <c r="Y11" s="217"/>
      <c r="Z11" s="138"/>
      <c r="AA11" s="19"/>
    </row>
    <row r="12" spans="1:27" ht="18" customHeight="1">
      <c r="A12" s="141"/>
      <c r="B12" s="92" t="s">
        <v>155</v>
      </c>
      <c r="C12" s="93"/>
      <c r="D12" s="94"/>
      <c r="E12" s="328"/>
      <c r="F12" s="329"/>
      <c r="G12" s="217"/>
      <c r="H12" s="217"/>
      <c r="I12" s="217"/>
      <c r="J12" s="217"/>
      <c r="K12" s="216"/>
      <c r="L12" s="216"/>
      <c r="M12" s="216"/>
      <c r="N12" s="217"/>
      <c r="O12" s="146"/>
      <c r="P12" s="146"/>
      <c r="Q12" s="146"/>
      <c r="R12" s="217"/>
      <c r="S12" s="217"/>
      <c r="T12" s="217"/>
      <c r="U12" s="217"/>
      <c r="V12" s="217"/>
      <c r="W12" s="217"/>
      <c r="X12" s="217"/>
      <c r="Y12" s="217"/>
      <c r="Z12" s="138"/>
      <c r="AA12" s="19"/>
    </row>
    <row r="13" spans="1:27" ht="18" customHeight="1">
      <c r="A13" s="141"/>
      <c r="B13" s="217"/>
      <c r="C13" s="217"/>
      <c r="D13" s="217"/>
      <c r="E13" s="217"/>
      <c r="F13" s="217"/>
      <c r="G13" s="217"/>
      <c r="H13" s="217"/>
      <c r="I13" s="217"/>
      <c r="J13" s="217"/>
      <c r="K13" s="216"/>
      <c r="L13" s="216"/>
      <c r="M13" s="216"/>
      <c r="N13" s="217"/>
      <c r="O13" s="146"/>
      <c r="P13" s="146"/>
      <c r="Q13" s="146"/>
      <c r="R13" s="217"/>
      <c r="S13" s="217"/>
      <c r="T13" s="217"/>
      <c r="U13" s="217"/>
      <c r="V13" s="217"/>
      <c r="W13" s="217"/>
      <c r="X13" s="217"/>
      <c r="Y13" s="217"/>
      <c r="Z13" s="138"/>
      <c r="AA13" s="19"/>
    </row>
    <row r="14" spans="1:27" ht="18" customHeight="1">
      <c r="A14" s="141"/>
      <c r="B14" s="217"/>
      <c r="C14" s="217"/>
      <c r="D14" s="217"/>
      <c r="E14" s="217"/>
      <c r="F14" s="217"/>
      <c r="G14" s="217"/>
      <c r="H14" s="217"/>
      <c r="I14" s="217"/>
      <c r="J14" s="217"/>
      <c r="K14" s="216"/>
      <c r="L14" s="216"/>
      <c r="M14" s="216"/>
      <c r="N14" s="217"/>
      <c r="O14" s="146"/>
      <c r="P14" s="146"/>
      <c r="Q14" s="146"/>
      <c r="R14" s="217"/>
      <c r="S14" s="217"/>
      <c r="T14" s="217"/>
      <c r="U14" s="217"/>
      <c r="V14" s="217"/>
      <c r="W14" s="217"/>
      <c r="X14" s="217"/>
      <c r="Y14" s="217"/>
      <c r="Z14" s="138"/>
      <c r="AA14" s="19"/>
    </row>
    <row r="15" spans="1:27" ht="18" customHeight="1">
      <c r="A15" s="141"/>
      <c r="B15" s="89" t="s">
        <v>157</v>
      </c>
      <c r="C15" s="90"/>
      <c r="D15" s="90"/>
      <c r="E15" s="90"/>
      <c r="F15" s="90"/>
      <c r="G15" s="90"/>
      <c r="H15" s="91"/>
      <c r="I15" s="216"/>
      <c r="J15" s="216"/>
      <c r="K15" s="216"/>
      <c r="L15" s="217"/>
      <c r="M15" s="146"/>
      <c r="N15" s="146"/>
      <c r="O15" s="146"/>
      <c r="P15" s="146"/>
      <c r="Q15" s="146"/>
      <c r="R15" s="217"/>
      <c r="S15" s="217"/>
      <c r="T15" s="217"/>
      <c r="U15" s="217"/>
      <c r="V15" s="217"/>
      <c r="W15" s="217"/>
      <c r="X15" s="217"/>
      <c r="Y15" s="217"/>
      <c r="Z15" s="138"/>
      <c r="AA15" s="19"/>
    </row>
    <row r="16" spans="1:27" ht="18" customHeight="1">
      <c r="A16" s="141"/>
      <c r="B16" s="217"/>
      <c r="C16" s="217"/>
      <c r="D16" s="217"/>
      <c r="E16" s="217"/>
      <c r="F16" s="217"/>
      <c r="G16" s="217"/>
      <c r="H16" s="217"/>
      <c r="I16" s="217"/>
      <c r="J16" s="217"/>
      <c r="K16" s="216"/>
      <c r="L16" s="216"/>
      <c r="M16" s="216"/>
      <c r="N16" s="217"/>
      <c r="O16" s="146"/>
      <c r="P16" s="146"/>
      <c r="Q16" s="146"/>
      <c r="R16" s="217"/>
      <c r="S16" s="217"/>
      <c r="T16" s="217"/>
      <c r="U16" s="217"/>
      <c r="V16" s="217"/>
      <c r="W16" s="217"/>
      <c r="X16" s="217"/>
      <c r="Y16" s="217"/>
      <c r="Z16" s="138"/>
      <c r="AA16" s="19"/>
    </row>
    <row r="17" spans="1:52" s="193" customFormat="1" ht="18" customHeight="1">
      <c r="A17" s="189"/>
      <c r="B17" s="190" t="s">
        <v>158</v>
      </c>
      <c r="C17" s="190"/>
      <c r="D17" s="191"/>
      <c r="E17" s="191"/>
      <c r="F17" s="191"/>
      <c r="G17" s="191"/>
      <c r="H17" s="191"/>
      <c r="I17" s="191"/>
      <c r="J17" s="191"/>
      <c r="K17" s="191"/>
      <c r="L17" s="191"/>
      <c r="M17" s="191"/>
      <c r="N17" s="191"/>
      <c r="O17" s="191"/>
      <c r="P17" s="191"/>
      <c r="Q17" s="191"/>
      <c r="R17" s="191"/>
      <c r="S17" s="191"/>
      <c r="T17" s="191"/>
      <c r="U17" s="191"/>
      <c r="V17" s="191"/>
      <c r="W17" s="191"/>
      <c r="X17" s="191"/>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row>
    <row r="18" spans="1:52" ht="18" customHeight="1">
      <c r="A18" s="141"/>
      <c r="B18" s="324" t="s">
        <v>159</v>
      </c>
      <c r="C18" s="325"/>
      <c r="D18" s="325"/>
      <c r="E18" s="325"/>
      <c r="F18" s="325"/>
      <c r="G18" s="325"/>
      <c r="H18" s="326"/>
      <c r="I18" s="216"/>
      <c r="J18" s="216"/>
      <c r="K18" s="217"/>
      <c r="L18" s="146"/>
      <c r="M18" s="146"/>
      <c r="N18" s="146"/>
      <c r="O18" s="217"/>
      <c r="P18" s="217"/>
      <c r="Q18" s="217"/>
      <c r="R18" s="217"/>
      <c r="S18" s="217"/>
      <c r="T18" s="217"/>
      <c r="U18" s="217"/>
      <c r="V18" s="217"/>
      <c r="W18" s="138"/>
      <c r="X18" s="138"/>
      <c r="Y18" s="219"/>
      <c r="Z18" s="219"/>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row>
    <row r="19" spans="1:52" ht="18" customHeight="1">
      <c r="A19" s="141"/>
      <c r="B19" s="322" t="s">
        <v>160</v>
      </c>
      <c r="C19" s="322" t="s">
        <v>161</v>
      </c>
      <c r="D19" s="322" t="s">
        <v>162</v>
      </c>
      <c r="E19" s="322" t="str">
        <f>_xlfn.CONCAT("Outdoor Air Flow per Individual Equipment ",IF(units="SI","(L/s)","(cfm)"))</f>
        <v>Outdoor Air Flow per Individual Equipment (cfm)</v>
      </c>
      <c r="F19" s="322" t="str">
        <f>_xlfn.CONCAT("Total Outdoor Air Flow ",IF(units="SI","(L/s)","(cfm)"))</f>
        <v>Total Outdoor Air Flow (cfm)</v>
      </c>
      <c r="G19" s="339" t="s">
        <v>163</v>
      </c>
      <c r="H19" s="340"/>
      <c r="I19" s="216"/>
      <c r="J19" s="216"/>
      <c r="K19" s="216"/>
      <c r="L19" s="216"/>
      <c r="M19" s="217"/>
      <c r="N19" s="146"/>
      <c r="O19" s="146"/>
      <c r="P19" s="146"/>
      <c r="Q19" s="217"/>
      <c r="R19" s="217"/>
      <c r="S19" s="217"/>
      <c r="T19" s="217"/>
      <c r="U19" s="217"/>
      <c r="V19" s="217"/>
      <c r="W19" s="217"/>
      <c r="X19" s="217"/>
      <c r="Y19" s="138"/>
      <c r="Z19" s="13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row>
    <row r="20" spans="1:52" ht="18" customHeight="1">
      <c r="A20" s="141"/>
      <c r="B20" s="323"/>
      <c r="C20" s="323"/>
      <c r="D20" s="323"/>
      <c r="E20" s="323"/>
      <c r="F20" s="323"/>
      <c r="G20" s="341"/>
      <c r="H20" s="342"/>
      <c r="I20" s="217"/>
      <c r="J20" s="216"/>
      <c r="K20" s="216"/>
      <c r="L20" s="216"/>
      <c r="M20" s="217"/>
      <c r="N20" s="146"/>
      <c r="O20" s="146"/>
      <c r="P20" s="146"/>
      <c r="Q20" s="217"/>
      <c r="R20" s="217"/>
      <c r="S20" s="217"/>
      <c r="T20" s="217"/>
      <c r="U20" s="217"/>
      <c r="V20" s="217"/>
      <c r="W20" s="217"/>
      <c r="X20" s="217"/>
      <c r="Y20" s="138"/>
      <c r="Z20" s="13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8"/>
    </row>
    <row r="21" spans="1:52" ht="18" customHeight="1">
      <c r="A21" s="141"/>
      <c r="B21" s="323"/>
      <c r="C21" s="323"/>
      <c r="D21" s="323"/>
      <c r="E21" s="323"/>
      <c r="F21" s="323"/>
      <c r="G21" s="343"/>
      <c r="H21" s="344"/>
      <c r="I21" s="217"/>
      <c r="J21" s="216"/>
      <c r="K21" s="216"/>
      <c r="L21" s="216"/>
      <c r="M21" s="217"/>
      <c r="N21" s="146"/>
      <c r="O21" s="146"/>
      <c r="P21" s="146"/>
      <c r="Q21" s="217"/>
      <c r="R21" s="217"/>
      <c r="S21" s="217"/>
      <c r="T21" s="217"/>
      <c r="U21" s="217"/>
      <c r="V21" s="217"/>
      <c r="W21" s="217"/>
      <c r="X21" s="217"/>
      <c r="Y21" s="138"/>
      <c r="Z21" s="13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c r="AZ21" s="218"/>
    </row>
    <row r="22" spans="1:52" ht="18" customHeight="1">
      <c r="A22" s="188">
        <v>1</v>
      </c>
      <c r="B22" s="116"/>
      <c r="C22" s="116"/>
      <c r="D22" s="197"/>
      <c r="E22" s="116"/>
      <c r="F22" s="131" t="str">
        <f t="shared" ref="F22:F52" si="0">INDEX(logic_VentFlow,MATCH($A22,logic_EquipNo,0))</f>
        <v/>
      </c>
      <c r="G22" s="318"/>
      <c r="H22" s="319"/>
      <c r="I22" s="217"/>
      <c r="J22" s="216"/>
      <c r="K22" s="216"/>
      <c r="L22" s="216"/>
      <c r="M22" s="217"/>
      <c r="N22" s="146"/>
      <c r="O22" s="146"/>
      <c r="P22" s="146"/>
      <c r="Q22" s="217"/>
      <c r="R22" s="217"/>
      <c r="S22" s="217"/>
      <c r="T22" s="217"/>
      <c r="U22" s="217"/>
      <c r="V22" s="217"/>
      <c r="W22" s="217"/>
      <c r="X22" s="217"/>
      <c r="Y22" s="138"/>
      <c r="Z22" s="13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row>
    <row r="23" spans="1:52" ht="18" customHeight="1">
      <c r="A23" s="188">
        <v>2</v>
      </c>
      <c r="B23" s="116"/>
      <c r="C23" s="116"/>
      <c r="D23" s="197"/>
      <c r="E23" s="116"/>
      <c r="F23" s="131" t="str">
        <f t="shared" si="0"/>
        <v/>
      </c>
      <c r="G23" s="318"/>
      <c r="H23" s="319"/>
      <c r="I23" s="217"/>
      <c r="J23" s="216"/>
      <c r="K23" s="216"/>
      <c r="L23" s="216"/>
      <c r="M23" s="217"/>
      <c r="N23" s="146"/>
      <c r="O23" s="146"/>
      <c r="P23" s="146"/>
      <c r="Q23" s="217"/>
      <c r="R23" s="217"/>
      <c r="S23" s="217"/>
      <c r="T23" s="217"/>
      <c r="U23" s="217"/>
      <c r="V23" s="217"/>
      <c r="W23" s="217"/>
      <c r="X23" s="217"/>
      <c r="Y23" s="138"/>
      <c r="Z23" s="13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row>
    <row r="24" spans="1:52" ht="18" customHeight="1">
      <c r="A24" s="188">
        <v>3</v>
      </c>
      <c r="B24" s="116"/>
      <c r="C24" s="116"/>
      <c r="D24" s="197"/>
      <c r="E24" s="116"/>
      <c r="F24" s="131" t="str">
        <f t="shared" si="0"/>
        <v/>
      </c>
      <c r="G24" s="318"/>
      <c r="H24" s="319"/>
      <c r="I24" s="217"/>
      <c r="J24" s="216"/>
      <c r="K24" s="216"/>
      <c r="L24" s="216"/>
      <c r="M24" s="217"/>
      <c r="N24" s="146"/>
      <c r="O24" s="146"/>
      <c r="P24" s="146"/>
      <c r="Q24" s="217"/>
      <c r="R24" s="217"/>
      <c r="S24" s="217"/>
      <c r="T24" s="217"/>
      <c r="U24" s="217"/>
      <c r="V24" s="217"/>
      <c r="W24" s="217"/>
      <c r="X24" s="217"/>
      <c r="Y24" s="138"/>
      <c r="Z24" s="13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row>
    <row r="25" spans="1:52" ht="18" customHeight="1">
      <c r="A25" s="188">
        <v>4</v>
      </c>
      <c r="B25" s="116"/>
      <c r="C25" s="116"/>
      <c r="D25" s="197"/>
      <c r="E25" s="116"/>
      <c r="F25" s="131" t="str">
        <f t="shared" si="0"/>
        <v/>
      </c>
      <c r="G25" s="318"/>
      <c r="H25" s="319"/>
      <c r="I25" s="217"/>
      <c r="J25" s="216"/>
      <c r="K25" s="216"/>
      <c r="L25" s="216"/>
      <c r="M25" s="217"/>
      <c r="N25" s="146"/>
      <c r="O25" s="146"/>
      <c r="P25" s="146"/>
      <c r="Q25" s="217"/>
      <c r="R25" s="217"/>
      <c r="S25" s="217"/>
      <c r="T25" s="217"/>
      <c r="U25" s="217"/>
      <c r="V25" s="217"/>
      <c r="W25" s="217"/>
      <c r="X25" s="217"/>
      <c r="Y25" s="138"/>
      <c r="Z25" s="13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row>
    <row r="26" spans="1:52" ht="18" customHeight="1">
      <c r="A26" s="188">
        <v>5</v>
      </c>
      <c r="B26" s="116"/>
      <c r="C26" s="116"/>
      <c r="D26" s="197"/>
      <c r="E26" s="116"/>
      <c r="F26" s="131" t="str">
        <f t="shared" si="0"/>
        <v/>
      </c>
      <c r="G26" s="318"/>
      <c r="H26" s="319"/>
      <c r="I26" s="217"/>
      <c r="J26" s="216"/>
      <c r="K26" s="216"/>
      <c r="L26" s="216"/>
      <c r="M26" s="217"/>
      <c r="N26" s="146"/>
      <c r="O26" s="146"/>
      <c r="P26" s="146"/>
      <c r="Q26" s="217"/>
      <c r="R26" s="217"/>
      <c r="S26" s="217"/>
      <c r="T26" s="217"/>
      <c r="U26" s="217"/>
      <c r="V26" s="217"/>
      <c r="W26" s="217"/>
      <c r="X26" s="217"/>
      <c r="Y26" s="138"/>
      <c r="Z26" s="13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row>
    <row r="27" spans="1:52" ht="18" customHeight="1">
      <c r="A27" s="188">
        <v>6</v>
      </c>
      <c r="B27" s="116"/>
      <c r="C27" s="116"/>
      <c r="D27" s="197"/>
      <c r="E27" s="116"/>
      <c r="F27" s="131" t="str">
        <f t="shared" si="0"/>
        <v/>
      </c>
      <c r="G27" s="318"/>
      <c r="H27" s="319"/>
      <c r="I27" s="217"/>
      <c r="J27" s="216"/>
      <c r="K27" s="216"/>
      <c r="L27" s="216"/>
      <c r="M27" s="217"/>
      <c r="N27" s="146"/>
      <c r="O27" s="146"/>
      <c r="P27" s="146"/>
      <c r="Q27" s="217"/>
      <c r="R27" s="217"/>
      <c r="S27" s="217"/>
      <c r="T27" s="217"/>
      <c r="U27" s="217"/>
      <c r="V27" s="217"/>
      <c r="W27" s="217"/>
      <c r="X27" s="217"/>
      <c r="Y27" s="138"/>
      <c r="Z27" s="13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8"/>
    </row>
    <row r="28" spans="1:52" ht="18" customHeight="1">
      <c r="A28" s="188">
        <v>7</v>
      </c>
      <c r="B28" s="116"/>
      <c r="C28" s="116"/>
      <c r="D28" s="197"/>
      <c r="E28" s="116"/>
      <c r="F28" s="131" t="str">
        <f t="shared" si="0"/>
        <v/>
      </c>
      <c r="G28" s="318"/>
      <c r="H28" s="319"/>
      <c r="I28" s="217"/>
      <c r="J28" s="217"/>
      <c r="K28" s="217"/>
      <c r="L28" s="217"/>
      <c r="M28" s="217"/>
      <c r="N28" s="146"/>
      <c r="O28" s="146"/>
      <c r="P28" s="146"/>
      <c r="Q28" s="217"/>
      <c r="R28" s="217"/>
      <c r="S28" s="217"/>
      <c r="T28" s="217"/>
      <c r="U28" s="217"/>
      <c r="V28" s="217"/>
      <c r="W28" s="217"/>
      <c r="X28" s="217"/>
      <c r="Y28" s="151"/>
      <c r="Z28" s="151"/>
      <c r="AA28" s="31"/>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row>
    <row r="29" spans="1:52" ht="18" customHeight="1">
      <c r="A29" s="188">
        <v>8</v>
      </c>
      <c r="B29" s="116"/>
      <c r="C29" s="116"/>
      <c r="D29" s="197"/>
      <c r="E29" s="116"/>
      <c r="F29" s="131" t="str">
        <f t="shared" si="0"/>
        <v/>
      </c>
      <c r="G29" s="318"/>
      <c r="H29" s="319"/>
      <c r="I29" s="217"/>
      <c r="J29" s="217"/>
      <c r="K29" s="217"/>
      <c r="L29" s="217"/>
      <c r="M29" s="217"/>
      <c r="N29" s="146"/>
      <c r="O29" s="146"/>
      <c r="P29" s="146"/>
      <c r="Q29" s="217"/>
      <c r="R29" s="217"/>
      <c r="S29" s="217"/>
      <c r="T29" s="217"/>
      <c r="U29" s="217"/>
      <c r="V29" s="217"/>
      <c r="W29" s="217"/>
      <c r="X29" s="217"/>
      <c r="Y29" s="151"/>
      <c r="Z29" s="151"/>
      <c r="AA29" s="31"/>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row>
    <row r="30" spans="1:52" ht="18" customHeight="1">
      <c r="A30" s="188">
        <v>9</v>
      </c>
      <c r="B30" s="116"/>
      <c r="C30" s="116"/>
      <c r="D30" s="197"/>
      <c r="E30" s="116"/>
      <c r="F30" s="131" t="str">
        <f t="shared" si="0"/>
        <v/>
      </c>
      <c r="G30" s="194"/>
      <c r="H30" s="195"/>
      <c r="I30" s="217"/>
      <c r="J30" s="217"/>
      <c r="K30" s="217"/>
      <c r="L30" s="217"/>
      <c r="M30" s="217"/>
      <c r="N30" s="146"/>
      <c r="O30" s="146"/>
      <c r="P30" s="146"/>
      <c r="Q30" s="217"/>
      <c r="R30" s="217"/>
      <c r="S30" s="217"/>
      <c r="T30" s="217"/>
      <c r="U30" s="217"/>
      <c r="V30" s="217"/>
      <c r="W30" s="217"/>
      <c r="X30" s="217"/>
      <c r="Y30" s="151"/>
      <c r="Z30" s="151"/>
      <c r="AA30" s="31"/>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row>
    <row r="31" spans="1:52" ht="18" customHeight="1">
      <c r="A31" s="188">
        <v>10</v>
      </c>
      <c r="B31" s="116"/>
      <c r="C31" s="116"/>
      <c r="D31" s="197"/>
      <c r="E31" s="116"/>
      <c r="F31" s="131" t="str">
        <f t="shared" si="0"/>
        <v/>
      </c>
      <c r="G31" s="318"/>
      <c r="H31" s="319"/>
      <c r="I31" s="159" t="s">
        <v>170</v>
      </c>
      <c r="J31" s="217"/>
      <c r="K31" s="217"/>
      <c r="L31" s="217"/>
      <c r="M31" s="217"/>
      <c r="N31" s="146"/>
      <c r="O31" s="146"/>
      <c r="P31" s="146"/>
      <c r="Q31" s="217"/>
      <c r="R31" s="217"/>
      <c r="S31" s="217"/>
      <c r="T31" s="217"/>
      <c r="U31" s="217"/>
      <c r="V31" s="217"/>
      <c r="W31" s="217"/>
      <c r="X31" s="217"/>
      <c r="Y31" s="151"/>
      <c r="Z31" s="151"/>
      <c r="AA31" s="31"/>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row>
    <row r="32" spans="1:52" ht="18" hidden="1" customHeight="1" outlineLevel="1">
      <c r="A32" s="188">
        <v>11</v>
      </c>
      <c r="B32" s="116"/>
      <c r="C32" s="116"/>
      <c r="D32" s="197"/>
      <c r="E32" s="116"/>
      <c r="F32" s="131" t="str">
        <f t="shared" si="0"/>
        <v/>
      </c>
      <c r="G32" s="318"/>
      <c r="H32" s="319"/>
      <c r="I32" s="217"/>
      <c r="J32" s="217"/>
      <c r="K32" s="217"/>
      <c r="L32" s="217"/>
      <c r="M32" s="217"/>
      <c r="N32" s="146"/>
      <c r="O32" s="146"/>
      <c r="P32" s="146"/>
      <c r="Q32" s="217"/>
      <c r="R32" s="217"/>
      <c r="S32" s="217"/>
      <c r="T32" s="217"/>
      <c r="U32" s="217"/>
      <c r="V32" s="217"/>
      <c r="W32" s="217"/>
      <c r="X32" s="217"/>
      <c r="Y32" s="151"/>
      <c r="Z32" s="151"/>
      <c r="AA32" s="31"/>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8"/>
    </row>
    <row r="33" spans="1:27" ht="18" hidden="1" customHeight="1" outlineLevel="1">
      <c r="A33" s="188">
        <v>12</v>
      </c>
      <c r="B33" s="116"/>
      <c r="C33" s="116"/>
      <c r="D33" s="197"/>
      <c r="E33" s="116"/>
      <c r="F33" s="131" t="str">
        <f t="shared" si="0"/>
        <v/>
      </c>
      <c r="G33" s="318"/>
      <c r="H33" s="319"/>
      <c r="I33" s="217"/>
      <c r="J33" s="216"/>
      <c r="K33" s="216"/>
      <c r="L33" s="216"/>
      <c r="M33" s="217"/>
      <c r="N33" s="146"/>
      <c r="O33" s="146"/>
      <c r="P33" s="146"/>
      <c r="Q33" s="217"/>
      <c r="R33" s="217"/>
      <c r="S33" s="217"/>
      <c r="T33" s="217"/>
      <c r="U33" s="217"/>
      <c r="V33" s="217"/>
      <c r="W33" s="217"/>
      <c r="X33" s="217"/>
      <c r="Y33" s="138"/>
      <c r="Z33" s="138"/>
      <c r="AA33" s="218"/>
    </row>
    <row r="34" spans="1:27" ht="18" hidden="1" customHeight="1" outlineLevel="1">
      <c r="A34" s="188">
        <v>13</v>
      </c>
      <c r="B34" s="116"/>
      <c r="C34" s="116"/>
      <c r="D34" s="197"/>
      <c r="E34" s="116"/>
      <c r="F34" s="131" t="str">
        <f t="shared" si="0"/>
        <v/>
      </c>
      <c r="G34" s="318"/>
      <c r="H34" s="319"/>
      <c r="I34" s="217"/>
      <c r="J34" s="217"/>
      <c r="K34" s="217"/>
      <c r="L34" s="217"/>
      <c r="M34" s="217"/>
      <c r="N34" s="146"/>
      <c r="O34" s="146"/>
      <c r="P34" s="146"/>
      <c r="Q34" s="217"/>
      <c r="R34" s="217"/>
      <c r="S34" s="217"/>
      <c r="T34" s="217"/>
      <c r="U34" s="217"/>
      <c r="V34" s="217"/>
      <c r="W34" s="217"/>
      <c r="X34" s="217"/>
      <c r="Y34" s="138"/>
      <c r="Z34" s="138"/>
      <c r="AA34" s="218"/>
    </row>
    <row r="35" spans="1:27" ht="18" hidden="1" customHeight="1" outlineLevel="1">
      <c r="A35" s="188">
        <v>14</v>
      </c>
      <c r="B35" s="116"/>
      <c r="C35" s="116"/>
      <c r="D35" s="197"/>
      <c r="E35" s="116"/>
      <c r="F35" s="131" t="str">
        <f t="shared" si="0"/>
        <v/>
      </c>
      <c r="G35" s="318"/>
      <c r="H35" s="319"/>
      <c r="I35" s="217"/>
      <c r="J35" s="217"/>
      <c r="K35" s="217"/>
      <c r="L35" s="217"/>
      <c r="M35" s="217"/>
      <c r="N35" s="146"/>
      <c r="O35" s="146"/>
      <c r="P35" s="146"/>
      <c r="Q35" s="217"/>
      <c r="R35" s="217"/>
      <c r="S35" s="217"/>
      <c r="T35" s="217"/>
      <c r="U35" s="217"/>
      <c r="V35" s="217"/>
      <c r="W35" s="217"/>
      <c r="X35" s="217"/>
      <c r="Y35" s="151"/>
      <c r="Z35" s="151"/>
      <c r="AA35" s="31"/>
    </row>
    <row r="36" spans="1:27" ht="18" hidden="1" customHeight="1" outlineLevel="1">
      <c r="A36" s="188">
        <v>15</v>
      </c>
      <c r="B36" s="116"/>
      <c r="C36" s="116"/>
      <c r="D36" s="197"/>
      <c r="E36" s="116"/>
      <c r="F36" s="131" t="str">
        <f t="shared" si="0"/>
        <v/>
      </c>
      <c r="G36" s="318"/>
      <c r="H36" s="319"/>
      <c r="I36" s="217"/>
      <c r="J36" s="217"/>
      <c r="K36" s="217"/>
      <c r="L36" s="217"/>
      <c r="M36" s="217"/>
      <c r="N36" s="146"/>
      <c r="O36" s="146"/>
      <c r="P36" s="146"/>
      <c r="Q36" s="217"/>
      <c r="R36" s="217"/>
      <c r="S36" s="217"/>
      <c r="T36" s="217"/>
      <c r="U36" s="217"/>
      <c r="V36" s="217"/>
      <c r="W36" s="217"/>
      <c r="X36" s="217"/>
      <c r="Y36" s="151"/>
      <c r="Z36" s="151"/>
      <c r="AA36" s="31"/>
    </row>
    <row r="37" spans="1:27" ht="18" hidden="1" customHeight="1" outlineLevel="1">
      <c r="A37" s="188">
        <v>16</v>
      </c>
      <c r="B37" s="116"/>
      <c r="C37" s="116"/>
      <c r="D37" s="197"/>
      <c r="E37" s="116"/>
      <c r="F37" s="131" t="str">
        <f t="shared" si="0"/>
        <v/>
      </c>
      <c r="G37" s="318"/>
      <c r="H37" s="319"/>
      <c r="I37" s="217"/>
      <c r="J37" s="217"/>
      <c r="K37" s="217"/>
      <c r="L37" s="217"/>
      <c r="M37" s="217"/>
      <c r="N37" s="146"/>
      <c r="O37" s="146"/>
      <c r="P37" s="146"/>
      <c r="Q37" s="217"/>
      <c r="R37" s="217"/>
      <c r="S37" s="217"/>
      <c r="T37" s="217"/>
      <c r="U37" s="217"/>
      <c r="V37" s="217"/>
      <c r="W37" s="217"/>
      <c r="X37" s="217"/>
      <c r="Y37" s="151"/>
      <c r="Z37" s="151"/>
      <c r="AA37" s="31"/>
    </row>
    <row r="38" spans="1:27" ht="18" hidden="1" customHeight="1" outlineLevel="1">
      <c r="A38" s="188">
        <v>17</v>
      </c>
      <c r="B38" s="116"/>
      <c r="C38" s="116"/>
      <c r="D38" s="197"/>
      <c r="E38" s="116"/>
      <c r="F38" s="131" t="str">
        <f t="shared" si="0"/>
        <v/>
      </c>
      <c r="G38" s="318"/>
      <c r="H38" s="319"/>
      <c r="I38" s="217"/>
      <c r="J38" s="217"/>
      <c r="K38" s="217"/>
      <c r="L38" s="217"/>
      <c r="M38" s="217"/>
      <c r="N38" s="146"/>
      <c r="O38" s="146"/>
      <c r="P38" s="146"/>
      <c r="Q38" s="217"/>
      <c r="R38" s="217"/>
      <c r="S38" s="217"/>
      <c r="T38" s="217"/>
      <c r="U38" s="217"/>
      <c r="V38" s="217"/>
      <c r="W38" s="217"/>
      <c r="X38" s="217"/>
      <c r="Y38" s="151"/>
      <c r="Z38" s="151"/>
      <c r="AA38" s="31"/>
    </row>
    <row r="39" spans="1:27" ht="18" hidden="1" customHeight="1" outlineLevel="1">
      <c r="A39" s="188">
        <v>18</v>
      </c>
      <c r="B39" s="116"/>
      <c r="C39" s="116"/>
      <c r="D39" s="197"/>
      <c r="E39" s="116"/>
      <c r="F39" s="131" t="str">
        <f t="shared" si="0"/>
        <v/>
      </c>
      <c r="G39" s="318"/>
      <c r="H39" s="319"/>
      <c r="I39" s="217"/>
      <c r="J39" s="217"/>
      <c r="K39" s="217"/>
      <c r="L39" s="217"/>
      <c r="M39" s="217"/>
      <c r="N39" s="146"/>
      <c r="O39" s="146"/>
      <c r="P39" s="146"/>
      <c r="Q39" s="217"/>
      <c r="R39" s="217"/>
      <c r="S39" s="217"/>
      <c r="T39" s="217"/>
      <c r="U39" s="217"/>
      <c r="V39" s="217"/>
      <c r="W39" s="217"/>
      <c r="X39" s="217"/>
      <c r="Y39" s="151"/>
      <c r="Z39" s="151"/>
      <c r="AA39" s="31"/>
    </row>
    <row r="40" spans="1:27" ht="18" hidden="1" customHeight="1" outlineLevel="1">
      <c r="A40" s="188">
        <v>19</v>
      </c>
      <c r="B40" s="116"/>
      <c r="C40" s="116"/>
      <c r="D40" s="197"/>
      <c r="E40" s="116"/>
      <c r="F40" s="131" t="str">
        <f t="shared" si="0"/>
        <v/>
      </c>
      <c r="G40" s="318"/>
      <c r="H40" s="319"/>
      <c r="I40" s="217"/>
      <c r="J40" s="217"/>
      <c r="K40" s="217"/>
      <c r="L40" s="217"/>
      <c r="M40" s="217"/>
      <c r="N40" s="146"/>
      <c r="O40" s="146"/>
      <c r="P40" s="146"/>
      <c r="Q40" s="217"/>
      <c r="R40" s="217"/>
      <c r="S40" s="217"/>
      <c r="T40" s="217"/>
      <c r="U40" s="217"/>
      <c r="V40" s="217"/>
      <c r="W40" s="217"/>
      <c r="X40" s="217"/>
      <c r="Y40" s="151"/>
      <c r="Z40" s="151"/>
      <c r="AA40" s="31"/>
    </row>
    <row r="41" spans="1:27" ht="18" hidden="1" customHeight="1" outlineLevel="1">
      <c r="A41" s="188">
        <v>20</v>
      </c>
      <c r="B41" s="116"/>
      <c r="C41" s="116"/>
      <c r="D41" s="197"/>
      <c r="E41" s="116"/>
      <c r="F41" s="131" t="str">
        <f t="shared" si="0"/>
        <v/>
      </c>
      <c r="G41" s="318"/>
      <c r="H41" s="319"/>
      <c r="I41" s="217"/>
      <c r="J41" s="217"/>
      <c r="K41" s="217"/>
      <c r="L41" s="217"/>
      <c r="M41" s="217"/>
      <c r="N41" s="146"/>
      <c r="O41" s="146"/>
      <c r="P41" s="146"/>
      <c r="Q41" s="217"/>
      <c r="R41" s="217"/>
      <c r="S41" s="217"/>
      <c r="T41" s="217"/>
      <c r="U41" s="217"/>
      <c r="V41" s="217"/>
      <c r="W41" s="217"/>
      <c r="X41" s="217"/>
      <c r="Y41" s="151"/>
      <c r="Z41" s="151"/>
      <c r="AA41" s="31"/>
    </row>
    <row r="42" spans="1:27" ht="18" hidden="1" customHeight="1" outlineLevel="1">
      <c r="A42" s="188">
        <v>21</v>
      </c>
      <c r="B42" s="116"/>
      <c r="C42" s="116"/>
      <c r="D42" s="197"/>
      <c r="E42" s="116"/>
      <c r="F42" s="131" t="str">
        <f t="shared" si="0"/>
        <v/>
      </c>
      <c r="G42" s="318"/>
      <c r="H42" s="319"/>
      <c r="I42" s="217"/>
      <c r="J42" s="217"/>
      <c r="K42" s="217"/>
      <c r="L42" s="217"/>
      <c r="M42" s="217"/>
      <c r="N42" s="146"/>
      <c r="O42" s="146"/>
      <c r="P42" s="146"/>
      <c r="Q42" s="217"/>
      <c r="R42" s="217"/>
      <c r="S42" s="217"/>
      <c r="T42" s="217"/>
      <c r="U42" s="217"/>
      <c r="V42" s="217"/>
      <c r="W42" s="217"/>
      <c r="X42" s="217"/>
      <c r="Y42" s="151"/>
      <c r="Z42" s="151"/>
      <c r="AA42" s="31"/>
    </row>
    <row r="43" spans="1:27" ht="18" hidden="1" customHeight="1" outlineLevel="1">
      <c r="A43" s="188">
        <v>22</v>
      </c>
      <c r="B43" s="116"/>
      <c r="C43" s="116"/>
      <c r="D43" s="197"/>
      <c r="E43" s="116"/>
      <c r="F43" s="131" t="str">
        <f t="shared" si="0"/>
        <v/>
      </c>
      <c r="G43" s="318"/>
      <c r="H43" s="319"/>
      <c r="I43" s="217"/>
      <c r="J43" s="216"/>
      <c r="K43" s="216"/>
      <c r="L43" s="216"/>
      <c r="M43" s="217"/>
      <c r="N43" s="146"/>
      <c r="O43" s="146"/>
      <c r="P43" s="146"/>
      <c r="Q43" s="217"/>
      <c r="R43" s="217"/>
      <c r="S43" s="217"/>
      <c r="T43" s="217"/>
      <c r="U43" s="217"/>
      <c r="V43" s="217"/>
      <c r="W43" s="217"/>
      <c r="X43" s="217"/>
      <c r="Y43" s="138"/>
      <c r="Z43" s="138"/>
      <c r="AA43" s="218"/>
    </row>
    <row r="44" spans="1:27" ht="18" hidden="1" customHeight="1" outlineLevel="1">
      <c r="A44" s="188">
        <v>23</v>
      </c>
      <c r="B44" s="116"/>
      <c r="C44" s="116"/>
      <c r="D44" s="197"/>
      <c r="E44" s="116"/>
      <c r="F44" s="131" t="str">
        <f t="shared" si="0"/>
        <v/>
      </c>
      <c r="G44" s="318"/>
      <c r="H44" s="319"/>
      <c r="I44" s="217"/>
      <c r="J44" s="217"/>
      <c r="K44" s="217"/>
      <c r="L44" s="217"/>
      <c r="M44" s="217"/>
      <c r="N44" s="146"/>
      <c r="O44" s="146"/>
      <c r="P44" s="146"/>
      <c r="Q44" s="217"/>
      <c r="R44" s="217"/>
      <c r="S44" s="217"/>
      <c r="T44" s="217"/>
      <c r="U44" s="217"/>
      <c r="V44" s="217"/>
      <c r="W44" s="217"/>
      <c r="X44" s="217"/>
      <c r="Y44" s="138"/>
      <c r="Z44" s="138"/>
      <c r="AA44" s="218"/>
    </row>
    <row r="45" spans="1:27" ht="18" hidden="1" customHeight="1" outlineLevel="1">
      <c r="A45" s="188">
        <v>24</v>
      </c>
      <c r="B45" s="116"/>
      <c r="C45" s="116"/>
      <c r="D45" s="197"/>
      <c r="E45" s="116"/>
      <c r="F45" s="131" t="str">
        <f t="shared" si="0"/>
        <v/>
      </c>
      <c r="G45" s="318"/>
      <c r="H45" s="319"/>
      <c r="I45" s="217"/>
      <c r="J45" s="217"/>
      <c r="K45" s="217"/>
      <c r="L45" s="217"/>
      <c r="M45" s="217"/>
      <c r="N45" s="146"/>
      <c r="O45" s="146"/>
      <c r="P45" s="146"/>
      <c r="Q45" s="217"/>
      <c r="R45" s="217"/>
      <c r="S45" s="217"/>
      <c r="T45" s="217"/>
      <c r="U45" s="217"/>
      <c r="V45" s="217"/>
      <c r="W45" s="217"/>
      <c r="X45" s="217"/>
      <c r="Y45" s="151"/>
      <c r="Z45" s="151"/>
      <c r="AA45" s="31"/>
    </row>
    <row r="46" spans="1:27" ht="18" hidden="1" customHeight="1" outlineLevel="1">
      <c r="A46" s="188">
        <v>25</v>
      </c>
      <c r="B46" s="116"/>
      <c r="C46" s="116"/>
      <c r="D46" s="197"/>
      <c r="E46" s="116"/>
      <c r="F46" s="131" t="str">
        <f t="shared" si="0"/>
        <v/>
      </c>
      <c r="G46" s="318"/>
      <c r="H46" s="319"/>
      <c r="I46" s="217"/>
      <c r="J46" s="217"/>
      <c r="K46" s="217"/>
      <c r="L46" s="217"/>
      <c r="M46" s="217"/>
      <c r="N46" s="146"/>
      <c r="O46" s="146"/>
      <c r="P46" s="146"/>
      <c r="Q46" s="217"/>
      <c r="R46" s="217"/>
      <c r="S46" s="217"/>
      <c r="T46" s="217"/>
      <c r="U46" s="217"/>
      <c r="V46" s="217"/>
      <c r="W46" s="217"/>
      <c r="X46" s="217"/>
      <c r="Y46" s="151"/>
      <c r="Z46" s="151"/>
      <c r="AA46" s="31"/>
    </row>
    <row r="47" spans="1:27" ht="18" hidden="1" customHeight="1" outlineLevel="1">
      <c r="A47" s="188">
        <v>26</v>
      </c>
      <c r="B47" s="116"/>
      <c r="C47" s="116"/>
      <c r="D47" s="197"/>
      <c r="E47" s="116"/>
      <c r="F47" s="131" t="str">
        <f t="shared" si="0"/>
        <v/>
      </c>
      <c r="G47" s="318"/>
      <c r="H47" s="319"/>
      <c r="I47" s="217"/>
      <c r="J47" s="217"/>
      <c r="K47" s="217"/>
      <c r="L47" s="217"/>
      <c r="M47" s="217"/>
      <c r="N47" s="146"/>
      <c r="O47" s="146"/>
      <c r="P47" s="146"/>
      <c r="Q47" s="217"/>
      <c r="R47" s="217"/>
      <c r="S47" s="217"/>
      <c r="T47" s="217"/>
      <c r="U47" s="217"/>
      <c r="V47" s="217"/>
      <c r="W47" s="217"/>
      <c r="X47" s="217"/>
      <c r="Y47" s="151"/>
      <c r="Z47" s="151"/>
      <c r="AA47" s="31"/>
    </row>
    <row r="48" spans="1:27" ht="18" hidden="1" customHeight="1" outlineLevel="1">
      <c r="A48" s="188">
        <v>27</v>
      </c>
      <c r="B48" s="116"/>
      <c r="C48" s="116"/>
      <c r="D48" s="197"/>
      <c r="E48" s="116"/>
      <c r="F48" s="131" t="str">
        <f t="shared" si="0"/>
        <v/>
      </c>
      <c r="G48" s="318"/>
      <c r="H48" s="319"/>
      <c r="I48" s="217"/>
      <c r="J48" s="217"/>
      <c r="K48" s="217"/>
      <c r="L48" s="217"/>
      <c r="M48" s="217"/>
      <c r="N48" s="146"/>
      <c r="O48" s="146"/>
      <c r="P48" s="146"/>
      <c r="Q48" s="217"/>
      <c r="R48" s="217"/>
      <c r="S48" s="217"/>
      <c r="T48" s="217"/>
      <c r="U48" s="217"/>
      <c r="V48" s="217"/>
      <c r="W48" s="217"/>
      <c r="X48" s="217"/>
      <c r="Y48" s="151"/>
      <c r="Z48" s="151"/>
      <c r="AA48" s="31"/>
    </row>
    <row r="49" spans="1:27" ht="18" hidden="1" customHeight="1" outlineLevel="1">
      <c r="A49" s="188">
        <v>28</v>
      </c>
      <c r="B49" s="116"/>
      <c r="C49" s="116"/>
      <c r="D49" s="197"/>
      <c r="E49" s="116"/>
      <c r="F49" s="131" t="str">
        <f t="shared" si="0"/>
        <v/>
      </c>
      <c r="G49" s="318"/>
      <c r="H49" s="319"/>
      <c r="I49" s="217"/>
      <c r="J49" s="217"/>
      <c r="K49" s="217"/>
      <c r="L49" s="217"/>
      <c r="M49" s="217"/>
      <c r="N49" s="146"/>
      <c r="O49" s="146"/>
      <c r="P49" s="146"/>
      <c r="Q49" s="217"/>
      <c r="R49" s="217"/>
      <c r="S49" s="217"/>
      <c r="T49" s="217"/>
      <c r="U49" s="217"/>
      <c r="V49" s="217"/>
      <c r="W49" s="217"/>
      <c r="X49" s="217"/>
      <c r="Y49" s="151"/>
      <c r="Z49" s="151"/>
      <c r="AA49" s="31"/>
    </row>
    <row r="50" spans="1:27" ht="18" hidden="1" customHeight="1" outlineLevel="1">
      <c r="A50" s="188">
        <v>29</v>
      </c>
      <c r="B50" s="116"/>
      <c r="C50" s="116"/>
      <c r="D50" s="197"/>
      <c r="E50" s="116"/>
      <c r="F50" s="131" t="str">
        <f t="shared" si="0"/>
        <v/>
      </c>
      <c r="G50" s="318"/>
      <c r="H50" s="319"/>
      <c r="I50" s="217"/>
      <c r="J50" s="217"/>
      <c r="K50" s="217"/>
      <c r="L50" s="217"/>
      <c r="M50" s="217"/>
      <c r="N50" s="146"/>
      <c r="O50" s="146"/>
      <c r="P50" s="146"/>
      <c r="Q50" s="217"/>
      <c r="R50" s="217"/>
      <c r="S50" s="217"/>
      <c r="T50" s="217"/>
      <c r="U50" s="217"/>
      <c r="V50" s="217"/>
      <c r="W50" s="217"/>
      <c r="X50" s="217"/>
      <c r="Y50" s="151"/>
      <c r="Z50" s="151"/>
      <c r="AA50" s="31"/>
    </row>
    <row r="51" spans="1:27" ht="18" hidden="1" customHeight="1" outlineLevel="1">
      <c r="A51" s="188">
        <v>30</v>
      </c>
      <c r="B51" s="116"/>
      <c r="C51" s="116"/>
      <c r="D51" s="197"/>
      <c r="E51" s="116"/>
      <c r="F51" s="131" t="str">
        <f t="shared" si="0"/>
        <v/>
      </c>
      <c r="G51" s="318"/>
      <c r="H51" s="319"/>
      <c r="I51" s="217"/>
      <c r="J51" s="217"/>
      <c r="K51" s="217"/>
      <c r="L51" s="217"/>
      <c r="M51" s="217"/>
      <c r="N51" s="146"/>
      <c r="O51" s="146"/>
      <c r="P51" s="146"/>
      <c r="Q51" s="217"/>
      <c r="R51" s="217"/>
      <c r="S51" s="217"/>
      <c r="T51" s="217"/>
      <c r="U51" s="217"/>
      <c r="V51" s="217"/>
      <c r="W51" s="217"/>
      <c r="X51" s="217"/>
      <c r="Y51" s="151"/>
      <c r="Z51" s="151"/>
      <c r="AA51" s="31"/>
    </row>
    <row r="52" spans="1:27" ht="18" hidden="1" customHeight="1" outlineLevel="1">
      <c r="A52" s="188">
        <v>31</v>
      </c>
      <c r="B52" s="116"/>
      <c r="C52" s="116"/>
      <c r="D52" s="197"/>
      <c r="E52" s="116"/>
      <c r="F52" s="299" t="str">
        <f t="shared" si="0"/>
        <v/>
      </c>
      <c r="G52" s="318"/>
      <c r="H52" s="319"/>
      <c r="I52" s="159" t="s">
        <v>170</v>
      </c>
      <c r="J52" s="217"/>
      <c r="K52" s="217"/>
      <c r="L52" s="217"/>
      <c r="M52" s="217"/>
      <c r="N52" s="146"/>
      <c r="O52" s="146"/>
      <c r="P52" s="146"/>
      <c r="Q52" s="217"/>
      <c r="R52" s="217"/>
      <c r="S52" s="217"/>
      <c r="T52" s="217"/>
      <c r="U52" s="217"/>
      <c r="V52" s="217"/>
      <c r="W52" s="217"/>
      <c r="X52" s="217"/>
      <c r="Y52" s="151"/>
      <c r="Z52" s="151"/>
      <c r="AA52" s="31"/>
    </row>
    <row r="53" spans="1:27" ht="18" hidden="1" customHeight="1" outlineLevel="2">
      <c r="A53" s="188">
        <v>32</v>
      </c>
      <c r="B53" s="116"/>
      <c r="C53" s="116"/>
      <c r="D53" s="197"/>
      <c r="E53" s="116"/>
      <c r="F53" s="299" t="str">
        <f t="shared" ref="F53:F73" si="1">INDEX(logic_VentFlow,MATCH($A53,logic_EquipNo,0))</f>
        <v/>
      </c>
      <c r="G53" s="318"/>
      <c r="H53" s="319"/>
      <c r="I53" s="158"/>
      <c r="J53" s="217"/>
      <c r="K53" s="217"/>
      <c r="L53" s="217"/>
      <c r="M53" s="217"/>
      <c r="N53" s="146"/>
      <c r="O53" s="146"/>
      <c r="P53" s="146"/>
      <c r="Q53" s="217"/>
      <c r="R53" s="217"/>
      <c r="S53" s="217"/>
      <c r="T53" s="217"/>
      <c r="U53" s="217"/>
      <c r="V53" s="217"/>
      <c r="W53" s="217"/>
      <c r="X53" s="217"/>
      <c r="Y53" s="151"/>
      <c r="Z53" s="151"/>
      <c r="AA53" s="31"/>
    </row>
    <row r="54" spans="1:27" ht="18" hidden="1" customHeight="1" outlineLevel="2">
      <c r="A54" s="188">
        <v>33</v>
      </c>
      <c r="B54" s="116"/>
      <c r="C54" s="116"/>
      <c r="D54" s="197"/>
      <c r="E54" s="116"/>
      <c r="F54" s="299" t="str">
        <f t="shared" si="1"/>
        <v/>
      </c>
      <c r="G54" s="318"/>
      <c r="H54" s="319"/>
      <c r="I54" s="158"/>
      <c r="J54" s="217"/>
      <c r="K54" s="217"/>
      <c r="L54" s="217"/>
      <c r="M54" s="217"/>
      <c r="N54" s="146"/>
      <c r="O54" s="146"/>
      <c r="P54" s="146"/>
      <c r="Q54" s="217"/>
      <c r="R54" s="217"/>
      <c r="S54" s="217"/>
      <c r="T54" s="217"/>
      <c r="U54" s="217"/>
      <c r="V54" s="217"/>
      <c r="W54" s="217"/>
      <c r="X54" s="217"/>
      <c r="Y54" s="151"/>
      <c r="Z54" s="151"/>
      <c r="AA54" s="31"/>
    </row>
    <row r="55" spans="1:27" ht="18" hidden="1" customHeight="1" outlineLevel="2">
      <c r="A55" s="188">
        <v>34</v>
      </c>
      <c r="B55" s="116"/>
      <c r="C55" s="116"/>
      <c r="D55" s="197"/>
      <c r="E55" s="116"/>
      <c r="F55" s="299" t="str">
        <f t="shared" si="1"/>
        <v/>
      </c>
      <c r="G55" s="318"/>
      <c r="H55" s="319"/>
      <c r="I55" s="158"/>
      <c r="J55" s="216"/>
      <c r="K55" s="216"/>
      <c r="L55" s="216"/>
      <c r="M55" s="217"/>
      <c r="N55" s="146"/>
      <c r="O55" s="146"/>
      <c r="P55" s="146"/>
      <c r="Q55" s="217"/>
      <c r="R55" s="217"/>
      <c r="S55" s="217"/>
      <c r="T55" s="217"/>
      <c r="U55" s="217"/>
      <c r="V55" s="217"/>
      <c r="W55" s="217"/>
      <c r="X55" s="217"/>
      <c r="Y55" s="138"/>
      <c r="Z55" s="138"/>
      <c r="AA55" s="218"/>
    </row>
    <row r="56" spans="1:27" ht="18" hidden="1" customHeight="1" outlineLevel="2">
      <c r="A56" s="188">
        <v>35</v>
      </c>
      <c r="B56" s="116"/>
      <c r="C56" s="116"/>
      <c r="D56" s="197"/>
      <c r="E56" s="116"/>
      <c r="F56" s="299" t="str">
        <f t="shared" si="1"/>
        <v/>
      </c>
      <c r="G56" s="318"/>
      <c r="H56" s="319"/>
      <c r="I56" s="158"/>
      <c r="J56" s="217"/>
      <c r="K56" s="217"/>
      <c r="L56" s="217"/>
      <c r="M56" s="217"/>
      <c r="N56" s="146"/>
      <c r="O56" s="146"/>
      <c r="P56" s="146"/>
      <c r="Q56" s="217"/>
      <c r="R56" s="217"/>
      <c r="S56" s="217"/>
      <c r="T56" s="217"/>
      <c r="U56" s="217"/>
      <c r="V56" s="217"/>
      <c r="W56" s="217"/>
      <c r="X56" s="217"/>
      <c r="Y56" s="138"/>
      <c r="Z56" s="138"/>
      <c r="AA56" s="218"/>
    </row>
    <row r="57" spans="1:27" ht="18" hidden="1" customHeight="1" outlineLevel="2">
      <c r="A57" s="188">
        <v>36</v>
      </c>
      <c r="B57" s="116"/>
      <c r="C57" s="116"/>
      <c r="D57" s="197"/>
      <c r="E57" s="116"/>
      <c r="F57" s="299" t="str">
        <f t="shared" si="1"/>
        <v/>
      </c>
      <c r="G57" s="318"/>
      <c r="H57" s="319"/>
      <c r="I57" s="158"/>
      <c r="J57" s="217"/>
      <c r="K57" s="217"/>
      <c r="L57" s="217"/>
      <c r="M57" s="217"/>
      <c r="N57" s="146"/>
      <c r="O57" s="146"/>
      <c r="P57" s="146"/>
      <c r="Q57" s="217"/>
      <c r="R57" s="217"/>
      <c r="S57" s="217"/>
      <c r="T57" s="217"/>
      <c r="U57" s="217"/>
      <c r="V57" s="217"/>
      <c r="W57" s="217"/>
      <c r="X57" s="217"/>
      <c r="Y57" s="151"/>
      <c r="Z57" s="151"/>
      <c r="AA57" s="31"/>
    </row>
    <row r="58" spans="1:27" ht="18" hidden="1" customHeight="1" outlineLevel="2">
      <c r="A58" s="188">
        <v>37</v>
      </c>
      <c r="B58" s="116"/>
      <c r="C58" s="116"/>
      <c r="D58" s="197"/>
      <c r="E58" s="116"/>
      <c r="F58" s="299" t="str">
        <f t="shared" si="1"/>
        <v/>
      </c>
      <c r="G58" s="318"/>
      <c r="H58" s="319"/>
      <c r="I58" s="158"/>
      <c r="J58" s="217"/>
      <c r="K58" s="217"/>
      <c r="L58" s="217"/>
      <c r="M58" s="217"/>
      <c r="N58" s="146"/>
      <c r="O58" s="146"/>
      <c r="P58" s="146"/>
      <c r="Q58" s="217"/>
      <c r="R58" s="217"/>
      <c r="S58" s="217"/>
      <c r="T58" s="217"/>
      <c r="U58" s="217"/>
      <c r="V58" s="217"/>
      <c r="W58" s="217"/>
      <c r="X58" s="217"/>
      <c r="Y58" s="151"/>
      <c r="Z58" s="151"/>
      <c r="AA58" s="31"/>
    </row>
    <row r="59" spans="1:27" ht="18" hidden="1" customHeight="1" outlineLevel="2">
      <c r="A59" s="188">
        <v>38</v>
      </c>
      <c r="B59" s="116"/>
      <c r="C59" s="116"/>
      <c r="D59" s="197"/>
      <c r="E59" s="116"/>
      <c r="F59" s="299" t="str">
        <f t="shared" si="1"/>
        <v/>
      </c>
      <c r="G59" s="318"/>
      <c r="H59" s="319"/>
      <c r="I59" s="158"/>
      <c r="J59" s="217"/>
      <c r="K59" s="217"/>
      <c r="L59" s="217"/>
      <c r="M59" s="217"/>
      <c r="N59" s="146"/>
      <c r="O59" s="146"/>
      <c r="P59" s="146"/>
      <c r="Q59" s="217"/>
      <c r="R59" s="217"/>
      <c r="S59" s="217"/>
      <c r="T59" s="217"/>
      <c r="U59" s="217"/>
      <c r="V59" s="217"/>
      <c r="W59" s="217"/>
      <c r="X59" s="217"/>
      <c r="Y59" s="151"/>
      <c r="Z59" s="151"/>
      <c r="AA59" s="31"/>
    </row>
    <row r="60" spans="1:27" ht="18" hidden="1" customHeight="1" outlineLevel="2">
      <c r="A60" s="188">
        <v>39</v>
      </c>
      <c r="B60" s="116"/>
      <c r="C60" s="116"/>
      <c r="D60" s="197"/>
      <c r="E60" s="116"/>
      <c r="F60" s="299" t="str">
        <f t="shared" si="1"/>
        <v/>
      </c>
      <c r="G60" s="318"/>
      <c r="H60" s="319"/>
      <c r="I60" s="158"/>
      <c r="J60" s="217"/>
      <c r="K60" s="217"/>
      <c r="L60" s="217"/>
      <c r="M60" s="217"/>
      <c r="N60" s="146"/>
      <c r="O60" s="146"/>
      <c r="P60" s="146"/>
      <c r="Q60" s="217"/>
      <c r="R60" s="217"/>
      <c r="S60" s="217"/>
      <c r="T60" s="217"/>
      <c r="U60" s="217"/>
      <c r="V60" s="217"/>
      <c r="W60" s="217"/>
      <c r="X60" s="217"/>
      <c r="Y60" s="151"/>
      <c r="Z60" s="151"/>
      <c r="AA60" s="31"/>
    </row>
    <row r="61" spans="1:27" ht="18" hidden="1" customHeight="1" outlineLevel="2">
      <c r="A61" s="188">
        <v>40</v>
      </c>
      <c r="B61" s="116"/>
      <c r="C61" s="116"/>
      <c r="D61" s="197"/>
      <c r="E61" s="116"/>
      <c r="F61" s="299" t="str">
        <f t="shared" si="1"/>
        <v/>
      </c>
      <c r="G61" s="318"/>
      <c r="H61" s="319"/>
      <c r="I61" s="158"/>
      <c r="J61" s="217"/>
      <c r="K61" s="217"/>
      <c r="L61" s="217"/>
      <c r="M61" s="217"/>
      <c r="N61" s="146"/>
      <c r="O61" s="146"/>
      <c r="P61" s="146"/>
      <c r="Q61" s="217"/>
      <c r="R61" s="217"/>
      <c r="S61" s="217"/>
      <c r="T61" s="217"/>
      <c r="U61" s="217"/>
      <c r="V61" s="217"/>
      <c r="W61" s="217"/>
      <c r="X61" s="217"/>
      <c r="Y61" s="151"/>
      <c r="Z61" s="151"/>
      <c r="AA61" s="31"/>
    </row>
    <row r="62" spans="1:27" ht="18" hidden="1" customHeight="1" outlineLevel="2">
      <c r="A62" s="188">
        <v>41</v>
      </c>
      <c r="B62" s="116"/>
      <c r="C62" s="116"/>
      <c r="D62" s="197"/>
      <c r="E62" s="116"/>
      <c r="F62" s="299" t="str">
        <f t="shared" si="1"/>
        <v/>
      </c>
      <c r="G62" s="318"/>
      <c r="H62" s="319"/>
      <c r="I62" s="158"/>
      <c r="J62" s="217"/>
      <c r="K62" s="217"/>
      <c r="L62" s="217"/>
      <c r="M62" s="217"/>
      <c r="N62" s="146"/>
      <c r="O62" s="146"/>
      <c r="P62" s="146"/>
      <c r="Q62" s="217"/>
      <c r="R62" s="217"/>
      <c r="S62" s="217"/>
      <c r="T62" s="217"/>
      <c r="U62" s="217"/>
      <c r="V62" s="217"/>
      <c r="W62" s="217"/>
      <c r="X62" s="217"/>
      <c r="Y62" s="151"/>
      <c r="Z62" s="151"/>
      <c r="AA62" s="31"/>
    </row>
    <row r="63" spans="1:27" ht="18" hidden="1" customHeight="1" outlineLevel="2">
      <c r="A63" s="188">
        <v>42</v>
      </c>
      <c r="B63" s="116"/>
      <c r="C63" s="116"/>
      <c r="D63" s="197"/>
      <c r="E63" s="116"/>
      <c r="F63" s="299" t="str">
        <f t="shared" si="1"/>
        <v/>
      </c>
      <c r="G63" s="318"/>
      <c r="H63" s="319"/>
      <c r="I63" s="158"/>
      <c r="J63" s="217"/>
      <c r="K63" s="217"/>
      <c r="L63" s="217"/>
      <c r="M63" s="217"/>
      <c r="N63" s="146"/>
      <c r="O63" s="146"/>
      <c r="P63" s="146"/>
      <c r="Q63" s="217"/>
      <c r="R63" s="217"/>
      <c r="S63" s="217"/>
      <c r="T63" s="217"/>
      <c r="U63" s="217"/>
      <c r="V63" s="217"/>
      <c r="W63" s="217"/>
      <c r="X63" s="217"/>
      <c r="Y63" s="151"/>
      <c r="Z63" s="151"/>
      <c r="AA63" s="31"/>
    </row>
    <row r="64" spans="1:27" ht="18" hidden="1" customHeight="1" outlineLevel="2">
      <c r="A64" s="188">
        <v>43</v>
      </c>
      <c r="B64" s="116"/>
      <c r="C64" s="116"/>
      <c r="D64" s="197"/>
      <c r="E64" s="116"/>
      <c r="F64" s="299" t="str">
        <f t="shared" si="1"/>
        <v/>
      </c>
      <c r="G64" s="318"/>
      <c r="H64" s="319"/>
      <c r="I64" s="158"/>
      <c r="J64" s="217"/>
      <c r="K64" s="217"/>
      <c r="L64" s="217"/>
      <c r="M64" s="217"/>
      <c r="N64" s="146"/>
      <c r="O64" s="146"/>
      <c r="P64" s="146"/>
      <c r="Q64" s="217"/>
      <c r="R64" s="217"/>
      <c r="S64" s="217"/>
      <c r="T64" s="217"/>
      <c r="U64" s="217"/>
      <c r="V64" s="217"/>
      <c r="W64" s="217"/>
      <c r="X64" s="217"/>
      <c r="Y64" s="151"/>
      <c r="Z64" s="151"/>
      <c r="AA64" s="31"/>
    </row>
    <row r="65" spans="1:27" ht="18" hidden="1" customHeight="1" outlineLevel="2">
      <c r="A65" s="188">
        <v>44</v>
      </c>
      <c r="B65" s="116"/>
      <c r="C65" s="116"/>
      <c r="D65" s="197"/>
      <c r="E65" s="116"/>
      <c r="F65" s="299" t="str">
        <f t="shared" si="1"/>
        <v/>
      </c>
      <c r="G65" s="318"/>
      <c r="H65" s="319"/>
      <c r="I65" s="158"/>
      <c r="J65" s="216"/>
      <c r="K65" s="216"/>
      <c r="L65" s="216"/>
      <c r="M65" s="217"/>
      <c r="N65" s="146"/>
      <c r="O65" s="146"/>
      <c r="P65" s="146"/>
      <c r="Q65" s="217"/>
      <c r="R65" s="217"/>
      <c r="S65" s="217"/>
      <c r="T65" s="217"/>
      <c r="U65" s="217"/>
      <c r="V65" s="217"/>
      <c r="W65" s="217"/>
      <c r="X65" s="217"/>
      <c r="Y65" s="138"/>
      <c r="Z65" s="138"/>
      <c r="AA65" s="218"/>
    </row>
    <row r="66" spans="1:27" ht="18" hidden="1" customHeight="1" outlineLevel="2">
      <c r="A66" s="188">
        <v>45</v>
      </c>
      <c r="B66" s="116"/>
      <c r="C66" s="116"/>
      <c r="D66" s="197"/>
      <c r="E66" s="116"/>
      <c r="F66" s="299" t="str">
        <f t="shared" si="1"/>
        <v/>
      </c>
      <c r="G66" s="318"/>
      <c r="H66" s="319"/>
      <c r="I66" s="158"/>
      <c r="J66" s="217"/>
      <c r="K66" s="217"/>
      <c r="L66" s="217"/>
      <c r="M66" s="217"/>
      <c r="N66" s="146"/>
      <c r="O66" s="146"/>
      <c r="P66" s="146"/>
      <c r="Q66" s="217"/>
      <c r="R66" s="217"/>
      <c r="S66" s="217"/>
      <c r="T66" s="217"/>
      <c r="U66" s="217"/>
      <c r="V66" s="217"/>
      <c r="W66" s="217"/>
      <c r="X66" s="217"/>
      <c r="Y66" s="138"/>
      <c r="Z66" s="138"/>
      <c r="AA66" s="218"/>
    </row>
    <row r="67" spans="1:27" ht="18" hidden="1" customHeight="1" outlineLevel="2">
      <c r="A67" s="188">
        <v>46</v>
      </c>
      <c r="B67" s="116"/>
      <c r="C67" s="116"/>
      <c r="D67" s="197"/>
      <c r="E67" s="116"/>
      <c r="F67" s="299" t="str">
        <f t="shared" si="1"/>
        <v/>
      </c>
      <c r="G67" s="318"/>
      <c r="H67" s="319"/>
      <c r="I67" s="158"/>
      <c r="J67" s="217"/>
      <c r="K67" s="217"/>
      <c r="L67" s="217"/>
      <c r="M67" s="217"/>
      <c r="N67" s="146"/>
      <c r="O67" s="146"/>
      <c r="P67" s="146"/>
      <c r="Q67" s="217"/>
      <c r="R67" s="217"/>
      <c r="S67" s="217"/>
      <c r="T67" s="217"/>
      <c r="U67" s="217"/>
      <c r="V67" s="217"/>
      <c r="W67" s="217"/>
      <c r="X67" s="217"/>
      <c r="Y67" s="151"/>
      <c r="Z67" s="151"/>
      <c r="AA67" s="31"/>
    </row>
    <row r="68" spans="1:27" ht="18" hidden="1" customHeight="1" outlineLevel="2">
      <c r="A68" s="188">
        <v>47</v>
      </c>
      <c r="B68" s="116"/>
      <c r="C68" s="116"/>
      <c r="D68" s="197"/>
      <c r="E68" s="116"/>
      <c r="F68" s="299" t="str">
        <f t="shared" si="1"/>
        <v/>
      </c>
      <c r="G68" s="318"/>
      <c r="H68" s="319"/>
      <c r="I68" s="158"/>
      <c r="J68" s="217"/>
      <c r="K68" s="217"/>
      <c r="L68" s="217"/>
      <c r="M68" s="217"/>
      <c r="N68" s="146"/>
      <c r="O68" s="146"/>
      <c r="P68" s="146"/>
      <c r="Q68" s="217"/>
      <c r="R68" s="217"/>
      <c r="S68" s="217"/>
      <c r="T68" s="217"/>
      <c r="U68" s="217"/>
      <c r="V68" s="217"/>
      <c r="W68" s="217"/>
      <c r="X68" s="217"/>
      <c r="Y68" s="151"/>
      <c r="Z68" s="151"/>
      <c r="AA68" s="31"/>
    </row>
    <row r="69" spans="1:27" ht="18" hidden="1" customHeight="1" outlineLevel="2">
      <c r="A69" s="188">
        <v>48</v>
      </c>
      <c r="B69" s="116"/>
      <c r="C69" s="116"/>
      <c r="D69" s="197"/>
      <c r="E69" s="116"/>
      <c r="F69" s="299" t="str">
        <f t="shared" si="1"/>
        <v/>
      </c>
      <c r="G69" s="318"/>
      <c r="H69" s="319"/>
      <c r="I69" s="158"/>
      <c r="J69" s="217"/>
      <c r="K69" s="217"/>
      <c r="L69" s="217"/>
      <c r="M69" s="217"/>
      <c r="N69" s="146"/>
      <c r="O69" s="146"/>
      <c r="P69" s="146"/>
      <c r="Q69" s="217"/>
      <c r="R69" s="217"/>
      <c r="S69" s="217"/>
      <c r="T69" s="217"/>
      <c r="U69" s="217"/>
      <c r="V69" s="217"/>
      <c r="W69" s="217"/>
      <c r="X69" s="217"/>
      <c r="Y69" s="151"/>
      <c r="Z69" s="151"/>
      <c r="AA69" s="31"/>
    </row>
    <row r="70" spans="1:27" ht="18" hidden="1" customHeight="1" outlineLevel="2">
      <c r="A70" s="188">
        <v>49</v>
      </c>
      <c r="B70" s="116"/>
      <c r="C70" s="116"/>
      <c r="D70" s="197"/>
      <c r="E70" s="116"/>
      <c r="F70" s="299" t="str">
        <f t="shared" si="1"/>
        <v/>
      </c>
      <c r="G70" s="318"/>
      <c r="H70" s="319"/>
      <c r="I70" s="158"/>
      <c r="J70" s="217"/>
      <c r="K70" s="217"/>
      <c r="L70" s="217"/>
      <c r="M70" s="217"/>
      <c r="N70" s="146"/>
      <c r="O70" s="146"/>
      <c r="P70" s="146"/>
      <c r="Q70" s="217"/>
      <c r="R70" s="217"/>
      <c r="S70" s="217"/>
      <c r="T70" s="217"/>
      <c r="U70" s="217"/>
      <c r="V70" s="217"/>
      <c r="W70" s="217"/>
      <c r="X70" s="217"/>
      <c r="Y70" s="151"/>
      <c r="Z70" s="151"/>
      <c r="AA70" s="31"/>
    </row>
    <row r="71" spans="1:27" ht="18" hidden="1" customHeight="1" outlineLevel="2">
      <c r="A71" s="188">
        <v>50</v>
      </c>
      <c r="B71" s="116"/>
      <c r="C71" s="116"/>
      <c r="D71" s="197"/>
      <c r="E71" s="116"/>
      <c r="F71" s="299" t="str">
        <f t="shared" si="1"/>
        <v/>
      </c>
      <c r="G71" s="318"/>
      <c r="H71" s="319"/>
      <c r="I71" s="158"/>
      <c r="J71" s="217"/>
      <c r="K71" s="217"/>
      <c r="L71" s="217"/>
      <c r="M71" s="217"/>
      <c r="N71" s="146"/>
      <c r="O71" s="146"/>
      <c r="P71" s="146"/>
      <c r="Q71" s="217"/>
      <c r="R71" s="217"/>
      <c r="S71" s="217"/>
      <c r="T71" s="217"/>
      <c r="U71" s="217"/>
      <c r="V71" s="217"/>
      <c r="W71" s="217"/>
      <c r="X71" s="217"/>
      <c r="Y71" s="151"/>
      <c r="Z71" s="151"/>
      <c r="AA71" s="31"/>
    </row>
    <row r="72" spans="1:27" ht="18" hidden="1" customHeight="1" outlineLevel="2">
      <c r="A72" s="188">
        <v>51</v>
      </c>
      <c r="B72" s="116"/>
      <c r="C72" s="116"/>
      <c r="D72" s="197"/>
      <c r="E72" s="116"/>
      <c r="F72" s="299" t="str">
        <f t="shared" si="1"/>
        <v/>
      </c>
      <c r="G72" s="318"/>
      <c r="H72" s="319"/>
      <c r="I72" s="158"/>
      <c r="J72" s="217"/>
      <c r="K72" s="217"/>
      <c r="L72" s="217"/>
      <c r="M72" s="217"/>
      <c r="N72" s="146"/>
      <c r="O72" s="146"/>
      <c r="P72" s="146"/>
      <c r="Q72" s="217"/>
      <c r="R72" s="217"/>
      <c r="S72" s="217"/>
      <c r="T72" s="217"/>
      <c r="U72" s="217"/>
      <c r="V72" s="217"/>
      <c r="W72" s="217"/>
      <c r="X72" s="217"/>
      <c r="Y72" s="151"/>
      <c r="Z72" s="151"/>
      <c r="AA72" s="31"/>
    </row>
    <row r="73" spans="1:27" ht="18" hidden="1" customHeight="1" outlineLevel="1" collapsed="1">
      <c r="A73" s="188">
        <v>52</v>
      </c>
      <c r="B73" s="116"/>
      <c r="C73" s="116"/>
      <c r="D73" s="197"/>
      <c r="E73" s="116"/>
      <c r="F73" s="299" t="str">
        <f t="shared" si="1"/>
        <v/>
      </c>
      <c r="G73" s="318"/>
      <c r="H73" s="319"/>
      <c r="I73" s="159" t="s">
        <v>170</v>
      </c>
      <c r="J73" s="217"/>
      <c r="K73" s="217"/>
      <c r="L73" s="217"/>
      <c r="M73" s="217"/>
      <c r="N73" s="146"/>
      <c r="O73" s="146"/>
      <c r="P73" s="146"/>
      <c r="Q73" s="217"/>
      <c r="R73" s="217"/>
      <c r="S73" s="217"/>
      <c r="T73" s="217"/>
      <c r="U73" s="217"/>
      <c r="V73" s="217"/>
      <c r="W73" s="217"/>
      <c r="X73" s="217"/>
      <c r="Y73" s="151"/>
      <c r="Z73" s="151"/>
      <c r="AA73" s="31"/>
    </row>
    <row r="74" spans="1:27" ht="18" hidden="1" customHeight="1" outlineLevel="2">
      <c r="A74" s="188">
        <v>53</v>
      </c>
      <c r="B74" s="116"/>
      <c r="C74" s="116"/>
      <c r="D74" s="197"/>
      <c r="E74" s="116"/>
      <c r="F74" s="299" t="str">
        <f t="shared" ref="F74:F94" si="2">INDEX(logic_VentFlow,MATCH($A74,logic_EquipNo,0))</f>
        <v/>
      </c>
      <c r="G74" s="318"/>
      <c r="H74" s="319"/>
      <c r="I74" s="158"/>
      <c r="J74" s="217"/>
      <c r="K74" s="217"/>
      <c r="L74" s="217"/>
      <c r="M74" s="217"/>
      <c r="N74" s="146"/>
      <c r="O74" s="146"/>
      <c r="P74" s="146"/>
      <c r="Q74" s="217"/>
      <c r="R74" s="217"/>
      <c r="S74" s="217"/>
      <c r="T74" s="217"/>
      <c r="U74" s="217"/>
      <c r="V74" s="217"/>
      <c r="W74" s="217"/>
      <c r="X74" s="217"/>
      <c r="Y74" s="151"/>
      <c r="Z74" s="151"/>
      <c r="AA74" s="31"/>
    </row>
    <row r="75" spans="1:27" ht="18" hidden="1" customHeight="1" outlineLevel="2" collapsed="1">
      <c r="A75" s="188">
        <v>54</v>
      </c>
      <c r="B75" s="116"/>
      <c r="C75" s="116"/>
      <c r="D75" s="197"/>
      <c r="E75" s="116"/>
      <c r="F75" s="299" t="str">
        <f t="shared" si="2"/>
        <v/>
      </c>
      <c r="G75" s="318"/>
      <c r="H75" s="319"/>
      <c r="I75" s="158"/>
      <c r="J75" s="217"/>
      <c r="K75" s="217"/>
      <c r="L75" s="217"/>
      <c r="M75" s="217"/>
      <c r="N75" s="146"/>
      <c r="O75" s="146"/>
      <c r="P75" s="146"/>
      <c r="Q75" s="217"/>
      <c r="R75" s="217"/>
      <c r="S75" s="217"/>
      <c r="T75" s="217"/>
      <c r="U75" s="217"/>
      <c r="V75" s="217"/>
      <c r="W75" s="217"/>
      <c r="X75" s="217"/>
      <c r="Y75" s="151"/>
      <c r="Z75" s="151"/>
      <c r="AA75" s="31"/>
    </row>
    <row r="76" spans="1:27" ht="18" hidden="1" customHeight="1" outlineLevel="2">
      <c r="A76" s="188">
        <v>55</v>
      </c>
      <c r="B76" s="116"/>
      <c r="C76" s="116"/>
      <c r="D76" s="197"/>
      <c r="E76" s="116"/>
      <c r="F76" s="299" t="str">
        <f t="shared" si="2"/>
        <v/>
      </c>
      <c r="G76" s="318"/>
      <c r="H76" s="319"/>
      <c r="I76" s="158"/>
      <c r="J76" s="217"/>
      <c r="K76" s="217"/>
      <c r="L76" s="217"/>
      <c r="M76" s="217"/>
      <c r="N76" s="146"/>
      <c r="O76" s="146"/>
      <c r="P76" s="146"/>
      <c r="Q76" s="217"/>
      <c r="R76" s="217"/>
      <c r="S76" s="217"/>
      <c r="T76" s="217"/>
      <c r="U76" s="217"/>
      <c r="V76" s="217"/>
      <c r="W76" s="217"/>
      <c r="X76" s="217"/>
      <c r="Y76" s="151"/>
      <c r="Z76" s="151"/>
      <c r="AA76" s="31"/>
    </row>
    <row r="77" spans="1:27" ht="18" hidden="1" customHeight="1" outlineLevel="2" collapsed="1">
      <c r="A77" s="188">
        <v>56</v>
      </c>
      <c r="B77" s="116"/>
      <c r="C77" s="116"/>
      <c r="D77" s="197"/>
      <c r="E77" s="116"/>
      <c r="F77" s="299" t="str">
        <f t="shared" si="2"/>
        <v/>
      </c>
      <c r="G77" s="318"/>
      <c r="H77" s="319"/>
      <c r="I77" s="158"/>
      <c r="J77" s="217"/>
      <c r="K77" s="217"/>
      <c r="L77" s="217"/>
      <c r="M77" s="217"/>
      <c r="N77" s="146"/>
      <c r="O77" s="146"/>
      <c r="P77" s="146"/>
      <c r="Q77" s="217"/>
      <c r="R77" s="217"/>
      <c r="S77" s="217"/>
      <c r="T77" s="217"/>
      <c r="U77" s="217"/>
      <c r="V77" s="217"/>
      <c r="W77" s="217"/>
      <c r="X77" s="217"/>
      <c r="Y77" s="151"/>
      <c r="Z77" s="151"/>
      <c r="AA77" s="31"/>
    </row>
    <row r="78" spans="1:27" ht="18" hidden="1" customHeight="1" outlineLevel="2">
      <c r="A78" s="188">
        <v>57</v>
      </c>
      <c r="B78" s="116"/>
      <c r="C78" s="116"/>
      <c r="D78" s="197"/>
      <c r="E78" s="116"/>
      <c r="F78" s="299" t="str">
        <f t="shared" si="2"/>
        <v/>
      </c>
      <c r="G78" s="318"/>
      <c r="H78" s="319"/>
      <c r="I78" s="158"/>
      <c r="J78" s="217"/>
      <c r="K78" s="217"/>
      <c r="L78" s="217"/>
      <c r="M78" s="217"/>
      <c r="N78" s="146"/>
      <c r="O78" s="146"/>
      <c r="P78" s="146"/>
      <c r="Q78" s="217"/>
      <c r="R78" s="217"/>
      <c r="S78" s="217"/>
      <c r="T78" s="217"/>
      <c r="U78" s="217"/>
      <c r="V78" s="217"/>
      <c r="W78" s="217"/>
      <c r="X78" s="217"/>
      <c r="Y78" s="151"/>
      <c r="Z78" s="151"/>
      <c r="AA78" s="31"/>
    </row>
    <row r="79" spans="1:27" ht="18" hidden="1" customHeight="1" outlineLevel="2" collapsed="1">
      <c r="A79" s="188">
        <v>58</v>
      </c>
      <c r="B79" s="116"/>
      <c r="C79" s="116"/>
      <c r="D79" s="197"/>
      <c r="E79" s="116"/>
      <c r="F79" s="299" t="str">
        <f t="shared" si="2"/>
        <v/>
      </c>
      <c r="G79" s="318"/>
      <c r="H79" s="319"/>
      <c r="I79" s="158"/>
      <c r="J79" s="217"/>
      <c r="K79" s="217"/>
      <c r="L79" s="217"/>
      <c r="M79" s="217"/>
      <c r="N79" s="146"/>
      <c r="O79" s="146"/>
      <c r="P79" s="146"/>
      <c r="Q79" s="217"/>
      <c r="R79" s="217"/>
      <c r="S79" s="217"/>
      <c r="T79" s="217"/>
      <c r="U79" s="217"/>
      <c r="V79" s="217"/>
      <c r="W79" s="217"/>
      <c r="X79" s="217"/>
      <c r="Y79" s="151"/>
      <c r="Z79" s="151"/>
      <c r="AA79" s="31"/>
    </row>
    <row r="80" spans="1:27" ht="18" hidden="1" customHeight="1" outlineLevel="2">
      <c r="A80" s="188">
        <v>59</v>
      </c>
      <c r="B80" s="116"/>
      <c r="C80" s="116"/>
      <c r="D80" s="197"/>
      <c r="E80" s="116"/>
      <c r="F80" s="299" t="str">
        <f t="shared" si="2"/>
        <v/>
      </c>
      <c r="G80" s="318"/>
      <c r="H80" s="319"/>
      <c r="I80" s="158"/>
      <c r="J80" s="217"/>
      <c r="K80" s="217"/>
      <c r="L80" s="217"/>
      <c r="M80" s="217"/>
      <c r="N80" s="146"/>
      <c r="O80" s="146"/>
      <c r="P80" s="146"/>
      <c r="Q80" s="217"/>
      <c r="R80" s="217"/>
      <c r="S80" s="217"/>
      <c r="T80" s="217"/>
      <c r="U80" s="217"/>
      <c r="V80" s="217"/>
      <c r="W80" s="217"/>
      <c r="X80" s="217"/>
      <c r="Y80" s="151"/>
      <c r="Z80" s="151"/>
      <c r="AA80" s="31"/>
    </row>
    <row r="81" spans="1:27" ht="18" hidden="1" customHeight="1" outlineLevel="2" collapsed="1">
      <c r="A81" s="188">
        <v>60</v>
      </c>
      <c r="B81" s="116"/>
      <c r="C81" s="116"/>
      <c r="D81" s="197"/>
      <c r="E81" s="116"/>
      <c r="F81" s="299" t="str">
        <f t="shared" si="2"/>
        <v/>
      </c>
      <c r="G81" s="318"/>
      <c r="H81" s="319"/>
      <c r="I81" s="158"/>
      <c r="J81" s="217"/>
      <c r="K81" s="217"/>
      <c r="L81" s="217"/>
      <c r="M81" s="217"/>
      <c r="N81" s="146"/>
      <c r="O81" s="146"/>
      <c r="P81" s="146"/>
      <c r="Q81" s="217"/>
      <c r="R81" s="217"/>
      <c r="S81" s="217"/>
      <c r="T81" s="217"/>
      <c r="U81" s="217"/>
      <c r="V81" s="217"/>
      <c r="W81" s="217"/>
      <c r="X81" s="217"/>
      <c r="Y81" s="151"/>
      <c r="Z81" s="151"/>
      <c r="AA81" s="31"/>
    </row>
    <row r="82" spans="1:27" ht="18" hidden="1" customHeight="1" outlineLevel="2">
      <c r="A82" s="188">
        <v>61</v>
      </c>
      <c r="B82" s="116"/>
      <c r="C82" s="116"/>
      <c r="D82" s="197"/>
      <c r="E82" s="116"/>
      <c r="F82" s="299" t="str">
        <f t="shared" si="2"/>
        <v/>
      </c>
      <c r="G82" s="318"/>
      <c r="H82" s="319"/>
      <c r="I82" s="158"/>
      <c r="J82" s="217"/>
      <c r="K82" s="217"/>
      <c r="L82" s="217"/>
      <c r="M82" s="217"/>
      <c r="N82" s="146"/>
      <c r="O82" s="146"/>
      <c r="P82" s="146"/>
      <c r="Q82" s="217"/>
      <c r="R82" s="217"/>
      <c r="S82" s="217"/>
      <c r="T82" s="217"/>
      <c r="U82" s="217"/>
      <c r="V82" s="217"/>
      <c r="W82" s="217"/>
      <c r="X82" s="217"/>
      <c r="Y82" s="151"/>
      <c r="Z82" s="151"/>
      <c r="AA82" s="31"/>
    </row>
    <row r="83" spans="1:27" ht="18" hidden="1" customHeight="1" outlineLevel="2">
      <c r="A83" s="188">
        <v>62</v>
      </c>
      <c r="B83" s="116"/>
      <c r="C83" s="116"/>
      <c r="D83" s="197"/>
      <c r="E83" s="116"/>
      <c r="F83" s="299" t="str">
        <f t="shared" si="2"/>
        <v/>
      </c>
      <c r="G83" s="318"/>
      <c r="H83" s="319"/>
      <c r="I83" s="158"/>
      <c r="J83" s="217"/>
      <c r="K83" s="217"/>
      <c r="L83" s="217"/>
      <c r="M83" s="217"/>
      <c r="N83" s="146"/>
      <c r="O83" s="146"/>
      <c r="P83" s="146"/>
      <c r="Q83" s="217"/>
      <c r="R83" s="217"/>
      <c r="S83" s="217"/>
      <c r="T83" s="217"/>
      <c r="U83" s="217"/>
      <c r="V83" s="217"/>
      <c r="W83" s="217"/>
      <c r="X83" s="217"/>
      <c r="Y83" s="151"/>
      <c r="Z83" s="151"/>
      <c r="AA83" s="31"/>
    </row>
    <row r="84" spans="1:27" ht="18" hidden="1" customHeight="1" outlineLevel="2">
      <c r="A84" s="188">
        <v>63</v>
      </c>
      <c r="B84" s="116"/>
      <c r="C84" s="116"/>
      <c r="D84" s="197"/>
      <c r="E84" s="116"/>
      <c r="F84" s="299" t="str">
        <f t="shared" si="2"/>
        <v/>
      </c>
      <c r="G84" s="318"/>
      <c r="H84" s="319"/>
      <c r="I84" s="158"/>
      <c r="J84" s="217"/>
      <c r="K84" s="217"/>
      <c r="L84" s="217"/>
      <c r="M84" s="217"/>
      <c r="N84" s="146"/>
      <c r="O84" s="146"/>
      <c r="P84" s="146"/>
      <c r="Q84" s="217"/>
      <c r="R84" s="217"/>
      <c r="S84" s="217"/>
      <c r="T84" s="217"/>
      <c r="U84" s="217"/>
      <c r="V84" s="217"/>
      <c r="W84" s="217"/>
      <c r="X84" s="217"/>
      <c r="Y84" s="151"/>
      <c r="Z84" s="151"/>
      <c r="AA84" s="31"/>
    </row>
    <row r="85" spans="1:27" ht="18" hidden="1" customHeight="1" outlineLevel="2" collapsed="1">
      <c r="A85" s="188">
        <v>64</v>
      </c>
      <c r="B85" s="116"/>
      <c r="C85" s="116"/>
      <c r="D85" s="197"/>
      <c r="E85" s="116"/>
      <c r="F85" s="299" t="str">
        <f t="shared" si="2"/>
        <v/>
      </c>
      <c r="G85" s="318"/>
      <c r="H85" s="319"/>
      <c r="I85" s="158"/>
      <c r="J85" s="217"/>
      <c r="K85" s="217"/>
      <c r="L85" s="217"/>
      <c r="M85" s="217"/>
      <c r="N85" s="146"/>
      <c r="O85" s="146"/>
      <c r="P85" s="146"/>
      <c r="Q85" s="217"/>
      <c r="R85" s="217"/>
      <c r="S85" s="217"/>
      <c r="T85" s="217"/>
      <c r="U85" s="217"/>
      <c r="V85" s="217"/>
      <c r="W85" s="217"/>
      <c r="X85" s="217"/>
      <c r="Y85" s="151"/>
      <c r="Z85" s="151"/>
      <c r="AA85" s="31"/>
    </row>
    <row r="86" spans="1:27" ht="18" hidden="1" customHeight="1" outlineLevel="2">
      <c r="A86" s="188">
        <v>65</v>
      </c>
      <c r="B86" s="116"/>
      <c r="C86" s="116"/>
      <c r="D86" s="197"/>
      <c r="E86" s="116"/>
      <c r="F86" s="299" t="str">
        <f t="shared" si="2"/>
        <v/>
      </c>
      <c r="G86" s="318"/>
      <c r="H86" s="319"/>
      <c r="I86" s="158"/>
      <c r="J86" s="217"/>
      <c r="K86" s="217"/>
      <c r="L86" s="217"/>
      <c r="M86" s="217"/>
      <c r="N86" s="146"/>
      <c r="O86" s="146"/>
      <c r="P86" s="146"/>
      <c r="Q86" s="217"/>
      <c r="R86" s="217"/>
      <c r="S86" s="217"/>
      <c r="T86" s="217"/>
      <c r="U86" s="217"/>
      <c r="V86" s="217"/>
      <c r="W86" s="217"/>
      <c r="X86" s="217"/>
      <c r="Y86" s="151"/>
      <c r="Z86" s="151"/>
      <c r="AA86" s="31"/>
    </row>
    <row r="87" spans="1:27" ht="18" hidden="1" customHeight="1" outlineLevel="2" collapsed="1">
      <c r="A87" s="188">
        <v>66</v>
      </c>
      <c r="B87" s="116"/>
      <c r="C87" s="116"/>
      <c r="D87" s="197"/>
      <c r="E87" s="116"/>
      <c r="F87" s="299" t="str">
        <f t="shared" si="2"/>
        <v/>
      </c>
      <c r="G87" s="318"/>
      <c r="H87" s="319"/>
      <c r="I87" s="158"/>
      <c r="J87" s="217"/>
      <c r="K87" s="217"/>
      <c r="L87" s="217"/>
      <c r="M87" s="217"/>
      <c r="N87" s="146"/>
      <c r="O87" s="146"/>
      <c r="P87" s="146"/>
      <c r="Q87" s="217"/>
      <c r="R87" s="217"/>
      <c r="S87" s="217"/>
      <c r="T87" s="217"/>
      <c r="U87" s="217"/>
      <c r="V87" s="217"/>
      <c r="W87" s="217"/>
      <c r="X87" s="217"/>
      <c r="Y87" s="151"/>
      <c r="Z87" s="151"/>
      <c r="AA87" s="31"/>
    </row>
    <row r="88" spans="1:27" ht="18" hidden="1" customHeight="1" outlineLevel="2">
      <c r="A88" s="188">
        <v>67</v>
      </c>
      <c r="B88" s="116"/>
      <c r="C88" s="116"/>
      <c r="D88" s="197"/>
      <c r="E88" s="116"/>
      <c r="F88" s="299" t="str">
        <f t="shared" si="2"/>
        <v/>
      </c>
      <c r="G88" s="318"/>
      <c r="H88" s="319"/>
      <c r="I88" s="158"/>
      <c r="J88" s="217"/>
      <c r="K88" s="217"/>
      <c r="L88" s="217"/>
      <c r="M88" s="217"/>
      <c r="N88" s="146"/>
      <c r="O88" s="146"/>
      <c r="P88" s="146"/>
      <c r="Q88" s="217"/>
      <c r="R88" s="217"/>
      <c r="S88" s="217"/>
      <c r="T88" s="217"/>
      <c r="U88" s="217"/>
      <c r="V88" s="217"/>
      <c r="W88" s="217"/>
      <c r="X88" s="217"/>
      <c r="Y88" s="151"/>
      <c r="Z88" s="151"/>
      <c r="AA88" s="31"/>
    </row>
    <row r="89" spans="1:27" ht="18" hidden="1" customHeight="1" outlineLevel="2" collapsed="1">
      <c r="A89" s="188">
        <v>68</v>
      </c>
      <c r="B89" s="116"/>
      <c r="C89" s="116"/>
      <c r="D89" s="197"/>
      <c r="E89" s="116"/>
      <c r="F89" s="299" t="str">
        <f t="shared" si="2"/>
        <v/>
      </c>
      <c r="G89" s="318"/>
      <c r="H89" s="319"/>
      <c r="I89" s="158"/>
      <c r="J89" s="217"/>
      <c r="K89" s="217"/>
      <c r="L89" s="217"/>
      <c r="M89" s="217"/>
      <c r="N89" s="146"/>
      <c r="O89" s="146"/>
      <c r="P89" s="146"/>
      <c r="Q89" s="217"/>
      <c r="R89" s="217"/>
      <c r="S89" s="217"/>
      <c r="T89" s="217"/>
      <c r="U89" s="217"/>
      <c r="V89" s="217"/>
      <c r="W89" s="217"/>
      <c r="X89" s="217"/>
      <c r="Y89" s="151"/>
      <c r="Z89" s="151"/>
      <c r="AA89" s="31"/>
    </row>
    <row r="90" spans="1:27" ht="18" hidden="1" customHeight="1" outlineLevel="2">
      <c r="A90" s="188">
        <v>69</v>
      </c>
      <c r="B90" s="116"/>
      <c r="C90" s="116"/>
      <c r="D90" s="197"/>
      <c r="E90" s="116"/>
      <c r="F90" s="299" t="str">
        <f t="shared" si="2"/>
        <v/>
      </c>
      <c r="G90" s="318"/>
      <c r="H90" s="319"/>
      <c r="I90" s="158"/>
      <c r="J90" s="217"/>
      <c r="K90" s="217"/>
      <c r="L90" s="217"/>
      <c r="M90" s="217"/>
      <c r="N90" s="146"/>
      <c r="O90" s="146"/>
      <c r="P90" s="146"/>
      <c r="Q90" s="217"/>
      <c r="R90" s="217"/>
      <c r="S90" s="217"/>
      <c r="T90" s="217"/>
      <c r="U90" s="217"/>
      <c r="V90" s="217"/>
      <c r="W90" s="217"/>
      <c r="X90" s="217"/>
      <c r="Y90" s="151"/>
      <c r="Z90" s="151"/>
      <c r="AA90" s="31"/>
    </row>
    <row r="91" spans="1:27" ht="18" hidden="1" customHeight="1" outlineLevel="2" collapsed="1">
      <c r="A91" s="188">
        <v>70</v>
      </c>
      <c r="B91" s="116"/>
      <c r="C91" s="116"/>
      <c r="D91" s="197"/>
      <c r="E91" s="116"/>
      <c r="F91" s="299" t="str">
        <f t="shared" si="2"/>
        <v/>
      </c>
      <c r="G91" s="318"/>
      <c r="H91" s="319"/>
      <c r="I91" s="158"/>
      <c r="J91" s="217"/>
      <c r="K91" s="217"/>
      <c r="L91" s="217"/>
      <c r="M91" s="217"/>
      <c r="N91" s="146"/>
      <c r="O91" s="146"/>
      <c r="P91" s="146"/>
      <c r="Q91" s="217"/>
      <c r="R91" s="217"/>
      <c r="S91" s="217"/>
      <c r="T91" s="217"/>
      <c r="U91" s="217"/>
      <c r="V91" s="217"/>
      <c r="W91" s="217"/>
      <c r="X91" s="217"/>
      <c r="Y91" s="151"/>
      <c r="Z91" s="151"/>
      <c r="AA91" s="31"/>
    </row>
    <row r="92" spans="1:27" ht="18" hidden="1" customHeight="1" outlineLevel="2">
      <c r="A92" s="188">
        <v>71</v>
      </c>
      <c r="B92" s="116"/>
      <c r="C92" s="116"/>
      <c r="D92" s="197"/>
      <c r="E92" s="116"/>
      <c r="F92" s="299" t="str">
        <f t="shared" si="2"/>
        <v/>
      </c>
      <c r="G92" s="318"/>
      <c r="H92" s="319"/>
      <c r="I92" s="158"/>
      <c r="J92" s="217"/>
      <c r="K92" s="217"/>
      <c r="L92" s="217"/>
      <c r="M92" s="217"/>
      <c r="N92" s="146"/>
      <c r="O92" s="146"/>
      <c r="P92" s="146"/>
      <c r="Q92" s="217"/>
      <c r="R92" s="217"/>
      <c r="S92" s="217"/>
      <c r="T92" s="217"/>
      <c r="U92" s="217"/>
      <c r="V92" s="217"/>
      <c r="W92" s="217"/>
      <c r="X92" s="217"/>
      <c r="Y92" s="151"/>
      <c r="Z92" s="151"/>
      <c r="AA92" s="31"/>
    </row>
    <row r="93" spans="1:27" ht="18" hidden="1" customHeight="1" outlineLevel="2">
      <c r="A93" s="188">
        <v>72</v>
      </c>
      <c r="B93" s="116"/>
      <c r="C93" s="116"/>
      <c r="D93" s="197"/>
      <c r="E93" s="116"/>
      <c r="F93" s="299" t="str">
        <f t="shared" si="2"/>
        <v/>
      </c>
      <c r="G93" s="318"/>
      <c r="H93" s="319"/>
      <c r="I93" s="158"/>
      <c r="J93" s="217"/>
      <c r="K93" s="217"/>
      <c r="L93" s="217"/>
      <c r="M93" s="217"/>
      <c r="N93" s="146"/>
      <c r="O93" s="146"/>
      <c r="P93" s="146"/>
      <c r="Q93" s="217"/>
      <c r="R93" s="217"/>
      <c r="S93" s="217"/>
      <c r="T93" s="217"/>
      <c r="U93" s="217"/>
      <c r="V93" s="217"/>
      <c r="W93" s="217"/>
      <c r="X93" s="217"/>
      <c r="Y93" s="151"/>
      <c r="Z93" s="151"/>
      <c r="AA93" s="31"/>
    </row>
    <row r="94" spans="1:27" ht="18" hidden="1" customHeight="1" outlineLevel="1" collapsed="1">
      <c r="A94" s="188">
        <v>73</v>
      </c>
      <c r="B94" s="116"/>
      <c r="C94" s="116"/>
      <c r="D94" s="197"/>
      <c r="E94" s="116"/>
      <c r="F94" s="299" t="str">
        <f t="shared" si="2"/>
        <v/>
      </c>
      <c r="G94" s="318"/>
      <c r="H94" s="319"/>
      <c r="I94" s="159" t="s">
        <v>170</v>
      </c>
      <c r="J94" s="217"/>
      <c r="K94" s="217"/>
      <c r="L94" s="217"/>
      <c r="M94" s="217"/>
      <c r="N94" s="146"/>
      <c r="O94" s="146"/>
      <c r="P94" s="146"/>
      <c r="Q94" s="217"/>
      <c r="R94" s="217"/>
      <c r="S94" s="217"/>
      <c r="T94" s="217"/>
      <c r="U94" s="217"/>
      <c r="V94" s="217"/>
      <c r="W94" s="217"/>
      <c r="X94" s="217"/>
      <c r="Y94" s="151"/>
      <c r="Z94" s="151"/>
      <c r="AA94" s="31"/>
    </row>
    <row r="95" spans="1:27" ht="18" hidden="1" customHeight="1" outlineLevel="2" collapsed="1">
      <c r="A95" s="188">
        <v>74</v>
      </c>
      <c r="B95" s="116"/>
      <c r="C95" s="116"/>
      <c r="D95" s="197"/>
      <c r="E95" s="116"/>
      <c r="F95" s="299" t="str">
        <f t="shared" ref="F95:F115" si="3">INDEX(logic_VentFlow,MATCH($A95,logic_EquipNo,0))</f>
        <v/>
      </c>
      <c r="G95" s="318"/>
      <c r="H95" s="319"/>
      <c r="I95" s="158"/>
      <c r="J95" s="217"/>
      <c r="K95" s="217"/>
      <c r="L95" s="217"/>
      <c r="M95" s="217"/>
      <c r="N95" s="146"/>
      <c r="O95" s="146"/>
      <c r="P95" s="146"/>
      <c r="Q95" s="217"/>
      <c r="R95" s="217"/>
      <c r="S95" s="217"/>
      <c r="T95" s="217"/>
      <c r="U95" s="217"/>
      <c r="V95" s="217"/>
      <c r="W95" s="217"/>
      <c r="X95" s="217"/>
      <c r="Y95" s="151"/>
      <c r="Z95" s="151"/>
      <c r="AA95" s="31"/>
    </row>
    <row r="96" spans="1:27" ht="18" hidden="1" customHeight="1" outlineLevel="2">
      <c r="A96" s="188">
        <v>75</v>
      </c>
      <c r="B96" s="116"/>
      <c r="C96" s="116"/>
      <c r="D96" s="197"/>
      <c r="E96" s="116"/>
      <c r="F96" s="299" t="str">
        <f t="shared" si="3"/>
        <v/>
      </c>
      <c r="G96" s="318"/>
      <c r="H96" s="319"/>
      <c r="I96" s="158"/>
      <c r="J96" s="217"/>
      <c r="K96" s="217"/>
      <c r="L96" s="217"/>
      <c r="M96" s="217"/>
      <c r="N96" s="146"/>
      <c r="O96" s="146"/>
      <c r="P96" s="146"/>
      <c r="Q96" s="217"/>
      <c r="R96" s="217"/>
      <c r="S96" s="217"/>
      <c r="T96" s="217"/>
      <c r="U96" s="217"/>
      <c r="V96" s="217"/>
      <c r="W96" s="217"/>
      <c r="X96" s="217"/>
      <c r="Y96" s="151"/>
      <c r="Z96" s="151"/>
      <c r="AA96" s="31"/>
    </row>
    <row r="97" spans="1:27" ht="18" hidden="1" customHeight="1" outlineLevel="2" collapsed="1">
      <c r="A97" s="188">
        <v>76</v>
      </c>
      <c r="B97" s="116"/>
      <c r="C97" s="116"/>
      <c r="D97" s="197"/>
      <c r="E97" s="116"/>
      <c r="F97" s="299" t="str">
        <f t="shared" si="3"/>
        <v/>
      </c>
      <c r="G97" s="318"/>
      <c r="H97" s="319"/>
      <c r="I97" s="158"/>
      <c r="J97" s="217"/>
      <c r="K97" s="217"/>
      <c r="L97" s="217"/>
      <c r="M97" s="217"/>
      <c r="N97" s="146"/>
      <c r="O97" s="146"/>
      <c r="P97" s="146"/>
      <c r="Q97" s="217"/>
      <c r="R97" s="217"/>
      <c r="S97" s="217"/>
      <c r="T97" s="217"/>
      <c r="U97" s="217"/>
      <c r="V97" s="217"/>
      <c r="W97" s="217"/>
      <c r="X97" s="217"/>
      <c r="Y97" s="151"/>
      <c r="Z97" s="151"/>
      <c r="AA97" s="31"/>
    </row>
    <row r="98" spans="1:27" ht="18" hidden="1" customHeight="1" outlineLevel="2">
      <c r="A98" s="188">
        <v>77</v>
      </c>
      <c r="B98" s="116"/>
      <c r="C98" s="116"/>
      <c r="D98" s="197"/>
      <c r="E98" s="116"/>
      <c r="F98" s="299" t="str">
        <f t="shared" si="3"/>
        <v/>
      </c>
      <c r="G98" s="318"/>
      <c r="H98" s="319"/>
      <c r="I98" s="158"/>
      <c r="J98" s="217"/>
      <c r="K98" s="217"/>
      <c r="L98" s="217"/>
      <c r="M98" s="217"/>
      <c r="N98" s="146"/>
      <c r="O98" s="146"/>
      <c r="P98" s="146"/>
      <c r="Q98" s="217"/>
      <c r="R98" s="217"/>
      <c r="S98" s="217"/>
      <c r="T98" s="217"/>
      <c r="U98" s="217"/>
      <c r="V98" s="217"/>
      <c r="W98" s="217"/>
      <c r="X98" s="217"/>
      <c r="Y98" s="151"/>
      <c r="Z98" s="151"/>
      <c r="AA98" s="31"/>
    </row>
    <row r="99" spans="1:27" ht="18" hidden="1" customHeight="1" outlineLevel="2" collapsed="1">
      <c r="A99" s="188">
        <v>78</v>
      </c>
      <c r="B99" s="116"/>
      <c r="C99" s="116"/>
      <c r="D99" s="197"/>
      <c r="E99" s="116"/>
      <c r="F99" s="299" t="str">
        <f t="shared" si="3"/>
        <v/>
      </c>
      <c r="G99" s="318"/>
      <c r="H99" s="319"/>
      <c r="I99" s="158"/>
      <c r="J99" s="217"/>
      <c r="K99" s="217"/>
      <c r="L99" s="217"/>
      <c r="M99" s="217"/>
      <c r="N99" s="146"/>
      <c r="O99" s="146"/>
      <c r="P99" s="146"/>
      <c r="Q99" s="217"/>
      <c r="R99" s="217"/>
      <c r="S99" s="217"/>
      <c r="T99" s="217"/>
      <c r="U99" s="217"/>
      <c r="V99" s="217"/>
      <c r="W99" s="217"/>
      <c r="X99" s="217"/>
      <c r="Y99" s="151"/>
      <c r="Z99" s="151"/>
      <c r="AA99" s="31"/>
    </row>
    <row r="100" spans="1:27" ht="18" hidden="1" customHeight="1" outlineLevel="2">
      <c r="A100" s="188">
        <v>79</v>
      </c>
      <c r="B100" s="116"/>
      <c r="C100" s="116"/>
      <c r="D100" s="197"/>
      <c r="E100" s="116"/>
      <c r="F100" s="299" t="str">
        <f t="shared" si="3"/>
        <v/>
      </c>
      <c r="G100" s="318"/>
      <c r="H100" s="319"/>
      <c r="I100" s="158"/>
      <c r="J100" s="217"/>
      <c r="K100" s="217"/>
      <c r="L100" s="217"/>
      <c r="M100" s="217"/>
      <c r="N100" s="146"/>
      <c r="O100" s="146"/>
      <c r="P100" s="146"/>
      <c r="Q100" s="217"/>
      <c r="R100" s="217"/>
      <c r="S100" s="217"/>
      <c r="T100" s="217"/>
      <c r="U100" s="217"/>
      <c r="V100" s="217"/>
      <c r="W100" s="217"/>
      <c r="X100" s="217"/>
      <c r="Y100" s="151"/>
      <c r="Z100" s="151"/>
      <c r="AA100" s="31"/>
    </row>
    <row r="101" spans="1:27" ht="18" hidden="1" customHeight="1" outlineLevel="2" collapsed="1">
      <c r="A101" s="188">
        <v>80</v>
      </c>
      <c r="B101" s="116"/>
      <c r="C101" s="116"/>
      <c r="D101" s="197"/>
      <c r="E101" s="116"/>
      <c r="F101" s="299" t="str">
        <f t="shared" si="3"/>
        <v/>
      </c>
      <c r="G101" s="318"/>
      <c r="H101" s="319"/>
      <c r="I101" s="158"/>
      <c r="J101" s="217"/>
      <c r="K101" s="217"/>
      <c r="L101" s="217"/>
      <c r="M101" s="217"/>
      <c r="N101" s="146"/>
      <c r="O101" s="146"/>
      <c r="P101" s="146"/>
      <c r="Q101" s="217"/>
      <c r="R101" s="217"/>
      <c r="S101" s="217"/>
      <c r="T101" s="217"/>
      <c r="U101" s="217"/>
      <c r="V101" s="217"/>
      <c r="W101" s="217"/>
      <c r="X101" s="217"/>
      <c r="Y101" s="151"/>
      <c r="Z101" s="151"/>
      <c r="AA101" s="31"/>
    </row>
    <row r="102" spans="1:27" ht="18" hidden="1" customHeight="1" outlineLevel="2">
      <c r="A102" s="188">
        <v>81</v>
      </c>
      <c r="B102" s="116"/>
      <c r="C102" s="116"/>
      <c r="D102" s="197"/>
      <c r="E102" s="116"/>
      <c r="F102" s="299" t="str">
        <f t="shared" si="3"/>
        <v/>
      </c>
      <c r="G102" s="318"/>
      <c r="H102" s="319"/>
      <c r="I102" s="158"/>
      <c r="J102" s="217"/>
      <c r="K102" s="217"/>
      <c r="L102" s="217"/>
      <c r="M102" s="217"/>
      <c r="N102" s="146"/>
      <c r="O102" s="146"/>
      <c r="P102" s="146"/>
      <c r="Q102" s="217"/>
      <c r="R102" s="217"/>
      <c r="S102" s="217"/>
      <c r="T102" s="217"/>
      <c r="U102" s="217"/>
      <c r="V102" s="217"/>
      <c r="W102" s="217"/>
      <c r="X102" s="217"/>
      <c r="Y102" s="151"/>
      <c r="Z102" s="151"/>
      <c r="AA102" s="31"/>
    </row>
    <row r="103" spans="1:27" ht="18" hidden="1" customHeight="1" outlineLevel="2">
      <c r="A103" s="188">
        <v>82</v>
      </c>
      <c r="B103" s="116"/>
      <c r="C103" s="116"/>
      <c r="D103" s="197"/>
      <c r="E103" s="116"/>
      <c r="F103" s="299" t="str">
        <f t="shared" si="3"/>
        <v/>
      </c>
      <c r="G103" s="318"/>
      <c r="H103" s="319"/>
      <c r="I103" s="158"/>
      <c r="J103" s="217"/>
      <c r="K103" s="217"/>
      <c r="L103" s="217"/>
      <c r="M103" s="217"/>
      <c r="N103" s="146"/>
      <c r="O103" s="146"/>
      <c r="P103" s="146"/>
      <c r="Q103" s="217"/>
      <c r="R103" s="217"/>
      <c r="S103" s="217"/>
      <c r="T103" s="217"/>
      <c r="U103" s="217"/>
      <c r="V103" s="217"/>
      <c r="W103" s="217"/>
      <c r="X103" s="217"/>
      <c r="Y103" s="151"/>
      <c r="Z103" s="151"/>
      <c r="AA103" s="31"/>
    </row>
    <row r="104" spans="1:27" ht="18" hidden="1" customHeight="1" outlineLevel="2">
      <c r="A104" s="188">
        <v>83</v>
      </c>
      <c r="B104" s="116"/>
      <c r="C104" s="116"/>
      <c r="D104" s="197"/>
      <c r="E104" s="116"/>
      <c r="F104" s="299" t="str">
        <f t="shared" si="3"/>
        <v/>
      </c>
      <c r="G104" s="318"/>
      <c r="H104" s="319"/>
      <c r="I104" s="158"/>
      <c r="J104" s="217"/>
      <c r="K104" s="217"/>
      <c r="L104" s="217"/>
      <c r="M104" s="217"/>
      <c r="N104" s="146"/>
      <c r="O104" s="146"/>
      <c r="P104" s="146"/>
      <c r="Q104" s="217"/>
      <c r="R104" s="217"/>
      <c r="S104" s="217"/>
      <c r="T104" s="217"/>
      <c r="U104" s="217"/>
      <c r="V104" s="217"/>
      <c r="W104" s="217"/>
      <c r="X104" s="217"/>
      <c r="Y104" s="151"/>
      <c r="Z104" s="151"/>
      <c r="AA104" s="31"/>
    </row>
    <row r="105" spans="1:27" ht="18" hidden="1" customHeight="1" outlineLevel="2" collapsed="1">
      <c r="A105" s="188">
        <v>84</v>
      </c>
      <c r="B105" s="116"/>
      <c r="C105" s="116"/>
      <c r="D105" s="197"/>
      <c r="E105" s="116"/>
      <c r="F105" s="299" t="str">
        <f t="shared" si="3"/>
        <v/>
      </c>
      <c r="G105" s="318"/>
      <c r="H105" s="319"/>
      <c r="I105" s="158"/>
      <c r="J105" s="217"/>
      <c r="K105" s="217"/>
      <c r="L105" s="217"/>
      <c r="M105" s="217"/>
      <c r="N105" s="146"/>
      <c r="O105" s="146"/>
      <c r="P105" s="146"/>
      <c r="Q105" s="217"/>
      <c r="R105" s="217"/>
      <c r="S105" s="217"/>
      <c r="T105" s="217"/>
      <c r="U105" s="217"/>
      <c r="V105" s="217"/>
      <c r="W105" s="217"/>
      <c r="X105" s="217"/>
      <c r="Y105" s="151"/>
      <c r="Z105" s="151"/>
      <c r="AA105" s="31"/>
    </row>
    <row r="106" spans="1:27" ht="18" hidden="1" customHeight="1" outlineLevel="2">
      <c r="A106" s="188">
        <v>85</v>
      </c>
      <c r="B106" s="116"/>
      <c r="C106" s="116"/>
      <c r="D106" s="197"/>
      <c r="E106" s="116"/>
      <c r="F106" s="299" t="str">
        <f t="shared" si="3"/>
        <v/>
      </c>
      <c r="G106" s="318"/>
      <c r="H106" s="319"/>
      <c r="I106" s="158"/>
      <c r="J106" s="217"/>
      <c r="K106" s="217"/>
      <c r="L106" s="217"/>
      <c r="M106" s="217"/>
      <c r="N106" s="146"/>
      <c r="O106" s="146"/>
      <c r="P106" s="146"/>
      <c r="Q106" s="217"/>
      <c r="R106" s="217"/>
      <c r="S106" s="217"/>
      <c r="T106" s="217"/>
      <c r="U106" s="217"/>
      <c r="V106" s="217"/>
      <c r="W106" s="217"/>
      <c r="X106" s="217"/>
      <c r="Y106" s="151"/>
      <c r="Z106" s="151"/>
      <c r="AA106" s="31"/>
    </row>
    <row r="107" spans="1:27" ht="18" hidden="1" customHeight="1" outlineLevel="2" collapsed="1">
      <c r="A107" s="188">
        <v>86</v>
      </c>
      <c r="B107" s="116"/>
      <c r="C107" s="116"/>
      <c r="D107" s="197"/>
      <c r="E107" s="116"/>
      <c r="F107" s="299" t="str">
        <f t="shared" si="3"/>
        <v/>
      </c>
      <c r="G107" s="318"/>
      <c r="H107" s="319"/>
      <c r="I107" s="158"/>
      <c r="J107" s="217"/>
      <c r="K107" s="217"/>
      <c r="L107" s="217"/>
      <c r="M107" s="217"/>
      <c r="N107" s="146"/>
      <c r="O107" s="146"/>
      <c r="P107" s="146"/>
      <c r="Q107" s="217"/>
      <c r="R107" s="217"/>
      <c r="S107" s="217"/>
      <c r="T107" s="217"/>
      <c r="U107" s="217"/>
      <c r="V107" s="217"/>
      <c r="W107" s="217"/>
      <c r="X107" s="217"/>
      <c r="Y107" s="151"/>
      <c r="Z107" s="151"/>
      <c r="AA107" s="31"/>
    </row>
    <row r="108" spans="1:27" ht="18" hidden="1" customHeight="1" outlineLevel="2">
      <c r="A108" s="188">
        <v>87</v>
      </c>
      <c r="B108" s="116"/>
      <c r="C108" s="116"/>
      <c r="D108" s="197"/>
      <c r="E108" s="116"/>
      <c r="F108" s="299" t="str">
        <f t="shared" si="3"/>
        <v/>
      </c>
      <c r="G108" s="318"/>
      <c r="H108" s="319"/>
      <c r="I108" s="158"/>
      <c r="J108" s="217"/>
      <c r="K108" s="217"/>
      <c r="L108" s="217"/>
      <c r="M108" s="217"/>
      <c r="N108" s="146"/>
      <c r="O108" s="146"/>
      <c r="P108" s="146"/>
      <c r="Q108" s="217"/>
      <c r="R108" s="217"/>
      <c r="S108" s="217"/>
      <c r="T108" s="217"/>
      <c r="U108" s="217"/>
      <c r="V108" s="217"/>
      <c r="W108" s="217"/>
      <c r="X108" s="217"/>
      <c r="Y108" s="151"/>
      <c r="Z108" s="151"/>
      <c r="AA108" s="31"/>
    </row>
    <row r="109" spans="1:27" ht="18" hidden="1" customHeight="1" outlineLevel="2" collapsed="1">
      <c r="A109" s="188">
        <v>88</v>
      </c>
      <c r="B109" s="116"/>
      <c r="C109" s="116"/>
      <c r="D109" s="197"/>
      <c r="E109" s="116"/>
      <c r="F109" s="299" t="str">
        <f t="shared" si="3"/>
        <v/>
      </c>
      <c r="G109" s="318"/>
      <c r="H109" s="319"/>
      <c r="I109" s="158"/>
      <c r="J109" s="217"/>
      <c r="K109" s="217"/>
      <c r="L109" s="217"/>
      <c r="M109" s="217"/>
      <c r="N109" s="146"/>
      <c r="O109" s="146"/>
      <c r="P109" s="146"/>
      <c r="Q109" s="217"/>
      <c r="R109" s="217"/>
      <c r="S109" s="217"/>
      <c r="T109" s="217"/>
      <c r="U109" s="217"/>
      <c r="V109" s="217"/>
      <c r="W109" s="217"/>
      <c r="X109" s="217"/>
      <c r="Y109" s="151"/>
      <c r="Z109" s="151"/>
      <c r="AA109" s="31"/>
    </row>
    <row r="110" spans="1:27" ht="18" hidden="1" customHeight="1" outlineLevel="2">
      <c r="A110" s="188">
        <v>89</v>
      </c>
      <c r="B110" s="116"/>
      <c r="C110" s="116"/>
      <c r="D110" s="197"/>
      <c r="E110" s="116"/>
      <c r="F110" s="299" t="str">
        <f t="shared" si="3"/>
        <v/>
      </c>
      <c r="G110" s="318"/>
      <c r="H110" s="319"/>
      <c r="I110" s="158"/>
      <c r="J110" s="217"/>
      <c r="K110" s="217"/>
      <c r="L110" s="217"/>
      <c r="M110" s="217"/>
      <c r="N110" s="146"/>
      <c r="O110" s="146"/>
      <c r="P110" s="146"/>
      <c r="Q110" s="217"/>
      <c r="R110" s="217"/>
      <c r="S110" s="217"/>
      <c r="T110" s="217"/>
      <c r="U110" s="217"/>
      <c r="V110" s="217"/>
      <c r="W110" s="217"/>
      <c r="X110" s="217"/>
      <c r="Y110" s="151"/>
      <c r="Z110" s="151"/>
      <c r="AA110" s="31"/>
    </row>
    <row r="111" spans="1:27" ht="18" hidden="1" customHeight="1" outlineLevel="2" collapsed="1">
      <c r="A111" s="188">
        <v>90</v>
      </c>
      <c r="B111" s="116"/>
      <c r="C111" s="116"/>
      <c r="D111" s="197"/>
      <c r="E111" s="116"/>
      <c r="F111" s="299" t="str">
        <f t="shared" si="3"/>
        <v/>
      </c>
      <c r="G111" s="318"/>
      <c r="H111" s="319"/>
      <c r="I111" s="158"/>
      <c r="J111" s="217"/>
      <c r="K111" s="217"/>
      <c r="L111" s="217"/>
      <c r="M111" s="217"/>
      <c r="N111" s="146"/>
      <c r="O111" s="146"/>
      <c r="P111" s="146"/>
      <c r="Q111" s="217"/>
      <c r="R111" s="217"/>
      <c r="S111" s="217"/>
      <c r="T111" s="217"/>
      <c r="U111" s="217"/>
      <c r="V111" s="217"/>
      <c r="W111" s="217"/>
      <c r="X111" s="217"/>
      <c r="Y111" s="151"/>
      <c r="Z111" s="151"/>
      <c r="AA111" s="31"/>
    </row>
    <row r="112" spans="1:27" ht="18" hidden="1" customHeight="1" outlineLevel="2">
      <c r="A112" s="188">
        <v>91</v>
      </c>
      <c r="B112" s="116"/>
      <c r="C112" s="116"/>
      <c r="D112" s="197"/>
      <c r="E112" s="116"/>
      <c r="F112" s="299" t="str">
        <f t="shared" si="3"/>
        <v/>
      </c>
      <c r="G112" s="318"/>
      <c r="H112" s="319"/>
      <c r="I112" s="158"/>
      <c r="J112" s="217"/>
      <c r="K112" s="217"/>
      <c r="L112" s="217"/>
      <c r="M112" s="217"/>
      <c r="N112" s="146"/>
      <c r="O112" s="146"/>
      <c r="P112" s="146"/>
      <c r="Q112" s="217"/>
      <c r="R112" s="217"/>
      <c r="S112" s="217"/>
      <c r="T112" s="217"/>
      <c r="U112" s="217"/>
      <c r="V112" s="217"/>
      <c r="W112" s="217"/>
      <c r="X112" s="217"/>
      <c r="Y112" s="151"/>
      <c r="Z112" s="151"/>
      <c r="AA112" s="31"/>
    </row>
    <row r="113" spans="1:27" ht="18" hidden="1" customHeight="1" outlineLevel="2">
      <c r="A113" s="188">
        <v>92</v>
      </c>
      <c r="B113" s="116"/>
      <c r="C113" s="116"/>
      <c r="D113" s="197"/>
      <c r="E113" s="116"/>
      <c r="F113" s="299" t="str">
        <f t="shared" si="3"/>
        <v/>
      </c>
      <c r="G113" s="318"/>
      <c r="H113" s="319"/>
      <c r="I113" s="158"/>
      <c r="J113" s="217"/>
      <c r="K113" s="217"/>
      <c r="L113" s="217"/>
      <c r="M113" s="217"/>
      <c r="N113" s="146"/>
      <c r="O113" s="146"/>
      <c r="P113" s="146"/>
      <c r="Q113" s="217"/>
      <c r="R113" s="217"/>
      <c r="S113" s="217"/>
      <c r="T113" s="217"/>
      <c r="U113" s="217"/>
      <c r="V113" s="217"/>
      <c r="W113" s="217"/>
      <c r="X113" s="217"/>
      <c r="Y113" s="151"/>
      <c r="Z113" s="151"/>
      <c r="AA113" s="31"/>
    </row>
    <row r="114" spans="1:27" ht="18" hidden="1" customHeight="1" outlineLevel="2">
      <c r="A114" s="188">
        <v>93</v>
      </c>
      <c r="B114" s="116"/>
      <c r="C114" s="116"/>
      <c r="D114" s="197"/>
      <c r="E114" s="116"/>
      <c r="F114" s="299" t="str">
        <f t="shared" si="3"/>
        <v/>
      </c>
      <c r="G114" s="318"/>
      <c r="H114" s="319"/>
      <c r="I114" s="158"/>
      <c r="J114" s="217"/>
      <c r="K114" s="217"/>
      <c r="L114" s="217"/>
      <c r="M114" s="217"/>
      <c r="N114" s="146"/>
      <c r="O114" s="146"/>
      <c r="P114" s="146"/>
      <c r="Q114" s="217"/>
      <c r="R114" s="217"/>
      <c r="S114" s="217"/>
      <c r="T114" s="217"/>
      <c r="U114" s="217"/>
      <c r="V114" s="217"/>
      <c r="W114" s="217"/>
      <c r="X114" s="217"/>
      <c r="Y114" s="151"/>
      <c r="Z114" s="151"/>
      <c r="AA114" s="31"/>
    </row>
    <row r="115" spans="1:27" ht="18" hidden="1" customHeight="1" outlineLevel="1" collapsed="1">
      <c r="A115" s="188">
        <v>94</v>
      </c>
      <c r="B115" s="116"/>
      <c r="C115" s="116"/>
      <c r="D115" s="197"/>
      <c r="E115" s="116"/>
      <c r="F115" s="299" t="str">
        <f t="shared" si="3"/>
        <v/>
      </c>
      <c r="G115" s="318"/>
      <c r="H115" s="319"/>
      <c r="I115" s="159" t="s">
        <v>170</v>
      </c>
      <c r="J115" s="217"/>
      <c r="K115" s="217"/>
      <c r="L115" s="217"/>
      <c r="M115" s="217"/>
      <c r="N115" s="146"/>
      <c r="O115" s="146"/>
      <c r="P115" s="146"/>
      <c r="Q115" s="217"/>
      <c r="R115" s="217"/>
      <c r="S115" s="217"/>
      <c r="T115" s="217"/>
      <c r="U115" s="217"/>
      <c r="V115" s="217"/>
      <c r="W115" s="217"/>
      <c r="X115" s="217"/>
      <c r="Y115" s="151"/>
      <c r="Z115" s="151"/>
      <c r="AA115" s="31"/>
    </row>
    <row r="116" spans="1:27" ht="18" hidden="1" customHeight="1" outlineLevel="2" collapsed="1">
      <c r="A116" s="188">
        <v>95</v>
      </c>
      <c r="B116" s="116"/>
      <c r="C116" s="116"/>
      <c r="D116" s="197"/>
      <c r="E116" s="116"/>
      <c r="F116" s="131" t="str">
        <f t="shared" ref="F116:F135" si="4">INDEX(logic_VentFlow,MATCH($A116,logic_EquipNo,0))</f>
        <v/>
      </c>
      <c r="G116" s="318"/>
      <c r="H116" s="319"/>
      <c r="I116" s="158"/>
      <c r="J116" s="217"/>
      <c r="K116" s="217"/>
      <c r="L116" s="217"/>
      <c r="M116" s="217"/>
      <c r="N116" s="146"/>
      <c r="O116" s="146"/>
      <c r="P116" s="146"/>
      <c r="Q116" s="217"/>
      <c r="R116" s="217"/>
      <c r="S116" s="217"/>
      <c r="T116" s="217"/>
      <c r="U116" s="217"/>
      <c r="V116" s="217"/>
      <c r="W116" s="217"/>
      <c r="X116" s="217"/>
      <c r="Y116" s="151"/>
      <c r="Z116" s="151"/>
      <c r="AA116" s="31"/>
    </row>
    <row r="117" spans="1:27" ht="18" hidden="1" customHeight="1" outlineLevel="2">
      <c r="A117" s="188">
        <v>96</v>
      </c>
      <c r="B117" s="116"/>
      <c r="C117" s="116"/>
      <c r="D117" s="197"/>
      <c r="E117" s="116"/>
      <c r="F117" s="131" t="str">
        <f t="shared" si="4"/>
        <v/>
      </c>
      <c r="G117" s="318"/>
      <c r="H117" s="319"/>
      <c r="I117" s="158"/>
      <c r="J117" s="217"/>
      <c r="K117" s="217"/>
      <c r="L117" s="217"/>
      <c r="M117" s="217"/>
      <c r="N117" s="146"/>
      <c r="O117" s="146"/>
      <c r="P117" s="146"/>
      <c r="Q117" s="217"/>
      <c r="R117" s="217"/>
      <c r="S117" s="217"/>
      <c r="T117" s="217"/>
      <c r="U117" s="217"/>
      <c r="V117" s="217"/>
      <c r="W117" s="217"/>
      <c r="X117" s="217"/>
      <c r="Y117" s="151"/>
      <c r="Z117" s="151"/>
      <c r="AA117" s="31"/>
    </row>
    <row r="118" spans="1:27" ht="18" hidden="1" customHeight="1" outlineLevel="2" collapsed="1">
      <c r="A118" s="188">
        <v>97</v>
      </c>
      <c r="B118" s="116"/>
      <c r="C118" s="116"/>
      <c r="D118" s="197"/>
      <c r="E118" s="116"/>
      <c r="F118" s="131" t="str">
        <f t="shared" si="4"/>
        <v/>
      </c>
      <c r="G118" s="318"/>
      <c r="H118" s="319"/>
      <c r="I118" s="158"/>
      <c r="J118" s="217"/>
      <c r="K118" s="217"/>
      <c r="L118" s="217"/>
      <c r="M118" s="217"/>
      <c r="N118" s="146"/>
      <c r="O118" s="146"/>
      <c r="P118" s="146"/>
      <c r="Q118" s="217"/>
      <c r="R118" s="217"/>
      <c r="S118" s="217"/>
      <c r="T118" s="217"/>
      <c r="U118" s="217"/>
      <c r="V118" s="217"/>
      <c r="W118" s="217"/>
      <c r="X118" s="217"/>
      <c r="Y118" s="151"/>
      <c r="Z118" s="151"/>
      <c r="AA118" s="31"/>
    </row>
    <row r="119" spans="1:27" ht="18" hidden="1" customHeight="1" outlineLevel="2">
      <c r="A119" s="188">
        <v>98</v>
      </c>
      <c r="B119" s="116"/>
      <c r="C119" s="116"/>
      <c r="D119" s="197"/>
      <c r="E119" s="116"/>
      <c r="F119" s="131" t="str">
        <f t="shared" si="4"/>
        <v/>
      </c>
      <c r="G119" s="318"/>
      <c r="H119" s="319"/>
      <c r="I119" s="158"/>
      <c r="J119" s="217"/>
      <c r="K119" s="217"/>
      <c r="L119" s="217"/>
      <c r="M119" s="217"/>
      <c r="N119" s="146"/>
      <c r="O119" s="146"/>
      <c r="P119" s="146"/>
      <c r="Q119" s="217"/>
      <c r="R119" s="217"/>
      <c r="S119" s="217"/>
      <c r="T119" s="217"/>
      <c r="U119" s="217"/>
      <c r="V119" s="217"/>
      <c r="W119" s="217"/>
      <c r="X119" s="217"/>
      <c r="Y119" s="151"/>
      <c r="Z119" s="151"/>
      <c r="AA119" s="31"/>
    </row>
    <row r="120" spans="1:27" ht="18" hidden="1" customHeight="1" outlineLevel="2" collapsed="1">
      <c r="A120" s="188">
        <v>99</v>
      </c>
      <c r="B120" s="116"/>
      <c r="C120" s="116"/>
      <c r="D120" s="197"/>
      <c r="E120" s="116"/>
      <c r="F120" s="131" t="str">
        <f t="shared" si="4"/>
        <v/>
      </c>
      <c r="G120" s="318"/>
      <c r="H120" s="319"/>
      <c r="I120" s="158"/>
      <c r="J120" s="217"/>
      <c r="K120" s="217"/>
      <c r="L120" s="217"/>
      <c r="M120" s="217"/>
      <c r="N120" s="146"/>
      <c r="O120" s="146"/>
      <c r="P120" s="146"/>
      <c r="Q120" s="217"/>
      <c r="R120" s="217"/>
      <c r="S120" s="217"/>
      <c r="T120" s="217"/>
      <c r="U120" s="217"/>
      <c r="V120" s="217"/>
      <c r="W120" s="217"/>
      <c r="X120" s="217"/>
      <c r="Y120" s="151"/>
      <c r="Z120" s="151"/>
      <c r="AA120" s="31"/>
    </row>
    <row r="121" spans="1:27" ht="18" hidden="1" customHeight="1" outlineLevel="2">
      <c r="A121" s="188">
        <v>100</v>
      </c>
      <c r="B121" s="116"/>
      <c r="C121" s="116"/>
      <c r="D121" s="197"/>
      <c r="E121" s="116"/>
      <c r="F121" s="131" t="str">
        <f t="shared" si="4"/>
        <v/>
      </c>
      <c r="G121" s="318"/>
      <c r="H121" s="319"/>
      <c r="I121" s="158"/>
      <c r="J121" s="217"/>
      <c r="K121" s="217"/>
      <c r="L121" s="217"/>
      <c r="M121" s="217"/>
      <c r="N121" s="146"/>
      <c r="O121" s="146"/>
      <c r="P121" s="146"/>
      <c r="Q121" s="217"/>
      <c r="R121" s="217"/>
      <c r="S121" s="217"/>
      <c r="T121" s="217"/>
      <c r="U121" s="217"/>
      <c r="V121" s="217"/>
      <c r="W121" s="217"/>
      <c r="X121" s="217"/>
      <c r="Y121" s="151"/>
      <c r="Z121" s="151"/>
      <c r="AA121" s="31"/>
    </row>
    <row r="122" spans="1:27" ht="18" hidden="1" customHeight="1" outlineLevel="2" collapsed="1">
      <c r="A122" s="188">
        <v>101</v>
      </c>
      <c r="B122" s="116"/>
      <c r="C122" s="116"/>
      <c r="D122" s="197"/>
      <c r="E122" s="116"/>
      <c r="F122" s="131" t="str">
        <f t="shared" si="4"/>
        <v/>
      </c>
      <c r="G122" s="318"/>
      <c r="H122" s="319"/>
      <c r="I122" s="158"/>
      <c r="J122" s="217"/>
      <c r="K122" s="217"/>
      <c r="L122" s="217"/>
      <c r="M122" s="217"/>
      <c r="N122" s="146"/>
      <c r="O122" s="146"/>
      <c r="P122" s="146"/>
      <c r="Q122" s="217"/>
      <c r="R122" s="217"/>
      <c r="S122" s="217"/>
      <c r="T122" s="217"/>
      <c r="U122" s="217"/>
      <c r="V122" s="217"/>
      <c r="W122" s="217"/>
      <c r="X122" s="217"/>
      <c r="Y122" s="151"/>
      <c r="Z122" s="151"/>
      <c r="AA122" s="31"/>
    </row>
    <row r="123" spans="1:27" ht="18" hidden="1" customHeight="1" outlineLevel="2">
      <c r="A123" s="188">
        <v>102</v>
      </c>
      <c r="B123" s="116"/>
      <c r="C123" s="116"/>
      <c r="D123" s="197"/>
      <c r="E123" s="116"/>
      <c r="F123" s="131" t="str">
        <f t="shared" si="4"/>
        <v/>
      </c>
      <c r="G123" s="318"/>
      <c r="H123" s="319"/>
      <c r="I123" s="158"/>
      <c r="J123" s="217"/>
      <c r="K123" s="217"/>
      <c r="L123" s="217"/>
      <c r="M123" s="217"/>
      <c r="N123" s="146"/>
      <c r="O123" s="146"/>
      <c r="P123" s="146"/>
      <c r="Q123" s="217"/>
      <c r="R123" s="217"/>
      <c r="S123" s="217"/>
      <c r="T123" s="217"/>
      <c r="U123" s="217"/>
      <c r="V123" s="217"/>
      <c r="W123" s="217"/>
      <c r="X123" s="217"/>
      <c r="Y123" s="151"/>
      <c r="Z123" s="151"/>
      <c r="AA123" s="31"/>
    </row>
    <row r="124" spans="1:27" ht="18" hidden="1" customHeight="1" outlineLevel="2">
      <c r="A124" s="188">
        <v>103</v>
      </c>
      <c r="B124" s="116"/>
      <c r="C124" s="116"/>
      <c r="D124" s="197"/>
      <c r="E124" s="116"/>
      <c r="F124" s="131" t="str">
        <f t="shared" si="4"/>
        <v/>
      </c>
      <c r="G124" s="318"/>
      <c r="H124" s="319"/>
      <c r="I124" s="158"/>
      <c r="J124" s="217"/>
      <c r="K124" s="217"/>
      <c r="L124" s="217"/>
      <c r="M124" s="217"/>
      <c r="N124" s="146"/>
      <c r="O124" s="146"/>
      <c r="P124" s="146"/>
      <c r="Q124" s="217"/>
      <c r="R124" s="217"/>
      <c r="S124" s="217"/>
      <c r="T124" s="217"/>
      <c r="U124" s="217"/>
      <c r="V124" s="217"/>
      <c r="W124" s="217"/>
      <c r="X124" s="217"/>
      <c r="Y124" s="151"/>
      <c r="Z124" s="151"/>
      <c r="AA124" s="31"/>
    </row>
    <row r="125" spans="1:27" ht="18" hidden="1" customHeight="1" outlineLevel="2">
      <c r="A125" s="188">
        <v>104</v>
      </c>
      <c r="B125" s="116"/>
      <c r="C125" s="116"/>
      <c r="D125" s="197"/>
      <c r="E125" s="116"/>
      <c r="F125" s="131" t="str">
        <f t="shared" si="4"/>
        <v/>
      </c>
      <c r="G125" s="318"/>
      <c r="H125" s="319"/>
      <c r="I125" s="158"/>
      <c r="J125" s="217"/>
      <c r="K125" s="217"/>
      <c r="L125" s="217"/>
      <c r="M125" s="217"/>
      <c r="N125" s="146"/>
      <c r="O125" s="146"/>
      <c r="P125" s="146"/>
      <c r="Q125" s="217"/>
      <c r="R125" s="217"/>
      <c r="S125" s="217"/>
      <c r="T125" s="217"/>
      <c r="U125" s="217"/>
      <c r="V125" s="217"/>
      <c r="W125" s="217"/>
      <c r="X125" s="217"/>
      <c r="Y125" s="151"/>
      <c r="Z125" s="151"/>
      <c r="AA125" s="31"/>
    </row>
    <row r="126" spans="1:27" ht="18" hidden="1" customHeight="1" outlineLevel="2" collapsed="1">
      <c r="A126" s="188">
        <v>105</v>
      </c>
      <c r="B126" s="116"/>
      <c r="C126" s="116"/>
      <c r="D126" s="197"/>
      <c r="E126" s="116"/>
      <c r="F126" s="131" t="str">
        <f t="shared" si="4"/>
        <v/>
      </c>
      <c r="G126" s="318"/>
      <c r="H126" s="319"/>
      <c r="I126" s="158"/>
      <c r="J126" s="217"/>
      <c r="K126" s="217"/>
      <c r="L126" s="217"/>
      <c r="M126" s="217"/>
      <c r="N126" s="146"/>
      <c r="O126" s="146"/>
      <c r="P126" s="146"/>
      <c r="Q126" s="217"/>
      <c r="R126" s="217"/>
      <c r="S126" s="217"/>
      <c r="T126" s="217"/>
      <c r="U126" s="217"/>
      <c r="V126" s="217"/>
      <c r="W126" s="217"/>
      <c r="X126" s="217"/>
      <c r="Y126" s="151"/>
      <c r="Z126" s="151"/>
      <c r="AA126" s="31"/>
    </row>
    <row r="127" spans="1:27" ht="18" hidden="1" customHeight="1" outlineLevel="2">
      <c r="A127" s="188">
        <v>106</v>
      </c>
      <c r="B127" s="116"/>
      <c r="C127" s="116"/>
      <c r="D127" s="197"/>
      <c r="E127" s="116"/>
      <c r="F127" s="131" t="str">
        <f t="shared" si="4"/>
        <v/>
      </c>
      <c r="G127" s="318"/>
      <c r="H127" s="319"/>
      <c r="I127" s="158"/>
      <c r="J127" s="217"/>
      <c r="K127" s="217"/>
      <c r="L127" s="217"/>
      <c r="M127" s="217"/>
      <c r="N127" s="146"/>
      <c r="O127" s="146"/>
      <c r="P127" s="146"/>
      <c r="Q127" s="217"/>
      <c r="R127" s="217"/>
      <c r="S127" s="217"/>
      <c r="T127" s="217"/>
      <c r="U127" s="217"/>
      <c r="V127" s="217"/>
      <c r="W127" s="217"/>
      <c r="X127" s="217"/>
      <c r="Y127" s="151"/>
      <c r="Z127" s="151"/>
      <c r="AA127" s="31"/>
    </row>
    <row r="128" spans="1:27" ht="18" hidden="1" customHeight="1" outlineLevel="2" collapsed="1">
      <c r="A128" s="188">
        <v>107</v>
      </c>
      <c r="B128" s="116"/>
      <c r="C128" s="116"/>
      <c r="D128" s="197"/>
      <c r="E128" s="116"/>
      <c r="F128" s="131" t="str">
        <f t="shared" si="4"/>
        <v/>
      </c>
      <c r="G128" s="318"/>
      <c r="H128" s="319"/>
      <c r="I128" s="158"/>
      <c r="J128" s="217"/>
      <c r="K128" s="217"/>
      <c r="L128" s="217"/>
      <c r="M128" s="217"/>
      <c r="N128" s="146"/>
      <c r="O128" s="146"/>
      <c r="P128" s="146"/>
      <c r="Q128" s="217"/>
      <c r="R128" s="217"/>
      <c r="S128" s="217"/>
      <c r="T128" s="217"/>
      <c r="U128" s="217"/>
      <c r="V128" s="217"/>
      <c r="W128" s="217"/>
      <c r="X128" s="217"/>
      <c r="Y128" s="151"/>
      <c r="Z128" s="151"/>
      <c r="AA128" s="31"/>
    </row>
    <row r="129" spans="1:28" ht="18" hidden="1" customHeight="1" outlineLevel="2">
      <c r="A129" s="188">
        <v>108</v>
      </c>
      <c r="B129" s="116"/>
      <c r="C129" s="116"/>
      <c r="D129" s="197"/>
      <c r="E129" s="116"/>
      <c r="F129" s="131" t="str">
        <f t="shared" si="4"/>
        <v/>
      </c>
      <c r="G129" s="318"/>
      <c r="H129" s="319"/>
      <c r="I129" s="158"/>
      <c r="J129" s="217"/>
      <c r="K129" s="217"/>
      <c r="L129" s="217"/>
      <c r="M129" s="217"/>
      <c r="N129" s="146"/>
      <c r="O129" s="146"/>
      <c r="P129" s="146"/>
      <c r="Q129" s="217"/>
      <c r="R129" s="217"/>
      <c r="S129" s="217"/>
      <c r="T129" s="217"/>
      <c r="U129" s="217"/>
      <c r="V129" s="217"/>
      <c r="W129" s="217"/>
      <c r="X129" s="217"/>
      <c r="Y129" s="151"/>
      <c r="Z129" s="151"/>
      <c r="AA129" s="31"/>
      <c r="AB129" s="218"/>
    </row>
    <row r="130" spans="1:28" ht="18" hidden="1" customHeight="1" outlineLevel="2" collapsed="1">
      <c r="A130" s="188">
        <v>109</v>
      </c>
      <c r="B130" s="116"/>
      <c r="C130" s="116"/>
      <c r="D130" s="197"/>
      <c r="E130" s="116"/>
      <c r="F130" s="131" t="str">
        <f t="shared" si="4"/>
        <v/>
      </c>
      <c r="G130" s="318"/>
      <c r="H130" s="319"/>
      <c r="I130" s="158"/>
      <c r="J130" s="217"/>
      <c r="K130" s="217"/>
      <c r="L130" s="217"/>
      <c r="M130" s="217"/>
      <c r="N130" s="146"/>
      <c r="O130" s="146"/>
      <c r="P130" s="146"/>
      <c r="Q130" s="217"/>
      <c r="R130" s="217"/>
      <c r="S130" s="217"/>
      <c r="T130" s="217"/>
      <c r="U130" s="217"/>
      <c r="V130" s="217"/>
      <c r="W130" s="217"/>
      <c r="X130" s="217"/>
      <c r="Y130" s="151"/>
      <c r="Z130" s="151"/>
      <c r="AA130" s="31"/>
      <c r="AB130" s="218"/>
    </row>
    <row r="131" spans="1:28" ht="18" hidden="1" customHeight="1" outlineLevel="2">
      <c r="A131" s="188">
        <v>110</v>
      </c>
      <c r="B131" s="116"/>
      <c r="C131" s="116"/>
      <c r="D131" s="197"/>
      <c r="E131" s="116"/>
      <c r="F131" s="131" t="str">
        <f t="shared" si="4"/>
        <v/>
      </c>
      <c r="G131" s="318"/>
      <c r="H131" s="319"/>
      <c r="I131" s="158"/>
      <c r="J131" s="217"/>
      <c r="K131" s="217"/>
      <c r="L131" s="217"/>
      <c r="M131" s="217"/>
      <c r="N131" s="146"/>
      <c r="O131" s="146"/>
      <c r="P131" s="146"/>
      <c r="Q131" s="217"/>
      <c r="R131" s="217"/>
      <c r="S131" s="217"/>
      <c r="T131" s="217"/>
      <c r="U131" s="217"/>
      <c r="V131" s="217"/>
      <c r="W131" s="217"/>
      <c r="X131" s="217"/>
      <c r="Y131" s="151"/>
      <c r="Z131" s="151"/>
      <c r="AA131" s="31"/>
      <c r="AB131" s="218"/>
    </row>
    <row r="132" spans="1:28" ht="18" hidden="1" customHeight="1" outlineLevel="2" collapsed="1">
      <c r="A132" s="188">
        <v>111</v>
      </c>
      <c r="B132" s="116"/>
      <c r="C132" s="116"/>
      <c r="D132" s="197"/>
      <c r="E132" s="116"/>
      <c r="F132" s="131" t="str">
        <f t="shared" si="4"/>
        <v/>
      </c>
      <c r="G132" s="318"/>
      <c r="H132" s="319"/>
      <c r="I132" s="158"/>
      <c r="J132" s="217"/>
      <c r="K132" s="217"/>
      <c r="L132" s="217"/>
      <c r="M132" s="217"/>
      <c r="N132" s="146"/>
      <c r="O132" s="146"/>
      <c r="P132" s="146"/>
      <c r="Q132" s="217"/>
      <c r="R132" s="217"/>
      <c r="S132" s="217"/>
      <c r="T132" s="217"/>
      <c r="U132" s="217"/>
      <c r="V132" s="217"/>
      <c r="W132" s="217"/>
      <c r="X132" s="217"/>
      <c r="Y132" s="151"/>
      <c r="Z132" s="151"/>
      <c r="AA132" s="31"/>
      <c r="AB132" s="218"/>
    </row>
    <row r="133" spans="1:28" ht="18" hidden="1" customHeight="1" outlineLevel="2">
      <c r="A133" s="188">
        <v>112</v>
      </c>
      <c r="B133" s="116"/>
      <c r="C133" s="116"/>
      <c r="D133" s="197"/>
      <c r="E133" s="116"/>
      <c r="F133" s="131" t="str">
        <f t="shared" si="4"/>
        <v/>
      </c>
      <c r="G133" s="318"/>
      <c r="H133" s="319"/>
      <c r="I133" s="158"/>
      <c r="J133" s="217"/>
      <c r="K133" s="217"/>
      <c r="L133" s="217"/>
      <c r="M133" s="217"/>
      <c r="N133" s="146"/>
      <c r="O133" s="146"/>
      <c r="P133" s="146"/>
      <c r="Q133" s="217"/>
      <c r="R133" s="217"/>
      <c r="S133" s="217"/>
      <c r="T133" s="217"/>
      <c r="U133" s="217"/>
      <c r="V133" s="217"/>
      <c r="W133" s="217"/>
      <c r="X133" s="217"/>
      <c r="Y133" s="151"/>
      <c r="Z133" s="151"/>
      <c r="AA133" s="31"/>
      <c r="AB133" s="218"/>
    </row>
    <row r="134" spans="1:28" ht="18" hidden="1" customHeight="1" outlineLevel="2">
      <c r="A134" s="188">
        <v>113</v>
      </c>
      <c r="B134" s="116"/>
      <c r="C134" s="116"/>
      <c r="D134" s="197"/>
      <c r="E134" s="116"/>
      <c r="F134" s="131" t="str">
        <f t="shared" si="4"/>
        <v/>
      </c>
      <c r="G134" s="318"/>
      <c r="H134" s="319"/>
      <c r="I134" s="158"/>
      <c r="J134" s="217"/>
      <c r="K134" s="217"/>
      <c r="L134" s="217"/>
      <c r="M134" s="217"/>
      <c r="N134" s="146"/>
      <c r="O134" s="146"/>
      <c r="P134" s="146"/>
      <c r="Q134" s="217"/>
      <c r="R134" s="217"/>
      <c r="S134" s="217"/>
      <c r="T134" s="217"/>
      <c r="U134" s="217"/>
      <c r="V134" s="217"/>
      <c r="W134" s="217"/>
      <c r="X134" s="217"/>
      <c r="Y134" s="151"/>
      <c r="Z134" s="151"/>
      <c r="AA134" s="31"/>
      <c r="AB134" s="218"/>
    </row>
    <row r="135" spans="1:28" ht="18" hidden="1" customHeight="1" outlineLevel="2">
      <c r="A135" s="188">
        <v>114</v>
      </c>
      <c r="B135" s="116"/>
      <c r="C135" s="116"/>
      <c r="D135" s="197"/>
      <c r="E135" s="116"/>
      <c r="F135" s="131" t="str">
        <f t="shared" si="4"/>
        <v/>
      </c>
      <c r="G135" s="318"/>
      <c r="H135" s="319"/>
      <c r="I135" s="158"/>
      <c r="J135" s="217"/>
      <c r="K135" s="217"/>
      <c r="L135" s="217"/>
      <c r="M135" s="217"/>
      <c r="N135" s="146"/>
      <c r="O135" s="146"/>
      <c r="P135" s="146"/>
      <c r="Q135" s="217"/>
      <c r="R135" s="217"/>
      <c r="S135" s="217"/>
      <c r="T135" s="217"/>
      <c r="U135" s="217"/>
      <c r="V135" s="217"/>
      <c r="W135" s="217"/>
      <c r="X135" s="217"/>
      <c r="Y135" s="151"/>
      <c r="Z135" s="151"/>
      <c r="AA135" s="31"/>
      <c r="AB135" s="218"/>
    </row>
    <row r="136" spans="1:28" ht="18" hidden="1" customHeight="1" outlineLevel="1" collapsed="1">
      <c r="A136" s="188"/>
      <c r="B136" s="92"/>
      <c r="C136" s="93"/>
      <c r="D136" s="93"/>
      <c r="E136" s="93"/>
      <c r="F136" s="93"/>
      <c r="G136" s="320"/>
      <c r="H136" s="321"/>
      <c r="I136" s="159"/>
      <c r="J136" s="217"/>
      <c r="K136" s="217"/>
      <c r="L136" s="217"/>
      <c r="M136" s="217"/>
      <c r="N136" s="146"/>
      <c r="O136" s="146"/>
      <c r="P136" s="146"/>
      <c r="Q136" s="217"/>
      <c r="R136" s="217"/>
      <c r="S136" s="217"/>
      <c r="T136" s="217"/>
      <c r="U136" s="217"/>
      <c r="V136" s="217"/>
      <c r="W136" s="217"/>
      <c r="X136" s="217"/>
      <c r="Y136" s="151"/>
      <c r="Z136" s="151"/>
      <c r="AA136" s="31"/>
      <c r="AB136" s="218"/>
    </row>
    <row r="137" spans="1:28" ht="18" customHeight="1" collapsed="1">
      <c r="A137" s="188"/>
      <c r="B137" s="335" t="str">
        <f>_xlfn.CONCAT("Total Ventilation Rate ",IF(units="SI","(L/s)","(cfm)"))</f>
        <v>Total Ventilation Rate (cfm)</v>
      </c>
      <c r="C137" s="335"/>
      <c r="D137" s="335"/>
      <c r="E137" s="335"/>
      <c r="F137" s="265">
        <f>totalVentAirFlow</f>
        <v>0</v>
      </c>
      <c r="G137" s="337"/>
      <c r="H137" s="321"/>
      <c r="I137" s="217"/>
      <c r="J137" s="217"/>
      <c r="K137" s="217"/>
      <c r="L137" s="217"/>
      <c r="M137" s="217"/>
      <c r="N137" s="217"/>
      <c r="O137" s="146"/>
      <c r="P137" s="146"/>
      <c r="Q137" s="146"/>
      <c r="R137" s="217"/>
      <c r="S137" s="217"/>
      <c r="T137" s="217"/>
      <c r="U137" s="217"/>
      <c r="V137" s="217"/>
      <c r="W137" s="217"/>
      <c r="X137" s="217"/>
      <c r="Y137" s="217"/>
      <c r="Z137" s="151"/>
      <c r="AA137" s="31"/>
      <c r="AB137" s="31"/>
    </row>
    <row r="138" spans="1:28" ht="18" customHeight="1">
      <c r="A138" s="188"/>
      <c r="B138" s="335" t="str">
        <f>_xlfn.CONCAT("Total Ventilation Rate of Compliant Systems ",IF(units="SI","(L/s)","(cfm)"))</f>
        <v>Total Ventilation Rate of Compliant Systems (cfm)</v>
      </c>
      <c r="C138" s="335"/>
      <c r="D138" s="335"/>
      <c r="E138" s="335"/>
      <c r="F138" s="265">
        <f>totalCompliantVentAirFlow</f>
        <v>0</v>
      </c>
      <c r="G138" s="337"/>
      <c r="H138" s="321"/>
      <c r="I138" s="217"/>
      <c r="J138" s="217"/>
      <c r="K138" s="217"/>
      <c r="L138" s="217"/>
      <c r="M138" s="217"/>
      <c r="N138" s="217"/>
      <c r="O138" s="146"/>
      <c r="P138" s="146"/>
      <c r="Q138" s="146"/>
      <c r="R138" s="217"/>
      <c r="S138" s="217"/>
      <c r="T138" s="217"/>
      <c r="U138" s="217"/>
      <c r="V138" s="217"/>
      <c r="W138" s="217"/>
      <c r="X138" s="217"/>
      <c r="Y138" s="217"/>
      <c r="Z138" s="151"/>
      <c r="AA138" s="31"/>
      <c r="AB138" s="31"/>
    </row>
    <row r="139" spans="1:28" ht="18" customHeight="1">
      <c r="A139" s="188"/>
      <c r="B139" s="217"/>
      <c r="C139" s="217"/>
      <c r="D139" s="217"/>
      <c r="E139" s="217"/>
      <c r="F139" s="217"/>
      <c r="G139" s="217"/>
      <c r="H139" s="217"/>
      <c r="I139" s="217"/>
      <c r="J139" s="217"/>
      <c r="K139" s="216"/>
      <c r="L139" s="216"/>
      <c r="M139" s="216"/>
      <c r="N139" s="217"/>
      <c r="O139" s="146"/>
      <c r="P139" s="146"/>
      <c r="Q139" s="146"/>
      <c r="R139" s="217"/>
      <c r="S139" s="217"/>
      <c r="T139" s="217"/>
      <c r="U139" s="217"/>
      <c r="V139" s="217"/>
      <c r="W139" s="217"/>
      <c r="X139" s="217"/>
      <c r="Y139" s="217"/>
      <c r="Z139" s="138"/>
      <c r="AA139" s="19"/>
      <c r="AB139" s="218"/>
    </row>
    <row r="140" spans="1:28" ht="18" customHeight="1">
      <c r="A140" s="188"/>
      <c r="B140" s="217"/>
      <c r="C140" s="217"/>
      <c r="D140" s="217"/>
      <c r="E140" s="217"/>
      <c r="F140" s="217"/>
      <c r="G140" s="217"/>
      <c r="H140" s="217"/>
      <c r="I140" s="217"/>
      <c r="J140" s="217"/>
      <c r="K140" s="216"/>
      <c r="L140" s="216"/>
      <c r="M140" s="216"/>
      <c r="N140" s="217"/>
      <c r="O140" s="146"/>
      <c r="P140" s="146"/>
      <c r="Q140" s="146"/>
      <c r="R140" s="217"/>
      <c r="S140" s="217"/>
      <c r="T140" s="217"/>
      <c r="U140" s="217"/>
      <c r="V140" s="217"/>
      <c r="W140" s="217"/>
      <c r="X140" s="217"/>
      <c r="Y140" s="217"/>
      <c r="Z140" s="138"/>
      <c r="AA140" s="19"/>
      <c r="AB140" s="218"/>
    </row>
    <row r="141" spans="1:28" s="218" customFormat="1" ht="18" customHeight="1">
      <c r="A141" s="141"/>
      <c r="B141" s="89" t="s">
        <v>171</v>
      </c>
      <c r="C141" s="90"/>
      <c r="D141" s="90"/>
      <c r="E141" s="90"/>
      <c r="F141" s="90"/>
      <c r="G141" s="90"/>
      <c r="H141" s="90"/>
      <c r="I141" s="90"/>
      <c r="J141" s="91"/>
      <c r="K141" s="216"/>
      <c r="L141" s="216"/>
      <c r="M141" s="216"/>
      <c r="N141" s="217"/>
      <c r="O141" s="146"/>
      <c r="P141" s="146"/>
      <c r="Q141" s="146"/>
      <c r="R141" s="217"/>
      <c r="S141" s="217"/>
      <c r="T141" s="217"/>
      <c r="U141" s="217"/>
      <c r="V141" s="217"/>
      <c r="W141" s="217"/>
      <c r="X141" s="217"/>
      <c r="Y141" s="217"/>
      <c r="Z141" s="138"/>
      <c r="AA141" s="19"/>
    </row>
    <row r="142" spans="1:28" s="218" customFormat="1" ht="18" customHeight="1">
      <c r="A142" s="141"/>
      <c r="B142" s="217"/>
      <c r="C142" s="217"/>
      <c r="D142" s="217"/>
      <c r="E142" s="217"/>
      <c r="F142" s="217"/>
      <c r="G142" s="217"/>
      <c r="H142" s="217"/>
      <c r="I142" s="217"/>
      <c r="J142" s="217"/>
      <c r="K142" s="216"/>
      <c r="L142" s="216"/>
      <c r="M142" s="216"/>
      <c r="N142" s="217"/>
      <c r="O142" s="146"/>
      <c r="P142" s="146"/>
      <c r="Q142" s="146"/>
      <c r="R142" s="217"/>
      <c r="S142" s="217"/>
      <c r="T142" s="217"/>
      <c r="U142" s="217"/>
      <c r="V142" s="217"/>
      <c r="W142" s="217"/>
      <c r="X142" s="217"/>
      <c r="Y142" s="217"/>
      <c r="Z142" s="138"/>
      <c r="AA142" s="19"/>
    </row>
    <row r="143" spans="1:28" s="218" customFormat="1" ht="18" customHeight="1">
      <c r="A143" s="141"/>
      <c r="B143" s="156" t="s">
        <v>172</v>
      </c>
      <c r="C143" s="217"/>
      <c r="D143" s="217"/>
      <c r="E143" s="217"/>
      <c r="F143" s="217"/>
      <c r="G143" s="217"/>
      <c r="H143" s="217"/>
      <c r="I143" s="217"/>
      <c r="J143" s="217"/>
      <c r="K143" s="216"/>
      <c r="L143" s="216"/>
      <c r="M143" s="216"/>
      <c r="N143" s="217"/>
      <c r="O143" s="146"/>
      <c r="P143" s="146"/>
      <c r="Q143" s="146"/>
      <c r="R143" s="217"/>
      <c r="S143" s="217"/>
      <c r="T143" s="217"/>
      <c r="U143" s="217"/>
      <c r="V143" s="217"/>
      <c r="W143" s="217"/>
      <c r="X143" s="217"/>
      <c r="Y143" s="217"/>
      <c r="Z143" s="138"/>
      <c r="AA143" s="19"/>
    </row>
    <row r="144" spans="1:28" s="218" customFormat="1" ht="18" customHeight="1">
      <c r="A144" s="141"/>
      <c r="B144" s="217"/>
      <c r="C144" s="217"/>
      <c r="D144" s="217"/>
      <c r="E144" s="217"/>
      <c r="F144" s="217"/>
      <c r="G144" s="217"/>
      <c r="H144" s="217"/>
      <c r="I144" s="217"/>
      <c r="J144" s="217"/>
      <c r="K144" s="216"/>
      <c r="L144" s="216"/>
      <c r="M144" s="216"/>
      <c r="N144" s="217"/>
      <c r="O144" s="146"/>
      <c r="P144" s="146"/>
      <c r="Q144" s="146"/>
      <c r="R144" s="217"/>
      <c r="S144" s="217"/>
      <c r="T144" s="217"/>
      <c r="U144" s="217"/>
      <c r="V144" s="217"/>
      <c r="W144" s="217"/>
      <c r="X144" s="217"/>
      <c r="Y144" s="217"/>
      <c r="Z144" s="138"/>
      <c r="AA144" s="19"/>
    </row>
    <row r="145" spans="1:52" s="193" customFormat="1" ht="18" customHeight="1">
      <c r="A145" s="189"/>
      <c r="B145" s="190" t="s">
        <v>158</v>
      </c>
      <c r="C145" s="190"/>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2"/>
      <c r="Z145" s="192"/>
      <c r="AA145" s="192"/>
      <c r="AB145" s="192"/>
      <c r="AC145" s="192"/>
      <c r="AD145" s="192"/>
      <c r="AE145" s="192"/>
      <c r="AF145" s="192"/>
      <c r="AG145" s="192"/>
      <c r="AH145" s="192"/>
      <c r="AI145" s="192"/>
      <c r="AJ145" s="192"/>
      <c r="AK145" s="192"/>
      <c r="AL145" s="192"/>
      <c r="AM145" s="192"/>
      <c r="AN145" s="192"/>
      <c r="AO145" s="192"/>
      <c r="AP145" s="192"/>
      <c r="AQ145" s="192"/>
      <c r="AR145" s="192"/>
      <c r="AS145" s="192"/>
      <c r="AT145" s="192"/>
      <c r="AU145" s="192"/>
      <c r="AV145" s="192"/>
      <c r="AW145" s="192"/>
      <c r="AX145" s="192"/>
      <c r="AY145" s="192"/>
      <c r="AZ145" s="192"/>
    </row>
    <row r="146" spans="1:52" s="218" customFormat="1" ht="18" customHeight="1">
      <c r="A146" s="141"/>
      <c r="B146" s="201" t="s">
        <v>173</v>
      </c>
      <c r="C146" s="202"/>
      <c r="D146" s="202"/>
      <c r="E146" s="203"/>
      <c r="F146" s="216"/>
      <c r="G146" s="216"/>
      <c r="H146" s="216"/>
      <c r="I146" s="216"/>
      <c r="J146" s="217"/>
      <c r="K146" s="146"/>
      <c r="L146" s="146"/>
      <c r="M146" s="146"/>
      <c r="N146" s="217"/>
      <c r="O146" s="217"/>
      <c r="P146" s="217"/>
      <c r="Q146" s="217"/>
      <c r="R146" s="217"/>
      <c r="S146" s="217"/>
      <c r="T146" s="217"/>
      <c r="U146" s="217"/>
      <c r="V146" s="138"/>
      <c r="W146" s="138"/>
      <c r="X146" s="219"/>
      <c r="Y146" s="219"/>
      <c r="Z146" s="219"/>
    </row>
    <row r="147" spans="1:52" s="218" customFormat="1" ht="18" customHeight="1">
      <c r="A147" s="141"/>
      <c r="B147" s="323" t="s">
        <v>174</v>
      </c>
      <c r="C147" s="323" t="s">
        <v>175</v>
      </c>
      <c r="D147" s="323" t="s">
        <v>176</v>
      </c>
      <c r="E147" s="323" t="s">
        <v>177</v>
      </c>
      <c r="F147" s="216"/>
      <c r="G147" s="216"/>
      <c r="H147" s="216"/>
      <c r="I147" s="216"/>
      <c r="J147" s="216"/>
      <c r="K147" s="217"/>
      <c r="L147" s="146"/>
      <c r="M147" s="146"/>
      <c r="N147" s="146"/>
      <c r="O147" s="217"/>
      <c r="P147" s="217"/>
      <c r="Q147" s="217"/>
      <c r="R147" s="217"/>
      <c r="S147" s="217"/>
      <c r="T147" s="217"/>
      <c r="U147" s="217"/>
      <c r="V147" s="217"/>
      <c r="W147" s="138"/>
      <c r="X147" s="138"/>
      <c r="Y147" s="219"/>
      <c r="Z147" s="219"/>
    </row>
    <row r="148" spans="1:52" s="218" customFormat="1" ht="18" customHeight="1">
      <c r="A148" s="141"/>
      <c r="B148" s="323"/>
      <c r="C148" s="323"/>
      <c r="D148" s="323"/>
      <c r="E148" s="323"/>
      <c r="F148" s="217"/>
      <c r="G148" s="217"/>
      <c r="H148" s="216"/>
      <c r="I148" s="216"/>
      <c r="J148" s="216"/>
      <c r="K148" s="217"/>
      <c r="L148" s="146"/>
      <c r="M148" s="146"/>
      <c r="N148" s="146"/>
      <c r="O148" s="217"/>
      <c r="P148" s="217"/>
      <c r="Q148" s="217"/>
      <c r="R148" s="217"/>
      <c r="S148" s="217"/>
      <c r="T148" s="217"/>
      <c r="U148" s="217"/>
      <c r="V148" s="217"/>
      <c r="W148" s="138"/>
      <c r="X148" s="138"/>
      <c r="Y148" s="219"/>
      <c r="Z148" s="219"/>
    </row>
    <row r="149" spans="1:52" s="218" customFormat="1" ht="18" customHeight="1">
      <c r="A149" s="141"/>
      <c r="B149" s="323"/>
      <c r="C149" s="323"/>
      <c r="D149" s="323"/>
      <c r="E149" s="323"/>
      <c r="F149" s="217"/>
      <c r="G149" s="217"/>
      <c r="H149" s="216"/>
      <c r="I149" s="216"/>
      <c r="J149" s="216"/>
      <c r="K149" s="217"/>
      <c r="L149" s="146"/>
      <c r="M149" s="146"/>
      <c r="N149" s="146"/>
      <c r="O149" s="217"/>
      <c r="P149" s="217"/>
      <c r="Q149" s="217"/>
      <c r="R149" s="217"/>
      <c r="S149" s="217"/>
      <c r="T149" s="217"/>
      <c r="U149" s="217"/>
      <c r="V149" s="217"/>
      <c r="W149" s="138"/>
      <c r="X149" s="138"/>
      <c r="Y149" s="219"/>
      <c r="Z149" s="219"/>
    </row>
    <row r="150" spans="1:52" s="218" customFormat="1" ht="18" customHeight="1">
      <c r="A150" s="188">
        <v>1</v>
      </c>
      <c r="B150" s="116"/>
      <c r="C150" s="116"/>
      <c r="D150" s="116"/>
      <c r="E150" s="130"/>
      <c r="F150" s="220"/>
      <c r="G150" s="217"/>
      <c r="H150" s="216"/>
      <c r="I150" s="216"/>
      <c r="J150" s="216"/>
      <c r="K150" s="217"/>
      <c r="L150" s="146"/>
      <c r="M150" s="146"/>
      <c r="N150" s="146"/>
      <c r="O150" s="217"/>
      <c r="P150" s="217"/>
      <c r="Q150" s="217"/>
      <c r="R150" s="217"/>
      <c r="S150" s="217"/>
      <c r="T150" s="217"/>
      <c r="U150" s="217"/>
      <c r="V150" s="217"/>
      <c r="W150" s="138"/>
      <c r="X150" s="138"/>
      <c r="Y150" s="219"/>
      <c r="Z150" s="219"/>
    </row>
    <row r="151" spans="1:52" s="218" customFormat="1" ht="18" customHeight="1">
      <c r="A151" s="188">
        <v>2</v>
      </c>
      <c r="B151" s="116"/>
      <c r="C151" s="116"/>
      <c r="D151" s="116"/>
      <c r="E151" s="130"/>
      <c r="F151" s="217"/>
      <c r="G151" s="217"/>
      <c r="H151" s="216"/>
      <c r="I151" s="216"/>
      <c r="J151" s="216"/>
      <c r="K151" s="217"/>
      <c r="L151" s="146"/>
      <c r="M151" s="146"/>
      <c r="N151" s="146"/>
      <c r="O151" s="217"/>
      <c r="P151" s="217"/>
      <c r="Q151" s="217"/>
      <c r="R151" s="217"/>
      <c r="S151" s="217"/>
      <c r="T151" s="217"/>
      <c r="U151" s="217"/>
      <c r="V151" s="217"/>
      <c r="W151" s="138"/>
      <c r="X151" s="138"/>
      <c r="Y151" s="219"/>
      <c r="Z151" s="219"/>
    </row>
    <row r="152" spans="1:52" s="218" customFormat="1" ht="18" customHeight="1">
      <c r="A152" s="188">
        <v>3</v>
      </c>
      <c r="B152" s="116"/>
      <c r="C152" s="116"/>
      <c r="D152" s="116"/>
      <c r="E152" s="130"/>
      <c r="F152" s="217"/>
      <c r="G152" s="217"/>
      <c r="H152" s="216"/>
      <c r="I152" s="216"/>
      <c r="J152" s="216"/>
      <c r="K152" s="217"/>
      <c r="L152" s="146"/>
      <c r="M152" s="146"/>
      <c r="N152" s="146"/>
      <c r="O152" s="217"/>
      <c r="P152" s="217"/>
      <c r="Q152" s="217"/>
      <c r="R152" s="217"/>
      <c r="S152" s="217"/>
      <c r="T152" s="217"/>
      <c r="U152" s="217"/>
      <c r="V152" s="217"/>
      <c r="W152" s="138"/>
      <c r="X152" s="138"/>
      <c r="Y152" s="219"/>
      <c r="Z152" s="219"/>
    </row>
    <row r="153" spans="1:52" s="218" customFormat="1" ht="18" customHeight="1">
      <c r="A153" s="188">
        <v>4</v>
      </c>
      <c r="B153" s="116"/>
      <c r="C153" s="116"/>
      <c r="D153" s="116"/>
      <c r="E153" s="130"/>
      <c r="F153" s="217"/>
      <c r="G153" s="217"/>
      <c r="H153" s="216"/>
      <c r="I153" s="216"/>
      <c r="J153" s="216"/>
      <c r="K153" s="217"/>
      <c r="L153" s="146"/>
      <c r="M153" s="146"/>
      <c r="N153" s="146"/>
      <c r="O153" s="217"/>
      <c r="P153" s="217"/>
      <c r="Q153" s="217"/>
      <c r="R153" s="217"/>
      <c r="S153" s="217"/>
      <c r="T153" s="217"/>
      <c r="U153" s="217"/>
      <c r="V153" s="217"/>
      <c r="W153" s="138"/>
      <c r="X153" s="138"/>
      <c r="Y153" s="219"/>
      <c r="Z153" s="219"/>
    </row>
    <row r="154" spans="1:52" s="218" customFormat="1" ht="18" customHeight="1">
      <c r="A154" s="188">
        <v>5</v>
      </c>
      <c r="B154" s="116"/>
      <c r="C154" s="116"/>
      <c r="D154" s="116"/>
      <c r="E154" s="130"/>
      <c r="F154" s="217"/>
      <c r="G154" s="217"/>
      <c r="H154" s="216"/>
      <c r="I154" s="216"/>
      <c r="J154" s="216"/>
      <c r="K154" s="217"/>
      <c r="L154" s="146"/>
      <c r="M154" s="146"/>
      <c r="N154" s="146"/>
      <c r="O154" s="217"/>
      <c r="P154" s="217"/>
      <c r="Q154" s="217"/>
      <c r="R154" s="217"/>
      <c r="S154" s="217"/>
      <c r="T154" s="217"/>
      <c r="U154" s="217"/>
      <c r="V154" s="217"/>
      <c r="W154" s="138"/>
      <c r="X154" s="138"/>
      <c r="Y154" s="219"/>
      <c r="Z154" s="219"/>
    </row>
    <row r="155" spans="1:52" s="218" customFormat="1" ht="18" customHeight="1">
      <c r="A155" s="188">
        <v>6</v>
      </c>
      <c r="B155" s="116"/>
      <c r="C155" s="116"/>
      <c r="D155" s="116"/>
      <c r="E155" s="130"/>
      <c r="F155" s="217"/>
      <c r="G155" s="217"/>
      <c r="H155" s="216"/>
      <c r="I155" s="216"/>
      <c r="J155" s="216"/>
      <c r="K155" s="217"/>
      <c r="L155" s="146"/>
      <c r="M155" s="146"/>
      <c r="N155" s="146"/>
      <c r="O155" s="217"/>
      <c r="P155" s="217"/>
      <c r="Q155" s="217"/>
      <c r="R155" s="217"/>
      <c r="S155" s="217"/>
      <c r="T155" s="217"/>
      <c r="U155" s="217"/>
      <c r="V155" s="217"/>
      <c r="W155" s="138"/>
      <c r="X155" s="138"/>
      <c r="Y155" s="219"/>
      <c r="Z155" s="219"/>
    </row>
    <row r="156" spans="1:52" s="218" customFormat="1" ht="18" customHeight="1">
      <c r="A156" s="188">
        <v>7</v>
      </c>
      <c r="B156" s="116"/>
      <c r="C156" s="116"/>
      <c r="D156" s="116"/>
      <c r="E156" s="130"/>
      <c r="F156" s="217"/>
      <c r="G156" s="217"/>
      <c r="H156" s="217"/>
      <c r="I156" s="217"/>
      <c r="J156" s="217"/>
      <c r="K156" s="217"/>
      <c r="L156" s="146"/>
      <c r="M156" s="146"/>
      <c r="N156" s="146"/>
      <c r="O156" s="217"/>
      <c r="P156" s="217"/>
      <c r="Q156" s="217"/>
      <c r="R156" s="217"/>
      <c r="S156" s="217"/>
      <c r="T156" s="217"/>
      <c r="U156" s="217"/>
      <c r="V156" s="217"/>
      <c r="W156" s="151"/>
      <c r="X156" s="151"/>
      <c r="Y156" s="151"/>
      <c r="Z156" s="219"/>
    </row>
    <row r="157" spans="1:52" s="218" customFormat="1" ht="18" customHeight="1">
      <c r="A157" s="188">
        <v>8</v>
      </c>
      <c r="B157" s="116"/>
      <c r="C157" s="116"/>
      <c r="D157" s="116"/>
      <c r="E157" s="130"/>
      <c r="F157" s="217"/>
      <c r="G157" s="217"/>
      <c r="H157" s="217"/>
      <c r="I157" s="217"/>
      <c r="J157" s="217"/>
      <c r="K157" s="217"/>
      <c r="L157" s="146"/>
      <c r="M157" s="146"/>
      <c r="N157" s="146"/>
      <c r="O157" s="217"/>
      <c r="P157" s="217"/>
      <c r="Q157" s="217"/>
      <c r="R157" s="217"/>
      <c r="S157" s="217"/>
      <c r="T157" s="217"/>
      <c r="U157" s="217"/>
      <c r="V157" s="217"/>
      <c r="W157" s="151"/>
      <c r="X157" s="151"/>
      <c r="Y157" s="151"/>
      <c r="Z157" s="219"/>
    </row>
    <row r="158" spans="1:52" s="218" customFormat="1" ht="18" customHeight="1">
      <c r="A158" s="188">
        <v>9</v>
      </c>
      <c r="B158" s="116"/>
      <c r="C158" s="116"/>
      <c r="D158" s="116"/>
      <c r="E158" s="130"/>
      <c r="F158" s="217"/>
      <c r="G158" s="217"/>
      <c r="H158" s="217"/>
      <c r="I158" s="217"/>
      <c r="J158" s="217"/>
      <c r="K158" s="217"/>
      <c r="L158" s="146"/>
      <c r="M158" s="146"/>
      <c r="N158" s="146"/>
      <c r="O158" s="217"/>
      <c r="P158" s="217"/>
      <c r="Q158" s="217"/>
      <c r="R158" s="217"/>
      <c r="S158" s="217"/>
      <c r="T158" s="217"/>
      <c r="U158" s="217"/>
      <c r="V158" s="217"/>
      <c r="W158" s="151"/>
      <c r="X158" s="151"/>
      <c r="Y158" s="151"/>
      <c r="Z158" s="219"/>
    </row>
    <row r="159" spans="1:52" s="218" customFormat="1" ht="18" customHeight="1">
      <c r="A159" s="188">
        <v>10</v>
      </c>
      <c r="B159" s="116"/>
      <c r="C159" s="116"/>
      <c r="D159" s="116"/>
      <c r="E159" s="130"/>
      <c r="F159" s="159" t="s">
        <v>170</v>
      </c>
      <c r="G159" s="217"/>
      <c r="H159" s="217"/>
      <c r="I159" s="217"/>
      <c r="J159" s="217"/>
      <c r="K159" s="217"/>
      <c r="L159" s="146"/>
      <c r="M159" s="146"/>
      <c r="N159" s="146"/>
      <c r="O159" s="217"/>
      <c r="P159" s="217"/>
      <c r="Q159" s="217"/>
      <c r="R159" s="217"/>
      <c r="S159" s="217"/>
      <c r="T159" s="217"/>
      <c r="U159" s="217"/>
      <c r="V159" s="217"/>
      <c r="W159" s="151"/>
      <c r="X159" s="151"/>
      <c r="Y159" s="151"/>
      <c r="Z159" s="219"/>
    </row>
    <row r="160" spans="1:52" s="218" customFormat="1" ht="18" hidden="1" customHeight="1" outlineLevel="1">
      <c r="A160" s="188">
        <v>11</v>
      </c>
      <c r="B160" s="116"/>
      <c r="C160" s="116"/>
      <c r="D160" s="116"/>
      <c r="E160" s="130"/>
      <c r="F160" s="217"/>
      <c r="G160" s="217"/>
      <c r="H160" s="217"/>
      <c r="I160" s="217"/>
      <c r="J160" s="217"/>
      <c r="K160" s="217"/>
      <c r="L160" s="146"/>
      <c r="M160" s="146"/>
      <c r="N160" s="146"/>
      <c r="O160" s="217"/>
      <c r="P160" s="217"/>
      <c r="Q160" s="217"/>
      <c r="R160" s="217"/>
      <c r="S160" s="217"/>
      <c r="T160" s="217"/>
      <c r="U160" s="217"/>
      <c r="V160" s="217"/>
      <c r="W160" s="151"/>
      <c r="X160" s="151"/>
      <c r="Y160" s="151"/>
      <c r="Z160" s="219"/>
    </row>
    <row r="161" spans="1:26" s="218" customFormat="1" ht="18" hidden="1" customHeight="1" outlineLevel="1">
      <c r="A161" s="188">
        <v>12</v>
      </c>
      <c r="B161" s="116"/>
      <c r="C161" s="116"/>
      <c r="D161" s="116"/>
      <c r="E161" s="130"/>
      <c r="F161" s="217"/>
      <c r="G161" s="217"/>
      <c r="H161" s="216"/>
      <c r="I161" s="216"/>
      <c r="J161" s="216"/>
      <c r="K161" s="217"/>
      <c r="L161" s="146"/>
      <c r="M161" s="146"/>
      <c r="N161" s="146"/>
      <c r="O161" s="217"/>
      <c r="P161" s="217"/>
      <c r="Q161" s="217"/>
      <c r="R161" s="217"/>
      <c r="S161" s="217"/>
      <c r="T161" s="217"/>
      <c r="U161" s="217"/>
      <c r="V161" s="217"/>
      <c r="W161" s="138"/>
      <c r="X161" s="138"/>
      <c r="Y161" s="219"/>
      <c r="Z161" s="219"/>
    </row>
    <row r="162" spans="1:26" s="218" customFormat="1" ht="18" hidden="1" customHeight="1" outlineLevel="1">
      <c r="A162" s="188">
        <v>13</v>
      </c>
      <c r="B162" s="116"/>
      <c r="C162" s="116"/>
      <c r="D162" s="116"/>
      <c r="E162" s="130"/>
      <c r="F162" s="217"/>
      <c r="G162" s="217"/>
      <c r="H162" s="217"/>
      <c r="I162" s="217"/>
      <c r="J162" s="217"/>
      <c r="K162" s="217"/>
      <c r="L162" s="146"/>
      <c r="M162" s="146"/>
      <c r="N162" s="146"/>
      <c r="O162" s="217"/>
      <c r="P162" s="217"/>
      <c r="Q162" s="217"/>
      <c r="R162" s="217"/>
      <c r="S162" s="217"/>
      <c r="T162" s="217"/>
      <c r="U162" s="217"/>
      <c r="V162" s="217"/>
      <c r="W162" s="138"/>
      <c r="X162" s="138"/>
      <c r="Y162" s="219"/>
      <c r="Z162" s="219"/>
    </row>
    <row r="163" spans="1:26" s="218" customFormat="1" ht="18" hidden="1" customHeight="1" outlineLevel="1">
      <c r="A163" s="188">
        <v>14</v>
      </c>
      <c r="B163" s="116"/>
      <c r="C163" s="116"/>
      <c r="D163" s="116"/>
      <c r="E163" s="130"/>
      <c r="F163" s="217"/>
      <c r="G163" s="217"/>
      <c r="H163" s="217"/>
      <c r="I163" s="217"/>
      <c r="J163" s="217"/>
      <c r="K163" s="217"/>
      <c r="L163" s="146"/>
      <c r="M163" s="146"/>
      <c r="N163" s="146"/>
      <c r="O163" s="217"/>
      <c r="P163" s="217"/>
      <c r="Q163" s="217"/>
      <c r="R163" s="217"/>
      <c r="S163" s="217"/>
      <c r="T163" s="217"/>
      <c r="U163" s="217"/>
      <c r="V163" s="217"/>
      <c r="W163" s="151"/>
      <c r="X163" s="151"/>
      <c r="Y163" s="151"/>
      <c r="Z163" s="219"/>
    </row>
    <row r="164" spans="1:26" s="218" customFormat="1" ht="18" hidden="1" customHeight="1" outlineLevel="1">
      <c r="A164" s="188">
        <v>15</v>
      </c>
      <c r="B164" s="116"/>
      <c r="C164" s="116"/>
      <c r="D164" s="116"/>
      <c r="E164" s="130"/>
      <c r="F164" s="217"/>
      <c r="G164" s="217"/>
      <c r="H164" s="217"/>
      <c r="I164" s="217"/>
      <c r="J164" s="217"/>
      <c r="K164" s="217"/>
      <c r="L164" s="146"/>
      <c r="M164" s="146"/>
      <c r="N164" s="146"/>
      <c r="O164" s="217"/>
      <c r="P164" s="217"/>
      <c r="Q164" s="217"/>
      <c r="R164" s="217"/>
      <c r="S164" s="217"/>
      <c r="T164" s="217"/>
      <c r="U164" s="217"/>
      <c r="V164" s="217"/>
      <c r="W164" s="151"/>
      <c r="X164" s="151"/>
      <c r="Y164" s="151"/>
      <c r="Z164" s="219"/>
    </row>
    <row r="165" spans="1:26" s="218" customFormat="1" ht="18" hidden="1" customHeight="1" outlineLevel="1">
      <c r="A165" s="188">
        <v>16</v>
      </c>
      <c r="B165" s="116"/>
      <c r="C165" s="116"/>
      <c r="D165" s="116"/>
      <c r="E165" s="130"/>
      <c r="F165" s="217"/>
      <c r="G165" s="217"/>
      <c r="H165" s="217"/>
      <c r="I165" s="217"/>
      <c r="J165" s="217"/>
      <c r="K165" s="217"/>
      <c r="L165" s="146"/>
      <c r="M165" s="146"/>
      <c r="N165" s="146"/>
      <c r="O165" s="217"/>
      <c r="P165" s="217"/>
      <c r="Q165" s="217"/>
      <c r="R165" s="217"/>
      <c r="S165" s="217"/>
      <c r="T165" s="217"/>
      <c r="U165" s="217"/>
      <c r="V165" s="217"/>
      <c r="W165" s="151"/>
      <c r="X165" s="151"/>
      <c r="Y165" s="151"/>
      <c r="Z165" s="219"/>
    </row>
    <row r="166" spans="1:26" s="218" customFormat="1" ht="18" hidden="1" customHeight="1" outlineLevel="1">
      <c r="A166" s="188">
        <v>17</v>
      </c>
      <c r="B166" s="116"/>
      <c r="C166" s="116"/>
      <c r="D166" s="116"/>
      <c r="E166" s="130"/>
      <c r="F166" s="217"/>
      <c r="G166" s="217"/>
      <c r="H166" s="217"/>
      <c r="I166" s="217"/>
      <c r="J166" s="217"/>
      <c r="K166" s="217"/>
      <c r="L166" s="146"/>
      <c r="M166" s="146"/>
      <c r="N166" s="146"/>
      <c r="O166" s="217"/>
      <c r="P166" s="217"/>
      <c r="Q166" s="217"/>
      <c r="R166" s="217"/>
      <c r="S166" s="217"/>
      <c r="T166" s="217"/>
      <c r="U166" s="217"/>
      <c r="V166" s="217"/>
      <c r="W166" s="151"/>
      <c r="X166" s="151"/>
      <c r="Y166" s="151"/>
      <c r="Z166" s="219"/>
    </row>
    <row r="167" spans="1:26" s="218" customFormat="1" ht="18" hidden="1" customHeight="1" outlineLevel="1">
      <c r="A167" s="188">
        <v>18</v>
      </c>
      <c r="B167" s="116"/>
      <c r="C167" s="116"/>
      <c r="D167" s="116"/>
      <c r="E167" s="130"/>
      <c r="F167" s="217"/>
      <c r="G167" s="217"/>
      <c r="H167" s="217"/>
      <c r="I167" s="217"/>
      <c r="J167" s="217"/>
      <c r="K167" s="217"/>
      <c r="L167" s="146"/>
      <c r="M167" s="146"/>
      <c r="N167" s="146"/>
      <c r="O167" s="217"/>
      <c r="P167" s="217"/>
      <c r="Q167" s="217"/>
      <c r="R167" s="217"/>
      <c r="S167" s="217"/>
      <c r="T167" s="217"/>
      <c r="U167" s="217"/>
      <c r="V167" s="217"/>
      <c r="W167" s="151"/>
      <c r="X167" s="151"/>
      <c r="Y167" s="151"/>
      <c r="Z167" s="219"/>
    </row>
    <row r="168" spans="1:26" s="218" customFormat="1" ht="18" hidden="1" customHeight="1" outlineLevel="1">
      <c r="A168" s="188">
        <v>19</v>
      </c>
      <c r="B168" s="116"/>
      <c r="C168" s="116"/>
      <c r="D168" s="116"/>
      <c r="E168" s="130"/>
      <c r="F168" s="217"/>
      <c r="G168" s="217"/>
      <c r="H168" s="217"/>
      <c r="I168" s="217"/>
      <c r="J168" s="217"/>
      <c r="K168" s="217"/>
      <c r="L168" s="146"/>
      <c r="M168" s="146"/>
      <c r="N168" s="146"/>
      <c r="O168" s="217"/>
      <c r="P168" s="217"/>
      <c r="Q168" s="217"/>
      <c r="R168" s="217"/>
      <c r="S168" s="217"/>
      <c r="T168" s="217"/>
      <c r="U168" s="217"/>
      <c r="V168" s="217"/>
      <c r="W168" s="151"/>
      <c r="X168" s="151"/>
      <c r="Y168" s="151"/>
      <c r="Z168" s="219"/>
    </row>
    <row r="169" spans="1:26" s="218" customFormat="1" ht="18" hidden="1" customHeight="1" outlineLevel="1">
      <c r="A169" s="188">
        <v>20</v>
      </c>
      <c r="B169" s="116"/>
      <c r="C169" s="116"/>
      <c r="D169" s="116"/>
      <c r="E169" s="130"/>
      <c r="F169" s="217"/>
      <c r="G169" s="217"/>
      <c r="H169" s="217"/>
      <c r="I169" s="217"/>
      <c r="J169" s="217"/>
      <c r="K169" s="217"/>
      <c r="L169" s="146"/>
      <c r="M169" s="146"/>
      <c r="N169" s="146"/>
      <c r="O169" s="217"/>
      <c r="P169" s="217"/>
      <c r="Q169" s="217"/>
      <c r="R169" s="217"/>
      <c r="S169" s="217"/>
      <c r="T169" s="217"/>
      <c r="U169" s="217"/>
      <c r="V169" s="217"/>
      <c r="W169" s="151"/>
      <c r="X169" s="151"/>
      <c r="Y169" s="151"/>
      <c r="Z169" s="219"/>
    </row>
    <row r="170" spans="1:26" s="218" customFormat="1" ht="18" hidden="1" customHeight="1" outlineLevel="1">
      <c r="A170" s="188">
        <v>21</v>
      </c>
      <c r="B170" s="116"/>
      <c r="C170" s="116"/>
      <c r="D170" s="116"/>
      <c r="E170" s="130"/>
      <c r="F170" s="217"/>
      <c r="G170" s="217"/>
      <c r="H170" s="217"/>
      <c r="I170" s="217"/>
      <c r="J170" s="217"/>
      <c r="K170" s="217"/>
      <c r="L170" s="146"/>
      <c r="M170" s="146"/>
      <c r="N170" s="146"/>
      <c r="O170" s="217"/>
      <c r="P170" s="217"/>
      <c r="Q170" s="217"/>
      <c r="R170" s="217"/>
      <c r="S170" s="217"/>
      <c r="T170" s="217"/>
      <c r="U170" s="217"/>
      <c r="V170" s="217"/>
      <c r="W170" s="151"/>
      <c r="X170" s="151"/>
      <c r="Y170" s="151"/>
      <c r="Z170" s="219"/>
    </row>
    <row r="171" spans="1:26" s="218" customFormat="1" ht="18" hidden="1" customHeight="1" outlineLevel="1">
      <c r="A171" s="188">
        <v>22</v>
      </c>
      <c r="B171" s="116"/>
      <c r="C171" s="116"/>
      <c r="D171" s="116"/>
      <c r="E171" s="130"/>
      <c r="F171" s="217"/>
      <c r="G171" s="217"/>
      <c r="H171" s="216"/>
      <c r="I171" s="216"/>
      <c r="J171" s="216"/>
      <c r="K171" s="217"/>
      <c r="L171" s="146"/>
      <c r="M171" s="146"/>
      <c r="N171" s="146"/>
      <c r="O171" s="217"/>
      <c r="P171" s="217"/>
      <c r="Q171" s="217"/>
      <c r="R171" s="217"/>
      <c r="S171" s="217"/>
      <c r="T171" s="217"/>
      <c r="U171" s="217"/>
      <c r="V171" s="217"/>
      <c r="W171" s="138"/>
      <c r="X171" s="138"/>
      <c r="Y171" s="219"/>
      <c r="Z171" s="219"/>
    </row>
    <row r="172" spans="1:26" s="218" customFormat="1" ht="18" hidden="1" customHeight="1" outlineLevel="1">
      <c r="A172" s="188">
        <v>23</v>
      </c>
      <c r="B172" s="116"/>
      <c r="C172" s="116"/>
      <c r="D172" s="116"/>
      <c r="E172" s="130"/>
      <c r="F172" s="217"/>
      <c r="G172" s="217"/>
      <c r="H172" s="217"/>
      <c r="I172" s="217"/>
      <c r="J172" s="217"/>
      <c r="K172" s="217"/>
      <c r="L172" s="146"/>
      <c r="M172" s="146"/>
      <c r="N172" s="146"/>
      <c r="O172" s="217"/>
      <c r="P172" s="217"/>
      <c r="Q172" s="217"/>
      <c r="R172" s="217"/>
      <c r="S172" s="217"/>
      <c r="T172" s="217"/>
      <c r="U172" s="217"/>
      <c r="V172" s="217"/>
      <c r="W172" s="138"/>
      <c r="X172" s="138"/>
      <c r="Y172" s="219"/>
      <c r="Z172" s="219"/>
    </row>
    <row r="173" spans="1:26" s="218" customFormat="1" ht="18" hidden="1" customHeight="1" outlineLevel="1">
      <c r="A173" s="188">
        <v>24</v>
      </c>
      <c r="B173" s="116"/>
      <c r="C173" s="116"/>
      <c r="D173" s="116"/>
      <c r="E173" s="130"/>
      <c r="F173" s="217"/>
      <c r="G173" s="217"/>
      <c r="H173" s="217"/>
      <c r="I173" s="217"/>
      <c r="J173" s="217"/>
      <c r="K173" s="217"/>
      <c r="L173" s="146"/>
      <c r="M173" s="146"/>
      <c r="N173" s="146"/>
      <c r="O173" s="217"/>
      <c r="P173" s="217"/>
      <c r="Q173" s="217"/>
      <c r="R173" s="217"/>
      <c r="S173" s="217"/>
      <c r="T173" s="217"/>
      <c r="U173" s="217"/>
      <c r="V173" s="217"/>
      <c r="W173" s="151"/>
      <c r="X173" s="151"/>
      <c r="Y173" s="151"/>
      <c r="Z173" s="219"/>
    </row>
    <row r="174" spans="1:26" s="218" customFormat="1" ht="18" hidden="1" customHeight="1" outlineLevel="1">
      <c r="A174" s="188">
        <v>25</v>
      </c>
      <c r="B174" s="116"/>
      <c r="C174" s="116"/>
      <c r="D174" s="116"/>
      <c r="E174" s="130"/>
      <c r="F174" s="217"/>
      <c r="G174" s="217"/>
      <c r="H174" s="217"/>
      <c r="I174" s="217"/>
      <c r="J174" s="217"/>
      <c r="K174" s="217"/>
      <c r="L174" s="146"/>
      <c r="M174" s="146"/>
      <c r="N174" s="146"/>
      <c r="O174" s="217"/>
      <c r="P174" s="217"/>
      <c r="Q174" s="217"/>
      <c r="R174" s="217"/>
      <c r="S174" s="217"/>
      <c r="T174" s="217"/>
      <c r="U174" s="217"/>
      <c r="V174" s="217"/>
      <c r="W174" s="151"/>
      <c r="X174" s="151"/>
      <c r="Y174" s="151"/>
      <c r="Z174" s="219"/>
    </row>
    <row r="175" spans="1:26" s="218" customFormat="1" ht="18" hidden="1" customHeight="1" outlineLevel="1">
      <c r="A175" s="188">
        <v>26</v>
      </c>
      <c r="B175" s="116"/>
      <c r="C175" s="116"/>
      <c r="D175" s="116"/>
      <c r="E175" s="130"/>
      <c r="F175" s="217"/>
      <c r="G175" s="217"/>
      <c r="H175" s="217"/>
      <c r="I175" s="217"/>
      <c r="J175" s="217"/>
      <c r="K175" s="217"/>
      <c r="L175" s="146"/>
      <c r="M175" s="146"/>
      <c r="N175" s="146"/>
      <c r="O175" s="217"/>
      <c r="P175" s="217"/>
      <c r="Q175" s="217"/>
      <c r="R175" s="217"/>
      <c r="S175" s="217"/>
      <c r="T175" s="217"/>
      <c r="U175" s="217"/>
      <c r="V175" s="217"/>
      <c r="W175" s="151"/>
      <c r="X175" s="151"/>
      <c r="Y175" s="151"/>
      <c r="Z175" s="219"/>
    </row>
    <row r="176" spans="1:26" s="218" customFormat="1" ht="18" hidden="1" customHeight="1" outlineLevel="1">
      <c r="A176" s="188">
        <v>27</v>
      </c>
      <c r="B176" s="116"/>
      <c r="C176" s="116"/>
      <c r="D176" s="116"/>
      <c r="E176" s="130"/>
      <c r="F176" s="217"/>
      <c r="G176" s="217"/>
      <c r="H176" s="217"/>
      <c r="I176" s="217"/>
      <c r="J176" s="217"/>
      <c r="K176" s="217"/>
      <c r="L176" s="146"/>
      <c r="M176" s="146"/>
      <c r="N176" s="146"/>
      <c r="O176" s="217"/>
      <c r="P176" s="217"/>
      <c r="Q176" s="217"/>
      <c r="R176" s="217"/>
      <c r="S176" s="217"/>
      <c r="T176" s="217"/>
      <c r="U176" s="217"/>
      <c r="V176" s="217"/>
      <c r="W176" s="151"/>
      <c r="X176" s="151"/>
      <c r="Y176" s="151"/>
      <c r="Z176" s="219"/>
    </row>
    <row r="177" spans="1:26" s="218" customFormat="1" ht="18" hidden="1" customHeight="1" outlineLevel="1">
      <c r="A177" s="188">
        <v>28</v>
      </c>
      <c r="B177" s="116"/>
      <c r="C177" s="116"/>
      <c r="D177" s="116"/>
      <c r="E177" s="130"/>
      <c r="F177" s="217"/>
      <c r="G177" s="217"/>
      <c r="H177" s="217"/>
      <c r="I177" s="217"/>
      <c r="J177" s="217"/>
      <c r="K177" s="217"/>
      <c r="L177" s="146"/>
      <c r="M177" s="146"/>
      <c r="N177" s="146"/>
      <c r="O177" s="217"/>
      <c r="P177" s="217"/>
      <c r="Q177" s="217"/>
      <c r="R177" s="217"/>
      <c r="S177" s="217"/>
      <c r="T177" s="217"/>
      <c r="U177" s="217"/>
      <c r="V177" s="217"/>
      <c r="W177" s="151"/>
      <c r="X177" s="151"/>
      <c r="Y177" s="151"/>
      <c r="Z177" s="219"/>
    </row>
    <row r="178" spans="1:26" s="218" customFormat="1" ht="18" hidden="1" customHeight="1" outlineLevel="1">
      <c r="A178" s="188">
        <v>29</v>
      </c>
      <c r="B178" s="116"/>
      <c r="C178" s="116"/>
      <c r="D178" s="116"/>
      <c r="E178" s="130"/>
      <c r="F178" s="217"/>
      <c r="G178" s="217"/>
      <c r="H178" s="217"/>
      <c r="I178" s="217"/>
      <c r="J178" s="217"/>
      <c r="K178" s="217"/>
      <c r="L178" s="146"/>
      <c r="M178" s="146"/>
      <c r="N178" s="146"/>
      <c r="O178" s="217"/>
      <c r="P178" s="217"/>
      <c r="Q178" s="217"/>
      <c r="R178" s="217"/>
      <c r="S178" s="217"/>
      <c r="T178" s="217"/>
      <c r="U178" s="217"/>
      <c r="V178" s="217"/>
      <c r="W178" s="151"/>
      <c r="X178" s="151"/>
      <c r="Y178" s="151"/>
      <c r="Z178" s="219"/>
    </row>
    <row r="179" spans="1:26" s="218" customFormat="1" ht="18" hidden="1" customHeight="1" outlineLevel="1">
      <c r="A179" s="188">
        <v>30</v>
      </c>
      <c r="B179" s="116"/>
      <c r="C179" s="116"/>
      <c r="D179" s="116"/>
      <c r="E179" s="130"/>
      <c r="F179" s="217"/>
      <c r="G179" s="217"/>
      <c r="H179" s="217"/>
      <c r="I179" s="217"/>
      <c r="J179" s="217"/>
      <c r="K179" s="217"/>
      <c r="L179" s="146"/>
      <c r="M179" s="146"/>
      <c r="N179" s="146"/>
      <c r="O179" s="217"/>
      <c r="P179" s="217"/>
      <c r="Q179" s="217"/>
      <c r="R179" s="217"/>
      <c r="S179" s="217"/>
      <c r="T179" s="217"/>
      <c r="U179" s="217"/>
      <c r="V179" s="217"/>
      <c r="W179" s="151"/>
      <c r="X179" s="151"/>
      <c r="Y179" s="151"/>
      <c r="Z179" s="219"/>
    </row>
    <row r="180" spans="1:26" s="218" customFormat="1" ht="18" hidden="1" customHeight="1" outlineLevel="1">
      <c r="A180" s="188">
        <v>31</v>
      </c>
      <c r="B180" s="116"/>
      <c r="C180" s="116"/>
      <c r="D180" s="116"/>
      <c r="E180" s="130"/>
      <c r="F180" s="159" t="s">
        <v>170</v>
      </c>
      <c r="G180" s="217"/>
      <c r="H180" s="217"/>
      <c r="I180" s="217"/>
      <c r="J180" s="217"/>
      <c r="K180" s="217"/>
      <c r="L180" s="146"/>
      <c r="M180" s="146"/>
      <c r="N180" s="146"/>
      <c r="O180" s="217"/>
      <c r="P180" s="217"/>
      <c r="Q180" s="217"/>
      <c r="R180" s="217"/>
      <c r="S180" s="217"/>
      <c r="T180" s="217"/>
      <c r="U180" s="217"/>
      <c r="V180" s="217"/>
      <c r="W180" s="151"/>
      <c r="X180" s="151"/>
      <c r="Y180" s="151"/>
      <c r="Z180" s="219"/>
    </row>
    <row r="181" spans="1:26" s="218" customFormat="1" ht="18" hidden="1" customHeight="1" outlineLevel="2">
      <c r="A181" s="188">
        <v>32</v>
      </c>
      <c r="B181" s="116"/>
      <c r="C181" s="116"/>
      <c r="D181" s="116"/>
      <c r="E181" s="130"/>
      <c r="F181" s="158"/>
      <c r="G181" s="217"/>
      <c r="H181" s="217"/>
      <c r="I181" s="217"/>
      <c r="J181" s="217"/>
      <c r="K181" s="217"/>
      <c r="L181" s="146"/>
      <c r="M181" s="146"/>
      <c r="N181" s="146"/>
      <c r="O181" s="217"/>
      <c r="P181" s="217"/>
      <c r="Q181" s="217"/>
      <c r="R181" s="217"/>
      <c r="S181" s="217"/>
      <c r="T181" s="217"/>
      <c r="U181" s="217"/>
      <c r="V181" s="217"/>
      <c r="W181" s="151"/>
      <c r="X181" s="151"/>
      <c r="Y181" s="151"/>
      <c r="Z181" s="219"/>
    </row>
    <row r="182" spans="1:26" s="218" customFormat="1" ht="18" hidden="1" customHeight="1" outlineLevel="2">
      <c r="A182" s="188">
        <v>33</v>
      </c>
      <c r="B182" s="116"/>
      <c r="C182" s="116"/>
      <c r="D182" s="116"/>
      <c r="E182" s="130"/>
      <c r="F182" s="158"/>
      <c r="G182" s="217"/>
      <c r="H182" s="217"/>
      <c r="I182" s="217"/>
      <c r="J182" s="217"/>
      <c r="K182" s="217"/>
      <c r="L182" s="146"/>
      <c r="M182" s="146"/>
      <c r="N182" s="146"/>
      <c r="O182" s="217"/>
      <c r="P182" s="217"/>
      <c r="Q182" s="217"/>
      <c r="R182" s="217"/>
      <c r="S182" s="217"/>
      <c r="T182" s="217"/>
      <c r="U182" s="217"/>
      <c r="V182" s="217"/>
      <c r="W182" s="151"/>
      <c r="X182" s="151"/>
      <c r="Y182" s="151"/>
      <c r="Z182" s="219"/>
    </row>
    <row r="183" spans="1:26" s="218" customFormat="1" ht="18" hidden="1" customHeight="1" outlineLevel="2">
      <c r="A183" s="188">
        <v>34</v>
      </c>
      <c r="B183" s="116"/>
      <c r="C183" s="116"/>
      <c r="D183" s="116"/>
      <c r="E183" s="130"/>
      <c r="F183" s="158"/>
      <c r="G183" s="217"/>
      <c r="H183" s="216"/>
      <c r="I183" s="216"/>
      <c r="J183" s="216"/>
      <c r="K183" s="217"/>
      <c r="L183" s="146"/>
      <c r="M183" s="146"/>
      <c r="N183" s="146"/>
      <c r="O183" s="217"/>
      <c r="P183" s="217"/>
      <c r="Q183" s="217"/>
      <c r="R183" s="217"/>
      <c r="S183" s="217"/>
      <c r="T183" s="217"/>
      <c r="U183" s="217"/>
      <c r="V183" s="217"/>
      <c r="W183" s="138"/>
      <c r="X183" s="138"/>
      <c r="Y183" s="219"/>
      <c r="Z183" s="219"/>
    </row>
    <row r="184" spans="1:26" s="218" customFormat="1" ht="18" hidden="1" customHeight="1" outlineLevel="2">
      <c r="A184" s="188">
        <v>35</v>
      </c>
      <c r="B184" s="116"/>
      <c r="C184" s="116"/>
      <c r="D184" s="116"/>
      <c r="E184" s="130"/>
      <c r="F184" s="158"/>
      <c r="G184" s="217"/>
      <c r="H184" s="217"/>
      <c r="I184" s="217"/>
      <c r="J184" s="217"/>
      <c r="K184" s="217"/>
      <c r="L184" s="146"/>
      <c r="M184" s="146"/>
      <c r="N184" s="146"/>
      <c r="O184" s="217"/>
      <c r="P184" s="217"/>
      <c r="Q184" s="217"/>
      <c r="R184" s="217"/>
      <c r="S184" s="217"/>
      <c r="T184" s="217"/>
      <c r="U184" s="217"/>
      <c r="V184" s="217"/>
      <c r="W184" s="138"/>
      <c r="X184" s="138"/>
      <c r="Y184" s="219"/>
      <c r="Z184" s="219"/>
    </row>
    <row r="185" spans="1:26" s="218" customFormat="1" ht="18" hidden="1" customHeight="1" outlineLevel="2">
      <c r="A185" s="188">
        <v>36</v>
      </c>
      <c r="B185" s="116"/>
      <c r="C185" s="116"/>
      <c r="D185" s="116"/>
      <c r="E185" s="130"/>
      <c r="F185" s="158"/>
      <c r="G185" s="217"/>
      <c r="H185" s="217"/>
      <c r="I185" s="217"/>
      <c r="J185" s="217"/>
      <c r="K185" s="217"/>
      <c r="L185" s="146"/>
      <c r="M185" s="146"/>
      <c r="N185" s="146"/>
      <c r="O185" s="217"/>
      <c r="P185" s="217"/>
      <c r="Q185" s="217"/>
      <c r="R185" s="217"/>
      <c r="S185" s="217"/>
      <c r="T185" s="217"/>
      <c r="U185" s="217"/>
      <c r="V185" s="217"/>
      <c r="W185" s="151"/>
      <c r="X185" s="151"/>
      <c r="Y185" s="151"/>
      <c r="Z185" s="219"/>
    </row>
    <row r="186" spans="1:26" s="218" customFormat="1" ht="18" hidden="1" customHeight="1" outlineLevel="2">
      <c r="A186" s="188">
        <v>37</v>
      </c>
      <c r="B186" s="116"/>
      <c r="C186" s="116"/>
      <c r="D186" s="116"/>
      <c r="E186" s="130"/>
      <c r="F186" s="158"/>
      <c r="G186" s="217"/>
      <c r="H186" s="217"/>
      <c r="I186" s="217"/>
      <c r="J186" s="217"/>
      <c r="K186" s="217"/>
      <c r="L186" s="146"/>
      <c r="M186" s="146"/>
      <c r="N186" s="146"/>
      <c r="O186" s="217"/>
      <c r="P186" s="217"/>
      <c r="Q186" s="217"/>
      <c r="R186" s="217"/>
      <c r="S186" s="217"/>
      <c r="T186" s="217"/>
      <c r="U186" s="217"/>
      <c r="V186" s="217"/>
      <c r="W186" s="151"/>
      <c r="X186" s="151"/>
      <c r="Y186" s="151"/>
      <c r="Z186" s="219"/>
    </row>
    <row r="187" spans="1:26" s="218" customFormat="1" ht="18" hidden="1" customHeight="1" outlineLevel="2">
      <c r="A187" s="188">
        <v>38</v>
      </c>
      <c r="B187" s="116"/>
      <c r="C187" s="116"/>
      <c r="D187" s="116"/>
      <c r="E187" s="130"/>
      <c r="F187" s="158"/>
      <c r="G187" s="217"/>
      <c r="H187" s="217"/>
      <c r="I187" s="217"/>
      <c r="J187" s="217"/>
      <c r="K187" s="217"/>
      <c r="L187" s="146"/>
      <c r="M187" s="146"/>
      <c r="N187" s="146"/>
      <c r="O187" s="217"/>
      <c r="P187" s="217"/>
      <c r="Q187" s="217"/>
      <c r="R187" s="217"/>
      <c r="S187" s="217"/>
      <c r="T187" s="217"/>
      <c r="U187" s="217"/>
      <c r="V187" s="217"/>
      <c r="W187" s="151"/>
      <c r="X187" s="151"/>
      <c r="Y187" s="151"/>
      <c r="Z187" s="219"/>
    </row>
    <row r="188" spans="1:26" s="218" customFormat="1" ht="18" hidden="1" customHeight="1" outlineLevel="2">
      <c r="A188" s="188">
        <v>39</v>
      </c>
      <c r="B188" s="116"/>
      <c r="C188" s="116"/>
      <c r="D188" s="116"/>
      <c r="E188" s="130"/>
      <c r="F188" s="158"/>
      <c r="G188" s="217"/>
      <c r="H188" s="217"/>
      <c r="I188" s="217"/>
      <c r="J188" s="217"/>
      <c r="K188" s="217"/>
      <c r="L188" s="146"/>
      <c r="M188" s="146"/>
      <c r="N188" s="146"/>
      <c r="O188" s="217"/>
      <c r="P188" s="217"/>
      <c r="Q188" s="217"/>
      <c r="R188" s="217"/>
      <c r="S188" s="217"/>
      <c r="T188" s="217"/>
      <c r="U188" s="217"/>
      <c r="V188" s="217"/>
      <c r="W188" s="151"/>
      <c r="X188" s="151"/>
      <c r="Y188" s="151"/>
      <c r="Z188" s="219"/>
    </row>
    <row r="189" spans="1:26" s="218" customFormat="1" ht="18" hidden="1" customHeight="1" outlineLevel="2">
      <c r="A189" s="188">
        <v>40</v>
      </c>
      <c r="B189" s="116"/>
      <c r="C189" s="116"/>
      <c r="D189" s="116"/>
      <c r="E189" s="130"/>
      <c r="F189" s="158"/>
      <c r="G189" s="217"/>
      <c r="H189" s="217"/>
      <c r="I189" s="217"/>
      <c r="J189" s="217"/>
      <c r="K189" s="217"/>
      <c r="L189" s="146"/>
      <c r="M189" s="146"/>
      <c r="N189" s="146"/>
      <c r="O189" s="217"/>
      <c r="P189" s="217"/>
      <c r="Q189" s="217"/>
      <c r="R189" s="217"/>
      <c r="S189" s="217"/>
      <c r="T189" s="217"/>
      <c r="U189" s="217"/>
      <c r="V189" s="217"/>
      <c r="W189" s="151"/>
      <c r="X189" s="151"/>
      <c r="Y189" s="151"/>
      <c r="Z189" s="219"/>
    </row>
    <row r="190" spans="1:26" s="218" customFormat="1" ht="18" hidden="1" customHeight="1" outlineLevel="2">
      <c r="A190" s="188">
        <v>41</v>
      </c>
      <c r="B190" s="116"/>
      <c r="C190" s="116"/>
      <c r="D190" s="116"/>
      <c r="E190" s="130"/>
      <c r="F190" s="158"/>
      <c r="G190" s="217"/>
      <c r="H190" s="217"/>
      <c r="I190" s="217"/>
      <c r="J190" s="217"/>
      <c r="K190" s="217"/>
      <c r="L190" s="146"/>
      <c r="M190" s="146"/>
      <c r="N190" s="146"/>
      <c r="O190" s="217"/>
      <c r="P190" s="217"/>
      <c r="Q190" s="217"/>
      <c r="R190" s="217"/>
      <c r="S190" s="217"/>
      <c r="T190" s="217"/>
      <c r="U190" s="217"/>
      <c r="V190" s="217"/>
      <c r="W190" s="151"/>
      <c r="X190" s="151"/>
      <c r="Y190" s="151"/>
      <c r="Z190" s="219"/>
    </row>
    <row r="191" spans="1:26" s="218" customFormat="1" ht="18" hidden="1" customHeight="1" outlineLevel="2">
      <c r="A191" s="188">
        <v>42</v>
      </c>
      <c r="B191" s="116"/>
      <c r="C191" s="116"/>
      <c r="D191" s="116"/>
      <c r="E191" s="130"/>
      <c r="F191" s="158"/>
      <c r="G191" s="217"/>
      <c r="H191" s="216"/>
      <c r="I191" s="216"/>
      <c r="J191" s="216"/>
      <c r="K191" s="217"/>
      <c r="L191" s="146"/>
      <c r="M191" s="146"/>
      <c r="N191" s="146"/>
      <c r="O191" s="217"/>
      <c r="P191" s="217"/>
      <c r="Q191" s="217"/>
      <c r="R191" s="217"/>
      <c r="S191" s="217"/>
      <c r="T191" s="217"/>
      <c r="U191" s="217"/>
      <c r="V191" s="217"/>
      <c r="W191" s="138"/>
      <c r="X191" s="138"/>
      <c r="Y191" s="219"/>
      <c r="Z191" s="219"/>
    </row>
    <row r="192" spans="1:26" s="218" customFormat="1" ht="18" hidden="1" customHeight="1" outlineLevel="2">
      <c r="A192" s="188">
        <v>43</v>
      </c>
      <c r="B192" s="116"/>
      <c r="C192" s="116"/>
      <c r="D192" s="116"/>
      <c r="E192" s="130"/>
      <c r="F192" s="158"/>
      <c r="G192" s="217"/>
      <c r="H192" s="217"/>
      <c r="I192" s="217"/>
      <c r="J192" s="217"/>
      <c r="K192" s="217"/>
      <c r="L192" s="146"/>
      <c r="M192" s="146"/>
      <c r="N192" s="146"/>
      <c r="O192" s="217"/>
      <c r="P192" s="217"/>
      <c r="Q192" s="217"/>
      <c r="R192" s="217"/>
      <c r="S192" s="217"/>
      <c r="T192" s="217"/>
      <c r="U192" s="217"/>
      <c r="V192" s="217"/>
      <c r="W192" s="138"/>
      <c r="X192" s="138"/>
      <c r="Y192" s="219"/>
      <c r="Z192" s="219"/>
    </row>
    <row r="193" spans="1:26" s="218" customFormat="1" ht="18" hidden="1" customHeight="1" outlineLevel="2">
      <c r="A193" s="188">
        <v>44</v>
      </c>
      <c r="B193" s="116"/>
      <c r="C193" s="116"/>
      <c r="D193" s="116"/>
      <c r="E193" s="130"/>
      <c r="F193" s="158"/>
      <c r="G193" s="217"/>
      <c r="H193" s="217"/>
      <c r="I193" s="217"/>
      <c r="J193" s="217"/>
      <c r="K193" s="217"/>
      <c r="L193" s="146"/>
      <c r="M193" s="146"/>
      <c r="N193" s="146"/>
      <c r="O193" s="217"/>
      <c r="P193" s="217"/>
      <c r="Q193" s="217"/>
      <c r="R193" s="217"/>
      <c r="S193" s="217"/>
      <c r="T193" s="217"/>
      <c r="U193" s="217"/>
      <c r="V193" s="217"/>
      <c r="W193" s="151"/>
      <c r="X193" s="151"/>
      <c r="Y193" s="151"/>
      <c r="Z193" s="219"/>
    </row>
    <row r="194" spans="1:26" s="218" customFormat="1" ht="18" hidden="1" customHeight="1" outlineLevel="2">
      <c r="A194" s="188">
        <v>45</v>
      </c>
      <c r="B194" s="116"/>
      <c r="C194" s="116"/>
      <c r="D194" s="116"/>
      <c r="E194" s="130"/>
      <c r="F194" s="158"/>
      <c r="G194" s="217"/>
      <c r="H194" s="217"/>
      <c r="I194" s="217"/>
      <c r="J194" s="217"/>
      <c r="K194" s="217"/>
      <c r="L194" s="146"/>
      <c r="M194" s="146"/>
      <c r="N194" s="146"/>
      <c r="O194" s="217"/>
      <c r="P194" s="217"/>
      <c r="Q194" s="217"/>
      <c r="R194" s="217"/>
      <c r="S194" s="217"/>
      <c r="T194" s="217"/>
      <c r="U194" s="217"/>
      <c r="V194" s="217"/>
      <c r="W194" s="151"/>
      <c r="X194" s="151"/>
      <c r="Y194" s="151"/>
      <c r="Z194" s="219"/>
    </row>
    <row r="195" spans="1:26" s="218" customFormat="1" ht="18" hidden="1" customHeight="1" outlineLevel="2">
      <c r="A195" s="188">
        <v>46</v>
      </c>
      <c r="B195" s="116"/>
      <c r="C195" s="116"/>
      <c r="D195" s="116"/>
      <c r="E195" s="130"/>
      <c r="F195" s="158"/>
      <c r="G195" s="217"/>
      <c r="H195" s="217"/>
      <c r="I195" s="217"/>
      <c r="J195" s="217"/>
      <c r="K195" s="217"/>
      <c r="L195" s="146"/>
      <c r="M195" s="146"/>
      <c r="N195" s="146"/>
      <c r="O195" s="217"/>
      <c r="P195" s="217"/>
      <c r="Q195" s="217"/>
      <c r="R195" s="217"/>
      <c r="S195" s="217"/>
      <c r="T195" s="217"/>
      <c r="U195" s="217"/>
      <c r="V195" s="217"/>
      <c r="W195" s="151"/>
      <c r="X195" s="151"/>
      <c r="Y195" s="151"/>
      <c r="Z195" s="219"/>
    </row>
    <row r="196" spans="1:26" s="218" customFormat="1" ht="18" hidden="1" customHeight="1" outlineLevel="2">
      <c r="A196" s="188">
        <v>47</v>
      </c>
      <c r="B196" s="116"/>
      <c r="C196" s="116"/>
      <c r="D196" s="116"/>
      <c r="E196" s="130"/>
      <c r="F196" s="158"/>
      <c r="G196" s="217"/>
      <c r="H196" s="217"/>
      <c r="I196" s="217"/>
      <c r="J196" s="217"/>
      <c r="K196" s="217"/>
      <c r="L196" s="146"/>
      <c r="M196" s="146"/>
      <c r="N196" s="146"/>
      <c r="O196" s="217"/>
      <c r="P196" s="217"/>
      <c r="Q196" s="217"/>
      <c r="R196" s="217"/>
      <c r="S196" s="217"/>
      <c r="T196" s="217"/>
      <c r="U196" s="217"/>
      <c r="V196" s="217"/>
      <c r="W196" s="151"/>
      <c r="X196" s="151"/>
      <c r="Y196" s="151"/>
      <c r="Z196" s="219"/>
    </row>
    <row r="197" spans="1:26" s="218" customFormat="1" ht="18" hidden="1" customHeight="1" outlineLevel="2">
      <c r="A197" s="188">
        <v>48</v>
      </c>
      <c r="B197" s="116"/>
      <c r="C197" s="116"/>
      <c r="D197" s="116"/>
      <c r="E197" s="130"/>
      <c r="F197" s="158"/>
      <c r="G197" s="217"/>
      <c r="H197" s="217"/>
      <c r="I197" s="217"/>
      <c r="J197" s="217"/>
      <c r="K197" s="217"/>
      <c r="L197" s="146"/>
      <c r="M197" s="146"/>
      <c r="N197" s="146"/>
      <c r="O197" s="217"/>
      <c r="P197" s="217"/>
      <c r="Q197" s="217"/>
      <c r="R197" s="217"/>
      <c r="S197" s="217"/>
      <c r="T197" s="217"/>
      <c r="U197" s="217"/>
      <c r="V197" s="217"/>
      <c r="W197" s="151"/>
      <c r="X197" s="151"/>
      <c r="Y197" s="151"/>
      <c r="Z197" s="219"/>
    </row>
    <row r="198" spans="1:26" s="218" customFormat="1" ht="18" hidden="1" customHeight="1" outlineLevel="2">
      <c r="A198" s="188">
        <v>49</v>
      </c>
      <c r="B198" s="116"/>
      <c r="C198" s="116"/>
      <c r="D198" s="116"/>
      <c r="E198" s="130"/>
      <c r="F198" s="158"/>
      <c r="G198" s="217"/>
      <c r="H198" s="217"/>
      <c r="I198" s="217"/>
      <c r="J198" s="217"/>
      <c r="K198" s="217"/>
      <c r="L198" s="146"/>
      <c r="M198" s="146"/>
      <c r="N198" s="146"/>
      <c r="O198" s="217"/>
      <c r="P198" s="217"/>
      <c r="Q198" s="217"/>
      <c r="R198" s="217"/>
      <c r="S198" s="217"/>
      <c r="T198" s="217"/>
      <c r="U198" s="217"/>
      <c r="V198" s="217"/>
      <c r="W198" s="151"/>
      <c r="X198" s="151"/>
      <c r="Y198" s="151"/>
      <c r="Z198" s="219"/>
    </row>
    <row r="199" spans="1:26" s="218" customFormat="1" ht="18" hidden="1" customHeight="1" outlineLevel="2">
      <c r="A199" s="188">
        <v>50</v>
      </c>
      <c r="B199" s="116"/>
      <c r="C199" s="116"/>
      <c r="D199" s="116"/>
      <c r="E199" s="130"/>
      <c r="F199" s="158"/>
      <c r="G199" s="217"/>
      <c r="H199" s="217"/>
      <c r="I199" s="217"/>
      <c r="J199" s="217"/>
      <c r="K199" s="217"/>
      <c r="L199" s="146"/>
      <c r="M199" s="146"/>
      <c r="N199" s="146"/>
      <c r="O199" s="217"/>
      <c r="P199" s="217"/>
      <c r="Q199" s="217"/>
      <c r="R199" s="217"/>
      <c r="S199" s="217"/>
      <c r="T199" s="217"/>
      <c r="U199" s="217"/>
      <c r="V199" s="217"/>
      <c r="W199" s="151"/>
      <c r="X199" s="151"/>
      <c r="Y199" s="151"/>
      <c r="Z199" s="219"/>
    </row>
    <row r="200" spans="1:26" s="218" customFormat="1" ht="18" hidden="1" customHeight="1" outlineLevel="2">
      <c r="A200" s="188">
        <v>51</v>
      </c>
      <c r="B200" s="116"/>
      <c r="C200" s="116"/>
      <c r="D200" s="116"/>
      <c r="E200" s="130"/>
      <c r="F200" s="158"/>
      <c r="G200" s="217"/>
      <c r="H200" s="217"/>
      <c r="I200" s="217"/>
      <c r="J200" s="217"/>
      <c r="K200" s="217"/>
      <c r="L200" s="146"/>
      <c r="M200" s="146"/>
      <c r="N200" s="146"/>
      <c r="O200" s="217"/>
      <c r="P200" s="217"/>
      <c r="Q200" s="217"/>
      <c r="R200" s="217"/>
      <c r="S200" s="217"/>
      <c r="T200" s="217"/>
      <c r="U200" s="217"/>
      <c r="V200" s="217"/>
      <c r="W200" s="151"/>
      <c r="X200" s="151"/>
      <c r="Y200" s="151"/>
      <c r="Z200" s="219"/>
    </row>
    <row r="201" spans="1:26" s="218" customFormat="1" ht="18" hidden="1" customHeight="1" outlineLevel="1" collapsed="1">
      <c r="A201" s="188">
        <v>52</v>
      </c>
      <c r="B201" s="116"/>
      <c r="C201" s="116"/>
      <c r="D201" s="116"/>
      <c r="E201" s="130"/>
      <c r="F201" s="159" t="s">
        <v>170</v>
      </c>
      <c r="G201" s="217"/>
      <c r="H201" s="217"/>
      <c r="I201" s="217"/>
      <c r="J201" s="217"/>
      <c r="K201" s="217"/>
      <c r="L201" s="146"/>
      <c r="M201" s="146"/>
      <c r="N201" s="146"/>
      <c r="O201" s="217"/>
      <c r="P201" s="217"/>
      <c r="Q201" s="217"/>
      <c r="R201" s="217"/>
      <c r="S201" s="217"/>
      <c r="T201" s="217"/>
      <c r="U201" s="217"/>
      <c r="V201" s="217"/>
      <c r="W201" s="151"/>
      <c r="X201" s="151"/>
      <c r="Y201" s="151"/>
      <c r="Z201" s="219"/>
    </row>
    <row r="202" spans="1:26" s="218" customFormat="1" ht="18" hidden="1" customHeight="1" outlineLevel="2">
      <c r="A202" s="188">
        <v>53</v>
      </c>
      <c r="B202" s="116"/>
      <c r="C202" s="116"/>
      <c r="D202" s="116"/>
      <c r="E202" s="130"/>
      <c r="F202" s="158"/>
      <c r="G202" s="217"/>
      <c r="H202" s="217"/>
      <c r="I202" s="217"/>
      <c r="J202" s="217"/>
      <c r="K202" s="217"/>
      <c r="L202" s="146"/>
      <c r="M202" s="146"/>
      <c r="N202" s="146"/>
      <c r="O202" s="217"/>
      <c r="P202" s="217"/>
      <c r="Q202" s="217"/>
      <c r="R202" s="217"/>
      <c r="S202" s="217"/>
      <c r="T202" s="217"/>
      <c r="U202" s="217"/>
      <c r="V202" s="217"/>
      <c r="W202" s="151"/>
      <c r="X202" s="151"/>
      <c r="Y202" s="151"/>
      <c r="Z202" s="219"/>
    </row>
    <row r="203" spans="1:26" s="218" customFormat="1" ht="18" hidden="1" customHeight="1" outlineLevel="2" collapsed="1">
      <c r="A203" s="188">
        <v>54</v>
      </c>
      <c r="B203" s="116"/>
      <c r="C203" s="116"/>
      <c r="D203" s="116"/>
      <c r="E203" s="130"/>
      <c r="F203" s="158"/>
      <c r="G203" s="217"/>
      <c r="H203" s="217"/>
      <c r="I203" s="217"/>
      <c r="J203" s="217"/>
      <c r="K203" s="217"/>
      <c r="L203" s="146"/>
      <c r="M203" s="146"/>
      <c r="N203" s="146"/>
      <c r="O203" s="217"/>
      <c r="P203" s="217"/>
      <c r="Q203" s="217"/>
      <c r="R203" s="217"/>
      <c r="S203" s="217"/>
      <c r="T203" s="217"/>
      <c r="U203" s="217"/>
      <c r="V203" s="217"/>
      <c r="W203" s="151"/>
      <c r="X203" s="151"/>
      <c r="Y203" s="151"/>
      <c r="Z203" s="219"/>
    </row>
    <row r="204" spans="1:26" s="218" customFormat="1" ht="18" hidden="1" customHeight="1" outlineLevel="2">
      <c r="A204" s="188">
        <v>55</v>
      </c>
      <c r="B204" s="116"/>
      <c r="C204" s="116"/>
      <c r="D204" s="116"/>
      <c r="E204" s="130"/>
      <c r="F204" s="158"/>
      <c r="G204" s="217"/>
      <c r="H204" s="217"/>
      <c r="I204" s="217"/>
      <c r="J204" s="217"/>
      <c r="K204" s="217"/>
      <c r="L204" s="146"/>
      <c r="M204" s="146"/>
      <c r="N204" s="146"/>
      <c r="O204" s="217"/>
      <c r="P204" s="217"/>
      <c r="Q204" s="217"/>
      <c r="R204" s="217"/>
      <c r="S204" s="217"/>
      <c r="T204" s="217"/>
      <c r="U204" s="217"/>
      <c r="V204" s="217"/>
      <c r="W204" s="151"/>
      <c r="X204" s="151"/>
      <c r="Y204" s="151"/>
      <c r="Z204" s="219"/>
    </row>
    <row r="205" spans="1:26" s="218" customFormat="1" ht="18" hidden="1" customHeight="1" outlineLevel="2" collapsed="1">
      <c r="A205" s="188">
        <v>56</v>
      </c>
      <c r="B205" s="116"/>
      <c r="C205" s="116"/>
      <c r="D205" s="116"/>
      <c r="E205" s="130"/>
      <c r="F205" s="158"/>
      <c r="G205" s="217"/>
      <c r="H205" s="217"/>
      <c r="I205" s="217"/>
      <c r="J205" s="217"/>
      <c r="K205" s="217"/>
      <c r="L205" s="146"/>
      <c r="M205" s="146"/>
      <c r="N205" s="146"/>
      <c r="O205" s="217"/>
      <c r="P205" s="217"/>
      <c r="Q205" s="217"/>
      <c r="R205" s="217"/>
      <c r="S205" s="217"/>
      <c r="T205" s="217"/>
      <c r="U205" s="217"/>
      <c r="V205" s="217"/>
      <c r="W205" s="151"/>
      <c r="X205" s="151"/>
      <c r="Y205" s="151"/>
      <c r="Z205" s="219"/>
    </row>
    <row r="206" spans="1:26" s="218" customFormat="1" ht="18" hidden="1" customHeight="1" outlineLevel="2">
      <c r="A206" s="188">
        <v>57</v>
      </c>
      <c r="B206" s="116"/>
      <c r="C206" s="116"/>
      <c r="D206" s="116"/>
      <c r="E206" s="130"/>
      <c r="F206" s="158"/>
      <c r="G206" s="217"/>
      <c r="H206" s="217"/>
      <c r="I206" s="217"/>
      <c r="J206" s="217"/>
      <c r="K206" s="217"/>
      <c r="L206" s="146"/>
      <c r="M206" s="146"/>
      <c r="N206" s="146"/>
      <c r="O206" s="217"/>
      <c r="P206" s="217"/>
      <c r="Q206" s="217"/>
      <c r="R206" s="217"/>
      <c r="S206" s="217"/>
      <c r="T206" s="217"/>
      <c r="U206" s="217"/>
      <c r="V206" s="217"/>
      <c r="W206" s="151"/>
      <c r="X206" s="151"/>
      <c r="Y206" s="151"/>
      <c r="Z206" s="219"/>
    </row>
    <row r="207" spans="1:26" s="218" customFormat="1" ht="18" hidden="1" customHeight="1" outlineLevel="2" collapsed="1">
      <c r="A207" s="188">
        <v>58</v>
      </c>
      <c r="B207" s="116"/>
      <c r="C207" s="116"/>
      <c r="D207" s="116"/>
      <c r="E207" s="130"/>
      <c r="F207" s="158"/>
      <c r="G207" s="217"/>
      <c r="H207" s="217"/>
      <c r="I207" s="217"/>
      <c r="J207" s="217"/>
      <c r="K207" s="217"/>
      <c r="L207" s="146"/>
      <c r="M207" s="146"/>
      <c r="N207" s="146"/>
      <c r="O207" s="217"/>
      <c r="P207" s="217"/>
      <c r="Q207" s="217"/>
      <c r="R207" s="217"/>
      <c r="S207" s="217"/>
      <c r="T207" s="217"/>
      <c r="U207" s="217"/>
      <c r="V207" s="217"/>
      <c r="W207" s="151"/>
      <c r="X207" s="151"/>
      <c r="Y207" s="151"/>
      <c r="Z207" s="219"/>
    </row>
    <row r="208" spans="1:26" s="218" customFormat="1" ht="18" hidden="1" customHeight="1" outlineLevel="2">
      <c r="A208" s="188">
        <v>59</v>
      </c>
      <c r="B208" s="116"/>
      <c r="C208" s="116"/>
      <c r="D208" s="116"/>
      <c r="E208" s="130"/>
      <c r="F208" s="158"/>
      <c r="G208" s="217"/>
      <c r="H208" s="217"/>
      <c r="I208" s="217"/>
      <c r="J208" s="217"/>
      <c r="K208" s="217"/>
      <c r="L208" s="146"/>
      <c r="M208" s="146"/>
      <c r="N208" s="146"/>
      <c r="O208" s="217"/>
      <c r="P208" s="217"/>
      <c r="Q208" s="217"/>
      <c r="R208" s="217"/>
      <c r="S208" s="217"/>
      <c r="T208" s="217"/>
      <c r="U208" s="217"/>
      <c r="V208" s="217"/>
      <c r="W208" s="151"/>
      <c r="X208" s="151"/>
      <c r="Y208" s="151"/>
      <c r="Z208" s="219"/>
    </row>
    <row r="209" spans="1:26" s="218" customFormat="1" ht="18" hidden="1" customHeight="1" outlineLevel="2" collapsed="1">
      <c r="A209" s="188">
        <v>60</v>
      </c>
      <c r="B209" s="116"/>
      <c r="C209" s="116"/>
      <c r="D209" s="116"/>
      <c r="E209" s="130"/>
      <c r="F209" s="158"/>
      <c r="G209" s="217"/>
      <c r="H209" s="217"/>
      <c r="I209" s="217"/>
      <c r="J209" s="217"/>
      <c r="K209" s="217"/>
      <c r="L209" s="146"/>
      <c r="M209" s="146"/>
      <c r="N209" s="146"/>
      <c r="O209" s="217"/>
      <c r="P209" s="217"/>
      <c r="Q209" s="217"/>
      <c r="R209" s="217"/>
      <c r="S209" s="217"/>
      <c r="T209" s="217"/>
      <c r="U209" s="217"/>
      <c r="V209" s="217"/>
      <c r="W209" s="151"/>
      <c r="X209" s="151"/>
      <c r="Y209" s="151"/>
      <c r="Z209" s="219"/>
    </row>
    <row r="210" spans="1:26" s="218" customFormat="1" ht="18" hidden="1" customHeight="1" outlineLevel="2">
      <c r="A210" s="188">
        <v>61</v>
      </c>
      <c r="B210" s="116"/>
      <c r="C210" s="116"/>
      <c r="D210" s="116"/>
      <c r="E210" s="130"/>
      <c r="F210" s="158"/>
      <c r="G210" s="217"/>
      <c r="H210" s="217"/>
      <c r="I210" s="217"/>
      <c r="J210" s="217"/>
      <c r="K210" s="217"/>
      <c r="L210" s="146"/>
      <c r="M210" s="146"/>
      <c r="N210" s="146"/>
      <c r="O210" s="217"/>
      <c r="P210" s="217"/>
      <c r="Q210" s="217"/>
      <c r="R210" s="217"/>
      <c r="S210" s="217"/>
      <c r="T210" s="217"/>
      <c r="U210" s="217"/>
      <c r="V210" s="217"/>
      <c r="W210" s="151"/>
      <c r="X210" s="151"/>
      <c r="Y210" s="151"/>
      <c r="Z210" s="219"/>
    </row>
    <row r="211" spans="1:26" s="218" customFormat="1" ht="18" hidden="1" customHeight="1" outlineLevel="2">
      <c r="A211" s="188">
        <v>62</v>
      </c>
      <c r="B211" s="116"/>
      <c r="C211" s="116"/>
      <c r="D211" s="116"/>
      <c r="E211" s="130"/>
      <c r="F211" s="158"/>
      <c r="G211" s="217"/>
      <c r="H211" s="217"/>
      <c r="I211" s="217"/>
      <c r="J211" s="217"/>
      <c r="K211" s="217"/>
      <c r="L211" s="146"/>
      <c r="M211" s="146"/>
      <c r="N211" s="146"/>
      <c r="O211" s="217"/>
      <c r="P211" s="217"/>
      <c r="Q211" s="217"/>
      <c r="R211" s="217"/>
      <c r="S211" s="217"/>
      <c r="T211" s="217"/>
      <c r="U211" s="217"/>
      <c r="V211" s="217"/>
      <c r="W211" s="151"/>
      <c r="X211" s="151"/>
      <c r="Y211" s="151"/>
      <c r="Z211" s="219"/>
    </row>
    <row r="212" spans="1:26" s="218" customFormat="1" ht="18" hidden="1" customHeight="1" outlineLevel="2">
      <c r="A212" s="188">
        <v>63</v>
      </c>
      <c r="B212" s="116"/>
      <c r="C212" s="116"/>
      <c r="D212" s="116"/>
      <c r="E212" s="130"/>
      <c r="F212" s="158"/>
      <c r="G212" s="217"/>
      <c r="H212" s="216"/>
      <c r="I212" s="216"/>
      <c r="J212" s="216"/>
      <c r="K212" s="217"/>
      <c r="L212" s="146"/>
      <c r="M212" s="146"/>
      <c r="N212" s="146"/>
      <c r="O212" s="217"/>
      <c r="P212" s="217"/>
      <c r="Q212" s="217"/>
      <c r="R212" s="217"/>
      <c r="S212" s="217"/>
      <c r="T212" s="217"/>
      <c r="U212" s="217"/>
      <c r="V212" s="217"/>
      <c r="W212" s="138"/>
      <c r="X212" s="138"/>
      <c r="Y212" s="219"/>
      <c r="Z212" s="219"/>
    </row>
    <row r="213" spans="1:26" s="218" customFormat="1" ht="18" hidden="1" customHeight="1" outlineLevel="2">
      <c r="A213" s="188">
        <v>64</v>
      </c>
      <c r="B213" s="116"/>
      <c r="C213" s="116"/>
      <c r="D213" s="116"/>
      <c r="E213" s="130"/>
      <c r="F213" s="158"/>
      <c r="G213" s="217"/>
      <c r="H213" s="217"/>
      <c r="I213" s="217"/>
      <c r="J213" s="217"/>
      <c r="K213" s="217"/>
      <c r="L213" s="146"/>
      <c r="M213" s="146"/>
      <c r="N213" s="146"/>
      <c r="O213" s="217"/>
      <c r="P213" s="217"/>
      <c r="Q213" s="217"/>
      <c r="R213" s="217"/>
      <c r="S213" s="217"/>
      <c r="T213" s="217"/>
      <c r="U213" s="217"/>
      <c r="V213" s="217"/>
      <c r="W213" s="138"/>
      <c r="X213" s="138"/>
      <c r="Y213" s="219"/>
      <c r="Z213" s="219"/>
    </row>
    <row r="214" spans="1:26" s="218" customFormat="1" ht="18" hidden="1" customHeight="1" outlineLevel="2">
      <c r="A214" s="188">
        <v>65</v>
      </c>
      <c r="B214" s="116"/>
      <c r="C214" s="116"/>
      <c r="D214" s="116"/>
      <c r="E214" s="130"/>
      <c r="F214" s="158"/>
      <c r="G214" s="217"/>
      <c r="H214" s="217"/>
      <c r="I214" s="217"/>
      <c r="J214" s="217"/>
      <c r="K214" s="217"/>
      <c r="L214" s="146"/>
      <c r="M214" s="146"/>
      <c r="N214" s="146"/>
      <c r="O214" s="217"/>
      <c r="P214" s="217"/>
      <c r="Q214" s="217"/>
      <c r="R214" s="217"/>
      <c r="S214" s="217"/>
      <c r="T214" s="217"/>
      <c r="U214" s="217"/>
      <c r="V214" s="217"/>
      <c r="W214" s="151"/>
      <c r="X214" s="151"/>
      <c r="Y214" s="151"/>
      <c r="Z214" s="219"/>
    </row>
    <row r="215" spans="1:26" s="218" customFormat="1" ht="18" hidden="1" customHeight="1" outlineLevel="2">
      <c r="A215" s="188">
        <v>66</v>
      </c>
      <c r="B215" s="116"/>
      <c r="C215" s="116"/>
      <c r="D215" s="116"/>
      <c r="E215" s="130"/>
      <c r="F215" s="158"/>
      <c r="G215" s="217"/>
      <c r="H215" s="217"/>
      <c r="I215" s="217"/>
      <c r="J215" s="217"/>
      <c r="K215" s="217"/>
      <c r="L215" s="146"/>
      <c r="M215" s="146"/>
      <c r="N215" s="146"/>
      <c r="O215" s="217"/>
      <c r="P215" s="217"/>
      <c r="Q215" s="217"/>
      <c r="R215" s="217"/>
      <c r="S215" s="217"/>
      <c r="T215" s="217"/>
      <c r="U215" s="217"/>
      <c r="V215" s="217"/>
      <c r="W215" s="151"/>
      <c r="X215" s="151"/>
      <c r="Y215" s="151"/>
      <c r="Z215" s="219"/>
    </row>
    <row r="216" spans="1:26" s="218" customFormat="1" ht="18" hidden="1" customHeight="1" outlineLevel="2">
      <c r="A216" s="188">
        <v>67</v>
      </c>
      <c r="B216" s="116"/>
      <c r="C216" s="116"/>
      <c r="D216" s="116"/>
      <c r="E216" s="130"/>
      <c r="F216" s="158"/>
      <c r="G216" s="217"/>
      <c r="H216" s="217"/>
      <c r="I216" s="217"/>
      <c r="J216" s="217"/>
      <c r="K216" s="217"/>
      <c r="L216" s="146"/>
      <c r="M216" s="146"/>
      <c r="N216" s="146"/>
      <c r="O216" s="217"/>
      <c r="P216" s="217"/>
      <c r="Q216" s="217"/>
      <c r="R216" s="217"/>
      <c r="S216" s="217"/>
      <c r="T216" s="217"/>
      <c r="U216" s="217"/>
      <c r="V216" s="217"/>
      <c r="W216" s="151"/>
      <c r="X216" s="151"/>
      <c r="Y216" s="151"/>
      <c r="Z216" s="219"/>
    </row>
    <row r="217" spans="1:26" s="218" customFormat="1" ht="18" hidden="1" customHeight="1" outlineLevel="2">
      <c r="A217" s="188">
        <v>68</v>
      </c>
      <c r="B217" s="116"/>
      <c r="C217" s="116"/>
      <c r="D217" s="116"/>
      <c r="E217" s="130"/>
      <c r="F217" s="158"/>
      <c r="G217" s="217"/>
      <c r="H217" s="217"/>
      <c r="I217" s="217"/>
      <c r="J217" s="217"/>
      <c r="K217" s="217"/>
      <c r="L217" s="146"/>
      <c r="M217" s="146"/>
      <c r="N217" s="146"/>
      <c r="O217" s="217"/>
      <c r="P217" s="217"/>
      <c r="Q217" s="217"/>
      <c r="R217" s="217"/>
      <c r="S217" s="217"/>
      <c r="T217" s="217"/>
      <c r="U217" s="217"/>
      <c r="V217" s="217"/>
      <c r="W217" s="151"/>
      <c r="X217" s="151"/>
      <c r="Y217" s="151"/>
      <c r="Z217" s="219"/>
    </row>
    <row r="218" spans="1:26" s="218" customFormat="1" ht="18" hidden="1" customHeight="1" outlineLevel="2">
      <c r="A218" s="188">
        <v>69</v>
      </c>
      <c r="B218" s="116"/>
      <c r="C218" s="116"/>
      <c r="D218" s="116"/>
      <c r="E218" s="130"/>
      <c r="F218" s="158"/>
      <c r="G218" s="217"/>
      <c r="H218" s="217"/>
      <c r="I218" s="217"/>
      <c r="J218" s="217"/>
      <c r="K218" s="217"/>
      <c r="L218" s="146"/>
      <c r="M218" s="146"/>
      <c r="N218" s="146"/>
      <c r="O218" s="217"/>
      <c r="P218" s="217"/>
      <c r="Q218" s="217"/>
      <c r="R218" s="217"/>
      <c r="S218" s="217"/>
      <c r="T218" s="217"/>
      <c r="U218" s="217"/>
      <c r="V218" s="217"/>
      <c r="W218" s="151"/>
      <c r="X218" s="151"/>
      <c r="Y218" s="151"/>
      <c r="Z218" s="219"/>
    </row>
    <row r="219" spans="1:26" s="218" customFormat="1" ht="18" hidden="1" customHeight="1" outlineLevel="2">
      <c r="A219" s="188">
        <v>70</v>
      </c>
      <c r="B219" s="116"/>
      <c r="C219" s="116"/>
      <c r="D219" s="116"/>
      <c r="E219" s="130"/>
      <c r="F219" s="158"/>
      <c r="G219" s="217"/>
      <c r="H219" s="217"/>
      <c r="I219" s="217"/>
      <c r="J219" s="217"/>
      <c r="K219" s="217"/>
      <c r="L219" s="146"/>
      <c r="M219" s="146"/>
      <c r="N219" s="146"/>
      <c r="O219" s="217"/>
      <c r="P219" s="217"/>
      <c r="Q219" s="217"/>
      <c r="R219" s="217"/>
      <c r="S219" s="217"/>
      <c r="T219" s="217"/>
      <c r="U219" s="217"/>
      <c r="V219" s="217"/>
      <c r="W219" s="151"/>
      <c r="X219" s="151"/>
      <c r="Y219" s="151"/>
      <c r="Z219" s="219"/>
    </row>
    <row r="220" spans="1:26" s="218" customFormat="1" ht="18" hidden="1" customHeight="1" outlineLevel="2">
      <c r="A220" s="188">
        <v>71</v>
      </c>
      <c r="B220" s="116"/>
      <c r="C220" s="116"/>
      <c r="D220" s="116"/>
      <c r="E220" s="130"/>
      <c r="F220" s="158"/>
      <c r="G220" s="217"/>
      <c r="H220" s="217"/>
      <c r="I220" s="217"/>
      <c r="J220" s="217"/>
      <c r="K220" s="217"/>
      <c r="L220" s="146"/>
      <c r="M220" s="146"/>
      <c r="N220" s="146"/>
      <c r="O220" s="217"/>
      <c r="P220" s="217"/>
      <c r="Q220" s="217"/>
      <c r="R220" s="217"/>
      <c r="S220" s="217"/>
      <c r="T220" s="217"/>
      <c r="U220" s="217"/>
      <c r="V220" s="217"/>
      <c r="W220" s="151"/>
      <c r="X220" s="151"/>
      <c r="Y220" s="151"/>
      <c r="Z220" s="219"/>
    </row>
    <row r="221" spans="1:26" s="218" customFormat="1" ht="18" hidden="1" customHeight="1" outlineLevel="2">
      <c r="A221" s="188">
        <v>72</v>
      </c>
      <c r="B221" s="116"/>
      <c r="C221" s="116"/>
      <c r="D221" s="116"/>
      <c r="E221" s="130"/>
      <c r="F221" s="158"/>
      <c r="G221" s="217"/>
      <c r="H221" s="217"/>
      <c r="I221" s="217"/>
      <c r="J221" s="217"/>
      <c r="K221" s="217"/>
      <c r="L221" s="146"/>
      <c r="M221" s="146"/>
      <c r="N221" s="146"/>
      <c r="O221" s="217"/>
      <c r="P221" s="217"/>
      <c r="Q221" s="217"/>
      <c r="R221" s="217"/>
      <c r="S221" s="217"/>
      <c r="T221" s="217"/>
      <c r="U221" s="217"/>
      <c r="V221" s="217"/>
      <c r="W221" s="151"/>
      <c r="X221" s="151"/>
      <c r="Y221" s="151"/>
      <c r="Z221" s="219"/>
    </row>
    <row r="222" spans="1:26" s="218" customFormat="1" ht="18" hidden="1" customHeight="1" outlineLevel="1" collapsed="1">
      <c r="A222" s="188">
        <v>73</v>
      </c>
      <c r="B222" s="116"/>
      <c r="C222" s="116"/>
      <c r="D222" s="116"/>
      <c r="E222" s="130"/>
      <c r="F222" s="159" t="s">
        <v>170</v>
      </c>
      <c r="G222" s="217"/>
      <c r="H222" s="217"/>
      <c r="I222" s="217"/>
      <c r="J222" s="217"/>
      <c r="K222" s="217"/>
      <c r="L222" s="146"/>
      <c r="M222" s="146"/>
      <c r="N222" s="146"/>
      <c r="O222" s="217"/>
      <c r="P222" s="217"/>
      <c r="Q222" s="217"/>
      <c r="R222" s="217"/>
      <c r="S222" s="217"/>
      <c r="T222" s="217"/>
      <c r="U222" s="217"/>
      <c r="V222" s="217"/>
      <c r="W222" s="151"/>
      <c r="X222" s="151"/>
      <c r="Y222" s="151"/>
      <c r="Z222" s="219"/>
    </row>
    <row r="223" spans="1:26" s="218" customFormat="1" ht="18" hidden="1" customHeight="1" outlineLevel="2" collapsed="1">
      <c r="A223" s="188">
        <v>74</v>
      </c>
      <c r="B223" s="116"/>
      <c r="C223" s="116"/>
      <c r="D223" s="116"/>
      <c r="E223" s="130"/>
      <c r="F223" s="158"/>
      <c r="G223" s="217"/>
      <c r="H223" s="217"/>
      <c r="I223" s="217"/>
      <c r="J223" s="217"/>
      <c r="K223" s="217"/>
      <c r="L223" s="146"/>
      <c r="M223" s="146"/>
      <c r="N223" s="146"/>
      <c r="O223" s="217"/>
      <c r="P223" s="217"/>
      <c r="Q223" s="217"/>
      <c r="R223" s="217"/>
      <c r="S223" s="217"/>
      <c r="T223" s="217"/>
      <c r="U223" s="217"/>
      <c r="V223" s="217"/>
      <c r="W223" s="151"/>
      <c r="X223" s="151"/>
      <c r="Y223" s="151"/>
      <c r="Z223" s="219"/>
    </row>
    <row r="224" spans="1:26" s="218" customFormat="1" ht="18" hidden="1" customHeight="1" outlineLevel="2">
      <c r="A224" s="188">
        <v>75</v>
      </c>
      <c r="B224" s="116"/>
      <c r="C224" s="116"/>
      <c r="D224" s="116"/>
      <c r="E224" s="130"/>
      <c r="F224" s="158"/>
      <c r="G224" s="217"/>
      <c r="H224" s="217"/>
      <c r="I224" s="217"/>
      <c r="J224" s="217"/>
      <c r="K224" s="217"/>
      <c r="L224" s="146"/>
      <c r="M224" s="146"/>
      <c r="N224" s="146"/>
      <c r="O224" s="217"/>
      <c r="P224" s="217"/>
      <c r="Q224" s="217"/>
      <c r="R224" s="217"/>
      <c r="S224" s="217"/>
      <c r="T224" s="217"/>
      <c r="U224" s="217"/>
      <c r="V224" s="217"/>
      <c r="W224" s="151"/>
      <c r="X224" s="151"/>
      <c r="Y224" s="151"/>
      <c r="Z224" s="219"/>
    </row>
    <row r="225" spans="1:26" s="218" customFormat="1" ht="18" hidden="1" customHeight="1" outlineLevel="2" collapsed="1">
      <c r="A225" s="188">
        <v>76</v>
      </c>
      <c r="B225" s="116"/>
      <c r="C225" s="116"/>
      <c r="D225" s="116"/>
      <c r="E225" s="130"/>
      <c r="F225" s="158"/>
      <c r="G225" s="217"/>
      <c r="H225" s="217"/>
      <c r="I225" s="217"/>
      <c r="J225" s="217"/>
      <c r="K225" s="217"/>
      <c r="L225" s="146"/>
      <c r="M225" s="146"/>
      <c r="N225" s="146"/>
      <c r="O225" s="217"/>
      <c r="P225" s="217"/>
      <c r="Q225" s="217"/>
      <c r="R225" s="217"/>
      <c r="S225" s="217"/>
      <c r="T225" s="217"/>
      <c r="U225" s="217"/>
      <c r="V225" s="217"/>
      <c r="W225" s="151"/>
      <c r="X225" s="151"/>
      <c r="Y225" s="151"/>
      <c r="Z225" s="219"/>
    </row>
    <row r="226" spans="1:26" s="218" customFormat="1" ht="18" hidden="1" customHeight="1" outlineLevel="2">
      <c r="A226" s="188">
        <v>77</v>
      </c>
      <c r="B226" s="116"/>
      <c r="C226" s="116"/>
      <c r="D226" s="116"/>
      <c r="E226" s="130"/>
      <c r="F226" s="158"/>
      <c r="G226" s="217"/>
      <c r="H226" s="217"/>
      <c r="I226" s="217"/>
      <c r="J226" s="217"/>
      <c r="K226" s="217"/>
      <c r="L226" s="146"/>
      <c r="M226" s="146"/>
      <c r="N226" s="146"/>
      <c r="O226" s="217"/>
      <c r="P226" s="217"/>
      <c r="Q226" s="217"/>
      <c r="R226" s="217"/>
      <c r="S226" s="217"/>
      <c r="T226" s="217"/>
      <c r="U226" s="217"/>
      <c r="V226" s="217"/>
      <c r="W226" s="151"/>
      <c r="X226" s="151"/>
      <c r="Y226" s="151"/>
      <c r="Z226" s="219"/>
    </row>
    <row r="227" spans="1:26" s="218" customFormat="1" ht="18" hidden="1" customHeight="1" outlineLevel="2" collapsed="1">
      <c r="A227" s="188">
        <v>78</v>
      </c>
      <c r="B227" s="116"/>
      <c r="C227" s="116"/>
      <c r="D227" s="116"/>
      <c r="E227" s="130"/>
      <c r="F227" s="158"/>
      <c r="G227" s="217"/>
      <c r="H227" s="217"/>
      <c r="I227" s="217"/>
      <c r="J227" s="217"/>
      <c r="K227" s="217"/>
      <c r="L227" s="146"/>
      <c r="M227" s="146"/>
      <c r="N227" s="146"/>
      <c r="O227" s="217"/>
      <c r="P227" s="217"/>
      <c r="Q227" s="217"/>
      <c r="R227" s="217"/>
      <c r="S227" s="217"/>
      <c r="T227" s="217"/>
      <c r="U227" s="217"/>
      <c r="V227" s="217"/>
      <c r="W227" s="151"/>
      <c r="X227" s="151"/>
      <c r="Y227" s="151"/>
      <c r="Z227" s="219"/>
    </row>
    <row r="228" spans="1:26" s="218" customFormat="1" ht="18" hidden="1" customHeight="1" outlineLevel="2">
      <c r="A228" s="188">
        <v>79</v>
      </c>
      <c r="B228" s="116"/>
      <c r="C228" s="116"/>
      <c r="D228" s="116"/>
      <c r="E228" s="130"/>
      <c r="F228" s="158"/>
      <c r="G228" s="217"/>
      <c r="H228" s="217"/>
      <c r="I228" s="217"/>
      <c r="J228" s="217"/>
      <c r="K228" s="217"/>
      <c r="L228" s="146"/>
      <c r="M228" s="146"/>
      <c r="N228" s="146"/>
      <c r="O228" s="217"/>
      <c r="P228" s="217"/>
      <c r="Q228" s="217"/>
      <c r="R228" s="217"/>
      <c r="S228" s="217"/>
      <c r="T228" s="217"/>
      <c r="U228" s="217"/>
      <c r="V228" s="217"/>
      <c r="W228" s="151"/>
      <c r="X228" s="151"/>
      <c r="Y228" s="151"/>
      <c r="Z228" s="219"/>
    </row>
    <row r="229" spans="1:26" s="218" customFormat="1" ht="18" hidden="1" customHeight="1" outlineLevel="2" collapsed="1">
      <c r="A229" s="188">
        <v>80</v>
      </c>
      <c r="B229" s="116"/>
      <c r="C229" s="116"/>
      <c r="D229" s="116"/>
      <c r="E229" s="130"/>
      <c r="F229" s="158"/>
      <c r="G229" s="217"/>
      <c r="H229" s="217"/>
      <c r="I229" s="217"/>
      <c r="J229" s="217"/>
      <c r="K229" s="217"/>
      <c r="L229" s="146"/>
      <c r="M229" s="146"/>
      <c r="N229" s="146"/>
      <c r="O229" s="217"/>
      <c r="P229" s="217"/>
      <c r="Q229" s="217"/>
      <c r="R229" s="217"/>
      <c r="S229" s="217"/>
      <c r="T229" s="217"/>
      <c r="U229" s="217"/>
      <c r="V229" s="217"/>
      <c r="W229" s="151"/>
      <c r="X229" s="151"/>
      <c r="Y229" s="151"/>
      <c r="Z229" s="219"/>
    </row>
    <row r="230" spans="1:26" s="218" customFormat="1" ht="18" hidden="1" customHeight="1" outlineLevel="2">
      <c r="A230" s="188">
        <v>81</v>
      </c>
      <c r="B230" s="116"/>
      <c r="C230" s="116"/>
      <c r="D230" s="116"/>
      <c r="E230" s="130"/>
      <c r="F230" s="158"/>
      <c r="G230" s="217"/>
      <c r="H230" s="217"/>
      <c r="I230" s="217"/>
      <c r="J230" s="217"/>
      <c r="K230" s="217"/>
      <c r="L230" s="146"/>
      <c r="M230" s="146"/>
      <c r="N230" s="146"/>
      <c r="O230" s="217"/>
      <c r="P230" s="217"/>
      <c r="Q230" s="217"/>
      <c r="R230" s="217"/>
      <c r="S230" s="217"/>
      <c r="T230" s="217"/>
      <c r="U230" s="217"/>
      <c r="V230" s="217"/>
      <c r="W230" s="151"/>
      <c r="X230" s="151"/>
      <c r="Y230" s="151"/>
      <c r="Z230" s="219"/>
    </row>
    <row r="231" spans="1:26" s="218" customFormat="1" ht="18" hidden="1" customHeight="1" outlineLevel="2">
      <c r="A231" s="188">
        <v>82</v>
      </c>
      <c r="B231" s="116"/>
      <c r="C231" s="116"/>
      <c r="D231" s="116"/>
      <c r="E231" s="130"/>
      <c r="F231" s="158"/>
      <c r="G231" s="217"/>
      <c r="H231" s="217"/>
      <c r="I231" s="217"/>
      <c r="J231" s="217"/>
      <c r="K231" s="217"/>
      <c r="L231" s="146"/>
      <c r="M231" s="146"/>
      <c r="N231" s="146"/>
      <c r="O231" s="217"/>
      <c r="P231" s="217"/>
      <c r="Q231" s="217"/>
      <c r="R231" s="217"/>
      <c r="S231" s="217"/>
      <c r="T231" s="217"/>
      <c r="U231" s="217"/>
      <c r="V231" s="217"/>
      <c r="W231" s="151"/>
      <c r="X231" s="151"/>
      <c r="Y231" s="151"/>
      <c r="Z231" s="219"/>
    </row>
    <row r="232" spans="1:26" s="218" customFormat="1" ht="18" hidden="1" customHeight="1" outlineLevel="2">
      <c r="A232" s="188">
        <v>83</v>
      </c>
      <c r="B232" s="116"/>
      <c r="C232" s="116"/>
      <c r="D232" s="116"/>
      <c r="E232" s="130"/>
      <c r="F232" s="158"/>
      <c r="G232" s="217"/>
      <c r="H232" s="217"/>
      <c r="I232" s="217"/>
      <c r="J232" s="217"/>
      <c r="K232" s="217"/>
      <c r="L232" s="146"/>
      <c r="M232" s="146"/>
      <c r="N232" s="146"/>
      <c r="O232" s="217"/>
      <c r="P232" s="217"/>
      <c r="Q232" s="217"/>
      <c r="R232" s="217"/>
      <c r="S232" s="217"/>
      <c r="T232" s="217"/>
      <c r="U232" s="217"/>
      <c r="V232" s="217"/>
      <c r="W232" s="151"/>
      <c r="X232" s="151"/>
      <c r="Y232" s="151"/>
      <c r="Z232" s="219"/>
    </row>
    <row r="233" spans="1:26" s="218" customFormat="1" ht="18" hidden="1" customHeight="1" outlineLevel="2">
      <c r="A233" s="188">
        <v>84</v>
      </c>
      <c r="B233" s="116"/>
      <c r="C233" s="116"/>
      <c r="D233" s="116"/>
      <c r="E233" s="130"/>
      <c r="F233" s="158"/>
      <c r="G233" s="217"/>
      <c r="H233" s="216"/>
      <c r="I233" s="216"/>
      <c r="J233" s="216"/>
      <c r="K233" s="217"/>
      <c r="L233" s="146"/>
      <c r="M233" s="146"/>
      <c r="N233" s="146"/>
      <c r="O233" s="217"/>
      <c r="P233" s="217"/>
      <c r="Q233" s="217"/>
      <c r="R233" s="217"/>
      <c r="S233" s="217"/>
      <c r="T233" s="217"/>
      <c r="U233" s="217"/>
      <c r="V233" s="217"/>
      <c r="W233" s="138"/>
      <c r="X233" s="138"/>
      <c r="Y233" s="219"/>
      <c r="Z233" s="219"/>
    </row>
    <row r="234" spans="1:26" s="218" customFormat="1" ht="18" hidden="1" customHeight="1" outlineLevel="2">
      <c r="A234" s="188">
        <v>85</v>
      </c>
      <c r="B234" s="116"/>
      <c r="C234" s="116"/>
      <c r="D234" s="116"/>
      <c r="E234" s="130"/>
      <c r="F234" s="158"/>
      <c r="G234" s="217"/>
      <c r="H234" s="217"/>
      <c r="I234" s="217"/>
      <c r="J234" s="217"/>
      <c r="K234" s="217"/>
      <c r="L234" s="146"/>
      <c r="M234" s="146"/>
      <c r="N234" s="146"/>
      <c r="O234" s="217"/>
      <c r="P234" s="217"/>
      <c r="Q234" s="217"/>
      <c r="R234" s="217"/>
      <c r="S234" s="217"/>
      <c r="T234" s="217"/>
      <c r="U234" s="217"/>
      <c r="V234" s="217"/>
      <c r="W234" s="138"/>
      <c r="X234" s="138"/>
      <c r="Y234" s="219"/>
      <c r="Z234" s="219"/>
    </row>
    <row r="235" spans="1:26" s="218" customFormat="1" ht="18" hidden="1" customHeight="1" outlineLevel="2">
      <c r="A235" s="188">
        <v>86</v>
      </c>
      <c r="B235" s="116"/>
      <c r="C235" s="116"/>
      <c r="D235" s="116"/>
      <c r="E235" s="130"/>
      <c r="F235" s="158"/>
      <c r="G235" s="217"/>
      <c r="H235" s="217"/>
      <c r="I235" s="217"/>
      <c r="J235" s="217"/>
      <c r="K235" s="217"/>
      <c r="L235" s="146"/>
      <c r="M235" s="146"/>
      <c r="N235" s="146"/>
      <c r="O235" s="217"/>
      <c r="P235" s="217"/>
      <c r="Q235" s="217"/>
      <c r="R235" s="217"/>
      <c r="S235" s="217"/>
      <c r="T235" s="217"/>
      <c r="U235" s="217"/>
      <c r="V235" s="217"/>
      <c r="W235" s="151"/>
      <c r="X235" s="151"/>
      <c r="Y235" s="151"/>
      <c r="Z235" s="219"/>
    </row>
    <row r="236" spans="1:26" s="218" customFormat="1" ht="18" hidden="1" customHeight="1" outlineLevel="2">
      <c r="A236" s="188">
        <v>87</v>
      </c>
      <c r="B236" s="116"/>
      <c r="C236" s="116"/>
      <c r="D236" s="116"/>
      <c r="E236" s="130"/>
      <c r="F236" s="158"/>
      <c r="G236" s="217"/>
      <c r="H236" s="217"/>
      <c r="I236" s="217"/>
      <c r="J236" s="217"/>
      <c r="K236" s="217"/>
      <c r="L236" s="146"/>
      <c r="M236" s="146"/>
      <c r="N236" s="146"/>
      <c r="O236" s="217"/>
      <c r="P236" s="217"/>
      <c r="Q236" s="217"/>
      <c r="R236" s="217"/>
      <c r="S236" s="217"/>
      <c r="T236" s="217"/>
      <c r="U236" s="217"/>
      <c r="V236" s="217"/>
      <c r="W236" s="151"/>
      <c r="X236" s="151"/>
      <c r="Y236" s="151"/>
      <c r="Z236" s="219"/>
    </row>
    <row r="237" spans="1:26" s="218" customFormat="1" ht="18" hidden="1" customHeight="1" outlineLevel="2">
      <c r="A237" s="188">
        <v>88</v>
      </c>
      <c r="B237" s="116"/>
      <c r="C237" s="116"/>
      <c r="D237" s="116"/>
      <c r="E237" s="130"/>
      <c r="F237" s="158"/>
      <c r="G237" s="217"/>
      <c r="H237" s="217"/>
      <c r="I237" s="217"/>
      <c r="J237" s="217"/>
      <c r="K237" s="217"/>
      <c r="L237" s="146"/>
      <c r="M237" s="146"/>
      <c r="N237" s="146"/>
      <c r="O237" s="217"/>
      <c r="P237" s="217"/>
      <c r="Q237" s="217"/>
      <c r="R237" s="217"/>
      <c r="S237" s="217"/>
      <c r="T237" s="217"/>
      <c r="U237" s="217"/>
      <c r="V237" s="217"/>
      <c r="W237" s="151"/>
      <c r="X237" s="151"/>
      <c r="Y237" s="151"/>
      <c r="Z237" s="219"/>
    </row>
    <row r="238" spans="1:26" s="218" customFormat="1" ht="18" hidden="1" customHeight="1" outlineLevel="2">
      <c r="A238" s="188">
        <v>89</v>
      </c>
      <c r="B238" s="116"/>
      <c r="C238" s="116"/>
      <c r="D238" s="116"/>
      <c r="E238" s="130"/>
      <c r="F238" s="158"/>
      <c r="G238" s="217"/>
      <c r="H238" s="217"/>
      <c r="I238" s="217"/>
      <c r="J238" s="217"/>
      <c r="K238" s="217"/>
      <c r="L238" s="146"/>
      <c r="M238" s="146"/>
      <c r="N238" s="146"/>
      <c r="O238" s="217"/>
      <c r="P238" s="217"/>
      <c r="Q238" s="217"/>
      <c r="R238" s="217"/>
      <c r="S238" s="217"/>
      <c r="T238" s="217"/>
      <c r="U238" s="217"/>
      <c r="V238" s="217"/>
      <c r="W238" s="151"/>
      <c r="X238" s="151"/>
      <c r="Y238" s="151"/>
      <c r="Z238" s="219"/>
    </row>
    <row r="239" spans="1:26" s="218" customFormat="1" ht="18" hidden="1" customHeight="1" outlineLevel="2">
      <c r="A239" s="188">
        <v>90</v>
      </c>
      <c r="B239" s="116"/>
      <c r="C239" s="116"/>
      <c r="D239" s="116"/>
      <c r="E239" s="130"/>
      <c r="F239" s="158"/>
      <c r="G239" s="217"/>
      <c r="H239" s="217"/>
      <c r="I239" s="217"/>
      <c r="J239" s="217"/>
      <c r="K239" s="217"/>
      <c r="L239" s="146"/>
      <c r="M239" s="146"/>
      <c r="N239" s="146"/>
      <c r="O239" s="217"/>
      <c r="P239" s="217"/>
      <c r="Q239" s="217"/>
      <c r="R239" s="217"/>
      <c r="S239" s="217"/>
      <c r="T239" s="217"/>
      <c r="U239" s="217"/>
      <c r="V239" s="217"/>
      <c r="W239" s="151"/>
      <c r="X239" s="151"/>
      <c r="Y239" s="151"/>
      <c r="Z239" s="219"/>
    </row>
    <row r="240" spans="1:26" s="218" customFormat="1" ht="18" hidden="1" customHeight="1" outlineLevel="2">
      <c r="A240" s="188">
        <v>91</v>
      </c>
      <c r="B240" s="116"/>
      <c r="C240" s="116"/>
      <c r="D240" s="116"/>
      <c r="E240" s="130"/>
      <c r="F240" s="158"/>
      <c r="G240" s="217"/>
      <c r="H240" s="217"/>
      <c r="I240" s="217"/>
      <c r="J240" s="217"/>
      <c r="K240" s="217"/>
      <c r="L240" s="146"/>
      <c r="M240" s="146"/>
      <c r="N240" s="146"/>
      <c r="O240" s="217"/>
      <c r="P240" s="217"/>
      <c r="Q240" s="217"/>
      <c r="R240" s="217"/>
      <c r="S240" s="217"/>
      <c r="T240" s="217"/>
      <c r="U240" s="217"/>
      <c r="V240" s="217"/>
      <c r="W240" s="151"/>
      <c r="X240" s="151"/>
      <c r="Y240" s="151"/>
      <c r="Z240" s="219"/>
    </row>
    <row r="241" spans="1:26" s="218" customFormat="1" ht="18" hidden="1" customHeight="1" outlineLevel="2">
      <c r="A241" s="188">
        <v>92</v>
      </c>
      <c r="B241" s="116"/>
      <c r="C241" s="116"/>
      <c r="D241" s="116"/>
      <c r="E241" s="130"/>
      <c r="F241" s="158"/>
      <c r="G241" s="217"/>
      <c r="H241" s="217"/>
      <c r="I241" s="217"/>
      <c r="J241" s="217"/>
      <c r="K241" s="217"/>
      <c r="L241" s="146"/>
      <c r="M241" s="146"/>
      <c r="N241" s="146"/>
      <c r="O241" s="217"/>
      <c r="P241" s="217"/>
      <c r="Q241" s="217"/>
      <c r="R241" s="217"/>
      <c r="S241" s="217"/>
      <c r="T241" s="217"/>
      <c r="U241" s="217"/>
      <c r="V241" s="217"/>
      <c r="W241" s="151"/>
      <c r="X241" s="151"/>
      <c r="Y241" s="151"/>
      <c r="Z241" s="219"/>
    </row>
    <row r="242" spans="1:26" s="218" customFormat="1" ht="18" hidden="1" customHeight="1" outlineLevel="2">
      <c r="A242" s="188">
        <v>93</v>
      </c>
      <c r="B242" s="116"/>
      <c r="C242" s="116"/>
      <c r="D242" s="116"/>
      <c r="E242" s="130"/>
      <c r="F242" s="158"/>
      <c r="G242" s="217"/>
      <c r="H242" s="217"/>
      <c r="I242" s="217"/>
      <c r="J242" s="217"/>
      <c r="K242" s="217"/>
      <c r="L242" s="146"/>
      <c r="M242" s="146"/>
      <c r="N242" s="146"/>
      <c r="O242" s="217"/>
      <c r="P242" s="217"/>
      <c r="Q242" s="217"/>
      <c r="R242" s="217"/>
      <c r="S242" s="217"/>
      <c r="T242" s="217"/>
      <c r="U242" s="217"/>
      <c r="V242" s="217"/>
      <c r="W242" s="151"/>
      <c r="X242" s="151"/>
      <c r="Y242" s="151"/>
      <c r="Z242" s="219"/>
    </row>
    <row r="243" spans="1:26" s="218" customFormat="1" ht="18" hidden="1" customHeight="1" outlineLevel="1" collapsed="1">
      <c r="A243" s="188">
        <v>94</v>
      </c>
      <c r="B243" s="116"/>
      <c r="C243" s="116"/>
      <c r="D243" s="116"/>
      <c r="E243" s="130"/>
      <c r="F243" s="159" t="s">
        <v>170</v>
      </c>
      <c r="G243" s="217"/>
      <c r="H243" s="217"/>
      <c r="I243" s="217"/>
      <c r="J243" s="217"/>
      <c r="K243" s="217"/>
      <c r="L243" s="146"/>
      <c r="M243" s="146"/>
      <c r="N243" s="146"/>
      <c r="O243" s="217"/>
      <c r="P243" s="217"/>
      <c r="Q243" s="217"/>
      <c r="R243" s="217"/>
      <c r="S243" s="217"/>
      <c r="T243" s="217"/>
      <c r="U243" s="217"/>
      <c r="V243" s="217"/>
      <c r="W243" s="151"/>
      <c r="X243" s="151"/>
      <c r="Y243" s="151"/>
      <c r="Z243" s="219"/>
    </row>
    <row r="244" spans="1:26" s="218" customFormat="1" ht="18" hidden="1" customHeight="1" outlineLevel="2" collapsed="1">
      <c r="A244" s="188">
        <v>95</v>
      </c>
      <c r="B244" s="116"/>
      <c r="C244" s="116"/>
      <c r="D244" s="116"/>
      <c r="E244" s="130"/>
      <c r="F244" s="158"/>
      <c r="G244" s="217"/>
      <c r="H244" s="217"/>
      <c r="I244" s="217"/>
      <c r="J244" s="217"/>
      <c r="K244" s="217"/>
      <c r="L244" s="146"/>
      <c r="M244" s="146"/>
      <c r="N244" s="146"/>
      <c r="O244" s="217"/>
      <c r="P244" s="217"/>
      <c r="Q244" s="217"/>
      <c r="R244" s="217"/>
      <c r="S244" s="217"/>
      <c r="T244" s="217"/>
      <c r="U244" s="217"/>
      <c r="V244" s="217"/>
      <c r="W244" s="151"/>
      <c r="X244" s="151"/>
      <c r="Y244" s="151"/>
      <c r="Z244" s="219"/>
    </row>
    <row r="245" spans="1:26" s="218" customFormat="1" ht="18" hidden="1" customHeight="1" outlineLevel="2">
      <c r="A245" s="188">
        <v>96</v>
      </c>
      <c r="B245" s="116"/>
      <c r="C245" s="116"/>
      <c r="D245" s="116"/>
      <c r="E245" s="130"/>
      <c r="F245" s="158"/>
      <c r="G245" s="217"/>
      <c r="H245" s="217"/>
      <c r="I245" s="217"/>
      <c r="J245" s="217"/>
      <c r="K245" s="217"/>
      <c r="L245" s="146"/>
      <c r="M245" s="146"/>
      <c r="N245" s="146"/>
      <c r="O245" s="217"/>
      <c r="P245" s="217"/>
      <c r="Q245" s="217"/>
      <c r="R245" s="217"/>
      <c r="S245" s="217"/>
      <c r="T245" s="217"/>
      <c r="U245" s="217"/>
      <c r="V245" s="217"/>
      <c r="W245" s="151"/>
      <c r="X245" s="151"/>
      <c r="Y245" s="151"/>
      <c r="Z245" s="219"/>
    </row>
    <row r="246" spans="1:26" s="218" customFormat="1" ht="18" hidden="1" customHeight="1" outlineLevel="2" collapsed="1">
      <c r="A246" s="188">
        <v>97</v>
      </c>
      <c r="B246" s="116"/>
      <c r="C246" s="116"/>
      <c r="D246" s="116"/>
      <c r="E246" s="130"/>
      <c r="F246" s="158"/>
      <c r="G246" s="217"/>
      <c r="H246" s="217"/>
      <c r="I246" s="217"/>
      <c r="J246" s="217"/>
      <c r="K246" s="217"/>
      <c r="L246" s="146"/>
      <c r="M246" s="146"/>
      <c r="N246" s="146"/>
      <c r="O246" s="217"/>
      <c r="P246" s="217"/>
      <c r="Q246" s="217"/>
      <c r="R246" s="217"/>
      <c r="S246" s="217"/>
      <c r="T246" s="217"/>
      <c r="U246" s="217"/>
      <c r="V246" s="217"/>
      <c r="W246" s="151"/>
      <c r="X246" s="151"/>
      <c r="Y246" s="151"/>
      <c r="Z246" s="219"/>
    </row>
    <row r="247" spans="1:26" s="218" customFormat="1" ht="18" hidden="1" customHeight="1" outlineLevel="2">
      <c r="A247" s="188">
        <v>98</v>
      </c>
      <c r="B247" s="116"/>
      <c r="C247" s="116"/>
      <c r="D247" s="116"/>
      <c r="E247" s="130"/>
      <c r="F247" s="158"/>
      <c r="G247" s="217"/>
      <c r="H247" s="217"/>
      <c r="I247" s="217"/>
      <c r="J247" s="217"/>
      <c r="K247" s="217"/>
      <c r="L247" s="146"/>
      <c r="M247" s="146"/>
      <c r="N247" s="146"/>
      <c r="O247" s="217"/>
      <c r="P247" s="217"/>
      <c r="Q247" s="217"/>
      <c r="R247" s="217"/>
      <c r="S247" s="217"/>
      <c r="T247" s="217"/>
      <c r="U247" s="217"/>
      <c r="V247" s="217"/>
      <c r="W247" s="151"/>
      <c r="X247" s="151"/>
      <c r="Y247" s="151"/>
      <c r="Z247" s="219"/>
    </row>
    <row r="248" spans="1:26" s="218" customFormat="1" ht="18" hidden="1" customHeight="1" outlineLevel="2" collapsed="1">
      <c r="A248" s="188">
        <v>99</v>
      </c>
      <c r="B248" s="116"/>
      <c r="C248" s="116"/>
      <c r="D248" s="116"/>
      <c r="E248" s="130"/>
      <c r="F248" s="158"/>
      <c r="G248" s="217"/>
      <c r="H248" s="217"/>
      <c r="I248" s="217"/>
      <c r="J248" s="217"/>
      <c r="K248" s="217"/>
      <c r="L248" s="146"/>
      <c r="M248" s="146"/>
      <c r="N248" s="146"/>
      <c r="O248" s="217"/>
      <c r="P248" s="217"/>
      <c r="Q248" s="217"/>
      <c r="R248" s="217"/>
      <c r="S248" s="217"/>
      <c r="T248" s="217"/>
      <c r="U248" s="217"/>
      <c r="V248" s="217"/>
      <c r="W248" s="151"/>
      <c r="X248" s="151"/>
      <c r="Y248" s="151"/>
      <c r="Z248" s="219"/>
    </row>
    <row r="249" spans="1:26" s="218" customFormat="1" ht="18" hidden="1" customHeight="1" outlineLevel="2">
      <c r="A249" s="188">
        <v>100</v>
      </c>
      <c r="B249" s="116"/>
      <c r="C249" s="116"/>
      <c r="D249" s="116"/>
      <c r="E249" s="130"/>
      <c r="F249" s="158"/>
      <c r="G249" s="217"/>
      <c r="H249" s="217"/>
      <c r="I249" s="217"/>
      <c r="J249" s="217"/>
      <c r="K249" s="217"/>
      <c r="L249" s="146"/>
      <c r="M249" s="146"/>
      <c r="N249" s="146"/>
      <c r="O249" s="217"/>
      <c r="P249" s="217"/>
      <c r="Q249" s="217"/>
      <c r="R249" s="217"/>
      <c r="S249" s="217"/>
      <c r="T249" s="217"/>
      <c r="U249" s="217"/>
      <c r="V249" s="217"/>
      <c r="W249" s="151"/>
      <c r="X249" s="151"/>
      <c r="Y249" s="151"/>
      <c r="Z249" s="219"/>
    </row>
    <row r="250" spans="1:26" s="218" customFormat="1" ht="18" hidden="1" customHeight="1" outlineLevel="2" collapsed="1">
      <c r="A250" s="188">
        <v>101</v>
      </c>
      <c r="B250" s="116"/>
      <c r="C250" s="116"/>
      <c r="D250" s="116"/>
      <c r="E250" s="130"/>
      <c r="F250" s="158"/>
      <c r="G250" s="217"/>
      <c r="H250" s="217"/>
      <c r="I250" s="217"/>
      <c r="J250" s="217"/>
      <c r="K250" s="217"/>
      <c r="L250" s="146"/>
      <c r="M250" s="146"/>
      <c r="N250" s="146"/>
      <c r="O250" s="217"/>
      <c r="P250" s="217"/>
      <c r="Q250" s="217"/>
      <c r="R250" s="217"/>
      <c r="S250" s="217"/>
      <c r="T250" s="217"/>
      <c r="U250" s="217"/>
      <c r="V250" s="217"/>
      <c r="W250" s="151"/>
      <c r="X250" s="151"/>
      <c r="Y250" s="151"/>
      <c r="Z250" s="219"/>
    </row>
    <row r="251" spans="1:26" s="218" customFormat="1" ht="18" hidden="1" customHeight="1" outlineLevel="2">
      <c r="A251" s="188">
        <v>102</v>
      </c>
      <c r="B251" s="116"/>
      <c r="C251" s="116"/>
      <c r="D251" s="116"/>
      <c r="E251" s="130"/>
      <c r="F251" s="158"/>
      <c r="G251" s="217"/>
      <c r="H251" s="217"/>
      <c r="I251" s="217"/>
      <c r="J251" s="217"/>
      <c r="K251" s="217"/>
      <c r="L251" s="146"/>
      <c r="M251" s="146"/>
      <c r="N251" s="146"/>
      <c r="O251" s="217"/>
      <c r="P251" s="217"/>
      <c r="Q251" s="217"/>
      <c r="R251" s="217"/>
      <c r="S251" s="217"/>
      <c r="T251" s="217"/>
      <c r="U251" s="217"/>
      <c r="V251" s="217"/>
      <c r="W251" s="151"/>
      <c r="X251" s="151"/>
      <c r="Y251" s="151"/>
      <c r="Z251" s="219"/>
    </row>
    <row r="252" spans="1:26" s="218" customFormat="1" ht="18" hidden="1" customHeight="1" outlineLevel="2">
      <c r="A252" s="188">
        <v>103</v>
      </c>
      <c r="B252" s="116"/>
      <c r="C252" s="116"/>
      <c r="D252" s="116"/>
      <c r="E252" s="130"/>
      <c r="F252" s="158"/>
      <c r="G252" s="217"/>
      <c r="H252" s="217"/>
      <c r="I252" s="217"/>
      <c r="J252" s="217"/>
      <c r="K252" s="217"/>
      <c r="L252" s="146"/>
      <c r="M252" s="146"/>
      <c r="N252" s="146"/>
      <c r="O252" s="217"/>
      <c r="P252" s="217"/>
      <c r="Q252" s="217"/>
      <c r="R252" s="217"/>
      <c r="S252" s="217"/>
      <c r="T252" s="217"/>
      <c r="U252" s="217"/>
      <c r="V252" s="217"/>
      <c r="W252" s="151"/>
      <c r="X252" s="151"/>
      <c r="Y252" s="151"/>
      <c r="Z252" s="219"/>
    </row>
    <row r="253" spans="1:26" s="218" customFormat="1" ht="18" hidden="1" customHeight="1" outlineLevel="2">
      <c r="A253" s="188">
        <v>104</v>
      </c>
      <c r="B253" s="116"/>
      <c r="C253" s="116"/>
      <c r="D253" s="116"/>
      <c r="E253" s="130"/>
      <c r="F253" s="158"/>
      <c r="G253" s="217"/>
      <c r="H253" s="217"/>
      <c r="I253" s="217"/>
      <c r="J253" s="217"/>
      <c r="K253" s="217"/>
      <c r="L253" s="146"/>
      <c r="M253" s="146"/>
      <c r="N253" s="146"/>
      <c r="O253" s="217"/>
      <c r="P253" s="217"/>
      <c r="Q253" s="217"/>
      <c r="R253" s="217"/>
      <c r="S253" s="217"/>
      <c r="T253" s="217"/>
      <c r="U253" s="217"/>
      <c r="V253" s="217"/>
      <c r="W253" s="151"/>
      <c r="X253" s="151"/>
      <c r="Y253" s="151"/>
      <c r="Z253" s="219"/>
    </row>
    <row r="254" spans="1:26" s="218" customFormat="1" ht="18" hidden="1" customHeight="1" outlineLevel="2">
      <c r="A254" s="188">
        <v>105</v>
      </c>
      <c r="B254" s="116"/>
      <c r="C254" s="116"/>
      <c r="D254" s="116"/>
      <c r="E254" s="130"/>
      <c r="F254" s="158"/>
      <c r="G254" s="217"/>
      <c r="H254" s="216"/>
      <c r="I254" s="216"/>
      <c r="J254" s="216"/>
      <c r="K254" s="217"/>
      <c r="L254" s="146"/>
      <c r="M254" s="146"/>
      <c r="N254" s="146"/>
      <c r="O254" s="217"/>
      <c r="P254" s="217"/>
      <c r="Q254" s="217"/>
      <c r="R254" s="217"/>
      <c r="S254" s="217"/>
      <c r="T254" s="217"/>
      <c r="U254" s="217"/>
      <c r="V254" s="217"/>
      <c r="W254" s="138"/>
      <c r="X254" s="138"/>
      <c r="Y254" s="219"/>
      <c r="Z254" s="219"/>
    </row>
    <row r="255" spans="1:26" s="218" customFormat="1" ht="18" hidden="1" customHeight="1" outlineLevel="2">
      <c r="A255" s="188">
        <v>106</v>
      </c>
      <c r="B255" s="116"/>
      <c r="C255" s="116"/>
      <c r="D255" s="116"/>
      <c r="E255" s="130"/>
      <c r="F255" s="158"/>
      <c r="G255" s="217"/>
      <c r="H255" s="217"/>
      <c r="I255" s="217"/>
      <c r="J255" s="217"/>
      <c r="K255" s="217"/>
      <c r="L255" s="146"/>
      <c r="M255" s="146"/>
      <c r="N255" s="146"/>
      <c r="O255" s="217"/>
      <c r="P255" s="217"/>
      <c r="Q255" s="217"/>
      <c r="R255" s="217"/>
      <c r="S255" s="217"/>
      <c r="T255" s="217"/>
      <c r="U255" s="217"/>
      <c r="V255" s="217"/>
      <c r="W255" s="138"/>
      <c r="X255" s="138"/>
      <c r="Y255" s="219"/>
      <c r="Z255" s="219"/>
    </row>
    <row r="256" spans="1:26" s="218" customFormat="1" ht="18" hidden="1" customHeight="1" outlineLevel="2">
      <c r="A256" s="188">
        <v>107</v>
      </c>
      <c r="B256" s="116"/>
      <c r="C256" s="116"/>
      <c r="D256" s="116"/>
      <c r="E256" s="130"/>
      <c r="F256" s="158"/>
      <c r="G256" s="217"/>
      <c r="H256" s="217"/>
      <c r="I256" s="217"/>
      <c r="J256" s="217"/>
      <c r="K256" s="217"/>
      <c r="L256" s="146"/>
      <c r="M256" s="146"/>
      <c r="N256" s="146"/>
      <c r="O256" s="217"/>
      <c r="P256" s="217"/>
      <c r="Q256" s="217"/>
      <c r="R256" s="217"/>
      <c r="S256" s="217"/>
      <c r="T256" s="217"/>
      <c r="U256" s="217"/>
      <c r="V256" s="217"/>
      <c r="W256" s="151"/>
      <c r="X256" s="151"/>
      <c r="Y256" s="151"/>
      <c r="Z256" s="219"/>
    </row>
    <row r="257" spans="1:52" s="218" customFormat="1" ht="18" hidden="1" customHeight="1" outlineLevel="2">
      <c r="A257" s="188">
        <v>108</v>
      </c>
      <c r="B257" s="116"/>
      <c r="C257" s="116"/>
      <c r="D257" s="116"/>
      <c r="E257" s="130"/>
      <c r="F257" s="158"/>
      <c r="G257" s="217"/>
      <c r="H257" s="217"/>
      <c r="I257" s="217"/>
      <c r="J257" s="217"/>
      <c r="K257" s="217"/>
      <c r="L257" s="146"/>
      <c r="M257" s="146"/>
      <c r="N257" s="146"/>
      <c r="O257" s="217"/>
      <c r="P257" s="217"/>
      <c r="Q257" s="217"/>
      <c r="R257" s="217"/>
      <c r="S257" s="217"/>
      <c r="T257" s="217"/>
      <c r="U257" s="217"/>
      <c r="V257" s="217"/>
      <c r="W257" s="151"/>
      <c r="X257" s="151"/>
      <c r="Y257" s="151"/>
      <c r="Z257" s="219"/>
    </row>
    <row r="258" spans="1:52" s="218" customFormat="1" ht="18" hidden="1" customHeight="1" outlineLevel="2">
      <c r="A258" s="188">
        <v>109</v>
      </c>
      <c r="B258" s="116"/>
      <c r="C258" s="116"/>
      <c r="D258" s="116"/>
      <c r="E258" s="130"/>
      <c r="F258" s="158"/>
      <c r="G258" s="217"/>
      <c r="H258" s="217"/>
      <c r="I258" s="217"/>
      <c r="J258" s="217"/>
      <c r="K258" s="217"/>
      <c r="L258" s="146"/>
      <c r="M258" s="146"/>
      <c r="N258" s="146"/>
      <c r="O258" s="217"/>
      <c r="P258" s="217"/>
      <c r="Q258" s="217"/>
      <c r="R258" s="217"/>
      <c r="S258" s="217"/>
      <c r="T258" s="217"/>
      <c r="U258" s="217"/>
      <c r="V258" s="217"/>
      <c r="W258" s="151"/>
      <c r="X258" s="151"/>
      <c r="Y258" s="151"/>
      <c r="Z258" s="219"/>
    </row>
    <row r="259" spans="1:52" s="218" customFormat="1" ht="18" hidden="1" customHeight="1" outlineLevel="2">
      <c r="A259" s="188">
        <v>110</v>
      </c>
      <c r="B259" s="116"/>
      <c r="C259" s="116"/>
      <c r="D259" s="116"/>
      <c r="E259" s="130"/>
      <c r="F259" s="158"/>
      <c r="G259" s="217"/>
      <c r="H259" s="217"/>
      <c r="I259" s="217"/>
      <c r="J259" s="217"/>
      <c r="K259" s="217"/>
      <c r="L259" s="146"/>
      <c r="M259" s="146"/>
      <c r="N259" s="146"/>
      <c r="O259" s="217"/>
      <c r="P259" s="217"/>
      <c r="Q259" s="217"/>
      <c r="R259" s="217"/>
      <c r="S259" s="217"/>
      <c r="T259" s="217"/>
      <c r="U259" s="217"/>
      <c r="V259" s="217"/>
      <c r="W259" s="151"/>
      <c r="X259" s="151"/>
      <c r="Y259" s="151"/>
      <c r="Z259" s="219"/>
    </row>
    <row r="260" spans="1:52" s="218" customFormat="1" ht="18" hidden="1" customHeight="1" outlineLevel="2">
      <c r="A260" s="188">
        <v>111</v>
      </c>
      <c r="B260" s="116"/>
      <c r="C260" s="116"/>
      <c r="D260" s="116"/>
      <c r="E260" s="130"/>
      <c r="F260" s="158"/>
      <c r="G260" s="217"/>
      <c r="H260" s="217"/>
      <c r="I260" s="217"/>
      <c r="J260" s="217"/>
      <c r="K260" s="217"/>
      <c r="L260" s="146"/>
      <c r="M260" s="146"/>
      <c r="N260" s="146"/>
      <c r="O260" s="217"/>
      <c r="P260" s="217"/>
      <c r="Q260" s="217"/>
      <c r="R260" s="217"/>
      <c r="S260" s="217"/>
      <c r="T260" s="217"/>
      <c r="U260" s="217"/>
      <c r="V260" s="217"/>
      <c r="W260" s="151"/>
      <c r="X260" s="151"/>
      <c r="Y260" s="151"/>
      <c r="Z260" s="219"/>
    </row>
    <row r="261" spans="1:52" s="218" customFormat="1" ht="18" hidden="1" customHeight="1" outlineLevel="2">
      <c r="A261" s="188">
        <v>112</v>
      </c>
      <c r="B261" s="116"/>
      <c r="C261" s="116"/>
      <c r="D261" s="116"/>
      <c r="E261" s="130"/>
      <c r="F261" s="158"/>
      <c r="G261" s="217"/>
      <c r="H261" s="217"/>
      <c r="I261" s="217"/>
      <c r="J261" s="217"/>
      <c r="K261" s="217"/>
      <c r="L261" s="146"/>
      <c r="M261" s="146"/>
      <c r="N261" s="146"/>
      <c r="O261" s="217"/>
      <c r="P261" s="217"/>
      <c r="Q261" s="217"/>
      <c r="R261" s="217"/>
      <c r="S261" s="217"/>
      <c r="T261" s="217"/>
      <c r="U261" s="217"/>
      <c r="V261" s="217"/>
      <c r="W261" s="151"/>
      <c r="X261" s="151"/>
      <c r="Y261" s="151"/>
      <c r="Z261" s="219"/>
    </row>
    <row r="262" spans="1:52" s="218" customFormat="1" ht="18" hidden="1" customHeight="1" outlineLevel="2">
      <c r="A262" s="188">
        <v>113</v>
      </c>
      <c r="B262" s="116"/>
      <c r="C262" s="116"/>
      <c r="D262" s="116"/>
      <c r="E262" s="130"/>
      <c r="F262" s="158"/>
      <c r="G262" s="217"/>
      <c r="H262" s="217"/>
      <c r="I262" s="217"/>
      <c r="J262" s="217"/>
      <c r="K262" s="217"/>
      <c r="L262" s="146"/>
      <c r="M262" s="146"/>
      <c r="N262" s="146"/>
      <c r="O262" s="217"/>
      <c r="P262" s="217"/>
      <c r="Q262" s="217"/>
      <c r="R262" s="217"/>
      <c r="S262" s="217"/>
      <c r="T262" s="217"/>
      <c r="U262" s="217"/>
      <c r="V262" s="217"/>
      <c r="W262" s="151"/>
      <c r="X262" s="151"/>
      <c r="Y262" s="151"/>
      <c r="Z262" s="219"/>
    </row>
    <row r="263" spans="1:52" s="218" customFormat="1" ht="18" hidden="1" customHeight="1" outlineLevel="2">
      <c r="A263" s="188">
        <v>114</v>
      </c>
      <c r="B263" s="116"/>
      <c r="C263" s="116"/>
      <c r="D263" s="116"/>
      <c r="E263" s="130"/>
      <c r="F263" s="158"/>
      <c r="G263" s="217"/>
      <c r="H263" s="217"/>
      <c r="I263" s="217"/>
      <c r="J263" s="217"/>
      <c r="K263" s="217"/>
      <c r="L263" s="146"/>
      <c r="M263" s="146"/>
      <c r="N263" s="146"/>
      <c r="O263" s="217"/>
      <c r="P263" s="217"/>
      <c r="Q263" s="217"/>
      <c r="R263" s="217"/>
      <c r="S263" s="217"/>
      <c r="T263" s="217"/>
      <c r="U263" s="217"/>
      <c r="V263" s="217"/>
      <c r="W263" s="151"/>
      <c r="X263" s="151"/>
      <c r="Y263" s="151"/>
      <c r="Z263" s="219"/>
    </row>
    <row r="264" spans="1:52" s="218" customFormat="1" ht="18" hidden="1" customHeight="1" outlineLevel="1" collapsed="1">
      <c r="A264" s="188"/>
      <c r="B264" s="92"/>
      <c r="C264" s="93"/>
      <c r="D264" s="93"/>
      <c r="E264" s="206"/>
      <c r="F264" s="159"/>
      <c r="G264" s="217"/>
      <c r="H264" s="217"/>
      <c r="I264" s="217"/>
      <c r="J264" s="217"/>
      <c r="K264" s="217"/>
      <c r="L264" s="146"/>
      <c r="M264" s="146"/>
      <c r="N264" s="146"/>
      <c r="O264" s="217"/>
      <c r="P264" s="217"/>
      <c r="Q264" s="217"/>
      <c r="R264" s="217"/>
      <c r="S264" s="217"/>
      <c r="T264" s="217"/>
      <c r="U264" s="217"/>
      <c r="V264" s="217"/>
      <c r="W264" s="151"/>
      <c r="X264" s="151"/>
      <c r="Y264" s="151"/>
      <c r="Z264" s="219"/>
    </row>
    <row r="265" spans="1:52" s="218" customFormat="1" ht="18" customHeight="1" collapsed="1">
      <c r="A265" s="143"/>
      <c r="B265" s="201" t="s">
        <v>178</v>
      </c>
      <c r="C265" s="203"/>
      <c r="D265" s="263">
        <f>Logic!D266</f>
        <v>0</v>
      </c>
      <c r="E265" s="87"/>
      <c r="F265" s="217"/>
      <c r="G265" s="217"/>
      <c r="H265" s="217"/>
      <c r="I265" s="217"/>
      <c r="J265" s="217"/>
      <c r="K265" s="217"/>
      <c r="L265" s="217"/>
      <c r="M265" s="217"/>
      <c r="N265" s="217"/>
      <c r="O265" s="146"/>
      <c r="P265" s="146"/>
      <c r="Q265" s="146"/>
      <c r="R265" s="217"/>
      <c r="S265" s="217"/>
      <c r="T265" s="217"/>
      <c r="U265" s="217"/>
      <c r="V265" s="217"/>
      <c r="W265" s="217"/>
      <c r="X265" s="217"/>
      <c r="Y265" s="217"/>
      <c r="Z265" s="151"/>
      <c r="AA265" s="31"/>
      <c r="AB265" s="31"/>
    </row>
    <row r="266" spans="1:52" s="218" customFormat="1" ht="18" customHeight="1">
      <c r="A266" s="143"/>
      <c r="B266" s="201" t="s">
        <v>179</v>
      </c>
      <c r="C266" s="203"/>
      <c r="D266" s="263">
        <f>Logic!G267</f>
        <v>0</v>
      </c>
      <c r="E266" s="87"/>
      <c r="F266" s="221"/>
      <c r="G266" s="221"/>
      <c r="H266" s="216"/>
      <c r="I266" s="157"/>
      <c r="J266" s="157"/>
      <c r="K266" s="217"/>
      <c r="L266" s="217"/>
      <c r="M266" s="217"/>
      <c r="N266" s="217"/>
      <c r="O266" s="146"/>
      <c r="P266" s="146"/>
      <c r="Q266" s="146"/>
      <c r="R266" s="217"/>
      <c r="S266" s="217"/>
      <c r="T266" s="217"/>
      <c r="U266" s="217"/>
      <c r="V266" s="217"/>
      <c r="W266" s="217"/>
      <c r="X266" s="217"/>
      <c r="Y266" s="217"/>
      <c r="Z266" s="151"/>
      <c r="AA266" s="31"/>
      <c r="AB266" s="31"/>
    </row>
    <row r="267" spans="1:52" s="218" customFormat="1" ht="18" customHeight="1">
      <c r="A267" s="143"/>
      <c r="B267" s="132" t="s">
        <v>180</v>
      </c>
      <c r="C267" s="133"/>
      <c r="D267" s="134"/>
      <c r="E267" s="266" t="str">
        <f>Logic!E268</f>
        <v/>
      </c>
      <c r="F267" s="221"/>
      <c r="G267" s="221"/>
      <c r="H267" s="216"/>
      <c r="I267" s="157"/>
      <c r="J267" s="157"/>
      <c r="K267" s="217"/>
      <c r="L267" s="217"/>
      <c r="M267" s="217"/>
      <c r="N267" s="217"/>
      <c r="O267" s="146"/>
      <c r="P267" s="146"/>
      <c r="Q267" s="146"/>
      <c r="R267" s="217"/>
      <c r="S267" s="217"/>
      <c r="T267" s="217"/>
      <c r="U267" s="217"/>
      <c r="V267" s="217"/>
      <c r="W267" s="217"/>
      <c r="X267" s="217"/>
      <c r="Y267" s="217"/>
      <c r="Z267" s="151"/>
      <c r="AA267" s="31"/>
      <c r="AB267" s="31"/>
    </row>
    <row r="268" spans="1:52" s="218" customFormat="1" ht="18" customHeight="1">
      <c r="A268" s="143"/>
      <c r="B268" s="217"/>
      <c r="C268" s="216"/>
      <c r="D268" s="216"/>
      <c r="E268" s="216"/>
      <c r="F268" s="216"/>
      <c r="G268" s="216"/>
      <c r="H268" s="216"/>
      <c r="I268" s="216"/>
      <c r="J268" s="216"/>
      <c r="K268" s="217"/>
      <c r="L268" s="217"/>
      <c r="M268" s="217"/>
      <c r="N268" s="217"/>
      <c r="O268" s="146"/>
      <c r="P268" s="146"/>
      <c r="Q268" s="146"/>
      <c r="R268" s="217"/>
      <c r="S268" s="217"/>
      <c r="T268" s="217"/>
      <c r="U268" s="217"/>
      <c r="V268" s="217"/>
      <c r="W268" s="217"/>
      <c r="X268" s="217"/>
      <c r="Y268" s="217"/>
      <c r="Z268" s="151"/>
      <c r="AA268" s="31"/>
      <c r="AB268" s="31"/>
    </row>
    <row r="269" spans="1:52" s="193" customFormat="1" ht="18" customHeight="1">
      <c r="A269" s="189"/>
      <c r="B269" s="190" t="s">
        <v>158</v>
      </c>
      <c r="C269" s="190"/>
      <c r="D269" s="191"/>
      <c r="E269" s="191"/>
      <c r="F269" s="191"/>
      <c r="G269" s="191"/>
      <c r="H269" s="191"/>
      <c r="I269" s="191"/>
      <c r="J269" s="191"/>
      <c r="K269" s="191"/>
      <c r="L269" s="191"/>
      <c r="M269" s="191"/>
      <c r="N269" s="191"/>
      <c r="O269" s="191"/>
      <c r="P269" s="191"/>
      <c r="Q269" s="191"/>
      <c r="R269" s="191"/>
      <c r="S269" s="191"/>
      <c r="T269" s="191"/>
      <c r="U269" s="191"/>
      <c r="V269" s="191"/>
      <c r="W269" s="191"/>
      <c r="X269" s="191"/>
      <c r="Y269" s="192"/>
      <c r="Z269" s="192"/>
      <c r="AA269" s="192"/>
      <c r="AB269" s="192"/>
      <c r="AC269" s="192"/>
      <c r="AD269" s="192"/>
      <c r="AE269" s="192"/>
      <c r="AF269" s="192"/>
      <c r="AG269" s="192"/>
      <c r="AH269" s="192"/>
      <c r="AI269" s="192"/>
      <c r="AJ269" s="192"/>
      <c r="AK269" s="192"/>
      <c r="AL269" s="192"/>
      <c r="AM269" s="192"/>
      <c r="AN269" s="192"/>
      <c r="AO269" s="192"/>
      <c r="AP269" s="192"/>
      <c r="AQ269" s="192"/>
      <c r="AR269" s="192"/>
      <c r="AS269" s="192"/>
      <c r="AT269" s="192"/>
      <c r="AU269" s="192"/>
      <c r="AV269" s="192"/>
      <c r="AW269" s="192"/>
      <c r="AX269" s="192"/>
      <c r="AY269" s="192"/>
      <c r="AZ269" s="192"/>
    </row>
    <row r="270" spans="1:52" s="218" customFormat="1" ht="18" customHeight="1">
      <c r="A270" s="141"/>
      <c r="B270" s="201" t="s">
        <v>181</v>
      </c>
      <c r="C270" s="202"/>
      <c r="D270" s="202"/>
      <c r="E270" s="203"/>
      <c r="F270" s="216"/>
      <c r="G270" s="216"/>
      <c r="H270" s="216"/>
      <c r="I270" s="216"/>
      <c r="J270" s="217"/>
      <c r="K270" s="146"/>
      <c r="L270" s="146"/>
      <c r="M270" s="146"/>
      <c r="N270" s="217"/>
      <c r="O270" s="217"/>
      <c r="P270" s="217"/>
      <c r="Q270" s="217"/>
      <c r="R270" s="217"/>
      <c r="S270" s="217"/>
      <c r="T270" s="217"/>
      <c r="U270" s="217"/>
      <c r="V270" s="138"/>
      <c r="W270" s="138"/>
      <c r="X270" s="219"/>
      <c r="Y270" s="219"/>
      <c r="Z270" s="219"/>
    </row>
    <row r="271" spans="1:52" s="218" customFormat="1" ht="18" customHeight="1">
      <c r="A271" s="141"/>
      <c r="B271" s="323" t="s">
        <v>182</v>
      </c>
      <c r="C271" s="323" t="s">
        <v>175</v>
      </c>
      <c r="D271" s="323" t="s">
        <v>183</v>
      </c>
      <c r="E271" s="323" t="s">
        <v>177</v>
      </c>
      <c r="F271" s="216"/>
      <c r="G271" s="216"/>
      <c r="H271" s="216"/>
      <c r="I271" s="216"/>
      <c r="J271" s="216"/>
      <c r="K271" s="217"/>
      <c r="L271" s="146"/>
      <c r="M271" s="146"/>
      <c r="N271" s="146"/>
      <c r="O271" s="217"/>
      <c r="P271" s="217"/>
      <c r="Q271" s="217"/>
      <c r="R271" s="217"/>
      <c r="S271" s="217"/>
      <c r="T271" s="217"/>
      <c r="U271" s="217"/>
      <c r="V271" s="217"/>
      <c r="W271" s="138"/>
      <c r="X271" s="138"/>
      <c r="Y271" s="219"/>
      <c r="Z271" s="219"/>
    </row>
    <row r="272" spans="1:52" s="218" customFormat="1" ht="18" customHeight="1">
      <c r="A272" s="141"/>
      <c r="B272" s="323"/>
      <c r="C272" s="323"/>
      <c r="D272" s="323"/>
      <c r="E272" s="323"/>
      <c r="F272" s="217"/>
      <c r="G272" s="217"/>
      <c r="H272" s="216"/>
      <c r="I272" s="216"/>
      <c r="J272" s="216"/>
      <c r="K272" s="217"/>
      <c r="L272" s="146"/>
      <c r="M272" s="146"/>
      <c r="N272" s="146"/>
      <c r="O272" s="217"/>
      <c r="P272" s="217"/>
      <c r="Q272" s="217"/>
      <c r="R272" s="217"/>
      <c r="S272" s="217"/>
      <c r="T272" s="217"/>
      <c r="U272" s="217"/>
      <c r="V272" s="217"/>
      <c r="W272" s="138"/>
      <c r="X272" s="138"/>
      <c r="Y272" s="219"/>
      <c r="Z272" s="219"/>
    </row>
    <row r="273" spans="1:26" s="218" customFormat="1" ht="18" customHeight="1">
      <c r="A273" s="141"/>
      <c r="B273" s="323"/>
      <c r="C273" s="323"/>
      <c r="D273" s="323"/>
      <c r="E273" s="323"/>
      <c r="F273" s="217"/>
      <c r="G273" s="217"/>
      <c r="H273" s="216"/>
      <c r="I273" s="216"/>
      <c r="J273" s="216"/>
      <c r="K273" s="217"/>
      <c r="L273" s="146"/>
      <c r="M273" s="146"/>
      <c r="N273" s="146"/>
      <c r="O273" s="217"/>
      <c r="P273" s="217"/>
      <c r="Q273" s="217"/>
      <c r="R273" s="217"/>
      <c r="S273" s="217"/>
      <c r="T273" s="217"/>
      <c r="U273" s="217"/>
      <c r="V273" s="217"/>
      <c r="W273" s="138"/>
      <c r="X273" s="138"/>
      <c r="Y273" s="219"/>
      <c r="Z273" s="219"/>
    </row>
    <row r="274" spans="1:26" s="218" customFormat="1" ht="18" customHeight="1">
      <c r="A274" s="188">
        <v>1</v>
      </c>
      <c r="B274" s="116"/>
      <c r="C274" s="116"/>
      <c r="D274" s="116"/>
      <c r="E274" s="130"/>
      <c r="F274" s="220"/>
      <c r="G274" s="217"/>
      <c r="H274" s="216"/>
      <c r="I274" s="216"/>
      <c r="J274" s="216"/>
      <c r="K274" s="217"/>
      <c r="L274" s="146"/>
      <c r="M274" s="146"/>
      <c r="N274" s="146"/>
      <c r="O274" s="217"/>
      <c r="P274" s="217"/>
      <c r="Q274" s="217"/>
      <c r="R274" s="217"/>
      <c r="S274" s="217"/>
      <c r="T274" s="217"/>
      <c r="U274" s="217"/>
      <c r="V274" s="217"/>
      <c r="W274" s="138"/>
      <c r="X274" s="138"/>
      <c r="Y274" s="219"/>
      <c r="Z274" s="219"/>
    </row>
    <row r="275" spans="1:26" s="218" customFormat="1" ht="18" customHeight="1">
      <c r="A275" s="188">
        <v>2</v>
      </c>
      <c r="B275" s="116"/>
      <c r="C275" s="116"/>
      <c r="D275" s="116"/>
      <c r="E275" s="130"/>
      <c r="F275" s="217"/>
      <c r="G275" s="217"/>
      <c r="H275" s="216"/>
      <c r="I275" s="216"/>
      <c r="J275" s="216"/>
      <c r="K275" s="217"/>
      <c r="L275" s="146"/>
      <c r="M275" s="146"/>
      <c r="N275" s="146"/>
      <c r="O275" s="217"/>
      <c r="P275" s="217"/>
      <c r="Q275" s="217"/>
      <c r="R275" s="217"/>
      <c r="S275" s="217"/>
      <c r="T275" s="217"/>
      <c r="U275" s="217"/>
      <c r="V275" s="217"/>
      <c r="W275" s="138"/>
      <c r="X275" s="138"/>
      <c r="Y275" s="219"/>
      <c r="Z275" s="219"/>
    </row>
    <row r="276" spans="1:26" s="218" customFormat="1" ht="18" customHeight="1">
      <c r="A276" s="188">
        <v>3</v>
      </c>
      <c r="B276" s="116"/>
      <c r="C276" s="116"/>
      <c r="D276" s="116"/>
      <c r="E276" s="130"/>
      <c r="F276" s="217"/>
      <c r="G276" s="217"/>
      <c r="H276" s="216"/>
      <c r="I276" s="216"/>
      <c r="J276" s="216"/>
      <c r="K276" s="217"/>
      <c r="L276" s="146"/>
      <c r="M276" s="146"/>
      <c r="N276" s="146"/>
      <c r="O276" s="217"/>
      <c r="P276" s="217"/>
      <c r="Q276" s="217"/>
      <c r="R276" s="217"/>
      <c r="S276" s="217"/>
      <c r="T276" s="217"/>
      <c r="U276" s="217"/>
      <c r="V276" s="217"/>
      <c r="W276" s="138"/>
      <c r="X276" s="138"/>
      <c r="Y276" s="219"/>
      <c r="Z276" s="219"/>
    </row>
    <row r="277" spans="1:26" s="218" customFormat="1" ht="18" customHeight="1">
      <c r="A277" s="188">
        <v>4</v>
      </c>
      <c r="B277" s="116"/>
      <c r="C277" s="116"/>
      <c r="D277" s="116"/>
      <c r="E277" s="130"/>
      <c r="F277" s="217"/>
      <c r="G277" s="217"/>
      <c r="H277" s="216"/>
      <c r="I277" s="216"/>
      <c r="J277" s="216"/>
      <c r="K277" s="217"/>
      <c r="L277" s="146"/>
      <c r="M277" s="146"/>
      <c r="N277" s="146"/>
      <c r="O277" s="217"/>
      <c r="P277" s="217"/>
      <c r="Q277" s="217"/>
      <c r="R277" s="217"/>
      <c r="S277" s="217"/>
      <c r="T277" s="217"/>
      <c r="U277" s="217"/>
      <c r="V277" s="217"/>
      <c r="W277" s="138"/>
      <c r="X277" s="138"/>
      <c r="Y277" s="219"/>
      <c r="Z277" s="219"/>
    </row>
    <row r="278" spans="1:26" s="218" customFormat="1" ht="18" customHeight="1">
      <c r="A278" s="188">
        <v>5</v>
      </c>
      <c r="B278" s="116"/>
      <c r="C278" s="116"/>
      <c r="D278" s="116"/>
      <c r="E278" s="130"/>
      <c r="F278" s="217"/>
      <c r="G278" s="217"/>
      <c r="H278" s="216"/>
      <c r="I278" s="216"/>
      <c r="J278" s="216"/>
      <c r="K278" s="217"/>
      <c r="L278" s="146"/>
      <c r="M278" s="146"/>
      <c r="N278" s="146"/>
      <c r="O278" s="217"/>
      <c r="P278" s="217"/>
      <c r="Q278" s="217"/>
      <c r="R278" s="217"/>
      <c r="S278" s="217"/>
      <c r="T278" s="217"/>
      <c r="U278" s="217"/>
      <c r="V278" s="217"/>
      <c r="W278" s="138"/>
      <c r="X278" s="138"/>
      <c r="Y278" s="219"/>
      <c r="Z278" s="219"/>
    </row>
    <row r="279" spans="1:26" s="218" customFormat="1" ht="18" customHeight="1">
      <c r="A279" s="188">
        <v>6</v>
      </c>
      <c r="B279" s="116"/>
      <c r="C279" s="116"/>
      <c r="D279" s="116"/>
      <c r="E279" s="130"/>
      <c r="F279" s="217"/>
      <c r="G279" s="217"/>
      <c r="H279" s="216"/>
      <c r="I279" s="216"/>
      <c r="J279" s="216"/>
      <c r="K279" s="217"/>
      <c r="L279" s="146"/>
      <c r="M279" s="146"/>
      <c r="N279" s="146"/>
      <c r="O279" s="217"/>
      <c r="P279" s="217"/>
      <c r="Q279" s="217"/>
      <c r="R279" s="217"/>
      <c r="S279" s="217"/>
      <c r="T279" s="217"/>
      <c r="U279" s="217"/>
      <c r="V279" s="217"/>
      <c r="W279" s="138"/>
      <c r="X279" s="138"/>
      <c r="Y279" s="219"/>
      <c r="Z279" s="219"/>
    </row>
    <row r="280" spans="1:26" s="218" customFormat="1" ht="18" customHeight="1">
      <c r="A280" s="188">
        <v>7</v>
      </c>
      <c r="B280" s="116"/>
      <c r="C280" s="116"/>
      <c r="D280" s="116"/>
      <c r="E280" s="130"/>
      <c r="F280" s="217"/>
      <c r="G280" s="217"/>
      <c r="H280" s="217"/>
      <c r="I280" s="217"/>
      <c r="J280" s="217"/>
      <c r="K280" s="217"/>
      <c r="L280" s="146"/>
      <c r="M280" s="146"/>
      <c r="N280" s="146"/>
      <c r="O280" s="217"/>
      <c r="P280" s="217"/>
      <c r="Q280" s="217"/>
      <c r="R280" s="217"/>
      <c r="S280" s="217"/>
      <c r="T280" s="217"/>
      <c r="U280" s="217"/>
      <c r="V280" s="217"/>
      <c r="W280" s="151"/>
      <c r="X280" s="151"/>
      <c r="Y280" s="151"/>
      <c r="Z280" s="219"/>
    </row>
    <row r="281" spans="1:26" s="218" customFormat="1" ht="18" customHeight="1">
      <c r="A281" s="188">
        <v>8</v>
      </c>
      <c r="B281" s="116"/>
      <c r="C281" s="116"/>
      <c r="D281" s="116"/>
      <c r="E281" s="130"/>
      <c r="F281" s="217"/>
      <c r="G281" s="217"/>
      <c r="H281" s="217"/>
      <c r="I281" s="217"/>
      <c r="J281" s="217"/>
      <c r="K281" s="217"/>
      <c r="L281" s="146"/>
      <c r="M281" s="146"/>
      <c r="N281" s="146"/>
      <c r="O281" s="217"/>
      <c r="P281" s="217"/>
      <c r="Q281" s="217"/>
      <c r="R281" s="217"/>
      <c r="S281" s="217"/>
      <c r="T281" s="217"/>
      <c r="U281" s="217"/>
      <c r="V281" s="217"/>
      <c r="W281" s="151"/>
      <c r="X281" s="151"/>
      <c r="Y281" s="151"/>
      <c r="Z281" s="219"/>
    </row>
    <row r="282" spans="1:26" s="218" customFormat="1" ht="18" customHeight="1">
      <c r="A282" s="188">
        <v>9</v>
      </c>
      <c r="B282" s="116"/>
      <c r="C282" s="116"/>
      <c r="D282" s="116"/>
      <c r="E282" s="130"/>
      <c r="F282" s="217"/>
      <c r="G282" s="217"/>
      <c r="H282" s="217"/>
      <c r="I282" s="217"/>
      <c r="J282" s="217"/>
      <c r="K282" s="217"/>
      <c r="L282" s="146"/>
      <c r="M282" s="146"/>
      <c r="N282" s="146"/>
      <c r="O282" s="217"/>
      <c r="P282" s="217"/>
      <c r="Q282" s="217"/>
      <c r="R282" s="217"/>
      <c r="S282" s="217"/>
      <c r="T282" s="217"/>
      <c r="U282" s="217"/>
      <c r="V282" s="217"/>
      <c r="W282" s="151"/>
      <c r="X282" s="151"/>
      <c r="Y282" s="151"/>
      <c r="Z282" s="219"/>
    </row>
    <row r="283" spans="1:26" s="218" customFormat="1" ht="18" customHeight="1">
      <c r="A283" s="188">
        <v>10</v>
      </c>
      <c r="B283" s="116"/>
      <c r="C283" s="116"/>
      <c r="D283" s="116"/>
      <c r="E283" s="130"/>
      <c r="F283" s="159" t="s">
        <v>170</v>
      </c>
      <c r="G283" s="217"/>
      <c r="H283" s="217"/>
      <c r="I283" s="217"/>
      <c r="J283" s="217"/>
      <c r="K283" s="217"/>
      <c r="L283" s="146"/>
      <c r="M283" s="146"/>
      <c r="N283" s="146"/>
      <c r="O283" s="217"/>
      <c r="P283" s="217"/>
      <c r="Q283" s="217"/>
      <c r="R283" s="217"/>
      <c r="S283" s="217"/>
      <c r="T283" s="217"/>
      <c r="U283" s="217"/>
      <c r="V283" s="217"/>
      <c r="W283" s="151"/>
      <c r="X283" s="151"/>
      <c r="Y283" s="151"/>
      <c r="Z283" s="219"/>
    </row>
    <row r="284" spans="1:26" s="218" customFormat="1" ht="18" hidden="1" customHeight="1" outlineLevel="1">
      <c r="A284" s="188">
        <v>11</v>
      </c>
      <c r="B284" s="116"/>
      <c r="C284" s="116"/>
      <c r="D284" s="116"/>
      <c r="E284" s="130"/>
      <c r="F284" s="217"/>
      <c r="G284" s="217"/>
      <c r="H284" s="217"/>
      <c r="I284" s="217"/>
      <c r="J284" s="217"/>
      <c r="K284" s="217"/>
      <c r="L284" s="146"/>
      <c r="M284" s="146"/>
      <c r="N284" s="146"/>
      <c r="O284" s="217"/>
      <c r="P284" s="217"/>
      <c r="Q284" s="217"/>
      <c r="R284" s="217"/>
      <c r="S284" s="217"/>
      <c r="T284" s="217"/>
      <c r="U284" s="217"/>
      <c r="V284" s="217"/>
      <c r="W284" s="151"/>
      <c r="X284" s="151"/>
      <c r="Y284" s="151"/>
      <c r="Z284" s="219"/>
    </row>
    <row r="285" spans="1:26" s="218" customFormat="1" ht="18" hidden="1" customHeight="1" outlineLevel="1">
      <c r="A285" s="188">
        <v>12</v>
      </c>
      <c r="B285" s="116"/>
      <c r="C285" s="116"/>
      <c r="D285" s="116"/>
      <c r="E285" s="130"/>
      <c r="F285" s="217"/>
      <c r="G285" s="217"/>
      <c r="H285" s="216"/>
      <c r="I285" s="216"/>
      <c r="J285" s="216"/>
      <c r="K285" s="217"/>
      <c r="L285" s="146"/>
      <c r="M285" s="146"/>
      <c r="N285" s="146"/>
      <c r="O285" s="217"/>
      <c r="P285" s="217"/>
      <c r="Q285" s="217"/>
      <c r="R285" s="217"/>
      <c r="S285" s="217"/>
      <c r="T285" s="217"/>
      <c r="U285" s="217"/>
      <c r="V285" s="217"/>
      <c r="W285" s="138"/>
      <c r="X285" s="138"/>
      <c r="Y285" s="219"/>
      <c r="Z285" s="219"/>
    </row>
    <row r="286" spans="1:26" s="218" customFormat="1" ht="18" hidden="1" customHeight="1" outlineLevel="1">
      <c r="A286" s="188">
        <v>13</v>
      </c>
      <c r="B286" s="116"/>
      <c r="C286" s="116"/>
      <c r="D286" s="116"/>
      <c r="E286" s="130"/>
      <c r="F286" s="217"/>
      <c r="G286" s="217"/>
      <c r="H286" s="217"/>
      <c r="I286" s="217"/>
      <c r="J286" s="217"/>
      <c r="K286" s="217"/>
      <c r="L286" s="146"/>
      <c r="M286" s="146"/>
      <c r="N286" s="146"/>
      <c r="O286" s="217"/>
      <c r="P286" s="217"/>
      <c r="Q286" s="217"/>
      <c r="R286" s="217"/>
      <c r="S286" s="217"/>
      <c r="T286" s="217"/>
      <c r="U286" s="217"/>
      <c r="V286" s="217"/>
      <c r="W286" s="138"/>
      <c r="X286" s="138"/>
      <c r="Y286" s="219"/>
      <c r="Z286" s="219"/>
    </row>
    <row r="287" spans="1:26" s="218" customFormat="1" ht="18" hidden="1" customHeight="1" outlineLevel="1">
      <c r="A287" s="188">
        <v>14</v>
      </c>
      <c r="B287" s="116"/>
      <c r="C287" s="116"/>
      <c r="D287" s="116"/>
      <c r="E287" s="130"/>
      <c r="F287" s="217"/>
      <c r="G287" s="217"/>
      <c r="H287" s="217"/>
      <c r="I287" s="217"/>
      <c r="J287" s="217"/>
      <c r="K287" s="217"/>
      <c r="L287" s="146"/>
      <c r="M287" s="146"/>
      <c r="N287" s="146"/>
      <c r="O287" s="217"/>
      <c r="P287" s="217"/>
      <c r="Q287" s="217"/>
      <c r="R287" s="217"/>
      <c r="S287" s="217"/>
      <c r="T287" s="217"/>
      <c r="U287" s="217"/>
      <c r="V287" s="217"/>
      <c r="W287" s="151"/>
      <c r="X287" s="151"/>
      <c r="Y287" s="151"/>
      <c r="Z287" s="219"/>
    </row>
    <row r="288" spans="1:26" s="218" customFormat="1" ht="18" hidden="1" customHeight="1" outlineLevel="1">
      <c r="A288" s="188">
        <v>15</v>
      </c>
      <c r="B288" s="116"/>
      <c r="C288" s="116"/>
      <c r="D288" s="116"/>
      <c r="E288" s="130"/>
      <c r="F288" s="217"/>
      <c r="G288" s="217"/>
      <c r="H288" s="217"/>
      <c r="I288" s="217"/>
      <c r="J288" s="217"/>
      <c r="K288" s="217"/>
      <c r="L288" s="146"/>
      <c r="M288" s="146"/>
      <c r="N288" s="146"/>
      <c r="O288" s="217"/>
      <c r="P288" s="217"/>
      <c r="Q288" s="217"/>
      <c r="R288" s="217"/>
      <c r="S288" s="217"/>
      <c r="T288" s="217"/>
      <c r="U288" s="217"/>
      <c r="V288" s="217"/>
      <c r="W288" s="151"/>
      <c r="X288" s="151"/>
      <c r="Y288" s="151"/>
      <c r="Z288" s="219"/>
    </row>
    <row r="289" spans="1:26" s="218" customFormat="1" ht="18" hidden="1" customHeight="1" outlineLevel="1">
      <c r="A289" s="188">
        <v>16</v>
      </c>
      <c r="B289" s="116"/>
      <c r="C289" s="116"/>
      <c r="D289" s="116"/>
      <c r="E289" s="130"/>
      <c r="F289" s="217"/>
      <c r="G289" s="217"/>
      <c r="H289" s="217"/>
      <c r="I289" s="217"/>
      <c r="J289" s="217"/>
      <c r="K289" s="217"/>
      <c r="L289" s="146"/>
      <c r="M289" s="146"/>
      <c r="N289" s="146"/>
      <c r="O289" s="217"/>
      <c r="P289" s="217"/>
      <c r="Q289" s="217"/>
      <c r="R289" s="217"/>
      <c r="S289" s="217"/>
      <c r="T289" s="217"/>
      <c r="U289" s="217"/>
      <c r="V289" s="217"/>
      <c r="W289" s="151"/>
      <c r="X289" s="151"/>
      <c r="Y289" s="151"/>
      <c r="Z289" s="219"/>
    </row>
    <row r="290" spans="1:26" s="218" customFormat="1" ht="18" hidden="1" customHeight="1" outlineLevel="1">
      <c r="A290" s="188">
        <v>17</v>
      </c>
      <c r="B290" s="116"/>
      <c r="C290" s="116"/>
      <c r="D290" s="116"/>
      <c r="E290" s="130"/>
      <c r="F290" s="217"/>
      <c r="G290" s="217"/>
      <c r="H290" s="217"/>
      <c r="I290" s="217"/>
      <c r="J290" s="217"/>
      <c r="K290" s="217"/>
      <c r="L290" s="146"/>
      <c r="M290" s="146"/>
      <c r="N290" s="146"/>
      <c r="O290" s="217"/>
      <c r="P290" s="217"/>
      <c r="Q290" s="217"/>
      <c r="R290" s="217"/>
      <c r="S290" s="217"/>
      <c r="T290" s="217"/>
      <c r="U290" s="217"/>
      <c r="V290" s="217"/>
      <c r="W290" s="151"/>
      <c r="X290" s="151"/>
      <c r="Y290" s="151"/>
      <c r="Z290" s="219"/>
    </row>
    <row r="291" spans="1:26" s="218" customFormat="1" ht="18" hidden="1" customHeight="1" outlineLevel="1">
      <c r="A291" s="188">
        <v>18</v>
      </c>
      <c r="B291" s="116"/>
      <c r="C291" s="116"/>
      <c r="D291" s="116"/>
      <c r="E291" s="130"/>
      <c r="F291" s="217"/>
      <c r="G291" s="217"/>
      <c r="H291" s="217"/>
      <c r="I291" s="217"/>
      <c r="J291" s="217"/>
      <c r="K291" s="217"/>
      <c r="L291" s="146"/>
      <c r="M291" s="146"/>
      <c r="N291" s="146"/>
      <c r="O291" s="217"/>
      <c r="P291" s="217"/>
      <c r="Q291" s="217"/>
      <c r="R291" s="217"/>
      <c r="S291" s="217"/>
      <c r="T291" s="217"/>
      <c r="U291" s="217"/>
      <c r="V291" s="217"/>
      <c r="W291" s="151"/>
      <c r="X291" s="151"/>
      <c r="Y291" s="151"/>
      <c r="Z291" s="219"/>
    </row>
    <row r="292" spans="1:26" s="218" customFormat="1" ht="18" hidden="1" customHeight="1" outlineLevel="1">
      <c r="A292" s="188">
        <v>19</v>
      </c>
      <c r="B292" s="116"/>
      <c r="C292" s="116"/>
      <c r="D292" s="116"/>
      <c r="E292" s="130"/>
      <c r="F292" s="217"/>
      <c r="G292" s="217"/>
      <c r="H292" s="217"/>
      <c r="I292" s="217"/>
      <c r="J292" s="217"/>
      <c r="K292" s="217"/>
      <c r="L292" s="146"/>
      <c r="M292" s="146"/>
      <c r="N292" s="146"/>
      <c r="O292" s="217"/>
      <c r="P292" s="217"/>
      <c r="Q292" s="217"/>
      <c r="R292" s="217"/>
      <c r="S292" s="217"/>
      <c r="T292" s="217"/>
      <c r="U292" s="217"/>
      <c r="V292" s="217"/>
      <c r="W292" s="151"/>
      <c r="X292" s="151"/>
      <c r="Y292" s="151"/>
      <c r="Z292" s="219"/>
    </row>
    <row r="293" spans="1:26" s="218" customFormat="1" ht="18" hidden="1" customHeight="1" outlineLevel="1">
      <c r="A293" s="188">
        <v>20</v>
      </c>
      <c r="B293" s="116"/>
      <c r="C293" s="116"/>
      <c r="D293" s="116"/>
      <c r="E293" s="130"/>
      <c r="F293" s="217"/>
      <c r="G293" s="217"/>
      <c r="H293" s="217"/>
      <c r="I293" s="217"/>
      <c r="J293" s="217"/>
      <c r="K293" s="217"/>
      <c r="L293" s="146"/>
      <c r="M293" s="146"/>
      <c r="N293" s="146"/>
      <c r="O293" s="217"/>
      <c r="P293" s="217"/>
      <c r="Q293" s="217"/>
      <c r="R293" s="217"/>
      <c r="S293" s="217"/>
      <c r="T293" s="217"/>
      <c r="U293" s="217"/>
      <c r="V293" s="217"/>
      <c r="W293" s="151"/>
      <c r="X293" s="151"/>
      <c r="Y293" s="151"/>
      <c r="Z293" s="219"/>
    </row>
    <row r="294" spans="1:26" s="218" customFormat="1" ht="18" hidden="1" customHeight="1" outlineLevel="1">
      <c r="A294" s="188">
        <v>21</v>
      </c>
      <c r="B294" s="116"/>
      <c r="C294" s="116"/>
      <c r="D294" s="116"/>
      <c r="E294" s="130"/>
      <c r="F294" s="217"/>
      <c r="G294" s="217"/>
      <c r="H294" s="217"/>
      <c r="I294" s="217"/>
      <c r="J294" s="217"/>
      <c r="K294" s="217"/>
      <c r="L294" s="146"/>
      <c r="M294" s="146"/>
      <c r="N294" s="146"/>
      <c r="O294" s="217"/>
      <c r="P294" s="217"/>
      <c r="Q294" s="217"/>
      <c r="R294" s="217"/>
      <c r="S294" s="217"/>
      <c r="T294" s="217"/>
      <c r="U294" s="217"/>
      <c r="V294" s="217"/>
      <c r="W294" s="151"/>
      <c r="X294" s="151"/>
      <c r="Y294" s="151"/>
      <c r="Z294" s="219"/>
    </row>
    <row r="295" spans="1:26" s="218" customFormat="1" ht="18" hidden="1" customHeight="1" outlineLevel="1">
      <c r="A295" s="188">
        <v>22</v>
      </c>
      <c r="B295" s="116"/>
      <c r="C295" s="116"/>
      <c r="D295" s="116"/>
      <c r="E295" s="130"/>
      <c r="F295" s="217"/>
      <c r="G295" s="217"/>
      <c r="H295" s="216"/>
      <c r="I295" s="216"/>
      <c r="J295" s="216"/>
      <c r="K295" s="217"/>
      <c r="L295" s="146"/>
      <c r="M295" s="146"/>
      <c r="N295" s="146"/>
      <c r="O295" s="217"/>
      <c r="P295" s="217"/>
      <c r="Q295" s="217"/>
      <c r="R295" s="217"/>
      <c r="S295" s="217"/>
      <c r="T295" s="217"/>
      <c r="U295" s="217"/>
      <c r="V295" s="217"/>
      <c r="W295" s="138"/>
      <c r="X295" s="138"/>
      <c r="Y295" s="219"/>
      <c r="Z295" s="219"/>
    </row>
    <row r="296" spans="1:26" s="218" customFormat="1" ht="18" hidden="1" customHeight="1" outlineLevel="1">
      <c r="A296" s="188">
        <v>23</v>
      </c>
      <c r="B296" s="116"/>
      <c r="C296" s="116"/>
      <c r="D296" s="116"/>
      <c r="E296" s="130"/>
      <c r="F296" s="217"/>
      <c r="G296" s="217"/>
      <c r="H296" s="217"/>
      <c r="I296" s="217"/>
      <c r="J296" s="217"/>
      <c r="K296" s="217"/>
      <c r="L296" s="146"/>
      <c r="M296" s="146"/>
      <c r="N296" s="146"/>
      <c r="O296" s="217"/>
      <c r="P296" s="217"/>
      <c r="Q296" s="217"/>
      <c r="R296" s="217"/>
      <c r="S296" s="217"/>
      <c r="T296" s="217"/>
      <c r="U296" s="217"/>
      <c r="V296" s="217"/>
      <c r="W296" s="138"/>
      <c r="X296" s="138"/>
      <c r="Y296" s="219"/>
      <c r="Z296" s="219"/>
    </row>
    <row r="297" spans="1:26" s="218" customFormat="1" ht="18" hidden="1" customHeight="1" outlineLevel="1">
      <c r="A297" s="188">
        <v>24</v>
      </c>
      <c r="B297" s="116"/>
      <c r="C297" s="116"/>
      <c r="D297" s="116"/>
      <c r="E297" s="130"/>
      <c r="F297" s="217"/>
      <c r="G297" s="217"/>
      <c r="H297" s="217"/>
      <c r="I297" s="217"/>
      <c r="J297" s="217"/>
      <c r="K297" s="217"/>
      <c r="L297" s="146"/>
      <c r="M297" s="146"/>
      <c r="N297" s="146"/>
      <c r="O297" s="217"/>
      <c r="P297" s="217"/>
      <c r="Q297" s="217"/>
      <c r="R297" s="217"/>
      <c r="S297" s="217"/>
      <c r="T297" s="217"/>
      <c r="U297" s="217"/>
      <c r="V297" s="217"/>
      <c r="W297" s="151"/>
      <c r="X297" s="151"/>
      <c r="Y297" s="151"/>
      <c r="Z297" s="219"/>
    </row>
    <row r="298" spans="1:26" s="218" customFormat="1" ht="18" hidden="1" customHeight="1" outlineLevel="1">
      <c r="A298" s="188">
        <v>25</v>
      </c>
      <c r="B298" s="116"/>
      <c r="C298" s="116"/>
      <c r="D298" s="116"/>
      <c r="E298" s="130"/>
      <c r="F298" s="217"/>
      <c r="G298" s="217"/>
      <c r="H298" s="217"/>
      <c r="I298" s="217"/>
      <c r="J298" s="217"/>
      <c r="K298" s="217"/>
      <c r="L298" s="146"/>
      <c r="M298" s="146"/>
      <c r="N298" s="146"/>
      <c r="O298" s="217"/>
      <c r="P298" s="217"/>
      <c r="Q298" s="217"/>
      <c r="R298" s="217"/>
      <c r="S298" s="217"/>
      <c r="T298" s="217"/>
      <c r="U298" s="217"/>
      <c r="V298" s="217"/>
      <c r="W298" s="151"/>
      <c r="X298" s="151"/>
      <c r="Y298" s="151"/>
      <c r="Z298" s="219"/>
    </row>
    <row r="299" spans="1:26" s="218" customFormat="1" ht="18" hidden="1" customHeight="1" outlineLevel="1">
      <c r="A299" s="188">
        <v>26</v>
      </c>
      <c r="B299" s="116"/>
      <c r="C299" s="116"/>
      <c r="D299" s="116"/>
      <c r="E299" s="130"/>
      <c r="F299" s="217"/>
      <c r="G299" s="217"/>
      <c r="H299" s="217"/>
      <c r="I299" s="217"/>
      <c r="J299" s="217"/>
      <c r="K299" s="217"/>
      <c r="L299" s="146"/>
      <c r="M299" s="146"/>
      <c r="N299" s="146"/>
      <c r="O299" s="217"/>
      <c r="P299" s="217"/>
      <c r="Q299" s="217"/>
      <c r="R299" s="217"/>
      <c r="S299" s="217"/>
      <c r="T299" s="217"/>
      <c r="U299" s="217"/>
      <c r="V299" s="217"/>
      <c r="W299" s="151"/>
      <c r="X299" s="151"/>
      <c r="Y299" s="151"/>
      <c r="Z299" s="219"/>
    </row>
    <row r="300" spans="1:26" s="218" customFormat="1" ht="18" hidden="1" customHeight="1" outlineLevel="1">
      <c r="A300" s="188">
        <v>27</v>
      </c>
      <c r="B300" s="116"/>
      <c r="C300" s="116"/>
      <c r="D300" s="116"/>
      <c r="E300" s="130"/>
      <c r="F300" s="217"/>
      <c r="G300" s="217"/>
      <c r="H300" s="217"/>
      <c r="I300" s="217"/>
      <c r="J300" s="217"/>
      <c r="K300" s="217"/>
      <c r="L300" s="146"/>
      <c r="M300" s="146"/>
      <c r="N300" s="146"/>
      <c r="O300" s="217"/>
      <c r="P300" s="217"/>
      <c r="Q300" s="217"/>
      <c r="R300" s="217"/>
      <c r="S300" s="217"/>
      <c r="T300" s="217"/>
      <c r="U300" s="217"/>
      <c r="V300" s="217"/>
      <c r="W300" s="151"/>
      <c r="X300" s="151"/>
      <c r="Y300" s="151"/>
      <c r="Z300" s="219"/>
    </row>
    <row r="301" spans="1:26" s="218" customFormat="1" ht="18" hidden="1" customHeight="1" outlineLevel="1">
      <c r="A301" s="188">
        <v>28</v>
      </c>
      <c r="B301" s="116"/>
      <c r="C301" s="116"/>
      <c r="D301" s="116"/>
      <c r="E301" s="130"/>
      <c r="F301" s="217"/>
      <c r="G301" s="217"/>
      <c r="H301" s="217"/>
      <c r="I301" s="217"/>
      <c r="J301" s="217"/>
      <c r="K301" s="217"/>
      <c r="L301" s="146"/>
      <c r="M301" s="146"/>
      <c r="N301" s="146"/>
      <c r="O301" s="217"/>
      <c r="P301" s="217"/>
      <c r="Q301" s="217"/>
      <c r="R301" s="217"/>
      <c r="S301" s="217"/>
      <c r="T301" s="217"/>
      <c r="U301" s="217"/>
      <c r="V301" s="217"/>
      <c r="W301" s="151"/>
      <c r="X301" s="151"/>
      <c r="Y301" s="151"/>
      <c r="Z301" s="219"/>
    </row>
    <row r="302" spans="1:26" s="218" customFormat="1" ht="18" hidden="1" customHeight="1" outlineLevel="1">
      <c r="A302" s="188">
        <v>29</v>
      </c>
      <c r="B302" s="116"/>
      <c r="C302" s="116"/>
      <c r="D302" s="116"/>
      <c r="E302" s="130"/>
      <c r="F302" s="217"/>
      <c r="G302" s="217"/>
      <c r="H302" s="217"/>
      <c r="I302" s="217"/>
      <c r="J302" s="217"/>
      <c r="K302" s="217"/>
      <c r="L302" s="146"/>
      <c r="M302" s="146"/>
      <c r="N302" s="146"/>
      <c r="O302" s="217"/>
      <c r="P302" s="217"/>
      <c r="Q302" s="217"/>
      <c r="R302" s="217"/>
      <c r="S302" s="217"/>
      <c r="T302" s="217"/>
      <c r="U302" s="217"/>
      <c r="V302" s="217"/>
      <c r="W302" s="151"/>
      <c r="X302" s="151"/>
      <c r="Y302" s="151"/>
      <c r="Z302" s="219"/>
    </row>
    <row r="303" spans="1:26" s="218" customFormat="1" ht="18" hidden="1" customHeight="1" outlineLevel="1">
      <c r="A303" s="188">
        <v>30</v>
      </c>
      <c r="B303" s="116"/>
      <c r="C303" s="116"/>
      <c r="D303" s="116"/>
      <c r="E303" s="130"/>
      <c r="F303" s="217"/>
      <c r="G303" s="217"/>
      <c r="H303" s="217"/>
      <c r="I303" s="217"/>
      <c r="J303" s="217"/>
      <c r="K303" s="217"/>
      <c r="L303" s="146"/>
      <c r="M303" s="146"/>
      <c r="N303" s="146"/>
      <c r="O303" s="217"/>
      <c r="P303" s="217"/>
      <c r="Q303" s="217"/>
      <c r="R303" s="217"/>
      <c r="S303" s="217"/>
      <c r="T303" s="217"/>
      <c r="U303" s="217"/>
      <c r="V303" s="217"/>
      <c r="W303" s="151"/>
      <c r="X303" s="151"/>
      <c r="Y303" s="151"/>
      <c r="Z303" s="219"/>
    </row>
    <row r="304" spans="1:26" s="218" customFormat="1" ht="18" hidden="1" customHeight="1" outlineLevel="1">
      <c r="A304" s="188">
        <v>31</v>
      </c>
      <c r="B304" s="116"/>
      <c r="C304" s="116"/>
      <c r="D304" s="116"/>
      <c r="E304" s="130"/>
      <c r="F304" s="159" t="s">
        <v>170</v>
      </c>
      <c r="G304" s="217"/>
      <c r="H304" s="217"/>
      <c r="I304" s="217"/>
      <c r="J304" s="217"/>
      <c r="K304" s="217"/>
      <c r="L304" s="146"/>
      <c r="M304" s="146"/>
      <c r="N304" s="146"/>
      <c r="O304" s="217"/>
      <c r="P304" s="217"/>
      <c r="Q304" s="217"/>
      <c r="R304" s="217"/>
      <c r="S304" s="217"/>
      <c r="T304" s="217"/>
      <c r="U304" s="217"/>
      <c r="V304" s="217"/>
      <c r="W304" s="151"/>
      <c r="X304" s="151"/>
      <c r="Y304" s="151"/>
      <c r="Z304" s="219"/>
    </row>
    <row r="305" spans="1:26" s="218" customFormat="1" ht="18" hidden="1" customHeight="1" outlineLevel="2">
      <c r="A305" s="188">
        <v>32</v>
      </c>
      <c r="B305" s="116"/>
      <c r="C305" s="116"/>
      <c r="D305" s="116"/>
      <c r="E305" s="130"/>
      <c r="F305" s="158"/>
      <c r="G305" s="217"/>
      <c r="H305" s="217"/>
      <c r="I305" s="217"/>
      <c r="J305" s="217"/>
      <c r="K305" s="217"/>
      <c r="L305" s="146"/>
      <c r="M305" s="146"/>
      <c r="N305" s="146"/>
      <c r="O305" s="217"/>
      <c r="P305" s="217"/>
      <c r="Q305" s="217"/>
      <c r="R305" s="217"/>
      <c r="S305" s="217"/>
      <c r="T305" s="217"/>
      <c r="U305" s="217"/>
      <c r="V305" s="217"/>
      <c r="W305" s="151"/>
      <c r="X305" s="151"/>
      <c r="Y305" s="151"/>
      <c r="Z305" s="219"/>
    </row>
    <row r="306" spans="1:26" s="218" customFormat="1" ht="18" hidden="1" customHeight="1" outlineLevel="2">
      <c r="A306" s="188">
        <v>33</v>
      </c>
      <c r="B306" s="116"/>
      <c r="C306" s="116"/>
      <c r="D306" s="116"/>
      <c r="E306" s="130"/>
      <c r="F306" s="158"/>
      <c r="G306" s="217"/>
      <c r="H306" s="216"/>
      <c r="I306" s="216"/>
      <c r="J306" s="216"/>
      <c r="K306" s="217"/>
      <c r="L306" s="146"/>
      <c r="M306" s="146"/>
      <c r="N306" s="146"/>
      <c r="O306" s="217"/>
      <c r="P306" s="217"/>
      <c r="Q306" s="217"/>
      <c r="R306" s="217"/>
      <c r="S306" s="217"/>
      <c r="T306" s="217"/>
      <c r="U306" s="217"/>
      <c r="V306" s="217"/>
      <c r="W306" s="138"/>
      <c r="X306" s="138"/>
      <c r="Y306" s="219"/>
      <c r="Z306" s="219"/>
    </row>
    <row r="307" spans="1:26" s="218" customFormat="1" ht="18" hidden="1" customHeight="1" outlineLevel="2">
      <c r="A307" s="188">
        <v>34</v>
      </c>
      <c r="B307" s="116"/>
      <c r="C307" s="116"/>
      <c r="D307" s="116"/>
      <c r="E307" s="130"/>
      <c r="F307" s="158"/>
      <c r="G307" s="217"/>
      <c r="H307" s="217"/>
      <c r="I307" s="217"/>
      <c r="J307" s="217"/>
      <c r="K307" s="217"/>
      <c r="L307" s="146"/>
      <c r="M307" s="146"/>
      <c r="N307" s="146"/>
      <c r="O307" s="217"/>
      <c r="P307" s="217"/>
      <c r="Q307" s="217"/>
      <c r="R307" s="217"/>
      <c r="S307" s="217"/>
      <c r="T307" s="217"/>
      <c r="U307" s="217"/>
      <c r="V307" s="217"/>
      <c r="W307" s="138"/>
      <c r="X307" s="138"/>
      <c r="Y307" s="219"/>
      <c r="Z307" s="219"/>
    </row>
    <row r="308" spans="1:26" s="218" customFormat="1" ht="18" hidden="1" customHeight="1" outlineLevel="2">
      <c r="A308" s="188">
        <v>35</v>
      </c>
      <c r="B308" s="116"/>
      <c r="C308" s="116"/>
      <c r="D308" s="116"/>
      <c r="E308" s="130"/>
      <c r="F308" s="158"/>
      <c r="G308" s="217"/>
      <c r="H308" s="217"/>
      <c r="I308" s="217"/>
      <c r="J308" s="217"/>
      <c r="K308" s="217"/>
      <c r="L308" s="146"/>
      <c r="M308" s="146"/>
      <c r="N308" s="146"/>
      <c r="O308" s="217"/>
      <c r="P308" s="217"/>
      <c r="Q308" s="217"/>
      <c r="R308" s="217"/>
      <c r="S308" s="217"/>
      <c r="T308" s="217"/>
      <c r="U308" s="217"/>
      <c r="V308" s="217"/>
      <c r="W308" s="151"/>
      <c r="X308" s="151"/>
      <c r="Y308" s="151"/>
      <c r="Z308" s="219"/>
    </row>
    <row r="309" spans="1:26" s="218" customFormat="1" ht="18" hidden="1" customHeight="1" outlineLevel="2">
      <c r="A309" s="188">
        <v>36</v>
      </c>
      <c r="B309" s="116"/>
      <c r="C309" s="116"/>
      <c r="D309" s="116"/>
      <c r="E309" s="130"/>
      <c r="F309" s="158"/>
      <c r="G309" s="217"/>
      <c r="H309" s="217"/>
      <c r="I309" s="217"/>
      <c r="J309" s="217"/>
      <c r="K309" s="217"/>
      <c r="L309" s="146"/>
      <c r="M309" s="146"/>
      <c r="N309" s="146"/>
      <c r="O309" s="217"/>
      <c r="P309" s="217"/>
      <c r="Q309" s="217"/>
      <c r="R309" s="217"/>
      <c r="S309" s="217"/>
      <c r="T309" s="217"/>
      <c r="U309" s="217"/>
      <c r="V309" s="217"/>
      <c r="W309" s="151"/>
      <c r="X309" s="151"/>
      <c r="Y309" s="151"/>
      <c r="Z309" s="219"/>
    </row>
    <row r="310" spans="1:26" s="218" customFormat="1" ht="18" hidden="1" customHeight="1" outlineLevel="2">
      <c r="A310" s="188">
        <v>37</v>
      </c>
      <c r="B310" s="116"/>
      <c r="C310" s="116"/>
      <c r="D310" s="116"/>
      <c r="E310" s="130"/>
      <c r="F310" s="158"/>
      <c r="G310" s="217"/>
      <c r="H310" s="217"/>
      <c r="I310" s="217"/>
      <c r="J310" s="217"/>
      <c r="K310" s="217"/>
      <c r="L310" s="146"/>
      <c r="M310" s="146"/>
      <c r="N310" s="146"/>
      <c r="O310" s="217"/>
      <c r="P310" s="217"/>
      <c r="Q310" s="217"/>
      <c r="R310" s="217"/>
      <c r="S310" s="217"/>
      <c r="T310" s="217"/>
      <c r="U310" s="217"/>
      <c r="V310" s="217"/>
      <c r="W310" s="151"/>
      <c r="X310" s="151"/>
      <c r="Y310" s="151"/>
      <c r="Z310" s="219"/>
    </row>
    <row r="311" spans="1:26" s="218" customFormat="1" ht="18" hidden="1" customHeight="1" outlineLevel="2">
      <c r="A311" s="188">
        <v>38</v>
      </c>
      <c r="B311" s="116"/>
      <c r="C311" s="116"/>
      <c r="D311" s="116"/>
      <c r="E311" s="130"/>
      <c r="F311" s="158"/>
      <c r="G311" s="217"/>
      <c r="H311" s="217"/>
      <c r="I311" s="217"/>
      <c r="J311" s="217"/>
      <c r="K311" s="217"/>
      <c r="L311" s="146"/>
      <c r="M311" s="146"/>
      <c r="N311" s="146"/>
      <c r="O311" s="217"/>
      <c r="P311" s="217"/>
      <c r="Q311" s="217"/>
      <c r="R311" s="217"/>
      <c r="S311" s="217"/>
      <c r="T311" s="217"/>
      <c r="U311" s="217"/>
      <c r="V311" s="217"/>
      <c r="W311" s="151"/>
      <c r="X311" s="151"/>
      <c r="Y311" s="151"/>
      <c r="Z311" s="219"/>
    </row>
    <row r="312" spans="1:26" s="218" customFormat="1" ht="18" hidden="1" customHeight="1" outlineLevel="2">
      <c r="A312" s="188">
        <v>39</v>
      </c>
      <c r="B312" s="116"/>
      <c r="C312" s="116"/>
      <c r="D312" s="116"/>
      <c r="E312" s="130"/>
      <c r="F312" s="158"/>
      <c r="G312" s="217"/>
      <c r="H312" s="217"/>
      <c r="I312" s="217"/>
      <c r="J312" s="217"/>
      <c r="K312" s="217"/>
      <c r="L312" s="146"/>
      <c r="M312" s="146"/>
      <c r="N312" s="146"/>
      <c r="O312" s="217"/>
      <c r="P312" s="217"/>
      <c r="Q312" s="217"/>
      <c r="R312" s="217"/>
      <c r="S312" s="217"/>
      <c r="T312" s="217"/>
      <c r="U312" s="217"/>
      <c r="V312" s="217"/>
      <c r="W312" s="151"/>
      <c r="X312" s="151"/>
      <c r="Y312" s="151"/>
      <c r="Z312" s="219"/>
    </row>
    <row r="313" spans="1:26" s="218" customFormat="1" ht="18" hidden="1" customHeight="1" outlineLevel="2">
      <c r="A313" s="188">
        <v>40</v>
      </c>
      <c r="B313" s="116"/>
      <c r="C313" s="116"/>
      <c r="D313" s="116"/>
      <c r="E313" s="130"/>
      <c r="F313" s="158"/>
      <c r="G313" s="217"/>
      <c r="H313" s="217"/>
      <c r="I313" s="217"/>
      <c r="J313" s="217"/>
      <c r="K313" s="217"/>
      <c r="L313" s="146"/>
      <c r="M313" s="146"/>
      <c r="N313" s="146"/>
      <c r="O313" s="217"/>
      <c r="P313" s="217"/>
      <c r="Q313" s="217"/>
      <c r="R313" s="217"/>
      <c r="S313" s="217"/>
      <c r="T313" s="217"/>
      <c r="U313" s="217"/>
      <c r="V313" s="217"/>
      <c r="W313" s="151"/>
      <c r="X313" s="151"/>
      <c r="Y313" s="151"/>
      <c r="Z313" s="219"/>
    </row>
    <row r="314" spans="1:26" s="218" customFormat="1" ht="18" hidden="1" customHeight="1" outlineLevel="2">
      <c r="A314" s="188">
        <v>41</v>
      </c>
      <c r="B314" s="116"/>
      <c r="C314" s="116"/>
      <c r="D314" s="116"/>
      <c r="E314" s="130"/>
      <c r="F314" s="158"/>
      <c r="G314" s="217"/>
      <c r="H314" s="217"/>
      <c r="I314" s="217"/>
      <c r="J314" s="217"/>
      <c r="K314" s="217"/>
      <c r="L314" s="146"/>
      <c r="M314" s="146"/>
      <c r="N314" s="146"/>
      <c r="O314" s="217"/>
      <c r="P314" s="217"/>
      <c r="Q314" s="217"/>
      <c r="R314" s="217"/>
      <c r="S314" s="217"/>
      <c r="T314" s="217"/>
      <c r="U314" s="217"/>
      <c r="V314" s="217"/>
      <c r="W314" s="151"/>
      <c r="X314" s="151"/>
      <c r="Y314" s="151"/>
      <c r="Z314" s="219"/>
    </row>
    <row r="315" spans="1:26" s="218" customFormat="1" ht="18" hidden="1" customHeight="1" outlineLevel="2">
      <c r="A315" s="188">
        <v>42</v>
      </c>
      <c r="B315" s="116"/>
      <c r="C315" s="116"/>
      <c r="D315" s="116"/>
      <c r="E315" s="130"/>
      <c r="F315" s="158"/>
      <c r="G315" s="217"/>
      <c r="H315" s="217"/>
      <c r="I315" s="217"/>
      <c r="J315" s="217"/>
      <c r="K315" s="217"/>
      <c r="L315" s="146"/>
      <c r="M315" s="146"/>
      <c r="N315" s="146"/>
      <c r="O315" s="217"/>
      <c r="P315" s="217"/>
      <c r="Q315" s="217"/>
      <c r="R315" s="217"/>
      <c r="S315" s="217"/>
      <c r="T315" s="217"/>
      <c r="U315" s="217"/>
      <c r="V315" s="217"/>
      <c r="W315" s="151"/>
      <c r="X315" s="151"/>
      <c r="Y315" s="151"/>
      <c r="Z315" s="219"/>
    </row>
    <row r="316" spans="1:26" s="218" customFormat="1" ht="18" hidden="1" customHeight="1" outlineLevel="2">
      <c r="A316" s="188">
        <v>43</v>
      </c>
      <c r="B316" s="116"/>
      <c r="C316" s="116"/>
      <c r="D316" s="116"/>
      <c r="E316" s="130"/>
      <c r="F316" s="158"/>
      <c r="G316" s="217"/>
      <c r="H316" s="216"/>
      <c r="I316" s="216"/>
      <c r="J316" s="216"/>
      <c r="K316" s="217"/>
      <c r="L316" s="146"/>
      <c r="M316" s="146"/>
      <c r="N316" s="146"/>
      <c r="O316" s="217"/>
      <c r="P316" s="217"/>
      <c r="Q316" s="217"/>
      <c r="R316" s="217"/>
      <c r="S316" s="217"/>
      <c r="T316" s="217"/>
      <c r="U316" s="217"/>
      <c r="V316" s="217"/>
      <c r="W316" s="138"/>
      <c r="X316" s="138"/>
      <c r="Y316" s="219"/>
      <c r="Z316" s="219"/>
    </row>
    <row r="317" spans="1:26" s="218" customFormat="1" ht="18" hidden="1" customHeight="1" outlineLevel="2">
      <c r="A317" s="188">
        <v>44</v>
      </c>
      <c r="B317" s="116"/>
      <c r="C317" s="116"/>
      <c r="D317" s="116"/>
      <c r="E317" s="130"/>
      <c r="F317" s="158"/>
      <c r="G317" s="217"/>
      <c r="H317" s="217"/>
      <c r="I317" s="217"/>
      <c r="J317" s="217"/>
      <c r="K317" s="217"/>
      <c r="L317" s="146"/>
      <c r="M317" s="146"/>
      <c r="N317" s="146"/>
      <c r="O317" s="217"/>
      <c r="P317" s="217"/>
      <c r="Q317" s="217"/>
      <c r="R317" s="217"/>
      <c r="S317" s="217"/>
      <c r="T317" s="217"/>
      <c r="U317" s="217"/>
      <c r="V317" s="217"/>
      <c r="W317" s="138"/>
      <c r="X317" s="138"/>
      <c r="Y317" s="219"/>
      <c r="Z317" s="219"/>
    </row>
    <row r="318" spans="1:26" s="218" customFormat="1" ht="18" hidden="1" customHeight="1" outlineLevel="2">
      <c r="A318" s="188">
        <v>45</v>
      </c>
      <c r="B318" s="116"/>
      <c r="C318" s="116"/>
      <c r="D318" s="116"/>
      <c r="E318" s="130"/>
      <c r="F318" s="158"/>
      <c r="G318" s="217"/>
      <c r="H318" s="217"/>
      <c r="I318" s="217"/>
      <c r="J318" s="217"/>
      <c r="K318" s="217"/>
      <c r="L318" s="146"/>
      <c r="M318" s="146"/>
      <c r="N318" s="146"/>
      <c r="O318" s="217"/>
      <c r="P318" s="217"/>
      <c r="Q318" s="217"/>
      <c r="R318" s="217"/>
      <c r="S318" s="217"/>
      <c r="T318" s="217"/>
      <c r="U318" s="217"/>
      <c r="V318" s="217"/>
      <c r="W318" s="151"/>
      <c r="X318" s="151"/>
      <c r="Y318" s="151"/>
      <c r="Z318" s="219"/>
    </row>
    <row r="319" spans="1:26" s="218" customFormat="1" ht="18" hidden="1" customHeight="1" outlineLevel="2">
      <c r="A319" s="188">
        <v>46</v>
      </c>
      <c r="B319" s="116"/>
      <c r="C319" s="116"/>
      <c r="D319" s="116"/>
      <c r="E319" s="130"/>
      <c r="F319" s="158"/>
      <c r="G319" s="217"/>
      <c r="H319" s="217"/>
      <c r="I319" s="217"/>
      <c r="J319" s="217"/>
      <c r="K319" s="217"/>
      <c r="L319" s="146"/>
      <c r="M319" s="146"/>
      <c r="N319" s="146"/>
      <c r="O319" s="217"/>
      <c r="P319" s="217"/>
      <c r="Q319" s="217"/>
      <c r="R319" s="217"/>
      <c r="S319" s="217"/>
      <c r="T319" s="217"/>
      <c r="U319" s="217"/>
      <c r="V319" s="217"/>
      <c r="W319" s="151"/>
      <c r="X319" s="151"/>
      <c r="Y319" s="151"/>
      <c r="Z319" s="219"/>
    </row>
    <row r="320" spans="1:26" s="218" customFormat="1" ht="18" hidden="1" customHeight="1" outlineLevel="2">
      <c r="A320" s="188">
        <v>47</v>
      </c>
      <c r="B320" s="116"/>
      <c r="C320" s="116"/>
      <c r="D320" s="116"/>
      <c r="E320" s="130"/>
      <c r="F320" s="158"/>
      <c r="G320" s="217"/>
      <c r="H320" s="217"/>
      <c r="I320" s="217"/>
      <c r="J320" s="217"/>
      <c r="K320" s="217"/>
      <c r="L320" s="146"/>
      <c r="M320" s="146"/>
      <c r="N320" s="146"/>
      <c r="O320" s="217"/>
      <c r="P320" s="217"/>
      <c r="Q320" s="217"/>
      <c r="R320" s="217"/>
      <c r="S320" s="217"/>
      <c r="T320" s="217"/>
      <c r="U320" s="217"/>
      <c r="V320" s="217"/>
      <c r="W320" s="151"/>
      <c r="X320" s="151"/>
      <c r="Y320" s="151"/>
      <c r="Z320" s="219"/>
    </row>
    <row r="321" spans="1:26" s="218" customFormat="1" ht="18" hidden="1" customHeight="1" outlineLevel="2">
      <c r="A321" s="188">
        <v>48</v>
      </c>
      <c r="B321" s="116"/>
      <c r="C321" s="116"/>
      <c r="D321" s="116"/>
      <c r="E321" s="130"/>
      <c r="F321" s="158"/>
      <c r="G321" s="217"/>
      <c r="H321" s="217"/>
      <c r="I321" s="217"/>
      <c r="J321" s="217"/>
      <c r="K321" s="217"/>
      <c r="L321" s="146"/>
      <c r="M321" s="146"/>
      <c r="N321" s="146"/>
      <c r="O321" s="217"/>
      <c r="P321" s="217"/>
      <c r="Q321" s="217"/>
      <c r="R321" s="217"/>
      <c r="S321" s="217"/>
      <c r="T321" s="217"/>
      <c r="U321" s="217"/>
      <c r="V321" s="217"/>
      <c r="W321" s="151"/>
      <c r="X321" s="151"/>
      <c r="Y321" s="151"/>
      <c r="Z321" s="219"/>
    </row>
    <row r="322" spans="1:26" s="218" customFormat="1" ht="18" hidden="1" customHeight="1" outlineLevel="2">
      <c r="A322" s="188">
        <v>49</v>
      </c>
      <c r="B322" s="116"/>
      <c r="C322" s="116"/>
      <c r="D322" s="116"/>
      <c r="E322" s="130"/>
      <c r="F322" s="158"/>
      <c r="G322" s="217"/>
      <c r="H322" s="217"/>
      <c r="I322" s="217"/>
      <c r="J322" s="217"/>
      <c r="K322" s="217"/>
      <c r="L322" s="146"/>
      <c r="M322" s="146"/>
      <c r="N322" s="146"/>
      <c r="O322" s="217"/>
      <c r="P322" s="217"/>
      <c r="Q322" s="217"/>
      <c r="R322" s="217"/>
      <c r="S322" s="217"/>
      <c r="T322" s="217"/>
      <c r="U322" s="217"/>
      <c r="V322" s="217"/>
      <c r="W322" s="151"/>
      <c r="X322" s="151"/>
      <c r="Y322" s="151"/>
      <c r="Z322" s="219"/>
    </row>
    <row r="323" spans="1:26" s="218" customFormat="1" ht="18" hidden="1" customHeight="1" outlineLevel="2">
      <c r="A323" s="188">
        <v>50</v>
      </c>
      <c r="B323" s="116"/>
      <c r="C323" s="116"/>
      <c r="D323" s="116"/>
      <c r="E323" s="130"/>
      <c r="F323" s="158"/>
      <c r="G323" s="217"/>
      <c r="H323" s="217"/>
      <c r="I323" s="217"/>
      <c r="J323" s="217"/>
      <c r="K323" s="217"/>
      <c r="L323" s="146"/>
      <c r="M323" s="146"/>
      <c r="N323" s="146"/>
      <c r="O323" s="217"/>
      <c r="P323" s="217"/>
      <c r="Q323" s="217"/>
      <c r="R323" s="217"/>
      <c r="S323" s="217"/>
      <c r="T323" s="217"/>
      <c r="U323" s="217"/>
      <c r="V323" s="217"/>
      <c r="W323" s="151"/>
      <c r="X323" s="151"/>
      <c r="Y323" s="151"/>
      <c r="Z323" s="219"/>
    </row>
    <row r="324" spans="1:26" s="218" customFormat="1" ht="18" hidden="1" customHeight="1" outlineLevel="1" collapsed="1">
      <c r="A324" s="188">
        <v>51</v>
      </c>
      <c r="B324" s="116"/>
      <c r="C324" s="116"/>
      <c r="D324" s="116"/>
      <c r="E324" s="130"/>
      <c r="F324" s="159" t="s">
        <v>170</v>
      </c>
      <c r="G324" s="217"/>
      <c r="H324" s="217"/>
      <c r="I324" s="217"/>
      <c r="J324" s="217"/>
      <c r="K324" s="217"/>
      <c r="L324" s="146"/>
      <c r="M324" s="146"/>
      <c r="N324" s="146"/>
      <c r="O324" s="217"/>
      <c r="P324" s="217"/>
      <c r="Q324" s="217"/>
      <c r="R324" s="217"/>
      <c r="S324" s="217"/>
      <c r="T324" s="217"/>
      <c r="U324" s="217"/>
      <c r="V324" s="217"/>
      <c r="W324" s="151"/>
      <c r="X324" s="151"/>
      <c r="Y324" s="151"/>
      <c r="Z324" s="219"/>
    </row>
    <row r="325" spans="1:26" s="218" customFormat="1" ht="18" hidden="1" customHeight="1" outlineLevel="2" collapsed="1">
      <c r="A325" s="188">
        <v>52</v>
      </c>
      <c r="B325" s="116"/>
      <c r="C325" s="116"/>
      <c r="D325" s="116"/>
      <c r="E325" s="130"/>
      <c r="F325" s="158"/>
      <c r="G325" s="217"/>
      <c r="H325" s="217"/>
      <c r="I325" s="217"/>
      <c r="J325" s="217"/>
      <c r="K325" s="217"/>
      <c r="L325" s="146"/>
      <c r="M325" s="146"/>
      <c r="N325" s="146"/>
      <c r="O325" s="217"/>
      <c r="P325" s="217"/>
      <c r="Q325" s="217"/>
      <c r="R325" s="217"/>
      <c r="S325" s="217"/>
      <c r="T325" s="217"/>
      <c r="U325" s="217"/>
      <c r="V325" s="217"/>
      <c r="W325" s="151"/>
      <c r="X325" s="151"/>
      <c r="Y325" s="151"/>
      <c r="Z325" s="219"/>
    </row>
    <row r="326" spans="1:26" s="218" customFormat="1" ht="18" hidden="1" customHeight="1" outlineLevel="2">
      <c r="A326" s="188">
        <v>53</v>
      </c>
      <c r="B326" s="116"/>
      <c r="C326" s="116"/>
      <c r="D326" s="116"/>
      <c r="E326" s="130"/>
      <c r="F326" s="158"/>
      <c r="G326" s="217"/>
      <c r="H326" s="217"/>
      <c r="I326" s="217"/>
      <c r="J326" s="217"/>
      <c r="K326" s="217"/>
      <c r="L326" s="146"/>
      <c r="M326" s="146"/>
      <c r="N326" s="146"/>
      <c r="O326" s="217"/>
      <c r="P326" s="217"/>
      <c r="Q326" s="217"/>
      <c r="R326" s="217"/>
      <c r="S326" s="217"/>
      <c r="T326" s="217"/>
      <c r="U326" s="217"/>
      <c r="V326" s="217"/>
      <c r="W326" s="151"/>
      <c r="X326" s="151"/>
      <c r="Y326" s="151"/>
      <c r="Z326" s="219"/>
    </row>
    <row r="327" spans="1:26" s="218" customFormat="1" ht="18" hidden="1" customHeight="1" outlineLevel="2" collapsed="1">
      <c r="A327" s="188">
        <v>54</v>
      </c>
      <c r="B327" s="116"/>
      <c r="C327" s="116"/>
      <c r="D327" s="116"/>
      <c r="E327" s="130"/>
      <c r="F327" s="158"/>
      <c r="G327" s="217"/>
      <c r="H327" s="217"/>
      <c r="I327" s="217"/>
      <c r="J327" s="217"/>
      <c r="K327" s="217"/>
      <c r="L327" s="146"/>
      <c r="M327" s="146"/>
      <c r="N327" s="146"/>
      <c r="O327" s="217"/>
      <c r="P327" s="217"/>
      <c r="Q327" s="217"/>
      <c r="R327" s="217"/>
      <c r="S327" s="217"/>
      <c r="T327" s="217"/>
      <c r="U327" s="217"/>
      <c r="V327" s="217"/>
      <c r="W327" s="151"/>
      <c r="X327" s="151"/>
      <c r="Y327" s="151"/>
      <c r="Z327" s="219"/>
    </row>
    <row r="328" spans="1:26" s="218" customFormat="1" ht="18" hidden="1" customHeight="1" outlineLevel="2">
      <c r="A328" s="188">
        <v>55</v>
      </c>
      <c r="B328" s="116"/>
      <c r="C328" s="116"/>
      <c r="D328" s="116"/>
      <c r="E328" s="130"/>
      <c r="F328" s="158"/>
      <c r="G328" s="217"/>
      <c r="H328" s="217"/>
      <c r="I328" s="217"/>
      <c r="J328" s="217"/>
      <c r="K328" s="217"/>
      <c r="L328" s="146"/>
      <c r="M328" s="146"/>
      <c r="N328" s="146"/>
      <c r="O328" s="217"/>
      <c r="P328" s="217"/>
      <c r="Q328" s="217"/>
      <c r="R328" s="217"/>
      <c r="S328" s="217"/>
      <c r="T328" s="217"/>
      <c r="U328" s="217"/>
      <c r="V328" s="217"/>
      <c r="W328" s="151"/>
      <c r="X328" s="151"/>
      <c r="Y328" s="151"/>
      <c r="Z328" s="219"/>
    </row>
    <row r="329" spans="1:26" s="218" customFormat="1" ht="18" hidden="1" customHeight="1" outlineLevel="2" collapsed="1">
      <c r="A329" s="188">
        <v>56</v>
      </c>
      <c r="B329" s="116"/>
      <c r="C329" s="116"/>
      <c r="D329" s="116"/>
      <c r="E329" s="130"/>
      <c r="F329" s="158"/>
      <c r="G329" s="217"/>
      <c r="H329" s="217"/>
      <c r="I329" s="217"/>
      <c r="J329" s="217"/>
      <c r="K329" s="217"/>
      <c r="L329" s="146"/>
      <c r="M329" s="146"/>
      <c r="N329" s="146"/>
      <c r="O329" s="217"/>
      <c r="P329" s="217"/>
      <c r="Q329" s="217"/>
      <c r="R329" s="217"/>
      <c r="S329" s="217"/>
      <c r="T329" s="217"/>
      <c r="U329" s="217"/>
      <c r="V329" s="217"/>
      <c r="W329" s="151"/>
      <c r="X329" s="151"/>
      <c r="Y329" s="151"/>
      <c r="Z329" s="219"/>
    </row>
    <row r="330" spans="1:26" s="218" customFormat="1" ht="18" hidden="1" customHeight="1" outlineLevel="2">
      <c r="A330" s="188">
        <v>57</v>
      </c>
      <c r="B330" s="116"/>
      <c r="C330" s="116"/>
      <c r="D330" s="116"/>
      <c r="E330" s="130"/>
      <c r="F330" s="158"/>
      <c r="G330" s="217"/>
      <c r="H330" s="217"/>
      <c r="I330" s="217"/>
      <c r="J330" s="217"/>
      <c r="K330" s="217"/>
      <c r="L330" s="146"/>
      <c r="M330" s="146"/>
      <c r="N330" s="146"/>
      <c r="O330" s="217"/>
      <c r="P330" s="217"/>
      <c r="Q330" s="217"/>
      <c r="R330" s="217"/>
      <c r="S330" s="217"/>
      <c r="T330" s="217"/>
      <c r="U330" s="217"/>
      <c r="V330" s="217"/>
      <c r="W330" s="151"/>
      <c r="X330" s="151"/>
      <c r="Y330" s="151"/>
      <c r="Z330" s="219"/>
    </row>
    <row r="331" spans="1:26" s="218" customFormat="1" ht="18" hidden="1" customHeight="1" outlineLevel="2" collapsed="1">
      <c r="A331" s="188">
        <v>58</v>
      </c>
      <c r="B331" s="116"/>
      <c r="C331" s="116"/>
      <c r="D331" s="116"/>
      <c r="E331" s="130"/>
      <c r="F331" s="158"/>
      <c r="G331" s="217"/>
      <c r="H331" s="217"/>
      <c r="I331" s="217"/>
      <c r="J331" s="217"/>
      <c r="K331" s="217"/>
      <c r="L331" s="146"/>
      <c r="M331" s="146"/>
      <c r="N331" s="146"/>
      <c r="O331" s="217"/>
      <c r="P331" s="217"/>
      <c r="Q331" s="217"/>
      <c r="R331" s="217"/>
      <c r="S331" s="217"/>
      <c r="T331" s="217"/>
      <c r="U331" s="217"/>
      <c r="V331" s="217"/>
      <c r="W331" s="151"/>
      <c r="X331" s="151"/>
      <c r="Y331" s="151"/>
      <c r="Z331" s="219"/>
    </row>
    <row r="332" spans="1:26" s="218" customFormat="1" ht="18" hidden="1" customHeight="1" outlineLevel="2">
      <c r="A332" s="188">
        <v>59</v>
      </c>
      <c r="B332" s="116"/>
      <c r="C332" s="116"/>
      <c r="D332" s="116"/>
      <c r="E332" s="130"/>
      <c r="F332" s="158"/>
      <c r="G332" s="217"/>
      <c r="H332" s="217"/>
      <c r="I332" s="217"/>
      <c r="J332" s="217"/>
      <c r="K332" s="217"/>
      <c r="L332" s="146"/>
      <c r="M332" s="146"/>
      <c r="N332" s="146"/>
      <c r="O332" s="217"/>
      <c r="P332" s="217"/>
      <c r="Q332" s="217"/>
      <c r="R332" s="217"/>
      <c r="S332" s="217"/>
      <c r="T332" s="217"/>
      <c r="U332" s="217"/>
      <c r="V332" s="217"/>
      <c r="W332" s="151"/>
      <c r="X332" s="151"/>
      <c r="Y332" s="151"/>
      <c r="Z332" s="219"/>
    </row>
    <row r="333" spans="1:26" s="218" customFormat="1" ht="18" hidden="1" customHeight="1" outlineLevel="2">
      <c r="A333" s="188">
        <v>60</v>
      </c>
      <c r="B333" s="116"/>
      <c r="C333" s="116"/>
      <c r="D333" s="116"/>
      <c r="E333" s="130"/>
      <c r="F333" s="158"/>
      <c r="G333" s="217"/>
      <c r="H333" s="217"/>
      <c r="I333" s="217"/>
      <c r="J333" s="217"/>
      <c r="K333" s="217"/>
      <c r="L333" s="146"/>
      <c r="M333" s="146"/>
      <c r="N333" s="146"/>
      <c r="O333" s="217"/>
      <c r="P333" s="217"/>
      <c r="Q333" s="217"/>
      <c r="R333" s="217"/>
      <c r="S333" s="217"/>
      <c r="T333" s="217"/>
      <c r="U333" s="217"/>
      <c r="V333" s="217"/>
      <c r="W333" s="151"/>
      <c r="X333" s="151"/>
      <c r="Y333" s="151"/>
      <c r="Z333" s="219"/>
    </row>
    <row r="334" spans="1:26" s="218" customFormat="1" ht="18" hidden="1" customHeight="1" outlineLevel="2">
      <c r="A334" s="188">
        <v>61</v>
      </c>
      <c r="B334" s="116"/>
      <c r="C334" s="116"/>
      <c r="D334" s="116"/>
      <c r="E334" s="130"/>
      <c r="F334" s="158"/>
      <c r="G334" s="217"/>
      <c r="H334" s="217"/>
      <c r="I334" s="217"/>
      <c r="J334" s="217"/>
      <c r="K334" s="217"/>
      <c r="L334" s="146"/>
      <c r="M334" s="146"/>
      <c r="N334" s="146"/>
      <c r="O334" s="217"/>
      <c r="P334" s="217"/>
      <c r="Q334" s="217"/>
      <c r="R334" s="217"/>
      <c r="S334" s="217"/>
      <c r="T334" s="217"/>
      <c r="U334" s="217"/>
      <c r="V334" s="217"/>
      <c r="W334" s="151"/>
      <c r="X334" s="151"/>
      <c r="Y334" s="151"/>
      <c r="Z334" s="219"/>
    </row>
    <row r="335" spans="1:26" s="218" customFormat="1" ht="18" hidden="1" customHeight="1" outlineLevel="2">
      <c r="A335" s="188">
        <v>62</v>
      </c>
      <c r="B335" s="116"/>
      <c r="C335" s="116"/>
      <c r="D335" s="116"/>
      <c r="E335" s="130"/>
      <c r="F335" s="158"/>
      <c r="G335" s="217"/>
      <c r="H335" s="217"/>
      <c r="I335" s="217"/>
      <c r="J335" s="217"/>
      <c r="K335" s="217"/>
      <c r="L335" s="146"/>
      <c r="M335" s="146"/>
      <c r="N335" s="146"/>
      <c r="O335" s="217"/>
      <c r="P335" s="217"/>
      <c r="Q335" s="217"/>
      <c r="R335" s="217"/>
      <c r="S335" s="217"/>
      <c r="T335" s="217"/>
      <c r="U335" s="217"/>
      <c r="V335" s="217"/>
      <c r="W335" s="151"/>
      <c r="X335" s="151"/>
      <c r="Y335" s="151"/>
      <c r="Z335" s="219"/>
    </row>
    <row r="336" spans="1:26" s="218" customFormat="1" ht="18" hidden="1" customHeight="1" outlineLevel="2">
      <c r="A336" s="188">
        <v>63</v>
      </c>
      <c r="B336" s="116"/>
      <c r="C336" s="116"/>
      <c r="D336" s="116"/>
      <c r="E336" s="130"/>
      <c r="F336" s="158"/>
      <c r="G336" s="217"/>
      <c r="H336" s="216"/>
      <c r="I336" s="216"/>
      <c r="J336" s="216"/>
      <c r="K336" s="217"/>
      <c r="L336" s="146"/>
      <c r="M336" s="146"/>
      <c r="N336" s="146"/>
      <c r="O336" s="217"/>
      <c r="P336" s="217"/>
      <c r="Q336" s="217"/>
      <c r="R336" s="217"/>
      <c r="S336" s="217"/>
      <c r="T336" s="217"/>
      <c r="U336" s="217"/>
      <c r="V336" s="217"/>
      <c r="W336" s="138"/>
      <c r="X336" s="138"/>
      <c r="Y336" s="219"/>
      <c r="Z336" s="219"/>
    </row>
    <row r="337" spans="1:26" s="218" customFormat="1" ht="18" hidden="1" customHeight="1" outlineLevel="2">
      <c r="A337" s="188">
        <v>64</v>
      </c>
      <c r="B337" s="116"/>
      <c r="C337" s="116"/>
      <c r="D337" s="116"/>
      <c r="E337" s="130"/>
      <c r="F337" s="158"/>
      <c r="G337" s="217"/>
      <c r="H337" s="217"/>
      <c r="I337" s="217"/>
      <c r="J337" s="217"/>
      <c r="K337" s="217"/>
      <c r="L337" s="146"/>
      <c r="M337" s="146"/>
      <c r="N337" s="146"/>
      <c r="O337" s="217"/>
      <c r="P337" s="217"/>
      <c r="Q337" s="217"/>
      <c r="R337" s="217"/>
      <c r="S337" s="217"/>
      <c r="T337" s="217"/>
      <c r="U337" s="217"/>
      <c r="V337" s="217"/>
      <c r="W337" s="138"/>
      <c r="X337" s="138"/>
      <c r="Y337" s="219"/>
      <c r="Z337" s="219"/>
    </row>
    <row r="338" spans="1:26" s="218" customFormat="1" ht="18" hidden="1" customHeight="1" outlineLevel="2">
      <c r="A338" s="188">
        <v>65</v>
      </c>
      <c r="B338" s="116"/>
      <c r="C338" s="116"/>
      <c r="D338" s="116"/>
      <c r="E338" s="130"/>
      <c r="F338" s="158"/>
      <c r="G338" s="217"/>
      <c r="H338" s="217"/>
      <c r="I338" s="217"/>
      <c r="J338" s="217"/>
      <c r="K338" s="217"/>
      <c r="L338" s="146"/>
      <c r="M338" s="146"/>
      <c r="N338" s="146"/>
      <c r="O338" s="217"/>
      <c r="P338" s="217"/>
      <c r="Q338" s="217"/>
      <c r="R338" s="217"/>
      <c r="S338" s="217"/>
      <c r="T338" s="217"/>
      <c r="U338" s="217"/>
      <c r="V338" s="217"/>
      <c r="W338" s="151"/>
      <c r="X338" s="151"/>
      <c r="Y338" s="151"/>
      <c r="Z338" s="219"/>
    </row>
    <row r="339" spans="1:26" s="218" customFormat="1" ht="18" hidden="1" customHeight="1" outlineLevel="2">
      <c r="A339" s="188">
        <v>66</v>
      </c>
      <c r="B339" s="116"/>
      <c r="C339" s="116"/>
      <c r="D339" s="116"/>
      <c r="E339" s="130"/>
      <c r="F339" s="158"/>
      <c r="G339" s="217"/>
      <c r="H339" s="217"/>
      <c r="I339" s="217"/>
      <c r="J339" s="217"/>
      <c r="K339" s="217"/>
      <c r="L339" s="146"/>
      <c r="M339" s="146"/>
      <c r="N339" s="146"/>
      <c r="O339" s="217"/>
      <c r="P339" s="217"/>
      <c r="Q339" s="217"/>
      <c r="R339" s="217"/>
      <c r="S339" s="217"/>
      <c r="T339" s="217"/>
      <c r="U339" s="217"/>
      <c r="V339" s="217"/>
      <c r="W339" s="151"/>
      <c r="X339" s="151"/>
      <c r="Y339" s="151"/>
      <c r="Z339" s="219"/>
    </row>
    <row r="340" spans="1:26" s="218" customFormat="1" ht="18" hidden="1" customHeight="1" outlineLevel="2">
      <c r="A340" s="188">
        <v>67</v>
      </c>
      <c r="B340" s="116"/>
      <c r="C340" s="116"/>
      <c r="D340" s="116"/>
      <c r="E340" s="130"/>
      <c r="F340" s="158"/>
      <c r="G340" s="217"/>
      <c r="H340" s="217"/>
      <c r="I340" s="217"/>
      <c r="J340" s="217"/>
      <c r="K340" s="217"/>
      <c r="L340" s="146"/>
      <c r="M340" s="146"/>
      <c r="N340" s="146"/>
      <c r="O340" s="217"/>
      <c r="P340" s="217"/>
      <c r="Q340" s="217"/>
      <c r="R340" s="217"/>
      <c r="S340" s="217"/>
      <c r="T340" s="217"/>
      <c r="U340" s="217"/>
      <c r="V340" s="217"/>
      <c r="W340" s="151"/>
      <c r="X340" s="151"/>
      <c r="Y340" s="151"/>
      <c r="Z340" s="219"/>
    </row>
    <row r="341" spans="1:26" s="218" customFormat="1" ht="18" hidden="1" customHeight="1" outlineLevel="2">
      <c r="A341" s="188">
        <v>68</v>
      </c>
      <c r="B341" s="116"/>
      <c r="C341" s="116"/>
      <c r="D341" s="116"/>
      <c r="E341" s="130"/>
      <c r="F341" s="158"/>
      <c r="G341" s="217"/>
      <c r="H341" s="217"/>
      <c r="I341" s="217"/>
      <c r="J341" s="217"/>
      <c r="K341" s="217"/>
      <c r="L341" s="146"/>
      <c r="M341" s="146"/>
      <c r="N341" s="146"/>
      <c r="O341" s="217"/>
      <c r="P341" s="217"/>
      <c r="Q341" s="217"/>
      <c r="R341" s="217"/>
      <c r="S341" s="217"/>
      <c r="T341" s="217"/>
      <c r="U341" s="217"/>
      <c r="V341" s="217"/>
      <c r="W341" s="151"/>
      <c r="X341" s="151"/>
      <c r="Y341" s="151"/>
      <c r="Z341" s="219"/>
    </row>
    <row r="342" spans="1:26" s="218" customFormat="1" ht="18" hidden="1" customHeight="1" outlineLevel="2">
      <c r="A342" s="188">
        <v>69</v>
      </c>
      <c r="B342" s="116"/>
      <c r="C342" s="116"/>
      <c r="D342" s="116"/>
      <c r="E342" s="130"/>
      <c r="F342" s="158"/>
      <c r="G342" s="217"/>
      <c r="H342" s="217"/>
      <c r="I342" s="217"/>
      <c r="J342" s="217"/>
      <c r="K342" s="217"/>
      <c r="L342" s="146"/>
      <c r="M342" s="146"/>
      <c r="N342" s="146"/>
      <c r="O342" s="217"/>
      <c r="P342" s="217"/>
      <c r="Q342" s="217"/>
      <c r="R342" s="217"/>
      <c r="S342" s="217"/>
      <c r="T342" s="217"/>
      <c r="U342" s="217"/>
      <c r="V342" s="217"/>
      <c r="W342" s="151"/>
      <c r="X342" s="151"/>
      <c r="Y342" s="151"/>
      <c r="Z342" s="219"/>
    </row>
    <row r="343" spans="1:26" s="218" customFormat="1" ht="18" hidden="1" customHeight="1" outlineLevel="2">
      <c r="A343" s="188">
        <v>70</v>
      </c>
      <c r="B343" s="116"/>
      <c r="C343" s="116"/>
      <c r="D343" s="116"/>
      <c r="E343" s="130"/>
      <c r="F343" s="158"/>
      <c r="G343" s="217"/>
      <c r="H343" s="217"/>
      <c r="I343" s="217"/>
      <c r="J343" s="217"/>
      <c r="K343" s="217"/>
      <c r="L343" s="146"/>
      <c r="M343" s="146"/>
      <c r="N343" s="146"/>
      <c r="O343" s="217"/>
      <c r="P343" s="217"/>
      <c r="Q343" s="217"/>
      <c r="R343" s="217"/>
      <c r="S343" s="217"/>
      <c r="T343" s="217"/>
      <c r="U343" s="217"/>
      <c r="V343" s="217"/>
      <c r="W343" s="151"/>
      <c r="X343" s="151"/>
      <c r="Y343" s="151"/>
      <c r="Z343" s="219"/>
    </row>
    <row r="344" spans="1:26" s="218" customFormat="1" ht="18" hidden="1" customHeight="1" outlineLevel="1" collapsed="1">
      <c r="A344" s="188">
        <v>71</v>
      </c>
      <c r="B344" s="116"/>
      <c r="C344" s="116"/>
      <c r="D344" s="116"/>
      <c r="E344" s="130"/>
      <c r="F344" s="159" t="s">
        <v>170</v>
      </c>
      <c r="G344" s="217"/>
      <c r="H344" s="217"/>
      <c r="I344" s="217"/>
      <c r="J344" s="217"/>
      <c r="K344" s="217"/>
      <c r="L344" s="146"/>
      <c r="M344" s="146"/>
      <c r="N344" s="146"/>
      <c r="O344" s="217"/>
      <c r="P344" s="217"/>
      <c r="Q344" s="217"/>
      <c r="R344" s="217"/>
      <c r="S344" s="217"/>
      <c r="T344" s="217"/>
      <c r="U344" s="217"/>
      <c r="V344" s="217"/>
      <c r="W344" s="151"/>
      <c r="X344" s="151"/>
      <c r="Y344" s="151"/>
      <c r="Z344" s="219"/>
    </row>
    <row r="345" spans="1:26" s="218" customFormat="1" ht="18" hidden="1" customHeight="1" outlineLevel="2">
      <c r="A345" s="188">
        <v>72</v>
      </c>
      <c r="B345" s="116"/>
      <c r="C345" s="116"/>
      <c r="D345" s="116"/>
      <c r="E345" s="130"/>
      <c r="F345" s="158"/>
      <c r="G345" s="217"/>
      <c r="H345" s="217"/>
      <c r="I345" s="217"/>
      <c r="J345" s="217"/>
      <c r="K345" s="217"/>
      <c r="L345" s="146"/>
      <c r="M345" s="146"/>
      <c r="N345" s="146"/>
      <c r="O345" s="217"/>
      <c r="P345" s="217"/>
      <c r="Q345" s="217"/>
      <c r="R345" s="217"/>
      <c r="S345" s="217"/>
      <c r="T345" s="217"/>
      <c r="U345" s="217"/>
      <c r="V345" s="217"/>
      <c r="W345" s="151"/>
      <c r="X345" s="151"/>
      <c r="Y345" s="151"/>
      <c r="Z345" s="219"/>
    </row>
    <row r="346" spans="1:26" s="218" customFormat="1" ht="18" hidden="1" customHeight="1" outlineLevel="2" collapsed="1">
      <c r="A346" s="188">
        <v>73</v>
      </c>
      <c r="B346" s="116"/>
      <c r="C346" s="116"/>
      <c r="D346" s="116"/>
      <c r="E346" s="130"/>
      <c r="F346" s="158"/>
      <c r="G346" s="217"/>
      <c r="H346" s="217"/>
      <c r="I346" s="217"/>
      <c r="J346" s="217"/>
      <c r="K346" s="217"/>
      <c r="L346" s="146"/>
      <c r="M346" s="146"/>
      <c r="N346" s="146"/>
      <c r="O346" s="217"/>
      <c r="P346" s="217"/>
      <c r="Q346" s="217"/>
      <c r="R346" s="217"/>
      <c r="S346" s="217"/>
      <c r="T346" s="217"/>
      <c r="U346" s="217"/>
      <c r="V346" s="217"/>
      <c r="W346" s="151"/>
      <c r="X346" s="151"/>
      <c r="Y346" s="151"/>
      <c r="Z346" s="219"/>
    </row>
    <row r="347" spans="1:26" s="218" customFormat="1" ht="18" hidden="1" customHeight="1" outlineLevel="2">
      <c r="A347" s="188">
        <v>74</v>
      </c>
      <c r="B347" s="116"/>
      <c r="C347" s="116"/>
      <c r="D347" s="116"/>
      <c r="E347" s="130"/>
      <c r="F347" s="158"/>
      <c r="G347" s="217"/>
      <c r="H347" s="217"/>
      <c r="I347" s="217"/>
      <c r="J347" s="217"/>
      <c r="K347" s="217"/>
      <c r="L347" s="146"/>
      <c r="M347" s="146"/>
      <c r="N347" s="146"/>
      <c r="O347" s="217"/>
      <c r="P347" s="217"/>
      <c r="Q347" s="217"/>
      <c r="R347" s="217"/>
      <c r="S347" s="217"/>
      <c r="T347" s="217"/>
      <c r="U347" s="217"/>
      <c r="V347" s="217"/>
      <c r="W347" s="151"/>
      <c r="X347" s="151"/>
      <c r="Y347" s="151"/>
      <c r="Z347" s="219"/>
    </row>
    <row r="348" spans="1:26" s="218" customFormat="1" ht="18" hidden="1" customHeight="1" outlineLevel="2" collapsed="1">
      <c r="A348" s="188">
        <v>75</v>
      </c>
      <c r="B348" s="116"/>
      <c r="C348" s="116"/>
      <c r="D348" s="116"/>
      <c r="E348" s="130"/>
      <c r="F348" s="158"/>
      <c r="G348" s="217"/>
      <c r="H348" s="217"/>
      <c r="I348" s="217"/>
      <c r="J348" s="217"/>
      <c r="K348" s="217"/>
      <c r="L348" s="146"/>
      <c r="M348" s="146"/>
      <c r="N348" s="146"/>
      <c r="O348" s="217"/>
      <c r="P348" s="217"/>
      <c r="Q348" s="217"/>
      <c r="R348" s="217"/>
      <c r="S348" s="217"/>
      <c r="T348" s="217"/>
      <c r="U348" s="217"/>
      <c r="V348" s="217"/>
      <c r="W348" s="151"/>
      <c r="X348" s="151"/>
      <c r="Y348" s="151"/>
      <c r="Z348" s="219"/>
    </row>
    <row r="349" spans="1:26" s="218" customFormat="1" ht="18" hidden="1" customHeight="1" outlineLevel="2">
      <c r="A349" s="188">
        <v>76</v>
      </c>
      <c r="B349" s="116"/>
      <c r="C349" s="116"/>
      <c r="D349" s="116"/>
      <c r="E349" s="130"/>
      <c r="F349" s="158"/>
      <c r="G349" s="217"/>
      <c r="H349" s="217"/>
      <c r="I349" s="217"/>
      <c r="J349" s="217"/>
      <c r="K349" s="217"/>
      <c r="L349" s="146"/>
      <c r="M349" s="146"/>
      <c r="N349" s="146"/>
      <c r="O349" s="217"/>
      <c r="P349" s="217"/>
      <c r="Q349" s="217"/>
      <c r="R349" s="217"/>
      <c r="S349" s="217"/>
      <c r="T349" s="217"/>
      <c r="U349" s="217"/>
      <c r="V349" s="217"/>
      <c r="W349" s="151"/>
      <c r="X349" s="151"/>
      <c r="Y349" s="151"/>
      <c r="Z349" s="219"/>
    </row>
    <row r="350" spans="1:26" s="218" customFormat="1" ht="18" hidden="1" customHeight="1" outlineLevel="2" collapsed="1">
      <c r="A350" s="188">
        <v>77</v>
      </c>
      <c r="B350" s="116"/>
      <c r="C350" s="116"/>
      <c r="D350" s="116"/>
      <c r="E350" s="130"/>
      <c r="F350" s="158"/>
      <c r="G350" s="217"/>
      <c r="H350" s="217"/>
      <c r="I350" s="217"/>
      <c r="J350" s="217"/>
      <c r="K350" s="217"/>
      <c r="L350" s="146"/>
      <c r="M350" s="146"/>
      <c r="N350" s="146"/>
      <c r="O350" s="217"/>
      <c r="P350" s="217"/>
      <c r="Q350" s="217"/>
      <c r="R350" s="217"/>
      <c r="S350" s="217"/>
      <c r="T350" s="217"/>
      <c r="U350" s="217"/>
      <c r="V350" s="217"/>
      <c r="W350" s="151"/>
      <c r="X350" s="151"/>
      <c r="Y350" s="151"/>
      <c r="Z350" s="219"/>
    </row>
    <row r="351" spans="1:26" s="218" customFormat="1" ht="18" hidden="1" customHeight="1" outlineLevel="2">
      <c r="A351" s="188">
        <v>78</v>
      </c>
      <c r="B351" s="116"/>
      <c r="C351" s="116"/>
      <c r="D351" s="116"/>
      <c r="E351" s="130"/>
      <c r="F351" s="158"/>
      <c r="G351" s="217"/>
      <c r="H351" s="217"/>
      <c r="I351" s="217"/>
      <c r="J351" s="217"/>
      <c r="K351" s="217"/>
      <c r="L351" s="146"/>
      <c r="M351" s="146"/>
      <c r="N351" s="146"/>
      <c r="O351" s="217"/>
      <c r="P351" s="217"/>
      <c r="Q351" s="217"/>
      <c r="R351" s="217"/>
      <c r="S351" s="217"/>
      <c r="T351" s="217"/>
      <c r="U351" s="217"/>
      <c r="V351" s="217"/>
      <c r="W351" s="151"/>
      <c r="X351" s="151"/>
      <c r="Y351" s="151"/>
      <c r="Z351" s="219"/>
    </row>
    <row r="352" spans="1:26" s="218" customFormat="1" ht="18" hidden="1" customHeight="1" outlineLevel="2">
      <c r="A352" s="188">
        <v>79</v>
      </c>
      <c r="B352" s="116"/>
      <c r="C352" s="116"/>
      <c r="D352" s="116"/>
      <c r="E352" s="130"/>
      <c r="F352" s="158"/>
      <c r="G352" s="217"/>
      <c r="H352" s="217"/>
      <c r="I352" s="217"/>
      <c r="J352" s="217"/>
      <c r="K352" s="217"/>
      <c r="L352" s="146"/>
      <c r="M352" s="146"/>
      <c r="N352" s="146"/>
      <c r="O352" s="217"/>
      <c r="P352" s="217"/>
      <c r="Q352" s="217"/>
      <c r="R352" s="217"/>
      <c r="S352" s="217"/>
      <c r="T352" s="217"/>
      <c r="U352" s="217"/>
      <c r="V352" s="217"/>
      <c r="W352" s="151"/>
      <c r="X352" s="151"/>
      <c r="Y352" s="151"/>
      <c r="Z352" s="219"/>
    </row>
    <row r="353" spans="1:26" s="218" customFormat="1" ht="18" hidden="1" customHeight="1" outlineLevel="2">
      <c r="A353" s="188">
        <v>80</v>
      </c>
      <c r="B353" s="116"/>
      <c r="C353" s="116"/>
      <c r="D353" s="116"/>
      <c r="E353" s="130"/>
      <c r="F353" s="158"/>
      <c r="G353" s="217"/>
      <c r="H353" s="217"/>
      <c r="I353" s="217"/>
      <c r="J353" s="217"/>
      <c r="K353" s="217"/>
      <c r="L353" s="146"/>
      <c r="M353" s="146"/>
      <c r="N353" s="146"/>
      <c r="O353" s="217"/>
      <c r="P353" s="217"/>
      <c r="Q353" s="217"/>
      <c r="R353" s="217"/>
      <c r="S353" s="217"/>
      <c r="T353" s="217"/>
      <c r="U353" s="217"/>
      <c r="V353" s="217"/>
      <c r="W353" s="151"/>
      <c r="X353" s="151"/>
      <c r="Y353" s="151"/>
      <c r="Z353" s="219"/>
    </row>
    <row r="354" spans="1:26" s="218" customFormat="1" ht="18" hidden="1" customHeight="1" outlineLevel="2">
      <c r="A354" s="188">
        <v>81</v>
      </c>
      <c r="B354" s="116"/>
      <c r="C354" s="116"/>
      <c r="D354" s="116"/>
      <c r="E354" s="130"/>
      <c r="F354" s="158"/>
      <c r="G354" s="217"/>
      <c r="H354" s="217"/>
      <c r="I354" s="217"/>
      <c r="J354" s="217"/>
      <c r="K354" s="217"/>
      <c r="L354" s="146"/>
      <c r="M354" s="146"/>
      <c r="N354" s="146"/>
      <c r="O354" s="217"/>
      <c r="P354" s="217"/>
      <c r="Q354" s="217"/>
      <c r="R354" s="217"/>
      <c r="S354" s="217"/>
      <c r="T354" s="217"/>
      <c r="U354" s="217"/>
      <c r="V354" s="217"/>
      <c r="W354" s="151"/>
      <c r="X354" s="151"/>
      <c r="Y354" s="151"/>
      <c r="Z354" s="219"/>
    </row>
    <row r="355" spans="1:26" s="218" customFormat="1" ht="18" hidden="1" customHeight="1" outlineLevel="2">
      <c r="A355" s="188">
        <v>82</v>
      </c>
      <c r="B355" s="116"/>
      <c r="C355" s="116"/>
      <c r="D355" s="116"/>
      <c r="E355" s="130"/>
      <c r="F355" s="158"/>
      <c r="G355" s="217"/>
      <c r="H355" s="217"/>
      <c r="I355" s="217"/>
      <c r="J355" s="217"/>
      <c r="K355" s="217"/>
      <c r="L355" s="146"/>
      <c r="M355" s="146"/>
      <c r="N355" s="146"/>
      <c r="O355" s="217"/>
      <c r="P355" s="217"/>
      <c r="Q355" s="217"/>
      <c r="R355" s="217"/>
      <c r="S355" s="217"/>
      <c r="T355" s="217"/>
      <c r="U355" s="217"/>
      <c r="V355" s="217"/>
      <c r="W355" s="151"/>
      <c r="X355" s="151"/>
      <c r="Y355" s="151"/>
      <c r="Z355" s="219"/>
    </row>
    <row r="356" spans="1:26" s="218" customFormat="1" ht="18" hidden="1" customHeight="1" outlineLevel="2">
      <c r="A356" s="188">
        <v>83</v>
      </c>
      <c r="B356" s="116"/>
      <c r="C356" s="116"/>
      <c r="D356" s="116"/>
      <c r="E356" s="130"/>
      <c r="F356" s="158"/>
      <c r="G356" s="217"/>
      <c r="H356" s="216"/>
      <c r="I356" s="216"/>
      <c r="J356" s="216"/>
      <c r="K356" s="217"/>
      <c r="L356" s="146"/>
      <c r="M356" s="146"/>
      <c r="N356" s="146"/>
      <c r="O356" s="217"/>
      <c r="P356" s="217"/>
      <c r="Q356" s="217"/>
      <c r="R356" s="217"/>
      <c r="S356" s="217"/>
      <c r="T356" s="217"/>
      <c r="U356" s="217"/>
      <c r="V356" s="217"/>
      <c r="W356" s="138"/>
      <c r="X356" s="138"/>
      <c r="Y356" s="219"/>
      <c r="Z356" s="219"/>
    </row>
    <row r="357" spans="1:26" s="218" customFormat="1" ht="18" hidden="1" customHeight="1" outlineLevel="2">
      <c r="A357" s="188">
        <v>84</v>
      </c>
      <c r="B357" s="116"/>
      <c r="C357" s="116"/>
      <c r="D357" s="116"/>
      <c r="E357" s="130"/>
      <c r="F357" s="158"/>
      <c r="G357" s="217"/>
      <c r="H357" s="217"/>
      <c r="I357" s="217"/>
      <c r="J357" s="217"/>
      <c r="K357" s="217"/>
      <c r="L357" s="146"/>
      <c r="M357" s="146"/>
      <c r="N357" s="146"/>
      <c r="O357" s="217"/>
      <c r="P357" s="217"/>
      <c r="Q357" s="217"/>
      <c r="R357" s="217"/>
      <c r="S357" s="217"/>
      <c r="T357" s="217"/>
      <c r="U357" s="217"/>
      <c r="V357" s="217"/>
      <c r="W357" s="138"/>
      <c r="X357" s="138"/>
      <c r="Y357" s="219"/>
      <c r="Z357" s="219"/>
    </row>
    <row r="358" spans="1:26" s="218" customFormat="1" ht="18" hidden="1" customHeight="1" outlineLevel="2">
      <c r="A358" s="188">
        <v>85</v>
      </c>
      <c r="B358" s="116"/>
      <c r="C358" s="116"/>
      <c r="D358" s="116"/>
      <c r="E358" s="130"/>
      <c r="F358" s="158"/>
      <c r="G358" s="217"/>
      <c r="H358" s="217"/>
      <c r="I358" s="217"/>
      <c r="J358" s="217"/>
      <c r="K358" s="217"/>
      <c r="L358" s="146"/>
      <c r="M358" s="146"/>
      <c r="N358" s="146"/>
      <c r="O358" s="217"/>
      <c r="P358" s="217"/>
      <c r="Q358" s="217"/>
      <c r="R358" s="217"/>
      <c r="S358" s="217"/>
      <c r="T358" s="217"/>
      <c r="U358" s="217"/>
      <c r="V358" s="217"/>
      <c r="W358" s="151"/>
      <c r="X358" s="151"/>
      <c r="Y358" s="151"/>
      <c r="Z358" s="219"/>
    </row>
    <row r="359" spans="1:26" s="218" customFormat="1" ht="18" hidden="1" customHeight="1" outlineLevel="2">
      <c r="A359" s="188">
        <v>86</v>
      </c>
      <c r="B359" s="116"/>
      <c r="C359" s="116"/>
      <c r="D359" s="116"/>
      <c r="E359" s="130"/>
      <c r="F359" s="158"/>
      <c r="G359" s="217"/>
      <c r="H359" s="217"/>
      <c r="I359" s="217"/>
      <c r="J359" s="217"/>
      <c r="K359" s="217"/>
      <c r="L359" s="146"/>
      <c r="M359" s="146"/>
      <c r="N359" s="146"/>
      <c r="O359" s="217"/>
      <c r="P359" s="217"/>
      <c r="Q359" s="217"/>
      <c r="R359" s="217"/>
      <c r="S359" s="217"/>
      <c r="T359" s="217"/>
      <c r="U359" s="217"/>
      <c r="V359" s="217"/>
      <c r="W359" s="151"/>
      <c r="X359" s="151"/>
      <c r="Y359" s="151"/>
      <c r="Z359" s="219"/>
    </row>
    <row r="360" spans="1:26" s="218" customFormat="1" ht="18" hidden="1" customHeight="1" outlineLevel="2">
      <c r="A360" s="188">
        <v>87</v>
      </c>
      <c r="B360" s="116"/>
      <c r="C360" s="116"/>
      <c r="D360" s="116"/>
      <c r="E360" s="130"/>
      <c r="F360" s="158"/>
      <c r="G360" s="217"/>
      <c r="H360" s="217"/>
      <c r="I360" s="217"/>
      <c r="J360" s="217"/>
      <c r="K360" s="217"/>
      <c r="L360" s="146"/>
      <c r="M360" s="146"/>
      <c r="N360" s="146"/>
      <c r="O360" s="217"/>
      <c r="P360" s="217"/>
      <c r="Q360" s="217"/>
      <c r="R360" s="217"/>
      <c r="S360" s="217"/>
      <c r="T360" s="217"/>
      <c r="U360" s="217"/>
      <c r="V360" s="217"/>
      <c r="W360" s="151"/>
      <c r="X360" s="151"/>
      <c r="Y360" s="151"/>
      <c r="Z360" s="219"/>
    </row>
    <row r="361" spans="1:26" s="218" customFormat="1" ht="18" hidden="1" customHeight="1" outlineLevel="2">
      <c r="A361" s="188">
        <v>88</v>
      </c>
      <c r="B361" s="116"/>
      <c r="C361" s="116"/>
      <c r="D361" s="116"/>
      <c r="E361" s="130"/>
      <c r="F361" s="158"/>
      <c r="G361" s="217"/>
      <c r="H361" s="217"/>
      <c r="I361" s="217"/>
      <c r="J361" s="217"/>
      <c r="K361" s="217"/>
      <c r="L361" s="146"/>
      <c r="M361" s="146"/>
      <c r="N361" s="146"/>
      <c r="O361" s="217"/>
      <c r="P361" s="217"/>
      <c r="Q361" s="217"/>
      <c r="R361" s="217"/>
      <c r="S361" s="217"/>
      <c r="T361" s="217"/>
      <c r="U361" s="217"/>
      <c r="V361" s="217"/>
      <c r="W361" s="151"/>
      <c r="X361" s="151"/>
      <c r="Y361" s="151"/>
      <c r="Z361" s="219"/>
    </row>
    <row r="362" spans="1:26" s="218" customFormat="1" ht="18" hidden="1" customHeight="1" outlineLevel="2">
      <c r="A362" s="188">
        <v>89</v>
      </c>
      <c r="B362" s="116"/>
      <c r="C362" s="116"/>
      <c r="D362" s="116"/>
      <c r="E362" s="130"/>
      <c r="F362" s="158"/>
      <c r="G362" s="217"/>
      <c r="H362" s="217"/>
      <c r="I362" s="217"/>
      <c r="J362" s="217"/>
      <c r="K362" s="217"/>
      <c r="L362" s="146"/>
      <c r="M362" s="146"/>
      <c r="N362" s="146"/>
      <c r="O362" s="217"/>
      <c r="P362" s="217"/>
      <c r="Q362" s="217"/>
      <c r="R362" s="217"/>
      <c r="S362" s="217"/>
      <c r="T362" s="217"/>
      <c r="U362" s="217"/>
      <c r="V362" s="217"/>
      <c r="W362" s="151"/>
      <c r="X362" s="151"/>
      <c r="Y362" s="151"/>
      <c r="Z362" s="219"/>
    </row>
    <row r="363" spans="1:26" s="218" customFormat="1" ht="18" hidden="1" customHeight="1" outlineLevel="2">
      <c r="A363" s="188">
        <v>90</v>
      </c>
      <c r="B363" s="116"/>
      <c r="C363" s="116"/>
      <c r="D363" s="116"/>
      <c r="E363" s="130"/>
      <c r="F363" s="158"/>
      <c r="G363" s="217"/>
      <c r="H363" s="217"/>
      <c r="I363" s="217"/>
      <c r="J363" s="217"/>
      <c r="K363" s="217"/>
      <c r="L363" s="146"/>
      <c r="M363" s="146"/>
      <c r="N363" s="146"/>
      <c r="O363" s="217"/>
      <c r="P363" s="217"/>
      <c r="Q363" s="217"/>
      <c r="R363" s="217"/>
      <c r="S363" s="217"/>
      <c r="T363" s="217"/>
      <c r="U363" s="217"/>
      <c r="V363" s="217"/>
      <c r="W363" s="151"/>
      <c r="X363" s="151"/>
      <c r="Y363" s="151"/>
      <c r="Z363" s="219"/>
    </row>
    <row r="364" spans="1:26" s="218" customFormat="1" ht="18" hidden="1" customHeight="1" outlineLevel="1" collapsed="1">
      <c r="A364" s="188">
        <v>91</v>
      </c>
      <c r="B364" s="116"/>
      <c r="C364" s="116"/>
      <c r="D364" s="116"/>
      <c r="E364" s="130"/>
      <c r="F364" s="159" t="s">
        <v>170</v>
      </c>
      <c r="G364" s="217"/>
      <c r="H364" s="217"/>
      <c r="I364" s="217"/>
      <c r="J364" s="217"/>
      <c r="K364" s="217"/>
      <c r="L364" s="146"/>
      <c r="M364" s="146"/>
      <c r="N364" s="146"/>
      <c r="O364" s="217"/>
      <c r="P364" s="217"/>
      <c r="Q364" s="217"/>
      <c r="R364" s="217"/>
      <c r="S364" s="217"/>
      <c r="T364" s="217"/>
      <c r="U364" s="217"/>
      <c r="V364" s="217"/>
      <c r="W364" s="151"/>
      <c r="X364" s="151"/>
      <c r="Y364" s="151"/>
      <c r="Z364" s="219"/>
    </row>
    <row r="365" spans="1:26" s="218" customFormat="1" ht="18" hidden="1" customHeight="1" outlineLevel="2">
      <c r="A365" s="188">
        <v>92</v>
      </c>
      <c r="B365" s="116"/>
      <c r="C365" s="116"/>
      <c r="D365" s="116"/>
      <c r="E365" s="130"/>
      <c r="F365" s="158"/>
      <c r="G365" s="217"/>
      <c r="H365" s="217"/>
      <c r="I365" s="217"/>
      <c r="J365" s="217"/>
      <c r="K365" s="217"/>
      <c r="L365" s="146"/>
      <c r="M365" s="146"/>
      <c r="N365" s="146"/>
      <c r="O365" s="217"/>
      <c r="P365" s="217"/>
      <c r="Q365" s="217"/>
      <c r="R365" s="217"/>
      <c r="S365" s="217"/>
      <c r="T365" s="217"/>
      <c r="U365" s="217"/>
      <c r="V365" s="217"/>
      <c r="W365" s="151"/>
      <c r="X365" s="151"/>
      <c r="Y365" s="151"/>
      <c r="Z365" s="219"/>
    </row>
    <row r="366" spans="1:26" s="218" customFormat="1" ht="18" hidden="1" customHeight="1" outlineLevel="2" collapsed="1">
      <c r="A366" s="188">
        <v>93</v>
      </c>
      <c r="B366" s="116"/>
      <c r="C366" s="116"/>
      <c r="D366" s="116"/>
      <c r="E366" s="130"/>
      <c r="F366" s="158"/>
      <c r="G366" s="217"/>
      <c r="H366" s="217"/>
      <c r="I366" s="217"/>
      <c r="J366" s="217"/>
      <c r="K366" s="217"/>
      <c r="L366" s="146"/>
      <c r="M366" s="146"/>
      <c r="N366" s="146"/>
      <c r="O366" s="217"/>
      <c r="P366" s="217"/>
      <c r="Q366" s="217"/>
      <c r="R366" s="217"/>
      <c r="S366" s="217"/>
      <c r="T366" s="217"/>
      <c r="U366" s="217"/>
      <c r="V366" s="217"/>
      <c r="W366" s="151"/>
      <c r="X366" s="151"/>
      <c r="Y366" s="151"/>
      <c r="Z366" s="219"/>
    </row>
    <row r="367" spans="1:26" s="218" customFormat="1" ht="18" hidden="1" customHeight="1" outlineLevel="2">
      <c r="A367" s="188">
        <v>94</v>
      </c>
      <c r="B367" s="116"/>
      <c r="C367" s="116"/>
      <c r="D367" s="116"/>
      <c r="E367" s="130"/>
      <c r="F367" s="158"/>
      <c r="G367" s="217"/>
      <c r="H367" s="217"/>
      <c r="I367" s="217"/>
      <c r="J367" s="217"/>
      <c r="K367" s="217"/>
      <c r="L367" s="146"/>
      <c r="M367" s="146"/>
      <c r="N367" s="146"/>
      <c r="O367" s="217"/>
      <c r="P367" s="217"/>
      <c r="Q367" s="217"/>
      <c r="R367" s="217"/>
      <c r="S367" s="217"/>
      <c r="T367" s="217"/>
      <c r="U367" s="217"/>
      <c r="V367" s="217"/>
      <c r="W367" s="151"/>
      <c r="X367" s="151"/>
      <c r="Y367" s="151"/>
      <c r="Z367" s="219"/>
    </row>
    <row r="368" spans="1:26" s="218" customFormat="1" ht="18" hidden="1" customHeight="1" outlineLevel="2" collapsed="1">
      <c r="A368" s="188">
        <v>95</v>
      </c>
      <c r="B368" s="116"/>
      <c r="C368" s="116"/>
      <c r="D368" s="116"/>
      <c r="E368" s="130"/>
      <c r="F368" s="158"/>
      <c r="G368" s="217"/>
      <c r="H368" s="217"/>
      <c r="I368" s="217"/>
      <c r="J368" s="217"/>
      <c r="K368" s="217"/>
      <c r="L368" s="146"/>
      <c r="M368" s="146"/>
      <c r="N368" s="146"/>
      <c r="O368" s="217"/>
      <c r="P368" s="217"/>
      <c r="Q368" s="217"/>
      <c r="R368" s="217"/>
      <c r="S368" s="217"/>
      <c r="T368" s="217"/>
      <c r="U368" s="217"/>
      <c r="V368" s="217"/>
      <c r="W368" s="151"/>
      <c r="X368" s="151"/>
      <c r="Y368" s="151"/>
      <c r="Z368" s="219"/>
    </row>
    <row r="369" spans="1:26" s="218" customFormat="1" ht="18" hidden="1" customHeight="1" outlineLevel="2">
      <c r="A369" s="188">
        <v>96</v>
      </c>
      <c r="B369" s="116"/>
      <c r="C369" s="116"/>
      <c r="D369" s="116"/>
      <c r="E369" s="130"/>
      <c r="F369" s="158"/>
      <c r="G369" s="217"/>
      <c r="H369" s="217"/>
      <c r="I369" s="217"/>
      <c r="J369" s="217"/>
      <c r="K369" s="217"/>
      <c r="L369" s="146"/>
      <c r="M369" s="146"/>
      <c r="N369" s="146"/>
      <c r="O369" s="217"/>
      <c r="P369" s="217"/>
      <c r="Q369" s="217"/>
      <c r="R369" s="217"/>
      <c r="S369" s="217"/>
      <c r="T369" s="217"/>
      <c r="U369" s="217"/>
      <c r="V369" s="217"/>
      <c r="W369" s="151"/>
      <c r="X369" s="151"/>
      <c r="Y369" s="151"/>
      <c r="Z369" s="219"/>
    </row>
    <row r="370" spans="1:26" s="218" customFormat="1" ht="18" hidden="1" customHeight="1" outlineLevel="2" collapsed="1">
      <c r="A370" s="188">
        <v>97</v>
      </c>
      <c r="B370" s="116"/>
      <c r="C370" s="116"/>
      <c r="D370" s="116"/>
      <c r="E370" s="130"/>
      <c r="F370" s="158"/>
      <c r="G370" s="217"/>
      <c r="H370" s="217"/>
      <c r="I370" s="217"/>
      <c r="J370" s="217"/>
      <c r="K370" s="217"/>
      <c r="L370" s="146"/>
      <c r="M370" s="146"/>
      <c r="N370" s="146"/>
      <c r="O370" s="217"/>
      <c r="P370" s="217"/>
      <c r="Q370" s="217"/>
      <c r="R370" s="217"/>
      <c r="S370" s="217"/>
      <c r="T370" s="217"/>
      <c r="U370" s="217"/>
      <c r="V370" s="217"/>
      <c r="W370" s="151"/>
      <c r="X370" s="151"/>
      <c r="Y370" s="151"/>
      <c r="Z370" s="219"/>
    </row>
    <row r="371" spans="1:26" s="218" customFormat="1" ht="18" hidden="1" customHeight="1" outlineLevel="2">
      <c r="A371" s="188">
        <v>98</v>
      </c>
      <c r="B371" s="116"/>
      <c r="C371" s="116"/>
      <c r="D371" s="116"/>
      <c r="E371" s="130"/>
      <c r="F371" s="158"/>
      <c r="G371" s="217"/>
      <c r="H371" s="217"/>
      <c r="I371" s="217"/>
      <c r="J371" s="217"/>
      <c r="K371" s="217"/>
      <c r="L371" s="146"/>
      <c r="M371" s="146"/>
      <c r="N371" s="146"/>
      <c r="O371" s="217"/>
      <c r="P371" s="217"/>
      <c r="Q371" s="217"/>
      <c r="R371" s="217"/>
      <c r="S371" s="217"/>
      <c r="T371" s="217"/>
      <c r="U371" s="217"/>
      <c r="V371" s="217"/>
      <c r="W371" s="151"/>
      <c r="X371" s="151"/>
      <c r="Y371" s="151"/>
      <c r="Z371" s="219"/>
    </row>
    <row r="372" spans="1:26" s="218" customFormat="1" ht="18" hidden="1" customHeight="1" outlineLevel="2">
      <c r="A372" s="188">
        <v>99</v>
      </c>
      <c r="B372" s="116"/>
      <c r="C372" s="116"/>
      <c r="D372" s="116"/>
      <c r="E372" s="130"/>
      <c r="F372" s="158"/>
      <c r="G372" s="217"/>
      <c r="H372" s="217"/>
      <c r="I372" s="217"/>
      <c r="J372" s="217"/>
      <c r="K372" s="217"/>
      <c r="L372" s="146"/>
      <c r="M372" s="146"/>
      <c r="N372" s="146"/>
      <c r="O372" s="217"/>
      <c r="P372" s="217"/>
      <c r="Q372" s="217"/>
      <c r="R372" s="217"/>
      <c r="S372" s="217"/>
      <c r="T372" s="217"/>
      <c r="U372" s="217"/>
      <c r="V372" s="217"/>
      <c r="W372" s="151"/>
      <c r="X372" s="151"/>
      <c r="Y372" s="151"/>
      <c r="Z372" s="219"/>
    </row>
    <row r="373" spans="1:26" s="218" customFormat="1" ht="18" hidden="1" customHeight="1" outlineLevel="2">
      <c r="A373" s="188">
        <v>100</v>
      </c>
      <c r="B373" s="116"/>
      <c r="C373" s="116"/>
      <c r="D373" s="116"/>
      <c r="E373" s="130"/>
      <c r="F373" s="158"/>
      <c r="G373" s="217"/>
      <c r="H373" s="217"/>
      <c r="I373" s="217"/>
      <c r="J373" s="217"/>
      <c r="K373" s="217"/>
      <c r="L373" s="146"/>
      <c r="M373" s="146"/>
      <c r="N373" s="146"/>
      <c r="O373" s="217"/>
      <c r="P373" s="217"/>
      <c r="Q373" s="217"/>
      <c r="R373" s="217"/>
      <c r="S373" s="217"/>
      <c r="T373" s="217"/>
      <c r="U373" s="217"/>
      <c r="V373" s="217"/>
      <c r="W373" s="151"/>
      <c r="X373" s="151"/>
      <c r="Y373" s="151"/>
      <c r="Z373" s="219"/>
    </row>
    <row r="374" spans="1:26" s="218" customFormat="1" ht="18" hidden="1" customHeight="1" outlineLevel="2">
      <c r="A374" s="188">
        <v>101</v>
      </c>
      <c r="B374" s="116"/>
      <c r="C374" s="116"/>
      <c r="D374" s="116"/>
      <c r="E374" s="130"/>
      <c r="F374" s="158"/>
      <c r="G374" s="217"/>
      <c r="H374" s="217"/>
      <c r="I374" s="217"/>
      <c r="J374" s="217"/>
      <c r="K374" s="217"/>
      <c r="L374" s="146"/>
      <c r="M374" s="146"/>
      <c r="N374" s="146"/>
      <c r="O374" s="217"/>
      <c r="P374" s="217"/>
      <c r="Q374" s="217"/>
      <c r="R374" s="217"/>
      <c r="S374" s="217"/>
      <c r="T374" s="217"/>
      <c r="U374" s="217"/>
      <c r="V374" s="217"/>
      <c r="W374" s="151"/>
      <c r="X374" s="151"/>
      <c r="Y374" s="151"/>
      <c r="Z374" s="219"/>
    </row>
    <row r="375" spans="1:26" s="218" customFormat="1" ht="18" hidden="1" customHeight="1" outlineLevel="2">
      <c r="A375" s="188">
        <v>102</v>
      </c>
      <c r="B375" s="116"/>
      <c r="C375" s="116"/>
      <c r="D375" s="116"/>
      <c r="E375" s="130"/>
      <c r="F375" s="158"/>
      <c r="G375" s="217"/>
      <c r="H375" s="217"/>
      <c r="I375" s="217"/>
      <c r="J375" s="217"/>
      <c r="K375" s="217"/>
      <c r="L375" s="146"/>
      <c r="M375" s="146"/>
      <c r="N375" s="146"/>
      <c r="O375" s="217"/>
      <c r="P375" s="217"/>
      <c r="Q375" s="217"/>
      <c r="R375" s="217"/>
      <c r="S375" s="217"/>
      <c r="T375" s="217"/>
      <c r="U375" s="217"/>
      <c r="V375" s="217"/>
      <c r="W375" s="151"/>
      <c r="X375" s="151"/>
      <c r="Y375" s="151"/>
      <c r="Z375" s="219"/>
    </row>
    <row r="376" spans="1:26" s="218" customFormat="1" ht="18" hidden="1" customHeight="1" outlineLevel="2">
      <c r="A376" s="188">
        <v>103</v>
      </c>
      <c r="B376" s="116"/>
      <c r="C376" s="116"/>
      <c r="D376" s="116"/>
      <c r="E376" s="130"/>
      <c r="F376" s="158"/>
      <c r="G376" s="217"/>
      <c r="H376" s="216"/>
      <c r="I376" s="216"/>
      <c r="J376" s="216"/>
      <c r="K376" s="217"/>
      <c r="L376" s="146"/>
      <c r="M376" s="146"/>
      <c r="N376" s="146"/>
      <c r="O376" s="217"/>
      <c r="P376" s="217"/>
      <c r="Q376" s="217"/>
      <c r="R376" s="217"/>
      <c r="S376" s="217"/>
      <c r="T376" s="217"/>
      <c r="U376" s="217"/>
      <c r="V376" s="217"/>
      <c r="W376" s="138"/>
      <c r="X376" s="138"/>
      <c r="Y376" s="219"/>
      <c r="Z376" s="219"/>
    </row>
    <row r="377" spans="1:26" s="218" customFormat="1" ht="18" hidden="1" customHeight="1" outlineLevel="2">
      <c r="A377" s="188">
        <v>104</v>
      </c>
      <c r="B377" s="116"/>
      <c r="C377" s="116"/>
      <c r="D377" s="116"/>
      <c r="E377" s="130"/>
      <c r="F377" s="158"/>
      <c r="G377" s="217"/>
      <c r="H377" s="217"/>
      <c r="I377" s="217"/>
      <c r="J377" s="217"/>
      <c r="K377" s="217"/>
      <c r="L377" s="146"/>
      <c r="M377" s="146"/>
      <c r="N377" s="146"/>
      <c r="O377" s="217"/>
      <c r="P377" s="217"/>
      <c r="Q377" s="217"/>
      <c r="R377" s="217"/>
      <c r="S377" s="217"/>
      <c r="T377" s="217"/>
      <c r="U377" s="217"/>
      <c r="V377" s="217"/>
      <c r="W377" s="138"/>
      <c r="X377" s="138"/>
      <c r="Y377" s="219"/>
      <c r="Z377" s="219"/>
    </row>
    <row r="378" spans="1:26" s="218" customFormat="1" ht="18" hidden="1" customHeight="1" outlineLevel="2">
      <c r="A378" s="188">
        <v>105</v>
      </c>
      <c r="B378" s="116"/>
      <c r="C378" s="116"/>
      <c r="D378" s="116"/>
      <c r="E378" s="130"/>
      <c r="F378" s="158"/>
      <c r="G378" s="217"/>
      <c r="H378" s="217"/>
      <c r="I378" s="217"/>
      <c r="J378" s="217"/>
      <c r="K378" s="217"/>
      <c r="L378" s="146"/>
      <c r="M378" s="146"/>
      <c r="N378" s="146"/>
      <c r="O378" s="217"/>
      <c r="P378" s="217"/>
      <c r="Q378" s="217"/>
      <c r="R378" s="217"/>
      <c r="S378" s="217"/>
      <c r="T378" s="217"/>
      <c r="U378" s="217"/>
      <c r="V378" s="217"/>
      <c r="W378" s="151"/>
      <c r="X378" s="151"/>
      <c r="Y378" s="151"/>
      <c r="Z378" s="219"/>
    </row>
    <row r="379" spans="1:26" s="218" customFormat="1" ht="18" hidden="1" customHeight="1" outlineLevel="2">
      <c r="A379" s="188">
        <v>106</v>
      </c>
      <c r="B379" s="116"/>
      <c r="C379" s="116"/>
      <c r="D379" s="116"/>
      <c r="E379" s="130"/>
      <c r="F379" s="158"/>
      <c r="G379" s="217"/>
      <c r="H379" s="217"/>
      <c r="I379" s="217"/>
      <c r="J379" s="217"/>
      <c r="K379" s="217"/>
      <c r="L379" s="146"/>
      <c r="M379" s="146"/>
      <c r="N379" s="146"/>
      <c r="O379" s="217"/>
      <c r="P379" s="217"/>
      <c r="Q379" s="217"/>
      <c r="R379" s="217"/>
      <c r="S379" s="217"/>
      <c r="T379" s="217"/>
      <c r="U379" s="217"/>
      <c r="V379" s="217"/>
      <c r="W379" s="151"/>
      <c r="X379" s="151"/>
      <c r="Y379" s="151"/>
      <c r="Z379" s="219"/>
    </row>
    <row r="380" spans="1:26" s="218" customFormat="1" ht="18" hidden="1" customHeight="1" outlineLevel="2">
      <c r="A380" s="188">
        <v>107</v>
      </c>
      <c r="B380" s="116"/>
      <c r="C380" s="116"/>
      <c r="D380" s="116"/>
      <c r="E380" s="130"/>
      <c r="F380" s="158"/>
      <c r="G380" s="217"/>
      <c r="H380" s="216"/>
      <c r="I380" s="216"/>
      <c r="J380" s="216"/>
      <c r="K380" s="217"/>
      <c r="L380" s="146"/>
      <c r="M380" s="146"/>
      <c r="N380" s="146"/>
      <c r="O380" s="217"/>
      <c r="P380" s="217"/>
      <c r="Q380" s="217"/>
      <c r="R380" s="217"/>
      <c r="S380" s="217"/>
      <c r="T380" s="217"/>
      <c r="U380" s="217"/>
      <c r="V380" s="217"/>
      <c r="W380" s="138"/>
      <c r="X380" s="138"/>
      <c r="Y380" s="219"/>
      <c r="Z380" s="219"/>
    </row>
    <row r="381" spans="1:26" s="218" customFormat="1" ht="18" hidden="1" customHeight="1" outlineLevel="2">
      <c r="A381" s="188">
        <v>108</v>
      </c>
      <c r="B381" s="116"/>
      <c r="C381" s="116"/>
      <c r="D381" s="116"/>
      <c r="E381" s="130"/>
      <c r="F381" s="158"/>
      <c r="G381" s="217"/>
      <c r="H381" s="217"/>
      <c r="I381" s="217"/>
      <c r="J381" s="217"/>
      <c r="K381" s="217"/>
      <c r="L381" s="146"/>
      <c r="M381" s="146"/>
      <c r="N381" s="146"/>
      <c r="O381" s="217"/>
      <c r="P381" s="217"/>
      <c r="Q381" s="217"/>
      <c r="R381" s="217"/>
      <c r="S381" s="217"/>
      <c r="T381" s="217"/>
      <c r="U381" s="217"/>
      <c r="V381" s="217"/>
      <c r="W381" s="138"/>
      <c r="X381" s="138"/>
      <c r="Y381" s="219"/>
      <c r="Z381" s="219"/>
    </row>
    <row r="382" spans="1:26" s="218" customFormat="1" ht="18" hidden="1" customHeight="1" outlineLevel="2">
      <c r="A382" s="188">
        <v>109</v>
      </c>
      <c r="B382" s="116"/>
      <c r="C382" s="116"/>
      <c r="D382" s="116"/>
      <c r="E382" s="130"/>
      <c r="F382" s="158"/>
      <c r="G382" s="217"/>
      <c r="H382" s="217"/>
      <c r="I382" s="217"/>
      <c r="J382" s="217"/>
      <c r="K382" s="217"/>
      <c r="L382" s="146"/>
      <c r="M382" s="146"/>
      <c r="N382" s="146"/>
      <c r="O382" s="217"/>
      <c r="P382" s="217"/>
      <c r="Q382" s="217"/>
      <c r="R382" s="217"/>
      <c r="S382" s="217"/>
      <c r="T382" s="217"/>
      <c r="U382" s="217"/>
      <c r="V382" s="217"/>
      <c r="W382" s="151"/>
      <c r="X382" s="151"/>
      <c r="Y382" s="151"/>
      <c r="Z382" s="219"/>
    </row>
    <row r="383" spans="1:26" s="218" customFormat="1" ht="18" hidden="1" customHeight="1" outlineLevel="2">
      <c r="A383" s="188">
        <v>110</v>
      </c>
      <c r="B383" s="116"/>
      <c r="C383" s="116"/>
      <c r="D383" s="116"/>
      <c r="E383" s="130"/>
      <c r="F383" s="158"/>
      <c r="G383" s="217"/>
      <c r="H383" s="217"/>
      <c r="I383" s="217"/>
      <c r="J383" s="217"/>
      <c r="K383" s="217"/>
      <c r="L383" s="146"/>
      <c r="M383" s="146"/>
      <c r="N383" s="146"/>
      <c r="O383" s="217"/>
      <c r="P383" s="217"/>
      <c r="Q383" s="217"/>
      <c r="R383" s="217"/>
      <c r="S383" s="217"/>
      <c r="T383" s="217"/>
      <c r="U383" s="217"/>
      <c r="V383" s="217"/>
      <c r="W383" s="151"/>
      <c r="X383" s="151"/>
      <c r="Y383" s="151"/>
      <c r="Z383" s="219"/>
    </row>
    <row r="384" spans="1:26" s="218" customFormat="1" ht="18" hidden="1" customHeight="1" outlineLevel="1" collapsed="1">
      <c r="A384" s="188"/>
      <c r="B384" s="92"/>
      <c r="C384" s="93"/>
      <c r="D384" s="93"/>
      <c r="E384" s="206"/>
      <c r="F384" s="158"/>
      <c r="G384" s="217"/>
      <c r="H384" s="217"/>
      <c r="I384" s="217"/>
      <c r="J384" s="217"/>
      <c r="K384" s="217"/>
      <c r="L384" s="146"/>
      <c r="M384" s="146"/>
      <c r="N384" s="146"/>
      <c r="O384" s="217"/>
      <c r="P384" s="217"/>
      <c r="Q384" s="217"/>
      <c r="R384" s="217"/>
      <c r="S384" s="217"/>
      <c r="T384" s="217"/>
      <c r="U384" s="217"/>
      <c r="V384" s="217"/>
      <c r="W384" s="151"/>
      <c r="X384" s="151"/>
      <c r="Y384" s="151"/>
      <c r="Z384" s="219"/>
    </row>
    <row r="385" spans="1:52" s="218" customFormat="1" ht="18" customHeight="1" collapsed="1">
      <c r="A385" s="143"/>
      <c r="B385" s="201" t="s">
        <v>178</v>
      </c>
      <c r="C385" s="203"/>
      <c r="D385" s="263">
        <f>Logic!D386</f>
        <v>0</v>
      </c>
      <c r="E385" s="87"/>
      <c r="F385" s="159"/>
      <c r="G385" s="217"/>
      <c r="H385" s="217"/>
      <c r="I385" s="217"/>
      <c r="J385" s="217"/>
      <c r="K385" s="217"/>
      <c r="L385" s="217"/>
      <c r="M385" s="217"/>
      <c r="N385" s="217"/>
      <c r="O385" s="146"/>
      <c r="P385" s="146"/>
      <c r="Q385" s="146"/>
      <c r="R385" s="217"/>
      <c r="S385" s="217"/>
      <c r="T385" s="217"/>
      <c r="U385" s="217"/>
      <c r="V385" s="217"/>
      <c r="W385" s="217"/>
      <c r="X385" s="217"/>
      <c r="Y385" s="217"/>
      <c r="Z385" s="151"/>
      <c r="AA385" s="31"/>
      <c r="AB385" s="31"/>
    </row>
    <row r="386" spans="1:52" s="218" customFormat="1" ht="18" customHeight="1">
      <c r="A386" s="143"/>
      <c r="B386" s="201" t="s">
        <v>179</v>
      </c>
      <c r="C386" s="203"/>
      <c r="D386" s="263">
        <f>Logic!G387</f>
        <v>0</v>
      </c>
      <c r="E386" s="87"/>
      <c r="F386" s="221"/>
      <c r="G386" s="221"/>
      <c r="H386" s="216"/>
      <c r="I386" s="157"/>
      <c r="J386" s="157"/>
      <c r="K386" s="217"/>
      <c r="L386" s="217"/>
      <c r="M386" s="217"/>
      <c r="N386" s="217"/>
      <c r="O386" s="146"/>
      <c r="P386" s="146"/>
      <c r="Q386" s="146"/>
      <c r="R386" s="217"/>
      <c r="S386" s="217"/>
      <c r="T386" s="217"/>
      <c r="U386" s="217"/>
      <c r="V386" s="217"/>
      <c r="W386" s="217"/>
      <c r="X386" s="217"/>
      <c r="Y386" s="217"/>
      <c r="Z386" s="151"/>
      <c r="AA386" s="31"/>
      <c r="AB386" s="31"/>
    </row>
    <row r="387" spans="1:52" s="218" customFormat="1" ht="18" customHeight="1">
      <c r="A387" s="143"/>
      <c r="B387" s="201" t="s">
        <v>184</v>
      </c>
      <c r="C387" s="202"/>
      <c r="D387" s="203"/>
      <c r="E387" s="264" t="str">
        <f>Logic!E388</f>
        <v/>
      </c>
      <c r="F387" s="221"/>
      <c r="G387" s="221"/>
      <c r="H387" s="216"/>
      <c r="I387" s="157"/>
      <c r="J387" s="157"/>
      <c r="K387" s="217"/>
      <c r="L387" s="217"/>
      <c r="M387" s="217"/>
      <c r="N387" s="217"/>
      <c r="O387" s="146"/>
      <c r="P387" s="146"/>
      <c r="Q387" s="146"/>
      <c r="R387" s="217"/>
      <c r="S387" s="217"/>
      <c r="T387" s="217"/>
      <c r="U387" s="217"/>
      <c r="V387" s="217"/>
      <c r="W387" s="217"/>
      <c r="X387" s="217"/>
      <c r="Y387" s="217"/>
      <c r="Z387" s="151"/>
      <c r="AA387" s="31"/>
      <c r="AB387" s="31"/>
    </row>
    <row r="388" spans="1:52" s="218" customFormat="1" ht="18" customHeight="1">
      <c r="A388" s="143"/>
      <c r="B388" s="217"/>
      <c r="C388" s="216"/>
      <c r="D388" s="216"/>
      <c r="E388" s="216"/>
      <c r="F388" s="216"/>
      <c r="G388" s="216"/>
      <c r="H388" s="216"/>
      <c r="I388" s="216"/>
      <c r="J388" s="216"/>
      <c r="K388" s="217"/>
      <c r="L388" s="217"/>
      <c r="M388" s="217"/>
      <c r="N388" s="217"/>
      <c r="O388" s="146"/>
      <c r="P388" s="146"/>
      <c r="Q388" s="146"/>
      <c r="R388" s="217"/>
      <c r="S388" s="217"/>
      <c r="T388" s="217"/>
      <c r="U388" s="217"/>
      <c r="V388" s="217"/>
      <c r="W388" s="217"/>
      <c r="X388" s="217"/>
      <c r="Y388" s="217"/>
      <c r="Z388" s="151"/>
      <c r="AA388" s="31"/>
      <c r="AB388" s="31"/>
    </row>
    <row r="389" spans="1:52" s="218" customFormat="1" ht="18" customHeight="1">
      <c r="A389" s="143"/>
      <c r="B389" s="217"/>
      <c r="C389" s="216"/>
      <c r="D389" s="216"/>
      <c r="E389" s="216"/>
      <c r="F389" s="216"/>
      <c r="G389" s="216"/>
      <c r="H389" s="216"/>
      <c r="I389" s="216"/>
      <c r="J389" s="216"/>
      <c r="K389" s="217"/>
      <c r="L389" s="217"/>
      <c r="M389" s="217"/>
      <c r="N389" s="217"/>
      <c r="O389" s="146"/>
      <c r="P389" s="146"/>
      <c r="Q389" s="146"/>
      <c r="R389" s="217"/>
      <c r="S389" s="217"/>
      <c r="T389" s="217"/>
      <c r="U389" s="217"/>
      <c r="V389" s="217"/>
      <c r="W389" s="217"/>
      <c r="X389" s="217"/>
      <c r="Y389" s="217"/>
      <c r="Z389" s="151"/>
      <c r="AA389" s="31"/>
      <c r="AB389" s="31"/>
    </row>
    <row r="390" spans="1:52" ht="18" customHeight="1">
      <c r="A390" s="141"/>
      <c r="B390" s="89" t="s">
        <v>185</v>
      </c>
      <c r="C390" s="90"/>
      <c r="D390" s="90"/>
      <c r="E390" s="90"/>
      <c r="F390" s="90"/>
      <c r="G390" s="90"/>
      <c r="H390" s="91"/>
      <c r="I390" s="216"/>
      <c r="J390" s="216"/>
      <c r="K390" s="216"/>
      <c r="L390" s="217"/>
      <c r="M390" s="146"/>
      <c r="N390" s="146"/>
      <c r="O390" s="146"/>
      <c r="P390" s="146"/>
      <c r="Q390" s="146"/>
      <c r="R390" s="217"/>
      <c r="S390" s="217"/>
      <c r="T390" s="217"/>
      <c r="U390" s="217"/>
      <c r="V390" s="217"/>
      <c r="W390" s="217"/>
      <c r="X390" s="217"/>
      <c r="Y390" s="217"/>
      <c r="Z390" s="138"/>
      <c r="AA390" s="19"/>
      <c r="AB390" s="218"/>
      <c r="AC390" s="218"/>
      <c r="AD390" s="218"/>
      <c r="AE390" s="218"/>
      <c r="AF390" s="218"/>
      <c r="AG390" s="218"/>
      <c r="AH390" s="218"/>
      <c r="AI390" s="218"/>
      <c r="AJ390" s="218"/>
      <c r="AK390" s="218"/>
      <c r="AL390" s="218"/>
      <c r="AM390" s="218"/>
      <c r="AN390" s="218"/>
      <c r="AO390" s="218"/>
      <c r="AP390" s="218"/>
      <c r="AQ390" s="218"/>
      <c r="AR390" s="218"/>
      <c r="AS390" s="218"/>
      <c r="AT390" s="218"/>
      <c r="AU390" s="218"/>
      <c r="AV390" s="218"/>
      <c r="AW390" s="218"/>
      <c r="AX390" s="218"/>
      <c r="AY390" s="218"/>
      <c r="AZ390" s="218"/>
    </row>
    <row r="391" spans="1:52" ht="18" customHeight="1">
      <c r="A391" s="143"/>
      <c r="B391" s="217"/>
      <c r="C391" s="217"/>
      <c r="D391" s="217"/>
      <c r="E391" s="217"/>
      <c r="F391" s="217"/>
      <c r="G391" s="217"/>
      <c r="H391" s="217"/>
      <c r="I391" s="217"/>
      <c r="J391" s="217"/>
      <c r="K391" s="217"/>
      <c r="L391" s="217"/>
      <c r="M391" s="217"/>
      <c r="N391" s="217"/>
      <c r="O391" s="146"/>
      <c r="P391" s="146"/>
      <c r="Q391" s="146"/>
      <c r="R391" s="217"/>
      <c r="S391" s="217"/>
      <c r="T391" s="217"/>
      <c r="U391" s="217"/>
      <c r="V391" s="217"/>
      <c r="W391" s="217"/>
      <c r="X391" s="217"/>
      <c r="Y391" s="217"/>
      <c r="Z391" s="151"/>
      <c r="AA391" s="31"/>
      <c r="AB391" s="31"/>
      <c r="AC391" s="218"/>
      <c r="AD391" s="218"/>
      <c r="AE391" s="218"/>
      <c r="AF391" s="218"/>
      <c r="AG391" s="218"/>
      <c r="AH391" s="218"/>
      <c r="AI391" s="218"/>
      <c r="AJ391" s="218"/>
      <c r="AK391" s="218"/>
      <c r="AL391" s="218"/>
      <c r="AM391" s="218"/>
      <c r="AN391" s="218"/>
      <c r="AO391" s="218"/>
      <c r="AP391" s="218"/>
      <c r="AQ391" s="218"/>
      <c r="AR391" s="218"/>
      <c r="AS391" s="218"/>
      <c r="AT391" s="218"/>
      <c r="AU391" s="218"/>
      <c r="AV391" s="218"/>
      <c r="AW391" s="218"/>
      <c r="AX391" s="218"/>
      <c r="AY391" s="218"/>
      <c r="AZ391" s="218"/>
    </row>
    <row r="392" spans="1:52" ht="18" customHeight="1">
      <c r="A392" s="143"/>
      <c r="B392" s="210" t="s">
        <v>186</v>
      </c>
      <c r="C392" s="216"/>
      <c r="D392" s="216"/>
      <c r="E392" s="216"/>
      <c r="F392" s="216"/>
      <c r="G392" s="216"/>
      <c r="H392" s="216"/>
      <c r="I392" s="216"/>
      <c r="J392" s="216"/>
      <c r="K392" s="217"/>
      <c r="L392" s="217"/>
      <c r="M392" s="217"/>
      <c r="N392" s="217"/>
      <c r="O392" s="146"/>
      <c r="P392" s="146"/>
      <c r="Q392" s="146"/>
      <c r="R392" s="217"/>
      <c r="S392" s="217"/>
      <c r="T392" s="217"/>
      <c r="U392" s="217"/>
      <c r="V392" s="217"/>
      <c r="W392" s="217"/>
      <c r="X392" s="217"/>
      <c r="Y392" s="217"/>
      <c r="Z392" s="151"/>
      <c r="AA392" s="31"/>
      <c r="AB392" s="31"/>
      <c r="AC392" s="218"/>
      <c r="AD392" s="218"/>
      <c r="AE392" s="218"/>
      <c r="AF392" s="218"/>
      <c r="AG392" s="218"/>
      <c r="AH392" s="218"/>
      <c r="AI392" s="218"/>
      <c r="AJ392" s="218"/>
      <c r="AK392" s="218"/>
      <c r="AL392" s="218"/>
      <c r="AM392" s="218"/>
      <c r="AN392" s="218"/>
      <c r="AO392" s="218"/>
      <c r="AP392" s="218"/>
      <c r="AQ392" s="218"/>
      <c r="AR392" s="218"/>
      <c r="AS392" s="218"/>
      <c r="AT392" s="218"/>
      <c r="AU392" s="218"/>
      <c r="AV392" s="218"/>
      <c r="AW392" s="218"/>
      <c r="AX392" s="218"/>
      <c r="AY392" s="218"/>
      <c r="AZ392" s="218"/>
    </row>
    <row r="393" spans="1:52" ht="18" customHeight="1">
      <c r="A393" s="143"/>
      <c r="B393" s="216"/>
      <c r="C393" s="216"/>
      <c r="D393" s="216"/>
      <c r="E393" s="216"/>
      <c r="F393" s="216"/>
      <c r="G393" s="216"/>
      <c r="H393" s="216"/>
      <c r="I393" s="216"/>
      <c r="J393" s="216"/>
      <c r="K393" s="217"/>
      <c r="L393" s="217"/>
      <c r="M393" s="217"/>
      <c r="N393" s="217"/>
      <c r="O393" s="146"/>
      <c r="P393" s="146"/>
      <c r="Q393" s="146"/>
      <c r="R393" s="217"/>
      <c r="S393" s="217"/>
      <c r="T393" s="217"/>
      <c r="U393" s="217"/>
      <c r="V393" s="217"/>
      <c r="W393" s="217"/>
      <c r="X393" s="217"/>
      <c r="Y393" s="217"/>
      <c r="Z393" s="151"/>
      <c r="AA393" s="31"/>
      <c r="AB393" s="31"/>
      <c r="AC393" s="218"/>
      <c r="AD393" s="218"/>
      <c r="AE393" s="218"/>
      <c r="AF393" s="218"/>
      <c r="AG393" s="218"/>
      <c r="AH393" s="218"/>
      <c r="AI393" s="218"/>
      <c r="AJ393" s="218"/>
      <c r="AK393" s="218"/>
      <c r="AL393" s="218"/>
      <c r="AM393" s="218"/>
      <c r="AN393" s="218"/>
      <c r="AO393" s="218"/>
      <c r="AP393" s="218"/>
      <c r="AQ393" s="218"/>
      <c r="AR393" s="218"/>
      <c r="AS393" s="218"/>
      <c r="AT393" s="218"/>
      <c r="AU393" s="218"/>
      <c r="AV393" s="218"/>
      <c r="AW393" s="218"/>
      <c r="AX393" s="218"/>
      <c r="AY393" s="218"/>
      <c r="AZ393" s="218"/>
    </row>
    <row r="394" spans="1:52" s="193" customFormat="1" ht="18" customHeight="1">
      <c r="A394" s="189"/>
      <c r="B394" s="190" t="s">
        <v>187</v>
      </c>
      <c r="C394" s="190"/>
      <c r="D394" s="191"/>
      <c r="E394" s="191"/>
      <c r="F394" s="191"/>
      <c r="G394" s="191"/>
      <c r="H394" s="191"/>
      <c r="I394" s="191"/>
      <c r="J394" s="191"/>
      <c r="K394" s="191"/>
      <c r="L394" s="191"/>
      <c r="M394" s="191"/>
      <c r="N394" s="191"/>
      <c r="O394" s="191"/>
      <c r="P394" s="191"/>
      <c r="Q394" s="191"/>
      <c r="R394" s="191"/>
      <c r="S394" s="191"/>
      <c r="T394" s="191"/>
      <c r="U394" s="191"/>
      <c r="V394" s="191"/>
      <c r="W394" s="191"/>
      <c r="X394" s="191"/>
      <c r="Y394" s="192"/>
      <c r="Z394" s="192"/>
      <c r="AA394" s="192"/>
      <c r="AB394" s="192"/>
      <c r="AC394" s="192"/>
      <c r="AD394" s="192"/>
      <c r="AE394" s="192"/>
      <c r="AF394" s="192"/>
      <c r="AG394" s="192"/>
      <c r="AH394" s="192"/>
      <c r="AI394" s="192"/>
      <c r="AJ394" s="192"/>
      <c r="AK394" s="192"/>
      <c r="AL394" s="192"/>
      <c r="AM394" s="192"/>
      <c r="AN394" s="192"/>
      <c r="AO394" s="192"/>
      <c r="AP394" s="192"/>
      <c r="AQ394" s="192"/>
      <c r="AR394" s="192"/>
      <c r="AS394" s="192"/>
      <c r="AT394" s="192"/>
      <c r="AU394" s="192"/>
      <c r="AV394" s="192"/>
      <c r="AW394" s="192"/>
      <c r="AX394" s="192"/>
      <c r="AY394" s="192"/>
      <c r="AZ394" s="192"/>
    </row>
    <row r="395" spans="1:52" ht="18" customHeight="1">
      <c r="A395" s="143"/>
      <c r="B395" s="132" t="s">
        <v>188</v>
      </c>
      <c r="C395" s="133"/>
      <c r="D395" s="133"/>
      <c r="E395" s="133"/>
      <c r="F395" s="134"/>
      <c r="G395" s="216"/>
      <c r="H395" s="217"/>
      <c r="I395" s="217"/>
      <c r="J395" s="217"/>
      <c r="K395" s="217"/>
      <c r="L395" s="217"/>
      <c r="M395" s="217"/>
      <c r="N395" s="146"/>
      <c r="O395" s="146"/>
      <c r="P395" s="146"/>
      <c r="Q395" s="217"/>
      <c r="R395" s="217"/>
      <c r="S395" s="217"/>
      <c r="T395" s="217"/>
      <c r="U395" s="217"/>
      <c r="V395" s="217"/>
      <c r="W395" s="217"/>
      <c r="X395" s="217"/>
      <c r="Y395" s="151"/>
      <c r="Z395" s="151"/>
      <c r="AA395" s="31"/>
      <c r="AB395" s="218"/>
      <c r="AC395" s="218"/>
      <c r="AD395" s="218"/>
      <c r="AE395" s="218"/>
      <c r="AF395" s="218"/>
      <c r="AG395" s="218"/>
      <c r="AH395" s="218"/>
      <c r="AI395" s="218"/>
      <c r="AJ395" s="218"/>
      <c r="AK395" s="218"/>
      <c r="AL395" s="218"/>
      <c r="AM395" s="218"/>
      <c r="AN395" s="218"/>
      <c r="AO395" s="218"/>
      <c r="AP395" s="218"/>
      <c r="AQ395" s="218"/>
      <c r="AR395" s="218"/>
      <c r="AS395" s="218"/>
      <c r="AT395" s="218"/>
      <c r="AU395" s="218"/>
      <c r="AV395" s="218"/>
      <c r="AW395" s="218"/>
      <c r="AX395" s="218"/>
      <c r="AY395" s="218"/>
      <c r="AZ395" s="218"/>
    </row>
    <row r="396" spans="1:52" ht="18" customHeight="1">
      <c r="A396" s="143"/>
      <c r="B396" s="330" t="s">
        <v>189</v>
      </c>
      <c r="C396" s="330"/>
      <c r="D396" s="330" t="s">
        <v>190</v>
      </c>
      <c r="E396" s="330"/>
      <c r="F396" s="333" t="s">
        <v>191</v>
      </c>
      <c r="G396" s="216"/>
      <c r="H396" s="217"/>
      <c r="I396" s="217"/>
      <c r="J396" s="217"/>
      <c r="K396" s="217"/>
      <c r="L396" s="217"/>
      <c r="M396" s="217"/>
      <c r="N396" s="146"/>
      <c r="O396" s="146"/>
      <c r="P396" s="146"/>
      <c r="Q396" s="217"/>
      <c r="R396" s="217"/>
      <c r="S396" s="217"/>
      <c r="T396" s="217"/>
      <c r="U396" s="217"/>
      <c r="V396" s="217"/>
      <c r="W396" s="217"/>
      <c r="X396" s="217"/>
      <c r="Y396" s="151"/>
      <c r="Z396" s="151"/>
      <c r="AA396" s="31"/>
      <c r="AB396" s="218"/>
      <c r="AC396" s="218"/>
      <c r="AD396" s="218"/>
      <c r="AE396" s="218"/>
      <c r="AF396" s="218"/>
      <c r="AG396" s="218"/>
      <c r="AH396" s="218"/>
      <c r="AI396" s="218"/>
      <c r="AJ396" s="218"/>
      <c r="AK396" s="218"/>
      <c r="AL396" s="218"/>
      <c r="AM396" s="218"/>
      <c r="AN396" s="218"/>
      <c r="AO396" s="218"/>
      <c r="AP396" s="218"/>
      <c r="AQ396" s="218"/>
      <c r="AR396" s="218"/>
      <c r="AS396" s="218"/>
      <c r="AT396" s="218"/>
      <c r="AU396" s="218"/>
      <c r="AV396" s="218"/>
      <c r="AW396" s="218"/>
      <c r="AX396" s="218"/>
      <c r="AY396" s="218"/>
      <c r="AZ396" s="218"/>
    </row>
    <row r="397" spans="1:52" ht="18" customHeight="1">
      <c r="A397" s="143"/>
      <c r="B397" s="336" t="str">
        <f>_xlfn.CONCAT("Sum of the System Peak Heating Loads ",IF(units="IP","(Btuh)","(W)"))</f>
        <v>Sum of the System Peak Heating Loads (W)</v>
      </c>
      <c r="C397" s="336" t="str">
        <f>_xlfn.CONCAT("Sum of the System Peak Cooling Loads ",IF(units="IP","(Btuh)","(W)"))</f>
        <v>Sum of the System Peak Cooling Loads (W)</v>
      </c>
      <c r="D397" s="336" t="str">
        <f>_xlfn.CONCAT("Sum of the System Peak Heating Loads ",IF(units="IP","(Btuh)","(W)"))</f>
        <v>Sum of the System Peak Heating Loads (W)</v>
      </c>
      <c r="E397" s="336" t="str">
        <f>_xlfn.CONCAT("Sum of the System Peak Cooling Loads ",IF(units="IP","(Btuh)","(W)"))</f>
        <v>Sum of the System Peak Cooling Loads (W)</v>
      </c>
      <c r="F397" s="334"/>
      <c r="G397" s="216"/>
      <c r="H397" s="217"/>
      <c r="I397" s="217"/>
      <c r="J397" s="217"/>
      <c r="K397" s="217"/>
      <c r="L397" s="217"/>
      <c r="M397" s="217"/>
      <c r="N397" s="146"/>
      <c r="O397" s="146"/>
      <c r="P397" s="217"/>
      <c r="Q397" s="217"/>
      <c r="R397" s="217"/>
      <c r="S397" s="217"/>
      <c r="T397" s="217"/>
      <c r="U397" s="217"/>
      <c r="V397" s="217"/>
      <c r="W397" s="217"/>
      <c r="X397" s="217"/>
      <c r="Y397" s="151"/>
      <c r="Z397" s="151"/>
      <c r="AA397" s="31"/>
      <c r="AB397" s="218"/>
      <c r="AC397" s="218"/>
      <c r="AD397" s="218"/>
      <c r="AE397" s="218"/>
      <c r="AF397" s="218"/>
      <c r="AG397" s="218"/>
      <c r="AH397" s="218"/>
      <c r="AI397" s="218"/>
      <c r="AJ397" s="218"/>
      <c r="AK397" s="218"/>
      <c r="AL397" s="218"/>
      <c r="AM397" s="218"/>
      <c r="AN397" s="218"/>
      <c r="AO397" s="218"/>
      <c r="AP397" s="218"/>
      <c r="AQ397" s="218"/>
      <c r="AR397" s="218"/>
      <c r="AS397" s="218"/>
      <c r="AT397" s="218"/>
      <c r="AU397" s="218"/>
      <c r="AV397" s="218"/>
      <c r="AW397" s="218"/>
      <c r="AX397" s="218"/>
      <c r="AY397" s="218"/>
      <c r="AZ397" s="218"/>
    </row>
    <row r="398" spans="1:52" ht="18" customHeight="1">
      <c r="A398" s="143"/>
      <c r="B398" s="336"/>
      <c r="C398" s="336"/>
      <c r="D398" s="336"/>
      <c r="E398" s="336"/>
      <c r="F398" s="322"/>
      <c r="G398" s="216"/>
      <c r="H398" s="217"/>
      <c r="I398" s="217"/>
      <c r="J398" s="217"/>
      <c r="K398" s="217"/>
      <c r="L398" s="217"/>
      <c r="M398" s="217"/>
      <c r="N398" s="146"/>
      <c r="O398" s="146"/>
      <c r="P398" s="217"/>
      <c r="Q398" s="217"/>
      <c r="R398" s="217"/>
      <c r="S398" s="217"/>
      <c r="T398" s="217"/>
      <c r="U398" s="217"/>
      <c r="V398" s="217"/>
      <c r="W398" s="217"/>
      <c r="X398" s="217"/>
      <c r="Y398" s="151"/>
      <c r="Z398" s="151"/>
      <c r="AA398" s="31"/>
      <c r="AB398" s="218"/>
      <c r="AC398" s="218"/>
      <c r="AD398" s="218"/>
      <c r="AE398" s="218"/>
      <c r="AF398" s="218"/>
      <c r="AG398" s="218"/>
      <c r="AH398" s="218"/>
      <c r="AI398" s="218"/>
      <c r="AJ398" s="218"/>
      <c r="AK398" s="218"/>
      <c r="AL398" s="218"/>
      <c r="AM398" s="218"/>
      <c r="AN398" s="218"/>
      <c r="AO398" s="218"/>
      <c r="AP398" s="218"/>
      <c r="AQ398" s="218"/>
      <c r="AR398" s="218"/>
      <c r="AS398" s="218"/>
      <c r="AT398" s="218"/>
      <c r="AU398" s="218"/>
      <c r="AV398" s="218"/>
      <c r="AW398" s="218"/>
      <c r="AX398" s="218"/>
      <c r="AY398" s="218"/>
      <c r="AZ398" s="218"/>
    </row>
    <row r="399" spans="1:52" ht="18" customHeight="1">
      <c r="A399" s="143"/>
      <c r="B399" s="215"/>
      <c r="C399" s="215"/>
      <c r="D399" s="215"/>
      <c r="E399" s="215"/>
      <c r="F399" s="212">
        <f>envelopeLoadsReduction</f>
        <v>0</v>
      </c>
      <c r="G399" s="216"/>
      <c r="H399" s="217"/>
      <c r="I399" s="217"/>
      <c r="J399" s="217"/>
      <c r="K399" s="217"/>
      <c r="L399" s="217"/>
      <c r="M399" s="217"/>
      <c r="N399" s="146"/>
      <c r="O399" s="146"/>
      <c r="P399" s="217"/>
      <c r="Q399" s="217"/>
      <c r="R399" s="217"/>
      <c r="S399" s="217"/>
      <c r="T399" s="217"/>
      <c r="U399" s="217"/>
      <c r="V399" s="217"/>
      <c r="W399" s="217"/>
      <c r="X399" s="217"/>
      <c r="Y399" s="151"/>
      <c r="Z399" s="151"/>
      <c r="AA399" s="31"/>
      <c r="AB399" s="218"/>
      <c r="AC399" s="218"/>
      <c r="AD399" s="218"/>
      <c r="AE399" s="218"/>
      <c r="AF399" s="218"/>
      <c r="AG399" s="218"/>
      <c r="AH399" s="218"/>
      <c r="AI399" s="218"/>
      <c r="AJ399" s="218"/>
      <c r="AK399" s="218"/>
      <c r="AL399" s="218"/>
      <c r="AM399" s="218"/>
      <c r="AN399" s="218"/>
      <c r="AO399" s="218"/>
      <c r="AP399" s="218"/>
      <c r="AQ399" s="218"/>
      <c r="AR399" s="218"/>
      <c r="AS399" s="218"/>
      <c r="AT399" s="218"/>
      <c r="AU399" s="218"/>
      <c r="AV399" s="218"/>
      <c r="AW399" s="218"/>
      <c r="AX399" s="218"/>
      <c r="AY399" s="218"/>
      <c r="AZ399" s="218"/>
    </row>
    <row r="400" spans="1:52" ht="18" customHeight="1">
      <c r="A400" s="143"/>
      <c r="B400" s="216"/>
      <c r="C400" s="216"/>
      <c r="D400" s="216"/>
      <c r="E400" s="216"/>
      <c r="F400" s="216"/>
      <c r="G400" s="216"/>
      <c r="H400" s="217"/>
      <c r="I400" s="217"/>
      <c r="J400" s="217"/>
      <c r="K400" s="217"/>
      <c r="L400" s="217"/>
      <c r="M400" s="217"/>
      <c r="N400" s="217"/>
      <c r="O400" s="146"/>
      <c r="P400" s="146"/>
      <c r="Q400" s="146"/>
      <c r="R400" s="217"/>
      <c r="S400" s="217"/>
      <c r="T400" s="217"/>
      <c r="U400" s="217"/>
      <c r="V400" s="217"/>
      <c r="W400" s="217"/>
      <c r="X400" s="217"/>
      <c r="Y400" s="217"/>
      <c r="Z400" s="151"/>
      <c r="AA400" s="31"/>
      <c r="AB400" s="31"/>
      <c r="AC400" s="218"/>
      <c r="AD400" s="218"/>
      <c r="AE400" s="218"/>
      <c r="AF400" s="218"/>
      <c r="AG400" s="218"/>
      <c r="AH400" s="218"/>
      <c r="AI400" s="218"/>
      <c r="AJ400" s="218"/>
      <c r="AK400" s="218"/>
      <c r="AL400" s="218"/>
      <c r="AM400" s="218"/>
      <c r="AN400" s="218"/>
      <c r="AO400" s="218"/>
      <c r="AP400" s="218"/>
      <c r="AQ400" s="218"/>
      <c r="AR400" s="218"/>
      <c r="AS400" s="218"/>
      <c r="AT400" s="218"/>
      <c r="AU400" s="218"/>
      <c r="AV400" s="218"/>
      <c r="AW400" s="218"/>
      <c r="AX400" s="218"/>
      <c r="AY400" s="218"/>
      <c r="AZ400" s="218"/>
    </row>
    <row r="401" spans="1:52" ht="18" customHeight="1">
      <c r="A401" s="141"/>
      <c r="B401" s="190" t="s">
        <v>192</v>
      </c>
      <c r="C401" s="216"/>
      <c r="D401" s="216"/>
      <c r="E401" s="216"/>
      <c r="F401" s="216"/>
      <c r="G401" s="216"/>
      <c r="H401" s="217"/>
      <c r="I401" s="217"/>
      <c r="J401" s="217"/>
      <c r="K401" s="216"/>
      <c r="L401" s="216"/>
      <c r="M401" s="216"/>
      <c r="N401" s="217"/>
      <c r="O401" s="146"/>
      <c r="P401" s="146"/>
      <c r="Q401" s="146"/>
      <c r="R401" s="217"/>
      <c r="S401" s="217"/>
      <c r="T401" s="217"/>
      <c r="U401" s="217"/>
      <c r="V401" s="217"/>
      <c r="W401" s="217"/>
      <c r="X401" s="217"/>
      <c r="Y401" s="217"/>
      <c r="Z401" s="138"/>
      <c r="AA401" s="19"/>
      <c r="AB401" s="218"/>
      <c r="AC401" s="218"/>
      <c r="AD401" s="218"/>
      <c r="AE401" s="218"/>
      <c r="AF401" s="218"/>
      <c r="AG401" s="218"/>
      <c r="AH401" s="218"/>
      <c r="AI401" s="218"/>
      <c r="AJ401" s="218"/>
      <c r="AK401" s="218"/>
      <c r="AL401" s="218"/>
      <c r="AM401" s="218"/>
      <c r="AN401" s="218"/>
      <c r="AO401" s="218"/>
      <c r="AP401" s="218"/>
      <c r="AQ401" s="218"/>
      <c r="AR401" s="218"/>
      <c r="AS401" s="218"/>
      <c r="AT401" s="218"/>
      <c r="AU401" s="218"/>
      <c r="AV401" s="218"/>
      <c r="AW401" s="218"/>
      <c r="AX401" s="218"/>
      <c r="AY401" s="218"/>
      <c r="AZ401" s="218"/>
    </row>
    <row r="402" spans="1:52" ht="18" customHeight="1">
      <c r="A402" s="143"/>
      <c r="B402" s="216"/>
      <c r="C402" s="216"/>
      <c r="D402" s="216"/>
      <c r="E402" s="216"/>
      <c r="F402" s="216"/>
      <c r="G402" s="216"/>
      <c r="H402" s="217"/>
      <c r="I402" s="217"/>
      <c r="J402" s="217"/>
      <c r="K402" s="217"/>
      <c r="L402" s="217"/>
      <c r="M402" s="217"/>
      <c r="N402" s="217"/>
      <c r="O402" s="146"/>
      <c r="P402" s="146"/>
      <c r="Q402" s="146"/>
      <c r="R402" s="217"/>
      <c r="S402" s="217"/>
      <c r="T402" s="217"/>
      <c r="U402" s="217"/>
      <c r="V402" s="217"/>
      <c r="W402" s="217"/>
      <c r="X402" s="217"/>
      <c r="Y402" s="217"/>
      <c r="Z402" s="151"/>
      <c r="AA402" s="31"/>
      <c r="AB402" s="31"/>
      <c r="AC402" s="218"/>
      <c r="AD402" s="218"/>
      <c r="AE402" s="218"/>
      <c r="AF402" s="218"/>
      <c r="AG402" s="218"/>
      <c r="AH402" s="218"/>
      <c r="AI402" s="218"/>
      <c r="AJ402" s="218"/>
      <c r="AK402" s="218"/>
      <c r="AL402" s="218"/>
      <c r="AM402" s="218"/>
      <c r="AN402" s="218"/>
      <c r="AO402" s="218"/>
      <c r="AP402" s="218"/>
      <c r="AQ402" s="218"/>
      <c r="AR402" s="218"/>
      <c r="AS402" s="218"/>
      <c r="AT402" s="218"/>
      <c r="AU402" s="218"/>
      <c r="AV402" s="218"/>
      <c r="AW402" s="218"/>
      <c r="AX402" s="218"/>
      <c r="AY402" s="218"/>
      <c r="AZ402" s="218"/>
    </row>
    <row r="403" spans="1:52" s="193" customFormat="1" ht="18" customHeight="1">
      <c r="A403" s="189"/>
      <c r="B403" s="190" t="s">
        <v>193</v>
      </c>
      <c r="C403" s="190"/>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2"/>
      <c r="Z403" s="192"/>
      <c r="AA403" s="192"/>
      <c r="AB403" s="192"/>
      <c r="AC403" s="192"/>
      <c r="AD403" s="192"/>
      <c r="AE403" s="192"/>
      <c r="AF403" s="192"/>
      <c r="AG403" s="192"/>
      <c r="AH403" s="192"/>
      <c r="AI403" s="192"/>
      <c r="AJ403" s="192"/>
      <c r="AK403" s="192"/>
      <c r="AL403" s="192"/>
      <c r="AM403" s="192"/>
      <c r="AN403" s="192"/>
      <c r="AO403" s="192"/>
      <c r="AP403" s="192"/>
      <c r="AQ403" s="192"/>
      <c r="AR403" s="192"/>
      <c r="AS403" s="192"/>
      <c r="AT403" s="192"/>
      <c r="AU403" s="192"/>
      <c r="AV403" s="192"/>
      <c r="AW403" s="192"/>
      <c r="AX403" s="192"/>
      <c r="AY403" s="192"/>
      <c r="AZ403" s="192"/>
    </row>
    <row r="404" spans="1:52" ht="18" customHeight="1">
      <c r="A404" s="143"/>
      <c r="B404" s="201" t="s">
        <v>194</v>
      </c>
      <c r="C404" s="133"/>
      <c r="D404" s="133"/>
      <c r="E404" s="133"/>
      <c r="F404" s="133"/>
      <c r="G404" s="134"/>
      <c r="H404" s="217"/>
      <c r="I404" s="217"/>
      <c r="J404" s="217"/>
      <c r="K404" s="217"/>
      <c r="L404" s="217"/>
      <c r="M404" s="217"/>
      <c r="N404" s="146"/>
      <c r="O404" s="146"/>
      <c r="P404" s="146"/>
      <c r="Q404" s="217"/>
      <c r="R404" s="217"/>
      <c r="S404" s="217"/>
      <c r="T404" s="217"/>
      <c r="U404" s="217"/>
      <c r="V404" s="217"/>
      <c r="W404" s="217"/>
      <c r="X404" s="217"/>
      <c r="Y404" s="151"/>
      <c r="Z404" s="151"/>
      <c r="AA404" s="31"/>
      <c r="AB404" s="218"/>
      <c r="AC404" s="218"/>
      <c r="AD404" s="218"/>
      <c r="AE404" s="218"/>
      <c r="AF404" s="218"/>
      <c r="AG404" s="218"/>
      <c r="AH404" s="218"/>
      <c r="AI404" s="218"/>
      <c r="AJ404" s="218"/>
      <c r="AK404" s="218"/>
      <c r="AL404" s="218"/>
      <c r="AM404" s="218"/>
      <c r="AN404" s="218"/>
      <c r="AO404" s="218"/>
      <c r="AP404" s="218"/>
      <c r="AQ404" s="218"/>
      <c r="AR404" s="218"/>
      <c r="AS404" s="218"/>
      <c r="AT404" s="218"/>
      <c r="AU404" s="218"/>
      <c r="AV404" s="218"/>
      <c r="AW404" s="218"/>
      <c r="AX404" s="218"/>
      <c r="AY404" s="218"/>
      <c r="AZ404" s="218"/>
    </row>
    <row r="405" spans="1:52" ht="18" customHeight="1">
      <c r="A405" s="143"/>
      <c r="B405" s="330" t="s">
        <v>195</v>
      </c>
      <c r="C405" s="330"/>
      <c r="D405" s="331" t="s">
        <v>196</v>
      </c>
      <c r="E405" s="332"/>
      <c r="F405" s="333" t="s">
        <v>197</v>
      </c>
      <c r="G405" s="333" t="s">
        <v>198</v>
      </c>
      <c r="H405" s="217"/>
      <c r="I405" s="217"/>
      <c r="J405" s="217"/>
      <c r="K405" s="217"/>
      <c r="L405" s="217"/>
      <c r="M405" s="217"/>
      <c r="N405" s="217"/>
      <c r="O405" s="146"/>
      <c r="P405" s="146"/>
      <c r="Q405" s="146"/>
      <c r="R405" s="217"/>
      <c r="S405" s="217"/>
      <c r="T405" s="217"/>
      <c r="U405" s="217"/>
      <c r="V405" s="217"/>
      <c r="W405" s="217"/>
      <c r="X405" s="217"/>
      <c r="Y405" s="217"/>
      <c r="Z405" s="151"/>
      <c r="AA405" s="31"/>
      <c r="AB405" s="31"/>
      <c r="AC405" s="218"/>
      <c r="AD405" s="218"/>
      <c r="AE405" s="218"/>
      <c r="AF405" s="218"/>
      <c r="AG405" s="218"/>
      <c r="AH405" s="218"/>
      <c r="AI405" s="218"/>
      <c r="AJ405" s="218"/>
      <c r="AK405" s="218"/>
      <c r="AL405" s="218"/>
      <c r="AM405" s="218"/>
      <c r="AN405" s="218"/>
      <c r="AO405" s="218"/>
      <c r="AP405" s="218"/>
      <c r="AQ405" s="218"/>
      <c r="AR405" s="218"/>
      <c r="AS405" s="218"/>
      <c r="AT405" s="218"/>
      <c r="AU405" s="218"/>
      <c r="AV405" s="218"/>
      <c r="AW405" s="218"/>
      <c r="AX405" s="218"/>
      <c r="AY405" s="218"/>
      <c r="AZ405" s="218"/>
    </row>
    <row r="406" spans="1:52" ht="18" customHeight="1">
      <c r="A406" s="143"/>
      <c r="B406" s="336" t="str">
        <f>_xlfn.CONCAT("Peak Heating Coincident ",IF(units="IP","(Btuh)","(W)"))</f>
        <v>Peak Heating Coincident (W)</v>
      </c>
      <c r="C406" s="336" t="str">
        <f>_xlfn.CONCAT("Peak Cooling Coincident ",IF(units="IP","(Btuh)","(W)"))</f>
        <v>Peak Cooling Coincident (W)</v>
      </c>
      <c r="D406" s="336" t="str">
        <f>_xlfn.CONCAT("Peak Heating Coincident ",IF(units="IP","(Btuh)","(W)"))</f>
        <v>Peak Heating Coincident (W)</v>
      </c>
      <c r="E406" s="336" t="str">
        <f>_xlfn.CONCAT("Peak Cooling Coincident ",IF(units="IP","(Btuh)","(W)"))</f>
        <v>Peak Cooling Coincident (W)</v>
      </c>
      <c r="F406" s="334"/>
      <c r="G406" s="334"/>
      <c r="H406" s="217"/>
      <c r="I406" s="217"/>
      <c r="J406" s="217"/>
      <c r="K406" s="217"/>
      <c r="L406" s="217"/>
      <c r="M406" s="217"/>
      <c r="N406" s="217"/>
      <c r="O406" s="146"/>
      <c r="P406" s="146"/>
      <c r="Q406" s="146"/>
      <c r="R406" s="217"/>
      <c r="S406" s="217"/>
      <c r="T406" s="217"/>
      <c r="U406" s="217"/>
      <c r="V406" s="217"/>
      <c r="W406" s="217"/>
      <c r="X406" s="217"/>
      <c r="Y406" s="217"/>
      <c r="Z406" s="151"/>
      <c r="AA406" s="31"/>
      <c r="AB406" s="31"/>
      <c r="AC406" s="218"/>
      <c r="AD406" s="218"/>
      <c r="AE406" s="218"/>
      <c r="AF406" s="218"/>
      <c r="AG406" s="218"/>
      <c r="AH406" s="218"/>
      <c r="AI406" s="218"/>
      <c r="AJ406" s="218"/>
      <c r="AK406" s="218"/>
      <c r="AL406" s="218"/>
      <c r="AM406" s="218"/>
      <c r="AN406" s="218"/>
      <c r="AO406" s="218"/>
      <c r="AP406" s="218"/>
      <c r="AQ406" s="218"/>
      <c r="AR406" s="218"/>
      <c r="AS406" s="218"/>
      <c r="AT406" s="218"/>
      <c r="AU406" s="218"/>
      <c r="AV406" s="218"/>
      <c r="AW406" s="218"/>
      <c r="AX406" s="218"/>
      <c r="AY406" s="218"/>
      <c r="AZ406" s="218"/>
    </row>
    <row r="407" spans="1:52" ht="18" customHeight="1">
      <c r="A407" s="143"/>
      <c r="B407" s="336"/>
      <c r="C407" s="336"/>
      <c r="D407" s="336"/>
      <c r="E407" s="336"/>
      <c r="F407" s="322"/>
      <c r="G407" s="322"/>
      <c r="H407" s="217"/>
      <c r="I407" s="217"/>
      <c r="J407" s="217"/>
      <c r="K407" s="217"/>
      <c r="L407" s="217"/>
      <c r="M407" s="217"/>
      <c r="N407" s="217"/>
      <c r="O407" s="146"/>
      <c r="P407" s="146"/>
      <c r="Q407" s="146"/>
      <c r="R407" s="217"/>
      <c r="S407" s="217"/>
      <c r="T407" s="217"/>
      <c r="U407" s="217"/>
      <c r="V407" s="217"/>
      <c r="W407" s="217"/>
      <c r="X407" s="217"/>
      <c r="Y407" s="217"/>
      <c r="Z407" s="151"/>
      <c r="AA407" s="31"/>
      <c r="AB407" s="31"/>
      <c r="AC407" s="218"/>
      <c r="AD407" s="218"/>
      <c r="AE407" s="218"/>
      <c r="AF407" s="218"/>
      <c r="AG407" s="218"/>
      <c r="AH407" s="218"/>
      <c r="AI407" s="218"/>
      <c r="AJ407" s="218"/>
      <c r="AK407" s="218"/>
      <c r="AL407" s="218"/>
      <c r="AM407" s="218"/>
      <c r="AN407" s="218"/>
      <c r="AO407" s="218"/>
      <c r="AP407" s="218"/>
      <c r="AQ407" s="218"/>
      <c r="AR407" s="218"/>
      <c r="AS407" s="218"/>
      <c r="AT407" s="218"/>
      <c r="AU407" s="218"/>
      <c r="AV407" s="218"/>
      <c r="AW407" s="218"/>
      <c r="AX407" s="218"/>
      <c r="AY407" s="218"/>
      <c r="AZ407" s="218"/>
    </row>
    <row r="408" spans="1:52" ht="18" customHeight="1">
      <c r="A408" s="143"/>
      <c r="B408" s="215"/>
      <c r="C408" s="215"/>
      <c r="D408" s="215"/>
      <c r="E408" s="215"/>
      <c r="F408" s="211" t="str">
        <f>MPF</f>
        <v/>
      </c>
      <c r="G408" s="212">
        <f>ventLoadsReduction</f>
        <v>0</v>
      </c>
      <c r="H408" s="155"/>
      <c r="I408" s="217"/>
      <c r="J408" s="217"/>
      <c r="K408" s="217"/>
      <c r="L408" s="217"/>
      <c r="M408" s="217"/>
      <c r="N408" s="146"/>
      <c r="O408" s="146"/>
      <c r="P408" s="146"/>
      <c r="Q408" s="217"/>
      <c r="R408" s="217"/>
      <c r="S408" s="217"/>
      <c r="T408" s="217"/>
      <c r="U408" s="217"/>
      <c r="V408" s="217"/>
      <c r="W408" s="217"/>
      <c r="X408" s="217"/>
      <c r="Y408" s="151"/>
      <c r="Z408" s="151"/>
      <c r="AA408" s="31"/>
      <c r="AB408" s="218"/>
      <c r="AC408" s="218"/>
      <c r="AD408" s="218"/>
      <c r="AE408" s="218"/>
      <c r="AF408" s="218"/>
      <c r="AG408" s="218"/>
      <c r="AH408" s="218"/>
      <c r="AI408" s="218"/>
      <c r="AJ408" s="218"/>
      <c r="AK408" s="218"/>
      <c r="AL408" s="218"/>
      <c r="AM408" s="218"/>
      <c r="AN408" s="218"/>
      <c r="AO408" s="218"/>
      <c r="AP408" s="218"/>
      <c r="AQ408" s="218"/>
      <c r="AR408" s="218"/>
      <c r="AS408" s="218"/>
      <c r="AT408" s="218"/>
      <c r="AU408" s="218"/>
      <c r="AV408" s="218"/>
      <c r="AW408" s="218"/>
      <c r="AX408" s="218"/>
      <c r="AY408" s="218"/>
      <c r="AZ408" s="218"/>
    </row>
    <row r="409" spans="1:52" ht="18" customHeight="1">
      <c r="A409" s="143"/>
      <c r="B409" s="216"/>
      <c r="C409" s="216"/>
      <c r="D409" s="216"/>
      <c r="E409" s="216"/>
      <c r="F409" s="216"/>
      <c r="G409" s="216"/>
      <c r="H409" s="217"/>
      <c r="I409" s="217"/>
      <c r="J409" s="217"/>
      <c r="K409" s="217"/>
      <c r="L409" s="217"/>
      <c r="M409" s="217"/>
      <c r="N409" s="217"/>
      <c r="O409" s="146"/>
      <c r="P409" s="146"/>
      <c r="Q409" s="146"/>
      <c r="R409" s="217"/>
      <c r="S409" s="217"/>
      <c r="T409" s="217"/>
      <c r="U409" s="217"/>
      <c r="V409" s="217"/>
      <c r="W409" s="217"/>
      <c r="X409" s="217"/>
      <c r="Y409" s="217"/>
      <c r="Z409" s="151"/>
      <c r="AA409" s="31"/>
      <c r="AB409" s="31"/>
      <c r="AC409" s="218"/>
      <c r="AD409" s="218"/>
      <c r="AE409" s="218"/>
      <c r="AF409" s="218"/>
      <c r="AG409" s="218"/>
      <c r="AH409" s="218"/>
      <c r="AI409" s="218"/>
      <c r="AJ409" s="218"/>
      <c r="AK409" s="218"/>
      <c r="AL409" s="218"/>
      <c r="AM409" s="218"/>
      <c r="AN409" s="218"/>
      <c r="AO409" s="218"/>
      <c r="AP409" s="218"/>
      <c r="AQ409" s="218"/>
      <c r="AR409" s="218"/>
      <c r="AS409" s="218"/>
      <c r="AT409" s="218"/>
      <c r="AU409" s="218"/>
      <c r="AV409" s="218"/>
      <c r="AW409" s="218"/>
      <c r="AX409" s="218"/>
      <c r="AY409" s="218"/>
      <c r="AZ409" s="218"/>
    </row>
    <row r="410" spans="1:52" ht="18" customHeight="1">
      <c r="A410" s="141"/>
      <c r="B410" s="190" t="s">
        <v>199</v>
      </c>
      <c r="C410" s="216"/>
      <c r="D410" s="216"/>
      <c r="E410" s="216"/>
      <c r="F410" s="216"/>
      <c r="G410" s="216"/>
      <c r="H410" s="217"/>
      <c r="I410" s="217"/>
      <c r="J410" s="217"/>
      <c r="K410" s="216"/>
      <c r="L410" s="216"/>
      <c r="M410" s="216"/>
      <c r="N410" s="217"/>
      <c r="O410" s="146"/>
      <c r="P410" s="146"/>
      <c r="Q410" s="146"/>
      <c r="R410" s="217"/>
      <c r="S410" s="217"/>
      <c r="T410" s="217"/>
      <c r="U410" s="217"/>
      <c r="V410" s="217"/>
      <c r="W410" s="217"/>
      <c r="X410" s="217"/>
      <c r="Y410" s="217"/>
      <c r="Z410" s="138"/>
      <c r="AA410" s="19"/>
      <c r="AB410" s="218"/>
      <c r="AC410" s="218"/>
      <c r="AD410" s="218"/>
      <c r="AE410" s="218"/>
      <c r="AF410" s="218"/>
      <c r="AG410" s="218"/>
      <c r="AH410" s="218"/>
      <c r="AI410" s="218"/>
      <c r="AJ410" s="218"/>
      <c r="AK410" s="218"/>
      <c r="AL410" s="218"/>
      <c r="AM410" s="218"/>
      <c r="AN410" s="218"/>
      <c r="AO410" s="218"/>
      <c r="AP410" s="218"/>
      <c r="AQ410" s="218"/>
      <c r="AR410" s="218"/>
      <c r="AS410" s="218"/>
      <c r="AT410" s="218"/>
      <c r="AU410" s="218"/>
      <c r="AV410" s="218"/>
      <c r="AW410" s="218"/>
      <c r="AX410" s="218"/>
      <c r="AY410" s="218"/>
      <c r="AZ410" s="218"/>
    </row>
    <row r="411" spans="1:52" ht="18" customHeight="1">
      <c r="A411" s="141"/>
      <c r="B411" s="216"/>
      <c r="C411" s="216"/>
      <c r="D411" s="216"/>
      <c r="E411" s="216"/>
      <c r="F411" s="216"/>
      <c r="G411" s="216"/>
      <c r="H411" s="217"/>
      <c r="I411" s="217"/>
      <c r="J411" s="217"/>
      <c r="K411" s="216"/>
      <c r="L411" s="216"/>
      <c r="M411" s="216"/>
      <c r="N411" s="217"/>
      <c r="O411" s="146"/>
      <c r="P411" s="146"/>
      <c r="Q411" s="146"/>
      <c r="R411" s="217"/>
      <c r="S411" s="217"/>
      <c r="T411" s="217"/>
      <c r="U411" s="217"/>
      <c r="V411" s="217"/>
      <c r="W411" s="217"/>
      <c r="X411" s="217"/>
      <c r="Y411" s="217"/>
      <c r="Z411" s="138"/>
      <c r="AA411" s="19"/>
      <c r="AB411" s="218"/>
      <c r="AC411" s="218"/>
      <c r="AD411" s="218"/>
      <c r="AE411" s="218"/>
      <c r="AF411" s="218"/>
      <c r="AG411" s="218"/>
      <c r="AH411" s="218"/>
      <c r="AI411" s="218"/>
      <c r="AJ411" s="218"/>
      <c r="AK411" s="218"/>
      <c r="AL411" s="218"/>
      <c r="AM411" s="218"/>
      <c r="AN411" s="218"/>
      <c r="AO411" s="218"/>
      <c r="AP411" s="218"/>
      <c r="AQ411" s="218"/>
      <c r="AR411" s="218"/>
      <c r="AS411" s="218"/>
      <c r="AT411" s="218"/>
      <c r="AU411" s="218"/>
      <c r="AV411" s="218"/>
      <c r="AW411" s="218"/>
      <c r="AX411" s="218"/>
      <c r="AY411" s="218"/>
      <c r="AZ411" s="218"/>
    </row>
    <row r="412" spans="1:52" s="193" customFormat="1" ht="18" customHeight="1">
      <c r="A412" s="189"/>
      <c r="B412" s="190" t="s">
        <v>200</v>
      </c>
      <c r="C412" s="190"/>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2"/>
      <c r="Z412" s="192"/>
      <c r="AA412" s="192"/>
      <c r="AB412" s="192"/>
      <c r="AC412" s="192"/>
      <c r="AD412" s="192"/>
      <c r="AE412" s="192"/>
      <c r="AF412" s="192"/>
      <c r="AG412" s="192"/>
      <c r="AH412" s="192"/>
      <c r="AI412" s="192"/>
      <c r="AJ412" s="192"/>
      <c r="AK412" s="192"/>
      <c r="AL412" s="192"/>
      <c r="AM412" s="192"/>
      <c r="AN412" s="192"/>
      <c r="AO412" s="192"/>
      <c r="AP412" s="192"/>
      <c r="AQ412" s="192"/>
      <c r="AR412" s="192"/>
      <c r="AS412" s="192"/>
      <c r="AT412" s="192"/>
      <c r="AU412" s="192"/>
      <c r="AV412" s="192"/>
      <c r="AW412" s="192"/>
      <c r="AX412" s="192"/>
      <c r="AY412" s="192"/>
      <c r="AZ412" s="192"/>
    </row>
    <row r="413" spans="1:52" ht="18" customHeight="1">
      <c r="A413" s="143"/>
      <c r="B413" s="335" t="s">
        <v>201</v>
      </c>
      <c r="C413" s="335"/>
      <c r="D413" s="335"/>
      <c r="E413" s="335"/>
      <c r="F413" s="335"/>
      <c r="G413" s="216"/>
      <c r="H413" s="216"/>
      <c r="I413" s="216"/>
      <c r="J413" s="216"/>
      <c r="K413" s="217"/>
      <c r="L413" s="217"/>
      <c r="M413" s="217"/>
      <c r="N413" s="217"/>
      <c r="O413" s="146"/>
      <c r="P413" s="146"/>
      <c r="Q413" s="146"/>
      <c r="R413" s="217"/>
      <c r="S413" s="217"/>
      <c r="T413" s="217"/>
      <c r="U413" s="217"/>
      <c r="V413" s="217"/>
      <c r="W413" s="217"/>
      <c r="X413" s="217"/>
      <c r="Y413" s="217"/>
      <c r="Z413" s="151"/>
      <c r="AA413" s="31"/>
      <c r="AB413" s="31"/>
    </row>
    <row r="414" spans="1:52" ht="18" customHeight="1">
      <c r="A414" s="143"/>
      <c r="B414" s="330" t="s">
        <v>202</v>
      </c>
      <c r="C414" s="330"/>
      <c r="D414" s="331" t="s">
        <v>203</v>
      </c>
      <c r="E414" s="332"/>
      <c r="F414" s="333" t="s">
        <v>204</v>
      </c>
      <c r="G414" s="216"/>
      <c r="H414" s="217"/>
      <c r="I414" s="217"/>
      <c r="J414" s="217"/>
      <c r="K414" s="217"/>
      <c r="L414" s="217"/>
      <c r="M414" s="217"/>
      <c r="N414" s="217"/>
      <c r="O414" s="146"/>
      <c r="P414" s="146"/>
      <c r="Q414" s="146"/>
      <c r="R414" s="217"/>
      <c r="S414" s="217"/>
      <c r="T414" s="217"/>
      <c r="U414" s="217"/>
      <c r="V414" s="217"/>
      <c r="W414" s="217"/>
      <c r="X414" s="217"/>
      <c r="Y414" s="217"/>
      <c r="Z414" s="151"/>
      <c r="AA414" s="31"/>
      <c r="AB414" s="31"/>
    </row>
    <row r="415" spans="1:52" ht="18" customHeight="1">
      <c r="A415" s="143"/>
      <c r="B415" s="323" t="str">
        <f>_xlfn.CONCAT("Peak Heating ",IF(units="IP","(Btuh)","(W)"))</f>
        <v>Peak Heating (W)</v>
      </c>
      <c r="C415" s="323" t="str">
        <f>_xlfn.CONCAT("Peak Cooling ",IF(units="IP","(Btuh)","(W)"))</f>
        <v>Peak Cooling (W)</v>
      </c>
      <c r="D415" s="323" t="str">
        <f>_xlfn.CONCAT("Peak Heating ",IF(units="IP","(Btuh)","(W)"))</f>
        <v>Peak Heating (W)</v>
      </c>
      <c r="E415" s="323" t="str">
        <f>_xlfn.CONCAT("Peak Cooling ",IF(units="IP","(Btuh)","(W)"))</f>
        <v>Peak Cooling (W)</v>
      </c>
      <c r="F415" s="334"/>
      <c r="G415" s="216"/>
      <c r="H415" s="217"/>
      <c r="I415" s="217"/>
      <c r="J415" s="217"/>
      <c r="K415" s="217"/>
      <c r="L415" s="217"/>
      <c r="M415" s="217"/>
      <c r="N415" s="217"/>
      <c r="O415" s="146"/>
      <c r="P415" s="146"/>
      <c r="Q415" s="146"/>
      <c r="R415" s="217"/>
      <c r="S415" s="217"/>
      <c r="T415" s="217"/>
      <c r="U415" s="217"/>
      <c r="V415" s="217"/>
      <c r="W415" s="217"/>
      <c r="X415" s="217"/>
      <c r="Y415" s="217"/>
      <c r="Z415" s="151"/>
      <c r="AA415" s="31"/>
      <c r="AB415" s="31"/>
    </row>
    <row r="416" spans="1:52" ht="18" customHeight="1">
      <c r="A416" s="143"/>
      <c r="B416" s="323"/>
      <c r="C416" s="323"/>
      <c r="D416" s="323"/>
      <c r="E416" s="323"/>
      <c r="F416" s="322"/>
      <c r="G416" s="216"/>
      <c r="H416" s="217"/>
      <c r="I416" s="217"/>
      <c r="J416" s="217"/>
      <c r="K416" s="217"/>
      <c r="L416" s="217"/>
      <c r="M416" s="217"/>
      <c r="N416" s="217"/>
      <c r="O416" s="146"/>
      <c r="P416" s="146"/>
      <c r="Q416" s="146"/>
      <c r="R416" s="217"/>
      <c r="S416" s="217"/>
      <c r="T416" s="217"/>
      <c r="U416" s="217"/>
      <c r="V416" s="217"/>
      <c r="W416" s="217"/>
      <c r="X416" s="217"/>
      <c r="Y416" s="217"/>
      <c r="Z416" s="151"/>
      <c r="AA416" s="31"/>
      <c r="AB416" s="31"/>
    </row>
    <row r="417" spans="1:28" ht="18" customHeight="1">
      <c r="A417" s="143"/>
      <c r="B417" s="215"/>
      <c r="C417" s="215"/>
      <c r="D417" s="215"/>
      <c r="E417" s="215"/>
      <c r="F417" s="211">
        <f>performanceIndex</f>
        <v>0</v>
      </c>
      <c r="G417" s="213"/>
      <c r="H417" s="217"/>
      <c r="I417" s="217"/>
      <c r="J417" s="217"/>
      <c r="K417" s="217"/>
      <c r="L417" s="217"/>
      <c r="M417" s="217"/>
      <c r="N417" s="217"/>
      <c r="O417" s="146"/>
      <c r="P417" s="146"/>
      <c r="Q417" s="146"/>
      <c r="R417" s="217"/>
      <c r="S417" s="217"/>
      <c r="T417" s="217"/>
      <c r="U417" s="217"/>
      <c r="V417" s="217"/>
      <c r="W417" s="217"/>
      <c r="X417" s="217"/>
      <c r="Y417" s="217"/>
      <c r="Z417" s="151"/>
      <c r="AA417" s="31"/>
      <c r="AB417" s="31"/>
    </row>
    <row r="418" spans="1:28" ht="18" customHeight="1">
      <c r="A418" s="143"/>
      <c r="B418" s="217"/>
      <c r="C418" s="217"/>
      <c r="D418" s="217"/>
      <c r="E418" s="217"/>
      <c r="F418" s="217"/>
      <c r="G418" s="217"/>
      <c r="H418" s="217"/>
      <c r="I418" s="217"/>
      <c r="J418" s="217"/>
      <c r="K418" s="217"/>
      <c r="L418" s="217"/>
      <c r="M418" s="217"/>
      <c r="N418" s="217"/>
      <c r="O418" s="146"/>
      <c r="P418" s="146"/>
      <c r="Q418" s="146"/>
      <c r="R418" s="217"/>
      <c r="S418" s="217"/>
      <c r="T418" s="217"/>
      <c r="U418" s="217"/>
      <c r="V418" s="217"/>
      <c r="W418" s="217"/>
      <c r="X418" s="217"/>
      <c r="Y418" s="217"/>
      <c r="Z418" s="151"/>
      <c r="AA418" s="31"/>
      <c r="AB418" s="31"/>
    </row>
    <row r="419" spans="1:28" ht="18" customHeight="1">
      <c r="A419" s="143"/>
      <c r="B419" s="217"/>
      <c r="C419" s="217"/>
      <c r="D419" s="217"/>
      <c r="E419" s="217"/>
      <c r="F419" s="217"/>
      <c r="G419" s="217"/>
      <c r="H419" s="217"/>
      <c r="I419" s="217"/>
      <c r="J419" s="217"/>
      <c r="K419" s="217"/>
      <c r="L419" s="217"/>
      <c r="M419" s="217"/>
      <c r="N419" s="217"/>
      <c r="O419" s="146"/>
      <c r="P419" s="146"/>
      <c r="Q419" s="146"/>
      <c r="R419" s="217"/>
      <c r="S419" s="217"/>
      <c r="T419" s="217"/>
      <c r="U419" s="217"/>
      <c r="V419" s="217"/>
      <c r="W419" s="217"/>
      <c r="X419" s="217"/>
      <c r="Y419" s="217"/>
      <c r="Z419" s="151"/>
      <c r="AA419" s="31"/>
      <c r="AB419" s="31"/>
    </row>
    <row r="420" spans="1:28" ht="18" customHeight="1">
      <c r="A420" s="143"/>
      <c r="B420" s="217"/>
      <c r="C420" s="217"/>
      <c r="D420" s="217"/>
      <c r="E420" s="217"/>
      <c r="F420" s="217"/>
      <c r="G420" s="217"/>
      <c r="H420" s="217"/>
      <c r="I420" s="217"/>
      <c r="J420" s="217"/>
      <c r="K420" s="217"/>
      <c r="L420" s="217"/>
      <c r="M420" s="217"/>
      <c r="N420" s="217"/>
      <c r="O420" s="146"/>
      <c r="P420" s="146"/>
      <c r="Q420" s="146"/>
      <c r="R420" s="217"/>
      <c r="S420" s="217"/>
      <c r="T420" s="217"/>
      <c r="U420" s="217"/>
      <c r="V420" s="217"/>
      <c r="W420" s="217"/>
      <c r="X420" s="217"/>
      <c r="Y420" s="217"/>
      <c r="Z420" s="151"/>
      <c r="AA420" s="31"/>
      <c r="AB420" s="31"/>
    </row>
    <row r="421" spans="1:28" ht="18" customHeight="1">
      <c r="A421" s="143"/>
      <c r="B421" s="217"/>
      <c r="C421" s="217"/>
      <c r="D421" s="217"/>
      <c r="E421" s="217"/>
      <c r="F421" s="217"/>
      <c r="G421" s="217"/>
      <c r="H421" s="217"/>
      <c r="I421" s="217"/>
      <c r="J421" s="217"/>
      <c r="K421" s="217"/>
      <c r="L421" s="217"/>
      <c r="M421" s="217"/>
      <c r="N421" s="217"/>
      <c r="O421" s="146"/>
      <c r="P421" s="146"/>
      <c r="Q421" s="146"/>
      <c r="R421" s="217"/>
      <c r="S421" s="217"/>
      <c r="T421" s="217"/>
      <c r="U421" s="217"/>
      <c r="V421" s="217"/>
      <c r="W421" s="217"/>
      <c r="X421" s="217"/>
      <c r="Y421" s="217"/>
      <c r="Z421" s="151"/>
      <c r="AA421" s="31"/>
      <c r="AB421" s="31"/>
    </row>
    <row r="422" spans="1:28" ht="18" customHeight="1">
      <c r="A422" s="143"/>
      <c r="B422" s="217"/>
      <c r="C422" s="217"/>
      <c r="D422" s="217"/>
      <c r="E422" s="217"/>
      <c r="F422" s="217"/>
      <c r="G422" s="217"/>
      <c r="H422" s="217"/>
      <c r="I422" s="217"/>
      <c r="J422" s="217"/>
      <c r="K422" s="217"/>
      <c r="L422" s="217"/>
      <c r="M422" s="217"/>
      <c r="N422" s="217"/>
      <c r="O422" s="146"/>
      <c r="P422" s="146"/>
      <c r="Q422" s="146"/>
      <c r="R422" s="217"/>
      <c r="S422" s="217"/>
      <c r="T422" s="217"/>
      <c r="U422" s="217"/>
      <c r="V422" s="217"/>
      <c r="W422" s="217"/>
      <c r="X422" s="217"/>
      <c r="Y422" s="217"/>
      <c r="Z422" s="151"/>
      <c r="AA422" s="31"/>
      <c r="AB422" s="31"/>
    </row>
    <row r="423" spans="1:28" ht="18" customHeight="1">
      <c r="A423" s="143"/>
      <c r="B423" s="217"/>
      <c r="C423" s="217"/>
      <c r="D423" s="217"/>
      <c r="E423" s="217"/>
      <c r="F423" s="217"/>
      <c r="G423" s="217"/>
      <c r="H423" s="217"/>
      <c r="I423" s="217"/>
      <c r="J423" s="217"/>
      <c r="K423" s="217"/>
      <c r="L423" s="217"/>
      <c r="M423" s="217"/>
      <c r="N423" s="217"/>
      <c r="O423" s="146"/>
      <c r="P423" s="146"/>
      <c r="Q423" s="146"/>
      <c r="R423" s="217"/>
      <c r="S423" s="217"/>
      <c r="T423" s="217"/>
      <c r="U423" s="217"/>
      <c r="V423" s="217"/>
      <c r="W423" s="217"/>
      <c r="X423" s="217"/>
      <c r="Y423" s="217"/>
      <c r="Z423" s="151"/>
      <c r="AA423" s="31"/>
      <c r="AB423" s="31"/>
    </row>
    <row r="424" spans="1:28" ht="18" customHeight="1">
      <c r="A424" s="143"/>
      <c r="B424" s="217"/>
      <c r="C424" s="217"/>
      <c r="D424" s="217"/>
      <c r="E424" s="217"/>
      <c r="F424" s="217"/>
      <c r="G424" s="217"/>
      <c r="H424" s="217"/>
      <c r="I424" s="217"/>
      <c r="J424" s="217"/>
      <c r="K424" s="217"/>
      <c r="L424" s="217"/>
      <c r="M424" s="217"/>
      <c r="N424" s="217"/>
      <c r="O424" s="146"/>
      <c r="P424" s="146"/>
      <c r="Q424" s="146"/>
      <c r="R424" s="217"/>
      <c r="S424" s="217"/>
      <c r="T424" s="217"/>
      <c r="U424" s="217"/>
      <c r="V424" s="217"/>
      <c r="W424" s="217"/>
      <c r="X424" s="217"/>
      <c r="Y424" s="217"/>
      <c r="Z424" s="151"/>
      <c r="AA424" s="31"/>
      <c r="AB424" s="31"/>
    </row>
    <row r="425" spans="1:28" ht="18" customHeight="1">
      <c r="A425" s="143"/>
      <c r="B425" s="217"/>
      <c r="C425" s="217"/>
      <c r="D425" s="217"/>
      <c r="E425" s="217"/>
      <c r="F425" s="217"/>
      <c r="G425" s="217"/>
      <c r="H425" s="217"/>
      <c r="I425" s="217"/>
      <c r="J425" s="217"/>
      <c r="K425" s="217"/>
      <c r="L425" s="217"/>
      <c r="M425" s="217"/>
      <c r="N425" s="217"/>
      <c r="O425" s="146"/>
      <c r="P425" s="146"/>
      <c r="Q425" s="146"/>
      <c r="R425" s="217"/>
      <c r="S425" s="217"/>
      <c r="T425" s="217"/>
      <c r="U425" s="217"/>
      <c r="V425" s="217"/>
      <c r="W425" s="217"/>
      <c r="X425" s="217"/>
      <c r="Y425" s="217"/>
      <c r="Z425" s="151"/>
      <c r="AA425" s="31"/>
      <c r="AB425" s="31"/>
    </row>
    <row r="426" spans="1:28" ht="18" customHeight="1">
      <c r="A426" s="143"/>
      <c r="B426" s="217"/>
      <c r="C426" s="217"/>
      <c r="D426" s="217"/>
      <c r="E426" s="217"/>
      <c r="F426" s="217"/>
      <c r="G426" s="217"/>
      <c r="H426" s="217"/>
      <c r="I426" s="217"/>
      <c r="J426" s="217"/>
      <c r="K426" s="217"/>
      <c r="L426" s="217"/>
      <c r="M426" s="217"/>
      <c r="N426" s="217"/>
      <c r="O426" s="146"/>
      <c r="P426" s="146"/>
      <c r="Q426" s="146"/>
      <c r="R426" s="217"/>
      <c r="S426" s="217"/>
      <c r="T426" s="217"/>
      <c r="U426" s="217"/>
      <c r="V426" s="217"/>
      <c r="W426" s="217"/>
      <c r="X426" s="217"/>
      <c r="Y426" s="217"/>
      <c r="Z426" s="151"/>
      <c r="AA426" s="31"/>
      <c r="AB426" s="31"/>
    </row>
    <row r="427" spans="1:28" ht="18" customHeight="1">
      <c r="A427" s="143"/>
      <c r="B427" s="217"/>
      <c r="C427" s="217"/>
      <c r="D427" s="217"/>
      <c r="E427" s="217"/>
      <c r="F427" s="217"/>
      <c r="G427" s="217"/>
      <c r="H427" s="217"/>
      <c r="I427" s="217"/>
      <c r="J427" s="217"/>
      <c r="K427" s="217"/>
      <c r="L427" s="217"/>
      <c r="M427" s="217"/>
      <c r="N427" s="217"/>
      <c r="O427" s="146"/>
      <c r="P427" s="146"/>
      <c r="Q427" s="146"/>
      <c r="R427" s="217"/>
      <c r="S427" s="217"/>
      <c r="T427" s="217"/>
      <c r="U427" s="217"/>
      <c r="V427" s="217"/>
      <c r="W427" s="217"/>
      <c r="X427" s="217"/>
      <c r="Y427" s="217"/>
      <c r="Z427" s="151"/>
      <c r="AA427" s="31"/>
      <c r="AB427" s="31"/>
    </row>
    <row r="428" spans="1:28" ht="18" customHeight="1">
      <c r="A428" s="143"/>
      <c r="B428" s="217"/>
      <c r="C428" s="217"/>
      <c r="D428" s="217"/>
      <c r="E428" s="217"/>
      <c r="F428" s="217"/>
      <c r="G428" s="217"/>
      <c r="H428" s="217"/>
      <c r="I428" s="217"/>
      <c r="J428" s="217"/>
      <c r="K428" s="217"/>
      <c r="L428" s="217"/>
      <c r="M428" s="217"/>
      <c r="N428" s="217"/>
      <c r="O428" s="146"/>
      <c r="P428" s="146"/>
      <c r="Q428" s="146"/>
      <c r="R428" s="217"/>
      <c r="S428" s="217"/>
      <c r="T428" s="217"/>
      <c r="U428" s="217"/>
      <c r="V428" s="217"/>
      <c r="W428" s="217"/>
      <c r="X428" s="217"/>
      <c r="Y428" s="217"/>
      <c r="Z428" s="151"/>
      <c r="AA428" s="31"/>
      <c r="AB428" s="31"/>
    </row>
    <row r="429" spans="1:28" ht="18" customHeight="1">
      <c r="A429" s="143"/>
      <c r="B429" s="217"/>
      <c r="C429" s="217"/>
      <c r="D429" s="217"/>
      <c r="E429" s="217"/>
      <c r="F429" s="217"/>
      <c r="G429" s="217"/>
      <c r="H429" s="217"/>
      <c r="I429" s="217"/>
      <c r="J429" s="217"/>
      <c r="K429" s="217"/>
      <c r="L429" s="217"/>
      <c r="M429" s="217"/>
      <c r="N429" s="217"/>
      <c r="O429" s="146"/>
      <c r="P429" s="146"/>
      <c r="Q429" s="146"/>
      <c r="R429" s="217"/>
      <c r="S429" s="217"/>
      <c r="T429" s="217"/>
      <c r="U429" s="217"/>
      <c r="V429" s="217"/>
      <c r="W429" s="217"/>
      <c r="X429" s="217"/>
      <c r="Y429" s="217"/>
      <c r="Z429" s="151"/>
      <c r="AA429" s="31"/>
      <c r="AB429" s="31"/>
    </row>
    <row r="430" spans="1:28" ht="18" customHeight="1">
      <c r="A430" s="143"/>
      <c r="B430" s="217"/>
      <c r="C430" s="217"/>
      <c r="D430" s="217"/>
      <c r="E430" s="217"/>
      <c r="F430" s="217"/>
      <c r="G430" s="217"/>
      <c r="H430" s="217"/>
      <c r="I430" s="217"/>
      <c r="J430" s="217"/>
      <c r="K430" s="217"/>
      <c r="L430" s="217"/>
      <c r="M430" s="217"/>
      <c r="N430" s="217"/>
      <c r="O430" s="146"/>
      <c r="P430" s="146"/>
      <c r="Q430" s="146"/>
      <c r="R430" s="217"/>
      <c r="S430" s="217"/>
      <c r="T430" s="217"/>
      <c r="U430" s="217"/>
      <c r="V430" s="217"/>
      <c r="W430" s="217"/>
      <c r="X430" s="217"/>
      <c r="Y430" s="217"/>
      <c r="Z430" s="151"/>
      <c r="AA430" s="31"/>
      <c r="AB430" s="31"/>
    </row>
    <row r="431" spans="1:28" ht="18" customHeight="1">
      <c r="A431" s="143"/>
      <c r="B431" s="217"/>
      <c r="C431" s="217"/>
      <c r="D431" s="217"/>
      <c r="E431" s="217"/>
      <c r="F431" s="217"/>
      <c r="G431" s="217"/>
      <c r="H431" s="217"/>
      <c r="I431" s="217"/>
      <c r="J431" s="217"/>
      <c r="K431" s="217"/>
      <c r="L431" s="217"/>
      <c r="M431" s="217"/>
      <c r="N431" s="217"/>
      <c r="O431" s="146"/>
      <c r="P431" s="146"/>
      <c r="Q431" s="146"/>
      <c r="R431" s="217"/>
      <c r="S431" s="217"/>
      <c r="T431" s="217"/>
      <c r="U431" s="217"/>
      <c r="V431" s="217"/>
      <c r="W431" s="217"/>
      <c r="X431" s="217"/>
      <c r="Y431" s="217"/>
      <c r="Z431" s="151"/>
      <c r="AA431" s="31"/>
      <c r="AB431" s="31"/>
    </row>
    <row r="432" spans="1:28" ht="18" customHeight="1">
      <c r="A432" s="143"/>
      <c r="B432" s="217"/>
      <c r="C432" s="217"/>
      <c r="D432" s="217"/>
      <c r="E432" s="217"/>
      <c r="F432" s="217"/>
      <c r="G432" s="217"/>
      <c r="H432" s="217"/>
      <c r="I432" s="217"/>
      <c r="J432" s="217"/>
      <c r="K432" s="217"/>
      <c r="L432" s="217"/>
      <c r="M432" s="217"/>
      <c r="N432" s="217"/>
      <c r="O432" s="146"/>
      <c r="P432" s="146"/>
      <c r="Q432" s="146"/>
      <c r="R432" s="217"/>
      <c r="S432" s="217"/>
      <c r="T432" s="217"/>
      <c r="U432" s="217"/>
      <c r="V432" s="217"/>
      <c r="W432" s="217"/>
      <c r="X432" s="217"/>
      <c r="Y432" s="217"/>
      <c r="Z432" s="151"/>
      <c r="AA432" s="31"/>
      <c r="AB432" s="31"/>
    </row>
    <row r="433" spans="1:28" ht="18" customHeight="1">
      <c r="A433" s="143"/>
      <c r="B433" s="217"/>
      <c r="C433" s="217"/>
      <c r="D433" s="217"/>
      <c r="E433" s="217"/>
      <c r="F433" s="217"/>
      <c r="G433" s="217"/>
      <c r="H433" s="217"/>
      <c r="I433" s="217"/>
      <c r="J433" s="217"/>
      <c r="K433" s="217"/>
      <c r="L433" s="217"/>
      <c r="M433" s="217"/>
      <c r="N433" s="217"/>
      <c r="O433" s="146"/>
      <c r="P433" s="146"/>
      <c r="Q433" s="146"/>
      <c r="R433" s="217"/>
      <c r="S433" s="217"/>
      <c r="T433" s="217"/>
      <c r="U433" s="217"/>
      <c r="V433" s="217"/>
      <c r="W433" s="217"/>
      <c r="X433" s="217"/>
      <c r="Y433" s="217"/>
      <c r="Z433" s="151"/>
      <c r="AA433" s="31"/>
      <c r="AB433" s="31"/>
    </row>
    <row r="434" spans="1:28" ht="18" customHeight="1">
      <c r="A434" s="143"/>
      <c r="B434" s="217"/>
      <c r="C434" s="217"/>
      <c r="D434" s="217"/>
      <c r="E434" s="217"/>
      <c r="F434" s="217"/>
      <c r="G434" s="217"/>
      <c r="H434" s="217"/>
      <c r="I434" s="217"/>
      <c r="J434" s="217"/>
      <c r="K434" s="217"/>
      <c r="L434" s="217"/>
      <c r="M434" s="217"/>
      <c r="N434" s="217"/>
      <c r="O434" s="146"/>
      <c r="P434" s="146"/>
      <c r="Q434" s="146"/>
      <c r="R434" s="217"/>
      <c r="S434" s="217"/>
      <c r="T434" s="217"/>
      <c r="U434" s="217"/>
      <c r="V434" s="217"/>
      <c r="W434" s="217"/>
      <c r="X434" s="217"/>
      <c r="Y434" s="217"/>
      <c r="Z434" s="151"/>
      <c r="AA434" s="31"/>
      <c r="AB434" s="31"/>
    </row>
    <row r="435" spans="1:28" ht="18" customHeight="1">
      <c r="A435" s="143"/>
      <c r="B435" s="217"/>
      <c r="C435" s="217"/>
      <c r="D435" s="217"/>
      <c r="E435" s="217"/>
      <c r="F435" s="217"/>
      <c r="G435" s="217"/>
      <c r="H435" s="217"/>
      <c r="I435" s="217"/>
      <c r="J435" s="217"/>
      <c r="K435" s="217"/>
      <c r="L435" s="217"/>
      <c r="M435" s="217"/>
      <c r="N435" s="217"/>
      <c r="O435" s="146"/>
      <c r="P435" s="146"/>
      <c r="Q435" s="146"/>
      <c r="R435" s="217"/>
      <c r="S435" s="217"/>
      <c r="T435" s="217"/>
      <c r="U435" s="217"/>
      <c r="V435" s="217"/>
      <c r="W435" s="217"/>
      <c r="X435" s="217"/>
      <c r="Y435" s="217"/>
      <c r="Z435" s="151"/>
      <c r="AA435" s="31"/>
      <c r="AB435" s="31"/>
    </row>
    <row r="436" spans="1:28" ht="18" customHeight="1">
      <c r="A436" s="143"/>
      <c r="B436" s="217"/>
      <c r="C436" s="217"/>
      <c r="D436" s="217"/>
      <c r="E436" s="217"/>
      <c r="F436" s="217"/>
      <c r="G436" s="217"/>
      <c r="H436" s="217"/>
      <c r="I436" s="217"/>
      <c r="J436" s="217"/>
      <c r="K436" s="217"/>
      <c r="L436" s="217"/>
      <c r="M436" s="217"/>
      <c r="N436" s="217"/>
      <c r="O436" s="146"/>
      <c r="P436" s="146"/>
      <c r="Q436" s="146"/>
      <c r="R436" s="217"/>
      <c r="S436" s="217"/>
      <c r="T436" s="217"/>
      <c r="U436" s="217"/>
      <c r="V436" s="217"/>
      <c r="W436" s="217"/>
      <c r="X436" s="217"/>
      <c r="Y436" s="217"/>
      <c r="Z436" s="151"/>
      <c r="AA436" s="31"/>
      <c r="AB436" s="31"/>
    </row>
    <row r="437" spans="1:28" ht="18" customHeight="1">
      <c r="A437" s="143"/>
      <c r="B437" s="217"/>
      <c r="C437" s="217"/>
      <c r="D437" s="217"/>
      <c r="E437" s="217"/>
      <c r="F437" s="217"/>
      <c r="G437" s="217"/>
      <c r="H437" s="217"/>
      <c r="I437" s="217"/>
      <c r="J437" s="217"/>
      <c r="K437" s="217"/>
      <c r="L437" s="217"/>
      <c r="M437" s="217"/>
      <c r="N437" s="217"/>
      <c r="O437" s="146"/>
      <c r="P437" s="146"/>
      <c r="Q437" s="146"/>
      <c r="R437" s="217"/>
      <c r="S437" s="217"/>
      <c r="T437" s="217"/>
      <c r="U437" s="217"/>
      <c r="V437" s="217"/>
      <c r="W437" s="217"/>
      <c r="X437" s="217"/>
      <c r="Y437" s="217"/>
      <c r="Z437" s="151"/>
      <c r="AA437" s="31"/>
      <c r="AB437" s="31"/>
    </row>
    <row r="438" spans="1:28" ht="18" customHeight="1">
      <c r="A438" s="143"/>
      <c r="B438" s="217"/>
      <c r="C438" s="217"/>
      <c r="D438" s="217"/>
      <c r="E438" s="217"/>
      <c r="F438" s="217"/>
      <c r="G438" s="217"/>
      <c r="H438" s="217"/>
      <c r="I438" s="217"/>
      <c r="J438" s="217"/>
      <c r="K438" s="217"/>
      <c r="L438" s="217"/>
      <c r="M438" s="217"/>
      <c r="N438" s="217"/>
      <c r="O438" s="146"/>
      <c r="P438" s="146"/>
      <c r="Q438" s="146"/>
      <c r="R438" s="217"/>
      <c r="S438" s="217"/>
      <c r="T438" s="217"/>
      <c r="U438" s="217"/>
      <c r="V438" s="217"/>
      <c r="W438" s="217"/>
      <c r="X438" s="217"/>
      <c r="Y438" s="217"/>
      <c r="Z438" s="151"/>
      <c r="AA438" s="31"/>
      <c r="AB438" s="31"/>
    </row>
    <row r="439" spans="1:28" ht="18" customHeight="1">
      <c r="A439" s="143"/>
      <c r="B439" s="217"/>
      <c r="C439" s="217"/>
      <c r="D439" s="217"/>
      <c r="E439" s="217"/>
      <c r="F439" s="217"/>
      <c r="G439" s="217"/>
      <c r="H439" s="217"/>
      <c r="I439" s="217"/>
      <c r="J439" s="217"/>
      <c r="K439" s="217"/>
      <c r="L439" s="217"/>
      <c r="M439" s="217"/>
      <c r="N439" s="217"/>
      <c r="O439" s="146"/>
      <c r="P439" s="146"/>
      <c r="Q439" s="146"/>
      <c r="R439" s="217"/>
      <c r="S439" s="217"/>
      <c r="T439" s="217"/>
      <c r="U439" s="217"/>
      <c r="V439" s="217"/>
      <c r="W439" s="217"/>
      <c r="X439" s="217"/>
      <c r="Y439" s="217"/>
      <c r="Z439" s="151"/>
      <c r="AA439" s="31"/>
      <c r="AB439" s="31"/>
    </row>
    <row r="440" spans="1:28" ht="18" customHeight="1">
      <c r="A440" s="143"/>
      <c r="B440" s="217"/>
      <c r="C440" s="217"/>
      <c r="D440" s="217"/>
      <c r="E440" s="217"/>
      <c r="F440" s="217"/>
      <c r="G440" s="217"/>
      <c r="H440" s="217"/>
      <c r="I440" s="217"/>
      <c r="J440" s="217"/>
      <c r="K440" s="217"/>
      <c r="L440" s="217"/>
      <c r="M440" s="217"/>
      <c r="N440" s="217"/>
      <c r="O440" s="146"/>
      <c r="P440" s="146"/>
      <c r="Q440" s="146"/>
      <c r="R440" s="217"/>
      <c r="S440" s="217"/>
      <c r="T440" s="217"/>
      <c r="U440" s="217"/>
      <c r="V440" s="217"/>
      <c r="W440" s="217"/>
      <c r="X440" s="217"/>
      <c r="Y440" s="217"/>
      <c r="Z440" s="151"/>
      <c r="AA440" s="31"/>
      <c r="AB440" s="31"/>
    </row>
    <row r="441" spans="1:28" ht="18" customHeight="1">
      <c r="A441" s="143"/>
      <c r="B441" s="217"/>
      <c r="C441" s="217"/>
      <c r="D441" s="217"/>
      <c r="E441" s="217"/>
      <c r="F441" s="217"/>
      <c r="G441" s="217"/>
      <c r="H441" s="217"/>
      <c r="I441" s="217"/>
      <c r="J441" s="217"/>
      <c r="K441" s="217"/>
      <c r="L441" s="217"/>
      <c r="M441" s="217"/>
      <c r="N441" s="217"/>
      <c r="O441" s="146"/>
      <c r="P441" s="146"/>
      <c r="Q441" s="146"/>
      <c r="R441" s="217"/>
      <c r="S441" s="217"/>
      <c r="T441" s="217"/>
      <c r="U441" s="217"/>
      <c r="V441" s="217"/>
      <c r="W441" s="217"/>
      <c r="X441" s="217"/>
      <c r="Y441" s="217"/>
      <c r="Z441" s="151"/>
      <c r="AA441" s="31"/>
      <c r="AB441" s="31"/>
    </row>
    <row r="442" spans="1:28" ht="18" customHeight="1">
      <c r="A442" s="143"/>
      <c r="B442" s="217"/>
      <c r="C442" s="217"/>
      <c r="D442" s="217"/>
      <c r="E442" s="217"/>
      <c r="F442" s="217"/>
      <c r="G442" s="217"/>
      <c r="H442" s="217"/>
      <c r="I442" s="217"/>
      <c r="J442" s="217"/>
      <c r="K442" s="217"/>
      <c r="L442" s="217"/>
      <c r="M442" s="217"/>
      <c r="N442" s="217"/>
      <c r="O442" s="146"/>
      <c r="P442" s="146"/>
      <c r="Q442" s="146"/>
      <c r="R442" s="217"/>
      <c r="S442" s="217"/>
      <c r="T442" s="217"/>
      <c r="U442" s="217"/>
      <c r="V442" s="217"/>
      <c r="W442" s="217"/>
      <c r="X442" s="217"/>
      <c r="Y442" s="217"/>
      <c r="Z442" s="151"/>
      <c r="AA442" s="31"/>
      <c r="AB442" s="31"/>
    </row>
    <row r="443" spans="1:28" ht="18" customHeight="1">
      <c r="A443" s="143"/>
      <c r="B443" s="217"/>
      <c r="C443" s="217"/>
      <c r="D443" s="217"/>
      <c r="E443" s="217"/>
      <c r="F443" s="217"/>
      <c r="G443" s="217"/>
      <c r="H443" s="217"/>
      <c r="I443" s="217"/>
      <c r="J443" s="217"/>
      <c r="K443" s="217"/>
      <c r="L443" s="217"/>
      <c r="M443" s="217"/>
      <c r="N443" s="217"/>
      <c r="O443" s="146"/>
      <c r="P443" s="146"/>
      <c r="Q443" s="146"/>
      <c r="R443" s="217"/>
      <c r="S443" s="217"/>
      <c r="T443" s="217"/>
      <c r="U443" s="217"/>
      <c r="V443" s="217"/>
      <c r="W443" s="217"/>
      <c r="X443" s="217"/>
      <c r="Y443" s="217"/>
      <c r="Z443" s="151"/>
      <c r="AA443" s="31"/>
      <c r="AB443" s="31"/>
    </row>
    <row r="444" spans="1:28" ht="18" customHeight="1">
      <c r="A444" s="143"/>
      <c r="B444" s="217"/>
      <c r="C444" s="217"/>
      <c r="D444" s="217"/>
      <c r="E444" s="217"/>
      <c r="F444" s="217"/>
      <c r="G444" s="217"/>
      <c r="H444" s="217"/>
      <c r="I444" s="217"/>
      <c r="J444" s="217"/>
      <c r="K444" s="217"/>
      <c r="L444" s="217"/>
      <c r="M444" s="217"/>
      <c r="N444" s="217"/>
      <c r="O444" s="146"/>
      <c r="P444" s="146"/>
      <c r="Q444" s="146"/>
      <c r="R444" s="217"/>
      <c r="S444" s="217"/>
      <c r="T444" s="217"/>
      <c r="U444" s="217"/>
      <c r="V444" s="217"/>
      <c r="W444" s="217"/>
      <c r="X444" s="217"/>
      <c r="Y444" s="217"/>
      <c r="Z444" s="151"/>
      <c r="AA444" s="31"/>
      <c r="AB444" s="31"/>
    </row>
    <row r="445" spans="1:28" ht="18" customHeight="1">
      <c r="A445" s="143"/>
      <c r="B445" s="217"/>
      <c r="C445" s="217"/>
      <c r="D445" s="217"/>
      <c r="E445" s="217"/>
      <c r="F445" s="217"/>
      <c r="G445" s="217"/>
      <c r="H445" s="217"/>
      <c r="I445" s="217"/>
      <c r="J445" s="217"/>
      <c r="K445" s="217"/>
      <c r="L445" s="217"/>
      <c r="M445" s="217"/>
      <c r="N445" s="217"/>
      <c r="O445" s="146"/>
      <c r="P445" s="146"/>
      <c r="Q445" s="146"/>
      <c r="R445" s="217"/>
      <c r="S445" s="217"/>
      <c r="T445" s="217"/>
      <c r="U445" s="217"/>
      <c r="V445" s="217"/>
      <c r="W445" s="217"/>
      <c r="X445" s="217"/>
      <c r="Y445" s="217"/>
      <c r="Z445" s="151"/>
      <c r="AA445" s="31"/>
      <c r="AB445" s="31"/>
    </row>
    <row r="446" spans="1:28" ht="18" customHeight="1">
      <c r="A446" s="143"/>
      <c r="B446" s="217"/>
      <c r="C446" s="217"/>
      <c r="D446" s="217"/>
      <c r="E446" s="217"/>
      <c r="F446" s="217"/>
      <c r="G446" s="217"/>
      <c r="H446" s="217"/>
      <c r="I446" s="217"/>
      <c r="J446" s="217"/>
      <c r="K446" s="217"/>
      <c r="L446" s="217"/>
      <c r="M446" s="217"/>
      <c r="N446" s="217"/>
      <c r="O446" s="146"/>
      <c r="P446" s="146"/>
      <c r="Q446" s="146"/>
      <c r="R446" s="217"/>
      <c r="S446" s="217"/>
      <c r="T446" s="217"/>
      <c r="U446" s="217"/>
      <c r="V446" s="217"/>
      <c r="W446" s="217"/>
      <c r="X446" s="217"/>
      <c r="Y446" s="217"/>
      <c r="Z446" s="151"/>
      <c r="AA446" s="31"/>
      <c r="AB446" s="31"/>
    </row>
    <row r="447" spans="1:28" ht="18" customHeight="1">
      <c r="A447" s="143"/>
      <c r="B447" s="217"/>
      <c r="C447" s="217"/>
      <c r="D447" s="217"/>
      <c r="E447" s="217"/>
      <c r="F447" s="217"/>
      <c r="G447" s="217"/>
      <c r="H447" s="217"/>
      <c r="I447" s="217"/>
      <c r="J447" s="217"/>
      <c r="K447" s="217"/>
      <c r="L447" s="217"/>
      <c r="M447" s="217"/>
      <c r="N447" s="217"/>
      <c r="O447" s="146"/>
      <c r="P447" s="146"/>
      <c r="Q447" s="146"/>
      <c r="R447" s="217"/>
      <c r="S447" s="217"/>
      <c r="T447" s="217"/>
      <c r="U447" s="217"/>
      <c r="V447" s="217"/>
      <c r="W447" s="217"/>
      <c r="X447" s="217"/>
      <c r="Y447" s="217"/>
      <c r="Z447" s="151"/>
      <c r="AA447" s="31"/>
      <c r="AB447" s="31"/>
    </row>
    <row r="448" spans="1:28" ht="18" customHeight="1">
      <c r="A448" s="143"/>
      <c r="B448" s="217"/>
      <c r="C448" s="217"/>
      <c r="D448" s="217"/>
      <c r="E448" s="217"/>
      <c r="F448" s="217"/>
      <c r="G448" s="217"/>
      <c r="H448" s="217"/>
      <c r="I448" s="217"/>
      <c r="J448" s="217"/>
      <c r="K448" s="217"/>
      <c r="L448" s="217"/>
      <c r="M448" s="217"/>
      <c r="N448" s="217"/>
      <c r="O448" s="146"/>
      <c r="P448" s="146"/>
      <c r="Q448" s="146"/>
      <c r="R448" s="217"/>
      <c r="S448" s="217"/>
      <c r="T448" s="217"/>
      <c r="U448" s="217"/>
      <c r="V448" s="217"/>
      <c r="W448" s="217"/>
      <c r="X448" s="217"/>
      <c r="Y448" s="217"/>
      <c r="Z448" s="151"/>
      <c r="AA448" s="31"/>
      <c r="AB448" s="31"/>
    </row>
    <row r="449" spans="1:28" ht="18" customHeight="1">
      <c r="A449" s="143"/>
      <c r="B449" s="217"/>
      <c r="C449" s="217"/>
      <c r="D449" s="217"/>
      <c r="E449" s="217"/>
      <c r="F449" s="217"/>
      <c r="G449" s="217"/>
      <c r="H449" s="217"/>
      <c r="I449" s="217"/>
      <c r="J449" s="217"/>
      <c r="K449" s="217"/>
      <c r="L449" s="217"/>
      <c r="M449" s="217"/>
      <c r="N449" s="217"/>
      <c r="O449" s="146"/>
      <c r="P449" s="146"/>
      <c r="Q449" s="146"/>
      <c r="R449" s="217"/>
      <c r="S449" s="217"/>
      <c r="T449" s="217"/>
      <c r="U449" s="217"/>
      <c r="V449" s="217"/>
      <c r="W449" s="217"/>
      <c r="X449" s="217"/>
      <c r="Y449" s="217"/>
      <c r="Z449" s="151"/>
      <c r="AA449" s="31"/>
      <c r="AB449" s="31"/>
    </row>
    <row r="450" spans="1:28" ht="18" customHeight="1">
      <c r="A450" s="143"/>
      <c r="B450" s="217"/>
      <c r="C450" s="217"/>
      <c r="D450" s="217"/>
      <c r="E450" s="217"/>
      <c r="F450" s="217"/>
      <c r="G450" s="217"/>
      <c r="H450" s="217"/>
      <c r="I450" s="217"/>
      <c r="J450" s="217"/>
      <c r="K450" s="217"/>
      <c r="L450" s="217"/>
      <c r="M450" s="217"/>
      <c r="N450" s="217"/>
      <c r="O450" s="146"/>
      <c r="P450" s="146"/>
      <c r="Q450" s="146"/>
      <c r="R450" s="217"/>
      <c r="S450" s="217"/>
      <c r="T450" s="217"/>
      <c r="U450" s="217"/>
      <c r="V450" s="217"/>
      <c r="W450" s="217"/>
      <c r="X450" s="217"/>
      <c r="Y450" s="217"/>
      <c r="Z450" s="151"/>
      <c r="AA450" s="31"/>
      <c r="AB450" s="31"/>
    </row>
    <row r="451" spans="1:28" ht="18" customHeight="1">
      <c r="A451" s="143"/>
      <c r="B451" s="217"/>
      <c r="C451" s="217"/>
      <c r="D451" s="217"/>
      <c r="E451" s="217"/>
      <c r="F451" s="217"/>
      <c r="G451" s="217"/>
      <c r="H451" s="217"/>
      <c r="I451" s="217"/>
      <c r="J451" s="217"/>
      <c r="K451" s="217"/>
      <c r="L451" s="217"/>
      <c r="M451" s="217"/>
      <c r="N451" s="217"/>
      <c r="O451" s="146"/>
      <c r="P451" s="146"/>
      <c r="Q451" s="146"/>
      <c r="R451" s="217"/>
      <c r="S451" s="217"/>
      <c r="T451" s="217"/>
      <c r="U451" s="217"/>
      <c r="V451" s="217"/>
      <c r="W451" s="217"/>
      <c r="X451" s="217"/>
      <c r="Y451" s="217"/>
      <c r="Z451" s="151"/>
      <c r="AA451" s="31"/>
      <c r="AB451" s="31"/>
    </row>
    <row r="452" spans="1:28" ht="18" customHeight="1">
      <c r="A452" s="143"/>
      <c r="B452" s="217"/>
      <c r="C452" s="217"/>
      <c r="D452" s="217"/>
      <c r="E452" s="217"/>
      <c r="F452" s="217"/>
      <c r="G452" s="217"/>
      <c r="H452" s="217"/>
      <c r="I452" s="217"/>
      <c r="J452" s="217"/>
      <c r="K452" s="217"/>
      <c r="L452" s="217"/>
      <c r="M452" s="217"/>
      <c r="N452" s="217"/>
      <c r="O452" s="146"/>
      <c r="P452" s="146"/>
      <c r="Q452" s="146"/>
      <c r="R452" s="217"/>
      <c r="S452" s="217"/>
      <c r="T452" s="217"/>
      <c r="U452" s="217"/>
      <c r="V452" s="217"/>
      <c r="W452" s="217"/>
      <c r="X452" s="217"/>
      <c r="Y452" s="217"/>
      <c r="Z452" s="151"/>
      <c r="AA452" s="31"/>
      <c r="AB452" s="31"/>
    </row>
    <row r="453" spans="1:28" ht="18" customHeight="1">
      <c r="A453" s="143"/>
      <c r="B453" s="217"/>
      <c r="C453" s="217"/>
      <c r="D453" s="217"/>
      <c r="E453" s="217"/>
      <c r="F453" s="217"/>
      <c r="G453" s="217"/>
      <c r="H453" s="217"/>
      <c r="I453" s="217"/>
      <c r="J453" s="217"/>
      <c r="K453" s="217"/>
      <c r="L453" s="217"/>
      <c r="M453" s="217"/>
      <c r="N453" s="217"/>
      <c r="O453" s="146"/>
      <c r="P453" s="146"/>
      <c r="Q453" s="146"/>
      <c r="R453" s="217"/>
      <c r="S453" s="217"/>
      <c r="T453" s="217"/>
      <c r="U453" s="217"/>
      <c r="V453" s="217"/>
      <c r="W453" s="217"/>
      <c r="X453" s="217"/>
      <c r="Y453" s="217"/>
      <c r="Z453" s="151"/>
      <c r="AA453" s="31"/>
      <c r="AB453" s="31"/>
    </row>
    <row r="454" spans="1:28" ht="18" customHeight="1">
      <c r="A454" s="143"/>
      <c r="B454" s="217"/>
      <c r="C454" s="217"/>
      <c r="D454" s="217"/>
      <c r="E454" s="217"/>
      <c r="F454" s="217"/>
      <c r="G454" s="217"/>
      <c r="H454" s="217"/>
      <c r="I454" s="217"/>
      <c r="J454" s="217"/>
      <c r="K454" s="217"/>
      <c r="L454" s="217"/>
      <c r="M454" s="217"/>
      <c r="N454" s="217"/>
      <c r="O454" s="146"/>
      <c r="P454" s="146"/>
      <c r="Q454" s="146"/>
      <c r="R454" s="217"/>
      <c r="S454" s="217"/>
      <c r="T454" s="217"/>
      <c r="U454" s="217"/>
      <c r="V454" s="217"/>
      <c r="W454" s="217"/>
      <c r="X454" s="217"/>
      <c r="Y454" s="217"/>
      <c r="Z454" s="151"/>
      <c r="AA454" s="31"/>
      <c r="AB454" s="31"/>
    </row>
    <row r="455" spans="1:28" ht="18" customHeight="1">
      <c r="A455" s="143"/>
      <c r="B455" s="217"/>
      <c r="C455" s="217"/>
      <c r="D455" s="217"/>
      <c r="E455" s="217"/>
      <c r="F455" s="217"/>
      <c r="G455" s="217"/>
      <c r="H455" s="217"/>
      <c r="I455" s="217"/>
      <c r="J455" s="217"/>
      <c r="K455" s="217"/>
      <c r="L455" s="217"/>
      <c r="M455" s="217"/>
      <c r="N455" s="217"/>
      <c r="O455" s="146"/>
      <c r="P455" s="146"/>
      <c r="Q455" s="146"/>
      <c r="R455" s="217"/>
      <c r="S455" s="217"/>
      <c r="T455" s="217"/>
      <c r="U455" s="217"/>
      <c r="V455" s="217"/>
      <c r="W455" s="217"/>
      <c r="X455" s="217"/>
      <c r="Y455" s="217"/>
      <c r="Z455" s="151"/>
      <c r="AA455" s="31"/>
      <c r="AB455" s="31"/>
    </row>
    <row r="456" spans="1:28" ht="18" customHeight="1">
      <c r="A456" s="143"/>
      <c r="B456" s="217"/>
      <c r="C456" s="217"/>
      <c r="D456" s="217"/>
      <c r="E456" s="217"/>
      <c r="F456" s="217"/>
      <c r="G456" s="217"/>
      <c r="H456" s="217"/>
      <c r="I456" s="217"/>
      <c r="J456" s="217"/>
      <c r="K456" s="217"/>
      <c r="L456" s="217"/>
      <c r="M456" s="217"/>
      <c r="N456" s="217"/>
      <c r="O456" s="146"/>
      <c r="P456" s="146"/>
      <c r="Q456" s="146"/>
      <c r="R456" s="217"/>
      <c r="S456" s="217"/>
      <c r="T456" s="217"/>
      <c r="U456" s="217"/>
      <c r="V456" s="217"/>
      <c r="W456" s="217"/>
      <c r="X456" s="217"/>
      <c r="Y456" s="217"/>
      <c r="Z456" s="151"/>
      <c r="AA456" s="31"/>
      <c r="AB456" s="31"/>
    </row>
    <row r="457" spans="1:28" ht="18" customHeight="1">
      <c r="A457" s="143"/>
      <c r="B457" s="217"/>
      <c r="C457" s="217"/>
      <c r="D457" s="217"/>
      <c r="E457" s="217"/>
      <c r="F457" s="217"/>
      <c r="G457" s="217"/>
      <c r="H457" s="217"/>
      <c r="I457" s="217"/>
      <c r="J457" s="217"/>
      <c r="K457" s="217"/>
      <c r="L457" s="217"/>
      <c r="M457" s="217"/>
      <c r="N457" s="217"/>
      <c r="O457" s="146"/>
      <c r="P457" s="146"/>
      <c r="Q457" s="146"/>
      <c r="R457" s="217"/>
      <c r="S457" s="217"/>
      <c r="T457" s="217"/>
      <c r="U457" s="217"/>
      <c r="V457" s="217"/>
      <c r="W457" s="217"/>
      <c r="X457" s="217"/>
      <c r="Y457" s="217"/>
      <c r="Z457" s="151"/>
      <c r="AA457" s="31"/>
      <c r="AB457" s="31"/>
    </row>
    <row r="458" spans="1:28" ht="18" customHeight="1">
      <c r="A458" s="143"/>
      <c r="B458" s="217"/>
      <c r="C458" s="217"/>
      <c r="D458" s="217"/>
      <c r="E458" s="217"/>
      <c r="F458" s="217"/>
      <c r="G458" s="217"/>
      <c r="H458" s="217"/>
      <c r="I458" s="217"/>
      <c r="J458" s="217"/>
      <c r="K458" s="217"/>
      <c r="L458" s="217"/>
      <c r="M458" s="217"/>
      <c r="N458" s="217"/>
      <c r="O458" s="146"/>
      <c r="P458" s="146"/>
      <c r="Q458" s="146"/>
      <c r="R458" s="217"/>
      <c r="S458" s="217"/>
      <c r="T458" s="217"/>
      <c r="U458" s="217"/>
      <c r="V458" s="217"/>
      <c r="W458" s="217"/>
      <c r="X458" s="217"/>
      <c r="Y458" s="217"/>
      <c r="Z458" s="151"/>
      <c r="AA458" s="31"/>
      <c r="AB458" s="31"/>
    </row>
    <row r="459" spans="1:28" ht="18" customHeight="1">
      <c r="A459" s="143"/>
      <c r="B459" s="217"/>
      <c r="C459" s="217"/>
      <c r="D459" s="217"/>
      <c r="E459" s="217"/>
      <c r="F459" s="217"/>
      <c r="G459" s="217"/>
      <c r="H459" s="217"/>
      <c r="I459" s="217"/>
      <c r="J459" s="217"/>
      <c r="K459" s="217"/>
      <c r="L459" s="217"/>
      <c r="M459" s="217"/>
      <c r="N459" s="217"/>
      <c r="O459" s="146"/>
      <c r="P459" s="146"/>
      <c r="Q459" s="146"/>
      <c r="R459" s="217"/>
      <c r="S459" s="217"/>
      <c r="T459" s="217"/>
      <c r="U459" s="217"/>
      <c r="V459" s="217"/>
      <c r="W459" s="217"/>
      <c r="X459" s="217"/>
      <c r="Y459" s="217"/>
      <c r="Z459" s="151"/>
      <c r="AA459" s="31"/>
      <c r="AB459" s="31"/>
    </row>
    <row r="460" spans="1:28" ht="18" customHeight="1">
      <c r="A460" s="143"/>
      <c r="B460" s="217"/>
      <c r="C460" s="217"/>
      <c r="D460" s="217"/>
      <c r="E460" s="217"/>
      <c r="F460" s="217"/>
      <c r="G460" s="217"/>
      <c r="H460" s="217"/>
      <c r="I460" s="217"/>
      <c r="J460" s="217"/>
      <c r="K460" s="217"/>
      <c r="L460" s="217"/>
      <c r="M460" s="217"/>
      <c r="N460" s="217"/>
      <c r="O460" s="146"/>
      <c r="P460" s="146"/>
      <c r="Q460" s="146"/>
      <c r="R460" s="217"/>
      <c r="S460" s="217"/>
      <c r="T460" s="217"/>
      <c r="U460" s="217"/>
      <c r="V460" s="217"/>
      <c r="W460" s="217"/>
      <c r="X460" s="217"/>
      <c r="Y460" s="217"/>
      <c r="Z460" s="151"/>
      <c r="AA460" s="31"/>
      <c r="AB460" s="31"/>
    </row>
    <row r="461" spans="1:28" ht="18" customHeight="1">
      <c r="A461" s="143"/>
      <c r="B461" s="217"/>
      <c r="C461" s="217"/>
      <c r="D461" s="217"/>
      <c r="E461" s="217"/>
      <c r="F461" s="217"/>
      <c r="G461" s="217"/>
      <c r="H461" s="217"/>
      <c r="I461" s="217"/>
      <c r="J461" s="217"/>
      <c r="K461" s="217"/>
      <c r="L461" s="217"/>
      <c r="M461" s="217"/>
      <c r="N461" s="217"/>
      <c r="O461" s="146"/>
      <c r="P461" s="146"/>
      <c r="Q461" s="146"/>
      <c r="R461" s="217"/>
      <c r="S461" s="217"/>
      <c r="T461" s="217"/>
      <c r="U461" s="217"/>
      <c r="V461" s="217"/>
      <c r="W461" s="217"/>
      <c r="X461" s="217"/>
      <c r="Y461" s="217"/>
      <c r="Z461" s="151"/>
      <c r="AA461" s="31"/>
      <c r="AB461" s="31"/>
    </row>
    <row r="462" spans="1:28" ht="18" customHeight="1">
      <c r="A462" s="143"/>
      <c r="B462" s="217"/>
      <c r="C462" s="217"/>
      <c r="D462" s="217"/>
      <c r="E462" s="217"/>
      <c r="F462" s="217"/>
      <c r="G462" s="217"/>
      <c r="H462" s="217"/>
      <c r="I462" s="217"/>
      <c r="J462" s="217"/>
      <c r="K462" s="217"/>
      <c r="L462" s="217"/>
      <c r="M462" s="217"/>
      <c r="N462" s="217"/>
      <c r="O462" s="146"/>
      <c r="P462" s="146"/>
      <c r="Q462" s="146"/>
      <c r="R462" s="217"/>
      <c r="S462" s="217"/>
      <c r="T462" s="217"/>
      <c r="U462" s="217"/>
      <c r="V462" s="217"/>
      <c r="W462" s="217"/>
      <c r="X462" s="217"/>
      <c r="Y462" s="217"/>
      <c r="Z462" s="151"/>
      <c r="AA462" s="31"/>
      <c r="AB462" s="31"/>
    </row>
    <row r="463" spans="1:28" ht="18" customHeight="1">
      <c r="A463" s="143"/>
      <c r="B463" s="217"/>
      <c r="C463" s="217"/>
      <c r="D463" s="217"/>
      <c r="E463" s="217"/>
      <c r="F463" s="217"/>
      <c r="G463" s="217"/>
      <c r="H463" s="217"/>
      <c r="I463" s="217"/>
      <c r="J463" s="217"/>
      <c r="K463" s="217"/>
      <c r="L463" s="217"/>
      <c r="M463" s="217"/>
      <c r="N463" s="217"/>
      <c r="O463" s="146"/>
      <c r="P463" s="146"/>
      <c r="Q463" s="146"/>
      <c r="R463" s="217"/>
      <c r="S463" s="217"/>
      <c r="T463" s="217"/>
      <c r="U463" s="217"/>
      <c r="V463" s="217"/>
      <c r="W463" s="217"/>
      <c r="X463" s="217"/>
      <c r="Y463" s="217"/>
      <c r="Z463" s="151"/>
      <c r="AA463" s="31"/>
      <c r="AB463" s="31"/>
    </row>
    <row r="464" spans="1:28" ht="18" customHeight="1">
      <c r="A464" s="143"/>
      <c r="B464" s="217"/>
      <c r="C464" s="217"/>
      <c r="D464" s="217"/>
      <c r="E464" s="217"/>
      <c r="F464" s="217"/>
      <c r="G464" s="217"/>
      <c r="H464" s="217"/>
      <c r="I464" s="217"/>
      <c r="J464" s="217"/>
      <c r="K464" s="217"/>
      <c r="L464" s="217"/>
      <c r="M464" s="217"/>
      <c r="N464" s="217"/>
      <c r="O464" s="146"/>
      <c r="P464" s="146"/>
      <c r="Q464" s="146"/>
      <c r="R464" s="217"/>
      <c r="S464" s="217"/>
      <c r="T464" s="217"/>
      <c r="U464" s="217"/>
      <c r="V464" s="217"/>
      <c r="W464" s="217"/>
      <c r="X464" s="217"/>
      <c r="Y464" s="217"/>
      <c r="Z464" s="151"/>
      <c r="AA464" s="31"/>
      <c r="AB464" s="31"/>
    </row>
    <row r="465" spans="1:28" ht="18" customHeight="1">
      <c r="A465" s="143"/>
      <c r="B465" s="217"/>
      <c r="C465" s="217"/>
      <c r="D465" s="217"/>
      <c r="E465" s="217"/>
      <c r="F465" s="217"/>
      <c r="G465" s="217"/>
      <c r="H465" s="217"/>
      <c r="I465" s="217"/>
      <c r="J465" s="217"/>
      <c r="K465" s="217"/>
      <c r="L465" s="217"/>
      <c r="M465" s="217"/>
      <c r="N465" s="217"/>
      <c r="O465" s="146"/>
      <c r="P465" s="146"/>
      <c r="Q465" s="146"/>
      <c r="R465" s="217"/>
      <c r="S465" s="217"/>
      <c r="T465" s="217"/>
      <c r="U465" s="217"/>
      <c r="V465" s="217"/>
      <c r="W465" s="217"/>
      <c r="X465" s="217"/>
      <c r="Y465" s="217"/>
      <c r="Z465" s="151"/>
      <c r="AA465" s="31"/>
      <c r="AB465" s="31"/>
    </row>
    <row r="466" spans="1:28" ht="18" customHeight="1">
      <c r="A466" s="143"/>
      <c r="B466" s="217"/>
      <c r="C466" s="217"/>
      <c r="D466" s="217"/>
      <c r="E466" s="217"/>
      <c r="F466" s="217"/>
      <c r="G466" s="217"/>
      <c r="H466" s="217"/>
      <c r="I466" s="217"/>
      <c r="J466" s="217"/>
      <c r="K466" s="217"/>
      <c r="L466" s="217"/>
      <c r="M466" s="217"/>
      <c r="N466" s="217"/>
      <c r="O466" s="146"/>
      <c r="P466" s="146"/>
      <c r="Q466" s="146"/>
      <c r="R466" s="217"/>
      <c r="S466" s="217"/>
      <c r="T466" s="217"/>
      <c r="U466" s="217"/>
      <c r="V466" s="217"/>
      <c r="W466" s="217"/>
      <c r="X466" s="217"/>
      <c r="Y466" s="217"/>
      <c r="Z466" s="151"/>
      <c r="AA466" s="31"/>
      <c r="AB466" s="31"/>
    </row>
    <row r="467" spans="1:28" ht="18" customHeight="1">
      <c r="A467" s="143"/>
      <c r="B467" s="217"/>
      <c r="C467" s="217"/>
      <c r="D467" s="217"/>
      <c r="E467" s="217"/>
      <c r="F467" s="217"/>
      <c r="G467" s="217"/>
      <c r="H467" s="217"/>
      <c r="I467" s="217"/>
      <c r="J467" s="217"/>
      <c r="K467" s="217"/>
      <c r="L467" s="217"/>
      <c r="M467" s="217"/>
      <c r="N467" s="217"/>
      <c r="O467" s="146"/>
      <c r="P467" s="146"/>
      <c r="Q467" s="146"/>
      <c r="R467" s="217"/>
      <c r="S467" s="217"/>
      <c r="T467" s="217"/>
      <c r="U467" s="217"/>
      <c r="V467" s="217"/>
      <c r="W467" s="217"/>
      <c r="X467" s="217"/>
      <c r="Y467" s="217"/>
      <c r="Z467" s="151"/>
      <c r="AA467" s="31"/>
      <c r="AB467" s="31"/>
    </row>
    <row r="468" spans="1:28" ht="18" customHeight="1">
      <c r="A468" s="143"/>
      <c r="B468" s="217"/>
      <c r="C468" s="217"/>
      <c r="D468" s="217"/>
      <c r="E468" s="217"/>
      <c r="F468" s="217"/>
      <c r="G468" s="217"/>
      <c r="H468" s="217"/>
      <c r="I468" s="217"/>
      <c r="J468" s="217"/>
      <c r="K468" s="217"/>
      <c r="L468" s="217"/>
      <c r="M468" s="217"/>
      <c r="N468" s="217"/>
      <c r="O468" s="146"/>
      <c r="P468" s="146"/>
      <c r="Q468" s="146"/>
      <c r="R468" s="217"/>
      <c r="S468" s="217"/>
      <c r="T468" s="217"/>
      <c r="U468" s="217"/>
      <c r="V468" s="217"/>
      <c r="W468" s="217"/>
      <c r="X468" s="217"/>
      <c r="Y468" s="217"/>
      <c r="Z468" s="151"/>
      <c r="AA468" s="31"/>
      <c r="AB468" s="31"/>
    </row>
    <row r="469" spans="1:28" ht="18" customHeight="1">
      <c r="A469" s="143"/>
      <c r="B469" s="217"/>
      <c r="C469" s="217"/>
      <c r="D469" s="217"/>
      <c r="E469" s="217"/>
      <c r="F469" s="217"/>
      <c r="G469" s="217"/>
      <c r="H469" s="217"/>
      <c r="I469" s="217"/>
      <c r="J469" s="217"/>
      <c r="K469" s="217"/>
      <c r="L469" s="217"/>
      <c r="M469" s="217"/>
      <c r="N469" s="217"/>
      <c r="O469" s="146"/>
      <c r="P469" s="146"/>
      <c r="Q469" s="146"/>
      <c r="R469" s="217"/>
      <c r="S469" s="217"/>
      <c r="T469" s="217"/>
      <c r="U469" s="217"/>
      <c r="V469" s="217"/>
      <c r="W469" s="217"/>
      <c r="X469" s="217"/>
      <c r="Y469" s="217"/>
      <c r="Z469" s="151"/>
      <c r="AA469" s="31"/>
      <c r="AB469" s="31"/>
    </row>
    <row r="470" spans="1:28" ht="18" customHeight="1">
      <c r="A470" s="143"/>
      <c r="B470" s="217"/>
      <c r="C470" s="217"/>
      <c r="D470" s="217"/>
      <c r="E470" s="217"/>
      <c r="F470" s="217"/>
      <c r="G470" s="217"/>
      <c r="H470" s="217"/>
      <c r="I470" s="217"/>
      <c r="J470" s="217"/>
      <c r="K470" s="217"/>
      <c r="L470" s="217"/>
      <c r="M470" s="217"/>
      <c r="N470" s="217"/>
      <c r="O470" s="146"/>
      <c r="P470" s="146"/>
      <c r="Q470" s="146"/>
      <c r="R470" s="217"/>
      <c r="S470" s="217"/>
      <c r="T470" s="217"/>
      <c r="U470" s="217"/>
      <c r="V470" s="217"/>
      <c r="W470" s="217"/>
      <c r="X470" s="217"/>
      <c r="Y470" s="217"/>
      <c r="Z470" s="151"/>
      <c r="AA470" s="31"/>
      <c r="AB470" s="31"/>
    </row>
    <row r="471" spans="1:28" ht="18" customHeight="1">
      <c r="A471" s="143"/>
      <c r="B471" s="217"/>
      <c r="C471" s="217"/>
      <c r="D471" s="217"/>
      <c r="E471" s="217"/>
      <c r="F471" s="217"/>
      <c r="G471" s="217"/>
      <c r="H471" s="217"/>
      <c r="I471" s="217"/>
      <c r="J471" s="217"/>
      <c r="K471" s="217"/>
      <c r="L471" s="217"/>
      <c r="M471" s="217"/>
      <c r="N471" s="217"/>
      <c r="O471" s="146"/>
      <c r="P471" s="146"/>
      <c r="Q471" s="146"/>
      <c r="R471" s="217"/>
      <c r="S471" s="217"/>
      <c r="T471" s="217"/>
      <c r="U471" s="217"/>
      <c r="V471" s="217"/>
      <c r="W471" s="217"/>
      <c r="X471" s="217"/>
      <c r="Y471" s="217"/>
      <c r="Z471" s="151"/>
      <c r="AA471" s="31"/>
      <c r="AB471" s="31"/>
    </row>
    <row r="472" spans="1:28" ht="18" customHeight="1">
      <c r="A472" s="143"/>
      <c r="B472" s="217"/>
      <c r="C472" s="217"/>
      <c r="D472" s="217"/>
      <c r="E472" s="217"/>
      <c r="F472" s="217"/>
      <c r="G472" s="217"/>
      <c r="H472" s="217"/>
      <c r="I472" s="217"/>
      <c r="J472" s="217"/>
      <c r="K472" s="217"/>
      <c r="L472" s="217"/>
      <c r="M472" s="217"/>
      <c r="N472" s="217"/>
      <c r="O472" s="146"/>
      <c r="P472" s="146"/>
      <c r="Q472" s="146"/>
      <c r="R472" s="217"/>
      <c r="S472" s="217"/>
      <c r="T472" s="217"/>
      <c r="U472" s="217"/>
      <c r="V472" s="217"/>
      <c r="W472" s="217"/>
      <c r="X472" s="217"/>
      <c r="Y472" s="217"/>
      <c r="Z472" s="151"/>
      <c r="AA472" s="31"/>
      <c r="AB472" s="31"/>
    </row>
    <row r="473" spans="1:28" ht="18" customHeight="1">
      <c r="A473" s="143"/>
      <c r="B473" s="217"/>
      <c r="C473" s="217"/>
      <c r="D473" s="217"/>
      <c r="E473" s="217"/>
      <c r="F473" s="217"/>
      <c r="G473" s="217"/>
      <c r="H473" s="217"/>
      <c r="I473" s="217"/>
      <c r="J473" s="217"/>
      <c r="K473" s="217"/>
      <c r="L473" s="217"/>
      <c r="M473" s="217"/>
      <c r="N473" s="217"/>
      <c r="O473" s="146"/>
      <c r="P473" s="146"/>
      <c r="Q473" s="146"/>
      <c r="R473" s="217"/>
      <c r="S473" s="217"/>
      <c r="T473" s="217"/>
      <c r="U473" s="217"/>
      <c r="V473" s="217"/>
      <c r="W473" s="217"/>
      <c r="X473" s="217"/>
      <c r="Y473" s="217"/>
      <c r="Z473" s="151"/>
      <c r="AA473" s="31"/>
      <c r="AB473" s="31"/>
    </row>
    <row r="474" spans="1:28" ht="18" customHeight="1">
      <c r="A474" s="143"/>
      <c r="B474" s="217"/>
      <c r="C474" s="217"/>
      <c r="D474" s="217"/>
      <c r="E474" s="217"/>
      <c r="F474" s="217"/>
      <c r="G474" s="217"/>
      <c r="H474" s="217"/>
      <c r="I474" s="217"/>
      <c r="J474" s="217"/>
      <c r="K474" s="217"/>
      <c r="L474" s="217"/>
      <c r="M474" s="217"/>
      <c r="N474" s="217"/>
      <c r="O474" s="146"/>
      <c r="P474" s="146"/>
      <c r="Q474" s="146"/>
      <c r="R474" s="217"/>
      <c r="S474" s="217"/>
      <c r="T474" s="217"/>
      <c r="U474" s="217"/>
      <c r="V474" s="217"/>
      <c r="W474" s="217"/>
      <c r="X474" s="217"/>
      <c r="Y474" s="217"/>
      <c r="Z474" s="151"/>
      <c r="AA474" s="31"/>
      <c r="AB474" s="31"/>
    </row>
    <row r="475" spans="1:28" ht="18" customHeight="1">
      <c r="A475" s="143"/>
      <c r="B475" s="217"/>
      <c r="C475" s="217"/>
      <c r="D475" s="217"/>
      <c r="E475" s="217"/>
      <c r="F475" s="217"/>
      <c r="G475" s="217"/>
      <c r="H475" s="217"/>
      <c r="I475" s="217"/>
      <c r="J475" s="217"/>
      <c r="K475" s="217"/>
      <c r="L475" s="217"/>
      <c r="M475" s="217"/>
      <c r="N475" s="217"/>
      <c r="O475" s="146"/>
      <c r="P475" s="146"/>
      <c r="Q475" s="146"/>
      <c r="R475" s="217"/>
      <c r="S475" s="217"/>
      <c r="T475" s="217"/>
      <c r="U475" s="217"/>
      <c r="V475" s="217"/>
      <c r="W475" s="217"/>
      <c r="X475" s="217"/>
      <c r="Y475" s="217"/>
      <c r="Z475" s="151"/>
      <c r="AA475" s="31"/>
      <c r="AB475" s="31"/>
    </row>
    <row r="476" spans="1:28" ht="18" customHeight="1">
      <c r="A476" s="143"/>
      <c r="B476" s="217"/>
      <c r="C476" s="217"/>
      <c r="D476" s="217"/>
      <c r="E476" s="217"/>
      <c r="F476" s="217"/>
      <c r="G476" s="217"/>
      <c r="H476" s="217"/>
      <c r="I476" s="217"/>
      <c r="J476" s="217"/>
      <c r="K476" s="217"/>
      <c r="L476" s="217"/>
      <c r="M476" s="217"/>
      <c r="N476" s="217"/>
      <c r="O476" s="146"/>
      <c r="P476" s="146"/>
      <c r="Q476" s="146"/>
      <c r="R476" s="217"/>
      <c r="S476" s="217"/>
      <c r="T476" s="217"/>
      <c r="U476" s="217"/>
      <c r="V476" s="217"/>
      <c r="W476" s="217"/>
      <c r="X476" s="217"/>
      <c r="Y476" s="217"/>
      <c r="Z476" s="151"/>
      <c r="AA476" s="31"/>
      <c r="AB476" s="31"/>
    </row>
    <row r="477" spans="1:28" ht="18" customHeight="1">
      <c r="A477" s="143"/>
      <c r="B477" s="217"/>
      <c r="C477" s="217"/>
      <c r="D477" s="217"/>
      <c r="E477" s="217"/>
      <c r="F477" s="217"/>
      <c r="G477" s="217"/>
      <c r="H477" s="217"/>
      <c r="I477" s="217"/>
      <c r="J477" s="217"/>
      <c r="K477" s="217"/>
      <c r="L477" s="217"/>
      <c r="M477" s="217"/>
      <c r="N477" s="217"/>
      <c r="O477" s="146"/>
      <c r="P477" s="146"/>
      <c r="Q477" s="146"/>
      <c r="R477" s="217"/>
      <c r="S477" s="217"/>
      <c r="T477" s="217"/>
      <c r="U477" s="217"/>
      <c r="V477" s="217"/>
      <c r="W477" s="217"/>
      <c r="X477" s="217"/>
      <c r="Y477" s="217"/>
      <c r="Z477" s="151"/>
      <c r="AA477" s="31"/>
      <c r="AB477" s="31"/>
    </row>
    <row r="478" spans="1:28" ht="18" customHeight="1">
      <c r="A478" s="143"/>
      <c r="B478" s="217"/>
      <c r="C478" s="217"/>
      <c r="D478" s="217"/>
      <c r="E478" s="217"/>
      <c r="F478" s="217"/>
      <c r="G478" s="217"/>
      <c r="H478" s="217"/>
      <c r="I478" s="217"/>
      <c r="J478" s="217"/>
      <c r="K478" s="217"/>
      <c r="L478" s="217"/>
      <c r="M478" s="217"/>
      <c r="N478" s="217"/>
      <c r="O478" s="146"/>
      <c r="P478" s="146"/>
      <c r="Q478" s="146"/>
      <c r="R478" s="217"/>
      <c r="S478" s="217"/>
      <c r="T478" s="217"/>
      <c r="U478" s="217"/>
      <c r="V478" s="217"/>
      <c r="W478" s="217"/>
      <c r="X478" s="217"/>
      <c r="Y478" s="217"/>
      <c r="Z478" s="151"/>
      <c r="AA478" s="31"/>
      <c r="AB478" s="31"/>
    </row>
    <row r="479" spans="1:28" ht="18" customHeight="1">
      <c r="A479" s="143"/>
      <c r="B479" s="217"/>
      <c r="C479" s="217"/>
      <c r="D479" s="217"/>
      <c r="E479" s="217"/>
      <c r="F479" s="217"/>
      <c r="G479" s="217"/>
      <c r="H479" s="217"/>
      <c r="I479" s="217"/>
      <c r="J479" s="217"/>
      <c r="K479" s="217"/>
      <c r="L479" s="217"/>
      <c r="M479" s="217"/>
      <c r="N479" s="217"/>
      <c r="O479" s="146"/>
      <c r="P479" s="146"/>
      <c r="Q479" s="146"/>
      <c r="R479" s="217"/>
      <c r="S479" s="217"/>
      <c r="T479" s="217"/>
      <c r="U479" s="217"/>
      <c r="V479" s="217"/>
      <c r="W479" s="217"/>
      <c r="X479" s="217"/>
      <c r="Y479" s="217"/>
      <c r="Z479" s="151"/>
      <c r="AA479" s="31"/>
      <c r="AB479" s="31"/>
    </row>
    <row r="480" spans="1:28" ht="18" customHeight="1">
      <c r="A480" s="143"/>
      <c r="B480" s="217"/>
      <c r="C480" s="217"/>
      <c r="D480" s="217"/>
      <c r="E480" s="217"/>
      <c r="F480" s="217"/>
      <c r="G480" s="217"/>
      <c r="H480" s="217"/>
      <c r="I480" s="217"/>
      <c r="J480" s="217"/>
      <c r="K480" s="217"/>
      <c r="L480" s="217"/>
      <c r="M480" s="217"/>
      <c r="N480" s="217"/>
      <c r="O480" s="146"/>
      <c r="P480" s="146"/>
      <c r="Q480" s="146"/>
      <c r="R480" s="217"/>
      <c r="S480" s="217"/>
      <c r="T480" s="217"/>
      <c r="U480" s="217"/>
      <c r="V480" s="217"/>
      <c r="W480" s="217"/>
      <c r="X480" s="217"/>
      <c r="Y480" s="217"/>
      <c r="Z480" s="151"/>
      <c r="AA480" s="31"/>
      <c r="AB480" s="31"/>
    </row>
    <row r="481" spans="1:28" ht="18" customHeight="1">
      <c r="A481" s="143"/>
      <c r="B481" s="217"/>
      <c r="C481" s="217"/>
      <c r="D481" s="217"/>
      <c r="E481" s="217"/>
      <c r="F481" s="217"/>
      <c r="G481" s="217"/>
      <c r="H481" s="217"/>
      <c r="I481" s="217"/>
      <c r="J481" s="217"/>
      <c r="K481" s="217"/>
      <c r="L481" s="217"/>
      <c r="M481" s="217"/>
      <c r="N481" s="217"/>
      <c r="O481" s="146"/>
      <c r="P481" s="146"/>
      <c r="Q481" s="146"/>
      <c r="R481" s="217"/>
      <c r="S481" s="217"/>
      <c r="T481" s="217"/>
      <c r="U481" s="217"/>
      <c r="V481" s="217"/>
      <c r="W481" s="217"/>
      <c r="X481" s="217"/>
      <c r="Y481" s="217"/>
      <c r="Z481" s="151"/>
      <c r="AA481" s="31"/>
      <c r="AB481" s="31"/>
    </row>
    <row r="482" spans="1:28" ht="18" customHeight="1">
      <c r="A482" s="143"/>
      <c r="B482" s="217"/>
      <c r="C482" s="217"/>
      <c r="D482" s="217"/>
      <c r="E482" s="217"/>
      <c r="F482" s="217"/>
      <c r="G482" s="217"/>
      <c r="H482" s="217"/>
      <c r="I482" s="217"/>
      <c r="J482" s="217"/>
      <c r="K482" s="217"/>
      <c r="L482" s="217"/>
      <c r="M482" s="217"/>
      <c r="N482" s="217"/>
      <c r="O482" s="146"/>
      <c r="P482" s="146"/>
      <c r="Q482" s="146"/>
      <c r="R482" s="217"/>
      <c r="S482" s="217"/>
      <c r="T482" s="217"/>
      <c r="U482" s="217"/>
      <c r="V482" s="217"/>
      <c r="W482" s="217"/>
      <c r="X482" s="217"/>
      <c r="Y482" s="217"/>
      <c r="Z482" s="151"/>
      <c r="AA482" s="31"/>
      <c r="AB482" s="31"/>
    </row>
    <row r="483" spans="1:28" ht="18" customHeight="1">
      <c r="A483" s="143"/>
      <c r="B483" s="217"/>
      <c r="C483" s="217"/>
      <c r="D483" s="217"/>
      <c r="E483" s="217"/>
      <c r="F483" s="217"/>
      <c r="G483" s="217"/>
      <c r="H483" s="217"/>
      <c r="I483" s="217"/>
      <c r="J483" s="217"/>
      <c r="K483" s="217"/>
      <c r="L483" s="217"/>
      <c r="M483" s="217"/>
      <c r="N483" s="217"/>
      <c r="O483" s="146"/>
      <c r="P483" s="146"/>
      <c r="Q483" s="146"/>
      <c r="R483" s="217"/>
      <c r="S483" s="217"/>
      <c r="T483" s="217"/>
      <c r="U483" s="217"/>
      <c r="V483" s="217"/>
      <c r="W483" s="217"/>
      <c r="X483" s="217"/>
      <c r="Y483" s="217"/>
      <c r="Z483" s="151"/>
      <c r="AA483" s="31"/>
      <c r="AB483" s="31"/>
    </row>
    <row r="484" spans="1:28" ht="18" customHeight="1">
      <c r="A484" s="143"/>
      <c r="B484" s="217"/>
      <c r="C484" s="217"/>
      <c r="D484" s="217"/>
      <c r="E484" s="217"/>
      <c r="F484" s="217"/>
      <c r="G484" s="217"/>
      <c r="H484" s="217"/>
      <c r="I484" s="217"/>
      <c r="J484" s="217"/>
      <c r="K484" s="217"/>
      <c r="L484" s="217"/>
      <c r="M484" s="217"/>
      <c r="N484" s="217"/>
      <c r="O484" s="146"/>
      <c r="P484" s="146"/>
      <c r="Q484" s="146"/>
      <c r="R484" s="217"/>
      <c r="S484" s="217"/>
      <c r="T484" s="217"/>
      <c r="U484" s="217"/>
      <c r="V484" s="217"/>
      <c r="W484" s="217"/>
      <c r="X484" s="217"/>
      <c r="Y484" s="217"/>
      <c r="Z484" s="151"/>
      <c r="AA484" s="31"/>
      <c r="AB484" s="31"/>
    </row>
    <row r="485" spans="1:28" ht="18" customHeight="1">
      <c r="A485" s="143"/>
      <c r="B485" s="217"/>
      <c r="C485" s="217"/>
      <c r="D485" s="217"/>
      <c r="E485" s="217"/>
      <c r="F485" s="217"/>
      <c r="G485" s="217"/>
      <c r="H485" s="217"/>
      <c r="I485" s="217"/>
      <c r="J485" s="217"/>
      <c r="K485" s="217"/>
      <c r="L485" s="217"/>
      <c r="M485" s="217"/>
      <c r="N485" s="217"/>
      <c r="O485" s="146"/>
      <c r="P485" s="146"/>
      <c r="Q485" s="146"/>
      <c r="R485" s="217"/>
      <c r="S485" s="217"/>
      <c r="T485" s="217"/>
      <c r="U485" s="217"/>
      <c r="V485" s="217"/>
      <c r="W485" s="217"/>
      <c r="X485" s="217"/>
      <c r="Y485" s="217"/>
      <c r="Z485" s="151"/>
      <c r="AA485" s="31"/>
      <c r="AB485" s="31"/>
    </row>
    <row r="486" spans="1:28" ht="18" customHeight="1">
      <c r="A486" s="143"/>
      <c r="B486" s="217"/>
      <c r="C486" s="217"/>
      <c r="D486" s="217"/>
      <c r="E486" s="217"/>
      <c r="F486" s="217"/>
      <c r="G486" s="217"/>
      <c r="H486" s="217"/>
      <c r="I486" s="217"/>
      <c r="J486" s="217"/>
      <c r="K486" s="217"/>
      <c r="L486" s="217"/>
      <c r="M486" s="217"/>
      <c r="N486" s="217"/>
      <c r="O486" s="146"/>
      <c r="P486" s="146"/>
      <c r="Q486" s="146"/>
      <c r="R486" s="217"/>
      <c r="S486" s="217"/>
      <c r="T486" s="217"/>
      <c r="U486" s="217"/>
      <c r="V486" s="217"/>
      <c r="W486" s="217"/>
      <c r="X486" s="217"/>
      <c r="Y486" s="217"/>
      <c r="Z486" s="151"/>
      <c r="AA486" s="31"/>
      <c r="AB486" s="31"/>
    </row>
    <row r="487" spans="1:28" ht="18" customHeight="1">
      <c r="A487" s="143"/>
      <c r="B487" s="217"/>
      <c r="C487" s="217"/>
      <c r="D487" s="217"/>
      <c r="E487" s="217"/>
      <c r="F487" s="217"/>
      <c r="G487" s="217"/>
      <c r="H487" s="217"/>
      <c r="I487" s="217"/>
      <c r="J487" s="217"/>
      <c r="K487" s="217"/>
      <c r="L487" s="217"/>
      <c r="M487" s="217"/>
      <c r="N487" s="217"/>
      <c r="O487" s="146"/>
      <c r="P487" s="146"/>
      <c r="Q487" s="146"/>
      <c r="R487" s="217"/>
      <c r="S487" s="217"/>
      <c r="T487" s="217"/>
      <c r="U487" s="217"/>
      <c r="V487" s="217"/>
      <c r="W487" s="217"/>
      <c r="X487" s="217"/>
      <c r="Y487" s="217"/>
      <c r="Z487" s="151"/>
      <c r="AA487" s="31"/>
      <c r="AB487" s="31"/>
    </row>
    <row r="488" spans="1:28" ht="18" customHeight="1">
      <c r="A488" s="143"/>
      <c r="B488" s="217"/>
      <c r="C488" s="217"/>
      <c r="D488" s="217"/>
      <c r="E488" s="217"/>
      <c r="F488" s="217"/>
      <c r="G488" s="217"/>
      <c r="H488" s="217"/>
      <c r="I488" s="217"/>
      <c r="J488" s="217"/>
      <c r="K488" s="217"/>
      <c r="L488" s="217"/>
      <c r="M488" s="217"/>
      <c r="N488" s="217"/>
      <c r="O488" s="146"/>
      <c r="P488" s="146"/>
      <c r="Q488" s="146"/>
      <c r="R488" s="217"/>
      <c r="S488" s="217"/>
      <c r="T488" s="217"/>
      <c r="U488" s="217"/>
      <c r="V488" s="217"/>
      <c r="W488" s="217"/>
      <c r="X488" s="217"/>
      <c r="Y488" s="217"/>
      <c r="Z488" s="151"/>
      <c r="AA488" s="31"/>
      <c r="AB488" s="31"/>
    </row>
    <row r="489" spans="1:28" ht="18" customHeight="1">
      <c r="A489" s="143"/>
      <c r="B489" s="217"/>
      <c r="C489" s="217"/>
      <c r="D489" s="217"/>
      <c r="E489" s="217"/>
      <c r="F489" s="217"/>
      <c r="G489" s="217"/>
      <c r="H489" s="217"/>
      <c r="I489" s="217"/>
      <c r="J489" s="217"/>
      <c r="K489" s="217"/>
      <c r="L489" s="217"/>
      <c r="M489" s="217"/>
      <c r="N489" s="217"/>
      <c r="O489" s="146"/>
      <c r="P489" s="146"/>
      <c r="Q489" s="146"/>
      <c r="R489" s="217"/>
      <c r="S489" s="217"/>
      <c r="T489" s="217"/>
      <c r="U489" s="217"/>
      <c r="V489" s="217"/>
      <c r="W489" s="217"/>
      <c r="X489" s="217"/>
      <c r="Y489" s="217"/>
      <c r="Z489" s="151"/>
      <c r="AA489" s="31"/>
      <c r="AB489" s="31"/>
    </row>
    <row r="490" spans="1:28" ht="18" customHeight="1">
      <c r="A490" s="143"/>
      <c r="B490" s="217"/>
      <c r="C490" s="217"/>
      <c r="D490" s="217"/>
      <c r="E490" s="217"/>
      <c r="F490" s="217"/>
      <c r="G490" s="217"/>
      <c r="H490" s="217"/>
      <c r="I490" s="217"/>
      <c r="J490" s="217"/>
      <c r="K490" s="217"/>
      <c r="L490" s="217"/>
      <c r="M490" s="217"/>
      <c r="N490" s="217"/>
      <c r="O490" s="146"/>
      <c r="P490" s="146"/>
      <c r="Q490" s="146"/>
      <c r="R490" s="217"/>
      <c r="S490" s="217"/>
      <c r="T490" s="217"/>
      <c r="U490" s="217"/>
      <c r="V490" s="217"/>
      <c r="W490" s="217"/>
      <c r="X490" s="217"/>
      <c r="Y490" s="217"/>
      <c r="Z490" s="151"/>
      <c r="AA490" s="31"/>
      <c r="AB490" s="31"/>
    </row>
    <row r="491" spans="1:28" ht="18" customHeight="1">
      <c r="A491" s="143"/>
      <c r="B491" s="217"/>
      <c r="C491" s="217"/>
      <c r="D491" s="217"/>
      <c r="E491" s="217"/>
      <c r="F491" s="217"/>
      <c r="G491" s="217"/>
      <c r="H491" s="217"/>
      <c r="I491" s="217"/>
      <c r="J491" s="217"/>
      <c r="K491" s="217"/>
      <c r="L491" s="217"/>
      <c r="M491" s="217"/>
      <c r="N491" s="217"/>
      <c r="O491" s="146"/>
      <c r="P491" s="146"/>
      <c r="Q491" s="146"/>
      <c r="R491" s="217"/>
      <c r="S491" s="217"/>
      <c r="T491" s="217"/>
      <c r="U491" s="217"/>
      <c r="V491" s="217"/>
      <c r="W491" s="217"/>
      <c r="X491" s="217"/>
      <c r="Y491" s="217"/>
      <c r="Z491" s="151"/>
      <c r="AA491" s="31"/>
      <c r="AB491" s="31"/>
    </row>
    <row r="492" spans="1:28" ht="18" customHeight="1">
      <c r="A492" s="143"/>
      <c r="B492" s="217"/>
      <c r="C492" s="217"/>
      <c r="D492" s="217"/>
      <c r="E492" s="217"/>
      <c r="F492" s="217"/>
      <c r="G492" s="217"/>
      <c r="H492" s="217"/>
      <c r="I492" s="217"/>
      <c r="J492" s="217"/>
      <c r="K492" s="217"/>
      <c r="L492" s="217"/>
      <c r="M492" s="217"/>
      <c r="N492" s="217"/>
      <c r="O492" s="146"/>
      <c r="P492" s="146"/>
      <c r="Q492" s="146"/>
      <c r="R492" s="217"/>
      <c r="S492" s="217"/>
      <c r="T492" s="217"/>
      <c r="U492" s="217"/>
      <c r="V492" s="217"/>
      <c r="W492" s="217"/>
      <c r="X492" s="217"/>
      <c r="Y492" s="217"/>
      <c r="Z492" s="151"/>
      <c r="AA492" s="31"/>
      <c r="AB492" s="31"/>
    </row>
    <row r="493" spans="1:28" ht="18" customHeight="1">
      <c r="A493" s="143"/>
      <c r="B493" s="217"/>
      <c r="C493" s="217"/>
      <c r="D493" s="217"/>
      <c r="E493" s="217"/>
      <c r="F493" s="217"/>
      <c r="G493" s="217"/>
      <c r="H493" s="217"/>
      <c r="I493" s="217"/>
      <c r="J493" s="217"/>
      <c r="K493" s="217"/>
      <c r="L493" s="217"/>
      <c r="M493" s="217"/>
      <c r="N493" s="217"/>
      <c r="O493" s="146"/>
      <c r="P493" s="146"/>
      <c r="Q493" s="146"/>
      <c r="R493" s="217"/>
      <c r="S493" s="217"/>
      <c r="T493" s="217"/>
      <c r="U493" s="217"/>
      <c r="V493" s="217"/>
      <c r="W493" s="217"/>
      <c r="X493" s="217"/>
      <c r="Y493" s="217"/>
      <c r="Z493" s="151"/>
      <c r="AA493" s="31"/>
      <c r="AB493" s="31"/>
    </row>
    <row r="494" spans="1:28" ht="18" customHeight="1">
      <c r="A494" s="143"/>
      <c r="B494" s="217"/>
      <c r="C494" s="217"/>
      <c r="D494" s="217"/>
      <c r="E494" s="217"/>
      <c r="F494" s="217"/>
      <c r="G494" s="217"/>
      <c r="H494" s="217"/>
      <c r="I494" s="217"/>
      <c r="J494" s="217"/>
      <c r="K494" s="217"/>
      <c r="L494" s="217"/>
      <c r="M494" s="217"/>
      <c r="N494" s="217"/>
      <c r="O494" s="146"/>
      <c r="P494" s="146"/>
      <c r="Q494" s="146"/>
      <c r="R494" s="217"/>
      <c r="S494" s="217"/>
      <c r="T494" s="217"/>
      <c r="U494" s="217"/>
      <c r="V494" s="217"/>
      <c r="W494" s="217"/>
      <c r="X494" s="217"/>
      <c r="Y494" s="217"/>
      <c r="Z494" s="151"/>
      <c r="AA494" s="31"/>
      <c r="AB494" s="31"/>
    </row>
    <row r="495" spans="1:28" ht="18" customHeight="1">
      <c r="A495" s="143"/>
      <c r="B495" s="217"/>
      <c r="C495" s="217"/>
      <c r="D495" s="217"/>
      <c r="E495" s="217"/>
      <c r="F495" s="217"/>
      <c r="G495" s="217"/>
      <c r="H495" s="217"/>
      <c r="I495" s="217"/>
      <c r="J495" s="217"/>
      <c r="K495" s="217"/>
      <c r="L495" s="217"/>
      <c r="M495" s="217"/>
      <c r="N495" s="217"/>
      <c r="O495" s="146"/>
      <c r="P495" s="146"/>
      <c r="Q495" s="146"/>
      <c r="R495" s="217"/>
      <c r="S495" s="217"/>
      <c r="T495" s="217"/>
      <c r="U495" s="217"/>
      <c r="V495" s="217"/>
      <c r="W495" s="217"/>
      <c r="X495" s="217"/>
      <c r="Y495" s="217"/>
      <c r="Z495" s="151"/>
      <c r="AA495" s="31"/>
      <c r="AB495" s="31"/>
    </row>
    <row r="496" spans="1:28" ht="18" customHeight="1">
      <c r="A496" s="143"/>
      <c r="B496" s="217"/>
      <c r="C496" s="217"/>
      <c r="D496" s="217"/>
      <c r="E496" s="217"/>
      <c r="F496" s="217"/>
      <c r="G496" s="217"/>
      <c r="H496" s="217"/>
      <c r="I496" s="217"/>
      <c r="J496" s="217"/>
      <c r="K496" s="217"/>
      <c r="L496" s="217"/>
      <c r="M496" s="217"/>
      <c r="N496" s="217"/>
      <c r="O496" s="146"/>
      <c r="P496" s="146"/>
      <c r="Q496" s="146"/>
      <c r="R496" s="217"/>
      <c r="S496" s="217"/>
      <c r="T496" s="217"/>
      <c r="U496" s="217"/>
      <c r="V496" s="217"/>
      <c r="W496" s="217"/>
      <c r="X496" s="217"/>
      <c r="Y496" s="217"/>
      <c r="Z496" s="151"/>
      <c r="AA496" s="31"/>
      <c r="AB496" s="31"/>
    </row>
    <row r="497" spans="1:28" ht="18" customHeight="1">
      <c r="A497" s="143"/>
      <c r="B497" s="217"/>
      <c r="C497" s="217"/>
      <c r="D497" s="217"/>
      <c r="E497" s="217"/>
      <c r="F497" s="217"/>
      <c r="G497" s="217"/>
      <c r="H497" s="217"/>
      <c r="I497" s="217"/>
      <c r="J497" s="217"/>
      <c r="K497" s="217"/>
      <c r="L497" s="217"/>
      <c r="M497" s="217"/>
      <c r="N497" s="217"/>
      <c r="O497" s="146"/>
      <c r="P497" s="146"/>
      <c r="Q497" s="146"/>
      <c r="R497" s="217"/>
      <c r="S497" s="217"/>
      <c r="T497" s="217"/>
      <c r="U497" s="217"/>
      <c r="V497" s="217"/>
      <c r="W497" s="217"/>
      <c r="X497" s="217"/>
      <c r="Y497" s="217"/>
      <c r="Z497" s="151"/>
      <c r="AA497" s="31"/>
      <c r="AB497" s="31"/>
    </row>
    <row r="498" spans="1:28" ht="18" customHeight="1">
      <c r="A498" s="143"/>
      <c r="B498" s="217"/>
      <c r="C498" s="217"/>
      <c r="D498" s="217"/>
      <c r="E498" s="217"/>
      <c r="F498" s="217"/>
      <c r="G498" s="217"/>
      <c r="H498" s="217"/>
      <c r="I498" s="217"/>
      <c r="J498" s="217"/>
      <c r="K498" s="217"/>
      <c r="L498" s="217"/>
      <c r="M498" s="217"/>
      <c r="N498" s="217"/>
      <c r="O498" s="146"/>
      <c r="P498" s="146"/>
      <c r="Q498" s="146"/>
      <c r="R498" s="217"/>
      <c r="S498" s="217"/>
      <c r="T498" s="217"/>
      <c r="U498" s="217"/>
      <c r="V498" s="217"/>
      <c r="W498" s="217"/>
      <c r="X498" s="217"/>
      <c r="Y498" s="217"/>
      <c r="Z498" s="151"/>
      <c r="AA498" s="31"/>
      <c r="AB498" s="31"/>
    </row>
    <row r="499" spans="1:28" ht="18" customHeight="1">
      <c r="A499" s="143"/>
      <c r="B499" s="217"/>
      <c r="C499" s="217"/>
      <c r="D499" s="217"/>
      <c r="E499" s="217"/>
      <c r="F499" s="217"/>
      <c r="G499" s="217"/>
      <c r="H499" s="217"/>
      <c r="I499" s="217"/>
      <c r="J499" s="217"/>
      <c r="K499" s="217"/>
      <c r="L499" s="217"/>
      <c r="M499" s="217"/>
      <c r="N499" s="217"/>
      <c r="O499" s="146"/>
      <c r="P499" s="146"/>
      <c r="Q499" s="146"/>
      <c r="R499" s="217"/>
      <c r="S499" s="217"/>
      <c r="T499" s="217"/>
      <c r="U499" s="217"/>
      <c r="V499" s="217"/>
      <c r="W499" s="217"/>
      <c r="X499" s="217"/>
      <c r="Y499" s="217"/>
      <c r="Z499" s="151"/>
      <c r="AA499" s="31"/>
      <c r="AB499" s="31"/>
    </row>
    <row r="500" spans="1:28" ht="18" customHeight="1">
      <c r="A500" s="143"/>
      <c r="B500" s="217"/>
      <c r="C500" s="217"/>
      <c r="D500" s="217"/>
      <c r="E500" s="217"/>
      <c r="F500" s="217"/>
      <c r="G500" s="217"/>
      <c r="H500" s="217"/>
      <c r="I500" s="217"/>
      <c r="J500" s="217"/>
      <c r="K500" s="217"/>
      <c r="L500" s="217"/>
      <c r="M500" s="217"/>
      <c r="N500" s="217"/>
      <c r="O500" s="146"/>
      <c r="P500" s="146"/>
      <c r="Q500" s="146"/>
      <c r="R500" s="217"/>
      <c r="S500" s="217"/>
      <c r="T500" s="217"/>
      <c r="U500" s="217"/>
      <c r="V500" s="217"/>
      <c r="W500" s="217"/>
      <c r="X500" s="217"/>
      <c r="Y500" s="217"/>
      <c r="Z500" s="151"/>
      <c r="AA500" s="31"/>
      <c r="AB500" s="31"/>
    </row>
    <row r="501" spans="1:28" ht="18" customHeight="1">
      <c r="A501" s="143"/>
      <c r="B501" s="217"/>
      <c r="C501" s="217"/>
      <c r="D501" s="217"/>
      <c r="E501" s="217"/>
      <c r="F501" s="217"/>
      <c r="G501" s="217"/>
      <c r="H501" s="217"/>
      <c r="I501" s="217"/>
      <c r="J501" s="217"/>
      <c r="K501" s="217"/>
      <c r="L501" s="217"/>
      <c r="M501" s="217"/>
      <c r="N501" s="217"/>
      <c r="O501" s="146"/>
      <c r="P501" s="146"/>
      <c r="Q501" s="146"/>
      <c r="R501" s="217"/>
      <c r="S501" s="217"/>
      <c r="T501" s="217"/>
      <c r="U501" s="217"/>
      <c r="V501" s="217"/>
      <c r="W501" s="217"/>
      <c r="X501" s="217"/>
      <c r="Y501" s="217"/>
      <c r="Z501" s="151"/>
      <c r="AA501" s="31"/>
      <c r="AB501" s="31"/>
    </row>
    <row r="502" spans="1:28" ht="18" customHeight="1">
      <c r="A502" s="143"/>
      <c r="B502" s="217"/>
      <c r="C502" s="217"/>
      <c r="D502" s="217"/>
      <c r="E502" s="217"/>
      <c r="F502" s="217"/>
      <c r="G502" s="217"/>
      <c r="H502" s="217"/>
      <c r="I502" s="217"/>
      <c r="J502" s="217"/>
      <c r="K502" s="217"/>
      <c r="L502" s="217"/>
      <c r="M502" s="217"/>
      <c r="N502" s="217"/>
      <c r="O502" s="146"/>
      <c r="P502" s="146"/>
      <c r="Q502" s="146"/>
      <c r="R502" s="217"/>
      <c r="S502" s="217"/>
      <c r="T502" s="217"/>
      <c r="U502" s="217"/>
      <c r="V502" s="217"/>
      <c r="W502" s="217"/>
      <c r="X502" s="217"/>
      <c r="Y502" s="217"/>
      <c r="Z502" s="151"/>
      <c r="AA502" s="31"/>
      <c r="AB502" s="31"/>
    </row>
    <row r="503" spans="1:28" ht="18" customHeight="1">
      <c r="A503" s="143"/>
      <c r="B503" s="217"/>
      <c r="C503" s="217"/>
      <c r="D503" s="217"/>
      <c r="E503" s="217"/>
      <c r="F503" s="217"/>
      <c r="G503" s="217"/>
      <c r="H503" s="217"/>
      <c r="I503" s="217"/>
      <c r="J503" s="217"/>
      <c r="K503" s="217"/>
      <c r="L503" s="217"/>
      <c r="M503" s="217"/>
      <c r="N503" s="217"/>
      <c r="O503" s="146"/>
      <c r="P503" s="146"/>
      <c r="Q503" s="146"/>
      <c r="R503" s="217"/>
      <c r="S503" s="217"/>
      <c r="T503" s="217"/>
      <c r="U503" s="217"/>
      <c r="V503" s="217"/>
      <c r="W503" s="217"/>
      <c r="X503" s="217"/>
      <c r="Y503" s="217"/>
      <c r="Z503" s="151"/>
      <c r="AA503" s="31"/>
      <c r="AB503" s="31"/>
    </row>
    <row r="504" spans="1:28" ht="18" customHeight="1">
      <c r="A504" s="143"/>
      <c r="B504" s="217"/>
      <c r="C504" s="217"/>
      <c r="D504" s="217"/>
      <c r="E504" s="217"/>
      <c r="F504" s="217"/>
      <c r="G504" s="217"/>
      <c r="H504" s="217"/>
      <c r="I504" s="217"/>
      <c r="J504" s="217"/>
      <c r="K504" s="217"/>
      <c r="L504" s="217"/>
      <c r="M504" s="217"/>
      <c r="N504" s="217"/>
      <c r="O504" s="146"/>
      <c r="P504" s="146"/>
      <c r="Q504" s="146"/>
      <c r="R504" s="217"/>
      <c r="S504" s="217"/>
      <c r="T504" s="217"/>
      <c r="U504" s="217"/>
      <c r="V504" s="217"/>
      <c r="W504" s="217"/>
      <c r="X504" s="217"/>
      <c r="Y504" s="217"/>
      <c r="Z504" s="151"/>
      <c r="AA504" s="31"/>
      <c r="AB504" s="31"/>
    </row>
    <row r="505" spans="1:28" ht="18" customHeight="1">
      <c r="A505" s="143"/>
      <c r="B505" s="217"/>
      <c r="C505" s="217"/>
      <c r="D505" s="217"/>
      <c r="E505" s="217"/>
      <c r="F505" s="217"/>
      <c r="G505" s="217"/>
      <c r="H505" s="217"/>
      <c r="I505" s="217"/>
      <c r="J505" s="217"/>
      <c r="K505" s="217"/>
      <c r="L505" s="217"/>
      <c r="M505" s="217"/>
      <c r="N505" s="217"/>
      <c r="O505" s="146"/>
      <c r="P505" s="146"/>
      <c r="Q505" s="146"/>
      <c r="R505" s="217"/>
      <c r="S505" s="217"/>
      <c r="T505" s="217"/>
      <c r="U505" s="217"/>
      <c r="V505" s="217"/>
      <c r="W505" s="217"/>
      <c r="X505" s="217"/>
      <c r="Y505" s="217"/>
      <c r="Z505" s="151"/>
      <c r="AA505" s="31"/>
      <c r="AB505" s="31"/>
    </row>
    <row r="506" spans="1:28" ht="18" customHeight="1">
      <c r="A506" s="143"/>
      <c r="B506" s="217"/>
      <c r="C506" s="217"/>
      <c r="D506" s="217"/>
      <c r="E506" s="217"/>
      <c r="F506" s="217"/>
      <c r="G506" s="217"/>
      <c r="H506" s="217"/>
      <c r="I506" s="217"/>
      <c r="J506" s="217"/>
      <c r="K506" s="217"/>
      <c r="L506" s="217"/>
      <c r="M506" s="217"/>
      <c r="N506" s="217"/>
      <c r="O506" s="146"/>
      <c r="P506" s="146"/>
      <c r="Q506" s="146"/>
      <c r="R506" s="217"/>
      <c r="S506" s="217"/>
      <c r="T506" s="217"/>
      <c r="U506" s="217"/>
      <c r="V506" s="217"/>
      <c r="W506" s="217"/>
      <c r="X506" s="217"/>
      <c r="Y506" s="217"/>
      <c r="Z506" s="151"/>
      <c r="AA506" s="31"/>
      <c r="AB506" s="31"/>
    </row>
    <row r="507" spans="1:28" ht="18" customHeight="1">
      <c r="A507" s="143"/>
      <c r="B507" s="217"/>
      <c r="C507" s="217"/>
      <c r="D507" s="217"/>
      <c r="E507" s="217"/>
      <c r="F507" s="217"/>
      <c r="G507" s="217"/>
      <c r="H507" s="217"/>
      <c r="I507" s="217"/>
      <c r="J507" s="217"/>
      <c r="K507" s="217"/>
      <c r="L507" s="217"/>
      <c r="M507" s="217"/>
      <c r="N507" s="217"/>
      <c r="O507" s="146"/>
      <c r="P507" s="146"/>
      <c r="Q507" s="146"/>
      <c r="R507" s="217"/>
      <c r="S507" s="217"/>
      <c r="T507" s="217"/>
      <c r="U507" s="217"/>
      <c r="V507" s="217"/>
      <c r="W507" s="217"/>
      <c r="X507" s="217"/>
      <c r="Y507" s="217"/>
      <c r="Z507" s="151"/>
      <c r="AA507" s="31"/>
      <c r="AB507" s="31"/>
    </row>
    <row r="508" spans="1:28" ht="18" customHeight="1">
      <c r="A508" s="143"/>
      <c r="B508" s="217"/>
      <c r="C508" s="217"/>
      <c r="D508" s="217"/>
      <c r="E508" s="217"/>
      <c r="F508" s="217"/>
      <c r="G508" s="217"/>
      <c r="H508" s="217"/>
      <c r="I508" s="217"/>
      <c r="J508" s="217"/>
      <c r="K508" s="217"/>
      <c r="L508" s="217"/>
      <c r="M508" s="217"/>
      <c r="N508" s="217"/>
      <c r="O508" s="146"/>
      <c r="P508" s="146"/>
      <c r="Q508" s="146"/>
      <c r="R508" s="217"/>
      <c r="S508" s="217"/>
      <c r="T508" s="217"/>
      <c r="U508" s="217"/>
      <c r="V508" s="217"/>
      <c r="W508" s="217"/>
      <c r="X508" s="217"/>
      <c r="Y508" s="217"/>
      <c r="Z508" s="151"/>
      <c r="AA508" s="31"/>
      <c r="AB508" s="31"/>
    </row>
    <row r="509" spans="1:28" ht="18" customHeight="1">
      <c r="A509" s="143"/>
      <c r="B509" s="217"/>
      <c r="C509" s="217"/>
      <c r="D509" s="217"/>
      <c r="E509" s="217"/>
      <c r="F509" s="217"/>
      <c r="G509" s="217"/>
      <c r="H509" s="217"/>
      <c r="I509" s="217"/>
      <c r="J509" s="217"/>
      <c r="K509" s="217"/>
      <c r="L509" s="217"/>
      <c r="M509" s="217"/>
      <c r="N509" s="217"/>
      <c r="O509" s="146"/>
      <c r="P509" s="146"/>
      <c r="Q509" s="146"/>
      <c r="R509" s="217"/>
      <c r="S509" s="217"/>
      <c r="T509" s="217"/>
      <c r="U509" s="217"/>
      <c r="V509" s="217"/>
      <c r="W509" s="217"/>
      <c r="X509" s="217"/>
      <c r="Y509" s="217"/>
      <c r="Z509" s="151"/>
      <c r="AA509" s="31"/>
      <c r="AB509" s="31"/>
    </row>
    <row r="510" spans="1:28" ht="18" customHeight="1">
      <c r="A510" s="143"/>
      <c r="B510" s="217"/>
      <c r="C510" s="217"/>
      <c r="D510" s="217"/>
      <c r="E510" s="217"/>
      <c r="F510" s="217"/>
      <c r="G510" s="217"/>
      <c r="H510" s="217"/>
      <c r="I510" s="217"/>
      <c r="J510" s="217"/>
      <c r="K510" s="217"/>
      <c r="L510" s="217"/>
      <c r="M510" s="217"/>
      <c r="N510" s="217"/>
      <c r="O510" s="146"/>
      <c r="P510" s="146"/>
      <c r="Q510" s="146"/>
      <c r="R510" s="217"/>
      <c r="S510" s="217"/>
      <c r="T510" s="217"/>
      <c r="U510" s="217"/>
      <c r="V510" s="217"/>
      <c r="W510" s="217"/>
      <c r="X510" s="217"/>
      <c r="Y510" s="217"/>
      <c r="Z510" s="151"/>
      <c r="AA510" s="31"/>
      <c r="AB510" s="31"/>
    </row>
    <row r="511" spans="1:28" ht="18" customHeight="1">
      <c r="A511" s="143"/>
      <c r="B511" s="217"/>
      <c r="C511" s="217"/>
      <c r="D511" s="217"/>
      <c r="E511" s="217"/>
      <c r="F511" s="217"/>
      <c r="G511" s="217"/>
      <c r="H511" s="217"/>
      <c r="I511" s="217"/>
      <c r="J511" s="217"/>
      <c r="K511" s="217"/>
      <c r="L511" s="217"/>
      <c r="M511" s="217"/>
      <c r="N511" s="217"/>
      <c r="O511" s="146"/>
      <c r="P511" s="146"/>
      <c r="Q511" s="146"/>
      <c r="R511" s="217"/>
      <c r="S511" s="217"/>
      <c r="T511" s="217"/>
      <c r="U511" s="217"/>
      <c r="V511" s="217"/>
      <c r="W511" s="217"/>
      <c r="X511" s="217"/>
      <c r="Y511" s="217"/>
      <c r="Z511" s="151"/>
      <c r="AA511" s="31"/>
      <c r="AB511" s="31"/>
    </row>
    <row r="512" spans="1:28" ht="18" customHeight="1">
      <c r="A512" s="143"/>
      <c r="B512" s="217"/>
      <c r="C512" s="217"/>
      <c r="D512" s="217"/>
      <c r="E512" s="217"/>
      <c r="F512" s="217"/>
      <c r="G512" s="217"/>
      <c r="H512" s="217"/>
      <c r="I512" s="217"/>
      <c r="J512" s="217"/>
      <c r="K512" s="217"/>
      <c r="L512" s="217"/>
      <c r="M512" s="217"/>
      <c r="N512" s="217"/>
      <c r="O512" s="146"/>
      <c r="P512" s="146"/>
      <c r="Q512" s="146"/>
      <c r="R512" s="217"/>
      <c r="S512" s="217"/>
      <c r="T512" s="217"/>
      <c r="U512" s="217"/>
      <c r="V512" s="217"/>
      <c r="W512" s="217"/>
      <c r="X512" s="217"/>
      <c r="Y512" s="217"/>
      <c r="Z512" s="151"/>
      <c r="AA512" s="31"/>
      <c r="AB512" s="31"/>
    </row>
    <row r="513" spans="1:28" ht="18" customHeight="1">
      <c r="A513" s="143"/>
      <c r="B513" s="217"/>
      <c r="C513" s="217"/>
      <c r="D513" s="217"/>
      <c r="E513" s="217"/>
      <c r="F513" s="217"/>
      <c r="G513" s="217"/>
      <c r="H513" s="217"/>
      <c r="I513" s="217"/>
      <c r="J513" s="217"/>
      <c r="K513" s="217"/>
      <c r="L513" s="217"/>
      <c r="M513" s="217"/>
      <c r="N513" s="217"/>
      <c r="O513" s="146"/>
      <c r="P513" s="146"/>
      <c r="Q513" s="146"/>
      <c r="R513" s="217"/>
      <c r="S513" s="217"/>
      <c r="T513" s="217"/>
      <c r="U513" s="217"/>
      <c r="V513" s="217"/>
      <c r="W513" s="217"/>
      <c r="X513" s="217"/>
      <c r="Y513" s="217"/>
      <c r="Z513" s="151"/>
      <c r="AA513" s="31"/>
      <c r="AB513" s="31"/>
    </row>
    <row r="514" spans="1:28" ht="18" customHeight="1">
      <c r="A514" s="143"/>
      <c r="B514" s="217"/>
      <c r="C514" s="217"/>
      <c r="D514" s="217"/>
      <c r="E514" s="217"/>
      <c r="F514" s="217"/>
      <c r="G514" s="217"/>
      <c r="H514" s="217"/>
      <c r="I514" s="217"/>
      <c r="J514" s="217"/>
      <c r="K514" s="217"/>
      <c r="L514" s="217"/>
      <c r="M514" s="217"/>
      <c r="N514" s="217"/>
      <c r="O514" s="146"/>
      <c r="P514" s="146"/>
      <c r="Q514" s="146"/>
      <c r="R514" s="217"/>
      <c r="S514" s="217"/>
      <c r="T514" s="217"/>
      <c r="U514" s="217"/>
      <c r="V514" s="217"/>
      <c r="W514" s="217"/>
      <c r="X514" s="217"/>
      <c r="Y514" s="217"/>
      <c r="Z514" s="151"/>
      <c r="AA514" s="31"/>
      <c r="AB514" s="31"/>
    </row>
    <row r="515" spans="1:28" ht="18" customHeight="1">
      <c r="A515" s="143"/>
      <c r="B515" s="217"/>
      <c r="C515" s="217"/>
      <c r="D515" s="217"/>
      <c r="E515" s="217"/>
      <c r="F515" s="217"/>
      <c r="G515" s="217"/>
      <c r="H515" s="217"/>
      <c r="I515" s="217"/>
      <c r="J515" s="217"/>
      <c r="K515" s="217"/>
      <c r="L515" s="217"/>
      <c r="M515" s="217"/>
      <c r="N515" s="217"/>
      <c r="O515" s="146"/>
      <c r="P515" s="146"/>
      <c r="Q515" s="146"/>
      <c r="R515" s="217"/>
      <c r="S515" s="217"/>
      <c r="T515" s="217"/>
      <c r="U515" s="217"/>
      <c r="V515" s="217"/>
      <c r="W515" s="217"/>
      <c r="X515" s="217"/>
      <c r="Y515" s="217"/>
      <c r="Z515" s="151"/>
      <c r="AA515" s="31"/>
      <c r="AB515" s="31"/>
    </row>
    <row r="516" spans="1:28" ht="18" customHeight="1">
      <c r="A516" s="143"/>
      <c r="B516" s="217"/>
      <c r="C516" s="217"/>
      <c r="D516" s="217"/>
      <c r="E516" s="217"/>
      <c r="F516" s="217"/>
      <c r="G516" s="217"/>
      <c r="H516" s="217"/>
      <c r="I516" s="217"/>
      <c r="J516" s="217"/>
      <c r="K516" s="217"/>
      <c r="L516" s="217"/>
      <c r="M516" s="217"/>
      <c r="N516" s="217"/>
      <c r="O516" s="146"/>
      <c r="P516" s="146"/>
      <c r="Q516" s="146"/>
      <c r="R516" s="217"/>
      <c r="S516" s="217"/>
      <c r="T516" s="217"/>
      <c r="U516" s="217"/>
      <c r="V516" s="217"/>
      <c r="W516" s="217"/>
      <c r="X516" s="217"/>
      <c r="Y516" s="217"/>
      <c r="Z516" s="151"/>
      <c r="AA516" s="31"/>
      <c r="AB516" s="31"/>
    </row>
    <row r="517" spans="1:28" ht="18" customHeight="1">
      <c r="A517" s="143"/>
      <c r="B517" s="217"/>
      <c r="C517" s="217"/>
      <c r="D517" s="217"/>
      <c r="E517" s="217"/>
      <c r="F517" s="217"/>
      <c r="G517" s="217"/>
      <c r="H517" s="217"/>
      <c r="I517" s="217"/>
      <c r="J517" s="217"/>
      <c r="K517" s="217"/>
      <c r="L517" s="217"/>
      <c r="M517" s="217"/>
      <c r="N517" s="217"/>
      <c r="O517" s="146"/>
      <c r="P517" s="146"/>
      <c r="Q517" s="146"/>
      <c r="R517" s="217"/>
      <c r="S517" s="217"/>
      <c r="T517" s="217"/>
      <c r="U517" s="217"/>
      <c r="V517" s="217"/>
      <c r="W517" s="217"/>
      <c r="X517" s="217"/>
      <c r="Y517" s="217"/>
      <c r="Z517" s="151"/>
      <c r="AA517" s="31"/>
      <c r="AB517" s="31"/>
    </row>
    <row r="518" spans="1:28" ht="18" customHeight="1">
      <c r="A518" s="143"/>
      <c r="B518" s="217"/>
      <c r="C518" s="217"/>
      <c r="D518" s="217"/>
      <c r="E518" s="217"/>
      <c r="F518" s="217"/>
      <c r="G518" s="217"/>
      <c r="H518" s="217"/>
      <c r="I518" s="217"/>
      <c r="J518" s="217"/>
      <c r="K518" s="217"/>
      <c r="L518" s="217"/>
      <c r="M518" s="217"/>
      <c r="N518" s="217"/>
      <c r="O518" s="146"/>
      <c r="P518" s="146"/>
      <c r="Q518" s="146"/>
      <c r="R518" s="217"/>
      <c r="S518" s="217"/>
      <c r="T518" s="217"/>
      <c r="U518" s="217"/>
      <c r="V518" s="217"/>
      <c r="W518" s="217"/>
      <c r="X518" s="217"/>
      <c r="Y518" s="217"/>
      <c r="Z518" s="151"/>
      <c r="AA518" s="31"/>
      <c r="AB518" s="31"/>
    </row>
    <row r="519" spans="1:28" ht="18" customHeight="1">
      <c r="A519" s="143"/>
      <c r="B519" s="217"/>
      <c r="C519" s="217"/>
      <c r="D519" s="217"/>
      <c r="E519" s="217"/>
      <c r="F519" s="217"/>
      <c r="G519" s="217"/>
      <c r="H519" s="217"/>
      <c r="I519" s="217"/>
      <c r="J519" s="217"/>
      <c r="K519" s="217"/>
      <c r="L519" s="217"/>
      <c r="M519" s="217"/>
      <c r="N519" s="217"/>
      <c r="O519" s="146"/>
      <c r="P519" s="146"/>
      <c r="Q519" s="146"/>
      <c r="R519" s="217"/>
      <c r="S519" s="217"/>
      <c r="T519" s="217"/>
      <c r="U519" s="217"/>
      <c r="V519" s="217"/>
      <c r="W519" s="217"/>
      <c r="X519" s="217"/>
      <c r="Y519" s="217"/>
      <c r="Z519" s="151"/>
      <c r="AA519" s="31"/>
      <c r="AB519" s="31"/>
    </row>
    <row r="520" spans="1:28" ht="18" customHeight="1">
      <c r="A520" s="143"/>
      <c r="B520" s="217"/>
      <c r="C520" s="217"/>
      <c r="D520" s="217"/>
      <c r="E520" s="217"/>
      <c r="F520" s="217"/>
      <c r="G520" s="217"/>
      <c r="H520" s="217"/>
      <c r="I520" s="217"/>
      <c r="J520" s="217"/>
      <c r="K520" s="217"/>
      <c r="L520" s="217"/>
      <c r="M520" s="217"/>
      <c r="N520" s="217"/>
      <c r="O520" s="146"/>
      <c r="P520" s="146"/>
      <c r="Q520" s="146"/>
      <c r="R520" s="217"/>
      <c r="S520" s="217"/>
      <c r="T520" s="217"/>
      <c r="U520" s="217"/>
      <c r="V520" s="217"/>
      <c r="W520" s="217"/>
      <c r="X520" s="217"/>
      <c r="Y520" s="217"/>
      <c r="Z520" s="151"/>
      <c r="AA520" s="31"/>
      <c r="AB520" s="31"/>
    </row>
    <row r="521" spans="1:28" ht="18" customHeight="1">
      <c r="A521" s="143"/>
      <c r="B521" s="217"/>
      <c r="C521" s="217"/>
      <c r="D521" s="217"/>
      <c r="E521" s="217"/>
      <c r="F521" s="217"/>
      <c r="G521" s="217"/>
      <c r="H521" s="217"/>
      <c r="I521" s="217"/>
      <c r="J521" s="217"/>
      <c r="K521" s="217"/>
      <c r="L521" s="217"/>
      <c r="M521" s="217"/>
      <c r="N521" s="217"/>
      <c r="O521" s="146"/>
      <c r="P521" s="146"/>
      <c r="Q521" s="146"/>
      <c r="R521" s="217"/>
      <c r="S521" s="217"/>
      <c r="T521" s="217"/>
      <c r="U521" s="217"/>
      <c r="V521" s="217"/>
      <c r="W521" s="217"/>
      <c r="X521" s="217"/>
      <c r="Y521" s="217"/>
      <c r="Z521" s="151"/>
      <c r="AA521" s="31"/>
      <c r="AB521" s="31"/>
    </row>
    <row r="522" spans="1:28" ht="18" customHeight="1">
      <c r="A522" s="143"/>
      <c r="B522" s="217"/>
      <c r="C522" s="217"/>
      <c r="D522" s="217"/>
      <c r="E522" s="217"/>
      <c r="F522" s="217"/>
      <c r="G522" s="217"/>
      <c r="H522" s="217"/>
      <c r="I522" s="217"/>
      <c r="J522" s="217"/>
      <c r="K522" s="217"/>
      <c r="L522" s="217"/>
      <c r="M522" s="217"/>
      <c r="N522" s="217"/>
      <c r="O522" s="146"/>
      <c r="P522" s="146"/>
      <c r="Q522" s="146"/>
      <c r="R522" s="217"/>
      <c r="S522" s="217"/>
      <c r="T522" s="217"/>
      <c r="U522" s="217"/>
      <c r="V522" s="217"/>
      <c r="W522" s="217"/>
      <c r="X522" s="217"/>
      <c r="Y522" s="217"/>
      <c r="Z522" s="151"/>
      <c r="AA522" s="31"/>
      <c r="AB522" s="31"/>
    </row>
    <row r="523" spans="1:28" ht="18" customHeight="1">
      <c r="A523" s="143"/>
      <c r="B523" s="217"/>
      <c r="C523" s="217"/>
      <c r="D523" s="217"/>
      <c r="E523" s="217"/>
      <c r="F523" s="217"/>
      <c r="G523" s="217"/>
      <c r="H523" s="217"/>
      <c r="I523" s="217"/>
      <c r="J523" s="217"/>
      <c r="K523" s="217"/>
      <c r="L523" s="217"/>
      <c r="M523" s="217"/>
      <c r="N523" s="217"/>
      <c r="O523" s="146"/>
      <c r="P523" s="146"/>
      <c r="Q523" s="146"/>
      <c r="R523" s="217"/>
      <c r="S523" s="217"/>
      <c r="T523" s="217"/>
      <c r="U523" s="217"/>
      <c r="V523" s="217"/>
      <c r="W523" s="217"/>
      <c r="X523" s="217"/>
      <c r="Y523" s="217"/>
      <c r="Z523" s="151"/>
      <c r="AA523" s="31"/>
      <c r="AB523" s="31"/>
    </row>
    <row r="524" spans="1:28" ht="18" customHeight="1">
      <c r="A524" s="143"/>
      <c r="B524" s="217"/>
      <c r="C524" s="217"/>
      <c r="D524" s="217"/>
      <c r="E524" s="217"/>
      <c r="F524" s="217"/>
      <c r="G524" s="217"/>
      <c r="H524" s="217"/>
      <c r="I524" s="217"/>
      <c r="J524" s="217"/>
      <c r="K524" s="217"/>
      <c r="L524" s="217"/>
      <c r="M524" s="217"/>
      <c r="N524" s="217"/>
      <c r="O524" s="146"/>
      <c r="P524" s="146"/>
      <c r="Q524" s="146"/>
      <c r="R524" s="217"/>
      <c r="S524" s="217"/>
      <c r="T524" s="217"/>
      <c r="U524" s="217"/>
      <c r="V524" s="217"/>
      <c r="W524" s="217"/>
      <c r="X524" s="217"/>
      <c r="Y524" s="217"/>
      <c r="Z524" s="151"/>
      <c r="AA524" s="31"/>
      <c r="AB524" s="31"/>
    </row>
    <row r="525" spans="1:28" ht="18" customHeight="1">
      <c r="A525" s="143"/>
      <c r="B525" s="217"/>
      <c r="C525" s="217"/>
      <c r="D525" s="217"/>
      <c r="E525" s="217"/>
      <c r="F525" s="217"/>
      <c r="G525" s="217"/>
      <c r="H525" s="217"/>
      <c r="I525" s="217"/>
      <c r="J525" s="217"/>
      <c r="K525" s="217"/>
      <c r="L525" s="217"/>
      <c r="M525" s="217"/>
      <c r="N525" s="217"/>
      <c r="O525" s="146"/>
      <c r="P525" s="146"/>
      <c r="Q525" s="146"/>
      <c r="R525" s="217"/>
      <c r="S525" s="217"/>
      <c r="T525" s="217"/>
      <c r="U525" s="217"/>
      <c r="V525" s="217"/>
      <c r="W525" s="217"/>
      <c r="X525" s="217"/>
      <c r="Y525" s="217"/>
      <c r="Z525" s="151"/>
      <c r="AA525" s="31"/>
      <c r="AB525" s="31"/>
    </row>
    <row r="526" spans="1:28" ht="18" customHeight="1">
      <c r="A526" s="143"/>
      <c r="B526" s="217"/>
      <c r="C526" s="217"/>
      <c r="D526" s="217"/>
      <c r="E526" s="217"/>
      <c r="F526" s="217"/>
      <c r="G526" s="217"/>
      <c r="H526" s="217"/>
      <c r="I526" s="217"/>
      <c r="J526" s="217"/>
      <c r="K526" s="217"/>
      <c r="L526" s="217"/>
      <c r="M526" s="217"/>
      <c r="N526" s="217"/>
      <c r="O526" s="146"/>
      <c r="P526" s="146"/>
      <c r="Q526" s="146"/>
      <c r="R526" s="217"/>
      <c r="S526" s="217"/>
      <c r="T526" s="217"/>
      <c r="U526" s="217"/>
      <c r="V526" s="217"/>
      <c r="W526" s="217"/>
      <c r="X526" s="217"/>
      <c r="Y526" s="217"/>
      <c r="Z526" s="151"/>
      <c r="AA526" s="31"/>
      <c r="AB526" s="31"/>
    </row>
    <row r="527" spans="1:28" ht="18" customHeight="1">
      <c r="A527" s="143"/>
      <c r="B527" s="217"/>
      <c r="C527" s="217"/>
      <c r="D527" s="217"/>
      <c r="E527" s="217"/>
      <c r="F527" s="217"/>
      <c r="G527" s="217"/>
      <c r="H527" s="217"/>
      <c r="I527" s="217"/>
      <c r="J527" s="217"/>
      <c r="K527" s="217"/>
      <c r="L527" s="217"/>
      <c r="M527" s="217"/>
      <c r="N527" s="217"/>
      <c r="O527" s="146"/>
      <c r="P527" s="146"/>
      <c r="Q527" s="146"/>
      <c r="R527" s="217"/>
      <c r="S527" s="217"/>
      <c r="T527" s="217"/>
      <c r="U527" s="217"/>
      <c r="V527" s="217"/>
      <c r="W527" s="217"/>
      <c r="X527" s="217"/>
      <c r="Y527" s="217"/>
      <c r="Z527" s="151"/>
      <c r="AA527" s="31"/>
      <c r="AB527" s="31"/>
    </row>
    <row r="528" spans="1:28" ht="18" customHeight="1">
      <c r="A528" s="143"/>
      <c r="B528" s="217"/>
      <c r="C528" s="217"/>
      <c r="D528" s="217"/>
      <c r="E528" s="217"/>
      <c r="F528" s="217"/>
      <c r="G528" s="217"/>
      <c r="H528" s="217"/>
      <c r="I528" s="217"/>
      <c r="J528" s="217"/>
      <c r="K528" s="217"/>
      <c r="L528" s="217"/>
      <c r="M528" s="217"/>
      <c r="N528" s="217"/>
      <c r="O528" s="146"/>
      <c r="P528" s="146"/>
      <c r="Q528" s="146"/>
      <c r="R528" s="217"/>
      <c r="S528" s="217"/>
      <c r="T528" s="217"/>
      <c r="U528" s="217"/>
      <c r="V528" s="217"/>
      <c r="W528" s="217"/>
      <c r="X528" s="217"/>
      <c r="Y528" s="217"/>
      <c r="Z528" s="151"/>
      <c r="AA528" s="31"/>
      <c r="AB528" s="31"/>
    </row>
    <row r="529" spans="1:28" ht="18" customHeight="1">
      <c r="A529" s="143"/>
      <c r="B529" s="217"/>
      <c r="C529" s="217"/>
      <c r="D529" s="217"/>
      <c r="E529" s="217"/>
      <c r="F529" s="217"/>
      <c r="G529" s="217"/>
      <c r="H529" s="217"/>
      <c r="I529" s="217"/>
      <c r="J529" s="217"/>
      <c r="K529" s="217"/>
      <c r="L529" s="217"/>
      <c r="M529" s="217"/>
      <c r="N529" s="217"/>
      <c r="O529" s="146"/>
      <c r="P529" s="146"/>
      <c r="Q529" s="146"/>
      <c r="R529" s="217"/>
      <c r="S529" s="217"/>
      <c r="T529" s="217"/>
      <c r="U529" s="217"/>
      <c r="V529" s="217"/>
      <c r="W529" s="217"/>
      <c r="X529" s="217"/>
      <c r="Y529" s="217"/>
      <c r="Z529" s="151"/>
      <c r="AA529" s="31"/>
      <c r="AB529" s="31"/>
    </row>
    <row r="530" spans="1:28" ht="18" customHeight="1">
      <c r="A530" s="143"/>
      <c r="B530" s="217"/>
      <c r="C530" s="217"/>
      <c r="D530" s="217"/>
      <c r="E530" s="217"/>
      <c r="F530" s="217"/>
      <c r="G530" s="217"/>
      <c r="H530" s="217"/>
      <c r="I530" s="217"/>
      <c r="J530" s="217"/>
      <c r="K530" s="217"/>
      <c r="L530" s="217"/>
      <c r="M530" s="217"/>
      <c r="N530" s="217"/>
      <c r="O530" s="146"/>
      <c r="P530" s="146"/>
      <c r="Q530" s="146"/>
      <c r="R530" s="217"/>
      <c r="S530" s="217"/>
      <c r="T530" s="217"/>
      <c r="U530" s="217"/>
      <c r="V530" s="217"/>
      <c r="W530" s="217"/>
      <c r="X530" s="217"/>
      <c r="Y530" s="217"/>
      <c r="Z530" s="151"/>
      <c r="AA530" s="31"/>
      <c r="AB530" s="31"/>
    </row>
    <row r="531" spans="1:28" ht="18" customHeight="1">
      <c r="A531" s="143"/>
      <c r="B531" s="217"/>
      <c r="C531" s="217"/>
      <c r="D531" s="217"/>
      <c r="E531" s="217"/>
      <c r="F531" s="217"/>
      <c r="G531" s="217"/>
      <c r="H531" s="217"/>
      <c r="I531" s="217"/>
      <c r="J531" s="217"/>
      <c r="K531" s="217"/>
      <c r="L531" s="217"/>
      <c r="M531" s="217"/>
      <c r="N531" s="217"/>
      <c r="O531" s="146"/>
      <c r="P531" s="146"/>
      <c r="Q531" s="146"/>
      <c r="R531" s="217"/>
      <c r="S531" s="217"/>
      <c r="T531" s="217"/>
      <c r="U531" s="217"/>
      <c r="V531" s="217"/>
      <c r="W531" s="217"/>
      <c r="X531" s="217"/>
      <c r="Y531" s="217"/>
      <c r="Z531" s="151"/>
      <c r="AA531" s="31"/>
      <c r="AB531" s="31"/>
    </row>
    <row r="532" spans="1:28" ht="18" customHeight="1">
      <c r="A532" s="143"/>
      <c r="B532" s="217"/>
      <c r="C532" s="217"/>
      <c r="D532" s="217"/>
      <c r="E532" s="217"/>
      <c r="F532" s="217"/>
      <c r="G532" s="217"/>
      <c r="H532" s="217"/>
      <c r="I532" s="217"/>
      <c r="J532" s="217"/>
      <c r="K532" s="217"/>
      <c r="L532" s="217"/>
      <c r="M532" s="217"/>
      <c r="N532" s="217"/>
      <c r="O532" s="146"/>
      <c r="P532" s="146"/>
      <c r="Q532" s="146"/>
      <c r="R532" s="217"/>
      <c r="S532" s="217"/>
      <c r="T532" s="217"/>
      <c r="U532" s="217"/>
      <c r="V532" s="217"/>
      <c r="W532" s="217"/>
      <c r="X532" s="217"/>
      <c r="Y532" s="217"/>
      <c r="Z532" s="151"/>
      <c r="AA532" s="31"/>
      <c r="AB532" s="31"/>
    </row>
    <row r="533" spans="1:28" ht="18" customHeight="1">
      <c r="A533" s="143"/>
      <c r="B533" s="217"/>
      <c r="C533" s="217"/>
      <c r="D533" s="217"/>
      <c r="E533" s="217"/>
      <c r="F533" s="217"/>
      <c r="G533" s="217"/>
      <c r="H533" s="217"/>
      <c r="I533" s="217"/>
      <c r="J533" s="217"/>
      <c r="K533" s="217"/>
      <c r="L533" s="217"/>
      <c r="M533" s="217"/>
      <c r="N533" s="217"/>
      <c r="O533" s="146"/>
      <c r="P533" s="146"/>
      <c r="Q533" s="146"/>
      <c r="R533" s="217"/>
      <c r="S533" s="217"/>
      <c r="T533" s="217"/>
      <c r="U533" s="217"/>
      <c r="V533" s="217"/>
      <c r="W533" s="217"/>
      <c r="X533" s="217"/>
      <c r="Y533" s="217"/>
      <c r="Z533" s="151"/>
      <c r="AA533" s="31"/>
      <c r="AB533" s="31"/>
    </row>
    <row r="534" spans="1:28" ht="18" customHeight="1">
      <c r="A534" s="143"/>
      <c r="B534" s="217"/>
      <c r="C534" s="217"/>
      <c r="D534" s="217"/>
      <c r="E534" s="217"/>
      <c r="F534" s="217"/>
      <c r="G534" s="217"/>
      <c r="H534" s="217"/>
      <c r="I534" s="217"/>
      <c r="J534" s="217"/>
      <c r="K534" s="217"/>
      <c r="L534" s="217"/>
      <c r="M534" s="217"/>
      <c r="N534" s="217"/>
      <c r="O534" s="146"/>
      <c r="P534" s="146"/>
      <c r="Q534" s="146"/>
      <c r="R534" s="217"/>
      <c r="S534" s="217"/>
      <c r="T534" s="217"/>
      <c r="U534" s="217"/>
      <c r="V534" s="217"/>
      <c r="W534" s="217"/>
      <c r="X534" s="217"/>
      <c r="Y534" s="217"/>
      <c r="Z534" s="151"/>
      <c r="AA534" s="31"/>
      <c r="AB534" s="31"/>
    </row>
    <row r="535" spans="1:28" ht="18" customHeight="1">
      <c r="A535" s="143"/>
      <c r="B535" s="217"/>
      <c r="C535" s="217"/>
      <c r="D535" s="217"/>
      <c r="E535" s="217"/>
      <c r="F535" s="217"/>
      <c r="G535" s="217"/>
      <c r="H535" s="217"/>
      <c r="I535" s="217"/>
      <c r="J535" s="217"/>
      <c r="K535" s="217"/>
      <c r="L535" s="217"/>
      <c r="M535" s="217"/>
      <c r="N535" s="217"/>
      <c r="O535" s="146"/>
      <c r="P535" s="146"/>
      <c r="Q535" s="146"/>
      <c r="R535" s="217"/>
      <c r="S535" s="217"/>
      <c r="T535" s="217"/>
      <c r="U535" s="217"/>
      <c r="V535" s="217"/>
      <c r="W535" s="217"/>
      <c r="X535" s="217"/>
      <c r="Y535" s="217"/>
      <c r="Z535" s="151"/>
      <c r="AA535" s="31"/>
      <c r="AB535" s="31"/>
    </row>
    <row r="536" spans="1:28" ht="18" customHeight="1">
      <c r="A536" s="143"/>
      <c r="B536" s="217"/>
      <c r="C536" s="217"/>
      <c r="D536" s="217"/>
      <c r="E536" s="217"/>
      <c r="F536" s="217"/>
      <c r="G536" s="217"/>
      <c r="H536" s="217"/>
      <c r="I536" s="217"/>
      <c r="J536" s="217"/>
      <c r="K536" s="217"/>
      <c r="L536" s="217"/>
      <c r="M536" s="217"/>
      <c r="N536" s="217"/>
      <c r="O536" s="146"/>
      <c r="P536" s="146"/>
      <c r="Q536" s="146"/>
      <c r="R536" s="217"/>
      <c r="S536" s="217"/>
      <c r="T536" s="217"/>
      <c r="U536" s="217"/>
      <c r="V536" s="217"/>
      <c r="W536" s="217"/>
      <c r="X536" s="217"/>
      <c r="Y536" s="217"/>
      <c r="Z536" s="151"/>
      <c r="AA536" s="31"/>
      <c r="AB536" s="31"/>
    </row>
    <row r="537" spans="1:28" ht="18" customHeight="1">
      <c r="A537" s="143"/>
      <c r="B537" s="217"/>
      <c r="C537" s="217"/>
      <c r="D537" s="217"/>
      <c r="E537" s="217"/>
      <c r="F537" s="217"/>
      <c r="G537" s="217"/>
      <c r="H537" s="217"/>
      <c r="I537" s="217"/>
      <c r="J537" s="217"/>
      <c r="K537" s="217"/>
      <c r="L537" s="217"/>
      <c r="M537" s="217"/>
      <c r="N537" s="217"/>
      <c r="O537" s="146"/>
      <c r="P537" s="146"/>
      <c r="Q537" s="146"/>
      <c r="R537" s="217"/>
      <c r="S537" s="217"/>
      <c r="T537" s="217"/>
      <c r="U537" s="217"/>
      <c r="V537" s="217"/>
      <c r="W537" s="217"/>
      <c r="X537" s="217"/>
      <c r="Y537" s="217"/>
      <c r="Z537" s="151"/>
      <c r="AA537" s="31"/>
      <c r="AB537" s="31"/>
    </row>
    <row r="538" spans="1:28" ht="18" customHeight="1">
      <c r="A538" s="143"/>
      <c r="B538" s="217"/>
      <c r="C538" s="217"/>
      <c r="D538" s="217"/>
      <c r="E538" s="217"/>
      <c r="F538" s="217"/>
      <c r="G538" s="217"/>
      <c r="H538" s="217"/>
      <c r="I538" s="217"/>
      <c r="J538" s="217"/>
      <c r="K538" s="217"/>
      <c r="L538" s="217"/>
      <c r="M538" s="217"/>
      <c r="N538" s="217"/>
      <c r="O538" s="146"/>
      <c r="P538" s="146"/>
      <c r="Q538" s="146"/>
      <c r="R538" s="217"/>
      <c r="S538" s="217"/>
      <c r="T538" s="217"/>
      <c r="U538" s="217"/>
      <c r="V538" s="217"/>
      <c r="W538" s="217"/>
      <c r="X538" s="217"/>
      <c r="Y538" s="217"/>
      <c r="Z538" s="151"/>
      <c r="AA538" s="31"/>
      <c r="AB538" s="31"/>
    </row>
    <row r="539" spans="1:28" ht="18" customHeight="1">
      <c r="A539" s="143"/>
      <c r="B539" s="217"/>
      <c r="C539" s="217"/>
      <c r="D539" s="217"/>
      <c r="E539" s="217"/>
      <c r="F539" s="217"/>
      <c r="G539" s="217"/>
      <c r="H539" s="217"/>
      <c r="I539" s="217"/>
      <c r="J539" s="217"/>
      <c r="K539" s="217"/>
      <c r="L539" s="217"/>
      <c r="M539" s="217"/>
      <c r="N539" s="217"/>
      <c r="O539" s="146"/>
      <c r="P539" s="146"/>
      <c r="Q539" s="146"/>
      <c r="R539" s="217"/>
      <c r="S539" s="217"/>
      <c r="T539" s="217"/>
      <c r="U539" s="217"/>
      <c r="V539" s="217"/>
      <c r="W539" s="217"/>
      <c r="X539" s="217"/>
      <c r="Y539" s="217"/>
      <c r="Z539" s="151"/>
      <c r="AA539" s="31"/>
      <c r="AB539" s="31"/>
    </row>
    <row r="540" spans="1:28" ht="18" customHeight="1">
      <c r="A540" s="143"/>
      <c r="B540" s="217"/>
      <c r="C540" s="217"/>
      <c r="D540" s="217"/>
      <c r="E540" s="217"/>
      <c r="F540" s="217"/>
      <c r="G540" s="217"/>
      <c r="H540" s="217"/>
      <c r="I540" s="217"/>
      <c r="J540" s="217"/>
      <c r="K540" s="217"/>
      <c r="L540" s="217"/>
      <c r="M540" s="217"/>
      <c r="N540" s="217"/>
      <c r="O540" s="146"/>
      <c r="P540" s="146"/>
      <c r="Q540" s="146"/>
      <c r="R540" s="217"/>
      <c r="S540" s="217"/>
      <c r="T540" s="217"/>
      <c r="U540" s="217"/>
      <c r="V540" s="217"/>
      <c r="W540" s="217"/>
      <c r="X540" s="217"/>
      <c r="Y540" s="217"/>
      <c r="Z540" s="151"/>
      <c r="AA540" s="31"/>
      <c r="AB540" s="31"/>
    </row>
    <row r="541" spans="1:28" ht="18" customHeight="1">
      <c r="A541" s="143"/>
      <c r="B541" s="217"/>
      <c r="C541" s="217"/>
      <c r="D541" s="217"/>
      <c r="E541" s="217"/>
      <c r="F541" s="217"/>
      <c r="G541" s="217"/>
      <c r="H541" s="217"/>
      <c r="I541" s="217"/>
      <c r="J541" s="217"/>
      <c r="K541" s="217"/>
      <c r="L541" s="217"/>
      <c r="M541" s="217"/>
      <c r="N541" s="217"/>
      <c r="O541" s="146"/>
      <c r="P541" s="146"/>
      <c r="Q541" s="146"/>
      <c r="R541" s="217"/>
      <c r="S541" s="217"/>
      <c r="T541" s="217"/>
      <c r="U541" s="217"/>
      <c r="V541" s="217"/>
      <c r="W541" s="217"/>
      <c r="X541" s="217"/>
      <c r="Y541" s="217"/>
      <c r="Z541" s="151"/>
      <c r="AA541" s="31"/>
      <c r="AB541" s="31"/>
    </row>
    <row r="542" spans="1:28" ht="18" customHeight="1">
      <c r="A542" s="143"/>
      <c r="B542" s="217"/>
      <c r="C542" s="217"/>
      <c r="D542" s="217"/>
      <c r="E542" s="217"/>
      <c r="F542" s="217"/>
      <c r="G542" s="217"/>
      <c r="H542" s="217"/>
      <c r="I542" s="217"/>
      <c r="J542" s="217"/>
      <c r="K542" s="217"/>
      <c r="L542" s="217"/>
      <c r="M542" s="217"/>
      <c r="N542" s="217"/>
      <c r="O542" s="146"/>
      <c r="P542" s="146"/>
      <c r="Q542" s="146"/>
      <c r="R542" s="217"/>
      <c r="S542" s="217"/>
      <c r="T542" s="217"/>
      <c r="U542" s="217"/>
      <c r="V542" s="217"/>
      <c r="W542" s="217"/>
      <c r="X542" s="217"/>
      <c r="Y542" s="217"/>
      <c r="Z542" s="151"/>
      <c r="AA542" s="31"/>
      <c r="AB542" s="31"/>
    </row>
    <row r="543" spans="1:28" ht="18" customHeight="1">
      <c r="A543" s="143"/>
      <c r="B543" s="217"/>
      <c r="C543" s="217"/>
      <c r="D543" s="217"/>
      <c r="E543" s="217"/>
      <c r="F543" s="217"/>
      <c r="G543" s="217"/>
      <c r="H543" s="217"/>
      <c r="I543" s="217"/>
      <c r="J543" s="217"/>
      <c r="K543" s="217"/>
      <c r="L543" s="217"/>
      <c r="M543" s="217"/>
      <c r="N543" s="217"/>
      <c r="O543" s="146"/>
      <c r="P543" s="146"/>
      <c r="Q543" s="146"/>
      <c r="R543" s="217"/>
      <c r="S543" s="217"/>
      <c r="T543" s="217"/>
      <c r="U543" s="217"/>
      <c r="V543" s="217"/>
      <c r="W543" s="217"/>
      <c r="X543" s="217"/>
      <c r="Y543" s="217"/>
      <c r="Z543" s="151"/>
      <c r="AA543" s="31"/>
      <c r="AB543" s="31"/>
    </row>
    <row r="544" spans="1:28" ht="18" customHeight="1">
      <c r="A544" s="143"/>
      <c r="B544" s="217"/>
      <c r="C544" s="217"/>
      <c r="D544" s="217"/>
      <c r="E544" s="217"/>
      <c r="F544" s="217"/>
      <c r="G544" s="217"/>
      <c r="H544" s="217"/>
      <c r="I544" s="217"/>
      <c r="J544" s="217"/>
      <c r="K544" s="217"/>
      <c r="L544" s="217"/>
      <c r="M544" s="217"/>
      <c r="N544" s="217"/>
      <c r="O544" s="146"/>
      <c r="P544" s="146"/>
      <c r="Q544" s="146"/>
      <c r="R544" s="217"/>
      <c r="S544" s="217"/>
      <c r="T544" s="217"/>
      <c r="U544" s="217"/>
      <c r="V544" s="217"/>
      <c r="W544" s="217"/>
      <c r="X544" s="217"/>
      <c r="Y544" s="217"/>
      <c r="Z544" s="151"/>
      <c r="AA544" s="31"/>
      <c r="AB544" s="31"/>
    </row>
    <row r="545" spans="1:28" ht="18" customHeight="1">
      <c r="A545" s="143"/>
      <c r="B545" s="217"/>
      <c r="C545" s="217"/>
      <c r="D545" s="217"/>
      <c r="E545" s="217"/>
      <c r="F545" s="217"/>
      <c r="G545" s="217"/>
      <c r="H545" s="217"/>
      <c r="I545" s="217"/>
      <c r="J545" s="217"/>
      <c r="K545" s="217"/>
      <c r="L545" s="217"/>
      <c r="M545" s="217"/>
      <c r="N545" s="217"/>
      <c r="O545" s="146"/>
      <c r="P545" s="146"/>
      <c r="Q545" s="146"/>
      <c r="R545" s="217"/>
      <c r="S545" s="217"/>
      <c r="T545" s="217"/>
      <c r="U545" s="217"/>
      <c r="V545" s="217"/>
      <c r="W545" s="217"/>
      <c r="X545" s="217"/>
      <c r="Y545" s="217"/>
      <c r="Z545" s="151"/>
      <c r="AA545" s="31"/>
      <c r="AB545" s="31"/>
    </row>
    <row r="546" spans="1:28" ht="18" customHeight="1">
      <c r="A546" s="143"/>
      <c r="B546" s="217"/>
      <c r="C546" s="217"/>
      <c r="D546" s="217"/>
      <c r="E546" s="217"/>
      <c r="F546" s="217"/>
      <c r="G546" s="217"/>
      <c r="H546" s="217"/>
      <c r="I546" s="217"/>
      <c r="J546" s="217"/>
      <c r="K546" s="217"/>
      <c r="L546" s="217"/>
      <c r="M546" s="217"/>
      <c r="N546" s="217"/>
      <c r="O546" s="146"/>
      <c r="P546" s="146"/>
      <c r="Q546" s="146"/>
      <c r="R546" s="217"/>
      <c r="S546" s="217"/>
      <c r="T546" s="217"/>
      <c r="U546" s="217"/>
      <c r="V546" s="217"/>
      <c r="W546" s="217"/>
      <c r="X546" s="217"/>
      <c r="Y546" s="217"/>
      <c r="Z546" s="151"/>
      <c r="AA546" s="31"/>
      <c r="AB546" s="31"/>
    </row>
    <row r="547" spans="1:28" ht="18" customHeight="1">
      <c r="A547" s="143"/>
      <c r="B547" s="217"/>
      <c r="C547" s="217"/>
      <c r="D547" s="217"/>
      <c r="E547" s="217"/>
      <c r="F547" s="217"/>
      <c r="G547" s="217"/>
      <c r="H547" s="217"/>
      <c r="I547" s="217"/>
      <c r="J547" s="217"/>
      <c r="K547" s="217"/>
      <c r="L547" s="217"/>
      <c r="M547" s="217"/>
      <c r="N547" s="217"/>
      <c r="O547" s="146"/>
      <c r="P547" s="146"/>
      <c r="Q547" s="146"/>
      <c r="R547" s="217"/>
      <c r="S547" s="217"/>
      <c r="T547" s="217"/>
      <c r="U547" s="217"/>
      <c r="V547" s="217"/>
      <c r="W547" s="217"/>
      <c r="X547" s="217"/>
      <c r="Y547" s="217"/>
      <c r="Z547" s="151"/>
      <c r="AA547" s="31"/>
      <c r="AB547" s="31"/>
    </row>
    <row r="548" spans="1:28" ht="18" customHeight="1">
      <c r="A548" s="143"/>
      <c r="B548" s="217"/>
      <c r="C548" s="217"/>
      <c r="D548" s="217"/>
      <c r="E548" s="217"/>
      <c r="F548" s="217"/>
      <c r="G548" s="217"/>
      <c r="H548" s="217"/>
      <c r="I548" s="217"/>
      <c r="J548" s="217"/>
      <c r="K548" s="217"/>
      <c r="L548" s="217"/>
      <c r="M548" s="217"/>
      <c r="N548" s="217"/>
      <c r="O548" s="146"/>
      <c r="P548" s="146"/>
      <c r="Q548" s="146"/>
      <c r="R548" s="217"/>
      <c r="S548" s="217"/>
      <c r="T548" s="217"/>
      <c r="U548" s="217"/>
      <c r="V548" s="217"/>
      <c r="W548" s="217"/>
      <c r="X548" s="217"/>
      <c r="Y548" s="217"/>
      <c r="Z548" s="151"/>
      <c r="AA548" s="31"/>
      <c r="AB548" s="31"/>
    </row>
    <row r="549" spans="1:28" ht="18" customHeight="1">
      <c r="A549" s="143"/>
      <c r="B549" s="217"/>
      <c r="C549" s="217"/>
      <c r="D549" s="217"/>
      <c r="E549" s="217"/>
      <c r="F549" s="217"/>
      <c r="G549" s="217"/>
      <c r="H549" s="217"/>
      <c r="I549" s="217"/>
      <c r="J549" s="217"/>
      <c r="K549" s="217"/>
      <c r="L549" s="217"/>
      <c r="M549" s="217"/>
      <c r="N549" s="217"/>
      <c r="O549" s="146"/>
      <c r="P549" s="146"/>
      <c r="Q549" s="146"/>
      <c r="R549" s="217"/>
      <c r="S549" s="217"/>
      <c r="T549" s="217"/>
      <c r="U549" s="217"/>
      <c r="V549" s="217"/>
      <c r="W549" s="217"/>
      <c r="X549" s="217"/>
      <c r="Y549" s="217"/>
      <c r="Z549" s="151"/>
      <c r="AA549" s="31"/>
      <c r="AB549" s="31"/>
    </row>
    <row r="550" spans="1:28" ht="18" customHeight="1">
      <c r="A550" s="143"/>
      <c r="B550" s="217"/>
      <c r="C550" s="217"/>
      <c r="D550" s="217"/>
      <c r="E550" s="217"/>
      <c r="F550" s="217"/>
      <c r="G550" s="217"/>
      <c r="H550" s="217"/>
      <c r="I550" s="217"/>
      <c r="J550" s="217"/>
      <c r="K550" s="217"/>
      <c r="L550" s="217"/>
      <c r="M550" s="217"/>
      <c r="N550" s="217"/>
      <c r="O550" s="146"/>
      <c r="P550" s="146"/>
      <c r="Q550" s="146"/>
      <c r="R550" s="217"/>
      <c r="S550" s="217"/>
      <c r="T550" s="217"/>
      <c r="U550" s="217"/>
      <c r="V550" s="217"/>
      <c r="W550" s="217"/>
      <c r="X550" s="217"/>
      <c r="Y550" s="217"/>
      <c r="Z550" s="151"/>
      <c r="AA550" s="31"/>
      <c r="AB550" s="31"/>
    </row>
    <row r="551" spans="1:28" ht="18" customHeight="1">
      <c r="A551" s="143"/>
      <c r="B551" s="217"/>
      <c r="C551" s="217"/>
      <c r="D551" s="217"/>
      <c r="E551" s="217"/>
      <c r="F551" s="217"/>
      <c r="G551" s="217"/>
      <c r="H551" s="217"/>
      <c r="I551" s="217"/>
      <c r="J551" s="217"/>
      <c r="K551" s="217"/>
      <c r="L551" s="217"/>
      <c r="M551" s="217"/>
      <c r="N551" s="217"/>
      <c r="O551" s="146"/>
      <c r="P551" s="146"/>
      <c r="Q551" s="146"/>
      <c r="R551" s="217"/>
      <c r="S551" s="217"/>
      <c r="T551" s="217"/>
      <c r="U551" s="217"/>
      <c r="V551" s="217"/>
      <c r="W551" s="217"/>
      <c r="X551" s="217"/>
      <c r="Y551" s="217"/>
      <c r="Z551" s="151"/>
      <c r="AA551" s="31"/>
      <c r="AB551" s="31"/>
    </row>
    <row r="552" spans="1:28" ht="18" customHeight="1">
      <c r="A552" s="143"/>
      <c r="B552" s="217"/>
      <c r="C552" s="217"/>
      <c r="D552" s="217"/>
      <c r="E552" s="217"/>
      <c r="F552" s="217"/>
      <c r="G552" s="217"/>
      <c r="H552" s="217"/>
      <c r="I552" s="217"/>
      <c r="J552" s="217"/>
      <c r="K552" s="217"/>
      <c r="L552" s="217"/>
      <c r="M552" s="217"/>
      <c r="N552" s="217"/>
      <c r="O552" s="146"/>
      <c r="P552" s="146"/>
      <c r="Q552" s="146"/>
      <c r="R552" s="217"/>
      <c r="S552" s="217"/>
      <c r="T552" s="217"/>
      <c r="U552" s="217"/>
      <c r="V552" s="217"/>
      <c r="W552" s="217"/>
      <c r="X552" s="217"/>
      <c r="Y552" s="217"/>
      <c r="Z552" s="151"/>
      <c r="AA552" s="31"/>
      <c r="AB552" s="31"/>
    </row>
    <row r="553" spans="1:28" ht="18" customHeight="1">
      <c r="A553" s="143"/>
      <c r="B553" s="217"/>
      <c r="C553" s="217"/>
      <c r="D553" s="217"/>
      <c r="E553" s="217"/>
      <c r="F553" s="217"/>
      <c r="G553" s="217"/>
      <c r="H553" s="217"/>
      <c r="I553" s="217"/>
      <c r="J553" s="217"/>
      <c r="K553" s="217"/>
      <c r="L553" s="217"/>
      <c r="M553" s="217"/>
      <c r="N553" s="217"/>
      <c r="O553" s="146"/>
      <c r="P553" s="146"/>
      <c r="Q553" s="146"/>
      <c r="R553" s="217"/>
      <c r="S553" s="217"/>
      <c r="T553" s="217"/>
      <c r="U553" s="217"/>
      <c r="V553" s="217"/>
      <c r="W553" s="217"/>
      <c r="X553" s="217"/>
      <c r="Y553" s="217"/>
      <c r="Z553" s="151"/>
      <c r="AA553" s="31"/>
      <c r="AB553" s="31"/>
    </row>
    <row r="554" spans="1:28" ht="18" customHeight="1">
      <c r="A554" s="143"/>
      <c r="B554" s="217"/>
      <c r="C554" s="217"/>
      <c r="D554" s="217"/>
      <c r="E554" s="217"/>
      <c r="F554" s="217"/>
      <c r="G554" s="217"/>
      <c r="H554" s="217"/>
      <c r="I554" s="217"/>
      <c r="J554" s="217"/>
      <c r="K554" s="217"/>
      <c r="L554" s="217"/>
      <c r="M554" s="217"/>
      <c r="N554" s="217"/>
      <c r="O554" s="146"/>
      <c r="P554" s="146"/>
      <c r="Q554" s="146"/>
      <c r="R554" s="217"/>
      <c r="S554" s="217"/>
      <c r="T554" s="217"/>
      <c r="U554" s="217"/>
      <c r="V554" s="217"/>
      <c r="W554" s="217"/>
      <c r="X554" s="217"/>
      <c r="Y554" s="217"/>
      <c r="Z554" s="151"/>
      <c r="AA554" s="31"/>
      <c r="AB554" s="31"/>
    </row>
    <row r="555" spans="1:28" ht="18" customHeight="1">
      <c r="A555" s="143"/>
      <c r="B555" s="217"/>
      <c r="C555" s="217"/>
      <c r="D555" s="217"/>
      <c r="E555" s="217"/>
      <c r="F555" s="217"/>
      <c r="G555" s="217"/>
      <c r="H555" s="217"/>
      <c r="I555" s="217"/>
      <c r="J555" s="217"/>
      <c r="K555" s="217"/>
      <c r="L555" s="217"/>
      <c r="M555" s="217"/>
      <c r="N555" s="217"/>
      <c r="O555" s="146"/>
      <c r="P555" s="146"/>
      <c r="Q555" s="146"/>
      <c r="R555" s="217"/>
      <c r="S555" s="217"/>
      <c r="T555" s="217"/>
      <c r="U555" s="217"/>
      <c r="V555" s="217"/>
      <c r="W555" s="217"/>
      <c r="X555" s="217"/>
      <c r="Y555" s="217"/>
      <c r="Z555" s="151"/>
      <c r="AA555" s="31"/>
      <c r="AB555" s="31"/>
    </row>
    <row r="556" spans="1:28" ht="18" customHeight="1">
      <c r="A556" s="143"/>
      <c r="B556" s="217"/>
      <c r="C556" s="217"/>
      <c r="D556" s="217"/>
      <c r="E556" s="217"/>
      <c r="F556" s="217"/>
      <c r="G556" s="217"/>
      <c r="H556" s="217"/>
      <c r="I556" s="217"/>
      <c r="J556" s="217"/>
      <c r="K556" s="217"/>
      <c r="L556" s="217"/>
      <c r="M556" s="217"/>
      <c r="N556" s="217"/>
      <c r="O556" s="146"/>
      <c r="P556" s="146"/>
      <c r="Q556" s="146"/>
      <c r="R556" s="217"/>
      <c r="S556" s="217"/>
      <c r="T556" s="217"/>
      <c r="U556" s="217"/>
      <c r="V556" s="217"/>
      <c r="W556" s="217"/>
      <c r="X556" s="217"/>
      <c r="Y556" s="217"/>
      <c r="Z556" s="151"/>
      <c r="AA556" s="31"/>
      <c r="AB556" s="31"/>
    </row>
    <row r="557" spans="1:28" ht="18" customHeight="1">
      <c r="A557" s="143"/>
      <c r="B557" s="217"/>
      <c r="C557" s="217"/>
      <c r="D557" s="217"/>
      <c r="E557" s="217"/>
      <c r="F557" s="217"/>
      <c r="G557" s="217"/>
      <c r="H557" s="217"/>
      <c r="I557" s="217"/>
      <c r="J557" s="217"/>
      <c r="K557" s="217"/>
      <c r="L557" s="217"/>
      <c r="M557" s="217"/>
      <c r="N557" s="217"/>
      <c r="O557" s="146"/>
      <c r="P557" s="146"/>
      <c r="Q557" s="146"/>
      <c r="R557" s="217"/>
      <c r="S557" s="217"/>
      <c r="T557" s="217"/>
      <c r="U557" s="217"/>
      <c r="V557" s="217"/>
      <c r="W557" s="217"/>
      <c r="X557" s="217"/>
      <c r="Y557" s="217"/>
      <c r="Z557" s="151"/>
      <c r="AA557" s="31"/>
      <c r="AB557" s="31"/>
    </row>
    <row r="558" spans="1:28" ht="18" customHeight="1">
      <c r="A558" s="143"/>
      <c r="B558" s="217"/>
      <c r="C558" s="217"/>
      <c r="D558" s="217"/>
      <c r="E558" s="217"/>
      <c r="F558" s="217"/>
      <c r="G558" s="217"/>
      <c r="H558" s="217"/>
      <c r="I558" s="217"/>
      <c r="J558" s="217"/>
      <c r="K558" s="217"/>
      <c r="L558" s="217"/>
      <c r="M558" s="217"/>
      <c r="N558" s="217"/>
      <c r="O558" s="146"/>
      <c r="P558" s="146"/>
      <c r="Q558" s="146"/>
      <c r="R558" s="217"/>
      <c r="S558" s="217"/>
      <c r="T558" s="217"/>
      <c r="U558" s="217"/>
      <c r="V558" s="217"/>
      <c r="W558" s="217"/>
      <c r="X558" s="217"/>
      <c r="Y558" s="217"/>
      <c r="Z558" s="151"/>
      <c r="AA558" s="31"/>
      <c r="AB558" s="31"/>
    </row>
    <row r="559" spans="1:28" ht="18" customHeight="1">
      <c r="A559" s="143"/>
      <c r="B559" s="217"/>
      <c r="C559" s="217"/>
      <c r="D559" s="217"/>
      <c r="E559" s="217"/>
      <c r="F559" s="217"/>
      <c r="G559" s="217"/>
      <c r="H559" s="217"/>
      <c r="I559" s="217"/>
      <c r="J559" s="217"/>
      <c r="K559" s="217"/>
      <c r="L559" s="217"/>
      <c r="M559" s="217"/>
      <c r="N559" s="217"/>
      <c r="O559" s="146"/>
      <c r="P559" s="146"/>
      <c r="Q559" s="146"/>
      <c r="R559" s="217"/>
      <c r="S559" s="217"/>
      <c r="T559" s="217"/>
      <c r="U559" s="217"/>
      <c r="V559" s="217"/>
      <c r="W559" s="217"/>
      <c r="X559" s="217"/>
      <c r="Y559" s="217"/>
      <c r="Z559" s="151"/>
      <c r="AA559" s="31"/>
      <c r="AB559" s="31"/>
    </row>
    <row r="560" spans="1:28" ht="18" customHeight="1">
      <c r="A560" s="143"/>
      <c r="B560" s="217"/>
      <c r="C560" s="217"/>
      <c r="D560" s="217"/>
      <c r="E560" s="217"/>
      <c r="F560" s="217"/>
      <c r="G560" s="217"/>
      <c r="H560" s="217"/>
      <c r="I560" s="217"/>
      <c r="J560" s="217"/>
      <c r="K560" s="217"/>
      <c r="L560" s="217"/>
      <c r="M560" s="217"/>
      <c r="N560" s="217"/>
      <c r="O560" s="146"/>
      <c r="P560" s="146"/>
      <c r="Q560" s="146"/>
      <c r="R560" s="217"/>
      <c r="S560" s="217"/>
      <c r="T560" s="217"/>
      <c r="U560" s="217"/>
      <c r="V560" s="217"/>
      <c r="W560" s="217"/>
      <c r="X560" s="217"/>
      <c r="Y560" s="217"/>
      <c r="Z560" s="151"/>
      <c r="AA560" s="31"/>
      <c r="AB560" s="31"/>
    </row>
    <row r="561" spans="1:28" ht="18" customHeight="1">
      <c r="A561" s="143"/>
      <c r="B561" s="217"/>
      <c r="C561" s="217"/>
      <c r="D561" s="217"/>
      <c r="E561" s="217"/>
      <c r="F561" s="217"/>
      <c r="G561" s="217"/>
      <c r="H561" s="217"/>
      <c r="I561" s="217"/>
      <c r="J561" s="217"/>
      <c r="K561" s="217"/>
      <c r="L561" s="217"/>
      <c r="M561" s="217"/>
      <c r="N561" s="217"/>
      <c r="O561" s="146"/>
      <c r="P561" s="146"/>
      <c r="Q561" s="146"/>
      <c r="R561" s="217"/>
      <c r="S561" s="217"/>
      <c r="T561" s="217"/>
      <c r="U561" s="217"/>
      <c r="V561" s="217"/>
      <c r="W561" s="217"/>
      <c r="X561" s="217"/>
      <c r="Y561" s="217"/>
      <c r="Z561" s="151"/>
      <c r="AA561" s="31"/>
      <c r="AB561" s="31"/>
    </row>
    <row r="562" spans="1:28" ht="18" customHeight="1">
      <c r="A562" s="143"/>
      <c r="B562" s="217"/>
      <c r="C562" s="217"/>
      <c r="D562" s="217"/>
      <c r="E562" s="217"/>
      <c r="F562" s="217"/>
      <c r="G562" s="217"/>
      <c r="H562" s="217"/>
      <c r="I562" s="217"/>
      <c r="J562" s="217"/>
      <c r="K562" s="217"/>
      <c r="L562" s="217"/>
      <c r="M562" s="217"/>
      <c r="N562" s="217"/>
      <c r="O562" s="146"/>
      <c r="P562" s="146"/>
      <c r="Q562" s="146"/>
      <c r="R562" s="217"/>
      <c r="S562" s="217"/>
      <c r="T562" s="217"/>
      <c r="U562" s="217"/>
      <c r="V562" s="217"/>
      <c r="W562" s="217"/>
      <c r="X562" s="217"/>
      <c r="Y562" s="217"/>
      <c r="Z562" s="151"/>
      <c r="AA562" s="31"/>
      <c r="AB562" s="31"/>
    </row>
    <row r="563" spans="1:28" ht="18" customHeight="1">
      <c r="A563" s="143"/>
      <c r="B563" s="217"/>
      <c r="C563" s="217"/>
      <c r="D563" s="217"/>
      <c r="E563" s="217"/>
      <c r="F563" s="217"/>
      <c r="G563" s="217"/>
      <c r="H563" s="217"/>
      <c r="I563" s="217"/>
      <c r="J563" s="217"/>
      <c r="K563" s="217"/>
      <c r="L563" s="217"/>
      <c r="M563" s="217"/>
      <c r="N563" s="217"/>
      <c r="O563" s="146"/>
      <c r="P563" s="146"/>
      <c r="Q563" s="146"/>
      <c r="R563" s="217"/>
      <c r="S563" s="217"/>
      <c r="T563" s="217"/>
      <c r="U563" s="217"/>
      <c r="V563" s="217"/>
      <c r="W563" s="217"/>
      <c r="X563" s="217"/>
      <c r="Y563" s="217"/>
      <c r="Z563" s="151"/>
      <c r="AA563" s="31"/>
      <c r="AB563" s="31"/>
    </row>
    <row r="564" spans="1:28" ht="18" customHeight="1">
      <c r="A564" s="143"/>
      <c r="B564" s="217"/>
      <c r="C564" s="217"/>
      <c r="D564" s="217"/>
      <c r="E564" s="217"/>
      <c r="F564" s="217"/>
      <c r="G564" s="217"/>
      <c r="H564" s="217"/>
      <c r="I564" s="217"/>
      <c r="J564" s="217"/>
      <c r="K564" s="217"/>
      <c r="L564" s="217"/>
      <c r="M564" s="217"/>
      <c r="N564" s="217"/>
      <c r="O564" s="146"/>
      <c r="P564" s="146"/>
      <c r="Q564" s="146"/>
      <c r="R564" s="217"/>
      <c r="S564" s="217"/>
      <c r="T564" s="217"/>
      <c r="U564" s="217"/>
      <c r="V564" s="217"/>
      <c r="W564" s="217"/>
      <c r="X564" s="217"/>
      <c r="Y564" s="217"/>
      <c r="Z564" s="151"/>
      <c r="AA564" s="31"/>
      <c r="AB564" s="31"/>
    </row>
    <row r="565" spans="1:28" ht="18" customHeight="1">
      <c r="A565" s="143"/>
      <c r="B565" s="217"/>
      <c r="C565" s="217"/>
      <c r="D565" s="217"/>
      <c r="E565" s="217"/>
      <c r="F565" s="217"/>
      <c r="G565" s="217"/>
      <c r="H565" s="217"/>
      <c r="I565" s="217"/>
      <c r="J565" s="217"/>
      <c r="K565" s="217"/>
      <c r="L565" s="217"/>
      <c r="M565" s="217"/>
      <c r="N565" s="217"/>
      <c r="O565" s="146"/>
      <c r="P565" s="146"/>
      <c r="Q565" s="146"/>
      <c r="R565" s="217"/>
      <c r="S565" s="217"/>
      <c r="T565" s="217"/>
      <c r="U565" s="217"/>
      <c r="V565" s="217"/>
      <c r="W565" s="217"/>
      <c r="X565" s="217"/>
      <c r="Y565" s="217"/>
      <c r="Z565" s="151"/>
      <c r="AA565" s="31"/>
      <c r="AB565" s="31"/>
    </row>
    <row r="566" spans="1:28" ht="18" customHeight="1">
      <c r="A566" s="143"/>
      <c r="B566" s="217"/>
      <c r="C566" s="217"/>
      <c r="D566" s="217"/>
      <c r="E566" s="217"/>
      <c r="F566" s="217"/>
      <c r="G566" s="217"/>
      <c r="H566" s="217"/>
      <c r="I566" s="217"/>
      <c r="J566" s="217"/>
      <c r="K566" s="217"/>
      <c r="L566" s="217"/>
      <c r="M566" s="217"/>
      <c r="N566" s="217"/>
      <c r="O566" s="146"/>
      <c r="P566" s="146"/>
      <c r="Q566" s="146"/>
      <c r="R566" s="217"/>
      <c r="S566" s="217"/>
      <c r="T566" s="217"/>
      <c r="U566" s="217"/>
      <c r="V566" s="217"/>
      <c r="W566" s="217"/>
      <c r="X566" s="217"/>
      <c r="Y566" s="217"/>
      <c r="Z566" s="151"/>
      <c r="AA566" s="31"/>
      <c r="AB566" s="31"/>
    </row>
    <row r="567" spans="1:28" ht="18" customHeight="1">
      <c r="A567" s="143"/>
      <c r="B567" s="217"/>
      <c r="C567" s="217"/>
      <c r="D567" s="217"/>
      <c r="E567" s="217"/>
      <c r="F567" s="217"/>
      <c r="G567" s="217"/>
      <c r="H567" s="217"/>
      <c r="I567" s="217"/>
      <c r="J567" s="217"/>
      <c r="K567" s="217"/>
      <c r="L567" s="217"/>
      <c r="M567" s="217"/>
      <c r="N567" s="217"/>
      <c r="O567" s="146"/>
      <c r="P567" s="146"/>
      <c r="Q567" s="146"/>
      <c r="R567" s="217"/>
      <c r="S567" s="217"/>
      <c r="T567" s="217"/>
      <c r="U567" s="217"/>
      <c r="V567" s="217"/>
      <c r="W567" s="217"/>
      <c r="X567" s="217"/>
      <c r="Y567" s="217"/>
      <c r="Z567" s="151"/>
      <c r="AA567" s="31"/>
      <c r="AB567" s="31"/>
    </row>
    <row r="568" spans="1:28" ht="18" customHeight="1">
      <c r="A568" s="143"/>
      <c r="B568" s="217"/>
      <c r="C568" s="217"/>
      <c r="D568" s="217"/>
      <c r="E568" s="217"/>
      <c r="F568" s="217"/>
      <c r="G568" s="217"/>
      <c r="H568" s="217"/>
      <c r="I568" s="217"/>
      <c r="J568" s="217"/>
      <c r="K568" s="217"/>
      <c r="L568" s="217"/>
      <c r="M568" s="217"/>
      <c r="N568" s="217"/>
      <c r="O568" s="146"/>
      <c r="P568" s="146"/>
      <c r="Q568" s="146"/>
      <c r="R568" s="217"/>
      <c r="S568" s="217"/>
      <c r="T568" s="217"/>
      <c r="U568" s="217"/>
      <c r="V568" s="217"/>
      <c r="W568" s="217"/>
      <c r="X568" s="217"/>
      <c r="Y568" s="217"/>
      <c r="Z568" s="151"/>
      <c r="AA568" s="31"/>
      <c r="AB568" s="31"/>
    </row>
    <row r="569" spans="1:28" ht="18" customHeight="1">
      <c r="A569" s="143"/>
      <c r="B569" s="217"/>
      <c r="C569" s="217"/>
      <c r="D569" s="217"/>
      <c r="E569" s="217"/>
      <c r="F569" s="217"/>
      <c r="G569" s="217"/>
      <c r="H569" s="217"/>
      <c r="I569" s="217"/>
      <c r="J569" s="217"/>
      <c r="K569" s="217"/>
      <c r="L569" s="217"/>
      <c r="M569" s="217"/>
      <c r="N569" s="217"/>
      <c r="O569" s="146"/>
      <c r="P569" s="146"/>
      <c r="Q569" s="146"/>
      <c r="R569" s="217"/>
      <c r="S569" s="217"/>
      <c r="T569" s="217"/>
      <c r="U569" s="217"/>
      <c r="V569" s="217"/>
      <c r="W569" s="217"/>
      <c r="X569" s="217"/>
      <c r="Y569" s="217"/>
      <c r="Z569" s="151"/>
      <c r="AA569" s="31"/>
      <c r="AB569" s="31"/>
    </row>
    <row r="570" spans="1:28" ht="18" customHeight="1">
      <c r="A570" s="143"/>
      <c r="B570" s="217"/>
      <c r="C570" s="217"/>
      <c r="D570" s="217"/>
      <c r="E570" s="217"/>
      <c r="F570" s="217"/>
      <c r="G570" s="217"/>
      <c r="H570" s="217"/>
      <c r="I570" s="217"/>
      <c r="J570" s="217"/>
      <c r="K570" s="217"/>
      <c r="L570" s="217"/>
      <c r="M570" s="217"/>
      <c r="N570" s="217"/>
      <c r="O570" s="146"/>
      <c r="P570" s="146"/>
      <c r="Q570" s="146"/>
      <c r="R570" s="217"/>
      <c r="S570" s="217"/>
      <c r="T570" s="217"/>
      <c r="U570" s="217"/>
      <c r="V570" s="217"/>
      <c r="W570" s="217"/>
      <c r="X570" s="217"/>
      <c r="Y570" s="217"/>
      <c r="Z570" s="151"/>
      <c r="AA570" s="31"/>
      <c r="AB570" s="31"/>
    </row>
    <row r="571" spans="1:28" ht="18" customHeight="1">
      <c r="A571" s="143"/>
      <c r="B571" s="217"/>
      <c r="C571" s="217"/>
      <c r="D571" s="217"/>
      <c r="E571" s="217"/>
      <c r="F571" s="217"/>
      <c r="G571" s="217"/>
      <c r="H571" s="217"/>
      <c r="I571" s="217"/>
      <c r="J571" s="217"/>
      <c r="K571" s="217"/>
      <c r="L571" s="217"/>
      <c r="M571" s="217"/>
      <c r="N571" s="217"/>
      <c r="O571" s="146"/>
      <c r="P571" s="146"/>
      <c r="Q571" s="146"/>
      <c r="R571" s="217"/>
      <c r="S571" s="217"/>
      <c r="T571" s="217"/>
      <c r="U571" s="217"/>
      <c r="V571" s="217"/>
      <c r="W571" s="217"/>
      <c r="X571" s="217"/>
      <c r="Y571" s="217"/>
      <c r="Z571" s="151"/>
      <c r="AA571" s="31"/>
      <c r="AB571" s="31"/>
    </row>
    <row r="572" spans="1:28" ht="18" customHeight="1">
      <c r="A572" s="143"/>
      <c r="B572" s="217"/>
      <c r="C572" s="217"/>
      <c r="D572" s="217"/>
      <c r="E572" s="217"/>
      <c r="F572" s="217"/>
      <c r="G572" s="217"/>
      <c r="H572" s="217"/>
      <c r="I572" s="217"/>
      <c r="J572" s="217"/>
      <c r="K572" s="217"/>
      <c r="L572" s="217"/>
      <c r="M572" s="217"/>
      <c r="N572" s="217"/>
      <c r="O572" s="146"/>
      <c r="P572" s="146"/>
      <c r="Q572" s="146"/>
      <c r="R572" s="217"/>
      <c r="S572" s="217"/>
      <c r="T572" s="217"/>
      <c r="U572" s="217"/>
      <c r="V572" s="217"/>
      <c r="W572" s="217"/>
      <c r="X572" s="217"/>
      <c r="Y572" s="217"/>
      <c r="Z572" s="151"/>
      <c r="AA572" s="31"/>
      <c r="AB572" s="31"/>
    </row>
    <row r="573" spans="1:28" ht="18" customHeight="1">
      <c r="A573" s="143"/>
      <c r="B573" s="217"/>
      <c r="C573" s="217"/>
      <c r="D573" s="217"/>
      <c r="E573" s="217"/>
      <c r="F573" s="217"/>
      <c r="G573" s="217"/>
      <c r="H573" s="217"/>
      <c r="I573" s="217"/>
      <c r="J573" s="217"/>
      <c r="K573" s="217"/>
      <c r="L573" s="217"/>
      <c r="M573" s="217"/>
      <c r="N573" s="217"/>
      <c r="O573" s="146"/>
      <c r="P573" s="146"/>
      <c r="Q573" s="146"/>
      <c r="R573" s="217"/>
      <c r="S573" s="217"/>
      <c r="T573" s="217"/>
      <c r="U573" s="217"/>
      <c r="V573" s="217"/>
      <c r="W573" s="217"/>
      <c r="X573" s="217"/>
      <c r="Y573" s="217"/>
      <c r="Z573" s="151"/>
      <c r="AA573" s="31"/>
      <c r="AB573" s="31"/>
    </row>
    <row r="574" spans="1:28" ht="18" customHeight="1">
      <c r="A574" s="143"/>
      <c r="B574" s="217"/>
      <c r="C574" s="217"/>
      <c r="D574" s="217"/>
      <c r="E574" s="217"/>
      <c r="F574" s="217"/>
      <c r="G574" s="217"/>
      <c r="H574" s="217"/>
      <c r="I574" s="217"/>
      <c r="J574" s="217"/>
      <c r="K574" s="217"/>
      <c r="L574" s="217"/>
      <c r="M574" s="217"/>
      <c r="N574" s="217"/>
      <c r="O574" s="146"/>
      <c r="P574" s="146"/>
      <c r="Q574" s="146"/>
      <c r="R574" s="217"/>
      <c r="S574" s="217"/>
      <c r="T574" s="217"/>
      <c r="U574" s="217"/>
      <c r="V574" s="217"/>
      <c r="W574" s="217"/>
      <c r="X574" s="217"/>
      <c r="Y574" s="217"/>
      <c r="Z574" s="151"/>
      <c r="AA574" s="31"/>
      <c r="AB574" s="31"/>
    </row>
    <row r="575" spans="1:28" ht="18" customHeight="1">
      <c r="A575" s="143"/>
      <c r="B575" s="217"/>
      <c r="C575" s="217"/>
      <c r="D575" s="217"/>
      <c r="E575" s="217"/>
      <c r="F575" s="217"/>
      <c r="G575" s="217"/>
      <c r="H575" s="217"/>
      <c r="I575" s="217"/>
      <c r="J575" s="217"/>
      <c r="K575" s="217"/>
      <c r="L575" s="217"/>
      <c r="M575" s="217"/>
      <c r="N575" s="217"/>
      <c r="O575" s="146"/>
      <c r="P575" s="146"/>
      <c r="Q575" s="146"/>
      <c r="R575" s="217"/>
      <c r="S575" s="217"/>
      <c r="T575" s="217"/>
      <c r="U575" s="217"/>
      <c r="V575" s="217"/>
      <c r="W575" s="217"/>
      <c r="X575" s="217"/>
      <c r="Y575" s="217"/>
      <c r="Z575" s="151"/>
      <c r="AA575" s="31"/>
      <c r="AB575" s="31"/>
    </row>
    <row r="576" spans="1:28" ht="18" customHeight="1">
      <c r="A576" s="143"/>
      <c r="B576" s="217"/>
      <c r="C576" s="217"/>
      <c r="D576" s="217"/>
      <c r="E576" s="217"/>
      <c r="F576" s="217"/>
      <c r="G576" s="217"/>
      <c r="H576" s="217"/>
      <c r="I576" s="217"/>
      <c r="J576" s="217"/>
      <c r="K576" s="217"/>
      <c r="L576" s="217"/>
      <c r="M576" s="217"/>
      <c r="N576" s="217"/>
      <c r="O576" s="146"/>
      <c r="P576" s="146"/>
      <c r="Q576" s="146"/>
      <c r="R576" s="217"/>
      <c r="S576" s="217"/>
      <c r="T576" s="217"/>
      <c r="U576" s="217"/>
      <c r="V576" s="217"/>
      <c r="W576" s="217"/>
      <c r="X576" s="217"/>
      <c r="Y576" s="217"/>
      <c r="Z576" s="151"/>
      <c r="AA576" s="31"/>
      <c r="AB576" s="31"/>
    </row>
    <row r="577" spans="1:28" ht="18" customHeight="1">
      <c r="A577" s="143"/>
      <c r="B577" s="217"/>
      <c r="C577" s="217"/>
      <c r="D577" s="217"/>
      <c r="E577" s="217"/>
      <c r="F577" s="217"/>
      <c r="G577" s="217"/>
      <c r="H577" s="217"/>
      <c r="I577" s="217"/>
      <c r="J577" s="217"/>
      <c r="K577" s="217"/>
      <c r="L577" s="217"/>
      <c r="M577" s="217"/>
      <c r="N577" s="217"/>
      <c r="O577" s="146"/>
      <c r="P577" s="146"/>
      <c r="Q577" s="146"/>
      <c r="R577" s="217"/>
      <c r="S577" s="217"/>
      <c r="T577" s="217"/>
      <c r="U577" s="217"/>
      <c r="V577" s="217"/>
      <c r="W577" s="217"/>
      <c r="X577" s="217"/>
      <c r="Y577" s="217"/>
      <c r="Z577" s="151"/>
      <c r="AA577" s="31"/>
      <c r="AB577" s="31"/>
    </row>
    <row r="578" spans="1:28" ht="18" customHeight="1">
      <c r="A578" s="143"/>
      <c r="B578" s="217"/>
      <c r="C578" s="217"/>
      <c r="D578" s="217"/>
      <c r="E578" s="217"/>
      <c r="F578" s="217"/>
      <c r="G578" s="217"/>
      <c r="H578" s="217"/>
      <c r="I578" s="217"/>
      <c r="J578" s="217"/>
      <c r="K578" s="217"/>
      <c r="L578" s="217"/>
      <c r="M578" s="217"/>
      <c r="N578" s="217"/>
      <c r="O578" s="146"/>
      <c r="P578" s="146"/>
      <c r="Q578" s="146"/>
      <c r="R578" s="217"/>
      <c r="S578" s="217"/>
      <c r="T578" s="217"/>
      <c r="U578" s="217"/>
      <c r="V578" s="217"/>
      <c r="W578" s="217"/>
      <c r="X578" s="217"/>
      <c r="Y578" s="217"/>
      <c r="Z578" s="151"/>
      <c r="AA578" s="31"/>
      <c r="AB578" s="31"/>
    </row>
    <row r="579" spans="1:28" ht="18" customHeight="1">
      <c r="A579" s="143"/>
      <c r="B579" s="217"/>
      <c r="C579" s="217"/>
      <c r="D579" s="217"/>
      <c r="E579" s="217"/>
      <c r="F579" s="217"/>
      <c r="G579" s="217"/>
      <c r="H579" s="217"/>
      <c r="I579" s="217"/>
      <c r="J579" s="217"/>
      <c r="K579" s="217"/>
      <c r="L579" s="217"/>
      <c r="M579" s="217"/>
      <c r="N579" s="217"/>
      <c r="O579" s="146"/>
      <c r="P579" s="146"/>
      <c r="Q579" s="146"/>
      <c r="R579" s="217"/>
      <c r="S579" s="217"/>
      <c r="T579" s="217"/>
      <c r="U579" s="217"/>
      <c r="V579" s="217"/>
      <c r="W579" s="217"/>
      <c r="X579" s="217"/>
      <c r="Y579" s="217"/>
      <c r="Z579" s="151"/>
      <c r="AA579" s="31"/>
      <c r="AB579" s="31"/>
    </row>
    <row r="580" spans="1:28" ht="18" customHeight="1">
      <c r="A580" s="143"/>
      <c r="B580" s="217"/>
      <c r="C580" s="217"/>
      <c r="D580" s="217"/>
      <c r="E580" s="217"/>
      <c r="F580" s="217"/>
      <c r="G580" s="217"/>
      <c r="H580" s="217"/>
      <c r="I580" s="217"/>
      <c r="J580" s="217"/>
      <c r="K580" s="217"/>
      <c r="L580" s="217"/>
      <c r="M580" s="217"/>
      <c r="N580" s="217"/>
      <c r="O580" s="146"/>
      <c r="P580" s="146"/>
      <c r="Q580" s="146"/>
      <c r="R580" s="217"/>
      <c r="S580" s="217"/>
      <c r="T580" s="217"/>
      <c r="U580" s="217"/>
      <c r="V580" s="217"/>
      <c r="W580" s="217"/>
      <c r="X580" s="217"/>
      <c r="Y580" s="217"/>
      <c r="Z580" s="151"/>
      <c r="AA580" s="31"/>
      <c r="AB580" s="31"/>
    </row>
    <row r="581" spans="1:28" ht="18" customHeight="1">
      <c r="A581" s="143"/>
      <c r="B581" s="217"/>
      <c r="C581" s="217"/>
      <c r="D581" s="217"/>
      <c r="E581" s="217"/>
      <c r="F581" s="217"/>
      <c r="G581" s="217"/>
      <c r="H581" s="217"/>
      <c r="I581" s="217"/>
      <c r="J581" s="217"/>
      <c r="K581" s="217"/>
      <c r="L581" s="217"/>
      <c r="M581" s="217"/>
      <c r="N581" s="217"/>
      <c r="O581" s="146"/>
      <c r="P581" s="146"/>
      <c r="Q581" s="146"/>
      <c r="R581" s="217"/>
      <c r="S581" s="217"/>
      <c r="T581" s="217"/>
      <c r="U581" s="217"/>
      <c r="V581" s="217"/>
      <c r="W581" s="217"/>
      <c r="X581" s="217"/>
      <c r="Y581" s="217"/>
      <c r="Z581" s="151"/>
      <c r="AA581" s="31"/>
      <c r="AB581" s="31"/>
    </row>
    <row r="582" spans="1:28" ht="18" customHeight="1">
      <c r="A582" s="143"/>
      <c r="B582" s="217"/>
      <c r="C582" s="217"/>
      <c r="D582" s="217"/>
      <c r="E582" s="217"/>
      <c r="F582" s="217"/>
      <c r="G582" s="217"/>
      <c r="H582" s="217"/>
      <c r="I582" s="217"/>
      <c r="J582" s="217"/>
      <c r="K582" s="217"/>
      <c r="L582" s="217"/>
      <c r="M582" s="217"/>
      <c r="N582" s="217"/>
      <c r="O582" s="146"/>
      <c r="P582" s="146"/>
      <c r="Q582" s="146"/>
      <c r="R582" s="217"/>
      <c r="S582" s="217"/>
      <c r="T582" s="217"/>
      <c r="U582" s="217"/>
      <c r="V582" s="217"/>
      <c r="W582" s="217"/>
      <c r="X582" s="217"/>
      <c r="Y582" s="217"/>
      <c r="Z582" s="151"/>
      <c r="AA582" s="31"/>
      <c r="AB582" s="31"/>
    </row>
    <row r="583" spans="1:28" ht="18" customHeight="1">
      <c r="A583" s="143"/>
      <c r="B583" s="217"/>
      <c r="C583" s="217"/>
      <c r="D583" s="217"/>
      <c r="E583" s="217"/>
      <c r="F583" s="217"/>
      <c r="G583" s="217"/>
      <c r="H583" s="217"/>
      <c r="I583" s="217"/>
      <c r="J583" s="217"/>
      <c r="K583" s="217"/>
      <c r="L583" s="217"/>
      <c r="M583" s="217"/>
      <c r="N583" s="217"/>
      <c r="O583" s="146"/>
      <c r="P583" s="146"/>
      <c r="Q583" s="146"/>
      <c r="R583" s="217"/>
      <c r="S583" s="217"/>
      <c r="T583" s="217"/>
      <c r="U583" s="217"/>
      <c r="V583" s="217"/>
      <c r="W583" s="217"/>
      <c r="X583" s="217"/>
      <c r="Y583" s="217"/>
      <c r="Z583" s="151"/>
      <c r="AA583" s="31"/>
      <c r="AB583" s="31"/>
    </row>
    <row r="584" spans="1:28" ht="18" customHeight="1">
      <c r="A584" s="143"/>
      <c r="B584" s="217"/>
      <c r="C584" s="217"/>
      <c r="D584" s="217"/>
      <c r="E584" s="217"/>
      <c r="F584" s="217"/>
      <c r="G584" s="217"/>
      <c r="H584" s="217"/>
      <c r="I584" s="217"/>
      <c r="J584" s="217"/>
      <c r="K584" s="217"/>
      <c r="L584" s="217"/>
      <c r="M584" s="217"/>
      <c r="N584" s="217"/>
      <c r="O584" s="146"/>
      <c r="P584" s="146"/>
      <c r="Q584" s="146"/>
      <c r="R584" s="217"/>
      <c r="S584" s="217"/>
      <c r="T584" s="217"/>
      <c r="U584" s="217"/>
      <c r="V584" s="217"/>
      <c r="W584" s="217"/>
      <c r="X584" s="217"/>
      <c r="Y584" s="217"/>
      <c r="Z584" s="151"/>
      <c r="AA584" s="31"/>
      <c r="AB584" s="31"/>
    </row>
    <row r="585" spans="1:28" ht="18" customHeight="1">
      <c r="A585" s="143"/>
      <c r="B585" s="217"/>
      <c r="C585" s="217"/>
      <c r="D585" s="217"/>
      <c r="E585" s="217"/>
      <c r="F585" s="217"/>
      <c r="G585" s="217"/>
      <c r="H585" s="217"/>
      <c r="I585" s="217"/>
      <c r="J585" s="217"/>
      <c r="K585" s="217"/>
      <c r="L585" s="217"/>
      <c r="M585" s="217"/>
      <c r="N585" s="217"/>
      <c r="O585" s="146"/>
      <c r="P585" s="146"/>
      <c r="Q585" s="146"/>
      <c r="R585" s="217"/>
      <c r="S585" s="217"/>
      <c r="T585" s="217"/>
      <c r="U585" s="217"/>
      <c r="V585" s="217"/>
      <c r="W585" s="217"/>
      <c r="X585" s="217"/>
      <c r="Y585" s="217"/>
      <c r="Z585" s="151"/>
      <c r="AA585" s="31"/>
      <c r="AB585" s="31"/>
    </row>
    <row r="586" spans="1:28" ht="18" customHeight="1">
      <c r="A586" s="143"/>
      <c r="B586" s="217"/>
      <c r="C586" s="217"/>
      <c r="D586" s="217"/>
      <c r="E586" s="217"/>
      <c r="F586" s="217"/>
      <c r="G586" s="217"/>
      <c r="H586" s="217"/>
      <c r="I586" s="217"/>
      <c r="J586" s="217"/>
      <c r="K586" s="217"/>
      <c r="L586" s="217"/>
      <c r="M586" s="217"/>
      <c r="N586" s="217"/>
      <c r="O586" s="146"/>
      <c r="P586" s="146"/>
      <c r="Q586" s="146"/>
      <c r="R586" s="217"/>
      <c r="S586" s="217"/>
      <c r="T586" s="217"/>
      <c r="U586" s="217"/>
      <c r="V586" s="217"/>
      <c r="W586" s="217"/>
      <c r="X586" s="217"/>
      <c r="Y586" s="217"/>
      <c r="Z586" s="151"/>
      <c r="AA586" s="31"/>
      <c r="AB586" s="31"/>
    </row>
    <row r="587" spans="1:28" ht="18" customHeight="1">
      <c r="A587" s="143"/>
      <c r="B587" s="217"/>
      <c r="C587" s="217"/>
      <c r="D587" s="217"/>
      <c r="E587" s="217"/>
      <c r="F587" s="217"/>
      <c r="G587" s="217"/>
      <c r="H587" s="217"/>
      <c r="I587" s="217"/>
      <c r="J587" s="217"/>
      <c r="K587" s="217"/>
      <c r="L587" s="217"/>
      <c r="M587" s="217"/>
      <c r="N587" s="217"/>
      <c r="O587" s="146"/>
      <c r="P587" s="146"/>
      <c r="Q587" s="146"/>
      <c r="R587" s="217"/>
      <c r="S587" s="217"/>
      <c r="T587" s="217"/>
      <c r="U587" s="217"/>
      <c r="V587" s="217"/>
      <c r="W587" s="217"/>
      <c r="X587" s="217"/>
      <c r="Y587" s="217"/>
      <c r="Z587" s="151"/>
      <c r="AA587" s="31"/>
      <c r="AB587" s="31"/>
    </row>
    <row r="588" spans="1:28" ht="18" customHeight="1">
      <c r="A588" s="143"/>
      <c r="B588" s="217"/>
      <c r="C588" s="217"/>
      <c r="D588" s="217"/>
      <c r="E588" s="217"/>
      <c r="F588" s="217"/>
      <c r="G588" s="217"/>
      <c r="H588" s="217"/>
      <c r="I588" s="217"/>
      <c r="J588" s="217"/>
      <c r="K588" s="217"/>
      <c r="L588" s="217"/>
      <c r="M588" s="217"/>
      <c r="N588" s="217"/>
      <c r="O588" s="146"/>
      <c r="P588" s="146"/>
      <c r="Q588" s="146"/>
      <c r="R588" s="217"/>
      <c r="S588" s="217"/>
      <c r="T588" s="217"/>
      <c r="U588" s="217"/>
      <c r="V588" s="217"/>
      <c r="W588" s="217"/>
      <c r="X588" s="217"/>
      <c r="Y588" s="217"/>
      <c r="Z588" s="151"/>
      <c r="AA588" s="31"/>
      <c r="AB588" s="31"/>
    </row>
    <row r="589" spans="1:28" ht="18" customHeight="1">
      <c r="A589" s="143"/>
      <c r="B589" s="217"/>
      <c r="C589" s="217"/>
      <c r="D589" s="217"/>
      <c r="E589" s="217"/>
      <c r="F589" s="217"/>
      <c r="G589" s="217"/>
      <c r="H589" s="217"/>
      <c r="I589" s="217"/>
      <c r="J589" s="217"/>
      <c r="K589" s="217"/>
      <c r="L589" s="217"/>
      <c r="M589" s="217"/>
      <c r="N589" s="217"/>
      <c r="O589" s="146"/>
      <c r="P589" s="146"/>
      <c r="Q589" s="146"/>
      <c r="R589" s="217"/>
      <c r="S589" s="217"/>
      <c r="T589" s="217"/>
      <c r="U589" s="217"/>
      <c r="V589" s="217"/>
      <c r="W589" s="217"/>
      <c r="X589" s="217"/>
      <c r="Y589" s="217"/>
      <c r="Z589" s="151"/>
      <c r="AA589" s="31"/>
      <c r="AB589" s="31"/>
    </row>
    <row r="590" spans="1:28" ht="18" customHeight="1">
      <c r="A590" s="143"/>
      <c r="B590" s="217"/>
      <c r="C590" s="217"/>
      <c r="D590" s="217"/>
      <c r="E590" s="217"/>
      <c r="F590" s="217"/>
      <c r="G590" s="217"/>
      <c r="H590" s="217"/>
      <c r="I590" s="217"/>
      <c r="J590" s="217"/>
      <c r="K590" s="217"/>
      <c r="L590" s="217"/>
      <c r="M590" s="217"/>
      <c r="N590" s="217"/>
      <c r="O590" s="146"/>
      <c r="P590" s="146"/>
      <c r="Q590" s="146"/>
      <c r="R590" s="217"/>
      <c r="S590" s="217"/>
      <c r="T590" s="217"/>
      <c r="U590" s="217"/>
      <c r="V590" s="217"/>
      <c r="W590" s="217"/>
      <c r="X590" s="217"/>
      <c r="Y590" s="217"/>
      <c r="Z590" s="151"/>
      <c r="AA590" s="31"/>
      <c r="AB590" s="31"/>
    </row>
    <row r="591" spans="1:28" ht="18" customHeight="1">
      <c r="A591" s="143"/>
      <c r="B591" s="217"/>
      <c r="C591" s="217"/>
      <c r="D591" s="217"/>
      <c r="E591" s="217"/>
      <c r="F591" s="217"/>
      <c r="G591" s="217"/>
      <c r="H591" s="217"/>
      <c r="I591" s="217"/>
      <c r="J591" s="217"/>
      <c r="K591" s="217"/>
      <c r="L591" s="217"/>
      <c r="M591" s="217"/>
      <c r="N591" s="217"/>
      <c r="O591" s="146"/>
      <c r="P591" s="146"/>
      <c r="Q591" s="146"/>
      <c r="R591" s="217"/>
      <c r="S591" s="217"/>
      <c r="T591" s="217"/>
      <c r="U591" s="217"/>
      <c r="V591" s="217"/>
      <c r="W591" s="217"/>
      <c r="X591" s="217"/>
      <c r="Y591" s="217"/>
      <c r="Z591" s="151"/>
      <c r="AA591" s="31"/>
      <c r="AB591" s="31"/>
    </row>
    <row r="592" spans="1:28" ht="18" customHeight="1">
      <c r="A592" s="143"/>
      <c r="B592" s="217"/>
      <c r="C592" s="217"/>
      <c r="D592" s="217"/>
      <c r="E592" s="217"/>
      <c r="F592" s="217"/>
      <c r="G592" s="217"/>
      <c r="H592" s="217"/>
      <c r="I592" s="217"/>
      <c r="J592" s="217"/>
      <c r="K592" s="217"/>
      <c r="L592" s="217"/>
      <c r="M592" s="217"/>
      <c r="N592" s="217"/>
      <c r="O592" s="146"/>
      <c r="P592" s="146"/>
      <c r="Q592" s="146"/>
      <c r="R592" s="217"/>
      <c r="S592" s="217"/>
      <c r="T592" s="217"/>
      <c r="U592" s="217"/>
      <c r="V592" s="217"/>
      <c r="W592" s="217"/>
      <c r="X592" s="217"/>
      <c r="Y592" s="217"/>
      <c r="Z592" s="151"/>
      <c r="AA592" s="31"/>
      <c r="AB592" s="31"/>
    </row>
    <row r="593" spans="1:28" ht="18" customHeight="1">
      <c r="A593" s="143"/>
      <c r="B593" s="217"/>
      <c r="C593" s="217"/>
      <c r="D593" s="217"/>
      <c r="E593" s="217"/>
      <c r="F593" s="217"/>
      <c r="G593" s="217"/>
      <c r="H593" s="217"/>
      <c r="I593" s="217"/>
      <c r="J593" s="217"/>
      <c r="K593" s="217"/>
      <c r="L593" s="217"/>
      <c r="M593" s="217"/>
      <c r="N593" s="217"/>
      <c r="O593" s="146"/>
      <c r="P593" s="146"/>
      <c r="Q593" s="146"/>
      <c r="R593" s="217"/>
      <c r="S593" s="217"/>
      <c r="T593" s="217"/>
      <c r="U593" s="217"/>
      <c r="V593" s="217"/>
      <c r="W593" s="217"/>
      <c r="X593" s="217"/>
      <c r="Y593" s="217"/>
      <c r="Z593" s="151"/>
      <c r="AA593" s="31"/>
      <c r="AB593" s="31"/>
    </row>
    <row r="594" spans="1:28" ht="18" customHeight="1">
      <c r="A594" s="143"/>
      <c r="B594" s="217"/>
      <c r="C594" s="217"/>
      <c r="D594" s="217"/>
      <c r="E594" s="217"/>
      <c r="F594" s="217"/>
      <c r="G594" s="217"/>
      <c r="H594" s="217"/>
      <c r="I594" s="217"/>
      <c r="J594" s="217"/>
      <c r="K594" s="217"/>
      <c r="L594" s="217"/>
      <c r="M594" s="217"/>
      <c r="N594" s="217"/>
      <c r="O594" s="146"/>
      <c r="P594" s="146"/>
      <c r="Q594" s="146"/>
      <c r="R594" s="217"/>
      <c r="S594" s="217"/>
      <c r="T594" s="217"/>
      <c r="U594" s="217"/>
      <c r="V594" s="217"/>
      <c r="W594" s="217"/>
      <c r="X594" s="217"/>
      <c r="Y594" s="217"/>
      <c r="Z594" s="151"/>
      <c r="AA594" s="31"/>
      <c r="AB594" s="31"/>
    </row>
    <row r="595" spans="1:28" ht="18" customHeight="1">
      <c r="A595" s="143"/>
      <c r="B595" s="217"/>
      <c r="C595" s="217"/>
      <c r="D595" s="217"/>
      <c r="E595" s="217"/>
      <c r="F595" s="217"/>
      <c r="G595" s="217"/>
      <c r="H595" s="217"/>
      <c r="I595" s="217"/>
      <c r="J595" s="217"/>
      <c r="K595" s="217"/>
      <c r="L595" s="217"/>
      <c r="M595" s="217"/>
      <c r="N595" s="217"/>
      <c r="O595" s="146"/>
      <c r="P595" s="146"/>
      <c r="Q595" s="146"/>
      <c r="R595" s="217"/>
      <c r="S595" s="217"/>
      <c r="T595" s="217"/>
      <c r="U595" s="217"/>
      <c r="V595" s="217"/>
      <c r="W595" s="217"/>
      <c r="X595" s="217"/>
      <c r="Y595" s="217"/>
      <c r="Z595" s="151"/>
      <c r="AA595" s="31"/>
      <c r="AB595" s="31"/>
    </row>
    <row r="596" spans="1:28" ht="18" customHeight="1">
      <c r="A596" s="143"/>
      <c r="B596" s="217"/>
      <c r="C596" s="217"/>
      <c r="D596" s="217"/>
      <c r="E596" s="217"/>
      <c r="F596" s="217"/>
      <c r="G596" s="217"/>
      <c r="H596" s="217"/>
      <c r="I596" s="217"/>
      <c r="J596" s="217"/>
      <c r="K596" s="217"/>
      <c r="L596" s="217"/>
      <c r="M596" s="217"/>
      <c r="N596" s="217"/>
      <c r="O596" s="146"/>
      <c r="P596" s="146"/>
      <c r="Q596" s="146"/>
      <c r="R596" s="217"/>
      <c r="S596" s="217"/>
      <c r="T596" s="217"/>
      <c r="U596" s="217"/>
      <c r="V596" s="217"/>
      <c r="W596" s="217"/>
      <c r="X596" s="217"/>
      <c r="Y596" s="217"/>
      <c r="Z596" s="151"/>
      <c r="AA596" s="31"/>
      <c r="AB596" s="31"/>
    </row>
    <row r="597" spans="1:28" ht="18" customHeight="1">
      <c r="A597" s="143"/>
      <c r="B597" s="217"/>
      <c r="C597" s="217"/>
      <c r="D597" s="217"/>
      <c r="E597" s="217"/>
      <c r="F597" s="217"/>
      <c r="G597" s="217"/>
      <c r="H597" s="217"/>
      <c r="I597" s="217"/>
      <c r="J597" s="217"/>
      <c r="K597" s="217"/>
      <c r="L597" s="217"/>
      <c r="M597" s="217"/>
      <c r="N597" s="217"/>
      <c r="O597" s="146"/>
      <c r="P597" s="146"/>
      <c r="Q597" s="146"/>
      <c r="R597" s="217"/>
      <c r="S597" s="217"/>
      <c r="T597" s="217"/>
      <c r="U597" s="217"/>
      <c r="V597" s="217"/>
      <c r="W597" s="217"/>
      <c r="X597" s="217"/>
      <c r="Y597" s="217"/>
      <c r="Z597" s="151"/>
      <c r="AA597" s="31"/>
      <c r="AB597" s="31"/>
    </row>
    <row r="598" spans="1:28" ht="18" customHeight="1">
      <c r="A598" s="143"/>
      <c r="B598" s="217"/>
      <c r="C598" s="217"/>
      <c r="D598" s="217"/>
      <c r="E598" s="217"/>
      <c r="F598" s="217"/>
      <c r="G598" s="217"/>
      <c r="H598" s="217"/>
      <c r="I598" s="217"/>
      <c r="J598" s="217"/>
      <c r="K598" s="217"/>
      <c r="L598" s="217"/>
      <c r="M598" s="217"/>
      <c r="N598" s="217"/>
      <c r="O598" s="146"/>
      <c r="P598" s="146"/>
      <c r="Q598" s="146"/>
      <c r="R598" s="217"/>
      <c r="S598" s="217"/>
      <c r="T598" s="217"/>
      <c r="U598" s="217"/>
      <c r="V598" s="217"/>
      <c r="W598" s="217"/>
      <c r="X598" s="217"/>
      <c r="Y598" s="217"/>
      <c r="Z598" s="151"/>
      <c r="AA598" s="31"/>
      <c r="AB598" s="31"/>
    </row>
    <row r="599" spans="1:28" ht="18" customHeight="1">
      <c r="A599" s="143"/>
      <c r="B599" s="217"/>
      <c r="C599" s="217"/>
      <c r="D599" s="217"/>
      <c r="E599" s="217"/>
      <c r="F599" s="217"/>
      <c r="G599" s="217"/>
      <c r="H599" s="217"/>
      <c r="I599" s="217"/>
      <c r="J599" s="217"/>
      <c r="K599" s="217"/>
      <c r="L599" s="217"/>
      <c r="M599" s="217"/>
      <c r="N599" s="217"/>
      <c r="O599" s="146"/>
      <c r="P599" s="146"/>
      <c r="Q599" s="146"/>
      <c r="R599" s="217"/>
      <c r="S599" s="217"/>
      <c r="T599" s="217"/>
      <c r="U599" s="217"/>
      <c r="V599" s="217"/>
      <c r="W599" s="217"/>
      <c r="X599" s="217"/>
      <c r="Y599" s="217"/>
      <c r="Z599" s="151"/>
      <c r="AA599" s="31"/>
      <c r="AB599" s="31"/>
    </row>
    <row r="600" spans="1:28" ht="18" customHeight="1">
      <c r="A600" s="143"/>
      <c r="B600" s="217"/>
      <c r="C600" s="217"/>
      <c r="D600" s="217"/>
      <c r="E600" s="217"/>
      <c r="F600" s="217"/>
      <c r="G600" s="217"/>
      <c r="H600" s="217"/>
      <c r="I600" s="217"/>
      <c r="J600" s="217"/>
      <c r="K600" s="217"/>
      <c r="L600" s="217"/>
      <c r="M600" s="217"/>
      <c r="N600" s="217"/>
      <c r="O600" s="146"/>
      <c r="P600" s="146"/>
      <c r="Q600" s="146"/>
      <c r="R600" s="217"/>
      <c r="S600" s="217"/>
      <c r="T600" s="217"/>
      <c r="U600" s="217"/>
      <c r="V600" s="217"/>
      <c r="W600" s="217"/>
      <c r="X600" s="217"/>
      <c r="Y600" s="217"/>
      <c r="Z600" s="151"/>
      <c r="AA600" s="31"/>
      <c r="AB600" s="31"/>
    </row>
    <row r="601" spans="1:28">
      <c r="B601" s="218"/>
      <c r="C601" s="218"/>
      <c r="D601" s="218"/>
      <c r="E601" s="218"/>
      <c r="F601" s="218"/>
      <c r="G601" s="218"/>
      <c r="H601" s="218"/>
      <c r="I601" s="218"/>
      <c r="J601" s="218"/>
      <c r="K601" s="218"/>
      <c r="L601" s="218"/>
      <c r="M601" s="218"/>
      <c r="N601" s="218"/>
      <c r="R601" s="218"/>
      <c r="S601" s="218"/>
      <c r="T601" s="218"/>
      <c r="U601" s="218"/>
      <c r="V601" s="218"/>
      <c r="W601" s="218"/>
      <c r="X601" s="218"/>
      <c r="Y601" s="218"/>
      <c r="Z601" s="31"/>
      <c r="AA601" s="31"/>
      <c r="AB601" s="31"/>
    </row>
    <row r="602" spans="1:28">
      <c r="B602" s="218"/>
      <c r="C602" s="218"/>
      <c r="D602" s="218"/>
      <c r="E602" s="218"/>
      <c r="F602" s="218"/>
      <c r="G602" s="218"/>
      <c r="H602" s="218"/>
      <c r="I602" s="218"/>
      <c r="J602" s="218"/>
      <c r="K602" s="218"/>
      <c r="L602" s="218"/>
      <c r="M602" s="218"/>
      <c r="N602" s="218"/>
      <c r="R602" s="218"/>
      <c r="S602" s="218"/>
      <c r="T602" s="218"/>
      <c r="U602" s="218"/>
      <c r="V602" s="218"/>
      <c r="W602" s="218"/>
      <c r="X602" s="218"/>
      <c r="Y602" s="218"/>
      <c r="Z602" s="31"/>
      <c r="AA602" s="31"/>
      <c r="AB602" s="31"/>
    </row>
    <row r="603" spans="1:28">
      <c r="B603" s="218"/>
      <c r="C603" s="218"/>
      <c r="D603" s="218"/>
      <c r="E603" s="218"/>
      <c r="F603" s="218"/>
      <c r="G603" s="218"/>
      <c r="H603" s="218"/>
      <c r="I603" s="218"/>
      <c r="J603" s="218"/>
      <c r="K603" s="218"/>
      <c r="L603" s="218"/>
      <c r="M603" s="218"/>
      <c r="N603" s="218"/>
      <c r="R603" s="218"/>
      <c r="S603" s="218"/>
      <c r="T603" s="218"/>
      <c r="U603" s="218"/>
      <c r="V603" s="218"/>
      <c r="W603" s="218"/>
      <c r="X603" s="218"/>
      <c r="Y603" s="218"/>
      <c r="Z603" s="31"/>
      <c r="AA603" s="31"/>
      <c r="AB603" s="31"/>
    </row>
    <row r="604" spans="1:28">
      <c r="B604" s="218"/>
      <c r="C604" s="218"/>
      <c r="D604" s="218"/>
      <c r="E604" s="218"/>
      <c r="F604" s="218"/>
      <c r="G604" s="218"/>
      <c r="H604" s="218"/>
      <c r="I604" s="218"/>
      <c r="J604" s="218"/>
      <c r="K604" s="218"/>
      <c r="L604" s="218"/>
      <c r="M604" s="218"/>
      <c r="N604" s="218"/>
      <c r="R604" s="218"/>
      <c r="S604" s="218"/>
      <c r="T604" s="218"/>
      <c r="U604" s="218"/>
      <c r="V604" s="218"/>
      <c r="W604" s="218"/>
      <c r="X604" s="218"/>
      <c r="Y604" s="218"/>
      <c r="Z604" s="31"/>
      <c r="AA604" s="31"/>
      <c r="AB604" s="31"/>
    </row>
    <row r="605" spans="1:28">
      <c r="Z605" s="31"/>
      <c r="AA605" s="31"/>
      <c r="AB605" s="31"/>
    </row>
    <row r="606" spans="1:28">
      <c r="Z606" s="31"/>
      <c r="AA606" s="31"/>
      <c r="AB606" s="31"/>
    </row>
    <row r="607" spans="1:28">
      <c r="Z607" s="31"/>
      <c r="AA607" s="31"/>
      <c r="AB607" s="31"/>
    </row>
    <row r="608" spans="1:28">
      <c r="Z608" s="31"/>
      <c r="AA608" s="31"/>
      <c r="AB608" s="31"/>
    </row>
    <row r="609" spans="26:28">
      <c r="Z609" s="31"/>
      <c r="AA609" s="31"/>
      <c r="AB609" s="31"/>
    </row>
    <row r="610" spans="26:28">
      <c r="Z610" s="31"/>
      <c r="AA610" s="31"/>
      <c r="AB610" s="31"/>
    </row>
    <row r="611" spans="26:28">
      <c r="Z611" s="31"/>
      <c r="AA611" s="31"/>
      <c r="AB611" s="31"/>
    </row>
    <row r="612" spans="26:28">
      <c r="Z612" s="31"/>
      <c r="AA612" s="31"/>
      <c r="AB612" s="31"/>
    </row>
    <row r="613" spans="26:28">
      <c r="Z613" s="31"/>
      <c r="AA613" s="31"/>
      <c r="AB613" s="31"/>
    </row>
    <row r="614" spans="26:28">
      <c r="Z614" s="31"/>
      <c r="AA614" s="31"/>
      <c r="AB614" s="31"/>
    </row>
    <row r="615" spans="26:28">
      <c r="Z615" s="31"/>
      <c r="AA615" s="31"/>
      <c r="AB615" s="31"/>
    </row>
    <row r="616" spans="26:28">
      <c r="Z616" s="31"/>
      <c r="AA616" s="31"/>
      <c r="AB616" s="31"/>
    </row>
    <row r="617" spans="26:28">
      <c r="Z617" s="31"/>
      <c r="AA617" s="31"/>
      <c r="AB617" s="31"/>
    </row>
    <row r="618" spans="26:28">
      <c r="Z618" s="31"/>
      <c r="AA618" s="31"/>
      <c r="AB618" s="31"/>
    </row>
    <row r="619" spans="26:28">
      <c r="Z619" s="31"/>
      <c r="AA619" s="31"/>
      <c r="AB619" s="31"/>
    </row>
    <row r="620" spans="26:28">
      <c r="Z620" s="31"/>
      <c r="AA620" s="31"/>
      <c r="AB620" s="31"/>
    </row>
    <row r="621" spans="26:28">
      <c r="Z621" s="31"/>
      <c r="AA621" s="31"/>
      <c r="AB621" s="31"/>
    </row>
    <row r="622" spans="26:28">
      <c r="Z622" s="31"/>
      <c r="AA622" s="31"/>
      <c r="AB622" s="31"/>
    </row>
    <row r="623" spans="26:28">
      <c r="Z623" s="31"/>
      <c r="AA623" s="31"/>
      <c r="AB623" s="31"/>
    </row>
    <row r="624" spans="26:28">
      <c r="Z624" s="31"/>
      <c r="AA624" s="31"/>
      <c r="AB624" s="31"/>
    </row>
    <row r="625" spans="26:28">
      <c r="Z625" s="31"/>
      <c r="AA625" s="31"/>
      <c r="AB625" s="31"/>
    </row>
    <row r="626" spans="26:28">
      <c r="Z626" s="31"/>
      <c r="AA626" s="31"/>
      <c r="AB626" s="31"/>
    </row>
    <row r="627" spans="26:28">
      <c r="Z627" s="31"/>
      <c r="AA627" s="31"/>
      <c r="AB627" s="31"/>
    </row>
    <row r="628" spans="26:28">
      <c r="Z628" s="31"/>
      <c r="AA628" s="31"/>
      <c r="AB628" s="31"/>
    </row>
    <row r="629" spans="26:28">
      <c r="Z629" s="31"/>
      <c r="AA629" s="31"/>
      <c r="AB629" s="31"/>
    </row>
    <row r="630" spans="26:28">
      <c r="Z630" s="31"/>
      <c r="AA630" s="31"/>
      <c r="AB630" s="31"/>
    </row>
    <row r="631" spans="26:28">
      <c r="Z631" s="31"/>
      <c r="AA631" s="31"/>
      <c r="AB631" s="31"/>
    </row>
    <row r="632" spans="26:28">
      <c r="Z632" s="31"/>
      <c r="AA632" s="31"/>
      <c r="AB632" s="31"/>
    </row>
    <row r="633" spans="26:28">
      <c r="Z633" s="31"/>
      <c r="AA633" s="31"/>
      <c r="AB633" s="31"/>
    </row>
    <row r="634" spans="26:28">
      <c r="Z634" s="31"/>
      <c r="AA634" s="31"/>
      <c r="AB634" s="31"/>
    </row>
    <row r="635" spans="26:28">
      <c r="Z635" s="31"/>
      <c r="AA635" s="31"/>
      <c r="AB635" s="31"/>
    </row>
    <row r="636" spans="26:28">
      <c r="Z636" s="31"/>
      <c r="AA636" s="31"/>
      <c r="AB636" s="31"/>
    </row>
    <row r="637" spans="26:28">
      <c r="Z637" s="31"/>
      <c r="AA637" s="31"/>
      <c r="AB637" s="31"/>
    </row>
    <row r="638" spans="26:28">
      <c r="Z638" s="31"/>
      <c r="AA638" s="31"/>
      <c r="AB638" s="31"/>
    </row>
    <row r="639" spans="26:28">
      <c r="Z639" s="31"/>
      <c r="AA639" s="31"/>
      <c r="AB639" s="31"/>
    </row>
    <row r="640" spans="26:28">
      <c r="Z640" s="31"/>
      <c r="AA640" s="31"/>
      <c r="AB640" s="31"/>
    </row>
    <row r="641" spans="26:28">
      <c r="Z641" s="31"/>
      <c r="AA641" s="31"/>
      <c r="AB641" s="31"/>
    </row>
    <row r="642" spans="26:28">
      <c r="Z642" s="31"/>
      <c r="AA642" s="31"/>
      <c r="AB642" s="31"/>
    </row>
    <row r="643" spans="26:28">
      <c r="Z643" s="31"/>
      <c r="AA643" s="31"/>
      <c r="AB643" s="31"/>
    </row>
    <row r="644" spans="26:28">
      <c r="Z644" s="31"/>
      <c r="AA644" s="31"/>
      <c r="AB644" s="31"/>
    </row>
    <row r="645" spans="26:28">
      <c r="Z645" s="31"/>
      <c r="AA645" s="31"/>
      <c r="AB645" s="31"/>
    </row>
    <row r="646" spans="26:28">
      <c r="Z646" s="31"/>
      <c r="AA646" s="31"/>
      <c r="AB646" s="31"/>
    </row>
    <row r="647" spans="26:28">
      <c r="Z647" s="31"/>
      <c r="AA647" s="31"/>
      <c r="AB647" s="31"/>
    </row>
    <row r="648" spans="26:28">
      <c r="Z648" s="31"/>
      <c r="AA648" s="31"/>
      <c r="AB648" s="31"/>
    </row>
    <row r="649" spans="26:28">
      <c r="Z649" s="31"/>
      <c r="AA649" s="31"/>
      <c r="AB649" s="31"/>
    </row>
    <row r="650" spans="26:28">
      <c r="Z650" s="31"/>
      <c r="AA650" s="31"/>
      <c r="AB650" s="31"/>
    </row>
    <row r="651" spans="26:28">
      <c r="Z651" s="31"/>
      <c r="AA651" s="31"/>
      <c r="AB651" s="31"/>
    </row>
    <row r="652" spans="26:28">
      <c r="Z652" s="31"/>
      <c r="AA652" s="31"/>
      <c r="AB652" s="31"/>
    </row>
    <row r="653" spans="26:28">
      <c r="Z653" s="31"/>
      <c r="AA653" s="31"/>
      <c r="AB653" s="31"/>
    </row>
    <row r="654" spans="26:28">
      <c r="Z654" s="31"/>
      <c r="AA654" s="31"/>
      <c r="AB654" s="31"/>
    </row>
    <row r="655" spans="26:28">
      <c r="Z655" s="31"/>
      <c r="AA655" s="31"/>
      <c r="AB655" s="31"/>
    </row>
    <row r="656" spans="26:28">
      <c r="Z656" s="31"/>
      <c r="AA656" s="31"/>
      <c r="AB656" s="31"/>
    </row>
    <row r="657" spans="26:28">
      <c r="Z657" s="31"/>
      <c r="AA657" s="31"/>
      <c r="AB657" s="31"/>
    </row>
    <row r="658" spans="26:28">
      <c r="Z658" s="31"/>
      <c r="AA658" s="31"/>
      <c r="AB658" s="31"/>
    </row>
    <row r="659" spans="26:28">
      <c r="Z659" s="31"/>
      <c r="AA659" s="31"/>
      <c r="AB659" s="31"/>
    </row>
    <row r="660" spans="26:28">
      <c r="Z660" s="31"/>
      <c r="AA660" s="31"/>
      <c r="AB660" s="31"/>
    </row>
    <row r="661" spans="26:28">
      <c r="Z661" s="31"/>
      <c r="AA661" s="31"/>
      <c r="AB661" s="31"/>
    </row>
    <row r="662" spans="26:28">
      <c r="Z662" s="31"/>
      <c r="AA662" s="31"/>
      <c r="AB662" s="31"/>
    </row>
    <row r="663" spans="26:28">
      <c r="Z663" s="31"/>
      <c r="AA663" s="31"/>
      <c r="AB663" s="31"/>
    </row>
    <row r="664" spans="26:28">
      <c r="Z664" s="31"/>
      <c r="AA664" s="31"/>
      <c r="AB664" s="31"/>
    </row>
    <row r="665" spans="26:28">
      <c r="Z665" s="31"/>
      <c r="AA665" s="31"/>
      <c r="AB665" s="31"/>
    </row>
    <row r="666" spans="26:28">
      <c r="Z666" s="31"/>
      <c r="AA666" s="31"/>
      <c r="AB666" s="31"/>
    </row>
    <row r="667" spans="26:28">
      <c r="Z667" s="31"/>
      <c r="AA667" s="31"/>
      <c r="AB667" s="31"/>
    </row>
    <row r="668" spans="26:28">
      <c r="Z668" s="31"/>
      <c r="AA668" s="31"/>
      <c r="AB668" s="31"/>
    </row>
    <row r="669" spans="26:28">
      <c r="Z669" s="31"/>
      <c r="AA669" s="31"/>
      <c r="AB669" s="31"/>
    </row>
    <row r="670" spans="26:28">
      <c r="Z670" s="31"/>
      <c r="AA670" s="31"/>
      <c r="AB670" s="31"/>
    </row>
    <row r="671" spans="26:28">
      <c r="Z671" s="31"/>
      <c r="AA671" s="31"/>
      <c r="AB671" s="31"/>
    </row>
    <row r="672" spans="26:28">
      <c r="Z672" s="31"/>
      <c r="AA672" s="31"/>
      <c r="AB672" s="31"/>
    </row>
    <row r="673" spans="26:28">
      <c r="Z673" s="31"/>
      <c r="AA673" s="31"/>
      <c r="AB673" s="31"/>
    </row>
    <row r="674" spans="26:28">
      <c r="Z674" s="31"/>
      <c r="AA674" s="31"/>
      <c r="AB674" s="31"/>
    </row>
    <row r="675" spans="26:28">
      <c r="Z675" s="31"/>
      <c r="AA675" s="31"/>
      <c r="AB675" s="31"/>
    </row>
    <row r="676" spans="26:28">
      <c r="Z676" s="31"/>
      <c r="AA676" s="31"/>
      <c r="AB676" s="31"/>
    </row>
    <row r="677" spans="26:28">
      <c r="Z677" s="31"/>
      <c r="AA677" s="31"/>
      <c r="AB677" s="31"/>
    </row>
    <row r="678" spans="26:28">
      <c r="Z678" s="31"/>
      <c r="AA678" s="31"/>
      <c r="AB678" s="31"/>
    </row>
    <row r="679" spans="26:28">
      <c r="Z679" s="31"/>
      <c r="AA679" s="31"/>
      <c r="AB679" s="31"/>
    </row>
    <row r="680" spans="26:28">
      <c r="Z680" s="31"/>
      <c r="AA680" s="31"/>
      <c r="AB680" s="31"/>
    </row>
    <row r="681" spans="26:28">
      <c r="Z681" s="31"/>
      <c r="AA681" s="31"/>
      <c r="AB681" s="31"/>
    </row>
    <row r="682" spans="26:28">
      <c r="Z682" s="31"/>
      <c r="AA682" s="31"/>
      <c r="AB682" s="31"/>
    </row>
    <row r="683" spans="26:28">
      <c r="Z683" s="218"/>
      <c r="AA683" s="218"/>
      <c r="AB683" s="218"/>
    </row>
    <row r="684" spans="26:28">
      <c r="Z684" s="218"/>
      <c r="AA684" s="218"/>
      <c r="AB684" s="218"/>
    </row>
    <row r="685" spans="26:28"/>
    <row r="686" spans="26:28"/>
    <row r="687" spans="26:28"/>
    <row r="688" spans="26:2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spans="2:10"/>
    <row r="738" spans="2:10"/>
    <row r="739" spans="2:10"/>
    <row r="740" spans="2:10"/>
    <row r="741" spans="2:10"/>
    <row r="742" spans="2:10"/>
    <row r="743" spans="2:10"/>
    <row r="744" spans="2:10"/>
    <row r="745" spans="2:10"/>
    <row r="746" spans="2:10"/>
    <row r="747" spans="2:10"/>
    <row r="748" spans="2:10"/>
    <row r="749" spans="2:10">
      <c r="B749" s="218"/>
      <c r="C749" s="218"/>
      <c r="D749" s="218"/>
      <c r="E749" s="218"/>
      <c r="F749" s="218"/>
      <c r="G749" s="218"/>
      <c r="H749" s="218"/>
      <c r="I749" s="218"/>
      <c r="J749" s="218"/>
    </row>
    <row r="750" spans="2:10">
      <c r="B750" s="218"/>
      <c r="C750" s="218"/>
      <c r="D750" s="218"/>
      <c r="E750" s="218"/>
      <c r="F750" s="218"/>
      <c r="G750" s="218"/>
      <c r="H750" s="218"/>
      <c r="I750" s="218"/>
      <c r="J750" s="218"/>
    </row>
    <row r="751" spans="2:10">
      <c r="B751" s="218"/>
      <c r="C751" s="218"/>
      <c r="D751" s="218"/>
      <c r="E751" s="218"/>
      <c r="F751" s="218"/>
      <c r="G751" s="218"/>
      <c r="H751" s="218"/>
      <c r="I751" s="218"/>
      <c r="J751" s="218"/>
    </row>
    <row r="752" spans="2:10">
      <c r="B752" s="218"/>
      <c r="C752" s="218"/>
      <c r="D752" s="218"/>
      <c r="E752" s="218"/>
      <c r="F752" s="218"/>
      <c r="G752" s="218"/>
      <c r="H752" s="218"/>
      <c r="I752" s="218"/>
      <c r="J752" s="218"/>
    </row>
    <row r="753" spans="2:10">
      <c r="B753" s="218"/>
      <c r="C753" s="218"/>
      <c r="D753" s="218"/>
      <c r="E753" s="218"/>
      <c r="F753" s="218"/>
      <c r="G753" s="218"/>
      <c r="H753" s="218"/>
      <c r="I753" s="218"/>
      <c r="J753" s="218"/>
    </row>
    <row r="754" spans="2:10">
      <c r="B754" s="218"/>
      <c r="C754" s="218"/>
      <c r="D754" s="218"/>
      <c r="E754" s="218"/>
      <c r="F754" s="218"/>
      <c r="G754" s="218"/>
      <c r="H754" s="218"/>
      <c r="I754" s="218"/>
      <c r="J754" s="218"/>
    </row>
    <row r="755" spans="2:10">
      <c r="B755" s="218"/>
      <c r="C755" s="218"/>
      <c r="D755" s="218"/>
      <c r="E755" s="218"/>
      <c r="F755" s="218"/>
      <c r="G755" s="218"/>
      <c r="H755" s="218"/>
      <c r="I755" s="218"/>
      <c r="J755" s="218"/>
    </row>
    <row r="756" spans="2:10">
      <c r="B756" s="218"/>
      <c r="C756" s="218"/>
      <c r="D756" s="218"/>
      <c r="E756" s="218"/>
      <c r="F756" s="218"/>
      <c r="G756" s="218"/>
      <c r="H756" s="218"/>
      <c r="I756" s="218"/>
      <c r="J756" s="218"/>
    </row>
    <row r="757" spans="2:10">
      <c r="B757" s="218"/>
      <c r="C757" s="218"/>
      <c r="D757" s="218"/>
      <c r="E757" s="218"/>
      <c r="F757" s="218"/>
      <c r="G757" s="218"/>
      <c r="H757" s="218"/>
      <c r="I757" s="218"/>
      <c r="J757" s="218"/>
    </row>
    <row r="758" spans="2:10">
      <c r="B758" s="218"/>
      <c r="C758" s="218"/>
      <c r="D758" s="218"/>
      <c r="E758" s="218"/>
      <c r="F758" s="218"/>
      <c r="G758" s="218"/>
      <c r="H758" s="218"/>
      <c r="I758" s="218"/>
      <c r="J758" s="218"/>
    </row>
    <row r="759" spans="2:10">
      <c r="B759" s="36"/>
      <c r="C759" s="36"/>
      <c r="D759" s="36"/>
      <c r="E759" s="36"/>
      <c r="F759" s="36"/>
      <c r="G759" s="36"/>
      <c r="H759" s="36"/>
      <c r="I759" s="36"/>
      <c r="J759" s="36"/>
    </row>
    <row r="760" spans="2:10">
      <c r="B760" s="36"/>
      <c r="C760" s="36"/>
      <c r="D760" s="36"/>
      <c r="E760" s="36"/>
      <c r="F760" s="36"/>
      <c r="G760" s="36"/>
      <c r="H760" s="36"/>
      <c r="I760" s="36"/>
      <c r="J760" s="36"/>
    </row>
    <row r="761" spans="2:10">
      <c r="B761" s="36"/>
      <c r="C761" s="36"/>
      <c r="D761" s="36"/>
      <c r="E761" s="36"/>
      <c r="F761" s="36"/>
      <c r="G761" s="36"/>
      <c r="H761" s="36"/>
      <c r="I761" s="36"/>
      <c r="J761" s="36"/>
    </row>
    <row r="762" spans="2:10">
      <c r="B762" s="36"/>
      <c r="C762" s="36"/>
      <c r="D762" s="36"/>
      <c r="E762" s="36"/>
      <c r="F762" s="36"/>
      <c r="G762" s="36"/>
      <c r="H762" s="36"/>
      <c r="I762" s="36"/>
      <c r="J762" s="36"/>
    </row>
    <row r="763" spans="2:10">
      <c r="B763" s="36"/>
      <c r="C763" s="36"/>
      <c r="D763" s="36"/>
      <c r="E763" s="36"/>
      <c r="F763" s="36"/>
      <c r="G763" s="36"/>
      <c r="H763" s="36"/>
      <c r="I763" s="36"/>
      <c r="J763" s="36"/>
    </row>
    <row r="764" spans="2:10">
      <c r="B764" s="36"/>
      <c r="C764" s="36"/>
      <c r="D764" s="36"/>
      <c r="E764" s="36"/>
      <c r="F764" s="36"/>
      <c r="G764" s="36"/>
      <c r="H764" s="36"/>
      <c r="I764" s="36"/>
      <c r="J764" s="36"/>
    </row>
    <row r="765" spans="2:10">
      <c r="B765" s="36"/>
      <c r="C765" s="36"/>
      <c r="D765" s="36"/>
      <c r="E765" s="36"/>
      <c r="F765" s="36"/>
      <c r="G765" s="36"/>
      <c r="H765" s="36"/>
      <c r="I765" s="36"/>
      <c r="J765" s="36"/>
    </row>
    <row r="766" spans="2:10">
      <c r="B766" s="36"/>
      <c r="C766" s="36"/>
      <c r="D766" s="36"/>
      <c r="E766" s="36"/>
      <c r="F766" s="36"/>
      <c r="G766" s="36"/>
      <c r="H766" s="36"/>
      <c r="I766" s="36"/>
      <c r="J766" s="36"/>
    </row>
    <row r="767" spans="2:10">
      <c r="B767" s="36"/>
      <c r="C767" s="36"/>
      <c r="D767" s="36"/>
      <c r="E767" s="36"/>
      <c r="F767" s="36"/>
      <c r="G767" s="36"/>
      <c r="H767" s="36"/>
      <c r="I767" s="36"/>
      <c r="J767" s="36"/>
    </row>
    <row r="768" spans="2:10">
      <c r="B768" s="36"/>
      <c r="C768" s="36"/>
      <c r="D768" s="36"/>
      <c r="E768" s="36"/>
      <c r="F768" s="36"/>
      <c r="G768" s="36"/>
      <c r="H768" s="36"/>
      <c r="I768" s="36"/>
      <c r="J768" s="36"/>
    </row>
    <row r="769" spans="2:10">
      <c r="B769" s="36"/>
      <c r="C769" s="36"/>
      <c r="D769" s="36"/>
      <c r="E769" s="36"/>
      <c r="F769" s="36"/>
      <c r="G769" s="36"/>
      <c r="H769" s="36"/>
      <c r="I769" s="36"/>
      <c r="J769" s="36"/>
    </row>
    <row r="770" spans="2:10">
      <c r="B770" s="36"/>
      <c r="C770" s="36"/>
      <c r="D770" s="36"/>
      <c r="E770" s="36"/>
      <c r="F770" s="36"/>
      <c r="G770" s="36"/>
      <c r="H770" s="36"/>
      <c r="I770" s="36"/>
      <c r="J770" s="36"/>
    </row>
    <row r="771" spans="2:10">
      <c r="B771" s="36"/>
      <c r="C771" s="36"/>
      <c r="D771" s="36"/>
      <c r="E771" s="36"/>
      <c r="F771" s="36"/>
      <c r="G771" s="36"/>
      <c r="H771" s="36"/>
      <c r="I771" s="36"/>
      <c r="J771" s="36"/>
    </row>
    <row r="772" spans="2:10">
      <c r="B772" s="36"/>
      <c r="C772" s="36"/>
      <c r="D772" s="36"/>
      <c r="E772" s="36"/>
      <c r="F772" s="36"/>
      <c r="G772" s="36"/>
      <c r="H772" s="36"/>
      <c r="I772" s="36"/>
      <c r="J772" s="36"/>
    </row>
    <row r="773" spans="2:10">
      <c r="B773" s="36"/>
      <c r="C773" s="36"/>
      <c r="D773" s="36"/>
      <c r="E773" s="36"/>
      <c r="F773" s="36"/>
      <c r="G773" s="36"/>
      <c r="H773" s="36"/>
      <c r="I773" s="36"/>
      <c r="J773" s="36"/>
    </row>
    <row r="774" spans="2:10">
      <c r="B774" s="36"/>
      <c r="C774" s="36"/>
      <c r="D774" s="36"/>
      <c r="E774" s="36"/>
      <c r="F774" s="36"/>
      <c r="G774" s="36"/>
      <c r="H774" s="36"/>
      <c r="I774" s="36"/>
      <c r="J774" s="36"/>
    </row>
    <row r="775" spans="2:10">
      <c r="B775" s="36"/>
      <c r="C775" s="36"/>
      <c r="D775" s="36"/>
      <c r="E775" s="36"/>
      <c r="F775" s="36"/>
      <c r="G775" s="36"/>
      <c r="H775" s="36"/>
      <c r="I775" s="36"/>
      <c r="J775" s="36"/>
    </row>
    <row r="776" spans="2:10">
      <c r="B776" s="36"/>
      <c r="C776" s="36"/>
      <c r="D776" s="36"/>
      <c r="E776" s="36"/>
      <c r="F776" s="36"/>
      <c r="G776" s="36"/>
      <c r="H776" s="36"/>
      <c r="I776" s="36"/>
      <c r="J776" s="36"/>
    </row>
    <row r="777" spans="2:10">
      <c r="B777" s="36"/>
      <c r="C777" s="36"/>
      <c r="D777" s="36"/>
      <c r="E777" s="36"/>
      <c r="F777" s="36"/>
      <c r="G777" s="36"/>
      <c r="H777" s="36"/>
      <c r="I777" s="36"/>
      <c r="J777" s="36"/>
    </row>
    <row r="778" spans="2:10">
      <c r="B778" s="36"/>
      <c r="C778" s="36"/>
      <c r="D778" s="36"/>
      <c r="E778" s="36"/>
      <c r="F778" s="36"/>
      <c r="G778" s="36"/>
      <c r="H778" s="36"/>
      <c r="I778" s="36"/>
      <c r="J778" s="36"/>
    </row>
    <row r="779" spans="2:10">
      <c r="B779" s="36"/>
      <c r="C779" s="36"/>
      <c r="D779" s="36"/>
      <c r="E779" s="36"/>
      <c r="F779" s="36"/>
      <c r="G779" s="36"/>
      <c r="H779" s="36"/>
      <c r="I779" s="36"/>
      <c r="J779" s="36"/>
    </row>
    <row r="780" spans="2:10">
      <c r="B780" s="36"/>
      <c r="C780" s="36"/>
      <c r="D780" s="36"/>
      <c r="E780" s="36"/>
      <c r="F780" s="36"/>
      <c r="G780" s="36"/>
      <c r="H780" s="36"/>
      <c r="I780" s="36"/>
      <c r="J780" s="36"/>
    </row>
    <row r="781" spans="2:10">
      <c r="B781" s="36"/>
      <c r="C781" s="36"/>
      <c r="D781" s="36"/>
      <c r="E781" s="36"/>
      <c r="F781" s="36"/>
      <c r="G781" s="36"/>
      <c r="H781" s="36"/>
      <c r="I781" s="36"/>
      <c r="J781" s="36"/>
    </row>
    <row r="782" spans="2:10">
      <c r="B782" s="36"/>
      <c r="C782" s="36"/>
      <c r="D782" s="36"/>
      <c r="E782" s="36"/>
      <c r="F782" s="36"/>
      <c r="G782" s="36"/>
      <c r="H782" s="36"/>
      <c r="I782" s="36"/>
      <c r="J782" s="36"/>
    </row>
    <row r="783" spans="2:10">
      <c r="B783" s="36"/>
      <c r="C783" s="36"/>
      <c r="D783" s="36"/>
      <c r="E783" s="36"/>
      <c r="F783" s="36"/>
      <c r="G783" s="36"/>
      <c r="H783" s="36"/>
      <c r="I783" s="36"/>
      <c r="J783" s="36"/>
    </row>
    <row r="784" spans="2:10">
      <c r="B784" s="36"/>
      <c r="C784" s="36"/>
      <c r="D784" s="36"/>
      <c r="E784" s="36"/>
      <c r="F784" s="36"/>
      <c r="G784" s="36"/>
      <c r="H784" s="36"/>
      <c r="I784" s="36"/>
      <c r="J784" s="36"/>
    </row>
    <row r="785" spans="2:10">
      <c r="B785" s="36"/>
      <c r="C785" s="36"/>
      <c r="D785" s="36"/>
      <c r="E785" s="36"/>
      <c r="F785" s="36"/>
      <c r="G785" s="36"/>
      <c r="H785" s="36"/>
      <c r="I785" s="36"/>
      <c r="J785" s="36"/>
    </row>
    <row r="786" spans="2:10">
      <c r="B786" s="36"/>
      <c r="C786" s="36"/>
      <c r="D786" s="36"/>
      <c r="E786" s="36"/>
      <c r="F786" s="36"/>
      <c r="G786" s="36"/>
      <c r="H786" s="36"/>
      <c r="I786" s="36"/>
      <c r="J786" s="36"/>
    </row>
    <row r="787" spans="2:10">
      <c r="B787" s="36"/>
      <c r="C787" s="36"/>
      <c r="D787" s="36"/>
      <c r="E787" s="36"/>
      <c r="F787" s="36"/>
      <c r="G787" s="36"/>
      <c r="H787" s="36"/>
      <c r="I787" s="36"/>
      <c r="J787" s="36"/>
    </row>
    <row r="788" spans="2:10" ht="15.75" customHeight="1">
      <c r="B788" s="36"/>
      <c r="C788" s="36"/>
      <c r="D788" s="36"/>
      <c r="E788" s="36"/>
      <c r="F788" s="36"/>
      <c r="G788" s="36"/>
      <c r="H788" s="36"/>
      <c r="I788" s="36"/>
      <c r="J788" s="36"/>
    </row>
    <row r="789" spans="2:10" ht="15.75" customHeight="1">
      <c r="B789" s="36"/>
      <c r="C789" s="36"/>
      <c r="D789" s="36"/>
      <c r="E789" s="36"/>
      <c r="F789" s="36"/>
      <c r="G789" s="36"/>
      <c r="H789" s="36"/>
      <c r="I789" s="36"/>
      <c r="J789" s="36"/>
    </row>
    <row r="790" spans="2:10" ht="15.75" customHeight="1">
      <c r="B790" s="36"/>
      <c r="C790" s="36"/>
      <c r="D790" s="36"/>
      <c r="E790" s="36"/>
      <c r="F790" s="36"/>
      <c r="G790" s="36"/>
      <c r="H790" s="36"/>
      <c r="I790" s="36"/>
      <c r="J790" s="36"/>
    </row>
    <row r="791" spans="2:10" ht="15.75" customHeight="1">
      <c r="B791" s="36"/>
      <c r="C791" s="36"/>
      <c r="D791" s="36"/>
      <c r="E791" s="36"/>
      <c r="F791" s="36"/>
      <c r="G791" s="36"/>
      <c r="H791" s="36"/>
      <c r="I791" s="36"/>
      <c r="J791" s="36"/>
    </row>
    <row r="792" spans="2:10" ht="15.75" customHeight="1">
      <c r="B792" s="36"/>
      <c r="C792" s="36"/>
      <c r="D792" s="36"/>
      <c r="E792" s="36"/>
      <c r="F792" s="36"/>
      <c r="G792" s="36"/>
      <c r="H792" s="36"/>
      <c r="I792" s="36"/>
      <c r="J792" s="36"/>
    </row>
    <row r="793" spans="2:10" ht="15.75" customHeight="1">
      <c r="B793" s="36"/>
      <c r="C793" s="36"/>
      <c r="D793" s="36"/>
      <c r="E793" s="36"/>
      <c r="F793" s="36"/>
      <c r="G793" s="36"/>
      <c r="H793" s="36"/>
      <c r="I793" s="36"/>
      <c r="J793" s="36"/>
    </row>
    <row r="794" spans="2:10" ht="15.75" customHeight="1">
      <c r="B794" s="36"/>
      <c r="C794" s="36"/>
      <c r="D794" s="36"/>
      <c r="E794" s="36"/>
      <c r="F794" s="36"/>
      <c r="G794" s="36"/>
      <c r="H794" s="36"/>
      <c r="I794" s="36"/>
      <c r="J794" s="36"/>
    </row>
    <row r="795" spans="2:10" ht="15.75" customHeight="1">
      <c r="B795" s="36"/>
      <c r="C795" s="36"/>
      <c r="D795" s="36"/>
      <c r="E795" s="36"/>
      <c r="F795" s="36"/>
      <c r="G795" s="36"/>
      <c r="H795" s="36"/>
      <c r="I795" s="36"/>
      <c r="J795" s="36"/>
    </row>
    <row r="796" spans="2:10" ht="15.75" customHeight="1">
      <c r="B796" s="36"/>
      <c r="C796" s="36"/>
      <c r="D796" s="36"/>
      <c r="E796" s="36"/>
      <c r="F796" s="36"/>
      <c r="G796" s="36"/>
      <c r="H796" s="36"/>
      <c r="I796" s="36"/>
      <c r="J796" s="36"/>
    </row>
    <row r="797" spans="2:10" ht="15.75" customHeight="1">
      <c r="B797" s="36"/>
      <c r="C797" s="36"/>
      <c r="D797" s="36"/>
      <c r="E797" s="36"/>
      <c r="F797" s="36"/>
      <c r="G797" s="36"/>
      <c r="H797" s="36"/>
      <c r="I797" s="36"/>
      <c r="J797" s="36"/>
    </row>
    <row r="798" spans="2:10" ht="15.75" customHeight="1">
      <c r="B798" s="36"/>
      <c r="C798" s="36"/>
      <c r="D798" s="36"/>
      <c r="E798" s="36"/>
      <c r="F798" s="36"/>
      <c r="G798" s="36"/>
      <c r="H798" s="36"/>
      <c r="I798" s="36"/>
      <c r="J798" s="36"/>
    </row>
    <row r="799" spans="2:10" ht="15.75" customHeight="1">
      <c r="B799" s="36"/>
      <c r="C799" s="36"/>
      <c r="D799" s="36"/>
      <c r="E799" s="36"/>
      <c r="F799" s="36"/>
      <c r="G799" s="36"/>
      <c r="H799" s="36"/>
      <c r="I799" s="36"/>
      <c r="J799" s="36"/>
    </row>
    <row r="800" spans="2:10" ht="15.75" customHeight="1">
      <c r="B800" s="36"/>
      <c r="C800" s="36"/>
      <c r="D800" s="36"/>
      <c r="E800" s="36"/>
      <c r="F800" s="36"/>
      <c r="G800" s="36"/>
      <c r="H800" s="36"/>
      <c r="I800" s="36"/>
      <c r="J800" s="36"/>
    </row>
    <row r="801" spans="2:10" ht="15.75" customHeight="1">
      <c r="B801" s="36"/>
      <c r="C801" s="36"/>
      <c r="D801" s="36"/>
      <c r="E801" s="36"/>
      <c r="F801" s="36"/>
      <c r="G801" s="36"/>
      <c r="H801" s="36"/>
      <c r="I801" s="36"/>
      <c r="J801" s="36"/>
    </row>
    <row r="802" spans="2:10" ht="15.75" customHeight="1">
      <c r="B802" s="36"/>
      <c r="C802" s="36"/>
      <c r="D802" s="36"/>
      <c r="E802" s="36"/>
      <c r="F802" s="36"/>
      <c r="G802" s="36"/>
      <c r="H802" s="36"/>
      <c r="I802" s="36"/>
      <c r="J802" s="36"/>
    </row>
    <row r="803" spans="2:10" ht="15.75" customHeight="1">
      <c r="B803" s="36"/>
      <c r="C803" s="36"/>
      <c r="D803" s="36"/>
      <c r="E803" s="36"/>
      <c r="F803" s="36"/>
      <c r="G803" s="36"/>
      <c r="H803" s="36"/>
      <c r="I803" s="36"/>
      <c r="J803" s="36"/>
    </row>
    <row r="804" spans="2:10" ht="15.75" customHeight="1">
      <c r="B804" s="36"/>
      <c r="C804" s="36"/>
      <c r="D804" s="36"/>
      <c r="E804" s="36"/>
      <c r="F804" s="36"/>
      <c r="G804" s="36"/>
      <c r="H804" s="36"/>
      <c r="I804" s="36"/>
      <c r="J804" s="36"/>
    </row>
    <row r="805" spans="2:10" ht="15.75" customHeight="1">
      <c r="B805" s="36"/>
      <c r="C805" s="36"/>
      <c r="D805" s="36"/>
      <c r="E805" s="36"/>
      <c r="F805" s="36"/>
      <c r="G805" s="36"/>
      <c r="H805" s="36"/>
      <c r="I805" s="36"/>
      <c r="J805" s="36"/>
    </row>
    <row r="806" spans="2:10" ht="15.75" customHeight="1">
      <c r="B806" s="36"/>
      <c r="C806" s="36"/>
      <c r="D806" s="36"/>
      <c r="E806" s="36"/>
      <c r="F806" s="36"/>
      <c r="G806" s="36"/>
      <c r="H806" s="36"/>
      <c r="I806" s="36"/>
      <c r="J806" s="36"/>
    </row>
    <row r="807" spans="2:10" ht="15.75" customHeight="1">
      <c r="B807" s="36"/>
      <c r="C807" s="36"/>
      <c r="D807" s="36"/>
      <c r="E807" s="36"/>
      <c r="F807" s="36"/>
      <c r="G807" s="36"/>
      <c r="H807" s="36"/>
      <c r="I807" s="36"/>
      <c r="J807" s="36"/>
    </row>
    <row r="808" spans="2:10" ht="15.75" customHeight="1">
      <c r="B808" s="36"/>
      <c r="C808" s="36"/>
      <c r="D808" s="36"/>
      <c r="E808" s="36"/>
      <c r="F808" s="36"/>
      <c r="G808" s="36"/>
      <c r="H808" s="36"/>
      <c r="I808" s="36"/>
      <c r="J808" s="36"/>
    </row>
    <row r="809" spans="2:10" ht="15.75" customHeight="1">
      <c r="B809" s="36"/>
      <c r="C809" s="36"/>
      <c r="D809" s="36"/>
      <c r="E809" s="36"/>
      <c r="F809" s="36"/>
      <c r="G809" s="36"/>
      <c r="H809" s="36"/>
      <c r="I809" s="36"/>
      <c r="J809" s="36"/>
    </row>
    <row r="810" spans="2:10" ht="15.75" customHeight="1">
      <c r="B810" s="36"/>
      <c r="C810" s="36"/>
      <c r="D810" s="36"/>
      <c r="E810" s="36"/>
      <c r="F810" s="36"/>
      <c r="G810" s="36"/>
      <c r="H810" s="36"/>
      <c r="I810" s="36"/>
      <c r="J810" s="36"/>
    </row>
    <row r="811" spans="2:10" ht="15.75" customHeight="1">
      <c r="B811" s="36"/>
      <c r="C811" s="36"/>
      <c r="D811" s="36"/>
      <c r="E811" s="36"/>
      <c r="F811" s="36"/>
      <c r="G811" s="36"/>
      <c r="H811" s="36"/>
      <c r="I811" s="36"/>
      <c r="J811" s="36"/>
    </row>
    <row r="812" spans="2:10" ht="15.75" customHeight="1">
      <c r="B812" s="36"/>
      <c r="C812" s="36"/>
      <c r="D812" s="36"/>
      <c r="E812" s="36"/>
      <c r="F812" s="36"/>
      <c r="G812" s="36"/>
      <c r="H812" s="36"/>
      <c r="I812" s="36"/>
      <c r="J812" s="36"/>
    </row>
    <row r="813" spans="2:10" ht="15.75" customHeight="1">
      <c r="B813" s="36"/>
      <c r="C813" s="36"/>
      <c r="D813" s="36"/>
      <c r="E813" s="36"/>
      <c r="F813" s="36"/>
      <c r="G813" s="36"/>
      <c r="H813" s="36"/>
      <c r="I813" s="36"/>
      <c r="J813" s="36"/>
    </row>
    <row r="814" spans="2:10" ht="15.75" customHeight="1">
      <c r="B814" s="36"/>
      <c r="C814" s="36"/>
      <c r="D814" s="36"/>
      <c r="E814" s="36"/>
      <c r="F814" s="36"/>
      <c r="G814" s="36"/>
      <c r="H814" s="36"/>
      <c r="I814" s="36"/>
      <c r="J814" s="36"/>
    </row>
    <row r="815" spans="2:10" ht="15.75" customHeight="1">
      <c r="B815" s="36"/>
      <c r="C815" s="36"/>
      <c r="D815" s="36"/>
      <c r="E815" s="36"/>
      <c r="F815" s="36"/>
      <c r="G815" s="36"/>
      <c r="H815" s="36"/>
      <c r="I815" s="36"/>
      <c r="J815" s="36"/>
    </row>
    <row r="816" spans="2:10" ht="15.75" customHeight="1">
      <c r="B816" s="36"/>
      <c r="C816" s="36"/>
      <c r="D816" s="36"/>
      <c r="E816" s="36"/>
      <c r="F816" s="36"/>
      <c r="G816" s="36"/>
      <c r="H816" s="36"/>
      <c r="I816" s="36"/>
      <c r="J816" s="36"/>
    </row>
    <row r="817" spans="2:10" ht="15.75" customHeight="1">
      <c r="B817" s="36"/>
      <c r="C817" s="36"/>
      <c r="D817" s="36"/>
      <c r="E817" s="36"/>
      <c r="F817" s="36"/>
      <c r="G817" s="36"/>
      <c r="H817" s="36"/>
      <c r="I817" s="36"/>
      <c r="J817" s="36"/>
    </row>
    <row r="818" spans="2:10" ht="15.75" customHeight="1">
      <c r="B818" s="36"/>
      <c r="C818" s="36"/>
      <c r="D818" s="36"/>
      <c r="E818" s="36"/>
      <c r="F818" s="36"/>
      <c r="G818" s="36"/>
      <c r="H818" s="36"/>
      <c r="I818" s="36"/>
      <c r="J818" s="36"/>
    </row>
    <row r="819" spans="2:10" ht="15.75" customHeight="1">
      <c r="B819" s="36"/>
      <c r="C819" s="36"/>
      <c r="D819" s="36"/>
      <c r="E819" s="36"/>
      <c r="F819" s="36"/>
      <c r="G819" s="36"/>
      <c r="H819" s="36"/>
      <c r="I819" s="36"/>
      <c r="J819" s="36"/>
    </row>
    <row r="820" spans="2:10" ht="15.75" customHeight="1">
      <c r="B820" s="36"/>
      <c r="C820" s="36"/>
      <c r="D820" s="36"/>
      <c r="E820" s="36"/>
      <c r="F820" s="36"/>
      <c r="G820" s="36"/>
      <c r="H820" s="36"/>
      <c r="I820" s="36"/>
      <c r="J820" s="36"/>
    </row>
    <row r="821" spans="2:10" ht="15.75" customHeight="1">
      <c r="B821" s="36"/>
      <c r="C821" s="36"/>
      <c r="D821" s="36"/>
      <c r="E821" s="36"/>
      <c r="F821" s="36"/>
      <c r="G821" s="36"/>
      <c r="H821" s="36"/>
      <c r="I821" s="36"/>
      <c r="J821" s="36"/>
    </row>
    <row r="822" spans="2:10" ht="15.75" customHeight="1">
      <c r="B822" s="36"/>
      <c r="C822" s="36"/>
      <c r="D822" s="36"/>
      <c r="E822" s="36"/>
      <c r="F822" s="36"/>
      <c r="G822" s="36"/>
      <c r="H822" s="36"/>
      <c r="I822" s="36"/>
      <c r="J822" s="36"/>
    </row>
    <row r="823" spans="2:10" ht="15.75" customHeight="1">
      <c r="B823" s="36"/>
      <c r="C823" s="36"/>
      <c r="D823" s="36"/>
      <c r="E823" s="36"/>
      <c r="F823" s="36"/>
      <c r="G823" s="36"/>
      <c r="H823" s="36"/>
      <c r="I823" s="36"/>
      <c r="J823" s="36"/>
    </row>
    <row r="824" spans="2:10" ht="15.75" customHeight="1">
      <c r="B824" s="36"/>
      <c r="C824" s="36"/>
      <c r="D824" s="36"/>
      <c r="E824" s="36"/>
      <c r="F824" s="36"/>
      <c r="G824" s="36"/>
      <c r="H824" s="36"/>
      <c r="I824" s="36"/>
      <c r="J824" s="36"/>
    </row>
    <row r="825" spans="2:10" ht="15.75" customHeight="1">
      <c r="B825" s="36"/>
      <c r="C825" s="36"/>
      <c r="D825" s="36"/>
      <c r="E825" s="36"/>
      <c r="F825" s="36"/>
      <c r="G825" s="36"/>
      <c r="H825" s="36"/>
      <c r="I825" s="36"/>
      <c r="J825" s="36"/>
    </row>
    <row r="826" spans="2:10" ht="15.75" customHeight="1">
      <c r="B826" s="36"/>
      <c r="C826" s="36"/>
      <c r="D826" s="36"/>
      <c r="E826" s="36"/>
      <c r="F826" s="36"/>
      <c r="G826" s="36"/>
      <c r="H826" s="36"/>
      <c r="I826" s="36"/>
      <c r="J826" s="36"/>
    </row>
    <row r="827" spans="2:10" ht="15.75" customHeight="1">
      <c r="B827" s="36"/>
      <c r="C827" s="36"/>
      <c r="D827" s="36"/>
      <c r="E827" s="36"/>
      <c r="F827" s="36"/>
      <c r="G827" s="36"/>
      <c r="H827" s="36"/>
      <c r="I827" s="36"/>
      <c r="J827" s="36"/>
    </row>
    <row r="828" spans="2:10" ht="15.75" customHeight="1">
      <c r="B828" s="36"/>
      <c r="C828" s="36"/>
      <c r="D828" s="36"/>
      <c r="E828" s="36"/>
      <c r="F828" s="36"/>
      <c r="G828" s="36"/>
      <c r="H828" s="36"/>
      <c r="I828" s="36"/>
      <c r="J828" s="36"/>
    </row>
    <row r="829" spans="2:10" ht="15.75" customHeight="1">
      <c r="B829" s="36"/>
      <c r="C829" s="36"/>
      <c r="D829" s="36"/>
      <c r="E829" s="36"/>
      <c r="F829" s="36"/>
      <c r="G829" s="36"/>
      <c r="H829" s="36"/>
      <c r="I829" s="36"/>
      <c r="J829" s="36"/>
    </row>
    <row r="830" spans="2:10" ht="15.75" customHeight="1">
      <c r="B830" s="36"/>
      <c r="C830" s="36"/>
      <c r="D830" s="36"/>
      <c r="E830" s="36"/>
      <c r="F830" s="36"/>
      <c r="G830" s="36"/>
      <c r="H830" s="36"/>
      <c r="I830" s="36"/>
      <c r="J830" s="36"/>
    </row>
    <row r="831" spans="2:10" ht="15.75" customHeight="1">
      <c r="B831" s="36"/>
      <c r="C831" s="36"/>
      <c r="D831" s="36"/>
      <c r="E831" s="36"/>
      <c r="F831" s="36"/>
      <c r="G831" s="36"/>
      <c r="H831" s="36"/>
      <c r="I831" s="36"/>
      <c r="J831" s="36"/>
    </row>
    <row r="832" spans="2:10" ht="15.75" customHeight="1">
      <c r="B832" s="36"/>
      <c r="C832" s="36"/>
      <c r="D832" s="36"/>
      <c r="E832" s="36"/>
      <c r="F832" s="36"/>
      <c r="G832" s="36"/>
      <c r="H832" s="36"/>
      <c r="I832" s="36"/>
      <c r="J832" s="36"/>
    </row>
    <row r="833" spans="2:10" ht="15.75" customHeight="1">
      <c r="B833" s="36"/>
      <c r="C833" s="36"/>
      <c r="D833" s="36"/>
      <c r="E833" s="36"/>
      <c r="F833" s="36"/>
      <c r="G833" s="36"/>
      <c r="H833" s="36"/>
      <c r="I833" s="36"/>
      <c r="J833" s="36"/>
    </row>
    <row r="834" spans="2:10" ht="15.75" customHeight="1">
      <c r="B834" s="36"/>
      <c r="C834" s="36"/>
      <c r="D834" s="36"/>
      <c r="E834" s="36"/>
      <c r="F834" s="36"/>
      <c r="G834" s="36"/>
      <c r="H834" s="36"/>
      <c r="I834" s="36"/>
      <c r="J834" s="36"/>
    </row>
    <row r="835" spans="2:10" ht="15.75" customHeight="1">
      <c r="B835" s="36"/>
      <c r="C835" s="36"/>
      <c r="D835" s="36"/>
      <c r="E835" s="36"/>
      <c r="F835" s="36"/>
      <c r="G835" s="36"/>
      <c r="H835" s="36"/>
      <c r="I835" s="36"/>
      <c r="J835" s="36"/>
    </row>
    <row r="836" spans="2:10" ht="15.75" customHeight="1">
      <c r="B836" s="36"/>
      <c r="C836" s="36"/>
      <c r="D836" s="36"/>
      <c r="E836" s="36"/>
      <c r="F836" s="36"/>
      <c r="G836" s="36"/>
      <c r="H836" s="36"/>
      <c r="I836" s="36"/>
      <c r="J836" s="36"/>
    </row>
    <row r="837" spans="2:10" ht="15.75" customHeight="1">
      <c r="B837" s="36"/>
      <c r="C837" s="36"/>
      <c r="D837" s="36"/>
      <c r="E837" s="36"/>
      <c r="F837" s="36"/>
      <c r="G837" s="36"/>
      <c r="H837" s="36"/>
      <c r="I837" s="36"/>
      <c r="J837" s="36"/>
    </row>
    <row r="838" spans="2:10" ht="15.75" customHeight="1">
      <c r="B838" s="36"/>
      <c r="C838" s="36"/>
      <c r="D838" s="36"/>
      <c r="E838" s="36"/>
      <c r="F838" s="36"/>
      <c r="G838" s="36"/>
      <c r="H838" s="36"/>
      <c r="I838" s="36"/>
      <c r="J838" s="36"/>
    </row>
    <row r="839" spans="2:10" ht="15.75" customHeight="1">
      <c r="B839" s="36"/>
      <c r="C839" s="36"/>
      <c r="D839" s="36"/>
      <c r="E839" s="36"/>
      <c r="F839" s="36"/>
      <c r="G839" s="36"/>
      <c r="H839" s="36"/>
      <c r="I839" s="36"/>
      <c r="J839" s="36"/>
    </row>
    <row r="840" spans="2:10" ht="15.75" customHeight="1">
      <c r="B840" s="36"/>
      <c r="C840" s="36"/>
      <c r="D840" s="36"/>
      <c r="E840" s="36"/>
      <c r="F840" s="36"/>
      <c r="G840" s="36"/>
      <c r="H840" s="36"/>
      <c r="I840" s="36"/>
      <c r="J840" s="36"/>
    </row>
    <row r="841" spans="2:10" ht="15.75" customHeight="1">
      <c r="B841" s="36"/>
      <c r="C841" s="36"/>
      <c r="D841" s="36"/>
      <c r="E841" s="36"/>
      <c r="F841" s="36"/>
      <c r="G841" s="36"/>
      <c r="H841" s="36"/>
      <c r="I841" s="36"/>
      <c r="J841" s="36"/>
    </row>
    <row r="842" spans="2:10" ht="15.75" customHeight="1">
      <c r="B842" s="36"/>
      <c r="C842" s="36"/>
      <c r="D842" s="36"/>
      <c r="E842" s="36"/>
      <c r="F842" s="36"/>
      <c r="G842" s="36"/>
      <c r="H842" s="36"/>
      <c r="I842" s="36"/>
      <c r="J842" s="36"/>
    </row>
    <row r="843" spans="2:10" ht="15.75" customHeight="1">
      <c r="B843" s="36"/>
      <c r="C843" s="36"/>
      <c r="D843" s="36"/>
      <c r="E843" s="36"/>
      <c r="F843" s="36"/>
      <c r="G843" s="36"/>
      <c r="H843" s="36"/>
      <c r="I843" s="36"/>
      <c r="J843" s="36"/>
    </row>
    <row r="844" spans="2:10" ht="15.75" customHeight="1">
      <c r="B844" s="36"/>
      <c r="C844" s="36"/>
      <c r="D844" s="36"/>
      <c r="E844" s="36"/>
      <c r="F844" s="36"/>
      <c r="G844" s="36"/>
      <c r="H844" s="36"/>
      <c r="I844" s="36"/>
      <c r="J844" s="36"/>
    </row>
    <row r="845" spans="2:10" ht="15.75" customHeight="1">
      <c r="B845" s="36"/>
      <c r="C845" s="36"/>
      <c r="D845" s="36"/>
      <c r="E845" s="36"/>
      <c r="F845" s="36"/>
      <c r="G845" s="36"/>
      <c r="H845" s="36"/>
      <c r="I845" s="36"/>
      <c r="J845" s="36"/>
    </row>
    <row r="846" spans="2:10" ht="15.75" customHeight="1">
      <c r="B846" s="36"/>
      <c r="C846" s="36"/>
      <c r="D846" s="36"/>
      <c r="E846" s="36"/>
      <c r="F846" s="36"/>
      <c r="G846" s="36"/>
      <c r="H846" s="36"/>
      <c r="I846" s="36"/>
      <c r="J846" s="36"/>
    </row>
    <row r="847" spans="2:10" ht="15.75" customHeight="1">
      <c r="B847" s="36"/>
      <c r="C847" s="36"/>
      <c r="D847" s="36"/>
      <c r="E847" s="36"/>
      <c r="F847" s="36"/>
      <c r="G847" s="36"/>
      <c r="H847" s="36"/>
      <c r="I847" s="36"/>
      <c r="J847" s="36"/>
    </row>
    <row r="848" spans="2:10" ht="15.75" customHeight="1">
      <c r="B848" s="36"/>
      <c r="C848" s="36"/>
      <c r="D848" s="36"/>
      <c r="E848" s="36"/>
      <c r="F848" s="36"/>
      <c r="G848" s="36"/>
      <c r="H848" s="36"/>
      <c r="I848" s="36"/>
      <c r="J848" s="36"/>
    </row>
    <row r="849" spans="2:10" ht="15.75" customHeight="1">
      <c r="B849" s="36"/>
      <c r="C849" s="36"/>
      <c r="D849" s="36"/>
      <c r="E849" s="36"/>
      <c r="F849" s="36"/>
      <c r="G849" s="36"/>
      <c r="H849" s="36"/>
      <c r="I849" s="36"/>
      <c r="J849" s="36"/>
    </row>
    <row r="850" spans="2:10" ht="15.75" customHeight="1">
      <c r="B850" s="36"/>
      <c r="C850" s="36"/>
      <c r="D850" s="36"/>
      <c r="E850" s="36"/>
      <c r="F850" s="36"/>
      <c r="G850" s="36"/>
      <c r="H850" s="36"/>
      <c r="I850" s="36"/>
      <c r="J850" s="36"/>
    </row>
    <row r="851" spans="2:10" ht="15.75" customHeight="1">
      <c r="B851" s="36"/>
      <c r="C851" s="36"/>
      <c r="D851" s="36"/>
      <c r="E851" s="36"/>
      <c r="F851" s="36"/>
      <c r="G851" s="36"/>
      <c r="H851" s="36"/>
      <c r="I851" s="36"/>
      <c r="J851" s="36"/>
    </row>
    <row r="852" spans="2:10" ht="15.75" customHeight="1">
      <c r="B852" s="36"/>
      <c r="C852" s="36"/>
      <c r="D852" s="36"/>
      <c r="E852" s="36"/>
      <c r="F852" s="36"/>
      <c r="G852" s="36"/>
      <c r="H852" s="36"/>
      <c r="I852" s="36"/>
      <c r="J852" s="36"/>
    </row>
    <row r="853" spans="2:10" ht="15.75" customHeight="1">
      <c r="B853" s="36"/>
      <c r="C853" s="36"/>
      <c r="D853" s="36"/>
      <c r="E853" s="36"/>
      <c r="F853" s="36"/>
      <c r="G853" s="36"/>
      <c r="H853" s="36"/>
      <c r="I853" s="36"/>
      <c r="J853" s="36"/>
    </row>
    <row r="854" spans="2:10" ht="15.75" customHeight="1">
      <c r="B854" s="36"/>
      <c r="C854" s="36"/>
      <c r="D854" s="36"/>
      <c r="E854" s="36"/>
      <c r="F854" s="36"/>
      <c r="G854" s="36"/>
      <c r="H854" s="36"/>
      <c r="I854" s="36"/>
      <c r="J854" s="36"/>
    </row>
    <row r="855" spans="2:10" ht="15.75" customHeight="1">
      <c r="B855" s="36"/>
      <c r="C855" s="36"/>
      <c r="D855" s="36"/>
      <c r="E855" s="36"/>
      <c r="F855" s="36"/>
      <c r="G855" s="36"/>
      <c r="H855" s="36"/>
      <c r="I855" s="36"/>
      <c r="J855" s="36"/>
    </row>
    <row r="856" spans="2:10" ht="15.75" customHeight="1">
      <c r="B856" s="36"/>
      <c r="C856" s="36"/>
      <c r="D856" s="36"/>
      <c r="E856" s="36"/>
      <c r="F856" s="36"/>
      <c r="G856" s="36"/>
      <c r="H856" s="36"/>
      <c r="I856" s="36"/>
      <c r="J856" s="36"/>
    </row>
    <row r="857" spans="2:10" ht="15.75" customHeight="1">
      <c r="B857" s="36"/>
      <c r="C857" s="36"/>
      <c r="D857" s="36"/>
      <c r="E857" s="36"/>
      <c r="F857" s="36"/>
      <c r="G857" s="36"/>
      <c r="H857" s="36"/>
      <c r="I857" s="36"/>
      <c r="J857" s="36"/>
    </row>
    <row r="858" spans="2:10" ht="15.75" customHeight="1">
      <c r="B858" s="36"/>
      <c r="C858" s="36"/>
      <c r="D858" s="36"/>
      <c r="E858" s="36"/>
      <c r="F858" s="36"/>
      <c r="G858" s="36"/>
      <c r="H858" s="36"/>
      <c r="I858" s="36"/>
      <c r="J858" s="36"/>
    </row>
    <row r="859" spans="2:10" ht="15.75" customHeight="1">
      <c r="B859" s="36"/>
      <c r="C859" s="36"/>
      <c r="D859" s="36"/>
      <c r="E859" s="36"/>
      <c r="F859" s="36"/>
      <c r="G859" s="36"/>
      <c r="H859" s="36"/>
      <c r="I859" s="36"/>
      <c r="J859" s="36"/>
    </row>
    <row r="860" spans="2:10" ht="15.75" customHeight="1">
      <c r="B860" s="218"/>
      <c r="C860" s="218"/>
      <c r="D860" s="218"/>
      <c r="E860" s="218"/>
      <c r="F860" s="218"/>
      <c r="G860" s="218"/>
      <c r="H860" s="218"/>
      <c r="I860" s="218"/>
      <c r="J860" s="218"/>
    </row>
    <row r="861" spans="2:10" ht="15.75" customHeight="1"/>
    <row r="862" spans="2:10" ht="15.75" customHeight="1"/>
    <row r="863" spans="2:10" ht="15.75" customHeight="1"/>
    <row r="864" spans="2:10"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sheetData>
  <sheetProtection algorithmName="SHA-512" hashValue="H+v97NWdjS5x7BmbZqkJT0vm4BtCsxlmRswS9AUqATDpIGVovpvjRNv0q0u+TeBBQLnQskKxXDXOW/31i60aug==" saltValue="xcTI60Y24q0zZGhfOEQL/g==" spinCount="100000" sheet="1" objects="1" scenarios="1" formatColumns="0" formatRows="0"/>
  <mergeCells count="161">
    <mergeCell ref="E6:F6"/>
    <mergeCell ref="G137:H137"/>
    <mergeCell ref="G138:H138"/>
    <mergeCell ref="B2:H2"/>
    <mergeCell ref="B147:B149"/>
    <mergeCell ref="C147:C149"/>
    <mergeCell ref="D147:D149"/>
    <mergeCell ref="E147:E149"/>
    <mergeCell ref="B271:B273"/>
    <mergeCell ref="C271:C273"/>
    <mergeCell ref="D271:D273"/>
    <mergeCell ref="E271:E273"/>
    <mergeCell ref="G103:H103"/>
    <mergeCell ref="G104:H104"/>
    <mergeCell ref="G115:H115"/>
    <mergeCell ref="D19:D21"/>
    <mergeCell ref="G19:H21"/>
    <mergeCell ref="G22:H22"/>
    <mergeCell ref="G23:H23"/>
    <mergeCell ref="G24:H24"/>
    <mergeCell ref="G25:H25"/>
    <mergeCell ref="G26:H26"/>
    <mergeCell ref="G27:H27"/>
    <mergeCell ref="G28:H28"/>
    <mergeCell ref="G29:H29"/>
    <mergeCell ref="G31:H31"/>
    <mergeCell ref="G32:H32"/>
    <mergeCell ref="G33:H33"/>
    <mergeCell ref="G34:H34"/>
    <mergeCell ref="G35:H35"/>
    <mergeCell ref="F19:F21"/>
    <mergeCell ref="G36:H36"/>
    <mergeCell ref="G37:H37"/>
    <mergeCell ref="G38:H38"/>
    <mergeCell ref="G39:H39"/>
    <mergeCell ref="G40:H40"/>
    <mergeCell ref="G41:H41"/>
    <mergeCell ref="G52:H52"/>
    <mergeCell ref="G53:H53"/>
    <mergeCell ref="G54:H54"/>
    <mergeCell ref="G42:H42"/>
    <mergeCell ref="G43:H43"/>
    <mergeCell ref="G44:H44"/>
    <mergeCell ref="G45:H45"/>
    <mergeCell ref="G46:H46"/>
    <mergeCell ref="G47:H47"/>
    <mergeCell ref="G48:H48"/>
    <mergeCell ref="G49:H49"/>
    <mergeCell ref="G50:H50"/>
    <mergeCell ref="G51:H51"/>
    <mergeCell ref="G55:H55"/>
    <mergeCell ref="G56:H56"/>
    <mergeCell ref="G97:H97"/>
    <mergeCell ref="G98:H98"/>
    <mergeCell ref="G99:H99"/>
    <mergeCell ref="G100:H100"/>
    <mergeCell ref="G101:H101"/>
    <mergeCell ref="G102:H102"/>
    <mergeCell ref="G82:H82"/>
    <mergeCell ref="G83:H83"/>
    <mergeCell ref="G94:H94"/>
    <mergeCell ref="G95:H95"/>
    <mergeCell ref="G96:H96"/>
    <mergeCell ref="G77:H77"/>
    <mergeCell ref="G78:H78"/>
    <mergeCell ref="G79:H79"/>
    <mergeCell ref="G80:H80"/>
    <mergeCell ref="G81:H81"/>
    <mergeCell ref="G62:H62"/>
    <mergeCell ref="G73:H73"/>
    <mergeCell ref="G74:H74"/>
    <mergeCell ref="G75:H75"/>
    <mergeCell ref="G76:H76"/>
    <mergeCell ref="G57:H57"/>
    <mergeCell ref="G58:H58"/>
    <mergeCell ref="G59:H59"/>
    <mergeCell ref="G60:H60"/>
    <mergeCell ref="G61:H61"/>
    <mergeCell ref="G405:G407"/>
    <mergeCell ref="F405:F407"/>
    <mergeCell ref="B406:B407"/>
    <mergeCell ref="C406:C407"/>
    <mergeCell ref="D406:D407"/>
    <mergeCell ref="B138:E138"/>
    <mergeCell ref="B137:E137"/>
    <mergeCell ref="G63:H63"/>
    <mergeCell ref="G64:H64"/>
    <mergeCell ref="G65:H65"/>
    <mergeCell ref="G66:H66"/>
    <mergeCell ref="G67:H67"/>
    <mergeCell ref="G68:H68"/>
    <mergeCell ref="G69:H69"/>
    <mergeCell ref="G70:H70"/>
    <mergeCell ref="G71:H71"/>
    <mergeCell ref="G72:H72"/>
    <mergeCell ref="G84:H84"/>
    <mergeCell ref="D405:E405"/>
    <mergeCell ref="E406:E407"/>
    <mergeCell ref="B19:B21"/>
    <mergeCell ref="C19:C21"/>
    <mergeCell ref="E19:E21"/>
    <mergeCell ref="B18:H18"/>
    <mergeCell ref="E8:F8"/>
    <mergeCell ref="E10:F10"/>
    <mergeCell ref="E12:F12"/>
    <mergeCell ref="B414:C414"/>
    <mergeCell ref="D414:E414"/>
    <mergeCell ref="F414:F416"/>
    <mergeCell ref="B415:B416"/>
    <mergeCell ref="C415:C416"/>
    <mergeCell ref="D415:D416"/>
    <mergeCell ref="E415:E416"/>
    <mergeCell ref="B413:F413"/>
    <mergeCell ref="F396:F398"/>
    <mergeCell ref="B397:B398"/>
    <mergeCell ref="C397:C398"/>
    <mergeCell ref="B396:C396"/>
    <mergeCell ref="E397:E398"/>
    <mergeCell ref="D396:E396"/>
    <mergeCell ref="D397:D398"/>
    <mergeCell ref="B405:C405"/>
    <mergeCell ref="G85:H85"/>
    <mergeCell ref="G86:H86"/>
    <mergeCell ref="G87:H87"/>
    <mergeCell ref="G88:H88"/>
    <mergeCell ref="G89:H89"/>
    <mergeCell ref="G90:H90"/>
    <mergeCell ref="G91:H91"/>
    <mergeCell ref="G92:H92"/>
    <mergeCell ref="G93:H93"/>
    <mergeCell ref="G105:H105"/>
    <mergeCell ref="G106:H106"/>
    <mergeCell ref="G107:H107"/>
    <mergeCell ref="G108:H108"/>
    <mergeCell ref="G109:H109"/>
    <mergeCell ref="G110:H110"/>
    <mergeCell ref="G111:H111"/>
    <mergeCell ref="G112:H112"/>
    <mergeCell ref="G113:H113"/>
    <mergeCell ref="G114:H114"/>
    <mergeCell ref="G116:H116"/>
    <mergeCell ref="G117:H117"/>
    <mergeCell ref="G118:H118"/>
    <mergeCell ref="G119:H119"/>
    <mergeCell ref="G120:H120"/>
    <mergeCell ref="G121:H121"/>
    <mergeCell ref="G122:H122"/>
    <mergeCell ref="G123:H123"/>
    <mergeCell ref="G133:H133"/>
    <mergeCell ref="G134:H134"/>
    <mergeCell ref="G135:H135"/>
    <mergeCell ref="G136:H136"/>
    <mergeCell ref="G124:H124"/>
    <mergeCell ref="G125:H125"/>
    <mergeCell ref="G126:H126"/>
    <mergeCell ref="G127:H127"/>
    <mergeCell ref="G128:H128"/>
    <mergeCell ref="G129:H129"/>
    <mergeCell ref="G130:H130"/>
    <mergeCell ref="G131:H131"/>
    <mergeCell ref="G132:H132"/>
  </mergeCells>
  <phoneticPr fontId="29" type="noConversion"/>
  <conditionalFormatting sqref="B180:E180 B201:E201 B222:E222 B243:E243">
    <cfRule type="expression" dxfId="16" priority="2">
      <formula>AND($B180="",$C180="",$D180="",$E180="")</formula>
    </cfRule>
  </conditionalFormatting>
  <conditionalFormatting sqref="B304:E304 B324:E324 B344:E344 B364:E364">
    <cfRule type="expression" dxfId="15" priority="1">
      <formula>AND($B304="",$C304="",$D304="",$E304="")</formula>
    </cfRule>
  </conditionalFormatting>
  <conditionalFormatting sqref="B417:E417">
    <cfRule type="expression" dxfId="14" priority="6">
      <formula>OR(ventLoadsIncludedRequirement="No",measuredAirLeakRequirement="No",ventExhaustRatioRequirement="No")</formula>
    </cfRule>
  </conditionalFormatting>
  <conditionalFormatting sqref="B399:F399 B408:G408">
    <cfRule type="expression" dxfId="13" priority="7">
      <formula>OR(ventLoadsIncludedRequirement="No",measuredAirLeakRequirement="No",ventExhaustRatioRequirement="No")</formula>
    </cfRule>
  </conditionalFormatting>
  <conditionalFormatting sqref="B52:H52 B73:H73 B94:H94 B115:H115">
    <cfRule type="expression" dxfId="12" priority="4">
      <formula>AND($B52="",$C52="",$D52="",$E52="")</formula>
    </cfRule>
  </conditionalFormatting>
  <conditionalFormatting sqref="D706:D725">
    <cfRule type="containsText" dxfId="11" priority="21" operator="containsText" text="Manual Input">
      <formula>NOT(ISERROR(SEARCH("Manual Input",D706)))</formula>
    </cfRule>
  </conditionalFormatting>
  <conditionalFormatting sqref="D727:D736">
    <cfRule type="containsText" dxfId="10" priority="20" operator="containsText" text="Manual Input">
      <formula>NOT(ISERROR(SEARCH("Manual Input",D727)))</formula>
    </cfRule>
  </conditionalFormatting>
  <conditionalFormatting sqref="H706:H725">
    <cfRule type="containsText" dxfId="9" priority="31" operator="containsText" text="Manual Input">
      <formula>NOT(ISERROR(SEARCH("Manual Input",H706)))</formula>
    </cfRule>
  </conditionalFormatting>
  <conditionalFormatting sqref="H727:H736">
    <cfRule type="containsText" dxfId="8" priority="27" operator="containsText" text="Manual Input">
      <formula>NOT(ISERROR(SEARCH("Manual Input",H727)))</formula>
    </cfRule>
  </conditionalFormatting>
  <conditionalFormatting sqref="I706:I725 I727:I736">
    <cfRule type="expression" dxfId="7" priority="40">
      <formula>NOT(ISBLANK(#REF!))</formula>
    </cfRule>
  </conditionalFormatting>
  <dataValidations count="9">
    <dataValidation type="list" allowBlank="1" showInputMessage="1" showErrorMessage="1" errorTitle="Percentage of OA supply is &lt; 15%" error="Because this fan provides less than 15% of the total outdoor air, it automatically qualifies for the credit and this field is locked." sqref="G22:G135" xr:uid="{79FD563A-54D0-4FEA-AE8A-E50BF95C867B}">
      <formula1>yesNoList</formula1>
    </dataValidation>
    <dataValidation allowBlank="1" showInputMessage="1" showErrorMessage="1" errorTitle="Check Trade-off Compliance" error="If the envelope and ventilation trade-off methods acheive three credits, or the prerecquisits for Option 04 are not met, this table will be disabled." sqref="F417" xr:uid="{9C9F4E6C-88DB-4908-B8E8-37395C5B9E0F}"/>
    <dataValidation type="custom" allowBlank="1" showInputMessage="1" showErrorMessage="1" errorTitle="Option 04 Requirements" error="The requirements for option 04 may not be met. Option 04 requires that the three questions above are answered affirmatively." sqref="F408:G408 F399" xr:uid="{2670AEF7-2995-4849-BC5A-7F81E93B8B95}">
      <formula1>AND(ventLoadsIncludedRequirement="Yes",measuredAirLeakRequirement="Yes",ventExhaustRatioRequirement="Yes")</formula1>
    </dataValidation>
    <dataValidation type="decimal" operator="greaterThan" allowBlank="1" showInputMessage="1" showErrorMessage="1" sqref="E22:F135 E265:E267 E385:E387 D150:E264 D274:E384" xr:uid="{CA1EE1A7-9738-4B98-96B5-252A9A1C5E3D}">
      <formula1>0</formula1>
    </dataValidation>
    <dataValidation type="whole" operator="greaterThan" allowBlank="1" showInputMessage="1" showErrorMessage="1" sqref="D22:D135" xr:uid="{757BD41F-C15E-4821-BD59-9DD815317C0F}">
      <formula1>0</formula1>
    </dataValidation>
    <dataValidation type="decimal" operator="greaterThan" allowBlank="1" showInputMessage="1" showErrorMessage="1" errorTitle="Check Trade-off Compliance" error="This is not a valid entry for the cell. Note that if the envelope and ventilation trade-off methods acheive three credits this table will be disabled." sqref="B417:E417" xr:uid="{7C72C740-10C5-42B7-B71E-72A7F549024E}">
      <formula1>0</formula1>
    </dataValidation>
    <dataValidation type="decimal" operator="greaterThan" allowBlank="1" showInputMessage="1" showErrorMessage="1" errorTitle="Invalid Entry" error="This is not a valid entry for the selected cell." sqref="B408:E408 B399:E399" xr:uid="{F59CE173-767B-472F-8137-9FDA08FA8A59}">
      <formula1>0</formula1>
    </dataValidation>
    <dataValidation allowBlank="1" showInputMessage="1" showErrorMessage="1" errorTitle="Percentage of OA supply is &lt; 15%" error="Because this fan provides less than 15% of the total outdoor air, it automatically qualifies for the credit and this field is locked." sqref="G137:H138" xr:uid="{8661A7B1-4F46-4243-AE3D-8B3316F8AD51}"/>
    <dataValidation type="list" allowBlank="1" showInputMessage="1" showErrorMessage="1" sqref="E6:F6" xr:uid="{A4E72D25-C68C-4EFC-AFF0-478FA5947C51}">
      <formula1>optpath</formula1>
    </dataValidation>
  </dataValidations>
  <pageMargins left="0.7" right="0.7" top="0.75" bottom="0.75" header="0" footer="0"/>
  <pageSetup orientation="landscape" r:id="rId1"/>
  <ignoredErrors>
    <ignoredError sqref="C415" formula="1"/>
  </ignoredErrors>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DAD93032-4632-4940-944D-99E82CA59054}">
          <x14:formula1>
            <xm:f>Database!$D$16:$D$21</xm:f>
          </x14:formula1>
          <xm:sqref>E8:F8</xm:sqref>
        </x14:dataValidation>
        <x14:dataValidation type="list" allowBlank="1" showInputMessage="1" showErrorMessage="1" xr:uid="{B46A6CC9-275E-47F4-806B-9C6CBF690E14}">
          <x14:formula1>
            <xm:f>Database!$D$29:$D$47</xm:f>
          </x14:formula1>
          <xm:sqref>E12:F12</xm:sqref>
        </x14:dataValidation>
        <x14:dataValidation type="list" allowBlank="1" showInputMessage="1" showErrorMessage="1" xr:uid="{38F58C0B-19DF-42D6-81F8-9AB015BAEAF6}">
          <x14:formula1>
            <xm:f>Database!$D$50:$D$54</xm:f>
          </x14:formula1>
          <xm:sqref>C22:C135</xm:sqref>
        </x14:dataValidation>
        <x14:dataValidation type="list" allowBlank="1" showInputMessage="1" showErrorMessage="1" xr:uid="{1C3498F5-4FFD-43BB-8C80-1D19F21090EA}">
          <x14:formula1>
            <xm:f>Database!$D$25:$D$26</xm:f>
          </x14:formula1>
          <xm:sqref>E10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8D616-7DC0-4B38-8190-9579844CCBC8}">
  <sheetPr codeName="Sheet7">
    <tabColor rgb="FF7F7F7F"/>
  </sheetPr>
  <dimension ref="A1:AZ1466"/>
  <sheetViews>
    <sheetView showGridLines="0" zoomScaleNormal="100" workbookViewId="0">
      <selection activeCell="E8" sqref="E8:F8"/>
    </sheetView>
  </sheetViews>
  <sheetFormatPr defaultColWidth="9" defaultRowHeight="15" customHeight="1" outlineLevelRow="2"/>
  <cols>
    <col min="1" max="1" width="4.09765625" style="39" customWidth="1"/>
    <col min="2" max="8" width="17.69921875" style="33" customWidth="1"/>
    <col min="9" max="10" width="15.59765625" style="33" customWidth="1"/>
    <col min="11" max="11" width="15.8984375" style="33" customWidth="1"/>
    <col min="12" max="14" width="9" style="33" customWidth="1"/>
    <col min="15" max="17" width="8.8984375" style="36" hidden="1" customWidth="1"/>
    <col min="18" max="25" width="9" style="33" customWidth="1"/>
    <col min="26" max="16384" width="9" style="33"/>
  </cols>
  <sheetData>
    <row r="1" spans="1:28" ht="20.100000000000001" customHeight="1">
      <c r="A1" s="145"/>
      <c r="B1" s="217"/>
      <c r="C1" s="217"/>
      <c r="D1" s="217"/>
      <c r="E1" s="217"/>
      <c r="F1" s="217"/>
      <c r="G1" s="217"/>
      <c r="H1" s="217"/>
      <c r="I1" s="217"/>
      <c r="J1" s="216"/>
      <c r="K1" s="216"/>
      <c r="L1" s="217"/>
      <c r="M1" s="217"/>
      <c r="N1" s="217"/>
      <c r="O1" s="217"/>
      <c r="P1" s="217"/>
      <c r="Q1" s="217"/>
      <c r="R1" s="217"/>
      <c r="S1" s="217"/>
      <c r="T1" s="217"/>
      <c r="U1" s="217"/>
      <c r="V1" s="217"/>
      <c r="W1" s="217"/>
      <c r="X1" s="217"/>
      <c r="Y1" s="217"/>
      <c r="Z1" s="217"/>
      <c r="AA1" s="218"/>
      <c r="AB1" s="218"/>
    </row>
    <row r="2" spans="1:28" ht="81" customHeight="1">
      <c r="A2" s="273"/>
      <c r="B2" s="338" t="s">
        <v>283</v>
      </c>
      <c r="C2" s="312"/>
      <c r="D2" s="312"/>
      <c r="E2" s="312"/>
      <c r="F2" s="312"/>
      <c r="G2" s="312"/>
      <c r="H2" s="313"/>
      <c r="I2" s="217"/>
      <c r="J2" s="217"/>
      <c r="K2" s="217"/>
      <c r="L2" s="217"/>
      <c r="M2" s="217"/>
      <c r="N2" s="217"/>
      <c r="O2" s="146"/>
      <c r="P2" s="146"/>
      <c r="Q2" s="146"/>
      <c r="R2" s="217"/>
      <c r="S2" s="217"/>
      <c r="T2" s="217"/>
      <c r="U2" s="217"/>
      <c r="V2" s="217"/>
      <c r="W2" s="217"/>
      <c r="X2" s="217"/>
      <c r="Y2" s="217"/>
      <c r="Z2" s="217"/>
      <c r="AA2" s="19"/>
      <c r="AB2" s="218"/>
    </row>
    <row r="3" spans="1:28" ht="18" customHeight="1">
      <c r="A3" s="145"/>
      <c r="B3" s="217"/>
      <c r="C3" s="217"/>
      <c r="D3" s="217"/>
      <c r="E3" s="217"/>
      <c r="F3" s="217"/>
      <c r="G3" s="217"/>
      <c r="H3" s="217"/>
      <c r="I3" s="217"/>
      <c r="J3" s="216"/>
      <c r="K3" s="216"/>
      <c r="L3" s="216"/>
      <c r="M3" s="217"/>
      <c r="N3" s="217"/>
      <c r="O3" s="146"/>
      <c r="P3" s="146"/>
      <c r="Q3" s="146"/>
      <c r="R3" s="217"/>
      <c r="S3" s="217"/>
      <c r="T3" s="217"/>
      <c r="U3" s="217"/>
      <c r="V3" s="217"/>
      <c r="W3" s="217"/>
      <c r="X3" s="217"/>
      <c r="Y3" s="217"/>
      <c r="Z3" s="217"/>
      <c r="AA3" s="19"/>
      <c r="AB3" s="218"/>
    </row>
    <row r="4" spans="1:28" ht="18" customHeight="1">
      <c r="A4" s="165"/>
      <c r="B4" s="89" t="s">
        <v>205</v>
      </c>
      <c r="C4" s="90"/>
      <c r="D4" s="90"/>
      <c r="E4" s="90"/>
      <c r="F4" s="90"/>
      <c r="G4" s="90"/>
      <c r="H4" s="91"/>
      <c r="I4" s="216"/>
      <c r="J4" s="216"/>
      <c r="K4" s="216"/>
      <c r="L4" s="216"/>
      <c r="M4" s="216"/>
      <c r="N4" s="217"/>
      <c r="O4" s="146"/>
      <c r="P4" s="146"/>
      <c r="Q4" s="146"/>
      <c r="R4" s="217"/>
      <c r="S4" s="217"/>
      <c r="T4" s="217"/>
      <c r="U4" s="217"/>
      <c r="V4" s="217"/>
      <c r="W4" s="217"/>
      <c r="X4" s="217"/>
      <c r="Y4" s="217"/>
      <c r="Z4" s="217"/>
      <c r="AA4" s="19"/>
      <c r="AB4" s="218"/>
    </row>
    <row r="5" spans="1:28" ht="18" customHeight="1">
      <c r="A5" s="145"/>
      <c r="B5" s="217"/>
      <c r="C5" s="217"/>
      <c r="D5" s="217"/>
      <c r="E5" s="217"/>
      <c r="F5" s="217"/>
      <c r="G5" s="216"/>
      <c r="H5" s="216"/>
      <c r="I5" s="216"/>
      <c r="J5" s="216"/>
      <c r="K5" s="216"/>
      <c r="L5" s="216"/>
      <c r="M5" s="216"/>
      <c r="N5" s="217"/>
      <c r="O5" s="146"/>
      <c r="P5" s="146"/>
      <c r="Q5" s="146"/>
      <c r="R5" s="217"/>
      <c r="S5" s="217"/>
      <c r="T5" s="217"/>
      <c r="U5" s="217"/>
      <c r="V5" s="217"/>
      <c r="W5" s="217"/>
      <c r="X5" s="217"/>
      <c r="Y5" s="217"/>
      <c r="Z5" s="217"/>
      <c r="AA5" s="19"/>
      <c r="AB5" s="218"/>
    </row>
    <row r="6" spans="1:28" ht="18" customHeight="1">
      <c r="A6" s="165"/>
      <c r="B6" s="92" t="s">
        <v>149</v>
      </c>
      <c r="C6" s="93"/>
      <c r="D6" s="94"/>
      <c r="E6" s="345" t="str">
        <f>IF(inputs_optpath&lt;&gt;"",inputs_optpath,"")</f>
        <v/>
      </c>
      <c r="F6" s="346"/>
      <c r="G6" s="216"/>
      <c r="H6" s="216"/>
      <c r="I6" s="216"/>
      <c r="J6" s="216"/>
      <c r="K6" s="216"/>
      <c r="L6" s="216"/>
      <c r="M6" s="216"/>
      <c r="N6" s="217"/>
      <c r="O6" s="146"/>
      <c r="P6" s="146"/>
      <c r="Q6" s="146"/>
      <c r="R6" s="217"/>
      <c r="S6" s="217"/>
      <c r="T6" s="217"/>
      <c r="U6" s="217"/>
      <c r="V6" s="217"/>
      <c r="W6" s="217"/>
      <c r="X6" s="217"/>
      <c r="Y6" s="217"/>
      <c r="Z6" s="217"/>
      <c r="AA6" s="19"/>
      <c r="AB6" s="218"/>
    </row>
    <row r="7" spans="1:28" ht="18" customHeight="1">
      <c r="A7" s="145"/>
      <c r="B7" s="217"/>
      <c r="C7" s="217"/>
      <c r="D7" s="217"/>
      <c r="E7" s="217"/>
      <c r="F7" s="217"/>
      <c r="G7" s="216"/>
      <c r="H7" s="216"/>
      <c r="I7" s="216"/>
      <c r="J7" s="216"/>
      <c r="K7" s="216"/>
      <c r="L7" s="216"/>
      <c r="M7" s="216"/>
      <c r="N7" s="217"/>
      <c r="O7" s="146"/>
      <c r="P7" s="146"/>
      <c r="Q7" s="146"/>
      <c r="R7" s="217"/>
      <c r="S7" s="217"/>
      <c r="T7" s="217"/>
      <c r="U7" s="217"/>
      <c r="V7" s="217"/>
      <c r="W7" s="217"/>
      <c r="X7" s="217"/>
      <c r="Y7" s="217"/>
      <c r="Z7" s="217"/>
      <c r="AA7" s="19"/>
      <c r="AB7" s="218"/>
    </row>
    <row r="8" spans="1:28" ht="18" customHeight="1">
      <c r="A8" s="165"/>
      <c r="B8" s="92" t="s">
        <v>206</v>
      </c>
      <c r="C8" s="93"/>
      <c r="D8" s="94"/>
      <c r="E8" s="345" t="b">
        <f>IF(OR(buildingType="Hotel/Motel", buildingType="Apartment/Dormitory"),TRUE,FALSE)</f>
        <v>0</v>
      </c>
      <c r="F8" s="346"/>
      <c r="G8" s="216"/>
      <c r="H8" s="216"/>
      <c r="I8" s="216"/>
      <c r="J8" s="216"/>
      <c r="K8" s="216"/>
      <c r="L8" s="216"/>
      <c r="M8" s="216"/>
      <c r="N8" s="217"/>
      <c r="O8" s="146"/>
      <c r="P8" s="146"/>
      <c r="Q8" s="146"/>
      <c r="R8" s="217"/>
      <c r="S8" s="217"/>
      <c r="T8" s="217"/>
      <c r="U8" s="217"/>
      <c r="V8" s="217"/>
      <c r="W8" s="217"/>
      <c r="X8" s="217"/>
      <c r="Y8" s="217"/>
      <c r="Z8" s="217"/>
      <c r="AA8" s="19"/>
      <c r="AB8" s="218"/>
    </row>
    <row r="9" spans="1:28" ht="18" customHeight="1">
      <c r="A9" s="145"/>
      <c r="B9" s="217"/>
      <c r="C9" s="217"/>
      <c r="D9" s="217"/>
      <c r="E9" s="217"/>
      <c r="F9" s="217"/>
      <c r="G9" s="216"/>
      <c r="H9" s="216"/>
      <c r="I9" s="216"/>
      <c r="J9" s="216"/>
      <c r="K9" s="216"/>
      <c r="L9" s="216"/>
      <c r="M9" s="216"/>
      <c r="N9" s="217"/>
      <c r="O9" s="146"/>
      <c r="P9" s="146"/>
      <c r="Q9" s="146"/>
      <c r="R9" s="217"/>
      <c r="S9" s="217"/>
      <c r="T9" s="217"/>
      <c r="U9" s="217"/>
      <c r="V9" s="217"/>
      <c r="W9" s="217"/>
      <c r="X9" s="217"/>
      <c r="Y9" s="217"/>
      <c r="Z9" s="217"/>
      <c r="AA9" s="19"/>
      <c r="AB9" s="218"/>
    </row>
    <row r="10" spans="1:28" ht="18" customHeight="1">
      <c r="A10" s="165"/>
      <c r="B10" s="92" t="s">
        <v>153</v>
      </c>
      <c r="C10" s="93"/>
      <c r="D10" s="94"/>
      <c r="E10" s="345">
        <f>units</f>
        <v>0</v>
      </c>
      <c r="F10" s="346"/>
      <c r="G10" s="216"/>
      <c r="H10" s="216"/>
      <c r="I10" s="216"/>
      <c r="J10" s="216"/>
      <c r="K10" s="216"/>
      <c r="L10" s="216"/>
      <c r="M10" s="216"/>
      <c r="N10" s="217"/>
      <c r="O10" s="146"/>
      <c r="P10" s="146"/>
      <c r="Q10" s="146"/>
      <c r="R10" s="217"/>
      <c r="S10" s="217"/>
      <c r="T10" s="217"/>
      <c r="U10" s="217"/>
      <c r="V10" s="217"/>
      <c r="W10" s="217"/>
      <c r="X10" s="217"/>
      <c r="Y10" s="217"/>
      <c r="Z10" s="217"/>
      <c r="AA10" s="19"/>
      <c r="AB10" s="218"/>
    </row>
    <row r="11" spans="1:28" ht="18" customHeight="1">
      <c r="A11" s="145"/>
      <c r="B11" s="217"/>
      <c r="C11" s="217"/>
      <c r="D11" s="217"/>
      <c r="E11" s="217"/>
      <c r="F11" s="217"/>
      <c r="G11" s="216"/>
      <c r="H11" s="216"/>
      <c r="I11" s="216"/>
      <c r="J11" s="216"/>
      <c r="K11" s="216"/>
      <c r="L11" s="216"/>
      <c r="M11" s="216"/>
      <c r="N11" s="217"/>
      <c r="O11" s="146"/>
      <c r="P11" s="146"/>
      <c r="Q11" s="146"/>
      <c r="R11" s="217"/>
      <c r="S11" s="217"/>
      <c r="T11" s="217"/>
      <c r="U11" s="217"/>
      <c r="V11" s="217"/>
      <c r="W11" s="217"/>
      <c r="X11" s="217"/>
      <c r="Y11" s="217"/>
      <c r="Z11" s="217"/>
      <c r="AA11" s="19"/>
      <c r="AB11" s="218"/>
    </row>
    <row r="12" spans="1:28" ht="18" customHeight="1">
      <c r="A12" s="165"/>
      <c r="B12" s="92" t="s">
        <v>155</v>
      </c>
      <c r="C12" s="93"/>
      <c r="D12" s="94"/>
      <c r="E12" s="345">
        <f>cz</f>
        <v>0</v>
      </c>
      <c r="F12" s="346"/>
      <c r="G12" s="216"/>
      <c r="H12" s="216"/>
      <c r="I12" s="216"/>
      <c r="J12" s="216"/>
      <c r="K12" s="216"/>
      <c r="L12" s="216"/>
      <c r="M12" s="216"/>
      <c r="N12" s="217"/>
      <c r="O12" s="146"/>
      <c r="P12" s="146"/>
      <c r="Q12" s="146"/>
      <c r="R12" s="217"/>
      <c r="S12" s="217"/>
      <c r="T12" s="217"/>
      <c r="U12" s="217"/>
      <c r="V12" s="217"/>
      <c r="W12" s="217"/>
      <c r="X12" s="217"/>
      <c r="Y12" s="217"/>
      <c r="Z12" s="217"/>
      <c r="AA12" s="19"/>
      <c r="AB12" s="218"/>
    </row>
    <row r="13" spans="1:28" ht="18" customHeight="1">
      <c r="A13" s="145"/>
      <c r="B13" s="217"/>
      <c r="C13" s="217"/>
      <c r="D13" s="217"/>
      <c r="E13" s="217"/>
      <c r="F13" s="217"/>
      <c r="G13" s="216"/>
      <c r="H13" s="216"/>
      <c r="I13" s="216"/>
      <c r="J13" s="216"/>
      <c r="K13" s="216"/>
      <c r="L13" s="216"/>
      <c r="M13" s="216"/>
      <c r="N13" s="217"/>
      <c r="O13" s="146"/>
      <c r="P13" s="146"/>
      <c r="Q13" s="146"/>
      <c r="R13" s="217"/>
      <c r="S13" s="217"/>
      <c r="T13" s="217"/>
      <c r="U13" s="217"/>
      <c r="V13" s="217"/>
      <c r="W13" s="217"/>
      <c r="X13" s="217"/>
      <c r="Y13" s="217"/>
      <c r="Z13" s="217"/>
      <c r="AA13" s="19"/>
      <c r="AB13" s="218"/>
    </row>
    <row r="14" spans="1:28" ht="18" customHeight="1">
      <c r="A14" s="145"/>
      <c r="B14" s="217"/>
      <c r="C14" s="217"/>
      <c r="D14" s="217"/>
      <c r="E14" s="217"/>
      <c r="F14" s="217"/>
      <c r="G14" s="217"/>
      <c r="H14" s="217"/>
      <c r="I14" s="217"/>
      <c r="J14" s="216"/>
      <c r="K14" s="216"/>
      <c r="L14" s="217"/>
      <c r="M14" s="217"/>
      <c r="N14" s="217"/>
      <c r="O14" s="146"/>
      <c r="P14" s="146"/>
      <c r="Q14" s="146"/>
      <c r="R14" s="217"/>
      <c r="S14" s="217"/>
      <c r="T14" s="217"/>
      <c r="U14" s="217"/>
      <c r="V14" s="217"/>
      <c r="W14" s="217"/>
      <c r="X14" s="217"/>
      <c r="Y14" s="217"/>
      <c r="Z14" s="217"/>
      <c r="AA14" s="31"/>
      <c r="AB14" s="31"/>
    </row>
    <row r="15" spans="1:28" ht="18" customHeight="1">
      <c r="A15" s="165"/>
      <c r="B15" s="89" t="s">
        <v>207</v>
      </c>
      <c r="C15" s="90"/>
      <c r="D15" s="90"/>
      <c r="E15" s="90"/>
      <c r="F15" s="90"/>
      <c r="G15" s="90"/>
      <c r="H15" s="91"/>
      <c r="I15" s="216"/>
      <c r="J15" s="216"/>
      <c r="K15" s="216"/>
      <c r="L15" s="216"/>
      <c r="M15" s="216"/>
      <c r="N15" s="217"/>
      <c r="O15" s="146"/>
      <c r="P15" s="146"/>
      <c r="Q15" s="146"/>
      <c r="R15" s="217"/>
      <c r="S15" s="217"/>
      <c r="T15" s="217"/>
      <c r="U15" s="217"/>
      <c r="V15" s="217"/>
      <c r="W15" s="217"/>
      <c r="X15" s="217"/>
      <c r="Y15" s="217"/>
      <c r="Z15" s="217"/>
      <c r="AA15" s="19"/>
      <c r="AB15" s="218"/>
    </row>
    <row r="16" spans="1:28" ht="18" customHeight="1">
      <c r="A16" s="165"/>
      <c r="B16" s="217"/>
      <c r="C16" s="217"/>
      <c r="D16" s="217"/>
      <c r="E16" s="217"/>
      <c r="F16" s="217"/>
      <c r="G16" s="217"/>
      <c r="H16" s="217"/>
      <c r="I16" s="217"/>
      <c r="J16" s="217"/>
      <c r="K16" s="216"/>
      <c r="L16" s="216"/>
      <c r="M16" s="216"/>
      <c r="N16" s="217"/>
      <c r="O16" s="146"/>
      <c r="P16" s="146"/>
      <c r="Q16" s="146"/>
      <c r="R16" s="217"/>
      <c r="S16" s="217"/>
      <c r="T16" s="217"/>
      <c r="U16" s="217"/>
      <c r="V16" s="217"/>
      <c r="W16" s="217"/>
      <c r="X16" s="217"/>
      <c r="Y16" s="217"/>
      <c r="Z16" s="217"/>
      <c r="AA16" s="19"/>
      <c r="AB16" s="218"/>
    </row>
    <row r="17" spans="1:52" s="193" customFormat="1" ht="18" customHeight="1">
      <c r="A17" s="189"/>
      <c r="B17" s="190" t="s">
        <v>158</v>
      </c>
      <c r="C17" s="190"/>
      <c r="D17" s="191"/>
      <c r="E17" s="191"/>
      <c r="F17" s="191"/>
      <c r="G17" s="191"/>
      <c r="H17" s="191"/>
      <c r="I17" s="191"/>
      <c r="J17" s="191"/>
      <c r="K17" s="191"/>
      <c r="L17" s="191"/>
      <c r="M17" s="191"/>
      <c r="N17" s="191"/>
      <c r="O17" s="191"/>
      <c r="P17" s="191"/>
      <c r="Q17" s="191"/>
      <c r="R17" s="191"/>
      <c r="S17" s="191"/>
      <c r="T17" s="191"/>
      <c r="U17" s="191"/>
      <c r="V17" s="191"/>
      <c r="W17" s="191"/>
      <c r="X17" s="191"/>
      <c r="Y17" s="192"/>
      <c r="Z17" s="192"/>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row>
    <row r="18" spans="1:52" ht="18" customHeight="1">
      <c r="A18" s="189"/>
      <c r="B18" s="324" t="s">
        <v>159</v>
      </c>
      <c r="C18" s="325"/>
      <c r="D18" s="325"/>
      <c r="E18" s="325"/>
      <c r="F18" s="325"/>
      <c r="G18" s="325"/>
      <c r="H18" s="326"/>
      <c r="I18" s="216"/>
      <c r="J18" s="216"/>
      <c r="K18" s="217"/>
      <c r="L18" s="146"/>
      <c r="M18" s="146"/>
      <c r="N18" s="146"/>
      <c r="O18" s="217"/>
      <c r="P18" s="217"/>
      <c r="Q18" s="217"/>
      <c r="R18" s="217"/>
      <c r="S18" s="217"/>
      <c r="T18" s="217"/>
      <c r="U18" s="217"/>
      <c r="V18" s="217"/>
      <c r="W18" s="217"/>
      <c r="X18" s="217"/>
      <c r="Y18" s="217"/>
      <c r="Z18" s="217"/>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row>
    <row r="19" spans="1:52" ht="18" customHeight="1">
      <c r="A19" s="189"/>
      <c r="B19" s="322" t="s">
        <v>160</v>
      </c>
      <c r="C19" s="322" t="s">
        <v>161</v>
      </c>
      <c r="D19" s="322" t="s">
        <v>162</v>
      </c>
      <c r="E19" s="322" t="str">
        <f>_xlfn.CONCAT("Outdoor Air Flow per individual equipment ",IF(units="SI","(L/s)","(cfm)"))</f>
        <v>Outdoor Air Flow per individual equipment (cfm)</v>
      </c>
      <c r="F19" s="322" t="str">
        <f>_xlfn.CONCAT("Total Outdoor Air Flow ",IF(units="SI","(L/s)","(cfm)"))</f>
        <v>Total Outdoor Air Flow (cfm)</v>
      </c>
      <c r="G19" s="339" t="s">
        <v>163</v>
      </c>
      <c r="H19" s="340"/>
      <c r="I19" s="216"/>
      <c r="J19" s="216"/>
      <c r="K19" s="216"/>
      <c r="L19" s="216"/>
      <c r="M19" s="217"/>
      <c r="N19" s="146"/>
      <c r="O19" s="146"/>
      <c r="P19" s="146"/>
      <c r="Q19" s="217"/>
      <c r="R19" s="217"/>
      <c r="S19" s="217"/>
      <c r="T19" s="217"/>
      <c r="U19" s="217"/>
      <c r="V19" s="217"/>
      <c r="W19" s="217"/>
      <c r="X19" s="217"/>
      <c r="Y19" s="217"/>
      <c r="Z19" s="217"/>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row>
    <row r="20" spans="1:52" ht="18" customHeight="1">
      <c r="A20" s="189"/>
      <c r="B20" s="323"/>
      <c r="C20" s="323"/>
      <c r="D20" s="323"/>
      <c r="E20" s="323"/>
      <c r="F20" s="323"/>
      <c r="G20" s="341"/>
      <c r="H20" s="342"/>
      <c r="I20" s="217"/>
      <c r="J20" s="216"/>
      <c r="K20" s="216"/>
      <c r="L20" s="216"/>
      <c r="M20" s="217"/>
      <c r="N20" s="146"/>
      <c r="O20" s="146"/>
      <c r="P20" s="146"/>
      <c r="Q20" s="217"/>
      <c r="R20" s="217"/>
      <c r="S20" s="217"/>
      <c r="T20" s="217"/>
      <c r="U20" s="217"/>
      <c r="V20" s="217"/>
      <c r="W20" s="217"/>
      <c r="X20" s="217"/>
      <c r="Y20" s="217"/>
      <c r="Z20" s="217"/>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8"/>
    </row>
    <row r="21" spans="1:52" ht="18" customHeight="1">
      <c r="A21" s="189"/>
      <c r="B21" s="323"/>
      <c r="C21" s="323"/>
      <c r="D21" s="323"/>
      <c r="E21" s="323"/>
      <c r="F21" s="323"/>
      <c r="G21" s="343"/>
      <c r="H21" s="344"/>
      <c r="I21" s="217"/>
      <c r="J21" s="216"/>
      <c r="K21" s="216"/>
      <c r="L21" s="216"/>
      <c r="M21" s="217"/>
      <c r="N21" s="146"/>
      <c r="O21" s="146"/>
      <c r="P21" s="146"/>
      <c r="Q21" s="217"/>
      <c r="R21" s="217"/>
      <c r="S21" s="217"/>
      <c r="T21" s="217"/>
      <c r="U21" s="217"/>
      <c r="V21" s="217"/>
      <c r="W21" s="217"/>
      <c r="X21" s="217"/>
      <c r="Y21" s="217"/>
      <c r="Z21" s="217"/>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c r="AZ21" s="218"/>
    </row>
    <row r="22" spans="1:52" ht="18" customHeight="1">
      <c r="A22" s="188">
        <v>1</v>
      </c>
      <c r="B22" s="187" t="str">
        <f>IF(INDEX(inputs_EquipTag,MATCH(Logic!$A22,inputs_EquipNo,0))&lt;&gt;"",INDEX(inputs_EquipTag,MATCH(Logic!$A22,inputs_EquipNo,0)),"")</f>
        <v/>
      </c>
      <c r="C22" s="187" t="str">
        <f>IF(INDEX(inputs_EquipType,MATCH(Logic!$A22,inputs_EquipNo,0))&lt;&gt;"",INDEX(inputs_EquipType,MATCH(Logic!$A22,inputs_EquipNo,0)),"")</f>
        <v/>
      </c>
      <c r="D22" s="196" t="str">
        <f>IF(INDEX(inputs_VentEquipQuant,MATCH(Logic!$A22,inputs_EquipNo,0))&lt;&gt;"",INDEX(inputs_VentEquipQuant,MATCH(Logic!$A22,inputs_EquipNo,0)),"")</f>
        <v/>
      </c>
      <c r="E22" s="198" t="str">
        <f>IF(INDEX(inputs_OutdoorAirFlow,MATCH(Logic!$A22,inputs_EquipNo,0))&lt;&gt;"",INDEX(inputs_OutdoorAirFlow,MATCH(Logic!$A22,inputs_EquipNo,0)),"")</f>
        <v/>
      </c>
      <c r="F22" s="199" t="str">
        <f>IFERROR(IF(ISBLANK(B22),"",D22*E22),"")</f>
        <v/>
      </c>
      <c r="G22" s="347" t="str">
        <f>IF(INDEX(inputs_HeatRecReq,MATCH(Logic!$A22,inputs_EquipNo,0))&lt;&gt;"",INDEX(inputs_HeatRecReq,MATCH(Logic!$A22,inputs_EquipNo,0)),"")</f>
        <v/>
      </c>
      <c r="H22" s="348"/>
      <c r="I22" s="217"/>
      <c r="J22" s="216"/>
      <c r="K22" s="216"/>
      <c r="L22" s="216"/>
      <c r="M22" s="217"/>
      <c r="N22" s="146"/>
      <c r="O22" s="146"/>
      <c r="P22" s="146"/>
      <c r="Q22" s="217"/>
      <c r="R22" s="217"/>
      <c r="S22" s="217"/>
      <c r="T22" s="217"/>
      <c r="U22" s="217"/>
      <c r="V22" s="217"/>
      <c r="W22" s="217"/>
      <c r="X22" s="217"/>
      <c r="Y22" s="217"/>
      <c r="Z22" s="217"/>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row>
    <row r="23" spans="1:52" ht="18" customHeight="1">
      <c r="A23" s="188">
        <v>2</v>
      </c>
      <c r="B23" s="187" t="str">
        <f>IF(INDEX(inputs_EquipTag,MATCH(Logic!$A23,inputs_EquipNo,0))&lt;&gt;"",INDEX(inputs_EquipTag,MATCH(Logic!$A23,inputs_EquipNo,0)),"")</f>
        <v/>
      </c>
      <c r="C23" s="187" t="str">
        <f>IF(INDEX(inputs_EquipType,MATCH(Logic!$A23,inputs_EquipNo,0))&lt;&gt;"",INDEX(inputs_EquipType,MATCH(Logic!$A23,inputs_EquipNo,0)),"")</f>
        <v/>
      </c>
      <c r="D23" s="196" t="str">
        <f>IF(INDEX(inputs_VentEquipQuant,MATCH(Logic!$A23,inputs_EquipNo,0))&lt;&gt;"",INDEX(inputs_VentEquipQuant,MATCH(Logic!$A23,inputs_EquipNo,0)),"")</f>
        <v/>
      </c>
      <c r="E23" s="198" t="str">
        <f>IF(INDEX(inputs_OutdoorAirFlow,MATCH(Logic!$A23,inputs_EquipNo,0))&lt;&gt;"",INDEX(inputs_OutdoorAirFlow,MATCH(Logic!$A23,inputs_EquipNo,0)),"")</f>
        <v/>
      </c>
      <c r="F23" s="199" t="str">
        <f t="shared" ref="F23:F86" si="0">IFERROR(IF(ISBLANK(B23),"",D23*E23),"")</f>
        <v/>
      </c>
      <c r="G23" s="347" t="str">
        <f>IF(INDEX(inputs_HeatRecReq,MATCH(Logic!$A23,inputs_EquipNo,0))&lt;&gt;"",INDEX(inputs_HeatRecReq,MATCH(Logic!$A23,inputs_EquipNo,0)),"")</f>
        <v/>
      </c>
      <c r="H23" s="348"/>
      <c r="I23" s="217"/>
      <c r="J23" s="216"/>
      <c r="K23" s="216"/>
      <c r="L23" s="216"/>
      <c r="M23" s="217"/>
      <c r="N23" s="146"/>
      <c r="O23" s="146"/>
      <c r="P23" s="146"/>
      <c r="Q23" s="217"/>
      <c r="R23" s="217"/>
      <c r="S23" s="217"/>
      <c r="T23" s="217"/>
      <c r="U23" s="217"/>
      <c r="V23" s="217"/>
      <c r="W23" s="217"/>
      <c r="X23" s="217"/>
      <c r="Y23" s="217"/>
      <c r="Z23" s="217"/>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row>
    <row r="24" spans="1:52" ht="18" customHeight="1">
      <c r="A24" s="188">
        <v>3</v>
      </c>
      <c r="B24" s="187" t="str">
        <f>IF(INDEX(inputs_EquipTag,MATCH(Logic!$A24,inputs_EquipNo,0))&lt;&gt;"",INDEX(inputs_EquipTag,MATCH(Logic!$A24,inputs_EquipNo,0)),"")</f>
        <v/>
      </c>
      <c r="C24" s="187" t="str">
        <f>IF(INDEX(inputs_EquipType,MATCH(Logic!$A24,inputs_EquipNo,0))&lt;&gt;"",INDEX(inputs_EquipType,MATCH(Logic!$A24,inputs_EquipNo,0)),"")</f>
        <v/>
      </c>
      <c r="D24" s="196" t="str">
        <f>IF(INDEX(inputs_VentEquipQuant,MATCH(Logic!$A24,inputs_EquipNo,0))&lt;&gt;"",INDEX(inputs_VentEquipQuant,MATCH(Logic!$A24,inputs_EquipNo,0)),"")</f>
        <v/>
      </c>
      <c r="E24" s="198" t="str">
        <f>IF(INDEX(inputs_OutdoorAirFlow,MATCH(Logic!$A24,inputs_EquipNo,0))&lt;&gt;"",INDEX(inputs_OutdoorAirFlow,MATCH(Logic!$A24,inputs_EquipNo,0)),"")</f>
        <v/>
      </c>
      <c r="F24" s="199" t="str">
        <f t="shared" si="0"/>
        <v/>
      </c>
      <c r="G24" s="347" t="str">
        <f>IF(INDEX(inputs_HeatRecReq,MATCH(Logic!$A24,inputs_EquipNo,0))&lt;&gt;"",INDEX(inputs_HeatRecReq,MATCH(Logic!$A24,inputs_EquipNo,0)),"")</f>
        <v/>
      </c>
      <c r="H24" s="348"/>
      <c r="I24" s="217"/>
      <c r="J24" s="216"/>
      <c r="K24" s="216"/>
      <c r="L24" s="216"/>
      <c r="M24" s="217"/>
      <c r="N24" s="146"/>
      <c r="O24" s="146"/>
      <c r="P24" s="146"/>
      <c r="Q24" s="217"/>
      <c r="R24" s="217"/>
      <c r="S24" s="217"/>
      <c r="T24" s="217"/>
      <c r="U24" s="217"/>
      <c r="V24" s="217"/>
      <c r="W24" s="217"/>
      <c r="X24" s="217"/>
      <c r="Y24" s="217"/>
      <c r="Z24" s="217"/>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row>
    <row r="25" spans="1:52" ht="18" customHeight="1">
      <c r="A25" s="188">
        <v>4</v>
      </c>
      <c r="B25" s="187" t="str">
        <f>IF(INDEX(inputs_EquipTag,MATCH(Logic!$A25,inputs_EquipNo,0))&lt;&gt;"",INDEX(inputs_EquipTag,MATCH(Logic!$A25,inputs_EquipNo,0)),"")</f>
        <v/>
      </c>
      <c r="C25" s="187" t="str">
        <f>IF(INDEX(inputs_EquipType,MATCH(Logic!$A25,inputs_EquipNo,0))&lt;&gt;"",INDEX(inputs_EquipType,MATCH(Logic!$A25,inputs_EquipNo,0)),"")</f>
        <v/>
      </c>
      <c r="D25" s="196" t="str">
        <f>IF(INDEX(inputs_VentEquipQuant,MATCH(Logic!$A25,inputs_EquipNo,0))&lt;&gt;"",INDEX(inputs_VentEquipQuant,MATCH(Logic!$A25,inputs_EquipNo,0)),"")</f>
        <v/>
      </c>
      <c r="E25" s="198" t="str">
        <f>IF(INDEX(inputs_OutdoorAirFlow,MATCH(Logic!$A25,inputs_EquipNo,0))&lt;&gt;"",INDEX(inputs_OutdoorAirFlow,MATCH(Logic!$A25,inputs_EquipNo,0)),"")</f>
        <v/>
      </c>
      <c r="F25" s="199" t="str">
        <f t="shared" si="0"/>
        <v/>
      </c>
      <c r="G25" s="347" t="str">
        <f>IF(INDEX(inputs_HeatRecReq,MATCH(Logic!$A25,inputs_EquipNo,0))&lt;&gt;"",INDEX(inputs_HeatRecReq,MATCH(Logic!$A25,inputs_EquipNo,0)),"")</f>
        <v/>
      </c>
      <c r="H25" s="348"/>
      <c r="I25" s="217"/>
      <c r="J25" s="216"/>
      <c r="K25" s="216"/>
      <c r="L25" s="216"/>
      <c r="M25" s="217"/>
      <c r="N25" s="146"/>
      <c r="O25" s="146"/>
      <c r="P25" s="146"/>
      <c r="Q25" s="217"/>
      <c r="R25" s="217"/>
      <c r="S25" s="217"/>
      <c r="T25" s="217"/>
      <c r="U25" s="217"/>
      <c r="V25" s="217"/>
      <c r="W25" s="217"/>
      <c r="X25" s="217"/>
      <c r="Y25" s="217"/>
      <c r="Z25" s="217"/>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row>
    <row r="26" spans="1:52" ht="18" customHeight="1">
      <c r="A26" s="188">
        <v>5</v>
      </c>
      <c r="B26" s="187" t="str">
        <f>IF(INDEX(inputs_EquipTag,MATCH(Logic!$A26,inputs_EquipNo,0))&lt;&gt;"",INDEX(inputs_EquipTag,MATCH(Logic!$A26,inputs_EquipNo,0)),"")</f>
        <v/>
      </c>
      <c r="C26" s="187" t="str">
        <f>IF(INDEX(inputs_EquipType,MATCH(Logic!$A26,inputs_EquipNo,0))&lt;&gt;"",INDEX(inputs_EquipType,MATCH(Logic!$A26,inputs_EquipNo,0)),"")</f>
        <v/>
      </c>
      <c r="D26" s="196" t="str">
        <f>IF(INDEX(inputs_VentEquipQuant,MATCH(Logic!$A26,inputs_EquipNo,0))&lt;&gt;"",INDEX(inputs_VentEquipQuant,MATCH(Logic!$A26,inputs_EquipNo,0)),"")</f>
        <v/>
      </c>
      <c r="E26" s="198" t="str">
        <f>IF(INDEX(inputs_OutdoorAirFlow,MATCH(Logic!$A26,inputs_EquipNo,0))&lt;&gt;"",INDEX(inputs_OutdoorAirFlow,MATCH(Logic!$A26,inputs_EquipNo,0)),"")</f>
        <v/>
      </c>
      <c r="F26" s="199" t="str">
        <f t="shared" si="0"/>
        <v/>
      </c>
      <c r="G26" s="347" t="str">
        <f>IF(INDEX(inputs_HeatRecReq,MATCH(Logic!$A26,inputs_EquipNo,0))&lt;&gt;"",INDEX(inputs_HeatRecReq,MATCH(Logic!$A26,inputs_EquipNo,0)),"")</f>
        <v/>
      </c>
      <c r="H26" s="348"/>
      <c r="I26" s="217"/>
      <c r="J26" s="216"/>
      <c r="K26" s="216"/>
      <c r="L26" s="216"/>
      <c r="M26" s="217"/>
      <c r="N26" s="146"/>
      <c r="O26" s="146"/>
      <c r="P26" s="146"/>
      <c r="Q26" s="217"/>
      <c r="R26" s="217"/>
      <c r="S26" s="217"/>
      <c r="T26" s="217"/>
      <c r="U26" s="217"/>
      <c r="V26" s="217"/>
      <c r="W26" s="217"/>
      <c r="X26" s="217"/>
      <c r="Y26" s="217"/>
      <c r="Z26" s="217"/>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row>
    <row r="27" spans="1:52" ht="18" customHeight="1">
      <c r="A27" s="188">
        <v>6</v>
      </c>
      <c r="B27" s="187" t="str">
        <f>IF(INDEX(inputs_EquipTag,MATCH(Logic!$A27,inputs_EquipNo,0))&lt;&gt;"",INDEX(inputs_EquipTag,MATCH(Logic!$A27,inputs_EquipNo,0)),"")</f>
        <v/>
      </c>
      <c r="C27" s="187" t="str">
        <f>IF(INDEX(inputs_EquipType,MATCH(Logic!$A27,inputs_EquipNo,0))&lt;&gt;"",INDEX(inputs_EquipType,MATCH(Logic!$A27,inputs_EquipNo,0)),"")</f>
        <v/>
      </c>
      <c r="D27" s="196" t="str">
        <f>IF(INDEX(inputs_VentEquipQuant,MATCH(Logic!$A27,inputs_EquipNo,0))&lt;&gt;"",INDEX(inputs_VentEquipQuant,MATCH(Logic!$A27,inputs_EquipNo,0)),"")</f>
        <v/>
      </c>
      <c r="E27" s="198" t="str">
        <f>IF(INDEX(inputs_OutdoorAirFlow,MATCH(Logic!$A27,inputs_EquipNo,0))&lt;&gt;"",INDEX(inputs_OutdoorAirFlow,MATCH(Logic!$A27,inputs_EquipNo,0)),"")</f>
        <v/>
      </c>
      <c r="F27" s="199" t="str">
        <f t="shared" si="0"/>
        <v/>
      </c>
      <c r="G27" s="347" t="str">
        <f>IF(INDEX(inputs_HeatRecReq,MATCH(Logic!$A27,inputs_EquipNo,0))&lt;&gt;"",INDEX(inputs_HeatRecReq,MATCH(Logic!$A27,inputs_EquipNo,0)),"")</f>
        <v/>
      </c>
      <c r="H27" s="348"/>
      <c r="I27" s="217"/>
      <c r="J27" s="216"/>
      <c r="K27" s="216"/>
      <c r="L27" s="216"/>
      <c r="M27" s="217"/>
      <c r="N27" s="146"/>
      <c r="O27" s="146"/>
      <c r="P27" s="146"/>
      <c r="Q27" s="217"/>
      <c r="R27" s="217"/>
      <c r="S27" s="217"/>
      <c r="T27" s="217"/>
      <c r="U27" s="217"/>
      <c r="V27" s="217"/>
      <c r="W27" s="217"/>
      <c r="X27" s="217"/>
      <c r="Y27" s="217"/>
      <c r="Z27" s="217"/>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8"/>
    </row>
    <row r="28" spans="1:52" ht="18" customHeight="1">
      <c r="A28" s="188">
        <v>7</v>
      </c>
      <c r="B28" s="187" t="str">
        <f>IF(INDEX(inputs_EquipTag,MATCH(Logic!$A28,inputs_EquipNo,0))&lt;&gt;"",INDEX(inputs_EquipTag,MATCH(Logic!$A28,inputs_EquipNo,0)),"")</f>
        <v/>
      </c>
      <c r="C28" s="187" t="str">
        <f>IF(INDEX(inputs_EquipType,MATCH(Logic!$A28,inputs_EquipNo,0))&lt;&gt;"",INDEX(inputs_EquipType,MATCH(Logic!$A28,inputs_EquipNo,0)),"")</f>
        <v/>
      </c>
      <c r="D28" s="196" t="str">
        <f>IF(INDEX(inputs_VentEquipQuant,MATCH(Logic!$A28,inputs_EquipNo,0))&lt;&gt;"",INDEX(inputs_VentEquipQuant,MATCH(Logic!$A28,inputs_EquipNo,0)),"")</f>
        <v/>
      </c>
      <c r="E28" s="198" t="str">
        <f>IF(INDEX(inputs_OutdoorAirFlow,MATCH(Logic!$A28,inputs_EquipNo,0))&lt;&gt;"",INDEX(inputs_OutdoorAirFlow,MATCH(Logic!$A28,inputs_EquipNo,0)),"")</f>
        <v/>
      </c>
      <c r="F28" s="199" t="str">
        <f t="shared" si="0"/>
        <v/>
      </c>
      <c r="G28" s="347" t="str">
        <f>IF(INDEX(inputs_HeatRecReq,MATCH(Logic!$A28,inputs_EquipNo,0))&lt;&gt;"",INDEX(inputs_HeatRecReq,MATCH(Logic!$A28,inputs_EquipNo,0)),"")</f>
        <v/>
      </c>
      <c r="H28" s="348"/>
      <c r="I28" s="217"/>
      <c r="J28" s="217"/>
      <c r="K28" s="217"/>
      <c r="L28" s="217"/>
      <c r="M28" s="217"/>
      <c r="N28" s="146"/>
      <c r="O28" s="146"/>
      <c r="P28" s="146"/>
      <c r="Q28" s="217"/>
      <c r="R28" s="217"/>
      <c r="S28" s="217"/>
      <c r="T28" s="217"/>
      <c r="U28" s="217"/>
      <c r="V28" s="217"/>
      <c r="W28" s="217"/>
      <c r="X28" s="217"/>
      <c r="Y28" s="217"/>
      <c r="Z28" s="217"/>
      <c r="AA28" s="31"/>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row>
    <row r="29" spans="1:52" ht="18" customHeight="1">
      <c r="A29" s="188">
        <v>8</v>
      </c>
      <c r="B29" s="187" t="str">
        <f>IF(INDEX(inputs_EquipTag,MATCH(Logic!$A29,inputs_EquipNo,0))&lt;&gt;"",INDEX(inputs_EquipTag,MATCH(Logic!$A29,inputs_EquipNo,0)),"")</f>
        <v/>
      </c>
      <c r="C29" s="187" t="str">
        <f>IF(INDEX(inputs_EquipType,MATCH(Logic!$A29,inputs_EquipNo,0))&lt;&gt;"",INDEX(inputs_EquipType,MATCH(Logic!$A29,inputs_EquipNo,0)),"")</f>
        <v/>
      </c>
      <c r="D29" s="196" t="str">
        <f>IF(INDEX(inputs_VentEquipQuant,MATCH(Logic!$A29,inputs_EquipNo,0))&lt;&gt;"",INDEX(inputs_VentEquipQuant,MATCH(Logic!$A29,inputs_EquipNo,0)),"")</f>
        <v/>
      </c>
      <c r="E29" s="198" t="str">
        <f>IF(INDEX(inputs_OutdoorAirFlow,MATCH(Logic!$A29,inputs_EquipNo,0))&lt;&gt;"",INDEX(inputs_OutdoorAirFlow,MATCH(Logic!$A29,inputs_EquipNo,0)),"")</f>
        <v/>
      </c>
      <c r="F29" s="199" t="str">
        <f t="shared" si="0"/>
        <v/>
      </c>
      <c r="G29" s="347" t="str">
        <f>IF(INDEX(inputs_HeatRecReq,MATCH(Logic!$A29,inputs_EquipNo,0))&lt;&gt;"",INDEX(inputs_HeatRecReq,MATCH(Logic!$A29,inputs_EquipNo,0)),"")</f>
        <v/>
      </c>
      <c r="H29" s="348"/>
      <c r="I29" s="217"/>
      <c r="J29" s="217"/>
      <c r="K29" s="217"/>
      <c r="L29" s="217"/>
      <c r="M29" s="217"/>
      <c r="N29" s="146"/>
      <c r="O29" s="146"/>
      <c r="P29" s="146"/>
      <c r="Q29" s="217"/>
      <c r="R29" s="217"/>
      <c r="S29" s="217"/>
      <c r="T29" s="217"/>
      <c r="U29" s="217"/>
      <c r="V29" s="217"/>
      <c r="W29" s="217"/>
      <c r="X29" s="217"/>
      <c r="Y29" s="217"/>
      <c r="Z29" s="217"/>
      <c r="AA29" s="31"/>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row>
    <row r="30" spans="1:52" ht="18" customHeight="1">
      <c r="A30" s="188">
        <v>9</v>
      </c>
      <c r="B30" s="187" t="str">
        <f>IF(INDEX(inputs_EquipTag,MATCH(Logic!$A30,inputs_EquipNo,0))&lt;&gt;"",INDEX(inputs_EquipTag,MATCH(Logic!$A30,inputs_EquipNo,0)),"")</f>
        <v/>
      </c>
      <c r="C30" s="187" t="str">
        <f>IF(INDEX(inputs_EquipType,MATCH(Logic!$A30,inputs_EquipNo,0))&lt;&gt;"",INDEX(inputs_EquipType,MATCH(Logic!$A30,inputs_EquipNo,0)),"")</f>
        <v/>
      </c>
      <c r="D30" s="196" t="str">
        <f>IF(INDEX(inputs_VentEquipQuant,MATCH(Logic!$A30,inputs_EquipNo,0))&lt;&gt;"",INDEX(inputs_VentEquipQuant,MATCH(Logic!$A30,inputs_EquipNo,0)),"")</f>
        <v/>
      </c>
      <c r="E30" s="198" t="str">
        <f>IF(INDEX(inputs_OutdoorAirFlow,MATCH(Logic!$A30,inputs_EquipNo,0))&lt;&gt;"",INDEX(inputs_OutdoorAirFlow,MATCH(Logic!$A30,inputs_EquipNo,0)),"")</f>
        <v/>
      </c>
      <c r="F30" s="199" t="str">
        <f>IFERROR(IF(ISBLANK(B30),"",D30*E30),"")</f>
        <v/>
      </c>
      <c r="G30" s="347" t="str">
        <f>IF(INDEX(inputs_HeatRecReq,MATCH(Logic!$A30,inputs_EquipNo,0))&lt;&gt;"",INDEX(inputs_HeatRecReq,MATCH(Logic!$A30,inputs_EquipNo,0)),"")</f>
        <v/>
      </c>
      <c r="H30" s="348"/>
      <c r="I30" s="217"/>
      <c r="J30" s="217"/>
      <c r="K30" s="217"/>
      <c r="L30" s="217"/>
      <c r="M30" s="217"/>
      <c r="N30" s="146"/>
      <c r="O30" s="146"/>
      <c r="P30" s="146"/>
      <c r="Q30" s="217"/>
      <c r="R30" s="217"/>
      <c r="S30" s="217"/>
      <c r="T30" s="217"/>
      <c r="U30" s="217"/>
      <c r="V30" s="217"/>
      <c r="W30" s="217"/>
      <c r="X30" s="217"/>
      <c r="Y30" s="217"/>
      <c r="Z30" s="217"/>
      <c r="AA30" s="31"/>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row>
    <row r="31" spans="1:52" ht="18" customHeight="1">
      <c r="A31" s="188">
        <v>10</v>
      </c>
      <c r="B31" s="187" t="str">
        <f>IF(INDEX(inputs_EquipTag,MATCH(Logic!$A31,inputs_EquipNo,0))&lt;&gt;"",INDEX(inputs_EquipTag,MATCH(Logic!$A31,inputs_EquipNo,0)),"")</f>
        <v/>
      </c>
      <c r="C31" s="187" t="str">
        <f>IF(INDEX(inputs_EquipType,MATCH(Logic!$A31,inputs_EquipNo,0))&lt;&gt;"",INDEX(inputs_EquipType,MATCH(Logic!$A31,inputs_EquipNo,0)),"")</f>
        <v/>
      </c>
      <c r="D31" s="196" t="str">
        <f>IF(INDEX(inputs_VentEquipQuant,MATCH(Logic!$A31,inputs_EquipNo,0))&lt;&gt;"",INDEX(inputs_VentEquipQuant,MATCH(Logic!$A31,inputs_EquipNo,0)),"")</f>
        <v/>
      </c>
      <c r="E31" s="198" t="str">
        <f>IF(INDEX(inputs_OutdoorAirFlow,MATCH(Logic!$A31,inputs_EquipNo,0))&lt;&gt;"",INDEX(inputs_OutdoorAirFlow,MATCH(Logic!$A31,inputs_EquipNo,0)),"")</f>
        <v/>
      </c>
      <c r="F31" s="199" t="str">
        <f t="shared" si="0"/>
        <v/>
      </c>
      <c r="G31" s="347" t="str">
        <f>IF(INDEX(inputs_HeatRecReq,MATCH(Logic!$A31,inputs_EquipNo,0))&lt;&gt;"",INDEX(inputs_HeatRecReq,MATCH(Logic!$A31,inputs_EquipNo,0)),"")</f>
        <v/>
      </c>
      <c r="H31" s="348"/>
      <c r="I31" s="159" t="s">
        <v>170</v>
      </c>
      <c r="J31" s="217"/>
      <c r="K31" s="217"/>
      <c r="L31" s="217"/>
      <c r="M31" s="217"/>
      <c r="N31" s="146"/>
      <c r="O31" s="146"/>
      <c r="P31" s="146"/>
      <c r="Q31" s="217"/>
      <c r="R31" s="217"/>
      <c r="S31" s="217"/>
      <c r="T31" s="217"/>
      <c r="U31" s="217"/>
      <c r="V31" s="217"/>
      <c r="W31" s="217"/>
      <c r="X31" s="217"/>
      <c r="Y31" s="217"/>
      <c r="Z31" s="217"/>
      <c r="AA31" s="31"/>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row>
    <row r="32" spans="1:52" ht="18" hidden="1" customHeight="1" outlineLevel="1">
      <c r="A32" s="188">
        <v>11</v>
      </c>
      <c r="B32" s="187" t="str">
        <f>IF(INDEX(inputs_EquipTag,MATCH(Logic!$A32,inputs_EquipNo,0))&lt;&gt;"",INDEX(inputs_EquipTag,MATCH(Logic!$A32,inputs_EquipNo,0)),"")</f>
        <v/>
      </c>
      <c r="C32" s="187" t="str">
        <f>IF(INDEX(inputs_EquipType,MATCH(Logic!$A32,inputs_EquipNo,0))&lt;&gt;"",INDEX(inputs_EquipType,MATCH(Logic!$A32,inputs_EquipNo,0)),"")</f>
        <v/>
      </c>
      <c r="D32" s="196" t="str">
        <f>IF(INDEX(inputs_VentEquipQuant,MATCH(Logic!$A32,inputs_EquipNo,0))&lt;&gt;"",INDEX(inputs_VentEquipQuant,MATCH(Logic!$A32,inputs_EquipNo,0)),"")</f>
        <v/>
      </c>
      <c r="E32" s="198" t="str">
        <f>IF(INDEX(inputs_OutdoorAirFlow,MATCH(Logic!$A32,inputs_EquipNo,0))&lt;&gt;"",INDEX(inputs_OutdoorAirFlow,MATCH(Logic!$A32,inputs_EquipNo,0)),"")</f>
        <v/>
      </c>
      <c r="F32" s="199" t="str">
        <f t="shared" si="0"/>
        <v/>
      </c>
      <c r="G32" s="347" t="str">
        <f>IF(INDEX(inputs_HeatRecReq,MATCH(Logic!$A32,inputs_EquipNo,0))&lt;&gt;"",INDEX(inputs_HeatRecReq,MATCH(Logic!$A32,inputs_EquipNo,0)),"")</f>
        <v/>
      </c>
      <c r="H32" s="348"/>
      <c r="I32" s="217"/>
      <c r="J32" s="217"/>
      <c r="K32" s="217"/>
      <c r="L32" s="217"/>
      <c r="M32" s="217"/>
      <c r="N32" s="146"/>
      <c r="O32" s="146"/>
      <c r="P32" s="146"/>
      <c r="Q32" s="217"/>
      <c r="R32" s="217"/>
      <c r="S32" s="217"/>
      <c r="T32" s="217"/>
      <c r="U32" s="217"/>
      <c r="V32" s="217"/>
      <c r="W32" s="217"/>
      <c r="X32" s="217"/>
      <c r="Y32" s="217"/>
      <c r="Z32" s="217"/>
      <c r="AA32" s="31"/>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8"/>
    </row>
    <row r="33" spans="1:27" ht="18" hidden="1" customHeight="1" outlineLevel="1">
      <c r="A33" s="188">
        <v>12</v>
      </c>
      <c r="B33" s="187" t="str">
        <f>IF(INDEX(inputs_EquipTag,MATCH(Logic!$A33,inputs_EquipNo,0))&lt;&gt;"",INDEX(inputs_EquipTag,MATCH(Logic!$A33,inputs_EquipNo,0)),"")</f>
        <v/>
      </c>
      <c r="C33" s="187" t="str">
        <f>IF(INDEX(inputs_EquipType,MATCH(Logic!$A33,inputs_EquipNo,0))&lt;&gt;"",INDEX(inputs_EquipType,MATCH(Logic!$A33,inputs_EquipNo,0)),"")</f>
        <v/>
      </c>
      <c r="D33" s="196" t="str">
        <f>IF(INDEX(inputs_VentEquipQuant,MATCH(Logic!$A33,inputs_EquipNo,0))&lt;&gt;"",INDEX(inputs_VentEquipQuant,MATCH(Logic!$A33,inputs_EquipNo,0)),"")</f>
        <v/>
      </c>
      <c r="E33" s="198" t="str">
        <f>IF(INDEX(inputs_OutdoorAirFlow,MATCH(Logic!$A33,inputs_EquipNo,0))&lt;&gt;"",INDEX(inputs_OutdoorAirFlow,MATCH(Logic!$A33,inputs_EquipNo,0)),"")</f>
        <v/>
      </c>
      <c r="F33" s="199" t="str">
        <f t="shared" si="0"/>
        <v/>
      </c>
      <c r="G33" s="347" t="str">
        <f>IF(INDEX(inputs_HeatRecReq,MATCH(Logic!$A33,inputs_EquipNo,0))&lt;&gt;"",INDEX(inputs_HeatRecReq,MATCH(Logic!$A33,inputs_EquipNo,0)),"")</f>
        <v/>
      </c>
      <c r="H33" s="348"/>
      <c r="I33" s="217"/>
      <c r="J33" s="216"/>
      <c r="K33" s="216"/>
      <c r="L33" s="216"/>
      <c r="M33" s="217"/>
      <c r="N33" s="146"/>
      <c r="O33" s="146"/>
      <c r="P33" s="146"/>
      <c r="Q33" s="217"/>
      <c r="R33" s="217"/>
      <c r="S33" s="217"/>
      <c r="T33" s="217"/>
      <c r="U33" s="217"/>
      <c r="V33" s="217"/>
      <c r="W33" s="217"/>
      <c r="X33" s="217"/>
      <c r="Y33" s="217"/>
      <c r="Z33" s="217"/>
      <c r="AA33" s="218"/>
    </row>
    <row r="34" spans="1:27" ht="18" hidden="1" customHeight="1" outlineLevel="1">
      <c r="A34" s="188">
        <v>13</v>
      </c>
      <c r="B34" s="187" t="str">
        <f>IF(INDEX(inputs_EquipTag,MATCH(Logic!$A34,inputs_EquipNo,0))&lt;&gt;"",INDEX(inputs_EquipTag,MATCH(Logic!$A34,inputs_EquipNo,0)),"")</f>
        <v/>
      </c>
      <c r="C34" s="187" t="str">
        <f>IF(INDEX(inputs_EquipType,MATCH(Logic!$A34,inputs_EquipNo,0))&lt;&gt;"",INDEX(inputs_EquipType,MATCH(Logic!$A34,inputs_EquipNo,0)),"")</f>
        <v/>
      </c>
      <c r="D34" s="196" t="str">
        <f>IF(INDEX(inputs_VentEquipQuant,MATCH(Logic!$A34,inputs_EquipNo,0))&lt;&gt;"",INDEX(inputs_VentEquipQuant,MATCH(Logic!$A34,inputs_EquipNo,0)),"")</f>
        <v/>
      </c>
      <c r="E34" s="198" t="str">
        <f>IF(INDEX(inputs_OutdoorAirFlow,MATCH(Logic!$A34,inputs_EquipNo,0))&lt;&gt;"",INDEX(inputs_OutdoorAirFlow,MATCH(Logic!$A34,inputs_EquipNo,0)),"")</f>
        <v/>
      </c>
      <c r="F34" s="199" t="str">
        <f t="shared" si="0"/>
        <v/>
      </c>
      <c r="G34" s="347" t="str">
        <f>IF(INDEX(inputs_HeatRecReq,MATCH(Logic!$A34,inputs_EquipNo,0))&lt;&gt;"",INDEX(inputs_HeatRecReq,MATCH(Logic!$A34,inputs_EquipNo,0)),"")</f>
        <v/>
      </c>
      <c r="H34" s="348"/>
      <c r="I34" s="217"/>
      <c r="J34" s="217"/>
      <c r="K34" s="217"/>
      <c r="L34" s="217"/>
      <c r="M34" s="217"/>
      <c r="N34" s="146"/>
      <c r="O34" s="146"/>
      <c r="P34" s="146"/>
      <c r="Q34" s="217"/>
      <c r="R34" s="217"/>
      <c r="S34" s="217"/>
      <c r="T34" s="217"/>
      <c r="U34" s="217"/>
      <c r="V34" s="217"/>
      <c r="W34" s="217"/>
      <c r="X34" s="217"/>
      <c r="Y34" s="217"/>
      <c r="Z34" s="217"/>
      <c r="AA34" s="218"/>
    </row>
    <row r="35" spans="1:27" ht="18" hidden="1" customHeight="1" outlineLevel="1">
      <c r="A35" s="188">
        <v>14</v>
      </c>
      <c r="B35" s="187" t="str">
        <f>IF(INDEX(inputs_EquipTag,MATCH(Logic!$A35,inputs_EquipNo,0))&lt;&gt;"",INDEX(inputs_EquipTag,MATCH(Logic!$A35,inputs_EquipNo,0)),"")</f>
        <v/>
      </c>
      <c r="C35" s="187" t="str">
        <f>IF(INDEX(inputs_EquipType,MATCH(Logic!$A35,inputs_EquipNo,0))&lt;&gt;"",INDEX(inputs_EquipType,MATCH(Logic!$A35,inputs_EquipNo,0)),"")</f>
        <v/>
      </c>
      <c r="D35" s="196" t="str">
        <f>IF(INDEX(inputs_VentEquipQuant,MATCH(Logic!$A35,inputs_EquipNo,0))&lt;&gt;"",INDEX(inputs_VentEquipQuant,MATCH(Logic!$A35,inputs_EquipNo,0)),"")</f>
        <v/>
      </c>
      <c r="E35" s="198" t="str">
        <f>IF(INDEX(inputs_OutdoorAirFlow,MATCH(Logic!$A35,inputs_EquipNo,0))&lt;&gt;"",INDEX(inputs_OutdoorAirFlow,MATCH(Logic!$A35,inputs_EquipNo,0)),"")</f>
        <v/>
      </c>
      <c r="F35" s="199" t="str">
        <f t="shared" si="0"/>
        <v/>
      </c>
      <c r="G35" s="347" t="str">
        <f>IF(INDEX(inputs_HeatRecReq,MATCH(Logic!$A35,inputs_EquipNo,0))&lt;&gt;"",INDEX(inputs_HeatRecReq,MATCH(Logic!$A35,inputs_EquipNo,0)),"")</f>
        <v/>
      </c>
      <c r="H35" s="348"/>
      <c r="I35" s="217"/>
      <c r="J35" s="217"/>
      <c r="K35" s="217"/>
      <c r="L35" s="217"/>
      <c r="M35" s="217"/>
      <c r="N35" s="146"/>
      <c r="O35" s="146"/>
      <c r="P35" s="146"/>
      <c r="Q35" s="217"/>
      <c r="R35" s="217"/>
      <c r="S35" s="217"/>
      <c r="T35" s="217"/>
      <c r="U35" s="217"/>
      <c r="V35" s="217"/>
      <c r="W35" s="217"/>
      <c r="X35" s="217"/>
      <c r="Y35" s="217"/>
      <c r="Z35" s="217"/>
      <c r="AA35" s="31"/>
    </row>
    <row r="36" spans="1:27" ht="18" hidden="1" customHeight="1" outlineLevel="1">
      <c r="A36" s="188">
        <v>15</v>
      </c>
      <c r="B36" s="187" t="str">
        <f>IF(INDEX(inputs_EquipTag,MATCH(Logic!$A36,inputs_EquipNo,0))&lt;&gt;"",INDEX(inputs_EquipTag,MATCH(Logic!$A36,inputs_EquipNo,0)),"")</f>
        <v/>
      </c>
      <c r="C36" s="187" t="str">
        <f>IF(INDEX(inputs_EquipType,MATCH(Logic!$A36,inputs_EquipNo,0))&lt;&gt;"",INDEX(inputs_EquipType,MATCH(Logic!$A36,inputs_EquipNo,0)),"")</f>
        <v/>
      </c>
      <c r="D36" s="196" t="str">
        <f>IF(INDEX(inputs_VentEquipQuant,MATCH(Logic!$A36,inputs_EquipNo,0))&lt;&gt;"",INDEX(inputs_VentEquipQuant,MATCH(Logic!$A36,inputs_EquipNo,0)),"")</f>
        <v/>
      </c>
      <c r="E36" s="198" t="str">
        <f>IF(INDEX(inputs_OutdoorAirFlow,MATCH(Logic!$A36,inputs_EquipNo,0))&lt;&gt;"",INDEX(inputs_OutdoorAirFlow,MATCH(Logic!$A36,inputs_EquipNo,0)),"")</f>
        <v/>
      </c>
      <c r="F36" s="199" t="str">
        <f t="shared" si="0"/>
        <v/>
      </c>
      <c r="G36" s="347" t="str">
        <f>IF(INDEX(inputs_HeatRecReq,MATCH(Logic!$A36,inputs_EquipNo,0))&lt;&gt;"",INDEX(inputs_HeatRecReq,MATCH(Logic!$A36,inputs_EquipNo,0)),"")</f>
        <v/>
      </c>
      <c r="H36" s="348"/>
      <c r="I36" s="217"/>
      <c r="J36" s="217"/>
      <c r="K36" s="217"/>
      <c r="L36" s="217"/>
      <c r="M36" s="217"/>
      <c r="N36" s="146"/>
      <c r="O36" s="146"/>
      <c r="P36" s="146"/>
      <c r="Q36" s="217"/>
      <c r="R36" s="217"/>
      <c r="S36" s="217"/>
      <c r="T36" s="217"/>
      <c r="U36" s="217"/>
      <c r="V36" s="217"/>
      <c r="W36" s="217"/>
      <c r="X36" s="217"/>
      <c r="Y36" s="217"/>
      <c r="Z36" s="217"/>
      <c r="AA36" s="31"/>
    </row>
    <row r="37" spans="1:27" ht="18" hidden="1" customHeight="1" outlineLevel="1">
      <c r="A37" s="188">
        <v>16</v>
      </c>
      <c r="B37" s="187" t="str">
        <f>IF(INDEX(inputs_EquipTag,MATCH(Logic!$A37,inputs_EquipNo,0))&lt;&gt;"",INDEX(inputs_EquipTag,MATCH(Logic!$A37,inputs_EquipNo,0)),"")</f>
        <v/>
      </c>
      <c r="C37" s="187" t="str">
        <f>IF(INDEX(inputs_EquipType,MATCH(Logic!$A37,inputs_EquipNo,0))&lt;&gt;"",INDEX(inputs_EquipType,MATCH(Logic!$A37,inputs_EquipNo,0)),"")</f>
        <v/>
      </c>
      <c r="D37" s="196" t="str">
        <f>IF(INDEX(inputs_VentEquipQuant,MATCH(Logic!$A37,inputs_EquipNo,0))&lt;&gt;"",INDEX(inputs_VentEquipQuant,MATCH(Logic!$A37,inputs_EquipNo,0)),"")</f>
        <v/>
      </c>
      <c r="E37" s="198" t="str">
        <f>IF(INDEX(inputs_OutdoorAirFlow,MATCH(Logic!$A37,inputs_EquipNo,0))&lt;&gt;"",INDEX(inputs_OutdoorAirFlow,MATCH(Logic!$A37,inputs_EquipNo,0)),"")</f>
        <v/>
      </c>
      <c r="F37" s="199" t="str">
        <f t="shared" si="0"/>
        <v/>
      </c>
      <c r="G37" s="347" t="str">
        <f>IF(INDEX(inputs_HeatRecReq,MATCH(Logic!$A37,inputs_EquipNo,0))&lt;&gt;"",INDEX(inputs_HeatRecReq,MATCH(Logic!$A37,inputs_EquipNo,0)),"")</f>
        <v/>
      </c>
      <c r="H37" s="348"/>
      <c r="I37" s="217"/>
      <c r="J37" s="217"/>
      <c r="K37" s="217"/>
      <c r="L37" s="217"/>
      <c r="M37" s="217"/>
      <c r="N37" s="146"/>
      <c r="O37" s="146"/>
      <c r="P37" s="146"/>
      <c r="Q37" s="217"/>
      <c r="R37" s="217"/>
      <c r="S37" s="217"/>
      <c r="T37" s="217"/>
      <c r="U37" s="217"/>
      <c r="V37" s="217"/>
      <c r="W37" s="217"/>
      <c r="X37" s="217"/>
      <c r="Y37" s="217"/>
      <c r="Z37" s="217"/>
      <c r="AA37" s="31"/>
    </row>
    <row r="38" spans="1:27" ht="18" hidden="1" customHeight="1" outlineLevel="1">
      <c r="A38" s="188">
        <v>17</v>
      </c>
      <c r="B38" s="187" t="str">
        <f>IF(INDEX(inputs_EquipTag,MATCH(Logic!$A38,inputs_EquipNo,0))&lt;&gt;"",INDEX(inputs_EquipTag,MATCH(Logic!$A38,inputs_EquipNo,0)),"")</f>
        <v/>
      </c>
      <c r="C38" s="187" t="str">
        <f>IF(INDEX(inputs_EquipType,MATCH(Logic!$A38,inputs_EquipNo,0))&lt;&gt;"",INDEX(inputs_EquipType,MATCH(Logic!$A38,inputs_EquipNo,0)),"")</f>
        <v/>
      </c>
      <c r="D38" s="196" t="str">
        <f>IF(INDEX(inputs_VentEquipQuant,MATCH(Logic!$A38,inputs_EquipNo,0))&lt;&gt;"",INDEX(inputs_VentEquipQuant,MATCH(Logic!$A38,inputs_EquipNo,0)),"")</f>
        <v/>
      </c>
      <c r="E38" s="198" t="str">
        <f>IF(INDEX(inputs_OutdoorAirFlow,MATCH(Logic!$A38,inputs_EquipNo,0))&lt;&gt;"",INDEX(inputs_OutdoorAirFlow,MATCH(Logic!$A38,inputs_EquipNo,0)),"")</f>
        <v/>
      </c>
      <c r="F38" s="199" t="str">
        <f t="shared" si="0"/>
        <v/>
      </c>
      <c r="G38" s="347" t="str">
        <f>IF(INDEX(inputs_HeatRecReq,MATCH(Logic!$A38,inputs_EquipNo,0))&lt;&gt;"",INDEX(inputs_HeatRecReq,MATCH(Logic!$A38,inputs_EquipNo,0)),"")</f>
        <v/>
      </c>
      <c r="H38" s="348"/>
      <c r="I38" s="217"/>
      <c r="J38" s="217"/>
      <c r="K38" s="217"/>
      <c r="L38" s="217"/>
      <c r="M38" s="217"/>
      <c r="N38" s="146"/>
      <c r="O38" s="146"/>
      <c r="P38" s="146"/>
      <c r="Q38" s="217"/>
      <c r="R38" s="217"/>
      <c r="S38" s="217"/>
      <c r="T38" s="217"/>
      <c r="U38" s="217"/>
      <c r="V38" s="217"/>
      <c r="W38" s="217"/>
      <c r="X38" s="217"/>
      <c r="Y38" s="217"/>
      <c r="Z38" s="217"/>
      <c r="AA38" s="31"/>
    </row>
    <row r="39" spans="1:27" ht="18" hidden="1" customHeight="1" outlineLevel="1">
      <c r="A39" s="188">
        <v>18</v>
      </c>
      <c r="B39" s="187" t="str">
        <f>IF(INDEX(inputs_EquipTag,MATCH(Logic!$A39,inputs_EquipNo,0))&lt;&gt;"",INDEX(inputs_EquipTag,MATCH(Logic!$A39,inputs_EquipNo,0)),"")</f>
        <v/>
      </c>
      <c r="C39" s="187" t="str">
        <f>IF(INDEX(inputs_EquipType,MATCH(Logic!$A39,inputs_EquipNo,0))&lt;&gt;"",INDEX(inputs_EquipType,MATCH(Logic!$A39,inputs_EquipNo,0)),"")</f>
        <v/>
      </c>
      <c r="D39" s="196" t="str">
        <f>IF(INDEX(inputs_VentEquipQuant,MATCH(Logic!$A39,inputs_EquipNo,0))&lt;&gt;"",INDEX(inputs_VentEquipQuant,MATCH(Logic!$A39,inputs_EquipNo,0)),"")</f>
        <v/>
      </c>
      <c r="E39" s="198" t="str">
        <f>IF(INDEX(inputs_OutdoorAirFlow,MATCH(Logic!$A39,inputs_EquipNo,0))&lt;&gt;"",INDEX(inputs_OutdoorAirFlow,MATCH(Logic!$A39,inputs_EquipNo,0)),"")</f>
        <v/>
      </c>
      <c r="F39" s="199" t="str">
        <f t="shared" si="0"/>
        <v/>
      </c>
      <c r="G39" s="347" t="str">
        <f>IF(INDEX(inputs_HeatRecReq,MATCH(Logic!$A39,inputs_EquipNo,0))&lt;&gt;"",INDEX(inputs_HeatRecReq,MATCH(Logic!$A39,inputs_EquipNo,0)),"")</f>
        <v/>
      </c>
      <c r="H39" s="348"/>
      <c r="I39" s="217"/>
      <c r="J39" s="217"/>
      <c r="K39" s="217"/>
      <c r="L39" s="217"/>
      <c r="M39" s="217"/>
      <c r="N39" s="146"/>
      <c r="O39" s="146"/>
      <c r="P39" s="146"/>
      <c r="Q39" s="217"/>
      <c r="R39" s="217"/>
      <c r="S39" s="217"/>
      <c r="T39" s="217"/>
      <c r="U39" s="217"/>
      <c r="V39" s="217"/>
      <c r="W39" s="217"/>
      <c r="X39" s="217"/>
      <c r="Y39" s="217"/>
      <c r="Z39" s="217"/>
      <c r="AA39" s="31"/>
    </row>
    <row r="40" spans="1:27" ht="18" hidden="1" customHeight="1" outlineLevel="1">
      <c r="A40" s="188">
        <v>19</v>
      </c>
      <c r="B40" s="187" t="str">
        <f>IF(INDEX(inputs_EquipTag,MATCH(Logic!$A40,inputs_EquipNo,0))&lt;&gt;"",INDEX(inputs_EquipTag,MATCH(Logic!$A40,inputs_EquipNo,0)),"")</f>
        <v/>
      </c>
      <c r="C40" s="187" t="str">
        <f>IF(INDEX(inputs_EquipType,MATCH(Logic!$A40,inputs_EquipNo,0))&lt;&gt;"",INDEX(inputs_EquipType,MATCH(Logic!$A40,inputs_EquipNo,0)),"")</f>
        <v/>
      </c>
      <c r="D40" s="196" t="str">
        <f>IF(INDEX(inputs_VentEquipQuant,MATCH(Logic!$A40,inputs_EquipNo,0))&lt;&gt;"",INDEX(inputs_VentEquipQuant,MATCH(Logic!$A40,inputs_EquipNo,0)),"")</f>
        <v/>
      </c>
      <c r="E40" s="198" t="str">
        <f>IF(INDEX(inputs_OutdoorAirFlow,MATCH(Logic!$A40,inputs_EquipNo,0))&lt;&gt;"",INDEX(inputs_OutdoorAirFlow,MATCH(Logic!$A40,inputs_EquipNo,0)),"")</f>
        <v/>
      </c>
      <c r="F40" s="199" t="str">
        <f t="shared" si="0"/>
        <v/>
      </c>
      <c r="G40" s="347" t="str">
        <f>IF(INDEX(inputs_HeatRecReq,MATCH(Logic!$A40,inputs_EquipNo,0))&lt;&gt;"",INDEX(inputs_HeatRecReq,MATCH(Logic!$A40,inputs_EquipNo,0)),"")</f>
        <v/>
      </c>
      <c r="H40" s="348"/>
      <c r="I40" s="217"/>
      <c r="J40" s="217"/>
      <c r="K40" s="217"/>
      <c r="L40" s="217"/>
      <c r="M40" s="217"/>
      <c r="N40" s="146"/>
      <c r="O40" s="146"/>
      <c r="P40" s="146"/>
      <c r="Q40" s="217"/>
      <c r="R40" s="217"/>
      <c r="S40" s="217"/>
      <c r="T40" s="217"/>
      <c r="U40" s="217"/>
      <c r="V40" s="217"/>
      <c r="W40" s="217"/>
      <c r="X40" s="217"/>
      <c r="Y40" s="217"/>
      <c r="Z40" s="217"/>
      <c r="AA40" s="31"/>
    </row>
    <row r="41" spans="1:27" ht="18" hidden="1" customHeight="1" outlineLevel="1">
      <c r="A41" s="188">
        <v>20</v>
      </c>
      <c r="B41" s="187" t="str">
        <f>IF(INDEX(inputs_EquipTag,MATCH(Logic!$A41,inputs_EquipNo,0))&lt;&gt;"",INDEX(inputs_EquipTag,MATCH(Logic!$A41,inputs_EquipNo,0)),"")</f>
        <v/>
      </c>
      <c r="C41" s="187" t="str">
        <f>IF(INDEX(inputs_EquipType,MATCH(Logic!$A41,inputs_EquipNo,0))&lt;&gt;"",INDEX(inputs_EquipType,MATCH(Logic!$A41,inputs_EquipNo,0)),"")</f>
        <v/>
      </c>
      <c r="D41" s="196" t="str">
        <f>IF(INDEX(inputs_VentEquipQuant,MATCH(Logic!$A41,inputs_EquipNo,0))&lt;&gt;"",INDEX(inputs_VentEquipQuant,MATCH(Logic!$A41,inputs_EquipNo,0)),"")</f>
        <v/>
      </c>
      <c r="E41" s="198" t="str">
        <f>IF(INDEX(inputs_OutdoorAirFlow,MATCH(Logic!$A41,inputs_EquipNo,0))&lt;&gt;"",INDEX(inputs_OutdoorAirFlow,MATCH(Logic!$A41,inputs_EquipNo,0)),"")</f>
        <v/>
      </c>
      <c r="F41" s="199" t="str">
        <f t="shared" si="0"/>
        <v/>
      </c>
      <c r="G41" s="347" t="str">
        <f>IF(INDEX(inputs_HeatRecReq,MATCH(Logic!$A41,inputs_EquipNo,0))&lt;&gt;"",INDEX(inputs_HeatRecReq,MATCH(Logic!$A41,inputs_EquipNo,0)),"")</f>
        <v/>
      </c>
      <c r="H41" s="348"/>
      <c r="I41" s="217"/>
      <c r="J41" s="217"/>
      <c r="K41" s="217"/>
      <c r="L41" s="217"/>
      <c r="M41" s="217"/>
      <c r="N41" s="146"/>
      <c r="O41" s="146"/>
      <c r="P41" s="146"/>
      <c r="Q41" s="217"/>
      <c r="R41" s="217"/>
      <c r="S41" s="217"/>
      <c r="T41" s="217"/>
      <c r="U41" s="217"/>
      <c r="V41" s="217"/>
      <c r="W41" s="217"/>
      <c r="X41" s="217"/>
      <c r="Y41" s="217"/>
      <c r="Z41" s="217"/>
      <c r="AA41" s="31"/>
    </row>
    <row r="42" spans="1:27" ht="18" hidden="1" customHeight="1" outlineLevel="1">
      <c r="A42" s="188">
        <v>21</v>
      </c>
      <c r="B42" s="187" t="str">
        <f>IF(INDEX(inputs_EquipTag,MATCH(Logic!$A42,inputs_EquipNo,0))&lt;&gt;"",INDEX(inputs_EquipTag,MATCH(Logic!$A42,inputs_EquipNo,0)),"")</f>
        <v/>
      </c>
      <c r="C42" s="187" t="str">
        <f>IF(INDEX(inputs_EquipType,MATCH(Logic!$A42,inputs_EquipNo,0))&lt;&gt;"",INDEX(inputs_EquipType,MATCH(Logic!$A42,inputs_EquipNo,0)),"")</f>
        <v/>
      </c>
      <c r="D42" s="196" t="str">
        <f>IF(INDEX(inputs_VentEquipQuant,MATCH(Logic!$A42,inputs_EquipNo,0))&lt;&gt;"",INDEX(inputs_VentEquipQuant,MATCH(Logic!$A42,inputs_EquipNo,0)),"")</f>
        <v/>
      </c>
      <c r="E42" s="198" t="str">
        <f>IF(INDEX(inputs_OutdoorAirFlow,MATCH(Logic!$A42,inputs_EquipNo,0))&lt;&gt;"",INDEX(inputs_OutdoorAirFlow,MATCH(Logic!$A42,inputs_EquipNo,0)),"")</f>
        <v/>
      </c>
      <c r="F42" s="199" t="str">
        <f t="shared" si="0"/>
        <v/>
      </c>
      <c r="G42" s="347" t="str">
        <f>IF(INDEX(inputs_HeatRecReq,MATCH(Logic!$A42,inputs_EquipNo,0))&lt;&gt;"",INDEX(inputs_HeatRecReq,MATCH(Logic!$A42,inputs_EquipNo,0)),"")</f>
        <v/>
      </c>
      <c r="H42" s="348"/>
      <c r="I42" s="217"/>
      <c r="J42" s="217"/>
      <c r="K42" s="217"/>
      <c r="L42" s="217"/>
      <c r="M42" s="217"/>
      <c r="N42" s="146"/>
      <c r="O42" s="146"/>
      <c r="P42" s="146"/>
      <c r="Q42" s="217"/>
      <c r="R42" s="217"/>
      <c r="S42" s="217"/>
      <c r="T42" s="217"/>
      <c r="U42" s="217"/>
      <c r="V42" s="217"/>
      <c r="W42" s="217"/>
      <c r="X42" s="217"/>
      <c r="Y42" s="217"/>
      <c r="Z42" s="217"/>
      <c r="AA42" s="31"/>
    </row>
    <row r="43" spans="1:27" ht="18" hidden="1" customHeight="1" outlineLevel="1">
      <c r="A43" s="188">
        <v>22</v>
      </c>
      <c r="B43" s="187" t="str">
        <f>IF(INDEX(inputs_EquipTag,MATCH(Logic!$A43,inputs_EquipNo,0))&lt;&gt;"",INDEX(inputs_EquipTag,MATCH(Logic!$A43,inputs_EquipNo,0)),"")</f>
        <v/>
      </c>
      <c r="C43" s="187" t="str">
        <f>IF(INDEX(inputs_EquipType,MATCH(Logic!$A43,inputs_EquipNo,0))&lt;&gt;"",INDEX(inputs_EquipType,MATCH(Logic!$A43,inputs_EquipNo,0)),"")</f>
        <v/>
      </c>
      <c r="D43" s="196" t="str">
        <f>IF(INDEX(inputs_VentEquipQuant,MATCH(Logic!$A43,inputs_EquipNo,0))&lt;&gt;"",INDEX(inputs_VentEquipQuant,MATCH(Logic!$A43,inputs_EquipNo,0)),"")</f>
        <v/>
      </c>
      <c r="E43" s="198" t="str">
        <f>IF(INDEX(inputs_OutdoorAirFlow,MATCH(Logic!$A43,inputs_EquipNo,0))&lt;&gt;"",INDEX(inputs_OutdoorAirFlow,MATCH(Logic!$A43,inputs_EquipNo,0)),"")</f>
        <v/>
      </c>
      <c r="F43" s="199" t="str">
        <f t="shared" si="0"/>
        <v/>
      </c>
      <c r="G43" s="347" t="str">
        <f>IF(INDEX(inputs_HeatRecReq,MATCH(Logic!$A43,inputs_EquipNo,0))&lt;&gt;"",INDEX(inputs_HeatRecReq,MATCH(Logic!$A43,inputs_EquipNo,0)),"")</f>
        <v/>
      </c>
      <c r="H43" s="348"/>
      <c r="I43" s="217"/>
      <c r="J43" s="216"/>
      <c r="K43" s="216"/>
      <c r="L43" s="216"/>
      <c r="M43" s="217"/>
      <c r="N43" s="146"/>
      <c r="O43" s="146"/>
      <c r="P43" s="146"/>
      <c r="Q43" s="217"/>
      <c r="R43" s="217"/>
      <c r="S43" s="217"/>
      <c r="T43" s="217"/>
      <c r="U43" s="217"/>
      <c r="V43" s="217"/>
      <c r="W43" s="217"/>
      <c r="X43" s="217"/>
      <c r="Y43" s="217"/>
      <c r="Z43" s="217"/>
      <c r="AA43" s="218"/>
    </row>
    <row r="44" spans="1:27" ht="18" hidden="1" customHeight="1" outlineLevel="1">
      <c r="A44" s="188">
        <v>23</v>
      </c>
      <c r="B44" s="187" t="str">
        <f>IF(INDEX(inputs_EquipTag,MATCH(Logic!$A44,inputs_EquipNo,0))&lt;&gt;"",INDEX(inputs_EquipTag,MATCH(Logic!$A44,inputs_EquipNo,0)),"")</f>
        <v/>
      </c>
      <c r="C44" s="187" t="str">
        <f>IF(INDEX(inputs_EquipType,MATCH(Logic!$A44,inputs_EquipNo,0))&lt;&gt;"",INDEX(inputs_EquipType,MATCH(Logic!$A44,inputs_EquipNo,0)),"")</f>
        <v/>
      </c>
      <c r="D44" s="196" t="str">
        <f>IF(INDEX(inputs_VentEquipQuant,MATCH(Logic!$A44,inputs_EquipNo,0))&lt;&gt;"",INDEX(inputs_VentEquipQuant,MATCH(Logic!$A44,inputs_EquipNo,0)),"")</f>
        <v/>
      </c>
      <c r="E44" s="198" t="str">
        <f>IF(INDEX(inputs_OutdoorAirFlow,MATCH(Logic!$A44,inputs_EquipNo,0))&lt;&gt;"",INDEX(inputs_OutdoorAirFlow,MATCH(Logic!$A44,inputs_EquipNo,0)),"")</f>
        <v/>
      </c>
      <c r="F44" s="199" t="str">
        <f t="shared" si="0"/>
        <v/>
      </c>
      <c r="G44" s="347" t="str">
        <f>IF(INDEX(inputs_HeatRecReq,MATCH(Logic!$A44,inputs_EquipNo,0))&lt;&gt;"",INDEX(inputs_HeatRecReq,MATCH(Logic!$A44,inputs_EquipNo,0)),"")</f>
        <v/>
      </c>
      <c r="H44" s="348"/>
      <c r="I44" s="217"/>
      <c r="J44" s="217"/>
      <c r="K44" s="217"/>
      <c r="L44" s="217"/>
      <c r="M44" s="217"/>
      <c r="N44" s="146"/>
      <c r="O44" s="146"/>
      <c r="P44" s="146"/>
      <c r="Q44" s="217"/>
      <c r="R44" s="217"/>
      <c r="S44" s="217"/>
      <c r="T44" s="217"/>
      <c r="U44" s="217"/>
      <c r="V44" s="217"/>
      <c r="W44" s="217"/>
      <c r="X44" s="217"/>
      <c r="Y44" s="217"/>
      <c r="Z44" s="217"/>
      <c r="AA44" s="218"/>
    </row>
    <row r="45" spans="1:27" ht="18" hidden="1" customHeight="1" outlineLevel="1">
      <c r="A45" s="188">
        <v>24</v>
      </c>
      <c r="B45" s="187" t="str">
        <f>IF(INDEX(inputs_EquipTag,MATCH(Logic!$A45,inputs_EquipNo,0))&lt;&gt;"",INDEX(inputs_EquipTag,MATCH(Logic!$A45,inputs_EquipNo,0)),"")</f>
        <v/>
      </c>
      <c r="C45" s="187" t="str">
        <f>IF(INDEX(inputs_EquipType,MATCH(Logic!$A45,inputs_EquipNo,0))&lt;&gt;"",INDEX(inputs_EquipType,MATCH(Logic!$A45,inputs_EquipNo,0)),"")</f>
        <v/>
      </c>
      <c r="D45" s="196" t="str">
        <f>IF(INDEX(inputs_VentEquipQuant,MATCH(Logic!$A45,inputs_EquipNo,0))&lt;&gt;"",INDEX(inputs_VentEquipQuant,MATCH(Logic!$A45,inputs_EquipNo,0)),"")</f>
        <v/>
      </c>
      <c r="E45" s="198" t="str">
        <f>IF(INDEX(inputs_OutdoorAirFlow,MATCH(Logic!$A45,inputs_EquipNo,0))&lt;&gt;"",INDEX(inputs_OutdoorAirFlow,MATCH(Logic!$A45,inputs_EquipNo,0)),"")</f>
        <v/>
      </c>
      <c r="F45" s="199" t="str">
        <f t="shared" si="0"/>
        <v/>
      </c>
      <c r="G45" s="347" t="str">
        <f>IF(INDEX(inputs_HeatRecReq,MATCH(Logic!$A45,inputs_EquipNo,0))&lt;&gt;"",INDEX(inputs_HeatRecReq,MATCH(Logic!$A45,inputs_EquipNo,0)),"")</f>
        <v/>
      </c>
      <c r="H45" s="348"/>
      <c r="I45" s="217"/>
      <c r="J45" s="217"/>
      <c r="K45" s="217"/>
      <c r="L45" s="217"/>
      <c r="M45" s="217"/>
      <c r="N45" s="146"/>
      <c r="O45" s="146"/>
      <c r="P45" s="146"/>
      <c r="Q45" s="217"/>
      <c r="R45" s="217"/>
      <c r="S45" s="217"/>
      <c r="T45" s="217"/>
      <c r="U45" s="217"/>
      <c r="V45" s="217"/>
      <c r="W45" s="217"/>
      <c r="X45" s="217"/>
      <c r="Y45" s="217"/>
      <c r="Z45" s="217"/>
      <c r="AA45" s="31"/>
    </row>
    <row r="46" spans="1:27" ht="18" hidden="1" customHeight="1" outlineLevel="1">
      <c r="A46" s="188">
        <v>25</v>
      </c>
      <c r="B46" s="187" t="str">
        <f>IF(INDEX(inputs_EquipTag,MATCH(Logic!$A46,inputs_EquipNo,0))&lt;&gt;"",INDEX(inputs_EquipTag,MATCH(Logic!$A46,inputs_EquipNo,0)),"")</f>
        <v/>
      </c>
      <c r="C46" s="187" t="str">
        <f>IF(INDEX(inputs_EquipType,MATCH(Logic!$A46,inputs_EquipNo,0))&lt;&gt;"",INDEX(inputs_EquipType,MATCH(Logic!$A46,inputs_EquipNo,0)),"")</f>
        <v/>
      </c>
      <c r="D46" s="196" t="str">
        <f>IF(INDEX(inputs_VentEquipQuant,MATCH(Logic!$A46,inputs_EquipNo,0))&lt;&gt;"",INDEX(inputs_VentEquipQuant,MATCH(Logic!$A46,inputs_EquipNo,0)),"")</f>
        <v/>
      </c>
      <c r="E46" s="198" t="str">
        <f>IF(INDEX(inputs_OutdoorAirFlow,MATCH(Logic!$A46,inputs_EquipNo,0))&lt;&gt;"",INDEX(inputs_OutdoorAirFlow,MATCH(Logic!$A46,inputs_EquipNo,0)),"")</f>
        <v/>
      </c>
      <c r="F46" s="199" t="str">
        <f t="shared" si="0"/>
        <v/>
      </c>
      <c r="G46" s="347" t="str">
        <f>IF(INDEX(inputs_HeatRecReq,MATCH(Logic!$A46,inputs_EquipNo,0))&lt;&gt;"",INDEX(inputs_HeatRecReq,MATCH(Logic!$A46,inputs_EquipNo,0)),"")</f>
        <v/>
      </c>
      <c r="H46" s="348"/>
      <c r="I46" s="217"/>
      <c r="J46" s="217"/>
      <c r="K46" s="217"/>
      <c r="L46" s="217"/>
      <c r="M46" s="217"/>
      <c r="N46" s="146"/>
      <c r="O46" s="146"/>
      <c r="P46" s="146"/>
      <c r="Q46" s="217"/>
      <c r="R46" s="217"/>
      <c r="S46" s="217"/>
      <c r="T46" s="217"/>
      <c r="U46" s="217"/>
      <c r="V46" s="217"/>
      <c r="W46" s="217"/>
      <c r="X46" s="217"/>
      <c r="Y46" s="217"/>
      <c r="Z46" s="217"/>
      <c r="AA46" s="31"/>
    </row>
    <row r="47" spans="1:27" ht="18" hidden="1" customHeight="1" outlineLevel="1">
      <c r="A47" s="188">
        <v>26</v>
      </c>
      <c r="B47" s="187" t="str">
        <f>IF(INDEX(inputs_EquipTag,MATCH(Logic!$A47,inputs_EquipNo,0))&lt;&gt;"",INDEX(inputs_EquipTag,MATCH(Logic!$A47,inputs_EquipNo,0)),"")</f>
        <v/>
      </c>
      <c r="C47" s="187" t="str">
        <f>IF(INDEX(inputs_EquipType,MATCH(Logic!$A47,inputs_EquipNo,0))&lt;&gt;"",INDEX(inputs_EquipType,MATCH(Logic!$A47,inputs_EquipNo,0)),"")</f>
        <v/>
      </c>
      <c r="D47" s="196" t="str">
        <f>IF(INDEX(inputs_VentEquipQuant,MATCH(Logic!$A47,inputs_EquipNo,0))&lt;&gt;"",INDEX(inputs_VentEquipQuant,MATCH(Logic!$A47,inputs_EquipNo,0)),"")</f>
        <v/>
      </c>
      <c r="E47" s="198" t="str">
        <f>IF(INDEX(inputs_OutdoorAirFlow,MATCH(Logic!$A47,inputs_EquipNo,0))&lt;&gt;"",INDEX(inputs_OutdoorAirFlow,MATCH(Logic!$A47,inputs_EquipNo,0)),"")</f>
        <v/>
      </c>
      <c r="F47" s="199" t="str">
        <f t="shared" si="0"/>
        <v/>
      </c>
      <c r="G47" s="347" t="str">
        <f>IF(INDEX(inputs_HeatRecReq,MATCH(Logic!$A47,inputs_EquipNo,0))&lt;&gt;"",INDEX(inputs_HeatRecReq,MATCH(Logic!$A47,inputs_EquipNo,0)),"")</f>
        <v/>
      </c>
      <c r="H47" s="348"/>
      <c r="I47" s="217"/>
      <c r="J47" s="217"/>
      <c r="K47" s="217"/>
      <c r="L47" s="217"/>
      <c r="M47" s="217"/>
      <c r="N47" s="146"/>
      <c r="O47" s="146"/>
      <c r="P47" s="146"/>
      <c r="Q47" s="217"/>
      <c r="R47" s="217"/>
      <c r="S47" s="217"/>
      <c r="T47" s="217"/>
      <c r="U47" s="217"/>
      <c r="V47" s="217"/>
      <c r="W47" s="217"/>
      <c r="X47" s="217"/>
      <c r="Y47" s="217"/>
      <c r="Z47" s="217"/>
      <c r="AA47" s="31"/>
    </row>
    <row r="48" spans="1:27" ht="18" hidden="1" customHeight="1" outlineLevel="1">
      <c r="A48" s="188">
        <v>27</v>
      </c>
      <c r="B48" s="187" t="str">
        <f>IF(INDEX(inputs_EquipTag,MATCH(Logic!$A48,inputs_EquipNo,0))&lt;&gt;"",INDEX(inputs_EquipTag,MATCH(Logic!$A48,inputs_EquipNo,0)),"")</f>
        <v/>
      </c>
      <c r="C48" s="187" t="str">
        <f>IF(INDEX(inputs_EquipType,MATCH(Logic!$A48,inputs_EquipNo,0))&lt;&gt;"",INDEX(inputs_EquipType,MATCH(Logic!$A48,inputs_EquipNo,0)),"")</f>
        <v/>
      </c>
      <c r="D48" s="196" t="str">
        <f>IF(INDEX(inputs_VentEquipQuant,MATCH(Logic!$A48,inputs_EquipNo,0))&lt;&gt;"",INDEX(inputs_VentEquipQuant,MATCH(Logic!$A48,inputs_EquipNo,0)),"")</f>
        <v/>
      </c>
      <c r="E48" s="198" t="str">
        <f>IF(INDEX(inputs_OutdoorAirFlow,MATCH(Logic!$A48,inputs_EquipNo,0))&lt;&gt;"",INDEX(inputs_OutdoorAirFlow,MATCH(Logic!$A48,inputs_EquipNo,0)),"")</f>
        <v/>
      </c>
      <c r="F48" s="199" t="str">
        <f t="shared" si="0"/>
        <v/>
      </c>
      <c r="G48" s="347" t="str">
        <f>IF(INDEX(inputs_HeatRecReq,MATCH(Logic!$A48,inputs_EquipNo,0))&lt;&gt;"",INDEX(inputs_HeatRecReq,MATCH(Logic!$A48,inputs_EquipNo,0)),"")</f>
        <v/>
      </c>
      <c r="H48" s="348"/>
      <c r="I48" s="217"/>
      <c r="J48" s="217"/>
      <c r="K48" s="217"/>
      <c r="L48" s="217"/>
      <c r="M48" s="217"/>
      <c r="N48" s="146"/>
      <c r="O48" s="146"/>
      <c r="P48" s="146"/>
      <c r="Q48" s="217"/>
      <c r="R48" s="217"/>
      <c r="S48" s="217"/>
      <c r="T48" s="217"/>
      <c r="U48" s="217"/>
      <c r="V48" s="217"/>
      <c r="W48" s="217"/>
      <c r="X48" s="217"/>
      <c r="Y48" s="217"/>
      <c r="Z48" s="217"/>
      <c r="AA48" s="31"/>
    </row>
    <row r="49" spans="1:27" ht="18" hidden="1" customHeight="1" outlineLevel="1">
      <c r="A49" s="188">
        <v>28</v>
      </c>
      <c r="B49" s="187" t="str">
        <f>IF(INDEX(inputs_EquipTag,MATCH(Logic!$A49,inputs_EquipNo,0))&lt;&gt;"",INDEX(inputs_EquipTag,MATCH(Logic!$A49,inputs_EquipNo,0)),"")</f>
        <v/>
      </c>
      <c r="C49" s="187" t="str">
        <f>IF(INDEX(inputs_EquipType,MATCH(Logic!$A49,inputs_EquipNo,0))&lt;&gt;"",INDEX(inputs_EquipType,MATCH(Logic!$A49,inputs_EquipNo,0)),"")</f>
        <v/>
      </c>
      <c r="D49" s="196" t="str">
        <f>IF(INDEX(inputs_VentEquipQuant,MATCH(Logic!$A49,inputs_EquipNo,0))&lt;&gt;"",INDEX(inputs_VentEquipQuant,MATCH(Logic!$A49,inputs_EquipNo,0)),"")</f>
        <v/>
      </c>
      <c r="E49" s="198" t="str">
        <f>IF(INDEX(inputs_OutdoorAirFlow,MATCH(Logic!$A49,inputs_EquipNo,0))&lt;&gt;"",INDEX(inputs_OutdoorAirFlow,MATCH(Logic!$A49,inputs_EquipNo,0)),"")</f>
        <v/>
      </c>
      <c r="F49" s="199" t="str">
        <f t="shared" si="0"/>
        <v/>
      </c>
      <c r="G49" s="347" t="str">
        <f>IF(INDEX(inputs_HeatRecReq,MATCH(Logic!$A49,inputs_EquipNo,0))&lt;&gt;"",INDEX(inputs_HeatRecReq,MATCH(Logic!$A49,inputs_EquipNo,0)),"")</f>
        <v/>
      </c>
      <c r="H49" s="348"/>
      <c r="I49" s="217"/>
      <c r="J49" s="217"/>
      <c r="K49" s="217"/>
      <c r="L49" s="217"/>
      <c r="M49" s="217"/>
      <c r="N49" s="146"/>
      <c r="O49" s="146"/>
      <c r="P49" s="146"/>
      <c r="Q49" s="217"/>
      <c r="R49" s="217"/>
      <c r="S49" s="217"/>
      <c r="T49" s="217"/>
      <c r="U49" s="217"/>
      <c r="V49" s="217"/>
      <c r="W49" s="217"/>
      <c r="X49" s="217"/>
      <c r="Y49" s="217"/>
      <c r="Z49" s="217"/>
      <c r="AA49" s="31"/>
    </row>
    <row r="50" spans="1:27" ht="18" hidden="1" customHeight="1" outlineLevel="1">
      <c r="A50" s="188">
        <v>29</v>
      </c>
      <c r="B50" s="187" t="str">
        <f>IF(INDEX(inputs_EquipTag,MATCH(Logic!$A50,inputs_EquipNo,0))&lt;&gt;"",INDEX(inputs_EquipTag,MATCH(Logic!$A50,inputs_EquipNo,0)),"")</f>
        <v/>
      </c>
      <c r="C50" s="187" t="str">
        <f>IF(INDEX(inputs_EquipType,MATCH(Logic!$A50,inputs_EquipNo,0))&lt;&gt;"",INDEX(inputs_EquipType,MATCH(Logic!$A50,inputs_EquipNo,0)),"")</f>
        <v/>
      </c>
      <c r="D50" s="196" t="str">
        <f>IF(INDEX(inputs_VentEquipQuant,MATCH(Logic!$A50,inputs_EquipNo,0))&lt;&gt;"",INDEX(inputs_VentEquipQuant,MATCH(Logic!$A50,inputs_EquipNo,0)),"")</f>
        <v/>
      </c>
      <c r="E50" s="198" t="str">
        <f>IF(INDEX(inputs_OutdoorAirFlow,MATCH(Logic!$A50,inputs_EquipNo,0))&lt;&gt;"",INDEX(inputs_OutdoorAirFlow,MATCH(Logic!$A50,inputs_EquipNo,0)),"")</f>
        <v/>
      </c>
      <c r="F50" s="199" t="str">
        <f t="shared" si="0"/>
        <v/>
      </c>
      <c r="G50" s="347" t="str">
        <f>IF(INDEX(inputs_HeatRecReq,MATCH(Logic!$A50,inputs_EquipNo,0))&lt;&gt;"",INDEX(inputs_HeatRecReq,MATCH(Logic!$A50,inputs_EquipNo,0)),"")</f>
        <v/>
      </c>
      <c r="H50" s="348"/>
      <c r="I50" s="217"/>
      <c r="J50" s="217"/>
      <c r="K50" s="217"/>
      <c r="L50" s="217"/>
      <c r="M50" s="217"/>
      <c r="N50" s="146"/>
      <c r="O50" s="146"/>
      <c r="P50" s="146"/>
      <c r="Q50" s="217"/>
      <c r="R50" s="217"/>
      <c r="S50" s="217"/>
      <c r="T50" s="217"/>
      <c r="U50" s="217"/>
      <c r="V50" s="217"/>
      <c r="W50" s="217"/>
      <c r="X50" s="217"/>
      <c r="Y50" s="217"/>
      <c r="Z50" s="217"/>
      <c r="AA50" s="31"/>
    </row>
    <row r="51" spans="1:27" ht="18" hidden="1" customHeight="1" outlineLevel="1">
      <c r="A51" s="188">
        <v>30</v>
      </c>
      <c r="B51" s="187" t="str">
        <f>IF(INDEX(inputs_EquipTag,MATCH(Logic!$A51,inputs_EquipNo,0))&lt;&gt;"",INDEX(inputs_EquipTag,MATCH(Logic!$A51,inputs_EquipNo,0)),"")</f>
        <v/>
      </c>
      <c r="C51" s="187" t="str">
        <f>IF(INDEX(inputs_EquipType,MATCH(Logic!$A51,inputs_EquipNo,0))&lt;&gt;"",INDEX(inputs_EquipType,MATCH(Logic!$A51,inputs_EquipNo,0)),"")</f>
        <v/>
      </c>
      <c r="D51" s="196" t="str">
        <f>IF(INDEX(inputs_VentEquipQuant,MATCH(Logic!$A51,inputs_EquipNo,0))&lt;&gt;"",INDEX(inputs_VentEquipQuant,MATCH(Logic!$A51,inputs_EquipNo,0)),"")</f>
        <v/>
      </c>
      <c r="E51" s="198" t="str">
        <f>IF(INDEX(inputs_OutdoorAirFlow,MATCH(Logic!$A51,inputs_EquipNo,0))&lt;&gt;"",INDEX(inputs_OutdoorAirFlow,MATCH(Logic!$A51,inputs_EquipNo,0)),"")</f>
        <v/>
      </c>
      <c r="F51" s="199" t="str">
        <f t="shared" si="0"/>
        <v/>
      </c>
      <c r="G51" s="347" t="str">
        <f>IF(INDEX(inputs_HeatRecReq,MATCH(Logic!$A51,inputs_EquipNo,0))&lt;&gt;"",INDEX(inputs_HeatRecReq,MATCH(Logic!$A51,inputs_EquipNo,0)),"")</f>
        <v/>
      </c>
      <c r="H51" s="348"/>
      <c r="I51" s="217"/>
      <c r="J51" s="217"/>
      <c r="K51" s="217"/>
      <c r="L51" s="217"/>
      <c r="M51" s="217"/>
      <c r="N51" s="146"/>
      <c r="O51" s="146"/>
      <c r="P51" s="146"/>
      <c r="Q51" s="217"/>
      <c r="R51" s="217"/>
      <c r="S51" s="217"/>
      <c r="T51" s="217"/>
      <c r="U51" s="217"/>
      <c r="V51" s="217"/>
      <c r="W51" s="217"/>
      <c r="X51" s="217"/>
      <c r="Y51" s="217"/>
      <c r="Z51" s="217"/>
      <c r="AA51" s="31"/>
    </row>
    <row r="52" spans="1:27" ht="18" hidden="1" customHeight="1" outlineLevel="1">
      <c r="A52" s="188">
        <v>31</v>
      </c>
      <c r="B52" s="187" t="str">
        <f>IF(INDEX(inputs_EquipTag,MATCH(Logic!$A52,inputs_EquipNo,0))&lt;&gt;"",INDEX(inputs_EquipTag,MATCH(Logic!$A52,inputs_EquipNo,0)),"")</f>
        <v/>
      </c>
      <c r="C52" s="187" t="str">
        <f>IF(INDEX(inputs_EquipType,MATCH(Logic!$A52,inputs_EquipNo,0))&lt;&gt;"",INDEX(inputs_EquipType,MATCH(Logic!$A52,inputs_EquipNo,0)),"")</f>
        <v/>
      </c>
      <c r="D52" s="196" t="str">
        <f>IF(INDEX(inputs_VentEquipQuant,MATCH(Logic!$A52,inputs_EquipNo,0))&lt;&gt;"",INDEX(inputs_VentEquipQuant,MATCH(Logic!$A52,inputs_EquipNo,0)),"")</f>
        <v/>
      </c>
      <c r="E52" s="198" t="str">
        <f>IF(INDEX(inputs_OutdoorAirFlow,MATCH(Logic!$A52,inputs_EquipNo,0))&lt;&gt;"",INDEX(inputs_OutdoorAirFlow,MATCH(Logic!$A52,inputs_EquipNo,0)),"")</f>
        <v/>
      </c>
      <c r="F52" s="199" t="str">
        <f t="shared" si="0"/>
        <v/>
      </c>
      <c r="G52" s="347" t="str">
        <f>IF(INDEX(inputs_HeatRecReq,MATCH(Logic!$A52,inputs_EquipNo,0))&lt;&gt;"",INDEX(inputs_HeatRecReq,MATCH(Logic!$A52,inputs_EquipNo,0)),"")</f>
        <v/>
      </c>
      <c r="H52" s="348"/>
      <c r="I52" s="159" t="s">
        <v>170</v>
      </c>
      <c r="J52" s="217"/>
      <c r="K52" s="217"/>
      <c r="L52" s="217"/>
      <c r="M52" s="217"/>
      <c r="N52" s="146"/>
      <c r="O52" s="146"/>
      <c r="P52" s="146"/>
      <c r="Q52" s="217"/>
      <c r="R52" s="217"/>
      <c r="S52" s="217"/>
      <c r="T52" s="217"/>
      <c r="U52" s="217"/>
      <c r="V52" s="217"/>
      <c r="W52" s="217"/>
      <c r="X52" s="217"/>
      <c r="Y52" s="151"/>
      <c r="Z52" s="151"/>
      <c r="AA52" s="31"/>
    </row>
    <row r="53" spans="1:27" ht="18" hidden="1" customHeight="1" outlineLevel="2">
      <c r="A53" s="188">
        <v>32</v>
      </c>
      <c r="B53" s="187" t="str">
        <f>IF(INDEX(inputs_EquipTag,MATCH(Logic!$A53,inputs_EquipNo,0))&lt;&gt;"",INDEX(inputs_EquipTag,MATCH(Logic!$A53,inputs_EquipNo,0)),"")</f>
        <v/>
      </c>
      <c r="C53" s="187" t="str">
        <f>IF(INDEX(inputs_EquipType,MATCH(Logic!$A53,inputs_EquipNo,0))&lt;&gt;"",INDEX(inputs_EquipType,MATCH(Logic!$A53,inputs_EquipNo,0)),"")</f>
        <v/>
      </c>
      <c r="D53" s="196" t="str">
        <f>IF(INDEX(inputs_VentEquipQuant,MATCH(Logic!$A53,inputs_EquipNo,0))&lt;&gt;"",INDEX(inputs_VentEquipQuant,MATCH(Logic!$A53,inputs_EquipNo,0)),"")</f>
        <v/>
      </c>
      <c r="E53" s="198" t="str">
        <f>IF(INDEX(inputs_OutdoorAirFlow,MATCH(Logic!$A53,inputs_EquipNo,0))&lt;&gt;"",INDEX(inputs_OutdoorAirFlow,MATCH(Logic!$A53,inputs_EquipNo,0)),"")</f>
        <v/>
      </c>
      <c r="F53" s="199" t="str">
        <f t="shared" si="0"/>
        <v/>
      </c>
      <c r="G53" s="347" t="str">
        <f>IF(INDEX(inputs_HeatRecReq,MATCH(Logic!$A53,inputs_EquipNo,0))&lt;&gt;"",INDEX(inputs_HeatRecReq,MATCH(Logic!$A53,inputs_EquipNo,0)),"")</f>
        <v/>
      </c>
      <c r="H53" s="348"/>
      <c r="I53" s="217"/>
      <c r="J53" s="217"/>
      <c r="K53" s="217"/>
      <c r="L53" s="217"/>
      <c r="M53" s="217"/>
      <c r="N53" s="146"/>
      <c r="O53" s="146"/>
      <c r="P53" s="146"/>
      <c r="Q53" s="217"/>
      <c r="R53" s="217"/>
      <c r="S53" s="217"/>
      <c r="T53" s="217"/>
      <c r="U53" s="217"/>
      <c r="V53" s="217"/>
      <c r="W53" s="217"/>
      <c r="X53" s="217"/>
      <c r="Y53" s="217"/>
      <c r="Z53" s="217"/>
      <c r="AA53" s="31"/>
    </row>
    <row r="54" spans="1:27" ht="18" hidden="1" customHeight="1" outlineLevel="2">
      <c r="A54" s="188">
        <v>33</v>
      </c>
      <c r="B54" s="187" t="str">
        <f>IF(INDEX(inputs_EquipTag,MATCH(Logic!$A54,inputs_EquipNo,0))&lt;&gt;"",INDEX(inputs_EquipTag,MATCH(Logic!$A54,inputs_EquipNo,0)),"")</f>
        <v/>
      </c>
      <c r="C54" s="187" t="str">
        <f>IF(INDEX(inputs_EquipType,MATCH(Logic!$A54,inputs_EquipNo,0))&lt;&gt;"",INDEX(inputs_EquipType,MATCH(Logic!$A54,inputs_EquipNo,0)),"")</f>
        <v/>
      </c>
      <c r="D54" s="196" t="str">
        <f>IF(INDEX(inputs_VentEquipQuant,MATCH(Logic!$A54,inputs_EquipNo,0))&lt;&gt;"",INDEX(inputs_VentEquipQuant,MATCH(Logic!$A54,inputs_EquipNo,0)),"")</f>
        <v/>
      </c>
      <c r="E54" s="198" t="str">
        <f>IF(INDEX(inputs_OutdoorAirFlow,MATCH(Logic!$A54,inputs_EquipNo,0))&lt;&gt;"",INDEX(inputs_OutdoorAirFlow,MATCH(Logic!$A54,inputs_EquipNo,0)),"")</f>
        <v/>
      </c>
      <c r="F54" s="199" t="str">
        <f t="shared" si="0"/>
        <v/>
      </c>
      <c r="G54" s="347" t="str">
        <f>IF(INDEX(inputs_HeatRecReq,MATCH(Logic!$A54,inputs_EquipNo,0))&lt;&gt;"",INDEX(inputs_HeatRecReq,MATCH(Logic!$A54,inputs_EquipNo,0)),"")</f>
        <v/>
      </c>
      <c r="H54" s="348"/>
      <c r="I54" s="217"/>
      <c r="J54" s="217"/>
      <c r="K54" s="217"/>
      <c r="L54" s="217"/>
      <c r="M54" s="217"/>
      <c r="N54" s="146"/>
      <c r="O54" s="146"/>
      <c r="P54" s="146"/>
      <c r="Q54" s="217"/>
      <c r="R54" s="217"/>
      <c r="S54" s="217"/>
      <c r="T54" s="217"/>
      <c r="U54" s="217"/>
      <c r="V54" s="217"/>
      <c r="W54" s="217"/>
      <c r="X54" s="217"/>
      <c r="Y54" s="217"/>
      <c r="Z54" s="217"/>
      <c r="AA54" s="31"/>
    </row>
    <row r="55" spans="1:27" ht="18" hidden="1" customHeight="1" outlineLevel="2">
      <c r="A55" s="188">
        <v>34</v>
      </c>
      <c r="B55" s="187" t="str">
        <f>IF(INDEX(inputs_EquipTag,MATCH(Logic!$A55,inputs_EquipNo,0))&lt;&gt;"",INDEX(inputs_EquipTag,MATCH(Logic!$A55,inputs_EquipNo,0)),"")</f>
        <v/>
      </c>
      <c r="C55" s="187" t="str">
        <f>IF(INDEX(inputs_EquipType,MATCH(Logic!$A55,inputs_EquipNo,0))&lt;&gt;"",INDEX(inputs_EquipType,MATCH(Logic!$A55,inputs_EquipNo,0)),"")</f>
        <v/>
      </c>
      <c r="D55" s="196" t="str">
        <f>IF(INDEX(inputs_VentEquipQuant,MATCH(Logic!$A55,inputs_EquipNo,0))&lt;&gt;"",INDEX(inputs_VentEquipQuant,MATCH(Logic!$A55,inputs_EquipNo,0)),"")</f>
        <v/>
      </c>
      <c r="E55" s="198" t="str">
        <f>IF(INDEX(inputs_OutdoorAirFlow,MATCH(Logic!$A55,inputs_EquipNo,0))&lt;&gt;"",INDEX(inputs_OutdoorAirFlow,MATCH(Logic!$A55,inputs_EquipNo,0)),"")</f>
        <v/>
      </c>
      <c r="F55" s="199" t="str">
        <f t="shared" si="0"/>
        <v/>
      </c>
      <c r="G55" s="347" t="str">
        <f>IF(INDEX(inputs_HeatRecReq,MATCH(Logic!$A55,inputs_EquipNo,0))&lt;&gt;"",INDEX(inputs_HeatRecReq,MATCH(Logic!$A55,inputs_EquipNo,0)),"")</f>
        <v/>
      </c>
      <c r="H55" s="348"/>
      <c r="I55" s="217"/>
      <c r="J55" s="216"/>
      <c r="K55" s="216"/>
      <c r="L55" s="216"/>
      <c r="M55" s="217"/>
      <c r="N55" s="146"/>
      <c r="O55" s="146"/>
      <c r="P55" s="146"/>
      <c r="Q55" s="217"/>
      <c r="R55" s="217"/>
      <c r="S55" s="217"/>
      <c r="T55" s="217"/>
      <c r="U55" s="217"/>
      <c r="V55" s="217"/>
      <c r="W55" s="217"/>
      <c r="X55" s="217"/>
      <c r="Y55" s="217"/>
      <c r="Z55" s="217"/>
      <c r="AA55" s="218"/>
    </row>
    <row r="56" spans="1:27" ht="18" hidden="1" customHeight="1" outlineLevel="2">
      <c r="A56" s="188">
        <v>35</v>
      </c>
      <c r="B56" s="187" t="str">
        <f>IF(INDEX(inputs_EquipTag,MATCH(Logic!$A56,inputs_EquipNo,0))&lt;&gt;"",INDEX(inputs_EquipTag,MATCH(Logic!$A56,inputs_EquipNo,0)),"")</f>
        <v/>
      </c>
      <c r="C56" s="187" t="str">
        <f>IF(INDEX(inputs_EquipType,MATCH(Logic!$A56,inputs_EquipNo,0))&lt;&gt;"",INDEX(inputs_EquipType,MATCH(Logic!$A56,inputs_EquipNo,0)),"")</f>
        <v/>
      </c>
      <c r="D56" s="196" t="str">
        <f>IF(INDEX(inputs_VentEquipQuant,MATCH(Logic!$A56,inputs_EquipNo,0))&lt;&gt;"",INDEX(inputs_VentEquipQuant,MATCH(Logic!$A56,inputs_EquipNo,0)),"")</f>
        <v/>
      </c>
      <c r="E56" s="198" t="str">
        <f>IF(INDEX(inputs_OutdoorAirFlow,MATCH(Logic!$A56,inputs_EquipNo,0))&lt;&gt;"",INDEX(inputs_OutdoorAirFlow,MATCH(Logic!$A56,inputs_EquipNo,0)),"")</f>
        <v/>
      </c>
      <c r="F56" s="199" t="str">
        <f t="shared" si="0"/>
        <v/>
      </c>
      <c r="G56" s="347" t="str">
        <f>IF(INDEX(inputs_HeatRecReq,MATCH(Logic!$A56,inputs_EquipNo,0))&lt;&gt;"",INDEX(inputs_HeatRecReq,MATCH(Logic!$A56,inputs_EquipNo,0)),"")</f>
        <v/>
      </c>
      <c r="H56" s="348"/>
      <c r="I56" s="217"/>
      <c r="J56" s="217"/>
      <c r="K56" s="217"/>
      <c r="L56" s="217"/>
      <c r="M56" s="217"/>
      <c r="N56" s="146"/>
      <c r="O56" s="146"/>
      <c r="P56" s="146"/>
      <c r="Q56" s="217"/>
      <c r="R56" s="217"/>
      <c r="S56" s="217"/>
      <c r="T56" s="217"/>
      <c r="U56" s="217"/>
      <c r="V56" s="217"/>
      <c r="W56" s="217"/>
      <c r="X56" s="217"/>
      <c r="Y56" s="217"/>
      <c r="Z56" s="217"/>
      <c r="AA56" s="218"/>
    </row>
    <row r="57" spans="1:27" ht="18" hidden="1" customHeight="1" outlineLevel="2">
      <c r="A57" s="188">
        <v>36</v>
      </c>
      <c r="B57" s="187" t="str">
        <f>IF(INDEX(inputs_EquipTag,MATCH(Logic!$A57,inputs_EquipNo,0))&lt;&gt;"",INDEX(inputs_EquipTag,MATCH(Logic!$A57,inputs_EquipNo,0)),"")</f>
        <v/>
      </c>
      <c r="C57" s="187" t="str">
        <f>IF(INDEX(inputs_EquipType,MATCH(Logic!$A57,inputs_EquipNo,0))&lt;&gt;"",INDEX(inputs_EquipType,MATCH(Logic!$A57,inputs_EquipNo,0)),"")</f>
        <v/>
      </c>
      <c r="D57" s="196" t="str">
        <f>IF(INDEX(inputs_VentEquipQuant,MATCH(Logic!$A57,inputs_EquipNo,0))&lt;&gt;"",INDEX(inputs_VentEquipQuant,MATCH(Logic!$A57,inputs_EquipNo,0)),"")</f>
        <v/>
      </c>
      <c r="E57" s="198" t="str">
        <f>IF(INDEX(inputs_OutdoorAirFlow,MATCH(Logic!$A57,inputs_EquipNo,0))&lt;&gt;"",INDEX(inputs_OutdoorAirFlow,MATCH(Logic!$A57,inputs_EquipNo,0)),"")</f>
        <v/>
      </c>
      <c r="F57" s="199" t="str">
        <f t="shared" si="0"/>
        <v/>
      </c>
      <c r="G57" s="347" t="str">
        <f>IF(INDEX(inputs_HeatRecReq,MATCH(Logic!$A57,inputs_EquipNo,0))&lt;&gt;"",INDEX(inputs_HeatRecReq,MATCH(Logic!$A57,inputs_EquipNo,0)),"")</f>
        <v/>
      </c>
      <c r="H57" s="348"/>
      <c r="I57" s="217"/>
      <c r="J57" s="217"/>
      <c r="K57" s="217"/>
      <c r="L57" s="217"/>
      <c r="M57" s="217"/>
      <c r="N57" s="146"/>
      <c r="O57" s="146"/>
      <c r="P57" s="146"/>
      <c r="Q57" s="217"/>
      <c r="R57" s="217"/>
      <c r="S57" s="217"/>
      <c r="T57" s="217"/>
      <c r="U57" s="217"/>
      <c r="V57" s="217"/>
      <c r="W57" s="217"/>
      <c r="X57" s="217"/>
      <c r="Y57" s="217"/>
      <c r="Z57" s="217"/>
      <c r="AA57" s="31"/>
    </row>
    <row r="58" spans="1:27" ht="18" hidden="1" customHeight="1" outlineLevel="2">
      <c r="A58" s="188">
        <v>37</v>
      </c>
      <c r="B58" s="187" t="str">
        <f>IF(INDEX(inputs_EquipTag,MATCH(Logic!$A58,inputs_EquipNo,0))&lt;&gt;"",INDEX(inputs_EquipTag,MATCH(Logic!$A58,inputs_EquipNo,0)),"")</f>
        <v/>
      </c>
      <c r="C58" s="187" t="str">
        <f>IF(INDEX(inputs_EquipType,MATCH(Logic!$A58,inputs_EquipNo,0))&lt;&gt;"",INDEX(inputs_EquipType,MATCH(Logic!$A58,inputs_EquipNo,0)),"")</f>
        <v/>
      </c>
      <c r="D58" s="196" t="str">
        <f>IF(INDEX(inputs_VentEquipQuant,MATCH(Logic!$A58,inputs_EquipNo,0))&lt;&gt;"",INDEX(inputs_VentEquipQuant,MATCH(Logic!$A58,inputs_EquipNo,0)),"")</f>
        <v/>
      </c>
      <c r="E58" s="198" t="str">
        <f>IF(INDEX(inputs_OutdoorAirFlow,MATCH(Logic!$A58,inputs_EquipNo,0))&lt;&gt;"",INDEX(inputs_OutdoorAirFlow,MATCH(Logic!$A58,inputs_EquipNo,0)),"")</f>
        <v/>
      </c>
      <c r="F58" s="199" t="str">
        <f t="shared" si="0"/>
        <v/>
      </c>
      <c r="G58" s="347" t="str">
        <f>IF(INDEX(inputs_HeatRecReq,MATCH(Logic!$A58,inputs_EquipNo,0))&lt;&gt;"",INDEX(inputs_HeatRecReq,MATCH(Logic!$A58,inputs_EquipNo,0)),"")</f>
        <v/>
      </c>
      <c r="H58" s="348"/>
      <c r="I58" s="217"/>
      <c r="J58" s="217"/>
      <c r="K58" s="217"/>
      <c r="L58" s="217"/>
      <c r="M58" s="217"/>
      <c r="N58" s="146"/>
      <c r="O58" s="146"/>
      <c r="P58" s="146"/>
      <c r="Q58" s="217"/>
      <c r="R58" s="217"/>
      <c r="S58" s="217"/>
      <c r="T58" s="217"/>
      <c r="U58" s="217"/>
      <c r="V58" s="217"/>
      <c r="W58" s="217"/>
      <c r="X58" s="217"/>
      <c r="Y58" s="217"/>
      <c r="Z58" s="217"/>
      <c r="AA58" s="31"/>
    </row>
    <row r="59" spans="1:27" ht="18" hidden="1" customHeight="1" outlineLevel="2">
      <c r="A59" s="188">
        <v>38</v>
      </c>
      <c r="B59" s="187" t="str">
        <f>IF(INDEX(inputs_EquipTag,MATCH(Logic!$A59,inputs_EquipNo,0))&lt;&gt;"",INDEX(inputs_EquipTag,MATCH(Logic!$A59,inputs_EquipNo,0)),"")</f>
        <v/>
      </c>
      <c r="C59" s="187" t="str">
        <f>IF(INDEX(inputs_EquipType,MATCH(Logic!$A59,inputs_EquipNo,0))&lt;&gt;"",INDEX(inputs_EquipType,MATCH(Logic!$A59,inputs_EquipNo,0)),"")</f>
        <v/>
      </c>
      <c r="D59" s="196" t="str">
        <f>IF(INDEX(inputs_VentEquipQuant,MATCH(Logic!$A59,inputs_EquipNo,0))&lt;&gt;"",INDEX(inputs_VentEquipQuant,MATCH(Logic!$A59,inputs_EquipNo,0)),"")</f>
        <v/>
      </c>
      <c r="E59" s="198" t="str">
        <f>IF(INDEX(inputs_OutdoorAirFlow,MATCH(Logic!$A59,inputs_EquipNo,0))&lt;&gt;"",INDEX(inputs_OutdoorAirFlow,MATCH(Logic!$A59,inputs_EquipNo,0)),"")</f>
        <v/>
      </c>
      <c r="F59" s="199" t="str">
        <f t="shared" si="0"/>
        <v/>
      </c>
      <c r="G59" s="347" t="str">
        <f>IF(INDEX(inputs_HeatRecReq,MATCH(Logic!$A59,inputs_EquipNo,0))&lt;&gt;"",INDEX(inputs_HeatRecReq,MATCH(Logic!$A59,inputs_EquipNo,0)),"")</f>
        <v/>
      </c>
      <c r="H59" s="348"/>
      <c r="I59" s="217"/>
      <c r="J59" s="217"/>
      <c r="K59" s="217"/>
      <c r="L59" s="217"/>
      <c r="M59" s="217"/>
      <c r="N59" s="146"/>
      <c r="O59" s="146"/>
      <c r="P59" s="146"/>
      <c r="Q59" s="217"/>
      <c r="R59" s="217"/>
      <c r="S59" s="217"/>
      <c r="T59" s="217"/>
      <c r="U59" s="217"/>
      <c r="V59" s="217"/>
      <c r="W59" s="217"/>
      <c r="X59" s="217"/>
      <c r="Y59" s="217"/>
      <c r="Z59" s="217"/>
      <c r="AA59" s="31"/>
    </row>
    <row r="60" spans="1:27" ht="18" hidden="1" customHeight="1" outlineLevel="2">
      <c r="A60" s="188">
        <v>39</v>
      </c>
      <c r="B60" s="187" t="str">
        <f>IF(INDEX(inputs_EquipTag,MATCH(Logic!$A60,inputs_EquipNo,0))&lt;&gt;"",INDEX(inputs_EquipTag,MATCH(Logic!$A60,inputs_EquipNo,0)),"")</f>
        <v/>
      </c>
      <c r="C60" s="187" t="str">
        <f>IF(INDEX(inputs_EquipType,MATCH(Logic!$A60,inputs_EquipNo,0))&lt;&gt;"",INDEX(inputs_EquipType,MATCH(Logic!$A60,inputs_EquipNo,0)),"")</f>
        <v/>
      </c>
      <c r="D60" s="196" t="str">
        <f>IF(INDEX(inputs_VentEquipQuant,MATCH(Logic!$A60,inputs_EquipNo,0))&lt;&gt;"",INDEX(inputs_VentEquipQuant,MATCH(Logic!$A60,inputs_EquipNo,0)),"")</f>
        <v/>
      </c>
      <c r="E60" s="198" t="str">
        <f>IF(INDEX(inputs_OutdoorAirFlow,MATCH(Logic!$A60,inputs_EquipNo,0))&lt;&gt;"",INDEX(inputs_OutdoorAirFlow,MATCH(Logic!$A60,inputs_EquipNo,0)),"")</f>
        <v/>
      </c>
      <c r="F60" s="199" t="str">
        <f t="shared" si="0"/>
        <v/>
      </c>
      <c r="G60" s="347" t="str">
        <f>IF(INDEX(inputs_HeatRecReq,MATCH(Logic!$A60,inputs_EquipNo,0))&lt;&gt;"",INDEX(inputs_HeatRecReq,MATCH(Logic!$A60,inputs_EquipNo,0)),"")</f>
        <v/>
      </c>
      <c r="H60" s="348"/>
      <c r="I60" s="217"/>
      <c r="J60" s="217"/>
      <c r="K60" s="217"/>
      <c r="L60" s="217"/>
      <c r="M60" s="217"/>
      <c r="N60" s="146"/>
      <c r="O60" s="146"/>
      <c r="P60" s="146"/>
      <c r="Q60" s="217"/>
      <c r="R60" s="217"/>
      <c r="S60" s="217"/>
      <c r="T60" s="217"/>
      <c r="U60" s="217"/>
      <c r="V60" s="217"/>
      <c r="W60" s="217"/>
      <c r="X60" s="217"/>
      <c r="Y60" s="217"/>
      <c r="Z60" s="217"/>
      <c r="AA60" s="31"/>
    </row>
    <row r="61" spans="1:27" ht="18" hidden="1" customHeight="1" outlineLevel="2">
      <c r="A61" s="188">
        <v>40</v>
      </c>
      <c r="B61" s="187" t="str">
        <f>IF(INDEX(inputs_EquipTag,MATCH(Logic!$A61,inputs_EquipNo,0))&lt;&gt;"",INDEX(inputs_EquipTag,MATCH(Logic!$A61,inputs_EquipNo,0)),"")</f>
        <v/>
      </c>
      <c r="C61" s="187" t="str">
        <f>IF(INDEX(inputs_EquipType,MATCH(Logic!$A61,inputs_EquipNo,0))&lt;&gt;"",INDEX(inputs_EquipType,MATCH(Logic!$A61,inputs_EquipNo,0)),"")</f>
        <v/>
      </c>
      <c r="D61" s="196" t="str">
        <f>IF(INDEX(inputs_VentEquipQuant,MATCH(Logic!$A61,inputs_EquipNo,0))&lt;&gt;"",INDEX(inputs_VentEquipQuant,MATCH(Logic!$A61,inputs_EquipNo,0)),"")</f>
        <v/>
      </c>
      <c r="E61" s="198" t="str">
        <f>IF(INDEX(inputs_OutdoorAirFlow,MATCH(Logic!$A61,inputs_EquipNo,0))&lt;&gt;"",INDEX(inputs_OutdoorAirFlow,MATCH(Logic!$A61,inputs_EquipNo,0)),"")</f>
        <v/>
      </c>
      <c r="F61" s="199" t="str">
        <f t="shared" si="0"/>
        <v/>
      </c>
      <c r="G61" s="347" t="str">
        <f>IF(INDEX(inputs_HeatRecReq,MATCH(Logic!$A61,inputs_EquipNo,0))&lt;&gt;"",INDEX(inputs_HeatRecReq,MATCH(Logic!$A61,inputs_EquipNo,0)),"")</f>
        <v/>
      </c>
      <c r="H61" s="348"/>
      <c r="I61" s="217"/>
      <c r="J61" s="217"/>
      <c r="K61" s="217"/>
      <c r="L61" s="217"/>
      <c r="M61" s="217"/>
      <c r="N61" s="146"/>
      <c r="O61" s="146"/>
      <c r="P61" s="146"/>
      <c r="Q61" s="217"/>
      <c r="R61" s="217"/>
      <c r="S61" s="217"/>
      <c r="T61" s="217"/>
      <c r="U61" s="217"/>
      <c r="V61" s="217"/>
      <c r="W61" s="217"/>
      <c r="X61" s="217"/>
      <c r="Y61" s="217"/>
      <c r="Z61" s="217"/>
      <c r="AA61" s="31"/>
    </row>
    <row r="62" spans="1:27" ht="18" hidden="1" customHeight="1" outlineLevel="2">
      <c r="A62" s="188">
        <v>41</v>
      </c>
      <c r="B62" s="187" t="str">
        <f>IF(INDEX(inputs_EquipTag,MATCH(Logic!$A62,inputs_EquipNo,0))&lt;&gt;"",INDEX(inputs_EquipTag,MATCH(Logic!$A62,inputs_EquipNo,0)),"")</f>
        <v/>
      </c>
      <c r="C62" s="187" t="str">
        <f>IF(INDEX(inputs_EquipType,MATCH(Logic!$A62,inputs_EquipNo,0))&lt;&gt;"",INDEX(inputs_EquipType,MATCH(Logic!$A62,inputs_EquipNo,0)),"")</f>
        <v/>
      </c>
      <c r="D62" s="196" t="str">
        <f>IF(INDEX(inputs_VentEquipQuant,MATCH(Logic!$A62,inputs_EquipNo,0))&lt;&gt;"",INDEX(inputs_VentEquipQuant,MATCH(Logic!$A62,inputs_EquipNo,0)),"")</f>
        <v/>
      </c>
      <c r="E62" s="198" t="str">
        <f>IF(INDEX(inputs_OutdoorAirFlow,MATCH(Logic!$A62,inputs_EquipNo,0))&lt;&gt;"",INDEX(inputs_OutdoorAirFlow,MATCH(Logic!$A62,inputs_EquipNo,0)),"")</f>
        <v/>
      </c>
      <c r="F62" s="199" t="str">
        <f t="shared" si="0"/>
        <v/>
      </c>
      <c r="G62" s="347" t="str">
        <f>IF(INDEX(inputs_HeatRecReq,MATCH(Logic!$A62,inputs_EquipNo,0))&lt;&gt;"",INDEX(inputs_HeatRecReq,MATCH(Logic!$A62,inputs_EquipNo,0)),"")</f>
        <v/>
      </c>
      <c r="H62" s="348"/>
      <c r="I62" s="217"/>
      <c r="J62" s="217"/>
      <c r="K62" s="217"/>
      <c r="L62" s="217"/>
      <c r="M62" s="217"/>
      <c r="N62" s="146"/>
      <c r="O62" s="146"/>
      <c r="P62" s="146"/>
      <c r="Q62" s="217"/>
      <c r="R62" s="217"/>
      <c r="S62" s="217"/>
      <c r="T62" s="217"/>
      <c r="U62" s="217"/>
      <c r="V62" s="217"/>
      <c r="W62" s="217"/>
      <c r="X62" s="217"/>
      <c r="Y62" s="217"/>
      <c r="Z62" s="217"/>
      <c r="AA62" s="31"/>
    </row>
    <row r="63" spans="1:27" ht="18" hidden="1" customHeight="1" outlineLevel="2">
      <c r="A63" s="188">
        <v>42</v>
      </c>
      <c r="B63" s="187" t="str">
        <f>IF(INDEX(inputs_EquipTag,MATCH(Logic!$A63,inputs_EquipNo,0))&lt;&gt;"",INDEX(inputs_EquipTag,MATCH(Logic!$A63,inputs_EquipNo,0)),"")</f>
        <v/>
      </c>
      <c r="C63" s="187" t="str">
        <f>IF(INDEX(inputs_EquipType,MATCH(Logic!$A63,inputs_EquipNo,0))&lt;&gt;"",INDEX(inputs_EquipType,MATCH(Logic!$A63,inputs_EquipNo,0)),"")</f>
        <v/>
      </c>
      <c r="D63" s="196" t="str">
        <f>IF(INDEX(inputs_VentEquipQuant,MATCH(Logic!$A63,inputs_EquipNo,0))&lt;&gt;"",INDEX(inputs_VentEquipQuant,MATCH(Logic!$A63,inputs_EquipNo,0)),"")</f>
        <v/>
      </c>
      <c r="E63" s="198" t="str">
        <f>IF(INDEX(inputs_OutdoorAirFlow,MATCH(Logic!$A63,inputs_EquipNo,0))&lt;&gt;"",INDEX(inputs_OutdoorAirFlow,MATCH(Logic!$A63,inputs_EquipNo,0)),"")</f>
        <v/>
      </c>
      <c r="F63" s="199" t="str">
        <f t="shared" si="0"/>
        <v/>
      </c>
      <c r="G63" s="347" t="str">
        <f>IF(INDEX(inputs_HeatRecReq,MATCH(Logic!$A63,inputs_EquipNo,0))&lt;&gt;"",INDEX(inputs_HeatRecReq,MATCH(Logic!$A63,inputs_EquipNo,0)),"")</f>
        <v/>
      </c>
      <c r="H63" s="348"/>
      <c r="I63" s="217"/>
      <c r="J63" s="217"/>
      <c r="K63" s="217"/>
      <c r="L63" s="217"/>
      <c r="M63" s="217"/>
      <c r="N63" s="146"/>
      <c r="O63" s="146"/>
      <c r="P63" s="146"/>
      <c r="Q63" s="217"/>
      <c r="R63" s="217"/>
      <c r="S63" s="217"/>
      <c r="T63" s="217"/>
      <c r="U63" s="217"/>
      <c r="V63" s="217"/>
      <c r="W63" s="217"/>
      <c r="X63" s="217"/>
      <c r="Y63" s="217"/>
      <c r="Z63" s="217"/>
      <c r="AA63" s="31"/>
    </row>
    <row r="64" spans="1:27" ht="18" hidden="1" customHeight="1" outlineLevel="2">
      <c r="A64" s="188">
        <v>43</v>
      </c>
      <c r="B64" s="187" t="str">
        <f>IF(INDEX(inputs_EquipTag,MATCH(Logic!$A64,inputs_EquipNo,0))&lt;&gt;"",INDEX(inputs_EquipTag,MATCH(Logic!$A64,inputs_EquipNo,0)),"")</f>
        <v/>
      </c>
      <c r="C64" s="187" t="str">
        <f>IF(INDEX(inputs_EquipType,MATCH(Logic!$A64,inputs_EquipNo,0))&lt;&gt;"",INDEX(inputs_EquipType,MATCH(Logic!$A64,inputs_EquipNo,0)),"")</f>
        <v/>
      </c>
      <c r="D64" s="196" t="str">
        <f>IF(INDEX(inputs_VentEquipQuant,MATCH(Logic!$A64,inputs_EquipNo,0))&lt;&gt;"",INDEX(inputs_VentEquipQuant,MATCH(Logic!$A64,inputs_EquipNo,0)),"")</f>
        <v/>
      </c>
      <c r="E64" s="198" t="str">
        <f>IF(INDEX(inputs_OutdoorAirFlow,MATCH(Logic!$A64,inputs_EquipNo,0))&lt;&gt;"",INDEX(inputs_OutdoorAirFlow,MATCH(Logic!$A64,inputs_EquipNo,0)),"")</f>
        <v/>
      </c>
      <c r="F64" s="199" t="str">
        <f t="shared" si="0"/>
        <v/>
      </c>
      <c r="G64" s="347" t="str">
        <f>IF(INDEX(inputs_HeatRecReq,MATCH(Logic!$A64,inputs_EquipNo,0))&lt;&gt;"",INDEX(inputs_HeatRecReq,MATCH(Logic!$A64,inputs_EquipNo,0)),"")</f>
        <v/>
      </c>
      <c r="H64" s="348"/>
      <c r="I64" s="217"/>
      <c r="J64" s="217"/>
      <c r="K64" s="217"/>
      <c r="L64" s="217"/>
      <c r="M64" s="217"/>
      <c r="N64" s="146"/>
      <c r="O64" s="146"/>
      <c r="P64" s="146"/>
      <c r="Q64" s="217"/>
      <c r="R64" s="217"/>
      <c r="S64" s="217"/>
      <c r="T64" s="217"/>
      <c r="U64" s="217"/>
      <c r="V64" s="217"/>
      <c r="W64" s="217"/>
      <c r="X64" s="217"/>
      <c r="Y64" s="217"/>
      <c r="Z64" s="217"/>
      <c r="AA64" s="31"/>
    </row>
    <row r="65" spans="1:27" ht="18" hidden="1" customHeight="1" outlineLevel="2">
      <c r="A65" s="188">
        <v>44</v>
      </c>
      <c r="B65" s="187" t="str">
        <f>IF(INDEX(inputs_EquipTag,MATCH(Logic!$A65,inputs_EquipNo,0))&lt;&gt;"",INDEX(inputs_EquipTag,MATCH(Logic!$A65,inputs_EquipNo,0)),"")</f>
        <v/>
      </c>
      <c r="C65" s="187" t="str">
        <f>IF(INDEX(inputs_EquipType,MATCH(Logic!$A65,inputs_EquipNo,0))&lt;&gt;"",INDEX(inputs_EquipType,MATCH(Logic!$A65,inputs_EquipNo,0)),"")</f>
        <v/>
      </c>
      <c r="D65" s="196" t="str">
        <f>IF(INDEX(inputs_VentEquipQuant,MATCH(Logic!$A65,inputs_EquipNo,0))&lt;&gt;"",INDEX(inputs_VentEquipQuant,MATCH(Logic!$A65,inputs_EquipNo,0)),"")</f>
        <v/>
      </c>
      <c r="E65" s="198" t="str">
        <f>IF(INDEX(inputs_OutdoorAirFlow,MATCH(Logic!$A65,inputs_EquipNo,0))&lt;&gt;"",INDEX(inputs_OutdoorAirFlow,MATCH(Logic!$A65,inputs_EquipNo,0)),"")</f>
        <v/>
      </c>
      <c r="F65" s="199" t="str">
        <f t="shared" si="0"/>
        <v/>
      </c>
      <c r="G65" s="347" t="str">
        <f>IF(INDEX(inputs_HeatRecReq,MATCH(Logic!$A65,inputs_EquipNo,0))&lt;&gt;"",INDEX(inputs_HeatRecReq,MATCH(Logic!$A65,inputs_EquipNo,0)),"")</f>
        <v/>
      </c>
      <c r="H65" s="348"/>
      <c r="I65" s="217"/>
      <c r="J65" s="216"/>
      <c r="K65" s="216"/>
      <c r="L65" s="216"/>
      <c r="M65" s="217"/>
      <c r="N65" s="146"/>
      <c r="O65" s="146"/>
      <c r="P65" s="146"/>
      <c r="Q65" s="217"/>
      <c r="R65" s="217"/>
      <c r="S65" s="217"/>
      <c r="T65" s="217"/>
      <c r="U65" s="217"/>
      <c r="V65" s="217"/>
      <c r="W65" s="217"/>
      <c r="X65" s="217"/>
      <c r="Y65" s="217"/>
      <c r="Z65" s="217"/>
      <c r="AA65" s="218"/>
    </row>
    <row r="66" spans="1:27" ht="18" hidden="1" customHeight="1" outlineLevel="2">
      <c r="A66" s="188">
        <v>45</v>
      </c>
      <c r="B66" s="187" t="str">
        <f>IF(INDEX(inputs_EquipTag,MATCH(Logic!$A66,inputs_EquipNo,0))&lt;&gt;"",INDEX(inputs_EquipTag,MATCH(Logic!$A66,inputs_EquipNo,0)),"")</f>
        <v/>
      </c>
      <c r="C66" s="187" t="str">
        <f>IF(INDEX(inputs_EquipType,MATCH(Logic!$A66,inputs_EquipNo,0))&lt;&gt;"",INDEX(inputs_EquipType,MATCH(Logic!$A66,inputs_EquipNo,0)),"")</f>
        <v/>
      </c>
      <c r="D66" s="196" t="str">
        <f>IF(INDEX(inputs_VentEquipQuant,MATCH(Logic!$A66,inputs_EquipNo,0))&lt;&gt;"",INDEX(inputs_VentEquipQuant,MATCH(Logic!$A66,inputs_EquipNo,0)),"")</f>
        <v/>
      </c>
      <c r="E66" s="198" t="str">
        <f>IF(INDEX(inputs_OutdoorAirFlow,MATCH(Logic!$A66,inputs_EquipNo,0))&lt;&gt;"",INDEX(inputs_OutdoorAirFlow,MATCH(Logic!$A66,inputs_EquipNo,0)),"")</f>
        <v/>
      </c>
      <c r="F66" s="199" t="str">
        <f t="shared" si="0"/>
        <v/>
      </c>
      <c r="G66" s="347" t="str">
        <f>IF(INDEX(inputs_HeatRecReq,MATCH(Logic!$A66,inputs_EquipNo,0))&lt;&gt;"",INDEX(inputs_HeatRecReq,MATCH(Logic!$A66,inputs_EquipNo,0)),"")</f>
        <v/>
      </c>
      <c r="H66" s="348"/>
      <c r="I66" s="217"/>
      <c r="J66" s="217"/>
      <c r="K66" s="217"/>
      <c r="L66" s="217"/>
      <c r="M66" s="217"/>
      <c r="N66" s="146"/>
      <c r="O66" s="146"/>
      <c r="P66" s="146"/>
      <c r="Q66" s="217"/>
      <c r="R66" s="217"/>
      <c r="S66" s="217"/>
      <c r="T66" s="217"/>
      <c r="U66" s="217"/>
      <c r="V66" s="217"/>
      <c r="W66" s="217"/>
      <c r="X66" s="217"/>
      <c r="Y66" s="217"/>
      <c r="Z66" s="217"/>
      <c r="AA66" s="218"/>
    </row>
    <row r="67" spans="1:27" ht="18" hidden="1" customHeight="1" outlineLevel="2">
      <c r="A67" s="188">
        <v>46</v>
      </c>
      <c r="B67" s="187" t="str">
        <f>IF(INDEX(inputs_EquipTag,MATCH(Logic!$A67,inputs_EquipNo,0))&lt;&gt;"",INDEX(inputs_EquipTag,MATCH(Logic!$A67,inputs_EquipNo,0)),"")</f>
        <v/>
      </c>
      <c r="C67" s="187" t="str">
        <f>IF(INDEX(inputs_EquipType,MATCH(Logic!$A67,inputs_EquipNo,0))&lt;&gt;"",INDEX(inputs_EquipType,MATCH(Logic!$A67,inputs_EquipNo,0)),"")</f>
        <v/>
      </c>
      <c r="D67" s="196" t="str">
        <f>IF(INDEX(inputs_VentEquipQuant,MATCH(Logic!$A67,inputs_EquipNo,0))&lt;&gt;"",INDEX(inputs_VentEquipQuant,MATCH(Logic!$A67,inputs_EquipNo,0)),"")</f>
        <v/>
      </c>
      <c r="E67" s="198" t="str">
        <f>IF(INDEX(inputs_OutdoorAirFlow,MATCH(Logic!$A67,inputs_EquipNo,0))&lt;&gt;"",INDEX(inputs_OutdoorAirFlow,MATCH(Logic!$A67,inputs_EquipNo,0)),"")</f>
        <v/>
      </c>
      <c r="F67" s="199" t="str">
        <f t="shared" si="0"/>
        <v/>
      </c>
      <c r="G67" s="347" t="str">
        <f>IF(INDEX(inputs_HeatRecReq,MATCH(Logic!$A67,inputs_EquipNo,0))&lt;&gt;"",INDEX(inputs_HeatRecReq,MATCH(Logic!$A67,inputs_EquipNo,0)),"")</f>
        <v/>
      </c>
      <c r="H67" s="348"/>
      <c r="I67" s="217"/>
      <c r="J67" s="217"/>
      <c r="K67" s="217"/>
      <c r="L67" s="217"/>
      <c r="M67" s="217"/>
      <c r="N67" s="146"/>
      <c r="O67" s="146"/>
      <c r="P67" s="146"/>
      <c r="Q67" s="217"/>
      <c r="R67" s="217"/>
      <c r="S67" s="217"/>
      <c r="T67" s="217"/>
      <c r="U67" s="217"/>
      <c r="V67" s="217"/>
      <c r="W67" s="217"/>
      <c r="X67" s="217"/>
      <c r="Y67" s="217"/>
      <c r="Z67" s="217"/>
      <c r="AA67" s="31"/>
    </row>
    <row r="68" spans="1:27" ht="18" hidden="1" customHeight="1" outlineLevel="2">
      <c r="A68" s="188">
        <v>47</v>
      </c>
      <c r="B68" s="187" t="str">
        <f>IF(INDEX(inputs_EquipTag,MATCH(Logic!$A68,inputs_EquipNo,0))&lt;&gt;"",INDEX(inputs_EquipTag,MATCH(Logic!$A68,inputs_EquipNo,0)),"")</f>
        <v/>
      </c>
      <c r="C68" s="187" t="str">
        <f>IF(INDEX(inputs_EquipType,MATCH(Logic!$A68,inputs_EquipNo,0))&lt;&gt;"",INDEX(inputs_EquipType,MATCH(Logic!$A68,inputs_EquipNo,0)),"")</f>
        <v/>
      </c>
      <c r="D68" s="196" t="str">
        <f>IF(INDEX(inputs_VentEquipQuant,MATCH(Logic!$A68,inputs_EquipNo,0))&lt;&gt;"",INDEX(inputs_VentEquipQuant,MATCH(Logic!$A68,inputs_EquipNo,0)),"")</f>
        <v/>
      </c>
      <c r="E68" s="198" t="str">
        <f>IF(INDEX(inputs_OutdoorAirFlow,MATCH(Logic!$A68,inputs_EquipNo,0))&lt;&gt;"",INDEX(inputs_OutdoorAirFlow,MATCH(Logic!$A68,inputs_EquipNo,0)),"")</f>
        <v/>
      </c>
      <c r="F68" s="199" t="str">
        <f t="shared" si="0"/>
        <v/>
      </c>
      <c r="G68" s="347" t="str">
        <f>IF(INDEX(inputs_HeatRecReq,MATCH(Logic!$A68,inputs_EquipNo,0))&lt;&gt;"",INDEX(inputs_HeatRecReq,MATCH(Logic!$A68,inputs_EquipNo,0)),"")</f>
        <v/>
      </c>
      <c r="H68" s="348"/>
      <c r="I68" s="217"/>
      <c r="J68" s="217"/>
      <c r="K68" s="217"/>
      <c r="L68" s="217"/>
      <c r="M68" s="217"/>
      <c r="N68" s="146"/>
      <c r="O68" s="146"/>
      <c r="P68" s="146"/>
      <c r="Q68" s="217"/>
      <c r="R68" s="217"/>
      <c r="S68" s="217"/>
      <c r="T68" s="217"/>
      <c r="U68" s="217"/>
      <c r="V68" s="217"/>
      <c r="W68" s="217"/>
      <c r="X68" s="217"/>
      <c r="Y68" s="217"/>
      <c r="Z68" s="217"/>
      <c r="AA68" s="31"/>
    </row>
    <row r="69" spans="1:27" ht="18" hidden="1" customHeight="1" outlineLevel="2">
      <c r="A69" s="188">
        <v>48</v>
      </c>
      <c r="B69" s="187" t="str">
        <f>IF(INDEX(inputs_EquipTag,MATCH(Logic!$A69,inputs_EquipNo,0))&lt;&gt;"",INDEX(inputs_EquipTag,MATCH(Logic!$A69,inputs_EquipNo,0)),"")</f>
        <v/>
      </c>
      <c r="C69" s="187" t="str">
        <f>IF(INDEX(inputs_EquipType,MATCH(Logic!$A69,inputs_EquipNo,0))&lt;&gt;"",INDEX(inputs_EquipType,MATCH(Logic!$A69,inputs_EquipNo,0)),"")</f>
        <v/>
      </c>
      <c r="D69" s="196" t="str">
        <f>IF(INDEX(inputs_VentEquipQuant,MATCH(Logic!$A69,inputs_EquipNo,0))&lt;&gt;"",INDEX(inputs_VentEquipQuant,MATCH(Logic!$A69,inputs_EquipNo,0)),"")</f>
        <v/>
      </c>
      <c r="E69" s="198" t="str">
        <f>IF(INDEX(inputs_OutdoorAirFlow,MATCH(Logic!$A69,inputs_EquipNo,0))&lt;&gt;"",INDEX(inputs_OutdoorAirFlow,MATCH(Logic!$A69,inputs_EquipNo,0)),"")</f>
        <v/>
      </c>
      <c r="F69" s="199" t="str">
        <f t="shared" si="0"/>
        <v/>
      </c>
      <c r="G69" s="347" t="str">
        <f>IF(INDEX(inputs_HeatRecReq,MATCH(Logic!$A69,inputs_EquipNo,0))&lt;&gt;"",INDEX(inputs_HeatRecReq,MATCH(Logic!$A69,inputs_EquipNo,0)),"")</f>
        <v/>
      </c>
      <c r="H69" s="348"/>
      <c r="I69" s="217"/>
      <c r="J69" s="217"/>
      <c r="K69" s="217"/>
      <c r="L69" s="217"/>
      <c r="M69" s="217"/>
      <c r="N69" s="146"/>
      <c r="O69" s="146"/>
      <c r="P69" s="146"/>
      <c r="Q69" s="217"/>
      <c r="R69" s="217"/>
      <c r="S69" s="217"/>
      <c r="T69" s="217"/>
      <c r="U69" s="217"/>
      <c r="V69" s="217"/>
      <c r="W69" s="217"/>
      <c r="X69" s="217"/>
      <c r="Y69" s="217"/>
      <c r="Z69" s="217"/>
      <c r="AA69" s="31"/>
    </row>
    <row r="70" spans="1:27" ht="18" hidden="1" customHeight="1" outlineLevel="2">
      <c r="A70" s="188">
        <v>49</v>
      </c>
      <c r="B70" s="187" t="str">
        <f>IF(INDEX(inputs_EquipTag,MATCH(Logic!$A70,inputs_EquipNo,0))&lt;&gt;"",INDEX(inputs_EquipTag,MATCH(Logic!$A70,inputs_EquipNo,0)),"")</f>
        <v/>
      </c>
      <c r="C70" s="187" t="str">
        <f>IF(INDEX(inputs_EquipType,MATCH(Logic!$A70,inputs_EquipNo,0))&lt;&gt;"",INDEX(inputs_EquipType,MATCH(Logic!$A70,inputs_EquipNo,0)),"")</f>
        <v/>
      </c>
      <c r="D70" s="196" t="str">
        <f>IF(INDEX(inputs_VentEquipQuant,MATCH(Logic!$A70,inputs_EquipNo,0))&lt;&gt;"",INDEX(inputs_VentEquipQuant,MATCH(Logic!$A70,inputs_EquipNo,0)),"")</f>
        <v/>
      </c>
      <c r="E70" s="198" t="str">
        <f>IF(INDEX(inputs_OutdoorAirFlow,MATCH(Logic!$A70,inputs_EquipNo,0))&lt;&gt;"",INDEX(inputs_OutdoorAirFlow,MATCH(Logic!$A70,inputs_EquipNo,0)),"")</f>
        <v/>
      </c>
      <c r="F70" s="199" t="str">
        <f t="shared" si="0"/>
        <v/>
      </c>
      <c r="G70" s="347" t="str">
        <f>IF(INDEX(inputs_HeatRecReq,MATCH(Logic!$A70,inputs_EquipNo,0))&lt;&gt;"",INDEX(inputs_HeatRecReq,MATCH(Logic!$A70,inputs_EquipNo,0)),"")</f>
        <v/>
      </c>
      <c r="H70" s="348"/>
      <c r="I70" s="217"/>
      <c r="J70" s="217"/>
      <c r="K70" s="217"/>
      <c r="L70" s="217"/>
      <c r="M70" s="217"/>
      <c r="N70" s="146"/>
      <c r="O70" s="146"/>
      <c r="P70" s="146"/>
      <c r="Q70" s="217"/>
      <c r="R70" s="217"/>
      <c r="S70" s="217"/>
      <c r="T70" s="217"/>
      <c r="U70" s="217"/>
      <c r="V70" s="217"/>
      <c r="W70" s="217"/>
      <c r="X70" s="217"/>
      <c r="Y70" s="217"/>
      <c r="Z70" s="217"/>
      <c r="AA70" s="31"/>
    </row>
    <row r="71" spans="1:27" ht="18" hidden="1" customHeight="1" outlineLevel="2">
      <c r="A71" s="188">
        <v>50</v>
      </c>
      <c r="B71" s="187" t="str">
        <f>IF(INDEX(inputs_EquipTag,MATCH(Logic!$A71,inputs_EquipNo,0))&lt;&gt;"",INDEX(inputs_EquipTag,MATCH(Logic!$A71,inputs_EquipNo,0)),"")</f>
        <v/>
      </c>
      <c r="C71" s="187" t="str">
        <f>IF(INDEX(inputs_EquipType,MATCH(Logic!$A71,inputs_EquipNo,0))&lt;&gt;"",INDEX(inputs_EquipType,MATCH(Logic!$A71,inputs_EquipNo,0)),"")</f>
        <v/>
      </c>
      <c r="D71" s="196" t="str">
        <f>IF(INDEX(inputs_VentEquipQuant,MATCH(Logic!$A71,inputs_EquipNo,0))&lt;&gt;"",INDEX(inputs_VentEquipQuant,MATCH(Logic!$A71,inputs_EquipNo,0)),"")</f>
        <v/>
      </c>
      <c r="E71" s="198" t="str">
        <f>IF(INDEX(inputs_OutdoorAirFlow,MATCH(Logic!$A71,inputs_EquipNo,0))&lt;&gt;"",INDEX(inputs_OutdoorAirFlow,MATCH(Logic!$A71,inputs_EquipNo,0)),"")</f>
        <v/>
      </c>
      <c r="F71" s="199" t="str">
        <f t="shared" si="0"/>
        <v/>
      </c>
      <c r="G71" s="347" t="str">
        <f>IF(INDEX(inputs_HeatRecReq,MATCH(Logic!$A71,inputs_EquipNo,0))&lt;&gt;"",INDEX(inputs_HeatRecReq,MATCH(Logic!$A71,inputs_EquipNo,0)),"")</f>
        <v/>
      </c>
      <c r="H71" s="348"/>
      <c r="I71" s="217"/>
      <c r="J71" s="217"/>
      <c r="K71" s="217"/>
      <c r="L71" s="217"/>
      <c r="M71" s="217"/>
      <c r="N71" s="146"/>
      <c r="O71" s="146"/>
      <c r="P71" s="146"/>
      <c r="Q71" s="217"/>
      <c r="R71" s="217"/>
      <c r="S71" s="217"/>
      <c r="T71" s="217"/>
      <c r="U71" s="217"/>
      <c r="V71" s="217"/>
      <c r="W71" s="217"/>
      <c r="X71" s="217"/>
      <c r="Y71" s="217"/>
      <c r="Z71" s="217"/>
      <c r="AA71" s="31"/>
    </row>
    <row r="72" spans="1:27" ht="18" hidden="1" customHeight="1" outlineLevel="2">
      <c r="A72" s="188">
        <v>51</v>
      </c>
      <c r="B72" s="187" t="str">
        <f>IF(INDEX(inputs_EquipTag,MATCH(Logic!$A72,inputs_EquipNo,0))&lt;&gt;"",INDEX(inputs_EquipTag,MATCH(Logic!$A72,inputs_EquipNo,0)),"")</f>
        <v/>
      </c>
      <c r="C72" s="187" t="str">
        <f>IF(INDEX(inputs_EquipType,MATCH(Logic!$A72,inputs_EquipNo,0))&lt;&gt;"",INDEX(inputs_EquipType,MATCH(Logic!$A72,inputs_EquipNo,0)),"")</f>
        <v/>
      </c>
      <c r="D72" s="196" t="str">
        <f>IF(INDEX(inputs_VentEquipQuant,MATCH(Logic!$A72,inputs_EquipNo,0))&lt;&gt;"",INDEX(inputs_VentEquipQuant,MATCH(Logic!$A72,inputs_EquipNo,0)),"")</f>
        <v/>
      </c>
      <c r="E72" s="198" t="str">
        <f>IF(INDEX(inputs_OutdoorAirFlow,MATCH(Logic!$A72,inputs_EquipNo,0))&lt;&gt;"",INDEX(inputs_OutdoorAirFlow,MATCH(Logic!$A72,inputs_EquipNo,0)),"")</f>
        <v/>
      </c>
      <c r="F72" s="199" t="str">
        <f t="shared" si="0"/>
        <v/>
      </c>
      <c r="G72" s="347" t="str">
        <f>IF(INDEX(inputs_HeatRecReq,MATCH(Logic!$A72,inputs_EquipNo,0))&lt;&gt;"",INDEX(inputs_HeatRecReq,MATCH(Logic!$A72,inputs_EquipNo,0)),"")</f>
        <v/>
      </c>
      <c r="H72" s="348"/>
      <c r="I72" s="217"/>
      <c r="J72" s="217"/>
      <c r="K72" s="217"/>
      <c r="L72" s="217"/>
      <c r="M72" s="217"/>
      <c r="N72" s="146"/>
      <c r="O72" s="146"/>
      <c r="P72" s="146"/>
      <c r="Q72" s="217"/>
      <c r="R72" s="217"/>
      <c r="S72" s="217"/>
      <c r="T72" s="217"/>
      <c r="U72" s="217"/>
      <c r="V72" s="217"/>
      <c r="W72" s="217"/>
      <c r="X72" s="217"/>
      <c r="Y72" s="217"/>
      <c r="Z72" s="217"/>
      <c r="AA72" s="31"/>
    </row>
    <row r="73" spans="1:27" ht="18" hidden="1" customHeight="1" outlineLevel="1" collapsed="1">
      <c r="A73" s="188">
        <v>52</v>
      </c>
      <c r="B73" s="187" t="str">
        <f>IF(INDEX(inputs_EquipTag,MATCH(Logic!$A73,inputs_EquipNo,0))&lt;&gt;"",INDEX(inputs_EquipTag,MATCH(Logic!$A73,inputs_EquipNo,0)),"")</f>
        <v/>
      </c>
      <c r="C73" s="187" t="str">
        <f>IF(INDEX(inputs_EquipType,MATCH(Logic!$A73,inputs_EquipNo,0))&lt;&gt;"",INDEX(inputs_EquipType,MATCH(Logic!$A73,inputs_EquipNo,0)),"")</f>
        <v/>
      </c>
      <c r="D73" s="196" t="str">
        <f>IF(INDEX(inputs_VentEquipQuant,MATCH(Logic!$A73,inputs_EquipNo,0))&lt;&gt;"",INDEX(inputs_VentEquipQuant,MATCH(Logic!$A73,inputs_EquipNo,0)),"")</f>
        <v/>
      </c>
      <c r="E73" s="198" t="str">
        <f>IF(INDEX(inputs_OutdoorAirFlow,MATCH(Logic!$A73,inputs_EquipNo,0))&lt;&gt;"",INDEX(inputs_OutdoorAirFlow,MATCH(Logic!$A73,inputs_EquipNo,0)),"")</f>
        <v/>
      </c>
      <c r="F73" s="199" t="str">
        <f t="shared" si="0"/>
        <v/>
      </c>
      <c r="G73" s="347" t="str">
        <f>IF(INDEX(inputs_HeatRecReq,MATCH(Logic!$A73,inputs_EquipNo,0))&lt;&gt;"",INDEX(inputs_HeatRecReq,MATCH(Logic!$A73,inputs_EquipNo,0)),"")</f>
        <v/>
      </c>
      <c r="H73" s="348"/>
      <c r="I73" s="159" t="s">
        <v>170</v>
      </c>
      <c r="J73" s="217"/>
      <c r="K73" s="217"/>
      <c r="L73" s="217"/>
      <c r="M73" s="217"/>
      <c r="N73" s="146"/>
      <c r="O73" s="146"/>
      <c r="P73" s="146"/>
      <c r="Q73" s="217"/>
      <c r="R73" s="217"/>
      <c r="S73" s="217"/>
      <c r="T73" s="217"/>
      <c r="U73" s="217"/>
      <c r="V73" s="217"/>
      <c r="W73" s="217"/>
      <c r="X73" s="217"/>
      <c r="Y73" s="151"/>
      <c r="Z73" s="151"/>
      <c r="AA73" s="31"/>
    </row>
    <row r="74" spans="1:27" ht="18" hidden="1" customHeight="1" outlineLevel="2">
      <c r="A74" s="188">
        <v>53</v>
      </c>
      <c r="B74" s="187" t="str">
        <f>IF(INDEX(inputs_EquipTag,MATCH(Logic!$A74,inputs_EquipNo,0))&lt;&gt;"",INDEX(inputs_EquipTag,MATCH(Logic!$A74,inputs_EquipNo,0)),"")</f>
        <v/>
      </c>
      <c r="C74" s="187" t="str">
        <f>IF(INDEX(inputs_EquipType,MATCH(Logic!$A74,inputs_EquipNo,0))&lt;&gt;"",INDEX(inputs_EquipType,MATCH(Logic!$A74,inputs_EquipNo,0)),"")</f>
        <v/>
      </c>
      <c r="D74" s="196" t="str">
        <f>IF(INDEX(inputs_VentEquipQuant,MATCH(Logic!$A74,inputs_EquipNo,0))&lt;&gt;"",INDEX(inputs_VentEquipQuant,MATCH(Logic!$A74,inputs_EquipNo,0)),"")</f>
        <v/>
      </c>
      <c r="E74" s="198" t="str">
        <f>IF(INDEX(inputs_OutdoorAirFlow,MATCH(Logic!$A74,inputs_EquipNo,0))&lt;&gt;"",INDEX(inputs_OutdoorAirFlow,MATCH(Logic!$A74,inputs_EquipNo,0)),"")</f>
        <v/>
      </c>
      <c r="F74" s="199" t="str">
        <f t="shared" si="0"/>
        <v/>
      </c>
      <c r="G74" s="347" t="str">
        <f>IF(INDEX(inputs_HeatRecReq,MATCH(Logic!$A74,inputs_EquipNo,0))&lt;&gt;"",INDEX(inputs_HeatRecReq,MATCH(Logic!$A74,inputs_EquipNo,0)),"")</f>
        <v/>
      </c>
      <c r="H74" s="348"/>
      <c r="I74" s="217"/>
      <c r="J74" s="217"/>
      <c r="K74" s="217"/>
      <c r="L74" s="217"/>
      <c r="M74" s="217"/>
      <c r="N74" s="146"/>
      <c r="O74" s="146"/>
      <c r="P74" s="146"/>
      <c r="Q74" s="217"/>
      <c r="R74" s="217"/>
      <c r="S74" s="217"/>
      <c r="T74" s="217"/>
      <c r="U74" s="217"/>
      <c r="V74" s="217"/>
      <c r="W74" s="217"/>
      <c r="X74" s="217"/>
      <c r="Y74" s="217"/>
      <c r="Z74" s="217"/>
      <c r="AA74" s="31"/>
    </row>
    <row r="75" spans="1:27" ht="18" hidden="1" customHeight="1" outlineLevel="2" collapsed="1">
      <c r="A75" s="188">
        <v>54</v>
      </c>
      <c r="B75" s="187" t="str">
        <f>IF(INDEX(inputs_EquipTag,MATCH(Logic!$A75,inputs_EquipNo,0))&lt;&gt;"",INDEX(inputs_EquipTag,MATCH(Logic!$A75,inputs_EquipNo,0)),"")</f>
        <v/>
      </c>
      <c r="C75" s="187" t="str">
        <f>IF(INDEX(inputs_EquipType,MATCH(Logic!$A75,inputs_EquipNo,0))&lt;&gt;"",INDEX(inputs_EquipType,MATCH(Logic!$A75,inputs_EquipNo,0)),"")</f>
        <v/>
      </c>
      <c r="D75" s="196" t="str">
        <f>IF(INDEX(inputs_VentEquipQuant,MATCH(Logic!$A75,inputs_EquipNo,0))&lt;&gt;"",INDEX(inputs_VentEquipQuant,MATCH(Logic!$A75,inputs_EquipNo,0)),"")</f>
        <v/>
      </c>
      <c r="E75" s="198" t="str">
        <f>IF(INDEX(inputs_OutdoorAirFlow,MATCH(Logic!$A75,inputs_EquipNo,0))&lt;&gt;"",INDEX(inputs_OutdoorAirFlow,MATCH(Logic!$A75,inputs_EquipNo,0)),"")</f>
        <v/>
      </c>
      <c r="F75" s="199" t="str">
        <f t="shared" si="0"/>
        <v/>
      </c>
      <c r="G75" s="347" t="str">
        <f>IF(INDEX(inputs_HeatRecReq,MATCH(Logic!$A75,inputs_EquipNo,0))&lt;&gt;"",INDEX(inputs_HeatRecReq,MATCH(Logic!$A75,inputs_EquipNo,0)),"")</f>
        <v/>
      </c>
      <c r="H75" s="348"/>
      <c r="I75" s="217"/>
      <c r="J75" s="217"/>
      <c r="K75" s="217"/>
      <c r="L75" s="217"/>
      <c r="M75" s="217"/>
      <c r="N75" s="146"/>
      <c r="O75" s="146"/>
      <c r="P75" s="146"/>
      <c r="Q75" s="217"/>
      <c r="R75" s="217"/>
      <c r="S75" s="217"/>
      <c r="T75" s="217"/>
      <c r="U75" s="217"/>
      <c r="V75" s="217"/>
      <c r="W75" s="217"/>
      <c r="X75" s="217"/>
      <c r="Y75" s="217"/>
      <c r="Z75" s="217"/>
      <c r="AA75" s="31"/>
    </row>
    <row r="76" spans="1:27" ht="18" hidden="1" customHeight="1" outlineLevel="2">
      <c r="A76" s="188">
        <v>55</v>
      </c>
      <c r="B76" s="187" t="str">
        <f>IF(INDEX(inputs_EquipTag,MATCH(Logic!$A76,inputs_EquipNo,0))&lt;&gt;"",INDEX(inputs_EquipTag,MATCH(Logic!$A76,inputs_EquipNo,0)),"")</f>
        <v/>
      </c>
      <c r="C76" s="187" t="str">
        <f>IF(INDEX(inputs_EquipType,MATCH(Logic!$A76,inputs_EquipNo,0))&lt;&gt;"",INDEX(inputs_EquipType,MATCH(Logic!$A76,inputs_EquipNo,0)),"")</f>
        <v/>
      </c>
      <c r="D76" s="196" t="str">
        <f>IF(INDEX(inputs_VentEquipQuant,MATCH(Logic!$A76,inputs_EquipNo,0))&lt;&gt;"",INDEX(inputs_VentEquipQuant,MATCH(Logic!$A76,inputs_EquipNo,0)),"")</f>
        <v/>
      </c>
      <c r="E76" s="198" t="str">
        <f>IF(INDEX(inputs_OutdoorAirFlow,MATCH(Logic!$A76,inputs_EquipNo,0))&lt;&gt;"",INDEX(inputs_OutdoorAirFlow,MATCH(Logic!$A76,inputs_EquipNo,0)),"")</f>
        <v/>
      </c>
      <c r="F76" s="199" t="str">
        <f t="shared" si="0"/>
        <v/>
      </c>
      <c r="G76" s="347" t="str">
        <f>IF(INDEX(inputs_HeatRecReq,MATCH(Logic!$A76,inputs_EquipNo,0))&lt;&gt;"",INDEX(inputs_HeatRecReq,MATCH(Logic!$A76,inputs_EquipNo,0)),"")</f>
        <v/>
      </c>
      <c r="H76" s="348"/>
      <c r="I76" s="217"/>
      <c r="J76" s="217"/>
      <c r="K76" s="217"/>
      <c r="L76" s="217"/>
      <c r="M76" s="217"/>
      <c r="N76" s="146"/>
      <c r="O76" s="146"/>
      <c r="P76" s="146"/>
      <c r="Q76" s="217"/>
      <c r="R76" s="217"/>
      <c r="S76" s="217"/>
      <c r="T76" s="217"/>
      <c r="U76" s="217"/>
      <c r="V76" s="217"/>
      <c r="W76" s="217"/>
      <c r="X76" s="217"/>
      <c r="Y76" s="217"/>
      <c r="Z76" s="217"/>
      <c r="AA76" s="31"/>
    </row>
    <row r="77" spans="1:27" ht="18" hidden="1" customHeight="1" outlineLevel="2" collapsed="1">
      <c r="A77" s="188">
        <v>56</v>
      </c>
      <c r="B77" s="187" t="str">
        <f>IF(INDEX(inputs_EquipTag,MATCH(Logic!$A77,inputs_EquipNo,0))&lt;&gt;"",INDEX(inputs_EquipTag,MATCH(Logic!$A77,inputs_EquipNo,0)),"")</f>
        <v/>
      </c>
      <c r="C77" s="187" t="str">
        <f>IF(INDEX(inputs_EquipType,MATCH(Logic!$A77,inputs_EquipNo,0))&lt;&gt;"",INDEX(inputs_EquipType,MATCH(Logic!$A77,inputs_EquipNo,0)),"")</f>
        <v/>
      </c>
      <c r="D77" s="196" t="str">
        <f>IF(INDEX(inputs_VentEquipQuant,MATCH(Logic!$A77,inputs_EquipNo,0))&lt;&gt;"",INDEX(inputs_VentEquipQuant,MATCH(Logic!$A77,inputs_EquipNo,0)),"")</f>
        <v/>
      </c>
      <c r="E77" s="198" t="str">
        <f>IF(INDEX(inputs_OutdoorAirFlow,MATCH(Logic!$A77,inputs_EquipNo,0))&lt;&gt;"",INDEX(inputs_OutdoorAirFlow,MATCH(Logic!$A77,inputs_EquipNo,0)),"")</f>
        <v/>
      </c>
      <c r="F77" s="199" t="str">
        <f t="shared" si="0"/>
        <v/>
      </c>
      <c r="G77" s="347" t="str">
        <f>IF(INDEX(inputs_HeatRecReq,MATCH(Logic!$A77,inputs_EquipNo,0))&lt;&gt;"",INDEX(inputs_HeatRecReq,MATCH(Logic!$A77,inputs_EquipNo,0)),"")</f>
        <v/>
      </c>
      <c r="H77" s="348"/>
      <c r="I77" s="217"/>
      <c r="J77" s="217"/>
      <c r="K77" s="217"/>
      <c r="L77" s="217"/>
      <c r="M77" s="217"/>
      <c r="N77" s="146"/>
      <c r="O77" s="146"/>
      <c r="P77" s="146"/>
      <c r="Q77" s="217"/>
      <c r="R77" s="217"/>
      <c r="S77" s="217"/>
      <c r="T77" s="217"/>
      <c r="U77" s="217"/>
      <c r="V77" s="217"/>
      <c r="W77" s="217"/>
      <c r="X77" s="217"/>
      <c r="Y77" s="217"/>
      <c r="Z77" s="217"/>
      <c r="AA77" s="31"/>
    </row>
    <row r="78" spans="1:27" ht="18" hidden="1" customHeight="1" outlineLevel="2">
      <c r="A78" s="188">
        <v>57</v>
      </c>
      <c r="B78" s="187" t="str">
        <f>IF(INDEX(inputs_EquipTag,MATCH(Logic!$A78,inputs_EquipNo,0))&lt;&gt;"",INDEX(inputs_EquipTag,MATCH(Logic!$A78,inputs_EquipNo,0)),"")</f>
        <v/>
      </c>
      <c r="C78" s="187" t="str">
        <f>IF(INDEX(inputs_EquipType,MATCH(Logic!$A78,inputs_EquipNo,0))&lt;&gt;"",INDEX(inputs_EquipType,MATCH(Logic!$A78,inputs_EquipNo,0)),"")</f>
        <v/>
      </c>
      <c r="D78" s="196" t="str">
        <f>IF(INDEX(inputs_VentEquipQuant,MATCH(Logic!$A78,inputs_EquipNo,0))&lt;&gt;"",INDEX(inputs_VentEquipQuant,MATCH(Logic!$A78,inputs_EquipNo,0)),"")</f>
        <v/>
      </c>
      <c r="E78" s="198" t="str">
        <f>IF(INDEX(inputs_OutdoorAirFlow,MATCH(Logic!$A78,inputs_EquipNo,0))&lt;&gt;"",INDEX(inputs_OutdoorAirFlow,MATCH(Logic!$A78,inputs_EquipNo,0)),"")</f>
        <v/>
      </c>
      <c r="F78" s="199" t="str">
        <f t="shared" si="0"/>
        <v/>
      </c>
      <c r="G78" s="347" t="str">
        <f>IF(INDEX(inputs_HeatRecReq,MATCH(Logic!$A78,inputs_EquipNo,0))&lt;&gt;"",INDEX(inputs_HeatRecReq,MATCH(Logic!$A78,inputs_EquipNo,0)),"")</f>
        <v/>
      </c>
      <c r="H78" s="348"/>
      <c r="I78" s="217"/>
      <c r="J78" s="217"/>
      <c r="K78" s="217"/>
      <c r="L78" s="217"/>
      <c r="M78" s="217"/>
      <c r="N78" s="146"/>
      <c r="O78" s="146"/>
      <c r="P78" s="146"/>
      <c r="Q78" s="217"/>
      <c r="R78" s="217"/>
      <c r="S78" s="217"/>
      <c r="T78" s="217"/>
      <c r="U78" s="217"/>
      <c r="V78" s="217"/>
      <c r="W78" s="217"/>
      <c r="X78" s="217"/>
      <c r="Y78" s="217"/>
      <c r="Z78" s="217"/>
      <c r="AA78" s="31"/>
    </row>
    <row r="79" spans="1:27" ht="18" hidden="1" customHeight="1" outlineLevel="2" collapsed="1">
      <c r="A79" s="188">
        <v>58</v>
      </c>
      <c r="B79" s="187" t="str">
        <f>IF(INDEX(inputs_EquipTag,MATCH(Logic!$A79,inputs_EquipNo,0))&lt;&gt;"",INDEX(inputs_EquipTag,MATCH(Logic!$A79,inputs_EquipNo,0)),"")</f>
        <v/>
      </c>
      <c r="C79" s="187" t="str">
        <f>IF(INDEX(inputs_EquipType,MATCH(Logic!$A79,inputs_EquipNo,0))&lt;&gt;"",INDEX(inputs_EquipType,MATCH(Logic!$A79,inputs_EquipNo,0)),"")</f>
        <v/>
      </c>
      <c r="D79" s="196" t="str">
        <f>IF(INDEX(inputs_VentEquipQuant,MATCH(Logic!$A79,inputs_EquipNo,0))&lt;&gt;"",INDEX(inputs_VentEquipQuant,MATCH(Logic!$A79,inputs_EquipNo,0)),"")</f>
        <v/>
      </c>
      <c r="E79" s="198" t="str">
        <f>IF(INDEX(inputs_OutdoorAirFlow,MATCH(Logic!$A79,inputs_EquipNo,0))&lt;&gt;"",INDEX(inputs_OutdoorAirFlow,MATCH(Logic!$A79,inputs_EquipNo,0)),"")</f>
        <v/>
      </c>
      <c r="F79" s="199" t="str">
        <f t="shared" si="0"/>
        <v/>
      </c>
      <c r="G79" s="347" t="str">
        <f>IF(INDEX(inputs_HeatRecReq,MATCH(Logic!$A79,inputs_EquipNo,0))&lt;&gt;"",INDEX(inputs_HeatRecReq,MATCH(Logic!$A79,inputs_EquipNo,0)),"")</f>
        <v/>
      </c>
      <c r="H79" s="348"/>
      <c r="I79" s="217"/>
      <c r="J79" s="217"/>
      <c r="K79" s="217"/>
      <c r="L79" s="217"/>
      <c r="M79" s="217"/>
      <c r="N79" s="146"/>
      <c r="O79" s="146"/>
      <c r="P79" s="146"/>
      <c r="Q79" s="217"/>
      <c r="R79" s="217"/>
      <c r="S79" s="217"/>
      <c r="T79" s="217"/>
      <c r="U79" s="217"/>
      <c r="V79" s="217"/>
      <c r="W79" s="217"/>
      <c r="X79" s="217"/>
      <c r="Y79" s="217"/>
      <c r="Z79" s="217"/>
      <c r="AA79" s="31"/>
    </row>
    <row r="80" spans="1:27" ht="18" hidden="1" customHeight="1" outlineLevel="2">
      <c r="A80" s="188">
        <v>59</v>
      </c>
      <c r="B80" s="187" t="str">
        <f>IF(INDEX(inputs_EquipTag,MATCH(Logic!$A80,inputs_EquipNo,0))&lt;&gt;"",INDEX(inputs_EquipTag,MATCH(Logic!$A80,inputs_EquipNo,0)),"")</f>
        <v/>
      </c>
      <c r="C80" s="187" t="str">
        <f>IF(INDEX(inputs_EquipType,MATCH(Logic!$A80,inputs_EquipNo,0))&lt;&gt;"",INDEX(inputs_EquipType,MATCH(Logic!$A80,inputs_EquipNo,0)),"")</f>
        <v/>
      </c>
      <c r="D80" s="196" t="str">
        <f>IF(INDEX(inputs_VentEquipQuant,MATCH(Logic!$A80,inputs_EquipNo,0))&lt;&gt;"",INDEX(inputs_VentEquipQuant,MATCH(Logic!$A80,inputs_EquipNo,0)),"")</f>
        <v/>
      </c>
      <c r="E80" s="198" t="str">
        <f>IF(INDEX(inputs_OutdoorAirFlow,MATCH(Logic!$A80,inputs_EquipNo,0))&lt;&gt;"",INDEX(inputs_OutdoorAirFlow,MATCH(Logic!$A80,inputs_EquipNo,0)),"")</f>
        <v/>
      </c>
      <c r="F80" s="199" t="str">
        <f t="shared" si="0"/>
        <v/>
      </c>
      <c r="G80" s="347" t="str">
        <f>IF(INDEX(inputs_HeatRecReq,MATCH(Logic!$A80,inputs_EquipNo,0))&lt;&gt;"",INDEX(inputs_HeatRecReq,MATCH(Logic!$A80,inputs_EquipNo,0)),"")</f>
        <v/>
      </c>
      <c r="H80" s="348"/>
      <c r="I80" s="217"/>
      <c r="J80" s="217"/>
      <c r="K80" s="217"/>
      <c r="L80" s="217"/>
      <c r="M80" s="217"/>
      <c r="N80" s="146"/>
      <c r="O80" s="146"/>
      <c r="P80" s="146"/>
      <c r="Q80" s="217"/>
      <c r="R80" s="217"/>
      <c r="S80" s="217"/>
      <c r="T80" s="217"/>
      <c r="U80" s="217"/>
      <c r="V80" s="217"/>
      <c r="W80" s="217"/>
      <c r="X80" s="217"/>
      <c r="Y80" s="217"/>
      <c r="Z80" s="217"/>
      <c r="AA80" s="31"/>
    </row>
    <row r="81" spans="1:27" ht="18" hidden="1" customHeight="1" outlineLevel="2" collapsed="1">
      <c r="A81" s="188">
        <v>60</v>
      </c>
      <c r="B81" s="187" t="str">
        <f>IF(INDEX(inputs_EquipTag,MATCH(Logic!$A81,inputs_EquipNo,0))&lt;&gt;"",INDEX(inputs_EquipTag,MATCH(Logic!$A81,inputs_EquipNo,0)),"")</f>
        <v/>
      </c>
      <c r="C81" s="187" t="str">
        <f>IF(INDEX(inputs_EquipType,MATCH(Logic!$A81,inputs_EquipNo,0))&lt;&gt;"",INDEX(inputs_EquipType,MATCH(Logic!$A81,inputs_EquipNo,0)),"")</f>
        <v/>
      </c>
      <c r="D81" s="196" t="str">
        <f>IF(INDEX(inputs_VentEquipQuant,MATCH(Logic!$A81,inputs_EquipNo,0))&lt;&gt;"",INDEX(inputs_VentEquipQuant,MATCH(Logic!$A81,inputs_EquipNo,0)),"")</f>
        <v/>
      </c>
      <c r="E81" s="198" t="str">
        <f>IF(INDEX(inputs_OutdoorAirFlow,MATCH(Logic!$A81,inputs_EquipNo,0))&lt;&gt;"",INDEX(inputs_OutdoorAirFlow,MATCH(Logic!$A81,inputs_EquipNo,0)),"")</f>
        <v/>
      </c>
      <c r="F81" s="199" t="str">
        <f t="shared" si="0"/>
        <v/>
      </c>
      <c r="G81" s="347" t="str">
        <f>IF(INDEX(inputs_HeatRecReq,MATCH(Logic!$A81,inputs_EquipNo,0))&lt;&gt;"",INDEX(inputs_HeatRecReq,MATCH(Logic!$A81,inputs_EquipNo,0)),"")</f>
        <v/>
      </c>
      <c r="H81" s="348"/>
      <c r="I81" s="217"/>
      <c r="J81" s="217"/>
      <c r="K81" s="217"/>
      <c r="L81" s="217"/>
      <c r="M81" s="217"/>
      <c r="N81" s="146"/>
      <c r="O81" s="146"/>
      <c r="P81" s="146"/>
      <c r="Q81" s="217"/>
      <c r="R81" s="217"/>
      <c r="S81" s="217"/>
      <c r="T81" s="217"/>
      <c r="U81" s="217"/>
      <c r="V81" s="217"/>
      <c r="W81" s="217"/>
      <c r="X81" s="217"/>
      <c r="Y81" s="217"/>
      <c r="Z81" s="217"/>
      <c r="AA81" s="31"/>
    </row>
    <row r="82" spans="1:27" ht="18" hidden="1" customHeight="1" outlineLevel="2">
      <c r="A82" s="188">
        <v>61</v>
      </c>
      <c r="B82" s="187" t="str">
        <f>IF(INDEX(inputs_EquipTag,MATCH(Logic!$A82,inputs_EquipNo,0))&lt;&gt;"",INDEX(inputs_EquipTag,MATCH(Logic!$A82,inputs_EquipNo,0)),"")</f>
        <v/>
      </c>
      <c r="C82" s="187" t="str">
        <f>IF(INDEX(inputs_EquipType,MATCH(Logic!$A82,inputs_EquipNo,0))&lt;&gt;"",INDEX(inputs_EquipType,MATCH(Logic!$A82,inputs_EquipNo,0)),"")</f>
        <v/>
      </c>
      <c r="D82" s="196" t="str">
        <f>IF(INDEX(inputs_VentEquipQuant,MATCH(Logic!$A82,inputs_EquipNo,0))&lt;&gt;"",INDEX(inputs_VentEquipQuant,MATCH(Logic!$A82,inputs_EquipNo,0)),"")</f>
        <v/>
      </c>
      <c r="E82" s="198" t="str">
        <f>IF(INDEX(inputs_OutdoorAirFlow,MATCH(Logic!$A82,inputs_EquipNo,0))&lt;&gt;"",INDEX(inputs_OutdoorAirFlow,MATCH(Logic!$A82,inputs_EquipNo,0)),"")</f>
        <v/>
      </c>
      <c r="F82" s="199" t="str">
        <f t="shared" si="0"/>
        <v/>
      </c>
      <c r="G82" s="347" t="str">
        <f>IF(INDEX(inputs_HeatRecReq,MATCH(Logic!$A82,inputs_EquipNo,0))&lt;&gt;"",INDEX(inputs_HeatRecReq,MATCH(Logic!$A82,inputs_EquipNo,0)),"")</f>
        <v/>
      </c>
      <c r="H82" s="348"/>
      <c r="I82" s="217"/>
      <c r="J82" s="217"/>
      <c r="K82" s="217"/>
      <c r="L82" s="217"/>
      <c r="M82" s="217"/>
      <c r="N82" s="146"/>
      <c r="O82" s="146"/>
      <c r="P82" s="146"/>
      <c r="Q82" s="217"/>
      <c r="R82" s="217"/>
      <c r="S82" s="217"/>
      <c r="T82" s="217"/>
      <c r="U82" s="217"/>
      <c r="V82" s="217"/>
      <c r="W82" s="217"/>
      <c r="X82" s="217"/>
      <c r="Y82" s="217"/>
      <c r="Z82" s="217"/>
      <c r="AA82" s="31"/>
    </row>
    <row r="83" spans="1:27" ht="18" hidden="1" customHeight="1" outlineLevel="2">
      <c r="A83" s="188">
        <v>62</v>
      </c>
      <c r="B83" s="187" t="str">
        <f>IF(INDEX(inputs_EquipTag,MATCH(Logic!$A83,inputs_EquipNo,0))&lt;&gt;"",INDEX(inputs_EquipTag,MATCH(Logic!$A83,inputs_EquipNo,0)),"")</f>
        <v/>
      </c>
      <c r="C83" s="187" t="str">
        <f>IF(INDEX(inputs_EquipType,MATCH(Logic!$A83,inputs_EquipNo,0))&lt;&gt;"",INDEX(inputs_EquipType,MATCH(Logic!$A83,inputs_EquipNo,0)),"")</f>
        <v/>
      </c>
      <c r="D83" s="196" t="str">
        <f>IF(INDEX(inputs_VentEquipQuant,MATCH(Logic!$A83,inputs_EquipNo,0))&lt;&gt;"",INDEX(inputs_VentEquipQuant,MATCH(Logic!$A83,inputs_EquipNo,0)),"")</f>
        <v/>
      </c>
      <c r="E83" s="198" t="str">
        <f>IF(INDEX(inputs_OutdoorAirFlow,MATCH(Logic!$A83,inputs_EquipNo,0))&lt;&gt;"",INDEX(inputs_OutdoorAirFlow,MATCH(Logic!$A83,inputs_EquipNo,0)),"")</f>
        <v/>
      </c>
      <c r="F83" s="199" t="str">
        <f t="shared" si="0"/>
        <v/>
      </c>
      <c r="G83" s="347" t="str">
        <f>IF(INDEX(inputs_HeatRecReq,MATCH(Logic!$A83,inputs_EquipNo,0))&lt;&gt;"",INDEX(inputs_HeatRecReq,MATCH(Logic!$A83,inputs_EquipNo,0)),"")</f>
        <v/>
      </c>
      <c r="H83" s="348"/>
      <c r="I83" s="217"/>
      <c r="J83" s="217"/>
      <c r="K83" s="217"/>
      <c r="L83" s="217"/>
      <c r="M83" s="217"/>
      <c r="N83" s="146"/>
      <c r="O83" s="146"/>
      <c r="P83" s="146"/>
      <c r="Q83" s="217"/>
      <c r="R83" s="217"/>
      <c r="S83" s="217"/>
      <c r="T83" s="217"/>
      <c r="U83" s="217"/>
      <c r="V83" s="217"/>
      <c r="W83" s="217"/>
      <c r="X83" s="217"/>
      <c r="Y83" s="217"/>
      <c r="Z83" s="217"/>
      <c r="AA83" s="31"/>
    </row>
    <row r="84" spans="1:27" ht="18" hidden="1" customHeight="1" outlineLevel="2">
      <c r="A84" s="188">
        <v>63</v>
      </c>
      <c r="B84" s="187" t="str">
        <f>IF(INDEX(inputs_EquipTag,MATCH(Logic!$A84,inputs_EquipNo,0))&lt;&gt;"",INDEX(inputs_EquipTag,MATCH(Logic!$A84,inputs_EquipNo,0)),"")</f>
        <v/>
      </c>
      <c r="C84" s="187" t="str">
        <f>IF(INDEX(inputs_EquipType,MATCH(Logic!$A84,inputs_EquipNo,0))&lt;&gt;"",INDEX(inputs_EquipType,MATCH(Logic!$A84,inputs_EquipNo,0)),"")</f>
        <v/>
      </c>
      <c r="D84" s="196" t="str">
        <f>IF(INDEX(inputs_VentEquipQuant,MATCH(Logic!$A84,inputs_EquipNo,0))&lt;&gt;"",INDEX(inputs_VentEquipQuant,MATCH(Logic!$A84,inputs_EquipNo,0)),"")</f>
        <v/>
      </c>
      <c r="E84" s="198" t="str">
        <f>IF(INDEX(inputs_OutdoorAirFlow,MATCH(Logic!$A84,inputs_EquipNo,0))&lt;&gt;"",INDEX(inputs_OutdoorAirFlow,MATCH(Logic!$A84,inputs_EquipNo,0)),"")</f>
        <v/>
      </c>
      <c r="F84" s="199" t="str">
        <f t="shared" si="0"/>
        <v/>
      </c>
      <c r="G84" s="347" t="str">
        <f>IF(INDEX(inputs_HeatRecReq,MATCH(Logic!$A84,inputs_EquipNo,0))&lt;&gt;"",INDEX(inputs_HeatRecReq,MATCH(Logic!$A84,inputs_EquipNo,0)),"")</f>
        <v/>
      </c>
      <c r="H84" s="348"/>
      <c r="I84" s="217"/>
      <c r="J84" s="217"/>
      <c r="K84" s="217"/>
      <c r="L84" s="217"/>
      <c r="M84" s="217"/>
      <c r="N84" s="146"/>
      <c r="O84" s="146"/>
      <c r="P84" s="146"/>
      <c r="Q84" s="217"/>
      <c r="R84" s="217"/>
      <c r="S84" s="217"/>
      <c r="T84" s="217"/>
      <c r="U84" s="217"/>
      <c r="V84" s="217"/>
      <c r="W84" s="217"/>
      <c r="X84" s="217"/>
      <c r="Y84" s="217"/>
      <c r="Z84" s="217"/>
      <c r="AA84" s="31"/>
    </row>
    <row r="85" spans="1:27" ht="18" hidden="1" customHeight="1" outlineLevel="2" collapsed="1">
      <c r="A85" s="188">
        <v>64</v>
      </c>
      <c r="B85" s="187" t="str">
        <f>IF(INDEX(inputs_EquipTag,MATCH(Logic!$A85,inputs_EquipNo,0))&lt;&gt;"",INDEX(inputs_EquipTag,MATCH(Logic!$A85,inputs_EquipNo,0)),"")</f>
        <v/>
      </c>
      <c r="C85" s="187" t="str">
        <f>IF(INDEX(inputs_EquipType,MATCH(Logic!$A85,inputs_EquipNo,0))&lt;&gt;"",INDEX(inputs_EquipType,MATCH(Logic!$A85,inputs_EquipNo,0)),"")</f>
        <v/>
      </c>
      <c r="D85" s="196" t="str">
        <f>IF(INDEX(inputs_VentEquipQuant,MATCH(Logic!$A85,inputs_EquipNo,0))&lt;&gt;"",INDEX(inputs_VentEquipQuant,MATCH(Logic!$A85,inputs_EquipNo,0)),"")</f>
        <v/>
      </c>
      <c r="E85" s="198" t="str">
        <f>IF(INDEX(inputs_OutdoorAirFlow,MATCH(Logic!$A85,inputs_EquipNo,0))&lt;&gt;"",INDEX(inputs_OutdoorAirFlow,MATCH(Logic!$A85,inputs_EquipNo,0)),"")</f>
        <v/>
      </c>
      <c r="F85" s="199" t="str">
        <f t="shared" si="0"/>
        <v/>
      </c>
      <c r="G85" s="347" t="str">
        <f>IF(INDEX(inputs_HeatRecReq,MATCH(Logic!$A85,inputs_EquipNo,0))&lt;&gt;"",INDEX(inputs_HeatRecReq,MATCH(Logic!$A85,inputs_EquipNo,0)),"")</f>
        <v/>
      </c>
      <c r="H85" s="348"/>
      <c r="I85" s="217"/>
      <c r="J85" s="217"/>
      <c r="K85" s="217"/>
      <c r="L85" s="217"/>
      <c r="M85" s="217"/>
      <c r="N85" s="146"/>
      <c r="O85" s="146"/>
      <c r="P85" s="146"/>
      <c r="Q85" s="217"/>
      <c r="R85" s="217"/>
      <c r="S85" s="217"/>
      <c r="T85" s="217"/>
      <c r="U85" s="217"/>
      <c r="V85" s="217"/>
      <c r="W85" s="217"/>
      <c r="X85" s="217"/>
      <c r="Y85" s="217"/>
      <c r="Z85" s="217"/>
      <c r="AA85" s="31"/>
    </row>
    <row r="86" spans="1:27" ht="18" hidden="1" customHeight="1" outlineLevel="2">
      <c r="A86" s="188">
        <v>65</v>
      </c>
      <c r="B86" s="187" t="str">
        <f>IF(INDEX(inputs_EquipTag,MATCH(Logic!$A86,inputs_EquipNo,0))&lt;&gt;"",INDEX(inputs_EquipTag,MATCH(Logic!$A86,inputs_EquipNo,0)),"")</f>
        <v/>
      </c>
      <c r="C86" s="187" t="str">
        <f>IF(INDEX(inputs_EquipType,MATCH(Logic!$A86,inputs_EquipNo,0))&lt;&gt;"",INDEX(inputs_EquipType,MATCH(Logic!$A86,inputs_EquipNo,0)),"")</f>
        <v/>
      </c>
      <c r="D86" s="196" t="str">
        <f>IF(INDEX(inputs_VentEquipQuant,MATCH(Logic!$A86,inputs_EquipNo,0))&lt;&gt;"",INDEX(inputs_VentEquipQuant,MATCH(Logic!$A86,inputs_EquipNo,0)),"")</f>
        <v/>
      </c>
      <c r="E86" s="198" t="str">
        <f>IF(INDEX(inputs_OutdoorAirFlow,MATCH(Logic!$A86,inputs_EquipNo,0))&lt;&gt;"",INDEX(inputs_OutdoorAirFlow,MATCH(Logic!$A86,inputs_EquipNo,0)),"")</f>
        <v/>
      </c>
      <c r="F86" s="199" t="str">
        <f t="shared" si="0"/>
        <v/>
      </c>
      <c r="G86" s="347" t="str">
        <f>IF(INDEX(inputs_HeatRecReq,MATCH(Logic!$A86,inputs_EquipNo,0))&lt;&gt;"",INDEX(inputs_HeatRecReq,MATCH(Logic!$A86,inputs_EquipNo,0)),"")</f>
        <v/>
      </c>
      <c r="H86" s="348"/>
      <c r="I86" s="217"/>
      <c r="J86" s="217"/>
      <c r="K86" s="217"/>
      <c r="L86" s="217"/>
      <c r="M86" s="217"/>
      <c r="N86" s="146"/>
      <c r="O86" s="146"/>
      <c r="P86" s="146"/>
      <c r="Q86" s="217"/>
      <c r="R86" s="217"/>
      <c r="S86" s="217"/>
      <c r="T86" s="217"/>
      <c r="U86" s="217"/>
      <c r="V86" s="217"/>
      <c r="W86" s="217"/>
      <c r="X86" s="217"/>
      <c r="Y86" s="217"/>
      <c r="Z86" s="217"/>
      <c r="AA86" s="31"/>
    </row>
    <row r="87" spans="1:27" ht="18" hidden="1" customHeight="1" outlineLevel="2" collapsed="1">
      <c r="A87" s="188">
        <v>66</v>
      </c>
      <c r="B87" s="187" t="str">
        <f>IF(INDEX(inputs_EquipTag,MATCH(Logic!$A87,inputs_EquipNo,0))&lt;&gt;"",INDEX(inputs_EquipTag,MATCH(Logic!$A87,inputs_EquipNo,0)),"")</f>
        <v/>
      </c>
      <c r="C87" s="187" t="str">
        <f>IF(INDEX(inputs_EquipType,MATCH(Logic!$A87,inputs_EquipNo,0))&lt;&gt;"",INDEX(inputs_EquipType,MATCH(Logic!$A87,inputs_EquipNo,0)),"")</f>
        <v/>
      </c>
      <c r="D87" s="196" t="str">
        <f>IF(INDEX(inputs_VentEquipQuant,MATCH(Logic!$A87,inputs_EquipNo,0))&lt;&gt;"",INDEX(inputs_VentEquipQuant,MATCH(Logic!$A87,inputs_EquipNo,0)),"")</f>
        <v/>
      </c>
      <c r="E87" s="198" t="str">
        <f>IF(INDEX(inputs_OutdoorAirFlow,MATCH(Logic!$A87,inputs_EquipNo,0))&lt;&gt;"",INDEX(inputs_OutdoorAirFlow,MATCH(Logic!$A87,inputs_EquipNo,0)),"")</f>
        <v/>
      </c>
      <c r="F87" s="199" t="str">
        <f t="shared" ref="F87:F135" si="1">IFERROR(IF(ISBLANK(B87),"",D87*E87),"")</f>
        <v/>
      </c>
      <c r="G87" s="347" t="str">
        <f>IF(INDEX(inputs_HeatRecReq,MATCH(Logic!$A87,inputs_EquipNo,0))&lt;&gt;"",INDEX(inputs_HeatRecReq,MATCH(Logic!$A87,inputs_EquipNo,0)),"")</f>
        <v/>
      </c>
      <c r="H87" s="348"/>
      <c r="I87" s="217"/>
      <c r="J87" s="217"/>
      <c r="K87" s="217"/>
      <c r="L87" s="217"/>
      <c r="M87" s="217"/>
      <c r="N87" s="146"/>
      <c r="O87" s="146"/>
      <c r="P87" s="146"/>
      <c r="Q87" s="217"/>
      <c r="R87" s="217"/>
      <c r="S87" s="217"/>
      <c r="T87" s="217"/>
      <c r="U87" s="217"/>
      <c r="V87" s="217"/>
      <c r="W87" s="217"/>
      <c r="X87" s="217"/>
      <c r="Y87" s="217"/>
      <c r="Z87" s="217"/>
      <c r="AA87" s="31"/>
    </row>
    <row r="88" spans="1:27" ht="18" hidden="1" customHeight="1" outlineLevel="2">
      <c r="A88" s="188">
        <v>67</v>
      </c>
      <c r="B88" s="187" t="str">
        <f>IF(INDEX(inputs_EquipTag,MATCH(Logic!$A88,inputs_EquipNo,0))&lt;&gt;"",INDEX(inputs_EquipTag,MATCH(Logic!$A88,inputs_EquipNo,0)),"")</f>
        <v/>
      </c>
      <c r="C88" s="187" t="str">
        <f>IF(INDEX(inputs_EquipType,MATCH(Logic!$A88,inputs_EquipNo,0))&lt;&gt;"",INDEX(inputs_EquipType,MATCH(Logic!$A88,inputs_EquipNo,0)),"")</f>
        <v/>
      </c>
      <c r="D88" s="196" t="str">
        <f>IF(INDEX(inputs_VentEquipQuant,MATCH(Logic!$A88,inputs_EquipNo,0))&lt;&gt;"",INDEX(inputs_VentEquipQuant,MATCH(Logic!$A88,inputs_EquipNo,0)),"")</f>
        <v/>
      </c>
      <c r="E88" s="198" t="str">
        <f>IF(INDEX(inputs_OutdoorAirFlow,MATCH(Logic!$A88,inputs_EquipNo,0))&lt;&gt;"",INDEX(inputs_OutdoorAirFlow,MATCH(Logic!$A88,inputs_EquipNo,0)),"")</f>
        <v/>
      </c>
      <c r="F88" s="199" t="str">
        <f t="shared" si="1"/>
        <v/>
      </c>
      <c r="G88" s="347" t="str">
        <f>IF(INDEX(inputs_HeatRecReq,MATCH(Logic!$A88,inputs_EquipNo,0))&lt;&gt;"",INDEX(inputs_HeatRecReq,MATCH(Logic!$A88,inputs_EquipNo,0)),"")</f>
        <v/>
      </c>
      <c r="H88" s="348"/>
      <c r="I88" s="217"/>
      <c r="J88" s="217"/>
      <c r="K88" s="217"/>
      <c r="L88" s="217"/>
      <c r="M88" s="217"/>
      <c r="N88" s="146"/>
      <c r="O88" s="146"/>
      <c r="P88" s="146"/>
      <c r="Q88" s="217"/>
      <c r="R88" s="217"/>
      <c r="S88" s="217"/>
      <c r="T88" s="217"/>
      <c r="U88" s="217"/>
      <c r="V88" s="217"/>
      <c r="W88" s="217"/>
      <c r="X88" s="217"/>
      <c r="Y88" s="217"/>
      <c r="Z88" s="217"/>
      <c r="AA88" s="31"/>
    </row>
    <row r="89" spans="1:27" ht="18" hidden="1" customHeight="1" outlineLevel="2" collapsed="1">
      <c r="A89" s="188">
        <v>68</v>
      </c>
      <c r="B89" s="187" t="str">
        <f>IF(INDEX(inputs_EquipTag,MATCH(Logic!$A89,inputs_EquipNo,0))&lt;&gt;"",INDEX(inputs_EquipTag,MATCH(Logic!$A89,inputs_EquipNo,0)),"")</f>
        <v/>
      </c>
      <c r="C89" s="187" t="str">
        <f>IF(INDEX(inputs_EquipType,MATCH(Logic!$A89,inputs_EquipNo,0))&lt;&gt;"",INDEX(inputs_EquipType,MATCH(Logic!$A89,inputs_EquipNo,0)),"")</f>
        <v/>
      </c>
      <c r="D89" s="196" t="str">
        <f>IF(INDEX(inputs_VentEquipQuant,MATCH(Logic!$A89,inputs_EquipNo,0))&lt;&gt;"",INDEX(inputs_VentEquipQuant,MATCH(Logic!$A89,inputs_EquipNo,0)),"")</f>
        <v/>
      </c>
      <c r="E89" s="198" t="str">
        <f>IF(INDEX(inputs_OutdoorAirFlow,MATCH(Logic!$A89,inputs_EquipNo,0))&lt;&gt;"",INDEX(inputs_OutdoorAirFlow,MATCH(Logic!$A89,inputs_EquipNo,0)),"")</f>
        <v/>
      </c>
      <c r="F89" s="199" t="str">
        <f t="shared" si="1"/>
        <v/>
      </c>
      <c r="G89" s="347" t="str">
        <f>IF(INDEX(inputs_HeatRecReq,MATCH(Logic!$A89,inputs_EquipNo,0))&lt;&gt;"",INDEX(inputs_HeatRecReq,MATCH(Logic!$A89,inputs_EquipNo,0)),"")</f>
        <v/>
      </c>
      <c r="H89" s="348"/>
      <c r="I89" s="217"/>
      <c r="J89" s="217"/>
      <c r="K89" s="217"/>
      <c r="L89" s="217"/>
      <c r="M89" s="217"/>
      <c r="N89" s="146"/>
      <c r="O89" s="146"/>
      <c r="P89" s="146"/>
      <c r="Q89" s="217"/>
      <c r="R89" s="217"/>
      <c r="S89" s="217"/>
      <c r="T89" s="217"/>
      <c r="U89" s="217"/>
      <c r="V89" s="217"/>
      <c r="W89" s="217"/>
      <c r="X89" s="217"/>
      <c r="Y89" s="217"/>
      <c r="Z89" s="217"/>
      <c r="AA89" s="31"/>
    </row>
    <row r="90" spans="1:27" ht="18" hidden="1" customHeight="1" outlineLevel="2">
      <c r="A90" s="188">
        <v>69</v>
      </c>
      <c r="B90" s="187" t="str">
        <f>IF(INDEX(inputs_EquipTag,MATCH(Logic!$A90,inputs_EquipNo,0))&lt;&gt;"",INDEX(inputs_EquipTag,MATCH(Logic!$A90,inputs_EquipNo,0)),"")</f>
        <v/>
      </c>
      <c r="C90" s="187" t="str">
        <f>IF(INDEX(inputs_EquipType,MATCH(Logic!$A90,inputs_EquipNo,0))&lt;&gt;"",INDEX(inputs_EquipType,MATCH(Logic!$A90,inputs_EquipNo,0)),"")</f>
        <v/>
      </c>
      <c r="D90" s="196" t="str">
        <f>IF(INDEX(inputs_VentEquipQuant,MATCH(Logic!$A90,inputs_EquipNo,0))&lt;&gt;"",INDEX(inputs_VentEquipQuant,MATCH(Logic!$A90,inputs_EquipNo,0)),"")</f>
        <v/>
      </c>
      <c r="E90" s="198" t="str">
        <f>IF(INDEX(inputs_OutdoorAirFlow,MATCH(Logic!$A90,inputs_EquipNo,0))&lt;&gt;"",INDEX(inputs_OutdoorAirFlow,MATCH(Logic!$A90,inputs_EquipNo,0)),"")</f>
        <v/>
      </c>
      <c r="F90" s="199" t="str">
        <f t="shared" si="1"/>
        <v/>
      </c>
      <c r="G90" s="347" t="str">
        <f>IF(INDEX(inputs_HeatRecReq,MATCH(Logic!$A90,inputs_EquipNo,0))&lt;&gt;"",INDEX(inputs_HeatRecReq,MATCH(Logic!$A90,inputs_EquipNo,0)),"")</f>
        <v/>
      </c>
      <c r="H90" s="348"/>
      <c r="I90" s="217"/>
      <c r="J90" s="217"/>
      <c r="K90" s="217"/>
      <c r="L90" s="217"/>
      <c r="M90" s="217"/>
      <c r="N90" s="146"/>
      <c r="O90" s="146"/>
      <c r="P90" s="146"/>
      <c r="Q90" s="217"/>
      <c r="R90" s="217"/>
      <c r="S90" s="217"/>
      <c r="T90" s="217"/>
      <c r="U90" s="217"/>
      <c r="V90" s="217"/>
      <c r="W90" s="217"/>
      <c r="X90" s="217"/>
      <c r="Y90" s="217"/>
      <c r="Z90" s="217"/>
      <c r="AA90" s="31"/>
    </row>
    <row r="91" spans="1:27" ht="18" hidden="1" customHeight="1" outlineLevel="2" collapsed="1">
      <c r="A91" s="188">
        <v>70</v>
      </c>
      <c r="B91" s="187" t="str">
        <f>IF(INDEX(inputs_EquipTag,MATCH(Logic!$A91,inputs_EquipNo,0))&lt;&gt;"",INDEX(inputs_EquipTag,MATCH(Logic!$A91,inputs_EquipNo,0)),"")</f>
        <v/>
      </c>
      <c r="C91" s="187" t="str">
        <f>IF(INDEX(inputs_EquipType,MATCH(Logic!$A91,inputs_EquipNo,0))&lt;&gt;"",INDEX(inputs_EquipType,MATCH(Logic!$A91,inputs_EquipNo,0)),"")</f>
        <v/>
      </c>
      <c r="D91" s="196" t="str">
        <f>IF(INDEX(inputs_VentEquipQuant,MATCH(Logic!$A91,inputs_EquipNo,0))&lt;&gt;"",INDEX(inputs_VentEquipQuant,MATCH(Logic!$A91,inputs_EquipNo,0)),"")</f>
        <v/>
      </c>
      <c r="E91" s="198" t="str">
        <f>IF(INDEX(inputs_OutdoorAirFlow,MATCH(Logic!$A91,inputs_EquipNo,0))&lt;&gt;"",INDEX(inputs_OutdoorAirFlow,MATCH(Logic!$A91,inputs_EquipNo,0)),"")</f>
        <v/>
      </c>
      <c r="F91" s="199" t="str">
        <f t="shared" si="1"/>
        <v/>
      </c>
      <c r="G91" s="347" t="str">
        <f>IF(INDEX(inputs_HeatRecReq,MATCH(Logic!$A91,inputs_EquipNo,0))&lt;&gt;"",INDEX(inputs_HeatRecReq,MATCH(Logic!$A91,inputs_EquipNo,0)),"")</f>
        <v/>
      </c>
      <c r="H91" s="348"/>
      <c r="I91" s="217"/>
      <c r="J91" s="217"/>
      <c r="K91" s="217"/>
      <c r="L91" s="217"/>
      <c r="M91" s="217"/>
      <c r="N91" s="146"/>
      <c r="O91" s="146"/>
      <c r="P91" s="146"/>
      <c r="Q91" s="217"/>
      <c r="R91" s="217"/>
      <c r="S91" s="217"/>
      <c r="T91" s="217"/>
      <c r="U91" s="217"/>
      <c r="V91" s="217"/>
      <c r="W91" s="217"/>
      <c r="X91" s="217"/>
      <c r="Y91" s="217"/>
      <c r="Z91" s="217"/>
      <c r="AA91" s="31"/>
    </row>
    <row r="92" spans="1:27" ht="18" hidden="1" customHeight="1" outlineLevel="2">
      <c r="A92" s="188">
        <v>71</v>
      </c>
      <c r="B92" s="187" t="str">
        <f>IF(INDEX(inputs_EquipTag,MATCH(Logic!$A92,inputs_EquipNo,0))&lt;&gt;"",INDEX(inputs_EquipTag,MATCH(Logic!$A92,inputs_EquipNo,0)),"")</f>
        <v/>
      </c>
      <c r="C92" s="187" t="str">
        <f>IF(INDEX(inputs_EquipType,MATCH(Logic!$A92,inputs_EquipNo,0))&lt;&gt;"",INDEX(inputs_EquipType,MATCH(Logic!$A92,inputs_EquipNo,0)),"")</f>
        <v/>
      </c>
      <c r="D92" s="196" t="str">
        <f>IF(INDEX(inputs_VentEquipQuant,MATCH(Logic!$A92,inputs_EquipNo,0))&lt;&gt;"",INDEX(inputs_VentEquipQuant,MATCH(Logic!$A92,inputs_EquipNo,0)),"")</f>
        <v/>
      </c>
      <c r="E92" s="198" t="str">
        <f>IF(INDEX(inputs_OutdoorAirFlow,MATCH(Logic!$A92,inputs_EquipNo,0))&lt;&gt;"",INDEX(inputs_OutdoorAirFlow,MATCH(Logic!$A92,inputs_EquipNo,0)),"")</f>
        <v/>
      </c>
      <c r="F92" s="199" t="str">
        <f t="shared" si="1"/>
        <v/>
      </c>
      <c r="G92" s="347" t="str">
        <f>IF(INDEX(inputs_HeatRecReq,MATCH(Logic!$A92,inputs_EquipNo,0))&lt;&gt;"",INDEX(inputs_HeatRecReq,MATCH(Logic!$A92,inputs_EquipNo,0)),"")</f>
        <v/>
      </c>
      <c r="H92" s="348"/>
      <c r="I92" s="217"/>
      <c r="J92" s="217"/>
      <c r="K92" s="217"/>
      <c r="L92" s="217"/>
      <c r="M92" s="217"/>
      <c r="N92" s="146"/>
      <c r="O92" s="146"/>
      <c r="P92" s="146"/>
      <c r="Q92" s="217"/>
      <c r="R92" s="217"/>
      <c r="S92" s="217"/>
      <c r="T92" s="217"/>
      <c r="U92" s="217"/>
      <c r="V92" s="217"/>
      <c r="W92" s="217"/>
      <c r="X92" s="217"/>
      <c r="Y92" s="217"/>
      <c r="Z92" s="217"/>
      <c r="AA92" s="31"/>
    </row>
    <row r="93" spans="1:27" ht="18" hidden="1" customHeight="1" outlineLevel="2">
      <c r="A93" s="188">
        <v>72</v>
      </c>
      <c r="B93" s="187" t="str">
        <f>IF(INDEX(inputs_EquipTag,MATCH(Logic!$A93,inputs_EquipNo,0))&lt;&gt;"",INDEX(inputs_EquipTag,MATCH(Logic!$A93,inputs_EquipNo,0)),"")</f>
        <v/>
      </c>
      <c r="C93" s="187" t="str">
        <f>IF(INDEX(inputs_EquipType,MATCH(Logic!$A93,inputs_EquipNo,0))&lt;&gt;"",INDEX(inputs_EquipType,MATCH(Logic!$A93,inputs_EquipNo,0)),"")</f>
        <v/>
      </c>
      <c r="D93" s="196" t="str">
        <f>IF(INDEX(inputs_VentEquipQuant,MATCH(Logic!$A93,inputs_EquipNo,0))&lt;&gt;"",INDEX(inputs_VentEquipQuant,MATCH(Logic!$A93,inputs_EquipNo,0)),"")</f>
        <v/>
      </c>
      <c r="E93" s="198" t="str">
        <f>IF(INDEX(inputs_OutdoorAirFlow,MATCH(Logic!$A93,inputs_EquipNo,0))&lt;&gt;"",INDEX(inputs_OutdoorAirFlow,MATCH(Logic!$A93,inputs_EquipNo,0)),"")</f>
        <v/>
      </c>
      <c r="F93" s="199" t="str">
        <f t="shared" si="1"/>
        <v/>
      </c>
      <c r="G93" s="347" t="str">
        <f>IF(INDEX(inputs_HeatRecReq,MATCH(Logic!$A93,inputs_EquipNo,0))&lt;&gt;"",INDEX(inputs_HeatRecReq,MATCH(Logic!$A93,inputs_EquipNo,0)),"")</f>
        <v/>
      </c>
      <c r="H93" s="348"/>
      <c r="I93" s="217"/>
      <c r="J93" s="217"/>
      <c r="K93" s="217"/>
      <c r="L93" s="217"/>
      <c r="M93" s="217"/>
      <c r="N93" s="146"/>
      <c r="O93" s="146"/>
      <c r="P93" s="146"/>
      <c r="Q93" s="217"/>
      <c r="R93" s="217"/>
      <c r="S93" s="217"/>
      <c r="T93" s="217"/>
      <c r="U93" s="217"/>
      <c r="V93" s="217"/>
      <c r="W93" s="217"/>
      <c r="X93" s="217"/>
      <c r="Y93" s="217"/>
      <c r="Z93" s="217"/>
      <c r="AA93" s="31"/>
    </row>
    <row r="94" spans="1:27" ht="18" hidden="1" customHeight="1" outlineLevel="1" collapsed="1">
      <c r="A94" s="188">
        <v>73</v>
      </c>
      <c r="B94" s="187" t="str">
        <f>IF(INDEX(inputs_EquipTag,MATCH(Logic!$A94,inputs_EquipNo,0))&lt;&gt;"",INDEX(inputs_EquipTag,MATCH(Logic!$A94,inputs_EquipNo,0)),"")</f>
        <v/>
      </c>
      <c r="C94" s="187" t="str">
        <f>IF(INDEX(inputs_EquipType,MATCH(Logic!$A94,inputs_EquipNo,0))&lt;&gt;"",INDEX(inputs_EquipType,MATCH(Logic!$A94,inputs_EquipNo,0)),"")</f>
        <v/>
      </c>
      <c r="D94" s="196" t="str">
        <f>IF(INDEX(inputs_VentEquipQuant,MATCH(Logic!$A94,inputs_EquipNo,0))&lt;&gt;"",INDEX(inputs_VentEquipQuant,MATCH(Logic!$A94,inputs_EquipNo,0)),"")</f>
        <v/>
      </c>
      <c r="E94" s="198" t="str">
        <f>IF(INDEX(inputs_OutdoorAirFlow,MATCH(Logic!$A94,inputs_EquipNo,0))&lt;&gt;"",INDEX(inputs_OutdoorAirFlow,MATCH(Logic!$A94,inputs_EquipNo,0)),"")</f>
        <v/>
      </c>
      <c r="F94" s="199" t="str">
        <f t="shared" ref="F94" si="2">IFERROR(IF(ISBLANK(B94),"",D94*E94),"")</f>
        <v/>
      </c>
      <c r="G94" s="347" t="str">
        <f>IF(INDEX(inputs_HeatRecReq,MATCH(Logic!$A94,inputs_EquipNo,0))&lt;&gt;"",INDEX(inputs_HeatRecReq,MATCH(Logic!$A94,inputs_EquipNo,0)),"")</f>
        <v/>
      </c>
      <c r="H94" s="348"/>
      <c r="I94" s="159" t="s">
        <v>170</v>
      </c>
      <c r="J94" s="217"/>
      <c r="K94" s="217"/>
      <c r="L94" s="217"/>
      <c r="M94" s="217"/>
      <c r="N94" s="146"/>
      <c r="O94" s="146"/>
      <c r="P94" s="146"/>
      <c r="Q94" s="217"/>
      <c r="R94" s="217"/>
      <c r="S94" s="217"/>
      <c r="T94" s="217"/>
      <c r="U94" s="217"/>
      <c r="V94" s="217"/>
      <c r="W94" s="217"/>
      <c r="X94" s="217"/>
      <c r="Y94" s="151"/>
      <c r="Z94" s="151"/>
      <c r="AA94" s="31"/>
    </row>
    <row r="95" spans="1:27" ht="18" hidden="1" customHeight="1" outlineLevel="2" collapsed="1">
      <c r="A95" s="188">
        <v>74</v>
      </c>
      <c r="B95" s="187" t="str">
        <f>IF(INDEX(inputs_EquipTag,MATCH(Logic!$A95,inputs_EquipNo,0))&lt;&gt;"",INDEX(inputs_EquipTag,MATCH(Logic!$A95,inputs_EquipNo,0)),"")</f>
        <v/>
      </c>
      <c r="C95" s="187" t="str">
        <f>IF(INDEX(inputs_EquipType,MATCH(Logic!$A95,inputs_EquipNo,0))&lt;&gt;"",INDEX(inputs_EquipType,MATCH(Logic!$A95,inputs_EquipNo,0)),"")</f>
        <v/>
      </c>
      <c r="D95" s="196" t="str">
        <f>IF(INDEX(inputs_VentEquipQuant,MATCH(Logic!$A95,inputs_EquipNo,0))&lt;&gt;"",INDEX(inputs_VentEquipQuant,MATCH(Logic!$A95,inputs_EquipNo,0)),"")</f>
        <v/>
      </c>
      <c r="E95" s="198" t="str">
        <f>IF(INDEX(inputs_OutdoorAirFlow,MATCH(Logic!$A95,inputs_EquipNo,0))&lt;&gt;"",INDEX(inputs_OutdoorAirFlow,MATCH(Logic!$A95,inputs_EquipNo,0)),"")</f>
        <v/>
      </c>
      <c r="F95" s="199" t="str">
        <f t="shared" si="1"/>
        <v/>
      </c>
      <c r="G95" s="347" t="str">
        <f>IF(INDEX(inputs_HeatRecReq,MATCH(Logic!$A95,inputs_EquipNo,0))&lt;&gt;"",INDEX(inputs_HeatRecReq,MATCH(Logic!$A95,inputs_EquipNo,0)),"")</f>
        <v/>
      </c>
      <c r="H95" s="348"/>
      <c r="I95" s="217"/>
      <c r="J95" s="217"/>
      <c r="K95" s="217"/>
      <c r="L95" s="217"/>
      <c r="M95" s="217"/>
      <c r="N95" s="146"/>
      <c r="O95" s="146"/>
      <c r="P95" s="146"/>
      <c r="Q95" s="217"/>
      <c r="R95" s="217"/>
      <c r="S95" s="217"/>
      <c r="T95" s="217"/>
      <c r="U95" s="217"/>
      <c r="V95" s="217"/>
      <c r="W95" s="217"/>
      <c r="X95" s="217"/>
      <c r="Y95" s="217"/>
      <c r="Z95" s="217"/>
      <c r="AA95" s="31"/>
    </row>
    <row r="96" spans="1:27" ht="18" hidden="1" customHeight="1" outlineLevel="2">
      <c r="A96" s="188">
        <v>75</v>
      </c>
      <c r="B96" s="187" t="str">
        <f>IF(INDEX(inputs_EquipTag,MATCH(Logic!$A96,inputs_EquipNo,0))&lt;&gt;"",INDEX(inputs_EquipTag,MATCH(Logic!$A96,inputs_EquipNo,0)),"")</f>
        <v/>
      </c>
      <c r="C96" s="187" t="str">
        <f>IF(INDEX(inputs_EquipType,MATCH(Logic!$A96,inputs_EquipNo,0))&lt;&gt;"",INDEX(inputs_EquipType,MATCH(Logic!$A96,inputs_EquipNo,0)),"")</f>
        <v/>
      </c>
      <c r="D96" s="196" t="str">
        <f>IF(INDEX(inputs_VentEquipQuant,MATCH(Logic!$A96,inputs_EquipNo,0))&lt;&gt;"",INDEX(inputs_VentEquipQuant,MATCH(Logic!$A96,inputs_EquipNo,0)),"")</f>
        <v/>
      </c>
      <c r="E96" s="198" t="str">
        <f>IF(INDEX(inputs_OutdoorAirFlow,MATCH(Logic!$A96,inputs_EquipNo,0))&lt;&gt;"",INDEX(inputs_OutdoorAirFlow,MATCH(Logic!$A96,inputs_EquipNo,0)),"")</f>
        <v/>
      </c>
      <c r="F96" s="199" t="str">
        <f t="shared" si="1"/>
        <v/>
      </c>
      <c r="G96" s="347" t="str">
        <f>IF(INDEX(inputs_HeatRecReq,MATCH(Logic!$A96,inputs_EquipNo,0))&lt;&gt;"",INDEX(inputs_HeatRecReq,MATCH(Logic!$A96,inputs_EquipNo,0)),"")</f>
        <v/>
      </c>
      <c r="H96" s="348"/>
      <c r="I96" s="217"/>
      <c r="J96" s="217"/>
      <c r="K96" s="217"/>
      <c r="L96" s="217"/>
      <c r="M96" s="217"/>
      <c r="N96" s="146"/>
      <c r="O96" s="146"/>
      <c r="P96" s="146"/>
      <c r="Q96" s="217"/>
      <c r="R96" s="217"/>
      <c r="S96" s="217"/>
      <c r="T96" s="217"/>
      <c r="U96" s="217"/>
      <c r="V96" s="217"/>
      <c r="W96" s="217"/>
      <c r="X96" s="217"/>
      <c r="Y96" s="217"/>
      <c r="Z96" s="217"/>
      <c r="AA96" s="31"/>
    </row>
    <row r="97" spans="1:27" ht="18" hidden="1" customHeight="1" outlineLevel="2" collapsed="1">
      <c r="A97" s="188">
        <v>76</v>
      </c>
      <c r="B97" s="187" t="str">
        <f>IF(INDEX(inputs_EquipTag,MATCH(Logic!$A97,inputs_EquipNo,0))&lt;&gt;"",INDEX(inputs_EquipTag,MATCH(Logic!$A97,inputs_EquipNo,0)),"")</f>
        <v/>
      </c>
      <c r="C97" s="187" t="str">
        <f>IF(INDEX(inputs_EquipType,MATCH(Logic!$A97,inputs_EquipNo,0))&lt;&gt;"",INDEX(inputs_EquipType,MATCH(Logic!$A97,inputs_EquipNo,0)),"")</f>
        <v/>
      </c>
      <c r="D97" s="196" t="str">
        <f>IF(INDEX(inputs_VentEquipQuant,MATCH(Logic!$A97,inputs_EquipNo,0))&lt;&gt;"",INDEX(inputs_VentEquipQuant,MATCH(Logic!$A97,inputs_EquipNo,0)),"")</f>
        <v/>
      </c>
      <c r="E97" s="198" t="str">
        <f>IF(INDEX(inputs_OutdoorAirFlow,MATCH(Logic!$A97,inputs_EquipNo,0))&lt;&gt;"",INDEX(inputs_OutdoorAirFlow,MATCH(Logic!$A97,inputs_EquipNo,0)),"")</f>
        <v/>
      </c>
      <c r="F97" s="199" t="str">
        <f t="shared" si="1"/>
        <v/>
      </c>
      <c r="G97" s="347" t="str">
        <f>IF(INDEX(inputs_HeatRecReq,MATCH(Logic!$A97,inputs_EquipNo,0))&lt;&gt;"",INDEX(inputs_HeatRecReq,MATCH(Logic!$A97,inputs_EquipNo,0)),"")</f>
        <v/>
      </c>
      <c r="H97" s="348"/>
      <c r="I97" s="217"/>
      <c r="J97" s="217"/>
      <c r="K97" s="217"/>
      <c r="L97" s="217"/>
      <c r="M97" s="217"/>
      <c r="N97" s="146"/>
      <c r="O97" s="146"/>
      <c r="P97" s="146"/>
      <c r="Q97" s="217"/>
      <c r="R97" s="217"/>
      <c r="S97" s="217"/>
      <c r="T97" s="217"/>
      <c r="U97" s="217"/>
      <c r="V97" s="217"/>
      <c r="W97" s="217"/>
      <c r="X97" s="217"/>
      <c r="Y97" s="217"/>
      <c r="Z97" s="217"/>
      <c r="AA97" s="31"/>
    </row>
    <row r="98" spans="1:27" ht="18" hidden="1" customHeight="1" outlineLevel="2">
      <c r="A98" s="188">
        <v>77</v>
      </c>
      <c r="B98" s="187" t="str">
        <f>IF(INDEX(inputs_EquipTag,MATCH(Logic!$A98,inputs_EquipNo,0))&lt;&gt;"",INDEX(inputs_EquipTag,MATCH(Logic!$A98,inputs_EquipNo,0)),"")</f>
        <v/>
      </c>
      <c r="C98" s="187" t="str">
        <f>IF(INDEX(inputs_EquipType,MATCH(Logic!$A98,inputs_EquipNo,0))&lt;&gt;"",INDEX(inputs_EquipType,MATCH(Logic!$A98,inputs_EquipNo,0)),"")</f>
        <v/>
      </c>
      <c r="D98" s="196" t="str">
        <f>IF(INDEX(inputs_VentEquipQuant,MATCH(Logic!$A98,inputs_EquipNo,0))&lt;&gt;"",INDEX(inputs_VentEquipQuant,MATCH(Logic!$A98,inputs_EquipNo,0)),"")</f>
        <v/>
      </c>
      <c r="E98" s="198" t="str">
        <f>IF(INDEX(inputs_OutdoorAirFlow,MATCH(Logic!$A98,inputs_EquipNo,0))&lt;&gt;"",INDEX(inputs_OutdoorAirFlow,MATCH(Logic!$A98,inputs_EquipNo,0)),"")</f>
        <v/>
      </c>
      <c r="F98" s="199" t="str">
        <f t="shared" si="1"/>
        <v/>
      </c>
      <c r="G98" s="347" t="str">
        <f>IF(INDEX(inputs_HeatRecReq,MATCH(Logic!$A98,inputs_EquipNo,0))&lt;&gt;"",INDEX(inputs_HeatRecReq,MATCH(Logic!$A98,inputs_EquipNo,0)),"")</f>
        <v/>
      </c>
      <c r="H98" s="348"/>
      <c r="I98" s="217"/>
      <c r="J98" s="217"/>
      <c r="K98" s="217"/>
      <c r="L98" s="217"/>
      <c r="M98" s="217"/>
      <c r="N98" s="146"/>
      <c r="O98" s="146"/>
      <c r="P98" s="146"/>
      <c r="Q98" s="217"/>
      <c r="R98" s="217"/>
      <c r="S98" s="217"/>
      <c r="T98" s="217"/>
      <c r="U98" s="217"/>
      <c r="V98" s="217"/>
      <c r="W98" s="217"/>
      <c r="X98" s="217"/>
      <c r="Y98" s="217"/>
      <c r="Z98" s="217"/>
      <c r="AA98" s="31"/>
    </row>
    <row r="99" spans="1:27" ht="18" hidden="1" customHeight="1" outlineLevel="2" collapsed="1">
      <c r="A99" s="188">
        <v>78</v>
      </c>
      <c r="B99" s="187" t="str">
        <f>IF(INDEX(inputs_EquipTag,MATCH(Logic!$A99,inputs_EquipNo,0))&lt;&gt;"",INDEX(inputs_EquipTag,MATCH(Logic!$A99,inputs_EquipNo,0)),"")</f>
        <v/>
      </c>
      <c r="C99" s="187" t="str">
        <f>IF(INDEX(inputs_EquipType,MATCH(Logic!$A99,inputs_EquipNo,0))&lt;&gt;"",INDEX(inputs_EquipType,MATCH(Logic!$A99,inputs_EquipNo,0)),"")</f>
        <v/>
      </c>
      <c r="D99" s="196" t="str">
        <f>IF(INDEX(inputs_VentEquipQuant,MATCH(Logic!$A99,inputs_EquipNo,0))&lt;&gt;"",INDEX(inputs_VentEquipQuant,MATCH(Logic!$A99,inputs_EquipNo,0)),"")</f>
        <v/>
      </c>
      <c r="E99" s="198" t="str">
        <f>IF(INDEX(inputs_OutdoorAirFlow,MATCH(Logic!$A99,inputs_EquipNo,0))&lt;&gt;"",INDEX(inputs_OutdoorAirFlow,MATCH(Logic!$A99,inputs_EquipNo,0)),"")</f>
        <v/>
      </c>
      <c r="F99" s="199" t="str">
        <f t="shared" si="1"/>
        <v/>
      </c>
      <c r="G99" s="347" t="str">
        <f>IF(INDEX(inputs_HeatRecReq,MATCH(Logic!$A99,inputs_EquipNo,0))&lt;&gt;"",INDEX(inputs_HeatRecReq,MATCH(Logic!$A99,inputs_EquipNo,0)),"")</f>
        <v/>
      </c>
      <c r="H99" s="348"/>
      <c r="I99" s="217"/>
      <c r="J99" s="217"/>
      <c r="K99" s="217"/>
      <c r="L99" s="217"/>
      <c r="M99" s="217"/>
      <c r="N99" s="146"/>
      <c r="O99" s="146"/>
      <c r="P99" s="146"/>
      <c r="Q99" s="217"/>
      <c r="R99" s="217"/>
      <c r="S99" s="217"/>
      <c r="T99" s="217"/>
      <c r="U99" s="217"/>
      <c r="V99" s="217"/>
      <c r="W99" s="217"/>
      <c r="X99" s="217"/>
      <c r="Y99" s="217"/>
      <c r="Z99" s="217"/>
      <c r="AA99" s="31"/>
    </row>
    <row r="100" spans="1:27" ht="18" hidden="1" customHeight="1" outlineLevel="2">
      <c r="A100" s="188">
        <v>79</v>
      </c>
      <c r="B100" s="187" t="str">
        <f>IF(INDEX(inputs_EquipTag,MATCH(Logic!$A100,inputs_EquipNo,0))&lt;&gt;"",INDEX(inputs_EquipTag,MATCH(Logic!$A100,inputs_EquipNo,0)),"")</f>
        <v/>
      </c>
      <c r="C100" s="187" t="str">
        <f>IF(INDEX(inputs_EquipType,MATCH(Logic!$A100,inputs_EquipNo,0))&lt;&gt;"",INDEX(inputs_EquipType,MATCH(Logic!$A100,inputs_EquipNo,0)),"")</f>
        <v/>
      </c>
      <c r="D100" s="196" t="str">
        <f>IF(INDEX(inputs_VentEquipQuant,MATCH(Logic!$A100,inputs_EquipNo,0))&lt;&gt;"",INDEX(inputs_VentEquipQuant,MATCH(Logic!$A100,inputs_EquipNo,0)),"")</f>
        <v/>
      </c>
      <c r="E100" s="198" t="str">
        <f>IF(INDEX(inputs_OutdoorAirFlow,MATCH(Logic!$A100,inputs_EquipNo,0))&lt;&gt;"",INDEX(inputs_OutdoorAirFlow,MATCH(Logic!$A100,inputs_EquipNo,0)),"")</f>
        <v/>
      </c>
      <c r="F100" s="199" t="str">
        <f t="shared" si="1"/>
        <v/>
      </c>
      <c r="G100" s="347" t="str">
        <f>IF(INDEX(inputs_HeatRecReq,MATCH(Logic!$A100,inputs_EquipNo,0))&lt;&gt;"",INDEX(inputs_HeatRecReq,MATCH(Logic!$A100,inputs_EquipNo,0)),"")</f>
        <v/>
      </c>
      <c r="H100" s="348"/>
      <c r="I100" s="217"/>
      <c r="J100" s="217"/>
      <c r="K100" s="217"/>
      <c r="L100" s="217"/>
      <c r="M100" s="217"/>
      <c r="N100" s="146"/>
      <c r="O100" s="146"/>
      <c r="P100" s="146"/>
      <c r="Q100" s="217"/>
      <c r="R100" s="217"/>
      <c r="S100" s="217"/>
      <c r="T100" s="217"/>
      <c r="U100" s="217"/>
      <c r="V100" s="217"/>
      <c r="W100" s="217"/>
      <c r="X100" s="217"/>
      <c r="Y100" s="217"/>
      <c r="Z100" s="217"/>
      <c r="AA100" s="31"/>
    </row>
    <row r="101" spans="1:27" ht="18" hidden="1" customHeight="1" outlineLevel="2" collapsed="1">
      <c r="A101" s="188">
        <v>80</v>
      </c>
      <c r="B101" s="187" t="str">
        <f>IF(INDEX(inputs_EquipTag,MATCH(Logic!$A101,inputs_EquipNo,0))&lt;&gt;"",INDEX(inputs_EquipTag,MATCH(Logic!$A101,inputs_EquipNo,0)),"")</f>
        <v/>
      </c>
      <c r="C101" s="187" t="str">
        <f>IF(INDEX(inputs_EquipType,MATCH(Logic!$A101,inputs_EquipNo,0))&lt;&gt;"",INDEX(inputs_EquipType,MATCH(Logic!$A101,inputs_EquipNo,0)),"")</f>
        <v/>
      </c>
      <c r="D101" s="196" t="str">
        <f>IF(INDEX(inputs_VentEquipQuant,MATCH(Logic!$A101,inputs_EquipNo,0))&lt;&gt;"",INDEX(inputs_VentEquipQuant,MATCH(Logic!$A101,inputs_EquipNo,0)),"")</f>
        <v/>
      </c>
      <c r="E101" s="198" t="str">
        <f>IF(INDEX(inputs_OutdoorAirFlow,MATCH(Logic!$A101,inputs_EquipNo,0))&lt;&gt;"",INDEX(inputs_OutdoorAirFlow,MATCH(Logic!$A101,inputs_EquipNo,0)),"")</f>
        <v/>
      </c>
      <c r="F101" s="199" t="str">
        <f t="shared" si="1"/>
        <v/>
      </c>
      <c r="G101" s="347" t="str">
        <f>IF(INDEX(inputs_HeatRecReq,MATCH(Logic!$A101,inputs_EquipNo,0))&lt;&gt;"",INDEX(inputs_HeatRecReq,MATCH(Logic!$A101,inputs_EquipNo,0)),"")</f>
        <v/>
      </c>
      <c r="H101" s="348"/>
      <c r="I101" s="217"/>
      <c r="J101" s="217"/>
      <c r="K101" s="217"/>
      <c r="L101" s="217"/>
      <c r="M101" s="217"/>
      <c r="N101" s="146"/>
      <c r="O101" s="146"/>
      <c r="P101" s="146"/>
      <c r="Q101" s="217"/>
      <c r="R101" s="217"/>
      <c r="S101" s="217"/>
      <c r="T101" s="217"/>
      <c r="U101" s="217"/>
      <c r="V101" s="217"/>
      <c r="W101" s="217"/>
      <c r="X101" s="217"/>
      <c r="Y101" s="217"/>
      <c r="Z101" s="217"/>
      <c r="AA101" s="31"/>
    </row>
    <row r="102" spans="1:27" ht="18" hidden="1" customHeight="1" outlineLevel="2">
      <c r="A102" s="188">
        <v>81</v>
      </c>
      <c r="B102" s="187" t="str">
        <f>IF(INDEX(inputs_EquipTag,MATCH(Logic!$A102,inputs_EquipNo,0))&lt;&gt;"",INDEX(inputs_EquipTag,MATCH(Logic!$A102,inputs_EquipNo,0)),"")</f>
        <v/>
      </c>
      <c r="C102" s="187" t="str">
        <f>IF(INDEX(inputs_EquipType,MATCH(Logic!$A102,inputs_EquipNo,0))&lt;&gt;"",INDEX(inputs_EquipType,MATCH(Logic!$A102,inputs_EquipNo,0)),"")</f>
        <v/>
      </c>
      <c r="D102" s="196" t="str">
        <f>IF(INDEX(inputs_VentEquipQuant,MATCH(Logic!$A102,inputs_EquipNo,0))&lt;&gt;"",INDEX(inputs_VentEquipQuant,MATCH(Logic!$A102,inputs_EquipNo,0)),"")</f>
        <v/>
      </c>
      <c r="E102" s="198" t="str">
        <f>IF(INDEX(inputs_OutdoorAirFlow,MATCH(Logic!$A102,inputs_EquipNo,0))&lt;&gt;"",INDEX(inputs_OutdoorAirFlow,MATCH(Logic!$A102,inputs_EquipNo,0)),"")</f>
        <v/>
      </c>
      <c r="F102" s="199" t="str">
        <f t="shared" si="1"/>
        <v/>
      </c>
      <c r="G102" s="347" t="str">
        <f>IF(INDEX(inputs_HeatRecReq,MATCH(Logic!$A102,inputs_EquipNo,0))&lt;&gt;"",INDEX(inputs_HeatRecReq,MATCH(Logic!$A102,inputs_EquipNo,0)),"")</f>
        <v/>
      </c>
      <c r="H102" s="348"/>
      <c r="I102" s="217"/>
      <c r="J102" s="217"/>
      <c r="K102" s="217"/>
      <c r="L102" s="217"/>
      <c r="M102" s="217"/>
      <c r="N102" s="146"/>
      <c r="O102" s="146"/>
      <c r="P102" s="146"/>
      <c r="Q102" s="217"/>
      <c r="R102" s="217"/>
      <c r="S102" s="217"/>
      <c r="T102" s="217"/>
      <c r="U102" s="217"/>
      <c r="V102" s="217"/>
      <c r="W102" s="217"/>
      <c r="X102" s="217"/>
      <c r="Y102" s="217"/>
      <c r="Z102" s="217"/>
      <c r="AA102" s="31"/>
    </row>
    <row r="103" spans="1:27" ht="18" hidden="1" customHeight="1" outlineLevel="2">
      <c r="A103" s="188">
        <v>82</v>
      </c>
      <c r="B103" s="187" t="str">
        <f>IF(INDEX(inputs_EquipTag,MATCH(Logic!$A103,inputs_EquipNo,0))&lt;&gt;"",INDEX(inputs_EquipTag,MATCH(Logic!$A103,inputs_EquipNo,0)),"")</f>
        <v/>
      </c>
      <c r="C103" s="187" t="str">
        <f>IF(INDEX(inputs_EquipType,MATCH(Logic!$A103,inputs_EquipNo,0))&lt;&gt;"",INDEX(inputs_EquipType,MATCH(Logic!$A103,inputs_EquipNo,0)),"")</f>
        <v/>
      </c>
      <c r="D103" s="196" t="str">
        <f>IF(INDEX(inputs_VentEquipQuant,MATCH(Logic!$A103,inputs_EquipNo,0))&lt;&gt;"",INDEX(inputs_VentEquipQuant,MATCH(Logic!$A103,inputs_EquipNo,0)),"")</f>
        <v/>
      </c>
      <c r="E103" s="198" t="str">
        <f>IF(INDEX(inputs_OutdoorAirFlow,MATCH(Logic!$A103,inputs_EquipNo,0))&lt;&gt;"",INDEX(inputs_OutdoorAirFlow,MATCH(Logic!$A103,inputs_EquipNo,0)),"")</f>
        <v/>
      </c>
      <c r="F103" s="199" t="str">
        <f t="shared" si="1"/>
        <v/>
      </c>
      <c r="G103" s="347" t="str">
        <f>IF(INDEX(inputs_HeatRecReq,MATCH(Logic!$A103,inputs_EquipNo,0))&lt;&gt;"",INDEX(inputs_HeatRecReq,MATCH(Logic!$A103,inputs_EquipNo,0)),"")</f>
        <v/>
      </c>
      <c r="H103" s="348"/>
      <c r="I103" s="217"/>
      <c r="J103" s="217"/>
      <c r="K103" s="217"/>
      <c r="L103" s="217"/>
      <c r="M103" s="217"/>
      <c r="N103" s="146"/>
      <c r="O103" s="146"/>
      <c r="P103" s="146"/>
      <c r="Q103" s="217"/>
      <c r="R103" s="217"/>
      <c r="S103" s="217"/>
      <c r="T103" s="217"/>
      <c r="U103" s="217"/>
      <c r="V103" s="217"/>
      <c r="W103" s="217"/>
      <c r="X103" s="217"/>
      <c r="Y103" s="217"/>
      <c r="Z103" s="217"/>
      <c r="AA103" s="31"/>
    </row>
    <row r="104" spans="1:27" ht="18" hidden="1" customHeight="1" outlineLevel="2">
      <c r="A104" s="188">
        <v>83</v>
      </c>
      <c r="B104" s="187" t="str">
        <f>IF(INDEX(inputs_EquipTag,MATCH(Logic!$A104,inputs_EquipNo,0))&lt;&gt;"",INDEX(inputs_EquipTag,MATCH(Logic!$A104,inputs_EquipNo,0)),"")</f>
        <v/>
      </c>
      <c r="C104" s="187" t="str">
        <f>IF(INDEX(inputs_EquipType,MATCH(Logic!$A104,inputs_EquipNo,0))&lt;&gt;"",INDEX(inputs_EquipType,MATCH(Logic!$A104,inputs_EquipNo,0)),"")</f>
        <v/>
      </c>
      <c r="D104" s="196" t="str">
        <f>IF(INDEX(inputs_VentEquipQuant,MATCH(Logic!$A104,inputs_EquipNo,0))&lt;&gt;"",INDEX(inputs_VentEquipQuant,MATCH(Logic!$A104,inputs_EquipNo,0)),"")</f>
        <v/>
      </c>
      <c r="E104" s="198" t="str">
        <f>IF(INDEX(inputs_OutdoorAirFlow,MATCH(Logic!$A104,inputs_EquipNo,0))&lt;&gt;"",INDEX(inputs_OutdoorAirFlow,MATCH(Logic!$A104,inputs_EquipNo,0)),"")</f>
        <v/>
      </c>
      <c r="F104" s="199" t="str">
        <f t="shared" si="1"/>
        <v/>
      </c>
      <c r="G104" s="347" t="str">
        <f>IF(INDEX(inputs_HeatRecReq,MATCH(Logic!$A104,inputs_EquipNo,0))&lt;&gt;"",INDEX(inputs_HeatRecReq,MATCH(Logic!$A104,inputs_EquipNo,0)),"")</f>
        <v/>
      </c>
      <c r="H104" s="348"/>
      <c r="I104" s="217"/>
      <c r="J104" s="217"/>
      <c r="K104" s="217"/>
      <c r="L104" s="217"/>
      <c r="M104" s="217"/>
      <c r="N104" s="146"/>
      <c r="O104" s="146"/>
      <c r="P104" s="146"/>
      <c r="Q104" s="217"/>
      <c r="R104" s="217"/>
      <c r="S104" s="217"/>
      <c r="T104" s="217"/>
      <c r="U104" s="217"/>
      <c r="V104" s="217"/>
      <c r="W104" s="217"/>
      <c r="X104" s="217"/>
      <c r="Y104" s="217"/>
      <c r="Z104" s="217"/>
      <c r="AA104" s="31"/>
    </row>
    <row r="105" spans="1:27" ht="18" hidden="1" customHeight="1" outlineLevel="2" collapsed="1">
      <c r="A105" s="188">
        <v>84</v>
      </c>
      <c r="B105" s="187" t="str">
        <f>IF(INDEX(inputs_EquipTag,MATCH(Logic!$A105,inputs_EquipNo,0))&lt;&gt;"",INDEX(inputs_EquipTag,MATCH(Logic!$A105,inputs_EquipNo,0)),"")</f>
        <v/>
      </c>
      <c r="C105" s="187" t="str">
        <f>IF(INDEX(inputs_EquipType,MATCH(Logic!$A105,inputs_EquipNo,0))&lt;&gt;"",INDEX(inputs_EquipType,MATCH(Logic!$A105,inputs_EquipNo,0)),"")</f>
        <v/>
      </c>
      <c r="D105" s="196" t="str">
        <f>IF(INDEX(inputs_VentEquipQuant,MATCH(Logic!$A105,inputs_EquipNo,0))&lt;&gt;"",INDEX(inputs_VentEquipQuant,MATCH(Logic!$A105,inputs_EquipNo,0)),"")</f>
        <v/>
      </c>
      <c r="E105" s="198" t="str">
        <f>IF(INDEX(inputs_OutdoorAirFlow,MATCH(Logic!$A105,inputs_EquipNo,0))&lt;&gt;"",INDEX(inputs_OutdoorAirFlow,MATCH(Logic!$A105,inputs_EquipNo,0)),"")</f>
        <v/>
      </c>
      <c r="F105" s="199" t="str">
        <f t="shared" si="1"/>
        <v/>
      </c>
      <c r="G105" s="347" t="str">
        <f>IF(INDEX(inputs_HeatRecReq,MATCH(Logic!$A105,inputs_EquipNo,0))&lt;&gt;"",INDEX(inputs_HeatRecReq,MATCH(Logic!$A105,inputs_EquipNo,0)),"")</f>
        <v/>
      </c>
      <c r="H105" s="348"/>
      <c r="I105" s="217"/>
      <c r="J105" s="217"/>
      <c r="K105" s="217"/>
      <c r="L105" s="217"/>
      <c r="M105" s="217"/>
      <c r="N105" s="146"/>
      <c r="O105" s="146"/>
      <c r="P105" s="146"/>
      <c r="Q105" s="217"/>
      <c r="R105" s="217"/>
      <c r="S105" s="217"/>
      <c r="T105" s="217"/>
      <c r="U105" s="217"/>
      <c r="V105" s="217"/>
      <c r="W105" s="217"/>
      <c r="X105" s="217"/>
      <c r="Y105" s="217"/>
      <c r="Z105" s="217"/>
      <c r="AA105" s="31"/>
    </row>
    <row r="106" spans="1:27" ht="18" hidden="1" customHeight="1" outlineLevel="2">
      <c r="A106" s="188">
        <v>85</v>
      </c>
      <c r="B106" s="187" t="str">
        <f>IF(INDEX(inputs_EquipTag,MATCH(Logic!$A106,inputs_EquipNo,0))&lt;&gt;"",INDEX(inputs_EquipTag,MATCH(Logic!$A106,inputs_EquipNo,0)),"")</f>
        <v/>
      </c>
      <c r="C106" s="187" t="str">
        <f>IF(INDEX(inputs_EquipType,MATCH(Logic!$A106,inputs_EquipNo,0))&lt;&gt;"",INDEX(inputs_EquipType,MATCH(Logic!$A106,inputs_EquipNo,0)),"")</f>
        <v/>
      </c>
      <c r="D106" s="196" t="str">
        <f>IF(INDEX(inputs_VentEquipQuant,MATCH(Logic!$A106,inputs_EquipNo,0))&lt;&gt;"",INDEX(inputs_VentEquipQuant,MATCH(Logic!$A106,inputs_EquipNo,0)),"")</f>
        <v/>
      </c>
      <c r="E106" s="198" t="str">
        <f>IF(INDEX(inputs_OutdoorAirFlow,MATCH(Logic!$A106,inputs_EquipNo,0))&lt;&gt;"",INDEX(inputs_OutdoorAirFlow,MATCH(Logic!$A106,inputs_EquipNo,0)),"")</f>
        <v/>
      </c>
      <c r="F106" s="199" t="str">
        <f t="shared" si="1"/>
        <v/>
      </c>
      <c r="G106" s="347" t="str">
        <f>IF(INDEX(inputs_HeatRecReq,MATCH(Logic!$A106,inputs_EquipNo,0))&lt;&gt;"",INDEX(inputs_HeatRecReq,MATCH(Logic!$A106,inputs_EquipNo,0)),"")</f>
        <v/>
      </c>
      <c r="H106" s="348"/>
      <c r="I106" s="217"/>
      <c r="J106" s="217"/>
      <c r="K106" s="217"/>
      <c r="L106" s="217"/>
      <c r="M106" s="217"/>
      <c r="N106" s="146"/>
      <c r="O106" s="146"/>
      <c r="P106" s="146"/>
      <c r="Q106" s="217"/>
      <c r="R106" s="217"/>
      <c r="S106" s="217"/>
      <c r="T106" s="217"/>
      <c r="U106" s="217"/>
      <c r="V106" s="217"/>
      <c r="W106" s="217"/>
      <c r="X106" s="217"/>
      <c r="Y106" s="217"/>
      <c r="Z106" s="217"/>
      <c r="AA106" s="31"/>
    </row>
    <row r="107" spans="1:27" ht="18" hidden="1" customHeight="1" outlineLevel="2" collapsed="1">
      <c r="A107" s="188">
        <v>86</v>
      </c>
      <c r="B107" s="187" t="str">
        <f>IF(INDEX(inputs_EquipTag,MATCH(Logic!$A107,inputs_EquipNo,0))&lt;&gt;"",INDEX(inputs_EquipTag,MATCH(Logic!$A107,inputs_EquipNo,0)),"")</f>
        <v/>
      </c>
      <c r="C107" s="187" t="str">
        <f>IF(INDEX(inputs_EquipType,MATCH(Logic!$A107,inputs_EquipNo,0))&lt;&gt;"",INDEX(inputs_EquipType,MATCH(Logic!$A107,inputs_EquipNo,0)),"")</f>
        <v/>
      </c>
      <c r="D107" s="196" t="str">
        <f>IF(INDEX(inputs_VentEquipQuant,MATCH(Logic!$A107,inputs_EquipNo,0))&lt;&gt;"",INDEX(inputs_VentEquipQuant,MATCH(Logic!$A107,inputs_EquipNo,0)),"")</f>
        <v/>
      </c>
      <c r="E107" s="198" t="str">
        <f>IF(INDEX(inputs_OutdoorAirFlow,MATCH(Logic!$A107,inputs_EquipNo,0))&lt;&gt;"",INDEX(inputs_OutdoorAirFlow,MATCH(Logic!$A107,inputs_EquipNo,0)),"")</f>
        <v/>
      </c>
      <c r="F107" s="199" t="str">
        <f t="shared" si="1"/>
        <v/>
      </c>
      <c r="G107" s="347" t="str">
        <f>IF(INDEX(inputs_HeatRecReq,MATCH(Logic!$A107,inputs_EquipNo,0))&lt;&gt;"",INDEX(inputs_HeatRecReq,MATCH(Logic!$A107,inputs_EquipNo,0)),"")</f>
        <v/>
      </c>
      <c r="H107" s="348"/>
      <c r="I107" s="217"/>
      <c r="J107" s="217"/>
      <c r="K107" s="217"/>
      <c r="L107" s="217"/>
      <c r="M107" s="217"/>
      <c r="N107" s="146"/>
      <c r="O107" s="146"/>
      <c r="P107" s="146"/>
      <c r="Q107" s="217"/>
      <c r="R107" s="217"/>
      <c r="S107" s="217"/>
      <c r="T107" s="217"/>
      <c r="U107" s="217"/>
      <c r="V107" s="217"/>
      <c r="W107" s="217"/>
      <c r="X107" s="217"/>
      <c r="Y107" s="217"/>
      <c r="Z107" s="217"/>
      <c r="AA107" s="31"/>
    </row>
    <row r="108" spans="1:27" ht="18" hidden="1" customHeight="1" outlineLevel="2">
      <c r="A108" s="188">
        <v>87</v>
      </c>
      <c r="B108" s="187" t="str">
        <f>IF(INDEX(inputs_EquipTag,MATCH(Logic!$A108,inputs_EquipNo,0))&lt;&gt;"",INDEX(inputs_EquipTag,MATCH(Logic!$A108,inputs_EquipNo,0)),"")</f>
        <v/>
      </c>
      <c r="C108" s="187" t="str">
        <f>IF(INDEX(inputs_EquipType,MATCH(Logic!$A108,inputs_EquipNo,0))&lt;&gt;"",INDEX(inputs_EquipType,MATCH(Logic!$A108,inputs_EquipNo,0)),"")</f>
        <v/>
      </c>
      <c r="D108" s="196" t="str">
        <f>IF(INDEX(inputs_VentEquipQuant,MATCH(Logic!$A108,inputs_EquipNo,0))&lt;&gt;"",INDEX(inputs_VentEquipQuant,MATCH(Logic!$A108,inputs_EquipNo,0)),"")</f>
        <v/>
      </c>
      <c r="E108" s="198" t="str">
        <f>IF(INDEX(inputs_OutdoorAirFlow,MATCH(Logic!$A108,inputs_EquipNo,0))&lt;&gt;"",INDEX(inputs_OutdoorAirFlow,MATCH(Logic!$A108,inputs_EquipNo,0)),"")</f>
        <v/>
      </c>
      <c r="F108" s="199" t="str">
        <f t="shared" si="1"/>
        <v/>
      </c>
      <c r="G108" s="347" t="str">
        <f>IF(INDEX(inputs_HeatRecReq,MATCH(Logic!$A108,inputs_EquipNo,0))&lt;&gt;"",INDEX(inputs_HeatRecReq,MATCH(Logic!$A108,inputs_EquipNo,0)),"")</f>
        <v/>
      </c>
      <c r="H108" s="348"/>
      <c r="I108" s="217"/>
      <c r="J108" s="217"/>
      <c r="K108" s="217"/>
      <c r="L108" s="217"/>
      <c r="M108" s="217"/>
      <c r="N108" s="146"/>
      <c r="O108" s="146"/>
      <c r="P108" s="146"/>
      <c r="Q108" s="217"/>
      <c r="R108" s="217"/>
      <c r="S108" s="217"/>
      <c r="T108" s="217"/>
      <c r="U108" s="217"/>
      <c r="V108" s="217"/>
      <c r="W108" s="217"/>
      <c r="X108" s="217"/>
      <c r="Y108" s="217"/>
      <c r="Z108" s="217"/>
      <c r="AA108" s="31"/>
    </row>
    <row r="109" spans="1:27" ht="18" hidden="1" customHeight="1" outlineLevel="2" collapsed="1">
      <c r="A109" s="188">
        <v>88</v>
      </c>
      <c r="B109" s="187" t="str">
        <f>IF(INDEX(inputs_EquipTag,MATCH(Logic!$A109,inputs_EquipNo,0))&lt;&gt;"",INDEX(inputs_EquipTag,MATCH(Logic!$A109,inputs_EquipNo,0)),"")</f>
        <v/>
      </c>
      <c r="C109" s="187" t="str">
        <f>IF(INDEX(inputs_EquipType,MATCH(Logic!$A109,inputs_EquipNo,0))&lt;&gt;"",INDEX(inputs_EquipType,MATCH(Logic!$A109,inputs_EquipNo,0)),"")</f>
        <v/>
      </c>
      <c r="D109" s="196" t="str">
        <f>IF(INDEX(inputs_VentEquipQuant,MATCH(Logic!$A109,inputs_EquipNo,0))&lt;&gt;"",INDEX(inputs_VentEquipQuant,MATCH(Logic!$A109,inputs_EquipNo,0)),"")</f>
        <v/>
      </c>
      <c r="E109" s="198" t="str">
        <f>IF(INDEX(inputs_OutdoorAirFlow,MATCH(Logic!$A109,inputs_EquipNo,0))&lt;&gt;"",INDEX(inputs_OutdoorAirFlow,MATCH(Logic!$A109,inputs_EquipNo,0)),"")</f>
        <v/>
      </c>
      <c r="F109" s="199" t="str">
        <f t="shared" si="1"/>
        <v/>
      </c>
      <c r="G109" s="347" t="str">
        <f>IF(INDEX(inputs_HeatRecReq,MATCH(Logic!$A109,inputs_EquipNo,0))&lt;&gt;"",INDEX(inputs_HeatRecReq,MATCH(Logic!$A109,inputs_EquipNo,0)),"")</f>
        <v/>
      </c>
      <c r="H109" s="348"/>
      <c r="I109" s="217"/>
      <c r="J109" s="217"/>
      <c r="K109" s="217"/>
      <c r="L109" s="217"/>
      <c r="M109" s="217"/>
      <c r="N109" s="146"/>
      <c r="O109" s="146"/>
      <c r="P109" s="146"/>
      <c r="Q109" s="217"/>
      <c r="R109" s="217"/>
      <c r="S109" s="217"/>
      <c r="T109" s="217"/>
      <c r="U109" s="217"/>
      <c r="V109" s="217"/>
      <c r="W109" s="217"/>
      <c r="X109" s="217"/>
      <c r="Y109" s="217"/>
      <c r="Z109" s="217"/>
      <c r="AA109" s="31"/>
    </row>
    <row r="110" spans="1:27" ht="18" hidden="1" customHeight="1" outlineLevel="2">
      <c r="A110" s="188">
        <v>89</v>
      </c>
      <c r="B110" s="187" t="str">
        <f>IF(INDEX(inputs_EquipTag,MATCH(Logic!$A110,inputs_EquipNo,0))&lt;&gt;"",INDEX(inputs_EquipTag,MATCH(Logic!$A110,inputs_EquipNo,0)),"")</f>
        <v/>
      </c>
      <c r="C110" s="187" t="str">
        <f>IF(INDEX(inputs_EquipType,MATCH(Logic!$A110,inputs_EquipNo,0))&lt;&gt;"",INDEX(inputs_EquipType,MATCH(Logic!$A110,inputs_EquipNo,0)),"")</f>
        <v/>
      </c>
      <c r="D110" s="196" t="str">
        <f>IF(INDEX(inputs_VentEquipQuant,MATCH(Logic!$A110,inputs_EquipNo,0))&lt;&gt;"",INDEX(inputs_VentEquipQuant,MATCH(Logic!$A110,inputs_EquipNo,0)),"")</f>
        <v/>
      </c>
      <c r="E110" s="198" t="str">
        <f>IF(INDEX(inputs_OutdoorAirFlow,MATCH(Logic!$A110,inputs_EquipNo,0))&lt;&gt;"",INDEX(inputs_OutdoorAirFlow,MATCH(Logic!$A110,inputs_EquipNo,0)),"")</f>
        <v/>
      </c>
      <c r="F110" s="199" t="str">
        <f t="shared" si="1"/>
        <v/>
      </c>
      <c r="G110" s="347" t="str">
        <f>IF(INDEX(inputs_HeatRecReq,MATCH(Logic!$A110,inputs_EquipNo,0))&lt;&gt;"",INDEX(inputs_HeatRecReq,MATCH(Logic!$A110,inputs_EquipNo,0)),"")</f>
        <v/>
      </c>
      <c r="H110" s="348"/>
      <c r="I110" s="217"/>
      <c r="J110" s="217"/>
      <c r="K110" s="217"/>
      <c r="L110" s="217"/>
      <c r="M110" s="217"/>
      <c r="N110" s="146"/>
      <c r="O110" s="146"/>
      <c r="P110" s="146"/>
      <c r="Q110" s="217"/>
      <c r="R110" s="217"/>
      <c r="S110" s="217"/>
      <c r="T110" s="217"/>
      <c r="U110" s="217"/>
      <c r="V110" s="217"/>
      <c r="W110" s="217"/>
      <c r="X110" s="217"/>
      <c r="Y110" s="217"/>
      <c r="Z110" s="217"/>
      <c r="AA110" s="31"/>
    </row>
    <row r="111" spans="1:27" ht="18" hidden="1" customHeight="1" outlineLevel="2" collapsed="1">
      <c r="A111" s="188">
        <v>90</v>
      </c>
      <c r="B111" s="187" t="str">
        <f>IF(INDEX(inputs_EquipTag,MATCH(Logic!$A111,inputs_EquipNo,0))&lt;&gt;"",INDEX(inputs_EquipTag,MATCH(Logic!$A111,inputs_EquipNo,0)),"")</f>
        <v/>
      </c>
      <c r="C111" s="187" t="str">
        <f>IF(INDEX(inputs_EquipType,MATCH(Logic!$A111,inputs_EquipNo,0))&lt;&gt;"",INDEX(inputs_EquipType,MATCH(Logic!$A111,inputs_EquipNo,0)),"")</f>
        <v/>
      </c>
      <c r="D111" s="196" t="str">
        <f>IF(INDEX(inputs_VentEquipQuant,MATCH(Logic!$A111,inputs_EquipNo,0))&lt;&gt;"",INDEX(inputs_VentEquipQuant,MATCH(Logic!$A111,inputs_EquipNo,0)),"")</f>
        <v/>
      </c>
      <c r="E111" s="198" t="str">
        <f>IF(INDEX(inputs_OutdoorAirFlow,MATCH(Logic!$A111,inputs_EquipNo,0))&lt;&gt;"",INDEX(inputs_OutdoorAirFlow,MATCH(Logic!$A111,inputs_EquipNo,0)),"")</f>
        <v/>
      </c>
      <c r="F111" s="199" t="str">
        <f t="shared" si="1"/>
        <v/>
      </c>
      <c r="G111" s="347" t="str">
        <f>IF(INDEX(inputs_HeatRecReq,MATCH(Logic!$A111,inputs_EquipNo,0))&lt;&gt;"",INDEX(inputs_HeatRecReq,MATCH(Logic!$A111,inputs_EquipNo,0)),"")</f>
        <v/>
      </c>
      <c r="H111" s="348"/>
      <c r="I111" s="217"/>
      <c r="J111" s="217"/>
      <c r="K111" s="217"/>
      <c r="L111" s="217"/>
      <c r="M111" s="217"/>
      <c r="N111" s="146"/>
      <c r="O111" s="146"/>
      <c r="P111" s="146"/>
      <c r="Q111" s="217"/>
      <c r="R111" s="217"/>
      <c r="S111" s="217"/>
      <c r="T111" s="217"/>
      <c r="U111" s="217"/>
      <c r="V111" s="217"/>
      <c r="W111" s="217"/>
      <c r="X111" s="217"/>
      <c r="Y111" s="217"/>
      <c r="Z111" s="217"/>
      <c r="AA111" s="31"/>
    </row>
    <row r="112" spans="1:27" ht="18" hidden="1" customHeight="1" outlineLevel="2">
      <c r="A112" s="188">
        <v>91</v>
      </c>
      <c r="B112" s="187" t="str">
        <f>IF(INDEX(inputs_EquipTag,MATCH(Logic!$A112,inputs_EquipNo,0))&lt;&gt;"",INDEX(inputs_EquipTag,MATCH(Logic!$A112,inputs_EquipNo,0)),"")</f>
        <v/>
      </c>
      <c r="C112" s="187" t="str">
        <f>IF(INDEX(inputs_EquipType,MATCH(Logic!$A112,inputs_EquipNo,0))&lt;&gt;"",INDEX(inputs_EquipType,MATCH(Logic!$A112,inputs_EquipNo,0)),"")</f>
        <v/>
      </c>
      <c r="D112" s="196" t="str">
        <f>IF(INDEX(inputs_VentEquipQuant,MATCH(Logic!$A112,inputs_EquipNo,0))&lt;&gt;"",INDEX(inputs_VentEquipQuant,MATCH(Logic!$A112,inputs_EquipNo,0)),"")</f>
        <v/>
      </c>
      <c r="E112" s="198" t="str">
        <f>IF(INDEX(inputs_OutdoorAirFlow,MATCH(Logic!$A112,inputs_EquipNo,0))&lt;&gt;"",INDEX(inputs_OutdoorAirFlow,MATCH(Logic!$A112,inputs_EquipNo,0)),"")</f>
        <v/>
      </c>
      <c r="F112" s="199" t="str">
        <f t="shared" si="1"/>
        <v/>
      </c>
      <c r="G112" s="347" t="str">
        <f>IF(INDEX(inputs_HeatRecReq,MATCH(Logic!$A112,inputs_EquipNo,0))&lt;&gt;"",INDEX(inputs_HeatRecReq,MATCH(Logic!$A112,inputs_EquipNo,0)),"")</f>
        <v/>
      </c>
      <c r="H112" s="348"/>
      <c r="I112" s="217"/>
      <c r="J112" s="217"/>
      <c r="K112" s="217"/>
      <c r="L112" s="217"/>
      <c r="M112" s="217"/>
      <c r="N112" s="146"/>
      <c r="O112" s="146"/>
      <c r="P112" s="146"/>
      <c r="Q112" s="217"/>
      <c r="R112" s="217"/>
      <c r="S112" s="217"/>
      <c r="T112" s="217"/>
      <c r="U112" s="217"/>
      <c r="V112" s="217"/>
      <c r="W112" s="217"/>
      <c r="X112" s="217"/>
      <c r="Y112" s="217"/>
      <c r="Z112" s="217"/>
      <c r="AA112" s="31"/>
    </row>
    <row r="113" spans="1:27" ht="18" hidden="1" customHeight="1" outlineLevel="2">
      <c r="A113" s="188">
        <v>92</v>
      </c>
      <c r="B113" s="187" t="str">
        <f>IF(INDEX(inputs_EquipTag,MATCH(Logic!$A113,inputs_EquipNo,0))&lt;&gt;"",INDEX(inputs_EquipTag,MATCH(Logic!$A113,inputs_EquipNo,0)),"")</f>
        <v/>
      </c>
      <c r="C113" s="187" t="str">
        <f>IF(INDEX(inputs_EquipType,MATCH(Logic!$A113,inputs_EquipNo,0))&lt;&gt;"",INDEX(inputs_EquipType,MATCH(Logic!$A113,inputs_EquipNo,0)),"")</f>
        <v/>
      </c>
      <c r="D113" s="196" t="str">
        <f>IF(INDEX(inputs_VentEquipQuant,MATCH(Logic!$A113,inputs_EquipNo,0))&lt;&gt;"",INDEX(inputs_VentEquipQuant,MATCH(Logic!$A113,inputs_EquipNo,0)),"")</f>
        <v/>
      </c>
      <c r="E113" s="198" t="str">
        <f>IF(INDEX(inputs_OutdoorAirFlow,MATCH(Logic!$A113,inputs_EquipNo,0))&lt;&gt;"",INDEX(inputs_OutdoorAirFlow,MATCH(Logic!$A113,inputs_EquipNo,0)),"")</f>
        <v/>
      </c>
      <c r="F113" s="199" t="str">
        <f t="shared" si="1"/>
        <v/>
      </c>
      <c r="G113" s="347" t="str">
        <f>IF(INDEX(inputs_HeatRecReq,MATCH(Logic!$A113,inputs_EquipNo,0))&lt;&gt;"",INDEX(inputs_HeatRecReq,MATCH(Logic!$A113,inputs_EquipNo,0)),"")</f>
        <v/>
      </c>
      <c r="H113" s="348"/>
      <c r="I113" s="217"/>
      <c r="J113" s="217"/>
      <c r="K113" s="217"/>
      <c r="L113" s="217"/>
      <c r="M113" s="217"/>
      <c r="N113" s="146"/>
      <c r="O113" s="146"/>
      <c r="P113" s="146"/>
      <c r="Q113" s="217"/>
      <c r="R113" s="217"/>
      <c r="S113" s="217"/>
      <c r="T113" s="217"/>
      <c r="U113" s="217"/>
      <c r="V113" s="217"/>
      <c r="W113" s="217"/>
      <c r="X113" s="217"/>
      <c r="Y113" s="217"/>
      <c r="Z113" s="217"/>
      <c r="AA113" s="31"/>
    </row>
    <row r="114" spans="1:27" ht="18" hidden="1" customHeight="1" outlineLevel="2">
      <c r="A114" s="188">
        <v>93</v>
      </c>
      <c r="B114" s="187" t="str">
        <f>IF(INDEX(inputs_EquipTag,MATCH(Logic!$A114,inputs_EquipNo,0))&lt;&gt;"",INDEX(inputs_EquipTag,MATCH(Logic!$A114,inputs_EquipNo,0)),"")</f>
        <v/>
      </c>
      <c r="C114" s="187" t="str">
        <f>IF(INDEX(inputs_EquipType,MATCH(Logic!$A114,inputs_EquipNo,0))&lt;&gt;"",INDEX(inputs_EquipType,MATCH(Logic!$A114,inputs_EquipNo,0)),"")</f>
        <v/>
      </c>
      <c r="D114" s="196" t="str">
        <f>IF(INDEX(inputs_VentEquipQuant,MATCH(Logic!$A114,inputs_EquipNo,0))&lt;&gt;"",INDEX(inputs_VentEquipQuant,MATCH(Logic!$A114,inputs_EquipNo,0)),"")</f>
        <v/>
      </c>
      <c r="E114" s="198" t="str">
        <f>IF(INDEX(inputs_OutdoorAirFlow,MATCH(Logic!$A114,inputs_EquipNo,0))&lt;&gt;"",INDEX(inputs_OutdoorAirFlow,MATCH(Logic!$A114,inputs_EquipNo,0)),"")</f>
        <v/>
      </c>
      <c r="F114" s="199" t="str">
        <f t="shared" si="1"/>
        <v/>
      </c>
      <c r="G114" s="347" t="str">
        <f>IF(INDEX(inputs_HeatRecReq,MATCH(Logic!$A114,inputs_EquipNo,0))&lt;&gt;"",INDEX(inputs_HeatRecReq,MATCH(Logic!$A114,inputs_EquipNo,0)),"")</f>
        <v/>
      </c>
      <c r="H114" s="348"/>
      <c r="I114" s="217"/>
      <c r="J114" s="217"/>
      <c r="K114" s="217"/>
      <c r="L114" s="217"/>
      <c r="M114" s="217"/>
      <c r="N114" s="146"/>
      <c r="O114" s="146"/>
      <c r="P114" s="146"/>
      <c r="Q114" s="217"/>
      <c r="R114" s="217"/>
      <c r="S114" s="217"/>
      <c r="T114" s="217"/>
      <c r="U114" s="217"/>
      <c r="V114" s="217"/>
      <c r="W114" s="217"/>
      <c r="X114" s="217"/>
      <c r="Y114" s="217"/>
      <c r="Z114" s="217"/>
      <c r="AA114" s="31"/>
    </row>
    <row r="115" spans="1:27" ht="18" hidden="1" customHeight="1" outlineLevel="1" collapsed="1">
      <c r="A115" s="188">
        <v>94</v>
      </c>
      <c r="B115" s="187" t="str">
        <f>IF(INDEX(inputs_EquipTag,MATCH(Logic!$A115,inputs_EquipNo,0))&lt;&gt;"",INDEX(inputs_EquipTag,MATCH(Logic!$A115,inputs_EquipNo,0)),"")</f>
        <v/>
      </c>
      <c r="C115" s="187" t="str">
        <f>IF(INDEX(inputs_EquipType,MATCH(Logic!$A115,inputs_EquipNo,0))&lt;&gt;"",INDEX(inputs_EquipType,MATCH(Logic!$A115,inputs_EquipNo,0)),"")</f>
        <v/>
      </c>
      <c r="D115" s="196" t="str">
        <f>IF(INDEX(inputs_VentEquipQuant,MATCH(Logic!$A115,inputs_EquipNo,0))&lt;&gt;"",INDEX(inputs_VentEquipQuant,MATCH(Logic!$A115,inputs_EquipNo,0)),"")</f>
        <v/>
      </c>
      <c r="E115" s="198" t="str">
        <f>IF(INDEX(inputs_OutdoorAirFlow,MATCH(Logic!$A115,inputs_EquipNo,0))&lt;&gt;"",INDEX(inputs_OutdoorAirFlow,MATCH(Logic!$A115,inputs_EquipNo,0)),"")</f>
        <v/>
      </c>
      <c r="F115" s="199" t="str">
        <f t="shared" ref="F115" si="3">IFERROR(IF(ISBLANK(B115),"",D115*E115),"")</f>
        <v/>
      </c>
      <c r="G115" s="347" t="str">
        <f>IF(INDEX(inputs_HeatRecReq,MATCH(Logic!$A115,inputs_EquipNo,0))&lt;&gt;"",INDEX(inputs_HeatRecReq,MATCH(Logic!$A115,inputs_EquipNo,0)),"")</f>
        <v/>
      </c>
      <c r="H115" s="348"/>
      <c r="I115" s="159" t="s">
        <v>170</v>
      </c>
      <c r="J115" s="217"/>
      <c r="K115" s="217"/>
      <c r="L115" s="217"/>
      <c r="M115" s="217"/>
      <c r="N115" s="146"/>
      <c r="O115" s="146"/>
      <c r="P115" s="146"/>
      <c r="Q115" s="217"/>
      <c r="R115" s="217"/>
      <c r="S115" s="217"/>
      <c r="T115" s="217"/>
      <c r="U115" s="217"/>
      <c r="V115" s="217"/>
      <c r="W115" s="217"/>
      <c r="X115" s="217"/>
      <c r="Y115" s="151"/>
      <c r="Z115" s="151"/>
      <c r="AA115" s="31"/>
    </row>
    <row r="116" spans="1:27" ht="18" hidden="1" customHeight="1" outlineLevel="2" collapsed="1">
      <c r="A116" s="188">
        <v>95</v>
      </c>
      <c r="B116" s="187" t="str">
        <f>IF(INDEX(inputs_EquipTag,MATCH(Logic!$A116,inputs_EquipNo,0))&lt;&gt;"",INDEX(inputs_EquipTag,MATCH(Logic!$A116,inputs_EquipNo,0)),"")</f>
        <v/>
      </c>
      <c r="C116" s="187" t="str">
        <f>IF(INDEX(inputs_EquipType,MATCH(Logic!$A116,inputs_EquipNo,0))&lt;&gt;"",INDEX(inputs_EquipType,MATCH(Logic!$A116,inputs_EquipNo,0)),"")</f>
        <v/>
      </c>
      <c r="D116" s="196" t="str">
        <f>IF(INDEX(inputs_VentEquipQuant,MATCH(Logic!$A116,inputs_EquipNo,0))&lt;&gt;"",INDEX(inputs_VentEquipQuant,MATCH(Logic!$A116,inputs_EquipNo,0)),"")</f>
        <v/>
      </c>
      <c r="E116" s="198" t="str">
        <f>IF(INDEX(inputs_OutdoorAirFlow,MATCH(Logic!$A116,inputs_EquipNo,0))&lt;&gt;"",INDEX(inputs_OutdoorAirFlow,MATCH(Logic!$A116,inputs_EquipNo,0)),"")</f>
        <v/>
      </c>
      <c r="F116" s="199" t="str">
        <f t="shared" si="1"/>
        <v/>
      </c>
      <c r="G116" s="347" t="str">
        <f>IF(INDEX(inputs_HeatRecReq,MATCH(Logic!$A116,inputs_EquipNo,0))&lt;&gt;"",INDEX(inputs_HeatRecReq,MATCH(Logic!$A116,inputs_EquipNo,0)),"")</f>
        <v/>
      </c>
      <c r="H116" s="348"/>
      <c r="I116" s="217"/>
      <c r="J116" s="217"/>
      <c r="K116" s="217"/>
      <c r="L116" s="217"/>
      <c r="M116" s="217"/>
      <c r="N116" s="146"/>
      <c r="O116" s="146"/>
      <c r="P116" s="146"/>
      <c r="Q116" s="217"/>
      <c r="R116" s="217"/>
      <c r="S116" s="217"/>
      <c r="T116" s="217"/>
      <c r="U116" s="217"/>
      <c r="V116" s="217"/>
      <c r="W116" s="217"/>
      <c r="X116" s="217"/>
      <c r="Y116" s="217"/>
      <c r="Z116" s="217"/>
      <c r="AA116" s="31"/>
    </row>
    <row r="117" spans="1:27" ht="18" hidden="1" customHeight="1" outlineLevel="2">
      <c r="A117" s="188">
        <v>96</v>
      </c>
      <c r="B117" s="187" t="str">
        <f>IF(INDEX(inputs_EquipTag,MATCH(Logic!$A117,inputs_EquipNo,0))&lt;&gt;"",INDEX(inputs_EquipTag,MATCH(Logic!$A117,inputs_EquipNo,0)),"")</f>
        <v/>
      </c>
      <c r="C117" s="187" t="str">
        <f>IF(INDEX(inputs_EquipType,MATCH(Logic!$A117,inputs_EquipNo,0))&lt;&gt;"",INDEX(inputs_EquipType,MATCH(Logic!$A117,inputs_EquipNo,0)),"")</f>
        <v/>
      </c>
      <c r="D117" s="196" t="str">
        <f>IF(INDEX(inputs_VentEquipQuant,MATCH(Logic!$A117,inputs_EquipNo,0))&lt;&gt;"",INDEX(inputs_VentEquipQuant,MATCH(Logic!$A117,inputs_EquipNo,0)),"")</f>
        <v/>
      </c>
      <c r="E117" s="198" t="str">
        <f>IF(INDEX(inputs_OutdoorAirFlow,MATCH(Logic!$A117,inputs_EquipNo,0))&lt;&gt;"",INDEX(inputs_OutdoorAirFlow,MATCH(Logic!$A117,inputs_EquipNo,0)),"")</f>
        <v/>
      </c>
      <c r="F117" s="199" t="str">
        <f t="shared" si="1"/>
        <v/>
      </c>
      <c r="G117" s="347" t="str">
        <f>IF(INDEX(inputs_HeatRecReq,MATCH(Logic!$A117,inputs_EquipNo,0))&lt;&gt;"",INDEX(inputs_HeatRecReq,MATCH(Logic!$A117,inputs_EquipNo,0)),"")</f>
        <v/>
      </c>
      <c r="H117" s="348"/>
      <c r="I117" s="217"/>
      <c r="J117" s="217"/>
      <c r="K117" s="217"/>
      <c r="L117" s="217"/>
      <c r="M117" s="217"/>
      <c r="N117" s="146"/>
      <c r="O117" s="146"/>
      <c r="P117" s="146"/>
      <c r="Q117" s="217"/>
      <c r="R117" s="217"/>
      <c r="S117" s="217"/>
      <c r="T117" s="217"/>
      <c r="U117" s="217"/>
      <c r="V117" s="217"/>
      <c r="W117" s="217"/>
      <c r="X117" s="217"/>
      <c r="Y117" s="217"/>
      <c r="Z117" s="217"/>
      <c r="AA117" s="31"/>
    </row>
    <row r="118" spans="1:27" ht="18" hidden="1" customHeight="1" outlineLevel="2" collapsed="1">
      <c r="A118" s="188">
        <v>97</v>
      </c>
      <c r="B118" s="187" t="str">
        <f>IF(INDEX(inputs_EquipTag,MATCH(Logic!$A118,inputs_EquipNo,0))&lt;&gt;"",INDEX(inputs_EquipTag,MATCH(Logic!$A118,inputs_EquipNo,0)),"")</f>
        <v/>
      </c>
      <c r="C118" s="187" t="str">
        <f>IF(INDEX(inputs_EquipType,MATCH(Logic!$A118,inputs_EquipNo,0))&lt;&gt;"",INDEX(inputs_EquipType,MATCH(Logic!$A118,inputs_EquipNo,0)),"")</f>
        <v/>
      </c>
      <c r="D118" s="196" t="str">
        <f>IF(INDEX(inputs_VentEquipQuant,MATCH(Logic!$A118,inputs_EquipNo,0))&lt;&gt;"",INDEX(inputs_VentEquipQuant,MATCH(Logic!$A118,inputs_EquipNo,0)),"")</f>
        <v/>
      </c>
      <c r="E118" s="198" t="str">
        <f>IF(INDEX(inputs_OutdoorAirFlow,MATCH(Logic!$A118,inputs_EquipNo,0))&lt;&gt;"",INDEX(inputs_OutdoorAirFlow,MATCH(Logic!$A118,inputs_EquipNo,0)),"")</f>
        <v/>
      </c>
      <c r="F118" s="199" t="str">
        <f t="shared" si="1"/>
        <v/>
      </c>
      <c r="G118" s="347" t="str">
        <f>IF(INDEX(inputs_HeatRecReq,MATCH(Logic!$A118,inputs_EquipNo,0))&lt;&gt;"",INDEX(inputs_HeatRecReq,MATCH(Logic!$A118,inputs_EquipNo,0)),"")</f>
        <v/>
      </c>
      <c r="H118" s="348"/>
      <c r="I118" s="217"/>
      <c r="J118" s="217"/>
      <c r="K118" s="217"/>
      <c r="L118" s="217"/>
      <c r="M118" s="217"/>
      <c r="N118" s="146"/>
      <c r="O118" s="146"/>
      <c r="P118" s="146"/>
      <c r="Q118" s="217"/>
      <c r="R118" s="217"/>
      <c r="S118" s="217"/>
      <c r="T118" s="217"/>
      <c r="U118" s="217"/>
      <c r="V118" s="217"/>
      <c r="W118" s="217"/>
      <c r="X118" s="217"/>
      <c r="Y118" s="217"/>
      <c r="Z118" s="217"/>
      <c r="AA118" s="31"/>
    </row>
    <row r="119" spans="1:27" ht="18" hidden="1" customHeight="1" outlineLevel="2">
      <c r="A119" s="188">
        <v>98</v>
      </c>
      <c r="B119" s="187" t="str">
        <f>IF(INDEX(inputs_EquipTag,MATCH(Logic!$A119,inputs_EquipNo,0))&lt;&gt;"",INDEX(inputs_EquipTag,MATCH(Logic!$A119,inputs_EquipNo,0)),"")</f>
        <v/>
      </c>
      <c r="C119" s="187" t="str">
        <f>IF(INDEX(inputs_EquipType,MATCH(Logic!$A119,inputs_EquipNo,0))&lt;&gt;"",INDEX(inputs_EquipType,MATCH(Logic!$A119,inputs_EquipNo,0)),"")</f>
        <v/>
      </c>
      <c r="D119" s="196" t="str">
        <f>IF(INDEX(inputs_VentEquipQuant,MATCH(Logic!$A119,inputs_EquipNo,0))&lt;&gt;"",INDEX(inputs_VentEquipQuant,MATCH(Logic!$A119,inputs_EquipNo,0)),"")</f>
        <v/>
      </c>
      <c r="E119" s="198" t="str">
        <f>IF(INDEX(inputs_OutdoorAirFlow,MATCH(Logic!$A119,inputs_EquipNo,0))&lt;&gt;"",INDEX(inputs_OutdoorAirFlow,MATCH(Logic!$A119,inputs_EquipNo,0)),"")</f>
        <v/>
      </c>
      <c r="F119" s="199" t="str">
        <f t="shared" si="1"/>
        <v/>
      </c>
      <c r="G119" s="347" t="str">
        <f>IF(INDEX(inputs_HeatRecReq,MATCH(Logic!$A119,inputs_EquipNo,0))&lt;&gt;"",INDEX(inputs_HeatRecReq,MATCH(Logic!$A119,inputs_EquipNo,0)),"")</f>
        <v/>
      </c>
      <c r="H119" s="348"/>
      <c r="I119" s="217"/>
      <c r="J119" s="217"/>
      <c r="K119" s="217"/>
      <c r="L119" s="217"/>
      <c r="M119" s="217"/>
      <c r="N119" s="146"/>
      <c r="O119" s="146"/>
      <c r="P119" s="146"/>
      <c r="Q119" s="217"/>
      <c r="R119" s="217"/>
      <c r="S119" s="217"/>
      <c r="T119" s="217"/>
      <c r="U119" s="217"/>
      <c r="V119" s="217"/>
      <c r="W119" s="217"/>
      <c r="X119" s="217"/>
      <c r="Y119" s="217"/>
      <c r="Z119" s="217"/>
      <c r="AA119" s="31"/>
    </row>
    <row r="120" spans="1:27" ht="18" hidden="1" customHeight="1" outlineLevel="2" collapsed="1">
      <c r="A120" s="188">
        <v>99</v>
      </c>
      <c r="B120" s="187" t="str">
        <f>IF(INDEX(inputs_EquipTag,MATCH(Logic!$A120,inputs_EquipNo,0))&lt;&gt;"",INDEX(inputs_EquipTag,MATCH(Logic!$A120,inputs_EquipNo,0)),"")</f>
        <v/>
      </c>
      <c r="C120" s="187" t="str">
        <f>IF(INDEX(inputs_EquipType,MATCH(Logic!$A120,inputs_EquipNo,0))&lt;&gt;"",INDEX(inputs_EquipType,MATCH(Logic!$A120,inputs_EquipNo,0)),"")</f>
        <v/>
      </c>
      <c r="D120" s="196" t="str">
        <f>IF(INDEX(inputs_VentEquipQuant,MATCH(Logic!$A120,inputs_EquipNo,0))&lt;&gt;"",INDEX(inputs_VentEquipQuant,MATCH(Logic!$A120,inputs_EquipNo,0)),"")</f>
        <v/>
      </c>
      <c r="E120" s="198" t="str">
        <f>IF(INDEX(inputs_OutdoorAirFlow,MATCH(Logic!$A120,inputs_EquipNo,0))&lt;&gt;"",INDEX(inputs_OutdoorAirFlow,MATCH(Logic!$A120,inputs_EquipNo,0)),"")</f>
        <v/>
      </c>
      <c r="F120" s="199" t="str">
        <f t="shared" si="1"/>
        <v/>
      </c>
      <c r="G120" s="347" t="str">
        <f>IF(INDEX(inputs_HeatRecReq,MATCH(Logic!$A120,inputs_EquipNo,0))&lt;&gt;"",INDEX(inputs_HeatRecReq,MATCH(Logic!$A120,inputs_EquipNo,0)),"")</f>
        <v/>
      </c>
      <c r="H120" s="348"/>
      <c r="I120" s="217"/>
      <c r="J120" s="217"/>
      <c r="K120" s="217"/>
      <c r="L120" s="217"/>
      <c r="M120" s="217"/>
      <c r="N120" s="146"/>
      <c r="O120" s="146"/>
      <c r="P120" s="146"/>
      <c r="Q120" s="217"/>
      <c r="R120" s="217"/>
      <c r="S120" s="217"/>
      <c r="T120" s="217"/>
      <c r="U120" s="217"/>
      <c r="V120" s="217"/>
      <c r="W120" s="217"/>
      <c r="X120" s="217"/>
      <c r="Y120" s="217"/>
      <c r="Z120" s="217"/>
      <c r="AA120" s="31"/>
    </row>
    <row r="121" spans="1:27" ht="18" hidden="1" customHeight="1" outlineLevel="2">
      <c r="A121" s="188">
        <v>100</v>
      </c>
      <c r="B121" s="187" t="str">
        <f>IF(INDEX(inputs_EquipTag,MATCH(Logic!$A121,inputs_EquipNo,0))&lt;&gt;"",INDEX(inputs_EquipTag,MATCH(Logic!$A121,inputs_EquipNo,0)),"")</f>
        <v/>
      </c>
      <c r="C121" s="187" t="str">
        <f>IF(INDEX(inputs_EquipType,MATCH(Logic!$A121,inputs_EquipNo,0))&lt;&gt;"",INDEX(inputs_EquipType,MATCH(Logic!$A121,inputs_EquipNo,0)),"")</f>
        <v/>
      </c>
      <c r="D121" s="196" t="str">
        <f>IF(INDEX(inputs_VentEquipQuant,MATCH(Logic!$A121,inputs_EquipNo,0))&lt;&gt;"",INDEX(inputs_VentEquipQuant,MATCH(Logic!$A121,inputs_EquipNo,0)),"")</f>
        <v/>
      </c>
      <c r="E121" s="198" t="str">
        <f>IF(INDEX(inputs_OutdoorAirFlow,MATCH(Logic!$A121,inputs_EquipNo,0))&lt;&gt;"",INDEX(inputs_OutdoorAirFlow,MATCH(Logic!$A121,inputs_EquipNo,0)),"")</f>
        <v/>
      </c>
      <c r="F121" s="199" t="str">
        <f t="shared" si="1"/>
        <v/>
      </c>
      <c r="G121" s="347" t="str">
        <f>IF(INDEX(inputs_HeatRecReq,MATCH(Logic!$A121,inputs_EquipNo,0))&lt;&gt;"",INDEX(inputs_HeatRecReq,MATCH(Logic!$A121,inputs_EquipNo,0)),"")</f>
        <v/>
      </c>
      <c r="H121" s="348"/>
      <c r="I121" s="217"/>
      <c r="J121" s="217"/>
      <c r="K121" s="217"/>
      <c r="L121" s="217"/>
      <c r="M121" s="217"/>
      <c r="N121" s="146"/>
      <c r="O121" s="146"/>
      <c r="P121" s="146"/>
      <c r="Q121" s="217"/>
      <c r="R121" s="217"/>
      <c r="S121" s="217"/>
      <c r="T121" s="217"/>
      <c r="U121" s="217"/>
      <c r="V121" s="217"/>
      <c r="W121" s="217"/>
      <c r="X121" s="217"/>
      <c r="Y121" s="217"/>
      <c r="Z121" s="217"/>
      <c r="AA121" s="31"/>
    </row>
    <row r="122" spans="1:27" ht="18" hidden="1" customHeight="1" outlineLevel="2" collapsed="1">
      <c r="A122" s="188">
        <v>101</v>
      </c>
      <c r="B122" s="187" t="str">
        <f>IF(INDEX(inputs_EquipTag,MATCH(Logic!$A122,inputs_EquipNo,0))&lt;&gt;"",INDEX(inputs_EquipTag,MATCH(Logic!$A122,inputs_EquipNo,0)),"")</f>
        <v/>
      </c>
      <c r="C122" s="187" t="str">
        <f>IF(INDEX(inputs_EquipType,MATCH(Logic!$A122,inputs_EquipNo,0))&lt;&gt;"",INDEX(inputs_EquipType,MATCH(Logic!$A122,inputs_EquipNo,0)),"")</f>
        <v/>
      </c>
      <c r="D122" s="196" t="str">
        <f>IF(INDEX(inputs_VentEquipQuant,MATCH(Logic!$A122,inputs_EquipNo,0))&lt;&gt;"",INDEX(inputs_VentEquipQuant,MATCH(Logic!$A122,inputs_EquipNo,0)),"")</f>
        <v/>
      </c>
      <c r="E122" s="198" t="str">
        <f>IF(INDEX(inputs_OutdoorAirFlow,MATCH(Logic!$A122,inputs_EquipNo,0))&lt;&gt;"",INDEX(inputs_OutdoorAirFlow,MATCH(Logic!$A122,inputs_EquipNo,0)),"")</f>
        <v/>
      </c>
      <c r="F122" s="199" t="str">
        <f t="shared" si="1"/>
        <v/>
      </c>
      <c r="G122" s="347" t="str">
        <f>IF(INDEX(inputs_HeatRecReq,MATCH(Logic!$A122,inputs_EquipNo,0))&lt;&gt;"",INDEX(inputs_HeatRecReq,MATCH(Logic!$A122,inputs_EquipNo,0)),"")</f>
        <v/>
      </c>
      <c r="H122" s="348"/>
      <c r="I122" s="217"/>
      <c r="J122" s="217"/>
      <c r="K122" s="217"/>
      <c r="L122" s="217"/>
      <c r="M122" s="217"/>
      <c r="N122" s="146"/>
      <c r="O122" s="146"/>
      <c r="P122" s="146"/>
      <c r="Q122" s="217"/>
      <c r="R122" s="217"/>
      <c r="S122" s="217"/>
      <c r="T122" s="217"/>
      <c r="U122" s="217"/>
      <c r="V122" s="217"/>
      <c r="W122" s="217"/>
      <c r="X122" s="217"/>
      <c r="Y122" s="217"/>
      <c r="Z122" s="217"/>
      <c r="AA122" s="31"/>
    </row>
    <row r="123" spans="1:27" ht="18" hidden="1" customHeight="1" outlineLevel="2">
      <c r="A123" s="188">
        <v>102</v>
      </c>
      <c r="B123" s="187" t="str">
        <f>IF(INDEX(inputs_EquipTag,MATCH(Logic!$A123,inputs_EquipNo,0))&lt;&gt;"",INDEX(inputs_EquipTag,MATCH(Logic!$A123,inputs_EquipNo,0)),"")</f>
        <v/>
      </c>
      <c r="C123" s="187" t="str">
        <f>IF(INDEX(inputs_EquipType,MATCH(Logic!$A123,inputs_EquipNo,0))&lt;&gt;"",INDEX(inputs_EquipType,MATCH(Logic!$A123,inputs_EquipNo,0)),"")</f>
        <v/>
      </c>
      <c r="D123" s="196" t="str">
        <f>IF(INDEX(inputs_VentEquipQuant,MATCH(Logic!$A123,inputs_EquipNo,0))&lt;&gt;"",INDEX(inputs_VentEquipQuant,MATCH(Logic!$A123,inputs_EquipNo,0)),"")</f>
        <v/>
      </c>
      <c r="E123" s="198" t="str">
        <f>IF(INDEX(inputs_OutdoorAirFlow,MATCH(Logic!$A123,inputs_EquipNo,0))&lt;&gt;"",INDEX(inputs_OutdoorAirFlow,MATCH(Logic!$A123,inputs_EquipNo,0)),"")</f>
        <v/>
      </c>
      <c r="F123" s="199" t="str">
        <f t="shared" si="1"/>
        <v/>
      </c>
      <c r="G123" s="347" t="str">
        <f>IF(INDEX(inputs_HeatRecReq,MATCH(Logic!$A123,inputs_EquipNo,0))&lt;&gt;"",INDEX(inputs_HeatRecReq,MATCH(Logic!$A123,inputs_EquipNo,0)),"")</f>
        <v/>
      </c>
      <c r="H123" s="348"/>
      <c r="I123" s="217"/>
      <c r="J123" s="217"/>
      <c r="K123" s="217"/>
      <c r="L123" s="217"/>
      <c r="M123" s="217"/>
      <c r="N123" s="146"/>
      <c r="O123" s="146"/>
      <c r="P123" s="146"/>
      <c r="Q123" s="217"/>
      <c r="R123" s="217"/>
      <c r="S123" s="217"/>
      <c r="T123" s="217"/>
      <c r="U123" s="217"/>
      <c r="V123" s="217"/>
      <c r="W123" s="217"/>
      <c r="X123" s="217"/>
      <c r="Y123" s="217"/>
      <c r="Z123" s="217"/>
      <c r="AA123" s="31"/>
    </row>
    <row r="124" spans="1:27" ht="18" hidden="1" customHeight="1" outlineLevel="2">
      <c r="A124" s="188">
        <v>103</v>
      </c>
      <c r="B124" s="187" t="str">
        <f>IF(INDEX(inputs_EquipTag,MATCH(Logic!$A124,inputs_EquipNo,0))&lt;&gt;"",INDEX(inputs_EquipTag,MATCH(Logic!$A124,inputs_EquipNo,0)),"")</f>
        <v/>
      </c>
      <c r="C124" s="187" t="str">
        <f>IF(INDEX(inputs_EquipType,MATCH(Logic!$A124,inputs_EquipNo,0))&lt;&gt;"",INDEX(inputs_EquipType,MATCH(Logic!$A124,inputs_EquipNo,0)),"")</f>
        <v/>
      </c>
      <c r="D124" s="196" t="str">
        <f>IF(INDEX(inputs_VentEquipQuant,MATCH(Logic!$A124,inputs_EquipNo,0))&lt;&gt;"",INDEX(inputs_VentEquipQuant,MATCH(Logic!$A124,inputs_EquipNo,0)),"")</f>
        <v/>
      </c>
      <c r="E124" s="198" t="str">
        <f>IF(INDEX(inputs_OutdoorAirFlow,MATCH(Logic!$A124,inputs_EquipNo,0))&lt;&gt;"",INDEX(inputs_OutdoorAirFlow,MATCH(Logic!$A124,inputs_EquipNo,0)),"")</f>
        <v/>
      </c>
      <c r="F124" s="199" t="str">
        <f t="shared" si="1"/>
        <v/>
      </c>
      <c r="G124" s="347" t="str">
        <f>IF(INDEX(inputs_HeatRecReq,MATCH(Logic!$A124,inputs_EquipNo,0))&lt;&gt;"",INDEX(inputs_HeatRecReq,MATCH(Logic!$A124,inputs_EquipNo,0)),"")</f>
        <v/>
      </c>
      <c r="H124" s="348"/>
      <c r="I124" s="217"/>
      <c r="J124" s="217"/>
      <c r="K124" s="217"/>
      <c r="L124" s="217"/>
      <c r="M124" s="217"/>
      <c r="N124" s="146"/>
      <c r="O124" s="146"/>
      <c r="P124" s="146"/>
      <c r="Q124" s="217"/>
      <c r="R124" s="217"/>
      <c r="S124" s="217"/>
      <c r="T124" s="217"/>
      <c r="U124" s="217"/>
      <c r="V124" s="217"/>
      <c r="W124" s="217"/>
      <c r="X124" s="217"/>
      <c r="Y124" s="217"/>
      <c r="Z124" s="217"/>
      <c r="AA124" s="31"/>
    </row>
    <row r="125" spans="1:27" ht="18" hidden="1" customHeight="1" outlineLevel="2">
      <c r="A125" s="188">
        <v>104</v>
      </c>
      <c r="B125" s="187" t="str">
        <f>IF(INDEX(inputs_EquipTag,MATCH(Logic!$A125,inputs_EquipNo,0))&lt;&gt;"",INDEX(inputs_EquipTag,MATCH(Logic!$A125,inputs_EquipNo,0)),"")</f>
        <v/>
      </c>
      <c r="C125" s="187" t="str">
        <f>IF(INDEX(inputs_EquipType,MATCH(Logic!$A125,inputs_EquipNo,0))&lt;&gt;"",INDEX(inputs_EquipType,MATCH(Logic!$A125,inputs_EquipNo,0)),"")</f>
        <v/>
      </c>
      <c r="D125" s="196" t="str">
        <f>IF(INDEX(inputs_VentEquipQuant,MATCH(Logic!$A125,inputs_EquipNo,0))&lt;&gt;"",INDEX(inputs_VentEquipQuant,MATCH(Logic!$A125,inputs_EquipNo,0)),"")</f>
        <v/>
      </c>
      <c r="E125" s="198" t="str">
        <f>IF(INDEX(inputs_OutdoorAirFlow,MATCH(Logic!$A125,inputs_EquipNo,0))&lt;&gt;"",INDEX(inputs_OutdoorAirFlow,MATCH(Logic!$A125,inputs_EquipNo,0)),"")</f>
        <v/>
      </c>
      <c r="F125" s="199" t="str">
        <f t="shared" si="1"/>
        <v/>
      </c>
      <c r="G125" s="347" t="str">
        <f>IF(INDEX(inputs_HeatRecReq,MATCH(Logic!$A125,inputs_EquipNo,0))&lt;&gt;"",INDEX(inputs_HeatRecReq,MATCH(Logic!$A125,inputs_EquipNo,0)),"")</f>
        <v/>
      </c>
      <c r="H125" s="348"/>
      <c r="I125" s="217"/>
      <c r="J125" s="217"/>
      <c r="K125" s="217"/>
      <c r="L125" s="217"/>
      <c r="M125" s="217"/>
      <c r="N125" s="146"/>
      <c r="O125" s="146"/>
      <c r="P125" s="146"/>
      <c r="Q125" s="217"/>
      <c r="R125" s="217"/>
      <c r="S125" s="217"/>
      <c r="T125" s="217"/>
      <c r="U125" s="217"/>
      <c r="V125" s="217"/>
      <c r="W125" s="217"/>
      <c r="X125" s="217"/>
      <c r="Y125" s="217"/>
      <c r="Z125" s="217"/>
      <c r="AA125" s="31"/>
    </row>
    <row r="126" spans="1:27" ht="18" hidden="1" customHeight="1" outlineLevel="2" collapsed="1">
      <c r="A126" s="188">
        <v>105</v>
      </c>
      <c r="B126" s="187" t="str">
        <f>IF(INDEX(inputs_EquipTag,MATCH(Logic!$A126,inputs_EquipNo,0))&lt;&gt;"",INDEX(inputs_EquipTag,MATCH(Logic!$A126,inputs_EquipNo,0)),"")</f>
        <v/>
      </c>
      <c r="C126" s="187" t="str">
        <f>IF(INDEX(inputs_EquipType,MATCH(Logic!$A126,inputs_EquipNo,0))&lt;&gt;"",INDEX(inputs_EquipType,MATCH(Logic!$A126,inputs_EquipNo,0)),"")</f>
        <v/>
      </c>
      <c r="D126" s="196" t="str">
        <f>IF(INDEX(inputs_VentEquipQuant,MATCH(Logic!$A126,inputs_EquipNo,0))&lt;&gt;"",INDEX(inputs_VentEquipQuant,MATCH(Logic!$A126,inputs_EquipNo,0)),"")</f>
        <v/>
      </c>
      <c r="E126" s="198" t="str">
        <f>IF(INDEX(inputs_OutdoorAirFlow,MATCH(Logic!$A126,inputs_EquipNo,0))&lt;&gt;"",INDEX(inputs_OutdoorAirFlow,MATCH(Logic!$A126,inputs_EquipNo,0)),"")</f>
        <v/>
      </c>
      <c r="F126" s="199" t="str">
        <f t="shared" si="1"/>
        <v/>
      </c>
      <c r="G126" s="347" t="str">
        <f>IF(INDEX(inputs_HeatRecReq,MATCH(Logic!$A126,inputs_EquipNo,0))&lt;&gt;"",INDEX(inputs_HeatRecReq,MATCH(Logic!$A126,inputs_EquipNo,0)),"")</f>
        <v/>
      </c>
      <c r="H126" s="348"/>
      <c r="I126" s="217"/>
      <c r="J126" s="217"/>
      <c r="K126" s="217"/>
      <c r="L126" s="217"/>
      <c r="M126" s="217"/>
      <c r="N126" s="146"/>
      <c r="O126" s="146"/>
      <c r="P126" s="146"/>
      <c r="Q126" s="217"/>
      <c r="R126" s="217"/>
      <c r="S126" s="217"/>
      <c r="T126" s="217"/>
      <c r="U126" s="217"/>
      <c r="V126" s="217"/>
      <c r="W126" s="217"/>
      <c r="X126" s="217"/>
      <c r="Y126" s="217"/>
      <c r="Z126" s="217"/>
      <c r="AA126" s="31"/>
    </row>
    <row r="127" spans="1:27" ht="18" hidden="1" customHeight="1" outlineLevel="2">
      <c r="A127" s="188">
        <v>106</v>
      </c>
      <c r="B127" s="187" t="str">
        <f>IF(INDEX(inputs_EquipTag,MATCH(Logic!$A127,inputs_EquipNo,0))&lt;&gt;"",INDEX(inputs_EquipTag,MATCH(Logic!$A127,inputs_EquipNo,0)),"")</f>
        <v/>
      </c>
      <c r="C127" s="187" t="str">
        <f>IF(INDEX(inputs_EquipType,MATCH(Logic!$A127,inputs_EquipNo,0))&lt;&gt;"",INDEX(inputs_EquipType,MATCH(Logic!$A127,inputs_EquipNo,0)),"")</f>
        <v/>
      </c>
      <c r="D127" s="196" t="str">
        <f>IF(INDEX(inputs_VentEquipQuant,MATCH(Logic!$A127,inputs_EquipNo,0))&lt;&gt;"",INDEX(inputs_VentEquipQuant,MATCH(Logic!$A127,inputs_EquipNo,0)),"")</f>
        <v/>
      </c>
      <c r="E127" s="198" t="str">
        <f>IF(INDEX(inputs_OutdoorAirFlow,MATCH(Logic!$A127,inputs_EquipNo,0))&lt;&gt;"",INDEX(inputs_OutdoorAirFlow,MATCH(Logic!$A127,inputs_EquipNo,0)),"")</f>
        <v/>
      </c>
      <c r="F127" s="199" t="str">
        <f t="shared" si="1"/>
        <v/>
      </c>
      <c r="G127" s="347" t="str">
        <f>IF(INDEX(inputs_HeatRecReq,MATCH(Logic!$A127,inputs_EquipNo,0))&lt;&gt;"",INDEX(inputs_HeatRecReq,MATCH(Logic!$A127,inputs_EquipNo,0)),"")</f>
        <v/>
      </c>
      <c r="H127" s="348"/>
      <c r="I127" s="217"/>
      <c r="J127" s="217"/>
      <c r="K127" s="217"/>
      <c r="L127" s="217"/>
      <c r="M127" s="217"/>
      <c r="N127" s="146"/>
      <c r="O127" s="146"/>
      <c r="P127" s="146"/>
      <c r="Q127" s="217"/>
      <c r="R127" s="217"/>
      <c r="S127" s="217"/>
      <c r="T127" s="217"/>
      <c r="U127" s="217"/>
      <c r="V127" s="217"/>
      <c r="W127" s="217"/>
      <c r="X127" s="217"/>
      <c r="Y127" s="217"/>
      <c r="Z127" s="217"/>
      <c r="AA127" s="31"/>
    </row>
    <row r="128" spans="1:27" ht="18" hidden="1" customHeight="1" outlineLevel="2" collapsed="1">
      <c r="A128" s="188">
        <v>107</v>
      </c>
      <c r="B128" s="187" t="str">
        <f>IF(INDEX(inputs_EquipTag,MATCH(Logic!$A128,inputs_EquipNo,0))&lt;&gt;"",INDEX(inputs_EquipTag,MATCH(Logic!$A128,inputs_EquipNo,0)),"")</f>
        <v/>
      </c>
      <c r="C128" s="187" t="str">
        <f>IF(INDEX(inputs_EquipType,MATCH(Logic!$A128,inputs_EquipNo,0))&lt;&gt;"",INDEX(inputs_EquipType,MATCH(Logic!$A128,inputs_EquipNo,0)),"")</f>
        <v/>
      </c>
      <c r="D128" s="196" t="str">
        <f>IF(INDEX(inputs_VentEquipQuant,MATCH(Logic!$A128,inputs_EquipNo,0))&lt;&gt;"",INDEX(inputs_VentEquipQuant,MATCH(Logic!$A128,inputs_EquipNo,0)),"")</f>
        <v/>
      </c>
      <c r="E128" s="198" t="str">
        <f>IF(INDEX(inputs_OutdoorAirFlow,MATCH(Logic!$A128,inputs_EquipNo,0))&lt;&gt;"",INDEX(inputs_OutdoorAirFlow,MATCH(Logic!$A128,inputs_EquipNo,0)),"")</f>
        <v/>
      </c>
      <c r="F128" s="199" t="str">
        <f t="shared" si="1"/>
        <v/>
      </c>
      <c r="G128" s="347" t="str">
        <f>IF(INDEX(inputs_HeatRecReq,MATCH(Logic!$A128,inputs_EquipNo,0))&lt;&gt;"",INDEX(inputs_HeatRecReq,MATCH(Logic!$A128,inputs_EquipNo,0)),"")</f>
        <v/>
      </c>
      <c r="H128" s="348"/>
      <c r="I128" s="217"/>
      <c r="J128" s="217"/>
      <c r="K128" s="217"/>
      <c r="L128" s="217"/>
      <c r="M128" s="217"/>
      <c r="N128" s="146"/>
      <c r="O128" s="146"/>
      <c r="P128" s="146"/>
      <c r="Q128" s="217"/>
      <c r="R128" s="217"/>
      <c r="S128" s="217"/>
      <c r="T128" s="217"/>
      <c r="U128" s="217"/>
      <c r="V128" s="217"/>
      <c r="W128" s="217"/>
      <c r="X128" s="217"/>
      <c r="Y128" s="217"/>
      <c r="Z128" s="217"/>
      <c r="AA128" s="31"/>
    </row>
    <row r="129" spans="1:28" ht="18" hidden="1" customHeight="1" outlineLevel="2">
      <c r="A129" s="188">
        <v>108</v>
      </c>
      <c r="B129" s="187" t="str">
        <f>IF(INDEX(inputs_EquipTag,MATCH(Logic!$A129,inputs_EquipNo,0))&lt;&gt;"",INDEX(inputs_EquipTag,MATCH(Logic!$A129,inputs_EquipNo,0)),"")</f>
        <v/>
      </c>
      <c r="C129" s="187" t="str">
        <f>IF(INDEX(inputs_EquipType,MATCH(Logic!$A129,inputs_EquipNo,0))&lt;&gt;"",INDEX(inputs_EquipType,MATCH(Logic!$A129,inputs_EquipNo,0)),"")</f>
        <v/>
      </c>
      <c r="D129" s="196" t="str">
        <f>IF(INDEX(inputs_VentEquipQuant,MATCH(Logic!$A129,inputs_EquipNo,0))&lt;&gt;"",INDEX(inputs_VentEquipQuant,MATCH(Logic!$A129,inputs_EquipNo,0)),"")</f>
        <v/>
      </c>
      <c r="E129" s="198" t="str">
        <f>IF(INDEX(inputs_OutdoorAirFlow,MATCH(Logic!$A129,inputs_EquipNo,0))&lt;&gt;"",INDEX(inputs_OutdoorAirFlow,MATCH(Logic!$A129,inputs_EquipNo,0)),"")</f>
        <v/>
      </c>
      <c r="F129" s="199" t="str">
        <f t="shared" si="1"/>
        <v/>
      </c>
      <c r="G129" s="347" t="str">
        <f>IF(INDEX(inputs_HeatRecReq,MATCH(Logic!$A129,inputs_EquipNo,0))&lt;&gt;"",INDEX(inputs_HeatRecReq,MATCH(Logic!$A129,inputs_EquipNo,0)),"")</f>
        <v/>
      </c>
      <c r="H129" s="348"/>
      <c r="I129" s="217"/>
      <c r="J129" s="217"/>
      <c r="K129" s="217"/>
      <c r="L129" s="217"/>
      <c r="M129" s="217"/>
      <c r="N129" s="146"/>
      <c r="O129" s="146"/>
      <c r="P129" s="146"/>
      <c r="Q129" s="217"/>
      <c r="R129" s="217"/>
      <c r="S129" s="217"/>
      <c r="T129" s="217"/>
      <c r="U129" s="217"/>
      <c r="V129" s="217"/>
      <c r="W129" s="217"/>
      <c r="X129" s="217"/>
      <c r="Y129" s="217"/>
      <c r="Z129" s="217"/>
      <c r="AA129" s="31"/>
      <c r="AB129" s="218"/>
    </row>
    <row r="130" spans="1:28" ht="18" hidden="1" customHeight="1" outlineLevel="2" collapsed="1">
      <c r="A130" s="188">
        <v>109</v>
      </c>
      <c r="B130" s="187" t="str">
        <f>IF(INDEX(inputs_EquipTag,MATCH(Logic!$A130,inputs_EquipNo,0))&lt;&gt;"",INDEX(inputs_EquipTag,MATCH(Logic!$A130,inputs_EquipNo,0)),"")</f>
        <v/>
      </c>
      <c r="C130" s="187" t="str">
        <f>IF(INDEX(inputs_EquipType,MATCH(Logic!$A130,inputs_EquipNo,0))&lt;&gt;"",INDEX(inputs_EquipType,MATCH(Logic!$A130,inputs_EquipNo,0)),"")</f>
        <v/>
      </c>
      <c r="D130" s="196" t="str">
        <f>IF(INDEX(inputs_VentEquipQuant,MATCH(Logic!$A130,inputs_EquipNo,0))&lt;&gt;"",INDEX(inputs_VentEquipQuant,MATCH(Logic!$A130,inputs_EquipNo,0)),"")</f>
        <v/>
      </c>
      <c r="E130" s="198" t="str">
        <f>IF(INDEX(inputs_OutdoorAirFlow,MATCH(Logic!$A130,inputs_EquipNo,0))&lt;&gt;"",INDEX(inputs_OutdoorAirFlow,MATCH(Logic!$A130,inputs_EquipNo,0)),"")</f>
        <v/>
      </c>
      <c r="F130" s="199" t="str">
        <f t="shared" si="1"/>
        <v/>
      </c>
      <c r="G130" s="347" t="str">
        <f>IF(INDEX(inputs_HeatRecReq,MATCH(Logic!$A130,inputs_EquipNo,0))&lt;&gt;"",INDEX(inputs_HeatRecReq,MATCH(Logic!$A130,inputs_EquipNo,0)),"")</f>
        <v/>
      </c>
      <c r="H130" s="348"/>
      <c r="I130" s="217"/>
      <c r="J130" s="217"/>
      <c r="K130" s="217"/>
      <c r="L130" s="217"/>
      <c r="M130" s="217"/>
      <c r="N130" s="146"/>
      <c r="O130" s="146"/>
      <c r="P130" s="146"/>
      <c r="Q130" s="217"/>
      <c r="R130" s="217"/>
      <c r="S130" s="217"/>
      <c r="T130" s="217"/>
      <c r="U130" s="217"/>
      <c r="V130" s="217"/>
      <c r="W130" s="217"/>
      <c r="X130" s="217"/>
      <c r="Y130" s="217"/>
      <c r="Z130" s="217"/>
      <c r="AA130" s="31"/>
      <c r="AB130" s="218"/>
    </row>
    <row r="131" spans="1:28" ht="18" hidden="1" customHeight="1" outlineLevel="2">
      <c r="A131" s="188">
        <v>110</v>
      </c>
      <c r="B131" s="187" t="str">
        <f>IF(INDEX(inputs_EquipTag,MATCH(Logic!$A131,inputs_EquipNo,0))&lt;&gt;"",INDEX(inputs_EquipTag,MATCH(Logic!$A131,inputs_EquipNo,0)),"")</f>
        <v/>
      </c>
      <c r="C131" s="187" t="str">
        <f>IF(INDEX(inputs_EquipType,MATCH(Logic!$A131,inputs_EquipNo,0))&lt;&gt;"",INDEX(inputs_EquipType,MATCH(Logic!$A131,inputs_EquipNo,0)),"")</f>
        <v/>
      </c>
      <c r="D131" s="196" t="str">
        <f>IF(INDEX(inputs_VentEquipQuant,MATCH(Logic!$A131,inputs_EquipNo,0))&lt;&gt;"",INDEX(inputs_VentEquipQuant,MATCH(Logic!$A131,inputs_EquipNo,0)),"")</f>
        <v/>
      </c>
      <c r="E131" s="198" t="str">
        <f>IF(INDEX(inputs_OutdoorAirFlow,MATCH(Logic!$A131,inputs_EquipNo,0))&lt;&gt;"",INDEX(inputs_OutdoorAirFlow,MATCH(Logic!$A131,inputs_EquipNo,0)),"")</f>
        <v/>
      </c>
      <c r="F131" s="199" t="str">
        <f t="shared" si="1"/>
        <v/>
      </c>
      <c r="G131" s="347" t="str">
        <f>IF(INDEX(inputs_HeatRecReq,MATCH(Logic!$A131,inputs_EquipNo,0))&lt;&gt;"",INDEX(inputs_HeatRecReq,MATCH(Logic!$A131,inputs_EquipNo,0)),"")</f>
        <v/>
      </c>
      <c r="H131" s="348"/>
      <c r="I131" s="217"/>
      <c r="J131" s="217"/>
      <c r="K131" s="217"/>
      <c r="L131" s="217"/>
      <c r="M131" s="217"/>
      <c r="N131" s="146"/>
      <c r="O131" s="146"/>
      <c r="P131" s="146"/>
      <c r="Q131" s="217"/>
      <c r="R131" s="217"/>
      <c r="S131" s="217"/>
      <c r="T131" s="217"/>
      <c r="U131" s="217"/>
      <c r="V131" s="217"/>
      <c r="W131" s="217"/>
      <c r="X131" s="217"/>
      <c r="Y131" s="217"/>
      <c r="Z131" s="217"/>
      <c r="AA131" s="31"/>
      <c r="AB131" s="218"/>
    </row>
    <row r="132" spans="1:28" ht="18" hidden="1" customHeight="1" outlineLevel="2" collapsed="1">
      <c r="A132" s="188">
        <v>111</v>
      </c>
      <c r="B132" s="187" t="str">
        <f>IF(INDEX(inputs_EquipTag,MATCH(Logic!$A132,inputs_EquipNo,0))&lt;&gt;"",INDEX(inputs_EquipTag,MATCH(Logic!$A132,inputs_EquipNo,0)),"")</f>
        <v/>
      </c>
      <c r="C132" s="187" t="str">
        <f>IF(INDEX(inputs_EquipType,MATCH(Logic!$A132,inputs_EquipNo,0))&lt;&gt;"",INDEX(inputs_EquipType,MATCH(Logic!$A132,inputs_EquipNo,0)),"")</f>
        <v/>
      </c>
      <c r="D132" s="196" t="str">
        <f>IF(INDEX(inputs_VentEquipQuant,MATCH(Logic!$A132,inputs_EquipNo,0))&lt;&gt;"",INDEX(inputs_VentEquipQuant,MATCH(Logic!$A132,inputs_EquipNo,0)),"")</f>
        <v/>
      </c>
      <c r="E132" s="198" t="str">
        <f>IF(INDEX(inputs_OutdoorAirFlow,MATCH(Logic!$A132,inputs_EquipNo,0))&lt;&gt;"",INDEX(inputs_OutdoorAirFlow,MATCH(Logic!$A132,inputs_EquipNo,0)),"")</f>
        <v/>
      </c>
      <c r="F132" s="199" t="str">
        <f t="shared" si="1"/>
        <v/>
      </c>
      <c r="G132" s="347" t="str">
        <f>IF(INDEX(inputs_HeatRecReq,MATCH(Logic!$A132,inputs_EquipNo,0))&lt;&gt;"",INDEX(inputs_HeatRecReq,MATCH(Logic!$A132,inputs_EquipNo,0)),"")</f>
        <v/>
      </c>
      <c r="H132" s="348"/>
      <c r="I132" s="217"/>
      <c r="J132" s="217"/>
      <c r="K132" s="217"/>
      <c r="L132" s="217"/>
      <c r="M132" s="217"/>
      <c r="N132" s="146"/>
      <c r="O132" s="146"/>
      <c r="P132" s="146"/>
      <c r="Q132" s="217"/>
      <c r="R132" s="217"/>
      <c r="S132" s="217"/>
      <c r="T132" s="217"/>
      <c r="U132" s="217"/>
      <c r="V132" s="217"/>
      <c r="W132" s="217"/>
      <c r="X132" s="217"/>
      <c r="Y132" s="217"/>
      <c r="Z132" s="217"/>
      <c r="AA132" s="31"/>
      <c r="AB132" s="218"/>
    </row>
    <row r="133" spans="1:28" ht="18" hidden="1" customHeight="1" outlineLevel="2">
      <c r="A133" s="188">
        <v>112</v>
      </c>
      <c r="B133" s="187" t="str">
        <f>IF(INDEX(inputs_EquipTag,MATCH(Logic!$A133,inputs_EquipNo,0))&lt;&gt;"",INDEX(inputs_EquipTag,MATCH(Logic!$A133,inputs_EquipNo,0)),"")</f>
        <v/>
      </c>
      <c r="C133" s="187" t="str">
        <f>IF(INDEX(inputs_EquipType,MATCH(Logic!$A133,inputs_EquipNo,0))&lt;&gt;"",INDEX(inputs_EquipType,MATCH(Logic!$A133,inputs_EquipNo,0)),"")</f>
        <v/>
      </c>
      <c r="D133" s="196" t="str">
        <f>IF(INDEX(inputs_VentEquipQuant,MATCH(Logic!$A133,inputs_EquipNo,0))&lt;&gt;"",INDEX(inputs_VentEquipQuant,MATCH(Logic!$A133,inputs_EquipNo,0)),"")</f>
        <v/>
      </c>
      <c r="E133" s="198" t="str">
        <f>IF(INDEX(inputs_OutdoorAirFlow,MATCH(Logic!$A133,inputs_EquipNo,0))&lt;&gt;"",INDEX(inputs_OutdoorAirFlow,MATCH(Logic!$A133,inputs_EquipNo,0)),"")</f>
        <v/>
      </c>
      <c r="F133" s="199" t="str">
        <f t="shared" si="1"/>
        <v/>
      </c>
      <c r="G133" s="347" t="str">
        <f>IF(INDEX(inputs_HeatRecReq,MATCH(Logic!$A133,inputs_EquipNo,0))&lt;&gt;"",INDEX(inputs_HeatRecReq,MATCH(Logic!$A133,inputs_EquipNo,0)),"")</f>
        <v/>
      </c>
      <c r="H133" s="348"/>
      <c r="I133" s="217"/>
      <c r="J133" s="217"/>
      <c r="K133" s="217"/>
      <c r="L133" s="217"/>
      <c r="M133" s="217"/>
      <c r="N133" s="146"/>
      <c r="O133" s="146"/>
      <c r="P133" s="146"/>
      <c r="Q133" s="217"/>
      <c r="R133" s="217"/>
      <c r="S133" s="217"/>
      <c r="T133" s="217"/>
      <c r="U133" s="217"/>
      <c r="V133" s="217"/>
      <c r="W133" s="217"/>
      <c r="X133" s="217"/>
      <c r="Y133" s="217"/>
      <c r="Z133" s="217"/>
      <c r="AA133" s="31"/>
      <c r="AB133" s="218"/>
    </row>
    <row r="134" spans="1:28" ht="18" hidden="1" customHeight="1" outlineLevel="2">
      <c r="A134" s="188">
        <v>113</v>
      </c>
      <c r="B134" s="187" t="str">
        <f>IF(INDEX(inputs_EquipTag,MATCH(Logic!$A134,inputs_EquipNo,0))&lt;&gt;"",INDEX(inputs_EquipTag,MATCH(Logic!$A134,inputs_EquipNo,0)),"")</f>
        <v/>
      </c>
      <c r="C134" s="187" t="str">
        <f>IF(INDEX(inputs_EquipType,MATCH(Logic!$A134,inputs_EquipNo,0))&lt;&gt;"",INDEX(inputs_EquipType,MATCH(Logic!$A134,inputs_EquipNo,0)),"")</f>
        <v/>
      </c>
      <c r="D134" s="196" t="str">
        <f>IF(INDEX(inputs_VentEquipQuant,MATCH(Logic!$A134,inputs_EquipNo,0))&lt;&gt;"",INDEX(inputs_VentEquipQuant,MATCH(Logic!$A134,inputs_EquipNo,0)),"")</f>
        <v/>
      </c>
      <c r="E134" s="198" t="str">
        <f>IF(INDEX(inputs_OutdoorAirFlow,MATCH(Logic!$A134,inputs_EquipNo,0))&lt;&gt;"",INDEX(inputs_OutdoorAirFlow,MATCH(Logic!$A134,inputs_EquipNo,0)),"")</f>
        <v/>
      </c>
      <c r="F134" s="199" t="str">
        <f t="shared" si="1"/>
        <v/>
      </c>
      <c r="G134" s="347" t="str">
        <f>IF(INDEX(inputs_HeatRecReq,MATCH(Logic!$A134,inputs_EquipNo,0))&lt;&gt;"",INDEX(inputs_HeatRecReq,MATCH(Logic!$A134,inputs_EquipNo,0)),"")</f>
        <v/>
      </c>
      <c r="H134" s="348"/>
      <c r="I134" s="217"/>
      <c r="J134" s="217"/>
      <c r="K134" s="217"/>
      <c r="L134" s="217"/>
      <c r="M134" s="217"/>
      <c r="N134" s="146"/>
      <c r="O134" s="146"/>
      <c r="P134" s="146"/>
      <c r="Q134" s="217"/>
      <c r="R134" s="217"/>
      <c r="S134" s="217"/>
      <c r="T134" s="217"/>
      <c r="U134" s="217"/>
      <c r="V134" s="217"/>
      <c r="W134" s="217"/>
      <c r="X134" s="217"/>
      <c r="Y134" s="217"/>
      <c r="Z134" s="217"/>
      <c r="AA134" s="31"/>
      <c r="AB134" s="218"/>
    </row>
    <row r="135" spans="1:28" ht="18" hidden="1" customHeight="1" outlineLevel="2">
      <c r="A135" s="188">
        <v>114</v>
      </c>
      <c r="B135" s="187" t="str">
        <f>IF(INDEX(inputs_EquipTag,MATCH(Logic!$A135,inputs_EquipNo,0))&lt;&gt;"",INDEX(inputs_EquipTag,MATCH(Logic!$A135,inputs_EquipNo,0)),"")</f>
        <v/>
      </c>
      <c r="C135" s="187" t="str">
        <f>IF(INDEX(inputs_EquipType,MATCH(Logic!$A135,inputs_EquipNo,0))&lt;&gt;"",INDEX(inputs_EquipType,MATCH(Logic!$A135,inputs_EquipNo,0)),"")</f>
        <v/>
      </c>
      <c r="D135" s="196" t="str">
        <f>IF(INDEX(inputs_VentEquipQuant,MATCH(Logic!$A135,inputs_EquipNo,0))&lt;&gt;"",INDEX(inputs_VentEquipQuant,MATCH(Logic!$A135,inputs_EquipNo,0)),"")</f>
        <v/>
      </c>
      <c r="E135" s="198" t="str">
        <f>IF(INDEX(inputs_OutdoorAirFlow,MATCH(Logic!$A135,inputs_EquipNo,0))&lt;&gt;"",INDEX(inputs_OutdoorAirFlow,MATCH(Logic!$A135,inputs_EquipNo,0)),"")</f>
        <v/>
      </c>
      <c r="F135" s="199" t="str">
        <f t="shared" si="1"/>
        <v/>
      </c>
      <c r="G135" s="347" t="str">
        <f>IF(INDEX(inputs_HeatRecReq,MATCH(Logic!$A135,inputs_EquipNo,0))&lt;&gt;"",INDEX(inputs_HeatRecReq,MATCH(Logic!$A135,inputs_EquipNo,0)),"")</f>
        <v/>
      </c>
      <c r="H135" s="348"/>
      <c r="I135" s="217"/>
      <c r="J135" s="217"/>
      <c r="K135" s="217"/>
      <c r="L135" s="217"/>
      <c r="M135" s="217"/>
      <c r="N135" s="146"/>
      <c r="O135" s="146"/>
      <c r="P135" s="146"/>
      <c r="Q135" s="217"/>
      <c r="R135" s="217"/>
      <c r="S135" s="217"/>
      <c r="T135" s="217"/>
      <c r="U135" s="217"/>
      <c r="V135" s="217"/>
      <c r="W135" s="217"/>
      <c r="X135" s="217"/>
      <c r="Y135" s="217"/>
      <c r="Z135" s="217"/>
      <c r="AA135" s="31"/>
      <c r="AB135" s="218"/>
    </row>
    <row r="136" spans="1:28" ht="18" hidden="1" customHeight="1" outlineLevel="1" collapsed="1">
      <c r="A136" s="188"/>
      <c r="B136" s="92"/>
      <c r="C136" s="93"/>
      <c r="D136" s="93"/>
      <c r="E136" s="93"/>
      <c r="F136" s="93" t="str">
        <f>""</f>
        <v/>
      </c>
      <c r="G136" s="320"/>
      <c r="H136" s="321"/>
      <c r="I136" s="159"/>
      <c r="J136" s="217"/>
      <c r="K136" s="217"/>
      <c r="L136" s="217"/>
      <c r="M136" s="217"/>
      <c r="N136" s="146"/>
      <c r="O136" s="146"/>
      <c r="P136" s="146"/>
      <c r="Q136" s="217"/>
      <c r="R136" s="217"/>
      <c r="S136" s="217"/>
      <c r="T136" s="217"/>
      <c r="U136" s="217"/>
      <c r="V136" s="217"/>
      <c r="W136" s="217"/>
      <c r="X136" s="217"/>
      <c r="Y136" s="151"/>
      <c r="Z136" s="151"/>
      <c r="AA136" s="31"/>
      <c r="AB136" s="218"/>
    </row>
    <row r="137" spans="1:28" ht="18" customHeight="1" collapsed="1">
      <c r="A137" s="166"/>
      <c r="B137" s="201" t="str">
        <f>_xlfn.CONCAT("Total Ventilation Rate ",IF(units="SI","(L/s)","(cfm)"))</f>
        <v>Total Ventilation Rate (cfm)</v>
      </c>
      <c r="C137" s="202"/>
      <c r="D137" s="202"/>
      <c r="E137" s="203"/>
      <c r="F137" s="200">
        <f>SUM(logic_VentFlow)</f>
        <v>0</v>
      </c>
      <c r="G137" s="320"/>
      <c r="H137" s="321"/>
      <c r="I137" s="217"/>
      <c r="J137" s="217"/>
      <c r="K137" s="217"/>
      <c r="L137" s="217"/>
      <c r="M137" s="217"/>
      <c r="N137" s="217"/>
      <c r="O137" s="146"/>
      <c r="P137" s="146"/>
      <c r="Q137" s="146"/>
      <c r="R137" s="217"/>
      <c r="S137" s="217"/>
      <c r="T137" s="217"/>
      <c r="U137" s="217"/>
      <c r="V137" s="217"/>
      <c r="W137" s="217"/>
      <c r="X137" s="217"/>
      <c r="Y137" s="217"/>
      <c r="Z137" s="217"/>
      <c r="AA137" s="31"/>
      <c r="AB137" s="31"/>
    </row>
    <row r="138" spans="1:28" ht="18" customHeight="1">
      <c r="A138" s="166"/>
      <c r="B138" s="201" t="str">
        <f>_xlfn.CONCAT("Total Ventilation Rate of Compliant Systems ",IF(units="SI","(L/s)","(cfm)"))</f>
        <v>Total Ventilation Rate of Compliant Systems (cfm)</v>
      </c>
      <c r="C138" s="202"/>
      <c r="D138" s="202"/>
      <c r="E138" s="203"/>
      <c r="F138" s="200">
        <f>SUMIFS(logic_VentFlow,$G$22:$G$136,"Yes")</f>
        <v>0</v>
      </c>
      <c r="G138" s="320"/>
      <c r="H138" s="321"/>
      <c r="I138" s="217"/>
      <c r="J138" s="217"/>
      <c r="K138" s="217"/>
      <c r="L138" s="217"/>
      <c r="M138" s="217"/>
      <c r="N138" s="217"/>
      <c r="O138" s="146"/>
      <c r="P138" s="146"/>
      <c r="Q138" s="146"/>
      <c r="R138" s="217"/>
      <c r="S138" s="217"/>
      <c r="T138" s="217"/>
      <c r="U138" s="217"/>
      <c r="V138" s="217"/>
      <c r="W138" s="217"/>
      <c r="X138" s="217"/>
      <c r="Y138" s="217"/>
      <c r="Z138" s="217"/>
      <c r="AA138" s="31"/>
      <c r="AB138" s="31"/>
    </row>
    <row r="139" spans="1:28" ht="18" customHeight="1">
      <c r="A139" s="166"/>
      <c r="B139" s="201" t="s">
        <v>208</v>
      </c>
      <c r="C139" s="202"/>
      <c r="D139" s="202"/>
      <c r="E139" s="203"/>
      <c r="F139" s="274" t="str">
        <f>IFERROR(1-SUMIFS(logic_VentFlow,inputs_HeatRecReq,"Yes")/totalVentAirFlow,"")</f>
        <v/>
      </c>
      <c r="G139" s="320"/>
      <c r="H139" s="321"/>
      <c r="I139" s="217"/>
      <c r="J139" s="217"/>
      <c r="K139" s="217"/>
      <c r="L139" s="217"/>
      <c r="M139" s="217"/>
      <c r="N139" s="217"/>
      <c r="O139" s="146"/>
      <c r="P139" s="146"/>
      <c r="Q139" s="146"/>
      <c r="R139" s="217"/>
      <c r="S139" s="217"/>
      <c r="T139" s="217"/>
      <c r="U139" s="217"/>
      <c r="V139" s="217"/>
      <c r="W139" s="217"/>
      <c r="X139" s="217"/>
      <c r="Y139" s="217"/>
      <c r="Z139" s="217"/>
      <c r="AA139" s="31"/>
      <c r="AB139" s="31"/>
    </row>
    <row r="140" spans="1:28" ht="22.95" customHeight="1">
      <c r="A140" s="166"/>
      <c r="B140" s="335" t="s">
        <v>209</v>
      </c>
      <c r="C140" s="335"/>
      <c r="D140" s="335"/>
      <c r="E140" s="335"/>
      <c r="F140" s="349" t="str">
        <f>IF(ventNonCompliantPercentage&gt;=0.15,"No","Yes")</f>
        <v>No</v>
      </c>
      <c r="G140" s="330"/>
      <c r="H140" s="330"/>
      <c r="I140" s="217"/>
      <c r="J140" s="217"/>
      <c r="K140" s="217"/>
      <c r="L140" s="217"/>
      <c r="M140" s="217"/>
      <c r="N140" s="217"/>
      <c r="O140" s="146"/>
      <c r="P140" s="146"/>
      <c r="Q140" s="146"/>
      <c r="R140" s="217"/>
      <c r="S140" s="217"/>
      <c r="T140" s="217"/>
      <c r="U140" s="217"/>
      <c r="V140" s="217"/>
      <c r="W140" s="217"/>
      <c r="X140" s="217"/>
      <c r="Y140" s="217"/>
      <c r="Z140" s="217"/>
      <c r="AA140" s="31"/>
      <c r="AB140" s="31"/>
    </row>
    <row r="141" spans="1:28" ht="22.95" customHeight="1">
      <c r="A141" s="166"/>
      <c r="B141" s="335"/>
      <c r="C141" s="335"/>
      <c r="D141" s="335"/>
      <c r="E141" s="335"/>
      <c r="F141" s="349"/>
      <c r="G141" s="330"/>
      <c r="H141" s="330"/>
      <c r="I141" s="217"/>
      <c r="J141" s="217"/>
      <c r="K141" s="217"/>
      <c r="L141" s="217"/>
      <c r="M141" s="217"/>
      <c r="N141" s="217"/>
      <c r="O141" s="146"/>
      <c r="P141" s="146"/>
      <c r="Q141" s="146"/>
      <c r="R141" s="217"/>
      <c r="S141" s="217"/>
      <c r="T141" s="217"/>
      <c r="U141" s="217"/>
      <c r="V141" s="217"/>
      <c r="W141" s="217"/>
      <c r="X141" s="217"/>
      <c r="Y141" s="217"/>
      <c r="Z141" s="217"/>
      <c r="AA141" s="31"/>
      <c r="AB141" s="31"/>
    </row>
    <row r="142" spans="1:28" ht="18" customHeight="1">
      <c r="A142" s="166"/>
      <c r="B142" s="217"/>
      <c r="C142" s="217"/>
      <c r="D142" s="217"/>
      <c r="E142" s="217"/>
      <c r="F142" s="217"/>
      <c r="G142" s="217"/>
      <c r="H142" s="217"/>
      <c r="I142" s="216"/>
      <c r="J142" s="216"/>
      <c r="K142" s="216"/>
      <c r="L142" s="217"/>
      <c r="M142" s="217"/>
      <c r="N142" s="217"/>
      <c r="O142" s="146"/>
      <c r="P142" s="146"/>
      <c r="Q142" s="146"/>
      <c r="R142" s="217"/>
      <c r="S142" s="217"/>
      <c r="T142" s="217"/>
      <c r="U142" s="217"/>
      <c r="V142" s="217"/>
      <c r="W142" s="217"/>
      <c r="X142" s="217"/>
      <c r="Y142" s="217"/>
      <c r="Z142" s="217"/>
      <c r="AA142" s="31"/>
      <c r="AB142" s="31"/>
    </row>
    <row r="143" spans="1:28" ht="18" customHeight="1">
      <c r="A143" s="165"/>
      <c r="B143" s="217"/>
      <c r="C143" s="217"/>
      <c r="D143" s="217"/>
      <c r="E143" s="217"/>
      <c r="F143" s="217"/>
      <c r="G143" s="217"/>
      <c r="H143" s="217"/>
      <c r="I143" s="217"/>
      <c r="J143" s="217"/>
      <c r="K143" s="216"/>
      <c r="L143" s="216"/>
      <c r="M143" s="216"/>
      <c r="N143" s="217"/>
      <c r="O143" s="146"/>
      <c r="P143" s="146"/>
      <c r="Q143" s="146"/>
      <c r="R143" s="217"/>
      <c r="S143" s="217"/>
      <c r="T143" s="217"/>
      <c r="U143" s="217"/>
      <c r="V143" s="217"/>
      <c r="W143" s="217"/>
      <c r="X143" s="217"/>
      <c r="Y143" s="217"/>
      <c r="Z143" s="217"/>
      <c r="AA143" s="19"/>
      <c r="AB143" s="218"/>
    </row>
    <row r="144" spans="1:28" s="218" customFormat="1" ht="18" customHeight="1">
      <c r="A144" s="165"/>
      <c r="B144" s="89" t="s">
        <v>210</v>
      </c>
      <c r="C144" s="90"/>
      <c r="D144" s="90"/>
      <c r="E144" s="90"/>
      <c r="F144" s="90"/>
      <c r="G144" s="90"/>
      <c r="H144" s="90"/>
      <c r="I144" s="90"/>
      <c r="J144" s="91"/>
      <c r="K144" s="216"/>
      <c r="L144" s="216"/>
      <c r="M144" s="216"/>
      <c r="N144" s="217"/>
      <c r="O144" s="146"/>
      <c r="P144" s="146"/>
      <c r="Q144" s="146"/>
      <c r="R144" s="217"/>
      <c r="S144" s="217"/>
      <c r="T144" s="217"/>
      <c r="U144" s="217"/>
      <c r="V144" s="217"/>
      <c r="W144" s="217"/>
      <c r="X144" s="217"/>
      <c r="Y144" s="217"/>
      <c r="Z144" s="217"/>
      <c r="AA144" s="19"/>
    </row>
    <row r="145" spans="1:52" s="218" customFormat="1" ht="18" customHeight="1">
      <c r="A145" s="165"/>
      <c r="B145" s="217"/>
      <c r="C145" s="216"/>
      <c r="D145" s="216"/>
      <c r="E145" s="216"/>
      <c r="F145" s="216"/>
      <c r="G145" s="216"/>
      <c r="H145" s="216"/>
      <c r="I145" s="216"/>
      <c r="J145" s="216"/>
      <c r="K145" s="216"/>
      <c r="L145" s="216"/>
      <c r="M145" s="216"/>
      <c r="N145" s="217"/>
      <c r="O145" s="146"/>
      <c r="P145" s="146"/>
      <c r="Q145" s="146"/>
      <c r="R145" s="217"/>
      <c r="S145" s="217"/>
      <c r="T145" s="217"/>
      <c r="U145" s="217"/>
      <c r="V145" s="217"/>
      <c r="W145" s="217"/>
      <c r="X145" s="217"/>
      <c r="Y145" s="217"/>
      <c r="Z145" s="217"/>
      <c r="AA145" s="19"/>
    </row>
    <row r="146" spans="1:52" s="193" customFormat="1" ht="17.399999999999999" customHeight="1">
      <c r="A146" s="189"/>
      <c r="B146" s="190" t="s">
        <v>158</v>
      </c>
      <c r="C146" s="190"/>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2"/>
      <c r="Z146" s="192"/>
      <c r="AA146" s="192"/>
      <c r="AB146" s="192"/>
      <c r="AC146" s="192"/>
      <c r="AD146" s="192"/>
      <c r="AE146" s="192"/>
      <c r="AF146" s="192"/>
      <c r="AG146" s="192"/>
      <c r="AH146" s="192"/>
      <c r="AI146" s="192"/>
      <c r="AJ146" s="192"/>
      <c r="AK146" s="192"/>
      <c r="AL146" s="192"/>
      <c r="AM146" s="192"/>
      <c r="AN146" s="192"/>
      <c r="AO146" s="192"/>
      <c r="AP146" s="192"/>
      <c r="AQ146" s="192"/>
      <c r="AR146" s="192"/>
      <c r="AS146" s="192"/>
      <c r="AT146" s="192"/>
      <c r="AU146" s="192"/>
      <c r="AV146" s="192"/>
      <c r="AW146" s="192"/>
      <c r="AX146" s="192"/>
      <c r="AY146" s="192"/>
      <c r="AZ146" s="192"/>
    </row>
    <row r="147" spans="1:52" s="218" customFormat="1" ht="18" customHeight="1">
      <c r="A147" s="165"/>
      <c r="B147" s="201" t="s">
        <v>173</v>
      </c>
      <c r="C147" s="202"/>
      <c r="D147" s="202"/>
      <c r="E147" s="202"/>
      <c r="F147" s="202"/>
      <c r="G147" s="203"/>
      <c r="H147" s="216"/>
      <c r="I147" s="216"/>
      <c r="J147" s="216"/>
      <c r="K147" s="216"/>
      <c r="L147" s="217"/>
      <c r="M147" s="146"/>
      <c r="N147" s="146"/>
      <c r="O147" s="146"/>
      <c r="P147" s="217"/>
      <c r="Q147" s="217"/>
      <c r="R147" s="217"/>
      <c r="S147" s="217"/>
      <c r="T147" s="217"/>
      <c r="U147" s="217"/>
      <c r="V147" s="217"/>
      <c r="W147" s="217"/>
      <c r="X147" s="217"/>
      <c r="Y147" s="217"/>
      <c r="Z147" s="217"/>
    </row>
    <row r="148" spans="1:52" s="218" customFormat="1" ht="18" customHeight="1">
      <c r="A148" s="165"/>
      <c r="B148" s="323" t="s">
        <v>211</v>
      </c>
      <c r="C148" s="323" t="s">
        <v>175</v>
      </c>
      <c r="D148" s="323" t="str">
        <f>_xlfn.CONCAT("Peak Heating Load ",IF(units="IP","(Btu-h)","(W)"))</f>
        <v>Peak Heating Load (W)</v>
      </c>
      <c r="E148" s="323" t="s">
        <v>212</v>
      </c>
      <c r="F148" s="323" t="s">
        <v>213</v>
      </c>
      <c r="G148" s="323" t="s">
        <v>214</v>
      </c>
      <c r="H148" s="216"/>
      <c r="I148" s="216"/>
      <c r="J148" s="216"/>
      <c r="K148" s="216"/>
      <c r="L148" s="216"/>
      <c r="M148" s="217"/>
      <c r="N148" s="146"/>
      <c r="O148" s="146"/>
      <c r="P148" s="146"/>
      <c r="Q148" s="217"/>
      <c r="R148" s="217"/>
      <c r="S148" s="217"/>
      <c r="T148" s="217"/>
      <c r="U148" s="217"/>
      <c r="V148" s="217"/>
      <c r="W148" s="217"/>
      <c r="X148" s="217"/>
      <c r="Y148" s="217"/>
      <c r="Z148" s="217"/>
    </row>
    <row r="149" spans="1:52" s="218" customFormat="1" ht="18" customHeight="1">
      <c r="A149" s="165"/>
      <c r="B149" s="323"/>
      <c r="C149" s="323"/>
      <c r="D149" s="323"/>
      <c r="E149" s="323"/>
      <c r="F149" s="323"/>
      <c r="G149" s="323"/>
      <c r="H149" s="217"/>
      <c r="I149" s="217"/>
      <c r="J149" s="216"/>
      <c r="K149" s="216"/>
      <c r="L149" s="216"/>
      <c r="M149" s="217"/>
      <c r="N149" s="146"/>
      <c r="O149" s="146"/>
      <c r="P149" s="146"/>
      <c r="Q149" s="217"/>
      <c r="R149" s="217"/>
      <c r="S149" s="217"/>
      <c r="T149" s="217"/>
      <c r="U149" s="217"/>
      <c r="V149" s="217"/>
      <c r="W149" s="217"/>
      <c r="X149" s="217"/>
      <c r="Y149" s="217"/>
      <c r="Z149" s="217"/>
    </row>
    <row r="150" spans="1:52" s="218" customFormat="1" ht="18" customHeight="1">
      <c r="A150" s="165"/>
      <c r="B150" s="323"/>
      <c r="C150" s="323"/>
      <c r="D150" s="323"/>
      <c r="E150" s="323"/>
      <c r="F150" s="323"/>
      <c r="G150" s="323"/>
      <c r="H150" s="217"/>
      <c r="I150" s="217"/>
      <c r="J150" s="216"/>
      <c r="K150" s="216"/>
      <c r="L150" s="216"/>
      <c r="M150" s="217"/>
      <c r="N150" s="146"/>
      <c r="O150" s="146"/>
      <c r="P150" s="146"/>
      <c r="Q150" s="217"/>
      <c r="R150" s="217"/>
      <c r="S150" s="217"/>
      <c r="T150" s="217"/>
      <c r="U150" s="217"/>
      <c r="V150" s="217"/>
      <c r="W150" s="217"/>
      <c r="X150" s="217"/>
      <c r="Y150" s="217"/>
      <c r="Z150" s="217"/>
    </row>
    <row r="151" spans="1:52" s="218" customFormat="1" ht="18" customHeight="1">
      <c r="A151" s="222">
        <v>1</v>
      </c>
      <c r="B151" s="187" t="str">
        <f t="shared" ref="B151:B181" si="4">IF(INDEX(inputs_pkhtid,MATCH($A151,inputs_pkhtno,0))&lt;&gt;"",INDEX(inputs_pkhtid,MATCH($A151,inputs_pkhtno,0)),"")</f>
        <v/>
      </c>
      <c r="C151" s="187" t="str">
        <f t="shared" ref="C151:C181" si="5">IF(INDEX(inputs_pkhtst,MATCH($A151,inputs_pkhtno,0))&lt;&gt;"",INDEX(inputs_pkhtst,MATCH($A151,inputs_pkhtno,0)),"")</f>
        <v/>
      </c>
      <c r="D151" s="187" t="str">
        <f t="shared" ref="D151:D181" si="6">IF(INDEX(inputs_pkhtpl,MATCH($A151,inputs_pkhtno,0))&lt;&gt;"",INDEX(inputs_pkhtpl,MATCH($A151,inputs_pkhtno,0)),"")</f>
        <v/>
      </c>
      <c r="E151" s="225" t="str">
        <f t="shared" ref="E151:E181" si="7">IF(INDEX(inputs_pkhtty,MATCH($A151,inputs_pkhtno,0))&lt;&gt;"",INDEX(inputs_pkhtty,MATCH($A151,inputs_pkhtno,0)),"")</f>
        <v/>
      </c>
      <c r="F151" s="224" t="str" cm="1">
        <f t="array" ref="F151">_xlfn.UNIQUE($E$151:$E$265)</f>
        <v/>
      </c>
      <c r="G151" s="262">
        <f>SUMIFS($D$151:$D$265,$E$151:$E$265,F151)</f>
        <v>0</v>
      </c>
      <c r="H151" s="220"/>
      <c r="I151" s="217"/>
      <c r="J151" s="216"/>
      <c r="K151" s="216"/>
      <c r="L151" s="216"/>
      <c r="M151" s="217"/>
      <c r="N151" s="146"/>
      <c r="O151" s="146"/>
      <c r="P151" s="146"/>
      <c r="Q151" s="217"/>
      <c r="R151" s="217"/>
      <c r="S151" s="217"/>
      <c r="T151" s="217"/>
      <c r="U151" s="217"/>
      <c r="V151" s="217"/>
      <c r="W151" s="217"/>
      <c r="X151" s="217"/>
      <c r="Y151" s="217"/>
      <c r="Z151" s="217"/>
    </row>
    <row r="152" spans="1:52" s="218" customFormat="1" ht="18" customHeight="1">
      <c r="A152" s="222">
        <v>2</v>
      </c>
      <c r="B152" s="187" t="str">
        <f t="shared" si="4"/>
        <v/>
      </c>
      <c r="C152" s="187" t="str">
        <f t="shared" si="5"/>
        <v/>
      </c>
      <c r="D152" s="187" t="str">
        <f t="shared" si="6"/>
        <v/>
      </c>
      <c r="E152" s="225" t="str">
        <f t="shared" si="7"/>
        <v/>
      </c>
      <c r="F152" s="224"/>
      <c r="G152" s="262">
        <f t="shared" ref="G152:G215" si="8">SUMIFS($D$151:$D$265,$E$151:$E$265,F152)</f>
        <v>0</v>
      </c>
      <c r="H152" s="217"/>
      <c r="I152" s="217"/>
      <c r="J152" s="216"/>
      <c r="K152" s="216"/>
      <c r="L152" s="216"/>
      <c r="M152" s="217"/>
      <c r="N152" s="146"/>
      <c r="O152" s="146"/>
      <c r="P152" s="146"/>
      <c r="Q152" s="217"/>
      <c r="R152" s="217"/>
      <c r="S152" s="217"/>
      <c r="T152" s="217"/>
      <c r="U152" s="217"/>
      <c r="V152" s="217"/>
      <c r="W152" s="217"/>
      <c r="X152" s="217"/>
      <c r="Y152" s="217"/>
      <c r="Z152" s="217"/>
    </row>
    <row r="153" spans="1:52" s="218" customFormat="1" ht="18" customHeight="1">
      <c r="A153" s="222">
        <v>3</v>
      </c>
      <c r="B153" s="187" t="str">
        <f t="shared" si="4"/>
        <v/>
      </c>
      <c r="C153" s="187" t="str">
        <f t="shared" si="5"/>
        <v/>
      </c>
      <c r="D153" s="187" t="str">
        <f t="shared" si="6"/>
        <v/>
      </c>
      <c r="E153" s="225" t="str">
        <f t="shared" si="7"/>
        <v/>
      </c>
      <c r="F153" s="224"/>
      <c r="G153" s="262">
        <f>SUMIFS($D$151:$D$265,$E$151:$E$265,F153)</f>
        <v>0</v>
      </c>
      <c r="H153" s="217"/>
      <c r="I153" s="217"/>
      <c r="J153" s="216"/>
      <c r="K153" s="216"/>
      <c r="L153" s="216"/>
      <c r="M153" s="217"/>
      <c r="N153" s="146"/>
      <c r="O153" s="146"/>
      <c r="P153" s="146"/>
      <c r="Q153" s="217"/>
      <c r="R153" s="217"/>
      <c r="S153" s="217"/>
      <c r="T153" s="217"/>
      <c r="U153" s="217"/>
      <c r="V153" s="217"/>
      <c r="W153" s="217"/>
      <c r="X153" s="217"/>
      <c r="Y153" s="217"/>
      <c r="Z153" s="217"/>
    </row>
    <row r="154" spans="1:52" s="218" customFormat="1" ht="18" customHeight="1">
      <c r="A154" s="222">
        <v>4</v>
      </c>
      <c r="B154" s="187" t="str">
        <f t="shared" si="4"/>
        <v/>
      </c>
      <c r="C154" s="187" t="str">
        <f t="shared" si="5"/>
        <v/>
      </c>
      <c r="D154" s="187" t="str">
        <f t="shared" si="6"/>
        <v/>
      </c>
      <c r="E154" s="225" t="str">
        <f t="shared" si="7"/>
        <v/>
      </c>
      <c r="F154" s="224"/>
      <c r="G154" s="262">
        <f>SUMIFS($D$151:$D$265,$E$151:$E$265,F154)</f>
        <v>0</v>
      </c>
      <c r="H154" s="217"/>
      <c r="I154" s="217"/>
      <c r="J154" s="216"/>
      <c r="K154" s="216"/>
      <c r="L154" s="216"/>
      <c r="M154" s="217"/>
      <c r="N154" s="146"/>
      <c r="O154" s="146"/>
      <c r="P154" s="146"/>
      <c r="Q154" s="217"/>
      <c r="R154" s="217"/>
      <c r="S154" s="217"/>
      <c r="T154" s="217"/>
      <c r="U154" s="217"/>
      <c r="V154" s="217"/>
      <c r="W154" s="217"/>
      <c r="X154" s="217"/>
      <c r="Y154" s="217"/>
      <c r="Z154" s="217"/>
    </row>
    <row r="155" spans="1:52" s="218" customFormat="1" ht="18" customHeight="1">
      <c r="A155" s="222">
        <v>5</v>
      </c>
      <c r="B155" s="187" t="str">
        <f t="shared" si="4"/>
        <v/>
      </c>
      <c r="C155" s="187" t="str">
        <f t="shared" si="5"/>
        <v/>
      </c>
      <c r="D155" s="187" t="str">
        <f t="shared" si="6"/>
        <v/>
      </c>
      <c r="E155" s="225" t="str">
        <f t="shared" si="7"/>
        <v/>
      </c>
      <c r="F155" s="224"/>
      <c r="G155" s="262">
        <f t="shared" si="8"/>
        <v>0</v>
      </c>
      <c r="H155" s="217"/>
      <c r="I155" s="217"/>
      <c r="J155" s="216"/>
      <c r="K155" s="216"/>
      <c r="L155" s="216"/>
      <c r="M155" s="217"/>
      <c r="N155" s="146"/>
      <c r="O155" s="146"/>
      <c r="P155" s="146"/>
      <c r="Q155" s="217"/>
      <c r="R155" s="217"/>
      <c r="S155" s="217"/>
      <c r="T155" s="217"/>
      <c r="U155" s="217"/>
      <c r="V155" s="217"/>
      <c r="W155" s="217"/>
      <c r="X155" s="217"/>
      <c r="Y155" s="217"/>
      <c r="Z155" s="217"/>
    </row>
    <row r="156" spans="1:52" s="218" customFormat="1" ht="18" customHeight="1">
      <c r="A156" s="222">
        <v>6</v>
      </c>
      <c r="B156" s="187" t="str">
        <f t="shared" si="4"/>
        <v/>
      </c>
      <c r="C156" s="187" t="str">
        <f t="shared" si="5"/>
        <v/>
      </c>
      <c r="D156" s="187" t="str">
        <f t="shared" si="6"/>
        <v/>
      </c>
      <c r="E156" s="225" t="str">
        <f t="shared" si="7"/>
        <v/>
      </c>
      <c r="F156" s="224"/>
      <c r="G156" s="262">
        <f t="shared" si="8"/>
        <v>0</v>
      </c>
      <c r="H156" s="217"/>
      <c r="I156" s="217"/>
      <c r="J156" s="216"/>
      <c r="K156" s="216"/>
      <c r="L156" s="216"/>
      <c r="M156" s="217"/>
      <c r="N156" s="146"/>
      <c r="O156" s="146"/>
      <c r="P156" s="146"/>
      <c r="Q156" s="217"/>
      <c r="R156" s="217"/>
      <c r="S156" s="217"/>
      <c r="T156" s="217"/>
      <c r="U156" s="217"/>
      <c r="V156" s="217"/>
      <c r="W156" s="217"/>
      <c r="X156" s="217"/>
      <c r="Y156" s="217"/>
      <c r="Z156" s="217"/>
    </row>
    <row r="157" spans="1:52" s="218" customFormat="1" ht="18" customHeight="1">
      <c r="A157" s="222">
        <v>7</v>
      </c>
      <c r="B157" s="187" t="str">
        <f t="shared" si="4"/>
        <v/>
      </c>
      <c r="C157" s="187" t="str">
        <f t="shared" si="5"/>
        <v/>
      </c>
      <c r="D157" s="187" t="str">
        <f t="shared" si="6"/>
        <v/>
      </c>
      <c r="E157" s="225" t="str">
        <f t="shared" si="7"/>
        <v/>
      </c>
      <c r="F157" s="224"/>
      <c r="G157" s="262">
        <f t="shared" si="8"/>
        <v>0</v>
      </c>
      <c r="H157" s="217"/>
      <c r="I157" s="217"/>
      <c r="J157" s="217"/>
      <c r="K157" s="217"/>
      <c r="L157" s="217"/>
      <c r="M157" s="217"/>
      <c r="N157" s="146"/>
      <c r="O157" s="146"/>
      <c r="P157" s="146"/>
      <c r="Q157" s="217"/>
      <c r="R157" s="217"/>
      <c r="S157" s="217"/>
      <c r="T157" s="217"/>
      <c r="U157" s="217"/>
      <c r="V157" s="217"/>
      <c r="W157" s="217"/>
      <c r="X157" s="217"/>
      <c r="Y157" s="217"/>
      <c r="Z157" s="217"/>
    </row>
    <row r="158" spans="1:52" s="218" customFormat="1" ht="18" customHeight="1">
      <c r="A158" s="222">
        <v>8</v>
      </c>
      <c r="B158" s="187" t="str">
        <f t="shared" si="4"/>
        <v/>
      </c>
      <c r="C158" s="187" t="str">
        <f t="shared" si="5"/>
        <v/>
      </c>
      <c r="D158" s="187" t="str">
        <f t="shared" si="6"/>
        <v/>
      </c>
      <c r="E158" s="225" t="str">
        <f t="shared" si="7"/>
        <v/>
      </c>
      <c r="F158" s="224"/>
      <c r="G158" s="262">
        <f t="shared" si="8"/>
        <v>0</v>
      </c>
      <c r="H158" s="217"/>
      <c r="I158" s="217"/>
      <c r="J158" s="217"/>
      <c r="K158" s="217"/>
      <c r="L158" s="217"/>
      <c r="M158" s="217"/>
      <c r="N158" s="146"/>
      <c r="O158" s="146"/>
      <c r="P158" s="146"/>
      <c r="Q158" s="217"/>
      <c r="R158" s="217"/>
      <c r="S158" s="217"/>
      <c r="T158" s="217"/>
      <c r="U158" s="217"/>
      <c r="V158" s="217"/>
      <c r="W158" s="217"/>
      <c r="X158" s="217"/>
      <c r="Y158" s="217"/>
      <c r="Z158" s="217"/>
    </row>
    <row r="159" spans="1:52" s="218" customFormat="1" ht="18" customHeight="1">
      <c r="A159" s="222">
        <v>9</v>
      </c>
      <c r="B159" s="187" t="str">
        <f t="shared" si="4"/>
        <v/>
      </c>
      <c r="C159" s="187" t="str">
        <f t="shared" si="5"/>
        <v/>
      </c>
      <c r="D159" s="187" t="str">
        <f t="shared" si="6"/>
        <v/>
      </c>
      <c r="E159" s="225" t="str">
        <f t="shared" si="7"/>
        <v/>
      </c>
      <c r="F159" s="224"/>
      <c r="G159" s="262">
        <f t="shared" si="8"/>
        <v>0</v>
      </c>
      <c r="H159" s="217"/>
      <c r="I159" s="217"/>
      <c r="J159" s="217"/>
      <c r="K159" s="217"/>
      <c r="L159" s="217"/>
      <c r="M159" s="217"/>
      <c r="N159" s="146"/>
      <c r="O159" s="146"/>
      <c r="P159" s="146"/>
      <c r="Q159" s="217"/>
      <c r="R159" s="217"/>
      <c r="S159" s="217"/>
      <c r="T159" s="217"/>
      <c r="U159" s="217"/>
      <c r="V159" s="217"/>
      <c r="W159" s="217"/>
      <c r="X159" s="217"/>
      <c r="Y159" s="217"/>
      <c r="Z159" s="217"/>
    </row>
    <row r="160" spans="1:52" s="218" customFormat="1" ht="18" customHeight="1">
      <c r="A160" s="222">
        <v>10</v>
      </c>
      <c r="B160" s="187" t="str">
        <f t="shared" si="4"/>
        <v/>
      </c>
      <c r="C160" s="187" t="str">
        <f t="shared" si="5"/>
        <v/>
      </c>
      <c r="D160" s="187" t="str">
        <f t="shared" si="6"/>
        <v/>
      </c>
      <c r="E160" s="225" t="str">
        <f t="shared" si="7"/>
        <v/>
      </c>
      <c r="F160" s="224"/>
      <c r="G160" s="262">
        <f t="shared" si="8"/>
        <v>0</v>
      </c>
      <c r="H160" s="159" t="s">
        <v>170</v>
      </c>
      <c r="I160" s="217"/>
      <c r="J160" s="217"/>
      <c r="K160" s="217"/>
      <c r="L160" s="217"/>
      <c r="M160" s="217"/>
      <c r="N160" s="146"/>
      <c r="O160" s="146"/>
      <c r="P160" s="146"/>
      <c r="Q160" s="217"/>
      <c r="R160" s="217"/>
      <c r="S160" s="217"/>
      <c r="T160" s="217"/>
      <c r="U160" s="217"/>
      <c r="V160" s="217"/>
      <c r="W160" s="217"/>
      <c r="X160" s="217"/>
      <c r="Y160" s="217"/>
      <c r="Z160" s="217"/>
    </row>
    <row r="161" spans="1:26" s="218" customFormat="1" ht="18" hidden="1" customHeight="1" outlineLevel="1">
      <c r="A161" s="222">
        <v>11</v>
      </c>
      <c r="B161" s="187" t="str">
        <f t="shared" si="4"/>
        <v/>
      </c>
      <c r="C161" s="187" t="str">
        <f t="shared" si="5"/>
        <v/>
      </c>
      <c r="D161" s="187" t="str">
        <f t="shared" si="6"/>
        <v/>
      </c>
      <c r="E161" s="225" t="str">
        <f t="shared" si="7"/>
        <v/>
      </c>
      <c r="F161" s="224"/>
      <c r="G161" s="262">
        <f t="shared" si="8"/>
        <v>0</v>
      </c>
      <c r="H161" s="217"/>
      <c r="I161" s="217"/>
      <c r="J161" s="217"/>
      <c r="K161" s="217"/>
      <c r="L161" s="217"/>
      <c r="M161" s="217"/>
      <c r="N161" s="146"/>
      <c r="O161" s="146"/>
      <c r="P161" s="146"/>
      <c r="Q161" s="217"/>
      <c r="R161" s="217"/>
      <c r="S161" s="217"/>
      <c r="T161" s="217"/>
      <c r="U161" s="217"/>
      <c r="V161" s="217"/>
      <c r="W161" s="217"/>
      <c r="X161" s="217"/>
      <c r="Y161" s="217"/>
      <c r="Z161" s="217"/>
    </row>
    <row r="162" spans="1:26" s="218" customFormat="1" ht="18" hidden="1" customHeight="1" outlineLevel="1">
      <c r="A162" s="222">
        <v>12</v>
      </c>
      <c r="B162" s="187" t="str">
        <f t="shared" si="4"/>
        <v/>
      </c>
      <c r="C162" s="187" t="str">
        <f t="shared" si="5"/>
        <v/>
      </c>
      <c r="D162" s="187" t="str">
        <f t="shared" si="6"/>
        <v/>
      </c>
      <c r="E162" s="225" t="str">
        <f t="shared" si="7"/>
        <v/>
      </c>
      <c r="F162" s="224"/>
      <c r="G162" s="262">
        <f t="shared" si="8"/>
        <v>0</v>
      </c>
      <c r="H162" s="217"/>
      <c r="I162" s="217"/>
      <c r="J162" s="216"/>
      <c r="K162" s="216"/>
      <c r="L162" s="216"/>
      <c r="M162" s="217"/>
      <c r="N162" s="146"/>
      <c r="O162" s="146"/>
      <c r="P162" s="146"/>
      <c r="Q162" s="217"/>
      <c r="R162" s="217"/>
      <c r="S162" s="217"/>
      <c r="T162" s="217"/>
      <c r="U162" s="217"/>
      <c r="V162" s="217"/>
      <c r="W162" s="217"/>
      <c r="X162" s="217"/>
      <c r="Y162" s="217"/>
      <c r="Z162" s="217"/>
    </row>
    <row r="163" spans="1:26" s="218" customFormat="1" ht="18" hidden="1" customHeight="1" outlineLevel="1">
      <c r="A163" s="222">
        <v>13</v>
      </c>
      <c r="B163" s="187" t="str">
        <f t="shared" si="4"/>
        <v/>
      </c>
      <c r="C163" s="187" t="str">
        <f t="shared" si="5"/>
        <v/>
      </c>
      <c r="D163" s="187" t="str">
        <f t="shared" si="6"/>
        <v/>
      </c>
      <c r="E163" s="225" t="str">
        <f t="shared" si="7"/>
        <v/>
      </c>
      <c r="F163" s="224"/>
      <c r="G163" s="262">
        <f t="shared" si="8"/>
        <v>0</v>
      </c>
      <c r="H163" s="217"/>
      <c r="I163" s="217"/>
      <c r="J163" s="217"/>
      <c r="K163" s="217"/>
      <c r="L163" s="217"/>
      <c r="M163" s="217"/>
      <c r="N163" s="146"/>
      <c r="O163" s="146"/>
      <c r="P163" s="146"/>
      <c r="Q163" s="217"/>
      <c r="R163" s="217"/>
      <c r="S163" s="217"/>
      <c r="T163" s="217"/>
      <c r="U163" s="217"/>
      <c r="V163" s="217"/>
      <c r="W163" s="217"/>
      <c r="X163" s="217"/>
      <c r="Y163" s="217"/>
      <c r="Z163" s="217"/>
    </row>
    <row r="164" spans="1:26" s="218" customFormat="1" ht="18" hidden="1" customHeight="1" outlineLevel="1">
      <c r="A164" s="222">
        <v>14</v>
      </c>
      <c r="B164" s="187" t="str">
        <f t="shared" si="4"/>
        <v/>
      </c>
      <c r="C164" s="187" t="str">
        <f t="shared" si="5"/>
        <v/>
      </c>
      <c r="D164" s="187" t="str">
        <f t="shared" si="6"/>
        <v/>
      </c>
      <c r="E164" s="225" t="str">
        <f t="shared" si="7"/>
        <v/>
      </c>
      <c r="F164" s="224"/>
      <c r="G164" s="262">
        <f t="shared" si="8"/>
        <v>0</v>
      </c>
      <c r="H164" s="217"/>
      <c r="I164" s="217"/>
      <c r="J164" s="217"/>
      <c r="K164" s="217"/>
      <c r="L164" s="217"/>
      <c r="M164" s="217"/>
      <c r="N164" s="146"/>
      <c r="O164" s="146"/>
      <c r="P164" s="146"/>
      <c r="Q164" s="217"/>
      <c r="R164" s="217"/>
      <c r="S164" s="217"/>
      <c r="T164" s="217"/>
      <c r="U164" s="217"/>
      <c r="V164" s="217"/>
      <c r="W164" s="217"/>
      <c r="X164" s="217"/>
      <c r="Y164" s="217"/>
      <c r="Z164" s="217"/>
    </row>
    <row r="165" spans="1:26" s="218" customFormat="1" ht="18" hidden="1" customHeight="1" outlineLevel="1">
      <c r="A165" s="222">
        <v>15</v>
      </c>
      <c r="B165" s="187" t="str">
        <f t="shared" si="4"/>
        <v/>
      </c>
      <c r="C165" s="187" t="str">
        <f t="shared" si="5"/>
        <v/>
      </c>
      <c r="D165" s="187" t="str">
        <f t="shared" si="6"/>
        <v/>
      </c>
      <c r="E165" s="225" t="str">
        <f t="shared" si="7"/>
        <v/>
      </c>
      <c r="F165" s="224"/>
      <c r="G165" s="262">
        <f t="shared" si="8"/>
        <v>0</v>
      </c>
      <c r="H165" s="217"/>
      <c r="I165" s="217"/>
      <c r="J165" s="217"/>
      <c r="K165" s="217"/>
      <c r="L165" s="217"/>
      <c r="M165" s="217"/>
      <c r="N165" s="146"/>
      <c r="O165" s="146"/>
      <c r="P165" s="146"/>
      <c r="Q165" s="217"/>
      <c r="R165" s="217"/>
      <c r="S165" s="217"/>
      <c r="T165" s="217"/>
      <c r="U165" s="217"/>
      <c r="V165" s="217"/>
      <c r="W165" s="217"/>
      <c r="X165" s="217"/>
      <c r="Y165" s="217"/>
      <c r="Z165" s="217"/>
    </row>
    <row r="166" spans="1:26" s="218" customFormat="1" ht="18" hidden="1" customHeight="1" outlineLevel="1">
      <c r="A166" s="222">
        <v>16</v>
      </c>
      <c r="B166" s="187" t="str">
        <f t="shared" si="4"/>
        <v/>
      </c>
      <c r="C166" s="187" t="str">
        <f t="shared" si="5"/>
        <v/>
      </c>
      <c r="D166" s="187" t="str">
        <f t="shared" si="6"/>
        <v/>
      </c>
      <c r="E166" s="225" t="str">
        <f t="shared" si="7"/>
        <v/>
      </c>
      <c r="F166" s="224"/>
      <c r="G166" s="262">
        <f t="shared" si="8"/>
        <v>0</v>
      </c>
      <c r="H166" s="217"/>
      <c r="I166" s="217"/>
      <c r="J166" s="217"/>
      <c r="K166" s="217"/>
      <c r="L166" s="217"/>
      <c r="M166" s="217"/>
      <c r="N166" s="146"/>
      <c r="O166" s="146"/>
      <c r="P166" s="146"/>
      <c r="Q166" s="217"/>
      <c r="R166" s="217"/>
      <c r="S166" s="217"/>
      <c r="T166" s="217"/>
      <c r="U166" s="217"/>
      <c r="V166" s="217"/>
      <c r="W166" s="217"/>
      <c r="X166" s="217"/>
      <c r="Y166" s="217"/>
      <c r="Z166" s="217"/>
    </row>
    <row r="167" spans="1:26" s="218" customFormat="1" ht="18" hidden="1" customHeight="1" outlineLevel="1">
      <c r="A167" s="222">
        <v>17</v>
      </c>
      <c r="B167" s="187" t="str">
        <f t="shared" si="4"/>
        <v/>
      </c>
      <c r="C167" s="187" t="str">
        <f t="shared" si="5"/>
        <v/>
      </c>
      <c r="D167" s="187" t="str">
        <f t="shared" si="6"/>
        <v/>
      </c>
      <c r="E167" s="225" t="str">
        <f t="shared" si="7"/>
        <v/>
      </c>
      <c r="F167" s="224"/>
      <c r="G167" s="262">
        <f t="shared" si="8"/>
        <v>0</v>
      </c>
      <c r="H167" s="217"/>
      <c r="I167" s="217"/>
      <c r="J167" s="217"/>
      <c r="K167" s="217"/>
      <c r="L167" s="217"/>
      <c r="M167" s="217"/>
      <c r="N167" s="146"/>
      <c r="O167" s="146"/>
      <c r="P167" s="146"/>
      <c r="Q167" s="217"/>
      <c r="R167" s="217"/>
      <c r="S167" s="217"/>
      <c r="T167" s="217"/>
      <c r="U167" s="217"/>
      <c r="V167" s="217"/>
      <c r="W167" s="217"/>
      <c r="X167" s="217"/>
      <c r="Y167" s="217"/>
      <c r="Z167" s="217"/>
    </row>
    <row r="168" spans="1:26" s="218" customFormat="1" ht="18" hidden="1" customHeight="1" outlineLevel="1">
      <c r="A168" s="222">
        <v>18</v>
      </c>
      <c r="B168" s="187" t="str">
        <f t="shared" si="4"/>
        <v/>
      </c>
      <c r="C168" s="187" t="str">
        <f t="shared" si="5"/>
        <v/>
      </c>
      <c r="D168" s="187" t="str">
        <f t="shared" si="6"/>
        <v/>
      </c>
      <c r="E168" s="225" t="str">
        <f t="shared" si="7"/>
        <v/>
      </c>
      <c r="F168" s="224"/>
      <c r="G168" s="262">
        <f t="shared" si="8"/>
        <v>0</v>
      </c>
      <c r="H168" s="217"/>
      <c r="I168" s="217"/>
      <c r="J168" s="217"/>
      <c r="K168" s="217"/>
      <c r="L168" s="217"/>
      <c r="M168" s="217"/>
      <c r="N168" s="146"/>
      <c r="O168" s="146"/>
      <c r="P168" s="146"/>
      <c r="Q168" s="217"/>
      <c r="R168" s="217"/>
      <c r="S168" s="217"/>
      <c r="T168" s="217"/>
      <c r="U168" s="217"/>
      <c r="V168" s="217"/>
      <c r="W168" s="217"/>
      <c r="X168" s="217"/>
      <c r="Y168" s="217"/>
      <c r="Z168" s="217"/>
    </row>
    <row r="169" spans="1:26" s="218" customFormat="1" ht="18" hidden="1" customHeight="1" outlineLevel="1">
      <c r="A169" s="222">
        <v>19</v>
      </c>
      <c r="B169" s="187" t="str">
        <f t="shared" si="4"/>
        <v/>
      </c>
      <c r="C169" s="187" t="str">
        <f t="shared" si="5"/>
        <v/>
      </c>
      <c r="D169" s="187" t="str">
        <f t="shared" si="6"/>
        <v/>
      </c>
      <c r="E169" s="225" t="str">
        <f t="shared" si="7"/>
        <v/>
      </c>
      <c r="F169" s="224"/>
      <c r="G169" s="262">
        <f t="shared" si="8"/>
        <v>0</v>
      </c>
      <c r="H169" s="217"/>
      <c r="I169" s="217"/>
      <c r="J169" s="217"/>
      <c r="K169" s="217"/>
      <c r="L169" s="217"/>
      <c r="M169" s="217"/>
      <c r="N169" s="146"/>
      <c r="O169" s="146"/>
      <c r="P169" s="146"/>
      <c r="Q169" s="217"/>
      <c r="R169" s="217"/>
      <c r="S169" s="217"/>
      <c r="T169" s="217"/>
      <c r="U169" s="217"/>
      <c r="V169" s="217"/>
      <c r="W169" s="217"/>
      <c r="X169" s="217"/>
      <c r="Y169" s="217"/>
      <c r="Z169" s="217"/>
    </row>
    <row r="170" spans="1:26" s="218" customFormat="1" ht="18" hidden="1" customHeight="1" outlineLevel="1">
      <c r="A170" s="222">
        <v>20</v>
      </c>
      <c r="B170" s="187" t="str">
        <f t="shared" si="4"/>
        <v/>
      </c>
      <c r="C170" s="187" t="str">
        <f t="shared" si="5"/>
        <v/>
      </c>
      <c r="D170" s="187" t="str">
        <f t="shared" si="6"/>
        <v/>
      </c>
      <c r="E170" s="225" t="str">
        <f t="shared" si="7"/>
        <v/>
      </c>
      <c r="F170" s="224"/>
      <c r="G170" s="262">
        <f t="shared" si="8"/>
        <v>0</v>
      </c>
      <c r="H170" s="217"/>
      <c r="I170" s="217"/>
      <c r="J170" s="217"/>
      <c r="K170" s="217"/>
      <c r="L170" s="217"/>
      <c r="M170" s="217"/>
      <c r="N170" s="146"/>
      <c r="O170" s="146"/>
      <c r="P170" s="146"/>
      <c r="Q170" s="217"/>
      <c r="R170" s="217"/>
      <c r="S170" s="217"/>
      <c r="T170" s="217"/>
      <c r="U170" s="217"/>
      <c r="V170" s="217"/>
      <c r="W170" s="217"/>
      <c r="X170" s="217"/>
      <c r="Y170" s="217"/>
      <c r="Z170" s="217"/>
    </row>
    <row r="171" spans="1:26" s="218" customFormat="1" ht="18" hidden="1" customHeight="1" outlineLevel="1">
      <c r="A171" s="222">
        <v>21</v>
      </c>
      <c r="B171" s="187" t="str">
        <f t="shared" si="4"/>
        <v/>
      </c>
      <c r="C171" s="187" t="str">
        <f t="shared" si="5"/>
        <v/>
      </c>
      <c r="D171" s="187" t="str">
        <f t="shared" si="6"/>
        <v/>
      </c>
      <c r="E171" s="225" t="str">
        <f t="shared" si="7"/>
        <v/>
      </c>
      <c r="F171" s="224"/>
      <c r="G171" s="262">
        <f t="shared" si="8"/>
        <v>0</v>
      </c>
      <c r="H171" s="217"/>
      <c r="I171" s="217"/>
      <c r="J171" s="217"/>
      <c r="K171" s="217"/>
      <c r="L171" s="217"/>
      <c r="M171" s="217"/>
      <c r="N171" s="146"/>
      <c r="O171" s="146"/>
      <c r="P171" s="146"/>
      <c r="Q171" s="217"/>
      <c r="R171" s="217"/>
      <c r="S171" s="217"/>
      <c r="T171" s="217"/>
      <c r="U171" s="217"/>
      <c r="V171" s="217"/>
      <c r="W171" s="217"/>
      <c r="X171" s="217"/>
      <c r="Y171" s="217"/>
      <c r="Z171" s="217"/>
    </row>
    <row r="172" spans="1:26" s="218" customFormat="1" ht="18" hidden="1" customHeight="1" outlineLevel="1">
      <c r="A172" s="222">
        <v>22</v>
      </c>
      <c r="B172" s="187" t="str">
        <f t="shared" si="4"/>
        <v/>
      </c>
      <c r="C172" s="187" t="str">
        <f t="shared" si="5"/>
        <v/>
      </c>
      <c r="D172" s="187" t="str">
        <f t="shared" si="6"/>
        <v/>
      </c>
      <c r="E172" s="225" t="str">
        <f t="shared" si="7"/>
        <v/>
      </c>
      <c r="F172" s="224"/>
      <c r="G172" s="262">
        <f t="shared" si="8"/>
        <v>0</v>
      </c>
      <c r="H172" s="217"/>
      <c r="I172" s="217"/>
      <c r="J172" s="216"/>
      <c r="K172" s="216"/>
      <c r="L172" s="216"/>
      <c r="M172" s="217"/>
      <c r="N172" s="146"/>
      <c r="O172" s="146"/>
      <c r="P172" s="146"/>
      <c r="Q172" s="217"/>
      <c r="R172" s="217"/>
      <c r="S172" s="217"/>
      <c r="T172" s="217"/>
      <c r="U172" s="217"/>
      <c r="V172" s="217"/>
      <c r="W172" s="217"/>
      <c r="X172" s="217"/>
      <c r="Y172" s="217"/>
      <c r="Z172" s="217"/>
    </row>
    <row r="173" spans="1:26" s="218" customFormat="1" ht="18" hidden="1" customHeight="1" outlineLevel="1">
      <c r="A173" s="222">
        <v>23</v>
      </c>
      <c r="B173" s="187" t="str">
        <f t="shared" si="4"/>
        <v/>
      </c>
      <c r="C173" s="187" t="str">
        <f t="shared" si="5"/>
        <v/>
      </c>
      <c r="D173" s="187" t="str">
        <f t="shared" si="6"/>
        <v/>
      </c>
      <c r="E173" s="225" t="str">
        <f t="shared" si="7"/>
        <v/>
      </c>
      <c r="F173" s="224"/>
      <c r="G173" s="262">
        <f t="shared" si="8"/>
        <v>0</v>
      </c>
      <c r="H173" s="217"/>
      <c r="I173" s="217"/>
      <c r="J173" s="217"/>
      <c r="K173" s="217"/>
      <c r="L173" s="217"/>
      <c r="M173" s="217"/>
      <c r="N173" s="146"/>
      <c r="O173" s="146"/>
      <c r="P173" s="146"/>
      <c r="Q173" s="217"/>
      <c r="R173" s="217"/>
      <c r="S173" s="217"/>
      <c r="T173" s="217"/>
      <c r="U173" s="217"/>
      <c r="V173" s="217"/>
      <c r="W173" s="217"/>
      <c r="X173" s="217"/>
      <c r="Y173" s="217"/>
      <c r="Z173" s="217"/>
    </row>
    <row r="174" spans="1:26" s="218" customFormat="1" ht="18" hidden="1" customHeight="1" outlineLevel="1">
      <c r="A174" s="222">
        <v>24</v>
      </c>
      <c r="B174" s="187" t="str">
        <f t="shared" si="4"/>
        <v/>
      </c>
      <c r="C174" s="187" t="str">
        <f t="shared" si="5"/>
        <v/>
      </c>
      <c r="D174" s="187" t="str">
        <f t="shared" si="6"/>
        <v/>
      </c>
      <c r="E174" s="225" t="str">
        <f t="shared" si="7"/>
        <v/>
      </c>
      <c r="F174" s="224"/>
      <c r="G174" s="262">
        <f t="shared" si="8"/>
        <v>0</v>
      </c>
      <c r="H174" s="217"/>
      <c r="I174" s="217"/>
      <c r="J174" s="217"/>
      <c r="K174" s="217"/>
      <c r="L174" s="217"/>
      <c r="M174" s="217"/>
      <c r="N174" s="146"/>
      <c r="O174" s="146"/>
      <c r="P174" s="146"/>
      <c r="Q174" s="217"/>
      <c r="R174" s="217"/>
      <c r="S174" s="217"/>
      <c r="T174" s="217"/>
      <c r="U174" s="217"/>
      <c r="V174" s="217"/>
      <c r="W174" s="217"/>
      <c r="X174" s="217"/>
      <c r="Y174" s="217"/>
      <c r="Z174" s="217"/>
    </row>
    <row r="175" spans="1:26" s="218" customFormat="1" ht="18" hidden="1" customHeight="1" outlineLevel="1">
      <c r="A175" s="222">
        <v>25</v>
      </c>
      <c r="B175" s="187" t="str">
        <f t="shared" si="4"/>
        <v/>
      </c>
      <c r="C175" s="187" t="str">
        <f t="shared" si="5"/>
        <v/>
      </c>
      <c r="D175" s="187" t="str">
        <f t="shared" si="6"/>
        <v/>
      </c>
      <c r="E175" s="225" t="str">
        <f t="shared" si="7"/>
        <v/>
      </c>
      <c r="F175" s="224"/>
      <c r="G175" s="262">
        <f t="shared" si="8"/>
        <v>0</v>
      </c>
      <c r="H175" s="217"/>
      <c r="I175" s="217"/>
      <c r="J175" s="217"/>
      <c r="K175" s="217"/>
      <c r="L175" s="217"/>
      <c r="M175" s="217"/>
      <c r="N175" s="146"/>
      <c r="O175" s="146"/>
      <c r="P175" s="146"/>
      <c r="Q175" s="217"/>
      <c r="R175" s="217"/>
      <c r="S175" s="217"/>
      <c r="T175" s="217"/>
      <c r="U175" s="217"/>
      <c r="V175" s="217"/>
      <c r="W175" s="217"/>
      <c r="X175" s="217"/>
      <c r="Y175" s="217"/>
      <c r="Z175" s="217"/>
    </row>
    <row r="176" spans="1:26" s="218" customFormat="1" ht="18" hidden="1" customHeight="1" outlineLevel="1">
      <c r="A176" s="222">
        <v>26</v>
      </c>
      <c r="B176" s="187" t="str">
        <f t="shared" si="4"/>
        <v/>
      </c>
      <c r="C176" s="187" t="str">
        <f t="shared" si="5"/>
        <v/>
      </c>
      <c r="D176" s="187" t="str">
        <f t="shared" si="6"/>
        <v/>
      </c>
      <c r="E176" s="225" t="str">
        <f t="shared" si="7"/>
        <v/>
      </c>
      <c r="F176" s="224"/>
      <c r="G176" s="262">
        <f t="shared" si="8"/>
        <v>0</v>
      </c>
      <c r="H176" s="217"/>
      <c r="I176" s="217"/>
      <c r="J176" s="217"/>
      <c r="K176" s="217"/>
      <c r="L176" s="217"/>
      <c r="M176" s="217"/>
      <c r="N176" s="146"/>
      <c r="O176" s="146"/>
      <c r="P176" s="146"/>
      <c r="Q176" s="217"/>
      <c r="R176" s="217"/>
      <c r="S176" s="217"/>
      <c r="T176" s="217"/>
      <c r="U176" s="217"/>
      <c r="V176" s="217"/>
      <c r="W176" s="217"/>
      <c r="X176" s="217"/>
      <c r="Y176" s="217"/>
      <c r="Z176" s="217"/>
    </row>
    <row r="177" spans="1:26" s="218" customFormat="1" ht="18" hidden="1" customHeight="1" outlineLevel="1">
      <c r="A177" s="222">
        <v>27</v>
      </c>
      <c r="B177" s="187" t="str">
        <f t="shared" si="4"/>
        <v/>
      </c>
      <c r="C177" s="187" t="str">
        <f t="shared" si="5"/>
        <v/>
      </c>
      <c r="D177" s="187" t="str">
        <f t="shared" si="6"/>
        <v/>
      </c>
      <c r="E177" s="225" t="str">
        <f t="shared" si="7"/>
        <v/>
      </c>
      <c r="F177" s="224"/>
      <c r="G177" s="262">
        <f t="shared" si="8"/>
        <v>0</v>
      </c>
      <c r="H177" s="217"/>
      <c r="I177" s="217"/>
      <c r="J177" s="217"/>
      <c r="K177" s="217"/>
      <c r="L177" s="217"/>
      <c r="M177" s="217"/>
      <c r="N177" s="146"/>
      <c r="O177" s="146"/>
      <c r="P177" s="146"/>
      <c r="Q177" s="217"/>
      <c r="R177" s="217"/>
      <c r="S177" s="217"/>
      <c r="T177" s="217"/>
      <c r="U177" s="217"/>
      <c r="V177" s="217"/>
      <c r="W177" s="217"/>
      <c r="X177" s="217"/>
      <c r="Y177" s="217"/>
      <c r="Z177" s="217"/>
    </row>
    <row r="178" spans="1:26" s="218" customFormat="1" ht="18" hidden="1" customHeight="1" outlineLevel="1">
      <c r="A178" s="222">
        <v>28</v>
      </c>
      <c r="B178" s="187" t="str">
        <f t="shared" si="4"/>
        <v/>
      </c>
      <c r="C178" s="187" t="str">
        <f t="shared" si="5"/>
        <v/>
      </c>
      <c r="D178" s="187" t="str">
        <f t="shared" si="6"/>
        <v/>
      </c>
      <c r="E178" s="225" t="str">
        <f t="shared" si="7"/>
        <v/>
      </c>
      <c r="F178" s="224"/>
      <c r="G178" s="262">
        <f t="shared" si="8"/>
        <v>0</v>
      </c>
      <c r="H178" s="217"/>
      <c r="I178" s="217"/>
      <c r="J178" s="217"/>
      <c r="K178" s="217"/>
      <c r="L178" s="217"/>
      <c r="M178" s="217"/>
      <c r="N178" s="146"/>
      <c r="O178" s="146"/>
      <c r="P178" s="146"/>
      <c r="Q178" s="217"/>
      <c r="R178" s="217"/>
      <c r="S178" s="217"/>
      <c r="T178" s="217"/>
      <c r="U178" s="217"/>
      <c r="V178" s="217"/>
      <c r="W178" s="217"/>
      <c r="X178" s="217"/>
      <c r="Y178" s="217"/>
      <c r="Z178" s="217"/>
    </row>
    <row r="179" spans="1:26" s="218" customFormat="1" ht="18" hidden="1" customHeight="1" outlineLevel="1">
      <c r="A179" s="222">
        <v>29</v>
      </c>
      <c r="B179" s="187" t="str">
        <f t="shared" si="4"/>
        <v/>
      </c>
      <c r="C179" s="187" t="str">
        <f t="shared" si="5"/>
        <v/>
      </c>
      <c r="D179" s="187" t="str">
        <f t="shared" si="6"/>
        <v/>
      </c>
      <c r="E179" s="225" t="str">
        <f t="shared" si="7"/>
        <v/>
      </c>
      <c r="F179" s="224"/>
      <c r="G179" s="262">
        <f t="shared" si="8"/>
        <v>0</v>
      </c>
      <c r="H179" s="217"/>
      <c r="I179" s="217"/>
      <c r="J179" s="217"/>
      <c r="K179" s="217"/>
      <c r="L179" s="217"/>
      <c r="M179" s="217"/>
      <c r="N179" s="146"/>
      <c r="O179" s="146"/>
      <c r="P179" s="146"/>
      <c r="Q179" s="217"/>
      <c r="R179" s="217"/>
      <c r="S179" s="217"/>
      <c r="T179" s="217"/>
      <c r="U179" s="217"/>
      <c r="V179" s="217"/>
      <c r="W179" s="217"/>
      <c r="X179" s="217"/>
      <c r="Y179" s="217"/>
      <c r="Z179" s="217"/>
    </row>
    <row r="180" spans="1:26" s="218" customFormat="1" ht="18" hidden="1" customHeight="1" outlineLevel="1">
      <c r="A180" s="222">
        <v>30</v>
      </c>
      <c r="B180" s="187" t="str">
        <f t="shared" si="4"/>
        <v/>
      </c>
      <c r="C180" s="187" t="str">
        <f t="shared" si="5"/>
        <v/>
      </c>
      <c r="D180" s="187" t="str">
        <f t="shared" si="6"/>
        <v/>
      </c>
      <c r="E180" s="225" t="str">
        <f t="shared" si="7"/>
        <v/>
      </c>
      <c r="F180" s="224"/>
      <c r="G180" s="262">
        <f t="shared" si="8"/>
        <v>0</v>
      </c>
      <c r="H180" s="217"/>
      <c r="I180" s="217"/>
      <c r="J180" s="217"/>
      <c r="K180" s="217"/>
      <c r="L180" s="217"/>
      <c r="M180" s="217"/>
      <c r="N180" s="146"/>
      <c r="O180" s="146"/>
      <c r="P180" s="146"/>
      <c r="Q180" s="217"/>
      <c r="R180" s="217"/>
      <c r="S180" s="217"/>
      <c r="T180" s="217"/>
      <c r="U180" s="217"/>
      <c r="V180" s="217"/>
      <c r="W180" s="217"/>
      <c r="X180" s="217"/>
      <c r="Y180" s="217"/>
      <c r="Z180" s="217"/>
    </row>
    <row r="181" spans="1:26" s="218" customFormat="1" ht="18" hidden="1" customHeight="1" outlineLevel="1">
      <c r="A181" s="222">
        <v>31</v>
      </c>
      <c r="B181" s="187" t="str">
        <f t="shared" si="4"/>
        <v/>
      </c>
      <c r="C181" s="187" t="str">
        <f t="shared" si="5"/>
        <v/>
      </c>
      <c r="D181" s="187" t="str">
        <f t="shared" si="6"/>
        <v/>
      </c>
      <c r="E181" s="225" t="str">
        <f t="shared" si="7"/>
        <v/>
      </c>
      <c r="F181" s="224"/>
      <c r="G181" s="262">
        <f t="shared" ref="G181" si="9">SUMIFS($D$151:$D$265,$E$151:$E$265,F181)</f>
        <v>0</v>
      </c>
      <c r="H181" s="159" t="s">
        <v>170</v>
      </c>
      <c r="I181" s="217"/>
      <c r="J181" s="217"/>
      <c r="K181" s="217"/>
      <c r="L181" s="217"/>
      <c r="M181" s="217"/>
      <c r="N181" s="146"/>
      <c r="O181" s="146"/>
      <c r="P181" s="146"/>
      <c r="Q181" s="217"/>
      <c r="R181" s="217"/>
      <c r="S181" s="217"/>
      <c r="T181" s="217"/>
      <c r="U181" s="217"/>
      <c r="V181" s="217"/>
      <c r="W181" s="217"/>
      <c r="X181" s="217"/>
      <c r="Y181" s="217"/>
      <c r="Z181" s="217"/>
    </row>
    <row r="182" spans="1:26" s="218" customFormat="1" ht="18" hidden="1" customHeight="1" outlineLevel="2">
      <c r="A182" s="222">
        <v>32</v>
      </c>
      <c r="B182" s="187" t="str">
        <f t="shared" ref="B182:B202" si="10">IF(INDEX(inputs_pkhtid,MATCH($A182,inputs_pkhtno,0))&lt;&gt;"",INDEX(inputs_pkhtid,MATCH($A182,inputs_pkhtno,0)),"")</f>
        <v/>
      </c>
      <c r="C182" s="187" t="str">
        <f t="shared" ref="C182:C202" si="11">IF(INDEX(inputs_pkhtst,MATCH($A182,inputs_pkhtno,0))&lt;&gt;"",INDEX(inputs_pkhtst,MATCH($A182,inputs_pkhtno,0)),"")</f>
        <v/>
      </c>
      <c r="D182" s="187" t="str">
        <f t="shared" ref="D182:D202" si="12">IF(INDEX(inputs_pkhtpl,MATCH($A182,inputs_pkhtno,0))&lt;&gt;"",INDEX(inputs_pkhtpl,MATCH($A182,inputs_pkhtno,0)),"")</f>
        <v/>
      </c>
      <c r="E182" s="225" t="str">
        <f t="shared" ref="E182:E202" si="13">IF(INDEX(inputs_pkhtty,MATCH($A182,inputs_pkhtno,0))&lt;&gt;"",INDEX(inputs_pkhtty,MATCH($A182,inputs_pkhtno,0)),"")</f>
        <v/>
      </c>
      <c r="F182" s="224"/>
      <c r="G182" s="262">
        <f t="shared" si="8"/>
        <v>0</v>
      </c>
      <c r="H182" s="217"/>
      <c r="I182" s="217"/>
      <c r="J182" s="217"/>
      <c r="K182" s="217"/>
      <c r="L182" s="217"/>
      <c r="M182" s="217"/>
      <c r="N182" s="146"/>
      <c r="O182" s="146"/>
      <c r="P182" s="146"/>
      <c r="Q182" s="217"/>
      <c r="R182" s="217"/>
      <c r="S182" s="217"/>
      <c r="T182" s="217"/>
      <c r="U182" s="217"/>
      <c r="V182" s="217"/>
      <c r="W182" s="217"/>
      <c r="X182" s="217"/>
      <c r="Y182" s="217"/>
      <c r="Z182" s="217"/>
    </row>
    <row r="183" spans="1:26" s="218" customFormat="1" ht="18" hidden="1" customHeight="1" outlineLevel="2">
      <c r="A183" s="222">
        <v>33</v>
      </c>
      <c r="B183" s="187" t="str">
        <f t="shared" si="10"/>
        <v/>
      </c>
      <c r="C183" s="187" t="str">
        <f t="shared" si="11"/>
        <v/>
      </c>
      <c r="D183" s="187" t="str">
        <f t="shared" si="12"/>
        <v/>
      </c>
      <c r="E183" s="225" t="str">
        <f t="shared" si="13"/>
        <v/>
      </c>
      <c r="F183" s="224"/>
      <c r="G183" s="262">
        <f t="shared" si="8"/>
        <v>0</v>
      </c>
      <c r="H183" s="217"/>
      <c r="I183" s="217"/>
      <c r="J183" s="217"/>
      <c r="K183" s="217"/>
      <c r="L183" s="217"/>
      <c r="M183" s="217"/>
      <c r="N183" s="146"/>
      <c r="O183" s="146"/>
      <c r="P183" s="146"/>
      <c r="Q183" s="217"/>
      <c r="R183" s="217"/>
      <c r="S183" s="217"/>
      <c r="T183" s="217"/>
      <c r="U183" s="217"/>
      <c r="V183" s="217"/>
      <c r="W183" s="217"/>
      <c r="X183" s="217"/>
      <c r="Y183" s="217"/>
      <c r="Z183" s="217"/>
    </row>
    <row r="184" spans="1:26" s="218" customFormat="1" ht="18" hidden="1" customHeight="1" outlineLevel="2">
      <c r="A184" s="222">
        <v>34</v>
      </c>
      <c r="B184" s="187" t="str">
        <f t="shared" si="10"/>
        <v/>
      </c>
      <c r="C184" s="187" t="str">
        <f t="shared" si="11"/>
        <v/>
      </c>
      <c r="D184" s="187" t="str">
        <f t="shared" si="12"/>
        <v/>
      </c>
      <c r="E184" s="225" t="str">
        <f t="shared" si="13"/>
        <v/>
      </c>
      <c r="F184" s="224"/>
      <c r="G184" s="262">
        <f t="shared" si="8"/>
        <v>0</v>
      </c>
      <c r="H184" s="217"/>
      <c r="I184" s="217"/>
      <c r="J184" s="216"/>
      <c r="K184" s="216"/>
      <c r="L184" s="216"/>
      <c r="M184" s="217"/>
      <c r="N184" s="146"/>
      <c r="O184" s="146"/>
      <c r="P184" s="146"/>
      <c r="Q184" s="217"/>
      <c r="R184" s="217"/>
      <c r="S184" s="217"/>
      <c r="T184" s="217"/>
      <c r="U184" s="217"/>
      <c r="V184" s="217"/>
      <c r="W184" s="217"/>
      <c r="X184" s="217"/>
      <c r="Y184" s="217"/>
      <c r="Z184" s="217"/>
    </row>
    <row r="185" spans="1:26" s="218" customFormat="1" ht="18" hidden="1" customHeight="1" outlineLevel="2">
      <c r="A185" s="222">
        <v>35</v>
      </c>
      <c r="B185" s="187" t="str">
        <f t="shared" si="10"/>
        <v/>
      </c>
      <c r="C185" s="187" t="str">
        <f t="shared" si="11"/>
        <v/>
      </c>
      <c r="D185" s="187" t="str">
        <f t="shared" si="12"/>
        <v/>
      </c>
      <c r="E185" s="225" t="str">
        <f t="shared" si="13"/>
        <v/>
      </c>
      <c r="F185" s="224"/>
      <c r="G185" s="262">
        <f t="shared" si="8"/>
        <v>0</v>
      </c>
      <c r="H185" s="217"/>
      <c r="I185" s="217"/>
      <c r="J185" s="217"/>
      <c r="K185" s="217"/>
      <c r="L185" s="217"/>
      <c r="M185" s="217"/>
      <c r="N185" s="146"/>
      <c r="O185" s="146"/>
      <c r="P185" s="146"/>
      <c r="Q185" s="217"/>
      <c r="R185" s="217"/>
      <c r="S185" s="217"/>
      <c r="T185" s="217"/>
      <c r="U185" s="217"/>
      <c r="V185" s="217"/>
      <c r="W185" s="217"/>
      <c r="X185" s="217"/>
      <c r="Y185" s="217"/>
      <c r="Z185" s="217"/>
    </row>
    <row r="186" spans="1:26" s="218" customFormat="1" ht="18" hidden="1" customHeight="1" outlineLevel="2">
      <c r="A186" s="222">
        <v>36</v>
      </c>
      <c r="B186" s="187" t="str">
        <f t="shared" si="10"/>
        <v/>
      </c>
      <c r="C186" s="187" t="str">
        <f t="shared" si="11"/>
        <v/>
      </c>
      <c r="D186" s="187" t="str">
        <f t="shared" si="12"/>
        <v/>
      </c>
      <c r="E186" s="225" t="str">
        <f t="shared" si="13"/>
        <v/>
      </c>
      <c r="F186" s="224"/>
      <c r="G186" s="262">
        <f t="shared" si="8"/>
        <v>0</v>
      </c>
      <c r="H186" s="217"/>
      <c r="I186" s="217"/>
      <c r="J186" s="217"/>
      <c r="K186" s="217"/>
      <c r="L186" s="217"/>
      <c r="M186" s="217"/>
      <c r="N186" s="146"/>
      <c r="O186" s="146"/>
      <c r="P186" s="146"/>
      <c r="Q186" s="217"/>
      <c r="R186" s="217"/>
      <c r="S186" s="217"/>
      <c r="T186" s="217"/>
      <c r="U186" s="217"/>
      <c r="V186" s="217"/>
      <c r="W186" s="217"/>
      <c r="X186" s="217"/>
      <c r="Y186" s="217"/>
      <c r="Z186" s="217"/>
    </row>
    <row r="187" spans="1:26" s="218" customFormat="1" ht="18" hidden="1" customHeight="1" outlineLevel="2">
      <c r="A187" s="222">
        <v>37</v>
      </c>
      <c r="B187" s="187" t="str">
        <f t="shared" si="10"/>
        <v/>
      </c>
      <c r="C187" s="187" t="str">
        <f t="shared" si="11"/>
        <v/>
      </c>
      <c r="D187" s="187" t="str">
        <f t="shared" si="12"/>
        <v/>
      </c>
      <c r="E187" s="225" t="str">
        <f t="shared" si="13"/>
        <v/>
      </c>
      <c r="F187" s="224"/>
      <c r="G187" s="262">
        <f t="shared" si="8"/>
        <v>0</v>
      </c>
      <c r="H187" s="217"/>
      <c r="I187" s="217"/>
      <c r="J187" s="217"/>
      <c r="K187" s="217"/>
      <c r="L187" s="217"/>
      <c r="M187" s="217"/>
      <c r="N187" s="146"/>
      <c r="O187" s="146"/>
      <c r="P187" s="146"/>
      <c r="Q187" s="217"/>
      <c r="R187" s="217"/>
      <c r="S187" s="217"/>
      <c r="T187" s="217"/>
      <c r="U187" s="217"/>
      <c r="V187" s="217"/>
      <c r="W187" s="217"/>
      <c r="X187" s="217"/>
      <c r="Y187" s="217"/>
      <c r="Z187" s="217"/>
    </row>
    <row r="188" spans="1:26" s="218" customFormat="1" ht="18" hidden="1" customHeight="1" outlineLevel="2">
      <c r="A188" s="222">
        <v>38</v>
      </c>
      <c r="B188" s="187" t="str">
        <f t="shared" si="10"/>
        <v/>
      </c>
      <c r="C188" s="187" t="str">
        <f t="shared" si="11"/>
        <v/>
      </c>
      <c r="D188" s="187" t="str">
        <f t="shared" si="12"/>
        <v/>
      </c>
      <c r="E188" s="225" t="str">
        <f t="shared" si="13"/>
        <v/>
      </c>
      <c r="F188" s="224"/>
      <c r="G188" s="262">
        <f t="shared" si="8"/>
        <v>0</v>
      </c>
      <c r="H188" s="217"/>
      <c r="I188" s="217"/>
      <c r="J188" s="217"/>
      <c r="K188" s="217"/>
      <c r="L188" s="217"/>
      <c r="M188" s="217"/>
      <c r="N188" s="146"/>
      <c r="O188" s="146"/>
      <c r="P188" s="146"/>
      <c r="Q188" s="217"/>
      <c r="R188" s="217"/>
      <c r="S188" s="217"/>
      <c r="T188" s="217"/>
      <c r="U188" s="217"/>
      <c r="V188" s="217"/>
      <c r="W188" s="217"/>
      <c r="X188" s="217"/>
      <c r="Y188" s="217"/>
      <c r="Z188" s="217"/>
    </row>
    <row r="189" spans="1:26" s="218" customFormat="1" ht="18" hidden="1" customHeight="1" outlineLevel="2">
      <c r="A189" s="222">
        <v>39</v>
      </c>
      <c r="B189" s="187" t="str">
        <f t="shared" si="10"/>
        <v/>
      </c>
      <c r="C189" s="187" t="str">
        <f t="shared" si="11"/>
        <v/>
      </c>
      <c r="D189" s="187" t="str">
        <f t="shared" si="12"/>
        <v/>
      </c>
      <c r="E189" s="225" t="str">
        <f t="shared" si="13"/>
        <v/>
      </c>
      <c r="F189" s="224"/>
      <c r="G189" s="262">
        <f t="shared" si="8"/>
        <v>0</v>
      </c>
      <c r="H189" s="217"/>
      <c r="I189" s="217"/>
      <c r="J189" s="217"/>
      <c r="K189" s="217"/>
      <c r="L189" s="217"/>
      <c r="M189" s="217"/>
      <c r="N189" s="146"/>
      <c r="O189" s="146"/>
      <c r="P189" s="146"/>
      <c r="Q189" s="217"/>
      <c r="R189" s="217"/>
      <c r="S189" s="217"/>
      <c r="T189" s="217"/>
      <c r="U189" s="217"/>
      <c r="V189" s="217"/>
      <c r="W189" s="217"/>
      <c r="X189" s="217"/>
      <c r="Y189" s="217"/>
      <c r="Z189" s="217"/>
    </row>
    <row r="190" spans="1:26" s="218" customFormat="1" ht="18" hidden="1" customHeight="1" outlineLevel="2">
      <c r="A190" s="222">
        <v>40</v>
      </c>
      <c r="B190" s="187" t="str">
        <f t="shared" si="10"/>
        <v/>
      </c>
      <c r="C190" s="187" t="str">
        <f t="shared" si="11"/>
        <v/>
      </c>
      <c r="D190" s="187" t="str">
        <f t="shared" si="12"/>
        <v/>
      </c>
      <c r="E190" s="225" t="str">
        <f t="shared" si="13"/>
        <v/>
      </c>
      <c r="F190" s="224"/>
      <c r="G190" s="262">
        <f t="shared" si="8"/>
        <v>0</v>
      </c>
      <c r="H190" s="217"/>
      <c r="I190" s="217"/>
      <c r="J190" s="217"/>
      <c r="K190" s="217"/>
      <c r="L190" s="217"/>
      <c r="M190" s="217"/>
      <c r="N190" s="146"/>
      <c r="O190" s="146"/>
      <c r="P190" s="146"/>
      <c r="Q190" s="217"/>
      <c r="R190" s="217"/>
      <c r="S190" s="217"/>
      <c r="T190" s="217"/>
      <c r="U190" s="217"/>
      <c r="V190" s="217"/>
      <c r="W190" s="217"/>
      <c r="X190" s="217"/>
      <c r="Y190" s="217"/>
      <c r="Z190" s="217"/>
    </row>
    <row r="191" spans="1:26" s="218" customFormat="1" ht="18" hidden="1" customHeight="1" outlineLevel="2">
      <c r="A191" s="222">
        <v>41</v>
      </c>
      <c r="B191" s="187" t="str">
        <f t="shared" si="10"/>
        <v/>
      </c>
      <c r="C191" s="187" t="str">
        <f t="shared" si="11"/>
        <v/>
      </c>
      <c r="D191" s="187" t="str">
        <f t="shared" si="12"/>
        <v/>
      </c>
      <c r="E191" s="225" t="str">
        <f t="shared" si="13"/>
        <v/>
      </c>
      <c r="F191" s="224"/>
      <c r="G191" s="262">
        <f t="shared" si="8"/>
        <v>0</v>
      </c>
      <c r="H191" s="217"/>
      <c r="I191" s="217"/>
      <c r="J191" s="217"/>
      <c r="K191" s="217"/>
      <c r="L191" s="217"/>
      <c r="M191" s="217"/>
      <c r="N191" s="146"/>
      <c r="O191" s="146"/>
      <c r="P191" s="146"/>
      <c r="Q191" s="217"/>
      <c r="R191" s="217"/>
      <c r="S191" s="217"/>
      <c r="T191" s="217"/>
      <c r="U191" s="217"/>
      <c r="V191" s="217"/>
      <c r="W191" s="217"/>
      <c r="X191" s="217"/>
      <c r="Y191" s="217"/>
      <c r="Z191" s="217"/>
    </row>
    <row r="192" spans="1:26" s="218" customFormat="1" ht="18" hidden="1" customHeight="1" outlineLevel="2">
      <c r="A192" s="222">
        <v>42</v>
      </c>
      <c r="B192" s="187" t="str">
        <f t="shared" si="10"/>
        <v/>
      </c>
      <c r="C192" s="187" t="str">
        <f t="shared" si="11"/>
        <v/>
      </c>
      <c r="D192" s="187" t="str">
        <f t="shared" si="12"/>
        <v/>
      </c>
      <c r="E192" s="225" t="str">
        <f t="shared" si="13"/>
        <v/>
      </c>
      <c r="F192" s="224"/>
      <c r="G192" s="262">
        <f t="shared" si="8"/>
        <v>0</v>
      </c>
      <c r="H192" s="217"/>
      <c r="I192" s="217"/>
      <c r="J192" s="217"/>
      <c r="K192" s="217"/>
      <c r="L192" s="217"/>
      <c r="M192" s="217"/>
      <c r="N192" s="146"/>
      <c r="O192" s="146"/>
      <c r="P192" s="146"/>
      <c r="Q192" s="217"/>
      <c r="R192" s="217"/>
      <c r="S192" s="217"/>
      <c r="T192" s="217"/>
      <c r="U192" s="217"/>
      <c r="V192" s="217"/>
      <c r="W192" s="217"/>
      <c r="X192" s="217"/>
      <c r="Y192" s="217"/>
      <c r="Z192" s="217"/>
    </row>
    <row r="193" spans="1:26" s="218" customFormat="1" ht="18" hidden="1" customHeight="1" outlineLevel="2">
      <c r="A193" s="222">
        <v>43</v>
      </c>
      <c r="B193" s="187" t="str">
        <f t="shared" si="10"/>
        <v/>
      </c>
      <c r="C193" s="187" t="str">
        <f t="shared" si="11"/>
        <v/>
      </c>
      <c r="D193" s="187" t="str">
        <f t="shared" si="12"/>
        <v/>
      </c>
      <c r="E193" s="225" t="str">
        <f t="shared" si="13"/>
        <v/>
      </c>
      <c r="F193" s="224"/>
      <c r="G193" s="262">
        <f t="shared" si="8"/>
        <v>0</v>
      </c>
      <c r="H193" s="217"/>
      <c r="I193" s="217"/>
      <c r="J193" s="216"/>
      <c r="K193" s="216"/>
      <c r="L193" s="216"/>
      <c r="M193" s="217"/>
      <c r="N193" s="146"/>
      <c r="O193" s="146"/>
      <c r="P193" s="146"/>
      <c r="Q193" s="217"/>
      <c r="R193" s="217"/>
      <c r="S193" s="217"/>
      <c r="T193" s="217"/>
      <c r="U193" s="217"/>
      <c r="V193" s="217"/>
      <c r="W193" s="217"/>
      <c r="X193" s="217"/>
      <c r="Y193" s="217"/>
      <c r="Z193" s="217"/>
    </row>
    <row r="194" spans="1:26" s="218" customFormat="1" ht="18" hidden="1" customHeight="1" outlineLevel="2">
      <c r="A194" s="222">
        <v>44</v>
      </c>
      <c r="B194" s="187" t="str">
        <f t="shared" si="10"/>
        <v/>
      </c>
      <c r="C194" s="187" t="str">
        <f t="shared" si="11"/>
        <v/>
      </c>
      <c r="D194" s="187" t="str">
        <f t="shared" si="12"/>
        <v/>
      </c>
      <c r="E194" s="225" t="str">
        <f t="shared" si="13"/>
        <v/>
      </c>
      <c r="F194" s="224"/>
      <c r="G194" s="262">
        <f t="shared" si="8"/>
        <v>0</v>
      </c>
      <c r="H194" s="217"/>
      <c r="I194" s="217"/>
      <c r="J194" s="217"/>
      <c r="K194" s="217"/>
      <c r="L194" s="217"/>
      <c r="M194" s="217"/>
      <c r="N194" s="146"/>
      <c r="O194" s="146"/>
      <c r="P194" s="146"/>
      <c r="Q194" s="217"/>
      <c r="R194" s="217"/>
      <c r="S194" s="217"/>
      <c r="T194" s="217"/>
      <c r="U194" s="217"/>
      <c r="V194" s="217"/>
      <c r="W194" s="217"/>
      <c r="X194" s="217"/>
      <c r="Y194" s="217"/>
      <c r="Z194" s="217"/>
    </row>
    <row r="195" spans="1:26" s="218" customFormat="1" ht="18" hidden="1" customHeight="1" outlineLevel="2">
      <c r="A195" s="222">
        <v>45</v>
      </c>
      <c r="B195" s="187" t="str">
        <f t="shared" si="10"/>
        <v/>
      </c>
      <c r="C195" s="187" t="str">
        <f t="shared" si="11"/>
        <v/>
      </c>
      <c r="D195" s="187" t="str">
        <f t="shared" si="12"/>
        <v/>
      </c>
      <c r="E195" s="225" t="str">
        <f t="shared" si="13"/>
        <v/>
      </c>
      <c r="F195" s="224"/>
      <c r="G195" s="262">
        <f t="shared" si="8"/>
        <v>0</v>
      </c>
      <c r="H195" s="217"/>
      <c r="I195" s="217"/>
      <c r="J195" s="217"/>
      <c r="K195" s="217"/>
      <c r="L195" s="217"/>
      <c r="M195" s="217"/>
      <c r="N195" s="146"/>
      <c r="O195" s="146"/>
      <c r="P195" s="146"/>
      <c r="Q195" s="217"/>
      <c r="R195" s="217"/>
      <c r="S195" s="217"/>
      <c r="T195" s="217"/>
      <c r="U195" s="217"/>
      <c r="V195" s="217"/>
      <c r="W195" s="217"/>
      <c r="X195" s="217"/>
      <c r="Y195" s="217"/>
      <c r="Z195" s="217"/>
    </row>
    <row r="196" spans="1:26" s="218" customFormat="1" ht="18" hidden="1" customHeight="1" outlineLevel="2">
      <c r="A196" s="222">
        <v>46</v>
      </c>
      <c r="B196" s="187" t="str">
        <f t="shared" si="10"/>
        <v/>
      </c>
      <c r="C196" s="187" t="str">
        <f t="shared" si="11"/>
        <v/>
      </c>
      <c r="D196" s="187" t="str">
        <f t="shared" si="12"/>
        <v/>
      </c>
      <c r="E196" s="225" t="str">
        <f t="shared" si="13"/>
        <v/>
      </c>
      <c r="F196" s="224"/>
      <c r="G196" s="262">
        <f t="shared" si="8"/>
        <v>0</v>
      </c>
      <c r="H196" s="217"/>
      <c r="I196" s="217"/>
      <c r="J196" s="217"/>
      <c r="K196" s="217"/>
      <c r="L196" s="217"/>
      <c r="M196" s="217"/>
      <c r="N196" s="146"/>
      <c r="O196" s="146"/>
      <c r="P196" s="146"/>
      <c r="Q196" s="217"/>
      <c r="R196" s="217"/>
      <c r="S196" s="217"/>
      <c r="T196" s="217"/>
      <c r="U196" s="217"/>
      <c r="V196" s="217"/>
      <c r="W196" s="217"/>
      <c r="X196" s="217"/>
      <c r="Y196" s="217"/>
      <c r="Z196" s="217"/>
    </row>
    <row r="197" spans="1:26" s="218" customFormat="1" ht="18" hidden="1" customHeight="1" outlineLevel="2">
      <c r="A197" s="222">
        <v>47</v>
      </c>
      <c r="B197" s="187" t="str">
        <f t="shared" si="10"/>
        <v/>
      </c>
      <c r="C197" s="187" t="str">
        <f t="shared" si="11"/>
        <v/>
      </c>
      <c r="D197" s="187" t="str">
        <f t="shared" si="12"/>
        <v/>
      </c>
      <c r="E197" s="225" t="str">
        <f t="shared" si="13"/>
        <v/>
      </c>
      <c r="F197" s="224"/>
      <c r="G197" s="262">
        <f t="shared" si="8"/>
        <v>0</v>
      </c>
      <c r="H197" s="217"/>
      <c r="I197" s="217"/>
      <c r="J197" s="217"/>
      <c r="K197" s="217"/>
      <c r="L197" s="217"/>
      <c r="M197" s="217"/>
      <c r="N197" s="146"/>
      <c r="O197" s="146"/>
      <c r="P197" s="146"/>
      <c r="Q197" s="217"/>
      <c r="R197" s="217"/>
      <c r="S197" s="217"/>
      <c r="T197" s="217"/>
      <c r="U197" s="217"/>
      <c r="V197" s="217"/>
      <c r="W197" s="217"/>
      <c r="X197" s="217"/>
      <c r="Y197" s="217"/>
      <c r="Z197" s="217"/>
    </row>
    <row r="198" spans="1:26" s="218" customFormat="1" ht="18" hidden="1" customHeight="1" outlineLevel="2">
      <c r="A198" s="222">
        <v>48</v>
      </c>
      <c r="B198" s="187" t="str">
        <f t="shared" si="10"/>
        <v/>
      </c>
      <c r="C198" s="187" t="str">
        <f t="shared" si="11"/>
        <v/>
      </c>
      <c r="D198" s="187" t="str">
        <f t="shared" si="12"/>
        <v/>
      </c>
      <c r="E198" s="225" t="str">
        <f t="shared" si="13"/>
        <v/>
      </c>
      <c r="F198" s="224"/>
      <c r="G198" s="262">
        <f t="shared" si="8"/>
        <v>0</v>
      </c>
      <c r="H198" s="217"/>
      <c r="I198" s="217"/>
      <c r="J198" s="217"/>
      <c r="K198" s="217"/>
      <c r="L198" s="217"/>
      <c r="M198" s="217"/>
      <c r="N198" s="146"/>
      <c r="O198" s="146"/>
      <c r="P198" s="146"/>
      <c r="Q198" s="217"/>
      <c r="R198" s="217"/>
      <c r="S198" s="217"/>
      <c r="T198" s="217"/>
      <c r="U198" s="217"/>
      <c r="V198" s="217"/>
      <c r="W198" s="217"/>
      <c r="X198" s="217"/>
      <c r="Y198" s="217"/>
      <c r="Z198" s="217"/>
    </row>
    <row r="199" spans="1:26" s="218" customFormat="1" ht="18" hidden="1" customHeight="1" outlineLevel="2">
      <c r="A199" s="222">
        <v>49</v>
      </c>
      <c r="B199" s="187" t="str">
        <f t="shared" si="10"/>
        <v/>
      </c>
      <c r="C199" s="187" t="str">
        <f t="shared" si="11"/>
        <v/>
      </c>
      <c r="D199" s="187" t="str">
        <f t="shared" si="12"/>
        <v/>
      </c>
      <c r="E199" s="225" t="str">
        <f t="shared" si="13"/>
        <v/>
      </c>
      <c r="F199" s="224"/>
      <c r="G199" s="262">
        <f t="shared" si="8"/>
        <v>0</v>
      </c>
      <c r="H199" s="217"/>
      <c r="I199" s="217"/>
      <c r="J199" s="217"/>
      <c r="K199" s="217"/>
      <c r="L199" s="217"/>
      <c r="M199" s="217"/>
      <c r="N199" s="146"/>
      <c r="O199" s="146"/>
      <c r="P199" s="146"/>
      <c r="Q199" s="217"/>
      <c r="R199" s="217"/>
      <c r="S199" s="217"/>
      <c r="T199" s="217"/>
      <c r="U199" s="217"/>
      <c r="V199" s="217"/>
      <c r="W199" s="217"/>
      <c r="X199" s="217"/>
      <c r="Y199" s="217"/>
      <c r="Z199" s="217"/>
    </row>
    <row r="200" spans="1:26" s="218" customFormat="1" ht="18" hidden="1" customHeight="1" outlineLevel="2">
      <c r="A200" s="222">
        <v>50</v>
      </c>
      <c r="B200" s="187" t="str">
        <f t="shared" si="10"/>
        <v/>
      </c>
      <c r="C200" s="187" t="str">
        <f t="shared" si="11"/>
        <v/>
      </c>
      <c r="D200" s="187" t="str">
        <f t="shared" si="12"/>
        <v/>
      </c>
      <c r="E200" s="225" t="str">
        <f t="shared" si="13"/>
        <v/>
      </c>
      <c r="F200" s="224"/>
      <c r="G200" s="262">
        <f t="shared" si="8"/>
        <v>0</v>
      </c>
      <c r="H200" s="217"/>
      <c r="I200" s="217"/>
      <c r="J200" s="217"/>
      <c r="K200" s="217"/>
      <c r="L200" s="217"/>
      <c r="M200" s="217"/>
      <c r="N200" s="146"/>
      <c r="O200" s="146"/>
      <c r="P200" s="146"/>
      <c r="Q200" s="217"/>
      <c r="R200" s="217"/>
      <c r="S200" s="217"/>
      <c r="T200" s="217"/>
      <c r="U200" s="217"/>
      <c r="V200" s="217"/>
      <c r="W200" s="217"/>
      <c r="X200" s="217"/>
      <c r="Y200" s="217"/>
      <c r="Z200" s="217"/>
    </row>
    <row r="201" spans="1:26" s="218" customFormat="1" ht="18" hidden="1" customHeight="1" outlineLevel="2">
      <c r="A201" s="222">
        <v>51</v>
      </c>
      <c r="B201" s="187" t="str">
        <f t="shared" si="10"/>
        <v/>
      </c>
      <c r="C201" s="187" t="str">
        <f t="shared" si="11"/>
        <v/>
      </c>
      <c r="D201" s="187" t="str">
        <f t="shared" si="12"/>
        <v/>
      </c>
      <c r="E201" s="225" t="str">
        <f t="shared" si="13"/>
        <v/>
      </c>
      <c r="F201" s="224"/>
      <c r="G201" s="262">
        <f t="shared" si="8"/>
        <v>0</v>
      </c>
      <c r="H201" s="217"/>
      <c r="I201" s="217"/>
      <c r="J201" s="217"/>
      <c r="K201" s="217"/>
      <c r="L201" s="217"/>
      <c r="M201" s="217"/>
      <c r="N201" s="146"/>
      <c r="O201" s="146"/>
      <c r="P201" s="146"/>
      <c r="Q201" s="217"/>
      <c r="R201" s="217"/>
      <c r="S201" s="217"/>
      <c r="T201" s="217"/>
      <c r="U201" s="217"/>
      <c r="V201" s="217"/>
      <c r="W201" s="217"/>
      <c r="X201" s="217"/>
      <c r="Y201" s="217"/>
      <c r="Z201" s="217"/>
    </row>
    <row r="202" spans="1:26" s="218" customFormat="1" ht="18" hidden="1" customHeight="1" outlineLevel="1" collapsed="1">
      <c r="A202" s="222">
        <v>52</v>
      </c>
      <c r="B202" s="187" t="str">
        <f t="shared" si="10"/>
        <v/>
      </c>
      <c r="C202" s="187" t="str">
        <f t="shared" si="11"/>
        <v/>
      </c>
      <c r="D202" s="187" t="str">
        <f t="shared" si="12"/>
        <v/>
      </c>
      <c r="E202" s="225" t="str">
        <f t="shared" si="13"/>
        <v/>
      </c>
      <c r="F202" s="224"/>
      <c r="G202" s="262">
        <f t="shared" ref="G202" si="14">SUMIFS($D$151:$D$265,$E$151:$E$265,F202)</f>
        <v>0</v>
      </c>
      <c r="H202" s="159" t="s">
        <v>170</v>
      </c>
      <c r="I202" s="217"/>
      <c r="J202" s="217"/>
      <c r="K202" s="217"/>
      <c r="L202" s="217"/>
      <c r="M202" s="217"/>
      <c r="N202" s="146"/>
      <c r="O202" s="146"/>
      <c r="P202" s="146"/>
      <c r="Q202" s="217"/>
      <c r="R202" s="217"/>
      <c r="S202" s="217"/>
      <c r="T202" s="217"/>
      <c r="U202" s="217"/>
      <c r="V202" s="217"/>
      <c r="W202" s="217"/>
      <c r="X202" s="217"/>
      <c r="Y202" s="217"/>
      <c r="Z202" s="217"/>
    </row>
    <row r="203" spans="1:26" s="218" customFormat="1" ht="18" hidden="1" customHeight="1" outlineLevel="2">
      <c r="A203" s="222">
        <v>53</v>
      </c>
      <c r="B203" s="187" t="str">
        <f t="shared" ref="B203:B223" si="15">IF(INDEX(inputs_pkhtid,MATCH($A203,inputs_pkhtno,0))&lt;&gt;"",INDEX(inputs_pkhtid,MATCH($A203,inputs_pkhtno,0)),"")</f>
        <v/>
      </c>
      <c r="C203" s="187" t="str">
        <f t="shared" ref="C203:C223" si="16">IF(INDEX(inputs_pkhtst,MATCH($A203,inputs_pkhtno,0))&lt;&gt;"",INDEX(inputs_pkhtst,MATCH($A203,inputs_pkhtno,0)),"")</f>
        <v/>
      </c>
      <c r="D203" s="187" t="str">
        <f t="shared" ref="D203:D223" si="17">IF(INDEX(inputs_pkhtpl,MATCH($A203,inputs_pkhtno,0))&lt;&gt;"",INDEX(inputs_pkhtpl,MATCH($A203,inputs_pkhtno,0)),"")</f>
        <v/>
      </c>
      <c r="E203" s="225" t="str">
        <f t="shared" ref="E203:E223" si="18">IF(INDEX(inputs_pkhtty,MATCH($A203,inputs_pkhtno,0))&lt;&gt;"",INDEX(inputs_pkhtty,MATCH($A203,inputs_pkhtno,0)),"")</f>
        <v/>
      </c>
      <c r="F203" s="224"/>
      <c r="G203" s="262">
        <f t="shared" si="8"/>
        <v>0</v>
      </c>
      <c r="H203" s="217"/>
      <c r="I203" s="217"/>
      <c r="J203" s="217"/>
      <c r="K203" s="217"/>
      <c r="L203" s="217"/>
      <c r="M203" s="217"/>
      <c r="N203" s="146"/>
      <c r="O203" s="146"/>
      <c r="P203" s="146"/>
      <c r="Q203" s="217"/>
      <c r="R203" s="217"/>
      <c r="S203" s="217"/>
      <c r="T203" s="217"/>
      <c r="U203" s="217"/>
      <c r="V203" s="217"/>
      <c r="W203" s="217"/>
      <c r="X203" s="217"/>
      <c r="Y203" s="217"/>
      <c r="Z203" s="217"/>
    </row>
    <row r="204" spans="1:26" s="218" customFormat="1" ht="18" hidden="1" customHeight="1" outlineLevel="2" collapsed="1">
      <c r="A204" s="222">
        <v>54</v>
      </c>
      <c r="B204" s="187" t="str">
        <f t="shared" si="15"/>
        <v/>
      </c>
      <c r="C204" s="187" t="str">
        <f t="shared" si="16"/>
        <v/>
      </c>
      <c r="D204" s="187" t="str">
        <f t="shared" si="17"/>
        <v/>
      </c>
      <c r="E204" s="225" t="str">
        <f t="shared" si="18"/>
        <v/>
      </c>
      <c r="F204" s="224"/>
      <c r="G204" s="262">
        <f t="shared" si="8"/>
        <v>0</v>
      </c>
      <c r="H204" s="217"/>
      <c r="I204" s="217"/>
      <c r="J204" s="217"/>
      <c r="K204" s="217"/>
      <c r="L204" s="217"/>
      <c r="M204" s="217"/>
      <c r="N204" s="146"/>
      <c r="O204" s="146"/>
      <c r="P204" s="146"/>
      <c r="Q204" s="217"/>
      <c r="R204" s="217"/>
      <c r="S204" s="217"/>
      <c r="T204" s="217"/>
      <c r="U204" s="217"/>
      <c r="V204" s="217"/>
      <c r="W204" s="217"/>
      <c r="X204" s="217"/>
      <c r="Y204" s="217"/>
      <c r="Z204" s="217"/>
    </row>
    <row r="205" spans="1:26" s="218" customFormat="1" ht="18" hidden="1" customHeight="1" outlineLevel="2">
      <c r="A205" s="222">
        <v>55</v>
      </c>
      <c r="B205" s="187" t="str">
        <f t="shared" si="15"/>
        <v/>
      </c>
      <c r="C205" s="187" t="str">
        <f t="shared" si="16"/>
        <v/>
      </c>
      <c r="D205" s="187" t="str">
        <f t="shared" si="17"/>
        <v/>
      </c>
      <c r="E205" s="225" t="str">
        <f t="shared" si="18"/>
        <v/>
      </c>
      <c r="F205" s="224"/>
      <c r="G205" s="262">
        <f t="shared" si="8"/>
        <v>0</v>
      </c>
      <c r="H205" s="217"/>
      <c r="I205" s="217"/>
      <c r="J205" s="217"/>
      <c r="K205" s="217"/>
      <c r="L205" s="217"/>
      <c r="M205" s="217"/>
      <c r="N205" s="146"/>
      <c r="O205" s="146"/>
      <c r="P205" s="146"/>
      <c r="Q205" s="217"/>
      <c r="R205" s="217"/>
      <c r="S205" s="217"/>
      <c r="T205" s="217"/>
      <c r="U205" s="217"/>
      <c r="V205" s="217"/>
      <c r="W205" s="217"/>
      <c r="X205" s="217"/>
      <c r="Y205" s="217"/>
      <c r="Z205" s="217"/>
    </row>
    <row r="206" spans="1:26" s="218" customFormat="1" ht="18" hidden="1" customHeight="1" outlineLevel="2" collapsed="1">
      <c r="A206" s="222">
        <v>56</v>
      </c>
      <c r="B206" s="187" t="str">
        <f t="shared" si="15"/>
        <v/>
      </c>
      <c r="C206" s="187" t="str">
        <f t="shared" si="16"/>
        <v/>
      </c>
      <c r="D206" s="187" t="str">
        <f t="shared" si="17"/>
        <v/>
      </c>
      <c r="E206" s="225" t="str">
        <f t="shared" si="18"/>
        <v/>
      </c>
      <c r="F206" s="224"/>
      <c r="G206" s="262">
        <f t="shared" si="8"/>
        <v>0</v>
      </c>
      <c r="H206" s="217"/>
      <c r="I206" s="217"/>
      <c r="J206" s="217"/>
      <c r="K206" s="217"/>
      <c r="L206" s="217"/>
      <c r="M206" s="217"/>
      <c r="N206" s="146"/>
      <c r="O206" s="146"/>
      <c r="P206" s="146"/>
      <c r="Q206" s="217"/>
      <c r="R206" s="217"/>
      <c r="S206" s="217"/>
      <c r="T206" s="217"/>
      <c r="U206" s="217"/>
      <c r="V206" s="217"/>
      <c r="W206" s="217"/>
      <c r="X206" s="217"/>
      <c r="Y206" s="217"/>
      <c r="Z206" s="217"/>
    </row>
    <row r="207" spans="1:26" s="218" customFormat="1" ht="18" hidden="1" customHeight="1" outlineLevel="2">
      <c r="A207" s="222">
        <v>57</v>
      </c>
      <c r="B207" s="187" t="str">
        <f t="shared" si="15"/>
        <v/>
      </c>
      <c r="C207" s="187" t="str">
        <f t="shared" si="16"/>
        <v/>
      </c>
      <c r="D207" s="187" t="str">
        <f t="shared" si="17"/>
        <v/>
      </c>
      <c r="E207" s="225" t="str">
        <f t="shared" si="18"/>
        <v/>
      </c>
      <c r="F207" s="224"/>
      <c r="G207" s="262">
        <f t="shared" si="8"/>
        <v>0</v>
      </c>
      <c r="H207" s="217"/>
      <c r="I207" s="217"/>
      <c r="J207" s="217"/>
      <c r="K207" s="217"/>
      <c r="L207" s="217"/>
      <c r="M207" s="217"/>
      <c r="N207" s="146"/>
      <c r="O207" s="146"/>
      <c r="P207" s="146"/>
      <c r="Q207" s="217"/>
      <c r="R207" s="217"/>
      <c r="S207" s="217"/>
      <c r="T207" s="217"/>
      <c r="U207" s="217"/>
      <c r="V207" s="217"/>
      <c r="W207" s="217"/>
      <c r="X207" s="217"/>
      <c r="Y207" s="217"/>
      <c r="Z207" s="217"/>
    </row>
    <row r="208" spans="1:26" s="218" customFormat="1" ht="18" hidden="1" customHeight="1" outlineLevel="2" collapsed="1">
      <c r="A208" s="222">
        <v>58</v>
      </c>
      <c r="B208" s="187" t="str">
        <f t="shared" si="15"/>
        <v/>
      </c>
      <c r="C208" s="187" t="str">
        <f t="shared" si="16"/>
        <v/>
      </c>
      <c r="D208" s="187" t="str">
        <f t="shared" si="17"/>
        <v/>
      </c>
      <c r="E208" s="225" t="str">
        <f t="shared" si="18"/>
        <v/>
      </c>
      <c r="F208" s="224"/>
      <c r="G208" s="262">
        <f t="shared" si="8"/>
        <v>0</v>
      </c>
      <c r="H208" s="217"/>
      <c r="I208" s="217"/>
      <c r="J208" s="217"/>
      <c r="K208" s="217"/>
      <c r="L208" s="217"/>
      <c r="M208" s="217"/>
      <c r="N208" s="146"/>
      <c r="O208" s="146"/>
      <c r="P208" s="146"/>
      <c r="Q208" s="217"/>
      <c r="R208" s="217"/>
      <c r="S208" s="217"/>
      <c r="T208" s="217"/>
      <c r="U208" s="217"/>
      <c r="V208" s="217"/>
      <c r="W208" s="217"/>
      <c r="X208" s="217"/>
      <c r="Y208" s="217"/>
      <c r="Z208" s="217"/>
    </row>
    <row r="209" spans="1:26" s="218" customFormat="1" ht="18" hidden="1" customHeight="1" outlineLevel="2">
      <c r="A209" s="222">
        <v>59</v>
      </c>
      <c r="B209" s="187" t="str">
        <f t="shared" si="15"/>
        <v/>
      </c>
      <c r="C209" s="187" t="str">
        <f t="shared" si="16"/>
        <v/>
      </c>
      <c r="D209" s="187" t="str">
        <f t="shared" si="17"/>
        <v/>
      </c>
      <c r="E209" s="225" t="str">
        <f t="shared" si="18"/>
        <v/>
      </c>
      <c r="F209" s="224"/>
      <c r="G209" s="262">
        <f t="shared" si="8"/>
        <v>0</v>
      </c>
      <c r="H209" s="217"/>
      <c r="I209" s="217"/>
      <c r="J209" s="217"/>
      <c r="K209" s="217"/>
      <c r="L209" s="217"/>
      <c r="M209" s="217"/>
      <c r="N209" s="146"/>
      <c r="O209" s="146"/>
      <c r="P209" s="146"/>
      <c r="Q209" s="217"/>
      <c r="R209" s="217"/>
      <c r="S209" s="217"/>
      <c r="T209" s="217"/>
      <c r="U209" s="217"/>
      <c r="V209" s="217"/>
      <c r="W209" s="217"/>
      <c r="X209" s="217"/>
      <c r="Y209" s="217"/>
      <c r="Z209" s="217"/>
    </row>
    <row r="210" spans="1:26" s="218" customFormat="1" ht="18" hidden="1" customHeight="1" outlineLevel="2" collapsed="1">
      <c r="A210" s="222">
        <v>60</v>
      </c>
      <c r="B210" s="187" t="str">
        <f t="shared" si="15"/>
        <v/>
      </c>
      <c r="C210" s="187" t="str">
        <f t="shared" si="16"/>
        <v/>
      </c>
      <c r="D210" s="187" t="str">
        <f t="shared" si="17"/>
        <v/>
      </c>
      <c r="E210" s="225" t="str">
        <f t="shared" si="18"/>
        <v/>
      </c>
      <c r="F210" s="224"/>
      <c r="G210" s="262">
        <f t="shared" si="8"/>
        <v>0</v>
      </c>
      <c r="H210" s="217"/>
      <c r="I210" s="217"/>
      <c r="J210" s="217"/>
      <c r="K210" s="217"/>
      <c r="L210" s="217"/>
      <c r="M210" s="217"/>
      <c r="N210" s="146"/>
      <c r="O210" s="146"/>
      <c r="P210" s="146"/>
      <c r="Q210" s="217"/>
      <c r="R210" s="217"/>
      <c r="S210" s="217"/>
      <c r="T210" s="217"/>
      <c r="U210" s="217"/>
      <c r="V210" s="217"/>
      <c r="W210" s="217"/>
      <c r="X210" s="217"/>
      <c r="Y210" s="217"/>
      <c r="Z210" s="217"/>
    </row>
    <row r="211" spans="1:26" s="218" customFormat="1" ht="18" hidden="1" customHeight="1" outlineLevel="2">
      <c r="A211" s="222">
        <v>61</v>
      </c>
      <c r="B211" s="187" t="str">
        <f t="shared" si="15"/>
        <v/>
      </c>
      <c r="C211" s="187" t="str">
        <f t="shared" si="16"/>
        <v/>
      </c>
      <c r="D211" s="187" t="str">
        <f t="shared" si="17"/>
        <v/>
      </c>
      <c r="E211" s="225" t="str">
        <f t="shared" si="18"/>
        <v/>
      </c>
      <c r="F211" s="224"/>
      <c r="G211" s="262">
        <f t="shared" si="8"/>
        <v>0</v>
      </c>
      <c r="H211" s="217"/>
      <c r="I211" s="217"/>
      <c r="J211" s="217"/>
      <c r="K211" s="217"/>
      <c r="L211" s="217"/>
      <c r="M211" s="217"/>
      <c r="N211" s="146"/>
      <c r="O211" s="146"/>
      <c r="P211" s="146"/>
      <c r="Q211" s="217"/>
      <c r="R211" s="217"/>
      <c r="S211" s="217"/>
      <c r="T211" s="217"/>
      <c r="U211" s="217"/>
      <c r="V211" s="217"/>
      <c r="W211" s="217"/>
      <c r="X211" s="217"/>
      <c r="Y211" s="217"/>
      <c r="Z211" s="217"/>
    </row>
    <row r="212" spans="1:26" s="218" customFormat="1" ht="18" hidden="1" customHeight="1" outlineLevel="2">
      <c r="A212" s="222">
        <v>62</v>
      </c>
      <c r="B212" s="187" t="str">
        <f t="shared" si="15"/>
        <v/>
      </c>
      <c r="C212" s="187" t="str">
        <f t="shared" si="16"/>
        <v/>
      </c>
      <c r="D212" s="187" t="str">
        <f t="shared" si="17"/>
        <v/>
      </c>
      <c r="E212" s="225" t="str">
        <f t="shared" si="18"/>
        <v/>
      </c>
      <c r="F212" s="224"/>
      <c r="G212" s="262">
        <f t="shared" si="8"/>
        <v>0</v>
      </c>
      <c r="H212" s="217"/>
      <c r="I212" s="217"/>
      <c r="J212" s="217"/>
      <c r="K212" s="217"/>
      <c r="L212" s="217"/>
      <c r="M212" s="217"/>
      <c r="N212" s="146"/>
      <c r="O212" s="146"/>
      <c r="P212" s="146"/>
      <c r="Q212" s="217"/>
      <c r="R212" s="217"/>
      <c r="S212" s="217"/>
      <c r="T212" s="217"/>
      <c r="U212" s="217"/>
      <c r="V212" s="217"/>
      <c r="W212" s="217"/>
      <c r="X212" s="217"/>
      <c r="Y212" s="217"/>
      <c r="Z212" s="217"/>
    </row>
    <row r="213" spans="1:26" s="218" customFormat="1" ht="18" hidden="1" customHeight="1" outlineLevel="2">
      <c r="A213" s="222">
        <v>63</v>
      </c>
      <c r="B213" s="187" t="str">
        <f t="shared" si="15"/>
        <v/>
      </c>
      <c r="C213" s="187" t="str">
        <f t="shared" si="16"/>
        <v/>
      </c>
      <c r="D213" s="187" t="str">
        <f t="shared" si="17"/>
        <v/>
      </c>
      <c r="E213" s="225" t="str">
        <f t="shared" si="18"/>
        <v/>
      </c>
      <c r="F213" s="224"/>
      <c r="G213" s="262">
        <f t="shared" si="8"/>
        <v>0</v>
      </c>
      <c r="H213" s="217"/>
      <c r="I213" s="217"/>
      <c r="J213" s="217"/>
      <c r="K213" s="217"/>
      <c r="L213" s="217"/>
      <c r="M213" s="217"/>
      <c r="N213" s="146"/>
      <c r="O213" s="146"/>
      <c r="P213" s="146"/>
      <c r="Q213" s="217"/>
      <c r="R213" s="217"/>
      <c r="S213" s="217"/>
      <c r="T213" s="217"/>
      <c r="U213" s="217"/>
      <c r="V213" s="217"/>
      <c r="W213" s="217"/>
      <c r="X213" s="217"/>
      <c r="Y213" s="217"/>
      <c r="Z213" s="217"/>
    </row>
    <row r="214" spans="1:26" s="218" customFormat="1" ht="18" hidden="1" customHeight="1" outlineLevel="2">
      <c r="A214" s="222">
        <v>64</v>
      </c>
      <c r="B214" s="187" t="str">
        <f t="shared" si="15"/>
        <v/>
      </c>
      <c r="C214" s="187" t="str">
        <f t="shared" si="16"/>
        <v/>
      </c>
      <c r="D214" s="187" t="str">
        <f t="shared" si="17"/>
        <v/>
      </c>
      <c r="E214" s="225" t="str">
        <f t="shared" si="18"/>
        <v/>
      </c>
      <c r="F214" s="224"/>
      <c r="G214" s="262">
        <f t="shared" si="8"/>
        <v>0</v>
      </c>
      <c r="H214" s="217"/>
      <c r="I214" s="217"/>
      <c r="J214" s="216"/>
      <c r="K214" s="216"/>
      <c r="L214" s="216"/>
      <c r="M214" s="217"/>
      <c r="N214" s="146"/>
      <c r="O214" s="146"/>
      <c r="P214" s="146"/>
      <c r="Q214" s="217"/>
      <c r="R214" s="217"/>
      <c r="S214" s="217"/>
      <c r="T214" s="217"/>
      <c r="U214" s="217"/>
      <c r="V214" s="217"/>
      <c r="W214" s="217"/>
      <c r="X214" s="217"/>
      <c r="Y214" s="217"/>
      <c r="Z214" s="217"/>
    </row>
    <row r="215" spans="1:26" s="218" customFormat="1" ht="18" hidden="1" customHeight="1" outlineLevel="2">
      <c r="A215" s="222">
        <v>65</v>
      </c>
      <c r="B215" s="187" t="str">
        <f t="shared" si="15"/>
        <v/>
      </c>
      <c r="C215" s="187" t="str">
        <f t="shared" si="16"/>
        <v/>
      </c>
      <c r="D215" s="187" t="str">
        <f t="shared" si="17"/>
        <v/>
      </c>
      <c r="E215" s="225" t="str">
        <f t="shared" si="18"/>
        <v/>
      </c>
      <c r="F215" s="224"/>
      <c r="G215" s="262">
        <f t="shared" si="8"/>
        <v>0</v>
      </c>
      <c r="H215" s="217"/>
      <c r="I215" s="217"/>
      <c r="J215" s="217"/>
      <c r="K215" s="217"/>
      <c r="L215" s="217"/>
      <c r="M215" s="217"/>
      <c r="N215" s="146"/>
      <c r="O215" s="146"/>
      <c r="P215" s="146"/>
      <c r="Q215" s="217"/>
      <c r="R215" s="217"/>
      <c r="S215" s="217"/>
      <c r="T215" s="217"/>
      <c r="U215" s="217"/>
      <c r="V215" s="217"/>
      <c r="W215" s="217"/>
      <c r="X215" s="217"/>
      <c r="Y215" s="217"/>
      <c r="Z215" s="217"/>
    </row>
    <row r="216" spans="1:26" s="218" customFormat="1" ht="18" hidden="1" customHeight="1" outlineLevel="2">
      <c r="A216" s="222">
        <v>66</v>
      </c>
      <c r="B216" s="187" t="str">
        <f t="shared" si="15"/>
        <v/>
      </c>
      <c r="C216" s="187" t="str">
        <f t="shared" si="16"/>
        <v/>
      </c>
      <c r="D216" s="187" t="str">
        <f t="shared" si="17"/>
        <v/>
      </c>
      <c r="E216" s="225" t="str">
        <f t="shared" si="18"/>
        <v/>
      </c>
      <c r="F216" s="224"/>
      <c r="G216" s="262">
        <f t="shared" ref="G216:G264" si="19">SUMIFS($D$151:$D$265,$E$151:$E$265,F216)</f>
        <v>0</v>
      </c>
      <c r="H216" s="217"/>
      <c r="I216" s="217"/>
      <c r="J216" s="217"/>
      <c r="K216" s="217"/>
      <c r="L216" s="217"/>
      <c r="M216" s="217"/>
      <c r="N216" s="146"/>
      <c r="O216" s="146"/>
      <c r="P216" s="146"/>
      <c r="Q216" s="217"/>
      <c r="R216" s="217"/>
      <c r="S216" s="217"/>
      <c r="T216" s="217"/>
      <c r="U216" s="217"/>
      <c r="V216" s="217"/>
      <c r="W216" s="217"/>
      <c r="X216" s="217"/>
      <c r="Y216" s="217"/>
      <c r="Z216" s="217"/>
    </row>
    <row r="217" spans="1:26" s="218" customFormat="1" ht="18" hidden="1" customHeight="1" outlineLevel="2">
      <c r="A217" s="222">
        <v>67</v>
      </c>
      <c r="B217" s="187" t="str">
        <f t="shared" si="15"/>
        <v/>
      </c>
      <c r="C217" s="187" t="str">
        <f t="shared" si="16"/>
        <v/>
      </c>
      <c r="D217" s="187" t="str">
        <f t="shared" si="17"/>
        <v/>
      </c>
      <c r="E217" s="225" t="str">
        <f t="shared" si="18"/>
        <v/>
      </c>
      <c r="F217" s="224"/>
      <c r="G217" s="262">
        <f t="shared" si="19"/>
        <v>0</v>
      </c>
      <c r="H217" s="217"/>
      <c r="I217" s="217"/>
      <c r="J217" s="217"/>
      <c r="K217" s="217"/>
      <c r="L217" s="217"/>
      <c r="M217" s="217"/>
      <c r="N217" s="146"/>
      <c r="O217" s="146"/>
      <c r="P217" s="146"/>
      <c r="Q217" s="217"/>
      <c r="R217" s="217"/>
      <c r="S217" s="217"/>
      <c r="T217" s="217"/>
      <c r="U217" s="217"/>
      <c r="V217" s="217"/>
      <c r="W217" s="217"/>
      <c r="X217" s="217"/>
      <c r="Y217" s="217"/>
      <c r="Z217" s="217"/>
    </row>
    <row r="218" spans="1:26" s="218" customFormat="1" ht="18" hidden="1" customHeight="1" outlineLevel="2">
      <c r="A218" s="222">
        <v>68</v>
      </c>
      <c r="B218" s="187" t="str">
        <f t="shared" si="15"/>
        <v/>
      </c>
      <c r="C218" s="187" t="str">
        <f t="shared" si="16"/>
        <v/>
      </c>
      <c r="D218" s="187" t="str">
        <f t="shared" si="17"/>
        <v/>
      </c>
      <c r="E218" s="225" t="str">
        <f t="shared" si="18"/>
        <v/>
      </c>
      <c r="F218" s="224"/>
      <c r="G218" s="262">
        <f t="shared" si="19"/>
        <v>0</v>
      </c>
      <c r="H218" s="217"/>
      <c r="I218" s="217"/>
      <c r="J218" s="217"/>
      <c r="K218" s="217"/>
      <c r="L218" s="217"/>
      <c r="M218" s="217"/>
      <c r="N218" s="146"/>
      <c r="O218" s="146"/>
      <c r="P218" s="146"/>
      <c r="Q218" s="217"/>
      <c r="R218" s="217"/>
      <c r="S218" s="217"/>
      <c r="T218" s="217"/>
      <c r="U218" s="217"/>
      <c r="V218" s="217"/>
      <c r="W218" s="217"/>
      <c r="X218" s="217"/>
      <c r="Y218" s="217"/>
      <c r="Z218" s="217"/>
    </row>
    <row r="219" spans="1:26" s="218" customFormat="1" ht="18" hidden="1" customHeight="1" outlineLevel="2">
      <c r="A219" s="222">
        <v>69</v>
      </c>
      <c r="B219" s="187" t="str">
        <f t="shared" si="15"/>
        <v/>
      </c>
      <c r="C219" s="187" t="str">
        <f t="shared" si="16"/>
        <v/>
      </c>
      <c r="D219" s="187" t="str">
        <f t="shared" si="17"/>
        <v/>
      </c>
      <c r="E219" s="225" t="str">
        <f t="shared" si="18"/>
        <v/>
      </c>
      <c r="F219" s="224"/>
      <c r="G219" s="262">
        <f t="shared" si="19"/>
        <v>0</v>
      </c>
      <c r="H219" s="217"/>
      <c r="I219" s="217"/>
      <c r="J219" s="217"/>
      <c r="K219" s="217"/>
      <c r="L219" s="217"/>
      <c r="M219" s="217"/>
      <c r="N219" s="146"/>
      <c r="O219" s="146"/>
      <c r="P219" s="146"/>
      <c r="Q219" s="217"/>
      <c r="R219" s="217"/>
      <c r="S219" s="217"/>
      <c r="T219" s="217"/>
      <c r="U219" s="217"/>
      <c r="V219" s="217"/>
      <c r="W219" s="217"/>
      <c r="X219" s="217"/>
      <c r="Y219" s="217"/>
      <c r="Z219" s="217"/>
    </row>
    <row r="220" spans="1:26" s="218" customFormat="1" ht="18" hidden="1" customHeight="1" outlineLevel="2">
      <c r="A220" s="222">
        <v>70</v>
      </c>
      <c r="B220" s="187" t="str">
        <f t="shared" si="15"/>
        <v/>
      </c>
      <c r="C220" s="187" t="str">
        <f t="shared" si="16"/>
        <v/>
      </c>
      <c r="D220" s="187" t="str">
        <f t="shared" si="17"/>
        <v/>
      </c>
      <c r="E220" s="225" t="str">
        <f t="shared" si="18"/>
        <v/>
      </c>
      <c r="F220" s="224"/>
      <c r="G220" s="262">
        <f t="shared" si="19"/>
        <v>0</v>
      </c>
      <c r="H220" s="217"/>
      <c r="I220" s="217"/>
      <c r="J220" s="217"/>
      <c r="K220" s="217"/>
      <c r="L220" s="217"/>
      <c r="M220" s="217"/>
      <c r="N220" s="146"/>
      <c r="O220" s="146"/>
      <c r="P220" s="146"/>
      <c r="Q220" s="217"/>
      <c r="R220" s="217"/>
      <c r="S220" s="217"/>
      <c r="T220" s="217"/>
      <c r="U220" s="217"/>
      <c r="V220" s="217"/>
      <c r="W220" s="217"/>
      <c r="X220" s="217"/>
      <c r="Y220" s="217"/>
      <c r="Z220" s="217"/>
    </row>
    <row r="221" spans="1:26" s="218" customFormat="1" ht="18" hidden="1" customHeight="1" outlineLevel="2">
      <c r="A221" s="222">
        <v>71</v>
      </c>
      <c r="B221" s="187" t="str">
        <f t="shared" si="15"/>
        <v/>
      </c>
      <c r="C221" s="187" t="str">
        <f t="shared" si="16"/>
        <v/>
      </c>
      <c r="D221" s="187" t="str">
        <f t="shared" si="17"/>
        <v/>
      </c>
      <c r="E221" s="225" t="str">
        <f t="shared" si="18"/>
        <v/>
      </c>
      <c r="F221" s="224"/>
      <c r="G221" s="262">
        <f t="shared" si="19"/>
        <v>0</v>
      </c>
      <c r="H221" s="217"/>
      <c r="I221" s="217"/>
      <c r="J221" s="217"/>
      <c r="K221" s="217"/>
      <c r="L221" s="217"/>
      <c r="M221" s="217"/>
      <c r="N221" s="146"/>
      <c r="O221" s="146"/>
      <c r="P221" s="146"/>
      <c r="Q221" s="217"/>
      <c r="R221" s="217"/>
      <c r="S221" s="217"/>
      <c r="T221" s="217"/>
      <c r="U221" s="217"/>
      <c r="V221" s="217"/>
      <c r="W221" s="217"/>
      <c r="X221" s="217"/>
      <c r="Y221" s="217"/>
      <c r="Z221" s="217"/>
    </row>
    <row r="222" spans="1:26" s="218" customFormat="1" ht="18" hidden="1" customHeight="1" outlineLevel="2">
      <c r="A222" s="222">
        <v>72</v>
      </c>
      <c r="B222" s="187" t="str">
        <f t="shared" si="15"/>
        <v/>
      </c>
      <c r="C222" s="187" t="str">
        <f t="shared" si="16"/>
        <v/>
      </c>
      <c r="D222" s="187" t="str">
        <f t="shared" si="17"/>
        <v/>
      </c>
      <c r="E222" s="225" t="str">
        <f t="shared" si="18"/>
        <v/>
      </c>
      <c r="F222" s="224"/>
      <c r="G222" s="262">
        <f t="shared" si="19"/>
        <v>0</v>
      </c>
      <c r="H222" s="217"/>
      <c r="I222" s="217"/>
      <c r="J222" s="217"/>
      <c r="K222" s="217"/>
      <c r="L222" s="217"/>
      <c r="M222" s="217"/>
      <c r="N222" s="146"/>
      <c r="O222" s="146"/>
      <c r="P222" s="146"/>
      <c r="Q222" s="217"/>
      <c r="R222" s="217"/>
      <c r="S222" s="217"/>
      <c r="T222" s="217"/>
      <c r="U222" s="217"/>
      <c r="V222" s="217"/>
      <c r="W222" s="217"/>
      <c r="X222" s="217"/>
      <c r="Y222" s="217"/>
      <c r="Z222" s="217"/>
    </row>
    <row r="223" spans="1:26" s="218" customFormat="1" ht="18" hidden="1" customHeight="1" outlineLevel="1" collapsed="1">
      <c r="A223" s="222">
        <v>73</v>
      </c>
      <c r="B223" s="187" t="str">
        <f t="shared" si="15"/>
        <v/>
      </c>
      <c r="C223" s="187" t="str">
        <f t="shared" si="16"/>
        <v/>
      </c>
      <c r="D223" s="187" t="str">
        <f t="shared" si="17"/>
        <v/>
      </c>
      <c r="E223" s="225" t="str">
        <f t="shared" si="18"/>
        <v/>
      </c>
      <c r="F223" s="224"/>
      <c r="G223" s="262">
        <f t="shared" si="19"/>
        <v>0</v>
      </c>
      <c r="H223" s="159" t="s">
        <v>170</v>
      </c>
      <c r="I223" s="217"/>
      <c r="J223" s="217"/>
      <c r="K223" s="217"/>
      <c r="L223" s="217"/>
      <c r="M223" s="217"/>
      <c r="N223" s="146"/>
      <c r="O223" s="146"/>
      <c r="P223" s="146"/>
      <c r="Q223" s="217"/>
      <c r="R223" s="217"/>
      <c r="S223" s="217"/>
      <c r="T223" s="217"/>
      <c r="U223" s="217"/>
      <c r="V223" s="217"/>
      <c r="W223" s="217"/>
      <c r="X223" s="217"/>
      <c r="Y223" s="217"/>
      <c r="Z223" s="217"/>
    </row>
    <row r="224" spans="1:26" s="218" customFormat="1" ht="18" hidden="1" customHeight="1" outlineLevel="2" collapsed="1">
      <c r="A224" s="222">
        <v>74</v>
      </c>
      <c r="B224" s="187" t="str">
        <f t="shared" ref="B224:B244" si="20">IF(INDEX(inputs_pkhtid,MATCH($A224,inputs_pkhtno,0))&lt;&gt;"",INDEX(inputs_pkhtid,MATCH($A224,inputs_pkhtno,0)),"")</f>
        <v/>
      </c>
      <c r="C224" s="187" t="str">
        <f t="shared" ref="C224:C244" si="21">IF(INDEX(inputs_pkhtst,MATCH($A224,inputs_pkhtno,0))&lt;&gt;"",INDEX(inputs_pkhtst,MATCH($A224,inputs_pkhtno,0)),"")</f>
        <v/>
      </c>
      <c r="D224" s="187" t="str">
        <f t="shared" ref="D224:D244" si="22">IF(INDEX(inputs_pkhtpl,MATCH($A224,inputs_pkhtno,0))&lt;&gt;"",INDEX(inputs_pkhtpl,MATCH($A224,inputs_pkhtno,0)),"")</f>
        <v/>
      </c>
      <c r="E224" s="225" t="str">
        <f t="shared" ref="E224:E244" si="23">IF(INDEX(inputs_pkhtty,MATCH($A224,inputs_pkhtno,0))&lt;&gt;"",INDEX(inputs_pkhtty,MATCH($A224,inputs_pkhtno,0)),"")</f>
        <v/>
      </c>
      <c r="F224" s="224"/>
      <c r="G224" s="262">
        <f t="shared" si="19"/>
        <v>0</v>
      </c>
      <c r="H224" s="217"/>
      <c r="I224" s="217"/>
      <c r="J224" s="217"/>
      <c r="K224" s="217"/>
      <c r="L224" s="217"/>
      <c r="M224" s="217"/>
      <c r="N224" s="146"/>
      <c r="O224" s="146"/>
      <c r="P224" s="146"/>
      <c r="Q224" s="217"/>
      <c r="R224" s="217"/>
      <c r="S224" s="217"/>
      <c r="T224" s="217"/>
      <c r="U224" s="217"/>
      <c r="V224" s="217"/>
      <c r="W224" s="217"/>
      <c r="X224" s="217"/>
      <c r="Y224" s="217"/>
      <c r="Z224" s="217"/>
    </row>
    <row r="225" spans="1:26" s="218" customFormat="1" ht="18" hidden="1" customHeight="1" outlineLevel="2">
      <c r="A225" s="222">
        <v>75</v>
      </c>
      <c r="B225" s="187" t="str">
        <f t="shared" si="20"/>
        <v/>
      </c>
      <c r="C225" s="187" t="str">
        <f t="shared" si="21"/>
        <v/>
      </c>
      <c r="D225" s="187" t="str">
        <f t="shared" si="22"/>
        <v/>
      </c>
      <c r="E225" s="225" t="str">
        <f t="shared" si="23"/>
        <v/>
      </c>
      <c r="F225" s="224"/>
      <c r="G225" s="262">
        <f t="shared" si="19"/>
        <v>0</v>
      </c>
      <c r="H225" s="217"/>
      <c r="I225" s="217"/>
      <c r="J225" s="217"/>
      <c r="K225" s="217"/>
      <c r="L225" s="217"/>
      <c r="M225" s="217"/>
      <c r="N225" s="146"/>
      <c r="O225" s="146"/>
      <c r="P225" s="146"/>
      <c r="Q225" s="217"/>
      <c r="R225" s="217"/>
      <c r="S225" s="217"/>
      <c r="T225" s="217"/>
      <c r="U225" s="217"/>
      <c r="V225" s="217"/>
      <c r="W225" s="217"/>
      <c r="X225" s="217"/>
      <c r="Y225" s="217"/>
      <c r="Z225" s="217"/>
    </row>
    <row r="226" spans="1:26" s="218" customFormat="1" ht="18" hidden="1" customHeight="1" outlineLevel="2" collapsed="1">
      <c r="A226" s="222">
        <v>76</v>
      </c>
      <c r="B226" s="187" t="str">
        <f t="shared" si="20"/>
        <v/>
      </c>
      <c r="C226" s="187" t="str">
        <f t="shared" si="21"/>
        <v/>
      </c>
      <c r="D226" s="187" t="str">
        <f t="shared" si="22"/>
        <v/>
      </c>
      <c r="E226" s="225" t="str">
        <f t="shared" si="23"/>
        <v/>
      </c>
      <c r="F226" s="224"/>
      <c r="G226" s="262">
        <f t="shared" si="19"/>
        <v>0</v>
      </c>
      <c r="H226" s="217"/>
      <c r="I226" s="217"/>
      <c r="J226" s="217"/>
      <c r="K226" s="217"/>
      <c r="L226" s="217"/>
      <c r="M226" s="217"/>
      <c r="N226" s="146"/>
      <c r="O226" s="146"/>
      <c r="P226" s="146"/>
      <c r="Q226" s="217"/>
      <c r="R226" s="217"/>
      <c r="S226" s="217"/>
      <c r="T226" s="217"/>
      <c r="U226" s="217"/>
      <c r="V226" s="217"/>
      <c r="W226" s="217"/>
      <c r="X226" s="217"/>
      <c r="Y226" s="217"/>
      <c r="Z226" s="217"/>
    </row>
    <row r="227" spans="1:26" s="218" customFormat="1" ht="18" hidden="1" customHeight="1" outlineLevel="2">
      <c r="A227" s="222">
        <v>77</v>
      </c>
      <c r="B227" s="187" t="str">
        <f t="shared" si="20"/>
        <v/>
      </c>
      <c r="C227" s="187" t="str">
        <f t="shared" si="21"/>
        <v/>
      </c>
      <c r="D227" s="187" t="str">
        <f t="shared" si="22"/>
        <v/>
      </c>
      <c r="E227" s="225" t="str">
        <f t="shared" si="23"/>
        <v/>
      </c>
      <c r="F227" s="224"/>
      <c r="G227" s="262">
        <f t="shared" si="19"/>
        <v>0</v>
      </c>
      <c r="H227" s="217"/>
      <c r="I227" s="217"/>
      <c r="J227" s="217"/>
      <c r="K227" s="217"/>
      <c r="L227" s="217"/>
      <c r="M227" s="217"/>
      <c r="N227" s="146"/>
      <c r="O227" s="146"/>
      <c r="P227" s="146"/>
      <c r="Q227" s="217"/>
      <c r="R227" s="217"/>
      <c r="S227" s="217"/>
      <c r="T227" s="217"/>
      <c r="U227" s="217"/>
      <c r="V227" s="217"/>
      <c r="W227" s="217"/>
      <c r="X227" s="217"/>
      <c r="Y227" s="217"/>
      <c r="Z227" s="217"/>
    </row>
    <row r="228" spans="1:26" s="218" customFormat="1" ht="18" hidden="1" customHeight="1" outlineLevel="2" collapsed="1">
      <c r="A228" s="222">
        <v>78</v>
      </c>
      <c r="B228" s="187" t="str">
        <f t="shared" si="20"/>
        <v/>
      </c>
      <c r="C228" s="187" t="str">
        <f t="shared" si="21"/>
        <v/>
      </c>
      <c r="D228" s="187" t="str">
        <f t="shared" si="22"/>
        <v/>
      </c>
      <c r="E228" s="225" t="str">
        <f t="shared" si="23"/>
        <v/>
      </c>
      <c r="F228" s="224"/>
      <c r="G228" s="262">
        <f t="shared" si="19"/>
        <v>0</v>
      </c>
      <c r="H228" s="217"/>
      <c r="I228" s="217"/>
      <c r="J228" s="217"/>
      <c r="K228" s="217"/>
      <c r="L228" s="217"/>
      <c r="M228" s="217"/>
      <c r="N228" s="146"/>
      <c r="O228" s="146"/>
      <c r="P228" s="146"/>
      <c r="Q228" s="217"/>
      <c r="R228" s="217"/>
      <c r="S228" s="217"/>
      <c r="T228" s="217"/>
      <c r="U228" s="217"/>
      <c r="V228" s="217"/>
      <c r="W228" s="217"/>
      <c r="X228" s="217"/>
      <c r="Y228" s="217"/>
      <c r="Z228" s="217"/>
    </row>
    <row r="229" spans="1:26" s="218" customFormat="1" ht="18" hidden="1" customHeight="1" outlineLevel="2">
      <c r="A229" s="222">
        <v>79</v>
      </c>
      <c r="B229" s="187" t="str">
        <f t="shared" si="20"/>
        <v/>
      </c>
      <c r="C229" s="187" t="str">
        <f t="shared" si="21"/>
        <v/>
      </c>
      <c r="D229" s="187" t="str">
        <f t="shared" si="22"/>
        <v/>
      </c>
      <c r="E229" s="225" t="str">
        <f t="shared" si="23"/>
        <v/>
      </c>
      <c r="F229" s="224"/>
      <c r="G229" s="262">
        <f t="shared" si="19"/>
        <v>0</v>
      </c>
      <c r="H229" s="217"/>
      <c r="I229" s="217"/>
      <c r="J229" s="217"/>
      <c r="K229" s="217"/>
      <c r="L229" s="217"/>
      <c r="M229" s="217"/>
      <c r="N229" s="146"/>
      <c r="O229" s="146"/>
      <c r="P229" s="146"/>
      <c r="Q229" s="217"/>
      <c r="R229" s="217"/>
      <c r="S229" s="217"/>
      <c r="T229" s="217"/>
      <c r="U229" s="217"/>
      <c r="V229" s="217"/>
      <c r="W229" s="217"/>
      <c r="X229" s="217"/>
      <c r="Y229" s="217"/>
      <c r="Z229" s="217"/>
    </row>
    <row r="230" spans="1:26" s="218" customFormat="1" ht="18" hidden="1" customHeight="1" outlineLevel="2" collapsed="1">
      <c r="A230" s="222">
        <v>80</v>
      </c>
      <c r="B230" s="187" t="str">
        <f t="shared" si="20"/>
        <v/>
      </c>
      <c r="C230" s="187" t="str">
        <f t="shared" si="21"/>
        <v/>
      </c>
      <c r="D230" s="187" t="str">
        <f t="shared" si="22"/>
        <v/>
      </c>
      <c r="E230" s="225" t="str">
        <f t="shared" si="23"/>
        <v/>
      </c>
      <c r="F230" s="224"/>
      <c r="G230" s="262">
        <f t="shared" si="19"/>
        <v>0</v>
      </c>
      <c r="H230" s="217"/>
      <c r="I230" s="217"/>
      <c r="J230" s="217"/>
      <c r="K230" s="217"/>
      <c r="L230" s="217"/>
      <c r="M230" s="217"/>
      <c r="N230" s="146"/>
      <c r="O230" s="146"/>
      <c r="P230" s="146"/>
      <c r="Q230" s="217"/>
      <c r="R230" s="217"/>
      <c r="S230" s="217"/>
      <c r="T230" s="217"/>
      <c r="U230" s="217"/>
      <c r="V230" s="217"/>
      <c r="W230" s="217"/>
      <c r="X230" s="217"/>
      <c r="Y230" s="217"/>
      <c r="Z230" s="217"/>
    </row>
    <row r="231" spans="1:26" s="218" customFormat="1" ht="18" hidden="1" customHeight="1" outlineLevel="2">
      <c r="A231" s="222">
        <v>81</v>
      </c>
      <c r="B231" s="187" t="str">
        <f t="shared" si="20"/>
        <v/>
      </c>
      <c r="C231" s="187" t="str">
        <f t="shared" si="21"/>
        <v/>
      </c>
      <c r="D231" s="187" t="str">
        <f t="shared" si="22"/>
        <v/>
      </c>
      <c r="E231" s="225" t="str">
        <f t="shared" si="23"/>
        <v/>
      </c>
      <c r="F231" s="224"/>
      <c r="G231" s="262">
        <f t="shared" si="19"/>
        <v>0</v>
      </c>
      <c r="H231" s="217"/>
      <c r="I231" s="217"/>
      <c r="J231" s="217"/>
      <c r="K231" s="217"/>
      <c r="L231" s="217"/>
      <c r="M231" s="217"/>
      <c r="N231" s="146"/>
      <c r="O231" s="146"/>
      <c r="P231" s="146"/>
      <c r="Q231" s="217"/>
      <c r="R231" s="217"/>
      <c r="S231" s="217"/>
      <c r="T231" s="217"/>
      <c r="U231" s="217"/>
      <c r="V231" s="217"/>
      <c r="W231" s="217"/>
      <c r="X231" s="217"/>
      <c r="Y231" s="217"/>
      <c r="Z231" s="217"/>
    </row>
    <row r="232" spans="1:26" s="218" customFormat="1" ht="18" hidden="1" customHeight="1" outlineLevel="2">
      <c r="A232" s="222">
        <v>82</v>
      </c>
      <c r="B232" s="187" t="str">
        <f t="shared" si="20"/>
        <v/>
      </c>
      <c r="C232" s="187" t="str">
        <f t="shared" si="21"/>
        <v/>
      </c>
      <c r="D232" s="187" t="str">
        <f t="shared" si="22"/>
        <v/>
      </c>
      <c r="E232" s="225" t="str">
        <f t="shared" si="23"/>
        <v/>
      </c>
      <c r="F232" s="224"/>
      <c r="G232" s="262">
        <f t="shared" si="19"/>
        <v>0</v>
      </c>
      <c r="H232" s="217"/>
      <c r="I232" s="217"/>
      <c r="J232" s="217"/>
      <c r="K232" s="217"/>
      <c r="L232" s="217"/>
      <c r="M232" s="217"/>
      <c r="N232" s="146"/>
      <c r="O232" s="146"/>
      <c r="P232" s="146"/>
      <c r="Q232" s="217"/>
      <c r="R232" s="217"/>
      <c r="S232" s="217"/>
      <c r="T232" s="217"/>
      <c r="U232" s="217"/>
      <c r="V232" s="217"/>
      <c r="W232" s="217"/>
      <c r="X232" s="217"/>
      <c r="Y232" s="217"/>
      <c r="Z232" s="217"/>
    </row>
    <row r="233" spans="1:26" s="218" customFormat="1" ht="18" hidden="1" customHeight="1" outlineLevel="2">
      <c r="A233" s="222">
        <v>83</v>
      </c>
      <c r="B233" s="187" t="str">
        <f t="shared" si="20"/>
        <v/>
      </c>
      <c r="C233" s="187" t="str">
        <f t="shared" si="21"/>
        <v/>
      </c>
      <c r="D233" s="187" t="str">
        <f t="shared" si="22"/>
        <v/>
      </c>
      <c r="E233" s="225" t="str">
        <f t="shared" si="23"/>
        <v/>
      </c>
      <c r="F233" s="224"/>
      <c r="G233" s="262">
        <f t="shared" si="19"/>
        <v>0</v>
      </c>
      <c r="H233" s="217"/>
      <c r="I233" s="217"/>
      <c r="J233" s="217"/>
      <c r="K233" s="217"/>
      <c r="L233" s="217"/>
      <c r="M233" s="217"/>
      <c r="N233" s="146"/>
      <c r="O233" s="146"/>
      <c r="P233" s="146"/>
      <c r="Q233" s="217"/>
      <c r="R233" s="217"/>
      <c r="S233" s="217"/>
      <c r="T233" s="217"/>
      <c r="U233" s="217"/>
      <c r="V233" s="217"/>
      <c r="W233" s="217"/>
      <c r="X233" s="217"/>
      <c r="Y233" s="217"/>
      <c r="Z233" s="217"/>
    </row>
    <row r="234" spans="1:26" s="218" customFormat="1" ht="18" hidden="1" customHeight="1" outlineLevel="2">
      <c r="A234" s="222">
        <v>84</v>
      </c>
      <c r="B234" s="187" t="str">
        <f t="shared" si="20"/>
        <v/>
      </c>
      <c r="C234" s="187" t="str">
        <f t="shared" si="21"/>
        <v/>
      </c>
      <c r="D234" s="187" t="str">
        <f t="shared" si="22"/>
        <v/>
      </c>
      <c r="E234" s="225" t="str">
        <f t="shared" si="23"/>
        <v/>
      </c>
      <c r="F234" s="224"/>
      <c r="G234" s="262">
        <f t="shared" si="19"/>
        <v>0</v>
      </c>
      <c r="H234" s="217"/>
      <c r="I234" s="217"/>
      <c r="J234" s="217"/>
      <c r="K234" s="217"/>
      <c r="L234" s="217"/>
      <c r="M234" s="217"/>
      <c r="N234" s="146"/>
      <c r="O234" s="146"/>
      <c r="P234" s="146"/>
      <c r="Q234" s="217"/>
      <c r="R234" s="217"/>
      <c r="S234" s="217"/>
      <c r="T234" s="217"/>
      <c r="U234" s="217"/>
      <c r="V234" s="217"/>
      <c r="W234" s="217"/>
      <c r="X234" s="217"/>
      <c r="Y234" s="217"/>
      <c r="Z234" s="217"/>
    </row>
    <row r="235" spans="1:26" s="218" customFormat="1" ht="18" hidden="1" customHeight="1" outlineLevel="2">
      <c r="A235" s="222">
        <v>85</v>
      </c>
      <c r="B235" s="187" t="str">
        <f t="shared" si="20"/>
        <v/>
      </c>
      <c r="C235" s="187" t="str">
        <f t="shared" si="21"/>
        <v/>
      </c>
      <c r="D235" s="187" t="str">
        <f t="shared" si="22"/>
        <v/>
      </c>
      <c r="E235" s="225" t="str">
        <f t="shared" si="23"/>
        <v/>
      </c>
      <c r="F235" s="224"/>
      <c r="G235" s="262">
        <f t="shared" si="19"/>
        <v>0</v>
      </c>
      <c r="H235" s="217"/>
      <c r="I235" s="217"/>
      <c r="J235" s="216"/>
      <c r="K235" s="216"/>
      <c r="L235" s="216"/>
      <c r="M235" s="217"/>
      <c r="N235" s="146"/>
      <c r="O235" s="146"/>
      <c r="P235" s="146"/>
      <c r="Q235" s="217"/>
      <c r="R235" s="217"/>
      <c r="S235" s="217"/>
      <c r="T235" s="217"/>
      <c r="U235" s="217"/>
      <c r="V235" s="217"/>
      <c r="W235" s="217"/>
      <c r="X235" s="217"/>
      <c r="Y235" s="217"/>
      <c r="Z235" s="217"/>
    </row>
    <row r="236" spans="1:26" s="218" customFormat="1" ht="18" hidden="1" customHeight="1" outlineLevel="2">
      <c r="A236" s="222">
        <v>86</v>
      </c>
      <c r="B236" s="187" t="str">
        <f t="shared" si="20"/>
        <v/>
      </c>
      <c r="C236" s="187" t="str">
        <f t="shared" si="21"/>
        <v/>
      </c>
      <c r="D236" s="187" t="str">
        <f t="shared" si="22"/>
        <v/>
      </c>
      <c r="E236" s="225" t="str">
        <f t="shared" si="23"/>
        <v/>
      </c>
      <c r="F236" s="224"/>
      <c r="G236" s="262">
        <f t="shared" si="19"/>
        <v>0</v>
      </c>
      <c r="H236" s="217"/>
      <c r="I236" s="217"/>
      <c r="J236" s="217"/>
      <c r="K236" s="217"/>
      <c r="L236" s="217"/>
      <c r="M236" s="217"/>
      <c r="N236" s="146"/>
      <c r="O236" s="146"/>
      <c r="P236" s="146"/>
      <c r="Q236" s="217"/>
      <c r="R236" s="217"/>
      <c r="S236" s="217"/>
      <c r="T236" s="217"/>
      <c r="U236" s="217"/>
      <c r="V236" s="217"/>
      <c r="W236" s="217"/>
      <c r="X236" s="217"/>
      <c r="Y236" s="217"/>
      <c r="Z236" s="217"/>
    </row>
    <row r="237" spans="1:26" s="218" customFormat="1" ht="18" hidden="1" customHeight="1" outlineLevel="2">
      <c r="A237" s="222">
        <v>87</v>
      </c>
      <c r="B237" s="187" t="str">
        <f t="shared" si="20"/>
        <v/>
      </c>
      <c r="C237" s="187" t="str">
        <f t="shared" si="21"/>
        <v/>
      </c>
      <c r="D237" s="187" t="str">
        <f t="shared" si="22"/>
        <v/>
      </c>
      <c r="E237" s="225" t="str">
        <f t="shared" si="23"/>
        <v/>
      </c>
      <c r="F237" s="224"/>
      <c r="G237" s="262">
        <f t="shared" si="19"/>
        <v>0</v>
      </c>
      <c r="H237" s="217"/>
      <c r="I237" s="217"/>
      <c r="J237" s="217"/>
      <c r="K237" s="217"/>
      <c r="L237" s="217"/>
      <c r="M237" s="217"/>
      <c r="N237" s="146"/>
      <c r="O237" s="146"/>
      <c r="P237" s="146"/>
      <c r="Q237" s="217"/>
      <c r="R237" s="217"/>
      <c r="S237" s="217"/>
      <c r="T237" s="217"/>
      <c r="U237" s="217"/>
      <c r="V237" s="217"/>
      <c r="W237" s="217"/>
      <c r="X237" s="217"/>
      <c r="Y237" s="217"/>
      <c r="Z237" s="217"/>
    </row>
    <row r="238" spans="1:26" s="218" customFormat="1" ht="18" hidden="1" customHeight="1" outlineLevel="2">
      <c r="A238" s="222">
        <v>88</v>
      </c>
      <c r="B238" s="187" t="str">
        <f t="shared" si="20"/>
        <v/>
      </c>
      <c r="C238" s="187" t="str">
        <f t="shared" si="21"/>
        <v/>
      </c>
      <c r="D238" s="187" t="str">
        <f t="shared" si="22"/>
        <v/>
      </c>
      <c r="E238" s="225" t="str">
        <f t="shared" si="23"/>
        <v/>
      </c>
      <c r="F238" s="224"/>
      <c r="G238" s="262">
        <f t="shared" si="19"/>
        <v>0</v>
      </c>
      <c r="H238" s="217"/>
      <c r="I238" s="217"/>
      <c r="J238" s="217"/>
      <c r="K238" s="217"/>
      <c r="L238" s="217"/>
      <c r="M238" s="217"/>
      <c r="N238" s="146"/>
      <c r="O238" s="146"/>
      <c r="P238" s="146"/>
      <c r="Q238" s="217"/>
      <c r="R238" s="217"/>
      <c r="S238" s="217"/>
      <c r="T238" s="217"/>
      <c r="U238" s="217"/>
      <c r="V238" s="217"/>
      <c r="W238" s="217"/>
      <c r="X238" s="217"/>
      <c r="Y238" s="217"/>
      <c r="Z238" s="217"/>
    </row>
    <row r="239" spans="1:26" s="218" customFormat="1" ht="18" hidden="1" customHeight="1" outlineLevel="2">
      <c r="A239" s="222">
        <v>89</v>
      </c>
      <c r="B239" s="187" t="str">
        <f t="shared" si="20"/>
        <v/>
      </c>
      <c r="C239" s="187" t="str">
        <f t="shared" si="21"/>
        <v/>
      </c>
      <c r="D239" s="187" t="str">
        <f t="shared" si="22"/>
        <v/>
      </c>
      <c r="E239" s="225" t="str">
        <f t="shared" si="23"/>
        <v/>
      </c>
      <c r="F239" s="224"/>
      <c r="G239" s="262">
        <f t="shared" si="19"/>
        <v>0</v>
      </c>
      <c r="H239" s="217"/>
      <c r="I239" s="217"/>
      <c r="J239" s="217"/>
      <c r="K239" s="217"/>
      <c r="L239" s="217"/>
      <c r="M239" s="217"/>
      <c r="N239" s="146"/>
      <c r="O239" s="146"/>
      <c r="P239" s="146"/>
      <c r="Q239" s="217"/>
      <c r="R239" s="217"/>
      <c r="S239" s="217"/>
      <c r="T239" s="217"/>
      <c r="U239" s="217"/>
      <c r="V239" s="217"/>
      <c r="W239" s="217"/>
      <c r="X239" s="217"/>
      <c r="Y239" s="217"/>
      <c r="Z239" s="217"/>
    </row>
    <row r="240" spans="1:26" s="218" customFormat="1" ht="18" hidden="1" customHeight="1" outlineLevel="2">
      <c r="A240" s="222">
        <v>90</v>
      </c>
      <c r="B240" s="187" t="str">
        <f t="shared" si="20"/>
        <v/>
      </c>
      <c r="C240" s="187" t="str">
        <f t="shared" si="21"/>
        <v/>
      </c>
      <c r="D240" s="187" t="str">
        <f t="shared" si="22"/>
        <v/>
      </c>
      <c r="E240" s="225" t="str">
        <f t="shared" si="23"/>
        <v/>
      </c>
      <c r="F240" s="224"/>
      <c r="G240" s="262">
        <f t="shared" si="19"/>
        <v>0</v>
      </c>
      <c r="H240" s="217"/>
      <c r="I240" s="217"/>
      <c r="J240" s="217"/>
      <c r="K240" s="217"/>
      <c r="L240" s="217"/>
      <c r="M240" s="217"/>
      <c r="N240" s="146"/>
      <c r="O240" s="146"/>
      <c r="P240" s="146"/>
      <c r="Q240" s="217"/>
      <c r="R240" s="217"/>
      <c r="S240" s="217"/>
      <c r="T240" s="217"/>
      <c r="U240" s="217"/>
      <c r="V240" s="217"/>
      <c r="W240" s="217"/>
      <c r="X240" s="217"/>
      <c r="Y240" s="217"/>
      <c r="Z240" s="217"/>
    </row>
    <row r="241" spans="1:26" s="218" customFormat="1" ht="18" hidden="1" customHeight="1" outlineLevel="2">
      <c r="A241" s="222">
        <v>91</v>
      </c>
      <c r="B241" s="187" t="str">
        <f t="shared" si="20"/>
        <v/>
      </c>
      <c r="C241" s="187" t="str">
        <f t="shared" si="21"/>
        <v/>
      </c>
      <c r="D241" s="187" t="str">
        <f t="shared" si="22"/>
        <v/>
      </c>
      <c r="E241" s="225" t="str">
        <f t="shared" si="23"/>
        <v/>
      </c>
      <c r="F241" s="224"/>
      <c r="G241" s="262">
        <f t="shared" si="19"/>
        <v>0</v>
      </c>
      <c r="H241" s="217"/>
      <c r="I241" s="217"/>
      <c r="J241" s="217"/>
      <c r="K241" s="217"/>
      <c r="L241" s="217"/>
      <c r="M241" s="217"/>
      <c r="N241" s="146"/>
      <c r="O241" s="146"/>
      <c r="P241" s="146"/>
      <c r="Q241" s="217"/>
      <c r="R241" s="217"/>
      <c r="S241" s="217"/>
      <c r="T241" s="217"/>
      <c r="U241" s="217"/>
      <c r="V241" s="217"/>
      <c r="W241" s="217"/>
      <c r="X241" s="217"/>
      <c r="Y241" s="217"/>
      <c r="Z241" s="217"/>
    </row>
    <row r="242" spans="1:26" s="218" customFormat="1" ht="18" hidden="1" customHeight="1" outlineLevel="2">
      <c r="A242" s="222">
        <v>92</v>
      </c>
      <c r="B242" s="187" t="str">
        <f t="shared" si="20"/>
        <v/>
      </c>
      <c r="C242" s="187" t="str">
        <f t="shared" si="21"/>
        <v/>
      </c>
      <c r="D242" s="187" t="str">
        <f t="shared" si="22"/>
        <v/>
      </c>
      <c r="E242" s="225" t="str">
        <f t="shared" si="23"/>
        <v/>
      </c>
      <c r="F242" s="224"/>
      <c r="G242" s="262">
        <f t="shared" si="19"/>
        <v>0</v>
      </c>
      <c r="H242" s="217"/>
      <c r="I242" s="217"/>
      <c r="J242" s="217"/>
      <c r="K242" s="217"/>
      <c r="L242" s="217"/>
      <c r="M242" s="217"/>
      <c r="N242" s="146"/>
      <c r="O242" s="146"/>
      <c r="P242" s="146"/>
      <c r="Q242" s="217"/>
      <c r="R242" s="217"/>
      <c r="S242" s="217"/>
      <c r="T242" s="217"/>
      <c r="U242" s="217"/>
      <c r="V242" s="217"/>
      <c r="W242" s="217"/>
      <c r="X242" s="217"/>
      <c r="Y242" s="217"/>
      <c r="Z242" s="217"/>
    </row>
    <row r="243" spans="1:26" s="218" customFormat="1" ht="18" hidden="1" customHeight="1" outlineLevel="2">
      <c r="A243" s="222">
        <v>93</v>
      </c>
      <c r="B243" s="187" t="str">
        <f t="shared" si="20"/>
        <v/>
      </c>
      <c r="C243" s="187" t="str">
        <f t="shared" si="21"/>
        <v/>
      </c>
      <c r="D243" s="187" t="str">
        <f t="shared" si="22"/>
        <v/>
      </c>
      <c r="E243" s="225" t="str">
        <f t="shared" si="23"/>
        <v/>
      </c>
      <c r="F243" s="224"/>
      <c r="G243" s="262">
        <f t="shared" si="19"/>
        <v>0</v>
      </c>
      <c r="H243" s="217"/>
      <c r="I243" s="217"/>
      <c r="J243" s="217"/>
      <c r="K243" s="217"/>
      <c r="L243" s="217"/>
      <c r="M243" s="217"/>
      <c r="N243" s="146"/>
      <c r="O243" s="146"/>
      <c r="P243" s="146"/>
      <c r="Q243" s="217"/>
      <c r="R243" s="217"/>
      <c r="S243" s="217"/>
      <c r="T243" s="217"/>
      <c r="U243" s="217"/>
      <c r="V243" s="217"/>
      <c r="W243" s="217"/>
      <c r="X243" s="217"/>
      <c r="Y243" s="217"/>
      <c r="Z243" s="217"/>
    </row>
    <row r="244" spans="1:26" s="218" customFormat="1" ht="18" hidden="1" customHeight="1" outlineLevel="1" collapsed="1">
      <c r="A244" s="222">
        <v>94</v>
      </c>
      <c r="B244" s="187" t="str">
        <f t="shared" si="20"/>
        <v/>
      </c>
      <c r="C244" s="187" t="str">
        <f t="shared" si="21"/>
        <v/>
      </c>
      <c r="D244" s="187" t="str">
        <f t="shared" si="22"/>
        <v/>
      </c>
      <c r="E244" s="225" t="str">
        <f t="shared" si="23"/>
        <v/>
      </c>
      <c r="F244" s="224"/>
      <c r="G244" s="262">
        <f t="shared" si="19"/>
        <v>0</v>
      </c>
      <c r="H244" s="159" t="s">
        <v>170</v>
      </c>
      <c r="I244" s="217"/>
      <c r="J244" s="217"/>
      <c r="K244" s="217"/>
      <c r="L244" s="217"/>
      <c r="M244" s="217"/>
      <c r="N244" s="146"/>
      <c r="O244" s="146"/>
      <c r="P244" s="146"/>
      <c r="Q244" s="217"/>
      <c r="R244" s="217"/>
      <c r="S244" s="217"/>
      <c r="T244" s="217"/>
      <c r="U244" s="217"/>
      <c r="V244" s="217"/>
      <c r="W244" s="217"/>
      <c r="X244" s="217"/>
      <c r="Y244" s="217"/>
      <c r="Z244" s="217"/>
    </row>
    <row r="245" spans="1:26" s="218" customFormat="1" ht="18" hidden="1" customHeight="1" outlineLevel="2" collapsed="1">
      <c r="A245" s="222">
        <v>95</v>
      </c>
      <c r="B245" s="187" t="str">
        <f t="shared" ref="B245:B264" si="24">IF(INDEX(inputs_pkhtid,MATCH($A245,inputs_pkhtno,0))&lt;&gt;"",INDEX(inputs_pkhtid,MATCH($A245,inputs_pkhtno,0)),"")</f>
        <v/>
      </c>
      <c r="C245" s="187" t="str">
        <f t="shared" ref="C245:C264" si="25">IF(INDEX(inputs_pkhtst,MATCH($A245,inputs_pkhtno,0))&lt;&gt;"",INDEX(inputs_pkhtst,MATCH($A245,inputs_pkhtno,0)),"")</f>
        <v/>
      </c>
      <c r="D245" s="187" t="str">
        <f t="shared" ref="D245:D264" si="26">IF(INDEX(inputs_pkhtpl,MATCH($A245,inputs_pkhtno,0))&lt;&gt;"",INDEX(inputs_pkhtpl,MATCH($A245,inputs_pkhtno,0)),"")</f>
        <v/>
      </c>
      <c r="E245" s="225" t="str">
        <f t="shared" ref="E245:E264" si="27">IF(INDEX(inputs_pkhtty,MATCH($A245,inputs_pkhtno,0))&lt;&gt;"",INDEX(inputs_pkhtty,MATCH($A245,inputs_pkhtno,0)),"")</f>
        <v/>
      </c>
      <c r="F245" s="224"/>
      <c r="G245" s="262">
        <f t="shared" si="19"/>
        <v>0</v>
      </c>
      <c r="H245" s="217"/>
      <c r="I245" s="217"/>
      <c r="J245" s="217"/>
      <c r="K245" s="217"/>
      <c r="L245" s="217"/>
      <c r="M245" s="217"/>
      <c r="N245" s="146"/>
      <c r="O245" s="146"/>
      <c r="P245" s="146"/>
      <c r="Q245" s="217"/>
      <c r="R245" s="217"/>
      <c r="S245" s="217"/>
      <c r="T245" s="217"/>
      <c r="U245" s="217"/>
      <c r="V245" s="217"/>
      <c r="W245" s="217"/>
      <c r="X245" s="217"/>
      <c r="Y245" s="217"/>
      <c r="Z245" s="217"/>
    </row>
    <row r="246" spans="1:26" s="218" customFormat="1" ht="18" hidden="1" customHeight="1" outlineLevel="2">
      <c r="A246" s="222">
        <v>96</v>
      </c>
      <c r="B246" s="187" t="str">
        <f t="shared" si="24"/>
        <v/>
      </c>
      <c r="C246" s="187" t="str">
        <f t="shared" si="25"/>
        <v/>
      </c>
      <c r="D246" s="187" t="str">
        <f t="shared" si="26"/>
        <v/>
      </c>
      <c r="E246" s="225" t="str">
        <f t="shared" si="27"/>
        <v/>
      </c>
      <c r="F246" s="224"/>
      <c r="G246" s="262">
        <f t="shared" si="19"/>
        <v>0</v>
      </c>
      <c r="H246" s="217"/>
      <c r="I246" s="217"/>
      <c r="J246" s="217"/>
      <c r="K246" s="217"/>
      <c r="L246" s="217"/>
      <c r="M246" s="217"/>
      <c r="N246" s="146"/>
      <c r="O246" s="146"/>
      <c r="P246" s="146"/>
      <c r="Q246" s="217"/>
      <c r="R246" s="217"/>
      <c r="S246" s="217"/>
      <c r="T246" s="217"/>
      <c r="U246" s="217"/>
      <c r="V246" s="217"/>
      <c r="W246" s="217"/>
      <c r="X246" s="217"/>
      <c r="Y246" s="217"/>
      <c r="Z246" s="217"/>
    </row>
    <row r="247" spans="1:26" s="218" customFormat="1" ht="18" hidden="1" customHeight="1" outlineLevel="2" collapsed="1">
      <c r="A247" s="222">
        <v>97</v>
      </c>
      <c r="B247" s="187" t="str">
        <f t="shared" si="24"/>
        <v/>
      </c>
      <c r="C247" s="187" t="str">
        <f t="shared" si="25"/>
        <v/>
      </c>
      <c r="D247" s="187" t="str">
        <f t="shared" si="26"/>
        <v/>
      </c>
      <c r="E247" s="225" t="str">
        <f t="shared" si="27"/>
        <v/>
      </c>
      <c r="F247" s="224"/>
      <c r="G247" s="262">
        <f t="shared" si="19"/>
        <v>0</v>
      </c>
      <c r="H247" s="217"/>
      <c r="I247" s="217"/>
      <c r="J247" s="217"/>
      <c r="K247" s="217"/>
      <c r="L247" s="217"/>
      <c r="M247" s="217"/>
      <c r="N247" s="146"/>
      <c r="O247" s="146"/>
      <c r="P247" s="146"/>
      <c r="Q247" s="217"/>
      <c r="R247" s="217"/>
      <c r="S247" s="217"/>
      <c r="T247" s="217"/>
      <c r="U247" s="217"/>
      <c r="V247" s="217"/>
      <c r="W247" s="217"/>
      <c r="X247" s="217"/>
      <c r="Y247" s="217"/>
      <c r="Z247" s="217"/>
    </row>
    <row r="248" spans="1:26" s="218" customFormat="1" ht="18" hidden="1" customHeight="1" outlineLevel="2">
      <c r="A248" s="222">
        <v>98</v>
      </c>
      <c r="B248" s="187" t="str">
        <f t="shared" si="24"/>
        <v/>
      </c>
      <c r="C248" s="187" t="str">
        <f t="shared" si="25"/>
        <v/>
      </c>
      <c r="D248" s="187" t="str">
        <f t="shared" si="26"/>
        <v/>
      </c>
      <c r="E248" s="225" t="str">
        <f t="shared" si="27"/>
        <v/>
      </c>
      <c r="F248" s="224"/>
      <c r="G248" s="262">
        <f t="shared" si="19"/>
        <v>0</v>
      </c>
      <c r="H248" s="217"/>
      <c r="I248" s="217"/>
      <c r="J248" s="217"/>
      <c r="K248" s="217"/>
      <c r="L248" s="217"/>
      <c r="M248" s="217"/>
      <c r="N248" s="146"/>
      <c r="O248" s="146"/>
      <c r="P248" s="146"/>
      <c r="Q248" s="217"/>
      <c r="R248" s="217"/>
      <c r="S248" s="217"/>
      <c r="T248" s="217"/>
      <c r="U248" s="217"/>
      <c r="V248" s="217"/>
      <c r="W248" s="217"/>
      <c r="X248" s="217"/>
      <c r="Y248" s="217"/>
      <c r="Z248" s="217"/>
    </row>
    <row r="249" spans="1:26" s="218" customFormat="1" ht="18" hidden="1" customHeight="1" outlineLevel="2" collapsed="1">
      <c r="A249" s="222">
        <v>99</v>
      </c>
      <c r="B249" s="187" t="str">
        <f t="shared" si="24"/>
        <v/>
      </c>
      <c r="C249" s="187" t="str">
        <f t="shared" si="25"/>
        <v/>
      </c>
      <c r="D249" s="187" t="str">
        <f t="shared" si="26"/>
        <v/>
      </c>
      <c r="E249" s="225" t="str">
        <f t="shared" si="27"/>
        <v/>
      </c>
      <c r="F249" s="224"/>
      <c r="G249" s="262">
        <f t="shared" si="19"/>
        <v>0</v>
      </c>
      <c r="H249" s="217"/>
      <c r="I249" s="217"/>
      <c r="J249" s="217"/>
      <c r="K249" s="217"/>
      <c r="L249" s="217"/>
      <c r="M249" s="217"/>
      <c r="N249" s="146"/>
      <c r="O249" s="146"/>
      <c r="P249" s="146"/>
      <c r="Q249" s="217"/>
      <c r="R249" s="217"/>
      <c r="S249" s="217"/>
      <c r="T249" s="217"/>
      <c r="U249" s="217"/>
      <c r="V249" s="217"/>
      <c r="W249" s="217"/>
      <c r="X249" s="217"/>
      <c r="Y249" s="217"/>
      <c r="Z249" s="217"/>
    </row>
    <row r="250" spans="1:26" s="218" customFormat="1" ht="18" hidden="1" customHeight="1" outlineLevel="2">
      <c r="A250" s="222">
        <v>100</v>
      </c>
      <c r="B250" s="187" t="str">
        <f t="shared" si="24"/>
        <v/>
      </c>
      <c r="C250" s="187" t="str">
        <f t="shared" si="25"/>
        <v/>
      </c>
      <c r="D250" s="187" t="str">
        <f t="shared" si="26"/>
        <v/>
      </c>
      <c r="E250" s="225" t="str">
        <f t="shared" si="27"/>
        <v/>
      </c>
      <c r="F250" s="224"/>
      <c r="G250" s="262">
        <f t="shared" si="19"/>
        <v>0</v>
      </c>
      <c r="H250" s="217"/>
      <c r="I250" s="217"/>
      <c r="J250" s="217"/>
      <c r="K250" s="217"/>
      <c r="L250" s="217"/>
      <c r="M250" s="217"/>
      <c r="N250" s="146"/>
      <c r="O250" s="146"/>
      <c r="P250" s="146"/>
      <c r="Q250" s="217"/>
      <c r="R250" s="217"/>
      <c r="S250" s="217"/>
      <c r="T250" s="217"/>
      <c r="U250" s="217"/>
      <c r="V250" s="217"/>
      <c r="W250" s="217"/>
      <c r="X250" s="217"/>
      <c r="Y250" s="217"/>
      <c r="Z250" s="217"/>
    </row>
    <row r="251" spans="1:26" s="218" customFormat="1" ht="18" hidden="1" customHeight="1" outlineLevel="2" collapsed="1">
      <c r="A251" s="222">
        <v>101</v>
      </c>
      <c r="B251" s="187" t="str">
        <f t="shared" si="24"/>
        <v/>
      </c>
      <c r="C251" s="187" t="str">
        <f t="shared" si="25"/>
        <v/>
      </c>
      <c r="D251" s="187" t="str">
        <f t="shared" si="26"/>
        <v/>
      </c>
      <c r="E251" s="225" t="str">
        <f t="shared" si="27"/>
        <v/>
      </c>
      <c r="F251" s="224"/>
      <c r="G251" s="262">
        <f t="shared" si="19"/>
        <v>0</v>
      </c>
      <c r="H251" s="217"/>
      <c r="I251" s="217"/>
      <c r="J251" s="217"/>
      <c r="K251" s="217"/>
      <c r="L251" s="217"/>
      <c r="M251" s="217"/>
      <c r="N251" s="146"/>
      <c r="O251" s="146"/>
      <c r="P251" s="146"/>
      <c r="Q251" s="217"/>
      <c r="R251" s="217"/>
      <c r="S251" s="217"/>
      <c r="T251" s="217"/>
      <c r="U251" s="217"/>
      <c r="V251" s="217"/>
      <c r="W251" s="217"/>
      <c r="X251" s="217"/>
      <c r="Y251" s="217"/>
      <c r="Z251" s="217"/>
    </row>
    <row r="252" spans="1:26" s="218" customFormat="1" ht="18" hidden="1" customHeight="1" outlineLevel="2">
      <c r="A252" s="222">
        <v>102</v>
      </c>
      <c r="B252" s="187" t="str">
        <f t="shared" si="24"/>
        <v/>
      </c>
      <c r="C252" s="187" t="str">
        <f t="shared" si="25"/>
        <v/>
      </c>
      <c r="D252" s="187" t="str">
        <f t="shared" si="26"/>
        <v/>
      </c>
      <c r="E252" s="225" t="str">
        <f t="shared" si="27"/>
        <v/>
      </c>
      <c r="F252" s="224"/>
      <c r="G252" s="262">
        <f t="shared" si="19"/>
        <v>0</v>
      </c>
      <c r="H252" s="217"/>
      <c r="I252" s="217"/>
      <c r="J252" s="217"/>
      <c r="K252" s="217"/>
      <c r="L252" s="217"/>
      <c r="M252" s="217"/>
      <c r="N252" s="146"/>
      <c r="O252" s="146"/>
      <c r="P252" s="146"/>
      <c r="Q252" s="217"/>
      <c r="R252" s="217"/>
      <c r="S252" s="217"/>
      <c r="T252" s="217"/>
      <c r="U252" s="217"/>
      <c r="V252" s="217"/>
      <c r="W252" s="217"/>
      <c r="X252" s="217"/>
      <c r="Y252" s="217"/>
      <c r="Z252" s="217"/>
    </row>
    <row r="253" spans="1:26" s="218" customFormat="1" ht="18" hidden="1" customHeight="1" outlineLevel="2">
      <c r="A253" s="222">
        <v>103</v>
      </c>
      <c r="B253" s="187" t="str">
        <f t="shared" si="24"/>
        <v/>
      </c>
      <c r="C253" s="187" t="str">
        <f t="shared" si="25"/>
        <v/>
      </c>
      <c r="D253" s="187" t="str">
        <f t="shared" si="26"/>
        <v/>
      </c>
      <c r="E253" s="225" t="str">
        <f t="shared" si="27"/>
        <v/>
      </c>
      <c r="F253" s="224"/>
      <c r="G253" s="262">
        <f t="shared" si="19"/>
        <v>0</v>
      </c>
      <c r="H253" s="217"/>
      <c r="I253" s="217"/>
      <c r="J253" s="217"/>
      <c r="K253" s="217"/>
      <c r="L253" s="217"/>
      <c r="M253" s="217"/>
      <c r="N253" s="146"/>
      <c r="O253" s="146"/>
      <c r="P253" s="146"/>
      <c r="Q253" s="217"/>
      <c r="R253" s="217"/>
      <c r="S253" s="217"/>
      <c r="T253" s="217"/>
      <c r="U253" s="217"/>
      <c r="V253" s="217"/>
      <c r="W253" s="217"/>
      <c r="X253" s="217"/>
      <c r="Y253" s="217"/>
      <c r="Z253" s="217"/>
    </row>
    <row r="254" spans="1:26" s="218" customFormat="1" ht="18" hidden="1" customHeight="1" outlineLevel="2">
      <c r="A254" s="222">
        <v>104</v>
      </c>
      <c r="B254" s="187" t="str">
        <f t="shared" si="24"/>
        <v/>
      </c>
      <c r="C254" s="187" t="str">
        <f t="shared" si="25"/>
        <v/>
      </c>
      <c r="D254" s="187" t="str">
        <f t="shared" si="26"/>
        <v/>
      </c>
      <c r="E254" s="225" t="str">
        <f t="shared" si="27"/>
        <v/>
      </c>
      <c r="F254" s="224"/>
      <c r="G254" s="262">
        <f t="shared" si="19"/>
        <v>0</v>
      </c>
      <c r="H254" s="217"/>
      <c r="I254" s="217"/>
      <c r="J254" s="217"/>
      <c r="K254" s="217"/>
      <c r="L254" s="217"/>
      <c r="M254" s="217"/>
      <c r="N254" s="146"/>
      <c r="O254" s="146"/>
      <c r="P254" s="146"/>
      <c r="Q254" s="217"/>
      <c r="R254" s="217"/>
      <c r="S254" s="217"/>
      <c r="T254" s="217"/>
      <c r="U254" s="217"/>
      <c r="V254" s="217"/>
      <c r="W254" s="217"/>
      <c r="X254" s="217"/>
      <c r="Y254" s="217"/>
      <c r="Z254" s="217"/>
    </row>
    <row r="255" spans="1:26" s="218" customFormat="1" ht="18" hidden="1" customHeight="1" outlineLevel="2">
      <c r="A255" s="222">
        <v>105</v>
      </c>
      <c r="B255" s="187" t="str">
        <f t="shared" si="24"/>
        <v/>
      </c>
      <c r="C255" s="187" t="str">
        <f t="shared" si="25"/>
        <v/>
      </c>
      <c r="D255" s="187" t="str">
        <f t="shared" si="26"/>
        <v/>
      </c>
      <c r="E255" s="225" t="str">
        <f t="shared" si="27"/>
        <v/>
      </c>
      <c r="F255" s="224"/>
      <c r="G255" s="262">
        <f t="shared" si="19"/>
        <v>0</v>
      </c>
      <c r="H255" s="217"/>
      <c r="I255" s="217"/>
      <c r="J255" s="217"/>
      <c r="K255" s="217"/>
      <c r="L255" s="217"/>
      <c r="M255" s="217"/>
      <c r="N255" s="146"/>
      <c r="O255" s="146"/>
      <c r="P255" s="146"/>
      <c r="Q255" s="217"/>
      <c r="R255" s="217"/>
      <c r="S255" s="217"/>
      <c r="T255" s="217"/>
      <c r="U255" s="217"/>
      <c r="V255" s="217"/>
      <c r="W255" s="217"/>
      <c r="X255" s="217"/>
      <c r="Y255" s="217"/>
      <c r="Z255" s="217"/>
    </row>
    <row r="256" spans="1:26" s="218" customFormat="1" ht="18" hidden="1" customHeight="1" outlineLevel="2">
      <c r="A256" s="222">
        <v>106</v>
      </c>
      <c r="B256" s="187" t="str">
        <f t="shared" si="24"/>
        <v/>
      </c>
      <c r="C256" s="187" t="str">
        <f t="shared" si="25"/>
        <v/>
      </c>
      <c r="D256" s="187" t="str">
        <f t="shared" si="26"/>
        <v/>
      </c>
      <c r="E256" s="225" t="str">
        <f t="shared" si="27"/>
        <v/>
      </c>
      <c r="F256" s="224"/>
      <c r="G256" s="262">
        <f t="shared" si="19"/>
        <v>0</v>
      </c>
      <c r="H256" s="217"/>
      <c r="I256" s="217"/>
      <c r="J256" s="216"/>
      <c r="K256" s="216"/>
      <c r="L256" s="216"/>
      <c r="M256" s="217"/>
      <c r="N256" s="146"/>
      <c r="O256" s="146"/>
      <c r="P256" s="146"/>
      <c r="Q256" s="217"/>
      <c r="R256" s="217"/>
      <c r="S256" s="217"/>
      <c r="T256" s="217"/>
      <c r="U256" s="217"/>
      <c r="V256" s="217"/>
      <c r="W256" s="217"/>
      <c r="X256" s="217"/>
      <c r="Y256" s="217"/>
      <c r="Z256" s="217"/>
    </row>
    <row r="257" spans="1:52" s="218" customFormat="1" ht="18" hidden="1" customHeight="1" outlineLevel="2">
      <c r="A257" s="222">
        <v>107</v>
      </c>
      <c r="B257" s="187" t="str">
        <f t="shared" si="24"/>
        <v/>
      </c>
      <c r="C257" s="187" t="str">
        <f t="shared" si="25"/>
        <v/>
      </c>
      <c r="D257" s="187" t="str">
        <f t="shared" si="26"/>
        <v/>
      </c>
      <c r="E257" s="225" t="str">
        <f t="shared" si="27"/>
        <v/>
      </c>
      <c r="F257" s="224"/>
      <c r="G257" s="262">
        <f t="shared" si="19"/>
        <v>0</v>
      </c>
      <c r="H257" s="217"/>
      <c r="I257" s="217"/>
      <c r="J257" s="217"/>
      <c r="K257" s="217"/>
      <c r="L257" s="217"/>
      <c r="M257" s="217"/>
      <c r="N257" s="146"/>
      <c r="O257" s="146"/>
      <c r="P257" s="146"/>
      <c r="Q257" s="217"/>
      <c r="R257" s="217"/>
      <c r="S257" s="217"/>
      <c r="T257" s="217"/>
      <c r="U257" s="217"/>
      <c r="V257" s="217"/>
      <c r="W257" s="217"/>
      <c r="X257" s="217"/>
      <c r="Y257" s="217"/>
      <c r="Z257" s="217"/>
    </row>
    <row r="258" spans="1:52" s="218" customFormat="1" ht="18" hidden="1" customHeight="1" outlineLevel="2">
      <c r="A258" s="222">
        <v>108</v>
      </c>
      <c r="B258" s="187" t="str">
        <f t="shared" si="24"/>
        <v/>
      </c>
      <c r="C258" s="187" t="str">
        <f t="shared" si="25"/>
        <v/>
      </c>
      <c r="D258" s="187" t="str">
        <f t="shared" si="26"/>
        <v/>
      </c>
      <c r="E258" s="225" t="str">
        <f t="shared" si="27"/>
        <v/>
      </c>
      <c r="F258" s="224"/>
      <c r="G258" s="262">
        <f t="shared" si="19"/>
        <v>0</v>
      </c>
      <c r="H258" s="217"/>
      <c r="I258" s="217"/>
      <c r="J258" s="217"/>
      <c r="K258" s="217"/>
      <c r="L258" s="217"/>
      <c r="M258" s="217"/>
      <c r="N258" s="146"/>
      <c r="O258" s="146"/>
      <c r="P258" s="146"/>
      <c r="Q258" s="217"/>
      <c r="R258" s="217"/>
      <c r="S258" s="217"/>
      <c r="T258" s="217"/>
      <c r="U258" s="217"/>
      <c r="V258" s="217"/>
      <c r="W258" s="217"/>
      <c r="X258" s="217"/>
      <c r="Y258" s="217"/>
      <c r="Z258" s="217"/>
    </row>
    <row r="259" spans="1:52" s="218" customFormat="1" ht="18" hidden="1" customHeight="1" outlineLevel="2">
      <c r="A259" s="222">
        <v>109</v>
      </c>
      <c r="B259" s="187" t="str">
        <f t="shared" si="24"/>
        <v/>
      </c>
      <c r="C259" s="187" t="str">
        <f t="shared" si="25"/>
        <v/>
      </c>
      <c r="D259" s="187" t="str">
        <f t="shared" si="26"/>
        <v/>
      </c>
      <c r="E259" s="225" t="str">
        <f t="shared" si="27"/>
        <v/>
      </c>
      <c r="F259" s="224"/>
      <c r="G259" s="262">
        <f t="shared" si="19"/>
        <v>0</v>
      </c>
      <c r="H259" s="217"/>
      <c r="I259" s="217"/>
      <c r="J259" s="217"/>
      <c r="K259" s="217"/>
      <c r="L259" s="217"/>
      <c r="M259" s="217"/>
      <c r="N259" s="146"/>
      <c r="O259" s="146"/>
      <c r="P259" s="146"/>
      <c r="Q259" s="217"/>
      <c r="R259" s="217"/>
      <c r="S259" s="217"/>
      <c r="T259" s="217"/>
      <c r="U259" s="217"/>
      <c r="V259" s="217"/>
      <c r="W259" s="217"/>
      <c r="X259" s="217"/>
      <c r="Y259" s="217"/>
      <c r="Z259" s="217"/>
    </row>
    <row r="260" spans="1:52" s="218" customFormat="1" ht="18" hidden="1" customHeight="1" outlineLevel="2">
      <c r="A260" s="222">
        <v>110</v>
      </c>
      <c r="B260" s="187" t="str">
        <f t="shared" si="24"/>
        <v/>
      </c>
      <c r="C260" s="187" t="str">
        <f t="shared" si="25"/>
        <v/>
      </c>
      <c r="D260" s="187" t="str">
        <f t="shared" si="26"/>
        <v/>
      </c>
      <c r="E260" s="225" t="str">
        <f t="shared" si="27"/>
        <v/>
      </c>
      <c r="F260" s="224"/>
      <c r="G260" s="262">
        <f t="shared" si="19"/>
        <v>0</v>
      </c>
      <c r="H260" s="217"/>
      <c r="I260" s="217"/>
      <c r="J260" s="217"/>
      <c r="K260" s="217"/>
      <c r="L260" s="217"/>
      <c r="M260" s="217"/>
      <c r="N260" s="146"/>
      <c r="O260" s="146"/>
      <c r="P260" s="146"/>
      <c r="Q260" s="217"/>
      <c r="R260" s="217"/>
      <c r="S260" s="217"/>
      <c r="T260" s="217"/>
      <c r="U260" s="217"/>
      <c r="V260" s="217"/>
      <c r="W260" s="217"/>
      <c r="X260" s="217"/>
      <c r="Y260" s="217"/>
      <c r="Z260" s="217"/>
    </row>
    <row r="261" spans="1:52" s="218" customFormat="1" ht="18" hidden="1" customHeight="1" outlineLevel="2">
      <c r="A261" s="222">
        <v>111</v>
      </c>
      <c r="B261" s="187" t="str">
        <f t="shared" si="24"/>
        <v/>
      </c>
      <c r="C261" s="187" t="str">
        <f t="shared" si="25"/>
        <v/>
      </c>
      <c r="D261" s="187" t="str">
        <f t="shared" si="26"/>
        <v/>
      </c>
      <c r="E261" s="225" t="str">
        <f t="shared" si="27"/>
        <v/>
      </c>
      <c r="F261" s="224"/>
      <c r="G261" s="262">
        <f t="shared" si="19"/>
        <v>0</v>
      </c>
      <c r="H261" s="217"/>
      <c r="I261" s="217"/>
      <c r="J261" s="217"/>
      <c r="K261" s="217"/>
      <c r="L261" s="217"/>
      <c r="M261" s="217"/>
      <c r="N261" s="146"/>
      <c r="O261" s="146"/>
      <c r="P261" s="146"/>
      <c r="Q261" s="217"/>
      <c r="R261" s="217"/>
      <c r="S261" s="217"/>
      <c r="T261" s="217"/>
      <c r="U261" s="217"/>
      <c r="V261" s="217"/>
      <c r="W261" s="217"/>
      <c r="X261" s="217"/>
      <c r="Y261" s="217"/>
      <c r="Z261" s="217"/>
    </row>
    <row r="262" spans="1:52" s="218" customFormat="1" ht="18" hidden="1" customHeight="1" outlineLevel="2">
      <c r="A262" s="222">
        <v>112</v>
      </c>
      <c r="B262" s="187" t="str">
        <f t="shared" si="24"/>
        <v/>
      </c>
      <c r="C262" s="187" t="str">
        <f t="shared" si="25"/>
        <v/>
      </c>
      <c r="D262" s="187" t="str">
        <f t="shared" si="26"/>
        <v/>
      </c>
      <c r="E262" s="225" t="str">
        <f t="shared" si="27"/>
        <v/>
      </c>
      <c r="F262" s="224"/>
      <c r="G262" s="262">
        <f t="shared" si="19"/>
        <v>0</v>
      </c>
      <c r="H262" s="217"/>
      <c r="I262" s="217"/>
      <c r="J262" s="217"/>
      <c r="K262" s="217"/>
      <c r="L262" s="217"/>
      <c r="M262" s="217"/>
      <c r="N262" s="146"/>
      <c r="O262" s="146"/>
      <c r="P262" s="146"/>
      <c r="Q262" s="217"/>
      <c r="R262" s="217"/>
      <c r="S262" s="217"/>
      <c r="T262" s="217"/>
      <c r="U262" s="217"/>
      <c r="V262" s="217"/>
      <c r="W262" s="217"/>
      <c r="X262" s="217"/>
      <c r="Y262" s="217"/>
      <c r="Z262" s="217"/>
    </row>
    <row r="263" spans="1:52" s="218" customFormat="1" ht="18" hidden="1" customHeight="1" outlineLevel="2">
      <c r="A263" s="222">
        <v>113</v>
      </c>
      <c r="B263" s="187" t="str">
        <f t="shared" si="24"/>
        <v/>
      </c>
      <c r="C263" s="187" t="str">
        <f t="shared" si="25"/>
        <v/>
      </c>
      <c r="D263" s="187" t="str">
        <f t="shared" si="26"/>
        <v/>
      </c>
      <c r="E263" s="225" t="str">
        <f t="shared" si="27"/>
        <v/>
      </c>
      <c r="F263" s="224"/>
      <c r="G263" s="262">
        <f t="shared" si="19"/>
        <v>0</v>
      </c>
      <c r="H263" s="217"/>
      <c r="I263" s="217"/>
      <c r="J263" s="217"/>
      <c r="K263" s="217"/>
      <c r="L263" s="217"/>
      <c r="M263" s="217"/>
      <c r="N263" s="146"/>
      <c r="O263" s="146"/>
      <c r="P263" s="146"/>
      <c r="Q263" s="217"/>
      <c r="R263" s="217"/>
      <c r="S263" s="217"/>
      <c r="T263" s="217"/>
      <c r="U263" s="217"/>
      <c r="V263" s="217"/>
      <c r="W263" s="217"/>
      <c r="X263" s="217"/>
      <c r="Y263" s="217"/>
      <c r="Z263" s="217"/>
    </row>
    <row r="264" spans="1:52" s="218" customFormat="1" ht="18" hidden="1" customHeight="1" outlineLevel="2">
      <c r="A264" s="222">
        <v>114</v>
      </c>
      <c r="B264" s="187" t="str">
        <f t="shared" si="24"/>
        <v/>
      </c>
      <c r="C264" s="187" t="str">
        <f t="shared" si="25"/>
        <v/>
      </c>
      <c r="D264" s="187" t="str">
        <f t="shared" si="26"/>
        <v/>
      </c>
      <c r="E264" s="225" t="str">
        <f t="shared" si="27"/>
        <v/>
      </c>
      <c r="F264" s="224"/>
      <c r="G264" s="262">
        <f t="shared" si="19"/>
        <v>0</v>
      </c>
      <c r="H264" s="217"/>
      <c r="I264" s="217"/>
      <c r="J264" s="217"/>
      <c r="K264" s="217"/>
      <c r="L264" s="217"/>
      <c r="M264" s="217"/>
      <c r="N264" s="146"/>
      <c r="O264" s="146"/>
      <c r="P264" s="146"/>
      <c r="Q264" s="217"/>
      <c r="R264" s="217"/>
      <c r="S264" s="217"/>
      <c r="T264" s="217"/>
      <c r="U264" s="217"/>
      <c r="V264" s="217"/>
      <c r="W264" s="217"/>
      <c r="X264" s="217"/>
      <c r="Y264" s="217"/>
      <c r="Z264" s="217"/>
    </row>
    <row r="265" spans="1:52" s="218" customFormat="1" ht="18" hidden="1" customHeight="1" outlineLevel="1" collapsed="1">
      <c r="A265" s="222"/>
      <c r="B265" s="92"/>
      <c r="C265" s="93"/>
      <c r="D265" s="93"/>
      <c r="E265" s="93" t="str">
        <f>""</f>
        <v/>
      </c>
      <c r="F265" s="93" t="str">
        <f>""</f>
        <v/>
      </c>
      <c r="G265" s="203" t="str">
        <f>""</f>
        <v/>
      </c>
      <c r="H265" s="159" t="s">
        <v>170</v>
      </c>
      <c r="I265" s="217"/>
      <c r="J265" s="217"/>
      <c r="K265" s="217"/>
      <c r="L265" s="217"/>
      <c r="M265" s="217"/>
      <c r="N265" s="146"/>
      <c r="O265" s="146"/>
      <c r="P265" s="146"/>
      <c r="Q265" s="217"/>
      <c r="R265" s="217"/>
      <c r="S265" s="217"/>
      <c r="T265" s="217"/>
      <c r="U265" s="217"/>
      <c r="V265" s="217"/>
      <c r="W265" s="217"/>
      <c r="X265" s="217"/>
      <c r="Y265" s="217"/>
      <c r="Z265" s="217"/>
    </row>
    <row r="266" spans="1:52" s="218" customFormat="1" ht="18" customHeight="1" collapsed="1">
      <c r="A266" s="166"/>
      <c r="B266" s="324" t="str">
        <f>_xlfn.CONCAT("Total non-coincedent peak loads ",IF(units="IP","(Btu-h)","(W)"))</f>
        <v>Total non-coincedent peak loads (W)</v>
      </c>
      <c r="C266" s="326"/>
      <c r="D266" s="263">
        <f>SUM($D$151:$D$265)</f>
        <v>0</v>
      </c>
      <c r="E266" s="93"/>
      <c r="F266" s="93"/>
      <c r="G266" s="94"/>
      <c r="H266" s="217"/>
      <c r="I266" s="217"/>
      <c r="J266" s="217"/>
      <c r="K266" s="217"/>
      <c r="L266" s="217"/>
      <c r="M266" s="217"/>
      <c r="N266" s="217"/>
      <c r="O266" s="146"/>
      <c r="P266" s="146"/>
      <c r="Q266" s="146"/>
      <c r="R266" s="217"/>
      <c r="S266" s="217"/>
      <c r="T266" s="217"/>
      <c r="U266" s="217"/>
      <c r="V266" s="217"/>
      <c r="W266" s="217"/>
      <c r="X266" s="217"/>
      <c r="Y266" s="217"/>
      <c r="Z266" s="217"/>
      <c r="AA266" s="31"/>
      <c r="AB266" s="31"/>
    </row>
    <row r="267" spans="1:52" s="218" customFormat="1" ht="18" customHeight="1">
      <c r="A267" s="166"/>
      <c r="B267" s="324" t="str">
        <f>_xlfn.CONCAT("Total coincedent peak load ",IF(units="IP","(Btu-h)","(W)"))</f>
        <v>Total coincedent peak load (W)</v>
      </c>
      <c r="C267" s="325"/>
      <c r="D267" s="93"/>
      <c r="E267" s="93"/>
      <c r="F267" s="94"/>
      <c r="G267" s="263">
        <f>MAX($G$151:$G$265)</f>
        <v>0</v>
      </c>
      <c r="H267" s="216"/>
      <c r="I267" s="157"/>
      <c r="J267" s="157"/>
      <c r="K267" s="217"/>
      <c r="L267" s="217"/>
      <c r="M267" s="217"/>
      <c r="N267" s="217"/>
      <c r="O267" s="146"/>
      <c r="P267" s="146"/>
      <c r="Q267" s="146"/>
      <c r="R267" s="217"/>
      <c r="S267" s="217"/>
      <c r="T267" s="217"/>
      <c r="U267" s="217"/>
      <c r="V267" s="217"/>
      <c r="W267" s="217"/>
      <c r="X267" s="217"/>
      <c r="Y267" s="217"/>
      <c r="Z267" s="217"/>
      <c r="AA267" s="31"/>
      <c r="AB267" s="31"/>
    </row>
    <row r="268" spans="1:52" s="218" customFormat="1" ht="18" customHeight="1">
      <c r="A268" s="166"/>
      <c r="B268" s="132" t="s">
        <v>215</v>
      </c>
      <c r="C268" s="133"/>
      <c r="D268" s="94"/>
      <c r="E268" s="264" t="str">
        <f>_xlfn.XLOOKUP($G$267,$G$151:$G$265,$F$151:$F$265)</f>
        <v/>
      </c>
      <c r="F268" s="93"/>
      <c r="G268" s="94"/>
      <c r="H268" s="216"/>
      <c r="I268" s="216"/>
      <c r="J268" s="216"/>
      <c r="K268" s="217"/>
      <c r="L268" s="217"/>
      <c r="M268" s="217"/>
      <c r="N268" s="217"/>
      <c r="O268" s="146"/>
      <c r="P268" s="146"/>
      <c r="Q268" s="146"/>
      <c r="R268" s="217"/>
      <c r="S268" s="217"/>
      <c r="T268" s="217"/>
      <c r="U268" s="217"/>
      <c r="V268" s="217"/>
      <c r="W268" s="217"/>
      <c r="X268" s="217"/>
      <c r="Y268" s="217"/>
      <c r="Z268" s="217"/>
      <c r="AA268" s="31"/>
      <c r="AB268" s="31"/>
    </row>
    <row r="269" spans="1:52" s="218" customFormat="1" ht="18" customHeight="1">
      <c r="A269" s="166"/>
      <c r="B269" s="217"/>
      <c r="C269" s="216"/>
      <c r="D269" s="216"/>
      <c r="E269" s="216"/>
      <c r="F269" s="216"/>
      <c r="G269" s="216"/>
      <c r="H269" s="216"/>
      <c r="I269" s="216"/>
      <c r="J269" s="216"/>
      <c r="K269" s="217"/>
      <c r="L269" s="217"/>
      <c r="M269" s="217"/>
      <c r="N269" s="217"/>
      <c r="O269" s="146"/>
      <c r="P269" s="146"/>
      <c r="Q269" s="146"/>
      <c r="R269" s="217"/>
      <c r="S269" s="217"/>
      <c r="T269" s="217"/>
      <c r="U269" s="217"/>
      <c r="V269" s="217"/>
      <c r="W269" s="217"/>
      <c r="X269" s="217"/>
      <c r="Y269" s="217"/>
      <c r="Z269" s="217"/>
      <c r="AA269" s="31"/>
      <c r="AB269" s="31"/>
    </row>
    <row r="270" spans="1:52" s="193" customFormat="1" ht="17.399999999999999" customHeight="1">
      <c r="A270" s="189"/>
      <c r="B270" s="190" t="s">
        <v>158</v>
      </c>
      <c r="C270" s="190"/>
      <c r="D270" s="191"/>
      <c r="E270" s="191"/>
      <c r="F270" s="191"/>
      <c r="G270" s="191"/>
      <c r="H270" s="191"/>
      <c r="I270" s="191"/>
      <c r="J270" s="191"/>
      <c r="K270" s="191"/>
      <c r="L270" s="191"/>
      <c r="M270" s="191"/>
      <c r="N270" s="191"/>
      <c r="O270" s="191"/>
      <c r="P270" s="191"/>
      <c r="Q270" s="191"/>
      <c r="R270" s="191"/>
      <c r="S270" s="191"/>
      <c r="T270" s="191"/>
      <c r="U270" s="191"/>
      <c r="V270" s="191"/>
      <c r="W270" s="191"/>
      <c r="X270" s="191"/>
      <c r="Y270" s="192"/>
      <c r="Z270" s="192"/>
      <c r="AA270" s="192"/>
      <c r="AB270" s="192"/>
      <c r="AC270" s="192"/>
      <c r="AD270" s="192"/>
      <c r="AE270" s="192"/>
      <c r="AF270" s="192"/>
      <c r="AG270" s="192"/>
      <c r="AH270" s="192"/>
      <c r="AI270" s="192"/>
      <c r="AJ270" s="192"/>
      <c r="AK270" s="192"/>
      <c r="AL270" s="192"/>
      <c r="AM270" s="192"/>
      <c r="AN270" s="192"/>
      <c r="AO270" s="192"/>
      <c r="AP270" s="192"/>
      <c r="AQ270" s="192"/>
      <c r="AR270" s="192"/>
      <c r="AS270" s="192"/>
      <c r="AT270" s="192"/>
      <c r="AU270" s="192"/>
      <c r="AV270" s="192"/>
      <c r="AW270" s="192"/>
      <c r="AX270" s="192"/>
      <c r="AY270" s="192"/>
      <c r="AZ270" s="192"/>
    </row>
    <row r="271" spans="1:52" s="218" customFormat="1" ht="18" customHeight="1">
      <c r="A271" s="165"/>
      <c r="B271" s="201" t="s">
        <v>181</v>
      </c>
      <c r="C271" s="202"/>
      <c r="D271" s="202"/>
      <c r="E271" s="202"/>
      <c r="F271" s="202"/>
      <c r="G271" s="203"/>
      <c r="H271" s="216"/>
      <c r="I271" s="216"/>
      <c r="J271" s="216"/>
      <c r="K271" s="216"/>
      <c r="L271" s="217"/>
      <c r="M271" s="146"/>
      <c r="N271" s="146"/>
      <c r="O271" s="146"/>
      <c r="P271" s="217"/>
      <c r="Q271" s="217"/>
      <c r="R271" s="217"/>
      <c r="S271" s="217"/>
      <c r="T271" s="217"/>
      <c r="U271" s="217"/>
      <c r="V271" s="217"/>
      <c r="W271" s="217"/>
      <c r="X271" s="217"/>
      <c r="Y271" s="217"/>
      <c r="Z271" s="217"/>
    </row>
    <row r="272" spans="1:52" s="218" customFormat="1" ht="18" customHeight="1">
      <c r="A272" s="165"/>
      <c r="B272" s="323" t="s">
        <v>211</v>
      </c>
      <c r="C272" s="323" t="s">
        <v>175</v>
      </c>
      <c r="D272" s="323" t="str">
        <f>_xlfn.CONCAT("Peak Cooling Load ",IF(units="IP","(Btu-h)","(W)"))</f>
        <v>Peak Cooling Load (W)</v>
      </c>
      <c r="E272" s="323" t="s">
        <v>212</v>
      </c>
      <c r="F272" s="323" t="s">
        <v>213</v>
      </c>
      <c r="G272" s="323" t="s">
        <v>214</v>
      </c>
      <c r="H272" s="216"/>
      <c r="I272" s="216"/>
      <c r="J272" s="216"/>
      <c r="K272" s="216"/>
      <c r="L272" s="216"/>
      <c r="M272" s="217"/>
      <c r="N272" s="146"/>
      <c r="O272" s="146"/>
      <c r="P272" s="146"/>
      <c r="Q272" s="217"/>
      <c r="R272" s="217"/>
      <c r="S272" s="217"/>
      <c r="T272" s="217"/>
      <c r="U272" s="217"/>
      <c r="V272" s="217"/>
      <c r="W272" s="217"/>
      <c r="X272" s="217"/>
      <c r="Y272" s="217"/>
      <c r="Z272" s="217"/>
    </row>
    <row r="273" spans="1:26" s="218" customFormat="1" ht="18" customHeight="1">
      <c r="A273" s="165"/>
      <c r="B273" s="323"/>
      <c r="C273" s="323"/>
      <c r="D273" s="323"/>
      <c r="E273" s="323"/>
      <c r="F273" s="323"/>
      <c r="G273" s="323"/>
      <c r="H273" s="217"/>
      <c r="I273" s="217"/>
      <c r="J273" s="216"/>
      <c r="K273" s="216"/>
      <c r="L273" s="216"/>
      <c r="M273" s="217"/>
      <c r="N273" s="146"/>
      <c r="O273" s="146"/>
      <c r="P273" s="146"/>
      <c r="Q273" s="217"/>
      <c r="R273" s="217"/>
      <c r="S273" s="217"/>
      <c r="T273" s="217"/>
      <c r="U273" s="217"/>
      <c r="V273" s="217"/>
      <c r="W273" s="217"/>
      <c r="X273" s="217"/>
      <c r="Y273" s="217"/>
      <c r="Z273" s="217"/>
    </row>
    <row r="274" spans="1:26" s="218" customFormat="1" ht="18" customHeight="1">
      <c r="A274" s="165"/>
      <c r="B274" s="323"/>
      <c r="C274" s="323"/>
      <c r="D274" s="323"/>
      <c r="E274" s="323"/>
      <c r="F274" s="323"/>
      <c r="G274" s="323"/>
      <c r="H274" s="217"/>
      <c r="I274" s="217"/>
      <c r="J274" s="216"/>
      <c r="K274" s="216"/>
      <c r="L274" s="216"/>
      <c r="M274" s="217"/>
      <c r="N274" s="146"/>
      <c r="O274" s="146"/>
      <c r="P274" s="146"/>
      <c r="Q274" s="217"/>
      <c r="R274" s="217"/>
      <c r="S274" s="217"/>
      <c r="T274" s="217"/>
      <c r="U274" s="217"/>
      <c r="V274" s="217"/>
      <c r="W274" s="217"/>
      <c r="X274" s="217"/>
      <c r="Y274" s="217"/>
      <c r="Z274" s="217"/>
    </row>
    <row r="275" spans="1:26" s="218" customFormat="1" ht="18" customHeight="1">
      <c r="A275" s="222">
        <v>1</v>
      </c>
      <c r="B275" s="187" t="str">
        <f t="shared" ref="B275:B304" si="28">IF(INDEX(inputs_pkclid,MATCH($A275,inputs_pkclno,0))&lt;&gt;"",INDEX(inputs_pkclid,MATCH($A275,inputs_pkclno,0)),"")</f>
        <v/>
      </c>
      <c r="C275" s="187" t="str">
        <f t="shared" ref="C275:C304" si="29">IF(INDEX(inputs_pkclst,MATCH($A275,inputs_pkclno,0))&lt;&gt;"",INDEX(inputs_pkclst,MATCH($A275,inputs_pkclno,0)),"")</f>
        <v/>
      </c>
      <c r="D275" s="187" t="str">
        <f t="shared" ref="D275:D304" si="30">IF(INDEX(inputs_pkclpl,MATCH($A275,inputs_pkclno,0))&lt;&gt;"",INDEX(inputs_pkclpl,MATCH($A275,inputs_pkclno,0)),"")</f>
        <v/>
      </c>
      <c r="E275" s="225" t="str">
        <f t="shared" ref="E275:E304" si="31">IF(INDEX(inputs_pkclty,MATCH($A275,inputs_pkclno,0))&lt;&gt;"",INDEX(inputs_pkclty,MATCH($A275,inputs_pkclno,0)),"")</f>
        <v/>
      </c>
      <c r="F275" s="224" t="str" cm="1">
        <f t="array" ref="F275">_xlfn.UNIQUE($E$275:$E$385)</f>
        <v/>
      </c>
      <c r="G275" s="262">
        <f t="shared" ref="G275:G306" si="32">SUMIFS($D$275:$D$385,$E$275:$E$385,F275)</f>
        <v>0</v>
      </c>
      <c r="H275" s="220"/>
      <c r="I275" s="217"/>
      <c r="J275" s="216"/>
      <c r="K275" s="216"/>
      <c r="L275" s="216"/>
      <c r="M275" s="217"/>
      <c r="N275" s="146"/>
      <c r="O275" s="146"/>
      <c r="P275" s="146"/>
      <c r="Q275" s="217"/>
      <c r="R275" s="217"/>
      <c r="S275" s="217"/>
      <c r="T275" s="217"/>
      <c r="U275" s="217"/>
      <c r="V275" s="217"/>
      <c r="W275" s="217"/>
      <c r="X275" s="217"/>
      <c r="Y275" s="217"/>
      <c r="Z275" s="217"/>
    </row>
    <row r="276" spans="1:26" s="218" customFormat="1" ht="18" customHeight="1">
      <c r="A276" s="222">
        <v>2</v>
      </c>
      <c r="B276" s="187" t="str">
        <f t="shared" si="28"/>
        <v/>
      </c>
      <c r="C276" s="187" t="str">
        <f t="shared" si="29"/>
        <v/>
      </c>
      <c r="D276" s="187" t="str">
        <f t="shared" si="30"/>
        <v/>
      </c>
      <c r="E276" s="225" t="str">
        <f t="shared" si="31"/>
        <v/>
      </c>
      <c r="F276" s="224"/>
      <c r="G276" s="262">
        <f t="shared" si="32"/>
        <v>0</v>
      </c>
      <c r="H276" s="217"/>
      <c r="I276" s="217"/>
      <c r="J276" s="216"/>
      <c r="K276" s="216"/>
      <c r="L276" s="216"/>
      <c r="M276" s="217"/>
      <c r="N276" s="146"/>
      <c r="O276" s="146"/>
      <c r="P276" s="146"/>
      <c r="Q276" s="217"/>
      <c r="R276" s="217"/>
      <c r="S276" s="217"/>
      <c r="T276" s="217"/>
      <c r="U276" s="217"/>
      <c r="V276" s="217"/>
      <c r="W276" s="217"/>
      <c r="X276" s="217"/>
      <c r="Y276" s="217"/>
      <c r="Z276" s="217"/>
    </row>
    <row r="277" spans="1:26" s="218" customFormat="1" ht="18" customHeight="1">
      <c r="A277" s="222">
        <v>3</v>
      </c>
      <c r="B277" s="187" t="str">
        <f t="shared" si="28"/>
        <v/>
      </c>
      <c r="C277" s="187" t="str">
        <f t="shared" si="29"/>
        <v/>
      </c>
      <c r="D277" s="187" t="str">
        <f t="shared" si="30"/>
        <v/>
      </c>
      <c r="E277" s="225" t="str">
        <f t="shared" si="31"/>
        <v/>
      </c>
      <c r="F277" s="224"/>
      <c r="G277" s="262">
        <f t="shared" si="32"/>
        <v>0</v>
      </c>
      <c r="H277" s="217"/>
      <c r="I277" s="217"/>
      <c r="J277" s="216"/>
      <c r="K277" s="216"/>
      <c r="L277" s="216"/>
      <c r="M277" s="217"/>
      <c r="N277" s="146"/>
      <c r="O277" s="146"/>
      <c r="P277" s="146"/>
      <c r="Q277" s="217"/>
      <c r="R277" s="217"/>
      <c r="S277" s="217"/>
      <c r="T277" s="217"/>
      <c r="U277" s="217"/>
      <c r="V277" s="217"/>
      <c r="W277" s="217"/>
      <c r="X277" s="217"/>
      <c r="Y277" s="217"/>
      <c r="Z277" s="217"/>
    </row>
    <row r="278" spans="1:26" s="218" customFormat="1" ht="18" customHeight="1">
      <c r="A278" s="222">
        <v>4</v>
      </c>
      <c r="B278" s="187" t="str">
        <f t="shared" si="28"/>
        <v/>
      </c>
      <c r="C278" s="187" t="str">
        <f t="shared" si="29"/>
        <v/>
      </c>
      <c r="D278" s="187" t="str">
        <f t="shared" si="30"/>
        <v/>
      </c>
      <c r="E278" s="225" t="str">
        <f t="shared" si="31"/>
        <v/>
      </c>
      <c r="F278" s="224"/>
      <c r="G278" s="262">
        <f t="shared" si="32"/>
        <v>0</v>
      </c>
      <c r="H278" s="217"/>
      <c r="I278" s="217"/>
      <c r="J278" s="216"/>
      <c r="K278" s="216"/>
      <c r="L278" s="216"/>
      <c r="M278" s="217"/>
      <c r="N278" s="146"/>
      <c r="O278" s="146"/>
      <c r="P278" s="146"/>
      <c r="Q278" s="217"/>
      <c r="R278" s="217"/>
      <c r="S278" s="217"/>
      <c r="T278" s="217"/>
      <c r="U278" s="217"/>
      <c r="V278" s="217"/>
      <c r="W278" s="217"/>
      <c r="X278" s="217"/>
      <c r="Y278" s="217"/>
      <c r="Z278" s="217"/>
    </row>
    <row r="279" spans="1:26" s="218" customFormat="1" ht="18" customHeight="1">
      <c r="A279" s="222">
        <v>5</v>
      </c>
      <c r="B279" s="187" t="str">
        <f t="shared" si="28"/>
        <v/>
      </c>
      <c r="C279" s="187" t="str">
        <f t="shared" si="29"/>
        <v/>
      </c>
      <c r="D279" s="187" t="str">
        <f t="shared" si="30"/>
        <v/>
      </c>
      <c r="E279" s="225" t="str">
        <f t="shared" si="31"/>
        <v/>
      </c>
      <c r="F279" s="224"/>
      <c r="G279" s="262">
        <f t="shared" si="32"/>
        <v>0</v>
      </c>
      <c r="H279" s="217"/>
      <c r="I279" s="217"/>
      <c r="J279" s="216"/>
      <c r="K279" s="216"/>
      <c r="L279" s="216"/>
      <c r="M279" s="217"/>
      <c r="N279" s="146"/>
      <c r="O279" s="146"/>
      <c r="P279" s="146"/>
      <c r="Q279" s="217"/>
      <c r="R279" s="217"/>
      <c r="S279" s="217"/>
      <c r="T279" s="217"/>
      <c r="U279" s="217"/>
      <c r="V279" s="217"/>
      <c r="W279" s="217"/>
      <c r="X279" s="217"/>
      <c r="Y279" s="217"/>
      <c r="Z279" s="217"/>
    </row>
    <row r="280" spans="1:26" s="218" customFormat="1" ht="18" customHeight="1">
      <c r="A280" s="222">
        <v>6</v>
      </c>
      <c r="B280" s="187" t="str">
        <f t="shared" si="28"/>
        <v/>
      </c>
      <c r="C280" s="187" t="str">
        <f t="shared" si="29"/>
        <v/>
      </c>
      <c r="D280" s="187" t="str">
        <f t="shared" si="30"/>
        <v/>
      </c>
      <c r="E280" s="225" t="str">
        <f t="shared" si="31"/>
        <v/>
      </c>
      <c r="F280" s="224"/>
      <c r="G280" s="262">
        <f t="shared" si="32"/>
        <v>0</v>
      </c>
      <c r="H280" s="217"/>
      <c r="I280" s="217"/>
      <c r="J280" s="216"/>
      <c r="K280" s="216"/>
      <c r="L280" s="216"/>
      <c r="M280" s="217"/>
      <c r="N280" s="146"/>
      <c r="O280" s="146"/>
      <c r="P280" s="146"/>
      <c r="Q280" s="217"/>
      <c r="R280" s="217"/>
      <c r="S280" s="217"/>
      <c r="T280" s="217"/>
      <c r="U280" s="217"/>
      <c r="V280" s="217"/>
      <c r="W280" s="217"/>
      <c r="X280" s="217"/>
      <c r="Y280" s="217"/>
      <c r="Z280" s="217"/>
    </row>
    <row r="281" spans="1:26" s="218" customFormat="1" ht="18" customHeight="1">
      <c r="A281" s="222">
        <v>7</v>
      </c>
      <c r="B281" s="187" t="str">
        <f t="shared" si="28"/>
        <v/>
      </c>
      <c r="C281" s="187" t="str">
        <f t="shared" si="29"/>
        <v/>
      </c>
      <c r="D281" s="187" t="str">
        <f t="shared" si="30"/>
        <v/>
      </c>
      <c r="E281" s="225" t="str">
        <f t="shared" si="31"/>
        <v/>
      </c>
      <c r="F281" s="224"/>
      <c r="G281" s="262">
        <f t="shared" si="32"/>
        <v>0</v>
      </c>
      <c r="H281" s="217"/>
      <c r="I281" s="217"/>
      <c r="J281" s="217"/>
      <c r="K281" s="217"/>
      <c r="L281" s="217"/>
      <c r="M281" s="217"/>
      <c r="N281" s="146"/>
      <c r="O281" s="146"/>
      <c r="P281" s="146"/>
      <c r="Q281" s="217"/>
      <c r="R281" s="217"/>
      <c r="S281" s="217"/>
      <c r="T281" s="217"/>
      <c r="U281" s="217"/>
      <c r="V281" s="217"/>
      <c r="W281" s="217"/>
      <c r="X281" s="217"/>
      <c r="Y281" s="217"/>
      <c r="Z281" s="217"/>
    </row>
    <row r="282" spans="1:26" s="218" customFormat="1" ht="18" customHeight="1">
      <c r="A282" s="222">
        <v>8</v>
      </c>
      <c r="B282" s="187" t="str">
        <f t="shared" si="28"/>
        <v/>
      </c>
      <c r="C282" s="187" t="str">
        <f t="shared" si="29"/>
        <v/>
      </c>
      <c r="D282" s="187" t="str">
        <f t="shared" si="30"/>
        <v/>
      </c>
      <c r="E282" s="225" t="str">
        <f t="shared" si="31"/>
        <v/>
      </c>
      <c r="F282" s="224"/>
      <c r="G282" s="262">
        <f t="shared" si="32"/>
        <v>0</v>
      </c>
      <c r="H282" s="217"/>
      <c r="I282" s="217"/>
      <c r="J282" s="216"/>
      <c r="K282" s="216"/>
      <c r="L282" s="216"/>
      <c r="M282" s="217"/>
      <c r="N282" s="146"/>
      <c r="O282" s="146"/>
      <c r="P282" s="146"/>
      <c r="Q282" s="217"/>
      <c r="R282" s="217"/>
      <c r="S282" s="217"/>
      <c r="T282" s="217"/>
      <c r="U282" s="217"/>
      <c r="V282" s="217"/>
      <c r="W282" s="217"/>
      <c r="X282" s="217"/>
      <c r="Y282" s="217"/>
      <c r="Z282" s="217"/>
    </row>
    <row r="283" spans="1:26" s="218" customFormat="1" ht="18" customHeight="1">
      <c r="A283" s="222">
        <v>9</v>
      </c>
      <c r="B283" s="187" t="str">
        <f t="shared" si="28"/>
        <v/>
      </c>
      <c r="C283" s="187" t="str">
        <f t="shared" si="29"/>
        <v/>
      </c>
      <c r="D283" s="187" t="str">
        <f t="shared" si="30"/>
        <v/>
      </c>
      <c r="E283" s="225" t="str">
        <f t="shared" si="31"/>
        <v/>
      </c>
      <c r="F283" s="224"/>
      <c r="G283" s="262">
        <f t="shared" si="32"/>
        <v>0</v>
      </c>
      <c r="H283" s="217"/>
      <c r="I283" s="217"/>
      <c r="J283" s="217"/>
      <c r="K283" s="217"/>
      <c r="L283" s="217"/>
      <c r="M283" s="217"/>
      <c r="N283" s="146"/>
      <c r="O283" s="146"/>
      <c r="P283" s="146"/>
      <c r="Q283" s="217"/>
      <c r="R283" s="217"/>
      <c r="S283" s="217"/>
      <c r="T283" s="217"/>
      <c r="U283" s="217"/>
      <c r="V283" s="217"/>
      <c r="W283" s="217"/>
      <c r="X283" s="217"/>
      <c r="Y283" s="217"/>
      <c r="Z283" s="217"/>
    </row>
    <row r="284" spans="1:26" s="218" customFormat="1" ht="18" customHeight="1">
      <c r="A284" s="222">
        <v>10</v>
      </c>
      <c r="B284" s="187" t="str">
        <f t="shared" si="28"/>
        <v/>
      </c>
      <c r="C284" s="187" t="str">
        <f t="shared" si="29"/>
        <v/>
      </c>
      <c r="D284" s="187" t="str">
        <f t="shared" si="30"/>
        <v/>
      </c>
      <c r="E284" s="225" t="str">
        <f t="shared" si="31"/>
        <v/>
      </c>
      <c r="F284" s="224"/>
      <c r="G284" s="262">
        <f t="shared" si="32"/>
        <v>0</v>
      </c>
      <c r="H284" s="159" t="s">
        <v>170</v>
      </c>
      <c r="I284" s="217"/>
      <c r="J284" s="217"/>
      <c r="K284" s="217"/>
      <c r="L284" s="217"/>
      <c r="M284" s="217"/>
      <c r="N284" s="146"/>
      <c r="O284" s="146"/>
      <c r="P284" s="146"/>
      <c r="Q284" s="217"/>
      <c r="R284" s="217"/>
      <c r="S284" s="217"/>
      <c r="T284" s="217"/>
      <c r="U284" s="217"/>
      <c r="V284" s="217"/>
      <c r="W284" s="217"/>
      <c r="X284" s="217"/>
      <c r="Y284" s="217"/>
      <c r="Z284" s="217"/>
    </row>
    <row r="285" spans="1:26" s="218" customFormat="1" ht="18" hidden="1" customHeight="1" outlineLevel="1">
      <c r="A285" s="222">
        <v>11</v>
      </c>
      <c r="B285" s="187" t="str">
        <f t="shared" si="28"/>
        <v/>
      </c>
      <c r="C285" s="187" t="str">
        <f t="shared" si="29"/>
        <v/>
      </c>
      <c r="D285" s="187" t="str">
        <f t="shared" si="30"/>
        <v/>
      </c>
      <c r="E285" s="225" t="str">
        <f t="shared" si="31"/>
        <v/>
      </c>
      <c r="F285" s="224"/>
      <c r="G285" s="262">
        <f t="shared" si="32"/>
        <v>0</v>
      </c>
      <c r="H285" s="217"/>
      <c r="I285" s="217"/>
      <c r="J285" s="217"/>
      <c r="K285" s="217"/>
      <c r="L285" s="217"/>
      <c r="M285" s="217"/>
      <c r="N285" s="146"/>
      <c r="O285" s="146"/>
      <c r="P285" s="146"/>
      <c r="Q285" s="217"/>
      <c r="R285" s="217"/>
      <c r="S285" s="217"/>
      <c r="T285" s="217"/>
      <c r="U285" s="217"/>
      <c r="V285" s="217"/>
      <c r="W285" s="217"/>
      <c r="X285" s="217"/>
      <c r="Y285" s="217"/>
      <c r="Z285" s="217"/>
    </row>
    <row r="286" spans="1:26" s="218" customFormat="1" ht="18" hidden="1" customHeight="1" outlineLevel="1">
      <c r="A286" s="222">
        <v>12</v>
      </c>
      <c r="B286" s="187" t="str">
        <f t="shared" si="28"/>
        <v/>
      </c>
      <c r="C286" s="187" t="str">
        <f t="shared" si="29"/>
        <v/>
      </c>
      <c r="D286" s="187" t="str">
        <f t="shared" si="30"/>
        <v/>
      </c>
      <c r="E286" s="225" t="str">
        <f t="shared" si="31"/>
        <v/>
      </c>
      <c r="F286" s="224"/>
      <c r="G286" s="262">
        <f t="shared" si="32"/>
        <v>0</v>
      </c>
      <c r="H286" s="217"/>
      <c r="I286" s="217"/>
      <c r="J286" s="216"/>
      <c r="K286" s="216"/>
      <c r="L286" s="216"/>
      <c r="M286" s="217"/>
      <c r="N286" s="146"/>
      <c r="O286" s="146"/>
      <c r="P286" s="146"/>
      <c r="Q286" s="217"/>
      <c r="R286" s="217"/>
      <c r="S286" s="217"/>
      <c r="T286" s="217"/>
      <c r="U286" s="217"/>
      <c r="V286" s="217"/>
      <c r="W286" s="217"/>
      <c r="X286" s="217"/>
      <c r="Y286" s="217"/>
      <c r="Z286" s="217"/>
    </row>
    <row r="287" spans="1:26" s="218" customFormat="1" ht="18" hidden="1" customHeight="1" outlineLevel="1">
      <c r="A287" s="222">
        <v>13</v>
      </c>
      <c r="B287" s="187" t="str">
        <f t="shared" si="28"/>
        <v/>
      </c>
      <c r="C287" s="187" t="str">
        <f t="shared" si="29"/>
        <v/>
      </c>
      <c r="D287" s="187" t="str">
        <f t="shared" si="30"/>
        <v/>
      </c>
      <c r="E287" s="225" t="str">
        <f t="shared" si="31"/>
        <v/>
      </c>
      <c r="F287" s="224"/>
      <c r="G287" s="262">
        <f t="shared" si="32"/>
        <v>0</v>
      </c>
      <c r="H287" s="217"/>
      <c r="I287" s="217"/>
      <c r="J287" s="217"/>
      <c r="K287" s="217"/>
      <c r="L287" s="217"/>
      <c r="M287" s="217"/>
      <c r="N287" s="146"/>
      <c r="O287" s="146"/>
      <c r="P287" s="146"/>
      <c r="Q287" s="217"/>
      <c r="R287" s="217"/>
      <c r="S287" s="217"/>
      <c r="T287" s="217"/>
      <c r="U287" s="217"/>
      <c r="V287" s="217"/>
      <c r="W287" s="217"/>
      <c r="X287" s="217"/>
      <c r="Y287" s="217"/>
      <c r="Z287" s="217"/>
    </row>
    <row r="288" spans="1:26" s="218" customFormat="1" ht="18" hidden="1" customHeight="1" outlineLevel="1">
      <c r="A288" s="222">
        <v>14</v>
      </c>
      <c r="B288" s="187" t="str">
        <f t="shared" si="28"/>
        <v/>
      </c>
      <c r="C288" s="187" t="str">
        <f t="shared" si="29"/>
        <v/>
      </c>
      <c r="D288" s="187" t="str">
        <f t="shared" si="30"/>
        <v/>
      </c>
      <c r="E288" s="225" t="str">
        <f t="shared" si="31"/>
        <v/>
      </c>
      <c r="F288" s="224"/>
      <c r="G288" s="262">
        <f t="shared" si="32"/>
        <v>0</v>
      </c>
      <c r="H288" s="217"/>
      <c r="I288" s="217"/>
      <c r="J288" s="217"/>
      <c r="K288" s="217"/>
      <c r="L288" s="217"/>
      <c r="M288" s="217"/>
      <c r="N288" s="146"/>
      <c r="O288" s="146"/>
      <c r="P288" s="146"/>
      <c r="Q288" s="217"/>
      <c r="R288" s="217"/>
      <c r="S288" s="217"/>
      <c r="T288" s="217"/>
      <c r="U288" s="217"/>
      <c r="V288" s="217"/>
      <c r="W288" s="217"/>
      <c r="X288" s="217"/>
      <c r="Y288" s="217"/>
      <c r="Z288" s="217"/>
    </row>
    <row r="289" spans="1:26" s="218" customFormat="1" ht="18" hidden="1" customHeight="1" outlineLevel="1">
      <c r="A289" s="222">
        <v>15</v>
      </c>
      <c r="B289" s="187" t="str">
        <f t="shared" si="28"/>
        <v/>
      </c>
      <c r="C289" s="187" t="str">
        <f t="shared" si="29"/>
        <v/>
      </c>
      <c r="D289" s="187" t="str">
        <f t="shared" si="30"/>
        <v/>
      </c>
      <c r="E289" s="225" t="str">
        <f t="shared" si="31"/>
        <v/>
      </c>
      <c r="F289" s="224"/>
      <c r="G289" s="262">
        <f t="shared" si="32"/>
        <v>0</v>
      </c>
      <c r="H289" s="217"/>
      <c r="I289" s="217"/>
      <c r="J289" s="217"/>
      <c r="K289" s="217"/>
      <c r="L289" s="217"/>
      <c r="M289" s="217"/>
      <c r="N289" s="146"/>
      <c r="O289" s="146"/>
      <c r="P289" s="146"/>
      <c r="Q289" s="217"/>
      <c r="R289" s="217"/>
      <c r="S289" s="217"/>
      <c r="T289" s="217"/>
      <c r="U289" s="217"/>
      <c r="V289" s="217"/>
      <c r="W289" s="217"/>
      <c r="X289" s="217"/>
      <c r="Y289" s="217"/>
      <c r="Z289" s="217"/>
    </row>
    <row r="290" spans="1:26" s="218" customFormat="1" ht="18" hidden="1" customHeight="1" outlineLevel="1">
      <c r="A290" s="222">
        <v>16</v>
      </c>
      <c r="B290" s="187" t="str">
        <f t="shared" si="28"/>
        <v/>
      </c>
      <c r="C290" s="187" t="str">
        <f t="shared" si="29"/>
        <v/>
      </c>
      <c r="D290" s="187" t="str">
        <f t="shared" si="30"/>
        <v/>
      </c>
      <c r="E290" s="225" t="str">
        <f t="shared" si="31"/>
        <v/>
      </c>
      <c r="F290" s="224"/>
      <c r="G290" s="262">
        <f t="shared" si="32"/>
        <v>0</v>
      </c>
      <c r="H290" s="217"/>
      <c r="I290" s="217"/>
      <c r="J290" s="217"/>
      <c r="K290" s="217"/>
      <c r="L290" s="217"/>
      <c r="M290" s="217"/>
      <c r="N290" s="146"/>
      <c r="O290" s="146"/>
      <c r="P290" s="146"/>
      <c r="Q290" s="217"/>
      <c r="R290" s="217"/>
      <c r="S290" s="217"/>
      <c r="T290" s="217"/>
      <c r="U290" s="217"/>
      <c r="V290" s="217"/>
      <c r="W290" s="217"/>
      <c r="X290" s="217"/>
      <c r="Y290" s="217"/>
      <c r="Z290" s="217"/>
    </row>
    <row r="291" spans="1:26" s="218" customFormat="1" ht="18" hidden="1" customHeight="1" outlineLevel="1">
      <c r="A291" s="222">
        <v>17</v>
      </c>
      <c r="B291" s="187" t="str">
        <f t="shared" si="28"/>
        <v/>
      </c>
      <c r="C291" s="187" t="str">
        <f t="shared" si="29"/>
        <v/>
      </c>
      <c r="D291" s="187" t="str">
        <f t="shared" si="30"/>
        <v/>
      </c>
      <c r="E291" s="225" t="str">
        <f t="shared" si="31"/>
        <v/>
      </c>
      <c r="F291" s="224"/>
      <c r="G291" s="262">
        <f t="shared" si="32"/>
        <v>0</v>
      </c>
      <c r="H291" s="217"/>
      <c r="I291" s="217"/>
      <c r="J291" s="217"/>
      <c r="K291" s="217"/>
      <c r="L291" s="217"/>
      <c r="M291" s="217"/>
      <c r="N291" s="146"/>
      <c r="O291" s="146"/>
      <c r="P291" s="146"/>
      <c r="Q291" s="217"/>
      <c r="R291" s="217"/>
      <c r="S291" s="217"/>
      <c r="T291" s="217"/>
      <c r="U291" s="217"/>
      <c r="V291" s="217"/>
      <c r="W291" s="217"/>
      <c r="X291" s="217"/>
      <c r="Y291" s="217"/>
      <c r="Z291" s="217"/>
    </row>
    <row r="292" spans="1:26" s="218" customFormat="1" ht="18" hidden="1" customHeight="1" outlineLevel="1">
      <c r="A292" s="222">
        <v>18</v>
      </c>
      <c r="B292" s="187" t="str">
        <f t="shared" si="28"/>
        <v/>
      </c>
      <c r="C292" s="187" t="str">
        <f t="shared" si="29"/>
        <v/>
      </c>
      <c r="D292" s="187" t="str">
        <f t="shared" si="30"/>
        <v/>
      </c>
      <c r="E292" s="225" t="str">
        <f t="shared" si="31"/>
        <v/>
      </c>
      <c r="F292" s="224"/>
      <c r="G292" s="262">
        <f t="shared" si="32"/>
        <v>0</v>
      </c>
      <c r="H292" s="217"/>
      <c r="I292" s="217"/>
      <c r="J292" s="217"/>
      <c r="K292" s="217"/>
      <c r="L292" s="217"/>
      <c r="M292" s="217"/>
      <c r="N292" s="146"/>
      <c r="O292" s="146"/>
      <c r="P292" s="146"/>
      <c r="Q292" s="217"/>
      <c r="R292" s="217"/>
      <c r="S292" s="217"/>
      <c r="T292" s="217"/>
      <c r="U292" s="217"/>
      <c r="V292" s="217"/>
      <c r="W292" s="217"/>
      <c r="X292" s="217"/>
      <c r="Y292" s="217"/>
      <c r="Z292" s="217"/>
    </row>
    <row r="293" spans="1:26" s="218" customFormat="1" ht="18" hidden="1" customHeight="1" outlineLevel="1">
      <c r="A293" s="222">
        <v>19</v>
      </c>
      <c r="B293" s="187" t="str">
        <f t="shared" si="28"/>
        <v/>
      </c>
      <c r="C293" s="187" t="str">
        <f t="shared" si="29"/>
        <v/>
      </c>
      <c r="D293" s="187" t="str">
        <f t="shared" si="30"/>
        <v/>
      </c>
      <c r="E293" s="225" t="str">
        <f t="shared" si="31"/>
        <v/>
      </c>
      <c r="F293" s="224"/>
      <c r="G293" s="262">
        <f t="shared" si="32"/>
        <v>0</v>
      </c>
      <c r="H293" s="217"/>
      <c r="I293" s="217"/>
      <c r="J293" s="217"/>
      <c r="K293" s="217"/>
      <c r="L293" s="217"/>
      <c r="M293" s="217"/>
      <c r="N293" s="146"/>
      <c r="O293" s="146"/>
      <c r="P293" s="146"/>
      <c r="Q293" s="217"/>
      <c r="R293" s="217"/>
      <c r="S293" s="217"/>
      <c r="T293" s="217"/>
      <c r="U293" s="217"/>
      <c r="V293" s="217"/>
      <c r="W293" s="217"/>
      <c r="X293" s="217"/>
      <c r="Y293" s="217"/>
      <c r="Z293" s="217"/>
    </row>
    <row r="294" spans="1:26" s="218" customFormat="1" ht="18" hidden="1" customHeight="1" outlineLevel="1">
      <c r="A294" s="222">
        <v>20</v>
      </c>
      <c r="B294" s="187" t="str">
        <f t="shared" si="28"/>
        <v/>
      </c>
      <c r="C294" s="187" t="str">
        <f t="shared" si="29"/>
        <v/>
      </c>
      <c r="D294" s="187" t="str">
        <f t="shared" si="30"/>
        <v/>
      </c>
      <c r="E294" s="225" t="str">
        <f t="shared" si="31"/>
        <v/>
      </c>
      <c r="F294" s="224"/>
      <c r="G294" s="262">
        <f t="shared" si="32"/>
        <v>0</v>
      </c>
      <c r="H294" s="217"/>
      <c r="I294" s="217"/>
      <c r="J294" s="217"/>
      <c r="K294" s="217"/>
      <c r="L294" s="217"/>
      <c r="M294" s="217"/>
      <c r="N294" s="146"/>
      <c r="O294" s="146"/>
      <c r="P294" s="146"/>
      <c r="Q294" s="217"/>
      <c r="R294" s="217"/>
      <c r="S294" s="217"/>
      <c r="T294" s="217"/>
      <c r="U294" s="217"/>
      <c r="V294" s="217"/>
      <c r="W294" s="217"/>
      <c r="X294" s="217"/>
      <c r="Y294" s="217"/>
      <c r="Z294" s="217"/>
    </row>
    <row r="295" spans="1:26" s="218" customFormat="1" ht="18" hidden="1" customHeight="1" outlineLevel="1">
      <c r="A295" s="222">
        <v>21</v>
      </c>
      <c r="B295" s="187" t="str">
        <f t="shared" si="28"/>
        <v/>
      </c>
      <c r="C295" s="187" t="str">
        <f t="shared" si="29"/>
        <v/>
      </c>
      <c r="D295" s="187" t="str">
        <f t="shared" si="30"/>
        <v/>
      </c>
      <c r="E295" s="225" t="str">
        <f t="shared" si="31"/>
        <v/>
      </c>
      <c r="F295" s="224"/>
      <c r="G295" s="262">
        <f t="shared" si="32"/>
        <v>0</v>
      </c>
      <c r="H295" s="217"/>
      <c r="I295" s="217"/>
      <c r="J295" s="217"/>
      <c r="K295" s="217"/>
      <c r="L295" s="217"/>
      <c r="M295" s="217"/>
      <c r="N295" s="146"/>
      <c r="O295" s="146"/>
      <c r="P295" s="146"/>
      <c r="Q295" s="217"/>
      <c r="R295" s="217"/>
      <c r="S295" s="217"/>
      <c r="T295" s="217"/>
      <c r="U295" s="217"/>
      <c r="V295" s="217"/>
      <c r="W295" s="217"/>
      <c r="X295" s="217"/>
      <c r="Y295" s="217"/>
      <c r="Z295" s="217"/>
    </row>
    <row r="296" spans="1:26" s="218" customFormat="1" ht="18" hidden="1" customHeight="1" outlineLevel="1">
      <c r="A296" s="222">
        <v>22</v>
      </c>
      <c r="B296" s="187" t="str">
        <f t="shared" si="28"/>
        <v/>
      </c>
      <c r="C296" s="187" t="str">
        <f t="shared" si="29"/>
        <v/>
      </c>
      <c r="D296" s="187" t="str">
        <f t="shared" si="30"/>
        <v/>
      </c>
      <c r="E296" s="225" t="str">
        <f t="shared" si="31"/>
        <v/>
      </c>
      <c r="F296" s="224"/>
      <c r="G296" s="262">
        <f t="shared" si="32"/>
        <v>0</v>
      </c>
      <c r="H296" s="217"/>
      <c r="I296" s="217"/>
      <c r="J296" s="216"/>
      <c r="K296" s="216"/>
      <c r="L296" s="216"/>
      <c r="M296" s="217"/>
      <c r="N296" s="146"/>
      <c r="O296" s="146"/>
      <c r="P296" s="146"/>
      <c r="Q296" s="217"/>
      <c r="R296" s="217"/>
      <c r="S296" s="217"/>
      <c r="T296" s="217"/>
      <c r="U296" s="217"/>
      <c r="V296" s="217"/>
      <c r="W296" s="217"/>
      <c r="X296" s="217"/>
      <c r="Y296" s="217"/>
      <c r="Z296" s="217"/>
    </row>
    <row r="297" spans="1:26" s="218" customFormat="1" ht="18" hidden="1" customHeight="1" outlineLevel="1">
      <c r="A297" s="222">
        <v>23</v>
      </c>
      <c r="B297" s="187" t="str">
        <f t="shared" si="28"/>
        <v/>
      </c>
      <c r="C297" s="187" t="str">
        <f t="shared" si="29"/>
        <v/>
      </c>
      <c r="D297" s="187" t="str">
        <f t="shared" si="30"/>
        <v/>
      </c>
      <c r="E297" s="225" t="str">
        <f t="shared" si="31"/>
        <v/>
      </c>
      <c r="F297" s="224"/>
      <c r="G297" s="262">
        <f t="shared" si="32"/>
        <v>0</v>
      </c>
      <c r="H297" s="217"/>
      <c r="I297" s="217"/>
      <c r="J297" s="217"/>
      <c r="K297" s="217"/>
      <c r="L297" s="217"/>
      <c r="M297" s="217"/>
      <c r="N297" s="146"/>
      <c r="O297" s="146"/>
      <c r="P297" s="146"/>
      <c r="Q297" s="217"/>
      <c r="R297" s="217"/>
      <c r="S297" s="217"/>
      <c r="T297" s="217"/>
      <c r="U297" s="217"/>
      <c r="V297" s="217"/>
      <c r="W297" s="217"/>
      <c r="X297" s="217"/>
      <c r="Y297" s="217"/>
      <c r="Z297" s="217"/>
    </row>
    <row r="298" spans="1:26" s="218" customFormat="1" ht="18" hidden="1" customHeight="1" outlineLevel="1">
      <c r="A298" s="222">
        <v>24</v>
      </c>
      <c r="B298" s="187" t="str">
        <f t="shared" si="28"/>
        <v/>
      </c>
      <c r="C298" s="187" t="str">
        <f t="shared" si="29"/>
        <v/>
      </c>
      <c r="D298" s="187" t="str">
        <f t="shared" si="30"/>
        <v/>
      </c>
      <c r="E298" s="225" t="str">
        <f t="shared" si="31"/>
        <v/>
      </c>
      <c r="F298" s="224"/>
      <c r="G298" s="262">
        <f t="shared" si="32"/>
        <v>0</v>
      </c>
      <c r="H298" s="217"/>
      <c r="I298" s="217"/>
      <c r="J298" s="217"/>
      <c r="K298" s="217"/>
      <c r="L298" s="217"/>
      <c r="M298" s="217"/>
      <c r="N298" s="146"/>
      <c r="O298" s="146"/>
      <c r="P298" s="146"/>
      <c r="Q298" s="217"/>
      <c r="R298" s="217"/>
      <c r="S298" s="217"/>
      <c r="T298" s="217"/>
      <c r="U298" s="217"/>
      <c r="V298" s="217"/>
      <c r="W298" s="217"/>
      <c r="X298" s="217"/>
      <c r="Y298" s="217"/>
      <c r="Z298" s="217"/>
    </row>
    <row r="299" spans="1:26" s="218" customFormat="1" ht="18" hidden="1" customHeight="1" outlineLevel="1">
      <c r="A299" s="222">
        <v>25</v>
      </c>
      <c r="B299" s="187" t="str">
        <f t="shared" si="28"/>
        <v/>
      </c>
      <c r="C299" s="187" t="str">
        <f t="shared" si="29"/>
        <v/>
      </c>
      <c r="D299" s="187" t="str">
        <f t="shared" si="30"/>
        <v/>
      </c>
      <c r="E299" s="225" t="str">
        <f t="shared" si="31"/>
        <v/>
      </c>
      <c r="F299" s="224"/>
      <c r="G299" s="262">
        <f t="shared" si="32"/>
        <v>0</v>
      </c>
      <c r="H299" s="217"/>
      <c r="I299" s="217"/>
      <c r="J299" s="217"/>
      <c r="K299" s="217"/>
      <c r="L299" s="217"/>
      <c r="M299" s="217"/>
      <c r="N299" s="146"/>
      <c r="O299" s="146"/>
      <c r="P299" s="146"/>
      <c r="Q299" s="217"/>
      <c r="R299" s="217"/>
      <c r="S299" s="217"/>
      <c r="T299" s="217"/>
      <c r="U299" s="217"/>
      <c r="V299" s="217"/>
      <c r="W299" s="217"/>
      <c r="X299" s="217"/>
      <c r="Y299" s="217"/>
      <c r="Z299" s="217"/>
    </row>
    <row r="300" spans="1:26" s="218" customFormat="1" ht="18" hidden="1" customHeight="1" outlineLevel="1">
      <c r="A300" s="222">
        <v>26</v>
      </c>
      <c r="B300" s="187" t="str">
        <f t="shared" si="28"/>
        <v/>
      </c>
      <c r="C300" s="187" t="str">
        <f t="shared" si="29"/>
        <v/>
      </c>
      <c r="D300" s="187" t="str">
        <f t="shared" si="30"/>
        <v/>
      </c>
      <c r="E300" s="225" t="str">
        <f t="shared" si="31"/>
        <v/>
      </c>
      <c r="F300" s="224"/>
      <c r="G300" s="262">
        <f t="shared" si="32"/>
        <v>0</v>
      </c>
      <c r="H300" s="217"/>
      <c r="I300" s="217"/>
      <c r="J300" s="217"/>
      <c r="K300" s="217"/>
      <c r="L300" s="217"/>
      <c r="M300" s="217"/>
      <c r="N300" s="146"/>
      <c r="O300" s="146"/>
      <c r="P300" s="146"/>
      <c r="Q300" s="217"/>
      <c r="R300" s="217"/>
      <c r="S300" s="217"/>
      <c r="T300" s="217"/>
      <c r="U300" s="217"/>
      <c r="V300" s="217"/>
      <c r="W300" s="217"/>
      <c r="X300" s="217"/>
      <c r="Y300" s="217"/>
      <c r="Z300" s="217"/>
    </row>
    <row r="301" spans="1:26" s="218" customFormat="1" ht="18" hidden="1" customHeight="1" outlineLevel="1">
      <c r="A301" s="222">
        <v>27</v>
      </c>
      <c r="B301" s="187" t="str">
        <f t="shared" si="28"/>
        <v/>
      </c>
      <c r="C301" s="187" t="str">
        <f t="shared" si="29"/>
        <v/>
      </c>
      <c r="D301" s="187" t="str">
        <f t="shared" si="30"/>
        <v/>
      </c>
      <c r="E301" s="225" t="str">
        <f t="shared" si="31"/>
        <v/>
      </c>
      <c r="F301" s="224"/>
      <c r="G301" s="262">
        <f t="shared" si="32"/>
        <v>0</v>
      </c>
      <c r="H301" s="217"/>
      <c r="I301" s="217"/>
      <c r="J301" s="217"/>
      <c r="K301" s="217"/>
      <c r="L301" s="217"/>
      <c r="M301" s="217"/>
      <c r="N301" s="146"/>
      <c r="O301" s="146"/>
      <c r="P301" s="146"/>
      <c r="Q301" s="217"/>
      <c r="R301" s="217"/>
      <c r="S301" s="217"/>
      <c r="T301" s="217"/>
      <c r="U301" s="217"/>
      <c r="V301" s="217"/>
      <c r="W301" s="217"/>
      <c r="X301" s="217"/>
      <c r="Y301" s="217"/>
      <c r="Z301" s="217"/>
    </row>
    <row r="302" spans="1:26" s="218" customFormat="1" ht="18" hidden="1" customHeight="1" outlineLevel="1">
      <c r="A302" s="222">
        <v>28</v>
      </c>
      <c r="B302" s="187" t="str">
        <f t="shared" si="28"/>
        <v/>
      </c>
      <c r="C302" s="187" t="str">
        <f t="shared" si="29"/>
        <v/>
      </c>
      <c r="D302" s="187" t="str">
        <f t="shared" si="30"/>
        <v/>
      </c>
      <c r="E302" s="225" t="str">
        <f t="shared" si="31"/>
        <v/>
      </c>
      <c r="F302" s="224"/>
      <c r="G302" s="262">
        <f t="shared" si="32"/>
        <v>0</v>
      </c>
      <c r="H302" s="217"/>
      <c r="I302" s="217"/>
      <c r="J302" s="217"/>
      <c r="K302" s="217"/>
      <c r="L302" s="217"/>
      <c r="M302" s="217"/>
      <c r="N302" s="146"/>
      <c r="O302" s="146"/>
      <c r="P302" s="146"/>
      <c r="Q302" s="217"/>
      <c r="R302" s="217"/>
      <c r="S302" s="217"/>
      <c r="T302" s="217"/>
      <c r="U302" s="217"/>
      <c r="V302" s="217"/>
      <c r="W302" s="217"/>
      <c r="X302" s="217"/>
      <c r="Y302" s="217"/>
      <c r="Z302" s="217"/>
    </row>
    <row r="303" spans="1:26" s="218" customFormat="1" ht="18" hidden="1" customHeight="1" outlineLevel="1">
      <c r="A303" s="222">
        <v>29</v>
      </c>
      <c r="B303" s="187" t="str">
        <f t="shared" si="28"/>
        <v/>
      </c>
      <c r="C303" s="187" t="str">
        <f t="shared" si="29"/>
        <v/>
      </c>
      <c r="D303" s="187" t="str">
        <f t="shared" si="30"/>
        <v/>
      </c>
      <c r="E303" s="225" t="str">
        <f t="shared" si="31"/>
        <v/>
      </c>
      <c r="F303" s="224"/>
      <c r="G303" s="262">
        <f t="shared" si="32"/>
        <v>0</v>
      </c>
      <c r="H303" s="217"/>
      <c r="I303" s="217"/>
      <c r="J303" s="217"/>
      <c r="K303" s="217"/>
      <c r="L303" s="217"/>
      <c r="M303" s="217"/>
      <c r="N303" s="146"/>
      <c r="O303" s="146"/>
      <c r="P303" s="146"/>
      <c r="Q303" s="217"/>
      <c r="R303" s="217"/>
      <c r="S303" s="217"/>
      <c r="T303" s="217"/>
      <c r="U303" s="217"/>
      <c r="V303" s="217"/>
      <c r="W303" s="217"/>
      <c r="X303" s="217"/>
      <c r="Y303" s="217"/>
      <c r="Z303" s="217"/>
    </row>
    <row r="304" spans="1:26" s="218" customFormat="1" ht="18" hidden="1" customHeight="1" outlineLevel="1">
      <c r="A304" s="222">
        <v>30</v>
      </c>
      <c r="B304" s="187" t="str">
        <f t="shared" si="28"/>
        <v/>
      </c>
      <c r="C304" s="187" t="str">
        <f t="shared" si="29"/>
        <v/>
      </c>
      <c r="D304" s="187" t="str">
        <f t="shared" si="30"/>
        <v/>
      </c>
      <c r="E304" s="225" t="str">
        <f t="shared" si="31"/>
        <v/>
      </c>
      <c r="F304" s="224"/>
      <c r="G304" s="262">
        <f t="shared" si="32"/>
        <v>0</v>
      </c>
      <c r="H304" s="217"/>
      <c r="I304" s="217"/>
      <c r="J304" s="217"/>
      <c r="K304" s="217"/>
      <c r="L304" s="217"/>
      <c r="M304" s="217"/>
      <c r="N304" s="146"/>
      <c r="O304" s="146"/>
      <c r="P304" s="146"/>
      <c r="Q304" s="217"/>
      <c r="R304" s="217"/>
      <c r="S304" s="217"/>
      <c r="T304" s="217"/>
      <c r="U304" s="217"/>
      <c r="V304" s="217"/>
      <c r="W304" s="217"/>
      <c r="X304" s="217"/>
      <c r="Y304" s="217"/>
      <c r="Z304" s="217"/>
    </row>
    <row r="305" spans="1:26" s="218" customFormat="1" ht="18" hidden="1" customHeight="1" outlineLevel="1">
      <c r="A305" s="222">
        <v>31</v>
      </c>
      <c r="B305" s="187" t="str">
        <f t="shared" ref="B305:B324" si="33">IF(INDEX(inputs_pkclid,MATCH($A305,inputs_pkclno,0))&lt;&gt;"",INDEX(inputs_pkclid,MATCH($A305,inputs_pkclno,0)),"")</f>
        <v/>
      </c>
      <c r="C305" s="187" t="str">
        <f t="shared" ref="C305:C324" si="34">IF(INDEX(inputs_pkclst,MATCH($A305,inputs_pkclno,0))&lt;&gt;"",INDEX(inputs_pkclst,MATCH($A305,inputs_pkclno,0)),"")</f>
        <v/>
      </c>
      <c r="D305" s="187" t="str">
        <f t="shared" ref="D305:D324" si="35">IF(INDEX(inputs_pkclpl,MATCH($A305,inputs_pkclno,0))&lt;&gt;"",INDEX(inputs_pkclpl,MATCH($A305,inputs_pkclno,0)),"")</f>
        <v/>
      </c>
      <c r="E305" s="225" t="str">
        <f t="shared" ref="E305:E324" si="36">IF(INDEX(inputs_pkclty,MATCH($A305,inputs_pkclno,0))&lt;&gt;"",INDEX(inputs_pkclty,MATCH($A305,inputs_pkclno,0)),"")</f>
        <v/>
      </c>
      <c r="F305" s="224"/>
      <c r="G305" s="262">
        <f t="shared" si="32"/>
        <v>0</v>
      </c>
      <c r="H305" s="159" t="s">
        <v>170</v>
      </c>
      <c r="I305" s="217"/>
      <c r="J305" s="217"/>
      <c r="K305" s="217"/>
      <c r="L305" s="217"/>
      <c r="M305" s="217"/>
      <c r="N305" s="146"/>
      <c r="O305" s="146"/>
      <c r="P305" s="146"/>
      <c r="Q305" s="217"/>
      <c r="R305" s="217"/>
      <c r="S305" s="217"/>
      <c r="T305" s="217"/>
      <c r="U305" s="217"/>
      <c r="V305" s="217"/>
      <c r="W305" s="217"/>
      <c r="X305" s="217"/>
      <c r="Y305" s="217"/>
      <c r="Z305" s="217"/>
    </row>
    <row r="306" spans="1:26" s="218" customFormat="1" ht="18" hidden="1" customHeight="1" outlineLevel="2">
      <c r="A306" s="222">
        <v>32</v>
      </c>
      <c r="B306" s="187" t="str">
        <f t="shared" si="33"/>
        <v/>
      </c>
      <c r="C306" s="187" t="str">
        <f t="shared" si="34"/>
        <v/>
      </c>
      <c r="D306" s="187" t="str">
        <f t="shared" si="35"/>
        <v/>
      </c>
      <c r="E306" s="225" t="str">
        <f t="shared" si="36"/>
        <v/>
      </c>
      <c r="F306" s="224"/>
      <c r="G306" s="262">
        <f t="shared" si="32"/>
        <v>0</v>
      </c>
      <c r="H306" s="217"/>
      <c r="I306" s="217"/>
      <c r="J306" s="217"/>
      <c r="K306" s="217"/>
      <c r="L306" s="217"/>
      <c r="M306" s="217"/>
      <c r="N306" s="146"/>
      <c r="O306" s="146"/>
      <c r="P306" s="146"/>
      <c r="Q306" s="217"/>
      <c r="R306" s="217"/>
      <c r="S306" s="217"/>
      <c r="T306" s="217"/>
      <c r="U306" s="217"/>
      <c r="V306" s="217"/>
      <c r="W306" s="217"/>
      <c r="X306" s="217"/>
      <c r="Y306" s="217"/>
      <c r="Z306" s="217"/>
    </row>
    <row r="307" spans="1:26" s="218" customFormat="1" ht="18" hidden="1" customHeight="1" outlineLevel="2">
      <c r="A307" s="222">
        <v>33</v>
      </c>
      <c r="B307" s="187" t="str">
        <f t="shared" si="33"/>
        <v/>
      </c>
      <c r="C307" s="187" t="str">
        <f t="shared" si="34"/>
        <v/>
      </c>
      <c r="D307" s="187" t="str">
        <f t="shared" si="35"/>
        <v/>
      </c>
      <c r="E307" s="225" t="str">
        <f t="shared" si="36"/>
        <v/>
      </c>
      <c r="F307" s="224"/>
      <c r="G307" s="262">
        <f t="shared" ref="G307:G338" si="37">SUMIFS($D$275:$D$385,$E$275:$E$385,F307)</f>
        <v>0</v>
      </c>
      <c r="H307" s="217"/>
      <c r="I307" s="217"/>
      <c r="J307" s="216"/>
      <c r="K307" s="216"/>
      <c r="L307" s="216"/>
      <c r="M307" s="217"/>
      <c r="N307" s="146"/>
      <c r="O307" s="146"/>
      <c r="P307" s="146"/>
      <c r="Q307" s="217"/>
      <c r="R307" s="217"/>
      <c r="S307" s="217"/>
      <c r="T307" s="217"/>
      <c r="U307" s="217"/>
      <c r="V307" s="217"/>
      <c r="W307" s="217"/>
      <c r="X307" s="217"/>
      <c r="Y307" s="217"/>
      <c r="Z307" s="217"/>
    </row>
    <row r="308" spans="1:26" s="218" customFormat="1" ht="18" hidden="1" customHeight="1" outlineLevel="2">
      <c r="A308" s="222">
        <v>34</v>
      </c>
      <c r="B308" s="187" t="str">
        <f t="shared" si="33"/>
        <v/>
      </c>
      <c r="C308" s="187" t="str">
        <f t="shared" si="34"/>
        <v/>
      </c>
      <c r="D308" s="187" t="str">
        <f t="shared" si="35"/>
        <v/>
      </c>
      <c r="E308" s="225" t="str">
        <f t="shared" si="36"/>
        <v/>
      </c>
      <c r="F308" s="224"/>
      <c r="G308" s="262">
        <f t="shared" si="37"/>
        <v>0</v>
      </c>
      <c r="H308" s="217"/>
      <c r="I308" s="217"/>
      <c r="J308" s="217"/>
      <c r="K308" s="217"/>
      <c r="L308" s="217"/>
      <c r="M308" s="217"/>
      <c r="N308" s="146"/>
      <c r="O308" s="146"/>
      <c r="P308" s="146"/>
      <c r="Q308" s="217"/>
      <c r="R308" s="217"/>
      <c r="S308" s="217"/>
      <c r="T308" s="217"/>
      <c r="U308" s="217"/>
      <c r="V308" s="217"/>
      <c r="W308" s="217"/>
      <c r="X308" s="217"/>
      <c r="Y308" s="217"/>
      <c r="Z308" s="217"/>
    </row>
    <row r="309" spans="1:26" s="218" customFormat="1" ht="18" hidden="1" customHeight="1" outlineLevel="2">
      <c r="A309" s="222">
        <v>35</v>
      </c>
      <c r="B309" s="187" t="str">
        <f t="shared" si="33"/>
        <v/>
      </c>
      <c r="C309" s="187" t="str">
        <f t="shared" si="34"/>
        <v/>
      </c>
      <c r="D309" s="187" t="str">
        <f t="shared" si="35"/>
        <v/>
      </c>
      <c r="E309" s="225" t="str">
        <f t="shared" si="36"/>
        <v/>
      </c>
      <c r="F309" s="224"/>
      <c r="G309" s="262">
        <f t="shared" si="37"/>
        <v>0</v>
      </c>
      <c r="H309" s="217"/>
      <c r="I309" s="217"/>
      <c r="J309" s="217"/>
      <c r="K309" s="217"/>
      <c r="L309" s="217"/>
      <c r="M309" s="217"/>
      <c r="N309" s="146"/>
      <c r="O309" s="146"/>
      <c r="P309" s="146"/>
      <c r="Q309" s="217"/>
      <c r="R309" s="217"/>
      <c r="S309" s="217"/>
      <c r="T309" s="217"/>
      <c r="U309" s="217"/>
      <c r="V309" s="217"/>
      <c r="W309" s="217"/>
      <c r="X309" s="217"/>
      <c r="Y309" s="217"/>
      <c r="Z309" s="217"/>
    </row>
    <row r="310" spans="1:26" s="218" customFormat="1" ht="18" hidden="1" customHeight="1" outlineLevel="2">
      <c r="A310" s="222">
        <v>36</v>
      </c>
      <c r="B310" s="187" t="str">
        <f t="shared" si="33"/>
        <v/>
      </c>
      <c r="C310" s="187" t="str">
        <f t="shared" si="34"/>
        <v/>
      </c>
      <c r="D310" s="187" t="str">
        <f t="shared" si="35"/>
        <v/>
      </c>
      <c r="E310" s="225" t="str">
        <f t="shared" si="36"/>
        <v/>
      </c>
      <c r="F310" s="224"/>
      <c r="G310" s="262">
        <f t="shared" si="37"/>
        <v>0</v>
      </c>
      <c r="H310" s="217"/>
      <c r="I310" s="217"/>
      <c r="J310" s="217"/>
      <c r="K310" s="217"/>
      <c r="L310" s="217"/>
      <c r="M310" s="217"/>
      <c r="N310" s="146"/>
      <c r="O310" s="146"/>
      <c r="P310" s="146"/>
      <c r="Q310" s="217"/>
      <c r="R310" s="217"/>
      <c r="S310" s="217"/>
      <c r="T310" s="217"/>
      <c r="U310" s="217"/>
      <c r="V310" s="217"/>
      <c r="W310" s="217"/>
      <c r="X310" s="217"/>
      <c r="Y310" s="217"/>
      <c r="Z310" s="217"/>
    </row>
    <row r="311" spans="1:26" s="218" customFormat="1" ht="18" hidden="1" customHeight="1" outlineLevel="2">
      <c r="A311" s="222">
        <v>37</v>
      </c>
      <c r="B311" s="187" t="str">
        <f t="shared" si="33"/>
        <v/>
      </c>
      <c r="C311" s="187" t="str">
        <f t="shared" si="34"/>
        <v/>
      </c>
      <c r="D311" s="187" t="str">
        <f t="shared" si="35"/>
        <v/>
      </c>
      <c r="E311" s="225" t="str">
        <f t="shared" si="36"/>
        <v/>
      </c>
      <c r="F311" s="224"/>
      <c r="G311" s="262">
        <f t="shared" si="37"/>
        <v>0</v>
      </c>
      <c r="H311" s="217"/>
      <c r="I311" s="217"/>
      <c r="J311" s="217"/>
      <c r="K311" s="217"/>
      <c r="L311" s="217"/>
      <c r="M311" s="217"/>
      <c r="N311" s="146"/>
      <c r="O311" s="146"/>
      <c r="P311" s="146"/>
      <c r="Q311" s="217"/>
      <c r="R311" s="217"/>
      <c r="S311" s="217"/>
      <c r="T311" s="217"/>
      <c r="U311" s="217"/>
      <c r="V311" s="217"/>
      <c r="W311" s="217"/>
      <c r="X311" s="217"/>
      <c r="Y311" s="217"/>
      <c r="Z311" s="217"/>
    </row>
    <row r="312" spans="1:26" s="218" customFormat="1" ht="18" hidden="1" customHeight="1" outlineLevel="2">
      <c r="A312" s="222">
        <v>38</v>
      </c>
      <c r="B312" s="187" t="str">
        <f t="shared" si="33"/>
        <v/>
      </c>
      <c r="C312" s="187" t="str">
        <f t="shared" si="34"/>
        <v/>
      </c>
      <c r="D312" s="187" t="str">
        <f t="shared" si="35"/>
        <v/>
      </c>
      <c r="E312" s="225" t="str">
        <f t="shared" si="36"/>
        <v/>
      </c>
      <c r="F312" s="224"/>
      <c r="G312" s="262">
        <f t="shared" si="37"/>
        <v>0</v>
      </c>
      <c r="H312" s="217"/>
      <c r="I312" s="217"/>
      <c r="J312" s="217"/>
      <c r="K312" s="217"/>
      <c r="L312" s="217"/>
      <c r="M312" s="217"/>
      <c r="N312" s="146"/>
      <c r="O312" s="146"/>
      <c r="P312" s="146"/>
      <c r="Q312" s="217"/>
      <c r="R312" s="217"/>
      <c r="S312" s="217"/>
      <c r="T312" s="217"/>
      <c r="U312" s="217"/>
      <c r="V312" s="217"/>
      <c r="W312" s="217"/>
      <c r="X312" s="217"/>
      <c r="Y312" s="217"/>
      <c r="Z312" s="217"/>
    </row>
    <row r="313" spans="1:26" s="218" customFormat="1" ht="18" hidden="1" customHeight="1" outlineLevel="2">
      <c r="A313" s="222">
        <v>39</v>
      </c>
      <c r="B313" s="187" t="str">
        <f t="shared" si="33"/>
        <v/>
      </c>
      <c r="C313" s="187" t="str">
        <f t="shared" si="34"/>
        <v/>
      </c>
      <c r="D313" s="187" t="str">
        <f t="shared" si="35"/>
        <v/>
      </c>
      <c r="E313" s="225" t="str">
        <f t="shared" si="36"/>
        <v/>
      </c>
      <c r="F313" s="224"/>
      <c r="G313" s="262">
        <f t="shared" si="37"/>
        <v>0</v>
      </c>
      <c r="H313" s="217"/>
      <c r="I313" s="217"/>
      <c r="J313" s="217"/>
      <c r="K313" s="217"/>
      <c r="L313" s="217"/>
      <c r="M313" s="217"/>
      <c r="N313" s="146"/>
      <c r="O313" s="146"/>
      <c r="P313" s="146"/>
      <c r="Q313" s="217"/>
      <c r="R313" s="217"/>
      <c r="S313" s="217"/>
      <c r="T313" s="217"/>
      <c r="U313" s="217"/>
      <c r="V313" s="217"/>
      <c r="W313" s="217"/>
      <c r="X313" s="217"/>
      <c r="Y313" s="217"/>
      <c r="Z313" s="217"/>
    </row>
    <row r="314" spans="1:26" s="218" customFormat="1" ht="18" hidden="1" customHeight="1" outlineLevel="2">
      <c r="A314" s="222">
        <v>40</v>
      </c>
      <c r="B314" s="187" t="str">
        <f t="shared" si="33"/>
        <v/>
      </c>
      <c r="C314" s="187" t="str">
        <f t="shared" si="34"/>
        <v/>
      </c>
      <c r="D314" s="187" t="str">
        <f t="shared" si="35"/>
        <v/>
      </c>
      <c r="E314" s="225" t="str">
        <f t="shared" si="36"/>
        <v/>
      </c>
      <c r="F314" s="224"/>
      <c r="G314" s="262">
        <f t="shared" si="37"/>
        <v>0</v>
      </c>
      <c r="H314" s="217"/>
      <c r="I314" s="217"/>
      <c r="J314" s="217"/>
      <c r="K314" s="217"/>
      <c r="L314" s="217"/>
      <c r="M314" s="217"/>
      <c r="N314" s="146"/>
      <c r="O314" s="146"/>
      <c r="P314" s="146"/>
      <c r="Q314" s="217"/>
      <c r="R314" s="217"/>
      <c r="S314" s="217"/>
      <c r="T314" s="217"/>
      <c r="U314" s="217"/>
      <c r="V314" s="217"/>
      <c r="W314" s="217"/>
      <c r="X314" s="217"/>
      <c r="Y314" s="217"/>
      <c r="Z314" s="217"/>
    </row>
    <row r="315" spans="1:26" s="218" customFormat="1" ht="18" hidden="1" customHeight="1" outlineLevel="2">
      <c r="A315" s="222">
        <v>41</v>
      </c>
      <c r="B315" s="187" t="str">
        <f t="shared" si="33"/>
        <v/>
      </c>
      <c r="C315" s="187" t="str">
        <f t="shared" si="34"/>
        <v/>
      </c>
      <c r="D315" s="187" t="str">
        <f t="shared" si="35"/>
        <v/>
      </c>
      <c r="E315" s="225" t="str">
        <f t="shared" si="36"/>
        <v/>
      </c>
      <c r="F315" s="224"/>
      <c r="G315" s="262">
        <f t="shared" si="37"/>
        <v>0</v>
      </c>
      <c r="H315" s="217"/>
      <c r="I315" s="217"/>
      <c r="J315" s="217"/>
      <c r="K315" s="217"/>
      <c r="L315" s="217"/>
      <c r="M315" s="217"/>
      <c r="N315" s="146"/>
      <c r="O315" s="146"/>
      <c r="P315" s="146"/>
      <c r="Q315" s="217"/>
      <c r="R315" s="217"/>
      <c r="S315" s="217"/>
      <c r="T315" s="217"/>
      <c r="U315" s="217"/>
      <c r="V315" s="217"/>
      <c r="W315" s="217"/>
      <c r="X315" s="217"/>
      <c r="Y315" s="217"/>
      <c r="Z315" s="217"/>
    </row>
    <row r="316" spans="1:26" s="218" customFormat="1" ht="18" hidden="1" customHeight="1" outlineLevel="2">
      <c r="A316" s="222">
        <v>42</v>
      </c>
      <c r="B316" s="187" t="str">
        <f t="shared" si="33"/>
        <v/>
      </c>
      <c r="C316" s="187" t="str">
        <f t="shared" si="34"/>
        <v/>
      </c>
      <c r="D316" s="187" t="str">
        <f t="shared" si="35"/>
        <v/>
      </c>
      <c r="E316" s="225" t="str">
        <f t="shared" si="36"/>
        <v/>
      </c>
      <c r="F316" s="224"/>
      <c r="G316" s="262">
        <f t="shared" si="37"/>
        <v>0</v>
      </c>
      <c r="H316" s="217"/>
      <c r="I316" s="217"/>
      <c r="J316" s="216"/>
      <c r="K316" s="216"/>
      <c r="L316" s="216"/>
      <c r="M316" s="217"/>
      <c r="N316" s="146"/>
      <c r="O316" s="146"/>
      <c r="P316" s="146"/>
      <c r="Q316" s="217"/>
      <c r="R316" s="217"/>
      <c r="S316" s="217"/>
      <c r="T316" s="217"/>
      <c r="U316" s="217"/>
      <c r="V316" s="217"/>
      <c r="W316" s="217"/>
      <c r="X316" s="217"/>
      <c r="Y316" s="217"/>
      <c r="Z316" s="217"/>
    </row>
    <row r="317" spans="1:26" s="218" customFormat="1" ht="18" hidden="1" customHeight="1" outlineLevel="2">
      <c r="A317" s="222">
        <v>43</v>
      </c>
      <c r="B317" s="187" t="str">
        <f t="shared" si="33"/>
        <v/>
      </c>
      <c r="C317" s="187" t="str">
        <f t="shared" si="34"/>
        <v/>
      </c>
      <c r="D317" s="187" t="str">
        <f t="shared" si="35"/>
        <v/>
      </c>
      <c r="E317" s="225" t="str">
        <f t="shared" si="36"/>
        <v/>
      </c>
      <c r="F317" s="224"/>
      <c r="G317" s="262">
        <f t="shared" si="37"/>
        <v>0</v>
      </c>
      <c r="H317" s="217"/>
      <c r="I317" s="217"/>
      <c r="J317" s="217"/>
      <c r="K317" s="217"/>
      <c r="L317" s="217"/>
      <c r="M317" s="217"/>
      <c r="N317" s="146"/>
      <c r="O317" s="146"/>
      <c r="P317" s="146"/>
      <c r="Q317" s="217"/>
      <c r="R317" s="217"/>
      <c r="S317" s="217"/>
      <c r="T317" s="217"/>
      <c r="U317" s="217"/>
      <c r="V317" s="217"/>
      <c r="W317" s="217"/>
      <c r="X317" s="217"/>
      <c r="Y317" s="217"/>
      <c r="Z317" s="217"/>
    </row>
    <row r="318" spans="1:26" s="218" customFormat="1" ht="18" hidden="1" customHeight="1" outlineLevel="2">
      <c r="A318" s="222">
        <v>44</v>
      </c>
      <c r="B318" s="187" t="str">
        <f t="shared" si="33"/>
        <v/>
      </c>
      <c r="C318" s="187" t="str">
        <f t="shared" si="34"/>
        <v/>
      </c>
      <c r="D318" s="187" t="str">
        <f t="shared" si="35"/>
        <v/>
      </c>
      <c r="E318" s="225" t="str">
        <f t="shared" si="36"/>
        <v/>
      </c>
      <c r="F318" s="224"/>
      <c r="G318" s="262">
        <f t="shared" si="37"/>
        <v>0</v>
      </c>
      <c r="H318" s="217"/>
      <c r="I318" s="217"/>
      <c r="J318" s="217"/>
      <c r="K318" s="217"/>
      <c r="L318" s="217"/>
      <c r="M318" s="217"/>
      <c r="N318" s="146"/>
      <c r="O318" s="146"/>
      <c r="P318" s="146"/>
      <c r="Q318" s="217"/>
      <c r="R318" s="217"/>
      <c r="S318" s="217"/>
      <c r="T318" s="217"/>
      <c r="U318" s="217"/>
      <c r="V318" s="217"/>
      <c r="W318" s="217"/>
      <c r="X318" s="217"/>
      <c r="Y318" s="217"/>
      <c r="Z318" s="217"/>
    </row>
    <row r="319" spans="1:26" s="218" customFormat="1" ht="18" hidden="1" customHeight="1" outlineLevel="2">
      <c r="A319" s="222">
        <v>45</v>
      </c>
      <c r="B319" s="187" t="str">
        <f t="shared" si="33"/>
        <v/>
      </c>
      <c r="C319" s="187" t="str">
        <f t="shared" si="34"/>
        <v/>
      </c>
      <c r="D319" s="187" t="str">
        <f t="shared" si="35"/>
        <v/>
      </c>
      <c r="E319" s="225" t="str">
        <f t="shared" si="36"/>
        <v/>
      </c>
      <c r="F319" s="224"/>
      <c r="G319" s="262">
        <f t="shared" si="37"/>
        <v>0</v>
      </c>
      <c r="H319" s="217"/>
      <c r="I319" s="217"/>
      <c r="J319" s="217"/>
      <c r="K319" s="217"/>
      <c r="L319" s="217"/>
      <c r="M319" s="217"/>
      <c r="N319" s="146"/>
      <c r="O319" s="146"/>
      <c r="P319" s="146"/>
      <c r="Q319" s="217"/>
      <c r="R319" s="217"/>
      <c r="S319" s="217"/>
      <c r="T319" s="217"/>
      <c r="U319" s="217"/>
      <c r="V319" s="217"/>
      <c r="W319" s="217"/>
      <c r="X319" s="217"/>
      <c r="Y319" s="217"/>
      <c r="Z319" s="217"/>
    </row>
    <row r="320" spans="1:26" s="218" customFormat="1" ht="18" hidden="1" customHeight="1" outlineLevel="2">
      <c r="A320" s="222">
        <v>46</v>
      </c>
      <c r="B320" s="187" t="str">
        <f t="shared" si="33"/>
        <v/>
      </c>
      <c r="C320" s="187" t="str">
        <f t="shared" si="34"/>
        <v/>
      </c>
      <c r="D320" s="187" t="str">
        <f t="shared" si="35"/>
        <v/>
      </c>
      <c r="E320" s="225" t="str">
        <f t="shared" si="36"/>
        <v/>
      </c>
      <c r="F320" s="224"/>
      <c r="G320" s="262">
        <f t="shared" si="37"/>
        <v>0</v>
      </c>
      <c r="H320" s="217"/>
      <c r="I320" s="217"/>
      <c r="J320" s="217"/>
      <c r="K320" s="217"/>
      <c r="L320" s="217"/>
      <c r="M320" s="217"/>
      <c r="N320" s="146"/>
      <c r="O320" s="146"/>
      <c r="P320" s="146"/>
      <c r="Q320" s="217"/>
      <c r="R320" s="217"/>
      <c r="S320" s="217"/>
      <c r="T320" s="217"/>
      <c r="U320" s="217"/>
      <c r="V320" s="217"/>
      <c r="W320" s="217"/>
      <c r="X320" s="217"/>
      <c r="Y320" s="217"/>
      <c r="Z320" s="217"/>
    </row>
    <row r="321" spans="1:26" s="218" customFormat="1" ht="18" hidden="1" customHeight="1" outlineLevel="2">
      <c r="A321" s="222">
        <v>47</v>
      </c>
      <c r="B321" s="187" t="str">
        <f t="shared" si="33"/>
        <v/>
      </c>
      <c r="C321" s="187" t="str">
        <f t="shared" si="34"/>
        <v/>
      </c>
      <c r="D321" s="187" t="str">
        <f t="shared" si="35"/>
        <v/>
      </c>
      <c r="E321" s="225" t="str">
        <f t="shared" si="36"/>
        <v/>
      </c>
      <c r="F321" s="224"/>
      <c r="G321" s="262">
        <f t="shared" si="37"/>
        <v>0</v>
      </c>
      <c r="H321" s="217"/>
      <c r="I321" s="217"/>
      <c r="J321" s="217"/>
      <c r="K321" s="217"/>
      <c r="L321" s="217"/>
      <c r="M321" s="217"/>
      <c r="N321" s="146"/>
      <c r="O321" s="146"/>
      <c r="P321" s="146"/>
      <c r="Q321" s="217"/>
      <c r="R321" s="217"/>
      <c r="S321" s="217"/>
      <c r="T321" s="217"/>
      <c r="U321" s="217"/>
      <c r="V321" s="217"/>
      <c r="W321" s="217"/>
      <c r="X321" s="217"/>
      <c r="Y321" s="217"/>
      <c r="Z321" s="217"/>
    </row>
    <row r="322" spans="1:26" s="218" customFormat="1" ht="18" hidden="1" customHeight="1" outlineLevel="2">
      <c r="A322" s="222">
        <v>48</v>
      </c>
      <c r="B322" s="187" t="str">
        <f t="shared" si="33"/>
        <v/>
      </c>
      <c r="C322" s="187" t="str">
        <f t="shared" si="34"/>
        <v/>
      </c>
      <c r="D322" s="187" t="str">
        <f t="shared" si="35"/>
        <v/>
      </c>
      <c r="E322" s="225" t="str">
        <f t="shared" si="36"/>
        <v/>
      </c>
      <c r="F322" s="224"/>
      <c r="G322" s="262">
        <f t="shared" si="37"/>
        <v>0</v>
      </c>
      <c r="H322" s="217"/>
      <c r="I322" s="217"/>
      <c r="J322" s="217"/>
      <c r="K322" s="217"/>
      <c r="L322" s="217"/>
      <c r="M322" s="217"/>
      <c r="N322" s="146"/>
      <c r="O322" s="146"/>
      <c r="P322" s="146"/>
      <c r="Q322" s="217"/>
      <c r="R322" s="217"/>
      <c r="S322" s="217"/>
      <c r="T322" s="217"/>
      <c r="U322" s="217"/>
      <c r="V322" s="217"/>
      <c r="W322" s="217"/>
      <c r="X322" s="217"/>
      <c r="Y322" s="217"/>
      <c r="Z322" s="217"/>
    </row>
    <row r="323" spans="1:26" s="218" customFormat="1" ht="18" hidden="1" customHeight="1" outlineLevel="2">
      <c r="A323" s="222">
        <v>49</v>
      </c>
      <c r="B323" s="187" t="str">
        <f t="shared" si="33"/>
        <v/>
      </c>
      <c r="C323" s="187" t="str">
        <f t="shared" si="34"/>
        <v/>
      </c>
      <c r="D323" s="187" t="str">
        <f t="shared" si="35"/>
        <v/>
      </c>
      <c r="E323" s="225" t="str">
        <f t="shared" si="36"/>
        <v/>
      </c>
      <c r="F323" s="224"/>
      <c r="G323" s="262">
        <f t="shared" si="37"/>
        <v>0</v>
      </c>
      <c r="H323" s="217"/>
      <c r="I323" s="217"/>
      <c r="J323" s="217"/>
      <c r="K323" s="217"/>
      <c r="L323" s="217"/>
      <c r="M323" s="217"/>
      <c r="N323" s="146"/>
      <c r="O323" s="146"/>
      <c r="P323" s="146"/>
      <c r="Q323" s="217"/>
      <c r="R323" s="217"/>
      <c r="S323" s="217"/>
      <c r="T323" s="217"/>
      <c r="U323" s="217"/>
      <c r="V323" s="217"/>
      <c r="W323" s="217"/>
      <c r="X323" s="217"/>
      <c r="Y323" s="217"/>
      <c r="Z323" s="217"/>
    </row>
    <row r="324" spans="1:26" s="218" customFormat="1" ht="18" hidden="1" customHeight="1" outlineLevel="2">
      <c r="A324" s="222">
        <v>50</v>
      </c>
      <c r="B324" s="187" t="str">
        <f t="shared" si="33"/>
        <v/>
      </c>
      <c r="C324" s="187" t="str">
        <f t="shared" si="34"/>
        <v/>
      </c>
      <c r="D324" s="187" t="str">
        <f t="shared" si="35"/>
        <v/>
      </c>
      <c r="E324" s="225" t="str">
        <f t="shared" si="36"/>
        <v/>
      </c>
      <c r="F324" s="224"/>
      <c r="G324" s="262">
        <f t="shared" si="37"/>
        <v>0</v>
      </c>
      <c r="H324" s="217"/>
      <c r="I324" s="217"/>
      <c r="J324" s="217"/>
      <c r="K324" s="217"/>
      <c r="L324" s="217"/>
      <c r="M324" s="217"/>
      <c r="N324" s="146"/>
      <c r="O324" s="146"/>
      <c r="P324" s="146"/>
      <c r="Q324" s="217"/>
      <c r="R324" s="217"/>
      <c r="S324" s="217"/>
      <c r="T324" s="217"/>
      <c r="U324" s="217"/>
      <c r="V324" s="217"/>
      <c r="W324" s="217"/>
      <c r="X324" s="217"/>
      <c r="Y324" s="217"/>
      <c r="Z324" s="217"/>
    </row>
    <row r="325" spans="1:26" s="218" customFormat="1" ht="18" hidden="1" customHeight="1" outlineLevel="1" collapsed="1">
      <c r="A325" s="222">
        <v>51</v>
      </c>
      <c r="B325" s="187" t="str">
        <f t="shared" ref="B325:B344" si="38">IF(INDEX(inputs_pkclid,MATCH($A325,inputs_pkclno,0))&lt;&gt;"",INDEX(inputs_pkclid,MATCH($A325,inputs_pkclno,0)),"")</f>
        <v/>
      </c>
      <c r="C325" s="187" t="str">
        <f t="shared" ref="C325:C344" si="39">IF(INDEX(inputs_pkclst,MATCH($A325,inputs_pkclno,0))&lt;&gt;"",INDEX(inputs_pkclst,MATCH($A325,inputs_pkclno,0)),"")</f>
        <v/>
      </c>
      <c r="D325" s="187" t="str">
        <f t="shared" ref="D325:D344" si="40">IF(INDEX(inputs_pkclpl,MATCH($A325,inputs_pkclno,0))&lt;&gt;"",INDEX(inputs_pkclpl,MATCH($A325,inputs_pkclno,0)),"")</f>
        <v/>
      </c>
      <c r="E325" s="225" t="str">
        <f t="shared" ref="E325:E344" si="41">IF(INDEX(inputs_pkclty,MATCH($A325,inputs_pkclno,0))&lt;&gt;"",INDEX(inputs_pkclty,MATCH($A325,inputs_pkclno,0)),"")</f>
        <v/>
      </c>
      <c r="F325" s="224"/>
      <c r="G325" s="262">
        <f t="shared" si="37"/>
        <v>0</v>
      </c>
      <c r="H325" s="159" t="s">
        <v>170</v>
      </c>
      <c r="I325" s="217"/>
      <c r="J325" s="217"/>
      <c r="K325" s="217"/>
      <c r="L325" s="217"/>
      <c r="M325" s="217"/>
      <c r="N325" s="146"/>
      <c r="O325" s="146"/>
      <c r="P325" s="146"/>
      <c r="Q325" s="217"/>
      <c r="R325" s="217"/>
      <c r="S325" s="217"/>
      <c r="T325" s="217"/>
      <c r="U325" s="217"/>
      <c r="V325" s="217"/>
      <c r="W325" s="217"/>
      <c r="X325" s="217"/>
      <c r="Y325" s="217"/>
      <c r="Z325" s="217"/>
    </row>
    <row r="326" spans="1:26" s="218" customFormat="1" ht="18" hidden="1" customHeight="1" outlineLevel="2" collapsed="1">
      <c r="A326" s="222">
        <v>52</v>
      </c>
      <c r="B326" s="187" t="str">
        <f t="shared" si="38"/>
        <v/>
      </c>
      <c r="C326" s="187" t="str">
        <f t="shared" si="39"/>
        <v/>
      </c>
      <c r="D326" s="187" t="str">
        <f t="shared" si="40"/>
        <v/>
      </c>
      <c r="E326" s="225" t="str">
        <f t="shared" si="41"/>
        <v/>
      </c>
      <c r="F326" s="224"/>
      <c r="G326" s="262">
        <f t="shared" si="37"/>
        <v>0</v>
      </c>
      <c r="H326" s="217"/>
      <c r="I326" s="217"/>
      <c r="J326" s="217"/>
      <c r="K326" s="217"/>
      <c r="L326" s="217"/>
      <c r="M326" s="217"/>
      <c r="N326" s="146"/>
      <c r="O326" s="146"/>
      <c r="P326" s="146"/>
      <c r="Q326" s="217"/>
      <c r="R326" s="217"/>
      <c r="S326" s="217"/>
      <c r="T326" s="217"/>
      <c r="U326" s="217"/>
      <c r="V326" s="217"/>
      <c r="W326" s="217"/>
      <c r="X326" s="217"/>
      <c r="Y326" s="217"/>
      <c r="Z326" s="217"/>
    </row>
    <row r="327" spans="1:26" s="218" customFormat="1" ht="18" hidden="1" customHeight="1" outlineLevel="2">
      <c r="A327" s="222">
        <v>53</v>
      </c>
      <c r="B327" s="187" t="str">
        <f t="shared" si="38"/>
        <v/>
      </c>
      <c r="C327" s="187" t="str">
        <f t="shared" si="39"/>
        <v/>
      </c>
      <c r="D327" s="187" t="str">
        <f t="shared" si="40"/>
        <v/>
      </c>
      <c r="E327" s="225" t="str">
        <f t="shared" si="41"/>
        <v/>
      </c>
      <c r="F327" s="224"/>
      <c r="G327" s="262">
        <f t="shared" si="37"/>
        <v>0</v>
      </c>
      <c r="H327" s="217"/>
      <c r="I327" s="217"/>
      <c r="J327" s="217"/>
      <c r="K327" s="217"/>
      <c r="L327" s="217"/>
      <c r="M327" s="217"/>
      <c r="N327" s="146"/>
      <c r="O327" s="146"/>
      <c r="P327" s="146"/>
      <c r="Q327" s="217"/>
      <c r="R327" s="217"/>
      <c r="S327" s="217"/>
      <c r="T327" s="217"/>
      <c r="U327" s="217"/>
      <c r="V327" s="217"/>
      <c r="W327" s="217"/>
      <c r="X327" s="217"/>
      <c r="Y327" s="217"/>
      <c r="Z327" s="217"/>
    </row>
    <row r="328" spans="1:26" s="218" customFormat="1" ht="18" hidden="1" customHeight="1" outlineLevel="2" collapsed="1">
      <c r="A328" s="222">
        <v>54</v>
      </c>
      <c r="B328" s="187" t="str">
        <f t="shared" si="38"/>
        <v/>
      </c>
      <c r="C328" s="187" t="str">
        <f t="shared" si="39"/>
        <v/>
      </c>
      <c r="D328" s="187" t="str">
        <f t="shared" si="40"/>
        <v/>
      </c>
      <c r="E328" s="225" t="str">
        <f t="shared" si="41"/>
        <v/>
      </c>
      <c r="F328" s="224"/>
      <c r="G328" s="262">
        <f t="shared" si="37"/>
        <v>0</v>
      </c>
      <c r="H328" s="217"/>
      <c r="I328" s="217"/>
      <c r="J328" s="217"/>
      <c r="K328" s="217"/>
      <c r="L328" s="217"/>
      <c r="M328" s="217"/>
      <c r="N328" s="146"/>
      <c r="O328" s="146"/>
      <c r="P328" s="146"/>
      <c r="Q328" s="217"/>
      <c r="R328" s="217"/>
      <c r="S328" s="217"/>
      <c r="T328" s="217"/>
      <c r="U328" s="217"/>
      <c r="V328" s="217"/>
      <c r="W328" s="217"/>
      <c r="X328" s="217"/>
      <c r="Y328" s="217"/>
      <c r="Z328" s="217"/>
    </row>
    <row r="329" spans="1:26" s="218" customFormat="1" ht="18" hidden="1" customHeight="1" outlineLevel="2">
      <c r="A329" s="222">
        <v>55</v>
      </c>
      <c r="B329" s="187" t="str">
        <f t="shared" si="38"/>
        <v/>
      </c>
      <c r="C329" s="187" t="str">
        <f t="shared" si="39"/>
        <v/>
      </c>
      <c r="D329" s="187" t="str">
        <f t="shared" si="40"/>
        <v/>
      </c>
      <c r="E329" s="225" t="str">
        <f t="shared" si="41"/>
        <v/>
      </c>
      <c r="F329" s="224"/>
      <c r="G329" s="262">
        <f t="shared" si="37"/>
        <v>0</v>
      </c>
      <c r="H329" s="217"/>
      <c r="I329" s="217"/>
      <c r="J329" s="217"/>
      <c r="K329" s="217"/>
      <c r="L329" s="217"/>
      <c r="M329" s="217"/>
      <c r="N329" s="146"/>
      <c r="O329" s="146"/>
      <c r="P329" s="146"/>
      <c r="Q329" s="217"/>
      <c r="R329" s="217"/>
      <c r="S329" s="217"/>
      <c r="T329" s="217"/>
      <c r="U329" s="217"/>
      <c r="V329" s="217"/>
      <c r="W329" s="217"/>
      <c r="X329" s="217"/>
      <c r="Y329" s="217"/>
      <c r="Z329" s="217"/>
    </row>
    <row r="330" spans="1:26" s="218" customFormat="1" ht="18" hidden="1" customHeight="1" outlineLevel="2" collapsed="1">
      <c r="A330" s="222">
        <v>56</v>
      </c>
      <c r="B330" s="187" t="str">
        <f t="shared" si="38"/>
        <v/>
      </c>
      <c r="C330" s="187" t="str">
        <f t="shared" si="39"/>
        <v/>
      </c>
      <c r="D330" s="187" t="str">
        <f t="shared" si="40"/>
        <v/>
      </c>
      <c r="E330" s="225" t="str">
        <f t="shared" si="41"/>
        <v/>
      </c>
      <c r="F330" s="224"/>
      <c r="G330" s="262">
        <f t="shared" si="37"/>
        <v>0</v>
      </c>
      <c r="H330" s="217"/>
      <c r="I330" s="217"/>
      <c r="J330" s="217"/>
      <c r="K330" s="217"/>
      <c r="L330" s="217"/>
      <c r="M330" s="217"/>
      <c r="N330" s="146"/>
      <c r="O330" s="146"/>
      <c r="P330" s="146"/>
      <c r="Q330" s="217"/>
      <c r="R330" s="217"/>
      <c r="S330" s="217"/>
      <c r="T330" s="217"/>
      <c r="U330" s="217"/>
      <c r="V330" s="217"/>
      <c r="W330" s="217"/>
      <c r="X330" s="217"/>
      <c r="Y330" s="217"/>
      <c r="Z330" s="217"/>
    </row>
    <row r="331" spans="1:26" s="218" customFormat="1" ht="18" hidden="1" customHeight="1" outlineLevel="2">
      <c r="A331" s="222">
        <v>57</v>
      </c>
      <c r="B331" s="187" t="str">
        <f t="shared" si="38"/>
        <v/>
      </c>
      <c r="C331" s="187" t="str">
        <f t="shared" si="39"/>
        <v/>
      </c>
      <c r="D331" s="187" t="str">
        <f t="shared" si="40"/>
        <v/>
      </c>
      <c r="E331" s="225" t="str">
        <f t="shared" si="41"/>
        <v/>
      </c>
      <c r="F331" s="224"/>
      <c r="G331" s="262">
        <f t="shared" si="37"/>
        <v>0</v>
      </c>
      <c r="H331" s="217"/>
      <c r="I331" s="217"/>
      <c r="J331" s="217"/>
      <c r="K331" s="217"/>
      <c r="L331" s="217"/>
      <c r="M331" s="217"/>
      <c r="N331" s="146"/>
      <c r="O331" s="146"/>
      <c r="P331" s="146"/>
      <c r="Q331" s="217"/>
      <c r="R331" s="217"/>
      <c r="S331" s="217"/>
      <c r="T331" s="217"/>
      <c r="U331" s="217"/>
      <c r="V331" s="217"/>
      <c r="W331" s="217"/>
      <c r="X331" s="217"/>
      <c r="Y331" s="217"/>
      <c r="Z331" s="217"/>
    </row>
    <row r="332" spans="1:26" s="218" customFormat="1" ht="18" hidden="1" customHeight="1" outlineLevel="2" collapsed="1">
      <c r="A332" s="222">
        <v>58</v>
      </c>
      <c r="B332" s="187" t="str">
        <f t="shared" si="38"/>
        <v/>
      </c>
      <c r="C332" s="187" t="str">
        <f t="shared" si="39"/>
        <v/>
      </c>
      <c r="D332" s="187" t="str">
        <f t="shared" si="40"/>
        <v/>
      </c>
      <c r="E332" s="225" t="str">
        <f t="shared" si="41"/>
        <v/>
      </c>
      <c r="F332" s="224"/>
      <c r="G332" s="262">
        <f t="shared" si="37"/>
        <v>0</v>
      </c>
      <c r="H332" s="217"/>
      <c r="I332" s="217"/>
      <c r="J332" s="217"/>
      <c r="K332" s="217"/>
      <c r="L332" s="217"/>
      <c r="M332" s="217"/>
      <c r="N332" s="146"/>
      <c r="O332" s="146"/>
      <c r="P332" s="146"/>
      <c r="Q332" s="217"/>
      <c r="R332" s="217"/>
      <c r="S332" s="217"/>
      <c r="T332" s="217"/>
      <c r="U332" s="217"/>
      <c r="V332" s="217"/>
      <c r="W332" s="217"/>
      <c r="X332" s="217"/>
      <c r="Y332" s="217"/>
      <c r="Z332" s="217"/>
    </row>
    <row r="333" spans="1:26" s="218" customFormat="1" ht="18" hidden="1" customHeight="1" outlineLevel="2">
      <c r="A333" s="222">
        <v>59</v>
      </c>
      <c r="B333" s="187" t="str">
        <f t="shared" si="38"/>
        <v/>
      </c>
      <c r="C333" s="187" t="str">
        <f t="shared" si="39"/>
        <v/>
      </c>
      <c r="D333" s="187" t="str">
        <f t="shared" si="40"/>
        <v/>
      </c>
      <c r="E333" s="225" t="str">
        <f t="shared" si="41"/>
        <v/>
      </c>
      <c r="F333" s="224"/>
      <c r="G333" s="262">
        <f t="shared" si="37"/>
        <v>0</v>
      </c>
      <c r="H333" s="217"/>
      <c r="I333" s="217"/>
      <c r="J333" s="217"/>
      <c r="K333" s="217"/>
      <c r="L333" s="217"/>
      <c r="M333" s="217"/>
      <c r="N333" s="146"/>
      <c r="O333" s="146"/>
      <c r="P333" s="146"/>
      <c r="Q333" s="217"/>
      <c r="R333" s="217"/>
      <c r="S333" s="217"/>
      <c r="T333" s="217"/>
      <c r="U333" s="217"/>
      <c r="V333" s="217"/>
      <c r="W333" s="217"/>
      <c r="X333" s="217"/>
      <c r="Y333" s="217"/>
      <c r="Z333" s="217"/>
    </row>
    <row r="334" spans="1:26" s="218" customFormat="1" ht="18" hidden="1" customHeight="1" outlineLevel="2">
      <c r="A334" s="222">
        <v>60</v>
      </c>
      <c r="B334" s="187" t="str">
        <f t="shared" si="38"/>
        <v/>
      </c>
      <c r="C334" s="187" t="str">
        <f t="shared" si="39"/>
        <v/>
      </c>
      <c r="D334" s="187" t="str">
        <f t="shared" si="40"/>
        <v/>
      </c>
      <c r="E334" s="225" t="str">
        <f t="shared" si="41"/>
        <v/>
      </c>
      <c r="F334" s="224"/>
      <c r="G334" s="262">
        <f t="shared" si="37"/>
        <v>0</v>
      </c>
      <c r="H334" s="217"/>
      <c r="I334" s="217"/>
      <c r="J334" s="217"/>
      <c r="K334" s="217"/>
      <c r="L334" s="217"/>
      <c r="M334" s="217"/>
      <c r="N334" s="146"/>
      <c r="O334" s="146"/>
      <c r="P334" s="146"/>
      <c r="Q334" s="217"/>
      <c r="R334" s="217"/>
      <c r="S334" s="217"/>
      <c r="T334" s="217"/>
      <c r="U334" s="217"/>
      <c r="V334" s="217"/>
      <c r="W334" s="217"/>
      <c r="X334" s="217"/>
      <c r="Y334" s="217"/>
      <c r="Z334" s="217"/>
    </row>
    <row r="335" spans="1:26" s="218" customFormat="1" ht="18" hidden="1" customHeight="1" outlineLevel="2">
      <c r="A335" s="222">
        <v>61</v>
      </c>
      <c r="B335" s="187" t="str">
        <f t="shared" si="38"/>
        <v/>
      </c>
      <c r="C335" s="187" t="str">
        <f t="shared" si="39"/>
        <v/>
      </c>
      <c r="D335" s="187" t="str">
        <f t="shared" si="40"/>
        <v/>
      </c>
      <c r="E335" s="225" t="str">
        <f t="shared" si="41"/>
        <v/>
      </c>
      <c r="F335" s="224"/>
      <c r="G335" s="262">
        <f t="shared" si="37"/>
        <v>0</v>
      </c>
      <c r="H335" s="217"/>
      <c r="I335" s="217"/>
      <c r="J335" s="217"/>
      <c r="K335" s="217"/>
      <c r="L335" s="217"/>
      <c r="M335" s="217"/>
      <c r="N335" s="146"/>
      <c r="O335" s="146"/>
      <c r="P335" s="146"/>
      <c r="Q335" s="217"/>
      <c r="R335" s="217"/>
      <c r="S335" s="217"/>
      <c r="T335" s="217"/>
      <c r="U335" s="217"/>
      <c r="V335" s="217"/>
      <c r="W335" s="217"/>
      <c r="X335" s="217"/>
      <c r="Y335" s="217"/>
      <c r="Z335" s="217"/>
    </row>
    <row r="336" spans="1:26" s="218" customFormat="1" ht="18" hidden="1" customHeight="1" outlineLevel="2">
      <c r="A336" s="222">
        <v>62</v>
      </c>
      <c r="B336" s="187" t="str">
        <f t="shared" si="38"/>
        <v/>
      </c>
      <c r="C336" s="187" t="str">
        <f t="shared" si="39"/>
        <v/>
      </c>
      <c r="D336" s="187" t="str">
        <f t="shared" si="40"/>
        <v/>
      </c>
      <c r="E336" s="225" t="str">
        <f t="shared" si="41"/>
        <v/>
      </c>
      <c r="F336" s="224"/>
      <c r="G336" s="262">
        <f t="shared" si="37"/>
        <v>0</v>
      </c>
      <c r="H336" s="217"/>
      <c r="I336" s="217"/>
      <c r="J336" s="216"/>
      <c r="K336" s="216"/>
      <c r="L336" s="216"/>
      <c r="M336" s="217"/>
      <c r="N336" s="146"/>
      <c r="O336" s="146"/>
      <c r="P336" s="146"/>
      <c r="Q336" s="217"/>
      <c r="R336" s="217"/>
      <c r="S336" s="217"/>
      <c r="T336" s="217"/>
      <c r="U336" s="217"/>
      <c r="V336" s="217"/>
      <c r="W336" s="217"/>
      <c r="X336" s="217"/>
      <c r="Y336" s="217"/>
      <c r="Z336" s="217"/>
    </row>
    <row r="337" spans="1:26" s="218" customFormat="1" ht="18" hidden="1" customHeight="1" outlineLevel="2">
      <c r="A337" s="222">
        <v>63</v>
      </c>
      <c r="B337" s="187" t="str">
        <f t="shared" si="38"/>
        <v/>
      </c>
      <c r="C337" s="187" t="str">
        <f t="shared" si="39"/>
        <v/>
      </c>
      <c r="D337" s="187" t="str">
        <f t="shared" si="40"/>
        <v/>
      </c>
      <c r="E337" s="225" t="str">
        <f t="shared" si="41"/>
        <v/>
      </c>
      <c r="F337" s="224"/>
      <c r="G337" s="262">
        <f t="shared" si="37"/>
        <v>0</v>
      </c>
      <c r="H337" s="217"/>
      <c r="I337" s="217"/>
      <c r="J337" s="217"/>
      <c r="K337" s="217"/>
      <c r="L337" s="217"/>
      <c r="M337" s="217"/>
      <c r="N337" s="146"/>
      <c r="O337" s="146"/>
      <c r="P337" s="146"/>
      <c r="Q337" s="217"/>
      <c r="R337" s="217"/>
      <c r="S337" s="217"/>
      <c r="T337" s="217"/>
      <c r="U337" s="217"/>
      <c r="V337" s="217"/>
      <c r="W337" s="217"/>
      <c r="X337" s="217"/>
      <c r="Y337" s="217"/>
      <c r="Z337" s="217"/>
    </row>
    <row r="338" spans="1:26" s="218" customFormat="1" ht="18" hidden="1" customHeight="1" outlineLevel="2">
      <c r="A338" s="222">
        <v>64</v>
      </c>
      <c r="B338" s="187" t="str">
        <f t="shared" si="38"/>
        <v/>
      </c>
      <c r="C338" s="187" t="str">
        <f t="shared" si="39"/>
        <v/>
      </c>
      <c r="D338" s="187" t="str">
        <f t="shared" si="40"/>
        <v/>
      </c>
      <c r="E338" s="225" t="str">
        <f t="shared" si="41"/>
        <v/>
      </c>
      <c r="F338" s="224"/>
      <c r="G338" s="262">
        <f t="shared" si="37"/>
        <v>0</v>
      </c>
      <c r="H338" s="217"/>
      <c r="I338" s="217"/>
      <c r="J338" s="217"/>
      <c r="K338" s="217"/>
      <c r="L338" s="217"/>
      <c r="M338" s="217"/>
      <c r="N338" s="146"/>
      <c r="O338" s="146"/>
      <c r="P338" s="146"/>
      <c r="Q338" s="217"/>
      <c r="R338" s="217"/>
      <c r="S338" s="217"/>
      <c r="T338" s="217"/>
      <c r="U338" s="217"/>
      <c r="V338" s="217"/>
      <c r="W338" s="217"/>
      <c r="X338" s="217"/>
      <c r="Y338" s="217"/>
      <c r="Z338" s="217"/>
    </row>
    <row r="339" spans="1:26" s="218" customFormat="1" ht="18" hidden="1" customHeight="1" outlineLevel="2">
      <c r="A339" s="222">
        <v>65</v>
      </c>
      <c r="B339" s="187" t="str">
        <f t="shared" si="38"/>
        <v/>
      </c>
      <c r="C339" s="187" t="str">
        <f t="shared" si="39"/>
        <v/>
      </c>
      <c r="D339" s="187" t="str">
        <f t="shared" si="40"/>
        <v/>
      </c>
      <c r="E339" s="225" t="str">
        <f t="shared" si="41"/>
        <v/>
      </c>
      <c r="F339" s="224"/>
      <c r="G339" s="262">
        <f t="shared" ref="G339:G370" si="42">SUMIFS($D$275:$D$385,$E$275:$E$385,F339)</f>
        <v>0</v>
      </c>
      <c r="H339" s="217"/>
      <c r="I339" s="217"/>
      <c r="J339" s="217"/>
      <c r="K339" s="217"/>
      <c r="L339" s="217"/>
      <c r="M339" s="217"/>
      <c r="N339" s="146"/>
      <c r="O339" s="146"/>
      <c r="P339" s="146"/>
      <c r="Q339" s="217"/>
      <c r="R339" s="217"/>
      <c r="S339" s="217"/>
      <c r="T339" s="217"/>
      <c r="U339" s="217"/>
      <c r="V339" s="217"/>
      <c r="W339" s="217"/>
      <c r="X339" s="217"/>
      <c r="Y339" s="217"/>
      <c r="Z339" s="217"/>
    </row>
    <row r="340" spans="1:26" s="218" customFormat="1" ht="18" hidden="1" customHeight="1" outlineLevel="2">
      <c r="A340" s="222">
        <v>66</v>
      </c>
      <c r="B340" s="187" t="str">
        <f t="shared" si="38"/>
        <v/>
      </c>
      <c r="C340" s="187" t="str">
        <f t="shared" si="39"/>
        <v/>
      </c>
      <c r="D340" s="187" t="str">
        <f t="shared" si="40"/>
        <v/>
      </c>
      <c r="E340" s="225" t="str">
        <f t="shared" si="41"/>
        <v/>
      </c>
      <c r="F340" s="224"/>
      <c r="G340" s="262">
        <f t="shared" si="42"/>
        <v>0</v>
      </c>
      <c r="H340" s="217"/>
      <c r="I340" s="217"/>
      <c r="J340" s="217"/>
      <c r="K340" s="217"/>
      <c r="L340" s="217"/>
      <c r="M340" s="217"/>
      <c r="N340" s="146"/>
      <c r="O340" s="146"/>
      <c r="P340" s="146"/>
      <c r="Q340" s="217"/>
      <c r="R340" s="217"/>
      <c r="S340" s="217"/>
      <c r="T340" s="217"/>
      <c r="U340" s="217"/>
      <c r="V340" s="217"/>
      <c r="W340" s="217"/>
      <c r="X340" s="217"/>
      <c r="Y340" s="217"/>
      <c r="Z340" s="217"/>
    </row>
    <row r="341" spans="1:26" s="218" customFormat="1" ht="18" hidden="1" customHeight="1" outlineLevel="2">
      <c r="A341" s="222">
        <v>67</v>
      </c>
      <c r="B341" s="187" t="str">
        <f t="shared" si="38"/>
        <v/>
      </c>
      <c r="C341" s="187" t="str">
        <f t="shared" si="39"/>
        <v/>
      </c>
      <c r="D341" s="187" t="str">
        <f t="shared" si="40"/>
        <v/>
      </c>
      <c r="E341" s="225" t="str">
        <f t="shared" si="41"/>
        <v/>
      </c>
      <c r="F341" s="224"/>
      <c r="G341" s="262">
        <f t="shared" si="42"/>
        <v>0</v>
      </c>
      <c r="H341" s="217"/>
      <c r="I341" s="217"/>
      <c r="J341" s="217"/>
      <c r="K341" s="217"/>
      <c r="L341" s="217"/>
      <c r="M341" s="217"/>
      <c r="N341" s="146"/>
      <c r="O341" s="146"/>
      <c r="P341" s="146"/>
      <c r="Q341" s="217"/>
      <c r="R341" s="217"/>
      <c r="S341" s="217"/>
      <c r="T341" s="217"/>
      <c r="U341" s="217"/>
      <c r="V341" s="217"/>
      <c r="W341" s="217"/>
      <c r="X341" s="217"/>
      <c r="Y341" s="217"/>
      <c r="Z341" s="217"/>
    </row>
    <row r="342" spans="1:26" s="218" customFormat="1" ht="18" hidden="1" customHeight="1" outlineLevel="2">
      <c r="A342" s="222">
        <v>68</v>
      </c>
      <c r="B342" s="187" t="str">
        <f t="shared" si="38"/>
        <v/>
      </c>
      <c r="C342" s="187" t="str">
        <f t="shared" si="39"/>
        <v/>
      </c>
      <c r="D342" s="187" t="str">
        <f t="shared" si="40"/>
        <v/>
      </c>
      <c r="E342" s="225" t="str">
        <f t="shared" si="41"/>
        <v/>
      </c>
      <c r="F342" s="224"/>
      <c r="G342" s="262">
        <f t="shared" si="42"/>
        <v>0</v>
      </c>
      <c r="H342" s="217"/>
      <c r="I342" s="217"/>
      <c r="J342" s="217"/>
      <c r="K342" s="217"/>
      <c r="L342" s="217"/>
      <c r="M342" s="217"/>
      <c r="N342" s="146"/>
      <c r="O342" s="146"/>
      <c r="P342" s="146"/>
      <c r="Q342" s="217"/>
      <c r="R342" s="217"/>
      <c r="S342" s="217"/>
      <c r="T342" s="217"/>
      <c r="U342" s="217"/>
      <c r="V342" s="217"/>
      <c r="W342" s="217"/>
      <c r="X342" s="217"/>
      <c r="Y342" s="217"/>
      <c r="Z342" s="217"/>
    </row>
    <row r="343" spans="1:26" s="218" customFormat="1" ht="18" hidden="1" customHeight="1" outlineLevel="2">
      <c r="A343" s="222">
        <v>69</v>
      </c>
      <c r="B343" s="187" t="str">
        <f t="shared" si="38"/>
        <v/>
      </c>
      <c r="C343" s="187" t="str">
        <f t="shared" si="39"/>
        <v/>
      </c>
      <c r="D343" s="187" t="str">
        <f t="shared" si="40"/>
        <v/>
      </c>
      <c r="E343" s="225" t="str">
        <f t="shared" si="41"/>
        <v/>
      </c>
      <c r="F343" s="224"/>
      <c r="G343" s="262">
        <f t="shared" si="42"/>
        <v>0</v>
      </c>
      <c r="H343" s="217"/>
      <c r="I343" s="217"/>
      <c r="J343" s="217"/>
      <c r="K343" s="217"/>
      <c r="L343" s="217"/>
      <c r="M343" s="217"/>
      <c r="N343" s="146"/>
      <c r="O343" s="146"/>
      <c r="P343" s="146"/>
      <c r="Q343" s="217"/>
      <c r="R343" s="217"/>
      <c r="S343" s="217"/>
      <c r="T343" s="217"/>
      <c r="U343" s="217"/>
      <c r="V343" s="217"/>
      <c r="W343" s="217"/>
      <c r="X343" s="217"/>
      <c r="Y343" s="217"/>
      <c r="Z343" s="217"/>
    </row>
    <row r="344" spans="1:26" s="218" customFormat="1" ht="18" hidden="1" customHeight="1" outlineLevel="2">
      <c r="A344" s="222">
        <v>70</v>
      </c>
      <c r="B344" s="187" t="str">
        <f t="shared" si="38"/>
        <v/>
      </c>
      <c r="C344" s="187" t="str">
        <f t="shared" si="39"/>
        <v/>
      </c>
      <c r="D344" s="187" t="str">
        <f t="shared" si="40"/>
        <v/>
      </c>
      <c r="E344" s="225" t="str">
        <f t="shared" si="41"/>
        <v/>
      </c>
      <c r="F344" s="224"/>
      <c r="G344" s="262">
        <f t="shared" si="42"/>
        <v>0</v>
      </c>
      <c r="H344" s="217"/>
      <c r="I344" s="217"/>
      <c r="J344" s="217"/>
      <c r="K344" s="217"/>
      <c r="L344" s="217"/>
      <c r="M344" s="217"/>
      <c r="N344" s="146"/>
      <c r="O344" s="146"/>
      <c r="P344" s="146"/>
      <c r="Q344" s="217"/>
      <c r="R344" s="217"/>
      <c r="S344" s="217"/>
      <c r="T344" s="217"/>
      <c r="U344" s="217"/>
      <c r="V344" s="217"/>
      <c r="W344" s="217"/>
      <c r="X344" s="217"/>
      <c r="Y344" s="217"/>
      <c r="Z344" s="217"/>
    </row>
    <row r="345" spans="1:26" s="218" customFormat="1" ht="18" hidden="1" customHeight="1" outlineLevel="1" collapsed="1">
      <c r="A345" s="222">
        <v>71</v>
      </c>
      <c r="B345" s="187" t="str">
        <f t="shared" ref="B345:B364" si="43">IF(INDEX(inputs_pkclid,MATCH($A345,inputs_pkclno,0))&lt;&gt;"",INDEX(inputs_pkclid,MATCH($A345,inputs_pkclno,0)),"")</f>
        <v/>
      </c>
      <c r="C345" s="187" t="str">
        <f t="shared" ref="C345:C364" si="44">IF(INDEX(inputs_pkclst,MATCH($A345,inputs_pkclno,0))&lt;&gt;"",INDEX(inputs_pkclst,MATCH($A345,inputs_pkclno,0)),"")</f>
        <v/>
      </c>
      <c r="D345" s="187" t="str">
        <f t="shared" ref="D345:D364" si="45">IF(INDEX(inputs_pkclpl,MATCH($A345,inputs_pkclno,0))&lt;&gt;"",INDEX(inputs_pkclpl,MATCH($A345,inputs_pkclno,0)),"")</f>
        <v/>
      </c>
      <c r="E345" s="225" t="str">
        <f t="shared" ref="E345:E364" si="46">IF(INDEX(inputs_pkclty,MATCH($A345,inputs_pkclno,0))&lt;&gt;"",INDEX(inputs_pkclty,MATCH($A345,inputs_pkclno,0)),"")</f>
        <v/>
      </c>
      <c r="F345" s="224"/>
      <c r="G345" s="262">
        <f t="shared" si="42"/>
        <v>0</v>
      </c>
      <c r="H345" s="159" t="s">
        <v>170</v>
      </c>
      <c r="I345" s="217"/>
      <c r="J345" s="217"/>
      <c r="K345" s="217"/>
      <c r="L345" s="217"/>
      <c r="M345" s="217"/>
      <c r="N345" s="146"/>
      <c r="O345" s="146"/>
      <c r="P345" s="146"/>
      <c r="Q345" s="217"/>
      <c r="R345" s="217"/>
      <c r="S345" s="217"/>
      <c r="T345" s="217"/>
      <c r="U345" s="217"/>
      <c r="V345" s="217"/>
      <c r="W345" s="217"/>
      <c r="X345" s="217"/>
      <c r="Y345" s="217"/>
      <c r="Z345" s="217"/>
    </row>
    <row r="346" spans="1:26" s="218" customFormat="1" ht="18" hidden="1" customHeight="1" outlineLevel="2">
      <c r="A346" s="222">
        <v>72</v>
      </c>
      <c r="B346" s="187" t="str">
        <f t="shared" si="43"/>
        <v/>
      </c>
      <c r="C346" s="187" t="str">
        <f t="shared" si="44"/>
        <v/>
      </c>
      <c r="D346" s="187" t="str">
        <f t="shared" si="45"/>
        <v/>
      </c>
      <c r="E346" s="225" t="str">
        <f t="shared" si="46"/>
        <v/>
      </c>
      <c r="F346" s="224"/>
      <c r="G346" s="262">
        <f t="shared" si="42"/>
        <v>0</v>
      </c>
      <c r="H346" s="217"/>
      <c r="I346" s="217"/>
      <c r="J346" s="217"/>
      <c r="K346" s="217"/>
      <c r="L346" s="217"/>
      <c r="M346" s="217"/>
      <c r="N346" s="146"/>
      <c r="O346" s="146"/>
      <c r="P346" s="146"/>
      <c r="Q346" s="217"/>
      <c r="R346" s="217"/>
      <c r="S346" s="217"/>
      <c r="T346" s="217"/>
      <c r="U346" s="217"/>
      <c r="V346" s="217"/>
      <c r="W346" s="217"/>
      <c r="X346" s="217"/>
      <c r="Y346" s="217"/>
      <c r="Z346" s="217"/>
    </row>
    <row r="347" spans="1:26" s="218" customFormat="1" ht="18" hidden="1" customHeight="1" outlineLevel="2" collapsed="1">
      <c r="A347" s="222">
        <v>73</v>
      </c>
      <c r="B347" s="187" t="str">
        <f t="shared" si="43"/>
        <v/>
      </c>
      <c r="C347" s="187" t="str">
        <f t="shared" si="44"/>
        <v/>
      </c>
      <c r="D347" s="187" t="str">
        <f t="shared" si="45"/>
        <v/>
      </c>
      <c r="E347" s="225" t="str">
        <f t="shared" si="46"/>
        <v/>
      </c>
      <c r="F347" s="224"/>
      <c r="G347" s="262">
        <f t="shared" si="42"/>
        <v>0</v>
      </c>
      <c r="H347" s="217"/>
      <c r="I347" s="217"/>
      <c r="J347" s="217"/>
      <c r="K347" s="217"/>
      <c r="L347" s="217"/>
      <c r="M347" s="217"/>
      <c r="N347" s="146"/>
      <c r="O347" s="146"/>
      <c r="P347" s="146"/>
      <c r="Q347" s="217"/>
      <c r="R347" s="217"/>
      <c r="S347" s="217"/>
      <c r="T347" s="217"/>
      <c r="U347" s="217"/>
      <c r="V347" s="217"/>
      <c r="W347" s="217"/>
      <c r="X347" s="217"/>
      <c r="Y347" s="217"/>
      <c r="Z347" s="217"/>
    </row>
    <row r="348" spans="1:26" s="218" customFormat="1" ht="18" hidden="1" customHeight="1" outlineLevel="2">
      <c r="A348" s="222">
        <v>74</v>
      </c>
      <c r="B348" s="187" t="str">
        <f t="shared" si="43"/>
        <v/>
      </c>
      <c r="C348" s="187" t="str">
        <f t="shared" si="44"/>
        <v/>
      </c>
      <c r="D348" s="187" t="str">
        <f t="shared" si="45"/>
        <v/>
      </c>
      <c r="E348" s="225" t="str">
        <f t="shared" si="46"/>
        <v/>
      </c>
      <c r="F348" s="224"/>
      <c r="G348" s="262">
        <f t="shared" si="42"/>
        <v>0</v>
      </c>
      <c r="H348" s="217"/>
      <c r="I348" s="217"/>
      <c r="J348" s="217"/>
      <c r="K348" s="217"/>
      <c r="L348" s="217"/>
      <c r="M348" s="217"/>
      <c r="N348" s="146"/>
      <c r="O348" s="146"/>
      <c r="P348" s="146"/>
      <c r="Q348" s="217"/>
      <c r="R348" s="217"/>
      <c r="S348" s="217"/>
      <c r="T348" s="217"/>
      <c r="U348" s="217"/>
      <c r="V348" s="217"/>
      <c r="W348" s="217"/>
      <c r="X348" s="217"/>
      <c r="Y348" s="217"/>
      <c r="Z348" s="217"/>
    </row>
    <row r="349" spans="1:26" s="218" customFormat="1" ht="18" hidden="1" customHeight="1" outlineLevel="2" collapsed="1">
      <c r="A349" s="222">
        <v>75</v>
      </c>
      <c r="B349" s="187" t="str">
        <f t="shared" si="43"/>
        <v/>
      </c>
      <c r="C349" s="187" t="str">
        <f t="shared" si="44"/>
        <v/>
      </c>
      <c r="D349" s="187" t="str">
        <f t="shared" si="45"/>
        <v/>
      </c>
      <c r="E349" s="225" t="str">
        <f t="shared" si="46"/>
        <v/>
      </c>
      <c r="F349" s="224"/>
      <c r="G349" s="262">
        <f t="shared" si="42"/>
        <v>0</v>
      </c>
      <c r="H349" s="217"/>
      <c r="I349" s="217"/>
      <c r="J349" s="217"/>
      <c r="K349" s="217"/>
      <c r="L349" s="217"/>
      <c r="M349" s="217"/>
      <c r="N349" s="146"/>
      <c r="O349" s="146"/>
      <c r="P349" s="146"/>
      <c r="Q349" s="217"/>
      <c r="R349" s="217"/>
      <c r="S349" s="217"/>
      <c r="T349" s="217"/>
      <c r="U349" s="217"/>
      <c r="V349" s="217"/>
      <c r="W349" s="217"/>
      <c r="X349" s="217"/>
      <c r="Y349" s="217"/>
      <c r="Z349" s="217"/>
    </row>
    <row r="350" spans="1:26" s="218" customFormat="1" ht="18" hidden="1" customHeight="1" outlineLevel="2">
      <c r="A350" s="222">
        <v>76</v>
      </c>
      <c r="B350" s="187" t="str">
        <f t="shared" si="43"/>
        <v/>
      </c>
      <c r="C350" s="187" t="str">
        <f t="shared" si="44"/>
        <v/>
      </c>
      <c r="D350" s="187" t="str">
        <f t="shared" si="45"/>
        <v/>
      </c>
      <c r="E350" s="225" t="str">
        <f t="shared" si="46"/>
        <v/>
      </c>
      <c r="F350" s="224"/>
      <c r="G350" s="262">
        <f t="shared" si="42"/>
        <v>0</v>
      </c>
      <c r="H350" s="217"/>
      <c r="I350" s="217"/>
      <c r="J350" s="217"/>
      <c r="K350" s="217"/>
      <c r="L350" s="217"/>
      <c r="M350" s="217"/>
      <c r="N350" s="146"/>
      <c r="O350" s="146"/>
      <c r="P350" s="146"/>
      <c r="Q350" s="217"/>
      <c r="R350" s="217"/>
      <c r="S350" s="217"/>
      <c r="T350" s="217"/>
      <c r="U350" s="217"/>
      <c r="V350" s="217"/>
      <c r="W350" s="217"/>
      <c r="X350" s="217"/>
      <c r="Y350" s="217"/>
      <c r="Z350" s="217"/>
    </row>
    <row r="351" spans="1:26" s="218" customFormat="1" ht="18" hidden="1" customHeight="1" outlineLevel="2" collapsed="1">
      <c r="A351" s="222">
        <v>77</v>
      </c>
      <c r="B351" s="187" t="str">
        <f t="shared" si="43"/>
        <v/>
      </c>
      <c r="C351" s="187" t="str">
        <f t="shared" si="44"/>
        <v/>
      </c>
      <c r="D351" s="187" t="str">
        <f t="shared" si="45"/>
        <v/>
      </c>
      <c r="E351" s="225" t="str">
        <f t="shared" si="46"/>
        <v/>
      </c>
      <c r="F351" s="224"/>
      <c r="G351" s="262">
        <f t="shared" si="42"/>
        <v>0</v>
      </c>
      <c r="H351" s="217"/>
      <c r="I351" s="217"/>
      <c r="J351" s="217"/>
      <c r="K351" s="217"/>
      <c r="L351" s="217"/>
      <c r="M351" s="217"/>
      <c r="N351" s="146"/>
      <c r="O351" s="146"/>
      <c r="P351" s="146"/>
      <c r="Q351" s="217"/>
      <c r="R351" s="217"/>
      <c r="S351" s="217"/>
      <c r="T351" s="217"/>
      <c r="U351" s="217"/>
      <c r="V351" s="217"/>
      <c r="W351" s="217"/>
      <c r="X351" s="217"/>
      <c r="Y351" s="217"/>
      <c r="Z351" s="217"/>
    </row>
    <row r="352" spans="1:26" s="218" customFormat="1" ht="18" hidden="1" customHeight="1" outlineLevel="2">
      <c r="A352" s="222">
        <v>78</v>
      </c>
      <c r="B352" s="187" t="str">
        <f t="shared" si="43"/>
        <v/>
      </c>
      <c r="C352" s="187" t="str">
        <f t="shared" si="44"/>
        <v/>
      </c>
      <c r="D352" s="187" t="str">
        <f t="shared" si="45"/>
        <v/>
      </c>
      <c r="E352" s="225" t="str">
        <f t="shared" si="46"/>
        <v/>
      </c>
      <c r="F352" s="224"/>
      <c r="G352" s="262">
        <f t="shared" si="42"/>
        <v>0</v>
      </c>
      <c r="H352" s="217"/>
      <c r="I352" s="217"/>
      <c r="J352" s="217"/>
      <c r="K352" s="217"/>
      <c r="L352" s="217"/>
      <c r="M352" s="217"/>
      <c r="N352" s="146"/>
      <c r="O352" s="146"/>
      <c r="P352" s="146"/>
      <c r="Q352" s="217"/>
      <c r="R352" s="217"/>
      <c r="S352" s="217"/>
      <c r="T352" s="217"/>
      <c r="U352" s="217"/>
      <c r="V352" s="217"/>
      <c r="W352" s="217"/>
      <c r="X352" s="217"/>
      <c r="Y352" s="217"/>
      <c r="Z352" s="217"/>
    </row>
    <row r="353" spans="1:26" s="218" customFormat="1" ht="18" hidden="1" customHeight="1" outlineLevel="2">
      <c r="A353" s="222">
        <v>79</v>
      </c>
      <c r="B353" s="187" t="str">
        <f t="shared" si="43"/>
        <v/>
      </c>
      <c r="C353" s="187" t="str">
        <f t="shared" si="44"/>
        <v/>
      </c>
      <c r="D353" s="187" t="str">
        <f t="shared" si="45"/>
        <v/>
      </c>
      <c r="E353" s="225" t="str">
        <f t="shared" si="46"/>
        <v/>
      </c>
      <c r="F353" s="224"/>
      <c r="G353" s="262">
        <f t="shared" si="42"/>
        <v>0</v>
      </c>
      <c r="H353" s="217"/>
      <c r="I353" s="217"/>
      <c r="J353" s="217"/>
      <c r="K353" s="217"/>
      <c r="L353" s="217"/>
      <c r="M353" s="217"/>
      <c r="N353" s="146"/>
      <c r="O353" s="146"/>
      <c r="P353" s="146"/>
      <c r="Q353" s="217"/>
      <c r="R353" s="217"/>
      <c r="S353" s="217"/>
      <c r="T353" s="217"/>
      <c r="U353" s="217"/>
      <c r="V353" s="217"/>
      <c r="W353" s="217"/>
      <c r="X353" s="217"/>
      <c r="Y353" s="217"/>
      <c r="Z353" s="217"/>
    </row>
    <row r="354" spans="1:26" s="218" customFormat="1" ht="18" hidden="1" customHeight="1" outlineLevel="2">
      <c r="A354" s="222">
        <v>80</v>
      </c>
      <c r="B354" s="187" t="str">
        <f t="shared" si="43"/>
        <v/>
      </c>
      <c r="C354" s="187" t="str">
        <f t="shared" si="44"/>
        <v/>
      </c>
      <c r="D354" s="187" t="str">
        <f t="shared" si="45"/>
        <v/>
      </c>
      <c r="E354" s="225" t="str">
        <f t="shared" si="46"/>
        <v/>
      </c>
      <c r="F354" s="224"/>
      <c r="G354" s="262">
        <f t="shared" si="42"/>
        <v>0</v>
      </c>
      <c r="H354" s="217"/>
      <c r="I354" s="217"/>
      <c r="J354" s="217"/>
      <c r="K354" s="217"/>
      <c r="L354" s="217"/>
      <c r="M354" s="217"/>
      <c r="N354" s="146"/>
      <c r="O354" s="146"/>
      <c r="P354" s="146"/>
      <c r="Q354" s="217"/>
      <c r="R354" s="217"/>
      <c r="S354" s="217"/>
      <c r="T354" s="217"/>
      <c r="U354" s="217"/>
      <c r="V354" s="217"/>
      <c r="W354" s="217"/>
      <c r="X354" s="217"/>
      <c r="Y354" s="217"/>
      <c r="Z354" s="217"/>
    </row>
    <row r="355" spans="1:26" s="218" customFormat="1" ht="18" hidden="1" customHeight="1" outlineLevel="2">
      <c r="A355" s="222">
        <v>81</v>
      </c>
      <c r="B355" s="187" t="str">
        <f t="shared" si="43"/>
        <v/>
      </c>
      <c r="C355" s="187" t="str">
        <f t="shared" si="44"/>
        <v/>
      </c>
      <c r="D355" s="187" t="str">
        <f t="shared" si="45"/>
        <v/>
      </c>
      <c r="E355" s="225" t="str">
        <f t="shared" si="46"/>
        <v/>
      </c>
      <c r="F355" s="224"/>
      <c r="G355" s="262">
        <f t="shared" si="42"/>
        <v>0</v>
      </c>
      <c r="H355" s="217"/>
      <c r="I355" s="217"/>
      <c r="J355" s="217"/>
      <c r="K355" s="217"/>
      <c r="L355" s="217"/>
      <c r="M355" s="217"/>
      <c r="N355" s="146"/>
      <c r="O355" s="146"/>
      <c r="P355" s="146"/>
      <c r="Q355" s="217"/>
      <c r="R355" s="217"/>
      <c r="S355" s="217"/>
      <c r="T355" s="217"/>
      <c r="U355" s="217"/>
      <c r="V355" s="217"/>
      <c r="W355" s="217"/>
      <c r="X355" s="217"/>
      <c r="Y355" s="217"/>
      <c r="Z355" s="217"/>
    </row>
    <row r="356" spans="1:26" s="218" customFormat="1" ht="18" hidden="1" customHeight="1" outlineLevel="2">
      <c r="A356" s="222">
        <v>82</v>
      </c>
      <c r="B356" s="187" t="str">
        <f t="shared" si="43"/>
        <v/>
      </c>
      <c r="C356" s="187" t="str">
        <f t="shared" si="44"/>
        <v/>
      </c>
      <c r="D356" s="187" t="str">
        <f t="shared" si="45"/>
        <v/>
      </c>
      <c r="E356" s="225" t="str">
        <f t="shared" si="46"/>
        <v/>
      </c>
      <c r="F356" s="224"/>
      <c r="G356" s="262">
        <f t="shared" si="42"/>
        <v>0</v>
      </c>
      <c r="H356" s="217"/>
      <c r="I356" s="217"/>
      <c r="J356" s="216"/>
      <c r="K356" s="216"/>
      <c r="L356" s="216"/>
      <c r="M356" s="217"/>
      <c r="N356" s="146"/>
      <c r="O356" s="146"/>
      <c r="P356" s="146"/>
      <c r="Q356" s="217"/>
      <c r="R356" s="217"/>
      <c r="S356" s="217"/>
      <c r="T356" s="217"/>
      <c r="U356" s="217"/>
      <c r="V356" s="217"/>
      <c r="W356" s="217"/>
      <c r="X356" s="217"/>
      <c r="Y356" s="217"/>
      <c r="Z356" s="217"/>
    </row>
    <row r="357" spans="1:26" s="218" customFormat="1" ht="18" hidden="1" customHeight="1" outlineLevel="2">
      <c r="A357" s="222">
        <v>83</v>
      </c>
      <c r="B357" s="187" t="str">
        <f t="shared" si="43"/>
        <v/>
      </c>
      <c r="C357" s="187" t="str">
        <f t="shared" si="44"/>
        <v/>
      </c>
      <c r="D357" s="187" t="str">
        <f t="shared" si="45"/>
        <v/>
      </c>
      <c r="E357" s="225" t="str">
        <f t="shared" si="46"/>
        <v/>
      </c>
      <c r="F357" s="224"/>
      <c r="G357" s="262">
        <f t="shared" si="42"/>
        <v>0</v>
      </c>
      <c r="H357" s="217"/>
      <c r="I357" s="217"/>
      <c r="J357" s="217"/>
      <c r="K357" s="217"/>
      <c r="L357" s="217"/>
      <c r="M357" s="217"/>
      <c r="N357" s="146"/>
      <c r="O357" s="146"/>
      <c r="P357" s="146"/>
      <c r="Q357" s="217"/>
      <c r="R357" s="217"/>
      <c r="S357" s="217"/>
      <c r="T357" s="217"/>
      <c r="U357" s="217"/>
      <c r="V357" s="217"/>
      <c r="W357" s="217"/>
      <c r="X357" s="217"/>
      <c r="Y357" s="217"/>
      <c r="Z357" s="217"/>
    </row>
    <row r="358" spans="1:26" s="218" customFormat="1" ht="18" hidden="1" customHeight="1" outlineLevel="2">
      <c r="A358" s="222">
        <v>84</v>
      </c>
      <c r="B358" s="187" t="str">
        <f t="shared" si="43"/>
        <v/>
      </c>
      <c r="C358" s="187" t="str">
        <f t="shared" si="44"/>
        <v/>
      </c>
      <c r="D358" s="187" t="str">
        <f t="shared" si="45"/>
        <v/>
      </c>
      <c r="E358" s="225" t="str">
        <f t="shared" si="46"/>
        <v/>
      </c>
      <c r="F358" s="224"/>
      <c r="G358" s="262">
        <f t="shared" si="42"/>
        <v>0</v>
      </c>
      <c r="H358" s="217"/>
      <c r="I358" s="217"/>
      <c r="J358" s="217"/>
      <c r="K358" s="217"/>
      <c r="L358" s="217"/>
      <c r="M358" s="217"/>
      <c r="N358" s="146"/>
      <c r="O358" s="146"/>
      <c r="P358" s="146"/>
      <c r="Q358" s="217"/>
      <c r="R358" s="217"/>
      <c r="S358" s="217"/>
      <c r="T358" s="217"/>
      <c r="U358" s="217"/>
      <c r="V358" s="217"/>
      <c r="W358" s="217"/>
      <c r="X358" s="217"/>
      <c r="Y358" s="217"/>
      <c r="Z358" s="217"/>
    </row>
    <row r="359" spans="1:26" s="218" customFormat="1" ht="18" hidden="1" customHeight="1" outlineLevel="2">
      <c r="A359" s="222">
        <v>85</v>
      </c>
      <c r="B359" s="187" t="str">
        <f t="shared" si="43"/>
        <v/>
      </c>
      <c r="C359" s="187" t="str">
        <f t="shared" si="44"/>
        <v/>
      </c>
      <c r="D359" s="187" t="str">
        <f t="shared" si="45"/>
        <v/>
      </c>
      <c r="E359" s="225" t="str">
        <f t="shared" si="46"/>
        <v/>
      </c>
      <c r="F359" s="224"/>
      <c r="G359" s="262">
        <f t="shared" si="42"/>
        <v>0</v>
      </c>
      <c r="H359" s="217"/>
      <c r="I359" s="217"/>
      <c r="J359" s="217"/>
      <c r="K359" s="217"/>
      <c r="L359" s="217"/>
      <c r="M359" s="217"/>
      <c r="N359" s="146"/>
      <c r="O359" s="146"/>
      <c r="P359" s="146"/>
      <c r="Q359" s="217"/>
      <c r="R359" s="217"/>
      <c r="S359" s="217"/>
      <c r="T359" s="217"/>
      <c r="U359" s="217"/>
      <c r="V359" s="217"/>
      <c r="W359" s="217"/>
      <c r="X359" s="217"/>
      <c r="Y359" s="217"/>
      <c r="Z359" s="217"/>
    </row>
    <row r="360" spans="1:26" s="218" customFormat="1" ht="18" hidden="1" customHeight="1" outlineLevel="2">
      <c r="A360" s="222">
        <v>86</v>
      </c>
      <c r="B360" s="187" t="str">
        <f t="shared" si="43"/>
        <v/>
      </c>
      <c r="C360" s="187" t="str">
        <f t="shared" si="44"/>
        <v/>
      </c>
      <c r="D360" s="187" t="str">
        <f t="shared" si="45"/>
        <v/>
      </c>
      <c r="E360" s="225" t="str">
        <f t="shared" si="46"/>
        <v/>
      </c>
      <c r="F360" s="224"/>
      <c r="G360" s="262">
        <f t="shared" si="42"/>
        <v>0</v>
      </c>
      <c r="H360" s="217"/>
      <c r="I360" s="217"/>
      <c r="J360" s="217"/>
      <c r="K360" s="217"/>
      <c r="L360" s="217"/>
      <c r="M360" s="217"/>
      <c r="N360" s="146"/>
      <c r="O360" s="146"/>
      <c r="P360" s="146"/>
      <c r="Q360" s="217"/>
      <c r="R360" s="217"/>
      <c r="S360" s="217"/>
      <c r="T360" s="217"/>
      <c r="U360" s="217"/>
      <c r="V360" s="217"/>
      <c r="W360" s="217"/>
      <c r="X360" s="217"/>
      <c r="Y360" s="217"/>
      <c r="Z360" s="217"/>
    </row>
    <row r="361" spans="1:26" s="218" customFormat="1" ht="18" hidden="1" customHeight="1" outlineLevel="2">
      <c r="A361" s="222">
        <v>87</v>
      </c>
      <c r="B361" s="187" t="str">
        <f t="shared" si="43"/>
        <v/>
      </c>
      <c r="C361" s="187" t="str">
        <f t="shared" si="44"/>
        <v/>
      </c>
      <c r="D361" s="187" t="str">
        <f t="shared" si="45"/>
        <v/>
      </c>
      <c r="E361" s="225" t="str">
        <f t="shared" si="46"/>
        <v/>
      </c>
      <c r="F361" s="224"/>
      <c r="G361" s="262">
        <f t="shared" si="42"/>
        <v>0</v>
      </c>
      <c r="H361" s="217"/>
      <c r="I361" s="217"/>
      <c r="J361" s="217"/>
      <c r="K361" s="217"/>
      <c r="L361" s="217"/>
      <c r="M361" s="217"/>
      <c r="N361" s="146"/>
      <c r="O361" s="146"/>
      <c r="P361" s="146"/>
      <c r="Q361" s="217"/>
      <c r="R361" s="217"/>
      <c r="S361" s="217"/>
      <c r="T361" s="217"/>
      <c r="U361" s="217"/>
      <c r="V361" s="217"/>
      <c r="W361" s="217"/>
      <c r="X361" s="217"/>
      <c r="Y361" s="217"/>
      <c r="Z361" s="217"/>
    </row>
    <row r="362" spans="1:26" s="218" customFormat="1" ht="18" hidden="1" customHeight="1" outlineLevel="2">
      <c r="A362" s="222">
        <v>88</v>
      </c>
      <c r="B362" s="187" t="str">
        <f t="shared" si="43"/>
        <v/>
      </c>
      <c r="C362" s="187" t="str">
        <f t="shared" si="44"/>
        <v/>
      </c>
      <c r="D362" s="187" t="str">
        <f t="shared" si="45"/>
        <v/>
      </c>
      <c r="E362" s="225" t="str">
        <f t="shared" si="46"/>
        <v/>
      </c>
      <c r="F362" s="224"/>
      <c r="G362" s="262">
        <f t="shared" si="42"/>
        <v>0</v>
      </c>
      <c r="H362" s="217"/>
      <c r="I362" s="217"/>
      <c r="J362" s="217"/>
      <c r="K362" s="217"/>
      <c r="L362" s="217"/>
      <c r="M362" s="217"/>
      <c r="N362" s="146"/>
      <c r="O362" s="146"/>
      <c r="P362" s="146"/>
      <c r="Q362" s="217"/>
      <c r="R362" s="217"/>
      <c r="S362" s="217"/>
      <c r="T362" s="217"/>
      <c r="U362" s="217"/>
      <c r="V362" s="217"/>
      <c r="W362" s="217"/>
      <c r="X362" s="217"/>
      <c r="Y362" s="217"/>
      <c r="Z362" s="217"/>
    </row>
    <row r="363" spans="1:26" s="218" customFormat="1" ht="18" hidden="1" customHeight="1" outlineLevel="2">
      <c r="A363" s="222">
        <v>89</v>
      </c>
      <c r="B363" s="187" t="str">
        <f t="shared" si="43"/>
        <v/>
      </c>
      <c r="C363" s="187" t="str">
        <f t="shared" si="44"/>
        <v/>
      </c>
      <c r="D363" s="187" t="str">
        <f t="shared" si="45"/>
        <v/>
      </c>
      <c r="E363" s="225" t="str">
        <f t="shared" si="46"/>
        <v/>
      </c>
      <c r="F363" s="224"/>
      <c r="G363" s="262">
        <f t="shared" si="42"/>
        <v>0</v>
      </c>
      <c r="H363" s="217"/>
      <c r="I363" s="217"/>
      <c r="J363" s="217"/>
      <c r="K363" s="217"/>
      <c r="L363" s="217"/>
      <c r="M363" s="217"/>
      <c r="N363" s="146"/>
      <c r="O363" s="146"/>
      <c r="P363" s="146"/>
      <c r="Q363" s="217"/>
      <c r="R363" s="217"/>
      <c r="S363" s="217"/>
      <c r="T363" s="217"/>
      <c r="U363" s="217"/>
      <c r="V363" s="217"/>
      <c r="W363" s="217"/>
      <c r="X363" s="217"/>
      <c r="Y363" s="217"/>
      <c r="Z363" s="217"/>
    </row>
    <row r="364" spans="1:26" s="218" customFormat="1" ht="18" hidden="1" customHeight="1" outlineLevel="2">
      <c r="A364" s="222">
        <v>90</v>
      </c>
      <c r="B364" s="187" t="str">
        <f t="shared" si="43"/>
        <v/>
      </c>
      <c r="C364" s="187" t="str">
        <f t="shared" si="44"/>
        <v/>
      </c>
      <c r="D364" s="187" t="str">
        <f t="shared" si="45"/>
        <v/>
      </c>
      <c r="E364" s="225" t="str">
        <f t="shared" si="46"/>
        <v/>
      </c>
      <c r="F364" s="224"/>
      <c r="G364" s="262">
        <f t="shared" si="42"/>
        <v>0</v>
      </c>
      <c r="H364" s="217"/>
      <c r="I364" s="217"/>
      <c r="J364" s="217"/>
      <c r="K364" s="217"/>
      <c r="L364" s="217"/>
      <c r="M364" s="217"/>
      <c r="N364" s="146"/>
      <c r="O364" s="146"/>
      <c r="P364" s="146"/>
      <c r="Q364" s="217"/>
      <c r="R364" s="217"/>
      <c r="S364" s="217"/>
      <c r="T364" s="217"/>
      <c r="U364" s="217"/>
      <c r="V364" s="217"/>
      <c r="W364" s="217"/>
      <c r="X364" s="217"/>
      <c r="Y364" s="217"/>
      <c r="Z364" s="217"/>
    </row>
    <row r="365" spans="1:26" s="218" customFormat="1" ht="18" hidden="1" customHeight="1" outlineLevel="1" collapsed="1">
      <c r="A365" s="222">
        <v>91</v>
      </c>
      <c r="B365" s="187" t="str">
        <f t="shared" ref="B365:B384" si="47">IF(INDEX(inputs_pkclid,MATCH($A365,inputs_pkclno,0))&lt;&gt;"",INDEX(inputs_pkclid,MATCH($A365,inputs_pkclno,0)),"")</f>
        <v/>
      </c>
      <c r="C365" s="187" t="str">
        <f t="shared" ref="C365:C384" si="48">IF(INDEX(inputs_pkclst,MATCH($A365,inputs_pkclno,0))&lt;&gt;"",INDEX(inputs_pkclst,MATCH($A365,inputs_pkclno,0)),"")</f>
        <v/>
      </c>
      <c r="D365" s="187" t="str">
        <f t="shared" ref="D365:D384" si="49">IF(INDEX(inputs_pkclpl,MATCH($A365,inputs_pkclno,0))&lt;&gt;"",INDEX(inputs_pkclpl,MATCH($A365,inputs_pkclno,0)),"")</f>
        <v/>
      </c>
      <c r="E365" s="225" t="str">
        <f t="shared" ref="E365:E384" si="50">IF(INDEX(inputs_pkclty,MATCH($A365,inputs_pkclno,0))&lt;&gt;"",INDEX(inputs_pkclty,MATCH($A365,inputs_pkclno,0)),"")</f>
        <v/>
      </c>
      <c r="F365" s="224"/>
      <c r="G365" s="262">
        <f t="shared" si="42"/>
        <v>0</v>
      </c>
      <c r="H365" s="159" t="s">
        <v>170</v>
      </c>
      <c r="I365" s="217"/>
      <c r="J365" s="217"/>
      <c r="K365" s="217"/>
      <c r="L365" s="217"/>
      <c r="M365" s="217"/>
      <c r="N365" s="146"/>
      <c r="O365" s="146"/>
      <c r="P365" s="146"/>
      <c r="Q365" s="217"/>
      <c r="R365" s="217"/>
      <c r="S365" s="217"/>
      <c r="T365" s="217"/>
      <c r="U365" s="217"/>
      <c r="V365" s="217"/>
      <c r="W365" s="217"/>
      <c r="X365" s="217"/>
      <c r="Y365" s="217"/>
      <c r="Z365" s="217"/>
    </row>
    <row r="366" spans="1:26" s="218" customFormat="1" ht="18" hidden="1" customHeight="1" outlineLevel="2">
      <c r="A366" s="222">
        <v>92</v>
      </c>
      <c r="B366" s="187" t="str">
        <f t="shared" si="47"/>
        <v/>
      </c>
      <c r="C366" s="187" t="str">
        <f t="shared" si="48"/>
        <v/>
      </c>
      <c r="D366" s="187" t="str">
        <f t="shared" si="49"/>
        <v/>
      </c>
      <c r="E366" s="225" t="str">
        <f t="shared" si="50"/>
        <v/>
      </c>
      <c r="F366" s="224"/>
      <c r="G366" s="262">
        <f t="shared" si="42"/>
        <v>0</v>
      </c>
      <c r="H366" s="217"/>
      <c r="I366" s="217"/>
      <c r="J366" s="217"/>
      <c r="K366" s="217"/>
      <c r="L366" s="217"/>
      <c r="M366" s="217"/>
      <c r="N366" s="146"/>
      <c r="O366" s="146"/>
      <c r="P366" s="146"/>
      <c r="Q366" s="217"/>
      <c r="R366" s="217"/>
      <c r="S366" s="217"/>
      <c r="T366" s="217"/>
      <c r="U366" s="217"/>
      <c r="V366" s="217"/>
      <c r="W366" s="217"/>
      <c r="X366" s="217"/>
      <c r="Y366" s="217"/>
      <c r="Z366" s="217"/>
    </row>
    <row r="367" spans="1:26" s="218" customFormat="1" ht="18" hidden="1" customHeight="1" outlineLevel="2" collapsed="1">
      <c r="A367" s="222">
        <v>93</v>
      </c>
      <c r="B367" s="187" t="str">
        <f t="shared" si="47"/>
        <v/>
      </c>
      <c r="C367" s="187" t="str">
        <f t="shared" si="48"/>
        <v/>
      </c>
      <c r="D367" s="187" t="str">
        <f t="shared" si="49"/>
        <v/>
      </c>
      <c r="E367" s="225" t="str">
        <f t="shared" si="50"/>
        <v/>
      </c>
      <c r="F367" s="224"/>
      <c r="G367" s="262">
        <f t="shared" si="42"/>
        <v>0</v>
      </c>
      <c r="H367" s="217"/>
      <c r="I367" s="217"/>
      <c r="J367" s="217"/>
      <c r="K367" s="217"/>
      <c r="L367" s="217"/>
      <c r="M367" s="217"/>
      <c r="N367" s="146"/>
      <c r="O367" s="146"/>
      <c r="P367" s="146"/>
      <c r="Q367" s="217"/>
      <c r="R367" s="217"/>
      <c r="S367" s="217"/>
      <c r="T367" s="217"/>
      <c r="U367" s="217"/>
      <c r="V367" s="217"/>
      <c r="W367" s="217"/>
      <c r="X367" s="217"/>
      <c r="Y367" s="217"/>
      <c r="Z367" s="217"/>
    </row>
    <row r="368" spans="1:26" s="218" customFormat="1" ht="18" hidden="1" customHeight="1" outlineLevel="2">
      <c r="A368" s="222">
        <v>94</v>
      </c>
      <c r="B368" s="187" t="str">
        <f t="shared" si="47"/>
        <v/>
      </c>
      <c r="C368" s="187" t="str">
        <f t="shared" si="48"/>
        <v/>
      </c>
      <c r="D368" s="187" t="str">
        <f t="shared" si="49"/>
        <v/>
      </c>
      <c r="E368" s="225" t="str">
        <f t="shared" si="50"/>
        <v/>
      </c>
      <c r="F368" s="224"/>
      <c r="G368" s="262">
        <f t="shared" si="42"/>
        <v>0</v>
      </c>
      <c r="H368" s="217"/>
      <c r="I368" s="217"/>
      <c r="J368" s="217"/>
      <c r="K368" s="217"/>
      <c r="L368" s="217"/>
      <c r="M368" s="217"/>
      <c r="N368" s="146"/>
      <c r="O368" s="146"/>
      <c r="P368" s="146"/>
      <c r="Q368" s="217"/>
      <c r="R368" s="217"/>
      <c r="S368" s="217"/>
      <c r="T368" s="217"/>
      <c r="U368" s="217"/>
      <c r="V368" s="217"/>
      <c r="W368" s="217"/>
      <c r="X368" s="217"/>
      <c r="Y368" s="217"/>
      <c r="Z368" s="217"/>
    </row>
    <row r="369" spans="1:26" s="218" customFormat="1" ht="18" hidden="1" customHeight="1" outlineLevel="2" collapsed="1">
      <c r="A369" s="222">
        <v>95</v>
      </c>
      <c r="B369" s="187" t="str">
        <f t="shared" si="47"/>
        <v/>
      </c>
      <c r="C369" s="187" t="str">
        <f t="shared" si="48"/>
        <v/>
      </c>
      <c r="D369" s="187" t="str">
        <f t="shared" si="49"/>
        <v/>
      </c>
      <c r="E369" s="225" t="str">
        <f t="shared" si="50"/>
        <v/>
      </c>
      <c r="F369" s="224"/>
      <c r="G369" s="262">
        <f t="shared" si="42"/>
        <v>0</v>
      </c>
      <c r="H369" s="217"/>
      <c r="I369" s="217"/>
      <c r="J369" s="217"/>
      <c r="K369" s="217"/>
      <c r="L369" s="217"/>
      <c r="M369" s="217"/>
      <c r="N369" s="146"/>
      <c r="O369" s="146"/>
      <c r="P369" s="146"/>
      <c r="Q369" s="217"/>
      <c r="R369" s="217"/>
      <c r="S369" s="217"/>
      <c r="T369" s="217"/>
      <c r="U369" s="217"/>
      <c r="V369" s="217"/>
      <c r="W369" s="217"/>
      <c r="X369" s="217"/>
      <c r="Y369" s="217"/>
      <c r="Z369" s="217"/>
    </row>
    <row r="370" spans="1:26" s="218" customFormat="1" ht="18" hidden="1" customHeight="1" outlineLevel="2">
      <c r="A370" s="222">
        <v>96</v>
      </c>
      <c r="B370" s="187" t="str">
        <f t="shared" si="47"/>
        <v/>
      </c>
      <c r="C370" s="187" t="str">
        <f t="shared" si="48"/>
        <v/>
      </c>
      <c r="D370" s="187" t="str">
        <f t="shared" si="49"/>
        <v/>
      </c>
      <c r="E370" s="225" t="str">
        <f t="shared" si="50"/>
        <v/>
      </c>
      <c r="F370" s="224"/>
      <c r="G370" s="262">
        <f t="shared" si="42"/>
        <v>0</v>
      </c>
      <c r="H370" s="217"/>
      <c r="I370" s="217"/>
      <c r="J370" s="217"/>
      <c r="K370" s="217"/>
      <c r="L370" s="217"/>
      <c r="M370" s="217"/>
      <c r="N370" s="146"/>
      <c r="O370" s="146"/>
      <c r="P370" s="146"/>
      <c r="Q370" s="217"/>
      <c r="R370" s="217"/>
      <c r="S370" s="217"/>
      <c r="T370" s="217"/>
      <c r="U370" s="217"/>
      <c r="V370" s="217"/>
      <c r="W370" s="217"/>
      <c r="X370" s="217"/>
      <c r="Y370" s="217"/>
      <c r="Z370" s="217"/>
    </row>
    <row r="371" spans="1:26" s="218" customFormat="1" ht="18" hidden="1" customHeight="1" outlineLevel="2" collapsed="1">
      <c r="A371" s="222">
        <v>97</v>
      </c>
      <c r="B371" s="187" t="str">
        <f t="shared" si="47"/>
        <v/>
      </c>
      <c r="C371" s="187" t="str">
        <f t="shared" si="48"/>
        <v/>
      </c>
      <c r="D371" s="187" t="str">
        <f t="shared" si="49"/>
        <v/>
      </c>
      <c r="E371" s="225" t="str">
        <f t="shared" si="50"/>
        <v/>
      </c>
      <c r="F371" s="224"/>
      <c r="G371" s="262">
        <f t="shared" ref="G371:G384" si="51">SUMIFS($D$275:$D$385,$E$275:$E$385,F371)</f>
        <v>0</v>
      </c>
      <c r="H371" s="217"/>
      <c r="I371" s="217"/>
      <c r="J371" s="217"/>
      <c r="K371" s="217"/>
      <c r="L371" s="217"/>
      <c r="M371" s="217"/>
      <c r="N371" s="146"/>
      <c r="O371" s="146"/>
      <c r="P371" s="146"/>
      <c r="Q371" s="217"/>
      <c r="R371" s="217"/>
      <c r="S371" s="217"/>
      <c r="T371" s="217"/>
      <c r="U371" s="217"/>
      <c r="V371" s="217"/>
      <c r="W371" s="217"/>
      <c r="X371" s="217"/>
      <c r="Y371" s="217"/>
      <c r="Z371" s="217"/>
    </row>
    <row r="372" spans="1:26" s="218" customFormat="1" ht="18" hidden="1" customHeight="1" outlineLevel="2">
      <c r="A372" s="222">
        <v>98</v>
      </c>
      <c r="B372" s="187" t="str">
        <f t="shared" si="47"/>
        <v/>
      </c>
      <c r="C372" s="187" t="str">
        <f t="shared" si="48"/>
        <v/>
      </c>
      <c r="D372" s="187" t="str">
        <f t="shared" si="49"/>
        <v/>
      </c>
      <c r="E372" s="225" t="str">
        <f t="shared" si="50"/>
        <v/>
      </c>
      <c r="F372" s="224"/>
      <c r="G372" s="262">
        <f t="shared" si="51"/>
        <v>0</v>
      </c>
      <c r="H372" s="217"/>
      <c r="I372" s="217"/>
      <c r="J372" s="217"/>
      <c r="K372" s="217"/>
      <c r="L372" s="217"/>
      <c r="M372" s="217"/>
      <c r="N372" s="146"/>
      <c r="O372" s="146"/>
      <c r="P372" s="146"/>
      <c r="Q372" s="217"/>
      <c r="R372" s="217"/>
      <c r="S372" s="217"/>
      <c r="T372" s="217"/>
      <c r="U372" s="217"/>
      <c r="V372" s="217"/>
      <c r="W372" s="217"/>
      <c r="X372" s="217"/>
      <c r="Y372" s="217"/>
      <c r="Z372" s="217"/>
    </row>
    <row r="373" spans="1:26" s="218" customFormat="1" ht="18" hidden="1" customHeight="1" outlineLevel="2">
      <c r="A373" s="222">
        <v>99</v>
      </c>
      <c r="B373" s="187" t="str">
        <f t="shared" si="47"/>
        <v/>
      </c>
      <c r="C373" s="187" t="str">
        <f t="shared" si="48"/>
        <v/>
      </c>
      <c r="D373" s="187" t="str">
        <f t="shared" si="49"/>
        <v/>
      </c>
      <c r="E373" s="225" t="str">
        <f t="shared" si="50"/>
        <v/>
      </c>
      <c r="F373" s="224"/>
      <c r="G373" s="262">
        <f t="shared" si="51"/>
        <v>0</v>
      </c>
      <c r="H373" s="217"/>
      <c r="I373" s="217"/>
      <c r="J373" s="217"/>
      <c r="K373" s="217"/>
      <c r="L373" s="217"/>
      <c r="M373" s="217"/>
      <c r="N373" s="146"/>
      <c r="O373" s="146"/>
      <c r="P373" s="146"/>
      <c r="Q373" s="217"/>
      <c r="R373" s="217"/>
      <c r="S373" s="217"/>
      <c r="T373" s="217"/>
      <c r="U373" s="217"/>
      <c r="V373" s="217"/>
      <c r="W373" s="217"/>
      <c r="X373" s="217"/>
      <c r="Y373" s="217"/>
      <c r="Z373" s="217"/>
    </row>
    <row r="374" spans="1:26" s="218" customFormat="1" ht="18" hidden="1" customHeight="1" outlineLevel="2">
      <c r="A374" s="222">
        <v>100</v>
      </c>
      <c r="B374" s="187" t="str">
        <f t="shared" si="47"/>
        <v/>
      </c>
      <c r="C374" s="187" t="str">
        <f t="shared" si="48"/>
        <v/>
      </c>
      <c r="D374" s="187" t="str">
        <f t="shared" si="49"/>
        <v/>
      </c>
      <c r="E374" s="225" t="str">
        <f t="shared" si="50"/>
        <v/>
      </c>
      <c r="F374" s="224"/>
      <c r="G374" s="262">
        <f t="shared" si="51"/>
        <v>0</v>
      </c>
      <c r="H374" s="217"/>
      <c r="I374" s="217"/>
      <c r="J374" s="217"/>
      <c r="K374" s="217"/>
      <c r="L374" s="217"/>
      <c r="M374" s="217"/>
      <c r="N374" s="146"/>
      <c r="O374" s="146"/>
      <c r="P374" s="146"/>
      <c r="Q374" s="217"/>
      <c r="R374" s="217"/>
      <c r="S374" s="217"/>
      <c r="T374" s="217"/>
      <c r="U374" s="217"/>
      <c r="V374" s="217"/>
      <c r="W374" s="217"/>
      <c r="X374" s="217"/>
      <c r="Y374" s="217"/>
      <c r="Z374" s="217"/>
    </row>
    <row r="375" spans="1:26" s="218" customFormat="1" ht="18" hidden="1" customHeight="1" outlineLevel="2">
      <c r="A375" s="222">
        <v>101</v>
      </c>
      <c r="B375" s="187" t="str">
        <f t="shared" si="47"/>
        <v/>
      </c>
      <c r="C375" s="187" t="str">
        <f t="shared" si="48"/>
        <v/>
      </c>
      <c r="D375" s="187" t="str">
        <f t="shared" si="49"/>
        <v/>
      </c>
      <c r="E375" s="225" t="str">
        <f t="shared" si="50"/>
        <v/>
      </c>
      <c r="F375" s="224"/>
      <c r="G375" s="262">
        <f t="shared" si="51"/>
        <v>0</v>
      </c>
      <c r="H375" s="217"/>
      <c r="I375" s="217"/>
      <c r="J375" s="217"/>
      <c r="K375" s="217"/>
      <c r="L375" s="217"/>
      <c r="M375" s="217"/>
      <c r="N375" s="146"/>
      <c r="O375" s="146"/>
      <c r="P375" s="146"/>
      <c r="Q375" s="217"/>
      <c r="R375" s="217"/>
      <c r="S375" s="217"/>
      <c r="T375" s="217"/>
      <c r="U375" s="217"/>
      <c r="V375" s="217"/>
      <c r="W375" s="217"/>
      <c r="X375" s="217"/>
      <c r="Y375" s="217"/>
      <c r="Z375" s="217"/>
    </row>
    <row r="376" spans="1:26" s="218" customFormat="1" ht="18" hidden="1" customHeight="1" outlineLevel="2">
      <c r="A376" s="222">
        <v>102</v>
      </c>
      <c r="B376" s="187" t="str">
        <f t="shared" si="47"/>
        <v/>
      </c>
      <c r="C376" s="187" t="str">
        <f t="shared" si="48"/>
        <v/>
      </c>
      <c r="D376" s="187" t="str">
        <f t="shared" si="49"/>
        <v/>
      </c>
      <c r="E376" s="225" t="str">
        <f t="shared" si="50"/>
        <v/>
      </c>
      <c r="F376" s="224"/>
      <c r="G376" s="262">
        <f t="shared" si="51"/>
        <v>0</v>
      </c>
      <c r="H376" s="217"/>
      <c r="I376" s="217"/>
      <c r="J376" s="216"/>
      <c r="K376" s="216"/>
      <c r="L376" s="216"/>
      <c r="M376" s="217"/>
      <c r="N376" s="146"/>
      <c r="O376" s="146"/>
      <c r="P376" s="146"/>
      <c r="Q376" s="217"/>
      <c r="R376" s="217"/>
      <c r="S376" s="217"/>
      <c r="T376" s="217"/>
      <c r="U376" s="217"/>
      <c r="V376" s="217"/>
      <c r="W376" s="217"/>
      <c r="X376" s="217"/>
      <c r="Y376" s="217"/>
      <c r="Z376" s="217"/>
    </row>
    <row r="377" spans="1:26" s="218" customFormat="1" ht="18" hidden="1" customHeight="1" outlineLevel="2">
      <c r="A377" s="222">
        <v>103</v>
      </c>
      <c r="B377" s="187" t="str">
        <f t="shared" si="47"/>
        <v/>
      </c>
      <c r="C377" s="187" t="str">
        <f t="shared" si="48"/>
        <v/>
      </c>
      <c r="D377" s="187" t="str">
        <f t="shared" si="49"/>
        <v/>
      </c>
      <c r="E377" s="225" t="str">
        <f t="shared" si="50"/>
        <v/>
      </c>
      <c r="F377" s="224"/>
      <c r="G377" s="262">
        <f t="shared" si="51"/>
        <v>0</v>
      </c>
      <c r="H377" s="217"/>
      <c r="I377" s="217"/>
      <c r="J377" s="217"/>
      <c r="K377" s="217"/>
      <c r="L377" s="217"/>
      <c r="M377" s="217"/>
      <c r="N377" s="146"/>
      <c r="O377" s="146"/>
      <c r="P377" s="146"/>
      <c r="Q377" s="217"/>
      <c r="R377" s="217"/>
      <c r="S377" s="217"/>
      <c r="T377" s="217"/>
      <c r="U377" s="217"/>
      <c r="V377" s="217"/>
      <c r="W377" s="217"/>
      <c r="X377" s="217"/>
      <c r="Y377" s="217"/>
      <c r="Z377" s="217"/>
    </row>
    <row r="378" spans="1:26" s="218" customFormat="1" ht="18" hidden="1" customHeight="1" outlineLevel="2">
      <c r="A378" s="222">
        <v>104</v>
      </c>
      <c r="B378" s="187" t="str">
        <f t="shared" si="47"/>
        <v/>
      </c>
      <c r="C378" s="187" t="str">
        <f t="shared" si="48"/>
        <v/>
      </c>
      <c r="D378" s="187" t="str">
        <f t="shared" si="49"/>
        <v/>
      </c>
      <c r="E378" s="225" t="str">
        <f t="shared" si="50"/>
        <v/>
      </c>
      <c r="F378" s="224"/>
      <c r="G378" s="262">
        <f t="shared" si="51"/>
        <v>0</v>
      </c>
      <c r="H378" s="217"/>
      <c r="I378" s="217"/>
      <c r="J378" s="217"/>
      <c r="K378" s="217"/>
      <c r="L378" s="217"/>
      <c r="M378" s="217"/>
      <c r="N378" s="146"/>
      <c r="O378" s="146"/>
      <c r="P378" s="146"/>
      <c r="Q378" s="217"/>
      <c r="R378" s="217"/>
      <c r="S378" s="217"/>
      <c r="T378" s="217"/>
      <c r="U378" s="217"/>
      <c r="V378" s="217"/>
      <c r="W378" s="217"/>
      <c r="X378" s="217"/>
      <c r="Y378" s="217"/>
      <c r="Z378" s="217"/>
    </row>
    <row r="379" spans="1:26" s="218" customFormat="1" ht="18" hidden="1" customHeight="1" outlineLevel="2">
      <c r="A379" s="222">
        <v>105</v>
      </c>
      <c r="B379" s="187" t="str">
        <f t="shared" si="47"/>
        <v/>
      </c>
      <c r="C379" s="187" t="str">
        <f t="shared" si="48"/>
        <v/>
      </c>
      <c r="D379" s="187" t="str">
        <f t="shared" si="49"/>
        <v/>
      </c>
      <c r="E379" s="225" t="str">
        <f t="shared" si="50"/>
        <v/>
      </c>
      <c r="F379" s="224"/>
      <c r="G379" s="262">
        <f t="shared" si="51"/>
        <v>0</v>
      </c>
      <c r="H379" s="217"/>
      <c r="I379" s="217"/>
      <c r="J379" s="217"/>
      <c r="K379" s="217"/>
      <c r="L379" s="217"/>
      <c r="M379" s="217"/>
      <c r="N379" s="146"/>
      <c r="O379" s="146"/>
      <c r="P379" s="146"/>
      <c r="Q379" s="217"/>
      <c r="R379" s="217"/>
      <c r="S379" s="217"/>
      <c r="T379" s="217"/>
      <c r="U379" s="217"/>
      <c r="V379" s="217"/>
      <c r="W379" s="217"/>
      <c r="X379" s="217"/>
      <c r="Y379" s="217"/>
      <c r="Z379" s="217"/>
    </row>
    <row r="380" spans="1:26" s="218" customFormat="1" ht="18" hidden="1" customHeight="1" outlineLevel="2">
      <c r="A380" s="222">
        <v>106</v>
      </c>
      <c r="B380" s="187" t="str">
        <f t="shared" si="47"/>
        <v/>
      </c>
      <c r="C380" s="187" t="str">
        <f t="shared" si="48"/>
        <v/>
      </c>
      <c r="D380" s="187" t="str">
        <f t="shared" si="49"/>
        <v/>
      </c>
      <c r="E380" s="225" t="str">
        <f t="shared" si="50"/>
        <v/>
      </c>
      <c r="F380" s="224"/>
      <c r="G380" s="262">
        <f t="shared" si="51"/>
        <v>0</v>
      </c>
      <c r="H380" s="217"/>
      <c r="I380" s="217"/>
      <c r="J380" s="217"/>
      <c r="K380" s="217"/>
      <c r="L380" s="217"/>
      <c r="M380" s="217"/>
      <c r="N380" s="146"/>
      <c r="O380" s="146"/>
      <c r="P380" s="146"/>
      <c r="Q380" s="217"/>
      <c r="R380" s="217"/>
      <c r="S380" s="217"/>
      <c r="T380" s="217"/>
      <c r="U380" s="217"/>
      <c r="V380" s="217"/>
      <c r="W380" s="217"/>
      <c r="X380" s="217"/>
      <c r="Y380" s="217"/>
      <c r="Z380" s="217"/>
    </row>
    <row r="381" spans="1:26" s="218" customFormat="1" ht="18" hidden="1" customHeight="1" outlineLevel="2">
      <c r="A381" s="222">
        <v>107</v>
      </c>
      <c r="B381" s="187" t="str">
        <f t="shared" si="47"/>
        <v/>
      </c>
      <c r="C381" s="187" t="str">
        <f t="shared" si="48"/>
        <v/>
      </c>
      <c r="D381" s="187" t="str">
        <f t="shared" si="49"/>
        <v/>
      </c>
      <c r="E381" s="225" t="str">
        <f t="shared" si="50"/>
        <v/>
      </c>
      <c r="F381" s="224"/>
      <c r="G381" s="262">
        <f t="shared" si="51"/>
        <v>0</v>
      </c>
      <c r="H381" s="217"/>
      <c r="I381" s="217"/>
      <c r="J381" s="217"/>
      <c r="K381" s="217"/>
      <c r="L381" s="217"/>
      <c r="M381" s="217"/>
      <c r="N381" s="146"/>
      <c r="O381" s="146"/>
      <c r="P381" s="146"/>
      <c r="Q381" s="217"/>
      <c r="R381" s="217"/>
      <c r="S381" s="217"/>
      <c r="T381" s="217"/>
      <c r="U381" s="217"/>
      <c r="V381" s="217"/>
      <c r="W381" s="217"/>
      <c r="X381" s="217"/>
      <c r="Y381" s="217"/>
      <c r="Z381" s="217"/>
    </row>
    <row r="382" spans="1:26" s="218" customFormat="1" ht="18" hidden="1" customHeight="1" outlineLevel="2">
      <c r="A382" s="222">
        <v>108</v>
      </c>
      <c r="B382" s="187" t="str">
        <f t="shared" si="47"/>
        <v/>
      </c>
      <c r="C382" s="187" t="str">
        <f t="shared" si="48"/>
        <v/>
      </c>
      <c r="D382" s="187" t="str">
        <f t="shared" si="49"/>
        <v/>
      </c>
      <c r="E382" s="225" t="str">
        <f t="shared" si="50"/>
        <v/>
      </c>
      <c r="F382" s="224"/>
      <c r="G382" s="262">
        <f t="shared" si="51"/>
        <v>0</v>
      </c>
      <c r="H382" s="217"/>
      <c r="I382" s="217"/>
      <c r="J382" s="217"/>
      <c r="K382" s="217"/>
      <c r="L382" s="217"/>
      <c r="M382" s="217"/>
      <c r="N382" s="146"/>
      <c r="O382" s="146"/>
      <c r="P382" s="146"/>
      <c r="Q382" s="217"/>
      <c r="R382" s="217"/>
      <c r="S382" s="217"/>
      <c r="T382" s="217"/>
      <c r="U382" s="217"/>
      <c r="V382" s="217"/>
      <c r="W382" s="217"/>
      <c r="X382" s="217"/>
      <c r="Y382" s="217"/>
      <c r="Z382" s="217"/>
    </row>
    <row r="383" spans="1:26" s="218" customFormat="1" ht="18" hidden="1" customHeight="1" outlineLevel="2">
      <c r="A383" s="222">
        <v>109</v>
      </c>
      <c r="B383" s="187" t="str">
        <f t="shared" si="47"/>
        <v/>
      </c>
      <c r="C383" s="187" t="str">
        <f t="shared" si="48"/>
        <v/>
      </c>
      <c r="D383" s="187" t="str">
        <f t="shared" si="49"/>
        <v/>
      </c>
      <c r="E383" s="225" t="str">
        <f t="shared" si="50"/>
        <v/>
      </c>
      <c r="F383" s="224"/>
      <c r="G383" s="262">
        <f t="shared" si="51"/>
        <v>0</v>
      </c>
      <c r="H383" s="217"/>
      <c r="I383" s="217"/>
      <c r="J383" s="217"/>
      <c r="K383" s="217"/>
      <c r="L383" s="217"/>
      <c r="M383" s="217"/>
      <c r="N383" s="146"/>
      <c r="O383" s="146"/>
      <c r="P383" s="146"/>
      <c r="Q383" s="217"/>
      <c r="R383" s="217"/>
      <c r="S383" s="217"/>
      <c r="T383" s="217"/>
      <c r="U383" s="217"/>
      <c r="V383" s="217"/>
      <c r="W383" s="217"/>
      <c r="X383" s="217"/>
      <c r="Y383" s="217"/>
      <c r="Z383" s="217"/>
    </row>
    <row r="384" spans="1:26" s="218" customFormat="1" ht="18" hidden="1" customHeight="1" outlineLevel="2">
      <c r="A384" s="222">
        <v>110</v>
      </c>
      <c r="B384" s="187" t="str">
        <f t="shared" si="47"/>
        <v/>
      </c>
      <c r="C384" s="187" t="str">
        <f t="shared" si="48"/>
        <v/>
      </c>
      <c r="D384" s="187" t="str">
        <f t="shared" si="49"/>
        <v/>
      </c>
      <c r="E384" s="225" t="str">
        <f t="shared" si="50"/>
        <v/>
      </c>
      <c r="F384" s="224"/>
      <c r="G384" s="262">
        <f t="shared" si="51"/>
        <v>0</v>
      </c>
      <c r="H384" s="217"/>
      <c r="I384" s="217"/>
      <c r="J384" s="217"/>
      <c r="K384" s="217"/>
      <c r="L384" s="217"/>
      <c r="M384" s="217"/>
      <c r="N384" s="146"/>
      <c r="O384" s="146"/>
      <c r="P384" s="146"/>
      <c r="Q384" s="217"/>
      <c r="R384" s="217"/>
      <c r="S384" s="217"/>
      <c r="T384" s="217"/>
      <c r="U384" s="217"/>
      <c r="V384" s="217"/>
      <c r="W384" s="217"/>
      <c r="X384" s="217"/>
      <c r="Y384" s="217"/>
      <c r="Z384" s="217"/>
    </row>
    <row r="385" spans="1:52" s="218" customFormat="1" ht="18" hidden="1" customHeight="1" outlineLevel="1" collapsed="1">
      <c r="A385" s="222"/>
      <c r="B385" s="92"/>
      <c r="C385" s="93"/>
      <c r="D385" s="93"/>
      <c r="E385" s="93" t="str">
        <f>""</f>
        <v/>
      </c>
      <c r="F385" s="93" t="str">
        <f>""</f>
        <v/>
      </c>
      <c r="G385" s="94" t="str">
        <f>""</f>
        <v/>
      </c>
      <c r="H385" s="159"/>
      <c r="I385" s="217"/>
      <c r="J385" s="217"/>
      <c r="K385" s="217"/>
      <c r="L385" s="217"/>
      <c r="M385" s="217"/>
      <c r="N385" s="146"/>
      <c r="O385" s="146"/>
      <c r="P385" s="146"/>
      <c r="Q385" s="217"/>
      <c r="R385" s="217"/>
      <c r="S385" s="217"/>
      <c r="T385" s="217"/>
      <c r="U385" s="217"/>
      <c r="V385" s="217"/>
      <c r="W385" s="217"/>
      <c r="X385" s="217"/>
      <c r="Y385" s="217"/>
      <c r="Z385" s="217"/>
    </row>
    <row r="386" spans="1:52" s="218" customFormat="1" ht="18" customHeight="1" collapsed="1">
      <c r="A386" s="166"/>
      <c r="B386" s="324" t="str">
        <f>_xlfn.CONCAT("Total non-coincedent peak loads ",IF(units="IP","(Btu-h)","(W)"))</f>
        <v>Total non-coincedent peak loads (W)</v>
      </c>
      <c r="C386" s="326"/>
      <c r="D386" s="263">
        <f>SUM($D$275:$D$385)</f>
        <v>0</v>
      </c>
      <c r="E386" s="93"/>
      <c r="F386" s="93"/>
      <c r="G386" s="94"/>
      <c r="H386" s="217"/>
      <c r="I386" s="217"/>
      <c r="J386" s="217"/>
      <c r="K386" s="217"/>
      <c r="L386" s="217"/>
      <c r="M386" s="217"/>
      <c r="N386" s="217"/>
      <c r="O386" s="146"/>
      <c r="P386" s="146"/>
      <c r="Q386" s="146"/>
      <c r="R386" s="217"/>
      <c r="S386" s="217"/>
      <c r="T386" s="217"/>
      <c r="U386" s="217"/>
      <c r="V386" s="217"/>
      <c r="W386" s="217"/>
      <c r="X386" s="217"/>
      <c r="Y386" s="217"/>
      <c r="Z386" s="217"/>
      <c r="AA386" s="31"/>
      <c r="AB386" s="31"/>
    </row>
    <row r="387" spans="1:52" s="218" customFormat="1" ht="18" customHeight="1">
      <c r="A387" s="166"/>
      <c r="B387" s="324" t="str">
        <f>_xlfn.CONCAT("Total coincedent peak load ",IF(units="IP","(Btu-h)","(W)"))</f>
        <v>Total coincedent peak load (W)</v>
      </c>
      <c r="C387" s="325"/>
      <c r="D387" s="93"/>
      <c r="E387" s="93"/>
      <c r="F387" s="93"/>
      <c r="G387" s="263">
        <f>MAX($G$275:$G$385)</f>
        <v>0</v>
      </c>
      <c r="H387" s="216"/>
      <c r="I387" s="157"/>
      <c r="J387" s="157"/>
      <c r="K387" s="217"/>
      <c r="L387" s="217"/>
      <c r="M387" s="217"/>
      <c r="N387" s="217"/>
      <c r="O387" s="146"/>
      <c r="P387" s="146"/>
      <c r="Q387" s="146"/>
      <c r="R387" s="217"/>
      <c r="S387" s="217"/>
      <c r="T387" s="217"/>
      <c r="U387" s="217"/>
      <c r="V387" s="217"/>
      <c r="W387" s="217"/>
      <c r="X387" s="217"/>
      <c r="Y387" s="217"/>
      <c r="Z387" s="217"/>
      <c r="AA387" s="31"/>
      <c r="AB387" s="31"/>
    </row>
    <row r="388" spans="1:52" s="218" customFormat="1" ht="18" customHeight="1">
      <c r="A388" s="166"/>
      <c r="B388" s="132" t="s">
        <v>215</v>
      </c>
      <c r="C388" s="133"/>
      <c r="D388" s="94"/>
      <c r="E388" s="264" t="str">
        <f>_xlfn.XLOOKUP($G$387,$G$275:$G$385,$F$275:$F$385)</f>
        <v/>
      </c>
      <c r="F388" s="93"/>
      <c r="G388" s="94"/>
      <c r="H388" s="216"/>
      <c r="I388" s="216"/>
      <c r="J388" s="216"/>
      <c r="K388" s="217"/>
      <c r="L388" s="217"/>
      <c r="M388" s="217"/>
      <c r="N388" s="217"/>
      <c r="O388" s="146"/>
      <c r="P388" s="146"/>
      <c r="Q388" s="146"/>
      <c r="R388" s="217"/>
      <c r="S388" s="217"/>
      <c r="T388" s="217"/>
      <c r="U388" s="217"/>
      <c r="V388" s="217"/>
      <c r="W388" s="217"/>
      <c r="X388" s="217"/>
      <c r="Y388" s="217"/>
      <c r="Z388" s="217"/>
      <c r="AA388" s="31"/>
      <c r="AB388" s="31"/>
    </row>
    <row r="389" spans="1:52" s="218" customFormat="1" ht="18" customHeight="1">
      <c r="A389" s="166"/>
      <c r="B389" s="217"/>
      <c r="C389" s="216"/>
      <c r="D389" s="216"/>
      <c r="E389" s="216"/>
      <c r="F389" s="216"/>
      <c r="G389" s="216"/>
      <c r="H389" s="216"/>
      <c r="I389" s="216"/>
      <c r="J389" s="216"/>
      <c r="K389" s="217"/>
      <c r="L389" s="217"/>
      <c r="M389" s="217"/>
      <c r="N389" s="217"/>
      <c r="O389" s="146"/>
      <c r="P389" s="146"/>
      <c r="Q389" s="146"/>
      <c r="R389" s="217"/>
      <c r="S389" s="217"/>
      <c r="T389" s="217"/>
      <c r="U389" s="217"/>
      <c r="V389" s="217"/>
      <c r="W389" s="217"/>
      <c r="X389" s="217"/>
      <c r="Y389" s="217"/>
      <c r="Z389" s="217"/>
      <c r="AA389" s="31"/>
      <c r="AB389" s="31"/>
    </row>
    <row r="390" spans="1:52" s="218" customFormat="1" ht="18" customHeight="1">
      <c r="A390" s="166"/>
      <c r="B390" s="217"/>
      <c r="C390" s="217"/>
      <c r="D390" s="217"/>
      <c r="E390" s="217"/>
      <c r="F390" s="217"/>
      <c r="G390" s="217"/>
      <c r="H390" s="217"/>
      <c r="I390" s="217"/>
      <c r="J390" s="217"/>
      <c r="K390" s="217"/>
      <c r="L390" s="217"/>
      <c r="M390" s="217"/>
      <c r="N390" s="217"/>
      <c r="O390" s="146"/>
      <c r="P390" s="146"/>
      <c r="Q390" s="146"/>
      <c r="R390" s="217"/>
      <c r="S390" s="217"/>
      <c r="T390" s="217"/>
      <c r="U390" s="217"/>
      <c r="V390" s="217"/>
      <c r="W390" s="217"/>
      <c r="X390" s="217"/>
      <c r="Y390" s="217"/>
      <c r="Z390" s="217"/>
      <c r="AA390" s="31"/>
      <c r="AB390" s="31"/>
    </row>
    <row r="391" spans="1:52" ht="18" customHeight="1">
      <c r="A391" s="165"/>
      <c r="B391" s="89" t="s">
        <v>216</v>
      </c>
      <c r="C391" s="90"/>
      <c r="D391" s="90"/>
      <c r="E391" s="90"/>
      <c r="F391" s="90"/>
      <c r="G391" s="90"/>
      <c r="H391" s="91"/>
      <c r="I391" s="216"/>
      <c r="J391" s="216"/>
      <c r="K391" s="216"/>
      <c r="L391" s="216"/>
      <c r="M391" s="216"/>
      <c r="N391" s="217"/>
      <c r="O391" s="146"/>
      <c r="P391" s="146"/>
      <c r="Q391" s="146"/>
      <c r="R391" s="217"/>
      <c r="S391" s="217"/>
      <c r="T391" s="217"/>
      <c r="U391" s="217"/>
      <c r="V391" s="217"/>
      <c r="W391" s="217"/>
      <c r="X391" s="217"/>
      <c r="Y391" s="217"/>
      <c r="Z391" s="217"/>
      <c r="AA391" s="19"/>
      <c r="AB391" s="218"/>
      <c r="AC391" s="218"/>
      <c r="AD391" s="218"/>
      <c r="AE391" s="218"/>
      <c r="AF391" s="218"/>
      <c r="AG391" s="218"/>
      <c r="AH391" s="218"/>
      <c r="AI391" s="218"/>
      <c r="AJ391" s="218"/>
      <c r="AK391" s="218"/>
      <c r="AL391" s="218"/>
      <c r="AM391" s="218"/>
      <c r="AN391" s="218"/>
      <c r="AO391" s="218"/>
      <c r="AP391" s="218"/>
      <c r="AQ391" s="218"/>
      <c r="AR391" s="218"/>
      <c r="AS391" s="218"/>
      <c r="AT391" s="218"/>
      <c r="AU391" s="218"/>
      <c r="AV391" s="218"/>
      <c r="AW391" s="218"/>
      <c r="AX391" s="218"/>
      <c r="AY391" s="218"/>
      <c r="AZ391" s="218"/>
    </row>
    <row r="392" spans="1:52" ht="18" customHeight="1">
      <c r="A392" s="166"/>
      <c r="B392" s="217"/>
      <c r="C392" s="217"/>
      <c r="D392" s="217"/>
      <c r="E392" s="217"/>
      <c r="F392" s="217"/>
      <c r="G392" s="217"/>
      <c r="H392" s="217"/>
      <c r="I392" s="217"/>
      <c r="J392" s="217"/>
      <c r="K392" s="217"/>
      <c r="L392" s="217"/>
      <c r="M392" s="217"/>
      <c r="N392" s="217"/>
      <c r="O392" s="146"/>
      <c r="P392" s="146"/>
      <c r="Q392" s="146"/>
      <c r="R392" s="217"/>
      <c r="S392" s="217"/>
      <c r="T392" s="217"/>
      <c r="U392" s="217"/>
      <c r="V392" s="217"/>
      <c r="W392" s="217"/>
      <c r="X392" s="217"/>
      <c r="Y392" s="217"/>
      <c r="Z392" s="151"/>
      <c r="AA392" s="31"/>
      <c r="AB392" s="31"/>
      <c r="AC392" s="218"/>
      <c r="AD392" s="218"/>
      <c r="AE392" s="218"/>
      <c r="AF392" s="218"/>
      <c r="AG392" s="218"/>
      <c r="AH392" s="218"/>
      <c r="AI392" s="218"/>
      <c r="AJ392" s="218"/>
      <c r="AK392" s="218"/>
      <c r="AL392" s="218"/>
      <c r="AM392" s="218"/>
      <c r="AN392" s="218"/>
      <c r="AO392" s="218"/>
      <c r="AP392" s="218"/>
      <c r="AQ392" s="218"/>
      <c r="AR392" s="218"/>
      <c r="AS392" s="218"/>
      <c r="AT392" s="218"/>
      <c r="AU392" s="218"/>
      <c r="AV392" s="218"/>
      <c r="AW392" s="218"/>
      <c r="AX392" s="218"/>
      <c r="AY392" s="218"/>
      <c r="AZ392" s="218"/>
    </row>
    <row r="393" spans="1:52" ht="18" customHeight="1">
      <c r="A393" s="166"/>
      <c r="B393" s="156" t="s">
        <v>186</v>
      </c>
      <c r="C393" s="216"/>
      <c r="D393" s="216"/>
      <c r="E393" s="216"/>
      <c r="F393" s="216"/>
      <c r="G393" s="216"/>
      <c r="H393" s="216"/>
      <c r="I393" s="216"/>
      <c r="J393" s="216"/>
      <c r="K393" s="217"/>
      <c r="L393" s="217"/>
      <c r="M393" s="217"/>
      <c r="N393" s="217"/>
      <c r="O393" s="146"/>
      <c r="P393" s="146"/>
      <c r="Q393" s="146"/>
      <c r="R393" s="217"/>
      <c r="S393" s="217"/>
      <c r="T393" s="217"/>
      <c r="U393" s="217"/>
      <c r="V393" s="217"/>
      <c r="W393" s="217"/>
      <c r="X393" s="217"/>
      <c r="Y393" s="217"/>
      <c r="Z393" s="151"/>
      <c r="AA393" s="31"/>
      <c r="AB393" s="31"/>
      <c r="AC393" s="218"/>
      <c r="AD393" s="218"/>
      <c r="AE393" s="218"/>
      <c r="AF393" s="218"/>
      <c r="AG393" s="218"/>
      <c r="AH393" s="218"/>
      <c r="AI393" s="218"/>
      <c r="AJ393" s="218"/>
      <c r="AK393" s="218"/>
      <c r="AL393" s="218"/>
      <c r="AM393" s="218"/>
      <c r="AN393" s="218"/>
      <c r="AO393" s="218"/>
      <c r="AP393" s="218"/>
      <c r="AQ393" s="218"/>
      <c r="AR393" s="218"/>
      <c r="AS393" s="218"/>
      <c r="AT393" s="218"/>
      <c r="AU393" s="218"/>
      <c r="AV393" s="218"/>
      <c r="AW393" s="218"/>
      <c r="AX393" s="218"/>
      <c r="AY393" s="218"/>
      <c r="AZ393" s="218"/>
    </row>
    <row r="394" spans="1:52" ht="18" customHeight="1">
      <c r="A394" s="166"/>
      <c r="B394" s="217"/>
      <c r="C394" s="216"/>
      <c r="D394" s="216"/>
      <c r="E394" s="216"/>
      <c r="F394" s="216"/>
      <c r="G394" s="216"/>
      <c r="H394" s="216"/>
      <c r="I394" s="216"/>
      <c r="J394" s="216"/>
      <c r="K394" s="217"/>
      <c r="L394" s="217"/>
      <c r="M394" s="217"/>
      <c r="N394" s="217"/>
      <c r="O394" s="146"/>
      <c r="P394" s="146"/>
      <c r="Q394" s="146"/>
      <c r="R394" s="217"/>
      <c r="S394" s="217"/>
      <c r="T394" s="217"/>
      <c r="U394" s="217"/>
      <c r="V394" s="217"/>
      <c r="W394" s="217"/>
      <c r="X394" s="217"/>
      <c r="Y394" s="217"/>
      <c r="Z394" s="151"/>
      <c r="AA394" s="31"/>
      <c r="AB394" s="31"/>
      <c r="AC394" s="218"/>
      <c r="AD394" s="218"/>
      <c r="AE394" s="218"/>
      <c r="AF394" s="218"/>
      <c r="AG394" s="218"/>
      <c r="AH394" s="218"/>
      <c r="AI394" s="218"/>
      <c r="AJ394" s="218"/>
      <c r="AK394" s="218"/>
      <c r="AL394" s="218"/>
      <c r="AM394" s="218"/>
      <c r="AN394" s="218"/>
      <c r="AO394" s="218"/>
      <c r="AP394" s="218"/>
      <c r="AQ394" s="218"/>
      <c r="AR394" s="218"/>
      <c r="AS394" s="218"/>
      <c r="AT394" s="218"/>
      <c r="AU394" s="218"/>
      <c r="AV394" s="218"/>
      <c r="AW394" s="218"/>
      <c r="AX394" s="218"/>
      <c r="AY394" s="218"/>
      <c r="AZ394" s="218"/>
    </row>
    <row r="395" spans="1:52" s="193" customFormat="1" ht="18" customHeight="1">
      <c r="A395" s="189"/>
      <c r="B395" s="190" t="s">
        <v>187</v>
      </c>
      <c r="C395" s="190"/>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2"/>
      <c r="Z395" s="192"/>
      <c r="AA395" s="192"/>
      <c r="AB395" s="192"/>
      <c r="AC395" s="192"/>
      <c r="AD395" s="192"/>
      <c r="AE395" s="192"/>
      <c r="AF395" s="192"/>
      <c r="AG395" s="192"/>
      <c r="AH395" s="192"/>
      <c r="AI395" s="192"/>
      <c r="AJ395" s="192"/>
      <c r="AK395" s="192"/>
      <c r="AL395" s="192"/>
      <c r="AM395" s="192"/>
      <c r="AN395" s="192"/>
      <c r="AO395" s="192"/>
      <c r="AP395" s="192"/>
      <c r="AQ395" s="192"/>
      <c r="AR395" s="192"/>
      <c r="AS395" s="192"/>
      <c r="AT395" s="192"/>
      <c r="AU395" s="192"/>
      <c r="AV395" s="192"/>
      <c r="AW395" s="192"/>
      <c r="AX395" s="192"/>
      <c r="AY395" s="192"/>
      <c r="AZ395" s="192"/>
    </row>
    <row r="396" spans="1:52" ht="18" customHeight="1">
      <c r="A396" s="165"/>
      <c r="B396" s="132" t="s">
        <v>188</v>
      </c>
      <c r="C396" s="133"/>
      <c r="D396" s="133"/>
      <c r="E396" s="133"/>
      <c r="F396" s="133"/>
      <c r="G396" s="134"/>
      <c r="H396" s="216"/>
      <c r="I396" s="216"/>
      <c r="J396" s="216"/>
      <c r="K396" s="216"/>
      <c r="L396" s="216"/>
      <c r="M396" s="216"/>
      <c r="N396" s="217"/>
      <c r="O396" s="146"/>
      <c r="P396" s="146"/>
      <c r="Q396" s="146"/>
      <c r="R396" s="217"/>
      <c r="S396" s="217"/>
      <c r="T396" s="217"/>
      <c r="U396" s="217"/>
      <c r="V396" s="217"/>
      <c r="W396" s="217"/>
      <c r="X396" s="217"/>
      <c r="Y396" s="217"/>
      <c r="Z396" s="217"/>
      <c r="AA396" s="19"/>
      <c r="AB396" s="218"/>
      <c r="AC396" s="218"/>
      <c r="AD396" s="218"/>
      <c r="AE396" s="218"/>
      <c r="AF396" s="218"/>
      <c r="AG396" s="218"/>
      <c r="AH396" s="218"/>
      <c r="AI396" s="218"/>
      <c r="AJ396" s="218"/>
      <c r="AK396" s="218"/>
      <c r="AL396" s="218"/>
      <c r="AM396" s="218"/>
      <c r="AN396" s="218"/>
      <c r="AO396" s="218"/>
      <c r="AP396" s="218"/>
      <c r="AQ396" s="218"/>
      <c r="AR396" s="218"/>
      <c r="AS396" s="218"/>
      <c r="AT396" s="218"/>
      <c r="AU396" s="218"/>
      <c r="AV396" s="218"/>
      <c r="AW396" s="218"/>
      <c r="AX396" s="218"/>
      <c r="AY396" s="218"/>
      <c r="AZ396" s="218"/>
    </row>
    <row r="397" spans="1:52" ht="18" customHeight="1">
      <c r="A397" s="166"/>
      <c r="B397" s="331" t="s">
        <v>202</v>
      </c>
      <c r="C397" s="332"/>
      <c r="D397" s="331" t="s">
        <v>203</v>
      </c>
      <c r="E397" s="332"/>
      <c r="F397" s="333" t="s">
        <v>191</v>
      </c>
      <c r="G397" s="333" t="s">
        <v>217</v>
      </c>
      <c r="H397" s="216"/>
      <c r="I397" s="216"/>
      <c r="J397" s="216"/>
      <c r="K397" s="216"/>
      <c r="L397" s="217"/>
      <c r="M397" s="217"/>
      <c r="N397" s="217"/>
      <c r="O397" s="146"/>
      <c r="P397" s="146"/>
      <c r="Q397" s="146"/>
      <c r="R397" s="217"/>
      <c r="S397" s="217"/>
      <c r="T397" s="217"/>
      <c r="U397" s="217"/>
      <c r="V397" s="217"/>
      <c r="W397" s="217"/>
      <c r="X397" s="217"/>
      <c r="Y397" s="217"/>
      <c r="Z397" s="217"/>
      <c r="AA397" s="19"/>
      <c r="AB397" s="218"/>
      <c r="AC397" s="218"/>
      <c r="AD397" s="218"/>
      <c r="AE397" s="218"/>
      <c r="AF397" s="218"/>
      <c r="AG397" s="218"/>
      <c r="AH397" s="218"/>
      <c r="AI397" s="218"/>
      <c r="AJ397" s="218"/>
      <c r="AK397" s="218"/>
      <c r="AL397" s="218"/>
      <c r="AM397" s="218"/>
      <c r="AN397" s="218"/>
      <c r="AO397" s="218"/>
      <c r="AP397" s="218"/>
      <c r="AQ397" s="218"/>
      <c r="AR397" s="218"/>
      <c r="AS397" s="218"/>
      <c r="AT397" s="218"/>
      <c r="AU397" s="218"/>
      <c r="AV397" s="218"/>
      <c r="AW397" s="218"/>
      <c r="AX397" s="218"/>
      <c r="AY397" s="218"/>
      <c r="AZ397" s="218"/>
    </row>
    <row r="398" spans="1:52" ht="18" customHeight="1">
      <c r="A398" s="166"/>
      <c r="B398" s="160" t="str">
        <f>_xlfn.CONCAT("Peak Heating ",IF(units="IP","(Btuh)","(W)"))</f>
        <v>Peak Heating (W)</v>
      </c>
      <c r="C398" s="160" t="str">
        <f>_xlfn.CONCAT("Peak Cooling ",IF(units="IP","(Btuh)","(W)"))</f>
        <v>Peak Cooling (W)</v>
      </c>
      <c r="D398" s="160" t="str">
        <f>_xlfn.CONCAT("Peak Heating ",IF(units="IP","(Btuh)","(W)"))</f>
        <v>Peak Heating (W)</v>
      </c>
      <c r="E398" s="160" t="str">
        <f>_xlfn.CONCAT("Peak Cooling ",IF(units="IP","(Btuh)","(W)"))</f>
        <v>Peak Cooling (W)</v>
      </c>
      <c r="F398" s="334"/>
      <c r="G398" s="334"/>
      <c r="H398" s="216"/>
      <c r="I398" s="216"/>
      <c r="J398" s="216"/>
      <c r="K398" s="216"/>
      <c r="L398" s="217"/>
      <c r="M398" s="217"/>
      <c r="N398" s="217"/>
      <c r="O398" s="146"/>
      <c r="P398" s="146"/>
      <c r="Q398" s="146"/>
      <c r="R398" s="217"/>
      <c r="S398" s="217"/>
      <c r="T398" s="217"/>
      <c r="U398" s="217"/>
      <c r="V398" s="217"/>
      <c r="W398" s="217"/>
      <c r="X398" s="217"/>
      <c r="Y398" s="217"/>
      <c r="Z398" s="217"/>
      <c r="AA398" s="31"/>
      <c r="AB398" s="31"/>
      <c r="AC398" s="218"/>
      <c r="AD398" s="218"/>
      <c r="AE398" s="218"/>
      <c r="AF398" s="218"/>
      <c r="AG398" s="218"/>
      <c r="AH398" s="218"/>
      <c r="AI398" s="218"/>
      <c r="AJ398" s="218"/>
      <c r="AK398" s="218"/>
      <c r="AL398" s="218"/>
      <c r="AM398" s="218"/>
      <c r="AN398" s="218"/>
      <c r="AO398" s="218"/>
      <c r="AP398" s="218"/>
      <c r="AQ398" s="218"/>
      <c r="AR398" s="218"/>
      <c r="AS398" s="218"/>
      <c r="AT398" s="218"/>
      <c r="AU398" s="218"/>
      <c r="AV398" s="218"/>
      <c r="AW398" s="218"/>
      <c r="AX398" s="218"/>
      <c r="AY398" s="218"/>
      <c r="AZ398" s="218"/>
    </row>
    <row r="399" spans="1:52" ht="18" customHeight="1">
      <c r="A399" s="166"/>
      <c r="B399" s="214">
        <f>proposedEnvelopeHeating</f>
        <v>0</v>
      </c>
      <c r="C399" s="214">
        <f>proposedEnvelopeCooling</f>
        <v>0</v>
      </c>
      <c r="D399" s="214">
        <f>baselineEnvelopeHeating</f>
        <v>0</v>
      </c>
      <c r="E399" s="214">
        <f>baselineEnvelopeCooling</f>
        <v>0</v>
      </c>
      <c r="F399" s="274">
        <f>IFERROR(1 - SUM(B399:C399)/SUM(D399:E399),0)</f>
        <v>0</v>
      </c>
      <c r="G399" s="275">
        <f>IF(envelopeLoadsReduction&gt;=0.1, IF(envelopeLoadsReduction&gt;=0.2, 2, 1), 0)</f>
        <v>0</v>
      </c>
      <c r="H399" s="216"/>
      <c r="I399" s="216"/>
      <c r="J399" s="216"/>
      <c r="K399" s="216"/>
      <c r="L399" s="217"/>
      <c r="M399" s="217"/>
      <c r="N399" s="217"/>
      <c r="O399" s="146"/>
      <c r="P399" s="146"/>
      <c r="Q399" s="146"/>
      <c r="R399" s="217"/>
      <c r="S399" s="217"/>
      <c r="T399" s="217"/>
      <c r="U399" s="217"/>
      <c r="V399" s="217"/>
      <c r="W399" s="217"/>
      <c r="X399" s="217"/>
      <c r="Y399" s="217"/>
      <c r="Z399" s="217"/>
      <c r="AA399" s="31"/>
      <c r="AB399" s="31"/>
      <c r="AC399" s="218"/>
      <c r="AD399" s="218"/>
      <c r="AE399" s="218"/>
      <c r="AF399" s="218"/>
      <c r="AG399" s="218"/>
      <c r="AH399" s="218"/>
      <c r="AI399" s="218"/>
      <c r="AJ399" s="218"/>
      <c r="AK399" s="218"/>
      <c r="AL399" s="218"/>
      <c r="AM399" s="218"/>
      <c r="AN399" s="218"/>
      <c r="AO399" s="218"/>
      <c r="AP399" s="218"/>
      <c r="AQ399" s="218"/>
      <c r="AR399" s="218"/>
      <c r="AS399" s="218"/>
      <c r="AT399" s="218"/>
      <c r="AU399" s="218"/>
      <c r="AV399" s="218"/>
      <c r="AW399" s="218"/>
      <c r="AX399" s="218"/>
      <c r="AY399" s="218"/>
      <c r="AZ399" s="218"/>
    </row>
    <row r="400" spans="1:52" ht="18" customHeight="1">
      <c r="A400" s="143"/>
      <c r="B400" s="216"/>
      <c r="C400" s="216"/>
      <c r="D400" s="216"/>
      <c r="E400" s="216"/>
      <c r="F400" s="216"/>
      <c r="G400" s="216"/>
      <c r="H400" s="216"/>
      <c r="I400" s="217"/>
      <c r="J400" s="217"/>
      <c r="K400" s="217"/>
      <c r="L400" s="217"/>
      <c r="M400" s="217"/>
      <c r="N400" s="217"/>
      <c r="O400" s="146"/>
      <c r="P400" s="146"/>
      <c r="Q400" s="146"/>
      <c r="R400" s="217"/>
      <c r="S400" s="217"/>
      <c r="T400" s="217"/>
      <c r="U400" s="217"/>
      <c r="V400" s="217"/>
      <c r="W400" s="217"/>
      <c r="X400" s="217"/>
      <c r="Y400" s="217"/>
      <c r="Z400" s="151"/>
      <c r="AA400" s="31"/>
      <c r="AB400" s="31"/>
      <c r="AC400" s="218"/>
      <c r="AD400" s="218"/>
      <c r="AE400" s="218"/>
      <c r="AF400" s="218"/>
      <c r="AG400" s="218"/>
      <c r="AH400" s="218"/>
      <c r="AI400" s="218"/>
      <c r="AJ400" s="218"/>
      <c r="AK400" s="218"/>
      <c r="AL400" s="218"/>
      <c r="AM400" s="218"/>
      <c r="AN400" s="218"/>
      <c r="AO400" s="218"/>
      <c r="AP400" s="218"/>
      <c r="AQ400" s="218"/>
      <c r="AR400" s="218"/>
      <c r="AS400" s="218"/>
      <c r="AT400" s="218"/>
      <c r="AU400" s="218"/>
      <c r="AV400" s="218"/>
      <c r="AW400" s="218"/>
      <c r="AX400" s="218"/>
      <c r="AY400" s="218"/>
      <c r="AZ400" s="218"/>
    </row>
    <row r="401" spans="1:52" ht="18" customHeight="1">
      <c r="A401" s="141"/>
      <c r="B401" s="190" t="s">
        <v>192</v>
      </c>
      <c r="C401" s="216"/>
      <c r="D401" s="216"/>
      <c r="E401" s="216"/>
      <c r="F401" s="216"/>
      <c r="G401" s="216"/>
      <c r="H401" s="217"/>
      <c r="I401" s="217"/>
      <c r="J401" s="217"/>
      <c r="K401" s="216"/>
      <c r="L401" s="216"/>
      <c r="M401" s="216"/>
      <c r="N401" s="217"/>
      <c r="O401" s="146"/>
      <c r="P401" s="146"/>
      <c r="Q401" s="146"/>
      <c r="R401" s="217"/>
      <c r="S401" s="217"/>
      <c r="T401" s="217"/>
      <c r="U401" s="217"/>
      <c r="V401" s="217"/>
      <c r="W401" s="217"/>
      <c r="X401" s="217"/>
      <c r="Y401" s="217"/>
      <c r="Z401" s="138"/>
      <c r="AA401" s="19"/>
      <c r="AB401" s="218"/>
      <c r="AC401" s="218"/>
      <c r="AD401" s="218"/>
      <c r="AE401" s="218"/>
      <c r="AF401" s="218"/>
      <c r="AG401" s="218"/>
      <c r="AH401" s="218"/>
      <c r="AI401" s="218"/>
      <c r="AJ401" s="218"/>
      <c r="AK401" s="218"/>
      <c r="AL401" s="218"/>
      <c r="AM401" s="218"/>
      <c r="AN401" s="218"/>
      <c r="AO401" s="218"/>
      <c r="AP401" s="218"/>
      <c r="AQ401" s="218"/>
      <c r="AR401" s="218"/>
      <c r="AS401" s="218"/>
      <c r="AT401" s="218"/>
      <c r="AU401" s="218"/>
      <c r="AV401" s="218"/>
      <c r="AW401" s="218"/>
      <c r="AX401" s="218"/>
      <c r="AY401" s="218"/>
      <c r="AZ401" s="218"/>
    </row>
    <row r="402" spans="1:52" ht="18" customHeight="1">
      <c r="A402" s="143"/>
      <c r="B402" s="216"/>
      <c r="C402" s="216"/>
      <c r="D402" s="216"/>
      <c r="E402" s="216"/>
      <c r="F402" s="216"/>
      <c r="G402" s="216"/>
      <c r="H402" s="217"/>
      <c r="I402" s="217"/>
      <c r="J402" s="217"/>
      <c r="K402" s="217"/>
      <c r="L402" s="217"/>
      <c r="M402" s="217"/>
      <c r="N402" s="217"/>
      <c r="O402" s="146"/>
      <c r="P402" s="146"/>
      <c r="Q402" s="146"/>
      <c r="R402" s="217"/>
      <c r="S402" s="217"/>
      <c r="T402" s="217"/>
      <c r="U402" s="217"/>
      <c r="V402" s="217"/>
      <c r="W402" s="217"/>
      <c r="X402" s="217"/>
      <c r="Y402" s="217"/>
      <c r="Z402" s="151"/>
      <c r="AA402" s="31"/>
      <c r="AB402" s="31"/>
      <c r="AC402" s="218"/>
      <c r="AD402" s="218"/>
      <c r="AE402" s="218"/>
      <c r="AF402" s="218"/>
      <c r="AG402" s="218"/>
      <c r="AH402" s="218"/>
      <c r="AI402" s="218"/>
      <c r="AJ402" s="218"/>
      <c r="AK402" s="218"/>
      <c r="AL402" s="218"/>
      <c r="AM402" s="218"/>
      <c r="AN402" s="218"/>
      <c r="AO402" s="218"/>
      <c r="AP402" s="218"/>
      <c r="AQ402" s="218"/>
      <c r="AR402" s="218"/>
      <c r="AS402" s="218"/>
      <c r="AT402" s="218"/>
      <c r="AU402" s="218"/>
      <c r="AV402" s="218"/>
      <c r="AW402" s="218"/>
      <c r="AX402" s="218"/>
      <c r="AY402" s="218"/>
      <c r="AZ402" s="218"/>
    </row>
    <row r="403" spans="1:52" s="193" customFormat="1" ht="18" customHeight="1">
      <c r="A403" s="189"/>
      <c r="B403" s="190" t="s">
        <v>193</v>
      </c>
      <c r="C403" s="190"/>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2"/>
      <c r="Z403" s="192"/>
      <c r="AA403" s="192"/>
      <c r="AB403" s="192"/>
      <c r="AC403" s="192"/>
      <c r="AD403" s="192"/>
      <c r="AE403" s="192"/>
      <c r="AF403" s="192"/>
      <c r="AG403" s="192"/>
      <c r="AH403" s="192"/>
      <c r="AI403" s="192"/>
      <c r="AJ403" s="192"/>
      <c r="AK403" s="192"/>
      <c r="AL403" s="192"/>
      <c r="AM403" s="192"/>
      <c r="AN403" s="192"/>
      <c r="AO403" s="192"/>
      <c r="AP403" s="192"/>
      <c r="AQ403" s="192"/>
      <c r="AR403" s="192"/>
      <c r="AS403" s="192"/>
      <c r="AT403" s="192"/>
      <c r="AU403" s="192"/>
      <c r="AV403" s="192"/>
      <c r="AW403" s="192"/>
      <c r="AX403" s="192"/>
      <c r="AY403" s="192"/>
      <c r="AZ403" s="192"/>
    </row>
    <row r="404" spans="1:52" ht="18" customHeight="1">
      <c r="A404" s="143"/>
      <c r="B404" s="201" t="s">
        <v>194</v>
      </c>
      <c r="C404" s="133"/>
      <c r="D404" s="133"/>
      <c r="E404" s="133"/>
      <c r="F404" s="133"/>
      <c r="G404" s="133"/>
      <c r="H404" s="134"/>
      <c r="I404" s="217"/>
      <c r="J404" s="217"/>
      <c r="K404" s="217"/>
      <c r="L404" s="217"/>
      <c r="M404" s="217"/>
      <c r="N404" s="146"/>
      <c r="O404" s="146"/>
      <c r="P404" s="146"/>
      <c r="Q404" s="217"/>
      <c r="R404" s="217"/>
      <c r="S404" s="217"/>
      <c r="T404" s="217"/>
      <c r="U404" s="217"/>
      <c r="V404" s="217"/>
      <c r="W404" s="217"/>
      <c r="X404" s="217"/>
      <c r="Y404" s="151"/>
      <c r="Z404" s="151"/>
      <c r="AA404" s="31"/>
      <c r="AB404" s="218"/>
      <c r="AC404" s="218"/>
      <c r="AD404" s="218"/>
      <c r="AE404" s="218"/>
      <c r="AF404" s="218"/>
      <c r="AG404" s="218"/>
      <c r="AH404" s="218"/>
      <c r="AI404" s="218"/>
      <c r="AJ404" s="218"/>
      <c r="AK404" s="218"/>
      <c r="AL404" s="218"/>
      <c r="AM404" s="218"/>
      <c r="AN404" s="218"/>
      <c r="AO404" s="218"/>
      <c r="AP404" s="218"/>
      <c r="AQ404" s="218"/>
      <c r="AR404" s="218"/>
      <c r="AS404" s="218"/>
      <c r="AT404" s="218"/>
      <c r="AU404" s="218"/>
      <c r="AV404" s="218"/>
      <c r="AW404" s="218"/>
      <c r="AX404" s="218"/>
      <c r="AY404" s="218"/>
      <c r="AZ404" s="218"/>
    </row>
    <row r="405" spans="1:52" ht="18" customHeight="1">
      <c r="A405" s="143"/>
      <c r="B405" s="330" t="s">
        <v>195</v>
      </c>
      <c r="C405" s="330"/>
      <c r="D405" s="331" t="s">
        <v>196</v>
      </c>
      <c r="E405" s="332"/>
      <c r="F405" s="333" t="s">
        <v>197</v>
      </c>
      <c r="G405" s="333" t="s">
        <v>198</v>
      </c>
      <c r="H405" s="333" t="s">
        <v>218</v>
      </c>
      <c r="I405" s="217"/>
      <c r="J405" s="217"/>
      <c r="K405" s="217"/>
      <c r="L405" s="217"/>
      <c r="M405" s="217"/>
      <c r="N405" s="217"/>
      <c r="O405" s="146"/>
      <c r="P405" s="146"/>
      <c r="Q405" s="146"/>
      <c r="R405" s="217"/>
      <c r="S405" s="217"/>
      <c r="T405" s="217"/>
      <c r="U405" s="217"/>
      <c r="V405" s="217"/>
      <c r="W405" s="217"/>
      <c r="X405" s="217"/>
      <c r="Y405" s="217"/>
      <c r="Z405" s="151"/>
      <c r="AA405" s="31"/>
      <c r="AB405" s="31"/>
      <c r="AC405" s="218"/>
      <c r="AD405" s="218"/>
      <c r="AE405" s="218"/>
      <c r="AF405" s="218"/>
      <c r="AG405" s="218"/>
      <c r="AH405" s="218"/>
      <c r="AI405" s="218"/>
      <c r="AJ405" s="218"/>
      <c r="AK405" s="218"/>
      <c r="AL405" s="218"/>
      <c r="AM405" s="218"/>
      <c r="AN405" s="218"/>
      <c r="AO405" s="218"/>
      <c r="AP405" s="218"/>
      <c r="AQ405" s="218"/>
      <c r="AR405" s="218"/>
      <c r="AS405" s="218"/>
      <c r="AT405" s="218"/>
      <c r="AU405" s="218"/>
      <c r="AV405" s="218"/>
      <c r="AW405" s="218"/>
      <c r="AX405" s="218"/>
      <c r="AY405" s="218"/>
      <c r="AZ405" s="218"/>
    </row>
    <row r="406" spans="1:52" ht="18" customHeight="1">
      <c r="A406" s="166"/>
      <c r="B406" s="336" t="str">
        <f>_xlfn.CONCAT("Peak Heating Coincident ",IF(units="IP","(Btuh)","(W)"))</f>
        <v>Peak Heating Coincident (W)</v>
      </c>
      <c r="C406" s="336" t="str">
        <f>_xlfn.CONCAT("Peak Cooling Coincident ",IF(units="IP","(Btuh)","(W)"))</f>
        <v>Peak Cooling Coincident (W)</v>
      </c>
      <c r="D406" s="336" t="str">
        <f>_xlfn.CONCAT("Peak Heating Coincident ",IF(units="IP","(Btuh)","(W)"))</f>
        <v>Peak Heating Coincident (W)</v>
      </c>
      <c r="E406" s="336" t="str">
        <f>_xlfn.CONCAT("Peak Cooling Coincident ",IF(units="IP","(Btuh)","(W)"))</f>
        <v>Peak Cooling Coincident (W)</v>
      </c>
      <c r="F406" s="334"/>
      <c r="G406" s="334"/>
      <c r="H406" s="334"/>
      <c r="I406" s="216"/>
      <c r="J406" s="216"/>
      <c r="K406" s="216"/>
      <c r="L406" s="217"/>
      <c r="M406" s="217"/>
      <c r="N406" s="217"/>
      <c r="O406" s="146"/>
      <c r="P406" s="146"/>
      <c r="Q406" s="146"/>
      <c r="R406" s="217"/>
      <c r="S406" s="217"/>
      <c r="T406" s="217"/>
      <c r="U406" s="217"/>
      <c r="V406" s="217"/>
      <c r="W406" s="217"/>
      <c r="X406" s="217"/>
      <c r="Y406" s="217"/>
      <c r="Z406" s="217"/>
      <c r="AA406" s="31"/>
      <c r="AB406" s="31"/>
      <c r="AC406" s="218"/>
      <c r="AD406" s="218"/>
      <c r="AE406" s="218"/>
      <c r="AF406" s="218"/>
      <c r="AG406" s="218"/>
      <c r="AH406" s="218"/>
      <c r="AI406" s="218"/>
      <c r="AJ406" s="218"/>
      <c r="AK406" s="218"/>
      <c r="AL406" s="218"/>
      <c r="AM406" s="218"/>
      <c r="AN406" s="218"/>
      <c r="AO406" s="218"/>
      <c r="AP406" s="218"/>
      <c r="AQ406" s="218"/>
      <c r="AR406" s="218"/>
      <c r="AS406" s="218"/>
      <c r="AT406" s="218"/>
      <c r="AU406" s="218"/>
      <c r="AV406" s="218"/>
      <c r="AW406" s="218"/>
      <c r="AX406" s="218"/>
      <c r="AY406" s="218"/>
      <c r="AZ406" s="218"/>
    </row>
    <row r="407" spans="1:52" ht="18" customHeight="1">
      <c r="A407" s="166"/>
      <c r="B407" s="336"/>
      <c r="C407" s="336"/>
      <c r="D407" s="336"/>
      <c r="E407" s="336"/>
      <c r="F407" s="322"/>
      <c r="G407" s="322"/>
      <c r="H407" s="322"/>
      <c r="I407" s="216"/>
      <c r="J407" s="216"/>
      <c r="K407" s="216"/>
      <c r="L407" s="217"/>
      <c r="M407" s="217"/>
      <c r="N407" s="217"/>
      <c r="O407" s="146"/>
      <c r="P407" s="146"/>
      <c r="Q407" s="146"/>
      <c r="R407" s="217"/>
      <c r="S407" s="217"/>
      <c r="T407" s="217"/>
      <c r="U407" s="217"/>
      <c r="V407" s="217"/>
      <c r="W407" s="217"/>
      <c r="X407" s="217"/>
      <c r="Y407" s="217"/>
      <c r="Z407" s="217"/>
      <c r="AA407" s="31"/>
      <c r="AB407" s="31"/>
      <c r="AC407" s="218"/>
      <c r="AD407" s="218"/>
      <c r="AE407" s="218"/>
      <c r="AF407" s="218"/>
      <c r="AG407" s="218"/>
      <c r="AH407" s="218"/>
      <c r="AI407" s="218"/>
      <c r="AJ407" s="218"/>
      <c r="AK407" s="218"/>
      <c r="AL407" s="218"/>
      <c r="AM407" s="218"/>
      <c r="AN407" s="218"/>
      <c r="AO407" s="218"/>
      <c r="AP407" s="218"/>
      <c r="AQ407" s="218"/>
      <c r="AR407" s="218"/>
      <c r="AS407" s="218"/>
      <c r="AT407" s="218"/>
      <c r="AU407" s="218"/>
      <c r="AV407" s="218"/>
      <c r="AW407" s="218"/>
      <c r="AX407" s="218"/>
      <c r="AY407" s="218"/>
      <c r="AZ407" s="218"/>
    </row>
    <row r="408" spans="1:52" ht="18" customHeight="1">
      <c r="A408" s="166"/>
      <c r="B408" s="214">
        <f>proposedVentHeating</f>
        <v>0</v>
      </c>
      <c r="C408" s="214">
        <f>proposedVentCooling</f>
        <v>0</v>
      </c>
      <c r="D408" s="214">
        <f>baselineVentHeating</f>
        <v>0</v>
      </c>
      <c r="E408" s="214">
        <f>baselineVentCooling</f>
        <v>0</v>
      </c>
      <c r="F408" s="275" t="str" cm="1">
        <f t="array" ref="F408">IFERROR(INDEX(Database!$B$67:$U$73,MATCH(buildingType,Database!$B$68:$B$73,0)+1,MATCH(cz,Database!$B$67:$U$67,0)),"")</f>
        <v/>
      </c>
      <c r="G408" s="274">
        <f>IFERROR(1 - SUM(B408:C408)/(SUM(D408:E408)*F408),0)</f>
        <v>0</v>
      </c>
      <c r="H408" s="275">
        <f>IF(ventLoadsReduction&gt;=0.1, 1, 0)</f>
        <v>0</v>
      </c>
      <c r="I408" s="216"/>
      <c r="J408" s="216"/>
      <c r="K408" s="216"/>
      <c r="L408" s="217"/>
      <c r="M408" s="217"/>
      <c r="N408" s="217"/>
      <c r="O408" s="146"/>
      <c r="P408" s="146"/>
      <c r="Q408" s="146"/>
      <c r="R408" s="217"/>
      <c r="S408" s="217"/>
      <c r="T408" s="217"/>
      <c r="U408" s="217"/>
      <c r="V408" s="217"/>
      <c r="W408" s="217"/>
      <c r="X408" s="217"/>
      <c r="Y408" s="217"/>
      <c r="Z408" s="217"/>
      <c r="AA408" s="31"/>
      <c r="AB408" s="31"/>
      <c r="AC408" s="218"/>
      <c r="AD408" s="218"/>
      <c r="AE408" s="218"/>
      <c r="AF408" s="218"/>
      <c r="AG408" s="218"/>
      <c r="AH408" s="218"/>
      <c r="AI408" s="218"/>
      <c r="AJ408" s="218"/>
      <c r="AK408" s="218"/>
      <c r="AL408" s="218"/>
      <c r="AM408" s="218"/>
      <c r="AN408" s="218"/>
      <c r="AO408" s="218"/>
      <c r="AP408" s="218"/>
      <c r="AQ408" s="218"/>
      <c r="AR408" s="218"/>
      <c r="AS408" s="218"/>
      <c r="AT408" s="218"/>
      <c r="AU408" s="218"/>
      <c r="AV408" s="218"/>
      <c r="AW408" s="218"/>
      <c r="AX408" s="218"/>
      <c r="AY408" s="218"/>
      <c r="AZ408" s="218"/>
    </row>
    <row r="409" spans="1:52" ht="18" customHeight="1">
      <c r="A409" s="143"/>
      <c r="B409" s="216"/>
      <c r="C409" s="216"/>
      <c r="D409" s="216"/>
      <c r="E409" s="216"/>
      <c r="F409" s="216"/>
      <c r="G409" s="216"/>
      <c r="H409" s="216"/>
      <c r="I409" s="217"/>
      <c r="J409" s="217"/>
      <c r="K409" s="217"/>
      <c r="L409" s="217"/>
      <c r="M409" s="217"/>
      <c r="N409" s="217"/>
      <c r="O409" s="146"/>
      <c r="P409" s="146"/>
      <c r="Q409" s="146"/>
      <c r="R409" s="217"/>
      <c r="S409" s="217"/>
      <c r="T409" s="217"/>
      <c r="U409" s="217"/>
      <c r="V409" s="217"/>
      <c r="W409" s="217"/>
      <c r="X409" s="217"/>
      <c r="Y409" s="217"/>
      <c r="Z409" s="151"/>
      <c r="AA409" s="31"/>
      <c r="AB409" s="31"/>
      <c r="AC409" s="218"/>
      <c r="AD409" s="218"/>
      <c r="AE409" s="218"/>
      <c r="AF409" s="218"/>
      <c r="AG409" s="218"/>
      <c r="AH409" s="218"/>
      <c r="AI409" s="218"/>
      <c r="AJ409" s="218"/>
      <c r="AK409" s="218"/>
      <c r="AL409" s="218"/>
      <c r="AM409" s="218"/>
      <c r="AN409" s="218"/>
      <c r="AO409" s="218"/>
      <c r="AP409" s="218"/>
      <c r="AQ409" s="218"/>
      <c r="AR409" s="218"/>
      <c r="AS409" s="218"/>
      <c r="AT409" s="218"/>
      <c r="AU409" s="218"/>
      <c r="AV409" s="218"/>
      <c r="AW409" s="218"/>
      <c r="AX409" s="218"/>
      <c r="AY409" s="218"/>
      <c r="AZ409" s="218"/>
    </row>
    <row r="410" spans="1:52" ht="18" customHeight="1">
      <c r="A410" s="141"/>
      <c r="B410" s="190" t="s">
        <v>199</v>
      </c>
      <c r="C410" s="216"/>
      <c r="D410" s="216"/>
      <c r="E410" s="216"/>
      <c r="F410" s="216"/>
      <c r="G410" s="216"/>
      <c r="H410" s="216"/>
      <c r="I410" s="217"/>
      <c r="J410" s="217"/>
      <c r="K410" s="216"/>
      <c r="L410" s="216"/>
      <c r="M410" s="216"/>
      <c r="N410" s="217"/>
      <c r="O410" s="146"/>
      <c r="P410" s="146"/>
      <c r="Q410" s="146"/>
      <c r="R410" s="217"/>
      <c r="S410" s="217"/>
      <c r="T410" s="217"/>
      <c r="U410" s="217"/>
      <c r="V410" s="217"/>
      <c r="W410" s="217"/>
      <c r="X410" s="217"/>
      <c r="Y410" s="217"/>
      <c r="Z410" s="138"/>
      <c r="AA410" s="19"/>
      <c r="AB410" s="218"/>
      <c r="AC410" s="218"/>
      <c r="AD410" s="218"/>
      <c r="AE410" s="218"/>
      <c r="AF410" s="218"/>
      <c r="AG410" s="218"/>
      <c r="AH410" s="218"/>
      <c r="AI410" s="218"/>
      <c r="AJ410" s="218"/>
      <c r="AK410" s="218"/>
      <c r="AL410" s="218"/>
      <c r="AM410" s="218"/>
      <c r="AN410" s="218"/>
      <c r="AO410" s="218"/>
      <c r="AP410" s="218"/>
      <c r="AQ410" s="218"/>
      <c r="AR410" s="218"/>
      <c r="AS410" s="218"/>
      <c r="AT410" s="218"/>
      <c r="AU410" s="218"/>
      <c r="AV410" s="218"/>
      <c r="AW410" s="218"/>
      <c r="AX410" s="218"/>
      <c r="AY410" s="218"/>
      <c r="AZ410" s="218"/>
    </row>
    <row r="411" spans="1:52" ht="18" customHeight="1">
      <c r="A411" s="141"/>
      <c r="B411" s="216"/>
      <c r="C411" s="216"/>
      <c r="D411" s="216"/>
      <c r="E411" s="216"/>
      <c r="F411" s="216"/>
      <c r="G411" s="216"/>
      <c r="H411" s="216"/>
      <c r="I411" s="217"/>
      <c r="J411" s="217"/>
      <c r="K411" s="216"/>
      <c r="L411" s="216"/>
      <c r="M411" s="216"/>
      <c r="N411" s="217"/>
      <c r="O411" s="146"/>
      <c r="P411" s="146"/>
      <c r="Q411" s="146"/>
      <c r="R411" s="217"/>
      <c r="S411" s="217"/>
      <c r="T411" s="217"/>
      <c r="U411" s="217"/>
      <c r="V411" s="217"/>
      <c r="W411" s="217"/>
      <c r="X411" s="217"/>
      <c r="Y411" s="217"/>
      <c r="Z411" s="138"/>
      <c r="AA411" s="19"/>
      <c r="AB411" s="218"/>
      <c r="AC411" s="218"/>
      <c r="AD411" s="218"/>
      <c r="AE411" s="218"/>
      <c r="AF411" s="218"/>
      <c r="AG411" s="218"/>
      <c r="AH411" s="218"/>
      <c r="AI411" s="218"/>
      <c r="AJ411" s="218"/>
      <c r="AK411" s="218"/>
      <c r="AL411" s="218"/>
      <c r="AM411" s="218"/>
      <c r="AN411" s="218"/>
      <c r="AO411" s="218"/>
      <c r="AP411" s="218"/>
      <c r="AQ411" s="218"/>
      <c r="AR411" s="218"/>
      <c r="AS411" s="218"/>
      <c r="AT411" s="218"/>
      <c r="AU411" s="218"/>
      <c r="AV411" s="218"/>
      <c r="AW411" s="218"/>
      <c r="AX411" s="218"/>
      <c r="AY411" s="218"/>
      <c r="AZ411" s="218"/>
    </row>
    <row r="412" spans="1:52" s="193" customFormat="1" ht="18" customHeight="1">
      <c r="A412" s="189"/>
      <c r="B412" s="190" t="s">
        <v>200</v>
      </c>
      <c r="C412" s="190"/>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2"/>
      <c r="Z412" s="192"/>
      <c r="AA412" s="192"/>
      <c r="AB412" s="192"/>
      <c r="AC412" s="192"/>
      <c r="AD412" s="192"/>
      <c r="AE412" s="192"/>
      <c r="AF412" s="192"/>
      <c r="AG412" s="192"/>
      <c r="AH412" s="192"/>
      <c r="AI412" s="192"/>
      <c r="AJ412" s="192"/>
      <c r="AK412" s="192"/>
      <c r="AL412" s="192"/>
      <c r="AM412" s="192"/>
      <c r="AN412" s="192"/>
      <c r="AO412" s="192"/>
      <c r="AP412" s="192"/>
      <c r="AQ412" s="192"/>
      <c r="AR412" s="192"/>
      <c r="AS412" s="192"/>
      <c r="AT412" s="192"/>
      <c r="AU412" s="192"/>
      <c r="AV412" s="192"/>
      <c r="AW412" s="192"/>
      <c r="AX412" s="192"/>
      <c r="AY412" s="192"/>
      <c r="AZ412" s="192"/>
    </row>
    <row r="413" spans="1:52" ht="18" customHeight="1">
      <c r="A413" s="165"/>
      <c r="B413" s="324" t="s">
        <v>201</v>
      </c>
      <c r="C413" s="325"/>
      <c r="D413" s="325"/>
      <c r="E413" s="325"/>
      <c r="F413" s="326"/>
      <c r="G413" s="216"/>
      <c r="H413" s="216"/>
      <c r="I413" s="216"/>
      <c r="J413" s="216"/>
      <c r="K413" s="216"/>
      <c r="L413" s="216"/>
      <c r="M413" s="216"/>
      <c r="N413" s="217"/>
      <c r="O413" s="146"/>
      <c r="P413" s="146"/>
      <c r="Q413" s="146"/>
      <c r="R413" s="217"/>
      <c r="S413" s="217"/>
      <c r="T413" s="217"/>
      <c r="U413" s="217"/>
      <c r="V413" s="217"/>
      <c r="W413" s="217"/>
      <c r="X413" s="217"/>
      <c r="Y413" s="217"/>
      <c r="Z413" s="217"/>
      <c r="AA413" s="19"/>
      <c r="AB413" s="218"/>
    </row>
    <row r="414" spans="1:52" ht="18" customHeight="1">
      <c r="A414" s="166"/>
      <c r="B414" s="331" t="s">
        <v>202</v>
      </c>
      <c r="C414" s="332"/>
      <c r="D414" s="331" t="s">
        <v>203</v>
      </c>
      <c r="E414" s="332"/>
      <c r="F414" s="333" t="s">
        <v>204</v>
      </c>
      <c r="G414" s="216"/>
      <c r="H414" s="216"/>
      <c r="I414" s="217"/>
      <c r="J414" s="217"/>
      <c r="K414" s="217"/>
      <c r="L414" s="217"/>
      <c r="M414" s="217"/>
      <c r="N414" s="217"/>
      <c r="O414" s="146"/>
      <c r="P414" s="146"/>
      <c r="Q414" s="146"/>
      <c r="R414" s="217"/>
      <c r="S414" s="217"/>
      <c r="T414" s="217"/>
      <c r="U414" s="217"/>
      <c r="V414" s="217"/>
      <c r="W414" s="217"/>
      <c r="X414" s="217"/>
      <c r="Y414" s="217"/>
      <c r="Z414" s="217"/>
      <c r="AA414" s="19"/>
      <c r="AB414" s="218"/>
    </row>
    <row r="415" spans="1:52" ht="18" customHeight="1">
      <c r="A415" s="166"/>
      <c r="B415" s="333" t="str">
        <f>_xlfn.CONCAT("Peak Heating ",IF(units="IP","(Btu-h)","(W)"))</f>
        <v>Peak Heating (W)</v>
      </c>
      <c r="C415" s="333" t="str">
        <f>_xlfn.CONCAT("Peak Cooling ",IF(units="IP","(Btuh)","(W)"))</f>
        <v>Peak Cooling (W)</v>
      </c>
      <c r="D415" s="333" t="str">
        <f>_xlfn.CONCAT("Peak Heating ",IF(units="IP","(Btu-h)","(W)"))</f>
        <v>Peak Heating (W)</v>
      </c>
      <c r="E415" s="333" t="str">
        <f>_xlfn.CONCAT("Peak Cooling ",IF(units="IP","(Btu-h)","(W)"))</f>
        <v>Peak Cooling (W)</v>
      </c>
      <c r="F415" s="334"/>
      <c r="G415" s="216"/>
      <c r="H415" s="216"/>
      <c r="I415" s="217"/>
      <c r="J415" s="217"/>
      <c r="K415" s="217"/>
      <c r="L415" s="217"/>
      <c r="M415" s="217"/>
      <c r="N415" s="217"/>
      <c r="O415" s="146"/>
      <c r="P415" s="146"/>
      <c r="Q415" s="146"/>
      <c r="R415" s="217"/>
      <c r="S415" s="217"/>
      <c r="T415" s="217"/>
      <c r="U415" s="217"/>
      <c r="V415" s="217"/>
      <c r="W415" s="217"/>
      <c r="X415" s="217"/>
      <c r="Y415" s="217"/>
      <c r="Z415" s="217"/>
      <c r="AA415" s="31"/>
      <c r="AB415" s="31"/>
    </row>
    <row r="416" spans="1:52" ht="18" customHeight="1">
      <c r="A416" s="166"/>
      <c r="B416" s="322"/>
      <c r="C416" s="322"/>
      <c r="D416" s="322"/>
      <c r="E416" s="322"/>
      <c r="F416" s="322"/>
      <c r="G416" s="216"/>
      <c r="H416" s="216"/>
      <c r="I416" s="217"/>
      <c r="J416" s="217"/>
      <c r="K416" s="217"/>
      <c r="L416" s="217"/>
      <c r="M416" s="217"/>
      <c r="N416" s="217"/>
      <c r="O416" s="146"/>
      <c r="P416" s="146"/>
      <c r="Q416" s="146"/>
      <c r="R416" s="217"/>
      <c r="S416" s="217"/>
      <c r="T416" s="217"/>
      <c r="U416" s="217"/>
      <c r="V416" s="217"/>
      <c r="W416" s="217"/>
      <c r="X416" s="217"/>
      <c r="Y416" s="217"/>
      <c r="Z416" s="217"/>
      <c r="AA416" s="31"/>
      <c r="AB416" s="31"/>
    </row>
    <row r="417" spans="1:28" ht="18" customHeight="1">
      <c r="A417" s="166"/>
      <c r="B417" s="214">
        <f>proposedSimHeating</f>
        <v>0</v>
      </c>
      <c r="C417" s="214">
        <f>proposedSimCooling</f>
        <v>0</v>
      </c>
      <c r="D417" s="214">
        <f>baselineSimHeating</f>
        <v>0</v>
      </c>
      <c r="E417" s="214">
        <f>baselineSimCooling</f>
        <v>0</v>
      </c>
      <c r="F417" s="274">
        <f>IFERROR(SUM(B417:C417)/SUM(D417:E417),0)</f>
        <v>0</v>
      </c>
      <c r="G417" s="216"/>
      <c r="H417" s="216"/>
      <c r="I417" s="217"/>
      <c r="J417" s="217"/>
      <c r="K417" s="217"/>
      <c r="L417" s="217"/>
      <c r="M417" s="217"/>
      <c r="N417" s="217"/>
      <c r="O417" s="146"/>
      <c r="P417" s="146"/>
      <c r="Q417" s="146"/>
      <c r="R417" s="217"/>
      <c r="S417" s="217"/>
      <c r="T417" s="217"/>
      <c r="U417" s="217"/>
      <c r="V417" s="217"/>
      <c r="W417" s="217"/>
      <c r="X417" s="217"/>
      <c r="Y417" s="217"/>
      <c r="Z417" s="217"/>
      <c r="AA417" s="31"/>
      <c r="AB417" s="31"/>
    </row>
    <row r="418" spans="1:28" ht="18" customHeight="1">
      <c r="A418" s="166"/>
      <c r="B418" s="217"/>
      <c r="C418" s="217"/>
      <c r="D418" s="217"/>
      <c r="E418" s="217"/>
      <c r="F418" s="217"/>
      <c r="G418" s="217"/>
      <c r="H418" s="217"/>
      <c r="I418" s="217"/>
      <c r="J418" s="217"/>
      <c r="K418" s="217"/>
      <c r="L418" s="217"/>
      <c r="M418" s="217"/>
      <c r="N418" s="217"/>
      <c r="O418" s="146"/>
      <c r="P418" s="146"/>
      <c r="Q418" s="146"/>
      <c r="R418" s="217"/>
      <c r="S418" s="217"/>
      <c r="T418" s="217"/>
      <c r="U418" s="217"/>
      <c r="V418" s="217"/>
      <c r="W418" s="217"/>
      <c r="X418" s="217"/>
      <c r="Y418" s="217"/>
      <c r="Z418" s="217"/>
      <c r="AA418" s="31"/>
      <c r="AB418" s="31"/>
    </row>
    <row r="419" spans="1:28" ht="18" customHeight="1">
      <c r="A419" s="166"/>
      <c r="B419" s="217"/>
      <c r="C419" s="217"/>
      <c r="D419" s="217"/>
      <c r="E419" s="217"/>
      <c r="F419" s="217"/>
      <c r="G419" s="217"/>
      <c r="H419" s="217"/>
      <c r="I419" s="217"/>
      <c r="J419" s="217"/>
      <c r="K419" s="217"/>
      <c r="L419" s="217"/>
      <c r="M419" s="217"/>
      <c r="N419" s="217"/>
      <c r="O419" s="146"/>
      <c r="P419" s="146"/>
      <c r="Q419" s="146"/>
      <c r="R419" s="217"/>
      <c r="S419" s="217"/>
      <c r="T419" s="217"/>
      <c r="U419" s="217"/>
      <c r="V419" s="217"/>
      <c r="W419" s="217"/>
      <c r="X419" s="217"/>
      <c r="Y419" s="217"/>
      <c r="Z419" s="217"/>
      <c r="AA419" s="31"/>
      <c r="AB419" s="31"/>
    </row>
    <row r="420" spans="1:28" ht="18" customHeight="1">
      <c r="A420" s="166"/>
      <c r="B420" s="217"/>
      <c r="C420" s="217"/>
      <c r="D420" s="217"/>
      <c r="E420" s="217"/>
      <c r="F420" s="217"/>
      <c r="G420" s="217"/>
      <c r="H420" s="217"/>
      <c r="I420" s="217"/>
      <c r="J420" s="217"/>
      <c r="K420" s="217"/>
      <c r="L420" s="217"/>
      <c r="M420" s="217"/>
      <c r="N420" s="217"/>
      <c r="O420" s="146"/>
      <c r="P420" s="146"/>
      <c r="Q420" s="146"/>
      <c r="R420" s="217"/>
      <c r="S420" s="217"/>
      <c r="T420" s="217"/>
      <c r="U420" s="217"/>
      <c r="V420" s="217"/>
      <c r="W420" s="217"/>
      <c r="X420" s="217"/>
      <c r="Y420" s="217"/>
      <c r="Z420" s="217"/>
      <c r="AA420" s="31"/>
      <c r="AB420" s="31"/>
    </row>
    <row r="421" spans="1:28" ht="18" customHeight="1">
      <c r="A421" s="166"/>
      <c r="B421" s="217"/>
      <c r="C421" s="217"/>
      <c r="D421" s="217"/>
      <c r="E421" s="217"/>
      <c r="F421" s="217"/>
      <c r="G421" s="217"/>
      <c r="H421" s="217"/>
      <c r="I421" s="217"/>
      <c r="J421" s="217"/>
      <c r="K421" s="217"/>
      <c r="L421" s="217"/>
      <c r="M421" s="217"/>
      <c r="N421" s="217"/>
      <c r="O421" s="146"/>
      <c r="P421" s="146"/>
      <c r="Q421" s="146"/>
      <c r="R421" s="217"/>
      <c r="S421" s="217"/>
      <c r="T421" s="217"/>
      <c r="U421" s="217"/>
      <c r="V421" s="217"/>
      <c r="W421" s="217"/>
      <c r="X421" s="217"/>
      <c r="Y421" s="217"/>
      <c r="Z421" s="217"/>
      <c r="AA421" s="31"/>
      <c r="AB421" s="31"/>
    </row>
    <row r="422" spans="1:28" ht="18" customHeight="1">
      <c r="A422" s="166"/>
      <c r="B422" s="217"/>
      <c r="C422" s="217"/>
      <c r="D422" s="217"/>
      <c r="E422" s="217"/>
      <c r="F422" s="217"/>
      <c r="G422" s="217"/>
      <c r="H422" s="217"/>
      <c r="I422" s="217"/>
      <c r="J422" s="217"/>
      <c r="K422" s="217"/>
      <c r="L422" s="217"/>
      <c r="M422" s="217"/>
      <c r="N422" s="217"/>
      <c r="O422" s="146"/>
      <c r="P422" s="146"/>
      <c r="Q422" s="146"/>
      <c r="R422" s="217"/>
      <c r="S422" s="217"/>
      <c r="T422" s="217"/>
      <c r="U422" s="217"/>
      <c r="V422" s="217"/>
      <c r="W422" s="217"/>
      <c r="X422" s="217"/>
      <c r="Y422" s="217"/>
      <c r="Z422" s="217"/>
      <c r="AA422" s="31"/>
      <c r="AB422" s="31"/>
    </row>
    <row r="423" spans="1:28" ht="18" customHeight="1">
      <c r="A423" s="166"/>
      <c r="B423" s="217"/>
      <c r="C423" s="217"/>
      <c r="D423" s="217"/>
      <c r="E423" s="217"/>
      <c r="F423" s="217"/>
      <c r="G423" s="217"/>
      <c r="H423" s="217"/>
      <c r="I423" s="217"/>
      <c r="J423" s="217"/>
      <c r="K423" s="217"/>
      <c r="L423" s="217"/>
      <c r="M423" s="217"/>
      <c r="N423" s="217"/>
      <c r="O423" s="146"/>
      <c r="P423" s="146"/>
      <c r="Q423" s="146"/>
      <c r="R423" s="217"/>
      <c r="S423" s="217"/>
      <c r="T423" s="217"/>
      <c r="U423" s="217"/>
      <c r="V423" s="217"/>
      <c r="W423" s="217"/>
      <c r="X423" s="217"/>
      <c r="Y423" s="217"/>
      <c r="Z423" s="217"/>
      <c r="AA423" s="31"/>
      <c r="AB423" s="31"/>
    </row>
    <row r="424" spans="1:28" ht="18" customHeight="1">
      <c r="A424" s="166"/>
      <c r="B424" s="217"/>
      <c r="C424" s="217"/>
      <c r="D424" s="217"/>
      <c r="E424" s="217"/>
      <c r="F424" s="217"/>
      <c r="G424" s="217"/>
      <c r="H424" s="217"/>
      <c r="I424" s="217"/>
      <c r="J424" s="217"/>
      <c r="K424" s="217"/>
      <c r="L424" s="217"/>
      <c r="M424" s="217"/>
      <c r="N424" s="217"/>
      <c r="O424" s="146"/>
      <c r="P424" s="146"/>
      <c r="Q424" s="146"/>
      <c r="R424" s="217"/>
      <c r="S424" s="217"/>
      <c r="T424" s="217"/>
      <c r="U424" s="217"/>
      <c r="V424" s="217"/>
      <c r="W424" s="217"/>
      <c r="X424" s="217"/>
      <c r="Y424" s="217"/>
      <c r="Z424" s="217"/>
      <c r="AA424" s="31"/>
      <c r="AB424" s="31"/>
    </row>
    <row r="425" spans="1:28" ht="18" customHeight="1">
      <c r="A425" s="166"/>
      <c r="B425" s="217"/>
      <c r="C425" s="217"/>
      <c r="D425" s="217"/>
      <c r="E425" s="217"/>
      <c r="F425" s="217"/>
      <c r="G425" s="217"/>
      <c r="H425" s="217"/>
      <c r="I425" s="217"/>
      <c r="J425" s="217"/>
      <c r="K425" s="217"/>
      <c r="L425" s="217"/>
      <c r="M425" s="217"/>
      <c r="N425" s="217"/>
      <c r="O425" s="146"/>
      <c r="P425" s="146"/>
      <c r="Q425" s="146"/>
      <c r="R425" s="217"/>
      <c r="S425" s="217"/>
      <c r="T425" s="217"/>
      <c r="U425" s="217"/>
      <c r="V425" s="217"/>
      <c r="W425" s="217"/>
      <c r="X425" s="217"/>
      <c r="Y425" s="217"/>
      <c r="Z425" s="217"/>
      <c r="AA425" s="31"/>
      <c r="AB425" s="31"/>
    </row>
    <row r="426" spans="1:28" ht="18" customHeight="1">
      <c r="A426" s="166"/>
      <c r="B426" s="217"/>
      <c r="C426" s="217"/>
      <c r="D426" s="217"/>
      <c r="E426" s="217"/>
      <c r="F426" s="217"/>
      <c r="G426" s="217"/>
      <c r="H426" s="217"/>
      <c r="I426" s="217"/>
      <c r="J426" s="217"/>
      <c r="K426" s="217"/>
      <c r="L426" s="217"/>
      <c r="M426" s="217"/>
      <c r="N426" s="217"/>
      <c r="O426" s="146"/>
      <c r="P426" s="146"/>
      <c r="Q426" s="146"/>
      <c r="R426" s="217"/>
      <c r="S426" s="217"/>
      <c r="T426" s="217"/>
      <c r="U426" s="217"/>
      <c r="V426" s="217"/>
      <c r="W426" s="217"/>
      <c r="X426" s="217"/>
      <c r="Y426" s="217"/>
      <c r="Z426" s="217"/>
      <c r="AA426" s="31"/>
      <c r="AB426" s="31"/>
    </row>
    <row r="427" spans="1:28" ht="18" customHeight="1">
      <c r="A427" s="166"/>
      <c r="B427" s="217"/>
      <c r="C427" s="217"/>
      <c r="D427" s="217"/>
      <c r="E427" s="217"/>
      <c r="F427" s="217"/>
      <c r="G427" s="217"/>
      <c r="H427" s="217"/>
      <c r="I427" s="217"/>
      <c r="J427" s="217"/>
      <c r="K427" s="217"/>
      <c r="L427" s="217"/>
      <c r="M427" s="217"/>
      <c r="N427" s="217"/>
      <c r="O427" s="146"/>
      <c r="P427" s="146"/>
      <c r="Q427" s="146"/>
      <c r="R427" s="217"/>
      <c r="S427" s="217"/>
      <c r="T427" s="217"/>
      <c r="U427" s="217"/>
      <c r="V427" s="217"/>
      <c r="W427" s="217"/>
      <c r="X427" s="217"/>
      <c r="Y427" s="217"/>
      <c r="Z427" s="217"/>
      <c r="AA427" s="31"/>
      <c r="AB427" s="31"/>
    </row>
    <row r="428" spans="1:28" ht="18" customHeight="1">
      <c r="A428" s="166"/>
      <c r="B428" s="217"/>
      <c r="C428" s="217"/>
      <c r="D428" s="217"/>
      <c r="E428" s="217"/>
      <c r="F428" s="217"/>
      <c r="G428" s="217"/>
      <c r="H428" s="217"/>
      <c r="I428" s="217"/>
      <c r="J428" s="217"/>
      <c r="K428" s="217"/>
      <c r="L428" s="217"/>
      <c r="M428" s="217"/>
      <c r="N428" s="217"/>
      <c r="O428" s="146"/>
      <c r="P428" s="146"/>
      <c r="Q428" s="146"/>
      <c r="R428" s="217"/>
      <c r="S428" s="217"/>
      <c r="T428" s="217"/>
      <c r="U428" s="217"/>
      <c r="V428" s="217"/>
      <c r="W428" s="217"/>
      <c r="X428" s="217"/>
      <c r="Y428" s="217"/>
      <c r="Z428" s="217"/>
      <c r="AA428" s="31"/>
      <c r="AB428" s="31"/>
    </row>
    <row r="429" spans="1:28" ht="18" customHeight="1">
      <c r="A429" s="166"/>
      <c r="B429" s="217"/>
      <c r="C429" s="217"/>
      <c r="D429" s="217"/>
      <c r="E429" s="217"/>
      <c r="F429" s="217"/>
      <c r="G429" s="217"/>
      <c r="H429" s="217"/>
      <c r="I429" s="217"/>
      <c r="J429" s="217"/>
      <c r="K429" s="217"/>
      <c r="L429" s="217"/>
      <c r="M429" s="217"/>
      <c r="N429" s="217"/>
      <c r="O429" s="146"/>
      <c r="P429" s="146"/>
      <c r="Q429" s="146"/>
      <c r="R429" s="217"/>
      <c r="S429" s="217"/>
      <c r="T429" s="217"/>
      <c r="U429" s="217"/>
      <c r="V429" s="217"/>
      <c r="W429" s="217"/>
      <c r="X429" s="217"/>
      <c r="Y429" s="217"/>
      <c r="Z429" s="217"/>
      <c r="AA429" s="31"/>
      <c r="AB429" s="31"/>
    </row>
    <row r="430" spans="1:28" ht="18" customHeight="1">
      <c r="A430" s="166"/>
      <c r="B430" s="217"/>
      <c r="C430" s="217"/>
      <c r="D430" s="217"/>
      <c r="E430" s="217"/>
      <c r="F430" s="217"/>
      <c r="G430" s="217"/>
      <c r="H430" s="217"/>
      <c r="I430" s="217"/>
      <c r="J430" s="217"/>
      <c r="K430" s="217"/>
      <c r="L430" s="217"/>
      <c r="M430" s="217"/>
      <c r="N430" s="217"/>
      <c r="O430" s="146"/>
      <c r="P430" s="146"/>
      <c r="Q430" s="146"/>
      <c r="R430" s="217"/>
      <c r="S430" s="217"/>
      <c r="T430" s="217"/>
      <c r="U430" s="217"/>
      <c r="V430" s="217"/>
      <c r="W430" s="217"/>
      <c r="X430" s="217"/>
      <c r="Y430" s="217"/>
      <c r="Z430" s="217"/>
      <c r="AA430" s="31"/>
      <c r="AB430" s="31"/>
    </row>
    <row r="431" spans="1:28" ht="18" customHeight="1">
      <c r="A431" s="166"/>
      <c r="B431" s="217"/>
      <c r="C431" s="217"/>
      <c r="D431" s="217"/>
      <c r="E431" s="217"/>
      <c r="F431" s="217"/>
      <c r="G431" s="217"/>
      <c r="H431" s="217"/>
      <c r="I431" s="217"/>
      <c r="J431" s="217"/>
      <c r="K431" s="217"/>
      <c r="L431" s="217"/>
      <c r="M431" s="217"/>
      <c r="N431" s="217"/>
      <c r="O431" s="146"/>
      <c r="P431" s="146"/>
      <c r="Q431" s="146"/>
      <c r="R431" s="217"/>
      <c r="S431" s="217"/>
      <c r="T431" s="217"/>
      <c r="U431" s="217"/>
      <c r="V431" s="217"/>
      <c r="W431" s="217"/>
      <c r="X431" s="217"/>
      <c r="Y431" s="217"/>
      <c r="Z431" s="217"/>
      <c r="AA431" s="31"/>
      <c r="AB431" s="31"/>
    </row>
    <row r="432" spans="1:28" ht="18" customHeight="1">
      <c r="A432" s="166"/>
      <c r="B432" s="217"/>
      <c r="C432" s="217"/>
      <c r="D432" s="217"/>
      <c r="E432" s="217"/>
      <c r="F432" s="217"/>
      <c r="G432" s="217"/>
      <c r="H432" s="217"/>
      <c r="I432" s="217"/>
      <c r="J432" s="217"/>
      <c r="K432" s="217"/>
      <c r="L432" s="217"/>
      <c r="M432" s="217"/>
      <c r="N432" s="217"/>
      <c r="O432" s="146"/>
      <c r="P432" s="146"/>
      <c r="Q432" s="146"/>
      <c r="R432" s="217"/>
      <c r="S432" s="217"/>
      <c r="T432" s="217"/>
      <c r="U432" s="217"/>
      <c r="V432" s="217"/>
      <c r="W432" s="217"/>
      <c r="X432" s="217"/>
      <c r="Y432" s="217"/>
      <c r="Z432" s="217"/>
      <c r="AA432" s="31"/>
      <c r="AB432" s="31"/>
    </row>
    <row r="433" spans="1:28" ht="18" customHeight="1">
      <c r="A433" s="166"/>
      <c r="B433" s="217"/>
      <c r="C433" s="217"/>
      <c r="D433" s="217"/>
      <c r="E433" s="217"/>
      <c r="F433" s="217"/>
      <c r="G433" s="217"/>
      <c r="H433" s="217"/>
      <c r="I433" s="217"/>
      <c r="J433" s="217"/>
      <c r="K433" s="217"/>
      <c r="L433" s="217"/>
      <c r="M433" s="217"/>
      <c r="N433" s="217"/>
      <c r="O433" s="146"/>
      <c r="P433" s="146"/>
      <c r="Q433" s="146"/>
      <c r="R433" s="217"/>
      <c r="S433" s="217"/>
      <c r="T433" s="217"/>
      <c r="U433" s="217"/>
      <c r="V433" s="217"/>
      <c r="W433" s="217"/>
      <c r="X433" s="217"/>
      <c r="Y433" s="217"/>
      <c r="Z433" s="217"/>
      <c r="AA433" s="31"/>
      <c r="AB433" s="31"/>
    </row>
    <row r="434" spans="1:28" ht="18" customHeight="1">
      <c r="A434" s="166"/>
      <c r="B434" s="217"/>
      <c r="C434" s="217"/>
      <c r="D434" s="217"/>
      <c r="E434" s="217"/>
      <c r="F434" s="217"/>
      <c r="G434" s="217"/>
      <c r="H434" s="217"/>
      <c r="I434" s="217"/>
      <c r="J434" s="217"/>
      <c r="K434" s="217"/>
      <c r="L434" s="217"/>
      <c r="M434" s="217"/>
      <c r="N434" s="217"/>
      <c r="O434" s="146"/>
      <c r="P434" s="146"/>
      <c r="Q434" s="146"/>
      <c r="R434" s="217"/>
      <c r="S434" s="217"/>
      <c r="T434" s="217"/>
      <c r="U434" s="217"/>
      <c r="V434" s="217"/>
      <c r="W434" s="217"/>
      <c r="X434" s="217"/>
      <c r="Y434" s="217"/>
      <c r="Z434" s="217"/>
      <c r="AA434" s="31"/>
      <c r="AB434" s="31"/>
    </row>
    <row r="435" spans="1:28" ht="18" customHeight="1">
      <c r="A435" s="166"/>
      <c r="B435" s="217"/>
      <c r="C435" s="217"/>
      <c r="D435" s="217"/>
      <c r="E435" s="217"/>
      <c r="F435" s="217"/>
      <c r="G435" s="217"/>
      <c r="H435" s="217"/>
      <c r="I435" s="217"/>
      <c r="J435" s="217"/>
      <c r="K435" s="217"/>
      <c r="L435" s="217"/>
      <c r="M435" s="217"/>
      <c r="N435" s="217"/>
      <c r="O435" s="146"/>
      <c r="P435" s="146"/>
      <c r="Q435" s="146"/>
      <c r="R435" s="217"/>
      <c r="S435" s="217"/>
      <c r="T435" s="217"/>
      <c r="U435" s="217"/>
      <c r="V435" s="217"/>
      <c r="W435" s="217"/>
      <c r="X435" s="217"/>
      <c r="Y435" s="217"/>
      <c r="Z435" s="217"/>
      <c r="AA435" s="31"/>
      <c r="AB435" s="31"/>
    </row>
    <row r="436" spans="1:28" ht="18" customHeight="1">
      <c r="A436" s="166"/>
      <c r="B436" s="217"/>
      <c r="C436" s="217"/>
      <c r="D436" s="217"/>
      <c r="E436" s="217"/>
      <c r="F436" s="217"/>
      <c r="G436" s="217"/>
      <c r="H436" s="217"/>
      <c r="I436" s="217"/>
      <c r="J436" s="217"/>
      <c r="K436" s="217"/>
      <c r="L436" s="217"/>
      <c r="M436" s="217"/>
      <c r="N436" s="217"/>
      <c r="O436" s="146"/>
      <c r="P436" s="146"/>
      <c r="Q436" s="146"/>
      <c r="R436" s="217"/>
      <c r="S436" s="217"/>
      <c r="T436" s="217"/>
      <c r="U436" s="217"/>
      <c r="V436" s="217"/>
      <c r="W436" s="217"/>
      <c r="X436" s="217"/>
      <c r="Y436" s="217"/>
      <c r="Z436" s="217"/>
      <c r="AA436" s="31"/>
      <c r="AB436" s="31"/>
    </row>
    <row r="437" spans="1:28" ht="18" customHeight="1">
      <c r="A437" s="166"/>
      <c r="B437" s="217"/>
      <c r="C437" s="217"/>
      <c r="D437" s="217"/>
      <c r="E437" s="217"/>
      <c r="F437" s="217"/>
      <c r="G437" s="217"/>
      <c r="H437" s="217"/>
      <c r="I437" s="217"/>
      <c r="J437" s="217"/>
      <c r="K437" s="217"/>
      <c r="L437" s="217"/>
      <c r="M437" s="217"/>
      <c r="N437" s="217"/>
      <c r="O437" s="146"/>
      <c r="P437" s="146"/>
      <c r="Q437" s="146"/>
      <c r="R437" s="217"/>
      <c r="S437" s="217"/>
      <c r="T437" s="217"/>
      <c r="U437" s="217"/>
      <c r="V437" s="217"/>
      <c r="W437" s="217"/>
      <c r="X437" s="217"/>
      <c r="Y437" s="217"/>
      <c r="Z437" s="217"/>
      <c r="AA437" s="31"/>
      <c r="AB437" s="31"/>
    </row>
    <row r="438" spans="1:28" ht="18" customHeight="1">
      <c r="A438" s="166"/>
      <c r="B438" s="217"/>
      <c r="C438" s="217"/>
      <c r="D438" s="217"/>
      <c r="E438" s="217"/>
      <c r="F438" s="217"/>
      <c r="G438" s="217"/>
      <c r="H438" s="217"/>
      <c r="I438" s="217"/>
      <c r="J438" s="217"/>
      <c r="K438" s="217"/>
      <c r="L438" s="217"/>
      <c r="M438" s="217"/>
      <c r="N438" s="217"/>
      <c r="O438" s="146"/>
      <c r="P438" s="146"/>
      <c r="Q438" s="146"/>
      <c r="R438" s="217"/>
      <c r="S438" s="217"/>
      <c r="T438" s="217"/>
      <c r="U438" s="217"/>
      <c r="V438" s="217"/>
      <c r="W438" s="217"/>
      <c r="X438" s="217"/>
      <c r="Y438" s="217"/>
      <c r="Z438" s="217"/>
      <c r="AA438" s="31"/>
      <c r="AB438" s="31"/>
    </row>
    <row r="439" spans="1:28" ht="18" customHeight="1">
      <c r="A439" s="166"/>
      <c r="B439" s="217"/>
      <c r="C439" s="217"/>
      <c r="D439" s="217"/>
      <c r="E439" s="217"/>
      <c r="F439" s="217"/>
      <c r="G439" s="217"/>
      <c r="H439" s="217"/>
      <c r="I439" s="217"/>
      <c r="J439" s="217"/>
      <c r="K439" s="217"/>
      <c r="L439" s="217"/>
      <c r="M439" s="217"/>
      <c r="N439" s="217"/>
      <c r="O439" s="146"/>
      <c r="P439" s="146"/>
      <c r="Q439" s="146"/>
      <c r="R439" s="217"/>
      <c r="S439" s="217"/>
      <c r="T439" s="217"/>
      <c r="U439" s="217"/>
      <c r="V439" s="217"/>
      <c r="W439" s="217"/>
      <c r="X439" s="217"/>
      <c r="Y439" s="217"/>
      <c r="Z439" s="217"/>
      <c r="AA439" s="31"/>
      <c r="AB439" s="31"/>
    </row>
    <row r="440" spans="1:28" ht="18" customHeight="1">
      <c r="A440" s="166"/>
      <c r="B440" s="217"/>
      <c r="C440" s="217"/>
      <c r="D440" s="217"/>
      <c r="E440" s="217"/>
      <c r="F440" s="217"/>
      <c r="G440" s="217"/>
      <c r="H440" s="217"/>
      <c r="I440" s="217"/>
      <c r="J440" s="217"/>
      <c r="K440" s="217"/>
      <c r="L440" s="217"/>
      <c r="M440" s="217"/>
      <c r="N440" s="217"/>
      <c r="O440" s="146"/>
      <c r="P440" s="146"/>
      <c r="Q440" s="146"/>
      <c r="R440" s="217"/>
      <c r="S440" s="217"/>
      <c r="T440" s="217"/>
      <c r="U440" s="217"/>
      <c r="V440" s="217"/>
      <c r="W440" s="217"/>
      <c r="X440" s="217"/>
      <c r="Y440" s="217"/>
      <c r="Z440" s="217"/>
      <c r="AA440" s="31"/>
      <c r="AB440" s="31"/>
    </row>
    <row r="441" spans="1:28" ht="18" customHeight="1">
      <c r="A441" s="166"/>
      <c r="B441" s="217"/>
      <c r="C441" s="217"/>
      <c r="D441" s="217"/>
      <c r="E441" s="217"/>
      <c r="F441" s="217"/>
      <c r="G441" s="217"/>
      <c r="H441" s="217"/>
      <c r="I441" s="217"/>
      <c r="J441" s="217"/>
      <c r="K441" s="217"/>
      <c r="L441" s="217"/>
      <c r="M441" s="217"/>
      <c r="N441" s="217"/>
      <c r="O441" s="146"/>
      <c r="P441" s="146"/>
      <c r="Q441" s="146"/>
      <c r="R441" s="217"/>
      <c r="S441" s="217"/>
      <c r="T441" s="217"/>
      <c r="U441" s="217"/>
      <c r="V441" s="217"/>
      <c r="W441" s="217"/>
      <c r="X441" s="217"/>
      <c r="Y441" s="217"/>
      <c r="Z441" s="217"/>
      <c r="AA441" s="31"/>
      <c r="AB441" s="31"/>
    </row>
    <row r="442" spans="1:28" ht="18" customHeight="1">
      <c r="A442" s="166"/>
      <c r="B442" s="217"/>
      <c r="C442" s="217"/>
      <c r="D442" s="217"/>
      <c r="E442" s="217"/>
      <c r="F442" s="217"/>
      <c r="G442" s="217"/>
      <c r="H442" s="217"/>
      <c r="I442" s="217"/>
      <c r="J442" s="217"/>
      <c r="K442" s="217"/>
      <c r="L442" s="217"/>
      <c r="M442" s="217"/>
      <c r="N442" s="217"/>
      <c r="O442" s="146"/>
      <c r="P442" s="146"/>
      <c r="Q442" s="146"/>
      <c r="R442" s="217"/>
      <c r="S442" s="217"/>
      <c r="T442" s="217"/>
      <c r="U442" s="217"/>
      <c r="V442" s="217"/>
      <c r="W442" s="217"/>
      <c r="X442" s="217"/>
      <c r="Y442" s="217"/>
      <c r="Z442" s="217"/>
      <c r="AA442" s="31"/>
      <c r="AB442" s="31"/>
    </row>
    <row r="443" spans="1:28" ht="18" customHeight="1">
      <c r="A443" s="166"/>
      <c r="B443" s="217"/>
      <c r="C443" s="217"/>
      <c r="D443" s="217"/>
      <c r="E443" s="217"/>
      <c r="F443" s="217"/>
      <c r="G443" s="217"/>
      <c r="H443" s="217"/>
      <c r="I443" s="217"/>
      <c r="J443" s="217"/>
      <c r="K443" s="217"/>
      <c r="L443" s="217"/>
      <c r="M443" s="217"/>
      <c r="N443" s="217"/>
      <c r="O443" s="146"/>
      <c r="P443" s="146"/>
      <c r="Q443" s="146"/>
      <c r="R443" s="217"/>
      <c r="S443" s="217"/>
      <c r="T443" s="217"/>
      <c r="U443" s="217"/>
      <c r="V443" s="217"/>
      <c r="W443" s="217"/>
      <c r="X443" s="217"/>
      <c r="Y443" s="217"/>
      <c r="Z443" s="217"/>
      <c r="AA443" s="31"/>
      <c r="AB443" s="31"/>
    </row>
    <row r="444" spans="1:28" ht="18" customHeight="1">
      <c r="A444" s="166"/>
      <c r="B444" s="217"/>
      <c r="C444" s="217"/>
      <c r="D444" s="217"/>
      <c r="E444" s="217"/>
      <c r="F444" s="217"/>
      <c r="G444" s="217"/>
      <c r="H444" s="217"/>
      <c r="I444" s="217"/>
      <c r="J444" s="217"/>
      <c r="K444" s="217"/>
      <c r="L444" s="217"/>
      <c r="M444" s="217"/>
      <c r="N444" s="217"/>
      <c r="O444" s="146"/>
      <c r="P444" s="146"/>
      <c r="Q444" s="146"/>
      <c r="R444" s="217"/>
      <c r="S444" s="217"/>
      <c r="T444" s="217"/>
      <c r="U444" s="217"/>
      <c r="V444" s="217"/>
      <c r="W444" s="217"/>
      <c r="X444" s="217"/>
      <c r="Y444" s="217"/>
      <c r="Z444" s="217"/>
      <c r="AA444" s="31"/>
      <c r="AB444" s="31"/>
    </row>
    <row r="445" spans="1:28" ht="18" customHeight="1">
      <c r="A445" s="166"/>
      <c r="B445" s="217"/>
      <c r="C445" s="217"/>
      <c r="D445" s="217"/>
      <c r="E445" s="217"/>
      <c r="F445" s="217"/>
      <c r="G445" s="217"/>
      <c r="H445" s="217"/>
      <c r="I445" s="217"/>
      <c r="J445" s="217"/>
      <c r="K445" s="217"/>
      <c r="L445" s="217"/>
      <c r="M445" s="217"/>
      <c r="N445" s="217"/>
      <c r="O445" s="146"/>
      <c r="P445" s="146"/>
      <c r="Q445" s="146"/>
      <c r="R445" s="217"/>
      <c r="S445" s="217"/>
      <c r="T445" s="217"/>
      <c r="U445" s="217"/>
      <c r="V445" s="217"/>
      <c r="W445" s="217"/>
      <c r="X445" s="217"/>
      <c r="Y445" s="217"/>
      <c r="Z445" s="217"/>
      <c r="AA445" s="31"/>
      <c r="AB445" s="31"/>
    </row>
    <row r="446" spans="1:28" ht="18" customHeight="1">
      <c r="A446" s="166"/>
      <c r="B446" s="217"/>
      <c r="C446" s="217"/>
      <c r="D446" s="217"/>
      <c r="E446" s="217"/>
      <c r="F446" s="217"/>
      <c r="G446" s="217"/>
      <c r="H446" s="217"/>
      <c r="I446" s="217"/>
      <c r="J446" s="217"/>
      <c r="K446" s="217"/>
      <c r="L446" s="217"/>
      <c r="M446" s="217"/>
      <c r="N446" s="217"/>
      <c r="O446" s="146"/>
      <c r="P446" s="146"/>
      <c r="Q446" s="146"/>
      <c r="R446" s="217"/>
      <c r="S446" s="217"/>
      <c r="T446" s="217"/>
      <c r="U446" s="217"/>
      <c r="V446" s="217"/>
      <c r="W446" s="217"/>
      <c r="X446" s="217"/>
      <c r="Y446" s="217"/>
      <c r="Z446" s="217"/>
      <c r="AA446" s="31"/>
      <c r="AB446" s="31"/>
    </row>
    <row r="447" spans="1:28" ht="18" customHeight="1">
      <c r="A447" s="166"/>
      <c r="B447" s="217"/>
      <c r="C447" s="217"/>
      <c r="D447" s="217"/>
      <c r="E447" s="217"/>
      <c r="F447" s="217"/>
      <c r="G447" s="217"/>
      <c r="H447" s="217"/>
      <c r="I447" s="217"/>
      <c r="J447" s="217"/>
      <c r="K447" s="217"/>
      <c r="L447" s="217"/>
      <c r="M447" s="217"/>
      <c r="N447" s="217"/>
      <c r="O447" s="146"/>
      <c r="P447" s="146"/>
      <c r="Q447" s="146"/>
      <c r="R447" s="217"/>
      <c r="S447" s="217"/>
      <c r="T447" s="217"/>
      <c r="U447" s="217"/>
      <c r="V447" s="217"/>
      <c r="W447" s="217"/>
      <c r="X447" s="217"/>
      <c r="Y447" s="217"/>
      <c r="Z447" s="217"/>
      <c r="AA447" s="31"/>
      <c r="AB447" s="31"/>
    </row>
    <row r="448" spans="1:28" ht="18" customHeight="1">
      <c r="A448" s="166"/>
      <c r="B448" s="217"/>
      <c r="C448" s="217"/>
      <c r="D448" s="217"/>
      <c r="E448" s="217"/>
      <c r="F448" s="217"/>
      <c r="G448" s="217"/>
      <c r="H448" s="217"/>
      <c r="I448" s="217"/>
      <c r="J448" s="217"/>
      <c r="K448" s="217"/>
      <c r="L448" s="217"/>
      <c r="M448" s="217"/>
      <c r="N448" s="217"/>
      <c r="O448" s="146"/>
      <c r="P448" s="146"/>
      <c r="Q448" s="146"/>
      <c r="R448" s="217"/>
      <c r="S448" s="217"/>
      <c r="T448" s="217"/>
      <c r="U448" s="217"/>
      <c r="V448" s="217"/>
      <c r="W448" s="217"/>
      <c r="X448" s="217"/>
      <c r="Y448" s="217"/>
      <c r="Z448" s="217"/>
      <c r="AA448" s="31"/>
      <c r="AB448" s="31"/>
    </row>
    <row r="449" spans="1:28" ht="18" customHeight="1">
      <c r="A449" s="166"/>
      <c r="B449" s="217"/>
      <c r="C449" s="217"/>
      <c r="D449" s="217"/>
      <c r="E449" s="217"/>
      <c r="F449" s="217"/>
      <c r="G449" s="217"/>
      <c r="H449" s="217"/>
      <c r="I449" s="217"/>
      <c r="J449" s="217"/>
      <c r="K449" s="217"/>
      <c r="L449" s="217"/>
      <c r="M449" s="217"/>
      <c r="N449" s="217"/>
      <c r="O449" s="146"/>
      <c r="P449" s="146"/>
      <c r="Q449" s="146"/>
      <c r="R449" s="217"/>
      <c r="S449" s="217"/>
      <c r="T449" s="217"/>
      <c r="U449" s="217"/>
      <c r="V449" s="217"/>
      <c r="W449" s="217"/>
      <c r="X449" s="217"/>
      <c r="Y449" s="217"/>
      <c r="Z449" s="217"/>
      <c r="AA449" s="31"/>
      <c r="AB449" s="31"/>
    </row>
    <row r="450" spans="1:28" ht="18" customHeight="1">
      <c r="A450" s="166"/>
      <c r="B450" s="217"/>
      <c r="C450" s="217"/>
      <c r="D450" s="217"/>
      <c r="E450" s="217"/>
      <c r="F450" s="217"/>
      <c r="G450" s="217"/>
      <c r="H450" s="217"/>
      <c r="I450" s="217"/>
      <c r="J450" s="217"/>
      <c r="K450" s="217"/>
      <c r="L450" s="217"/>
      <c r="M450" s="217"/>
      <c r="N450" s="217"/>
      <c r="O450" s="146"/>
      <c r="P450" s="146"/>
      <c r="Q450" s="146"/>
      <c r="R450" s="217"/>
      <c r="S450" s="217"/>
      <c r="T450" s="217"/>
      <c r="U450" s="217"/>
      <c r="V450" s="217"/>
      <c r="W450" s="217"/>
      <c r="X450" s="217"/>
      <c r="Y450" s="217"/>
      <c r="Z450" s="217"/>
      <c r="AA450" s="31"/>
      <c r="AB450" s="31"/>
    </row>
    <row r="451" spans="1:28" ht="18" customHeight="1">
      <c r="A451" s="166"/>
      <c r="B451" s="217"/>
      <c r="C451" s="217"/>
      <c r="D451" s="217"/>
      <c r="E451" s="217"/>
      <c r="F451" s="217"/>
      <c r="G451" s="217"/>
      <c r="H451" s="217"/>
      <c r="I451" s="217"/>
      <c r="J451" s="217"/>
      <c r="K451" s="217"/>
      <c r="L451" s="217"/>
      <c r="M451" s="217"/>
      <c r="N451" s="217"/>
      <c r="O451" s="146"/>
      <c r="P451" s="146"/>
      <c r="Q451" s="146"/>
      <c r="R451" s="217"/>
      <c r="S451" s="217"/>
      <c r="T451" s="217"/>
      <c r="U451" s="217"/>
      <c r="V451" s="217"/>
      <c r="W451" s="217"/>
      <c r="X451" s="217"/>
      <c r="Y451" s="217"/>
      <c r="Z451" s="217"/>
      <c r="AA451" s="31"/>
      <c r="AB451" s="31"/>
    </row>
    <row r="452" spans="1:28" ht="18" customHeight="1">
      <c r="A452" s="166"/>
      <c r="B452" s="217"/>
      <c r="C452" s="217"/>
      <c r="D452" s="217"/>
      <c r="E452" s="217"/>
      <c r="F452" s="217"/>
      <c r="G452" s="217"/>
      <c r="H452" s="217"/>
      <c r="I452" s="217"/>
      <c r="J452" s="217"/>
      <c r="K452" s="217"/>
      <c r="L452" s="217"/>
      <c r="M452" s="217"/>
      <c r="N452" s="217"/>
      <c r="O452" s="146"/>
      <c r="P452" s="146"/>
      <c r="Q452" s="146"/>
      <c r="R452" s="217"/>
      <c r="S452" s="217"/>
      <c r="T452" s="217"/>
      <c r="U452" s="217"/>
      <c r="V452" s="217"/>
      <c r="W452" s="217"/>
      <c r="X452" s="217"/>
      <c r="Y452" s="217"/>
      <c r="Z452" s="217"/>
      <c r="AA452" s="31"/>
      <c r="AB452" s="31"/>
    </row>
    <row r="453" spans="1:28" ht="18" customHeight="1">
      <c r="A453" s="166"/>
      <c r="B453" s="217"/>
      <c r="C453" s="217"/>
      <c r="D453" s="217"/>
      <c r="E453" s="217"/>
      <c r="F453" s="217"/>
      <c r="G453" s="217"/>
      <c r="H453" s="217"/>
      <c r="I453" s="217"/>
      <c r="J453" s="217"/>
      <c r="K453" s="217"/>
      <c r="L453" s="217"/>
      <c r="M453" s="217"/>
      <c r="N453" s="217"/>
      <c r="O453" s="146"/>
      <c r="P453" s="146"/>
      <c r="Q453" s="146"/>
      <c r="R453" s="217"/>
      <c r="S453" s="217"/>
      <c r="T453" s="217"/>
      <c r="U453" s="217"/>
      <c r="V453" s="217"/>
      <c r="W453" s="217"/>
      <c r="X453" s="217"/>
      <c r="Y453" s="217"/>
      <c r="Z453" s="217"/>
      <c r="AA453" s="31"/>
      <c r="AB453" s="31"/>
    </row>
    <row r="454" spans="1:28" ht="18" customHeight="1">
      <c r="A454" s="166"/>
      <c r="B454" s="217"/>
      <c r="C454" s="217"/>
      <c r="D454" s="217"/>
      <c r="E454" s="217"/>
      <c r="F454" s="217"/>
      <c r="G454" s="217"/>
      <c r="H454" s="217"/>
      <c r="I454" s="217"/>
      <c r="J454" s="217"/>
      <c r="K454" s="217"/>
      <c r="L454" s="217"/>
      <c r="M454" s="217"/>
      <c r="N454" s="217"/>
      <c r="O454" s="146"/>
      <c r="P454" s="146"/>
      <c r="Q454" s="146"/>
      <c r="R454" s="217"/>
      <c r="S454" s="217"/>
      <c r="T454" s="217"/>
      <c r="U454" s="217"/>
      <c r="V454" s="217"/>
      <c r="W454" s="217"/>
      <c r="X454" s="217"/>
      <c r="Y454" s="217"/>
      <c r="Z454" s="217"/>
      <c r="AA454" s="31"/>
      <c r="AB454" s="31"/>
    </row>
    <row r="455" spans="1:28" ht="18" customHeight="1">
      <c r="A455" s="166"/>
      <c r="B455" s="217"/>
      <c r="C455" s="217"/>
      <c r="D455" s="217"/>
      <c r="E455" s="217"/>
      <c r="F455" s="217"/>
      <c r="G455" s="217"/>
      <c r="H455" s="217"/>
      <c r="I455" s="217"/>
      <c r="J455" s="217"/>
      <c r="K455" s="217"/>
      <c r="L455" s="217"/>
      <c r="M455" s="217"/>
      <c r="N455" s="217"/>
      <c r="O455" s="146"/>
      <c r="P455" s="146"/>
      <c r="Q455" s="146"/>
      <c r="R455" s="217"/>
      <c r="S455" s="217"/>
      <c r="T455" s="217"/>
      <c r="U455" s="217"/>
      <c r="V455" s="217"/>
      <c r="W455" s="217"/>
      <c r="X455" s="217"/>
      <c r="Y455" s="217"/>
      <c r="Z455" s="217"/>
      <c r="AA455" s="31"/>
      <c r="AB455" s="31"/>
    </row>
    <row r="456" spans="1:28" ht="18" customHeight="1">
      <c r="A456" s="166"/>
      <c r="B456" s="217"/>
      <c r="C456" s="217"/>
      <c r="D456" s="217"/>
      <c r="E456" s="217"/>
      <c r="F456" s="217"/>
      <c r="G456" s="217"/>
      <c r="H456" s="217"/>
      <c r="I456" s="217"/>
      <c r="J456" s="217"/>
      <c r="K456" s="217"/>
      <c r="L456" s="217"/>
      <c r="M456" s="217"/>
      <c r="N456" s="217"/>
      <c r="O456" s="146"/>
      <c r="P456" s="146"/>
      <c r="Q456" s="146"/>
      <c r="R456" s="217"/>
      <c r="S456" s="217"/>
      <c r="T456" s="217"/>
      <c r="U456" s="217"/>
      <c r="V456" s="217"/>
      <c r="W456" s="217"/>
      <c r="X456" s="217"/>
      <c r="Y456" s="217"/>
      <c r="Z456" s="217"/>
      <c r="AA456" s="31"/>
      <c r="AB456" s="31"/>
    </row>
    <row r="457" spans="1:28" ht="18" customHeight="1">
      <c r="A457" s="166"/>
      <c r="B457" s="217"/>
      <c r="C457" s="217"/>
      <c r="D457" s="217"/>
      <c r="E457" s="217"/>
      <c r="F457" s="217"/>
      <c r="G457" s="217"/>
      <c r="H457" s="217"/>
      <c r="I457" s="217"/>
      <c r="J457" s="217"/>
      <c r="K457" s="217"/>
      <c r="L457" s="217"/>
      <c r="M457" s="217"/>
      <c r="N457" s="217"/>
      <c r="O457" s="146"/>
      <c r="P457" s="146"/>
      <c r="Q457" s="146"/>
      <c r="R457" s="217"/>
      <c r="S457" s="217"/>
      <c r="T457" s="217"/>
      <c r="U457" s="217"/>
      <c r="V457" s="217"/>
      <c r="W457" s="217"/>
      <c r="X457" s="217"/>
      <c r="Y457" s="217"/>
      <c r="Z457" s="217"/>
      <c r="AA457" s="31"/>
      <c r="AB457" s="31"/>
    </row>
    <row r="458" spans="1:28" ht="18" customHeight="1">
      <c r="A458" s="166"/>
      <c r="B458" s="217"/>
      <c r="C458" s="217"/>
      <c r="D458" s="217"/>
      <c r="E458" s="217"/>
      <c r="F458" s="217"/>
      <c r="G458" s="217"/>
      <c r="H458" s="217"/>
      <c r="I458" s="217"/>
      <c r="J458" s="217"/>
      <c r="K458" s="217"/>
      <c r="L458" s="217"/>
      <c r="M458" s="217"/>
      <c r="N458" s="217"/>
      <c r="O458" s="146"/>
      <c r="P458" s="146"/>
      <c r="Q458" s="146"/>
      <c r="R458" s="217"/>
      <c r="S458" s="217"/>
      <c r="T458" s="217"/>
      <c r="U458" s="217"/>
      <c r="V458" s="217"/>
      <c r="W458" s="217"/>
      <c r="X458" s="217"/>
      <c r="Y458" s="217"/>
      <c r="Z458" s="217"/>
      <c r="AA458" s="31"/>
      <c r="AB458" s="31"/>
    </row>
    <row r="459" spans="1:28" ht="18" customHeight="1">
      <c r="A459" s="166"/>
      <c r="B459" s="217"/>
      <c r="C459" s="217"/>
      <c r="D459" s="217"/>
      <c r="E459" s="217"/>
      <c r="F459" s="217"/>
      <c r="G459" s="217"/>
      <c r="H459" s="217"/>
      <c r="I459" s="217"/>
      <c r="J459" s="217"/>
      <c r="K459" s="217"/>
      <c r="L459" s="217"/>
      <c r="M459" s="217"/>
      <c r="N459" s="217"/>
      <c r="O459" s="146"/>
      <c r="P459" s="146"/>
      <c r="Q459" s="146"/>
      <c r="R459" s="217"/>
      <c r="S459" s="217"/>
      <c r="T459" s="217"/>
      <c r="U459" s="217"/>
      <c r="V459" s="217"/>
      <c r="W459" s="217"/>
      <c r="X459" s="217"/>
      <c r="Y459" s="217"/>
      <c r="Z459" s="217"/>
      <c r="AA459" s="31"/>
      <c r="AB459" s="31"/>
    </row>
    <row r="460" spans="1:28" ht="18" customHeight="1">
      <c r="A460" s="166"/>
      <c r="B460" s="217"/>
      <c r="C460" s="217"/>
      <c r="D460" s="217"/>
      <c r="E460" s="217"/>
      <c r="F460" s="217"/>
      <c r="G460" s="217"/>
      <c r="H460" s="217"/>
      <c r="I460" s="217"/>
      <c r="J460" s="217"/>
      <c r="K460" s="217"/>
      <c r="L460" s="217"/>
      <c r="M460" s="217"/>
      <c r="N460" s="217"/>
      <c r="O460" s="146"/>
      <c r="P460" s="146"/>
      <c r="Q460" s="146"/>
      <c r="R460" s="217"/>
      <c r="S460" s="217"/>
      <c r="T460" s="217"/>
      <c r="U460" s="217"/>
      <c r="V460" s="217"/>
      <c r="W460" s="217"/>
      <c r="X460" s="217"/>
      <c r="Y460" s="217"/>
      <c r="Z460" s="217"/>
      <c r="AA460" s="31"/>
      <c r="AB460" s="31"/>
    </row>
    <row r="461" spans="1:28" ht="18" customHeight="1">
      <c r="A461" s="166"/>
      <c r="B461" s="217"/>
      <c r="C461" s="217"/>
      <c r="D461" s="217"/>
      <c r="E461" s="217"/>
      <c r="F461" s="217"/>
      <c r="G461" s="217"/>
      <c r="H461" s="217"/>
      <c r="I461" s="217"/>
      <c r="J461" s="217"/>
      <c r="K461" s="217"/>
      <c r="L461" s="217"/>
      <c r="M461" s="217"/>
      <c r="N461" s="217"/>
      <c r="O461" s="146"/>
      <c r="P461" s="146"/>
      <c r="Q461" s="146"/>
      <c r="R461" s="217"/>
      <c r="S461" s="217"/>
      <c r="T461" s="217"/>
      <c r="U461" s="217"/>
      <c r="V461" s="217"/>
      <c r="W461" s="217"/>
      <c r="X461" s="217"/>
      <c r="Y461" s="217"/>
      <c r="Z461" s="217"/>
      <c r="AA461" s="31"/>
      <c r="AB461" s="31"/>
    </row>
    <row r="462" spans="1:28" ht="18" customHeight="1">
      <c r="A462" s="166"/>
      <c r="B462" s="217"/>
      <c r="C462" s="217"/>
      <c r="D462" s="217"/>
      <c r="E462" s="217"/>
      <c r="F462" s="217"/>
      <c r="G462" s="217"/>
      <c r="H462" s="217"/>
      <c r="I462" s="217"/>
      <c r="J462" s="217"/>
      <c r="K462" s="217"/>
      <c r="L462" s="217"/>
      <c r="M462" s="217"/>
      <c r="N462" s="217"/>
      <c r="O462" s="146"/>
      <c r="P462" s="146"/>
      <c r="Q462" s="146"/>
      <c r="R462" s="217"/>
      <c r="S462" s="217"/>
      <c r="T462" s="217"/>
      <c r="U462" s="217"/>
      <c r="V462" s="217"/>
      <c r="W462" s="217"/>
      <c r="X462" s="217"/>
      <c r="Y462" s="217"/>
      <c r="Z462" s="217"/>
      <c r="AA462" s="31"/>
      <c r="AB462" s="31"/>
    </row>
    <row r="463" spans="1:28" ht="18" customHeight="1">
      <c r="A463" s="166"/>
      <c r="B463" s="217"/>
      <c r="C463" s="217"/>
      <c r="D463" s="217"/>
      <c r="E463" s="217"/>
      <c r="F463" s="217"/>
      <c r="G463" s="217"/>
      <c r="H463" s="217"/>
      <c r="I463" s="217"/>
      <c r="J463" s="217"/>
      <c r="K463" s="217"/>
      <c r="L463" s="217"/>
      <c r="M463" s="217"/>
      <c r="N463" s="217"/>
      <c r="O463" s="146"/>
      <c r="P463" s="146"/>
      <c r="Q463" s="146"/>
      <c r="R463" s="217"/>
      <c r="S463" s="217"/>
      <c r="T463" s="217"/>
      <c r="U463" s="217"/>
      <c r="V463" s="217"/>
      <c r="W463" s="217"/>
      <c r="X463" s="217"/>
      <c r="Y463" s="217"/>
      <c r="Z463" s="217"/>
      <c r="AA463" s="31"/>
      <c r="AB463" s="31"/>
    </row>
    <row r="464" spans="1:28" ht="18" customHeight="1">
      <c r="A464" s="166"/>
      <c r="B464" s="217"/>
      <c r="C464" s="217"/>
      <c r="D464" s="217"/>
      <c r="E464" s="217"/>
      <c r="F464" s="217"/>
      <c r="G464" s="217"/>
      <c r="H464" s="217"/>
      <c r="I464" s="217"/>
      <c r="J464" s="217"/>
      <c r="K464" s="217"/>
      <c r="L464" s="217"/>
      <c r="M464" s="217"/>
      <c r="N464" s="217"/>
      <c r="O464" s="146"/>
      <c r="P464" s="146"/>
      <c r="Q464" s="146"/>
      <c r="R464" s="217"/>
      <c r="S464" s="217"/>
      <c r="T464" s="217"/>
      <c r="U464" s="217"/>
      <c r="V464" s="217"/>
      <c r="W464" s="217"/>
      <c r="X464" s="217"/>
      <c r="Y464" s="217"/>
      <c r="Z464" s="217"/>
      <c r="AA464" s="31"/>
      <c r="AB464" s="31"/>
    </row>
    <row r="465" spans="1:28" ht="18" customHeight="1">
      <c r="A465" s="166"/>
      <c r="B465" s="217"/>
      <c r="C465" s="217"/>
      <c r="D465" s="217"/>
      <c r="E465" s="217"/>
      <c r="F465" s="217"/>
      <c r="G465" s="217"/>
      <c r="H465" s="217"/>
      <c r="I465" s="217"/>
      <c r="J465" s="217"/>
      <c r="K465" s="217"/>
      <c r="L465" s="217"/>
      <c r="M465" s="217"/>
      <c r="N465" s="217"/>
      <c r="O465" s="146"/>
      <c r="P465" s="146"/>
      <c r="Q465" s="146"/>
      <c r="R465" s="217"/>
      <c r="S465" s="217"/>
      <c r="T465" s="217"/>
      <c r="U465" s="217"/>
      <c r="V465" s="217"/>
      <c r="W465" s="217"/>
      <c r="X465" s="217"/>
      <c r="Y465" s="217"/>
      <c r="Z465" s="217"/>
      <c r="AA465" s="31"/>
      <c r="AB465" s="31"/>
    </row>
    <row r="466" spans="1:28" ht="18" customHeight="1">
      <c r="A466" s="166"/>
      <c r="B466" s="217"/>
      <c r="C466" s="217"/>
      <c r="D466" s="217"/>
      <c r="E466" s="217"/>
      <c r="F466" s="217"/>
      <c r="G466" s="217"/>
      <c r="H466" s="217"/>
      <c r="I466" s="217"/>
      <c r="J466" s="217"/>
      <c r="K466" s="217"/>
      <c r="L466" s="217"/>
      <c r="M466" s="217"/>
      <c r="N466" s="217"/>
      <c r="O466" s="146"/>
      <c r="P466" s="146"/>
      <c r="Q466" s="146"/>
      <c r="R466" s="217"/>
      <c r="S466" s="217"/>
      <c r="T466" s="217"/>
      <c r="U466" s="217"/>
      <c r="V466" s="217"/>
      <c r="W466" s="217"/>
      <c r="X466" s="217"/>
      <c r="Y466" s="217"/>
      <c r="Z466" s="217"/>
      <c r="AA466" s="31"/>
      <c r="AB466" s="31"/>
    </row>
    <row r="467" spans="1:28" ht="18" customHeight="1">
      <c r="A467" s="166"/>
      <c r="B467" s="217"/>
      <c r="C467" s="217"/>
      <c r="D467" s="217"/>
      <c r="E467" s="217"/>
      <c r="F467" s="217"/>
      <c r="G467" s="217"/>
      <c r="H467" s="217"/>
      <c r="I467" s="217"/>
      <c r="J467" s="217"/>
      <c r="K467" s="217"/>
      <c r="L467" s="217"/>
      <c r="M467" s="217"/>
      <c r="N467" s="217"/>
      <c r="O467" s="146"/>
      <c r="P467" s="146"/>
      <c r="Q467" s="146"/>
      <c r="R467" s="217"/>
      <c r="S467" s="217"/>
      <c r="T467" s="217"/>
      <c r="U467" s="217"/>
      <c r="V467" s="217"/>
      <c r="W467" s="217"/>
      <c r="X467" s="217"/>
      <c r="Y467" s="217"/>
      <c r="Z467" s="217"/>
      <c r="AA467" s="31"/>
      <c r="AB467" s="31"/>
    </row>
    <row r="468" spans="1:28" ht="18" customHeight="1">
      <c r="A468" s="166"/>
      <c r="B468" s="217"/>
      <c r="C468" s="217"/>
      <c r="D468" s="217"/>
      <c r="E468" s="217"/>
      <c r="F468" s="217"/>
      <c r="G468" s="217"/>
      <c r="H468" s="217"/>
      <c r="I468" s="217"/>
      <c r="J468" s="217"/>
      <c r="K468" s="217"/>
      <c r="L468" s="217"/>
      <c r="M468" s="217"/>
      <c r="N468" s="217"/>
      <c r="O468" s="146"/>
      <c r="P468" s="146"/>
      <c r="Q468" s="146"/>
      <c r="R468" s="217"/>
      <c r="S468" s="217"/>
      <c r="T468" s="217"/>
      <c r="U468" s="217"/>
      <c r="V468" s="217"/>
      <c r="W468" s="217"/>
      <c r="X468" s="217"/>
      <c r="Y468" s="217"/>
      <c r="Z468" s="217"/>
      <c r="AA468" s="31"/>
      <c r="AB468" s="31"/>
    </row>
    <row r="469" spans="1:28" ht="18" customHeight="1">
      <c r="A469" s="166"/>
      <c r="B469" s="217"/>
      <c r="C469" s="217"/>
      <c r="D469" s="217"/>
      <c r="E469" s="217"/>
      <c r="F469" s="217"/>
      <c r="G469" s="217"/>
      <c r="H469" s="217"/>
      <c r="I469" s="217"/>
      <c r="J469" s="217"/>
      <c r="K469" s="217"/>
      <c r="L469" s="217"/>
      <c r="M469" s="217"/>
      <c r="N469" s="217"/>
      <c r="O469" s="146"/>
      <c r="P469" s="146"/>
      <c r="Q469" s="146"/>
      <c r="R469" s="217"/>
      <c r="S469" s="217"/>
      <c r="T469" s="217"/>
      <c r="U469" s="217"/>
      <c r="V469" s="217"/>
      <c r="W469" s="217"/>
      <c r="X469" s="217"/>
      <c r="Y469" s="217"/>
      <c r="Z469" s="217"/>
      <c r="AA469" s="31"/>
      <c r="AB469" s="31"/>
    </row>
    <row r="470" spans="1:28" ht="18" customHeight="1">
      <c r="A470" s="166"/>
      <c r="B470" s="217"/>
      <c r="C470" s="217"/>
      <c r="D470" s="217"/>
      <c r="E470" s="217"/>
      <c r="F470" s="217"/>
      <c r="G470" s="217"/>
      <c r="H470" s="217"/>
      <c r="I470" s="217"/>
      <c r="J470" s="217"/>
      <c r="K470" s="217"/>
      <c r="L470" s="217"/>
      <c r="M470" s="217"/>
      <c r="N470" s="217"/>
      <c r="O470" s="146"/>
      <c r="P470" s="146"/>
      <c r="Q470" s="146"/>
      <c r="R470" s="217"/>
      <c r="S470" s="217"/>
      <c r="T470" s="217"/>
      <c r="U470" s="217"/>
      <c r="V470" s="217"/>
      <c r="W470" s="217"/>
      <c r="X470" s="217"/>
      <c r="Y470" s="217"/>
      <c r="Z470" s="217"/>
      <c r="AA470" s="31"/>
      <c r="AB470" s="31"/>
    </row>
    <row r="471" spans="1:28" ht="18" customHeight="1">
      <c r="A471" s="166"/>
      <c r="B471" s="217"/>
      <c r="C471" s="217"/>
      <c r="D471" s="217"/>
      <c r="E471" s="217"/>
      <c r="F471" s="217"/>
      <c r="G471" s="217"/>
      <c r="H471" s="217"/>
      <c r="I471" s="217"/>
      <c r="J471" s="217"/>
      <c r="K471" s="217"/>
      <c r="L471" s="217"/>
      <c r="M471" s="217"/>
      <c r="N471" s="217"/>
      <c r="O471" s="146"/>
      <c r="P471" s="146"/>
      <c r="Q471" s="146"/>
      <c r="R471" s="217"/>
      <c r="S471" s="217"/>
      <c r="T471" s="217"/>
      <c r="U471" s="217"/>
      <c r="V471" s="217"/>
      <c r="W471" s="217"/>
      <c r="X471" s="217"/>
      <c r="Y471" s="217"/>
      <c r="Z471" s="217"/>
      <c r="AA471" s="31"/>
      <c r="AB471" s="31"/>
    </row>
    <row r="472" spans="1:28" ht="18" customHeight="1">
      <c r="A472" s="166"/>
      <c r="B472" s="217"/>
      <c r="C472" s="217"/>
      <c r="D472" s="217"/>
      <c r="E472" s="217"/>
      <c r="F472" s="217"/>
      <c r="G472" s="217"/>
      <c r="H472" s="217"/>
      <c r="I472" s="217"/>
      <c r="J472" s="217"/>
      <c r="K472" s="217"/>
      <c r="L472" s="217"/>
      <c r="M472" s="217"/>
      <c r="N472" s="217"/>
      <c r="O472" s="146"/>
      <c r="P472" s="146"/>
      <c r="Q472" s="146"/>
      <c r="R472" s="217"/>
      <c r="S472" s="217"/>
      <c r="T472" s="217"/>
      <c r="U472" s="217"/>
      <c r="V472" s="217"/>
      <c r="W472" s="217"/>
      <c r="X472" s="217"/>
      <c r="Y472" s="217"/>
      <c r="Z472" s="217"/>
      <c r="AA472" s="31"/>
      <c r="AB472" s="31"/>
    </row>
    <row r="473" spans="1:28" ht="18" customHeight="1">
      <c r="A473" s="166"/>
      <c r="B473" s="217"/>
      <c r="C473" s="217"/>
      <c r="D473" s="217"/>
      <c r="E473" s="217"/>
      <c r="F473" s="217"/>
      <c r="G473" s="217"/>
      <c r="H473" s="217"/>
      <c r="I473" s="217"/>
      <c r="J473" s="217"/>
      <c r="K473" s="217"/>
      <c r="L473" s="217"/>
      <c r="M473" s="217"/>
      <c r="N473" s="217"/>
      <c r="O473" s="146"/>
      <c r="P473" s="146"/>
      <c r="Q473" s="146"/>
      <c r="R473" s="217"/>
      <c r="S473" s="217"/>
      <c r="T473" s="217"/>
      <c r="U473" s="217"/>
      <c r="V473" s="217"/>
      <c r="W473" s="217"/>
      <c r="X473" s="217"/>
      <c r="Y473" s="217"/>
      <c r="Z473" s="217"/>
      <c r="AA473" s="31"/>
      <c r="AB473" s="31"/>
    </row>
    <row r="474" spans="1:28" ht="18" customHeight="1">
      <c r="A474" s="166"/>
      <c r="B474" s="217"/>
      <c r="C474" s="217"/>
      <c r="D474" s="217"/>
      <c r="E474" s="217"/>
      <c r="F474" s="217"/>
      <c r="G474" s="217"/>
      <c r="H474" s="217"/>
      <c r="I474" s="217"/>
      <c r="J474" s="217"/>
      <c r="K474" s="217"/>
      <c r="L474" s="217"/>
      <c r="M474" s="217"/>
      <c r="N474" s="217"/>
      <c r="O474" s="146"/>
      <c r="P474" s="146"/>
      <c r="Q474" s="146"/>
      <c r="R474" s="217"/>
      <c r="S474" s="217"/>
      <c r="T474" s="217"/>
      <c r="U474" s="217"/>
      <c r="V474" s="217"/>
      <c r="W474" s="217"/>
      <c r="X474" s="217"/>
      <c r="Y474" s="217"/>
      <c r="Z474" s="217"/>
      <c r="AA474" s="31"/>
      <c r="AB474" s="31"/>
    </row>
    <row r="475" spans="1:28" ht="18" customHeight="1">
      <c r="A475" s="166"/>
      <c r="B475" s="217"/>
      <c r="C475" s="217"/>
      <c r="D475" s="217"/>
      <c r="E475" s="217"/>
      <c r="F475" s="217"/>
      <c r="G475" s="217"/>
      <c r="H475" s="217"/>
      <c r="I475" s="217"/>
      <c r="J475" s="217"/>
      <c r="K475" s="217"/>
      <c r="L475" s="217"/>
      <c r="M475" s="217"/>
      <c r="N475" s="217"/>
      <c r="O475" s="146"/>
      <c r="P475" s="146"/>
      <c r="Q475" s="146"/>
      <c r="R475" s="217"/>
      <c r="S475" s="217"/>
      <c r="T475" s="217"/>
      <c r="U475" s="217"/>
      <c r="V475" s="217"/>
      <c r="W475" s="217"/>
      <c r="X475" s="217"/>
      <c r="Y475" s="217"/>
      <c r="Z475" s="217"/>
      <c r="AA475" s="31"/>
      <c r="AB475" s="31"/>
    </row>
    <row r="476" spans="1:28" ht="18" customHeight="1">
      <c r="A476" s="166"/>
      <c r="B476" s="217"/>
      <c r="C476" s="217"/>
      <c r="D476" s="217"/>
      <c r="E476" s="217"/>
      <c r="F476" s="217"/>
      <c r="G476" s="217"/>
      <c r="H476" s="217"/>
      <c r="I476" s="217"/>
      <c r="J476" s="217"/>
      <c r="K476" s="217"/>
      <c r="L476" s="217"/>
      <c r="M476" s="217"/>
      <c r="N476" s="217"/>
      <c r="O476" s="146"/>
      <c r="P476" s="146"/>
      <c r="Q476" s="146"/>
      <c r="R476" s="217"/>
      <c r="S476" s="217"/>
      <c r="T476" s="217"/>
      <c r="U476" s="217"/>
      <c r="V476" s="217"/>
      <c r="W476" s="217"/>
      <c r="X476" s="217"/>
      <c r="Y476" s="217"/>
      <c r="Z476" s="217"/>
      <c r="AA476" s="31"/>
      <c r="AB476" s="31"/>
    </row>
    <row r="477" spans="1:28" ht="18" customHeight="1">
      <c r="A477" s="166"/>
      <c r="B477" s="217"/>
      <c r="C477" s="217"/>
      <c r="D477" s="217"/>
      <c r="E477" s="217"/>
      <c r="F477" s="217"/>
      <c r="G477" s="217"/>
      <c r="H477" s="217"/>
      <c r="I477" s="217"/>
      <c r="J477" s="217"/>
      <c r="K477" s="217"/>
      <c r="L477" s="217"/>
      <c r="M477" s="217"/>
      <c r="N477" s="217"/>
      <c r="O477" s="146"/>
      <c r="P477" s="146"/>
      <c r="Q477" s="146"/>
      <c r="R477" s="217"/>
      <c r="S477" s="217"/>
      <c r="T477" s="217"/>
      <c r="U477" s="217"/>
      <c r="V477" s="217"/>
      <c r="W477" s="217"/>
      <c r="X477" s="217"/>
      <c r="Y477" s="217"/>
      <c r="Z477" s="217"/>
      <c r="AA477" s="31"/>
      <c r="AB477" s="31"/>
    </row>
    <row r="478" spans="1:28" ht="18" customHeight="1">
      <c r="A478" s="166"/>
      <c r="B478" s="217"/>
      <c r="C478" s="217"/>
      <c r="D478" s="217"/>
      <c r="E478" s="217"/>
      <c r="F478" s="217"/>
      <c r="G478" s="217"/>
      <c r="H478" s="217"/>
      <c r="I478" s="217"/>
      <c r="J478" s="217"/>
      <c r="K478" s="217"/>
      <c r="L478" s="217"/>
      <c r="M478" s="217"/>
      <c r="N478" s="217"/>
      <c r="O478" s="146"/>
      <c r="P478" s="146"/>
      <c r="Q478" s="146"/>
      <c r="R478" s="217"/>
      <c r="S478" s="217"/>
      <c r="T478" s="217"/>
      <c r="U478" s="217"/>
      <c r="V478" s="217"/>
      <c r="W478" s="217"/>
      <c r="X478" s="217"/>
      <c r="Y478" s="217"/>
      <c r="Z478" s="217"/>
      <c r="AA478" s="31"/>
      <c r="AB478" s="31"/>
    </row>
    <row r="479" spans="1:28" ht="18" customHeight="1">
      <c r="A479" s="166"/>
      <c r="B479" s="217"/>
      <c r="C479" s="217"/>
      <c r="D479" s="217"/>
      <c r="E479" s="217"/>
      <c r="F479" s="217"/>
      <c r="G479" s="217"/>
      <c r="H479" s="217"/>
      <c r="I479" s="217"/>
      <c r="J479" s="217"/>
      <c r="K479" s="217"/>
      <c r="L479" s="217"/>
      <c r="M479" s="217"/>
      <c r="N479" s="217"/>
      <c r="O479" s="146"/>
      <c r="P479" s="146"/>
      <c r="Q479" s="146"/>
      <c r="R479" s="217"/>
      <c r="S479" s="217"/>
      <c r="T479" s="217"/>
      <c r="U479" s="217"/>
      <c r="V479" s="217"/>
      <c r="W479" s="217"/>
      <c r="X479" s="217"/>
      <c r="Y479" s="217"/>
      <c r="Z479" s="217"/>
      <c r="AA479" s="31"/>
      <c r="AB479" s="31"/>
    </row>
    <row r="480" spans="1:28" ht="18" customHeight="1">
      <c r="A480" s="166"/>
      <c r="B480" s="217"/>
      <c r="C480" s="217"/>
      <c r="D480" s="217"/>
      <c r="E480" s="217"/>
      <c r="F480" s="217"/>
      <c r="G480" s="217"/>
      <c r="H480" s="217"/>
      <c r="I480" s="217"/>
      <c r="J480" s="217"/>
      <c r="K480" s="217"/>
      <c r="L480" s="217"/>
      <c r="M480" s="217"/>
      <c r="N480" s="217"/>
      <c r="O480" s="146"/>
      <c r="P480" s="146"/>
      <c r="Q480" s="146"/>
      <c r="R480" s="217"/>
      <c r="S480" s="217"/>
      <c r="T480" s="217"/>
      <c r="U480" s="217"/>
      <c r="V480" s="217"/>
      <c r="W480" s="217"/>
      <c r="X480" s="217"/>
      <c r="Y480" s="217"/>
      <c r="Z480" s="217"/>
      <c r="AA480" s="31"/>
      <c r="AB480" s="31"/>
    </row>
    <row r="481" spans="1:28" ht="18" customHeight="1">
      <c r="A481" s="166"/>
      <c r="B481" s="217"/>
      <c r="C481" s="217"/>
      <c r="D481" s="217"/>
      <c r="E481" s="217"/>
      <c r="F481" s="217"/>
      <c r="G481" s="217"/>
      <c r="H481" s="217"/>
      <c r="I481" s="217"/>
      <c r="J481" s="217"/>
      <c r="K481" s="217"/>
      <c r="L481" s="217"/>
      <c r="M481" s="217"/>
      <c r="N481" s="217"/>
      <c r="O481" s="146"/>
      <c r="P481" s="146"/>
      <c r="Q481" s="146"/>
      <c r="R481" s="217"/>
      <c r="S481" s="217"/>
      <c r="T481" s="217"/>
      <c r="U481" s="217"/>
      <c r="V481" s="217"/>
      <c r="W481" s="217"/>
      <c r="X481" s="217"/>
      <c r="Y481" s="217"/>
      <c r="Z481" s="217"/>
      <c r="AA481" s="31"/>
      <c r="AB481" s="31"/>
    </row>
    <row r="482" spans="1:28" ht="18" customHeight="1">
      <c r="A482" s="166"/>
      <c r="B482" s="217"/>
      <c r="C482" s="217"/>
      <c r="D482" s="217"/>
      <c r="E482" s="217"/>
      <c r="F482" s="217"/>
      <c r="G482" s="217"/>
      <c r="H482" s="217"/>
      <c r="I482" s="217"/>
      <c r="J482" s="217"/>
      <c r="K482" s="217"/>
      <c r="L482" s="217"/>
      <c r="M482" s="217"/>
      <c r="N482" s="217"/>
      <c r="O482" s="146"/>
      <c r="P482" s="146"/>
      <c r="Q482" s="146"/>
      <c r="R482" s="217"/>
      <c r="S482" s="217"/>
      <c r="T482" s="217"/>
      <c r="U482" s="217"/>
      <c r="V482" s="217"/>
      <c r="W482" s="217"/>
      <c r="X482" s="217"/>
      <c r="Y482" s="217"/>
      <c r="Z482" s="217"/>
      <c r="AA482" s="31"/>
      <c r="AB482" s="31"/>
    </row>
    <row r="483" spans="1:28" ht="18" customHeight="1">
      <c r="A483" s="166"/>
      <c r="B483" s="217"/>
      <c r="C483" s="217"/>
      <c r="D483" s="217"/>
      <c r="E483" s="217"/>
      <c r="F483" s="217"/>
      <c r="G483" s="217"/>
      <c r="H483" s="217"/>
      <c r="I483" s="217"/>
      <c r="J483" s="217"/>
      <c r="K483" s="217"/>
      <c r="L483" s="217"/>
      <c r="M483" s="217"/>
      <c r="N483" s="217"/>
      <c r="O483" s="146"/>
      <c r="P483" s="146"/>
      <c r="Q483" s="146"/>
      <c r="R483" s="217"/>
      <c r="S483" s="217"/>
      <c r="T483" s="217"/>
      <c r="U483" s="217"/>
      <c r="V483" s="217"/>
      <c r="W483" s="217"/>
      <c r="X483" s="217"/>
      <c r="Y483" s="217"/>
      <c r="Z483" s="217"/>
      <c r="AA483" s="31"/>
      <c r="AB483" s="31"/>
    </row>
    <row r="484" spans="1:28" ht="18" customHeight="1">
      <c r="A484" s="166"/>
      <c r="B484" s="217"/>
      <c r="C484" s="217"/>
      <c r="D484" s="217"/>
      <c r="E484" s="217"/>
      <c r="F484" s="217"/>
      <c r="G484" s="217"/>
      <c r="H484" s="217"/>
      <c r="I484" s="217"/>
      <c r="J484" s="217"/>
      <c r="K484" s="217"/>
      <c r="L484" s="217"/>
      <c r="M484" s="217"/>
      <c r="N484" s="217"/>
      <c r="O484" s="146"/>
      <c r="P484" s="146"/>
      <c r="Q484" s="146"/>
      <c r="R484" s="217"/>
      <c r="S484" s="217"/>
      <c r="T484" s="217"/>
      <c r="U484" s="217"/>
      <c r="V484" s="217"/>
      <c r="W484" s="217"/>
      <c r="X484" s="217"/>
      <c r="Y484" s="217"/>
      <c r="Z484" s="217"/>
      <c r="AA484" s="31"/>
      <c r="AB484" s="31"/>
    </row>
    <row r="485" spans="1:28" ht="18" customHeight="1">
      <c r="A485" s="166"/>
      <c r="B485" s="217"/>
      <c r="C485" s="217"/>
      <c r="D485" s="217"/>
      <c r="E485" s="217"/>
      <c r="F485" s="217"/>
      <c r="G485" s="217"/>
      <c r="H485" s="217"/>
      <c r="I485" s="217"/>
      <c r="J485" s="217"/>
      <c r="K485" s="217"/>
      <c r="L485" s="217"/>
      <c r="M485" s="217"/>
      <c r="N485" s="217"/>
      <c r="O485" s="146"/>
      <c r="P485" s="146"/>
      <c r="Q485" s="146"/>
      <c r="R485" s="217"/>
      <c r="S485" s="217"/>
      <c r="T485" s="217"/>
      <c r="U485" s="217"/>
      <c r="V485" s="217"/>
      <c r="W485" s="217"/>
      <c r="X485" s="217"/>
      <c r="Y485" s="217"/>
      <c r="Z485" s="217"/>
      <c r="AA485" s="31"/>
      <c r="AB485" s="31"/>
    </row>
    <row r="486" spans="1:28" ht="18" customHeight="1">
      <c r="A486" s="166"/>
      <c r="B486" s="217"/>
      <c r="C486" s="217"/>
      <c r="D486" s="217"/>
      <c r="E486" s="217"/>
      <c r="F486" s="217"/>
      <c r="G486" s="217"/>
      <c r="H486" s="217"/>
      <c r="I486" s="217"/>
      <c r="J486" s="217"/>
      <c r="K486" s="217"/>
      <c r="L486" s="217"/>
      <c r="M486" s="217"/>
      <c r="N486" s="217"/>
      <c r="O486" s="146"/>
      <c r="P486" s="146"/>
      <c r="Q486" s="146"/>
      <c r="R486" s="217"/>
      <c r="S486" s="217"/>
      <c r="T486" s="217"/>
      <c r="U486" s="217"/>
      <c r="V486" s="217"/>
      <c r="W486" s="217"/>
      <c r="X486" s="217"/>
      <c r="Y486" s="217"/>
      <c r="Z486" s="217"/>
      <c r="AA486" s="31"/>
      <c r="AB486" s="31"/>
    </row>
    <row r="487" spans="1:28" ht="18" customHeight="1">
      <c r="A487" s="166"/>
      <c r="B487" s="217"/>
      <c r="C487" s="217"/>
      <c r="D487" s="217"/>
      <c r="E487" s="217"/>
      <c r="F487" s="217"/>
      <c r="G487" s="217"/>
      <c r="H487" s="217"/>
      <c r="I487" s="217"/>
      <c r="J487" s="217"/>
      <c r="K487" s="217"/>
      <c r="L487" s="217"/>
      <c r="M487" s="217"/>
      <c r="N487" s="217"/>
      <c r="O487" s="146"/>
      <c r="P487" s="146"/>
      <c r="Q487" s="146"/>
      <c r="R487" s="217"/>
      <c r="S487" s="217"/>
      <c r="T487" s="217"/>
      <c r="U487" s="217"/>
      <c r="V487" s="217"/>
      <c r="W487" s="217"/>
      <c r="X487" s="217"/>
      <c r="Y487" s="217"/>
      <c r="Z487" s="217"/>
      <c r="AA487" s="31"/>
      <c r="AB487" s="31"/>
    </row>
    <row r="488" spans="1:28" ht="18" customHeight="1">
      <c r="A488" s="166"/>
      <c r="B488" s="217"/>
      <c r="C488" s="217"/>
      <c r="D488" s="217"/>
      <c r="E488" s="217"/>
      <c r="F488" s="217"/>
      <c r="G488" s="217"/>
      <c r="H488" s="217"/>
      <c r="I488" s="217"/>
      <c r="J488" s="217"/>
      <c r="K488" s="217"/>
      <c r="L488" s="217"/>
      <c r="M488" s="217"/>
      <c r="N488" s="217"/>
      <c r="O488" s="146"/>
      <c r="P488" s="146"/>
      <c r="Q488" s="146"/>
      <c r="R488" s="217"/>
      <c r="S488" s="217"/>
      <c r="T488" s="217"/>
      <c r="U488" s="217"/>
      <c r="V488" s="217"/>
      <c r="W488" s="217"/>
      <c r="X488" s="217"/>
      <c r="Y488" s="217"/>
      <c r="Z488" s="217"/>
      <c r="AA488" s="31"/>
      <c r="AB488" s="31"/>
    </row>
    <row r="489" spans="1:28" ht="18" customHeight="1">
      <c r="A489" s="166"/>
      <c r="B489" s="217"/>
      <c r="C489" s="217"/>
      <c r="D489" s="217"/>
      <c r="E489" s="217"/>
      <c r="F489" s="217"/>
      <c r="G489" s="217"/>
      <c r="H489" s="217"/>
      <c r="I489" s="217"/>
      <c r="J489" s="217"/>
      <c r="K489" s="217"/>
      <c r="L489" s="217"/>
      <c r="M489" s="217"/>
      <c r="N489" s="217"/>
      <c r="O489" s="146"/>
      <c r="P489" s="146"/>
      <c r="Q489" s="146"/>
      <c r="R489" s="217"/>
      <c r="S489" s="217"/>
      <c r="T489" s="217"/>
      <c r="U489" s="217"/>
      <c r="V489" s="217"/>
      <c r="W489" s="217"/>
      <c r="X489" s="217"/>
      <c r="Y489" s="217"/>
      <c r="Z489" s="217"/>
      <c r="AA489" s="31"/>
      <c r="AB489" s="31"/>
    </row>
    <row r="490" spans="1:28" ht="18" customHeight="1">
      <c r="A490" s="166"/>
      <c r="B490" s="217"/>
      <c r="C490" s="217"/>
      <c r="D490" s="217"/>
      <c r="E490" s="217"/>
      <c r="F490" s="217"/>
      <c r="G490" s="217"/>
      <c r="H490" s="217"/>
      <c r="I490" s="217"/>
      <c r="J490" s="217"/>
      <c r="K490" s="217"/>
      <c r="L490" s="217"/>
      <c r="M490" s="217"/>
      <c r="N490" s="217"/>
      <c r="O490" s="146"/>
      <c r="P490" s="146"/>
      <c r="Q490" s="146"/>
      <c r="R490" s="217"/>
      <c r="S490" s="217"/>
      <c r="T490" s="217"/>
      <c r="U490" s="217"/>
      <c r="V490" s="217"/>
      <c r="W490" s="217"/>
      <c r="X490" s="217"/>
      <c r="Y490" s="217"/>
      <c r="Z490" s="217"/>
      <c r="AA490" s="31"/>
      <c r="AB490" s="31"/>
    </row>
    <row r="491" spans="1:28" ht="18" customHeight="1">
      <c r="A491" s="166"/>
      <c r="B491" s="217"/>
      <c r="C491" s="217"/>
      <c r="D491" s="217"/>
      <c r="E491" s="217"/>
      <c r="F491" s="217"/>
      <c r="G491" s="217"/>
      <c r="H491" s="217"/>
      <c r="I491" s="217"/>
      <c r="J491" s="217"/>
      <c r="K491" s="217"/>
      <c r="L491" s="217"/>
      <c r="M491" s="217"/>
      <c r="N491" s="217"/>
      <c r="O491" s="146"/>
      <c r="P491" s="146"/>
      <c r="Q491" s="146"/>
      <c r="R491" s="217"/>
      <c r="S491" s="217"/>
      <c r="T491" s="217"/>
      <c r="U491" s="217"/>
      <c r="V491" s="217"/>
      <c r="W491" s="217"/>
      <c r="X491" s="217"/>
      <c r="Y491" s="217"/>
      <c r="Z491" s="217"/>
      <c r="AA491" s="31"/>
      <c r="AB491" s="31"/>
    </row>
    <row r="492" spans="1:28" ht="18" customHeight="1">
      <c r="A492" s="166"/>
      <c r="B492" s="217"/>
      <c r="C492" s="217"/>
      <c r="D492" s="217"/>
      <c r="E492" s="217"/>
      <c r="F492" s="217"/>
      <c r="G492" s="217"/>
      <c r="H492" s="217"/>
      <c r="I492" s="217"/>
      <c r="J492" s="217"/>
      <c r="K492" s="217"/>
      <c r="L492" s="217"/>
      <c r="M492" s="217"/>
      <c r="N492" s="217"/>
      <c r="O492" s="146"/>
      <c r="P492" s="146"/>
      <c r="Q492" s="146"/>
      <c r="R492" s="217"/>
      <c r="S492" s="217"/>
      <c r="T492" s="217"/>
      <c r="U492" s="217"/>
      <c r="V492" s="217"/>
      <c r="W492" s="217"/>
      <c r="X492" s="217"/>
      <c r="Y492" s="217"/>
      <c r="Z492" s="217"/>
      <c r="AA492" s="31"/>
      <c r="AB492" s="31"/>
    </row>
    <row r="493" spans="1:28" ht="18" customHeight="1">
      <c r="A493" s="166"/>
      <c r="B493" s="217"/>
      <c r="C493" s="217"/>
      <c r="D493" s="217"/>
      <c r="E493" s="217"/>
      <c r="F493" s="217"/>
      <c r="G493" s="217"/>
      <c r="H493" s="217"/>
      <c r="I493" s="217"/>
      <c r="J493" s="217"/>
      <c r="K493" s="217"/>
      <c r="L493" s="217"/>
      <c r="M493" s="217"/>
      <c r="N493" s="217"/>
      <c r="O493" s="146"/>
      <c r="P493" s="146"/>
      <c r="Q493" s="146"/>
      <c r="R493" s="217"/>
      <c r="S493" s="217"/>
      <c r="T493" s="217"/>
      <c r="U493" s="217"/>
      <c r="V493" s="217"/>
      <c r="W493" s="217"/>
      <c r="X493" s="217"/>
      <c r="Y493" s="217"/>
      <c r="Z493" s="217"/>
      <c r="AA493" s="31"/>
      <c r="AB493" s="31"/>
    </row>
    <row r="494" spans="1:28" ht="18" customHeight="1">
      <c r="A494" s="166"/>
      <c r="B494" s="217"/>
      <c r="C494" s="217"/>
      <c r="D494" s="217"/>
      <c r="E494" s="217"/>
      <c r="F494" s="217"/>
      <c r="G494" s="217"/>
      <c r="H494" s="217"/>
      <c r="I494" s="217"/>
      <c r="J494" s="217"/>
      <c r="K494" s="217"/>
      <c r="L494" s="217"/>
      <c r="M494" s="217"/>
      <c r="N494" s="217"/>
      <c r="O494" s="146"/>
      <c r="P494" s="146"/>
      <c r="Q494" s="146"/>
      <c r="R494" s="217"/>
      <c r="S494" s="217"/>
      <c r="T494" s="217"/>
      <c r="U494" s="217"/>
      <c r="V494" s="217"/>
      <c r="W494" s="217"/>
      <c r="X494" s="217"/>
      <c r="Y494" s="217"/>
      <c r="Z494" s="217"/>
      <c r="AA494" s="31"/>
      <c r="AB494" s="31"/>
    </row>
    <row r="495" spans="1:28" ht="18" customHeight="1">
      <c r="A495" s="166"/>
      <c r="B495" s="217"/>
      <c r="C495" s="217"/>
      <c r="D495" s="217"/>
      <c r="E495" s="217"/>
      <c r="F495" s="217"/>
      <c r="G495" s="217"/>
      <c r="H495" s="217"/>
      <c r="I495" s="217"/>
      <c r="J495" s="217"/>
      <c r="K495" s="217"/>
      <c r="L495" s="217"/>
      <c r="M495" s="217"/>
      <c r="N495" s="217"/>
      <c r="O495" s="146"/>
      <c r="P495" s="146"/>
      <c r="Q495" s="146"/>
      <c r="R495" s="217"/>
      <c r="S495" s="217"/>
      <c r="T495" s="217"/>
      <c r="U495" s="217"/>
      <c r="V495" s="217"/>
      <c r="W495" s="217"/>
      <c r="X495" s="217"/>
      <c r="Y495" s="217"/>
      <c r="Z495" s="217"/>
      <c r="AA495" s="31"/>
      <c r="AB495" s="31"/>
    </row>
    <row r="496" spans="1:28" ht="18" customHeight="1">
      <c r="A496" s="166"/>
      <c r="B496" s="217"/>
      <c r="C496" s="217"/>
      <c r="D496" s="217"/>
      <c r="E496" s="217"/>
      <c r="F496" s="217"/>
      <c r="G496" s="217"/>
      <c r="H496" s="217"/>
      <c r="I496" s="217"/>
      <c r="J496" s="217"/>
      <c r="K496" s="217"/>
      <c r="L496" s="217"/>
      <c r="M496" s="217"/>
      <c r="N496" s="217"/>
      <c r="O496" s="146"/>
      <c r="P496" s="146"/>
      <c r="Q496" s="146"/>
      <c r="R496" s="217"/>
      <c r="S496" s="217"/>
      <c r="T496" s="217"/>
      <c r="U496" s="217"/>
      <c r="V496" s="217"/>
      <c r="W496" s="217"/>
      <c r="X496" s="217"/>
      <c r="Y496" s="217"/>
      <c r="Z496" s="217"/>
      <c r="AA496" s="31"/>
      <c r="AB496" s="31"/>
    </row>
    <row r="497" spans="1:28" ht="18" customHeight="1">
      <c r="A497" s="166"/>
      <c r="B497" s="217"/>
      <c r="C497" s="217"/>
      <c r="D497" s="217"/>
      <c r="E497" s="217"/>
      <c r="F497" s="217"/>
      <c r="G497" s="217"/>
      <c r="H497" s="217"/>
      <c r="I497" s="217"/>
      <c r="J497" s="217"/>
      <c r="K497" s="217"/>
      <c r="L497" s="217"/>
      <c r="M497" s="217"/>
      <c r="N497" s="217"/>
      <c r="O497" s="146"/>
      <c r="P497" s="146"/>
      <c r="Q497" s="146"/>
      <c r="R497" s="217"/>
      <c r="S497" s="217"/>
      <c r="T497" s="217"/>
      <c r="U497" s="217"/>
      <c r="V497" s="217"/>
      <c r="W497" s="217"/>
      <c r="X497" s="217"/>
      <c r="Y497" s="217"/>
      <c r="Z497" s="217"/>
      <c r="AA497" s="31"/>
      <c r="AB497" s="31"/>
    </row>
    <row r="498" spans="1:28" ht="18" customHeight="1">
      <c r="A498" s="166"/>
      <c r="B498" s="217"/>
      <c r="C498" s="217"/>
      <c r="D498" s="217"/>
      <c r="E498" s="217"/>
      <c r="F498" s="217"/>
      <c r="G498" s="217"/>
      <c r="H498" s="217"/>
      <c r="I498" s="217"/>
      <c r="J498" s="217"/>
      <c r="K498" s="217"/>
      <c r="L498" s="217"/>
      <c r="M498" s="217"/>
      <c r="N498" s="217"/>
      <c r="O498" s="146"/>
      <c r="P498" s="146"/>
      <c r="Q498" s="146"/>
      <c r="R498" s="217"/>
      <c r="S498" s="217"/>
      <c r="T498" s="217"/>
      <c r="U498" s="217"/>
      <c r="V498" s="217"/>
      <c r="W498" s="217"/>
      <c r="X498" s="217"/>
      <c r="Y498" s="217"/>
      <c r="Z498" s="217"/>
      <c r="AA498" s="31"/>
      <c r="AB498" s="31"/>
    </row>
    <row r="499" spans="1:28" ht="18" customHeight="1">
      <c r="A499" s="166"/>
      <c r="B499" s="217"/>
      <c r="C499" s="217"/>
      <c r="D499" s="217"/>
      <c r="E499" s="217"/>
      <c r="F499" s="217"/>
      <c r="G499" s="217"/>
      <c r="H499" s="217"/>
      <c r="I499" s="217"/>
      <c r="J499" s="217"/>
      <c r="K499" s="217"/>
      <c r="L499" s="217"/>
      <c r="M499" s="217"/>
      <c r="N499" s="217"/>
      <c r="O499" s="146"/>
      <c r="P499" s="146"/>
      <c r="Q499" s="146"/>
      <c r="R499" s="217"/>
      <c r="S499" s="217"/>
      <c r="T499" s="217"/>
      <c r="U499" s="217"/>
      <c r="V499" s="217"/>
      <c r="W499" s="217"/>
      <c r="X499" s="217"/>
      <c r="Y499" s="217"/>
      <c r="Z499" s="217"/>
      <c r="AA499" s="31"/>
      <c r="AB499" s="31"/>
    </row>
    <row r="500" spans="1:28" ht="18" customHeight="1">
      <c r="A500" s="166"/>
      <c r="B500" s="217"/>
      <c r="C500" s="217"/>
      <c r="D500" s="217"/>
      <c r="E500" s="217"/>
      <c r="F500" s="217"/>
      <c r="G500" s="217"/>
      <c r="H500" s="217"/>
      <c r="I500" s="217"/>
      <c r="J500" s="217"/>
      <c r="K500" s="217"/>
      <c r="L500" s="217"/>
      <c r="M500" s="217"/>
      <c r="N500" s="217"/>
      <c r="O500" s="146"/>
      <c r="P500" s="146"/>
      <c r="Q500" s="146"/>
      <c r="R500" s="217"/>
      <c r="S500" s="217"/>
      <c r="T500" s="217"/>
      <c r="U500" s="217"/>
      <c r="V500" s="217"/>
      <c r="W500" s="217"/>
      <c r="X500" s="217"/>
      <c r="Y500" s="217"/>
      <c r="Z500" s="217"/>
      <c r="AA500" s="31"/>
      <c r="AB500" s="31"/>
    </row>
    <row r="501" spans="1:28" ht="18" customHeight="1">
      <c r="A501" s="166"/>
      <c r="B501" s="217"/>
      <c r="C501" s="217"/>
      <c r="D501" s="217"/>
      <c r="E501" s="217"/>
      <c r="F501" s="217"/>
      <c r="G501" s="217"/>
      <c r="H501" s="217"/>
      <c r="I501" s="217"/>
      <c r="J501" s="217"/>
      <c r="K501" s="217"/>
      <c r="L501" s="217"/>
      <c r="M501" s="217"/>
      <c r="N501" s="217"/>
      <c r="O501" s="146"/>
      <c r="P501" s="146"/>
      <c r="Q501" s="146"/>
      <c r="R501" s="217"/>
      <c r="S501" s="217"/>
      <c r="T501" s="217"/>
      <c r="U501" s="217"/>
      <c r="V501" s="217"/>
      <c r="W501" s="217"/>
      <c r="X501" s="217"/>
      <c r="Y501" s="217"/>
      <c r="Z501" s="217"/>
      <c r="AA501" s="31"/>
      <c r="AB501" s="31"/>
    </row>
    <row r="502" spans="1:28" ht="18" customHeight="1">
      <c r="A502" s="166"/>
      <c r="B502" s="217"/>
      <c r="C502" s="217"/>
      <c r="D502" s="217"/>
      <c r="E502" s="217"/>
      <c r="F502" s="217"/>
      <c r="G502" s="217"/>
      <c r="H502" s="217"/>
      <c r="I502" s="217"/>
      <c r="J502" s="217"/>
      <c r="K502" s="217"/>
      <c r="L502" s="217"/>
      <c r="M502" s="217"/>
      <c r="N502" s="217"/>
      <c r="O502" s="146"/>
      <c r="P502" s="146"/>
      <c r="Q502" s="146"/>
      <c r="R502" s="217"/>
      <c r="S502" s="217"/>
      <c r="T502" s="217"/>
      <c r="U502" s="217"/>
      <c r="V502" s="217"/>
      <c r="W502" s="217"/>
      <c r="X502" s="217"/>
      <c r="Y502" s="217"/>
      <c r="Z502" s="217"/>
      <c r="AA502" s="31"/>
      <c r="AB502" s="31"/>
    </row>
    <row r="503" spans="1:28" ht="18" customHeight="1">
      <c r="A503" s="166"/>
      <c r="B503" s="217"/>
      <c r="C503" s="217"/>
      <c r="D503" s="217"/>
      <c r="E503" s="217"/>
      <c r="F503" s="217"/>
      <c r="G503" s="217"/>
      <c r="H503" s="217"/>
      <c r="I503" s="217"/>
      <c r="J503" s="217"/>
      <c r="K503" s="217"/>
      <c r="L503" s="217"/>
      <c r="M503" s="217"/>
      <c r="N503" s="217"/>
      <c r="O503" s="146"/>
      <c r="P503" s="146"/>
      <c r="Q503" s="146"/>
      <c r="R503" s="217"/>
      <c r="S503" s="217"/>
      <c r="T503" s="217"/>
      <c r="U503" s="217"/>
      <c r="V503" s="217"/>
      <c r="W503" s="217"/>
      <c r="X503" s="217"/>
      <c r="Y503" s="217"/>
      <c r="Z503" s="217"/>
      <c r="AA503" s="31"/>
      <c r="AB503" s="31"/>
    </row>
    <row r="504" spans="1:28" ht="18" customHeight="1">
      <c r="A504" s="166"/>
      <c r="B504" s="217"/>
      <c r="C504" s="217"/>
      <c r="D504" s="217"/>
      <c r="E504" s="217"/>
      <c r="F504" s="217"/>
      <c r="G504" s="217"/>
      <c r="H504" s="217"/>
      <c r="I504" s="217"/>
      <c r="J504" s="217"/>
      <c r="K504" s="217"/>
      <c r="L504" s="217"/>
      <c r="M504" s="217"/>
      <c r="N504" s="217"/>
      <c r="O504" s="146"/>
      <c r="P504" s="146"/>
      <c r="Q504" s="146"/>
      <c r="R504" s="217"/>
      <c r="S504" s="217"/>
      <c r="T504" s="217"/>
      <c r="U504" s="217"/>
      <c r="V504" s="217"/>
      <c r="W504" s="217"/>
      <c r="X504" s="217"/>
      <c r="Y504" s="217"/>
      <c r="Z504" s="217"/>
      <c r="AA504" s="31"/>
      <c r="AB504" s="31"/>
    </row>
    <row r="505" spans="1:28" ht="18" customHeight="1">
      <c r="A505" s="166"/>
      <c r="B505" s="217"/>
      <c r="C505" s="217"/>
      <c r="D505" s="217"/>
      <c r="E505" s="217"/>
      <c r="F505" s="217"/>
      <c r="G505" s="217"/>
      <c r="H505" s="217"/>
      <c r="I505" s="217"/>
      <c r="J505" s="217"/>
      <c r="K505" s="217"/>
      <c r="L505" s="217"/>
      <c r="M505" s="217"/>
      <c r="N505" s="217"/>
      <c r="O505" s="146"/>
      <c r="P505" s="146"/>
      <c r="Q505" s="146"/>
      <c r="R505" s="217"/>
      <c r="S505" s="217"/>
      <c r="T505" s="217"/>
      <c r="U505" s="217"/>
      <c r="V505" s="217"/>
      <c r="W505" s="217"/>
      <c r="X505" s="217"/>
      <c r="Y505" s="217"/>
      <c r="Z505" s="217"/>
      <c r="AA505" s="31"/>
      <c r="AB505" s="31"/>
    </row>
    <row r="506" spans="1:28" ht="18" customHeight="1">
      <c r="A506" s="166"/>
      <c r="B506" s="217"/>
      <c r="C506" s="217"/>
      <c r="D506" s="217"/>
      <c r="E506" s="217"/>
      <c r="F506" s="217"/>
      <c r="G506" s="217"/>
      <c r="H506" s="217"/>
      <c r="I506" s="217"/>
      <c r="J506" s="217"/>
      <c r="K506" s="217"/>
      <c r="L506" s="217"/>
      <c r="M506" s="217"/>
      <c r="N506" s="217"/>
      <c r="O506" s="146"/>
      <c r="P506" s="146"/>
      <c r="Q506" s="146"/>
      <c r="R506" s="217"/>
      <c r="S506" s="217"/>
      <c r="T506" s="217"/>
      <c r="U506" s="217"/>
      <c r="V506" s="217"/>
      <c r="W506" s="217"/>
      <c r="X506" s="217"/>
      <c r="Y506" s="217"/>
      <c r="Z506" s="217"/>
      <c r="AA506" s="31"/>
      <c r="AB506" s="31"/>
    </row>
    <row r="507" spans="1:28" ht="18" customHeight="1">
      <c r="A507" s="166"/>
      <c r="B507" s="217"/>
      <c r="C507" s="217"/>
      <c r="D507" s="217"/>
      <c r="E507" s="217"/>
      <c r="F507" s="217"/>
      <c r="G507" s="217"/>
      <c r="H507" s="217"/>
      <c r="I507" s="217"/>
      <c r="J507" s="217"/>
      <c r="K507" s="217"/>
      <c r="L507" s="217"/>
      <c r="M507" s="217"/>
      <c r="N507" s="217"/>
      <c r="O507" s="146"/>
      <c r="P507" s="146"/>
      <c r="Q507" s="146"/>
      <c r="R507" s="217"/>
      <c r="S507" s="217"/>
      <c r="T507" s="217"/>
      <c r="U507" s="217"/>
      <c r="V507" s="217"/>
      <c r="W507" s="217"/>
      <c r="X507" s="217"/>
      <c r="Y507" s="217"/>
      <c r="Z507" s="217"/>
      <c r="AA507" s="31"/>
      <c r="AB507" s="31"/>
    </row>
    <row r="508" spans="1:28" ht="18" customHeight="1">
      <c r="A508" s="166"/>
      <c r="B508" s="217"/>
      <c r="C508" s="217"/>
      <c r="D508" s="217"/>
      <c r="E508" s="217"/>
      <c r="F508" s="217"/>
      <c r="G508" s="217"/>
      <c r="H508" s="217"/>
      <c r="I508" s="217"/>
      <c r="J508" s="217"/>
      <c r="K508" s="217"/>
      <c r="L508" s="217"/>
      <c r="M508" s="217"/>
      <c r="N508" s="217"/>
      <c r="O508" s="146"/>
      <c r="P508" s="146"/>
      <c r="Q508" s="146"/>
      <c r="R508" s="217"/>
      <c r="S508" s="217"/>
      <c r="T508" s="217"/>
      <c r="U508" s="217"/>
      <c r="V508" s="217"/>
      <c r="W508" s="217"/>
      <c r="X508" s="217"/>
      <c r="Y508" s="217"/>
      <c r="Z508" s="217"/>
      <c r="AA508" s="31"/>
      <c r="AB508" s="31"/>
    </row>
    <row r="509" spans="1:28" ht="18" customHeight="1">
      <c r="A509" s="166"/>
      <c r="B509" s="217"/>
      <c r="C509" s="217"/>
      <c r="D509" s="217"/>
      <c r="E509" s="217"/>
      <c r="F509" s="217"/>
      <c r="G509" s="217"/>
      <c r="H509" s="217"/>
      <c r="I509" s="217"/>
      <c r="J509" s="217"/>
      <c r="K509" s="217"/>
      <c r="L509" s="217"/>
      <c r="M509" s="217"/>
      <c r="N509" s="217"/>
      <c r="O509" s="146"/>
      <c r="P509" s="146"/>
      <c r="Q509" s="146"/>
      <c r="R509" s="217"/>
      <c r="S509" s="217"/>
      <c r="T509" s="217"/>
      <c r="U509" s="217"/>
      <c r="V509" s="217"/>
      <c r="W509" s="217"/>
      <c r="X509" s="217"/>
      <c r="Y509" s="217"/>
      <c r="Z509" s="217"/>
      <c r="AA509" s="31"/>
      <c r="AB509" s="31"/>
    </row>
    <row r="510" spans="1:28" ht="18" customHeight="1">
      <c r="A510" s="166"/>
      <c r="B510" s="217"/>
      <c r="C510" s="217"/>
      <c r="D510" s="217"/>
      <c r="E510" s="217"/>
      <c r="F510" s="217"/>
      <c r="G510" s="217"/>
      <c r="H510" s="217"/>
      <c r="I510" s="217"/>
      <c r="J510" s="217"/>
      <c r="K510" s="217"/>
      <c r="L510" s="217"/>
      <c r="M510" s="217"/>
      <c r="N510" s="217"/>
      <c r="O510" s="146"/>
      <c r="P510" s="146"/>
      <c r="Q510" s="146"/>
      <c r="R510" s="217"/>
      <c r="S510" s="217"/>
      <c r="T510" s="217"/>
      <c r="U510" s="217"/>
      <c r="V510" s="217"/>
      <c r="W510" s="217"/>
      <c r="X510" s="217"/>
      <c r="Y510" s="217"/>
      <c r="Z510" s="217"/>
      <c r="AA510" s="31"/>
      <c r="AB510" s="31"/>
    </row>
    <row r="511" spans="1:28" ht="18" customHeight="1">
      <c r="A511" s="166"/>
      <c r="B511" s="217"/>
      <c r="C511" s="217"/>
      <c r="D511" s="217"/>
      <c r="E511" s="217"/>
      <c r="F511" s="217"/>
      <c r="G511" s="217"/>
      <c r="H511" s="217"/>
      <c r="I511" s="217"/>
      <c r="J511" s="217"/>
      <c r="K511" s="217"/>
      <c r="L511" s="217"/>
      <c r="M511" s="217"/>
      <c r="N511" s="217"/>
      <c r="O511" s="146"/>
      <c r="P511" s="146"/>
      <c r="Q511" s="146"/>
      <c r="R511" s="217"/>
      <c r="S511" s="217"/>
      <c r="T511" s="217"/>
      <c r="U511" s="217"/>
      <c r="V511" s="217"/>
      <c r="W511" s="217"/>
      <c r="X511" s="217"/>
      <c r="Y511" s="217"/>
      <c r="Z511" s="217"/>
      <c r="AA511" s="31"/>
      <c r="AB511" s="31"/>
    </row>
    <row r="512" spans="1:28" ht="18" customHeight="1">
      <c r="A512" s="166"/>
      <c r="B512" s="217"/>
      <c r="C512" s="217"/>
      <c r="D512" s="217"/>
      <c r="E512" s="217"/>
      <c r="F512" s="217"/>
      <c r="G512" s="217"/>
      <c r="H512" s="217"/>
      <c r="I512" s="217"/>
      <c r="J512" s="217"/>
      <c r="K512" s="217"/>
      <c r="L512" s="217"/>
      <c r="M512" s="217"/>
      <c r="N512" s="217"/>
      <c r="O512" s="146"/>
      <c r="P512" s="146"/>
      <c r="Q512" s="146"/>
      <c r="R512" s="217"/>
      <c r="S512" s="217"/>
      <c r="T512" s="217"/>
      <c r="U512" s="217"/>
      <c r="V512" s="217"/>
      <c r="W512" s="217"/>
      <c r="X512" s="217"/>
      <c r="Y512" s="217"/>
      <c r="Z512" s="217"/>
      <c r="AA512" s="31"/>
      <c r="AB512" s="31"/>
    </row>
    <row r="513" spans="1:28" ht="18" customHeight="1">
      <c r="A513" s="166"/>
      <c r="B513" s="217"/>
      <c r="C513" s="217"/>
      <c r="D513" s="217"/>
      <c r="E513" s="217"/>
      <c r="F513" s="217"/>
      <c r="G513" s="217"/>
      <c r="H513" s="217"/>
      <c r="I513" s="217"/>
      <c r="J513" s="217"/>
      <c r="K513" s="217"/>
      <c r="L513" s="217"/>
      <c r="M513" s="217"/>
      <c r="N513" s="217"/>
      <c r="O513" s="146"/>
      <c r="P513" s="146"/>
      <c r="Q513" s="146"/>
      <c r="R513" s="217"/>
      <c r="S513" s="217"/>
      <c r="T513" s="217"/>
      <c r="U513" s="217"/>
      <c r="V513" s="217"/>
      <c r="W513" s="217"/>
      <c r="X513" s="217"/>
      <c r="Y513" s="217"/>
      <c r="Z513" s="217"/>
      <c r="AA513" s="31"/>
      <c r="AB513" s="31"/>
    </row>
    <row r="514" spans="1:28" ht="18" customHeight="1">
      <c r="A514" s="166"/>
      <c r="B514" s="217"/>
      <c r="C514" s="217"/>
      <c r="D514" s="217"/>
      <c r="E514" s="217"/>
      <c r="F514" s="217"/>
      <c r="G514" s="217"/>
      <c r="H514" s="217"/>
      <c r="I514" s="217"/>
      <c r="J514" s="217"/>
      <c r="K514" s="217"/>
      <c r="L514" s="217"/>
      <c r="M514" s="217"/>
      <c r="N514" s="217"/>
      <c r="O514" s="146"/>
      <c r="P514" s="146"/>
      <c r="Q514" s="146"/>
      <c r="R514" s="217"/>
      <c r="S514" s="217"/>
      <c r="T514" s="217"/>
      <c r="U514" s="217"/>
      <c r="V514" s="217"/>
      <c r="W514" s="217"/>
      <c r="X514" s="217"/>
      <c r="Y514" s="217"/>
      <c r="Z514" s="217"/>
      <c r="AA514" s="31"/>
      <c r="AB514" s="31"/>
    </row>
    <row r="515" spans="1:28" ht="18" customHeight="1">
      <c r="A515" s="166"/>
      <c r="B515" s="217"/>
      <c r="C515" s="217"/>
      <c r="D515" s="217"/>
      <c r="E515" s="217"/>
      <c r="F515" s="217"/>
      <c r="G515" s="217"/>
      <c r="H515" s="217"/>
      <c r="I515" s="217"/>
      <c r="J515" s="217"/>
      <c r="K515" s="217"/>
      <c r="L515" s="217"/>
      <c r="M515" s="217"/>
      <c r="N515" s="217"/>
      <c r="O515" s="146"/>
      <c r="P515" s="146"/>
      <c r="Q515" s="146"/>
      <c r="R515" s="217"/>
      <c r="S515" s="217"/>
      <c r="T515" s="217"/>
      <c r="U515" s="217"/>
      <c r="V515" s="217"/>
      <c r="W515" s="217"/>
      <c r="X515" s="217"/>
      <c r="Y515" s="217"/>
      <c r="Z515" s="217"/>
      <c r="AA515" s="31"/>
      <c r="AB515" s="31"/>
    </row>
    <row r="516" spans="1:28" ht="18" customHeight="1">
      <c r="A516" s="166"/>
      <c r="B516" s="217"/>
      <c r="C516" s="217"/>
      <c r="D516" s="217"/>
      <c r="E516" s="217"/>
      <c r="F516" s="217"/>
      <c r="G516" s="217"/>
      <c r="H516" s="217"/>
      <c r="I516" s="217"/>
      <c r="J516" s="217"/>
      <c r="K516" s="217"/>
      <c r="L516" s="217"/>
      <c r="M516" s="217"/>
      <c r="N516" s="217"/>
      <c r="O516" s="146"/>
      <c r="P516" s="146"/>
      <c r="Q516" s="146"/>
      <c r="R516" s="217"/>
      <c r="S516" s="217"/>
      <c r="T516" s="217"/>
      <c r="U516" s="217"/>
      <c r="V516" s="217"/>
      <c r="W516" s="217"/>
      <c r="X516" s="217"/>
      <c r="Y516" s="217"/>
      <c r="Z516" s="217"/>
      <c r="AA516" s="31"/>
      <c r="AB516" s="31"/>
    </row>
    <row r="517" spans="1:28" ht="18" customHeight="1">
      <c r="A517" s="166"/>
      <c r="B517" s="217"/>
      <c r="C517" s="217"/>
      <c r="D517" s="217"/>
      <c r="E517" s="217"/>
      <c r="F517" s="217"/>
      <c r="G517" s="217"/>
      <c r="H517" s="217"/>
      <c r="I517" s="217"/>
      <c r="J517" s="217"/>
      <c r="K517" s="217"/>
      <c r="L517" s="217"/>
      <c r="M517" s="217"/>
      <c r="N517" s="217"/>
      <c r="O517" s="146"/>
      <c r="P517" s="146"/>
      <c r="Q517" s="146"/>
      <c r="R517" s="217"/>
      <c r="S517" s="217"/>
      <c r="T517" s="217"/>
      <c r="U517" s="217"/>
      <c r="V517" s="217"/>
      <c r="W517" s="217"/>
      <c r="X517" s="217"/>
      <c r="Y517" s="217"/>
      <c r="Z517" s="217"/>
      <c r="AA517" s="31"/>
      <c r="AB517" s="31"/>
    </row>
    <row r="518" spans="1:28" ht="18" customHeight="1">
      <c r="A518" s="166"/>
      <c r="B518" s="217"/>
      <c r="C518" s="217"/>
      <c r="D518" s="217"/>
      <c r="E518" s="217"/>
      <c r="F518" s="217"/>
      <c r="G518" s="217"/>
      <c r="H518" s="217"/>
      <c r="I518" s="217"/>
      <c r="J518" s="217"/>
      <c r="K518" s="217"/>
      <c r="L518" s="217"/>
      <c r="M518" s="217"/>
      <c r="N518" s="217"/>
      <c r="O518" s="146"/>
      <c r="P518" s="146"/>
      <c r="Q518" s="146"/>
      <c r="R518" s="217"/>
      <c r="S518" s="217"/>
      <c r="T518" s="217"/>
      <c r="U518" s="217"/>
      <c r="V518" s="217"/>
      <c r="W518" s="217"/>
      <c r="X518" s="217"/>
      <c r="Y518" s="217"/>
      <c r="Z518" s="217"/>
      <c r="AA518" s="31"/>
      <c r="AB518" s="31"/>
    </row>
    <row r="519" spans="1:28" ht="18" customHeight="1">
      <c r="A519" s="166"/>
      <c r="B519" s="217"/>
      <c r="C519" s="217"/>
      <c r="D519" s="217"/>
      <c r="E519" s="217"/>
      <c r="F519" s="217"/>
      <c r="G519" s="217"/>
      <c r="H519" s="217"/>
      <c r="I519" s="217"/>
      <c r="J519" s="217"/>
      <c r="K519" s="217"/>
      <c r="L519" s="217"/>
      <c r="M519" s="217"/>
      <c r="N519" s="217"/>
      <c r="O519" s="146"/>
      <c r="P519" s="146"/>
      <c r="Q519" s="146"/>
      <c r="R519" s="217"/>
      <c r="S519" s="217"/>
      <c r="T519" s="217"/>
      <c r="U519" s="217"/>
      <c r="V519" s="217"/>
      <c r="W519" s="217"/>
      <c r="X519" s="217"/>
      <c r="Y519" s="217"/>
      <c r="Z519" s="217"/>
      <c r="AA519" s="31"/>
      <c r="AB519" s="31"/>
    </row>
    <row r="520" spans="1:28" ht="18" customHeight="1">
      <c r="A520" s="166"/>
      <c r="B520" s="217"/>
      <c r="C520" s="217"/>
      <c r="D520" s="217"/>
      <c r="E520" s="217"/>
      <c r="F520" s="217"/>
      <c r="G520" s="217"/>
      <c r="H520" s="217"/>
      <c r="I520" s="217"/>
      <c r="J520" s="217"/>
      <c r="K520" s="217"/>
      <c r="L520" s="217"/>
      <c r="M520" s="217"/>
      <c r="N520" s="217"/>
      <c r="O520" s="146"/>
      <c r="P520" s="146"/>
      <c r="Q520" s="146"/>
      <c r="R520" s="217"/>
      <c r="S520" s="217"/>
      <c r="T520" s="217"/>
      <c r="U520" s="217"/>
      <c r="V520" s="217"/>
      <c r="W520" s="217"/>
      <c r="X520" s="217"/>
      <c r="Y520" s="217"/>
      <c r="Z520" s="217"/>
      <c r="AA520" s="31"/>
      <c r="AB520" s="31"/>
    </row>
    <row r="521" spans="1:28" ht="18" customHeight="1">
      <c r="A521" s="166"/>
      <c r="B521" s="217"/>
      <c r="C521" s="217"/>
      <c r="D521" s="217"/>
      <c r="E521" s="217"/>
      <c r="F521" s="217"/>
      <c r="G521" s="217"/>
      <c r="H521" s="217"/>
      <c r="I521" s="217"/>
      <c r="J521" s="217"/>
      <c r="K521" s="217"/>
      <c r="L521" s="217"/>
      <c r="M521" s="217"/>
      <c r="N521" s="217"/>
      <c r="O521" s="146"/>
      <c r="P521" s="146"/>
      <c r="Q521" s="146"/>
      <c r="R521" s="217"/>
      <c r="S521" s="217"/>
      <c r="T521" s="217"/>
      <c r="U521" s="217"/>
      <c r="V521" s="217"/>
      <c r="W521" s="217"/>
      <c r="X521" s="217"/>
      <c r="Y521" s="217"/>
      <c r="Z521" s="217"/>
      <c r="AA521" s="31"/>
      <c r="AB521" s="31"/>
    </row>
    <row r="522" spans="1:28" ht="18" customHeight="1">
      <c r="A522" s="166"/>
      <c r="B522" s="217"/>
      <c r="C522" s="217"/>
      <c r="D522" s="217"/>
      <c r="E522" s="217"/>
      <c r="F522" s="217"/>
      <c r="G522" s="217"/>
      <c r="H522" s="217"/>
      <c r="I522" s="217"/>
      <c r="J522" s="217"/>
      <c r="K522" s="217"/>
      <c r="L522" s="217"/>
      <c r="M522" s="217"/>
      <c r="N522" s="217"/>
      <c r="O522" s="146"/>
      <c r="P522" s="146"/>
      <c r="Q522" s="146"/>
      <c r="R522" s="217"/>
      <c r="S522" s="217"/>
      <c r="T522" s="217"/>
      <c r="U522" s="217"/>
      <c r="V522" s="217"/>
      <c r="W522" s="217"/>
      <c r="X522" s="217"/>
      <c r="Y522" s="217"/>
      <c r="Z522" s="217"/>
      <c r="AA522" s="31"/>
      <c r="AB522" s="31"/>
    </row>
    <row r="523" spans="1:28" ht="18" customHeight="1">
      <c r="A523" s="166"/>
      <c r="B523" s="217"/>
      <c r="C523" s="217"/>
      <c r="D523" s="217"/>
      <c r="E523" s="217"/>
      <c r="F523" s="217"/>
      <c r="G523" s="217"/>
      <c r="H523" s="217"/>
      <c r="I523" s="217"/>
      <c r="J523" s="217"/>
      <c r="K523" s="217"/>
      <c r="L523" s="217"/>
      <c r="M523" s="217"/>
      <c r="N523" s="217"/>
      <c r="O523" s="146"/>
      <c r="P523" s="146"/>
      <c r="Q523" s="146"/>
      <c r="R523" s="217"/>
      <c r="S523" s="217"/>
      <c r="T523" s="217"/>
      <c r="U523" s="217"/>
      <c r="V523" s="217"/>
      <c r="W523" s="217"/>
      <c r="X523" s="217"/>
      <c r="Y523" s="217"/>
      <c r="Z523" s="217"/>
      <c r="AA523" s="31"/>
      <c r="AB523" s="31"/>
    </row>
    <row r="524" spans="1:28" ht="18" customHeight="1">
      <c r="A524" s="166"/>
      <c r="B524" s="217"/>
      <c r="C524" s="217"/>
      <c r="D524" s="217"/>
      <c r="E524" s="217"/>
      <c r="F524" s="217"/>
      <c r="G524" s="217"/>
      <c r="H524" s="217"/>
      <c r="I524" s="217"/>
      <c r="J524" s="217"/>
      <c r="K524" s="217"/>
      <c r="L524" s="217"/>
      <c r="M524" s="217"/>
      <c r="N524" s="217"/>
      <c r="O524" s="146"/>
      <c r="P524" s="146"/>
      <c r="Q524" s="146"/>
      <c r="R524" s="217"/>
      <c r="S524" s="217"/>
      <c r="T524" s="217"/>
      <c r="U524" s="217"/>
      <c r="V524" s="217"/>
      <c r="W524" s="217"/>
      <c r="X524" s="217"/>
      <c r="Y524" s="217"/>
      <c r="Z524" s="217"/>
      <c r="AA524" s="31"/>
      <c r="AB524" s="31"/>
    </row>
    <row r="525" spans="1:28" ht="18" customHeight="1">
      <c r="A525" s="166"/>
      <c r="B525" s="217"/>
      <c r="C525" s="217"/>
      <c r="D525" s="217"/>
      <c r="E525" s="217"/>
      <c r="F525" s="217"/>
      <c r="G525" s="217"/>
      <c r="H525" s="217"/>
      <c r="I525" s="217"/>
      <c r="J525" s="217"/>
      <c r="K525" s="217"/>
      <c r="L525" s="217"/>
      <c r="M525" s="217"/>
      <c r="N525" s="217"/>
      <c r="O525" s="146"/>
      <c r="P525" s="146"/>
      <c r="Q525" s="146"/>
      <c r="R525" s="217"/>
      <c r="S525" s="217"/>
      <c r="T525" s="217"/>
      <c r="U525" s="217"/>
      <c r="V525" s="217"/>
      <c r="W525" s="217"/>
      <c r="X525" s="217"/>
      <c r="Y525" s="217"/>
      <c r="Z525" s="217"/>
      <c r="AA525" s="31"/>
      <c r="AB525" s="31"/>
    </row>
    <row r="526" spans="1:28" ht="18" customHeight="1">
      <c r="A526" s="166"/>
      <c r="B526" s="217"/>
      <c r="C526" s="217"/>
      <c r="D526" s="217"/>
      <c r="E526" s="217"/>
      <c r="F526" s="217"/>
      <c r="G526" s="217"/>
      <c r="H526" s="217"/>
      <c r="I526" s="217"/>
      <c r="J526" s="217"/>
      <c r="K526" s="217"/>
      <c r="L526" s="217"/>
      <c r="M526" s="217"/>
      <c r="N526" s="217"/>
      <c r="O526" s="146"/>
      <c r="P526" s="146"/>
      <c r="Q526" s="146"/>
      <c r="R526" s="217"/>
      <c r="S526" s="217"/>
      <c r="T526" s="217"/>
      <c r="U526" s="217"/>
      <c r="V526" s="217"/>
      <c r="W526" s="217"/>
      <c r="X526" s="217"/>
      <c r="Y526" s="217"/>
      <c r="Z526" s="217"/>
      <c r="AA526" s="31"/>
      <c r="AB526" s="31"/>
    </row>
    <row r="527" spans="1:28" ht="18" customHeight="1">
      <c r="A527" s="166"/>
      <c r="B527" s="217"/>
      <c r="C527" s="217"/>
      <c r="D527" s="217"/>
      <c r="E527" s="217"/>
      <c r="F527" s="217"/>
      <c r="G527" s="217"/>
      <c r="H527" s="217"/>
      <c r="I527" s="217"/>
      <c r="J527" s="217"/>
      <c r="K527" s="217"/>
      <c r="L527" s="217"/>
      <c r="M527" s="217"/>
      <c r="N527" s="217"/>
      <c r="O527" s="146"/>
      <c r="P527" s="146"/>
      <c r="Q527" s="146"/>
      <c r="R527" s="217"/>
      <c r="S527" s="217"/>
      <c r="T527" s="217"/>
      <c r="U527" s="217"/>
      <c r="V527" s="217"/>
      <c r="W527" s="217"/>
      <c r="X527" s="217"/>
      <c r="Y527" s="217"/>
      <c r="Z527" s="217"/>
      <c r="AA527" s="31"/>
      <c r="AB527" s="31"/>
    </row>
    <row r="528" spans="1:28" ht="18" customHeight="1">
      <c r="A528" s="166"/>
      <c r="B528" s="217"/>
      <c r="C528" s="217"/>
      <c r="D528" s="217"/>
      <c r="E528" s="217"/>
      <c r="F528" s="217"/>
      <c r="G528" s="217"/>
      <c r="H528" s="217"/>
      <c r="I528" s="217"/>
      <c r="J528" s="217"/>
      <c r="K528" s="217"/>
      <c r="L528" s="217"/>
      <c r="M528" s="217"/>
      <c r="N528" s="217"/>
      <c r="O528" s="146"/>
      <c r="P528" s="146"/>
      <c r="Q528" s="146"/>
      <c r="R528" s="217"/>
      <c r="S528" s="217"/>
      <c r="T528" s="217"/>
      <c r="U528" s="217"/>
      <c r="V528" s="217"/>
      <c r="W528" s="217"/>
      <c r="X528" s="217"/>
      <c r="Y528" s="217"/>
      <c r="Z528" s="217"/>
      <c r="AA528" s="31"/>
      <c r="AB528" s="31"/>
    </row>
    <row r="529" spans="1:28" ht="18" customHeight="1">
      <c r="A529" s="166"/>
      <c r="B529" s="217"/>
      <c r="C529" s="217"/>
      <c r="D529" s="217"/>
      <c r="E529" s="217"/>
      <c r="F529" s="217"/>
      <c r="G529" s="217"/>
      <c r="H529" s="217"/>
      <c r="I529" s="217"/>
      <c r="J529" s="217"/>
      <c r="K529" s="217"/>
      <c r="L529" s="217"/>
      <c r="M529" s="217"/>
      <c r="N529" s="217"/>
      <c r="O529" s="146"/>
      <c r="P529" s="146"/>
      <c r="Q529" s="146"/>
      <c r="R529" s="217"/>
      <c r="S529" s="217"/>
      <c r="T529" s="217"/>
      <c r="U529" s="217"/>
      <c r="V529" s="217"/>
      <c r="W529" s="217"/>
      <c r="X529" s="217"/>
      <c r="Y529" s="217"/>
      <c r="Z529" s="217"/>
      <c r="AA529" s="31"/>
      <c r="AB529" s="31"/>
    </row>
    <row r="530" spans="1:28" ht="18" customHeight="1">
      <c r="A530" s="166"/>
      <c r="B530" s="217"/>
      <c r="C530" s="217"/>
      <c r="D530" s="217"/>
      <c r="E530" s="217"/>
      <c r="F530" s="217"/>
      <c r="G530" s="217"/>
      <c r="H530" s="217"/>
      <c r="I530" s="217"/>
      <c r="J530" s="217"/>
      <c r="K530" s="217"/>
      <c r="L530" s="217"/>
      <c r="M530" s="217"/>
      <c r="N530" s="217"/>
      <c r="O530" s="146"/>
      <c r="P530" s="146"/>
      <c r="Q530" s="146"/>
      <c r="R530" s="217"/>
      <c r="S530" s="217"/>
      <c r="T530" s="217"/>
      <c r="U530" s="217"/>
      <c r="V530" s="217"/>
      <c r="W530" s="217"/>
      <c r="X530" s="217"/>
      <c r="Y530" s="217"/>
      <c r="Z530" s="217"/>
      <c r="AA530" s="31"/>
      <c r="AB530" s="31"/>
    </row>
    <row r="531" spans="1:28" ht="18" customHeight="1">
      <c r="A531" s="166"/>
      <c r="B531" s="217"/>
      <c r="C531" s="217"/>
      <c r="D531" s="217"/>
      <c r="E531" s="217"/>
      <c r="F531" s="217"/>
      <c r="G531" s="217"/>
      <c r="H531" s="217"/>
      <c r="I531" s="217"/>
      <c r="J531" s="217"/>
      <c r="K531" s="217"/>
      <c r="L531" s="217"/>
      <c r="M531" s="217"/>
      <c r="N531" s="217"/>
      <c r="O531" s="146"/>
      <c r="P531" s="146"/>
      <c r="Q531" s="146"/>
      <c r="R531" s="217"/>
      <c r="S531" s="217"/>
      <c r="T531" s="217"/>
      <c r="U531" s="217"/>
      <c r="V531" s="217"/>
      <c r="W531" s="217"/>
      <c r="X531" s="217"/>
      <c r="Y531" s="217"/>
      <c r="Z531" s="217"/>
      <c r="AA531" s="31"/>
      <c r="AB531" s="31"/>
    </row>
    <row r="532" spans="1:28" ht="18" customHeight="1">
      <c r="A532" s="166"/>
      <c r="B532" s="217"/>
      <c r="C532" s="217"/>
      <c r="D532" s="217"/>
      <c r="E532" s="217"/>
      <c r="F532" s="217"/>
      <c r="G532" s="217"/>
      <c r="H532" s="217"/>
      <c r="I532" s="217"/>
      <c r="J532" s="217"/>
      <c r="K532" s="217"/>
      <c r="L532" s="217"/>
      <c r="M532" s="217"/>
      <c r="N532" s="217"/>
      <c r="O532" s="146"/>
      <c r="P532" s="146"/>
      <c r="Q532" s="146"/>
      <c r="R532" s="217"/>
      <c r="S532" s="217"/>
      <c r="T532" s="217"/>
      <c r="U532" s="217"/>
      <c r="V532" s="217"/>
      <c r="W532" s="217"/>
      <c r="X532" s="217"/>
      <c r="Y532" s="217"/>
      <c r="Z532" s="217"/>
      <c r="AA532" s="31"/>
      <c r="AB532" s="31"/>
    </row>
    <row r="533" spans="1:28" ht="18" customHeight="1">
      <c r="A533" s="166"/>
      <c r="B533" s="217"/>
      <c r="C533" s="217"/>
      <c r="D533" s="217"/>
      <c r="E533" s="217"/>
      <c r="F533" s="217"/>
      <c r="G533" s="217"/>
      <c r="H533" s="217"/>
      <c r="I533" s="217"/>
      <c r="J533" s="217"/>
      <c r="K533" s="217"/>
      <c r="L533" s="217"/>
      <c r="M533" s="217"/>
      <c r="N533" s="217"/>
      <c r="O533" s="146"/>
      <c r="P533" s="146"/>
      <c r="Q533" s="146"/>
      <c r="R533" s="217"/>
      <c r="S533" s="217"/>
      <c r="T533" s="217"/>
      <c r="U533" s="217"/>
      <c r="V533" s="217"/>
      <c r="W533" s="217"/>
      <c r="X533" s="217"/>
      <c r="Y533" s="217"/>
      <c r="Z533" s="217"/>
      <c r="AA533" s="31"/>
      <c r="AB533" s="31"/>
    </row>
    <row r="534" spans="1:28" ht="18" customHeight="1">
      <c r="A534" s="166"/>
      <c r="B534" s="217"/>
      <c r="C534" s="217"/>
      <c r="D534" s="217"/>
      <c r="E534" s="217"/>
      <c r="F534" s="217"/>
      <c r="G534" s="217"/>
      <c r="H534" s="217"/>
      <c r="I534" s="217"/>
      <c r="J534" s="217"/>
      <c r="K534" s="217"/>
      <c r="L534" s="217"/>
      <c r="M534" s="217"/>
      <c r="N534" s="217"/>
      <c r="O534" s="146"/>
      <c r="P534" s="146"/>
      <c r="Q534" s="146"/>
      <c r="R534" s="217"/>
      <c r="S534" s="217"/>
      <c r="T534" s="217"/>
      <c r="U534" s="217"/>
      <c r="V534" s="217"/>
      <c r="W534" s="217"/>
      <c r="X534" s="217"/>
      <c r="Y534" s="217"/>
      <c r="Z534" s="217"/>
      <c r="AA534" s="31"/>
      <c r="AB534" s="31"/>
    </row>
    <row r="535" spans="1:28" ht="18" customHeight="1">
      <c r="A535" s="166"/>
      <c r="B535" s="217"/>
      <c r="C535" s="217"/>
      <c r="D535" s="217"/>
      <c r="E535" s="217"/>
      <c r="F535" s="217"/>
      <c r="G535" s="217"/>
      <c r="H535" s="217"/>
      <c r="I535" s="217"/>
      <c r="J535" s="217"/>
      <c r="K535" s="217"/>
      <c r="L535" s="217"/>
      <c r="M535" s="217"/>
      <c r="N535" s="217"/>
      <c r="O535" s="146"/>
      <c r="P535" s="146"/>
      <c r="Q535" s="146"/>
      <c r="R535" s="217"/>
      <c r="S535" s="217"/>
      <c r="T535" s="217"/>
      <c r="U535" s="217"/>
      <c r="V535" s="217"/>
      <c r="W535" s="217"/>
      <c r="X535" s="217"/>
      <c r="Y535" s="217"/>
      <c r="Z535" s="217"/>
      <c r="AA535" s="31"/>
      <c r="AB535" s="31"/>
    </row>
    <row r="536" spans="1:28" ht="18" customHeight="1">
      <c r="A536" s="166"/>
      <c r="B536" s="217"/>
      <c r="C536" s="217"/>
      <c r="D536" s="217"/>
      <c r="E536" s="217"/>
      <c r="F536" s="217"/>
      <c r="G536" s="217"/>
      <c r="H536" s="217"/>
      <c r="I536" s="217"/>
      <c r="J536" s="217"/>
      <c r="K536" s="217"/>
      <c r="L536" s="217"/>
      <c r="M536" s="217"/>
      <c r="N536" s="217"/>
      <c r="O536" s="146"/>
      <c r="P536" s="146"/>
      <c r="Q536" s="146"/>
      <c r="R536" s="217"/>
      <c r="S536" s="217"/>
      <c r="T536" s="217"/>
      <c r="U536" s="217"/>
      <c r="V536" s="217"/>
      <c r="W536" s="217"/>
      <c r="X536" s="217"/>
      <c r="Y536" s="217"/>
      <c r="Z536" s="217"/>
      <c r="AA536" s="31"/>
      <c r="AB536" s="31"/>
    </row>
    <row r="537" spans="1:28" ht="18" customHeight="1">
      <c r="A537" s="166"/>
      <c r="B537" s="217"/>
      <c r="C537" s="217"/>
      <c r="D537" s="217"/>
      <c r="E537" s="217"/>
      <c r="F537" s="217"/>
      <c r="G537" s="217"/>
      <c r="H537" s="217"/>
      <c r="I537" s="217"/>
      <c r="J537" s="217"/>
      <c r="K537" s="217"/>
      <c r="L537" s="217"/>
      <c r="M537" s="217"/>
      <c r="N537" s="217"/>
      <c r="O537" s="146"/>
      <c r="P537" s="146"/>
      <c r="Q537" s="146"/>
      <c r="R537" s="217"/>
      <c r="S537" s="217"/>
      <c r="T537" s="217"/>
      <c r="U537" s="217"/>
      <c r="V537" s="217"/>
      <c r="W537" s="217"/>
      <c r="X537" s="217"/>
      <c r="Y537" s="217"/>
      <c r="Z537" s="217"/>
      <c r="AA537" s="31"/>
      <c r="AB537" s="31"/>
    </row>
    <row r="538" spans="1:28" ht="18" customHeight="1">
      <c r="A538" s="166"/>
      <c r="B538" s="217"/>
      <c r="C538" s="217"/>
      <c r="D538" s="217"/>
      <c r="E538" s="217"/>
      <c r="F538" s="217"/>
      <c r="G538" s="217"/>
      <c r="H538" s="217"/>
      <c r="I538" s="217"/>
      <c r="J538" s="217"/>
      <c r="K538" s="217"/>
      <c r="L538" s="217"/>
      <c r="M538" s="217"/>
      <c r="N538" s="217"/>
      <c r="O538" s="146"/>
      <c r="P538" s="146"/>
      <c r="Q538" s="146"/>
      <c r="R538" s="217"/>
      <c r="S538" s="217"/>
      <c r="T538" s="217"/>
      <c r="U538" s="217"/>
      <c r="V538" s="217"/>
      <c r="W538" s="217"/>
      <c r="X538" s="217"/>
      <c r="Y538" s="217"/>
      <c r="Z538" s="217"/>
      <c r="AA538" s="31"/>
      <c r="AB538" s="31"/>
    </row>
    <row r="539" spans="1:28" ht="18" customHeight="1">
      <c r="A539" s="166"/>
      <c r="B539" s="217"/>
      <c r="C539" s="217"/>
      <c r="D539" s="217"/>
      <c r="E539" s="217"/>
      <c r="F539" s="217"/>
      <c r="G539" s="217"/>
      <c r="H539" s="217"/>
      <c r="I539" s="217"/>
      <c r="J539" s="217"/>
      <c r="K539" s="217"/>
      <c r="L539" s="217"/>
      <c r="M539" s="217"/>
      <c r="N539" s="217"/>
      <c r="O539" s="146"/>
      <c r="P539" s="146"/>
      <c r="Q539" s="146"/>
      <c r="R539" s="217"/>
      <c r="S539" s="217"/>
      <c r="T539" s="217"/>
      <c r="U539" s="217"/>
      <c r="V539" s="217"/>
      <c r="W539" s="217"/>
      <c r="X539" s="217"/>
      <c r="Y539" s="217"/>
      <c r="Z539" s="217"/>
      <c r="AA539" s="31"/>
      <c r="AB539" s="31"/>
    </row>
    <row r="540" spans="1:28" ht="18" customHeight="1">
      <c r="A540" s="166"/>
      <c r="B540" s="217"/>
      <c r="C540" s="217"/>
      <c r="D540" s="217"/>
      <c r="E540" s="217"/>
      <c r="F540" s="217"/>
      <c r="G540" s="217"/>
      <c r="H540" s="217"/>
      <c r="I540" s="217"/>
      <c r="J540" s="217"/>
      <c r="K540" s="217"/>
      <c r="L540" s="217"/>
      <c r="M540" s="217"/>
      <c r="N540" s="217"/>
      <c r="O540" s="146"/>
      <c r="P540" s="146"/>
      <c r="Q540" s="146"/>
      <c r="R540" s="217"/>
      <c r="S540" s="217"/>
      <c r="T540" s="217"/>
      <c r="U540" s="217"/>
      <c r="V540" s="217"/>
      <c r="W540" s="217"/>
      <c r="X540" s="217"/>
      <c r="Y540" s="217"/>
      <c r="Z540" s="217"/>
      <c r="AA540" s="31"/>
      <c r="AB540" s="31"/>
    </row>
    <row r="541" spans="1:28" ht="18" customHeight="1">
      <c r="A541" s="166"/>
      <c r="B541" s="217"/>
      <c r="C541" s="217"/>
      <c r="D541" s="217"/>
      <c r="E541" s="217"/>
      <c r="F541" s="217"/>
      <c r="G541" s="217"/>
      <c r="H541" s="217"/>
      <c r="I541" s="217"/>
      <c r="J541" s="217"/>
      <c r="K541" s="217"/>
      <c r="L541" s="217"/>
      <c r="M541" s="217"/>
      <c r="N541" s="217"/>
      <c r="O541" s="146"/>
      <c r="P541" s="146"/>
      <c r="Q541" s="146"/>
      <c r="R541" s="217"/>
      <c r="S541" s="217"/>
      <c r="T541" s="217"/>
      <c r="U541" s="217"/>
      <c r="V541" s="217"/>
      <c r="W541" s="217"/>
      <c r="X541" s="217"/>
      <c r="Y541" s="217"/>
      <c r="Z541" s="217"/>
      <c r="AA541" s="31"/>
      <c r="AB541" s="31"/>
    </row>
    <row r="542" spans="1:28" ht="18" customHeight="1">
      <c r="A542" s="166"/>
      <c r="B542" s="217"/>
      <c r="C542" s="217"/>
      <c r="D542" s="217"/>
      <c r="E542" s="217"/>
      <c r="F542" s="217"/>
      <c r="G542" s="217"/>
      <c r="H542" s="217"/>
      <c r="I542" s="217"/>
      <c r="J542" s="217"/>
      <c r="K542" s="217"/>
      <c r="L542" s="217"/>
      <c r="M542" s="217"/>
      <c r="N542" s="217"/>
      <c r="O542" s="146"/>
      <c r="P542" s="146"/>
      <c r="Q542" s="146"/>
      <c r="R542" s="217"/>
      <c r="S542" s="217"/>
      <c r="T542" s="217"/>
      <c r="U542" s="217"/>
      <c r="V542" s="217"/>
      <c r="W542" s="217"/>
      <c r="X542" s="217"/>
      <c r="Y542" s="217"/>
      <c r="Z542" s="217"/>
      <c r="AA542" s="31"/>
      <c r="AB542" s="31"/>
    </row>
    <row r="543" spans="1:28" ht="18" customHeight="1">
      <c r="A543" s="166"/>
      <c r="B543" s="217"/>
      <c r="C543" s="217"/>
      <c r="D543" s="217"/>
      <c r="E543" s="217"/>
      <c r="F543" s="217"/>
      <c r="G543" s="217"/>
      <c r="H543" s="217"/>
      <c r="I543" s="217"/>
      <c r="J543" s="217"/>
      <c r="K543" s="217"/>
      <c r="L543" s="217"/>
      <c r="M543" s="217"/>
      <c r="N543" s="217"/>
      <c r="O543" s="146"/>
      <c r="P543" s="146"/>
      <c r="Q543" s="146"/>
      <c r="R543" s="217"/>
      <c r="S543" s="217"/>
      <c r="T543" s="217"/>
      <c r="U543" s="217"/>
      <c r="V543" s="217"/>
      <c r="W543" s="217"/>
      <c r="X543" s="217"/>
      <c r="Y543" s="217"/>
      <c r="Z543" s="217"/>
      <c r="AA543" s="31"/>
      <c r="AB543" s="31"/>
    </row>
    <row r="544" spans="1:28" ht="18" customHeight="1">
      <c r="A544" s="166"/>
      <c r="B544" s="217"/>
      <c r="C544" s="217"/>
      <c r="D544" s="217"/>
      <c r="E544" s="217"/>
      <c r="F544" s="217"/>
      <c r="G544" s="217"/>
      <c r="H544" s="217"/>
      <c r="I544" s="217"/>
      <c r="J544" s="217"/>
      <c r="K544" s="217"/>
      <c r="L544" s="217"/>
      <c r="M544" s="217"/>
      <c r="N544" s="217"/>
      <c r="O544" s="146"/>
      <c r="P544" s="146"/>
      <c r="Q544" s="146"/>
      <c r="R544" s="217"/>
      <c r="S544" s="217"/>
      <c r="T544" s="217"/>
      <c r="U544" s="217"/>
      <c r="V544" s="217"/>
      <c r="W544" s="217"/>
      <c r="X544" s="217"/>
      <c r="Y544" s="217"/>
      <c r="Z544" s="217"/>
      <c r="AA544" s="31"/>
      <c r="AB544" s="31"/>
    </row>
    <row r="545" spans="1:28" ht="18" customHeight="1">
      <c r="A545" s="166"/>
      <c r="B545" s="217"/>
      <c r="C545" s="217"/>
      <c r="D545" s="217"/>
      <c r="E545" s="217"/>
      <c r="F545" s="217"/>
      <c r="G545" s="217"/>
      <c r="H545" s="217"/>
      <c r="I545" s="217"/>
      <c r="J545" s="217"/>
      <c r="K545" s="217"/>
      <c r="L545" s="217"/>
      <c r="M545" s="217"/>
      <c r="N545" s="217"/>
      <c r="O545" s="146"/>
      <c r="P545" s="146"/>
      <c r="Q545" s="146"/>
      <c r="R545" s="217"/>
      <c r="S545" s="217"/>
      <c r="T545" s="217"/>
      <c r="U545" s="217"/>
      <c r="V545" s="217"/>
      <c r="W545" s="217"/>
      <c r="X545" s="217"/>
      <c r="Y545" s="217"/>
      <c r="Z545" s="217"/>
      <c r="AA545" s="31"/>
      <c r="AB545" s="31"/>
    </row>
    <row r="546" spans="1:28" ht="18" customHeight="1">
      <c r="A546" s="166"/>
      <c r="B546" s="217"/>
      <c r="C546" s="217"/>
      <c r="D546" s="217"/>
      <c r="E546" s="217"/>
      <c r="F546" s="217"/>
      <c r="G546" s="217"/>
      <c r="H546" s="217"/>
      <c r="I546" s="217"/>
      <c r="J546" s="217"/>
      <c r="K546" s="217"/>
      <c r="L546" s="217"/>
      <c r="M546" s="217"/>
      <c r="N546" s="217"/>
      <c r="O546" s="146"/>
      <c r="P546" s="146"/>
      <c r="Q546" s="146"/>
      <c r="R546" s="217"/>
      <c r="S546" s="217"/>
      <c r="T546" s="217"/>
      <c r="U546" s="217"/>
      <c r="V546" s="217"/>
      <c r="W546" s="217"/>
      <c r="X546" s="217"/>
      <c r="Y546" s="217"/>
      <c r="Z546" s="217"/>
      <c r="AA546" s="31"/>
      <c r="AB546" s="31"/>
    </row>
    <row r="547" spans="1:28" ht="18" customHeight="1">
      <c r="A547" s="166"/>
      <c r="B547" s="217"/>
      <c r="C547" s="217"/>
      <c r="D547" s="217"/>
      <c r="E547" s="217"/>
      <c r="F547" s="217"/>
      <c r="G547" s="217"/>
      <c r="H547" s="217"/>
      <c r="I547" s="217"/>
      <c r="J547" s="217"/>
      <c r="K547" s="217"/>
      <c r="L547" s="217"/>
      <c r="M547" s="217"/>
      <c r="N547" s="217"/>
      <c r="O547" s="146"/>
      <c r="P547" s="146"/>
      <c r="Q547" s="146"/>
      <c r="R547" s="217"/>
      <c r="S547" s="217"/>
      <c r="T547" s="217"/>
      <c r="U547" s="217"/>
      <c r="V547" s="217"/>
      <c r="W547" s="217"/>
      <c r="X547" s="217"/>
      <c r="Y547" s="217"/>
      <c r="Z547" s="217"/>
      <c r="AA547" s="31"/>
      <c r="AB547" s="31"/>
    </row>
    <row r="548" spans="1:28" ht="18" customHeight="1">
      <c r="A548" s="166"/>
      <c r="B548" s="217"/>
      <c r="C548" s="217"/>
      <c r="D548" s="217"/>
      <c r="E548" s="217"/>
      <c r="F548" s="217"/>
      <c r="G548" s="217"/>
      <c r="H548" s="217"/>
      <c r="I548" s="217"/>
      <c r="J548" s="217"/>
      <c r="K548" s="217"/>
      <c r="L548" s="217"/>
      <c r="M548" s="217"/>
      <c r="N548" s="217"/>
      <c r="O548" s="146"/>
      <c r="P548" s="146"/>
      <c r="Q548" s="146"/>
      <c r="R548" s="217"/>
      <c r="S548" s="217"/>
      <c r="T548" s="217"/>
      <c r="U548" s="217"/>
      <c r="V548" s="217"/>
      <c r="W548" s="217"/>
      <c r="X548" s="217"/>
      <c r="Y548" s="217"/>
      <c r="Z548" s="217"/>
      <c r="AA548" s="31"/>
      <c r="AB548" s="31"/>
    </row>
    <row r="549" spans="1:28" ht="18" customHeight="1">
      <c r="A549" s="166"/>
      <c r="B549" s="217"/>
      <c r="C549" s="217"/>
      <c r="D549" s="217"/>
      <c r="E549" s="217"/>
      <c r="F549" s="217"/>
      <c r="G549" s="217"/>
      <c r="H549" s="217"/>
      <c r="I549" s="217"/>
      <c r="J549" s="217"/>
      <c r="K549" s="217"/>
      <c r="L549" s="217"/>
      <c r="M549" s="217"/>
      <c r="N549" s="217"/>
      <c r="O549" s="146"/>
      <c r="P549" s="146"/>
      <c r="Q549" s="146"/>
      <c r="R549" s="217"/>
      <c r="S549" s="217"/>
      <c r="T549" s="217"/>
      <c r="U549" s="217"/>
      <c r="V549" s="217"/>
      <c r="W549" s="217"/>
      <c r="X549" s="217"/>
      <c r="Y549" s="217"/>
      <c r="Z549" s="217"/>
      <c r="AA549" s="31"/>
      <c r="AB549" s="31"/>
    </row>
    <row r="550" spans="1:28" ht="18" customHeight="1">
      <c r="A550" s="166"/>
      <c r="B550" s="217"/>
      <c r="C550" s="217"/>
      <c r="D550" s="217"/>
      <c r="E550" s="217"/>
      <c r="F550" s="217"/>
      <c r="G550" s="217"/>
      <c r="H550" s="217"/>
      <c r="I550" s="217"/>
      <c r="J550" s="217"/>
      <c r="K550" s="217"/>
      <c r="L550" s="217"/>
      <c r="M550" s="217"/>
      <c r="N550" s="217"/>
      <c r="O550" s="146"/>
      <c r="P550" s="146"/>
      <c r="Q550" s="146"/>
      <c r="R550" s="217"/>
      <c r="S550" s="217"/>
      <c r="T550" s="217"/>
      <c r="U550" s="217"/>
      <c r="V550" s="217"/>
      <c r="W550" s="217"/>
      <c r="X550" s="217"/>
      <c r="Y550" s="217"/>
      <c r="Z550" s="217"/>
      <c r="AA550" s="31"/>
      <c r="AB550" s="31"/>
    </row>
    <row r="551" spans="1:28" ht="18" customHeight="1">
      <c r="A551" s="166"/>
      <c r="B551" s="217"/>
      <c r="C551" s="217"/>
      <c r="D551" s="217"/>
      <c r="E551" s="217"/>
      <c r="F551" s="217"/>
      <c r="G551" s="217"/>
      <c r="H551" s="217"/>
      <c r="I551" s="217"/>
      <c r="J551" s="217"/>
      <c r="K551" s="217"/>
      <c r="L551" s="217"/>
      <c r="M551" s="217"/>
      <c r="N551" s="217"/>
      <c r="O551" s="146"/>
      <c r="P551" s="146"/>
      <c r="Q551" s="146"/>
      <c r="R551" s="217"/>
      <c r="S551" s="217"/>
      <c r="T551" s="217"/>
      <c r="U551" s="217"/>
      <c r="V551" s="217"/>
      <c r="W551" s="217"/>
      <c r="X551" s="217"/>
      <c r="Y551" s="217"/>
      <c r="Z551" s="217"/>
      <c r="AA551" s="31"/>
      <c r="AB551" s="31"/>
    </row>
    <row r="552" spans="1:28" ht="18" customHeight="1">
      <c r="A552" s="166"/>
      <c r="B552" s="217"/>
      <c r="C552" s="217"/>
      <c r="D552" s="217"/>
      <c r="E552" s="217"/>
      <c r="F552" s="217"/>
      <c r="G552" s="217"/>
      <c r="H552" s="217"/>
      <c r="I552" s="217"/>
      <c r="J552" s="217"/>
      <c r="K552" s="217"/>
      <c r="L552" s="217"/>
      <c r="M552" s="217"/>
      <c r="N552" s="217"/>
      <c r="O552" s="146"/>
      <c r="P552" s="146"/>
      <c r="Q552" s="146"/>
      <c r="R552" s="217"/>
      <c r="S552" s="217"/>
      <c r="T552" s="217"/>
      <c r="U552" s="217"/>
      <c r="V552" s="217"/>
      <c r="W552" s="217"/>
      <c r="X552" s="217"/>
      <c r="Y552" s="217"/>
      <c r="Z552" s="217"/>
      <c r="AA552" s="31"/>
      <c r="AB552" s="31"/>
    </row>
    <row r="553" spans="1:28" ht="18" customHeight="1">
      <c r="A553" s="166"/>
      <c r="B553" s="217"/>
      <c r="C553" s="217"/>
      <c r="D553" s="217"/>
      <c r="E553" s="217"/>
      <c r="F553" s="217"/>
      <c r="G553" s="217"/>
      <c r="H553" s="217"/>
      <c r="I553" s="217"/>
      <c r="J553" s="217"/>
      <c r="K553" s="217"/>
      <c r="L553" s="217"/>
      <c r="M553" s="217"/>
      <c r="N553" s="217"/>
      <c r="O553" s="146"/>
      <c r="P553" s="146"/>
      <c r="Q553" s="146"/>
      <c r="R553" s="217"/>
      <c r="S553" s="217"/>
      <c r="T553" s="217"/>
      <c r="U553" s="217"/>
      <c r="V553" s="217"/>
      <c r="W553" s="217"/>
      <c r="X553" s="217"/>
      <c r="Y553" s="217"/>
      <c r="Z553" s="217"/>
      <c r="AA553" s="31"/>
      <c r="AB553" s="31"/>
    </row>
    <row r="554" spans="1:28" ht="18" customHeight="1">
      <c r="A554" s="166"/>
      <c r="B554" s="217"/>
      <c r="C554" s="217"/>
      <c r="D554" s="217"/>
      <c r="E554" s="217"/>
      <c r="F554" s="217"/>
      <c r="G554" s="217"/>
      <c r="H554" s="217"/>
      <c r="I554" s="217"/>
      <c r="J554" s="217"/>
      <c r="K554" s="217"/>
      <c r="L554" s="217"/>
      <c r="M554" s="217"/>
      <c r="N554" s="217"/>
      <c r="O554" s="146"/>
      <c r="P554" s="146"/>
      <c r="Q554" s="146"/>
      <c r="R554" s="217"/>
      <c r="S554" s="217"/>
      <c r="T554" s="217"/>
      <c r="U554" s="217"/>
      <c r="V554" s="217"/>
      <c r="W554" s="217"/>
      <c r="X554" s="217"/>
      <c r="Y554" s="217"/>
      <c r="Z554" s="217"/>
      <c r="AA554" s="31"/>
      <c r="AB554" s="31"/>
    </row>
    <row r="555" spans="1:28" ht="18" customHeight="1">
      <c r="A555" s="166"/>
      <c r="B555" s="217"/>
      <c r="C555" s="217"/>
      <c r="D555" s="217"/>
      <c r="E555" s="217"/>
      <c r="F555" s="217"/>
      <c r="G555" s="217"/>
      <c r="H555" s="217"/>
      <c r="I555" s="217"/>
      <c r="J555" s="217"/>
      <c r="K555" s="217"/>
      <c r="L555" s="217"/>
      <c r="M555" s="217"/>
      <c r="N555" s="217"/>
      <c r="O555" s="146"/>
      <c r="P555" s="146"/>
      <c r="Q555" s="146"/>
      <c r="R555" s="217"/>
      <c r="S555" s="217"/>
      <c r="T555" s="217"/>
      <c r="U555" s="217"/>
      <c r="V555" s="217"/>
      <c r="W555" s="217"/>
      <c r="X555" s="217"/>
      <c r="Y555" s="217"/>
      <c r="Z555" s="217"/>
      <c r="AA555" s="31"/>
      <c r="AB555" s="31"/>
    </row>
    <row r="556" spans="1:28" ht="18" customHeight="1">
      <c r="A556" s="166"/>
      <c r="B556" s="217"/>
      <c r="C556" s="217"/>
      <c r="D556" s="217"/>
      <c r="E556" s="217"/>
      <c r="F556" s="217"/>
      <c r="G556" s="217"/>
      <c r="H556" s="217"/>
      <c r="I556" s="217"/>
      <c r="J556" s="217"/>
      <c r="K556" s="217"/>
      <c r="L556" s="217"/>
      <c r="M556" s="217"/>
      <c r="N556" s="217"/>
      <c r="O556" s="146"/>
      <c r="P556" s="146"/>
      <c r="Q556" s="146"/>
      <c r="R556" s="217"/>
      <c r="S556" s="217"/>
      <c r="T556" s="217"/>
      <c r="U556" s="217"/>
      <c r="V556" s="217"/>
      <c r="W556" s="217"/>
      <c r="X556" s="217"/>
      <c r="Y556" s="217"/>
      <c r="Z556" s="217"/>
      <c r="AA556" s="31"/>
      <c r="AB556" s="31"/>
    </row>
    <row r="557" spans="1:28" ht="18" customHeight="1">
      <c r="A557" s="166"/>
      <c r="B557" s="217"/>
      <c r="C557" s="217"/>
      <c r="D557" s="217"/>
      <c r="E557" s="217"/>
      <c r="F557" s="217"/>
      <c r="G557" s="217"/>
      <c r="H557" s="217"/>
      <c r="I557" s="217"/>
      <c r="J557" s="217"/>
      <c r="K557" s="217"/>
      <c r="L557" s="217"/>
      <c r="M557" s="217"/>
      <c r="N557" s="217"/>
      <c r="O557" s="146"/>
      <c r="P557" s="146"/>
      <c r="Q557" s="146"/>
      <c r="R557" s="217"/>
      <c r="S557" s="217"/>
      <c r="T557" s="217"/>
      <c r="U557" s="217"/>
      <c r="V557" s="217"/>
      <c r="W557" s="217"/>
      <c r="X557" s="217"/>
      <c r="Y557" s="217"/>
      <c r="Z557" s="217"/>
      <c r="AA557" s="31"/>
      <c r="AB557" s="31"/>
    </row>
    <row r="558" spans="1:28" ht="18" customHeight="1">
      <c r="A558" s="166"/>
      <c r="B558" s="217"/>
      <c r="C558" s="217"/>
      <c r="D558" s="217"/>
      <c r="E558" s="217"/>
      <c r="F558" s="217"/>
      <c r="G558" s="217"/>
      <c r="H558" s="217"/>
      <c r="I558" s="217"/>
      <c r="J558" s="217"/>
      <c r="K558" s="217"/>
      <c r="L558" s="217"/>
      <c r="M558" s="217"/>
      <c r="N558" s="217"/>
      <c r="O558" s="146"/>
      <c r="P558" s="146"/>
      <c r="Q558" s="146"/>
      <c r="R558" s="217"/>
      <c r="S558" s="217"/>
      <c r="T558" s="217"/>
      <c r="U558" s="217"/>
      <c r="V558" s="217"/>
      <c r="W558" s="217"/>
      <c r="X558" s="217"/>
      <c r="Y558" s="217"/>
      <c r="Z558" s="217"/>
      <c r="AA558" s="31"/>
      <c r="AB558" s="31"/>
    </row>
    <row r="559" spans="1:28" ht="18" customHeight="1">
      <c r="A559" s="166"/>
      <c r="B559" s="217"/>
      <c r="C559" s="217"/>
      <c r="D559" s="217"/>
      <c r="E559" s="217"/>
      <c r="F559" s="217"/>
      <c r="G559" s="217"/>
      <c r="H559" s="217"/>
      <c r="I559" s="217"/>
      <c r="J559" s="217"/>
      <c r="K559" s="217"/>
      <c r="L559" s="217"/>
      <c r="M559" s="217"/>
      <c r="N559" s="217"/>
      <c r="O559" s="146"/>
      <c r="P559" s="146"/>
      <c r="Q559" s="146"/>
      <c r="R559" s="217"/>
      <c r="S559" s="217"/>
      <c r="T559" s="217"/>
      <c r="U559" s="217"/>
      <c r="V559" s="217"/>
      <c r="W559" s="217"/>
      <c r="X559" s="217"/>
      <c r="Y559" s="217"/>
      <c r="Z559" s="217"/>
      <c r="AA559" s="31"/>
      <c r="AB559" s="31"/>
    </row>
    <row r="560" spans="1:28" ht="18" customHeight="1">
      <c r="A560" s="166"/>
      <c r="B560" s="217"/>
      <c r="C560" s="217"/>
      <c r="D560" s="217"/>
      <c r="E560" s="217"/>
      <c r="F560" s="217"/>
      <c r="G560" s="217"/>
      <c r="H560" s="217"/>
      <c r="I560" s="217"/>
      <c r="J560" s="217"/>
      <c r="K560" s="217"/>
      <c r="L560" s="217"/>
      <c r="M560" s="217"/>
      <c r="N560" s="217"/>
      <c r="O560" s="146"/>
      <c r="P560" s="146"/>
      <c r="Q560" s="146"/>
      <c r="R560" s="217"/>
      <c r="S560" s="217"/>
      <c r="T560" s="217"/>
      <c r="U560" s="217"/>
      <c r="V560" s="217"/>
      <c r="W560" s="217"/>
      <c r="X560" s="217"/>
      <c r="Y560" s="217"/>
      <c r="Z560" s="217"/>
      <c r="AA560" s="31"/>
      <c r="AB560" s="31"/>
    </row>
    <row r="561" spans="1:28" ht="18" customHeight="1">
      <c r="A561" s="166"/>
      <c r="B561" s="217"/>
      <c r="C561" s="217"/>
      <c r="D561" s="217"/>
      <c r="E561" s="217"/>
      <c r="F561" s="217"/>
      <c r="G561" s="217"/>
      <c r="H561" s="217"/>
      <c r="I561" s="217"/>
      <c r="J561" s="217"/>
      <c r="K561" s="217"/>
      <c r="L561" s="217"/>
      <c r="M561" s="217"/>
      <c r="N561" s="217"/>
      <c r="O561" s="146"/>
      <c r="P561" s="146"/>
      <c r="Q561" s="146"/>
      <c r="R561" s="217"/>
      <c r="S561" s="217"/>
      <c r="T561" s="217"/>
      <c r="U561" s="217"/>
      <c r="V561" s="217"/>
      <c r="W561" s="217"/>
      <c r="X561" s="217"/>
      <c r="Y561" s="217"/>
      <c r="Z561" s="217"/>
      <c r="AA561" s="31"/>
      <c r="AB561" s="31"/>
    </row>
    <row r="562" spans="1:28" ht="18" customHeight="1">
      <c r="A562" s="166"/>
      <c r="B562" s="217"/>
      <c r="C562" s="217"/>
      <c r="D562" s="217"/>
      <c r="E562" s="217"/>
      <c r="F562" s="217"/>
      <c r="G562" s="217"/>
      <c r="H562" s="217"/>
      <c r="I562" s="217"/>
      <c r="J562" s="217"/>
      <c r="K562" s="217"/>
      <c r="L562" s="217"/>
      <c r="M562" s="217"/>
      <c r="N562" s="217"/>
      <c r="O562" s="146"/>
      <c r="P562" s="146"/>
      <c r="Q562" s="146"/>
      <c r="R562" s="217"/>
      <c r="S562" s="217"/>
      <c r="T562" s="217"/>
      <c r="U562" s="217"/>
      <c r="V562" s="217"/>
      <c r="W562" s="217"/>
      <c r="X562" s="217"/>
      <c r="Y562" s="217"/>
      <c r="Z562" s="217"/>
      <c r="AA562" s="31"/>
      <c r="AB562" s="31"/>
    </row>
    <row r="563" spans="1:28" ht="18" customHeight="1">
      <c r="A563" s="166"/>
      <c r="B563" s="217"/>
      <c r="C563" s="217"/>
      <c r="D563" s="217"/>
      <c r="E563" s="217"/>
      <c r="F563" s="217"/>
      <c r="G563" s="217"/>
      <c r="H563" s="217"/>
      <c r="I563" s="217"/>
      <c r="J563" s="217"/>
      <c r="K563" s="217"/>
      <c r="L563" s="217"/>
      <c r="M563" s="217"/>
      <c r="N563" s="217"/>
      <c r="O563" s="146"/>
      <c r="P563" s="146"/>
      <c r="Q563" s="146"/>
      <c r="R563" s="217"/>
      <c r="S563" s="217"/>
      <c r="T563" s="217"/>
      <c r="U563" s="217"/>
      <c r="V563" s="217"/>
      <c r="W563" s="217"/>
      <c r="X563" s="217"/>
      <c r="Y563" s="217"/>
      <c r="Z563" s="217"/>
      <c r="AA563" s="31"/>
      <c r="AB563" s="31"/>
    </row>
    <row r="564" spans="1:28" ht="18" customHeight="1">
      <c r="A564" s="166"/>
      <c r="B564" s="217"/>
      <c r="C564" s="217"/>
      <c r="D564" s="217"/>
      <c r="E564" s="217"/>
      <c r="F564" s="217"/>
      <c r="G564" s="217"/>
      <c r="H564" s="217"/>
      <c r="I564" s="217"/>
      <c r="J564" s="217"/>
      <c r="K564" s="217"/>
      <c r="L564" s="217"/>
      <c r="M564" s="217"/>
      <c r="N564" s="217"/>
      <c r="O564" s="146"/>
      <c r="P564" s="146"/>
      <c r="Q564" s="146"/>
      <c r="R564" s="217"/>
      <c r="S564" s="217"/>
      <c r="T564" s="217"/>
      <c r="U564" s="217"/>
      <c r="V564" s="217"/>
      <c r="W564" s="217"/>
      <c r="X564" s="217"/>
      <c r="Y564" s="217"/>
      <c r="Z564" s="217"/>
      <c r="AA564" s="31"/>
      <c r="AB564" s="31"/>
    </row>
    <row r="565" spans="1:28" ht="18" customHeight="1">
      <c r="A565" s="166"/>
      <c r="B565" s="217"/>
      <c r="C565" s="217"/>
      <c r="D565" s="217"/>
      <c r="E565" s="217"/>
      <c r="F565" s="217"/>
      <c r="G565" s="217"/>
      <c r="H565" s="217"/>
      <c r="I565" s="217"/>
      <c r="J565" s="217"/>
      <c r="K565" s="217"/>
      <c r="L565" s="217"/>
      <c r="M565" s="217"/>
      <c r="N565" s="217"/>
      <c r="O565" s="146"/>
      <c r="P565" s="146"/>
      <c r="Q565" s="146"/>
      <c r="R565" s="217"/>
      <c r="S565" s="217"/>
      <c r="T565" s="217"/>
      <c r="U565" s="217"/>
      <c r="V565" s="217"/>
      <c r="W565" s="217"/>
      <c r="X565" s="217"/>
      <c r="Y565" s="217"/>
      <c r="Z565" s="217"/>
      <c r="AA565" s="31"/>
      <c r="AB565" s="31"/>
    </row>
    <row r="566" spans="1:28" ht="18" customHeight="1">
      <c r="A566" s="166"/>
      <c r="B566" s="217"/>
      <c r="C566" s="217"/>
      <c r="D566" s="217"/>
      <c r="E566" s="217"/>
      <c r="F566" s="217"/>
      <c r="G566" s="217"/>
      <c r="H566" s="217"/>
      <c r="I566" s="217"/>
      <c r="J566" s="217"/>
      <c r="K566" s="217"/>
      <c r="L566" s="217"/>
      <c r="M566" s="217"/>
      <c r="N566" s="217"/>
      <c r="O566" s="146"/>
      <c r="P566" s="146"/>
      <c r="Q566" s="146"/>
      <c r="R566" s="217"/>
      <c r="S566" s="217"/>
      <c r="T566" s="217"/>
      <c r="U566" s="217"/>
      <c r="V566" s="217"/>
      <c r="W566" s="217"/>
      <c r="X566" s="217"/>
      <c r="Y566" s="217"/>
      <c r="Z566" s="217"/>
      <c r="AA566" s="31"/>
      <c r="AB566" s="31"/>
    </row>
    <row r="567" spans="1:28" ht="18" customHeight="1">
      <c r="A567" s="166"/>
      <c r="B567" s="217"/>
      <c r="C567" s="217"/>
      <c r="D567" s="217"/>
      <c r="E567" s="217"/>
      <c r="F567" s="217"/>
      <c r="G567" s="217"/>
      <c r="H567" s="217"/>
      <c r="I567" s="217"/>
      <c r="J567" s="217"/>
      <c r="K567" s="217"/>
      <c r="L567" s="217"/>
      <c r="M567" s="217"/>
      <c r="N567" s="217"/>
      <c r="O567" s="146"/>
      <c r="P567" s="146"/>
      <c r="Q567" s="146"/>
      <c r="R567" s="217"/>
      <c r="S567" s="217"/>
      <c r="T567" s="217"/>
      <c r="U567" s="217"/>
      <c r="V567" s="217"/>
      <c r="W567" s="217"/>
      <c r="X567" s="217"/>
      <c r="Y567" s="217"/>
      <c r="Z567" s="217"/>
      <c r="AA567" s="31"/>
      <c r="AB567" s="31"/>
    </row>
    <row r="568" spans="1:28" ht="18" customHeight="1">
      <c r="A568" s="166"/>
      <c r="B568" s="217"/>
      <c r="C568" s="217"/>
      <c r="D568" s="217"/>
      <c r="E568" s="217"/>
      <c r="F568" s="217"/>
      <c r="G568" s="217"/>
      <c r="H568" s="217"/>
      <c r="I568" s="217"/>
      <c r="J568" s="217"/>
      <c r="K568" s="217"/>
      <c r="L568" s="217"/>
      <c r="M568" s="217"/>
      <c r="N568" s="217"/>
      <c r="O568" s="146"/>
      <c r="P568" s="146"/>
      <c r="Q568" s="146"/>
      <c r="R568" s="217"/>
      <c r="S568" s="217"/>
      <c r="T568" s="217"/>
      <c r="U568" s="217"/>
      <c r="V568" s="217"/>
      <c r="W568" s="217"/>
      <c r="X568" s="217"/>
      <c r="Y568" s="217"/>
      <c r="Z568" s="217"/>
      <c r="AA568" s="31"/>
      <c r="AB568" s="31"/>
    </row>
    <row r="569" spans="1:28" ht="18" customHeight="1">
      <c r="A569" s="166"/>
      <c r="B569" s="217"/>
      <c r="C569" s="217"/>
      <c r="D569" s="217"/>
      <c r="E569" s="217"/>
      <c r="F569" s="217"/>
      <c r="G569" s="217"/>
      <c r="H569" s="217"/>
      <c r="I569" s="217"/>
      <c r="J569" s="217"/>
      <c r="K569" s="217"/>
      <c r="L569" s="217"/>
      <c r="M569" s="217"/>
      <c r="N569" s="217"/>
      <c r="O569" s="146"/>
      <c r="P569" s="146"/>
      <c r="Q569" s="146"/>
      <c r="R569" s="217"/>
      <c r="S569" s="217"/>
      <c r="T569" s="217"/>
      <c r="U569" s="217"/>
      <c r="V569" s="217"/>
      <c r="W569" s="217"/>
      <c r="X569" s="217"/>
      <c r="Y569" s="217"/>
      <c r="Z569" s="217"/>
      <c r="AA569" s="31"/>
      <c r="AB569" s="31"/>
    </row>
    <row r="570" spans="1:28" ht="18" customHeight="1">
      <c r="A570" s="166"/>
      <c r="B570" s="217"/>
      <c r="C570" s="217"/>
      <c r="D570" s="217"/>
      <c r="E570" s="217"/>
      <c r="F570" s="217"/>
      <c r="G570" s="217"/>
      <c r="H570" s="217"/>
      <c r="I570" s="217"/>
      <c r="J570" s="217"/>
      <c r="K570" s="217"/>
      <c r="L570" s="217"/>
      <c r="M570" s="217"/>
      <c r="N570" s="217"/>
      <c r="O570" s="146"/>
      <c r="P570" s="146"/>
      <c r="Q570" s="146"/>
      <c r="R570" s="217"/>
      <c r="S570" s="217"/>
      <c r="T570" s="217"/>
      <c r="U570" s="217"/>
      <c r="V570" s="217"/>
      <c r="W570" s="217"/>
      <c r="X570" s="217"/>
      <c r="Y570" s="217"/>
      <c r="Z570" s="217"/>
      <c r="AA570" s="31"/>
      <c r="AB570" s="31"/>
    </row>
    <row r="571" spans="1:28" ht="18" customHeight="1">
      <c r="A571" s="166"/>
      <c r="B571" s="217"/>
      <c r="C571" s="217"/>
      <c r="D571" s="217"/>
      <c r="E571" s="217"/>
      <c r="F571" s="217"/>
      <c r="G571" s="217"/>
      <c r="H571" s="217"/>
      <c r="I571" s="217"/>
      <c r="J571" s="217"/>
      <c r="K571" s="217"/>
      <c r="L571" s="217"/>
      <c r="M571" s="217"/>
      <c r="N571" s="217"/>
      <c r="O571" s="146"/>
      <c r="P571" s="146"/>
      <c r="Q571" s="146"/>
      <c r="R571" s="217"/>
      <c r="S571" s="217"/>
      <c r="T571" s="217"/>
      <c r="U571" s="217"/>
      <c r="V571" s="217"/>
      <c r="W571" s="217"/>
      <c r="X571" s="217"/>
      <c r="Y571" s="217"/>
      <c r="Z571" s="217"/>
      <c r="AA571" s="31"/>
      <c r="AB571" s="31"/>
    </row>
    <row r="572" spans="1:28" ht="18" customHeight="1">
      <c r="A572" s="166"/>
      <c r="B572" s="217"/>
      <c r="C572" s="217"/>
      <c r="D572" s="217"/>
      <c r="E572" s="217"/>
      <c r="F572" s="217"/>
      <c r="G572" s="217"/>
      <c r="H572" s="217"/>
      <c r="I572" s="217"/>
      <c r="J572" s="217"/>
      <c r="K572" s="217"/>
      <c r="L572" s="217"/>
      <c r="M572" s="217"/>
      <c r="N572" s="217"/>
      <c r="O572" s="146"/>
      <c r="P572" s="146"/>
      <c r="Q572" s="146"/>
      <c r="R572" s="217"/>
      <c r="S572" s="217"/>
      <c r="T572" s="217"/>
      <c r="U572" s="217"/>
      <c r="V572" s="217"/>
      <c r="W572" s="217"/>
      <c r="X572" s="217"/>
      <c r="Y572" s="217"/>
      <c r="Z572" s="217"/>
      <c r="AA572" s="31"/>
      <c r="AB572" s="31"/>
    </row>
    <row r="573" spans="1:28" ht="18" customHeight="1">
      <c r="A573" s="166"/>
      <c r="B573" s="217"/>
      <c r="C573" s="217"/>
      <c r="D573" s="217"/>
      <c r="E573" s="217"/>
      <c r="F573" s="217"/>
      <c r="G573" s="217"/>
      <c r="H573" s="217"/>
      <c r="I573" s="217"/>
      <c r="J573" s="217"/>
      <c r="K573" s="217"/>
      <c r="L573" s="217"/>
      <c r="M573" s="217"/>
      <c r="N573" s="217"/>
      <c r="O573" s="146"/>
      <c r="P573" s="146"/>
      <c r="Q573" s="146"/>
      <c r="R573" s="217"/>
      <c r="S573" s="217"/>
      <c r="T573" s="217"/>
      <c r="U573" s="217"/>
      <c r="V573" s="217"/>
      <c r="W573" s="217"/>
      <c r="X573" s="217"/>
      <c r="Y573" s="217"/>
      <c r="Z573" s="217"/>
      <c r="AA573" s="31"/>
      <c r="AB573" s="31"/>
    </row>
    <row r="574" spans="1:28" ht="18" customHeight="1">
      <c r="A574" s="166"/>
      <c r="B574" s="217"/>
      <c r="C574" s="217"/>
      <c r="D574" s="217"/>
      <c r="E574" s="217"/>
      <c r="F574" s="217"/>
      <c r="G574" s="217"/>
      <c r="H574" s="217"/>
      <c r="I574" s="217"/>
      <c r="J574" s="217"/>
      <c r="K574" s="217"/>
      <c r="L574" s="217"/>
      <c r="M574" s="217"/>
      <c r="N574" s="217"/>
      <c r="O574" s="146"/>
      <c r="P574" s="146"/>
      <c r="Q574" s="146"/>
      <c r="R574" s="217"/>
      <c r="S574" s="217"/>
      <c r="T574" s="217"/>
      <c r="U574" s="217"/>
      <c r="V574" s="217"/>
      <c r="W574" s="217"/>
      <c r="X574" s="217"/>
      <c r="Y574" s="217"/>
      <c r="Z574" s="217"/>
      <c r="AA574" s="31"/>
      <c r="AB574" s="31"/>
    </row>
    <row r="575" spans="1:28" ht="18" customHeight="1">
      <c r="A575" s="166"/>
      <c r="B575" s="217"/>
      <c r="C575" s="217"/>
      <c r="D575" s="217"/>
      <c r="E575" s="217"/>
      <c r="F575" s="217"/>
      <c r="G575" s="217"/>
      <c r="H575" s="217"/>
      <c r="I575" s="217"/>
      <c r="J575" s="217"/>
      <c r="K575" s="217"/>
      <c r="L575" s="217"/>
      <c r="M575" s="217"/>
      <c r="N575" s="217"/>
      <c r="O575" s="146"/>
      <c r="P575" s="146"/>
      <c r="Q575" s="146"/>
      <c r="R575" s="217"/>
      <c r="S575" s="217"/>
      <c r="T575" s="217"/>
      <c r="U575" s="217"/>
      <c r="V575" s="217"/>
      <c r="W575" s="217"/>
      <c r="X575" s="217"/>
      <c r="Y575" s="217"/>
      <c r="Z575" s="217"/>
      <c r="AA575" s="31"/>
      <c r="AB575" s="31"/>
    </row>
    <row r="576" spans="1:28" ht="18" customHeight="1">
      <c r="A576" s="166"/>
      <c r="B576" s="217"/>
      <c r="C576" s="217"/>
      <c r="D576" s="217"/>
      <c r="E576" s="217"/>
      <c r="F576" s="217"/>
      <c r="G576" s="217"/>
      <c r="H576" s="217"/>
      <c r="I576" s="217"/>
      <c r="J576" s="217"/>
      <c r="K576" s="217"/>
      <c r="L576" s="217"/>
      <c r="M576" s="217"/>
      <c r="N576" s="217"/>
      <c r="O576" s="146"/>
      <c r="P576" s="146"/>
      <c r="Q576" s="146"/>
      <c r="R576" s="217"/>
      <c r="S576" s="217"/>
      <c r="T576" s="217"/>
      <c r="U576" s="217"/>
      <c r="V576" s="217"/>
      <c r="W576" s="217"/>
      <c r="X576" s="217"/>
      <c r="Y576" s="217"/>
      <c r="Z576" s="217"/>
      <c r="AA576" s="31"/>
      <c r="AB576" s="31"/>
    </row>
    <row r="577" spans="1:28" ht="18" customHeight="1">
      <c r="A577" s="166"/>
      <c r="B577" s="217"/>
      <c r="C577" s="217"/>
      <c r="D577" s="217"/>
      <c r="E577" s="217"/>
      <c r="F577" s="217"/>
      <c r="G577" s="217"/>
      <c r="H577" s="217"/>
      <c r="I577" s="217"/>
      <c r="J577" s="217"/>
      <c r="K577" s="217"/>
      <c r="L577" s="217"/>
      <c r="M577" s="217"/>
      <c r="N577" s="217"/>
      <c r="O577" s="146"/>
      <c r="P577" s="146"/>
      <c r="Q577" s="146"/>
      <c r="R577" s="217"/>
      <c r="S577" s="217"/>
      <c r="T577" s="217"/>
      <c r="U577" s="217"/>
      <c r="V577" s="217"/>
      <c r="W577" s="217"/>
      <c r="X577" s="217"/>
      <c r="Y577" s="217"/>
      <c r="Z577" s="217"/>
      <c r="AA577" s="31"/>
      <c r="AB577" s="31"/>
    </row>
    <row r="578" spans="1:28" ht="18" customHeight="1">
      <c r="A578" s="166"/>
      <c r="B578" s="217"/>
      <c r="C578" s="217"/>
      <c r="D578" s="217"/>
      <c r="E578" s="217"/>
      <c r="F578" s="217"/>
      <c r="G578" s="217"/>
      <c r="H578" s="217"/>
      <c r="I578" s="217"/>
      <c r="J578" s="217"/>
      <c r="K578" s="217"/>
      <c r="L578" s="217"/>
      <c r="M578" s="217"/>
      <c r="N578" s="217"/>
      <c r="O578" s="146"/>
      <c r="P578" s="146"/>
      <c r="Q578" s="146"/>
      <c r="R578" s="217"/>
      <c r="S578" s="217"/>
      <c r="T578" s="217"/>
      <c r="U578" s="217"/>
      <c r="V578" s="217"/>
      <c r="W578" s="217"/>
      <c r="X578" s="217"/>
      <c r="Y578" s="217"/>
      <c r="Z578" s="217"/>
      <c r="AA578" s="31"/>
      <c r="AB578" s="31"/>
    </row>
    <row r="579" spans="1:28" ht="18" customHeight="1">
      <c r="A579" s="166"/>
      <c r="B579" s="217"/>
      <c r="C579" s="217"/>
      <c r="D579" s="217"/>
      <c r="E579" s="217"/>
      <c r="F579" s="217"/>
      <c r="G579" s="217"/>
      <c r="H579" s="217"/>
      <c r="I579" s="217"/>
      <c r="J579" s="217"/>
      <c r="K579" s="217"/>
      <c r="L579" s="217"/>
      <c r="M579" s="217"/>
      <c r="N579" s="217"/>
      <c r="O579" s="146"/>
      <c r="P579" s="146"/>
      <c r="Q579" s="146"/>
      <c r="R579" s="217"/>
      <c r="S579" s="217"/>
      <c r="T579" s="217"/>
      <c r="U579" s="217"/>
      <c r="V579" s="217"/>
      <c r="W579" s="217"/>
      <c r="X579" s="217"/>
      <c r="Y579" s="217"/>
      <c r="Z579" s="217"/>
      <c r="AA579" s="31"/>
      <c r="AB579" s="31"/>
    </row>
    <row r="580" spans="1:28" ht="18" customHeight="1">
      <c r="A580" s="166"/>
      <c r="B580" s="217"/>
      <c r="C580" s="217"/>
      <c r="D580" s="217"/>
      <c r="E580" s="217"/>
      <c r="F580" s="217"/>
      <c r="G580" s="217"/>
      <c r="H580" s="217"/>
      <c r="I580" s="217"/>
      <c r="J580" s="217"/>
      <c r="K580" s="217"/>
      <c r="L580" s="217"/>
      <c r="M580" s="217"/>
      <c r="N580" s="217"/>
      <c r="O580" s="146"/>
      <c r="P580" s="146"/>
      <c r="Q580" s="146"/>
      <c r="R580" s="217"/>
      <c r="S580" s="217"/>
      <c r="T580" s="217"/>
      <c r="U580" s="217"/>
      <c r="V580" s="217"/>
      <c r="W580" s="217"/>
      <c r="X580" s="217"/>
      <c r="Y580" s="217"/>
      <c r="Z580" s="217"/>
      <c r="AA580" s="31"/>
      <c r="AB580" s="31"/>
    </row>
    <row r="581" spans="1:28" ht="18" customHeight="1">
      <c r="A581" s="166"/>
      <c r="B581" s="217"/>
      <c r="C581" s="217"/>
      <c r="D581" s="217"/>
      <c r="E581" s="217"/>
      <c r="F581" s="217"/>
      <c r="G581" s="217"/>
      <c r="H581" s="217"/>
      <c r="I581" s="217"/>
      <c r="J581" s="217"/>
      <c r="K581" s="217"/>
      <c r="L581" s="217"/>
      <c r="M581" s="217"/>
      <c r="N581" s="217"/>
      <c r="O581" s="146"/>
      <c r="P581" s="146"/>
      <c r="Q581" s="146"/>
      <c r="R581" s="217"/>
      <c r="S581" s="217"/>
      <c r="T581" s="217"/>
      <c r="U581" s="217"/>
      <c r="V581" s="217"/>
      <c r="W581" s="217"/>
      <c r="X581" s="217"/>
      <c r="Y581" s="217"/>
      <c r="Z581" s="217"/>
      <c r="AA581" s="31"/>
      <c r="AB581" s="31"/>
    </row>
    <row r="582" spans="1:28" ht="18" customHeight="1">
      <c r="A582" s="166"/>
      <c r="B582" s="217"/>
      <c r="C582" s="217"/>
      <c r="D582" s="217"/>
      <c r="E582" s="217"/>
      <c r="F582" s="217"/>
      <c r="G582" s="217"/>
      <c r="H582" s="217"/>
      <c r="I582" s="217"/>
      <c r="J582" s="217"/>
      <c r="K582" s="217"/>
      <c r="L582" s="217"/>
      <c r="M582" s="217"/>
      <c r="N582" s="217"/>
      <c r="O582" s="146"/>
      <c r="P582" s="146"/>
      <c r="Q582" s="146"/>
      <c r="R582" s="217"/>
      <c r="S582" s="217"/>
      <c r="T582" s="217"/>
      <c r="U582" s="217"/>
      <c r="V582" s="217"/>
      <c r="W582" s="217"/>
      <c r="X582" s="217"/>
      <c r="Y582" s="217"/>
      <c r="Z582" s="217"/>
      <c r="AA582" s="31"/>
      <c r="AB582" s="31"/>
    </row>
    <row r="583" spans="1:28" ht="18" customHeight="1">
      <c r="A583" s="166"/>
      <c r="B583" s="217"/>
      <c r="C583" s="217"/>
      <c r="D583" s="217"/>
      <c r="E583" s="217"/>
      <c r="F583" s="217"/>
      <c r="G583" s="217"/>
      <c r="H583" s="217"/>
      <c r="I583" s="217"/>
      <c r="J583" s="217"/>
      <c r="K583" s="217"/>
      <c r="L583" s="217"/>
      <c r="M583" s="217"/>
      <c r="N583" s="217"/>
      <c r="O583" s="146"/>
      <c r="P583" s="146"/>
      <c r="Q583" s="146"/>
      <c r="R583" s="217"/>
      <c r="S583" s="217"/>
      <c r="T583" s="217"/>
      <c r="U583" s="217"/>
      <c r="V583" s="217"/>
      <c r="W583" s="217"/>
      <c r="X583" s="217"/>
      <c r="Y583" s="217"/>
      <c r="Z583" s="217"/>
      <c r="AA583" s="31"/>
      <c r="AB583" s="31"/>
    </row>
    <row r="584" spans="1:28" ht="18" customHeight="1">
      <c r="A584" s="166"/>
      <c r="B584" s="217"/>
      <c r="C584" s="217"/>
      <c r="D584" s="217"/>
      <c r="E584" s="217"/>
      <c r="F584" s="217"/>
      <c r="G584" s="217"/>
      <c r="H584" s="217"/>
      <c r="I584" s="217"/>
      <c r="J584" s="217"/>
      <c r="K584" s="217"/>
      <c r="L584" s="217"/>
      <c r="M584" s="217"/>
      <c r="N584" s="217"/>
      <c r="O584" s="146"/>
      <c r="P584" s="146"/>
      <c r="Q584" s="146"/>
      <c r="R584" s="217"/>
      <c r="S584" s="217"/>
      <c r="T584" s="217"/>
      <c r="U584" s="217"/>
      <c r="V584" s="217"/>
      <c r="W584" s="217"/>
      <c r="X584" s="217"/>
      <c r="Y584" s="217"/>
      <c r="Z584" s="217"/>
      <c r="AA584" s="31"/>
      <c r="AB584" s="31"/>
    </row>
    <row r="585" spans="1:28" ht="18" customHeight="1">
      <c r="A585" s="166"/>
      <c r="B585" s="217"/>
      <c r="C585" s="217"/>
      <c r="D585" s="217"/>
      <c r="E585" s="217"/>
      <c r="F585" s="217"/>
      <c r="G585" s="217"/>
      <c r="H585" s="217"/>
      <c r="I585" s="217"/>
      <c r="J585" s="217"/>
      <c r="K585" s="217"/>
      <c r="L585" s="217"/>
      <c r="M585" s="217"/>
      <c r="N585" s="217"/>
      <c r="O585" s="146"/>
      <c r="P585" s="146"/>
      <c r="Q585" s="146"/>
      <c r="R585" s="217"/>
      <c r="S585" s="217"/>
      <c r="T585" s="217"/>
      <c r="U585" s="217"/>
      <c r="V585" s="217"/>
      <c r="W585" s="217"/>
      <c r="X585" s="217"/>
      <c r="Y585" s="217"/>
      <c r="Z585" s="217"/>
      <c r="AA585" s="31"/>
      <c r="AB585" s="31"/>
    </row>
    <row r="586" spans="1:28" ht="18" customHeight="1">
      <c r="A586" s="166"/>
      <c r="B586" s="217"/>
      <c r="C586" s="217"/>
      <c r="D586" s="217"/>
      <c r="E586" s="217"/>
      <c r="F586" s="217"/>
      <c r="G586" s="217"/>
      <c r="H586" s="217"/>
      <c r="I586" s="217"/>
      <c r="J586" s="217"/>
      <c r="K586" s="217"/>
      <c r="L586" s="217"/>
      <c r="M586" s="217"/>
      <c r="N586" s="217"/>
      <c r="O586" s="146"/>
      <c r="P586" s="146"/>
      <c r="Q586" s="146"/>
      <c r="R586" s="217"/>
      <c r="S586" s="217"/>
      <c r="T586" s="217"/>
      <c r="U586" s="217"/>
      <c r="V586" s="217"/>
      <c r="W586" s="217"/>
      <c r="X586" s="217"/>
      <c r="Y586" s="217"/>
      <c r="Z586" s="217"/>
      <c r="AA586" s="31"/>
      <c r="AB586" s="31"/>
    </row>
    <row r="587" spans="1:28" ht="18" customHeight="1">
      <c r="A587" s="166"/>
      <c r="B587" s="217"/>
      <c r="C587" s="217"/>
      <c r="D587" s="217"/>
      <c r="E587" s="217"/>
      <c r="F587" s="217"/>
      <c r="G587" s="217"/>
      <c r="H587" s="217"/>
      <c r="I587" s="217"/>
      <c r="J587" s="217"/>
      <c r="K587" s="217"/>
      <c r="L587" s="217"/>
      <c r="M587" s="217"/>
      <c r="N587" s="217"/>
      <c r="O587" s="146"/>
      <c r="P587" s="146"/>
      <c r="Q587" s="146"/>
      <c r="R587" s="217"/>
      <c r="S587" s="217"/>
      <c r="T587" s="217"/>
      <c r="U587" s="217"/>
      <c r="V587" s="217"/>
      <c r="W587" s="217"/>
      <c r="X587" s="217"/>
      <c r="Y587" s="217"/>
      <c r="Z587" s="217"/>
      <c r="AA587" s="31"/>
      <c r="AB587" s="31"/>
    </row>
    <row r="588" spans="1:28" ht="18" customHeight="1">
      <c r="A588" s="166"/>
      <c r="B588" s="217"/>
      <c r="C588" s="217"/>
      <c r="D588" s="217"/>
      <c r="E588" s="217"/>
      <c r="F588" s="217"/>
      <c r="G588" s="217"/>
      <c r="H588" s="217"/>
      <c r="I588" s="217"/>
      <c r="J588" s="217"/>
      <c r="K588" s="217"/>
      <c r="L588" s="217"/>
      <c r="M588" s="217"/>
      <c r="N588" s="217"/>
      <c r="O588" s="146"/>
      <c r="P588" s="146"/>
      <c r="Q588" s="146"/>
      <c r="R588" s="217"/>
      <c r="S588" s="217"/>
      <c r="T588" s="217"/>
      <c r="U588" s="217"/>
      <c r="V588" s="217"/>
      <c r="W588" s="217"/>
      <c r="X588" s="217"/>
      <c r="Y588" s="217"/>
      <c r="Z588" s="217"/>
      <c r="AA588" s="31"/>
      <c r="AB588" s="31"/>
    </row>
    <row r="589" spans="1:28" ht="18" customHeight="1">
      <c r="A589" s="166"/>
      <c r="B589" s="217"/>
      <c r="C589" s="217"/>
      <c r="D589" s="217"/>
      <c r="E589" s="217"/>
      <c r="F589" s="217"/>
      <c r="G589" s="217"/>
      <c r="H589" s="217"/>
      <c r="I589" s="217"/>
      <c r="J589" s="217"/>
      <c r="K589" s="217"/>
      <c r="L589" s="217"/>
      <c r="M589" s="217"/>
      <c r="N589" s="217"/>
      <c r="O589" s="146"/>
      <c r="P589" s="146"/>
      <c r="Q589" s="146"/>
      <c r="R589" s="217"/>
      <c r="S589" s="217"/>
      <c r="T589" s="217"/>
      <c r="U589" s="217"/>
      <c r="V589" s="217"/>
      <c r="W589" s="217"/>
      <c r="X589" s="217"/>
      <c r="Y589" s="217"/>
      <c r="Z589" s="217"/>
      <c r="AA589" s="31"/>
      <c r="AB589" s="31"/>
    </row>
    <row r="590" spans="1:28" ht="18" customHeight="1">
      <c r="A590" s="166"/>
      <c r="B590" s="217"/>
      <c r="C590" s="217"/>
      <c r="D590" s="217"/>
      <c r="E590" s="217"/>
      <c r="F590" s="217"/>
      <c r="G590" s="217"/>
      <c r="H590" s="217"/>
      <c r="I590" s="217"/>
      <c r="J590" s="217"/>
      <c r="K590" s="217"/>
      <c r="L590" s="217"/>
      <c r="M590" s="217"/>
      <c r="N590" s="217"/>
      <c r="O590" s="146"/>
      <c r="P590" s="146"/>
      <c r="Q590" s="146"/>
      <c r="R590" s="217"/>
      <c r="S590" s="217"/>
      <c r="T590" s="217"/>
      <c r="U590" s="217"/>
      <c r="V590" s="217"/>
      <c r="W590" s="217"/>
      <c r="X590" s="217"/>
      <c r="Y590" s="217"/>
      <c r="Z590" s="217"/>
      <c r="AA590" s="31"/>
      <c r="AB590" s="31"/>
    </row>
    <row r="591" spans="1:28" ht="18" customHeight="1">
      <c r="A591" s="166"/>
      <c r="B591" s="217"/>
      <c r="C591" s="217"/>
      <c r="D591" s="217"/>
      <c r="E591" s="217"/>
      <c r="F591" s="217"/>
      <c r="G591" s="217"/>
      <c r="H591" s="217"/>
      <c r="I591" s="217"/>
      <c r="J591" s="217"/>
      <c r="K591" s="217"/>
      <c r="L591" s="217"/>
      <c r="M591" s="217"/>
      <c r="N591" s="217"/>
      <c r="O591" s="146"/>
      <c r="P591" s="146"/>
      <c r="Q591" s="146"/>
      <c r="R591" s="217"/>
      <c r="S591" s="217"/>
      <c r="T591" s="217"/>
      <c r="U591" s="217"/>
      <c r="V591" s="217"/>
      <c r="W591" s="217"/>
      <c r="X591" s="217"/>
      <c r="Y591" s="217"/>
      <c r="Z591" s="217"/>
      <c r="AA591" s="31"/>
      <c r="AB591" s="31"/>
    </row>
    <row r="592" spans="1:28" ht="18" customHeight="1">
      <c r="A592" s="166"/>
      <c r="B592" s="217"/>
      <c r="C592" s="217"/>
      <c r="D592" s="217"/>
      <c r="E592" s="217"/>
      <c r="F592" s="217"/>
      <c r="G592" s="217"/>
      <c r="H592" s="217"/>
      <c r="I592" s="217"/>
      <c r="J592" s="217"/>
      <c r="K592" s="217"/>
      <c r="L592" s="217"/>
      <c r="M592" s="217"/>
      <c r="N592" s="217"/>
      <c r="O592" s="146"/>
      <c r="P592" s="146"/>
      <c r="Q592" s="146"/>
      <c r="R592" s="217"/>
      <c r="S592" s="217"/>
      <c r="T592" s="217"/>
      <c r="U592" s="217"/>
      <c r="V592" s="217"/>
      <c r="W592" s="217"/>
      <c r="X592" s="217"/>
      <c r="Y592" s="217"/>
      <c r="Z592" s="217"/>
      <c r="AA592" s="31"/>
      <c r="AB592" s="31"/>
    </row>
    <row r="593" spans="1:28" ht="18" customHeight="1">
      <c r="A593" s="166"/>
      <c r="B593" s="217"/>
      <c r="C593" s="217"/>
      <c r="D593" s="217"/>
      <c r="E593" s="217"/>
      <c r="F593" s="217"/>
      <c r="G593" s="217"/>
      <c r="H593" s="217"/>
      <c r="I593" s="217"/>
      <c r="J593" s="217"/>
      <c r="K593" s="217"/>
      <c r="L593" s="217"/>
      <c r="M593" s="217"/>
      <c r="N593" s="217"/>
      <c r="O593" s="146"/>
      <c r="P593" s="146"/>
      <c r="Q593" s="146"/>
      <c r="R593" s="217"/>
      <c r="S593" s="217"/>
      <c r="T593" s="217"/>
      <c r="U593" s="217"/>
      <c r="V593" s="217"/>
      <c r="W593" s="217"/>
      <c r="X593" s="217"/>
      <c r="Y593" s="217"/>
      <c r="Z593" s="217"/>
      <c r="AA593" s="31"/>
      <c r="AB593" s="31"/>
    </row>
    <row r="594" spans="1:28" ht="18" customHeight="1">
      <c r="A594" s="166"/>
      <c r="B594" s="217"/>
      <c r="C594" s="217"/>
      <c r="D594" s="217"/>
      <c r="E594" s="217"/>
      <c r="F594" s="217"/>
      <c r="G594" s="217"/>
      <c r="H594" s="217"/>
      <c r="I594" s="217"/>
      <c r="J594" s="217"/>
      <c r="K594" s="217"/>
      <c r="L594" s="217"/>
      <c r="M594" s="217"/>
      <c r="N594" s="217"/>
      <c r="O594" s="146"/>
      <c r="P594" s="146"/>
      <c r="Q594" s="146"/>
      <c r="R594" s="217"/>
      <c r="S594" s="217"/>
      <c r="T594" s="217"/>
      <c r="U594" s="217"/>
      <c r="V594" s="217"/>
      <c r="W594" s="217"/>
      <c r="X594" s="217"/>
      <c r="Y594" s="217"/>
      <c r="Z594" s="217"/>
      <c r="AA594" s="31"/>
      <c r="AB594" s="31"/>
    </row>
    <row r="595" spans="1:28" ht="18" customHeight="1">
      <c r="A595" s="166"/>
      <c r="B595" s="217"/>
      <c r="C595" s="217"/>
      <c r="D595" s="217"/>
      <c r="E595" s="217"/>
      <c r="F595" s="217"/>
      <c r="G595" s="217"/>
      <c r="H595" s="217"/>
      <c r="I595" s="217"/>
      <c r="J595" s="217"/>
      <c r="K595" s="217"/>
      <c r="L595" s="217"/>
      <c r="M595" s="217"/>
      <c r="N595" s="217"/>
      <c r="O595" s="146"/>
      <c r="P595" s="146"/>
      <c r="Q595" s="146"/>
      <c r="R595" s="217"/>
      <c r="S595" s="217"/>
      <c r="T595" s="217"/>
      <c r="U595" s="217"/>
      <c r="V595" s="217"/>
      <c r="W595" s="217"/>
      <c r="X595" s="217"/>
      <c r="Y595" s="217"/>
      <c r="Z595" s="217"/>
      <c r="AA595" s="31"/>
      <c r="AB595" s="31"/>
    </row>
    <row r="596" spans="1:28" ht="18" customHeight="1">
      <c r="A596" s="166"/>
      <c r="B596" s="217"/>
      <c r="C596" s="217"/>
      <c r="D596" s="217"/>
      <c r="E596" s="217"/>
      <c r="F596" s="217"/>
      <c r="G596" s="217"/>
      <c r="H596" s="217"/>
      <c r="I596" s="217"/>
      <c r="J596" s="217"/>
      <c r="K596" s="217"/>
      <c r="L596" s="217"/>
      <c r="M596" s="217"/>
      <c r="N596" s="217"/>
      <c r="O596" s="146"/>
      <c r="P596" s="146"/>
      <c r="Q596" s="146"/>
      <c r="R596" s="217"/>
      <c r="S596" s="217"/>
      <c r="T596" s="217"/>
      <c r="U596" s="217"/>
      <c r="V596" s="217"/>
      <c r="W596" s="217"/>
      <c r="X596" s="217"/>
      <c r="Y596" s="217"/>
      <c r="Z596" s="217"/>
      <c r="AA596" s="31"/>
      <c r="AB596" s="31"/>
    </row>
    <row r="597" spans="1:28" ht="18" customHeight="1">
      <c r="A597" s="166"/>
      <c r="B597" s="217"/>
      <c r="C597" s="217"/>
      <c r="D597" s="217"/>
      <c r="E597" s="217"/>
      <c r="F597" s="217"/>
      <c r="G597" s="217"/>
      <c r="H597" s="217"/>
      <c r="I597" s="217"/>
      <c r="J597" s="217"/>
      <c r="K597" s="217"/>
      <c r="L597" s="217"/>
      <c r="M597" s="217"/>
      <c r="N597" s="217"/>
      <c r="O597" s="146"/>
      <c r="P597" s="146"/>
      <c r="Q597" s="146"/>
      <c r="R597" s="217"/>
      <c r="S597" s="217"/>
      <c r="T597" s="217"/>
      <c r="U597" s="217"/>
      <c r="V597" s="217"/>
      <c r="W597" s="217"/>
      <c r="X597" s="217"/>
      <c r="Y597" s="217"/>
      <c r="Z597" s="217"/>
      <c r="AA597" s="31"/>
      <c r="AB597" s="31"/>
    </row>
    <row r="598" spans="1:28" ht="18" customHeight="1">
      <c r="A598" s="166"/>
      <c r="B598" s="217"/>
      <c r="C598" s="217"/>
      <c r="D598" s="217"/>
      <c r="E598" s="217"/>
      <c r="F598" s="217"/>
      <c r="G598" s="217"/>
      <c r="H598" s="217"/>
      <c r="I598" s="217"/>
      <c r="J598" s="217"/>
      <c r="K598" s="217"/>
      <c r="L598" s="217"/>
      <c r="M598" s="217"/>
      <c r="N598" s="217"/>
      <c r="O598" s="146"/>
      <c r="P598" s="146"/>
      <c r="Q598" s="146"/>
      <c r="R598" s="217"/>
      <c r="S598" s="217"/>
      <c r="T598" s="217"/>
      <c r="U598" s="217"/>
      <c r="V598" s="217"/>
      <c r="W598" s="217"/>
      <c r="X598" s="217"/>
      <c r="Y598" s="217"/>
      <c r="Z598" s="217"/>
      <c r="AA598" s="31"/>
      <c r="AB598" s="31"/>
    </row>
    <row r="599" spans="1:28" ht="18" customHeight="1">
      <c r="A599" s="166"/>
      <c r="B599" s="217"/>
      <c r="C599" s="217"/>
      <c r="D599" s="217"/>
      <c r="E599" s="217"/>
      <c r="F599" s="217"/>
      <c r="G599" s="217"/>
      <c r="H599" s="217"/>
      <c r="I599" s="217"/>
      <c r="J599" s="217"/>
      <c r="K599" s="217"/>
      <c r="L599" s="217"/>
      <c r="M599" s="217"/>
      <c r="N599" s="217"/>
      <c r="O599" s="146"/>
      <c r="P599" s="146"/>
      <c r="Q599" s="146"/>
      <c r="R599" s="217"/>
      <c r="S599" s="217"/>
      <c r="T599" s="217"/>
      <c r="U599" s="217"/>
      <c r="V599" s="217"/>
      <c r="W599" s="217"/>
      <c r="X599" s="217"/>
      <c r="Y599" s="217"/>
      <c r="Z599" s="217"/>
      <c r="AA599" s="31"/>
      <c r="AB599" s="31"/>
    </row>
    <row r="600" spans="1:28" ht="18" customHeight="1">
      <c r="A600" s="166"/>
      <c r="B600" s="217"/>
      <c r="C600" s="217"/>
      <c r="D600" s="217"/>
      <c r="E600" s="217"/>
      <c r="F600" s="217"/>
      <c r="G600" s="217"/>
      <c r="H600" s="217"/>
      <c r="I600" s="217"/>
      <c r="J600" s="217"/>
      <c r="K600" s="217"/>
      <c r="L600" s="217"/>
      <c r="M600" s="217"/>
      <c r="N600" s="217"/>
      <c r="O600" s="146"/>
      <c r="P600" s="146"/>
      <c r="Q600" s="146"/>
      <c r="R600" s="217"/>
      <c r="S600" s="217"/>
      <c r="T600" s="217"/>
      <c r="U600" s="217"/>
      <c r="V600" s="217"/>
      <c r="W600" s="217"/>
      <c r="X600" s="217"/>
      <c r="Y600" s="217"/>
      <c r="Z600" s="217"/>
      <c r="AA600" s="31"/>
      <c r="AB600" s="31"/>
    </row>
    <row r="601" spans="1:28">
      <c r="B601" s="218"/>
      <c r="C601" s="218"/>
      <c r="D601" s="218"/>
      <c r="E601" s="218"/>
      <c r="F601" s="218"/>
      <c r="G601" s="218"/>
      <c r="H601" s="218"/>
      <c r="I601" s="218"/>
      <c r="J601" s="218"/>
      <c r="K601" s="218"/>
      <c r="L601" s="218"/>
      <c r="M601" s="218"/>
      <c r="N601" s="218"/>
      <c r="R601" s="218"/>
      <c r="S601" s="218"/>
      <c r="T601" s="218"/>
      <c r="U601" s="218"/>
      <c r="V601" s="218"/>
      <c r="W601" s="218"/>
      <c r="X601" s="218"/>
      <c r="Y601" s="218"/>
      <c r="Z601" s="218"/>
      <c r="AA601" s="31"/>
      <c r="AB601" s="31"/>
    </row>
    <row r="602" spans="1:28">
      <c r="B602" s="218"/>
      <c r="C602" s="218"/>
      <c r="D602" s="218"/>
      <c r="E602" s="218"/>
      <c r="F602" s="218"/>
      <c r="G602" s="218"/>
      <c r="H602" s="218"/>
      <c r="I602" s="218"/>
      <c r="J602" s="218"/>
      <c r="K602" s="218"/>
      <c r="L602" s="218"/>
      <c r="M602" s="218"/>
      <c r="N602" s="218"/>
      <c r="R602" s="218"/>
      <c r="S602" s="218"/>
      <c r="T602" s="218"/>
      <c r="U602" s="218"/>
      <c r="V602" s="218"/>
      <c r="W602" s="218"/>
      <c r="X602" s="218"/>
      <c r="Y602" s="218"/>
      <c r="Z602" s="218"/>
      <c r="AA602" s="31"/>
      <c r="AB602" s="31"/>
    </row>
    <row r="603" spans="1:28">
      <c r="B603" s="218"/>
      <c r="C603" s="218"/>
      <c r="D603" s="218"/>
      <c r="E603" s="218"/>
      <c r="F603" s="218"/>
      <c r="G603" s="218"/>
      <c r="H603" s="218"/>
      <c r="I603" s="218"/>
      <c r="J603" s="218"/>
      <c r="K603" s="218"/>
      <c r="L603" s="218"/>
      <c r="M603" s="218"/>
      <c r="N603" s="218"/>
      <c r="R603" s="218"/>
      <c r="S603" s="218"/>
      <c r="T603" s="218"/>
      <c r="U603" s="218"/>
      <c r="V603" s="218"/>
      <c r="W603" s="218"/>
      <c r="X603" s="218"/>
      <c r="Y603" s="218"/>
      <c r="Z603" s="218"/>
      <c r="AA603" s="31"/>
      <c r="AB603" s="31"/>
    </row>
    <row r="604" spans="1:28">
      <c r="B604" s="218"/>
      <c r="C604" s="218"/>
      <c r="D604" s="218"/>
      <c r="E604" s="218"/>
      <c r="F604" s="218"/>
      <c r="G604" s="218"/>
      <c r="H604" s="218"/>
      <c r="I604" s="218"/>
      <c r="J604" s="218"/>
      <c r="K604" s="218"/>
      <c r="L604" s="218"/>
      <c r="M604" s="218"/>
      <c r="N604" s="218"/>
      <c r="R604" s="218"/>
      <c r="S604" s="218"/>
      <c r="T604" s="218"/>
      <c r="U604" s="218"/>
      <c r="V604" s="218"/>
      <c r="W604" s="218"/>
      <c r="X604" s="218"/>
      <c r="Y604" s="218"/>
      <c r="Z604" s="218"/>
      <c r="AA604" s="31"/>
      <c r="AB604" s="31"/>
    </row>
    <row r="605" spans="1:28">
      <c r="AA605" s="31"/>
      <c r="AB605" s="31"/>
    </row>
    <row r="606" spans="1:28">
      <c r="AA606" s="31"/>
      <c r="AB606" s="31"/>
    </row>
    <row r="607" spans="1:28">
      <c r="AA607" s="31"/>
      <c r="AB607" s="31"/>
    </row>
    <row r="608" spans="1:28">
      <c r="AA608" s="31"/>
      <c r="AB608" s="31"/>
    </row>
    <row r="609" spans="27:28">
      <c r="AA609" s="31"/>
      <c r="AB609" s="31"/>
    </row>
    <row r="610" spans="27:28">
      <c r="AA610" s="31"/>
      <c r="AB610" s="31"/>
    </row>
    <row r="611" spans="27:28">
      <c r="AA611" s="31"/>
      <c r="AB611" s="31"/>
    </row>
    <row r="612" spans="27:28">
      <c r="AA612" s="31"/>
      <c r="AB612" s="31"/>
    </row>
    <row r="613" spans="27:28">
      <c r="AA613" s="31"/>
      <c r="AB613" s="31"/>
    </row>
    <row r="614" spans="27:28">
      <c r="AA614" s="31"/>
      <c r="AB614" s="31"/>
    </row>
    <row r="615" spans="27:28">
      <c r="AA615" s="31"/>
      <c r="AB615" s="31"/>
    </row>
    <row r="616" spans="27:28">
      <c r="AA616" s="31"/>
      <c r="AB616" s="31"/>
    </row>
    <row r="617" spans="27:28">
      <c r="AA617" s="31"/>
      <c r="AB617" s="31"/>
    </row>
    <row r="618" spans="27:28">
      <c r="AA618" s="31"/>
      <c r="AB618" s="31"/>
    </row>
    <row r="619" spans="27:28">
      <c r="AA619" s="31"/>
      <c r="AB619" s="31"/>
    </row>
    <row r="620" spans="27:28">
      <c r="AA620" s="31"/>
      <c r="AB620" s="31"/>
    </row>
    <row r="621" spans="27:28">
      <c r="AA621" s="31"/>
      <c r="AB621" s="31"/>
    </row>
    <row r="622" spans="27:28">
      <c r="AA622" s="31"/>
      <c r="AB622" s="31"/>
    </row>
    <row r="623" spans="27:28">
      <c r="AA623" s="31"/>
      <c r="AB623" s="31"/>
    </row>
    <row r="624" spans="27:28">
      <c r="AA624" s="31"/>
      <c r="AB624" s="31"/>
    </row>
    <row r="625" spans="27:28">
      <c r="AA625" s="31"/>
      <c r="AB625" s="31"/>
    </row>
    <row r="626" spans="27:28">
      <c r="AA626" s="31"/>
      <c r="AB626" s="31"/>
    </row>
    <row r="627" spans="27:28">
      <c r="AA627" s="31"/>
      <c r="AB627" s="31"/>
    </row>
    <row r="628" spans="27:28">
      <c r="AA628" s="31"/>
      <c r="AB628" s="31"/>
    </row>
    <row r="629" spans="27:28">
      <c r="AA629" s="31"/>
      <c r="AB629" s="31"/>
    </row>
    <row r="630" spans="27:28">
      <c r="AA630" s="31"/>
      <c r="AB630" s="31"/>
    </row>
    <row r="631" spans="27:28">
      <c r="AA631" s="31"/>
      <c r="AB631" s="31"/>
    </row>
    <row r="632" spans="27:28">
      <c r="AA632" s="31"/>
      <c r="AB632" s="31"/>
    </row>
    <row r="633" spans="27:28">
      <c r="AA633" s="31"/>
      <c r="AB633" s="31"/>
    </row>
    <row r="634" spans="27:28">
      <c r="AA634" s="31"/>
      <c r="AB634" s="31"/>
    </row>
    <row r="635" spans="27:28">
      <c r="AA635" s="31"/>
      <c r="AB635" s="31"/>
    </row>
    <row r="636" spans="27:28">
      <c r="AA636" s="31"/>
      <c r="AB636" s="31"/>
    </row>
    <row r="637" spans="27:28">
      <c r="AA637" s="31"/>
      <c r="AB637" s="31"/>
    </row>
    <row r="638" spans="27:28">
      <c r="AA638" s="31"/>
      <c r="AB638" s="31"/>
    </row>
    <row r="639" spans="27:28">
      <c r="AA639" s="31"/>
      <c r="AB639" s="31"/>
    </row>
    <row r="640" spans="27:28">
      <c r="AA640" s="31"/>
      <c r="AB640" s="31"/>
    </row>
    <row r="641" spans="27:28">
      <c r="AA641" s="31"/>
      <c r="AB641" s="31"/>
    </row>
    <row r="642" spans="27:28">
      <c r="AA642" s="31"/>
      <c r="AB642" s="31"/>
    </row>
    <row r="643" spans="27:28">
      <c r="AA643" s="31"/>
      <c r="AB643" s="31"/>
    </row>
    <row r="644" spans="27:28">
      <c r="AA644" s="31"/>
      <c r="AB644" s="31"/>
    </row>
    <row r="645" spans="27:28">
      <c r="AA645" s="31"/>
      <c r="AB645" s="31"/>
    </row>
    <row r="646" spans="27:28">
      <c r="AA646" s="31"/>
      <c r="AB646" s="31"/>
    </row>
    <row r="647" spans="27:28">
      <c r="AA647" s="31"/>
      <c r="AB647" s="31"/>
    </row>
    <row r="648" spans="27:28">
      <c r="AA648" s="31"/>
      <c r="AB648" s="31"/>
    </row>
    <row r="649" spans="27:28">
      <c r="AA649" s="31"/>
      <c r="AB649" s="31"/>
    </row>
    <row r="650" spans="27:28">
      <c r="AA650" s="31"/>
      <c r="AB650" s="31"/>
    </row>
    <row r="651" spans="27:28">
      <c r="AA651" s="31"/>
      <c r="AB651" s="31"/>
    </row>
    <row r="652" spans="27:28">
      <c r="AA652" s="31"/>
      <c r="AB652" s="31"/>
    </row>
    <row r="653" spans="27:28">
      <c r="AA653" s="31"/>
      <c r="AB653" s="31"/>
    </row>
    <row r="654" spans="27:28">
      <c r="AA654" s="31"/>
      <c r="AB654" s="31"/>
    </row>
    <row r="655" spans="27:28">
      <c r="AA655" s="31"/>
      <c r="AB655" s="31"/>
    </row>
    <row r="656" spans="27:28">
      <c r="AA656" s="31"/>
      <c r="AB656" s="31"/>
    </row>
    <row r="657" spans="27:28">
      <c r="AA657" s="31"/>
      <c r="AB657" s="31"/>
    </row>
    <row r="658" spans="27:28">
      <c r="AA658" s="31"/>
      <c r="AB658" s="31"/>
    </row>
    <row r="659" spans="27:28">
      <c r="AA659" s="31"/>
      <c r="AB659" s="31"/>
    </row>
    <row r="660" spans="27:28">
      <c r="AA660" s="31"/>
      <c r="AB660" s="31"/>
    </row>
    <row r="661" spans="27:28">
      <c r="AA661" s="31"/>
      <c r="AB661" s="31"/>
    </row>
    <row r="662" spans="27:28">
      <c r="AA662" s="31"/>
      <c r="AB662" s="31"/>
    </row>
    <row r="663" spans="27:28">
      <c r="AA663" s="31"/>
      <c r="AB663" s="31"/>
    </row>
    <row r="664" spans="27:28">
      <c r="AA664" s="31"/>
      <c r="AB664" s="31"/>
    </row>
    <row r="665" spans="27:28">
      <c r="AA665" s="31"/>
      <c r="AB665" s="31"/>
    </row>
    <row r="666" spans="27:28">
      <c r="AA666" s="31"/>
      <c r="AB666" s="31"/>
    </row>
    <row r="667" spans="27:28">
      <c r="AA667" s="31"/>
      <c r="AB667" s="31"/>
    </row>
    <row r="668" spans="27:28">
      <c r="AA668" s="31"/>
      <c r="AB668" s="31"/>
    </row>
    <row r="669" spans="27:28">
      <c r="AA669" s="31"/>
      <c r="AB669" s="31"/>
    </row>
    <row r="670" spans="27:28">
      <c r="AA670" s="31"/>
      <c r="AB670" s="31"/>
    </row>
    <row r="671" spans="27:28">
      <c r="AA671" s="31"/>
      <c r="AB671" s="31"/>
    </row>
    <row r="672" spans="27:28">
      <c r="AA672" s="31"/>
      <c r="AB672" s="31"/>
    </row>
    <row r="673" spans="27:28">
      <c r="AA673" s="31"/>
      <c r="AB673" s="31"/>
    </row>
    <row r="674" spans="27:28">
      <c r="AA674" s="31"/>
      <c r="AB674" s="31"/>
    </row>
    <row r="675" spans="27:28">
      <c r="AA675" s="31"/>
      <c r="AB675" s="31"/>
    </row>
    <row r="676" spans="27:28">
      <c r="AA676" s="31"/>
      <c r="AB676" s="31"/>
    </row>
    <row r="677" spans="27:28">
      <c r="AA677" s="31"/>
      <c r="AB677" s="31"/>
    </row>
    <row r="678" spans="27:28">
      <c r="AA678" s="31"/>
      <c r="AB678" s="31"/>
    </row>
    <row r="679" spans="27:28">
      <c r="AA679" s="31"/>
      <c r="AB679" s="31"/>
    </row>
    <row r="680" spans="27:28">
      <c r="AA680" s="31"/>
      <c r="AB680" s="31"/>
    </row>
    <row r="681" spans="27:28">
      <c r="AA681" s="31"/>
      <c r="AB681" s="31"/>
    </row>
    <row r="682" spans="27:28">
      <c r="AA682" s="31"/>
      <c r="AB682" s="31"/>
    </row>
    <row r="683" spans="27:28">
      <c r="AA683" s="31"/>
      <c r="AB683" s="31"/>
    </row>
    <row r="684" spans="27:28">
      <c r="AA684" s="31"/>
      <c r="AB684" s="31"/>
    </row>
    <row r="685" spans="27:28">
      <c r="AA685" s="31"/>
      <c r="AB685" s="31"/>
    </row>
    <row r="686" spans="27:28">
      <c r="AA686" s="31"/>
      <c r="AB686" s="31"/>
    </row>
    <row r="687" spans="27:28">
      <c r="AA687" s="31"/>
      <c r="AB687" s="31"/>
    </row>
    <row r="688" spans="27:28">
      <c r="AA688" s="31"/>
      <c r="AB688" s="31"/>
    </row>
    <row r="689" spans="27:28">
      <c r="AA689" s="31"/>
      <c r="AB689" s="31"/>
    </row>
    <row r="690" spans="27:28">
      <c r="AA690" s="31"/>
      <c r="AB690" s="31"/>
    </row>
    <row r="691" spans="27:28">
      <c r="AA691" s="31"/>
      <c r="AB691" s="31"/>
    </row>
    <row r="692" spans="27:28">
      <c r="AA692" s="31"/>
      <c r="AB692" s="31"/>
    </row>
    <row r="693" spans="27:28">
      <c r="AA693" s="31"/>
      <c r="AB693" s="31"/>
    </row>
    <row r="694" spans="27:28">
      <c r="AA694" s="31"/>
      <c r="AB694" s="31"/>
    </row>
    <row r="695" spans="27:28">
      <c r="AA695" s="31"/>
      <c r="AB695" s="31"/>
    </row>
    <row r="696" spans="27:28">
      <c r="AA696" s="31"/>
      <c r="AB696" s="31"/>
    </row>
    <row r="697" spans="27:28">
      <c r="AA697" s="31"/>
      <c r="AB697" s="31"/>
    </row>
    <row r="698" spans="27:28">
      <c r="AA698" s="31"/>
      <c r="AB698" s="31"/>
    </row>
    <row r="699" spans="27:28">
      <c r="AA699" s="31"/>
      <c r="AB699" s="31"/>
    </row>
    <row r="700" spans="27:28">
      <c r="AA700" s="31"/>
      <c r="AB700" s="31"/>
    </row>
    <row r="701" spans="27:28">
      <c r="AA701" s="31"/>
      <c r="AB701" s="31"/>
    </row>
    <row r="702" spans="27:28">
      <c r="AA702" s="31"/>
      <c r="AB702" s="31"/>
    </row>
    <row r="703" spans="27:28">
      <c r="AA703" s="31"/>
      <c r="AB703" s="31"/>
    </row>
    <row r="704" spans="27:28">
      <c r="AA704" s="31"/>
      <c r="AB704" s="31"/>
    </row>
    <row r="705" spans="27:28">
      <c r="AA705" s="31"/>
      <c r="AB705" s="31"/>
    </row>
    <row r="706" spans="27:28">
      <c r="AA706" s="31"/>
      <c r="AB706" s="31"/>
    </row>
    <row r="707" spans="27:28">
      <c r="AA707" s="31"/>
      <c r="AB707" s="31"/>
    </row>
    <row r="708" spans="27:28">
      <c r="AA708" s="31"/>
      <c r="AB708" s="31"/>
    </row>
    <row r="709" spans="27:28">
      <c r="AA709" s="31"/>
      <c r="AB709" s="31"/>
    </row>
    <row r="710" spans="27:28">
      <c r="AA710" s="31"/>
      <c r="AB710" s="31"/>
    </row>
    <row r="711" spans="27:28">
      <c r="AA711" s="31"/>
      <c r="AB711" s="31"/>
    </row>
    <row r="712" spans="27:28">
      <c r="AA712" s="31"/>
      <c r="AB712" s="31"/>
    </row>
    <row r="713" spans="27:28">
      <c r="AA713" s="31"/>
      <c r="AB713" s="31"/>
    </row>
    <row r="714" spans="27:28">
      <c r="AA714" s="31"/>
      <c r="AB714" s="31"/>
    </row>
    <row r="715" spans="27:28">
      <c r="AA715" s="31"/>
      <c r="AB715" s="31"/>
    </row>
    <row r="716" spans="27:28">
      <c r="AA716" s="31"/>
      <c r="AB716" s="31"/>
    </row>
    <row r="717" spans="27:28">
      <c r="AA717" s="31"/>
      <c r="AB717" s="31"/>
    </row>
    <row r="718" spans="27:28">
      <c r="AA718" s="31"/>
      <c r="AB718" s="31"/>
    </row>
    <row r="719" spans="27:28">
      <c r="AA719" s="31"/>
      <c r="AB719" s="31"/>
    </row>
    <row r="720" spans="27:28">
      <c r="AA720" s="31"/>
      <c r="AB720" s="31"/>
    </row>
    <row r="721" spans="2:28">
      <c r="AA721" s="31"/>
      <c r="AB721" s="31"/>
    </row>
    <row r="722" spans="2:28">
      <c r="AA722" s="31"/>
      <c r="AB722" s="31"/>
    </row>
    <row r="723" spans="2:28">
      <c r="AA723" s="31"/>
      <c r="AB723" s="31"/>
    </row>
    <row r="724" spans="2:28">
      <c r="AA724" s="31"/>
      <c r="AB724" s="31"/>
    </row>
    <row r="725" spans="2:28">
      <c r="AA725" s="31"/>
      <c r="AB725" s="31"/>
    </row>
    <row r="726" spans="2:28">
      <c r="AA726" s="31"/>
      <c r="AB726" s="31"/>
    </row>
    <row r="727" spans="2:28">
      <c r="AA727" s="31"/>
      <c r="AB727" s="31"/>
    </row>
    <row r="728" spans="2:28">
      <c r="AA728" s="31"/>
      <c r="AB728" s="31"/>
    </row>
    <row r="729" spans="2:28">
      <c r="AA729" s="31"/>
      <c r="AB729" s="31"/>
    </row>
    <row r="730" spans="2:28">
      <c r="AA730" s="31"/>
      <c r="AB730" s="31"/>
    </row>
    <row r="731" spans="2:28">
      <c r="AA731" s="31"/>
      <c r="AB731" s="31"/>
    </row>
    <row r="732" spans="2:28">
      <c r="AA732" s="31"/>
      <c r="AB732" s="31"/>
    </row>
    <row r="733" spans="2:28">
      <c r="B733" s="218"/>
      <c r="C733" s="218"/>
      <c r="D733" s="218"/>
      <c r="E733" s="218"/>
      <c r="F733" s="218"/>
      <c r="G733" s="218"/>
      <c r="H733" s="218"/>
      <c r="I733" s="218"/>
      <c r="J733" s="218"/>
      <c r="K733" s="218"/>
      <c r="L733" s="218"/>
      <c r="M733" s="218"/>
      <c r="N733" s="218"/>
      <c r="R733" s="218"/>
      <c r="S733" s="218"/>
      <c r="T733" s="218"/>
      <c r="U733" s="218"/>
      <c r="V733" s="218"/>
      <c r="W733" s="218"/>
      <c r="X733" s="218"/>
      <c r="Y733" s="218"/>
      <c r="Z733" s="218"/>
      <c r="AA733" s="31"/>
      <c r="AB733" s="31"/>
    </row>
    <row r="734" spans="2:28">
      <c r="B734" s="218"/>
      <c r="C734" s="218"/>
      <c r="D734" s="218"/>
      <c r="E734" s="218"/>
      <c r="F734" s="218"/>
      <c r="G734" s="218"/>
      <c r="H734" s="218"/>
      <c r="I734" s="218"/>
      <c r="J734" s="218"/>
      <c r="K734" s="218"/>
      <c r="L734" s="218"/>
      <c r="M734" s="218"/>
      <c r="N734" s="218"/>
      <c r="R734" s="218"/>
      <c r="S734" s="218"/>
      <c r="T734" s="218"/>
      <c r="U734" s="218"/>
      <c r="V734" s="218"/>
      <c r="W734" s="218"/>
      <c r="X734" s="218"/>
      <c r="Y734" s="218"/>
      <c r="Z734" s="218"/>
      <c r="AA734" s="31"/>
      <c r="AB734" s="31"/>
    </row>
    <row r="735" spans="2:28">
      <c r="B735" s="218"/>
      <c r="C735" s="218"/>
      <c r="D735" s="218"/>
      <c r="E735" s="218"/>
      <c r="F735" s="218"/>
      <c r="G735" s="218"/>
      <c r="H735" s="218"/>
      <c r="I735" s="218"/>
      <c r="J735" s="218"/>
      <c r="K735" s="218"/>
      <c r="L735" s="218"/>
      <c r="M735" s="218"/>
      <c r="N735" s="218"/>
      <c r="R735" s="218"/>
      <c r="S735" s="218"/>
      <c r="T735" s="218"/>
      <c r="U735" s="218"/>
      <c r="V735" s="218"/>
      <c r="W735" s="218"/>
      <c r="X735" s="218"/>
      <c r="Y735" s="218"/>
      <c r="Z735" s="218"/>
      <c r="AA735" s="31"/>
      <c r="AB735" s="31"/>
    </row>
    <row r="736" spans="2:28">
      <c r="B736" s="218"/>
      <c r="C736" s="218"/>
      <c r="D736" s="218"/>
      <c r="E736" s="218"/>
      <c r="F736" s="218"/>
      <c r="G736" s="218"/>
      <c r="H736" s="218"/>
      <c r="I736" s="218"/>
      <c r="J736" s="218"/>
      <c r="K736" s="218"/>
      <c r="L736" s="218"/>
      <c r="M736" s="218"/>
      <c r="N736" s="218"/>
      <c r="R736" s="218"/>
      <c r="S736" s="218"/>
      <c r="T736" s="218"/>
      <c r="U736" s="218"/>
      <c r="V736" s="218"/>
      <c r="W736" s="218"/>
      <c r="X736" s="218"/>
      <c r="Y736" s="218"/>
      <c r="Z736" s="218"/>
      <c r="AA736" s="218"/>
      <c r="AB736" s="218"/>
    </row>
    <row r="737" spans="2:28">
      <c r="B737" s="218"/>
      <c r="C737" s="218"/>
      <c r="D737" s="218"/>
      <c r="E737" s="218"/>
      <c r="F737" s="218"/>
      <c r="G737" s="218"/>
      <c r="H737" s="218"/>
      <c r="I737" s="218"/>
      <c r="J737" s="218"/>
      <c r="K737" s="218"/>
      <c r="L737" s="218"/>
      <c r="M737" s="218"/>
      <c r="N737" s="218"/>
      <c r="R737" s="218"/>
      <c r="S737" s="218"/>
      <c r="T737" s="218"/>
      <c r="U737" s="218"/>
      <c r="V737" s="218"/>
      <c r="W737" s="218"/>
      <c r="X737" s="218"/>
      <c r="Y737" s="218"/>
      <c r="Z737" s="218"/>
      <c r="AA737" s="218"/>
      <c r="AB737" s="218"/>
    </row>
    <row r="738" spans="2:28">
      <c r="B738" s="218"/>
      <c r="C738" s="218"/>
      <c r="D738" s="218"/>
      <c r="E738" s="218"/>
      <c r="F738" s="218"/>
      <c r="G738" s="218"/>
      <c r="H738" s="218"/>
      <c r="I738" s="218"/>
      <c r="J738" s="218"/>
      <c r="K738" s="218"/>
      <c r="L738" s="218"/>
      <c r="M738" s="218"/>
      <c r="N738" s="218"/>
      <c r="R738" s="218"/>
      <c r="S738" s="218"/>
      <c r="T738" s="218"/>
      <c r="U738" s="218"/>
      <c r="V738" s="218"/>
      <c r="W738" s="218"/>
      <c r="X738" s="218"/>
      <c r="Y738" s="218"/>
      <c r="Z738" s="218"/>
      <c r="AA738" s="218"/>
      <c r="AB738" s="218"/>
    </row>
    <row r="739" spans="2:28">
      <c r="B739" s="218"/>
      <c r="C739" s="218"/>
      <c r="D739" s="218"/>
      <c r="E739" s="218"/>
      <c r="F739" s="218"/>
      <c r="G739" s="218"/>
      <c r="H739" s="218"/>
      <c r="I739" s="218"/>
      <c r="J739" s="218"/>
      <c r="K739" s="218"/>
      <c r="L739" s="218"/>
      <c r="M739" s="218"/>
      <c r="N739" s="218"/>
      <c r="R739" s="218"/>
      <c r="S739" s="218"/>
      <c r="T739" s="218"/>
      <c r="U739" s="218"/>
      <c r="V739" s="218"/>
      <c r="W739" s="218"/>
      <c r="X739" s="218"/>
      <c r="Y739" s="218"/>
      <c r="Z739" s="218"/>
      <c r="AA739" s="218"/>
      <c r="AB739" s="218"/>
    </row>
    <row r="740" spans="2:28">
      <c r="B740" s="36"/>
      <c r="C740" s="36"/>
      <c r="D740" s="36"/>
      <c r="E740" s="36"/>
      <c r="F740" s="36"/>
      <c r="G740" s="36"/>
      <c r="H740" s="36"/>
      <c r="I740" s="36"/>
      <c r="J740" s="36"/>
      <c r="K740" s="218"/>
      <c r="L740" s="218"/>
      <c r="M740" s="218"/>
      <c r="N740" s="218"/>
      <c r="R740" s="218"/>
      <c r="S740" s="218"/>
      <c r="T740" s="218"/>
      <c r="U740" s="218"/>
      <c r="V740" s="218"/>
      <c r="W740" s="218"/>
      <c r="X740" s="218"/>
      <c r="Y740" s="218"/>
      <c r="Z740" s="218"/>
      <c r="AA740" s="218"/>
      <c r="AB740" s="218"/>
    </row>
    <row r="741" spans="2:28">
      <c r="B741" s="36"/>
      <c r="C741" s="36"/>
      <c r="D741" s="36"/>
      <c r="E741" s="36"/>
      <c r="F741" s="36"/>
      <c r="G741" s="36"/>
      <c r="H741" s="36"/>
      <c r="I741" s="36"/>
      <c r="J741" s="36"/>
      <c r="K741" s="218"/>
      <c r="L741" s="218"/>
      <c r="M741" s="218"/>
      <c r="N741" s="218"/>
      <c r="R741" s="218"/>
      <c r="S741" s="218"/>
      <c r="T741" s="218"/>
      <c r="U741" s="218"/>
      <c r="V741" s="218"/>
      <c r="W741" s="218"/>
      <c r="X741" s="218"/>
      <c r="Y741" s="218"/>
      <c r="Z741" s="218"/>
      <c r="AA741" s="218"/>
      <c r="AB741" s="218"/>
    </row>
    <row r="742" spans="2:28">
      <c r="B742" s="36"/>
      <c r="C742" s="36"/>
      <c r="D742" s="36"/>
      <c r="E742" s="36"/>
      <c r="F742" s="36"/>
      <c r="G742" s="36"/>
      <c r="H742" s="36"/>
      <c r="I742" s="36"/>
      <c r="J742" s="36"/>
      <c r="K742" s="218"/>
      <c r="L742" s="218"/>
      <c r="M742" s="218"/>
      <c r="N742" s="218"/>
      <c r="R742" s="218"/>
      <c r="S742" s="218"/>
      <c r="T742" s="218"/>
      <c r="U742" s="218"/>
      <c r="V742" s="218"/>
      <c r="W742" s="218"/>
      <c r="X742" s="218"/>
      <c r="Y742" s="218"/>
      <c r="Z742" s="218"/>
      <c r="AA742" s="218"/>
      <c r="AB742" s="218"/>
    </row>
    <row r="743" spans="2:28">
      <c r="B743" s="36"/>
      <c r="C743" s="36"/>
      <c r="D743" s="36"/>
      <c r="E743" s="36"/>
      <c r="F743" s="36"/>
      <c r="G743" s="36"/>
      <c r="H743" s="36"/>
      <c r="I743" s="36"/>
      <c r="J743" s="36"/>
      <c r="K743" s="218"/>
      <c r="L743" s="218"/>
      <c r="M743" s="218"/>
      <c r="N743" s="218"/>
      <c r="R743" s="218"/>
      <c r="S743" s="218"/>
      <c r="T743" s="218"/>
      <c r="U743" s="218"/>
      <c r="V743" s="218"/>
      <c r="W743" s="218"/>
      <c r="X743" s="218"/>
      <c r="Y743" s="218"/>
      <c r="Z743" s="218"/>
      <c r="AA743" s="218"/>
      <c r="AB743" s="218"/>
    </row>
    <row r="744" spans="2:28">
      <c r="B744" s="36"/>
      <c r="C744" s="36"/>
      <c r="D744" s="36"/>
      <c r="E744" s="36"/>
      <c r="F744" s="36"/>
      <c r="G744" s="36"/>
      <c r="H744" s="36"/>
      <c r="I744" s="36"/>
      <c r="J744" s="36"/>
      <c r="K744" s="218"/>
      <c r="L744" s="218"/>
      <c r="M744" s="218"/>
      <c r="N744" s="218"/>
      <c r="R744" s="218"/>
      <c r="S744" s="218"/>
      <c r="T744" s="218"/>
      <c r="U744" s="218"/>
      <c r="V744" s="218"/>
      <c r="W744" s="218"/>
      <c r="X744" s="218"/>
      <c r="Y744" s="218"/>
      <c r="Z744" s="218"/>
      <c r="AA744" s="218"/>
      <c r="AB744" s="218"/>
    </row>
    <row r="745" spans="2:28">
      <c r="B745" s="36"/>
      <c r="C745" s="36"/>
      <c r="D745" s="36"/>
      <c r="E745" s="36"/>
      <c r="F745" s="36"/>
      <c r="G745" s="36"/>
      <c r="H745" s="36"/>
      <c r="I745" s="36"/>
      <c r="J745" s="36"/>
      <c r="K745" s="218"/>
      <c r="L745" s="218"/>
      <c r="M745" s="218"/>
      <c r="N745" s="218"/>
      <c r="R745" s="218"/>
      <c r="S745" s="218"/>
      <c r="T745" s="218"/>
      <c r="U745" s="218"/>
      <c r="V745" s="218"/>
      <c r="W745" s="218"/>
      <c r="X745" s="218"/>
      <c r="Y745" s="218"/>
      <c r="Z745" s="218"/>
      <c r="AA745" s="218"/>
      <c r="AB745" s="218"/>
    </row>
    <row r="746" spans="2:28">
      <c r="B746" s="36"/>
      <c r="C746" s="36"/>
      <c r="D746" s="36"/>
      <c r="E746" s="36"/>
      <c r="F746" s="36"/>
      <c r="G746" s="36"/>
      <c r="H746" s="36"/>
      <c r="I746" s="36"/>
      <c r="J746" s="36"/>
      <c r="K746" s="218"/>
      <c r="L746" s="218"/>
      <c r="M746" s="218"/>
      <c r="N746" s="218"/>
      <c r="R746" s="218"/>
      <c r="S746" s="218"/>
      <c r="T746" s="218"/>
      <c r="U746" s="218"/>
      <c r="V746" s="218"/>
      <c r="W746" s="218"/>
      <c r="X746" s="218"/>
      <c r="Y746" s="218"/>
      <c r="Z746" s="218"/>
      <c r="AA746" s="218"/>
      <c r="AB746" s="218"/>
    </row>
    <row r="747" spans="2:28">
      <c r="B747" s="36"/>
      <c r="C747" s="36"/>
      <c r="D747" s="36"/>
      <c r="E747" s="36"/>
      <c r="F747" s="36"/>
      <c r="G747" s="36"/>
      <c r="H747" s="36"/>
      <c r="I747" s="36"/>
      <c r="J747" s="36"/>
      <c r="K747" s="218"/>
      <c r="L747" s="218"/>
      <c r="M747" s="218"/>
      <c r="N747" s="218"/>
      <c r="R747" s="218"/>
      <c r="S747" s="218"/>
      <c r="T747" s="218"/>
      <c r="U747" s="218"/>
      <c r="V747" s="218"/>
      <c r="W747" s="218"/>
      <c r="X747" s="218"/>
      <c r="Y747" s="218"/>
      <c r="Z747" s="218"/>
      <c r="AA747" s="218"/>
      <c r="AB747" s="218"/>
    </row>
    <row r="748" spans="2:28">
      <c r="B748" s="36"/>
      <c r="C748" s="36"/>
      <c r="D748" s="36"/>
      <c r="E748" s="36"/>
      <c r="F748" s="36"/>
      <c r="G748" s="36"/>
      <c r="H748" s="36"/>
      <c r="I748" s="36"/>
      <c r="J748" s="36"/>
      <c r="K748" s="218"/>
      <c r="L748" s="218"/>
      <c r="M748" s="218"/>
      <c r="N748" s="218"/>
      <c r="R748" s="218"/>
      <c r="S748" s="218"/>
      <c r="T748" s="218"/>
      <c r="U748" s="218"/>
      <c r="V748" s="218"/>
      <c r="W748" s="218"/>
      <c r="X748" s="218"/>
      <c r="Y748" s="218"/>
      <c r="Z748" s="218"/>
      <c r="AA748" s="218"/>
      <c r="AB748" s="218"/>
    </row>
    <row r="749" spans="2:28">
      <c r="B749" s="36"/>
      <c r="C749" s="36"/>
      <c r="D749" s="36"/>
      <c r="E749" s="36"/>
      <c r="F749" s="36"/>
      <c r="G749" s="36"/>
      <c r="H749" s="36"/>
      <c r="I749" s="36"/>
      <c r="J749" s="36"/>
    </row>
    <row r="750" spans="2:28">
      <c r="B750" s="36"/>
      <c r="C750" s="36"/>
      <c r="D750" s="36"/>
      <c r="E750" s="36"/>
      <c r="F750" s="36"/>
      <c r="G750" s="36"/>
      <c r="H750" s="36"/>
      <c r="I750" s="36"/>
      <c r="J750" s="36"/>
    </row>
    <row r="751" spans="2:28">
      <c r="B751" s="36"/>
      <c r="C751" s="36"/>
      <c r="D751" s="36"/>
      <c r="E751" s="36"/>
      <c r="F751" s="36"/>
      <c r="G751" s="36"/>
      <c r="H751" s="36"/>
      <c r="I751" s="36"/>
      <c r="J751" s="36"/>
    </row>
    <row r="752" spans="2:28">
      <c r="B752" s="36"/>
      <c r="C752" s="36"/>
      <c r="D752" s="36"/>
      <c r="E752" s="36"/>
      <c r="F752" s="36"/>
      <c r="G752" s="36"/>
      <c r="H752" s="36"/>
      <c r="I752" s="36"/>
      <c r="J752" s="36"/>
    </row>
    <row r="753" spans="2:10">
      <c r="B753" s="36"/>
      <c r="C753" s="36"/>
      <c r="D753" s="36"/>
      <c r="E753" s="36"/>
      <c r="F753" s="36"/>
      <c r="G753" s="36"/>
      <c r="H753" s="36"/>
      <c r="I753" s="36"/>
      <c r="J753" s="36"/>
    </row>
    <row r="754" spans="2:10">
      <c r="B754" s="36"/>
      <c r="C754" s="36"/>
      <c r="D754" s="36"/>
      <c r="E754" s="36"/>
      <c r="F754" s="36"/>
      <c r="G754" s="36"/>
      <c r="H754" s="36"/>
      <c r="I754" s="36"/>
      <c r="J754" s="36"/>
    </row>
    <row r="755" spans="2:10">
      <c r="B755" s="36"/>
      <c r="C755" s="36"/>
      <c r="D755" s="36"/>
      <c r="E755" s="36"/>
      <c r="F755" s="36"/>
      <c r="G755" s="36"/>
      <c r="H755" s="36"/>
      <c r="I755" s="36"/>
      <c r="J755" s="36"/>
    </row>
    <row r="756" spans="2:10">
      <c r="B756" s="36"/>
      <c r="C756" s="36"/>
      <c r="D756" s="36"/>
      <c r="E756" s="36"/>
      <c r="F756" s="36"/>
      <c r="G756" s="36"/>
      <c r="H756" s="36"/>
      <c r="I756" s="36"/>
      <c r="J756" s="36"/>
    </row>
    <row r="757" spans="2:10">
      <c r="B757" s="36"/>
      <c r="C757" s="36"/>
      <c r="D757" s="36"/>
      <c r="E757" s="36"/>
      <c r="F757" s="36"/>
      <c r="G757" s="36"/>
      <c r="H757" s="36"/>
      <c r="I757" s="36"/>
      <c r="J757" s="36"/>
    </row>
    <row r="758" spans="2:10">
      <c r="B758" s="36"/>
      <c r="C758" s="36"/>
      <c r="D758" s="36"/>
      <c r="E758" s="36"/>
      <c r="F758" s="36"/>
      <c r="G758" s="36"/>
      <c r="H758" s="36"/>
      <c r="I758" s="36"/>
      <c r="J758" s="36"/>
    </row>
    <row r="759" spans="2:10">
      <c r="B759" s="36"/>
      <c r="C759" s="36"/>
      <c r="D759" s="36"/>
      <c r="E759" s="36"/>
      <c r="F759" s="36"/>
      <c r="G759" s="36"/>
      <c r="H759" s="36"/>
      <c r="I759" s="36"/>
      <c r="J759" s="36"/>
    </row>
    <row r="760" spans="2:10">
      <c r="B760" s="36"/>
      <c r="C760" s="36"/>
      <c r="D760" s="36"/>
      <c r="E760" s="36"/>
      <c r="F760" s="36"/>
      <c r="G760" s="36"/>
      <c r="H760" s="36"/>
      <c r="I760" s="36"/>
      <c r="J760" s="36"/>
    </row>
    <row r="761" spans="2:10">
      <c r="B761" s="36"/>
      <c r="C761" s="36"/>
      <c r="D761" s="36"/>
      <c r="E761" s="36"/>
      <c r="F761" s="36"/>
      <c r="G761" s="36"/>
      <c r="H761" s="36"/>
      <c r="I761" s="36"/>
      <c r="J761" s="36"/>
    </row>
    <row r="762" spans="2:10">
      <c r="B762" s="36"/>
      <c r="C762" s="36"/>
      <c r="D762" s="36"/>
      <c r="E762" s="36"/>
      <c r="F762" s="36"/>
      <c r="G762" s="36"/>
      <c r="H762" s="36"/>
      <c r="I762" s="36"/>
      <c r="J762" s="36"/>
    </row>
    <row r="763" spans="2:10">
      <c r="B763" s="36"/>
      <c r="C763" s="36"/>
      <c r="D763" s="36"/>
      <c r="E763" s="36"/>
      <c r="F763" s="36"/>
      <c r="G763" s="36"/>
      <c r="H763" s="36"/>
      <c r="I763" s="36"/>
      <c r="J763" s="36"/>
    </row>
    <row r="764" spans="2:10">
      <c r="B764" s="36"/>
      <c r="C764" s="36"/>
      <c r="D764" s="36"/>
      <c r="E764" s="36"/>
      <c r="F764" s="36"/>
      <c r="G764" s="36"/>
      <c r="H764" s="36"/>
      <c r="I764" s="36"/>
      <c r="J764" s="36"/>
    </row>
    <row r="765" spans="2:10">
      <c r="B765" s="36"/>
      <c r="C765" s="36"/>
      <c r="D765" s="36"/>
      <c r="E765" s="36"/>
      <c r="F765" s="36"/>
      <c r="G765" s="36"/>
      <c r="H765" s="36"/>
      <c r="I765" s="36"/>
      <c r="J765" s="36"/>
    </row>
    <row r="766" spans="2:10">
      <c r="B766" s="36"/>
      <c r="C766" s="36"/>
      <c r="D766" s="36"/>
      <c r="E766" s="36"/>
      <c r="F766" s="36"/>
      <c r="G766" s="36"/>
      <c r="H766" s="36"/>
      <c r="I766" s="36"/>
      <c r="J766" s="36"/>
    </row>
    <row r="767" spans="2:10">
      <c r="B767" s="36"/>
      <c r="C767" s="36"/>
      <c r="D767" s="36"/>
      <c r="E767" s="36"/>
      <c r="F767" s="36"/>
      <c r="G767" s="36"/>
      <c r="H767" s="36"/>
      <c r="I767" s="36"/>
      <c r="J767" s="36"/>
    </row>
    <row r="768" spans="2:10">
      <c r="B768" s="36"/>
      <c r="C768" s="36"/>
      <c r="D768" s="36"/>
      <c r="E768" s="36"/>
      <c r="F768" s="36"/>
      <c r="G768" s="36"/>
      <c r="H768" s="36"/>
      <c r="I768" s="36"/>
      <c r="J768" s="36"/>
    </row>
    <row r="769" spans="2:10">
      <c r="B769" s="36"/>
      <c r="C769" s="36"/>
      <c r="D769" s="36"/>
      <c r="E769" s="36"/>
      <c r="F769" s="36"/>
      <c r="G769" s="36"/>
      <c r="H769" s="36"/>
      <c r="I769" s="36"/>
      <c r="J769" s="36"/>
    </row>
    <row r="770" spans="2:10">
      <c r="B770" s="36"/>
      <c r="C770" s="36"/>
      <c r="D770" s="36"/>
      <c r="E770" s="36"/>
      <c r="F770" s="36"/>
      <c r="G770" s="36"/>
      <c r="H770" s="36"/>
      <c r="I770" s="36"/>
      <c r="J770" s="36"/>
    </row>
    <row r="771" spans="2:10">
      <c r="B771" s="36"/>
      <c r="C771" s="36"/>
      <c r="D771" s="36"/>
      <c r="E771" s="36"/>
      <c r="F771" s="36"/>
      <c r="G771" s="36"/>
      <c r="H771" s="36"/>
      <c r="I771" s="36"/>
      <c r="J771" s="36"/>
    </row>
    <row r="772" spans="2:10">
      <c r="B772" s="36"/>
      <c r="C772" s="36"/>
      <c r="D772" s="36"/>
      <c r="E772" s="36"/>
      <c r="F772" s="36"/>
      <c r="G772" s="36"/>
      <c r="H772" s="36"/>
      <c r="I772" s="36"/>
      <c r="J772" s="36"/>
    </row>
    <row r="773" spans="2:10">
      <c r="B773" s="36"/>
      <c r="C773" s="36"/>
      <c r="D773" s="36"/>
      <c r="E773" s="36"/>
      <c r="F773" s="36"/>
      <c r="G773" s="36"/>
      <c r="H773" s="36"/>
      <c r="I773" s="36"/>
      <c r="J773" s="36"/>
    </row>
    <row r="774" spans="2:10">
      <c r="B774" s="36"/>
      <c r="C774" s="36"/>
      <c r="D774" s="36"/>
      <c r="E774" s="36"/>
      <c r="F774" s="36"/>
      <c r="G774" s="36"/>
      <c r="H774" s="36"/>
      <c r="I774" s="36"/>
      <c r="J774" s="36"/>
    </row>
    <row r="775" spans="2:10">
      <c r="B775" s="36"/>
      <c r="C775" s="36"/>
      <c r="D775" s="36"/>
      <c r="E775" s="36"/>
      <c r="F775" s="36"/>
      <c r="G775" s="36"/>
      <c r="H775" s="36"/>
      <c r="I775" s="36"/>
      <c r="J775" s="36"/>
    </row>
    <row r="776" spans="2:10">
      <c r="B776" s="36"/>
      <c r="C776" s="36"/>
      <c r="D776" s="36"/>
      <c r="E776" s="36"/>
      <c r="F776" s="36"/>
      <c r="G776" s="36"/>
      <c r="H776" s="36"/>
      <c r="I776" s="36"/>
      <c r="J776" s="36"/>
    </row>
    <row r="777" spans="2:10">
      <c r="B777" s="36"/>
      <c r="C777" s="36"/>
      <c r="D777" s="36"/>
      <c r="E777" s="36"/>
      <c r="F777" s="36"/>
      <c r="G777" s="36"/>
      <c r="H777" s="36"/>
      <c r="I777" s="36"/>
      <c r="J777" s="36"/>
    </row>
    <row r="778" spans="2:10">
      <c r="B778" s="36"/>
      <c r="C778" s="36"/>
      <c r="D778" s="36"/>
      <c r="E778" s="36"/>
      <c r="F778" s="36"/>
      <c r="G778" s="36"/>
      <c r="H778" s="36"/>
      <c r="I778" s="36"/>
      <c r="J778" s="36"/>
    </row>
    <row r="779" spans="2:10">
      <c r="B779" s="36"/>
      <c r="C779" s="36"/>
      <c r="D779" s="36"/>
      <c r="E779" s="36"/>
      <c r="F779" s="36"/>
      <c r="G779" s="36"/>
      <c r="H779" s="36"/>
      <c r="I779" s="36"/>
      <c r="J779" s="36"/>
    </row>
    <row r="780" spans="2:10">
      <c r="B780" s="36"/>
      <c r="C780" s="36"/>
      <c r="D780" s="36"/>
      <c r="E780" s="36"/>
      <c r="F780" s="36"/>
      <c r="G780" s="36"/>
      <c r="H780" s="36"/>
      <c r="I780" s="36"/>
      <c r="J780" s="36"/>
    </row>
    <row r="781" spans="2:10">
      <c r="B781" s="36"/>
      <c r="C781" s="36"/>
      <c r="D781" s="36"/>
      <c r="E781" s="36"/>
      <c r="F781" s="36"/>
      <c r="G781" s="36"/>
      <c r="H781" s="36"/>
      <c r="I781" s="36"/>
      <c r="J781" s="36"/>
    </row>
    <row r="782" spans="2:10">
      <c r="B782" s="36"/>
      <c r="C782" s="36"/>
      <c r="D782" s="36"/>
      <c r="E782" s="36"/>
      <c r="F782" s="36"/>
      <c r="G782" s="36"/>
      <c r="H782" s="36"/>
      <c r="I782" s="36"/>
      <c r="J782" s="36"/>
    </row>
    <row r="783" spans="2:10">
      <c r="B783" s="36"/>
      <c r="C783" s="36"/>
      <c r="D783" s="36"/>
      <c r="E783" s="36"/>
      <c r="F783" s="36"/>
      <c r="G783" s="36"/>
      <c r="H783" s="36"/>
      <c r="I783" s="36"/>
      <c r="J783" s="36"/>
    </row>
    <row r="784" spans="2:10">
      <c r="B784" s="36"/>
      <c r="C784" s="36"/>
      <c r="D784" s="36"/>
      <c r="E784" s="36"/>
      <c r="F784" s="36"/>
      <c r="G784" s="36"/>
      <c r="H784" s="36"/>
      <c r="I784" s="36"/>
      <c r="J784" s="36"/>
    </row>
    <row r="785" spans="2:10">
      <c r="B785" s="36"/>
      <c r="C785" s="36"/>
      <c r="D785" s="36"/>
      <c r="E785" s="36"/>
      <c r="F785" s="36"/>
      <c r="G785" s="36"/>
      <c r="H785" s="36"/>
      <c r="I785" s="36"/>
      <c r="J785" s="36"/>
    </row>
    <row r="786" spans="2:10">
      <c r="B786" s="36"/>
      <c r="C786" s="36"/>
      <c r="D786" s="36"/>
      <c r="E786" s="36"/>
      <c r="F786" s="36"/>
      <c r="G786" s="36"/>
      <c r="H786" s="36"/>
      <c r="I786" s="36"/>
      <c r="J786" s="36"/>
    </row>
    <row r="787" spans="2:10">
      <c r="B787" s="36"/>
      <c r="C787" s="36"/>
      <c r="D787" s="36"/>
      <c r="E787" s="36"/>
      <c r="F787" s="36"/>
      <c r="G787" s="36"/>
      <c r="H787" s="36"/>
      <c r="I787" s="36"/>
      <c r="J787" s="36"/>
    </row>
    <row r="788" spans="2:10">
      <c r="B788" s="36"/>
      <c r="C788" s="36"/>
      <c r="D788" s="36"/>
      <c r="E788" s="36"/>
      <c r="F788" s="36"/>
      <c r="G788" s="36"/>
      <c r="H788" s="36"/>
      <c r="I788" s="36"/>
      <c r="J788" s="36"/>
    </row>
    <row r="789" spans="2:10">
      <c r="B789" s="36"/>
      <c r="C789" s="36"/>
      <c r="D789" s="36"/>
      <c r="E789" s="36"/>
      <c r="F789" s="36"/>
      <c r="G789" s="36"/>
      <c r="H789" s="36"/>
      <c r="I789" s="36"/>
      <c r="J789" s="36"/>
    </row>
    <row r="790" spans="2:10">
      <c r="B790" s="36"/>
      <c r="C790" s="36"/>
      <c r="D790" s="36"/>
      <c r="E790" s="36"/>
      <c r="F790" s="36"/>
      <c r="G790" s="36"/>
      <c r="H790" s="36"/>
      <c r="I790" s="36"/>
      <c r="J790" s="36"/>
    </row>
    <row r="791" spans="2:10">
      <c r="B791" s="36"/>
      <c r="C791" s="36"/>
      <c r="D791" s="36"/>
      <c r="E791" s="36"/>
      <c r="F791" s="36"/>
      <c r="G791" s="36"/>
      <c r="H791" s="36"/>
      <c r="I791" s="36"/>
      <c r="J791" s="36"/>
    </row>
    <row r="792" spans="2:10">
      <c r="B792" s="36"/>
      <c r="C792" s="36"/>
      <c r="D792" s="36"/>
      <c r="E792" s="36"/>
      <c r="F792" s="36"/>
      <c r="G792" s="36"/>
      <c r="H792" s="36"/>
      <c r="I792" s="36"/>
      <c r="J792" s="36"/>
    </row>
    <row r="793" spans="2:10">
      <c r="B793" s="36"/>
      <c r="C793" s="36"/>
      <c r="D793" s="36"/>
      <c r="E793" s="36"/>
      <c r="F793" s="36"/>
      <c r="G793" s="36"/>
      <c r="H793" s="36"/>
      <c r="I793" s="36"/>
      <c r="J793" s="36"/>
    </row>
    <row r="794" spans="2:10">
      <c r="B794" s="36"/>
      <c r="C794" s="36"/>
      <c r="D794" s="36"/>
      <c r="E794" s="36"/>
      <c r="F794" s="36"/>
      <c r="G794" s="36"/>
      <c r="H794" s="36"/>
      <c r="I794" s="36"/>
      <c r="J794" s="36"/>
    </row>
    <row r="795" spans="2:10">
      <c r="B795" s="36"/>
      <c r="C795" s="36"/>
      <c r="D795" s="36"/>
      <c r="E795" s="36"/>
      <c r="F795" s="36"/>
      <c r="G795" s="36"/>
      <c r="H795" s="36"/>
      <c r="I795" s="36"/>
      <c r="J795" s="36"/>
    </row>
    <row r="796" spans="2:10">
      <c r="B796" s="36"/>
      <c r="C796" s="36"/>
      <c r="D796" s="36"/>
      <c r="E796" s="36"/>
      <c r="F796" s="36"/>
      <c r="G796" s="36"/>
      <c r="H796" s="36"/>
      <c r="I796" s="36"/>
      <c r="J796" s="36"/>
    </row>
    <row r="797" spans="2:10">
      <c r="B797" s="36"/>
      <c r="C797" s="36"/>
      <c r="D797" s="36"/>
      <c r="E797" s="36"/>
      <c r="F797" s="36"/>
      <c r="G797" s="36"/>
      <c r="H797" s="36"/>
      <c r="I797" s="36"/>
      <c r="J797" s="36"/>
    </row>
    <row r="798" spans="2:10">
      <c r="B798" s="36"/>
      <c r="C798" s="36"/>
      <c r="D798" s="36"/>
      <c r="E798" s="36"/>
      <c r="F798" s="36"/>
      <c r="G798" s="36"/>
      <c r="H798" s="36"/>
      <c r="I798" s="36"/>
      <c r="J798" s="36"/>
    </row>
    <row r="799" spans="2:10">
      <c r="B799" s="36"/>
      <c r="C799" s="36"/>
      <c r="D799" s="36"/>
      <c r="E799" s="36"/>
      <c r="F799" s="36"/>
      <c r="G799" s="36"/>
      <c r="H799" s="36"/>
      <c r="I799" s="36"/>
      <c r="J799" s="36"/>
    </row>
    <row r="800" spans="2:10">
      <c r="B800" s="36"/>
      <c r="C800" s="36"/>
      <c r="D800" s="36"/>
      <c r="E800" s="36"/>
      <c r="F800" s="36"/>
      <c r="G800" s="36"/>
      <c r="H800" s="36"/>
      <c r="I800" s="36"/>
      <c r="J800" s="36"/>
    </row>
    <row r="801" spans="2:10">
      <c r="B801" s="36"/>
      <c r="C801" s="36"/>
      <c r="D801" s="36"/>
      <c r="E801" s="36"/>
      <c r="F801" s="36"/>
      <c r="G801" s="36"/>
      <c r="H801" s="36"/>
      <c r="I801" s="36"/>
      <c r="J801" s="36"/>
    </row>
    <row r="802" spans="2:10">
      <c r="B802" s="36"/>
      <c r="C802" s="36"/>
      <c r="D802" s="36"/>
      <c r="E802" s="36"/>
      <c r="F802" s="36"/>
      <c r="G802" s="36"/>
      <c r="H802" s="36"/>
      <c r="I802" s="36"/>
      <c r="J802" s="36"/>
    </row>
    <row r="803" spans="2:10">
      <c r="B803" s="36"/>
      <c r="C803" s="36"/>
      <c r="D803" s="36"/>
      <c r="E803" s="36"/>
      <c r="F803" s="36"/>
      <c r="G803" s="36"/>
      <c r="H803" s="36"/>
      <c r="I803" s="36"/>
      <c r="J803" s="36"/>
    </row>
    <row r="804" spans="2:10">
      <c r="B804" s="36"/>
      <c r="C804" s="36"/>
      <c r="D804" s="36"/>
      <c r="E804" s="36"/>
      <c r="F804" s="36"/>
      <c r="G804" s="36"/>
      <c r="H804" s="36"/>
      <c r="I804" s="36"/>
      <c r="J804" s="36"/>
    </row>
    <row r="805" spans="2:10">
      <c r="B805" s="36"/>
      <c r="C805" s="36"/>
      <c r="D805" s="36"/>
      <c r="E805" s="36"/>
      <c r="F805" s="36"/>
      <c r="G805" s="36"/>
      <c r="H805" s="36"/>
      <c r="I805" s="36"/>
      <c r="J805" s="36"/>
    </row>
    <row r="806" spans="2:10">
      <c r="B806" s="36"/>
      <c r="C806" s="36"/>
      <c r="D806" s="36"/>
      <c r="E806" s="36"/>
      <c r="F806" s="36"/>
      <c r="G806" s="36"/>
      <c r="H806" s="36"/>
      <c r="I806" s="36"/>
      <c r="J806" s="36"/>
    </row>
    <row r="807" spans="2:10">
      <c r="B807" s="36"/>
      <c r="C807" s="36"/>
      <c r="D807" s="36"/>
      <c r="E807" s="36"/>
      <c r="F807" s="36"/>
      <c r="G807" s="36"/>
      <c r="H807" s="36"/>
      <c r="I807" s="36"/>
      <c r="J807" s="36"/>
    </row>
    <row r="808" spans="2:10">
      <c r="B808" s="36"/>
      <c r="C808" s="36"/>
      <c r="D808" s="36"/>
      <c r="E808" s="36"/>
      <c r="F808" s="36"/>
      <c r="G808" s="36"/>
      <c r="H808" s="36"/>
      <c r="I808" s="36"/>
      <c r="J808" s="36"/>
    </row>
    <row r="809" spans="2:10">
      <c r="B809" s="36"/>
      <c r="C809" s="36"/>
      <c r="D809" s="36"/>
      <c r="E809" s="36"/>
      <c r="F809" s="36"/>
      <c r="G809" s="36"/>
      <c r="H809" s="36"/>
      <c r="I809" s="36"/>
      <c r="J809" s="36"/>
    </row>
    <row r="810" spans="2:10">
      <c r="B810" s="36"/>
      <c r="C810" s="36"/>
      <c r="D810" s="36"/>
      <c r="E810" s="36"/>
      <c r="F810" s="36"/>
      <c r="G810" s="36"/>
      <c r="H810" s="36"/>
      <c r="I810" s="36"/>
      <c r="J810" s="36"/>
    </row>
    <row r="811" spans="2:10">
      <c r="B811" s="36"/>
      <c r="C811" s="36"/>
      <c r="D811" s="36"/>
      <c r="E811" s="36"/>
      <c r="F811" s="36"/>
      <c r="G811" s="36"/>
      <c r="H811" s="36"/>
      <c r="I811" s="36"/>
      <c r="J811" s="36"/>
    </row>
    <row r="812" spans="2:10">
      <c r="B812" s="36"/>
      <c r="C812" s="36"/>
      <c r="D812" s="36"/>
      <c r="E812" s="36"/>
      <c r="F812" s="36"/>
      <c r="G812" s="36"/>
      <c r="H812" s="36"/>
      <c r="I812" s="36"/>
      <c r="J812" s="36"/>
    </row>
    <row r="813" spans="2:10">
      <c r="B813" s="36"/>
      <c r="C813" s="36"/>
      <c r="D813" s="36"/>
      <c r="E813" s="36"/>
      <c r="F813" s="36"/>
      <c r="G813" s="36"/>
      <c r="H813" s="36"/>
      <c r="I813" s="36"/>
      <c r="J813" s="36"/>
    </row>
    <row r="814" spans="2:10">
      <c r="B814" s="36"/>
      <c r="C814" s="36"/>
      <c r="D814" s="36"/>
      <c r="E814" s="36"/>
      <c r="F814" s="36"/>
      <c r="G814" s="36"/>
      <c r="H814" s="36"/>
      <c r="I814" s="36"/>
      <c r="J814" s="36"/>
    </row>
    <row r="815" spans="2:10">
      <c r="B815" s="36"/>
      <c r="C815" s="36"/>
      <c r="D815" s="36"/>
      <c r="E815" s="36"/>
      <c r="F815" s="36"/>
      <c r="G815" s="36"/>
      <c r="H815" s="36"/>
      <c r="I815" s="36"/>
      <c r="J815" s="36"/>
    </row>
    <row r="816" spans="2:10">
      <c r="B816" s="36"/>
      <c r="C816" s="36"/>
      <c r="D816" s="36"/>
      <c r="E816" s="36"/>
      <c r="F816" s="36"/>
      <c r="G816" s="36"/>
      <c r="H816" s="36"/>
      <c r="I816" s="36"/>
      <c r="J816" s="36"/>
    </row>
    <row r="817" spans="2:10">
      <c r="B817" s="36"/>
      <c r="C817" s="36"/>
      <c r="D817" s="36"/>
      <c r="E817" s="36"/>
      <c r="F817" s="36"/>
      <c r="G817" s="36"/>
      <c r="H817" s="36"/>
      <c r="I817" s="36"/>
      <c r="J817" s="36"/>
    </row>
    <row r="818" spans="2:10">
      <c r="B818" s="36"/>
      <c r="C818" s="36"/>
      <c r="D818" s="36"/>
      <c r="E818" s="36"/>
      <c r="F818" s="36"/>
      <c r="G818" s="36"/>
      <c r="H818" s="36"/>
      <c r="I818" s="36"/>
      <c r="J818" s="36"/>
    </row>
    <row r="819" spans="2:10">
      <c r="B819" s="36"/>
      <c r="C819" s="36"/>
      <c r="D819" s="36"/>
      <c r="E819" s="36"/>
      <c r="F819" s="36"/>
      <c r="G819" s="36"/>
      <c r="H819" s="36"/>
      <c r="I819" s="36"/>
      <c r="J819" s="36"/>
    </row>
    <row r="820" spans="2:10">
      <c r="B820" s="36"/>
      <c r="C820" s="36"/>
      <c r="D820" s="36"/>
      <c r="E820" s="36"/>
      <c r="F820" s="36"/>
      <c r="G820" s="36"/>
      <c r="H820" s="36"/>
      <c r="I820" s="36"/>
      <c r="J820" s="36"/>
    </row>
    <row r="821" spans="2:10">
      <c r="B821" s="36"/>
      <c r="C821" s="36"/>
      <c r="D821" s="36"/>
      <c r="E821" s="36"/>
      <c r="F821" s="36"/>
      <c r="G821" s="36"/>
      <c r="H821" s="36"/>
      <c r="I821" s="36"/>
      <c r="J821" s="36"/>
    </row>
    <row r="822" spans="2:10">
      <c r="B822" s="36"/>
      <c r="C822" s="36"/>
      <c r="D822" s="36"/>
      <c r="E822" s="36"/>
      <c r="F822" s="36"/>
      <c r="G822" s="36"/>
      <c r="H822" s="36"/>
      <c r="I822" s="36"/>
      <c r="J822" s="36"/>
    </row>
    <row r="823" spans="2:10">
      <c r="B823" s="36"/>
      <c r="C823" s="36"/>
      <c r="D823" s="36"/>
      <c r="E823" s="36"/>
      <c r="F823" s="36"/>
      <c r="G823" s="36"/>
      <c r="H823" s="36"/>
      <c r="I823" s="36"/>
      <c r="J823" s="36"/>
    </row>
    <row r="824" spans="2:10">
      <c r="B824" s="36"/>
      <c r="C824" s="36"/>
      <c r="D824" s="36"/>
      <c r="E824" s="36"/>
      <c r="F824" s="36"/>
      <c r="G824" s="36"/>
      <c r="H824" s="36"/>
      <c r="I824" s="36"/>
      <c r="J824" s="36"/>
    </row>
    <row r="825" spans="2:10">
      <c r="B825" s="36"/>
      <c r="C825" s="36"/>
      <c r="D825" s="36"/>
      <c r="E825" s="36"/>
      <c r="F825" s="36"/>
      <c r="G825" s="36"/>
      <c r="H825" s="36"/>
      <c r="I825" s="36"/>
      <c r="J825" s="36"/>
    </row>
    <row r="826" spans="2:10">
      <c r="B826" s="36"/>
      <c r="C826" s="36"/>
      <c r="D826" s="36"/>
      <c r="E826" s="36"/>
      <c r="F826" s="36"/>
      <c r="G826" s="36"/>
      <c r="H826" s="36"/>
      <c r="I826" s="36"/>
      <c r="J826" s="36"/>
    </row>
    <row r="827" spans="2:10">
      <c r="B827" s="36"/>
      <c r="C827" s="36"/>
      <c r="D827" s="36"/>
      <c r="E827" s="36"/>
      <c r="F827" s="36"/>
      <c r="G827" s="36"/>
      <c r="H827" s="36"/>
      <c r="I827" s="36"/>
      <c r="J827" s="36"/>
    </row>
    <row r="828" spans="2:10">
      <c r="B828" s="36"/>
      <c r="C828" s="36"/>
      <c r="D828" s="36"/>
      <c r="E828" s="36"/>
      <c r="F828" s="36"/>
      <c r="G828" s="36"/>
      <c r="H828" s="36"/>
      <c r="I828" s="36"/>
      <c r="J828" s="36"/>
    </row>
    <row r="829" spans="2:10">
      <c r="B829" s="36"/>
      <c r="C829" s="36"/>
      <c r="D829" s="36"/>
      <c r="E829" s="36"/>
      <c r="F829" s="36"/>
      <c r="G829" s="36"/>
      <c r="H829" s="36"/>
      <c r="I829" s="36"/>
      <c r="J829" s="36"/>
    </row>
    <row r="830" spans="2:10">
      <c r="B830" s="36"/>
      <c r="C830" s="36"/>
      <c r="D830" s="36"/>
      <c r="E830" s="36"/>
      <c r="F830" s="36"/>
      <c r="G830" s="36"/>
      <c r="H830" s="36"/>
      <c r="I830" s="36"/>
      <c r="J830" s="36"/>
    </row>
    <row r="831" spans="2:10">
      <c r="B831" s="36"/>
      <c r="C831" s="36"/>
      <c r="D831" s="36"/>
      <c r="E831" s="36"/>
      <c r="F831" s="36"/>
      <c r="G831" s="36"/>
      <c r="H831" s="36"/>
      <c r="I831" s="36"/>
      <c r="J831" s="36"/>
    </row>
    <row r="832" spans="2:10">
      <c r="B832" s="36"/>
      <c r="C832" s="36"/>
      <c r="D832" s="36"/>
      <c r="E832" s="36"/>
      <c r="F832" s="36"/>
      <c r="G832" s="36"/>
      <c r="H832" s="36"/>
      <c r="I832" s="36"/>
      <c r="J832" s="36"/>
    </row>
    <row r="833" spans="2:10">
      <c r="B833" s="36"/>
      <c r="C833" s="36"/>
      <c r="D833" s="36"/>
      <c r="E833" s="36"/>
      <c r="F833" s="36"/>
      <c r="G833" s="36"/>
      <c r="H833" s="36"/>
      <c r="I833" s="36"/>
      <c r="J833" s="36"/>
    </row>
    <row r="834" spans="2:10">
      <c r="B834" s="36"/>
      <c r="C834" s="36"/>
      <c r="D834" s="36"/>
      <c r="E834" s="36"/>
      <c r="F834" s="36"/>
      <c r="G834" s="36"/>
      <c r="H834" s="36"/>
      <c r="I834" s="36"/>
      <c r="J834" s="36"/>
    </row>
    <row r="835" spans="2:10">
      <c r="B835" s="36"/>
      <c r="C835" s="36"/>
      <c r="D835" s="36"/>
      <c r="E835" s="36"/>
      <c r="F835" s="36"/>
      <c r="G835" s="36"/>
      <c r="H835" s="36"/>
      <c r="I835" s="36"/>
      <c r="J835" s="36"/>
    </row>
    <row r="836" spans="2:10">
      <c r="B836" s="36"/>
      <c r="C836" s="36"/>
      <c r="D836" s="36"/>
      <c r="E836" s="36"/>
      <c r="F836" s="36"/>
      <c r="G836" s="36"/>
      <c r="H836" s="36"/>
      <c r="I836" s="36"/>
      <c r="J836" s="36"/>
    </row>
    <row r="837" spans="2:10">
      <c r="B837" s="36"/>
      <c r="C837" s="36"/>
      <c r="D837" s="36"/>
      <c r="E837" s="36"/>
      <c r="F837" s="36"/>
      <c r="G837" s="36"/>
      <c r="H837" s="36"/>
      <c r="I837" s="36"/>
      <c r="J837" s="36"/>
    </row>
    <row r="838" spans="2:10">
      <c r="B838" s="36"/>
      <c r="C838" s="36"/>
      <c r="D838" s="36"/>
      <c r="E838" s="36"/>
      <c r="F838" s="36"/>
      <c r="G838" s="36"/>
      <c r="H838" s="36"/>
      <c r="I838" s="36"/>
      <c r="J838" s="36"/>
    </row>
    <row r="839" spans="2:10">
      <c r="B839" s="36"/>
      <c r="C839" s="36"/>
      <c r="D839" s="36"/>
      <c r="E839" s="36"/>
      <c r="F839" s="36"/>
      <c r="G839" s="36"/>
      <c r="H839" s="36"/>
      <c r="I839" s="36"/>
      <c r="J839" s="36"/>
    </row>
    <row r="840" spans="2:10">
      <c r="B840" s="36"/>
      <c r="C840" s="36"/>
      <c r="D840" s="36"/>
      <c r="E840" s="36"/>
      <c r="F840" s="36"/>
      <c r="G840" s="36"/>
      <c r="H840" s="36"/>
      <c r="I840" s="36"/>
      <c r="J840" s="36"/>
    </row>
    <row r="841" spans="2:10" ht="15.75" customHeight="1">
      <c r="B841" s="218"/>
      <c r="C841" s="218"/>
      <c r="D841" s="218"/>
      <c r="E841" s="218"/>
      <c r="F841" s="218"/>
      <c r="G841" s="218"/>
      <c r="H841" s="218"/>
      <c r="I841" s="218"/>
      <c r="J841" s="218"/>
    </row>
    <row r="842" spans="2:10" ht="15.75" customHeight="1">
      <c r="B842" s="218"/>
      <c r="C842" s="218"/>
      <c r="D842" s="218"/>
      <c r="E842" s="218"/>
      <c r="F842" s="218"/>
      <c r="G842" s="218"/>
      <c r="H842" s="218"/>
      <c r="I842" s="218"/>
      <c r="J842" s="218"/>
    </row>
    <row r="843" spans="2:10" ht="15.75" customHeight="1">
      <c r="B843" s="218"/>
      <c r="C843" s="218"/>
      <c r="D843" s="218"/>
      <c r="E843" s="218"/>
      <c r="F843" s="218"/>
      <c r="G843" s="218"/>
      <c r="H843" s="218"/>
      <c r="I843" s="218"/>
      <c r="J843" s="218"/>
    </row>
    <row r="844" spans="2:10" ht="15.75" customHeight="1">
      <c r="B844" s="218"/>
      <c r="C844" s="218"/>
      <c r="D844" s="218"/>
      <c r="E844" s="218"/>
      <c r="F844" s="218"/>
      <c r="G844" s="218"/>
      <c r="H844" s="218"/>
      <c r="I844" s="218"/>
      <c r="J844" s="218"/>
    </row>
    <row r="845" spans="2:10" ht="15.75" customHeight="1"/>
    <row r="846" spans="2:10" ht="15.75" customHeight="1"/>
    <row r="847" spans="2:10" ht="15.75" customHeight="1"/>
    <row r="848" spans="2:10"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sheetData>
  <sheetProtection formatColumns="0" formatRows="0"/>
  <mergeCells count="170">
    <mergeCell ref="B266:C266"/>
    <mergeCell ref="B272:B274"/>
    <mergeCell ref="C272:C274"/>
    <mergeCell ref="D272:D274"/>
    <mergeCell ref="E272:E274"/>
    <mergeCell ref="F272:F274"/>
    <mergeCell ref="G272:G274"/>
    <mergeCell ref="G132:H132"/>
    <mergeCell ref="G133:H133"/>
    <mergeCell ref="G134:H134"/>
    <mergeCell ref="G135:H135"/>
    <mergeCell ref="G137:H137"/>
    <mergeCell ref="G136:H136"/>
    <mergeCell ref="B148:B150"/>
    <mergeCell ref="G138:H138"/>
    <mergeCell ref="G139:H139"/>
    <mergeCell ref="B140:E141"/>
    <mergeCell ref="F140:F141"/>
    <mergeCell ref="G140:H141"/>
    <mergeCell ref="C148:C150"/>
    <mergeCell ref="D148:D150"/>
    <mergeCell ref="E148:E150"/>
    <mergeCell ref="G148:G150"/>
    <mergeCell ref="G127:H127"/>
    <mergeCell ref="G128:H128"/>
    <mergeCell ref="G129:H129"/>
    <mergeCell ref="G130:H130"/>
    <mergeCell ref="G131:H131"/>
    <mergeCell ref="G122:H122"/>
    <mergeCell ref="G123:H123"/>
    <mergeCell ref="G124:H124"/>
    <mergeCell ref="G125:H125"/>
    <mergeCell ref="G126:H126"/>
    <mergeCell ref="G117:H117"/>
    <mergeCell ref="G118:H118"/>
    <mergeCell ref="G119:H119"/>
    <mergeCell ref="G120:H120"/>
    <mergeCell ref="G121:H121"/>
    <mergeCell ref="G111:H111"/>
    <mergeCell ref="G112:H112"/>
    <mergeCell ref="G113:H113"/>
    <mergeCell ref="G114:H114"/>
    <mergeCell ref="G116:H116"/>
    <mergeCell ref="G106:H106"/>
    <mergeCell ref="G107:H107"/>
    <mergeCell ref="G108:H108"/>
    <mergeCell ref="G109:H109"/>
    <mergeCell ref="G110:H110"/>
    <mergeCell ref="G101:H101"/>
    <mergeCell ref="G102:H102"/>
    <mergeCell ref="G103:H103"/>
    <mergeCell ref="G104:H104"/>
    <mergeCell ref="G105:H105"/>
    <mergeCell ref="G96:H96"/>
    <mergeCell ref="G97:H97"/>
    <mergeCell ref="G98:H98"/>
    <mergeCell ref="G99:H99"/>
    <mergeCell ref="G100:H100"/>
    <mergeCell ref="G90:H90"/>
    <mergeCell ref="G91:H91"/>
    <mergeCell ref="G92:H92"/>
    <mergeCell ref="G93:H93"/>
    <mergeCell ref="G95:H95"/>
    <mergeCell ref="G85:H85"/>
    <mergeCell ref="G86:H86"/>
    <mergeCell ref="G87:H87"/>
    <mergeCell ref="G88:H88"/>
    <mergeCell ref="G89:H89"/>
    <mergeCell ref="G80:H80"/>
    <mergeCell ref="G81:H81"/>
    <mergeCell ref="G82:H82"/>
    <mergeCell ref="G83:H83"/>
    <mergeCell ref="G84:H84"/>
    <mergeCell ref="G76:H76"/>
    <mergeCell ref="G77:H77"/>
    <mergeCell ref="G78:H78"/>
    <mergeCell ref="G79:H79"/>
    <mergeCell ref="G69:H69"/>
    <mergeCell ref="G70:H70"/>
    <mergeCell ref="G71:H71"/>
    <mergeCell ref="G72:H72"/>
    <mergeCell ref="G74:H74"/>
    <mergeCell ref="G66:H66"/>
    <mergeCell ref="G67:H67"/>
    <mergeCell ref="G68:H68"/>
    <mergeCell ref="G47:H47"/>
    <mergeCell ref="G48:H48"/>
    <mergeCell ref="G49:H49"/>
    <mergeCell ref="G50:H50"/>
    <mergeCell ref="G51:H51"/>
    <mergeCell ref="G75:H75"/>
    <mergeCell ref="G45:H45"/>
    <mergeCell ref="G46:H46"/>
    <mergeCell ref="G37:H37"/>
    <mergeCell ref="G38:H38"/>
    <mergeCell ref="G39:H39"/>
    <mergeCell ref="G40:H40"/>
    <mergeCell ref="G41:H41"/>
    <mergeCell ref="G64:H64"/>
    <mergeCell ref="G65:H65"/>
    <mergeCell ref="G36:H36"/>
    <mergeCell ref="G27:H27"/>
    <mergeCell ref="G28:H28"/>
    <mergeCell ref="G29:H29"/>
    <mergeCell ref="G30:H30"/>
    <mergeCell ref="G31:H31"/>
    <mergeCell ref="G42:H42"/>
    <mergeCell ref="G43:H43"/>
    <mergeCell ref="G44:H44"/>
    <mergeCell ref="G22:H22"/>
    <mergeCell ref="G23:H23"/>
    <mergeCell ref="G24:H24"/>
    <mergeCell ref="G25:H25"/>
    <mergeCell ref="G26:H26"/>
    <mergeCell ref="G52:H52"/>
    <mergeCell ref="G73:H73"/>
    <mergeCell ref="G94:H94"/>
    <mergeCell ref="G115:H115"/>
    <mergeCell ref="G53:H53"/>
    <mergeCell ref="G54:H54"/>
    <mergeCell ref="G55:H55"/>
    <mergeCell ref="G56:H56"/>
    <mergeCell ref="G57:H57"/>
    <mergeCell ref="G58:H58"/>
    <mergeCell ref="G59:H59"/>
    <mergeCell ref="G60:H60"/>
    <mergeCell ref="G61:H61"/>
    <mergeCell ref="G62:H62"/>
    <mergeCell ref="G63:H63"/>
    <mergeCell ref="G32:H32"/>
    <mergeCell ref="G33:H33"/>
    <mergeCell ref="G34:H34"/>
    <mergeCell ref="G35:H35"/>
    <mergeCell ref="B413:F413"/>
    <mergeCell ref="B414:C414"/>
    <mergeCell ref="D414:E414"/>
    <mergeCell ref="F414:F416"/>
    <mergeCell ref="B415:B416"/>
    <mergeCell ref="C415:C416"/>
    <mergeCell ref="D415:D416"/>
    <mergeCell ref="E415:E416"/>
    <mergeCell ref="B397:C397"/>
    <mergeCell ref="D397:E397"/>
    <mergeCell ref="F397:F398"/>
    <mergeCell ref="B406:B407"/>
    <mergeCell ref="C406:C407"/>
    <mergeCell ref="H405:H407"/>
    <mergeCell ref="D406:D407"/>
    <mergeCell ref="E406:E407"/>
    <mergeCell ref="B405:C405"/>
    <mergeCell ref="D405:E405"/>
    <mergeCell ref="F405:F407"/>
    <mergeCell ref="G405:G407"/>
    <mergeCell ref="E6:F6"/>
    <mergeCell ref="B2:H2"/>
    <mergeCell ref="F148:F150"/>
    <mergeCell ref="B386:C386"/>
    <mergeCell ref="G397:G398"/>
    <mergeCell ref="B18:H18"/>
    <mergeCell ref="B19:B21"/>
    <mergeCell ref="C19:C21"/>
    <mergeCell ref="D19:D21"/>
    <mergeCell ref="E19:E21"/>
    <mergeCell ref="F19:F21"/>
    <mergeCell ref="G19:H21"/>
    <mergeCell ref="E8:F8"/>
    <mergeCell ref="E10:F10"/>
    <mergeCell ref="E12:F12"/>
    <mergeCell ref="B387:C387"/>
    <mergeCell ref="B267:C267"/>
  </mergeCells>
  <phoneticPr fontId="29" type="noConversion"/>
  <conditionalFormatting sqref="D687:D706">
    <cfRule type="containsText" dxfId="6" priority="5" operator="containsText" text="Manual Input">
      <formula>NOT(ISERROR(SEARCH("Manual Input",D687)))</formula>
    </cfRule>
  </conditionalFormatting>
  <conditionalFormatting sqref="D708:D717">
    <cfRule type="containsText" dxfId="5" priority="4" operator="containsText" text="Manual Input">
      <formula>NOT(ISERROR(SEARCH("Manual Input",D708)))</formula>
    </cfRule>
  </conditionalFormatting>
  <conditionalFormatting sqref="H687:H706">
    <cfRule type="containsText" dxfId="4" priority="7" operator="containsText" text="Manual Input">
      <formula>NOT(ISERROR(SEARCH("Manual Input",H687)))</formula>
    </cfRule>
  </conditionalFormatting>
  <conditionalFormatting sqref="H708:H717">
    <cfRule type="containsText" dxfId="3" priority="6" operator="containsText" text="Manual Input">
      <formula>NOT(ISERROR(SEARCH("Manual Input",H708)))</formula>
    </cfRule>
  </conditionalFormatting>
  <conditionalFormatting sqref="I687:I706 I708:I717">
    <cfRule type="expression" dxfId="2" priority="8">
      <formula>NOT(ISBLANK(#REF!))</formula>
    </cfRule>
  </conditionalFormatting>
  <dataValidations count="1">
    <dataValidation operator="greaterThan" allowBlank="1" showInputMessage="1" showErrorMessage="1" sqref="B7:B145 A1:A145 B1:B5 B411 A396:XFD400 A271:XFD394 I406:XFD411 A406:A411 C408:H411 B408:B409 A147:XFD269 C1:XFD145 A413:XFD1048576" xr:uid="{6085D7BC-3375-499E-A77A-D89A12A90296}"/>
  </dataValidations>
  <pageMargins left="0.7" right="0.7" top="0.75" bottom="0.75" header="0" footer="0"/>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AA48-DD22-4002-87D2-22FAC2D09881}">
  <sheetPr codeName="Sheet8">
    <tabColor rgb="FF7F7F7F"/>
  </sheetPr>
  <dimension ref="A1:AC986"/>
  <sheetViews>
    <sheetView showGridLines="0" zoomScaleNormal="100" workbookViewId="0">
      <selection activeCell="B2" sqref="B2:E2"/>
    </sheetView>
  </sheetViews>
  <sheetFormatPr defaultColWidth="9" defaultRowHeight="15" customHeight="1"/>
  <cols>
    <col min="1" max="1" width="4.09765625" style="39" customWidth="1"/>
    <col min="2" max="2" width="23.59765625" style="83" customWidth="1"/>
    <col min="3" max="3" width="17.19921875" style="83" customWidth="1"/>
    <col min="4" max="4" width="17.19921875" style="180" customWidth="1"/>
    <col min="5" max="6" width="17.19921875" style="83" customWidth="1"/>
    <col min="7" max="7" width="17.19921875" style="180" customWidth="1"/>
    <col min="8" max="26" width="17.19921875" style="83" customWidth="1"/>
    <col min="27" max="16384" width="9" style="83"/>
  </cols>
  <sheetData>
    <row r="1" spans="1:26" s="33" customFormat="1" ht="20.100000000000001" customHeight="1">
      <c r="A1" s="276"/>
      <c r="B1" s="219"/>
      <c r="C1" s="219"/>
      <c r="D1" s="219"/>
      <c r="E1" s="219"/>
      <c r="F1" s="219"/>
      <c r="G1" s="219"/>
      <c r="H1" s="219"/>
      <c r="I1" s="219"/>
      <c r="J1" s="217"/>
      <c r="K1" s="217"/>
      <c r="L1" s="217"/>
      <c r="M1" s="217"/>
      <c r="N1" s="217"/>
      <c r="O1" s="217"/>
      <c r="P1" s="217"/>
      <c r="Q1" s="217"/>
      <c r="R1" s="217"/>
      <c r="S1" s="217"/>
      <c r="T1" s="217"/>
      <c r="U1" s="217"/>
      <c r="V1" s="217"/>
      <c r="W1" s="217"/>
      <c r="X1" s="217"/>
      <c r="Y1" s="217"/>
      <c r="Z1" s="217"/>
    </row>
    <row r="2" spans="1:26" s="33" customFormat="1" ht="81" customHeight="1">
      <c r="A2" s="273"/>
      <c r="B2" s="338" t="s">
        <v>282</v>
      </c>
      <c r="C2" s="312"/>
      <c r="D2" s="312"/>
      <c r="E2" s="313"/>
      <c r="F2" s="217"/>
      <c r="G2" s="217"/>
      <c r="H2" s="217"/>
      <c r="I2" s="217"/>
      <c r="J2" s="217"/>
      <c r="K2" s="217"/>
      <c r="L2" s="217"/>
      <c r="M2" s="217"/>
      <c r="N2" s="217"/>
      <c r="O2" s="217"/>
      <c r="P2" s="217"/>
      <c r="Q2" s="217"/>
      <c r="R2" s="217"/>
      <c r="S2" s="217"/>
      <c r="T2" s="217"/>
      <c r="U2" s="217"/>
      <c r="V2" s="217"/>
      <c r="W2" s="217"/>
      <c r="X2" s="217"/>
      <c r="Y2" s="217"/>
      <c r="Z2" s="146"/>
    </row>
    <row r="3" spans="1:26" s="1" customFormat="1" ht="17.399999999999999" customHeight="1">
      <c r="A3" s="186"/>
      <c r="B3" s="277"/>
      <c r="C3" s="277"/>
      <c r="D3" s="278"/>
      <c r="E3" s="277"/>
      <c r="F3" s="277"/>
      <c r="G3" s="278"/>
      <c r="H3" s="277"/>
      <c r="I3" s="277"/>
      <c r="J3" s="216"/>
      <c r="K3" s="216"/>
      <c r="L3" s="216"/>
      <c r="M3" s="216"/>
      <c r="N3" s="216"/>
      <c r="O3" s="216"/>
      <c r="P3" s="216"/>
      <c r="Q3" s="216"/>
      <c r="R3" s="216"/>
      <c r="S3" s="216"/>
      <c r="T3" s="216"/>
      <c r="U3" s="216"/>
      <c r="V3" s="216"/>
      <c r="W3" s="216"/>
      <c r="X3" s="216"/>
      <c r="Y3" s="216"/>
      <c r="Z3" s="152"/>
    </row>
    <row r="4" spans="1:26" s="1" customFormat="1" ht="17.399999999999999" customHeight="1">
      <c r="A4" s="141"/>
      <c r="B4" s="89" t="s">
        <v>219</v>
      </c>
      <c r="C4" s="90"/>
      <c r="D4" s="91"/>
      <c r="E4" s="91"/>
      <c r="F4" s="216"/>
      <c r="G4" s="216"/>
      <c r="H4" s="216"/>
      <c r="I4" s="216"/>
      <c r="J4" s="216"/>
      <c r="K4" s="216"/>
      <c r="L4" s="216"/>
      <c r="M4" s="216"/>
      <c r="N4" s="216"/>
      <c r="O4" s="216"/>
      <c r="P4" s="216"/>
      <c r="Q4" s="216"/>
      <c r="R4" s="216"/>
      <c r="S4" s="216"/>
      <c r="T4" s="216"/>
      <c r="U4" s="216"/>
      <c r="V4" s="216"/>
      <c r="W4" s="216"/>
      <c r="X4" s="216"/>
      <c r="Y4" s="216"/>
      <c r="Z4" s="216"/>
    </row>
    <row r="5" spans="1:26" s="1" customFormat="1" ht="17.399999999999999" customHeight="1">
      <c r="A5" s="141"/>
      <c r="B5" s="138"/>
      <c r="C5" s="138"/>
      <c r="D5" s="142"/>
      <c r="E5" s="142"/>
      <c r="F5" s="138"/>
      <c r="G5" s="278"/>
      <c r="H5" s="277"/>
      <c r="I5" s="216"/>
      <c r="J5" s="216"/>
      <c r="K5" s="216"/>
      <c r="L5" s="216"/>
      <c r="M5" s="216"/>
      <c r="N5" s="216"/>
      <c r="O5" s="216"/>
      <c r="P5" s="216"/>
      <c r="Q5" s="216"/>
      <c r="R5" s="216"/>
      <c r="S5" s="216"/>
      <c r="T5" s="216"/>
      <c r="U5" s="216"/>
      <c r="V5" s="216"/>
      <c r="W5" s="216"/>
      <c r="X5" s="216"/>
      <c r="Y5" s="216"/>
      <c r="Z5" s="152"/>
    </row>
    <row r="6" spans="1:26" s="1" customFormat="1" ht="17.399999999999999" customHeight="1">
      <c r="A6" s="141"/>
      <c r="B6" s="98" t="s">
        <v>220</v>
      </c>
      <c r="C6" s="209" t="s">
        <v>221</v>
      </c>
      <c r="D6" s="238" t="s">
        <v>222</v>
      </c>
      <c r="E6" s="239"/>
      <c r="F6" s="182"/>
      <c r="G6" s="183"/>
      <c r="H6" s="184"/>
      <c r="I6" s="216"/>
      <c r="J6" s="216"/>
      <c r="K6" s="216"/>
      <c r="L6" s="216"/>
      <c r="M6" s="216"/>
      <c r="N6" s="216"/>
      <c r="O6" s="216"/>
      <c r="P6" s="216"/>
      <c r="Q6" s="216"/>
      <c r="R6" s="216"/>
      <c r="S6" s="216"/>
      <c r="T6" s="216"/>
      <c r="U6" s="216"/>
      <c r="V6" s="216"/>
      <c r="W6" s="216"/>
      <c r="X6" s="216"/>
      <c r="Y6" s="216"/>
      <c r="Z6" s="152"/>
    </row>
    <row r="7" spans="1:26" s="1" customFormat="1" ht="17.399999999999999" customHeight="1">
      <c r="A7" s="141"/>
      <c r="B7" s="182"/>
      <c r="C7" s="182"/>
      <c r="D7" s="240" t="s">
        <v>223</v>
      </c>
      <c r="E7" s="241"/>
      <c r="F7" s="182"/>
      <c r="G7" s="183"/>
      <c r="H7" s="184"/>
      <c r="I7" s="216"/>
      <c r="J7" s="216"/>
      <c r="K7" s="216"/>
      <c r="L7" s="216"/>
      <c r="M7" s="216"/>
      <c r="N7" s="216"/>
      <c r="O7" s="216"/>
      <c r="P7" s="216"/>
      <c r="Q7" s="216"/>
      <c r="R7" s="216"/>
      <c r="S7" s="216"/>
      <c r="T7" s="216"/>
      <c r="U7" s="216"/>
      <c r="V7" s="216"/>
      <c r="W7" s="216"/>
      <c r="X7" s="216"/>
      <c r="Y7" s="216"/>
      <c r="Z7" s="152"/>
    </row>
    <row r="8" spans="1:26" s="1" customFormat="1" ht="17.399999999999999" customHeight="1">
      <c r="A8" s="141"/>
      <c r="B8" s="182"/>
      <c r="C8" s="182"/>
      <c r="D8" s="240" t="s">
        <v>224</v>
      </c>
      <c r="E8" s="241"/>
      <c r="F8" s="182"/>
      <c r="G8" s="183"/>
      <c r="H8" s="184"/>
      <c r="I8" s="216"/>
      <c r="J8" s="216"/>
      <c r="K8" s="216"/>
      <c r="L8" s="216"/>
      <c r="M8" s="216"/>
      <c r="N8" s="216"/>
      <c r="O8" s="216"/>
      <c r="P8" s="216"/>
      <c r="Q8" s="216"/>
      <c r="R8" s="216"/>
      <c r="S8" s="216"/>
      <c r="T8" s="216"/>
      <c r="U8" s="216"/>
      <c r="V8" s="216"/>
      <c r="W8" s="216"/>
      <c r="X8" s="216"/>
      <c r="Y8" s="216"/>
      <c r="Z8" s="152"/>
    </row>
    <row r="9" spans="1:26" s="1" customFormat="1" ht="17.399999999999999" customHeight="1">
      <c r="A9" s="141"/>
      <c r="B9" s="182"/>
      <c r="C9" s="182"/>
      <c r="D9" s="240" t="s">
        <v>225</v>
      </c>
      <c r="E9" s="241"/>
      <c r="F9" s="182"/>
      <c r="G9" s="183"/>
      <c r="H9" s="184"/>
      <c r="I9" s="216"/>
      <c r="J9" s="216"/>
      <c r="K9" s="216"/>
      <c r="L9" s="216"/>
      <c r="M9" s="216"/>
      <c r="N9" s="216"/>
      <c r="O9" s="216"/>
      <c r="P9" s="216"/>
      <c r="Q9" s="216"/>
      <c r="R9" s="216"/>
      <c r="S9" s="216"/>
      <c r="T9" s="216"/>
      <c r="U9" s="216"/>
      <c r="V9" s="216"/>
      <c r="W9" s="216"/>
      <c r="X9" s="216"/>
      <c r="Y9" s="216"/>
      <c r="Z9" s="152"/>
    </row>
    <row r="10" spans="1:26" s="1" customFormat="1" ht="17.399999999999999" customHeight="1">
      <c r="A10" s="141"/>
      <c r="B10" s="182"/>
      <c r="C10" s="182"/>
      <c r="D10" s="240" t="s">
        <v>226</v>
      </c>
      <c r="E10" s="241"/>
      <c r="F10" s="182"/>
      <c r="G10" s="183"/>
      <c r="H10" s="184"/>
      <c r="I10" s="216"/>
      <c r="J10" s="216"/>
      <c r="K10" s="216"/>
      <c r="L10" s="216"/>
      <c r="M10" s="216"/>
      <c r="N10" s="216"/>
      <c r="O10" s="216"/>
      <c r="P10" s="216"/>
      <c r="Q10" s="216"/>
      <c r="R10" s="216"/>
      <c r="S10" s="216"/>
      <c r="T10" s="216"/>
      <c r="U10" s="216"/>
      <c r="V10" s="216"/>
      <c r="W10" s="216"/>
      <c r="X10" s="216"/>
      <c r="Y10" s="216"/>
      <c r="Z10" s="152"/>
    </row>
    <row r="11" spans="1:26" s="1" customFormat="1" ht="17.399999999999999" customHeight="1">
      <c r="A11" s="141"/>
      <c r="B11" s="182"/>
      <c r="C11" s="182"/>
      <c r="D11" s="240" t="s">
        <v>227</v>
      </c>
      <c r="E11" s="241"/>
      <c r="F11" s="182"/>
      <c r="G11" s="183"/>
      <c r="H11" s="184"/>
      <c r="I11" s="216"/>
      <c r="J11" s="216"/>
      <c r="K11" s="216"/>
      <c r="L11" s="216"/>
      <c r="M11" s="216"/>
      <c r="N11" s="216"/>
      <c r="O11" s="216"/>
      <c r="P11" s="216"/>
      <c r="Q11" s="216"/>
      <c r="R11" s="216"/>
      <c r="S11" s="216"/>
      <c r="T11" s="216"/>
      <c r="U11" s="216"/>
      <c r="V11" s="216"/>
      <c r="W11" s="216"/>
      <c r="X11" s="216"/>
      <c r="Y11" s="216"/>
      <c r="Z11" s="152"/>
    </row>
    <row r="12" spans="1:26" s="1" customFormat="1" ht="17.399999999999999" customHeight="1">
      <c r="A12" s="141"/>
      <c r="B12" s="182"/>
      <c r="C12" s="182"/>
      <c r="D12" s="240" t="s">
        <v>228</v>
      </c>
      <c r="E12" s="241"/>
      <c r="F12" s="182"/>
      <c r="G12" s="183"/>
      <c r="H12" s="184"/>
      <c r="I12" s="216"/>
      <c r="J12" s="216"/>
      <c r="K12" s="216"/>
      <c r="L12" s="216"/>
      <c r="M12" s="216"/>
      <c r="N12" s="216"/>
      <c r="O12" s="216"/>
      <c r="P12" s="216"/>
      <c r="Q12" s="216"/>
      <c r="R12" s="216"/>
      <c r="S12" s="216"/>
      <c r="T12" s="216"/>
      <c r="U12" s="216"/>
      <c r="V12" s="216"/>
      <c r="W12" s="216"/>
      <c r="X12" s="216"/>
      <c r="Y12" s="216"/>
      <c r="Z12" s="152"/>
    </row>
    <row r="13" spans="1:26" s="1" customFormat="1" ht="17.399999999999999" customHeight="1">
      <c r="A13" s="141"/>
      <c r="B13" s="182"/>
      <c r="C13" s="182"/>
      <c r="D13" s="240" t="s">
        <v>150</v>
      </c>
      <c r="E13" s="241"/>
      <c r="F13" s="182"/>
      <c r="G13" s="183"/>
      <c r="H13" s="184"/>
      <c r="I13" s="216"/>
      <c r="J13" s="216"/>
      <c r="K13" s="216"/>
      <c r="L13" s="216"/>
      <c r="M13" s="216"/>
      <c r="N13" s="216"/>
      <c r="O13" s="216"/>
      <c r="P13" s="216"/>
      <c r="Q13" s="216"/>
      <c r="R13" s="216"/>
      <c r="S13" s="216"/>
      <c r="T13" s="216"/>
      <c r="U13" s="216"/>
      <c r="V13" s="216"/>
      <c r="W13" s="216"/>
      <c r="X13" s="216"/>
      <c r="Y13" s="216"/>
      <c r="Z13" s="152"/>
    </row>
    <row r="14" spans="1:26" s="1" customFormat="1" ht="17.399999999999999" customHeight="1">
      <c r="A14" s="141"/>
      <c r="B14" s="182"/>
      <c r="C14" s="182"/>
      <c r="D14" s="182"/>
      <c r="E14" s="182"/>
      <c r="F14" s="182"/>
      <c r="G14" s="183"/>
      <c r="H14" s="184"/>
      <c r="I14" s="216"/>
      <c r="J14" s="216"/>
      <c r="K14" s="216"/>
      <c r="L14" s="216"/>
      <c r="M14" s="216"/>
      <c r="N14" s="216"/>
      <c r="O14" s="216"/>
      <c r="P14" s="216"/>
      <c r="Q14" s="216"/>
      <c r="R14" s="216"/>
      <c r="S14" s="216"/>
      <c r="T14" s="216"/>
      <c r="U14" s="216"/>
      <c r="V14" s="216"/>
      <c r="W14" s="216"/>
      <c r="X14" s="216"/>
      <c r="Y14" s="216"/>
      <c r="Z14" s="152"/>
    </row>
    <row r="15" spans="1:26" s="1" customFormat="1" ht="17.399999999999999" customHeight="1">
      <c r="A15" s="141"/>
      <c r="B15" s="98" t="s">
        <v>151</v>
      </c>
      <c r="C15" s="209" t="s">
        <v>221</v>
      </c>
      <c r="D15" s="238" t="s">
        <v>222</v>
      </c>
      <c r="E15" s="239"/>
      <c r="F15" s="182"/>
      <c r="G15" s="183"/>
      <c r="H15" s="184"/>
      <c r="I15" s="216"/>
      <c r="J15" s="216"/>
      <c r="K15" s="216"/>
      <c r="L15" s="216"/>
      <c r="M15" s="216"/>
      <c r="N15" s="216"/>
      <c r="O15" s="216"/>
      <c r="P15" s="216"/>
      <c r="Q15" s="216"/>
      <c r="R15" s="216"/>
      <c r="S15" s="216"/>
      <c r="T15" s="216"/>
      <c r="U15" s="216"/>
      <c r="V15" s="216"/>
      <c r="W15" s="216"/>
      <c r="X15" s="216"/>
      <c r="Y15" s="216"/>
      <c r="Z15" s="152"/>
    </row>
    <row r="16" spans="1:26" s="1" customFormat="1" ht="17.399999999999999" customHeight="1">
      <c r="A16" s="141"/>
      <c r="B16" s="182"/>
      <c r="C16" s="182"/>
      <c r="D16" s="240" t="s">
        <v>229</v>
      </c>
      <c r="E16" s="241"/>
      <c r="F16" s="182"/>
      <c r="G16" s="183"/>
      <c r="H16" s="184"/>
      <c r="I16" s="216"/>
      <c r="J16" s="216"/>
      <c r="K16" s="216"/>
      <c r="L16" s="216"/>
      <c r="M16" s="216"/>
      <c r="N16" s="216"/>
      <c r="O16" s="216"/>
      <c r="P16" s="216"/>
      <c r="Q16" s="216"/>
      <c r="R16" s="216"/>
      <c r="S16" s="216"/>
      <c r="T16" s="216"/>
      <c r="U16" s="216"/>
      <c r="V16" s="216"/>
      <c r="W16" s="216"/>
      <c r="X16" s="216"/>
      <c r="Y16" s="216"/>
      <c r="Z16" s="152"/>
    </row>
    <row r="17" spans="1:29" s="1" customFormat="1" ht="17.399999999999999" customHeight="1">
      <c r="A17" s="141"/>
      <c r="B17" s="182"/>
      <c r="C17" s="182"/>
      <c r="D17" s="240" t="s">
        <v>152</v>
      </c>
      <c r="E17" s="241"/>
      <c r="F17" s="182"/>
      <c r="G17" s="183"/>
      <c r="H17" s="184"/>
      <c r="I17" s="216"/>
      <c r="J17" s="216"/>
      <c r="K17" s="216"/>
      <c r="L17" s="216"/>
      <c r="M17" s="216"/>
      <c r="N17" s="216"/>
      <c r="O17" s="216"/>
      <c r="P17" s="216"/>
      <c r="Q17" s="216"/>
      <c r="R17" s="216"/>
      <c r="S17" s="216"/>
      <c r="T17" s="216"/>
      <c r="U17" s="216"/>
      <c r="V17" s="216"/>
      <c r="W17" s="216"/>
      <c r="X17" s="216"/>
      <c r="Y17" s="216"/>
      <c r="Z17" s="152"/>
      <c r="AA17" s="237"/>
      <c r="AB17" s="237"/>
      <c r="AC17" s="237"/>
    </row>
    <row r="18" spans="1:29" s="1" customFormat="1" ht="17.399999999999999" customHeight="1">
      <c r="A18" s="141"/>
      <c r="B18" s="182"/>
      <c r="C18" s="182"/>
      <c r="D18" s="240" t="s">
        <v>230</v>
      </c>
      <c r="E18" s="241"/>
      <c r="F18" s="182"/>
      <c r="G18" s="183"/>
      <c r="H18" s="184"/>
      <c r="I18" s="216"/>
      <c r="J18" s="216"/>
      <c r="K18" s="216"/>
      <c r="L18" s="216"/>
      <c r="M18" s="216"/>
      <c r="N18" s="216"/>
      <c r="O18" s="216"/>
      <c r="P18" s="216"/>
      <c r="Q18" s="216"/>
      <c r="R18" s="216"/>
      <c r="S18" s="216"/>
      <c r="T18" s="216"/>
      <c r="U18" s="216"/>
      <c r="V18" s="216"/>
      <c r="W18" s="216"/>
      <c r="X18" s="216"/>
      <c r="Y18" s="216"/>
      <c r="Z18" s="152"/>
      <c r="AA18" s="237"/>
      <c r="AB18" s="237"/>
      <c r="AC18" s="237"/>
    </row>
    <row r="19" spans="1:29" s="1" customFormat="1" ht="17.399999999999999" customHeight="1">
      <c r="A19" s="141"/>
      <c r="B19" s="184"/>
      <c r="C19" s="184"/>
      <c r="D19" s="240" t="s">
        <v>231</v>
      </c>
      <c r="E19" s="241"/>
      <c r="F19" s="182"/>
      <c r="G19" s="183"/>
      <c r="H19" s="184"/>
      <c r="I19" s="216"/>
      <c r="J19" s="216"/>
      <c r="K19" s="216"/>
      <c r="L19" s="216"/>
      <c r="M19" s="216"/>
      <c r="N19" s="216"/>
      <c r="O19" s="216"/>
      <c r="P19" s="216"/>
      <c r="Q19" s="216"/>
      <c r="R19" s="216"/>
      <c r="S19" s="216"/>
      <c r="T19" s="216"/>
      <c r="U19" s="216"/>
      <c r="V19" s="216"/>
      <c r="W19" s="216"/>
      <c r="X19" s="216"/>
      <c r="Y19" s="216"/>
      <c r="Z19" s="152"/>
      <c r="AA19" s="237"/>
      <c r="AB19" s="237"/>
      <c r="AC19" s="237"/>
    </row>
    <row r="20" spans="1:29" s="1" customFormat="1" ht="17.399999999999999" customHeight="1">
      <c r="A20" s="141"/>
      <c r="B20" s="182"/>
      <c r="C20" s="182"/>
      <c r="D20" s="240" t="s">
        <v>232</v>
      </c>
      <c r="E20" s="241"/>
      <c r="F20" s="182"/>
      <c r="G20" s="183"/>
      <c r="H20" s="184"/>
      <c r="I20" s="216"/>
      <c r="J20" s="216"/>
      <c r="K20" s="216"/>
      <c r="L20" s="216"/>
      <c r="M20" s="216"/>
      <c r="N20" s="216"/>
      <c r="O20" s="216"/>
      <c r="P20" s="216"/>
      <c r="Q20" s="216"/>
      <c r="R20" s="216"/>
      <c r="S20" s="216"/>
      <c r="T20" s="216"/>
      <c r="U20" s="216"/>
      <c r="V20" s="216"/>
      <c r="W20" s="216"/>
      <c r="X20" s="216"/>
      <c r="Y20" s="216"/>
      <c r="Z20" s="152"/>
      <c r="AA20" s="237"/>
      <c r="AB20" s="237"/>
      <c r="AC20" s="237"/>
    </row>
    <row r="21" spans="1:29" s="1" customFormat="1" ht="17.399999999999999" customHeight="1">
      <c r="A21" s="141"/>
      <c r="B21" s="182"/>
      <c r="C21" s="182"/>
      <c r="D21" s="240" t="s">
        <v>233</v>
      </c>
      <c r="E21" s="241"/>
      <c r="F21" s="182"/>
      <c r="G21" s="183"/>
      <c r="H21" s="184"/>
      <c r="I21" s="216"/>
      <c r="J21" s="216"/>
      <c r="K21" s="216"/>
      <c r="L21" s="216"/>
      <c r="M21" s="216"/>
      <c r="N21" s="216"/>
      <c r="O21" s="216"/>
      <c r="P21" s="216"/>
      <c r="Q21" s="216"/>
      <c r="R21" s="216"/>
      <c r="S21" s="216"/>
      <c r="T21" s="216"/>
      <c r="U21" s="216"/>
      <c r="V21" s="216"/>
      <c r="W21" s="216"/>
      <c r="X21" s="216"/>
      <c r="Y21" s="216"/>
      <c r="Z21" s="152"/>
      <c r="AA21" s="237"/>
      <c r="AB21" s="237"/>
      <c r="AC21" s="237"/>
    </row>
    <row r="22" spans="1:29" s="1" customFormat="1" ht="17.399999999999999" customHeight="1">
      <c r="A22" s="141"/>
      <c r="B22" s="182"/>
      <c r="C22" s="182"/>
      <c r="D22" s="240" t="s">
        <v>234</v>
      </c>
      <c r="E22" s="241"/>
      <c r="F22" s="182"/>
      <c r="G22" s="183"/>
      <c r="H22" s="184"/>
      <c r="I22" s="216"/>
      <c r="J22" s="216"/>
      <c r="K22" s="216"/>
      <c r="L22" s="216"/>
      <c r="M22" s="216"/>
      <c r="N22" s="216"/>
      <c r="O22" s="216"/>
      <c r="P22" s="216"/>
      <c r="Q22" s="216"/>
      <c r="R22" s="216"/>
      <c r="S22" s="216"/>
      <c r="T22" s="216"/>
      <c r="U22" s="216"/>
      <c r="V22" s="216"/>
      <c r="W22" s="216"/>
      <c r="X22" s="216"/>
      <c r="Y22" s="216"/>
      <c r="Z22" s="152"/>
      <c r="AA22" s="237"/>
      <c r="AB22" s="237"/>
      <c r="AC22" s="237"/>
    </row>
    <row r="23" spans="1:29" s="1" customFormat="1" ht="17.399999999999999" customHeight="1">
      <c r="A23" s="141"/>
      <c r="B23" s="182"/>
      <c r="C23" s="182"/>
      <c r="D23" s="182"/>
      <c r="E23" s="182"/>
      <c r="F23" s="182"/>
      <c r="G23" s="183"/>
      <c r="H23" s="184"/>
      <c r="I23" s="216"/>
      <c r="J23" s="216"/>
      <c r="K23" s="216"/>
      <c r="L23" s="216"/>
      <c r="M23" s="216"/>
      <c r="N23" s="216"/>
      <c r="O23" s="216"/>
      <c r="P23" s="216"/>
      <c r="Q23" s="216"/>
      <c r="R23" s="216"/>
      <c r="S23" s="216"/>
      <c r="T23" s="216"/>
      <c r="U23" s="216"/>
      <c r="V23" s="216"/>
      <c r="W23" s="216"/>
      <c r="X23" s="216"/>
      <c r="Y23" s="216"/>
      <c r="Z23" s="152"/>
      <c r="AA23" s="237"/>
      <c r="AB23" s="237"/>
      <c r="AC23" s="237"/>
    </row>
    <row r="24" spans="1:29" s="1" customFormat="1" ht="17.399999999999999" customHeight="1">
      <c r="A24" s="141"/>
      <c r="B24" s="98" t="s">
        <v>153</v>
      </c>
      <c r="C24" s="209" t="s">
        <v>221</v>
      </c>
      <c r="D24" s="238" t="s">
        <v>222</v>
      </c>
      <c r="E24" s="239"/>
      <c r="F24" s="182"/>
      <c r="G24" s="183"/>
      <c r="H24" s="184"/>
      <c r="I24" s="216"/>
      <c r="J24" s="216"/>
      <c r="K24" s="216"/>
      <c r="L24" s="216"/>
      <c r="M24" s="216"/>
      <c r="N24" s="216"/>
      <c r="O24" s="216"/>
      <c r="P24" s="216"/>
      <c r="Q24" s="216"/>
      <c r="R24" s="216"/>
      <c r="S24" s="216"/>
      <c r="T24" s="216"/>
      <c r="U24" s="216"/>
      <c r="V24" s="216"/>
      <c r="W24" s="216"/>
      <c r="X24" s="216"/>
      <c r="Y24" s="216"/>
      <c r="Z24" s="152"/>
      <c r="AA24" s="237"/>
      <c r="AB24" s="237"/>
      <c r="AC24" s="237"/>
    </row>
    <row r="25" spans="1:29" s="1" customFormat="1" ht="17.399999999999999" customHeight="1">
      <c r="A25" s="141"/>
      <c r="B25" s="182"/>
      <c r="C25" s="182"/>
      <c r="D25" s="204" t="s">
        <v>47</v>
      </c>
      <c r="E25" s="205"/>
      <c r="F25" s="182"/>
      <c r="G25" s="183"/>
      <c r="H25" s="184"/>
      <c r="I25" s="216"/>
      <c r="J25" s="216"/>
      <c r="K25" s="216"/>
      <c r="L25" s="216"/>
      <c r="M25" s="216"/>
      <c r="N25" s="216"/>
      <c r="O25" s="216"/>
      <c r="P25" s="216"/>
      <c r="Q25" s="216"/>
      <c r="R25" s="216"/>
      <c r="S25" s="216"/>
      <c r="T25" s="216"/>
      <c r="U25" s="216"/>
      <c r="V25" s="216"/>
      <c r="W25" s="216"/>
      <c r="X25" s="216"/>
      <c r="Y25" s="216"/>
      <c r="Z25" s="152"/>
      <c r="AA25" s="237"/>
      <c r="AB25" s="237"/>
      <c r="AC25" s="237"/>
    </row>
    <row r="26" spans="1:29" s="1" customFormat="1" ht="17.399999999999999" customHeight="1">
      <c r="A26" s="141"/>
      <c r="B26" s="182"/>
      <c r="C26" s="182"/>
      <c r="D26" s="204" t="s">
        <v>154</v>
      </c>
      <c r="E26" s="205"/>
      <c r="F26" s="182"/>
      <c r="G26" s="183"/>
      <c r="H26" s="184"/>
      <c r="I26" s="216"/>
      <c r="J26" s="216"/>
      <c r="K26" s="216"/>
      <c r="L26" s="216"/>
      <c r="M26" s="216"/>
      <c r="N26" s="216"/>
      <c r="O26" s="216"/>
      <c r="P26" s="216"/>
      <c r="Q26" s="216"/>
      <c r="R26" s="216"/>
      <c r="S26" s="216"/>
      <c r="T26" s="216"/>
      <c r="U26" s="216"/>
      <c r="V26" s="216"/>
      <c r="W26" s="216"/>
      <c r="X26" s="216"/>
      <c r="Y26" s="216"/>
      <c r="Z26" s="152"/>
      <c r="AA26" s="237"/>
      <c r="AB26" s="237"/>
      <c r="AC26" s="237"/>
    </row>
    <row r="27" spans="1:29" s="1" customFormat="1" ht="17.399999999999999" customHeight="1">
      <c r="A27" s="141"/>
      <c r="B27" s="182"/>
      <c r="C27" s="182"/>
      <c r="D27" s="182"/>
      <c r="E27" s="182"/>
      <c r="F27" s="182"/>
      <c r="G27" s="183"/>
      <c r="H27" s="184"/>
      <c r="I27" s="216"/>
      <c r="J27" s="216"/>
      <c r="K27" s="216"/>
      <c r="L27" s="216"/>
      <c r="M27" s="216"/>
      <c r="N27" s="216"/>
      <c r="O27" s="216"/>
      <c r="P27" s="216"/>
      <c r="Q27" s="216"/>
      <c r="R27" s="216"/>
      <c r="S27" s="216"/>
      <c r="T27" s="216"/>
      <c r="U27" s="216"/>
      <c r="V27" s="216"/>
      <c r="W27" s="216"/>
      <c r="X27" s="216"/>
      <c r="Y27" s="216"/>
      <c r="Z27" s="152"/>
      <c r="AA27" s="237"/>
      <c r="AB27" s="237"/>
      <c r="AC27" s="237"/>
    </row>
    <row r="28" spans="1:29" s="115" customFormat="1" ht="17.399999999999999" customHeight="1">
      <c r="A28" s="228"/>
      <c r="B28" s="207" t="s">
        <v>235</v>
      </c>
      <c r="C28" s="208" t="s">
        <v>221</v>
      </c>
      <c r="D28" s="242" t="s">
        <v>222</v>
      </c>
      <c r="E28" s="243"/>
      <c r="F28" s="181"/>
      <c r="G28" s="279"/>
      <c r="H28" s="280"/>
      <c r="I28" s="281"/>
      <c r="J28" s="281"/>
      <c r="K28" s="281"/>
      <c r="L28" s="281"/>
      <c r="M28" s="281"/>
      <c r="N28" s="281"/>
      <c r="O28" s="281"/>
      <c r="P28" s="281"/>
      <c r="Q28" s="281"/>
      <c r="R28" s="281"/>
      <c r="S28" s="281"/>
      <c r="T28" s="281"/>
      <c r="U28" s="281"/>
      <c r="V28" s="281"/>
      <c r="W28" s="281"/>
      <c r="X28" s="281"/>
      <c r="Y28" s="281"/>
      <c r="Z28" s="281"/>
      <c r="AA28" s="282"/>
      <c r="AB28" s="282"/>
      <c r="AC28" s="282"/>
    </row>
    <row r="29" spans="1:29" s="115" customFormat="1" ht="17.399999999999999" customHeight="1">
      <c r="A29" s="228"/>
      <c r="B29" s="181"/>
      <c r="C29" s="181"/>
      <c r="D29" s="244" t="s">
        <v>236</v>
      </c>
      <c r="E29" s="245"/>
      <c r="F29" s="181"/>
      <c r="G29" s="279"/>
      <c r="H29" s="280"/>
      <c r="I29" s="281"/>
      <c r="J29" s="281"/>
      <c r="K29" s="281"/>
      <c r="L29" s="281"/>
      <c r="M29" s="281"/>
      <c r="N29" s="281"/>
      <c r="O29" s="281"/>
      <c r="P29" s="281"/>
      <c r="Q29" s="281"/>
      <c r="R29" s="281"/>
      <c r="S29" s="281"/>
      <c r="T29" s="281"/>
      <c r="U29" s="281"/>
      <c r="V29" s="281"/>
      <c r="W29" s="281"/>
      <c r="X29" s="281"/>
      <c r="Y29" s="281"/>
      <c r="Z29" s="281"/>
      <c r="AA29" s="282"/>
      <c r="AB29" s="282"/>
      <c r="AC29" s="282"/>
    </row>
    <row r="30" spans="1:29" s="115" customFormat="1" ht="17.399999999999999" customHeight="1">
      <c r="A30" s="228"/>
      <c r="B30" s="181"/>
      <c r="C30" s="181"/>
      <c r="D30" s="244" t="s">
        <v>237</v>
      </c>
      <c r="E30" s="245"/>
      <c r="F30" s="181"/>
      <c r="G30" s="279"/>
      <c r="H30" s="280"/>
      <c r="I30" s="281"/>
      <c r="J30" s="281"/>
      <c r="K30" s="281"/>
      <c r="L30" s="281"/>
      <c r="M30" s="281"/>
      <c r="N30" s="281"/>
      <c r="O30" s="281"/>
      <c r="P30" s="281"/>
      <c r="Q30" s="281"/>
      <c r="R30" s="281"/>
      <c r="S30" s="281"/>
      <c r="T30" s="281"/>
      <c r="U30" s="281"/>
      <c r="V30" s="281"/>
      <c r="W30" s="281"/>
      <c r="X30" s="281"/>
      <c r="Y30" s="281"/>
      <c r="Z30" s="281"/>
      <c r="AA30" s="282"/>
      <c r="AB30" s="282"/>
      <c r="AC30" s="282"/>
    </row>
    <row r="31" spans="1:29" s="115" customFormat="1" ht="17.399999999999999" customHeight="1">
      <c r="A31" s="228"/>
      <c r="B31" s="181"/>
      <c r="C31" s="181"/>
      <c r="D31" s="244" t="s">
        <v>238</v>
      </c>
      <c r="E31" s="245"/>
      <c r="F31" s="181"/>
      <c r="G31" s="279"/>
      <c r="H31" s="280"/>
      <c r="I31" s="281"/>
      <c r="J31" s="281"/>
      <c r="K31" s="281"/>
      <c r="L31" s="281"/>
      <c r="M31" s="281"/>
      <c r="N31" s="281"/>
      <c r="O31" s="281"/>
      <c r="P31" s="281"/>
      <c r="Q31" s="281"/>
      <c r="R31" s="281"/>
      <c r="S31" s="281"/>
      <c r="T31" s="281"/>
      <c r="U31" s="281"/>
      <c r="V31" s="281"/>
      <c r="W31" s="281"/>
      <c r="X31" s="281"/>
      <c r="Y31" s="281"/>
      <c r="Z31" s="281"/>
      <c r="AA31" s="282"/>
      <c r="AB31" s="282"/>
      <c r="AC31" s="282"/>
    </row>
    <row r="32" spans="1:29" s="115" customFormat="1" ht="17.399999999999999" customHeight="1">
      <c r="A32" s="228"/>
      <c r="B32" s="181"/>
      <c r="C32" s="181"/>
      <c r="D32" s="244" t="s">
        <v>239</v>
      </c>
      <c r="E32" s="245"/>
      <c r="F32" s="181"/>
      <c r="G32" s="279"/>
      <c r="H32" s="280"/>
      <c r="I32" s="281"/>
      <c r="J32" s="281"/>
      <c r="K32" s="281"/>
      <c r="L32" s="281"/>
      <c r="M32" s="281"/>
      <c r="N32" s="281"/>
      <c r="O32" s="281"/>
      <c r="P32" s="281"/>
      <c r="Q32" s="281"/>
      <c r="R32" s="281"/>
      <c r="S32" s="281"/>
      <c r="T32" s="281"/>
      <c r="U32" s="281"/>
      <c r="V32" s="281"/>
      <c r="W32" s="281"/>
      <c r="X32" s="281"/>
      <c r="Y32" s="281"/>
      <c r="Z32" s="281"/>
      <c r="AA32" s="282"/>
      <c r="AB32" s="282"/>
      <c r="AC32" s="282"/>
    </row>
    <row r="33" spans="1:29" s="115" customFormat="1" ht="17.399999999999999" customHeight="1">
      <c r="A33" s="228"/>
      <c r="B33" s="181"/>
      <c r="C33" s="181"/>
      <c r="D33" s="248" t="s">
        <v>240</v>
      </c>
      <c r="E33" s="249"/>
      <c r="F33" s="181"/>
      <c r="G33" s="279"/>
      <c r="H33" s="280"/>
      <c r="I33" s="281"/>
      <c r="J33" s="281"/>
      <c r="K33" s="281"/>
      <c r="L33" s="281"/>
      <c r="M33" s="281"/>
      <c r="N33" s="281"/>
      <c r="O33" s="281"/>
      <c r="P33" s="281"/>
      <c r="Q33" s="281"/>
      <c r="R33" s="281"/>
      <c r="S33" s="281"/>
      <c r="T33" s="281"/>
      <c r="U33" s="281"/>
      <c r="V33" s="281"/>
      <c r="W33" s="281"/>
      <c r="X33" s="281"/>
      <c r="Y33" s="281"/>
      <c r="Z33" s="281"/>
      <c r="AA33" s="282"/>
      <c r="AB33" s="282"/>
      <c r="AC33" s="282"/>
    </row>
    <row r="34" spans="1:29" s="115" customFormat="1" ht="17.399999999999999" customHeight="1">
      <c r="A34" s="228"/>
      <c r="B34" s="181"/>
      <c r="C34" s="181"/>
      <c r="D34" s="244" t="s">
        <v>241</v>
      </c>
      <c r="E34" s="245"/>
      <c r="F34" s="181"/>
      <c r="G34" s="279"/>
      <c r="H34" s="280"/>
      <c r="I34" s="281"/>
      <c r="J34" s="281"/>
      <c r="K34" s="281"/>
      <c r="L34" s="281"/>
      <c r="M34" s="281"/>
      <c r="N34" s="281"/>
      <c r="O34" s="281"/>
      <c r="P34" s="281"/>
      <c r="Q34" s="281"/>
      <c r="R34" s="281"/>
      <c r="S34" s="281"/>
      <c r="T34" s="281"/>
      <c r="U34" s="281"/>
      <c r="V34" s="281"/>
      <c r="W34" s="281"/>
      <c r="X34" s="281"/>
      <c r="Y34" s="281"/>
      <c r="Z34" s="281"/>
      <c r="AA34" s="282"/>
      <c r="AB34" s="282"/>
      <c r="AC34" s="282"/>
    </row>
    <row r="35" spans="1:29" s="115" customFormat="1" ht="17.399999999999999" customHeight="1">
      <c r="A35" s="228"/>
      <c r="B35" s="181"/>
      <c r="C35" s="181"/>
      <c r="D35" s="246" t="s">
        <v>242</v>
      </c>
      <c r="E35" s="247"/>
      <c r="F35" s="181"/>
      <c r="G35" s="279"/>
      <c r="H35" s="280"/>
      <c r="I35" s="281"/>
      <c r="J35" s="281"/>
      <c r="K35" s="281"/>
      <c r="L35" s="281"/>
      <c r="M35" s="281"/>
      <c r="N35" s="281"/>
      <c r="O35" s="281"/>
      <c r="P35" s="281"/>
      <c r="Q35" s="281"/>
      <c r="R35" s="281"/>
      <c r="S35" s="281"/>
      <c r="T35" s="281"/>
      <c r="U35" s="281"/>
      <c r="V35" s="281"/>
      <c r="W35" s="281"/>
      <c r="X35" s="281"/>
      <c r="Y35" s="281"/>
      <c r="Z35" s="281"/>
      <c r="AA35" s="282"/>
      <c r="AB35" s="282"/>
      <c r="AC35" s="282"/>
    </row>
    <row r="36" spans="1:29" s="115" customFormat="1" ht="17.399999999999999" customHeight="1">
      <c r="A36" s="228"/>
      <c r="B36" s="181"/>
      <c r="C36" s="181"/>
      <c r="D36" s="246" t="s">
        <v>243</v>
      </c>
      <c r="E36" s="247"/>
      <c r="F36" s="181"/>
      <c r="G36" s="279"/>
      <c r="H36" s="280"/>
      <c r="I36" s="281"/>
      <c r="J36" s="281"/>
      <c r="K36" s="281"/>
      <c r="L36" s="281"/>
      <c r="M36" s="281"/>
      <c r="N36" s="281"/>
      <c r="O36" s="281"/>
      <c r="P36" s="281"/>
      <c r="Q36" s="281"/>
      <c r="R36" s="281"/>
      <c r="S36" s="281"/>
      <c r="T36" s="281"/>
      <c r="U36" s="281"/>
      <c r="V36" s="281"/>
      <c r="W36" s="281"/>
      <c r="X36" s="281"/>
      <c r="Y36" s="281"/>
      <c r="Z36" s="281"/>
      <c r="AA36" s="282"/>
      <c r="AB36" s="282"/>
      <c r="AC36" s="282"/>
    </row>
    <row r="37" spans="1:29" s="115" customFormat="1" ht="17.399999999999999" customHeight="1">
      <c r="A37" s="228"/>
      <c r="B37" s="181"/>
      <c r="C37" s="181"/>
      <c r="D37" s="244" t="s">
        <v>156</v>
      </c>
      <c r="E37" s="245"/>
      <c r="F37" s="181"/>
      <c r="G37" s="279"/>
      <c r="H37" s="280"/>
      <c r="I37" s="281"/>
      <c r="J37" s="281"/>
      <c r="K37" s="281"/>
      <c r="L37" s="281"/>
      <c r="M37" s="281"/>
      <c r="N37" s="281"/>
      <c r="O37" s="281"/>
      <c r="P37" s="281"/>
      <c r="Q37" s="281"/>
      <c r="R37" s="281"/>
      <c r="S37" s="281"/>
      <c r="T37" s="281"/>
      <c r="U37" s="281"/>
      <c r="V37" s="281"/>
      <c r="W37" s="281"/>
      <c r="X37" s="281"/>
      <c r="Y37" s="281"/>
      <c r="Z37" s="281"/>
      <c r="AA37" s="282"/>
      <c r="AB37" s="282"/>
      <c r="AC37" s="282"/>
    </row>
    <row r="38" spans="1:29" s="115" customFormat="1" ht="17.399999999999999" customHeight="1">
      <c r="A38" s="228"/>
      <c r="B38" s="181"/>
      <c r="C38" s="181"/>
      <c r="D38" s="244" t="s">
        <v>244</v>
      </c>
      <c r="E38" s="245"/>
      <c r="F38" s="181"/>
      <c r="G38" s="279"/>
      <c r="H38" s="280"/>
      <c r="I38" s="281"/>
      <c r="J38" s="281"/>
      <c r="K38" s="281"/>
      <c r="L38" s="281"/>
      <c r="M38" s="281"/>
      <c r="N38" s="281"/>
      <c r="O38" s="281"/>
      <c r="P38" s="281"/>
      <c r="Q38" s="281"/>
      <c r="R38" s="281"/>
      <c r="S38" s="281"/>
      <c r="T38" s="281"/>
      <c r="U38" s="281"/>
      <c r="V38" s="281"/>
      <c r="W38" s="281"/>
      <c r="X38" s="281"/>
      <c r="Y38" s="281"/>
      <c r="Z38" s="281"/>
      <c r="AA38" s="282"/>
      <c r="AB38" s="282"/>
      <c r="AC38" s="282"/>
    </row>
    <row r="39" spans="1:29" s="115" customFormat="1" ht="17.399999999999999" customHeight="1">
      <c r="A39" s="228"/>
      <c r="B39" s="181"/>
      <c r="C39" s="181"/>
      <c r="D39" s="244" t="s">
        <v>245</v>
      </c>
      <c r="E39" s="245"/>
      <c r="F39" s="181"/>
      <c r="G39" s="279"/>
      <c r="H39" s="280"/>
      <c r="I39" s="281"/>
      <c r="J39" s="281"/>
      <c r="K39" s="281"/>
      <c r="L39" s="281"/>
      <c r="M39" s="281"/>
      <c r="N39" s="281"/>
      <c r="O39" s="281"/>
      <c r="P39" s="281"/>
      <c r="Q39" s="281"/>
      <c r="R39" s="281"/>
      <c r="S39" s="281"/>
      <c r="T39" s="281"/>
      <c r="U39" s="281"/>
      <c r="V39" s="281"/>
      <c r="W39" s="281"/>
      <c r="X39" s="281"/>
      <c r="Y39" s="281"/>
      <c r="Z39" s="281"/>
      <c r="AA39" s="282"/>
      <c r="AB39" s="282"/>
      <c r="AC39" s="282"/>
    </row>
    <row r="40" spans="1:29" s="115" customFormat="1" ht="17.399999999999999" customHeight="1">
      <c r="A40" s="228"/>
      <c r="B40" s="181"/>
      <c r="C40" s="181"/>
      <c r="D40" s="244" t="s">
        <v>246</v>
      </c>
      <c r="E40" s="245"/>
      <c r="F40" s="181"/>
      <c r="G40" s="279"/>
      <c r="H40" s="280"/>
      <c r="I40" s="281"/>
      <c r="J40" s="281"/>
      <c r="K40" s="281"/>
      <c r="L40" s="281"/>
      <c r="M40" s="281"/>
      <c r="N40" s="281"/>
      <c r="O40" s="281"/>
      <c r="P40" s="281"/>
      <c r="Q40" s="281"/>
      <c r="R40" s="281"/>
      <c r="S40" s="281"/>
      <c r="T40" s="281"/>
      <c r="U40" s="281"/>
      <c r="V40" s="281"/>
      <c r="W40" s="281"/>
      <c r="X40" s="281"/>
      <c r="Y40" s="281"/>
      <c r="Z40" s="281"/>
      <c r="AA40" s="282"/>
      <c r="AB40" s="282"/>
      <c r="AC40" s="282"/>
    </row>
    <row r="41" spans="1:29" s="115" customFormat="1" ht="17.399999999999999" customHeight="1">
      <c r="A41" s="228"/>
      <c r="B41" s="181"/>
      <c r="C41" s="181"/>
      <c r="D41" s="244" t="s">
        <v>247</v>
      </c>
      <c r="E41" s="245"/>
      <c r="F41" s="181"/>
      <c r="G41" s="279"/>
      <c r="H41" s="280"/>
      <c r="I41" s="281"/>
      <c r="J41" s="281"/>
      <c r="K41" s="281"/>
      <c r="L41" s="281"/>
      <c r="M41" s="281"/>
      <c r="N41" s="281"/>
      <c r="O41" s="281"/>
      <c r="P41" s="281"/>
      <c r="Q41" s="281"/>
      <c r="R41" s="281"/>
      <c r="S41" s="281"/>
      <c r="T41" s="281"/>
      <c r="U41" s="281"/>
      <c r="V41" s="281"/>
      <c r="W41" s="281"/>
      <c r="X41" s="281"/>
      <c r="Y41" s="281"/>
      <c r="Z41" s="281"/>
      <c r="AA41" s="282"/>
      <c r="AB41" s="282"/>
      <c r="AC41" s="282"/>
    </row>
    <row r="42" spans="1:29" s="115" customFormat="1" ht="17.399999999999999" customHeight="1">
      <c r="A42" s="228"/>
      <c r="B42" s="181"/>
      <c r="C42" s="181"/>
      <c r="D42" s="248" t="s">
        <v>248</v>
      </c>
      <c r="E42" s="249"/>
      <c r="F42" s="181"/>
      <c r="G42" s="279"/>
      <c r="H42" s="280"/>
      <c r="I42" s="281"/>
      <c r="J42" s="281"/>
      <c r="K42" s="281"/>
      <c r="L42" s="281"/>
      <c r="M42" s="281"/>
      <c r="N42" s="281"/>
      <c r="O42" s="281"/>
      <c r="P42" s="281"/>
      <c r="Q42" s="281"/>
      <c r="R42" s="281"/>
      <c r="S42" s="281"/>
      <c r="T42" s="281"/>
      <c r="U42" s="281"/>
      <c r="V42" s="281"/>
      <c r="W42" s="281"/>
      <c r="X42" s="281"/>
      <c r="Y42" s="281"/>
      <c r="Z42" s="281"/>
      <c r="AA42" s="282"/>
      <c r="AB42" s="282"/>
      <c r="AC42" s="282"/>
    </row>
    <row r="43" spans="1:29" s="115" customFormat="1" ht="17.399999999999999" customHeight="1">
      <c r="A43" s="228"/>
      <c r="B43" s="181"/>
      <c r="C43" s="181"/>
      <c r="D43" s="244" t="s">
        <v>249</v>
      </c>
      <c r="E43" s="245"/>
      <c r="F43" s="181"/>
      <c r="G43" s="279"/>
      <c r="H43" s="280"/>
      <c r="I43" s="281"/>
      <c r="J43" s="281"/>
      <c r="K43" s="281"/>
      <c r="L43" s="281"/>
      <c r="M43" s="281"/>
      <c r="N43" s="281"/>
      <c r="O43" s="281"/>
      <c r="P43" s="281"/>
      <c r="Q43" s="281"/>
      <c r="R43" s="281"/>
      <c r="S43" s="281"/>
      <c r="T43" s="281"/>
      <c r="U43" s="281"/>
      <c r="V43" s="281"/>
      <c r="W43" s="281"/>
      <c r="X43" s="281"/>
      <c r="Y43" s="281"/>
      <c r="Z43" s="281"/>
      <c r="AA43" s="282"/>
      <c r="AB43" s="282"/>
      <c r="AC43" s="282"/>
    </row>
    <row r="44" spans="1:29" s="115" customFormat="1" ht="17.399999999999999" customHeight="1">
      <c r="A44" s="228"/>
      <c r="B44" s="181"/>
      <c r="C44" s="181"/>
      <c r="D44" s="244" t="s">
        <v>250</v>
      </c>
      <c r="E44" s="245"/>
      <c r="F44" s="181"/>
      <c r="G44" s="279"/>
      <c r="H44" s="280"/>
      <c r="I44" s="281"/>
      <c r="J44" s="281"/>
      <c r="K44" s="281"/>
      <c r="L44" s="281"/>
      <c r="M44" s="281"/>
      <c r="N44" s="281"/>
      <c r="O44" s="281"/>
      <c r="P44" s="281"/>
      <c r="Q44" s="281"/>
      <c r="R44" s="281"/>
      <c r="S44" s="281"/>
      <c r="T44" s="281"/>
      <c r="U44" s="281"/>
      <c r="V44" s="281"/>
      <c r="W44" s="281"/>
      <c r="X44" s="281"/>
      <c r="Y44" s="281"/>
      <c r="Z44" s="281"/>
      <c r="AA44" s="282"/>
      <c r="AB44" s="282"/>
      <c r="AC44" s="282"/>
    </row>
    <row r="45" spans="1:29" s="115" customFormat="1" ht="17.399999999999999" customHeight="1">
      <c r="A45" s="228"/>
      <c r="B45" s="181"/>
      <c r="C45" s="181"/>
      <c r="D45" s="244" t="s">
        <v>251</v>
      </c>
      <c r="E45" s="245"/>
      <c r="F45" s="181"/>
      <c r="G45" s="279"/>
      <c r="H45" s="280"/>
      <c r="I45" s="281"/>
      <c r="J45" s="281"/>
      <c r="K45" s="281"/>
      <c r="L45" s="281"/>
      <c r="M45" s="281"/>
      <c r="N45" s="281"/>
      <c r="O45" s="281"/>
      <c r="P45" s="281"/>
      <c r="Q45" s="281"/>
      <c r="R45" s="281"/>
      <c r="S45" s="281"/>
      <c r="T45" s="281"/>
      <c r="U45" s="281"/>
      <c r="V45" s="281"/>
      <c r="W45" s="281"/>
      <c r="X45" s="281"/>
      <c r="Y45" s="281"/>
      <c r="Z45" s="281"/>
      <c r="AA45" s="282"/>
      <c r="AB45" s="282"/>
      <c r="AC45" s="282"/>
    </row>
    <row r="46" spans="1:29" s="115" customFormat="1" ht="17.399999999999999" customHeight="1">
      <c r="A46" s="228"/>
      <c r="B46" s="181"/>
      <c r="C46" s="181"/>
      <c r="D46" s="244">
        <v>7</v>
      </c>
      <c r="E46" s="245"/>
      <c r="F46" s="181"/>
      <c r="G46" s="279"/>
      <c r="H46" s="280"/>
      <c r="I46" s="281"/>
      <c r="J46" s="281"/>
      <c r="K46" s="281"/>
      <c r="L46" s="281"/>
      <c r="M46" s="281"/>
      <c r="N46" s="281"/>
      <c r="O46" s="281"/>
      <c r="P46" s="281"/>
      <c r="Q46" s="281"/>
      <c r="R46" s="281"/>
      <c r="S46" s="281"/>
      <c r="T46" s="281"/>
      <c r="U46" s="281"/>
      <c r="V46" s="281"/>
      <c r="W46" s="281"/>
      <c r="X46" s="281"/>
      <c r="Y46" s="281"/>
      <c r="Z46" s="281"/>
      <c r="AA46" s="282"/>
      <c r="AB46" s="282"/>
      <c r="AC46" s="282"/>
    </row>
    <row r="47" spans="1:29" s="115" customFormat="1" ht="17.399999999999999" customHeight="1">
      <c r="A47" s="228"/>
      <c r="B47" s="181"/>
      <c r="C47" s="181"/>
      <c r="D47" s="248">
        <v>8</v>
      </c>
      <c r="E47" s="249"/>
      <c r="F47" s="181"/>
      <c r="G47" s="279"/>
      <c r="H47" s="280"/>
      <c r="I47" s="281"/>
      <c r="J47" s="281"/>
      <c r="K47" s="281"/>
      <c r="L47" s="281"/>
      <c r="M47" s="281"/>
      <c r="N47" s="281"/>
      <c r="O47" s="281"/>
      <c r="P47" s="281"/>
      <c r="Q47" s="281"/>
      <c r="R47" s="281"/>
      <c r="S47" s="281"/>
      <c r="T47" s="281"/>
      <c r="U47" s="281"/>
      <c r="V47" s="281"/>
      <c r="W47" s="281"/>
      <c r="X47" s="281"/>
      <c r="Y47" s="281"/>
      <c r="Z47" s="281"/>
      <c r="AA47" s="282"/>
      <c r="AB47" s="282"/>
      <c r="AC47" s="282"/>
    </row>
    <row r="48" spans="1:29" s="1" customFormat="1" ht="17.399999999999999" customHeight="1">
      <c r="A48" s="141"/>
      <c r="B48" s="184"/>
      <c r="C48" s="184"/>
      <c r="D48" s="185"/>
      <c r="E48" s="185"/>
      <c r="F48" s="182"/>
      <c r="G48" s="183"/>
      <c r="H48" s="184"/>
      <c r="I48" s="216"/>
      <c r="J48" s="216"/>
      <c r="K48" s="216"/>
      <c r="L48" s="216"/>
      <c r="M48" s="216"/>
      <c r="N48" s="216"/>
      <c r="O48" s="216"/>
      <c r="P48" s="216"/>
      <c r="Q48" s="216"/>
      <c r="R48" s="216"/>
      <c r="S48" s="216"/>
      <c r="T48" s="216"/>
      <c r="U48" s="216"/>
      <c r="V48" s="216"/>
      <c r="W48" s="216"/>
      <c r="X48" s="216"/>
      <c r="Y48" s="216"/>
      <c r="Z48" s="152"/>
      <c r="AA48" s="237"/>
      <c r="AB48" s="237"/>
      <c r="AC48" s="237"/>
    </row>
    <row r="49" spans="1:26" s="1" customFormat="1" ht="17.399999999999999" customHeight="1">
      <c r="A49" s="141"/>
      <c r="B49" s="98" t="s">
        <v>252</v>
      </c>
      <c r="C49" s="209" t="s">
        <v>221</v>
      </c>
      <c r="D49" s="238" t="s">
        <v>222</v>
      </c>
      <c r="E49" s="239"/>
      <c r="F49" s="182"/>
      <c r="G49" s="183"/>
      <c r="H49" s="184"/>
      <c r="I49" s="216"/>
      <c r="J49" s="216"/>
      <c r="K49" s="216"/>
      <c r="L49" s="216"/>
      <c r="M49" s="216"/>
      <c r="N49" s="216"/>
      <c r="O49" s="216"/>
      <c r="P49" s="216"/>
      <c r="Q49" s="216"/>
      <c r="R49" s="216"/>
      <c r="S49" s="216"/>
      <c r="T49" s="216"/>
      <c r="U49" s="216"/>
      <c r="V49" s="216"/>
      <c r="W49" s="216"/>
      <c r="X49" s="216"/>
      <c r="Y49" s="216"/>
      <c r="Z49" s="152"/>
    </row>
    <row r="50" spans="1:26" s="1" customFormat="1" ht="17.399999999999999" customHeight="1">
      <c r="A50" s="141"/>
      <c r="B50" s="182"/>
      <c r="C50" s="182"/>
      <c r="D50" s="204" t="s">
        <v>166</v>
      </c>
      <c r="E50" s="205"/>
      <c r="F50" s="182"/>
      <c r="G50" s="183"/>
      <c r="H50" s="184"/>
      <c r="I50" s="216"/>
      <c r="J50" s="216"/>
      <c r="K50" s="216"/>
      <c r="L50" s="216"/>
      <c r="M50" s="216"/>
      <c r="N50" s="216"/>
      <c r="O50" s="216"/>
      <c r="P50" s="216"/>
      <c r="Q50" s="216"/>
      <c r="R50" s="216"/>
      <c r="S50" s="216"/>
      <c r="T50" s="216"/>
      <c r="U50" s="216"/>
      <c r="V50" s="216"/>
      <c r="W50" s="216"/>
      <c r="X50" s="216"/>
      <c r="Y50" s="216"/>
      <c r="Z50" s="152"/>
    </row>
    <row r="51" spans="1:26" s="1" customFormat="1" ht="17.399999999999999" customHeight="1">
      <c r="A51" s="141"/>
      <c r="B51" s="182"/>
      <c r="C51" s="182"/>
      <c r="D51" s="204" t="s">
        <v>164</v>
      </c>
      <c r="E51" s="205"/>
      <c r="F51" s="182"/>
      <c r="G51" s="183"/>
      <c r="H51" s="184"/>
      <c r="I51" s="216"/>
      <c r="J51" s="216"/>
      <c r="K51" s="216"/>
      <c r="L51" s="216"/>
      <c r="M51" s="216"/>
      <c r="N51" s="216"/>
      <c r="O51" s="216"/>
      <c r="P51" s="216"/>
      <c r="Q51" s="216"/>
      <c r="R51" s="216"/>
      <c r="S51" s="216"/>
      <c r="T51" s="216"/>
      <c r="U51" s="216"/>
      <c r="V51" s="216"/>
      <c r="W51" s="216"/>
      <c r="X51" s="216"/>
      <c r="Y51" s="216"/>
      <c r="Z51" s="152"/>
    </row>
    <row r="52" spans="1:26" s="1" customFormat="1" ht="17.399999999999999" customHeight="1">
      <c r="A52" s="141"/>
      <c r="B52" s="182"/>
      <c r="C52" s="182"/>
      <c r="D52" s="204" t="s">
        <v>168</v>
      </c>
      <c r="E52" s="205"/>
      <c r="F52" s="182"/>
      <c r="G52" s="183"/>
      <c r="H52" s="184"/>
      <c r="I52" s="216"/>
      <c r="J52" s="216"/>
      <c r="K52" s="216"/>
      <c r="L52" s="216"/>
      <c r="M52" s="216"/>
      <c r="N52" s="216"/>
      <c r="O52" s="216"/>
      <c r="P52" s="216"/>
      <c r="Q52" s="216"/>
      <c r="R52" s="216"/>
      <c r="S52" s="216"/>
      <c r="T52" s="216"/>
      <c r="U52" s="216"/>
      <c r="V52" s="216"/>
      <c r="W52" s="216"/>
      <c r="X52" s="216"/>
      <c r="Y52" s="216"/>
      <c r="Z52" s="152"/>
    </row>
    <row r="53" spans="1:26" s="1" customFormat="1" ht="17.399999999999999" customHeight="1">
      <c r="A53" s="141"/>
      <c r="B53" s="182"/>
      <c r="C53" s="182"/>
      <c r="D53" s="204" t="s">
        <v>169</v>
      </c>
      <c r="E53" s="205"/>
      <c r="F53" s="182"/>
      <c r="G53" s="183"/>
      <c r="H53" s="184"/>
      <c r="I53" s="216"/>
      <c r="J53" s="216"/>
      <c r="K53" s="216"/>
      <c r="L53" s="216"/>
      <c r="M53" s="216"/>
      <c r="N53" s="216"/>
      <c r="O53" s="216"/>
      <c r="P53" s="216"/>
      <c r="Q53" s="216"/>
      <c r="R53" s="216"/>
      <c r="S53" s="216"/>
      <c r="T53" s="216"/>
      <c r="U53" s="216"/>
      <c r="V53" s="216"/>
      <c r="W53" s="216"/>
      <c r="X53" s="216"/>
      <c r="Y53" s="216"/>
      <c r="Z53" s="152"/>
    </row>
    <row r="54" spans="1:26" s="1" customFormat="1" ht="17.399999999999999" customHeight="1">
      <c r="A54" s="141"/>
      <c r="B54" s="182"/>
      <c r="C54" s="182"/>
      <c r="D54" s="204" t="s">
        <v>234</v>
      </c>
      <c r="E54" s="205"/>
      <c r="F54" s="182"/>
      <c r="G54" s="183"/>
      <c r="H54" s="184"/>
      <c r="I54" s="216"/>
      <c r="J54" s="216"/>
      <c r="K54" s="216"/>
      <c r="L54" s="216"/>
      <c r="M54" s="216"/>
      <c r="N54" s="216"/>
      <c r="O54" s="216"/>
      <c r="P54" s="216"/>
      <c r="Q54" s="216"/>
      <c r="R54" s="216"/>
      <c r="S54" s="216"/>
      <c r="T54" s="216"/>
      <c r="U54" s="216"/>
      <c r="V54" s="216"/>
      <c r="W54" s="216"/>
      <c r="X54" s="216"/>
      <c r="Y54" s="216"/>
      <c r="Z54" s="152"/>
    </row>
    <row r="55" spans="1:26" s="1" customFormat="1" ht="17.399999999999999" customHeight="1">
      <c r="A55" s="141"/>
      <c r="B55" s="277"/>
      <c r="C55" s="277"/>
      <c r="D55" s="167"/>
      <c r="E55" s="167"/>
      <c r="F55" s="138"/>
      <c r="G55" s="278"/>
      <c r="H55" s="277"/>
      <c r="I55" s="216"/>
      <c r="J55" s="216"/>
      <c r="K55" s="216"/>
      <c r="L55" s="216"/>
      <c r="M55" s="216"/>
      <c r="N55" s="216"/>
      <c r="O55" s="216"/>
      <c r="P55" s="216"/>
      <c r="Q55" s="216"/>
      <c r="R55" s="216"/>
      <c r="S55" s="216"/>
      <c r="T55" s="216"/>
      <c r="U55" s="216"/>
      <c r="V55" s="216"/>
      <c r="W55" s="216"/>
      <c r="X55" s="216"/>
      <c r="Y55" s="216"/>
      <c r="Z55" s="152"/>
    </row>
    <row r="56" spans="1:26" s="1" customFormat="1" ht="17.399999999999999" customHeight="1">
      <c r="A56" s="141"/>
      <c r="B56" s="98" t="s">
        <v>153</v>
      </c>
      <c r="C56" s="209" t="s">
        <v>221</v>
      </c>
      <c r="D56" s="238" t="s">
        <v>222</v>
      </c>
      <c r="E56" s="239"/>
      <c r="F56" s="182"/>
      <c r="G56" s="183"/>
      <c r="H56" s="184"/>
      <c r="I56" s="216"/>
      <c r="J56" s="216"/>
      <c r="K56" s="216"/>
      <c r="L56" s="216"/>
      <c r="M56" s="216"/>
      <c r="N56" s="216"/>
      <c r="O56" s="216"/>
      <c r="P56" s="216"/>
      <c r="Q56" s="216"/>
      <c r="R56" s="216"/>
      <c r="S56" s="216"/>
      <c r="T56" s="216"/>
      <c r="U56" s="216"/>
      <c r="V56" s="216"/>
      <c r="W56" s="216"/>
      <c r="X56" s="216"/>
      <c r="Y56" s="216"/>
      <c r="Z56" s="152"/>
    </row>
    <row r="57" spans="1:26" s="1" customFormat="1" ht="17.399999999999999" customHeight="1">
      <c r="A57" s="141"/>
      <c r="B57" s="182"/>
      <c r="C57" s="182"/>
      <c r="D57" s="204" t="s">
        <v>253</v>
      </c>
      <c r="E57" s="205"/>
      <c r="F57" s="182"/>
      <c r="G57" s="183"/>
      <c r="H57" s="184"/>
      <c r="I57" s="216"/>
      <c r="J57" s="216"/>
      <c r="K57" s="216"/>
      <c r="L57" s="216"/>
      <c r="M57" s="216"/>
      <c r="N57" s="216"/>
      <c r="O57" s="216"/>
      <c r="P57" s="216"/>
      <c r="Q57" s="216"/>
      <c r="R57" s="216"/>
      <c r="S57" s="216"/>
      <c r="T57" s="216"/>
      <c r="U57" s="216"/>
      <c r="V57" s="216"/>
      <c r="W57" s="216"/>
      <c r="X57" s="216"/>
      <c r="Y57" s="216"/>
      <c r="Z57" s="152"/>
    </row>
    <row r="58" spans="1:26" s="1" customFormat="1" ht="17.399999999999999" customHeight="1">
      <c r="A58" s="141"/>
      <c r="B58" s="182"/>
      <c r="C58" s="182"/>
      <c r="D58" s="204" t="s">
        <v>254</v>
      </c>
      <c r="E58" s="205"/>
      <c r="F58" s="182"/>
      <c r="G58" s="183"/>
      <c r="H58" s="184"/>
      <c r="I58" s="216"/>
      <c r="J58" s="216"/>
      <c r="K58" s="216"/>
      <c r="L58" s="216"/>
      <c r="M58" s="216"/>
      <c r="N58" s="216"/>
      <c r="O58" s="216"/>
      <c r="P58" s="216"/>
      <c r="Q58" s="216"/>
      <c r="R58" s="216"/>
      <c r="S58" s="216"/>
      <c r="T58" s="216"/>
      <c r="U58" s="216"/>
      <c r="V58" s="216"/>
      <c r="W58" s="216"/>
      <c r="X58" s="216"/>
      <c r="Y58" s="216"/>
      <c r="Z58" s="152"/>
    </row>
    <row r="59" spans="1:26" s="1" customFormat="1" ht="17.399999999999999" customHeight="1">
      <c r="A59" s="141"/>
      <c r="B59" s="182"/>
      <c r="C59" s="182"/>
      <c r="D59" s="182"/>
      <c r="E59" s="182"/>
      <c r="F59" s="182"/>
      <c r="G59" s="183"/>
      <c r="H59" s="184"/>
      <c r="I59" s="216"/>
      <c r="J59" s="216"/>
      <c r="K59" s="216"/>
      <c r="L59" s="216"/>
      <c r="M59" s="216"/>
      <c r="N59" s="216"/>
      <c r="O59" s="216"/>
      <c r="P59" s="216"/>
      <c r="Q59" s="216"/>
      <c r="R59" s="216"/>
      <c r="S59" s="216"/>
      <c r="T59" s="216"/>
      <c r="U59" s="216"/>
      <c r="V59" s="216"/>
      <c r="W59" s="216"/>
      <c r="X59" s="216"/>
      <c r="Y59" s="216"/>
      <c r="Z59" s="152"/>
    </row>
    <row r="60" spans="1:26" s="1" customFormat="1" ht="17.399999999999999" customHeight="1">
      <c r="A60" s="141"/>
      <c r="B60" s="98" t="s">
        <v>255</v>
      </c>
      <c r="C60" s="209" t="s">
        <v>221</v>
      </c>
      <c r="D60" s="238" t="s">
        <v>222</v>
      </c>
      <c r="E60" s="239"/>
      <c r="F60" s="182"/>
      <c r="G60" s="183"/>
      <c r="H60" s="184"/>
      <c r="I60" s="216"/>
      <c r="J60" s="216"/>
      <c r="K60" s="216"/>
      <c r="L60" s="216"/>
      <c r="M60" s="216"/>
      <c r="N60" s="216"/>
      <c r="O60" s="216"/>
      <c r="P60" s="216"/>
      <c r="Q60" s="216"/>
      <c r="R60" s="216"/>
      <c r="S60" s="216"/>
      <c r="T60" s="216"/>
      <c r="U60" s="216"/>
      <c r="V60" s="216"/>
      <c r="W60" s="216"/>
      <c r="X60" s="216"/>
      <c r="Y60" s="216"/>
      <c r="Z60" s="152"/>
    </row>
    <row r="61" spans="1:26" s="1" customFormat="1" ht="17.399999999999999" customHeight="1">
      <c r="A61" s="141"/>
      <c r="B61" s="182"/>
      <c r="C61" s="182"/>
      <c r="D61" s="204" t="s">
        <v>165</v>
      </c>
      <c r="E61" s="205"/>
      <c r="F61" s="182"/>
      <c r="G61" s="183"/>
      <c r="H61" s="184"/>
      <c r="I61" s="216"/>
      <c r="J61" s="216"/>
      <c r="K61" s="216"/>
      <c r="L61" s="216"/>
      <c r="M61" s="216"/>
      <c r="N61" s="216"/>
      <c r="O61" s="216"/>
      <c r="P61" s="216"/>
      <c r="Q61" s="216"/>
      <c r="R61" s="216"/>
      <c r="S61" s="216"/>
      <c r="T61" s="216"/>
      <c r="U61" s="216"/>
      <c r="V61" s="216"/>
      <c r="W61" s="216"/>
      <c r="X61" s="216"/>
      <c r="Y61" s="216"/>
      <c r="Z61" s="152"/>
    </row>
    <row r="62" spans="1:26" s="1" customFormat="1" ht="17.399999999999999" customHeight="1">
      <c r="A62" s="141"/>
      <c r="B62" s="182"/>
      <c r="C62" s="182"/>
      <c r="D62" s="204" t="s">
        <v>167</v>
      </c>
      <c r="E62" s="205"/>
      <c r="F62" s="182"/>
      <c r="G62" s="183"/>
      <c r="H62" s="184"/>
      <c r="I62" s="216"/>
      <c r="J62" s="216"/>
      <c r="K62" s="216"/>
      <c r="L62" s="216"/>
      <c r="M62" s="216"/>
      <c r="N62" s="216"/>
      <c r="O62" s="216"/>
      <c r="P62" s="216"/>
      <c r="Q62" s="216"/>
      <c r="R62" s="216"/>
      <c r="S62" s="216"/>
      <c r="T62" s="216"/>
      <c r="U62" s="216"/>
      <c r="V62" s="216"/>
      <c r="W62" s="216"/>
      <c r="X62" s="216"/>
      <c r="Y62" s="216"/>
      <c r="Z62" s="152"/>
    </row>
    <row r="63" spans="1:26" s="1" customFormat="1" ht="17.399999999999999" customHeight="1">
      <c r="A63" s="141"/>
      <c r="B63" s="182"/>
      <c r="C63" s="182"/>
      <c r="D63" s="182"/>
      <c r="E63" s="182"/>
      <c r="F63" s="182"/>
      <c r="G63" s="183"/>
      <c r="H63" s="184"/>
      <c r="I63" s="216"/>
      <c r="J63" s="216"/>
      <c r="K63" s="216"/>
      <c r="L63" s="216"/>
      <c r="M63" s="216"/>
      <c r="N63" s="216"/>
      <c r="O63" s="216"/>
      <c r="P63" s="216"/>
      <c r="Q63" s="216"/>
      <c r="R63" s="216"/>
      <c r="S63" s="216"/>
      <c r="T63" s="216"/>
      <c r="U63" s="216"/>
      <c r="V63" s="216"/>
      <c r="W63" s="216"/>
      <c r="X63" s="216"/>
      <c r="Y63" s="216"/>
      <c r="Z63" s="152"/>
    </row>
    <row r="64" spans="1:26" s="1" customFormat="1" ht="17.399999999999999" customHeight="1">
      <c r="A64" s="141"/>
      <c r="B64" s="277"/>
      <c r="C64" s="277"/>
      <c r="D64" s="167"/>
      <c r="E64" s="152"/>
      <c r="F64" s="138"/>
      <c r="G64" s="278"/>
      <c r="H64" s="277"/>
      <c r="I64" s="216"/>
      <c r="J64" s="216"/>
      <c r="K64" s="216"/>
      <c r="L64" s="216"/>
      <c r="M64" s="216"/>
      <c r="N64" s="216"/>
      <c r="O64" s="216"/>
      <c r="P64" s="216"/>
      <c r="Q64" s="216"/>
      <c r="R64" s="216"/>
      <c r="S64" s="216"/>
      <c r="T64" s="216"/>
      <c r="U64" s="216"/>
      <c r="V64" s="216"/>
      <c r="W64" s="216"/>
      <c r="X64" s="216"/>
      <c r="Y64" s="216"/>
      <c r="Z64" s="152"/>
    </row>
    <row r="65" spans="1:26" s="1" customFormat="1" ht="17.399999999999999" customHeight="1">
      <c r="A65" s="141"/>
      <c r="B65" s="89" t="s">
        <v>256</v>
      </c>
      <c r="C65" s="90"/>
      <c r="D65" s="90"/>
      <c r="E65" s="90"/>
      <c r="F65" s="90"/>
      <c r="G65" s="90"/>
      <c r="H65" s="90"/>
      <c r="I65" s="90"/>
      <c r="J65" s="90"/>
      <c r="K65" s="90"/>
      <c r="L65" s="90"/>
      <c r="M65" s="90"/>
      <c r="N65" s="90"/>
      <c r="O65" s="90"/>
      <c r="P65" s="90"/>
      <c r="Q65" s="90"/>
      <c r="R65" s="90"/>
      <c r="S65" s="90"/>
      <c r="T65" s="90"/>
      <c r="U65" s="91"/>
      <c r="V65" s="216"/>
      <c r="W65" s="216"/>
      <c r="X65" s="216"/>
      <c r="Y65" s="216"/>
      <c r="Z65" s="216"/>
    </row>
    <row r="66" spans="1:26" s="1" customFormat="1" ht="17.399999999999999" customHeight="1">
      <c r="A66" s="165"/>
      <c r="B66" s="152"/>
      <c r="C66" s="152"/>
      <c r="D66" s="167"/>
      <c r="E66" s="152"/>
      <c r="F66" s="168"/>
      <c r="G66" s="283"/>
      <c r="H66" s="216"/>
      <c r="I66" s="216"/>
      <c r="J66" s="216"/>
      <c r="K66" s="216"/>
      <c r="L66" s="216"/>
      <c r="M66" s="216"/>
      <c r="N66" s="216"/>
      <c r="O66" s="216"/>
      <c r="P66" s="216"/>
      <c r="Q66" s="216"/>
      <c r="R66" s="216"/>
      <c r="S66" s="216"/>
      <c r="T66" s="216"/>
      <c r="U66" s="216"/>
      <c r="V66" s="216"/>
      <c r="W66" s="216"/>
      <c r="X66" s="216"/>
      <c r="Y66" s="216"/>
      <c r="Z66" s="152"/>
    </row>
    <row r="67" spans="1:26" s="1" customFormat="1" ht="17.399999999999999" customHeight="1">
      <c r="A67" s="141"/>
      <c r="B67" s="87" t="s">
        <v>151</v>
      </c>
      <c r="C67" s="87" t="s">
        <v>236</v>
      </c>
      <c r="D67" s="87" t="s">
        <v>237</v>
      </c>
      <c r="E67" s="87" t="s">
        <v>238</v>
      </c>
      <c r="F67" s="87" t="s">
        <v>239</v>
      </c>
      <c r="G67" s="87" t="s">
        <v>240</v>
      </c>
      <c r="H67" s="87" t="s">
        <v>241</v>
      </c>
      <c r="I67" s="87" t="s">
        <v>242</v>
      </c>
      <c r="J67" s="87" t="s">
        <v>243</v>
      </c>
      <c r="K67" s="87" t="s">
        <v>156</v>
      </c>
      <c r="L67" s="87" t="s">
        <v>244</v>
      </c>
      <c r="M67" s="87" t="s">
        <v>245</v>
      </c>
      <c r="N67" s="87" t="s">
        <v>246</v>
      </c>
      <c r="O67" s="87" t="s">
        <v>247</v>
      </c>
      <c r="P67" s="87" t="s">
        <v>248</v>
      </c>
      <c r="Q67" s="87" t="s">
        <v>249</v>
      </c>
      <c r="R67" s="87" t="s">
        <v>250</v>
      </c>
      <c r="S67" s="87" t="s">
        <v>251</v>
      </c>
      <c r="T67" s="87">
        <v>7</v>
      </c>
      <c r="U67" s="87">
        <v>8</v>
      </c>
      <c r="V67" s="216"/>
      <c r="W67" s="216"/>
      <c r="X67" s="216"/>
      <c r="Y67" s="216"/>
      <c r="Z67" s="152"/>
    </row>
    <row r="68" spans="1:26" s="1" customFormat="1" ht="17.399999999999999" customHeight="1">
      <c r="A68" s="141"/>
      <c r="B68" s="40" t="s">
        <v>229</v>
      </c>
      <c r="C68" s="250">
        <v>0.72</v>
      </c>
      <c r="D68" s="250">
        <v>0.72</v>
      </c>
      <c r="E68" s="250">
        <v>0.7</v>
      </c>
      <c r="F68" s="250">
        <v>0.71</v>
      </c>
      <c r="G68" s="250">
        <v>0.69</v>
      </c>
      <c r="H68" s="250">
        <v>0.65</v>
      </c>
      <c r="I68" s="250">
        <v>0.71</v>
      </c>
      <c r="J68" s="250">
        <v>0.68</v>
      </c>
      <c r="K68" s="250">
        <v>0.65</v>
      </c>
      <c r="L68" s="250">
        <v>0.81</v>
      </c>
      <c r="M68" s="250">
        <v>0.7</v>
      </c>
      <c r="N68" s="250">
        <v>0.78</v>
      </c>
      <c r="O68" s="250">
        <v>0.85</v>
      </c>
      <c r="P68" s="250">
        <v>0.77</v>
      </c>
      <c r="Q68" s="250">
        <v>0.81</v>
      </c>
      <c r="R68" s="250">
        <v>0.87</v>
      </c>
      <c r="S68" s="250">
        <v>0.84</v>
      </c>
      <c r="T68" s="250">
        <v>0.88</v>
      </c>
      <c r="U68" s="250">
        <v>0.9</v>
      </c>
      <c r="V68" s="216"/>
      <c r="W68" s="216"/>
      <c r="X68" s="216"/>
      <c r="Y68" s="216"/>
      <c r="Z68" s="152"/>
    </row>
    <row r="69" spans="1:26" s="1" customFormat="1" ht="17.399999999999999" customHeight="1">
      <c r="A69" s="141"/>
      <c r="B69" s="40" t="s">
        <v>152</v>
      </c>
      <c r="C69" s="250">
        <v>0.83</v>
      </c>
      <c r="D69" s="250">
        <v>0.83</v>
      </c>
      <c r="E69" s="250">
        <v>0.84</v>
      </c>
      <c r="F69" s="250">
        <v>0.84</v>
      </c>
      <c r="G69" s="250">
        <v>0.79</v>
      </c>
      <c r="H69" s="250">
        <v>0.82</v>
      </c>
      <c r="I69" s="250">
        <v>0.72</v>
      </c>
      <c r="J69" s="250">
        <v>0.81</v>
      </c>
      <c r="K69" s="250">
        <v>0.77</v>
      </c>
      <c r="L69" s="250">
        <v>0.67</v>
      </c>
      <c r="M69" s="250">
        <v>0.76</v>
      </c>
      <c r="N69" s="250">
        <v>0.63</v>
      </c>
      <c r="O69" s="250">
        <v>0.71</v>
      </c>
      <c r="P69" s="250">
        <v>0.72</v>
      </c>
      <c r="Q69" s="250">
        <v>0.63</v>
      </c>
      <c r="R69" s="250">
        <v>0.73</v>
      </c>
      <c r="S69" s="250">
        <v>0.71</v>
      </c>
      <c r="T69" s="250">
        <v>0.71</v>
      </c>
      <c r="U69" s="250">
        <v>0.71</v>
      </c>
      <c r="V69" s="216"/>
      <c r="W69" s="216"/>
      <c r="X69" s="216"/>
      <c r="Y69" s="216"/>
      <c r="Z69" s="152"/>
    </row>
    <row r="70" spans="1:26" s="1" customFormat="1" ht="17.399999999999999" customHeight="1">
      <c r="A70" s="141"/>
      <c r="B70" s="40" t="s">
        <v>230</v>
      </c>
      <c r="C70" s="250">
        <v>0.6</v>
      </c>
      <c r="D70" s="250">
        <v>0.56999999999999995</v>
      </c>
      <c r="E70" s="250">
        <v>0.5</v>
      </c>
      <c r="F70" s="250">
        <v>0.55000000000000004</v>
      </c>
      <c r="G70" s="250">
        <v>0.46</v>
      </c>
      <c r="H70" s="250">
        <v>0.46</v>
      </c>
      <c r="I70" s="250">
        <v>0.43</v>
      </c>
      <c r="J70" s="250">
        <v>0.51</v>
      </c>
      <c r="K70" s="250">
        <v>0.4</v>
      </c>
      <c r="L70" s="250">
        <v>0.45</v>
      </c>
      <c r="M70" s="250">
        <v>0.56999999999999995</v>
      </c>
      <c r="N70" s="250">
        <v>0.68</v>
      </c>
      <c r="O70" s="250">
        <v>0.46</v>
      </c>
      <c r="P70" s="250">
        <v>0.68</v>
      </c>
      <c r="Q70" s="250">
        <v>0.67</v>
      </c>
      <c r="R70" s="250">
        <v>0.5</v>
      </c>
      <c r="S70" s="250">
        <v>0.45</v>
      </c>
      <c r="T70" s="250">
        <v>0.44</v>
      </c>
      <c r="U70" s="250">
        <v>0.38</v>
      </c>
      <c r="V70" s="216"/>
      <c r="W70" s="216"/>
      <c r="X70" s="216"/>
      <c r="Y70" s="216"/>
      <c r="Z70" s="152"/>
    </row>
    <row r="71" spans="1:26" s="1" customFormat="1" ht="17.399999999999999" customHeight="1">
      <c r="A71" s="141"/>
      <c r="B71" s="40" t="s">
        <v>231</v>
      </c>
      <c r="C71" s="250">
        <v>0.62</v>
      </c>
      <c r="D71" s="250">
        <v>0.62</v>
      </c>
      <c r="E71" s="250">
        <v>0.63</v>
      </c>
      <c r="F71" s="250">
        <v>0.63</v>
      </c>
      <c r="G71" s="250">
        <v>0.62</v>
      </c>
      <c r="H71" s="250">
        <v>0.68</v>
      </c>
      <c r="I71" s="250">
        <v>0.61</v>
      </c>
      <c r="J71" s="250">
        <v>0.71</v>
      </c>
      <c r="K71" s="250">
        <v>0.73</v>
      </c>
      <c r="L71" s="250">
        <v>0.45</v>
      </c>
      <c r="M71" s="250">
        <v>0.59</v>
      </c>
      <c r="N71" s="250">
        <v>0.52</v>
      </c>
      <c r="O71" s="250">
        <v>0.38</v>
      </c>
      <c r="P71" s="250">
        <v>0.47</v>
      </c>
      <c r="Q71" s="250">
        <v>0.51</v>
      </c>
      <c r="R71" s="250">
        <v>0.35</v>
      </c>
      <c r="S71" s="250">
        <v>0.38</v>
      </c>
      <c r="T71" s="250">
        <v>0.31</v>
      </c>
      <c r="U71" s="250">
        <v>0.26</v>
      </c>
      <c r="V71" s="216"/>
      <c r="W71" s="216"/>
      <c r="X71" s="216"/>
      <c r="Y71" s="216"/>
      <c r="Z71" s="152"/>
    </row>
    <row r="72" spans="1:26" s="1" customFormat="1" ht="17.399999999999999" customHeight="1">
      <c r="A72" s="141"/>
      <c r="B72" s="40" t="s">
        <v>232</v>
      </c>
      <c r="C72" s="250">
        <v>0.64</v>
      </c>
      <c r="D72" s="250">
        <v>0.63</v>
      </c>
      <c r="E72" s="250">
        <v>0.67</v>
      </c>
      <c r="F72" s="250">
        <v>0.63</v>
      </c>
      <c r="G72" s="250">
        <v>0.65</v>
      </c>
      <c r="H72" s="250">
        <v>0.64</v>
      </c>
      <c r="I72" s="250">
        <v>0.59</v>
      </c>
      <c r="J72" s="250">
        <v>0.72</v>
      </c>
      <c r="K72" s="250">
        <v>0.55000000000000004</v>
      </c>
      <c r="L72" s="250">
        <v>0.53</v>
      </c>
      <c r="M72" s="250">
        <v>0.5</v>
      </c>
      <c r="N72" s="250">
        <v>0.44</v>
      </c>
      <c r="O72" s="250">
        <v>0.54</v>
      </c>
      <c r="P72" s="250">
        <v>0.47</v>
      </c>
      <c r="Q72" s="250">
        <v>0.38</v>
      </c>
      <c r="R72" s="250">
        <v>0.55000000000000004</v>
      </c>
      <c r="S72" s="250">
        <v>0.5</v>
      </c>
      <c r="T72" s="250">
        <v>0.51</v>
      </c>
      <c r="U72" s="250">
        <v>0.47</v>
      </c>
      <c r="V72" s="216"/>
      <c r="W72" s="216"/>
      <c r="X72" s="216"/>
      <c r="Y72" s="216"/>
      <c r="Z72" s="152"/>
    </row>
    <row r="73" spans="1:26" s="1" customFormat="1" ht="17.399999999999999" customHeight="1">
      <c r="A73" s="141"/>
      <c r="B73" s="40" t="s">
        <v>233</v>
      </c>
      <c r="C73" s="250">
        <v>0.82</v>
      </c>
      <c r="D73" s="250">
        <v>0.81</v>
      </c>
      <c r="E73" s="250">
        <v>0.8</v>
      </c>
      <c r="F73" s="250">
        <v>0.79</v>
      </c>
      <c r="G73" s="250">
        <v>0.75</v>
      </c>
      <c r="H73" s="250">
        <v>0.72</v>
      </c>
      <c r="I73" s="250">
        <v>0.71</v>
      </c>
      <c r="J73" s="250">
        <v>0.72</v>
      </c>
      <c r="K73" s="250">
        <v>0.67</v>
      </c>
      <c r="L73" s="250">
        <v>0.73</v>
      </c>
      <c r="M73" s="250">
        <v>0.72</v>
      </c>
      <c r="N73" s="250">
        <v>0.68</v>
      </c>
      <c r="O73" s="250">
        <v>0.82</v>
      </c>
      <c r="P73" s="250">
        <v>0.73</v>
      </c>
      <c r="Q73" s="250">
        <v>0.61</v>
      </c>
      <c r="R73" s="250">
        <v>0.89</v>
      </c>
      <c r="S73" s="250">
        <v>0.8</v>
      </c>
      <c r="T73" s="250">
        <v>0.83</v>
      </c>
      <c r="U73" s="250">
        <v>0.77</v>
      </c>
      <c r="V73" s="216"/>
      <c r="W73" s="216"/>
      <c r="X73" s="216"/>
      <c r="Y73" s="216"/>
      <c r="Z73" s="152"/>
    </row>
    <row r="74" spans="1:26" s="1" customFormat="1" ht="17.399999999999999"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16"/>
      <c r="X74" s="216"/>
      <c r="Y74" s="216"/>
      <c r="Z74" s="152"/>
    </row>
    <row r="75" spans="1:26" s="1" customFormat="1" ht="17.399999999999999"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16"/>
      <c r="X75" s="216"/>
      <c r="Y75" s="216"/>
      <c r="Z75" s="152"/>
    </row>
    <row r="76" spans="1:26" s="1" customFormat="1" ht="17.399999999999999" customHeight="1">
      <c r="A76" s="141"/>
      <c r="B76" s="89" t="s">
        <v>257</v>
      </c>
      <c r="C76" s="90"/>
      <c r="D76" s="90"/>
      <c r="E76" s="90"/>
      <c r="F76" s="91"/>
      <c r="G76" s="216"/>
      <c r="H76" s="216"/>
      <c r="I76" s="216"/>
      <c r="J76" s="216"/>
      <c r="K76" s="216"/>
      <c r="L76" s="216"/>
      <c r="M76" s="216"/>
      <c r="N76" s="216"/>
      <c r="O76" s="216"/>
      <c r="P76" s="216"/>
      <c r="Q76" s="216"/>
      <c r="R76" s="216"/>
      <c r="S76" s="216"/>
      <c r="T76" s="216"/>
      <c r="U76" s="216"/>
      <c r="V76" s="216"/>
      <c r="W76" s="216"/>
      <c r="X76" s="216"/>
      <c r="Y76" s="216"/>
      <c r="Z76" s="216"/>
    </row>
    <row r="77" spans="1:26" s="1" customFormat="1" ht="17.399999999999999" customHeight="1">
      <c r="A77" s="165"/>
      <c r="B77" s="152"/>
      <c r="C77" s="152"/>
      <c r="D77" s="167"/>
      <c r="E77" s="152"/>
      <c r="F77" s="168"/>
      <c r="G77" s="283"/>
      <c r="H77" s="216"/>
      <c r="I77" s="216"/>
      <c r="J77" s="216"/>
      <c r="K77" s="216"/>
      <c r="L77" s="216"/>
      <c r="M77" s="216"/>
      <c r="N77" s="216"/>
      <c r="O77" s="216"/>
      <c r="P77" s="216"/>
      <c r="Q77" s="216"/>
      <c r="R77" s="216"/>
      <c r="S77" s="216"/>
      <c r="T77" s="216"/>
      <c r="U77" s="216"/>
      <c r="V77" s="216"/>
      <c r="W77" s="216"/>
      <c r="X77" s="216"/>
      <c r="Y77" s="216"/>
      <c r="Z77" s="152"/>
    </row>
    <row r="78" spans="1:26" s="1" customFormat="1" ht="17.399999999999999" customHeight="1">
      <c r="A78" s="141"/>
      <c r="B78" s="352" t="str">
        <f>_xlfn.CONCAT("Building Conditioned Floor Area ", IF(units="SI", "(sq m)", "(sq ft)"))</f>
        <v>Building Conditioned Floor Area (sq ft)</v>
      </c>
      <c r="C78" s="350" t="s">
        <v>258</v>
      </c>
      <c r="D78" s="330" t="s">
        <v>259</v>
      </c>
      <c r="E78" s="330"/>
      <c r="F78" s="330"/>
      <c r="G78" s="283"/>
      <c r="H78" s="283"/>
      <c r="I78" s="283"/>
      <c r="J78" s="283"/>
      <c r="K78" s="283"/>
      <c r="L78" s="283"/>
      <c r="M78" s="283"/>
      <c r="N78" s="283"/>
      <c r="O78" s="283"/>
      <c r="P78" s="283"/>
      <c r="Q78" s="283"/>
      <c r="R78" s="283"/>
      <c r="S78" s="283"/>
      <c r="T78" s="283"/>
      <c r="U78" s="283"/>
      <c r="V78" s="283"/>
      <c r="W78" s="216"/>
      <c r="X78" s="216"/>
      <c r="Y78" s="216"/>
      <c r="Z78" s="152"/>
    </row>
    <row r="79" spans="1:26" s="1" customFormat="1" ht="17.399999999999999" customHeight="1">
      <c r="A79" s="141"/>
      <c r="B79" s="353"/>
      <c r="C79" s="351"/>
      <c r="D79" s="117" t="s">
        <v>260</v>
      </c>
      <c r="E79" s="117" t="s">
        <v>261</v>
      </c>
      <c r="F79" s="117" t="s">
        <v>153</v>
      </c>
      <c r="G79" s="283"/>
      <c r="H79" s="283"/>
      <c r="I79" s="283"/>
      <c r="J79" s="283"/>
      <c r="K79" s="283"/>
      <c r="L79" s="283"/>
      <c r="M79" s="283"/>
      <c r="N79" s="283"/>
      <c r="O79" s="283"/>
      <c r="P79" s="283"/>
      <c r="Q79" s="283"/>
      <c r="R79" s="283"/>
      <c r="S79" s="283"/>
      <c r="T79" s="283"/>
      <c r="U79" s="283"/>
      <c r="V79" s="283"/>
      <c r="W79" s="216"/>
      <c r="X79" s="216"/>
      <c r="Y79" s="216"/>
      <c r="Z79" s="152"/>
    </row>
    <row r="80" spans="1:26" s="1" customFormat="1" ht="17.399999999999999" customHeight="1">
      <c r="A80" s="141"/>
      <c r="B80" s="284" t="str">
        <f>IF(units="IP","&gt;5000","&gt;465")</f>
        <v>&gt;465</v>
      </c>
      <c r="C80" s="99" t="s">
        <v>253</v>
      </c>
      <c r="D80" s="285">
        <f>IF(units="SI",0.65,0.13)</f>
        <v>0.13</v>
      </c>
      <c r="E80" s="285">
        <f>IF(units="SI",1,0.2)</f>
        <v>0.2</v>
      </c>
      <c r="F80" s="284" t="str">
        <f>IF(units="SI","L/s*sq m","cfm/sq ft")</f>
        <v>cfm/sq ft</v>
      </c>
      <c r="G80" s="283"/>
      <c r="H80" s="283"/>
      <c r="I80" s="283"/>
      <c r="J80" s="283"/>
      <c r="K80" s="283"/>
      <c r="L80" s="283"/>
      <c r="M80" s="283"/>
      <c r="N80" s="283"/>
      <c r="O80" s="283"/>
      <c r="P80" s="283"/>
      <c r="Q80" s="283"/>
      <c r="R80" s="283"/>
      <c r="S80" s="283"/>
      <c r="T80" s="283"/>
      <c r="U80" s="283"/>
      <c r="V80" s="283"/>
      <c r="W80" s="216"/>
      <c r="X80" s="216"/>
      <c r="Y80" s="216"/>
      <c r="Z80" s="152"/>
    </row>
    <row r="81" spans="1:26" s="1" customFormat="1" ht="17.399999999999999" customHeight="1">
      <c r="A81" s="141"/>
      <c r="B81" s="284" t="str">
        <f>IF(units="IP","&gt;5000","&gt;465")</f>
        <v>&gt;465</v>
      </c>
      <c r="C81" s="99" t="s">
        <v>254</v>
      </c>
      <c r="D81" s="285">
        <f>IF(units="SI",0.9,0.18)</f>
        <v>0.18</v>
      </c>
      <c r="E81" s="285">
        <f>IF(units="SI",1.35,0.27)</f>
        <v>0.27</v>
      </c>
      <c r="F81" s="284" t="str">
        <f>IF(units="SI","L/s*sq m","cfm/sq ft")</f>
        <v>cfm/sq ft</v>
      </c>
      <c r="G81" s="283"/>
      <c r="H81" s="283"/>
      <c r="I81" s="283"/>
      <c r="J81" s="283"/>
      <c r="K81" s="283"/>
      <c r="L81" s="283"/>
      <c r="M81" s="283"/>
      <c r="N81" s="283"/>
      <c r="O81" s="283"/>
      <c r="P81" s="283"/>
      <c r="Q81" s="283"/>
      <c r="R81" s="283"/>
      <c r="S81" s="283"/>
      <c r="T81" s="283"/>
      <c r="U81" s="283"/>
      <c r="V81" s="283"/>
      <c r="W81" s="216"/>
      <c r="X81" s="216"/>
      <c r="Y81" s="216"/>
      <c r="Z81" s="152"/>
    </row>
    <row r="82" spans="1:26" s="1" customFormat="1" ht="17.399999999999999" customHeight="1">
      <c r="A82" s="140"/>
      <c r="B82" s="284" t="str">
        <f>IF(units="IP","&lt;5000","&lt;465")</f>
        <v>&lt;465</v>
      </c>
      <c r="C82" s="99" t="s">
        <v>253</v>
      </c>
      <c r="D82" s="285">
        <v>1</v>
      </c>
      <c r="E82" s="285">
        <v>1.5</v>
      </c>
      <c r="F82" s="284" t="s">
        <v>262</v>
      </c>
      <c r="G82" s="283"/>
      <c r="H82" s="283"/>
      <c r="I82" s="283"/>
      <c r="J82" s="283"/>
      <c r="K82" s="283"/>
      <c r="L82" s="283"/>
      <c r="M82" s="283"/>
      <c r="N82" s="283"/>
      <c r="O82" s="283"/>
      <c r="P82" s="283"/>
      <c r="Q82" s="283"/>
      <c r="R82" s="283"/>
      <c r="S82" s="283"/>
      <c r="T82" s="283"/>
      <c r="U82" s="283"/>
      <c r="V82" s="283"/>
      <c r="W82" s="216"/>
      <c r="X82" s="216"/>
      <c r="Y82" s="216"/>
      <c r="Z82" s="152"/>
    </row>
    <row r="83" spans="1:26" s="1" customFormat="1" ht="17.399999999999999" customHeight="1">
      <c r="A83" s="269"/>
      <c r="B83" s="284" t="str">
        <f>IF(units="IP","&lt;5000","&lt;465")</f>
        <v>&lt;465</v>
      </c>
      <c r="C83" s="99" t="s">
        <v>254</v>
      </c>
      <c r="D83" s="285">
        <v>1.35</v>
      </c>
      <c r="E83" s="285">
        <v>2</v>
      </c>
      <c r="F83" s="284" t="s">
        <v>262</v>
      </c>
      <c r="G83" s="283"/>
      <c r="H83" s="283"/>
      <c r="I83" s="283"/>
      <c r="J83" s="283"/>
      <c r="K83" s="283"/>
      <c r="L83" s="283"/>
      <c r="M83" s="283"/>
      <c r="N83" s="283"/>
      <c r="O83" s="283"/>
      <c r="P83" s="283"/>
      <c r="Q83" s="283"/>
      <c r="R83" s="283"/>
      <c r="S83" s="283"/>
      <c r="T83" s="283"/>
      <c r="U83" s="283"/>
      <c r="V83" s="283"/>
      <c r="W83" s="216"/>
      <c r="X83" s="216"/>
      <c r="Y83" s="216"/>
      <c r="Z83" s="152"/>
    </row>
    <row r="84" spans="1:26" s="1" customFormat="1" ht="17.399999999999999" customHeight="1">
      <c r="A84" s="269"/>
      <c r="B84" s="152"/>
      <c r="C84" s="152"/>
      <c r="D84" s="167"/>
      <c r="E84" s="152"/>
      <c r="F84" s="168"/>
      <c r="G84" s="283"/>
      <c r="H84" s="283"/>
      <c r="I84" s="283"/>
      <c r="J84" s="283"/>
      <c r="K84" s="283"/>
      <c r="L84" s="283"/>
      <c r="M84" s="283"/>
      <c r="N84" s="283"/>
      <c r="O84" s="283"/>
      <c r="P84" s="283"/>
      <c r="Q84" s="283"/>
      <c r="R84" s="283"/>
      <c r="S84" s="283"/>
      <c r="T84" s="283"/>
      <c r="U84" s="283"/>
      <c r="V84" s="283"/>
      <c r="W84" s="216"/>
      <c r="X84" s="216"/>
      <c r="Y84" s="216"/>
      <c r="Z84" s="152"/>
    </row>
    <row r="85" spans="1:26" s="1" customFormat="1" ht="17.399999999999999" customHeight="1">
      <c r="A85" s="269"/>
      <c r="B85" s="152"/>
      <c r="C85" s="152"/>
      <c r="D85" s="167"/>
      <c r="E85" s="152"/>
      <c r="F85" s="168"/>
      <c r="G85" s="283"/>
      <c r="H85" s="283"/>
      <c r="I85" s="283"/>
      <c r="J85" s="283"/>
      <c r="K85" s="283"/>
      <c r="L85" s="283"/>
      <c r="M85" s="283"/>
      <c r="N85" s="283"/>
      <c r="O85" s="283"/>
      <c r="P85" s="283"/>
      <c r="Q85" s="283"/>
      <c r="R85" s="283"/>
      <c r="S85" s="283"/>
      <c r="T85" s="283"/>
      <c r="U85" s="283"/>
      <c r="V85" s="283"/>
      <c r="W85" s="216"/>
      <c r="X85" s="216"/>
      <c r="Y85" s="216"/>
      <c r="Z85" s="152"/>
    </row>
    <row r="86" spans="1:26" s="1" customFormat="1" ht="17.399999999999999" customHeight="1">
      <c r="A86" s="269"/>
      <c r="B86" s="152"/>
      <c r="C86" s="152"/>
      <c r="D86" s="167"/>
      <c r="E86" s="152"/>
      <c r="F86" s="168"/>
      <c r="G86" s="283"/>
      <c r="H86" s="216"/>
      <c r="I86" s="216"/>
      <c r="J86" s="216"/>
      <c r="K86" s="216"/>
      <c r="L86" s="216"/>
      <c r="M86" s="216"/>
      <c r="N86" s="216"/>
      <c r="O86" s="216"/>
      <c r="P86" s="216"/>
      <c r="Q86" s="216"/>
      <c r="R86" s="216"/>
      <c r="S86" s="216"/>
      <c r="T86" s="216"/>
      <c r="U86" s="216"/>
      <c r="V86" s="216"/>
      <c r="W86" s="216"/>
      <c r="X86" s="216"/>
      <c r="Y86" s="216"/>
      <c r="Z86" s="152"/>
    </row>
    <row r="87" spans="1:26" s="1" customFormat="1" ht="17.399999999999999" customHeight="1">
      <c r="A87" s="136"/>
      <c r="B87" s="152"/>
      <c r="C87" s="152"/>
      <c r="D87" s="167"/>
      <c r="E87" s="152"/>
      <c r="F87" s="168"/>
      <c r="G87" s="283"/>
      <c r="H87" s="216"/>
      <c r="I87" s="216"/>
      <c r="J87" s="216"/>
      <c r="K87" s="216"/>
      <c r="L87" s="216"/>
      <c r="M87" s="216"/>
      <c r="N87" s="216"/>
      <c r="O87" s="216"/>
      <c r="P87" s="216"/>
      <c r="Q87" s="216"/>
      <c r="R87" s="216"/>
      <c r="S87" s="216"/>
      <c r="T87" s="216"/>
      <c r="U87" s="216"/>
      <c r="V87" s="216"/>
      <c r="W87" s="216"/>
      <c r="X87" s="216"/>
      <c r="Y87" s="216"/>
      <c r="Z87" s="152"/>
    </row>
    <row r="88" spans="1:26" s="1" customFormat="1" ht="17.399999999999999" customHeight="1">
      <c r="A88" s="136"/>
      <c r="B88" s="152"/>
      <c r="C88" s="152"/>
      <c r="D88" s="167"/>
      <c r="E88" s="152"/>
      <c r="F88" s="168"/>
      <c r="G88" s="283"/>
      <c r="H88" s="216"/>
      <c r="I88" s="216"/>
      <c r="J88" s="216"/>
      <c r="K88" s="216"/>
      <c r="L88" s="216"/>
      <c r="M88" s="216"/>
      <c r="N88" s="216"/>
      <c r="O88" s="216"/>
      <c r="P88" s="216"/>
      <c r="Q88" s="216"/>
      <c r="R88" s="216"/>
      <c r="S88" s="216"/>
      <c r="T88" s="216"/>
      <c r="U88" s="216"/>
      <c r="V88" s="216"/>
      <c r="W88" s="216"/>
      <c r="X88" s="216"/>
      <c r="Y88" s="216"/>
      <c r="Z88" s="152"/>
    </row>
    <row r="89" spans="1:26" s="1" customFormat="1" ht="17.399999999999999" customHeight="1">
      <c r="A89" s="136"/>
      <c r="B89" s="152"/>
      <c r="C89" s="152"/>
      <c r="D89" s="167"/>
      <c r="E89" s="152"/>
      <c r="F89" s="168"/>
      <c r="G89" s="283"/>
      <c r="H89" s="216"/>
      <c r="I89" s="216"/>
      <c r="J89" s="216"/>
      <c r="K89" s="216"/>
      <c r="L89" s="216"/>
      <c r="M89" s="216"/>
      <c r="N89" s="216"/>
      <c r="O89" s="216"/>
      <c r="P89" s="216"/>
      <c r="Q89" s="216"/>
      <c r="R89" s="216"/>
      <c r="S89" s="216"/>
      <c r="T89" s="216"/>
      <c r="U89" s="216"/>
      <c r="V89" s="216"/>
      <c r="W89" s="216"/>
      <c r="X89" s="216"/>
      <c r="Y89" s="216"/>
      <c r="Z89" s="152"/>
    </row>
    <row r="90" spans="1:26" s="1" customFormat="1" ht="17.399999999999999" customHeight="1">
      <c r="A90" s="136"/>
      <c r="B90" s="152"/>
      <c r="C90" s="152"/>
      <c r="D90" s="167"/>
      <c r="E90" s="152"/>
      <c r="F90" s="168"/>
      <c r="G90" s="283"/>
      <c r="H90" s="216"/>
      <c r="I90" s="216"/>
      <c r="J90" s="216"/>
      <c r="K90" s="216"/>
      <c r="L90" s="216"/>
      <c r="M90" s="216"/>
      <c r="N90" s="216"/>
      <c r="O90" s="216"/>
      <c r="P90" s="216"/>
      <c r="Q90" s="216"/>
      <c r="R90" s="216"/>
      <c r="S90" s="216"/>
      <c r="T90" s="216"/>
      <c r="U90" s="216"/>
      <c r="V90" s="216"/>
      <c r="W90" s="216"/>
      <c r="X90" s="216"/>
      <c r="Y90" s="216"/>
      <c r="Z90" s="152"/>
    </row>
    <row r="91" spans="1:26" s="1" customFormat="1" ht="17.399999999999999" customHeight="1">
      <c r="A91" s="140"/>
      <c r="B91" s="152"/>
      <c r="C91" s="152"/>
      <c r="D91" s="167"/>
      <c r="E91" s="152"/>
      <c r="F91" s="168"/>
      <c r="G91" s="283"/>
      <c r="H91" s="216"/>
      <c r="I91" s="216"/>
      <c r="J91" s="216"/>
      <c r="K91" s="216"/>
      <c r="L91" s="216"/>
      <c r="M91" s="216"/>
      <c r="N91" s="216"/>
      <c r="O91" s="216"/>
      <c r="P91" s="216"/>
      <c r="Q91" s="216"/>
      <c r="R91" s="216"/>
      <c r="S91" s="216"/>
      <c r="T91" s="216"/>
      <c r="U91" s="216"/>
      <c r="V91" s="216"/>
      <c r="W91" s="216"/>
      <c r="X91" s="216"/>
      <c r="Y91" s="216"/>
      <c r="Z91" s="152"/>
    </row>
    <row r="92" spans="1:26" s="1" customFormat="1" ht="17.399999999999999" customHeight="1">
      <c r="A92" s="136"/>
      <c r="B92" s="152"/>
      <c r="C92" s="152"/>
      <c r="D92" s="167"/>
      <c r="E92" s="152"/>
      <c r="F92" s="168"/>
      <c r="G92" s="283"/>
      <c r="H92" s="216"/>
      <c r="I92" s="216"/>
      <c r="J92" s="216"/>
      <c r="K92" s="216"/>
      <c r="L92" s="216"/>
      <c r="M92" s="216"/>
      <c r="N92" s="216"/>
      <c r="O92" s="216"/>
      <c r="P92" s="216"/>
      <c r="Q92" s="216"/>
      <c r="R92" s="216"/>
      <c r="S92" s="216"/>
      <c r="T92" s="216"/>
      <c r="U92" s="216"/>
      <c r="V92" s="216"/>
      <c r="W92" s="216"/>
      <c r="X92" s="216"/>
      <c r="Y92" s="216"/>
      <c r="Z92" s="152"/>
    </row>
    <row r="93" spans="1:26" s="1" customFormat="1" ht="17.399999999999999" customHeight="1">
      <c r="A93" s="136"/>
      <c r="B93" s="152"/>
      <c r="C93" s="152"/>
      <c r="D93" s="167"/>
      <c r="E93" s="152"/>
      <c r="F93" s="168"/>
      <c r="G93" s="283"/>
      <c r="H93" s="216"/>
      <c r="I93" s="216"/>
      <c r="J93" s="216"/>
      <c r="K93" s="216"/>
      <c r="L93" s="216"/>
      <c r="M93" s="216"/>
      <c r="N93" s="216"/>
      <c r="O93" s="216"/>
      <c r="P93" s="216"/>
      <c r="Q93" s="216"/>
      <c r="R93" s="216"/>
      <c r="S93" s="216"/>
      <c r="T93" s="216"/>
      <c r="U93" s="216"/>
      <c r="V93" s="216"/>
      <c r="W93" s="216"/>
      <c r="X93" s="216"/>
      <c r="Y93" s="216"/>
      <c r="Z93" s="152"/>
    </row>
    <row r="94" spans="1:26" s="1" customFormat="1" ht="17.399999999999999" customHeight="1">
      <c r="A94" s="136"/>
      <c r="B94" s="152"/>
      <c r="C94" s="152"/>
      <c r="D94" s="167"/>
      <c r="E94" s="152"/>
      <c r="F94" s="168"/>
      <c r="G94" s="283"/>
      <c r="H94" s="216"/>
      <c r="I94" s="216"/>
      <c r="J94" s="216"/>
      <c r="K94" s="216"/>
      <c r="L94" s="216"/>
      <c r="M94" s="216"/>
      <c r="N94" s="216"/>
      <c r="O94" s="216"/>
      <c r="P94" s="216"/>
      <c r="Q94" s="216"/>
      <c r="R94" s="216"/>
      <c r="S94" s="216"/>
      <c r="T94" s="216"/>
      <c r="U94" s="216"/>
      <c r="V94" s="216"/>
      <c r="W94" s="216"/>
      <c r="X94" s="216"/>
      <c r="Y94" s="216"/>
      <c r="Z94" s="152"/>
    </row>
    <row r="95" spans="1:26" s="1" customFormat="1" ht="17.399999999999999" customHeight="1">
      <c r="A95" s="136"/>
      <c r="B95" s="152"/>
      <c r="C95" s="152"/>
      <c r="D95" s="167"/>
      <c r="E95" s="152"/>
      <c r="F95" s="168"/>
      <c r="G95" s="283"/>
      <c r="H95" s="216"/>
      <c r="I95" s="216"/>
      <c r="J95" s="216"/>
      <c r="K95" s="216"/>
      <c r="L95" s="216"/>
      <c r="M95" s="216"/>
      <c r="N95" s="216"/>
      <c r="O95" s="216"/>
      <c r="P95" s="216"/>
      <c r="Q95" s="216"/>
      <c r="R95" s="216"/>
      <c r="S95" s="216"/>
      <c r="T95" s="216"/>
      <c r="U95" s="216"/>
      <c r="V95" s="216"/>
      <c r="W95" s="216"/>
      <c r="X95" s="216"/>
      <c r="Y95" s="216"/>
      <c r="Z95" s="152"/>
    </row>
    <row r="96" spans="1:26" s="1" customFormat="1" ht="17.399999999999999" customHeight="1">
      <c r="A96" s="136"/>
      <c r="B96" s="152"/>
      <c r="C96" s="152"/>
      <c r="D96" s="167"/>
      <c r="E96" s="152"/>
      <c r="F96" s="168"/>
      <c r="G96" s="283"/>
      <c r="H96" s="216"/>
      <c r="I96" s="216"/>
      <c r="J96" s="216"/>
      <c r="K96" s="216"/>
      <c r="L96" s="216"/>
      <c r="M96" s="216"/>
      <c r="N96" s="216"/>
      <c r="O96" s="216"/>
      <c r="P96" s="216"/>
      <c r="Q96" s="216"/>
      <c r="R96" s="216"/>
      <c r="S96" s="216"/>
      <c r="T96" s="216"/>
      <c r="U96" s="216"/>
      <c r="V96" s="216"/>
      <c r="W96" s="216"/>
      <c r="X96" s="216"/>
      <c r="Y96" s="216"/>
      <c r="Z96" s="152"/>
    </row>
    <row r="97" spans="1:26" s="1" customFormat="1" ht="17.399999999999999" customHeight="1">
      <c r="A97" s="219"/>
      <c r="B97" s="152"/>
      <c r="C97" s="152"/>
      <c r="D97" s="167"/>
      <c r="E97" s="152"/>
      <c r="F97" s="168"/>
      <c r="G97" s="283"/>
      <c r="H97" s="216"/>
      <c r="I97" s="216"/>
      <c r="J97" s="216"/>
      <c r="K97" s="216"/>
      <c r="L97" s="216"/>
      <c r="M97" s="216"/>
      <c r="N97" s="216"/>
      <c r="O97" s="216"/>
      <c r="P97" s="216"/>
      <c r="Q97" s="216"/>
      <c r="R97" s="216"/>
      <c r="S97" s="216"/>
      <c r="T97" s="216"/>
      <c r="U97" s="216"/>
      <c r="V97" s="216"/>
      <c r="W97" s="216"/>
      <c r="X97" s="216"/>
      <c r="Y97" s="216"/>
      <c r="Z97" s="152"/>
    </row>
    <row r="98" spans="1:26" s="1" customFormat="1" ht="17.399999999999999" customHeight="1">
      <c r="A98" s="219"/>
      <c r="B98" s="152"/>
      <c r="C98" s="152"/>
      <c r="D98" s="167"/>
      <c r="E98" s="152"/>
      <c r="F98" s="168"/>
      <c r="G98" s="283"/>
      <c r="H98" s="216"/>
      <c r="I98" s="216"/>
      <c r="J98" s="216"/>
      <c r="K98" s="216"/>
      <c r="L98" s="216"/>
      <c r="M98" s="216"/>
      <c r="N98" s="216"/>
      <c r="O98" s="216"/>
      <c r="P98" s="216"/>
      <c r="Q98" s="216"/>
      <c r="R98" s="216"/>
      <c r="S98" s="216"/>
      <c r="T98" s="216"/>
      <c r="U98" s="216"/>
      <c r="V98" s="216"/>
      <c r="W98" s="216"/>
      <c r="X98" s="216"/>
      <c r="Y98" s="216"/>
      <c r="Z98" s="152"/>
    </row>
    <row r="99" spans="1:26" s="1" customFormat="1" ht="17.399999999999999" customHeight="1">
      <c r="A99" s="269"/>
      <c r="B99" s="152"/>
      <c r="C99" s="152"/>
      <c r="D99" s="167"/>
      <c r="E99" s="152"/>
      <c r="F99" s="168"/>
      <c r="G99" s="283"/>
      <c r="H99" s="216"/>
      <c r="I99" s="216"/>
      <c r="J99" s="216"/>
      <c r="K99" s="216"/>
      <c r="L99" s="216"/>
      <c r="M99" s="216"/>
      <c r="N99" s="216"/>
      <c r="O99" s="216"/>
      <c r="P99" s="216"/>
      <c r="Q99" s="216"/>
      <c r="R99" s="216"/>
      <c r="S99" s="216"/>
      <c r="T99" s="216"/>
      <c r="U99" s="216"/>
      <c r="V99" s="216"/>
      <c r="W99" s="216"/>
      <c r="X99" s="216"/>
      <c r="Y99" s="216"/>
      <c r="Z99" s="152"/>
    </row>
    <row r="100" spans="1:26" s="1" customFormat="1" ht="17.399999999999999" customHeight="1">
      <c r="A100" s="269"/>
      <c r="B100" s="152"/>
      <c r="C100" s="152"/>
      <c r="D100" s="167"/>
      <c r="E100" s="152"/>
      <c r="F100" s="168"/>
      <c r="G100" s="283"/>
      <c r="H100" s="216"/>
      <c r="I100" s="216"/>
      <c r="J100" s="216"/>
      <c r="K100" s="216"/>
      <c r="L100" s="216"/>
      <c r="M100" s="216"/>
      <c r="N100" s="216"/>
      <c r="O100" s="216"/>
      <c r="P100" s="216"/>
      <c r="Q100" s="216"/>
      <c r="R100" s="216"/>
      <c r="S100" s="216"/>
      <c r="T100" s="216"/>
      <c r="U100" s="216"/>
      <c r="V100" s="216"/>
      <c r="W100" s="216"/>
      <c r="X100" s="216"/>
      <c r="Y100" s="216"/>
      <c r="Z100" s="152"/>
    </row>
    <row r="101" spans="1:26" s="1" customFormat="1" ht="17.399999999999999" customHeight="1">
      <c r="A101" s="219"/>
      <c r="B101" s="152"/>
      <c r="C101" s="152"/>
      <c r="D101" s="167"/>
      <c r="E101" s="152"/>
      <c r="F101" s="168"/>
      <c r="G101" s="283"/>
      <c r="H101" s="216"/>
      <c r="I101" s="216"/>
      <c r="J101" s="216"/>
      <c r="K101" s="216"/>
      <c r="L101" s="216"/>
      <c r="M101" s="216"/>
      <c r="N101" s="216"/>
      <c r="O101" s="216"/>
      <c r="P101" s="216"/>
      <c r="Q101" s="216"/>
      <c r="R101" s="216"/>
      <c r="S101" s="216"/>
      <c r="T101" s="216"/>
      <c r="U101" s="216"/>
      <c r="V101" s="216"/>
      <c r="W101" s="216"/>
      <c r="X101" s="216"/>
      <c r="Y101" s="216"/>
      <c r="Z101" s="152"/>
    </row>
    <row r="102" spans="1:26" s="1" customFormat="1" ht="17.399999999999999" customHeight="1">
      <c r="A102" s="219"/>
      <c r="B102" s="152"/>
      <c r="C102" s="152"/>
      <c r="D102" s="167"/>
      <c r="E102" s="152"/>
      <c r="F102" s="168"/>
      <c r="G102" s="283"/>
      <c r="H102" s="216"/>
      <c r="I102" s="216"/>
      <c r="J102" s="216"/>
      <c r="K102" s="216"/>
      <c r="L102" s="216"/>
      <c r="M102" s="216"/>
      <c r="N102" s="216"/>
      <c r="O102" s="216"/>
      <c r="P102" s="216"/>
      <c r="Q102" s="216"/>
      <c r="R102" s="216"/>
      <c r="S102" s="216"/>
      <c r="T102" s="216"/>
      <c r="U102" s="216"/>
      <c r="V102" s="216"/>
      <c r="W102" s="216"/>
      <c r="X102" s="216"/>
      <c r="Y102" s="216"/>
      <c r="Z102" s="152"/>
    </row>
    <row r="103" spans="1:26" s="1" customFormat="1" ht="17.399999999999999" customHeight="1">
      <c r="A103" s="219"/>
      <c r="B103" s="152"/>
      <c r="C103" s="152"/>
      <c r="D103" s="167"/>
      <c r="E103" s="152"/>
      <c r="F103" s="168"/>
      <c r="G103" s="283"/>
      <c r="H103" s="216"/>
      <c r="I103" s="216"/>
      <c r="J103" s="216"/>
      <c r="K103" s="216"/>
      <c r="L103" s="216"/>
      <c r="M103" s="216"/>
      <c r="N103" s="216"/>
      <c r="O103" s="216"/>
      <c r="P103" s="216"/>
      <c r="Q103" s="216"/>
      <c r="R103" s="216"/>
      <c r="S103" s="216"/>
      <c r="T103" s="216"/>
      <c r="U103" s="216"/>
      <c r="V103" s="216"/>
      <c r="W103" s="216"/>
      <c r="X103" s="216"/>
      <c r="Y103" s="216"/>
      <c r="Z103" s="152"/>
    </row>
    <row r="104" spans="1:26" s="1" customFormat="1" ht="17.399999999999999" customHeight="1">
      <c r="A104" s="219"/>
      <c r="B104" s="152"/>
      <c r="C104" s="152"/>
      <c r="D104" s="167"/>
      <c r="E104" s="152"/>
      <c r="F104" s="168"/>
      <c r="G104" s="283"/>
      <c r="H104" s="216"/>
      <c r="I104" s="216"/>
      <c r="J104" s="216"/>
      <c r="K104" s="216"/>
      <c r="L104" s="216"/>
      <c r="M104" s="216"/>
      <c r="N104" s="216"/>
      <c r="O104" s="216"/>
      <c r="P104" s="216"/>
      <c r="Q104" s="216"/>
      <c r="R104" s="216"/>
      <c r="S104" s="216"/>
      <c r="T104" s="216"/>
      <c r="U104" s="216"/>
      <c r="V104" s="216"/>
      <c r="W104" s="216"/>
      <c r="X104" s="216"/>
      <c r="Y104" s="216"/>
      <c r="Z104" s="152"/>
    </row>
    <row r="105" spans="1:26" s="1" customFormat="1" ht="17.399999999999999" customHeight="1">
      <c r="A105" s="219"/>
      <c r="B105" s="152"/>
      <c r="C105" s="152"/>
      <c r="D105" s="167"/>
      <c r="E105" s="152"/>
      <c r="F105" s="168"/>
      <c r="G105" s="283"/>
      <c r="H105" s="216"/>
      <c r="I105" s="216"/>
      <c r="J105" s="216"/>
      <c r="K105" s="216"/>
      <c r="L105" s="216"/>
      <c r="M105" s="216"/>
      <c r="N105" s="216"/>
      <c r="O105" s="216"/>
      <c r="P105" s="216"/>
      <c r="Q105" s="216"/>
      <c r="R105" s="216"/>
      <c r="S105" s="216"/>
      <c r="T105" s="216"/>
      <c r="U105" s="216"/>
      <c r="V105" s="216"/>
      <c r="W105" s="216"/>
      <c r="X105" s="216"/>
      <c r="Y105" s="216"/>
      <c r="Z105" s="152"/>
    </row>
    <row r="106" spans="1:26" s="1" customFormat="1" ht="17.399999999999999" customHeight="1">
      <c r="A106" s="219"/>
      <c r="B106" s="152"/>
      <c r="C106" s="152"/>
      <c r="D106" s="167"/>
      <c r="E106" s="152"/>
      <c r="F106" s="168"/>
      <c r="G106" s="283"/>
      <c r="H106" s="216"/>
      <c r="I106" s="216"/>
      <c r="J106" s="216"/>
      <c r="K106" s="216"/>
      <c r="L106" s="216"/>
      <c r="M106" s="216"/>
      <c r="N106" s="216"/>
      <c r="O106" s="216"/>
      <c r="P106" s="216"/>
      <c r="Q106" s="216"/>
      <c r="R106" s="216"/>
      <c r="S106" s="216"/>
      <c r="T106" s="216"/>
      <c r="U106" s="216"/>
      <c r="V106" s="216"/>
      <c r="W106" s="216"/>
      <c r="X106" s="216"/>
      <c r="Y106" s="216"/>
      <c r="Z106" s="152"/>
    </row>
    <row r="107" spans="1:26" s="1" customFormat="1" ht="17.399999999999999" customHeight="1">
      <c r="A107" s="269"/>
      <c r="B107" s="152"/>
      <c r="C107" s="152"/>
      <c r="D107" s="167"/>
      <c r="E107" s="152"/>
      <c r="F107" s="168"/>
      <c r="G107" s="283"/>
      <c r="H107" s="216"/>
      <c r="I107" s="216"/>
      <c r="J107" s="216"/>
      <c r="K107" s="216"/>
      <c r="L107" s="216"/>
      <c r="M107" s="216"/>
      <c r="N107" s="216"/>
      <c r="O107" s="216"/>
      <c r="P107" s="216"/>
      <c r="Q107" s="216"/>
      <c r="R107" s="216"/>
      <c r="S107" s="216"/>
      <c r="T107" s="216"/>
      <c r="U107" s="216"/>
      <c r="V107" s="216"/>
      <c r="W107" s="216"/>
      <c r="X107" s="216"/>
      <c r="Y107" s="216"/>
      <c r="Z107" s="152"/>
    </row>
    <row r="108" spans="1:26" s="1" customFormat="1" ht="17.399999999999999" customHeight="1">
      <c r="A108" s="219"/>
      <c r="B108" s="152"/>
      <c r="C108" s="152"/>
      <c r="D108" s="167"/>
      <c r="E108" s="152"/>
      <c r="F108" s="168"/>
      <c r="G108" s="283"/>
      <c r="H108" s="216"/>
      <c r="I108" s="216"/>
      <c r="J108" s="216"/>
      <c r="K108" s="216"/>
      <c r="L108" s="216"/>
      <c r="M108" s="216"/>
      <c r="N108" s="216"/>
      <c r="O108" s="216"/>
      <c r="P108" s="216"/>
      <c r="Q108" s="216"/>
      <c r="R108" s="216"/>
      <c r="S108" s="216"/>
      <c r="T108" s="216"/>
      <c r="U108" s="216"/>
      <c r="V108" s="216"/>
      <c r="W108" s="216"/>
      <c r="X108" s="216"/>
      <c r="Y108" s="216"/>
      <c r="Z108" s="152"/>
    </row>
    <row r="109" spans="1:26" s="1" customFormat="1" ht="17.399999999999999" customHeight="1">
      <c r="A109" s="219"/>
      <c r="B109" s="152"/>
      <c r="C109" s="152"/>
      <c r="D109" s="167"/>
      <c r="E109" s="152"/>
      <c r="F109" s="168"/>
      <c r="G109" s="283"/>
      <c r="H109" s="216"/>
      <c r="I109" s="216"/>
      <c r="J109" s="216"/>
      <c r="K109" s="216"/>
      <c r="L109" s="216"/>
      <c r="M109" s="216"/>
      <c r="N109" s="216"/>
      <c r="O109" s="216"/>
      <c r="P109" s="216"/>
      <c r="Q109" s="216"/>
      <c r="R109" s="216"/>
      <c r="S109" s="216"/>
      <c r="T109" s="216"/>
      <c r="U109" s="216"/>
      <c r="V109" s="216"/>
      <c r="W109" s="216"/>
      <c r="X109" s="216"/>
      <c r="Y109" s="216"/>
      <c r="Z109" s="152"/>
    </row>
    <row r="110" spans="1:26" s="1" customFormat="1" ht="17.399999999999999" customHeight="1">
      <c r="A110" s="269"/>
      <c r="B110" s="152"/>
      <c r="C110" s="152"/>
      <c r="D110" s="167"/>
      <c r="E110" s="152"/>
      <c r="F110" s="168"/>
      <c r="G110" s="283"/>
      <c r="H110" s="216"/>
      <c r="I110" s="216"/>
      <c r="J110" s="216"/>
      <c r="K110" s="216"/>
      <c r="L110" s="216"/>
      <c r="M110" s="216"/>
      <c r="N110" s="216"/>
      <c r="O110" s="216"/>
      <c r="P110" s="216"/>
      <c r="Q110" s="216"/>
      <c r="R110" s="216"/>
      <c r="S110" s="216"/>
      <c r="T110" s="216"/>
      <c r="U110" s="216"/>
      <c r="V110" s="216"/>
      <c r="W110" s="216"/>
      <c r="X110" s="216"/>
      <c r="Y110" s="216"/>
      <c r="Z110" s="152"/>
    </row>
    <row r="111" spans="1:26" s="1" customFormat="1" ht="17.399999999999999" customHeight="1">
      <c r="A111" s="269"/>
      <c r="B111" s="152"/>
      <c r="C111" s="152"/>
      <c r="D111" s="167"/>
      <c r="E111" s="152"/>
      <c r="F111" s="168"/>
      <c r="G111" s="283"/>
      <c r="H111" s="216"/>
      <c r="I111" s="216"/>
      <c r="J111" s="216"/>
      <c r="K111" s="216"/>
      <c r="L111" s="216"/>
      <c r="M111" s="216"/>
      <c r="N111" s="216"/>
      <c r="O111" s="216"/>
      <c r="P111" s="216"/>
      <c r="Q111" s="216"/>
      <c r="R111" s="216"/>
      <c r="S111" s="216"/>
      <c r="T111" s="216"/>
      <c r="U111" s="216"/>
      <c r="V111" s="216"/>
      <c r="W111" s="216"/>
      <c r="X111" s="216"/>
      <c r="Y111" s="216"/>
      <c r="Z111" s="152"/>
    </row>
    <row r="112" spans="1:26" s="1" customFormat="1" ht="17.399999999999999" customHeight="1">
      <c r="A112" s="219"/>
      <c r="B112" s="152"/>
      <c r="C112" s="152"/>
      <c r="D112" s="167"/>
      <c r="E112" s="152"/>
      <c r="F112" s="168"/>
      <c r="G112" s="283"/>
      <c r="H112" s="216"/>
      <c r="I112" s="216"/>
      <c r="J112" s="216"/>
      <c r="K112" s="216"/>
      <c r="L112" s="216"/>
      <c r="M112" s="216"/>
      <c r="N112" s="216"/>
      <c r="O112" s="216"/>
      <c r="P112" s="216"/>
      <c r="Q112" s="216"/>
      <c r="R112" s="216"/>
      <c r="S112" s="216"/>
      <c r="T112" s="216"/>
      <c r="U112" s="216"/>
      <c r="V112" s="216"/>
      <c r="W112" s="216"/>
      <c r="X112" s="216"/>
      <c r="Y112" s="216"/>
      <c r="Z112" s="152"/>
    </row>
    <row r="113" spans="1:26" s="1" customFormat="1" ht="17.399999999999999" customHeight="1">
      <c r="A113" s="219"/>
      <c r="B113" s="152"/>
      <c r="C113" s="152"/>
      <c r="D113" s="167"/>
      <c r="E113" s="152"/>
      <c r="F113" s="168"/>
      <c r="G113" s="283"/>
      <c r="H113" s="216"/>
      <c r="I113" s="216"/>
      <c r="J113" s="216"/>
      <c r="K113" s="216"/>
      <c r="L113" s="216"/>
      <c r="M113" s="216"/>
      <c r="N113" s="216"/>
      <c r="O113" s="216"/>
      <c r="P113" s="216"/>
      <c r="Q113" s="216"/>
      <c r="R113" s="216"/>
      <c r="S113" s="216"/>
      <c r="T113" s="216"/>
      <c r="U113" s="216"/>
      <c r="V113" s="216"/>
      <c r="W113" s="216"/>
      <c r="X113" s="216"/>
      <c r="Y113" s="216"/>
      <c r="Z113" s="152"/>
    </row>
    <row r="114" spans="1:26" s="1" customFormat="1" ht="17.399999999999999" customHeight="1">
      <c r="A114" s="143"/>
      <c r="B114" s="152"/>
      <c r="C114" s="152"/>
      <c r="D114" s="167"/>
      <c r="E114" s="152"/>
      <c r="F114" s="168"/>
      <c r="G114" s="283"/>
      <c r="H114" s="216"/>
      <c r="I114" s="216"/>
      <c r="J114" s="216"/>
      <c r="K114" s="216"/>
      <c r="L114" s="216"/>
      <c r="M114" s="216"/>
      <c r="N114" s="216"/>
      <c r="O114" s="216"/>
      <c r="P114" s="216"/>
      <c r="Q114" s="216"/>
      <c r="R114" s="216"/>
      <c r="S114" s="216"/>
      <c r="T114" s="216"/>
      <c r="U114" s="216"/>
      <c r="V114" s="216"/>
      <c r="W114" s="216"/>
      <c r="X114" s="216"/>
      <c r="Y114" s="216"/>
      <c r="Z114" s="152"/>
    </row>
    <row r="115" spans="1:26" s="1" customFormat="1" ht="17.399999999999999" customHeight="1">
      <c r="A115" s="143"/>
      <c r="B115" s="152"/>
      <c r="C115" s="152"/>
      <c r="D115" s="167"/>
      <c r="E115" s="152"/>
      <c r="F115" s="168"/>
      <c r="G115" s="283"/>
      <c r="H115" s="216"/>
      <c r="I115" s="216"/>
      <c r="J115" s="216"/>
      <c r="K115" s="216"/>
      <c r="L115" s="216"/>
      <c r="M115" s="216"/>
      <c r="N115" s="216"/>
      <c r="O115" s="216"/>
      <c r="P115" s="216"/>
      <c r="Q115" s="216"/>
      <c r="R115" s="216"/>
      <c r="S115" s="216"/>
      <c r="T115" s="216"/>
      <c r="U115" s="216"/>
      <c r="V115" s="216"/>
      <c r="W115" s="216"/>
      <c r="X115" s="216"/>
      <c r="Y115" s="216"/>
      <c r="Z115" s="152"/>
    </row>
    <row r="116" spans="1:26" s="1" customFormat="1" ht="17.399999999999999" customHeight="1">
      <c r="A116" s="269"/>
      <c r="B116" s="152"/>
      <c r="C116" s="152"/>
      <c r="D116" s="167"/>
      <c r="E116" s="152"/>
      <c r="F116" s="168"/>
      <c r="G116" s="283"/>
      <c r="H116" s="216"/>
      <c r="I116" s="216"/>
      <c r="J116" s="216"/>
      <c r="K116" s="216"/>
      <c r="L116" s="216"/>
      <c r="M116" s="216"/>
      <c r="N116" s="216"/>
      <c r="O116" s="216"/>
      <c r="P116" s="216"/>
      <c r="Q116" s="216"/>
      <c r="R116" s="216"/>
      <c r="S116" s="216"/>
      <c r="T116" s="216"/>
      <c r="U116" s="216"/>
      <c r="V116" s="216"/>
      <c r="W116" s="216"/>
      <c r="X116" s="216"/>
      <c r="Y116" s="216"/>
      <c r="Z116" s="152"/>
    </row>
    <row r="117" spans="1:26" s="1" customFormat="1" ht="17.399999999999999" customHeight="1">
      <c r="A117" s="143"/>
      <c r="B117" s="152"/>
      <c r="C117" s="152"/>
      <c r="D117" s="167"/>
      <c r="E117" s="152"/>
      <c r="F117" s="168"/>
      <c r="G117" s="283"/>
      <c r="H117" s="216"/>
      <c r="I117" s="216"/>
      <c r="J117" s="216"/>
      <c r="K117" s="216"/>
      <c r="L117" s="216"/>
      <c r="M117" s="216"/>
      <c r="N117" s="216"/>
      <c r="O117" s="216"/>
      <c r="P117" s="216"/>
      <c r="Q117" s="216"/>
      <c r="R117" s="216"/>
      <c r="S117" s="216"/>
      <c r="T117" s="216"/>
      <c r="U117" s="216"/>
      <c r="V117" s="216"/>
      <c r="W117" s="216"/>
      <c r="X117" s="216"/>
      <c r="Y117" s="216"/>
      <c r="Z117" s="152"/>
    </row>
    <row r="118" spans="1:26" s="1" customFormat="1" ht="17.399999999999999" customHeight="1">
      <c r="A118" s="143"/>
      <c r="B118" s="152"/>
      <c r="C118" s="152"/>
      <c r="D118" s="167"/>
      <c r="E118" s="152"/>
      <c r="F118" s="168"/>
      <c r="G118" s="283"/>
      <c r="H118" s="216"/>
      <c r="I118" s="216"/>
      <c r="J118" s="216"/>
      <c r="K118" s="216"/>
      <c r="L118" s="216"/>
      <c r="M118" s="216"/>
      <c r="N118" s="216"/>
      <c r="O118" s="216"/>
      <c r="P118" s="216"/>
      <c r="Q118" s="216"/>
      <c r="R118" s="216"/>
      <c r="S118" s="216"/>
      <c r="T118" s="216"/>
      <c r="U118" s="216"/>
      <c r="V118" s="216"/>
      <c r="W118" s="216"/>
      <c r="X118" s="216"/>
      <c r="Y118" s="216"/>
      <c r="Z118" s="152"/>
    </row>
    <row r="119" spans="1:26" s="1" customFormat="1" ht="17.399999999999999" customHeight="1">
      <c r="A119" s="143"/>
      <c r="B119" s="152"/>
      <c r="C119" s="152"/>
      <c r="D119" s="167"/>
      <c r="E119" s="152"/>
      <c r="F119" s="168"/>
      <c r="G119" s="283"/>
      <c r="H119" s="216"/>
      <c r="I119" s="216"/>
      <c r="J119" s="216"/>
      <c r="K119" s="216"/>
      <c r="L119" s="216"/>
      <c r="M119" s="216"/>
      <c r="N119" s="216"/>
      <c r="O119" s="216"/>
      <c r="P119" s="216"/>
      <c r="Q119" s="216"/>
      <c r="R119" s="216"/>
      <c r="S119" s="216"/>
      <c r="T119" s="216"/>
      <c r="U119" s="216"/>
      <c r="V119" s="216"/>
      <c r="W119" s="216"/>
      <c r="X119" s="216"/>
      <c r="Y119" s="216"/>
      <c r="Z119" s="152"/>
    </row>
    <row r="120" spans="1:26" s="1" customFormat="1" ht="17.399999999999999" customHeight="1">
      <c r="A120" s="143"/>
      <c r="B120" s="152"/>
      <c r="C120" s="152"/>
      <c r="D120" s="167"/>
      <c r="E120" s="152"/>
      <c r="F120" s="168"/>
      <c r="G120" s="283"/>
      <c r="H120" s="216"/>
      <c r="I120" s="216"/>
      <c r="J120" s="216"/>
      <c r="K120" s="216"/>
      <c r="L120" s="216"/>
      <c r="M120" s="216"/>
      <c r="N120" s="216"/>
      <c r="O120" s="216"/>
      <c r="P120" s="216"/>
      <c r="Q120" s="216"/>
      <c r="R120" s="216"/>
      <c r="S120" s="216"/>
      <c r="T120" s="216"/>
      <c r="U120" s="216"/>
      <c r="V120" s="216"/>
      <c r="W120" s="216"/>
      <c r="X120" s="216"/>
      <c r="Y120" s="216"/>
      <c r="Z120" s="152"/>
    </row>
    <row r="121" spans="1:26" s="1" customFormat="1" ht="17.399999999999999" customHeight="1">
      <c r="A121" s="143"/>
      <c r="B121" s="152"/>
      <c r="C121" s="152"/>
      <c r="D121" s="167"/>
      <c r="E121" s="152"/>
      <c r="F121" s="168"/>
      <c r="G121" s="283"/>
      <c r="H121" s="216"/>
      <c r="I121" s="216"/>
      <c r="J121" s="216"/>
      <c r="K121" s="216"/>
      <c r="L121" s="216"/>
      <c r="M121" s="216"/>
      <c r="N121" s="216"/>
      <c r="O121" s="216"/>
      <c r="P121" s="216"/>
      <c r="Q121" s="216"/>
      <c r="R121" s="216"/>
      <c r="S121" s="216"/>
      <c r="T121" s="216"/>
      <c r="U121" s="216"/>
      <c r="V121" s="216"/>
      <c r="W121" s="216"/>
      <c r="X121" s="216"/>
      <c r="Y121" s="216"/>
      <c r="Z121" s="152"/>
    </row>
    <row r="122" spans="1:26" s="1" customFormat="1" ht="17.399999999999999" customHeight="1">
      <c r="A122" s="143"/>
      <c r="B122" s="152"/>
      <c r="C122" s="152"/>
      <c r="D122" s="167"/>
      <c r="E122" s="152"/>
      <c r="F122" s="168"/>
      <c r="G122" s="283"/>
      <c r="H122" s="216"/>
      <c r="I122" s="216"/>
      <c r="J122" s="216"/>
      <c r="K122" s="216"/>
      <c r="L122" s="216"/>
      <c r="M122" s="216"/>
      <c r="N122" s="216"/>
      <c r="O122" s="216"/>
      <c r="P122" s="216"/>
      <c r="Q122" s="216"/>
      <c r="R122" s="216"/>
      <c r="S122" s="216"/>
      <c r="T122" s="216"/>
      <c r="U122" s="216"/>
      <c r="V122" s="216"/>
      <c r="W122" s="216"/>
      <c r="X122" s="216"/>
      <c r="Y122" s="216"/>
      <c r="Z122" s="152"/>
    </row>
    <row r="123" spans="1:26" s="1" customFormat="1" ht="17.399999999999999" customHeight="1">
      <c r="A123" s="143"/>
      <c r="B123" s="152"/>
      <c r="C123" s="152"/>
      <c r="D123" s="167"/>
      <c r="E123" s="152"/>
      <c r="F123" s="168"/>
      <c r="G123" s="283"/>
      <c r="H123" s="216"/>
      <c r="I123" s="216"/>
      <c r="J123" s="216"/>
      <c r="K123" s="216"/>
      <c r="L123" s="216"/>
      <c r="M123" s="216"/>
      <c r="N123" s="216"/>
      <c r="O123" s="216"/>
      <c r="P123" s="216"/>
      <c r="Q123" s="216"/>
      <c r="R123" s="216"/>
      <c r="S123" s="216"/>
      <c r="T123" s="216"/>
      <c r="U123" s="216"/>
      <c r="V123" s="216"/>
      <c r="W123" s="216"/>
      <c r="X123" s="216"/>
      <c r="Y123" s="216"/>
      <c r="Z123" s="152"/>
    </row>
    <row r="124" spans="1:26" s="1" customFormat="1" ht="17.399999999999999" customHeight="1">
      <c r="A124" s="143"/>
      <c r="B124" s="152"/>
      <c r="C124" s="152"/>
      <c r="D124" s="167"/>
      <c r="E124" s="152"/>
      <c r="F124" s="168"/>
      <c r="G124" s="283"/>
      <c r="H124" s="216"/>
      <c r="I124" s="216"/>
      <c r="J124" s="216"/>
      <c r="K124" s="216"/>
      <c r="L124" s="216"/>
      <c r="M124" s="216"/>
      <c r="N124" s="216"/>
      <c r="O124" s="216"/>
      <c r="P124" s="216"/>
      <c r="Q124" s="216"/>
      <c r="R124" s="216"/>
      <c r="S124" s="216"/>
      <c r="T124" s="216"/>
      <c r="U124" s="216"/>
      <c r="V124" s="216"/>
      <c r="W124" s="216"/>
      <c r="X124" s="216"/>
      <c r="Y124" s="216"/>
      <c r="Z124" s="152"/>
    </row>
    <row r="125" spans="1:26" s="1" customFormat="1" ht="17.399999999999999" customHeight="1">
      <c r="A125" s="143"/>
      <c r="B125" s="152"/>
      <c r="C125" s="152"/>
      <c r="D125" s="167"/>
      <c r="E125" s="152"/>
      <c r="F125" s="168"/>
      <c r="G125" s="283"/>
      <c r="H125" s="216"/>
      <c r="I125" s="216"/>
      <c r="J125" s="216"/>
      <c r="K125" s="216"/>
      <c r="L125" s="216"/>
      <c r="M125" s="216"/>
      <c r="N125" s="216"/>
      <c r="O125" s="216"/>
      <c r="P125" s="216"/>
      <c r="Q125" s="216"/>
      <c r="R125" s="216"/>
      <c r="S125" s="216"/>
      <c r="T125" s="216"/>
      <c r="U125" s="216"/>
      <c r="V125" s="216"/>
      <c r="W125" s="216"/>
      <c r="X125" s="216"/>
      <c r="Y125" s="216"/>
      <c r="Z125" s="152"/>
    </row>
    <row r="126" spans="1:26" s="1" customFormat="1" ht="17.399999999999999" customHeight="1">
      <c r="A126" s="143"/>
      <c r="B126" s="152"/>
      <c r="C126" s="152"/>
      <c r="D126" s="167"/>
      <c r="E126" s="152"/>
      <c r="F126" s="168"/>
      <c r="G126" s="283"/>
      <c r="H126" s="216"/>
      <c r="I126" s="216"/>
      <c r="J126" s="216"/>
      <c r="K126" s="216"/>
      <c r="L126" s="216"/>
      <c r="M126" s="216"/>
      <c r="N126" s="216"/>
      <c r="O126" s="216"/>
      <c r="P126" s="216"/>
      <c r="Q126" s="216"/>
      <c r="R126" s="216"/>
      <c r="S126" s="216"/>
      <c r="T126" s="216"/>
      <c r="U126" s="216"/>
      <c r="V126" s="216"/>
      <c r="W126" s="216"/>
      <c r="X126" s="216"/>
      <c r="Y126" s="216"/>
      <c r="Z126" s="152"/>
    </row>
    <row r="127" spans="1:26" s="1" customFormat="1" ht="17.399999999999999" customHeight="1">
      <c r="A127" s="143"/>
      <c r="B127" s="152"/>
      <c r="C127" s="152"/>
      <c r="D127" s="167"/>
      <c r="E127" s="152"/>
      <c r="F127" s="168"/>
      <c r="G127" s="283"/>
      <c r="H127" s="216"/>
      <c r="I127" s="216"/>
      <c r="J127" s="216"/>
      <c r="K127" s="216"/>
      <c r="L127" s="216"/>
      <c r="M127" s="216"/>
      <c r="N127" s="216"/>
      <c r="O127" s="216"/>
      <c r="P127" s="216"/>
      <c r="Q127" s="216"/>
      <c r="R127" s="216"/>
      <c r="S127" s="216"/>
      <c r="T127" s="216"/>
      <c r="U127" s="216"/>
      <c r="V127" s="216"/>
      <c r="W127" s="216"/>
      <c r="X127" s="216"/>
      <c r="Y127" s="216"/>
      <c r="Z127" s="152"/>
    </row>
    <row r="128" spans="1:26" s="1" customFormat="1" ht="17.399999999999999" customHeight="1">
      <c r="A128" s="143"/>
      <c r="B128" s="152"/>
      <c r="C128" s="152"/>
      <c r="D128" s="167"/>
      <c r="E128" s="152"/>
      <c r="F128" s="168"/>
      <c r="G128" s="283"/>
      <c r="H128" s="216"/>
      <c r="I128" s="216"/>
      <c r="J128" s="216"/>
      <c r="K128" s="216"/>
      <c r="L128" s="216"/>
      <c r="M128" s="216"/>
      <c r="N128" s="216"/>
      <c r="O128" s="216"/>
      <c r="P128" s="216"/>
      <c r="Q128" s="216"/>
      <c r="R128" s="216"/>
      <c r="S128" s="216"/>
      <c r="T128" s="216"/>
      <c r="U128" s="216"/>
      <c r="V128" s="216"/>
      <c r="W128" s="216"/>
      <c r="X128" s="216"/>
      <c r="Y128" s="216"/>
      <c r="Z128" s="152"/>
    </row>
    <row r="129" spans="1:26" s="1" customFormat="1" ht="17.399999999999999" customHeight="1">
      <c r="A129" s="143"/>
      <c r="B129" s="152"/>
      <c r="C129" s="152"/>
      <c r="D129" s="167"/>
      <c r="E129" s="152"/>
      <c r="F129" s="168"/>
      <c r="G129" s="283"/>
      <c r="H129" s="216"/>
      <c r="I129" s="216"/>
      <c r="J129" s="216"/>
      <c r="K129" s="216"/>
      <c r="L129" s="216"/>
      <c r="M129" s="216"/>
      <c r="N129" s="216"/>
      <c r="O129" s="216"/>
      <c r="P129" s="216"/>
      <c r="Q129" s="216"/>
      <c r="R129" s="216"/>
      <c r="S129" s="216"/>
      <c r="T129" s="216"/>
      <c r="U129" s="216"/>
      <c r="V129" s="216"/>
      <c r="W129" s="216"/>
      <c r="X129" s="216"/>
      <c r="Y129" s="216"/>
      <c r="Z129" s="152"/>
    </row>
    <row r="130" spans="1:26" s="1" customFormat="1" ht="17.399999999999999" customHeight="1">
      <c r="A130" s="143"/>
      <c r="B130" s="152"/>
      <c r="C130" s="152"/>
      <c r="D130" s="167"/>
      <c r="E130" s="152"/>
      <c r="F130" s="168"/>
      <c r="G130" s="283"/>
      <c r="H130" s="216"/>
      <c r="I130" s="216"/>
      <c r="J130" s="216"/>
      <c r="K130" s="216"/>
      <c r="L130" s="216"/>
      <c r="M130" s="216"/>
      <c r="N130" s="216"/>
      <c r="O130" s="216"/>
      <c r="P130" s="216"/>
      <c r="Q130" s="216"/>
      <c r="R130" s="216"/>
      <c r="S130" s="216"/>
      <c r="T130" s="216"/>
      <c r="U130" s="216"/>
      <c r="V130" s="216"/>
      <c r="W130" s="216"/>
      <c r="X130" s="216"/>
      <c r="Y130" s="216"/>
      <c r="Z130" s="152"/>
    </row>
    <row r="131" spans="1:26" s="1" customFormat="1" ht="17.399999999999999" customHeight="1">
      <c r="A131" s="143"/>
      <c r="B131" s="152"/>
      <c r="C131" s="152"/>
      <c r="D131" s="167"/>
      <c r="E131" s="152"/>
      <c r="F131" s="168"/>
      <c r="G131" s="283"/>
      <c r="H131" s="216"/>
      <c r="I131" s="216"/>
      <c r="J131" s="216"/>
      <c r="K131" s="216"/>
      <c r="L131" s="216"/>
      <c r="M131" s="216"/>
      <c r="N131" s="216"/>
      <c r="O131" s="216"/>
      <c r="P131" s="216"/>
      <c r="Q131" s="216"/>
      <c r="R131" s="216"/>
      <c r="S131" s="216"/>
      <c r="T131" s="216"/>
      <c r="U131" s="216"/>
      <c r="V131" s="216"/>
      <c r="W131" s="216"/>
      <c r="X131" s="216"/>
      <c r="Y131" s="216"/>
      <c r="Z131" s="152"/>
    </row>
    <row r="132" spans="1:26" s="1" customFormat="1" ht="17.399999999999999" customHeight="1">
      <c r="A132" s="143"/>
      <c r="B132" s="152"/>
      <c r="C132" s="152"/>
      <c r="D132" s="167"/>
      <c r="E132" s="152"/>
      <c r="F132" s="168"/>
      <c r="G132" s="283"/>
      <c r="H132" s="216"/>
      <c r="I132" s="216"/>
      <c r="J132" s="216"/>
      <c r="K132" s="216"/>
      <c r="L132" s="216"/>
      <c r="M132" s="216"/>
      <c r="N132" s="216"/>
      <c r="O132" s="216"/>
      <c r="P132" s="216"/>
      <c r="Q132" s="216"/>
      <c r="R132" s="216"/>
      <c r="S132" s="216"/>
      <c r="T132" s="216"/>
      <c r="U132" s="216"/>
      <c r="V132" s="216"/>
      <c r="W132" s="216"/>
      <c r="X132" s="216"/>
      <c r="Y132" s="216"/>
      <c r="Z132" s="152"/>
    </row>
    <row r="133" spans="1:26" s="1" customFormat="1" ht="17.399999999999999" customHeight="1">
      <c r="A133" s="143"/>
      <c r="B133" s="152"/>
      <c r="C133" s="152"/>
      <c r="D133" s="167"/>
      <c r="E133" s="152"/>
      <c r="F133" s="168"/>
      <c r="G133" s="283"/>
      <c r="H133" s="216"/>
      <c r="I133" s="216"/>
      <c r="J133" s="216"/>
      <c r="K133" s="216"/>
      <c r="L133" s="216"/>
      <c r="M133" s="216"/>
      <c r="N133" s="216"/>
      <c r="O133" s="216"/>
      <c r="P133" s="216"/>
      <c r="Q133" s="216"/>
      <c r="R133" s="216"/>
      <c r="S133" s="216"/>
      <c r="T133" s="216"/>
      <c r="U133" s="216"/>
      <c r="V133" s="216"/>
      <c r="W133" s="216"/>
      <c r="X133" s="216"/>
      <c r="Y133" s="216"/>
      <c r="Z133" s="152"/>
    </row>
    <row r="134" spans="1:26" s="1" customFormat="1" ht="17.399999999999999" customHeight="1">
      <c r="A134" s="143"/>
      <c r="B134" s="152"/>
      <c r="C134" s="152"/>
      <c r="D134" s="167"/>
      <c r="E134" s="152"/>
      <c r="F134" s="168"/>
      <c r="G134" s="283"/>
      <c r="H134" s="216"/>
      <c r="I134" s="216"/>
      <c r="J134" s="216"/>
      <c r="K134" s="216"/>
      <c r="L134" s="216"/>
      <c r="M134" s="216"/>
      <c r="N134" s="216"/>
      <c r="O134" s="216"/>
      <c r="P134" s="216"/>
      <c r="Q134" s="216"/>
      <c r="R134" s="216"/>
      <c r="S134" s="216"/>
      <c r="T134" s="216"/>
      <c r="U134" s="216"/>
      <c r="V134" s="216"/>
      <c r="W134" s="216"/>
      <c r="X134" s="216"/>
      <c r="Y134" s="216"/>
      <c r="Z134" s="152"/>
    </row>
    <row r="135" spans="1:26" s="1" customFormat="1" ht="17.399999999999999" customHeight="1">
      <c r="A135" s="143"/>
      <c r="B135" s="152"/>
      <c r="C135" s="152"/>
      <c r="D135" s="167"/>
      <c r="E135" s="152"/>
      <c r="F135" s="168"/>
      <c r="G135" s="283"/>
      <c r="H135" s="216"/>
      <c r="I135" s="216"/>
      <c r="J135" s="216"/>
      <c r="K135" s="216"/>
      <c r="L135" s="216"/>
      <c r="M135" s="216"/>
      <c r="N135" s="216"/>
      <c r="O135" s="216"/>
      <c r="P135" s="216"/>
      <c r="Q135" s="216"/>
      <c r="R135" s="216"/>
      <c r="S135" s="216"/>
      <c r="T135" s="216"/>
      <c r="U135" s="216"/>
      <c r="V135" s="216"/>
      <c r="W135" s="216"/>
      <c r="X135" s="216"/>
      <c r="Y135" s="216"/>
      <c r="Z135" s="152"/>
    </row>
    <row r="136" spans="1:26" s="1" customFormat="1" ht="17.399999999999999" customHeight="1">
      <c r="A136" s="143"/>
      <c r="B136" s="152"/>
      <c r="C136" s="152"/>
      <c r="D136" s="167"/>
      <c r="E136" s="152"/>
      <c r="F136" s="168"/>
      <c r="G136" s="283"/>
      <c r="H136" s="216"/>
      <c r="I136" s="216"/>
      <c r="J136" s="216"/>
      <c r="K136" s="216"/>
      <c r="L136" s="216"/>
      <c r="M136" s="216"/>
      <c r="N136" s="216"/>
      <c r="O136" s="216"/>
      <c r="P136" s="216"/>
      <c r="Q136" s="216"/>
      <c r="R136" s="216"/>
      <c r="S136" s="216"/>
      <c r="T136" s="216"/>
      <c r="U136" s="216"/>
      <c r="V136" s="216"/>
      <c r="W136" s="216"/>
      <c r="X136" s="216"/>
      <c r="Y136" s="216"/>
      <c r="Z136" s="152"/>
    </row>
    <row r="137" spans="1:26" s="1" customFormat="1" ht="17.399999999999999" customHeight="1">
      <c r="A137" s="143"/>
      <c r="B137" s="152"/>
      <c r="C137" s="152"/>
      <c r="D137" s="167"/>
      <c r="E137" s="152"/>
      <c r="F137" s="168"/>
      <c r="G137" s="283"/>
      <c r="H137" s="216"/>
      <c r="I137" s="216"/>
      <c r="J137" s="216"/>
      <c r="K137" s="216"/>
      <c r="L137" s="216"/>
      <c r="M137" s="216"/>
      <c r="N137" s="216"/>
      <c r="O137" s="216"/>
      <c r="P137" s="216"/>
      <c r="Q137" s="216"/>
      <c r="R137" s="216"/>
      <c r="S137" s="216"/>
      <c r="T137" s="216"/>
      <c r="U137" s="216"/>
      <c r="V137" s="216"/>
      <c r="W137" s="216"/>
      <c r="X137" s="216"/>
      <c r="Y137" s="216"/>
      <c r="Z137" s="152"/>
    </row>
    <row r="138" spans="1:26" s="1" customFormat="1" ht="17.399999999999999" customHeight="1">
      <c r="A138" s="143"/>
      <c r="B138" s="152"/>
      <c r="C138" s="152"/>
      <c r="D138" s="167"/>
      <c r="E138" s="152"/>
      <c r="F138" s="168"/>
      <c r="G138" s="283"/>
      <c r="H138" s="216"/>
      <c r="I138" s="216"/>
      <c r="J138" s="216"/>
      <c r="K138" s="216"/>
      <c r="L138" s="216"/>
      <c r="M138" s="216"/>
      <c r="N138" s="216"/>
      <c r="O138" s="216"/>
      <c r="P138" s="216"/>
      <c r="Q138" s="216"/>
      <c r="R138" s="216"/>
      <c r="S138" s="216"/>
      <c r="T138" s="216"/>
      <c r="U138" s="216"/>
      <c r="V138" s="216"/>
      <c r="W138" s="216"/>
      <c r="X138" s="216"/>
      <c r="Y138" s="216"/>
      <c r="Z138" s="152"/>
    </row>
    <row r="139" spans="1:26" s="1" customFormat="1" ht="17.399999999999999" customHeight="1">
      <c r="A139" s="143"/>
      <c r="B139" s="152"/>
      <c r="C139" s="152"/>
      <c r="D139" s="167"/>
      <c r="E139" s="152"/>
      <c r="F139" s="168"/>
      <c r="G139" s="283"/>
      <c r="H139" s="216"/>
      <c r="I139" s="216"/>
      <c r="J139" s="216"/>
      <c r="K139" s="216"/>
      <c r="L139" s="216"/>
      <c r="M139" s="216"/>
      <c r="N139" s="216"/>
      <c r="O139" s="216"/>
      <c r="P139" s="216"/>
      <c r="Q139" s="216"/>
      <c r="R139" s="216"/>
      <c r="S139" s="216"/>
      <c r="T139" s="216"/>
      <c r="U139" s="216"/>
      <c r="V139" s="216"/>
      <c r="W139" s="216"/>
      <c r="X139" s="216"/>
      <c r="Y139" s="216"/>
      <c r="Z139" s="152"/>
    </row>
    <row r="140" spans="1:26" s="1" customFormat="1" ht="17.399999999999999" customHeight="1">
      <c r="A140" s="143"/>
      <c r="B140" s="152"/>
      <c r="C140" s="152"/>
      <c r="D140" s="167"/>
      <c r="E140" s="152"/>
      <c r="F140" s="168"/>
      <c r="G140" s="283"/>
      <c r="H140" s="216"/>
      <c r="I140" s="216"/>
      <c r="J140" s="216"/>
      <c r="K140" s="216"/>
      <c r="L140" s="216"/>
      <c r="M140" s="216"/>
      <c r="N140" s="216"/>
      <c r="O140" s="216"/>
      <c r="P140" s="216"/>
      <c r="Q140" s="216"/>
      <c r="R140" s="216"/>
      <c r="S140" s="216"/>
      <c r="T140" s="216"/>
      <c r="U140" s="216"/>
      <c r="V140" s="216"/>
      <c r="W140" s="216"/>
      <c r="X140" s="216"/>
      <c r="Y140" s="216"/>
      <c r="Z140" s="152"/>
    </row>
    <row r="141" spans="1:26" s="1" customFormat="1" ht="17.399999999999999" customHeight="1">
      <c r="A141" s="143"/>
      <c r="B141" s="152"/>
      <c r="C141" s="152"/>
      <c r="D141" s="167"/>
      <c r="E141" s="152"/>
      <c r="F141" s="168"/>
      <c r="G141" s="283"/>
      <c r="H141" s="216"/>
      <c r="I141" s="216"/>
      <c r="J141" s="216"/>
      <c r="K141" s="216"/>
      <c r="L141" s="216"/>
      <c r="M141" s="216"/>
      <c r="N141" s="216"/>
      <c r="O141" s="216"/>
      <c r="P141" s="216"/>
      <c r="Q141" s="216"/>
      <c r="R141" s="216"/>
      <c r="S141" s="216"/>
      <c r="T141" s="216"/>
      <c r="U141" s="216"/>
      <c r="V141" s="216"/>
      <c r="W141" s="216"/>
      <c r="X141" s="216"/>
      <c r="Y141" s="216"/>
      <c r="Z141" s="152"/>
    </row>
    <row r="142" spans="1:26" s="1" customFormat="1" ht="17.399999999999999" customHeight="1">
      <c r="A142" s="143"/>
      <c r="B142" s="152"/>
      <c r="C142" s="152"/>
      <c r="D142" s="167"/>
      <c r="E142" s="152"/>
      <c r="F142" s="168"/>
      <c r="G142" s="283"/>
      <c r="H142" s="216"/>
      <c r="I142" s="216"/>
      <c r="J142" s="216"/>
      <c r="K142" s="216"/>
      <c r="L142" s="216"/>
      <c r="M142" s="216"/>
      <c r="N142" s="216"/>
      <c r="O142" s="216"/>
      <c r="P142" s="216"/>
      <c r="Q142" s="216"/>
      <c r="R142" s="216"/>
      <c r="S142" s="216"/>
      <c r="T142" s="216"/>
      <c r="U142" s="216"/>
      <c r="V142" s="216"/>
      <c r="W142" s="216"/>
      <c r="X142" s="216"/>
      <c r="Y142" s="216"/>
      <c r="Z142" s="152"/>
    </row>
    <row r="143" spans="1:26" s="1" customFormat="1" ht="17.399999999999999" customHeight="1">
      <c r="A143" s="143"/>
      <c r="B143" s="152"/>
      <c r="C143" s="152"/>
      <c r="D143" s="167"/>
      <c r="E143" s="152"/>
      <c r="F143" s="168"/>
      <c r="G143" s="283"/>
      <c r="H143" s="216"/>
      <c r="I143" s="216"/>
      <c r="J143" s="216"/>
      <c r="K143" s="216"/>
      <c r="L143" s="216"/>
      <c r="M143" s="216"/>
      <c r="N143" s="216"/>
      <c r="O143" s="216"/>
      <c r="P143" s="216"/>
      <c r="Q143" s="216"/>
      <c r="R143" s="216"/>
      <c r="S143" s="216"/>
      <c r="T143" s="216"/>
      <c r="U143" s="216"/>
      <c r="V143" s="216"/>
      <c r="W143" s="216"/>
      <c r="X143" s="216"/>
      <c r="Y143" s="216"/>
      <c r="Z143" s="152"/>
    </row>
    <row r="144" spans="1:26" s="1" customFormat="1" ht="17.399999999999999" customHeight="1">
      <c r="A144" s="143"/>
      <c r="B144" s="152"/>
      <c r="C144" s="152"/>
      <c r="D144" s="167"/>
      <c r="E144" s="152"/>
      <c r="F144" s="168"/>
      <c r="G144" s="283"/>
      <c r="H144" s="216"/>
      <c r="I144" s="216"/>
      <c r="J144" s="216"/>
      <c r="K144" s="216"/>
      <c r="L144" s="216"/>
      <c r="M144" s="216"/>
      <c r="N144" s="216"/>
      <c r="O144" s="216"/>
      <c r="P144" s="216"/>
      <c r="Q144" s="216"/>
      <c r="R144" s="216"/>
      <c r="S144" s="216"/>
      <c r="T144" s="216"/>
      <c r="U144" s="216"/>
      <c r="V144" s="216"/>
      <c r="W144" s="216"/>
      <c r="X144" s="216"/>
      <c r="Y144" s="216"/>
      <c r="Z144" s="152"/>
    </row>
    <row r="145" spans="1:26" s="1" customFormat="1" ht="17.399999999999999" customHeight="1">
      <c r="A145" s="143"/>
      <c r="B145" s="152"/>
      <c r="C145" s="152"/>
      <c r="D145" s="167"/>
      <c r="E145" s="152"/>
      <c r="F145" s="168"/>
      <c r="G145" s="283"/>
      <c r="H145" s="216"/>
      <c r="I145" s="216"/>
      <c r="J145" s="216"/>
      <c r="K145" s="216"/>
      <c r="L145" s="216"/>
      <c r="M145" s="216"/>
      <c r="N145" s="216"/>
      <c r="O145" s="216"/>
      <c r="P145" s="216"/>
      <c r="Q145" s="216"/>
      <c r="R145" s="216"/>
      <c r="S145" s="216"/>
      <c r="T145" s="216"/>
      <c r="U145" s="216"/>
      <c r="V145" s="216"/>
      <c r="W145" s="216"/>
      <c r="X145" s="216"/>
      <c r="Y145" s="216"/>
      <c r="Z145" s="152"/>
    </row>
    <row r="146" spans="1:26" s="1" customFormat="1" ht="17.399999999999999" customHeight="1">
      <c r="A146" s="143"/>
      <c r="B146" s="152"/>
      <c r="C146" s="152"/>
      <c r="D146" s="167"/>
      <c r="E146" s="152"/>
      <c r="F146" s="168"/>
      <c r="G146" s="283"/>
      <c r="H146" s="216"/>
      <c r="I146" s="216"/>
      <c r="J146" s="216"/>
      <c r="K146" s="216"/>
      <c r="L146" s="216"/>
      <c r="M146" s="216"/>
      <c r="N146" s="216"/>
      <c r="O146" s="216"/>
      <c r="P146" s="216"/>
      <c r="Q146" s="216"/>
      <c r="R146" s="216"/>
      <c r="S146" s="216"/>
      <c r="T146" s="216"/>
      <c r="U146" s="216"/>
      <c r="V146" s="216"/>
      <c r="W146" s="216"/>
      <c r="X146" s="216"/>
      <c r="Y146" s="216"/>
      <c r="Z146" s="152"/>
    </row>
    <row r="147" spans="1:26" s="1" customFormat="1" ht="17.399999999999999" customHeight="1">
      <c r="A147" s="143"/>
      <c r="B147" s="152"/>
      <c r="C147" s="152"/>
      <c r="D147" s="167"/>
      <c r="E147" s="152"/>
      <c r="F147" s="168"/>
      <c r="G147" s="283"/>
      <c r="H147" s="216"/>
      <c r="I147" s="216"/>
      <c r="J147" s="216"/>
      <c r="K147" s="216"/>
      <c r="L147" s="216"/>
      <c r="M147" s="216"/>
      <c r="N147" s="216"/>
      <c r="O147" s="216"/>
      <c r="P147" s="216"/>
      <c r="Q147" s="216"/>
      <c r="R147" s="216"/>
      <c r="S147" s="216"/>
      <c r="T147" s="216"/>
      <c r="U147" s="216"/>
      <c r="V147" s="216"/>
      <c r="W147" s="216"/>
      <c r="X147" s="216"/>
      <c r="Y147" s="216"/>
      <c r="Z147" s="152"/>
    </row>
    <row r="148" spans="1:26" s="1" customFormat="1" ht="17.399999999999999" customHeight="1">
      <c r="A148" s="143"/>
      <c r="B148" s="152"/>
      <c r="C148" s="152"/>
      <c r="D148" s="167"/>
      <c r="E148" s="152"/>
      <c r="F148" s="168"/>
      <c r="G148" s="283"/>
      <c r="H148" s="216"/>
      <c r="I148" s="216"/>
      <c r="J148" s="216"/>
      <c r="K148" s="216"/>
      <c r="L148" s="216"/>
      <c r="M148" s="216"/>
      <c r="N148" s="216"/>
      <c r="O148" s="216"/>
      <c r="P148" s="216"/>
      <c r="Q148" s="216"/>
      <c r="R148" s="216"/>
      <c r="S148" s="216"/>
      <c r="T148" s="216"/>
      <c r="U148" s="216"/>
      <c r="V148" s="216"/>
      <c r="W148" s="216"/>
      <c r="X148" s="216"/>
      <c r="Y148" s="216"/>
      <c r="Z148" s="152"/>
    </row>
    <row r="149" spans="1:26" s="1" customFormat="1" ht="17.399999999999999" customHeight="1">
      <c r="A149" s="143"/>
      <c r="B149" s="152"/>
      <c r="C149" s="152"/>
      <c r="D149" s="167"/>
      <c r="E149" s="152"/>
      <c r="F149" s="168"/>
      <c r="G149" s="283"/>
      <c r="H149" s="216"/>
      <c r="I149" s="216"/>
      <c r="J149" s="216"/>
      <c r="K149" s="216"/>
      <c r="L149" s="216"/>
      <c r="M149" s="216"/>
      <c r="N149" s="216"/>
      <c r="O149" s="216"/>
      <c r="P149" s="216"/>
      <c r="Q149" s="216"/>
      <c r="R149" s="216"/>
      <c r="S149" s="216"/>
      <c r="T149" s="216"/>
      <c r="U149" s="216"/>
      <c r="V149" s="216"/>
      <c r="W149" s="216"/>
      <c r="X149" s="216"/>
      <c r="Y149" s="216"/>
      <c r="Z149" s="152"/>
    </row>
    <row r="150" spans="1:26" s="1" customFormat="1" ht="17.399999999999999" customHeight="1">
      <c r="A150" s="143"/>
      <c r="B150" s="152"/>
      <c r="C150" s="152"/>
      <c r="D150" s="167"/>
      <c r="E150" s="152"/>
      <c r="F150" s="168"/>
      <c r="G150" s="283"/>
      <c r="H150" s="216"/>
      <c r="I150" s="216"/>
      <c r="J150" s="216"/>
      <c r="K150" s="216"/>
      <c r="L150" s="216"/>
      <c r="M150" s="216"/>
      <c r="N150" s="216"/>
      <c r="O150" s="216"/>
      <c r="P150" s="216"/>
      <c r="Q150" s="216"/>
      <c r="R150" s="216"/>
      <c r="S150" s="216"/>
      <c r="T150" s="216"/>
      <c r="U150" s="216"/>
      <c r="V150" s="216"/>
      <c r="W150" s="216"/>
      <c r="X150" s="216"/>
      <c r="Y150" s="216"/>
      <c r="Z150" s="152"/>
    </row>
    <row r="151" spans="1:26" s="1" customFormat="1" ht="17.399999999999999" customHeight="1">
      <c r="A151" s="143"/>
      <c r="B151" s="152"/>
      <c r="C151" s="152"/>
      <c r="D151" s="167"/>
      <c r="E151" s="152"/>
      <c r="F151" s="168"/>
      <c r="G151" s="283"/>
      <c r="H151" s="216"/>
      <c r="I151" s="216"/>
      <c r="J151" s="216"/>
      <c r="K151" s="216"/>
      <c r="L151" s="216"/>
      <c r="M151" s="216"/>
      <c r="N151" s="216"/>
      <c r="O151" s="216"/>
      <c r="P151" s="216"/>
      <c r="Q151" s="216"/>
      <c r="R151" s="216"/>
      <c r="S151" s="216"/>
      <c r="T151" s="216"/>
      <c r="U151" s="216"/>
      <c r="V151" s="216"/>
      <c r="W151" s="216"/>
      <c r="X151" s="216"/>
      <c r="Y151" s="216"/>
      <c r="Z151" s="152"/>
    </row>
    <row r="152" spans="1:26" s="1" customFormat="1" ht="17.399999999999999" customHeight="1">
      <c r="A152" s="143"/>
      <c r="B152" s="152"/>
      <c r="C152" s="152"/>
      <c r="D152" s="167"/>
      <c r="E152" s="152"/>
      <c r="F152" s="168"/>
      <c r="G152" s="283"/>
      <c r="H152" s="216"/>
      <c r="I152" s="216"/>
      <c r="J152" s="216"/>
      <c r="K152" s="216"/>
      <c r="L152" s="216"/>
      <c r="M152" s="216"/>
      <c r="N152" s="216"/>
      <c r="O152" s="216"/>
      <c r="P152" s="216"/>
      <c r="Q152" s="216"/>
      <c r="R152" s="216"/>
      <c r="S152" s="216"/>
      <c r="T152" s="216"/>
      <c r="U152" s="216"/>
      <c r="V152" s="216"/>
      <c r="W152" s="216"/>
      <c r="X152" s="216"/>
      <c r="Y152" s="216"/>
      <c r="Z152" s="152"/>
    </row>
    <row r="153" spans="1:26" s="1" customFormat="1" ht="17.399999999999999" customHeight="1">
      <c r="A153" s="143"/>
      <c r="B153" s="152"/>
      <c r="C153" s="152"/>
      <c r="D153" s="167"/>
      <c r="E153" s="152"/>
      <c r="F153" s="168"/>
      <c r="G153" s="283"/>
      <c r="H153" s="216"/>
      <c r="I153" s="216"/>
      <c r="J153" s="216"/>
      <c r="K153" s="216"/>
      <c r="L153" s="216"/>
      <c r="M153" s="216"/>
      <c r="N153" s="216"/>
      <c r="O153" s="216"/>
      <c r="P153" s="216"/>
      <c r="Q153" s="216"/>
      <c r="R153" s="216"/>
      <c r="S153" s="216"/>
      <c r="T153" s="216"/>
      <c r="U153" s="216"/>
      <c r="V153" s="216"/>
      <c r="W153" s="216"/>
      <c r="X153" s="216"/>
      <c r="Y153" s="216"/>
      <c r="Z153" s="152"/>
    </row>
    <row r="154" spans="1:26" s="1" customFormat="1" ht="17.399999999999999" customHeight="1">
      <c r="A154" s="143"/>
      <c r="B154" s="152"/>
      <c r="C154" s="152"/>
      <c r="D154" s="167"/>
      <c r="E154" s="152"/>
      <c r="F154" s="168"/>
      <c r="G154" s="283"/>
      <c r="H154" s="216"/>
      <c r="I154" s="216"/>
      <c r="J154" s="216"/>
      <c r="K154" s="216"/>
      <c r="L154" s="216"/>
      <c r="M154" s="216"/>
      <c r="N154" s="216"/>
      <c r="O154" s="216"/>
      <c r="P154" s="216"/>
      <c r="Q154" s="216"/>
      <c r="R154" s="216"/>
      <c r="S154" s="216"/>
      <c r="T154" s="216"/>
      <c r="U154" s="216"/>
      <c r="V154" s="216"/>
      <c r="W154" s="216"/>
      <c r="X154" s="216"/>
      <c r="Y154" s="216"/>
      <c r="Z154" s="152"/>
    </row>
    <row r="155" spans="1:26" s="1" customFormat="1" ht="17.399999999999999" customHeight="1">
      <c r="A155" s="143"/>
      <c r="B155" s="152"/>
      <c r="C155" s="152"/>
      <c r="D155" s="167"/>
      <c r="E155" s="152"/>
      <c r="F155" s="168"/>
      <c r="G155" s="283"/>
      <c r="H155" s="216"/>
      <c r="I155" s="216"/>
      <c r="J155" s="216"/>
      <c r="K155" s="216"/>
      <c r="L155" s="216"/>
      <c r="M155" s="216"/>
      <c r="N155" s="216"/>
      <c r="O155" s="216"/>
      <c r="P155" s="216"/>
      <c r="Q155" s="216"/>
      <c r="R155" s="216"/>
      <c r="S155" s="216"/>
      <c r="T155" s="216"/>
      <c r="U155" s="216"/>
      <c r="V155" s="216"/>
      <c r="W155" s="216"/>
      <c r="X155" s="216"/>
      <c r="Y155" s="216"/>
      <c r="Z155" s="152"/>
    </row>
    <row r="156" spans="1:26" s="1" customFormat="1" ht="17.399999999999999" customHeight="1">
      <c r="A156" s="143"/>
      <c r="B156" s="152"/>
      <c r="C156" s="152"/>
      <c r="D156" s="167"/>
      <c r="E156" s="152"/>
      <c r="F156" s="168"/>
      <c r="G156" s="283"/>
      <c r="H156" s="216"/>
      <c r="I156" s="216"/>
      <c r="J156" s="216"/>
      <c r="K156" s="216"/>
      <c r="L156" s="216"/>
      <c r="M156" s="216"/>
      <c r="N156" s="216"/>
      <c r="O156" s="216"/>
      <c r="P156" s="216"/>
      <c r="Q156" s="216"/>
      <c r="R156" s="216"/>
      <c r="S156" s="216"/>
      <c r="T156" s="216"/>
      <c r="U156" s="216"/>
      <c r="V156" s="216"/>
      <c r="W156" s="216"/>
      <c r="X156" s="216"/>
      <c r="Y156" s="216"/>
      <c r="Z156" s="152"/>
    </row>
    <row r="157" spans="1:26" s="1" customFormat="1" ht="17.399999999999999" customHeight="1">
      <c r="A157" s="143"/>
      <c r="B157" s="152"/>
      <c r="C157" s="152"/>
      <c r="D157" s="167"/>
      <c r="E157" s="152"/>
      <c r="F157" s="168"/>
      <c r="G157" s="283"/>
      <c r="H157" s="216"/>
      <c r="I157" s="216"/>
      <c r="J157" s="216"/>
      <c r="K157" s="216"/>
      <c r="L157" s="216"/>
      <c r="M157" s="216"/>
      <c r="N157" s="216"/>
      <c r="O157" s="216"/>
      <c r="P157" s="216"/>
      <c r="Q157" s="216"/>
      <c r="R157" s="216"/>
      <c r="S157" s="216"/>
      <c r="T157" s="216"/>
      <c r="U157" s="216"/>
      <c r="V157" s="216"/>
      <c r="W157" s="216"/>
      <c r="X157" s="216"/>
      <c r="Y157" s="216"/>
      <c r="Z157" s="152"/>
    </row>
    <row r="158" spans="1:26" s="1" customFormat="1" ht="17.399999999999999" customHeight="1">
      <c r="A158" s="143"/>
      <c r="B158" s="152"/>
      <c r="C158" s="152"/>
      <c r="D158" s="167"/>
      <c r="E158" s="152"/>
      <c r="F158" s="168"/>
      <c r="G158" s="283"/>
      <c r="H158" s="216"/>
      <c r="I158" s="216"/>
      <c r="J158" s="216"/>
      <c r="K158" s="216"/>
      <c r="L158" s="216"/>
      <c r="M158" s="216"/>
      <c r="N158" s="216"/>
      <c r="O158" s="216"/>
      <c r="P158" s="216"/>
      <c r="Q158" s="216"/>
      <c r="R158" s="216"/>
      <c r="S158" s="216"/>
      <c r="T158" s="216"/>
      <c r="U158" s="216"/>
      <c r="V158" s="216"/>
      <c r="W158" s="216"/>
      <c r="X158" s="216"/>
      <c r="Y158" s="216"/>
      <c r="Z158" s="152"/>
    </row>
    <row r="159" spans="1:26" s="1" customFormat="1" ht="17.399999999999999" customHeight="1">
      <c r="A159" s="143"/>
      <c r="B159" s="152"/>
      <c r="C159" s="152"/>
      <c r="D159" s="167"/>
      <c r="E159" s="152"/>
      <c r="F159" s="168"/>
      <c r="G159" s="283"/>
      <c r="H159" s="216"/>
      <c r="I159" s="216"/>
      <c r="J159" s="216"/>
      <c r="K159" s="216"/>
      <c r="L159" s="216"/>
      <c r="M159" s="216"/>
      <c r="N159" s="216"/>
      <c r="O159" s="216"/>
      <c r="P159" s="216"/>
      <c r="Q159" s="216"/>
      <c r="R159" s="216"/>
      <c r="S159" s="216"/>
      <c r="T159" s="216"/>
      <c r="U159" s="216"/>
      <c r="V159" s="216"/>
      <c r="W159" s="216"/>
      <c r="X159" s="216"/>
      <c r="Y159" s="216"/>
      <c r="Z159" s="152"/>
    </row>
    <row r="160" spans="1:26" s="1" customFormat="1" ht="17.399999999999999" customHeight="1">
      <c r="A160" s="143"/>
      <c r="B160" s="152"/>
      <c r="C160" s="152"/>
      <c r="D160" s="167"/>
      <c r="E160" s="152"/>
      <c r="F160" s="168"/>
      <c r="G160" s="283"/>
      <c r="H160" s="216"/>
      <c r="I160" s="216"/>
      <c r="J160" s="216"/>
      <c r="K160" s="216"/>
      <c r="L160" s="216"/>
      <c r="M160" s="216"/>
      <c r="N160" s="216"/>
      <c r="O160" s="216"/>
      <c r="P160" s="216"/>
      <c r="Q160" s="216"/>
      <c r="R160" s="216"/>
      <c r="S160" s="216"/>
      <c r="T160" s="216"/>
      <c r="U160" s="216"/>
      <c r="V160" s="216"/>
      <c r="W160" s="216"/>
      <c r="X160" s="216"/>
      <c r="Y160" s="216"/>
      <c r="Z160" s="152"/>
    </row>
    <row r="161" spans="1:26" s="1" customFormat="1" ht="17.399999999999999" customHeight="1">
      <c r="A161" s="143"/>
      <c r="B161" s="152"/>
      <c r="C161" s="152"/>
      <c r="D161" s="167"/>
      <c r="E161" s="152"/>
      <c r="F161" s="168"/>
      <c r="G161" s="283"/>
      <c r="H161" s="216"/>
      <c r="I161" s="216"/>
      <c r="J161" s="216"/>
      <c r="K161" s="216"/>
      <c r="L161" s="216"/>
      <c r="M161" s="216"/>
      <c r="N161" s="216"/>
      <c r="O161" s="216"/>
      <c r="P161" s="216"/>
      <c r="Q161" s="216"/>
      <c r="R161" s="216"/>
      <c r="S161" s="216"/>
      <c r="T161" s="216"/>
      <c r="U161" s="216"/>
      <c r="V161" s="216"/>
      <c r="W161" s="216"/>
      <c r="X161" s="216"/>
      <c r="Y161" s="216"/>
      <c r="Z161" s="152"/>
    </row>
    <row r="162" spans="1:26" s="1" customFormat="1" ht="17.399999999999999" customHeight="1">
      <c r="A162" s="143"/>
      <c r="B162" s="152"/>
      <c r="C162" s="152"/>
      <c r="D162" s="167"/>
      <c r="E162" s="152"/>
      <c r="F162" s="168"/>
      <c r="G162" s="283"/>
      <c r="H162" s="216"/>
      <c r="I162" s="216"/>
      <c r="J162" s="216"/>
      <c r="K162" s="216"/>
      <c r="L162" s="216"/>
      <c r="M162" s="216"/>
      <c r="N162" s="216"/>
      <c r="O162" s="216"/>
      <c r="P162" s="216"/>
      <c r="Q162" s="216"/>
      <c r="R162" s="216"/>
      <c r="S162" s="216"/>
      <c r="T162" s="216"/>
      <c r="U162" s="216"/>
      <c r="V162" s="216"/>
      <c r="W162" s="216"/>
      <c r="X162" s="216"/>
      <c r="Y162" s="216"/>
      <c r="Z162" s="152"/>
    </row>
    <row r="163" spans="1:26" s="1" customFormat="1" ht="17.399999999999999" customHeight="1">
      <c r="A163" s="143"/>
      <c r="B163" s="152"/>
      <c r="C163" s="152"/>
      <c r="D163" s="167"/>
      <c r="E163" s="152"/>
      <c r="F163" s="168"/>
      <c r="G163" s="283"/>
      <c r="H163" s="216"/>
      <c r="I163" s="216"/>
      <c r="J163" s="216"/>
      <c r="K163" s="216"/>
      <c r="L163" s="216"/>
      <c r="M163" s="216"/>
      <c r="N163" s="216"/>
      <c r="O163" s="216"/>
      <c r="P163" s="216"/>
      <c r="Q163" s="216"/>
      <c r="R163" s="216"/>
      <c r="S163" s="216"/>
      <c r="T163" s="216"/>
      <c r="U163" s="216"/>
      <c r="V163" s="216"/>
      <c r="W163" s="216"/>
      <c r="X163" s="216"/>
      <c r="Y163" s="216"/>
      <c r="Z163" s="152"/>
    </row>
    <row r="164" spans="1:26" s="1" customFormat="1" ht="17.399999999999999" customHeight="1">
      <c r="A164" s="143"/>
      <c r="B164" s="152"/>
      <c r="C164" s="152"/>
      <c r="D164" s="167"/>
      <c r="E164" s="152"/>
      <c r="F164" s="168"/>
      <c r="G164" s="283"/>
      <c r="H164" s="216"/>
      <c r="I164" s="216"/>
      <c r="J164" s="216"/>
      <c r="K164" s="216"/>
      <c r="L164" s="216"/>
      <c r="M164" s="216"/>
      <c r="N164" s="216"/>
      <c r="O164" s="216"/>
      <c r="P164" s="216"/>
      <c r="Q164" s="216"/>
      <c r="R164" s="216"/>
      <c r="S164" s="216"/>
      <c r="T164" s="216"/>
      <c r="U164" s="216"/>
      <c r="V164" s="216"/>
      <c r="W164" s="216"/>
      <c r="X164" s="216"/>
      <c r="Y164" s="216"/>
      <c r="Z164" s="152"/>
    </row>
    <row r="165" spans="1:26" s="1" customFormat="1" ht="17.399999999999999" customHeight="1">
      <c r="A165" s="143"/>
      <c r="B165" s="152"/>
      <c r="C165" s="152"/>
      <c r="D165" s="167"/>
      <c r="E165" s="152"/>
      <c r="F165" s="168"/>
      <c r="G165" s="283"/>
      <c r="H165" s="216"/>
      <c r="I165" s="216"/>
      <c r="J165" s="216"/>
      <c r="K165" s="216"/>
      <c r="L165" s="216"/>
      <c r="M165" s="216"/>
      <c r="N165" s="216"/>
      <c r="O165" s="216"/>
      <c r="P165" s="216"/>
      <c r="Q165" s="216"/>
      <c r="R165" s="216"/>
      <c r="S165" s="216"/>
      <c r="T165" s="216"/>
      <c r="U165" s="216"/>
      <c r="V165" s="216"/>
      <c r="W165" s="216"/>
      <c r="X165" s="216"/>
      <c r="Y165" s="216"/>
      <c r="Z165" s="152"/>
    </row>
    <row r="166" spans="1:26" s="1" customFormat="1" ht="17.399999999999999" customHeight="1">
      <c r="A166" s="143"/>
      <c r="B166" s="152"/>
      <c r="C166" s="152"/>
      <c r="D166" s="167"/>
      <c r="E166" s="152"/>
      <c r="F166" s="168"/>
      <c r="G166" s="283"/>
      <c r="H166" s="216"/>
      <c r="I166" s="216"/>
      <c r="J166" s="216"/>
      <c r="K166" s="216"/>
      <c r="L166" s="216"/>
      <c r="M166" s="216"/>
      <c r="N166" s="216"/>
      <c r="O166" s="216"/>
      <c r="P166" s="216"/>
      <c r="Q166" s="216"/>
      <c r="R166" s="216"/>
      <c r="S166" s="216"/>
      <c r="T166" s="216"/>
      <c r="U166" s="216"/>
      <c r="V166" s="216"/>
      <c r="W166" s="216"/>
      <c r="X166" s="216"/>
      <c r="Y166" s="216"/>
      <c r="Z166" s="152"/>
    </row>
    <row r="167" spans="1:26" s="1" customFormat="1" ht="17.399999999999999" customHeight="1">
      <c r="A167" s="143"/>
      <c r="B167" s="152"/>
      <c r="C167" s="152"/>
      <c r="D167" s="167"/>
      <c r="E167" s="152"/>
      <c r="F167" s="168"/>
      <c r="G167" s="283"/>
      <c r="H167" s="216"/>
      <c r="I167" s="216"/>
      <c r="J167" s="216"/>
      <c r="K167" s="216"/>
      <c r="L167" s="216"/>
      <c r="M167" s="216"/>
      <c r="N167" s="216"/>
      <c r="O167" s="216"/>
      <c r="P167" s="216"/>
      <c r="Q167" s="216"/>
      <c r="R167" s="216"/>
      <c r="S167" s="216"/>
      <c r="T167" s="216"/>
      <c r="U167" s="216"/>
      <c r="V167" s="216"/>
      <c r="W167" s="216"/>
      <c r="X167" s="216"/>
      <c r="Y167" s="216"/>
      <c r="Z167" s="152"/>
    </row>
    <row r="168" spans="1:26" s="1" customFormat="1" ht="17.399999999999999" customHeight="1">
      <c r="A168" s="143"/>
      <c r="B168" s="152"/>
      <c r="C168" s="152"/>
      <c r="D168" s="167"/>
      <c r="E168" s="152"/>
      <c r="F168" s="168"/>
      <c r="G168" s="283"/>
      <c r="H168" s="216"/>
      <c r="I168" s="216"/>
      <c r="J168" s="216"/>
      <c r="K168" s="216"/>
      <c r="L168" s="216"/>
      <c r="M168" s="216"/>
      <c r="N168" s="216"/>
      <c r="O168" s="216"/>
      <c r="P168" s="216"/>
      <c r="Q168" s="216"/>
      <c r="R168" s="216"/>
      <c r="S168" s="216"/>
      <c r="T168" s="216"/>
      <c r="U168" s="216"/>
      <c r="V168" s="216"/>
      <c r="W168" s="216"/>
      <c r="X168" s="216"/>
      <c r="Y168" s="216"/>
      <c r="Z168" s="152"/>
    </row>
    <row r="169" spans="1:26" s="1" customFormat="1" ht="17.399999999999999" customHeight="1">
      <c r="A169" s="143"/>
      <c r="B169" s="152"/>
      <c r="C169" s="152"/>
      <c r="D169" s="167"/>
      <c r="E169" s="152"/>
      <c r="F169" s="168"/>
      <c r="G169" s="283"/>
      <c r="H169" s="216"/>
      <c r="I169" s="216"/>
      <c r="J169" s="216"/>
      <c r="K169" s="216"/>
      <c r="L169" s="216"/>
      <c r="M169" s="216"/>
      <c r="N169" s="216"/>
      <c r="O169" s="216"/>
      <c r="P169" s="216"/>
      <c r="Q169" s="216"/>
      <c r="R169" s="216"/>
      <c r="S169" s="216"/>
      <c r="T169" s="216"/>
      <c r="U169" s="216"/>
      <c r="V169" s="216"/>
      <c r="W169" s="216"/>
      <c r="X169" s="216"/>
      <c r="Y169" s="216"/>
      <c r="Z169" s="152"/>
    </row>
    <row r="170" spans="1:26" s="1" customFormat="1" ht="17.399999999999999" customHeight="1">
      <c r="A170" s="143"/>
      <c r="B170" s="152"/>
      <c r="C170" s="152"/>
      <c r="D170" s="167"/>
      <c r="E170" s="152"/>
      <c r="F170" s="168"/>
      <c r="G170" s="283"/>
      <c r="H170" s="216"/>
      <c r="I170" s="216"/>
      <c r="J170" s="216"/>
      <c r="K170" s="216"/>
      <c r="L170" s="216"/>
      <c r="M170" s="216"/>
      <c r="N170" s="216"/>
      <c r="O170" s="216"/>
      <c r="P170" s="216"/>
      <c r="Q170" s="216"/>
      <c r="R170" s="216"/>
      <c r="S170" s="216"/>
      <c r="T170" s="216"/>
      <c r="U170" s="216"/>
      <c r="V170" s="216"/>
      <c r="W170" s="216"/>
      <c r="X170" s="216"/>
      <c r="Y170" s="216"/>
      <c r="Z170" s="152"/>
    </row>
    <row r="171" spans="1:26" s="1" customFormat="1" ht="17.399999999999999" customHeight="1">
      <c r="A171" s="143"/>
      <c r="B171" s="152"/>
      <c r="C171" s="152"/>
      <c r="D171" s="167"/>
      <c r="E171" s="152"/>
      <c r="F171" s="168"/>
      <c r="G171" s="283"/>
      <c r="H171" s="216"/>
      <c r="I171" s="216"/>
      <c r="J171" s="216"/>
      <c r="K171" s="216"/>
      <c r="L171" s="216"/>
      <c r="M171" s="216"/>
      <c r="N171" s="216"/>
      <c r="O171" s="216"/>
      <c r="P171" s="216"/>
      <c r="Q171" s="216"/>
      <c r="R171" s="216"/>
      <c r="S171" s="216"/>
      <c r="T171" s="216"/>
      <c r="U171" s="216"/>
      <c r="V171" s="216"/>
      <c r="W171" s="216"/>
      <c r="X171" s="216"/>
      <c r="Y171" s="216"/>
      <c r="Z171" s="152"/>
    </row>
    <row r="172" spans="1:26" s="1" customFormat="1" ht="17.399999999999999" customHeight="1">
      <c r="A172" s="143"/>
      <c r="B172" s="152"/>
      <c r="C172" s="152"/>
      <c r="D172" s="167"/>
      <c r="E172" s="152"/>
      <c r="F172" s="168"/>
      <c r="G172" s="283"/>
      <c r="H172" s="216"/>
      <c r="I172" s="216"/>
      <c r="J172" s="216"/>
      <c r="K172" s="216"/>
      <c r="L172" s="216"/>
      <c r="M172" s="216"/>
      <c r="N172" s="216"/>
      <c r="O172" s="216"/>
      <c r="P172" s="216"/>
      <c r="Q172" s="216"/>
      <c r="R172" s="216"/>
      <c r="S172" s="216"/>
      <c r="T172" s="216"/>
      <c r="U172" s="216"/>
      <c r="V172" s="216"/>
      <c r="W172" s="216"/>
      <c r="X172" s="216"/>
      <c r="Y172" s="216"/>
      <c r="Z172" s="152"/>
    </row>
    <row r="173" spans="1:26" s="1" customFormat="1" ht="17.399999999999999" customHeight="1">
      <c r="A173" s="143"/>
      <c r="B173" s="152"/>
      <c r="C173" s="152"/>
      <c r="D173" s="167"/>
      <c r="E173" s="152"/>
      <c r="F173" s="168"/>
      <c r="G173" s="283"/>
      <c r="H173" s="216"/>
      <c r="I173" s="216"/>
      <c r="J173" s="216"/>
      <c r="K173" s="216"/>
      <c r="L173" s="216"/>
      <c r="M173" s="216"/>
      <c r="N173" s="216"/>
      <c r="O173" s="216"/>
      <c r="P173" s="216"/>
      <c r="Q173" s="216"/>
      <c r="R173" s="216"/>
      <c r="S173" s="216"/>
      <c r="T173" s="216"/>
      <c r="U173" s="216"/>
      <c r="V173" s="216"/>
      <c r="W173" s="216"/>
      <c r="X173" s="216"/>
      <c r="Y173" s="216"/>
      <c r="Z173" s="152"/>
    </row>
    <row r="174" spans="1:26" s="1" customFormat="1" ht="17.399999999999999" customHeight="1">
      <c r="A174" s="143"/>
      <c r="B174" s="152"/>
      <c r="C174" s="152"/>
      <c r="D174" s="167"/>
      <c r="E174" s="152"/>
      <c r="F174" s="168"/>
      <c r="G174" s="283"/>
      <c r="H174" s="216"/>
      <c r="I174" s="216"/>
      <c r="J174" s="216"/>
      <c r="K174" s="216"/>
      <c r="L174" s="216"/>
      <c r="M174" s="216"/>
      <c r="N174" s="216"/>
      <c r="O174" s="216"/>
      <c r="P174" s="216"/>
      <c r="Q174" s="216"/>
      <c r="R174" s="216"/>
      <c r="S174" s="216"/>
      <c r="T174" s="216"/>
      <c r="U174" s="216"/>
      <c r="V174" s="216"/>
      <c r="W174" s="216"/>
      <c r="X174" s="216"/>
      <c r="Y174" s="216"/>
      <c r="Z174" s="152"/>
    </row>
    <row r="175" spans="1:26" s="1" customFormat="1" ht="17.399999999999999" customHeight="1">
      <c r="A175" s="143"/>
      <c r="B175" s="152"/>
      <c r="C175" s="152"/>
      <c r="D175" s="167"/>
      <c r="E175" s="152"/>
      <c r="F175" s="168"/>
      <c r="G175" s="283"/>
      <c r="H175" s="216"/>
      <c r="I175" s="216"/>
      <c r="J175" s="216"/>
      <c r="K175" s="216"/>
      <c r="L175" s="216"/>
      <c r="M175" s="216"/>
      <c r="N175" s="216"/>
      <c r="O175" s="216"/>
      <c r="P175" s="216"/>
      <c r="Q175" s="216"/>
      <c r="R175" s="216"/>
      <c r="S175" s="216"/>
      <c r="T175" s="216"/>
      <c r="U175" s="216"/>
      <c r="V175" s="216"/>
      <c r="W175" s="216"/>
      <c r="X175" s="216"/>
      <c r="Y175" s="216"/>
      <c r="Z175" s="152"/>
    </row>
    <row r="176" spans="1:26" s="1" customFormat="1" ht="17.399999999999999" customHeight="1">
      <c r="A176" s="143"/>
      <c r="B176" s="152"/>
      <c r="C176" s="152"/>
      <c r="D176" s="167"/>
      <c r="E176" s="152"/>
      <c r="F176" s="168"/>
      <c r="G176" s="283"/>
      <c r="H176" s="216"/>
      <c r="I176" s="216"/>
      <c r="J176" s="216"/>
      <c r="K176" s="216"/>
      <c r="L176" s="216"/>
      <c r="M176" s="216"/>
      <c r="N176" s="216"/>
      <c r="O176" s="216"/>
      <c r="P176" s="216"/>
      <c r="Q176" s="216"/>
      <c r="R176" s="216"/>
      <c r="S176" s="216"/>
      <c r="T176" s="216"/>
      <c r="U176" s="216"/>
      <c r="V176" s="216"/>
      <c r="W176" s="216"/>
      <c r="X176" s="216"/>
      <c r="Y176" s="216"/>
      <c r="Z176" s="152"/>
    </row>
    <row r="177" spans="1:26" s="1" customFormat="1" ht="17.399999999999999" customHeight="1">
      <c r="A177" s="143"/>
      <c r="B177" s="152"/>
      <c r="C177" s="152"/>
      <c r="D177" s="167"/>
      <c r="E177" s="152"/>
      <c r="F177" s="168"/>
      <c r="G177" s="283"/>
      <c r="H177" s="216"/>
      <c r="I177" s="216"/>
      <c r="J177" s="216"/>
      <c r="K177" s="216"/>
      <c r="L177" s="216"/>
      <c r="M177" s="216"/>
      <c r="N177" s="216"/>
      <c r="O177" s="216"/>
      <c r="P177" s="216"/>
      <c r="Q177" s="216"/>
      <c r="R177" s="216"/>
      <c r="S177" s="216"/>
      <c r="T177" s="216"/>
      <c r="U177" s="216"/>
      <c r="V177" s="216"/>
      <c r="W177" s="216"/>
      <c r="X177" s="216"/>
      <c r="Y177" s="216"/>
      <c r="Z177" s="152"/>
    </row>
    <row r="178" spans="1:26" s="1" customFormat="1" ht="17.399999999999999" customHeight="1">
      <c r="A178" s="143"/>
      <c r="B178" s="152"/>
      <c r="C178" s="152"/>
      <c r="D178" s="167"/>
      <c r="E178" s="152"/>
      <c r="F178" s="168"/>
      <c r="G178" s="283"/>
      <c r="H178" s="216"/>
      <c r="I178" s="216"/>
      <c r="J178" s="216"/>
      <c r="K178" s="216"/>
      <c r="L178" s="216"/>
      <c r="M178" s="216"/>
      <c r="N178" s="216"/>
      <c r="O178" s="216"/>
      <c r="P178" s="216"/>
      <c r="Q178" s="216"/>
      <c r="R178" s="216"/>
      <c r="S178" s="216"/>
      <c r="T178" s="216"/>
      <c r="U178" s="216"/>
      <c r="V178" s="216"/>
      <c r="W178" s="216"/>
      <c r="X178" s="216"/>
      <c r="Y178" s="216"/>
      <c r="Z178" s="152"/>
    </row>
    <row r="179" spans="1:26" s="1" customFormat="1" ht="17.399999999999999" customHeight="1">
      <c r="A179" s="143"/>
      <c r="B179" s="152"/>
      <c r="C179" s="152"/>
      <c r="D179" s="167"/>
      <c r="E179" s="152"/>
      <c r="F179" s="168"/>
      <c r="G179" s="283"/>
      <c r="H179" s="216"/>
      <c r="I179" s="216"/>
      <c r="J179" s="216"/>
      <c r="K179" s="216"/>
      <c r="L179" s="216"/>
      <c r="M179" s="216"/>
      <c r="N179" s="216"/>
      <c r="O179" s="216"/>
      <c r="P179" s="216"/>
      <c r="Q179" s="216"/>
      <c r="R179" s="216"/>
      <c r="S179" s="216"/>
      <c r="T179" s="216"/>
      <c r="U179" s="216"/>
      <c r="V179" s="216"/>
      <c r="W179" s="216"/>
      <c r="X179" s="216"/>
      <c r="Y179" s="216"/>
      <c r="Z179" s="152"/>
    </row>
    <row r="180" spans="1:26" s="1" customFormat="1" ht="17.399999999999999" customHeight="1">
      <c r="A180" s="143"/>
      <c r="B180" s="152"/>
      <c r="C180" s="152"/>
      <c r="D180" s="167"/>
      <c r="E180" s="152"/>
      <c r="F180" s="168"/>
      <c r="G180" s="283"/>
      <c r="H180" s="216"/>
      <c r="I180" s="216"/>
      <c r="J180" s="216"/>
      <c r="K180" s="216"/>
      <c r="L180" s="216"/>
      <c r="M180" s="216"/>
      <c r="N180" s="216"/>
      <c r="O180" s="216"/>
      <c r="P180" s="216"/>
      <c r="Q180" s="216"/>
      <c r="R180" s="216"/>
      <c r="S180" s="216"/>
      <c r="T180" s="216"/>
      <c r="U180" s="216"/>
      <c r="V180" s="216"/>
      <c r="W180" s="216"/>
      <c r="X180" s="216"/>
      <c r="Y180" s="216"/>
      <c r="Z180" s="152"/>
    </row>
    <row r="181" spans="1:26" s="1" customFormat="1" ht="17.399999999999999" customHeight="1">
      <c r="A181" s="143"/>
      <c r="B181" s="152"/>
      <c r="C181" s="152"/>
      <c r="D181" s="167"/>
      <c r="E181" s="152"/>
      <c r="F181" s="168"/>
      <c r="G181" s="283"/>
      <c r="H181" s="216"/>
      <c r="I181" s="216"/>
      <c r="J181" s="216"/>
      <c r="K181" s="216"/>
      <c r="L181" s="216"/>
      <c r="M181" s="216"/>
      <c r="N181" s="216"/>
      <c r="O181" s="216"/>
      <c r="P181" s="216"/>
      <c r="Q181" s="216"/>
      <c r="R181" s="216"/>
      <c r="S181" s="216"/>
      <c r="T181" s="216"/>
      <c r="U181" s="216"/>
      <c r="V181" s="216"/>
      <c r="W181" s="216"/>
      <c r="X181" s="216"/>
      <c r="Y181" s="216"/>
      <c r="Z181" s="152"/>
    </row>
    <row r="182" spans="1:26" s="1" customFormat="1" ht="17.399999999999999" customHeight="1">
      <c r="A182" s="143"/>
      <c r="B182" s="152"/>
      <c r="C182" s="152"/>
      <c r="D182" s="167"/>
      <c r="E182" s="152"/>
      <c r="F182" s="168"/>
      <c r="G182" s="283"/>
      <c r="H182" s="216"/>
      <c r="I182" s="216"/>
      <c r="J182" s="216"/>
      <c r="K182" s="216"/>
      <c r="L182" s="216"/>
      <c r="M182" s="216"/>
      <c r="N182" s="216"/>
      <c r="O182" s="216"/>
      <c r="P182" s="216"/>
      <c r="Q182" s="216"/>
      <c r="R182" s="216"/>
      <c r="S182" s="216"/>
      <c r="T182" s="216"/>
      <c r="U182" s="216"/>
      <c r="V182" s="216"/>
      <c r="W182" s="216"/>
      <c r="X182" s="216"/>
      <c r="Y182" s="216"/>
      <c r="Z182" s="152"/>
    </row>
    <row r="183" spans="1:26" s="1" customFormat="1" ht="17.399999999999999" customHeight="1">
      <c r="A183" s="143"/>
      <c r="B183" s="152"/>
      <c r="C183" s="152"/>
      <c r="D183" s="167"/>
      <c r="E183" s="152"/>
      <c r="F183" s="168"/>
      <c r="G183" s="283"/>
      <c r="H183" s="216"/>
      <c r="I183" s="216"/>
      <c r="J183" s="216"/>
      <c r="K183" s="216"/>
      <c r="L183" s="216"/>
      <c r="M183" s="216"/>
      <c r="N183" s="216"/>
      <c r="O183" s="216"/>
      <c r="P183" s="216"/>
      <c r="Q183" s="216"/>
      <c r="R183" s="216"/>
      <c r="S183" s="216"/>
      <c r="T183" s="216"/>
      <c r="U183" s="216"/>
      <c r="V183" s="216"/>
      <c r="W183" s="216"/>
      <c r="X183" s="216"/>
      <c r="Y183" s="216"/>
      <c r="Z183" s="152"/>
    </row>
    <row r="184" spans="1:26" s="1" customFormat="1" ht="17.399999999999999" customHeight="1">
      <c r="A184" s="143"/>
      <c r="B184" s="152"/>
      <c r="C184" s="152"/>
      <c r="D184" s="167"/>
      <c r="E184" s="152"/>
      <c r="F184" s="168"/>
      <c r="G184" s="283"/>
      <c r="H184" s="216"/>
      <c r="I184" s="216"/>
      <c r="J184" s="216"/>
      <c r="K184" s="216"/>
      <c r="L184" s="216"/>
      <c r="M184" s="216"/>
      <c r="N184" s="216"/>
      <c r="O184" s="216"/>
      <c r="P184" s="216"/>
      <c r="Q184" s="216"/>
      <c r="R184" s="216"/>
      <c r="S184" s="216"/>
      <c r="T184" s="216"/>
      <c r="U184" s="216"/>
      <c r="V184" s="216"/>
      <c r="W184" s="216"/>
      <c r="X184" s="216"/>
      <c r="Y184" s="216"/>
      <c r="Z184" s="152"/>
    </row>
    <row r="185" spans="1:26" s="1" customFormat="1" ht="17.399999999999999" customHeight="1">
      <c r="A185" s="143"/>
      <c r="B185" s="152"/>
      <c r="C185" s="152"/>
      <c r="D185" s="167"/>
      <c r="E185" s="152"/>
      <c r="F185" s="168"/>
      <c r="G185" s="283"/>
      <c r="H185" s="216"/>
      <c r="I185" s="216"/>
      <c r="J185" s="216"/>
      <c r="K185" s="216"/>
      <c r="L185" s="216"/>
      <c r="M185" s="216"/>
      <c r="N185" s="216"/>
      <c r="O185" s="216"/>
      <c r="P185" s="216"/>
      <c r="Q185" s="216"/>
      <c r="R185" s="216"/>
      <c r="S185" s="216"/>
      <c r="T185" s="216"/>
      <c r="U185" s="216"/>
      <c r="V185" s="216"/>
      <c r="W185" s="216"/>
      <c r="X185" s="216"/>
      <c r="Y185" s="216"/>
      <c r="Z185" s="152"/>
    </row>
    <row r="186" spans="1:26" s="1" customFormat="1" ht="17.399999999999999" customHeight="1">
      <c r="A186" s="143"/>
      <c r="B186" s="152"/>
      <c r="C186" s="152"/>
      <c r="D186" s="167"/>
      <c r="E186" s="152"/>
      <c r="F186" s="168"/>
      <c r="G186" s="283"/>
      <c r="H186" s="216"/>
      <c r="I186" s="216"/>
      <c r="J186" s="216"/>
      <c r="K186" s="216"/>
      <c r="L186" s="216"/>
      <c r="M186" s="216"/>
      <c r="N186" s="216"/>
      <c r="O186" s="216"/>
      <c r="P186" s="216"/>
      <c r="Q186" s="216"/>
      <c r="R186" s="216"/>
      <c r="S186" s="216"/>
      <c r="T186" s="216"/>
      <c r="U186" s="216"/>
      <c r="V186" s="216"/>
      <c r="W186" s="216"/>
      <c r="X186" s="216"/>
      <c r="Y186" s="216"/>
      <c r="Z186" s="152"/>
    </row>
    <row r="187" spans="1:26" s="1" customFormat="1" ht="17.399999999999999" customHeight="1">
      <c r="A187" s="143"/>
      <c r="B187" s="152"/>
      <c r="C187" s="152"/>
      <c r="D187" s="167"/>
      <c r="E187" s="152"/>
      <c r="F187" s="168"/>
      <c r="G187" s="283"/>
      <c r="H187" s="216"/>
      <c r="I187" s="216"/>
      <c r="J187" s="216"/>
      <c r="K187" s="216"/>
      <c r="L187" s="216"/>
      <c r="M187" s="216"/>
      <c r="N187" s="216"/>
      <c r="O187" s="216"/>
      <c r="P187" s="216"/>
      <c r="Q187" s="216"/>
      <c r="R187" s="216"/>
      <c r="S187" s="216"/>
      <c r="T187" s="216"/>
      <c r="U187" s="216"/>
      <c r="V187" s="216"/>
      <c r="W187" s="216"/>
      <c r="X187" s="216"/>
      <c r="Y187" s="216"/>
      <c r="Z187" s="152"/>
    </row>
    <row r="188" spans="1:26" s="1" customFormat="1" ht="17.399999999999999" customHeight="1">
      <c r="A188" s="143"/>
      <c r="B188" s="152"/>
      <c r="C188" s="152"/>
      <c r="D188" s="167"/>
      <c r="E188" s="152"/>
      <c r="F188" s="168"/>
      <c r="G188" s="283"/>
      <c r="H188" s="216"/>
      <c r="I188" s="216"/>
      <c r="J188" s="216"/>
      <c r="K188" s="216"/>
      <c r="L188" s="216"/>
      <c r="M188" s="216"/>
      <c r="N188" s="216"/>
      <c r="O188" s="216"/>
      <c r="P188" s="216"/>
      <c r="Q188" s="216"/>
      <c r="R188" s="216"/>
      <c r="S188" s="216"/>
      <c r="T188" s="216"/>
      <c r="U188" s="216"/>
      <c r="V188" s="216"/>
      <c r="W188" s="216"/>
      <c r="X188" s="216"/>
      <c r="Y188" s="216"/>
      <c r="Z188" s="152"/>
    </row>
    <row r="189" spans="1:26" s="1" customFormat="1" ht="17.399999999999999" customHeight="1">
      <c r="A189" s="143"/>
      <c r="B189" s="152"/>
      <c r="C189" s="152"/>
      <c r="D189" s="167"/>
      <c r="E189" s="152"/>
      <c r="F189" s="168"/>
      <c r="G189" s="283"/>
      <c r="H189" s="216"/>
      <c r="I189" s="216"/>
      <c r="J189" s="216"/>
      <c r="K189" s="216"/>
      <c r="L189" s="216"/>
      <c r="M189" s="216"/>
      <c r="N189" s="216"/>
      <c r="O189" s="216"/>
      <c r="P189" s="216"/>
      <c r="Q189" s="216"/>
      <c r="R189" s="216"/>
      <c r="S189" s="216"/>
      <c r="T189" s="216"/>
      <c r="U189" s="216"/>
      <c r="V189" s="216"/>
      <c r="W189" s="216"/>
      <c r="X189" s="216"/>
      <c r="Y189" s="216"/>
      <c r="Z189" s="152"/>
    </row>
    <row r="190" spans="1:26" s="1" customFormat="1" ht="17.399999999999999" customHeight="1">
      <c r="A190" s="143"/>
      <c r="B190" s="152"/>
      <c r="C190" s="152"/>
      <c r="D190" s="167"/>
      <c r="E190" s="152"/>
      <c r="F190" s="168"/>
      <c r="G190" s="283"/>
      <c r="H190" s="216"/>
      <c r="I190" s="216"/>
      <c r="J190" s="216"/>
      <c r="K190" s="216"/>
      <c r="L190" s="216"/>
      <c r="M190" s="216"/>
      <c r="N190" s="216"/>
      <c r="O190" s="216"/>
      <c r="P190" s="216"/>
      <c r="Q190" s="216"/>
      <c r="R190" s="216"/>
      <c r="S190" s="216"/>
      <c r="T190" s="216"/>
      <c r="U190" s="216"/>
      <c r="V190" s="216"/>
      <c r="W190" s="216"/>
      <c r="X190" s="216"/>
      <c r="Y190" s="216"/>
      <c r="Z190" s="152"/>
    </row>
    <row r="191" spans="1:26" s="1" customFormat="1" ht="17.399999999999999" customHeight="1">
      <c r="A191" s="143"/>
      <c r="B191" s="152"/>
      <c r="C191" s="152"/>
      <c r="D191" s="167"/>
      <c r="E191" s="152"/>
      <c r="F191" s="168"/>
      <c r="G191" s="283"/>
      <c r="H191" s="216"/>
      <c r="I191" s="216"/>
      <c r="J191" s="216"/>
      <c r="K191" s="216"/>
      <c r="L191" s="216"/>
      <c r="M191" s="216"/>
      <c r="N191" s="216"/>
      <c r="O191" s="216"/>
      <c r="P191" s="216"/>
      <c r="Q191" s="216"/>
      <c r="R191" s="216"/>
      <c r="S191" s="216"/>
      <c r="T191" s="216"/>
      <c r="U191" s="216"/>
      <c r="V191" s="216"/>
      <c r="W191" s="216"/>
      <c r="X191" s="216"/>
      <c r="Y191" s="216"/>
      <c r="Z191" s="152"/>
    </row>
    <row r="192" spans="1:26" s="1" customFormat="1" ht="17.399999999999999" customHeight="1">
      <c r="A192" s="143"/>
      <c r="B192" s="152"/>
      <c r="C192" s="152"/>
      <c r="D192" s="167"/>
      <c r="E192" s="152"/>
      <c r="F192" s="168"/>
      <c r="G192" s="283"/>
      <c r="H192" s="216"/>
      <c r="I192" s="216"/>
      <c r="J192" s="216"/>
      <c r="K192" s="216"/>
      <c r="L192" s="216"/>
      <c r="M192" s="216"/>
      <c r="N192" s="216"/>
      <c r="O192" s="216"/>
      <c r="P192" s="216"/>
      <c r="Q192" s="216"/>
      <c r="R192" s="216"/>
      <c r="S192" s="216"/>
      <c r="T192" s="216"/>
      <c r="U192" s="216"/>
      <c r="V192" s="216"/>
      <c r="W192" s="216"/>
      <c r="X192" s="216"/>
      <c r="Y192" s="216"/>
      <c r="Z192" s="152"/>
    </row>
    <row r="193" spans="1:26" s="1" customFormat="1" ht="17.399999999999999" customHeight="1">
      <c r="A193" s="143"/>
      <c r="B193" s="152"/>
      <c r="C193" s="152"/>
      <c r="D193" s="167"/>
      <c r="E193" s="152"/>
      <c r="F193" s="168"/>
      <c r="G193" s="283"/>
      <c r="H193" s="216"/>
      <c r="I193" s="216"/>
      <c r="J193" s="216"/>
      <c r="K193" s="216"/>
      <c r="L193" s="216"/>
      <c r="M193" s="216"/>
      <c r="N193" s="216"/>
      <c r="O193" s="216"/>
      <c r="P193" s="216"/>
      <c r="Q193" s="216"/>
      <c r="R193" s="216"/>
      <c r="S193" s="216"/>
      <c r="T193" s="216"/>
      <c r="U193" s="216"/>
      <c r="V193" s="216"/>
      <c r="W193" s="216"/>
      <c r="X193" s="216"/>
      <c r="Y193" s="216"/>
      <c r="Z193" s="152"/>
    </row>
    <row r="194" spans="1:26" s="1" customFormat="1" ht="17.399999999999999" customHeight="1">
      <c r="A194" s="143"/>
      <c r="B194" s="152"/>
      <c r="C194" s="152"/>
      <c r="D194" s="167"/>
      <c r="E194" s="152"/>
      <c r="F194" s="168"/>
      <c r="G194" s="283"/>
      <c r="H194" s="216"/>
      <c r="I194" s="216"/>
      <c r="J194" s="216"/>
      <c r="K194" s="216"/>
      <c r="L194" s="216"/>
      <c r="M194" s="216"/>
      <c r="N194" s="216"/>
      <c r="O194" s="216"/>
      <c r="P194" s="216"/>
      <c r="Q194" s="216"/>
      <c r="R194" s="216"/>
      <c r="S194" s="216"/>
      <c r="T194" s="216"/>
      <c r="U194" s="216"/>
      <c r="V194" s="216"/>
      <c r="W194" s="216"/>
      <c r="X194" s="216"/>
      <c r="Y194" s="216"/>
      <c r="Z194" s="152"/>
    </row>
    <row r="195" spans="1:26" s="1" customFormat="1" ht="17.399999999999999" customHeight="1">
      <c r="A195" s="143"/>
      <c r="B195" s="152"/>
      <c r="C195" s="152"/>
      <c r="D195" s="167"/>
      <c r="E195" s="152"/>
      <c r="F195" s="168"/>
      <c r="G195" s="283"/>
      <c r="H195" s="216"/>
      <c r="I195" s="216"/>
      <c r="J195" s="216"/>
      <c r="K195" s="216"/>
      <c r="L195" s="216"/>
      <c r="M195" s="216"/>
      <c r="N195" s="216"/>
      <c r="O195" s="216"/>
      <c r="P195" s="216"/>
      <c r="Q195" s="216"/>
      <c r="R195" s="216"/>
      <c r="S195" s="216"/>
      <c r="T195" s="216"/>
      <c r="U195" s="216"/>
      <c r="V195" s="216"/>
      <c r="W195" s="216"/>
      <c r="X195" s="216"/>
      <c r="Y195" s="216"/>
      <c r="Z195" s="152"/>
    </row>
    <row r="196" spans="1:26" s="1" customFormat="1" ht="17.399999999999999" customHeight="1">
      <c r="A196" s="143"/>
      <c r="B196" s="152"/>
      <c r="C196" s="152"/>
      <c r="D196" s="167"/>
      <c r="E196" s="152"/>
      <c r="F196" s="168"/>
      <c r="G196" s="283"/>
      <c r="H196" s="216"/>
      <c r="I196" s="216"/>
      <c r="J196" s="216"/>
      <c r="K196" s="216"/>
      <c r="L196" s="216"/>
      <c r="M196" s="216"/>
      <c r="N196" s="216"/>
      <c r="O196" s="216"/>
      <c r="P196" s="216"/>
      <c r="Q196" s="216"/>
      <c r="R196" s="216"/>
      <c r="S196" s="216"/>
      <c r="T196" s="216"/>
      <c r="U196" s="216"/>
      <c r="V196" s="216"/>
      <c r="W196" s="216"/>
      <c r="X196" s="216"/>
      <c r="Y196" s="216"/>
      <c r="Z196" s="152"/>
    </row>
    <row r="197" spans="1:26" s="1" customFormat="1" ht="17.399999999999999" customHeight="1">
      <c r="A197" s="143"/>
      <c r="B197" s="152"/>
      <c r="C197" s="152"/>
      <c r="D197" s="167"/>
      <c r="E197" s="152"/>
      <c r="F197" s="168"/>
      <c r="G197" s="283"/>
      <c r="H197" s="216"/>
      <c r="I197" s="216"/>
      <c r="J197" s="216"/>
      <c r="K197" s="216"/>
      <c r="L197" s="216"/>
      <c r="M197" s="216"/>
      <c r="N197" s="216"/>
      <c r="O197" s="216"/>
      <c r="P197" s="216"/>
      <c r="Q197" s="216"/>
      <c r="R197" s="216"/>
      <c r="S197" s="216"/>
      <c r="T197" s="216"/>
      <c r="U197" s="216"/>
      <c r="V197" s="216"/>
      <c r="W197" s="216"/>
      <c r="X197" s="216"/>
      <c r="Y197" s="216"/>
      <c r="Z197" s="152"/>
    </row>
    <row r="198" spans="1:26" s="1" customFormat="1" ht="17.399999999999999" customHeight="1">
      <c r="A198" s="143"/>
      <c r="B198" s="152"/>
      <c r="C198" s="152"/>
      <c r="D198" s="167"/>
      <c r="E198" s="152"/>
      <c r="F198" s="168"/>
      <c r="G198" s="283"/>
      <c r="H198" s="216"/>
      <c r="I198" s="216"/>
      <c r="J198" s="216"/>
      <c r="K198" s="216"/>
      <c r="L198" s="216"/>
      <c r="M198" s="216"/>
      <c r="N198" s="216"/>
      <c r="O198" s="216"/>
      <c r="P198" s="216"/>
      <c r="Q198" s="216"/>
      <c r="R198" s="216"/>
      <c r="S198" s="216"/>
      <c r="T198" s="216"/>
      <c r="U198" s="216"/>
      <c r="V198" s="216"/>
      <c r="W198" s="216"/>
      <c r="X198" s="216"/>
      <c r="Y198" s="216"/>
      <c r="Z198" s="152"/>
    </row>
    <row r="199" spans="1:26" s="1" customFormat="1" ht="17.399999999999999" customHeight="1">
      <c r="A199" s="143"/>
      <c r="B199" s="152"/>
      <c r="C199" s="152"/>
      <c r="D199" s="167"/>
      <c r="E199" s="152"/>
      <c r="F199" s="168"/>
      <c r="G199" s="283"/>
      <c r="H199" s="216"/>
      <c r="I199" s="216"/>
      <c r="J199" s="216"/>
      <c r="K199" s="216"/>
      <c r="L199" s="216"/>
      <c r="M199" s="216"/>
      <c r="N199" s="216"/>
      <c r="O199" s="216"/>
      <c r="P199" s="216"/>
      <c r="Q199" s="216"/>
      <c r="R199" s="216"/>
      <c r="S199" s="216"/>
      <c r="T199" s="216"/>
      <c r="U199" s="216"/>
      <c r="V199" s="216"/>
      <c r="W199" s="216"/>
      <c r="X199" s="216"/>
      <c r="Y199" s="216"/>
      <c r="Z199" s="152"/>
    </row>
    <row r="200" spans="1:26" s="1" customFormat="1" ht="17.399999999999999" customHeight="1">
      <c r="A200" s="143"/>
      <c r="B200" s="152"/>
      <c r="C200" s="152"/>
      <c r="D200" s="167"/>
      <c r="E200" s="152"/>
      <c r="F200" s="168"/>
      <c r="G200" s="283"/>
      <c r="H200" s="216"/>
      <c r="I200" s="216"/>
      <c r="J200" s="216"/>
      <c r="K200" s="216"/>
      <c r="L200" s="216"/>
      <c r="M200" s="216"/>
      <c r="N200" s="216"/>
      <c r="O200" s="216"/>
      <c r="P200" s="216"/>
      <c r="Q200" s="216"/>
      <c r="R200" s="216"/>
      <c r="S200" s="216"/>
      <c r="T200" s="216"/>
      <c r="U200" s="216"/>
      <c r="V200" s="216"/>
      <c r="W200" s="216"/>
      <c r="X200" s="216"/>
      <c r="Y200" s="216"/>
      <c r="Z200" s="152"/>
    </row>
    <row r="201" spans="1:26" s="1" customFormat="1" ht="17.399999999999999" customHeight="1">
      <c r="A201" s="143"/>
      <c r="B201" s="152"/>
      <c r="C201" s="152"/>
      <c r="D201" s="167"/>
      <c r="E201" s="152"/>
      <c r="F201" s="168"/>
      <c r="G201" s="283"/>
      <c r="H201" s="216"/>
      <c r="I201" s="216"/>
      <c r="J201" s="216"/>
      <c r="K201" s="216"/>
      <c r="L201" s="216"/>
      <c r="M201" s="216"/>
      <c r="N201" s="216"/>
      <c r="O201" s="216"/>
      <c r="P201" s="216"/>
      <c r="Q201" s="216"/>
      <c r="R201" s="216"/>
      <c r="S201" s="216"/>
      <c r="T201" s="216"/>
      <c r="U201" s="216"/>
      <c r="V201" s="216"/>
      <c r="W201" s="216"/>
      <c r="X201" s="216"/>
      <c r="Y201" s="216"/>
      <c r="Z201" s="152"/>
    </row>
    <row r="202" spans="1:26" s="1" customFormat="1" ht="17.399999999999999" customHeight="1">
      <c r="A202" s="143"/>
      <c r="B202" s="152"/>
      <c r="C202" s="152"/>
      <c r="D202" s="167"/>
      <c r="E202" s="152"/>
      <c r="F202" s="168"/>
      <c r="G202" s="283"/>
      <c r="H202" s="216"/>
      <c r="I202" s="216"/>
      <c r="J202" s="216"/>
      <c r="K202" s="216"/>
      <c r="L202" s="216"/>
      <c r="M202" s="216"/>
      <c r="N202" s="216"/>
      <c r="O202" s="216"/>
      <c r="P202" s="216"/>
      <c r="Q202" s="216"/>
      <c r="R202" s="216"/>
      <c r="S202" s="216"/>
      <c r="T202" s="216"/>
      <c r="U202" s="216"/>
      <c r="V202" s="216"/>
      <c r="W202" s="216"/>
      <c r="X202" s="216"/>
      <c r="Y202" s="216"/>
      <c r="Z202" s="152"/>
    </row>
    <row r="203" spans="1:26" s="1" customFormat="1" ht="17.399999999999999" customHeight="1">
      <c r="A203" s="143"/>
      <c r="B203" s="152"/>
      <c r="C203" s="152"/>
      <c r="D203" s="167"/>
      <c r="E203" s="152"/>
      <c r="F203" s="168"/>
      <c r="G203" s="283"/>
      <c r="H203" s="216"/>
      <c r="I203" s="216"/>
      <c r="J203" s="216"/>
      <c r="K203" s="216"/>
      <c r="L203" s="216"/>
      <c r="M203" s="216"/>
      <c r="N203" s="216"/>
      <c r="O203" s="216"/>
      <c r="P203" s="216"/>
      <c r="Q203" s="216"/>
      <c r="R203" s="216"/>
      <c r="S203" s="216"/>
      <c r="T203" s="216"/>
      <c r="U203" s="216"/>
      <c r="V203" s="216"/>
      <c r="W203" s="216"/>
      <c r="X203" s="216"/>
      <c r="Y203" s="216"/>
      <c r="Z203" s="152"/>
    </row>
    <row r="204" spans="1:26" s="1" customFormat="1" ht="17.399999999999999" customHeight="1">
      <c r="A204" s="143"/>
      <c r="B204" s="152"/>
      <c r="C204" s="152"/>
      <c r="D204" s="167"/>
      <c r="E204" s="152"/>
      <c r="F204" s="168"/>
      <c r="G204" s="283"/>
      <c r="H204" s="216"/>
      <c r="I204" s="216"/>
      <c r="J204" s="216"/>
      <c r="K204" s="216"/>
      <c r="L204" s="216"/>
      <c r="M204" s="216"/>
      <c r="N204" s="216"/>
      <c r="O204" s="216"/>
      <c r="P204" s="216"/>
      <c r="Q204" s="216"/>
      <c r="R204" s="216"/>
      <c r="S204" s="216"/>
      <c r="T204" s="216"/>
      <c r="U204" s="216"/>
      <c r="V204" s="216"/>
      <c r="W204" s="216"/>
      <c r="X204" s="216"/>
      <c r="Y204" s="216"/>
      <c r="Z204" s="152"/>
    </row>
    <row r="205" spans="1:26" s="1" customFormat="1" ht="17.399999999999999" customHeight="1">
      <c r="A205" s="143"/>
      <c r="B205" s="152"/>
      <c r="C205" s="152"/>
      <c r="D205" s="167"/>
      <c r="E205" s="152"/>
      <c r="F205" s="168"/>
      <c r="G205" s="283"/>
      <c r="H205" s="216"/>
      <c r="I205" s="216"/>
      <c r="J205" s="216"/>
      <c r="K205" s="216"/>
      <c r="L205" s="216"/>
      <c r="M205" s="216"/>
      <c r="N205" s="216"/>
      <c r="O205" s="216"/>
      <c r="P205" s="216"/>
      <c r="Q205" s="216"/>
      <c r="R205" s="216"/>
      <c r="S205" s="216"/>
      <c r="T205" s="216"/>
      <c r="U205" s="216"/>
      <c r="V205" s="216"/>
      <c r="W205" s="216"/>
      <c r="X205" s="216"/>
      <c r="Y205" s="216"/>
      <c r="Z205" s="152"/>
    </row>
    <row r="206" spans="1:26" s="1" customFormat="1" ht="17.399999999999999" customHeight="1">
      <c r="A206" s="143"/>
      <c r="B206" s="152"/>
      <c r="C206" s="152"/>
      <c r="D206" s="167"/>
      <c r="E206" s="152"/>
      <c r="F206" s="168"/>
      <c r="G206" s="283"/>
      <c r="H206" s="216"/>
      <c r="I206" s="216"/>
      <c r="J206" s="216"/>
      <c r="K206" s="216"/>
      <c r="L206" s="216"/>
      <c r="M206" s="216"/>
      <c r="N206" s="216"/>
      <c r="O206" s="216"/>
      <c r="P206" s="216"/>
      <c r="Q206" s="216"/>
      <c r="R206" s="216"/>
      <c r="S206" s="216"/>
      <c r="T206" s="216"/>
      <c r="U206" s="216"/>
      <c r="V206" s="216"/>
      <c r="W206" s="216"/>
      <c r="X206" s="216"/>
      <c r="Y206" s="216"/>
      <c r="Z206" s="152"/>
    </row>
    <row r="207" spans="1:26" s="1" customFormat="1" ht="17.399999999999999" customHeight="1">
      <c r="A207" s="143"/>
      <c r="B207" s="152"/>
      <c r="C207" s="152"/>
      <c r="D207" s="167"/>
      <c r="E207" s="152"/>
      <c r="F207" s="168"/>
      <c r="G207" s="283"/>
      <c r="H207" s="216"/>
      <c r="I207" s="216"/>
      <c r="J207" s="216"/>
      <c r="K207" s="216"/>
      <c r="L207" s="216"/>
      <c r="M207" s="216"/>
      <c r="N207" s="216"/>
      <c r="O207" s="216"/>
      <c r="P207" s="216"/>
      <c r="Q207" s="216"/>
      <c r="R207" s="216"/>
      <c r="S207" s="216"/>
      <c r="T207" s="216"/>
      <c r="U207" s="216"/>
      <c r="V207" s="216"/>
      <c r="W207" s="216"/>
      <c r="X207" s="216"/>
      <c r="Y207" s="216"/>
      <c r="Z207" s="152"/>
    </row>
    <row r="208" spans="1:26" s="1" customFormat="1" ht="17.399999999999999" customHeight="1">
      <c r="A208" s="143"/>
      <c r="B208" s="152"/>
      <c r="C208" s="152"/>
      <c r="D208" s="167"/>
      <c r="E208" s="152"/>
      <c r="F208" s="168"/>
      <c r="G208" s="283"/>
      <c r="H208" s="216"/>
      <c r="I208" s="216"/>
      <c r="J208" s="216"/>
      <c r="K208" s="216"/>
      <c r="L208" s="216"/>
      <c r="M208" s="216"/>
      <c r="N208" s="216"/>
      <c r="O208" s="216"/>
      <c r="P208" s="216"/>
      <c r="Q208" s="216"/>
      <c r="R208" s="216"/>
      <c r="S208" s="216"/>
      <c r="T208" s="216"/>
      <c r="U208" s="216"/>
      <c r="V208" s="216"/>
      <c r="W208" s="216"/>
      <c r="X208" s="216"/>
      <c r="Y208" s="216"/>
      <c r="Z208" s="152"/>
    </row>
    <row r="209" spans="1:26" s="1" customFormat="1" ht="17.399999999999999" customHeight="1">
      <c r="A209" s="143"/>
      <c r="B209" s="152"/>
      <c r="C209" s="152"/>
      <c r="D209" s="167"/>
      <c r="E209" s="152"/>
      <c r="F209" s="168"/>
      <c r="G209" s="283"/>
      <c r="H209" s="216"/>
      <c r="I209" s="216"/>
      <c r="J209" s="216"/>
      <c r="K209" s="216"/>
      <c r="L209" s="216"/>
      <c r="M209" s="216"/>
      <c r="N209" s="216"/>
      <c r="O209" s="216"/>
      <c r="P209" s="216"/>
      <c r="Q209" s="216"/>
      <c r="R209" s="216"/>
      <c r="S209" s="216"/>
      <c r="T209" s="216"/>
      <c r="U209" s="216"/>
      <c r="V209" s="216"/>
      <c r="W209" s="216"/>
      <c r="X209" s="216"/>
      <c r="Y209" s="216"/>
      <c r="Z209" s="152"/>
    </row>
    <row r="210" spans="1:26" s="1" customFormat="1" ht="17.399999999999999" customHeight="1">
      <c r="A210" s="143"/>
      <c r="B210" s="152"/>
      <c r="C210" s="152"/>
      <c r="D210" s="167"/>
      <c r="E210" s="152"/>
      <c r="F210" s="168"/>
      <c r="G210" s="283"/>
      <c r="H210" s="216"/>
      <c r="I210" s="216"/>
      <c r="J210" s="216"/>
      <c r="K210" s="216"/>
      <c r="L210" s="216"/>
      <c r="M210" s="216"/>
      <c r="N210" s="216"/>
      <c r="O210" s="216"/>
      <c r="P210" s="216"/>
      <c r="Q210" s="216"/>
      <c r="R210" s="216"/>
      <c r="S210" s="216"/>
      <c r="T210" s="216"/>
      <c r="U210" s="216"/>
      <c r="V210" s="216"/>
      <c r="W210" s="216"/>
      <c r="X210" s="216"/>
      <c r="Y210" s="216"/>
      <c r="Z210" s="152"/>
    </row>
    <row r="211" spans="1:26" s="1" customFormat="1" ht="17.399999999999999" customHeight="1">
      <c r="A211" s="143"/>
      <c r="B211" s="152"/>
      <c r="C211" s="152"/>
      <c r="D211" s="167"/>
      <c r="E211" s="152"/>
      <c r="F211" s="168"/>
      <c r="G211" s="283"/>
      <c r="H211" s="216"/>
      <c r="I211" s="216"/>
      <c r="J211" s="216"/>
      <c r="K211" s="216"/>
      <c r="L211" s="216"/>
      <c r="M211" s="216"/>
      <c r="N211" s="216"/>
      <c r="O211" s="216"/>
      <c r="P211" s="216"/>
      <c r="Q211" s="216"/>
      <c r="R211" s="216"/>
      <c r="S211" s="216"/>
      <c r="T211" s="216"/>
      <c r="U211" s="216"/>
      <c r="V211" s="216"/>
      <c r="W211" s="216"/>
      <c r="X211" s="216"/>
      <c r="Y211" s="216"/>
      <c r="Z211" s="152"/>
    </row>
    <row r="212" spans="1:26" s="1" customFormat="1" ht="17.399999999999999" customHeight="1">
      <c r="A212" s="143"/>
      <c r="B212" s="152"/>
      <c r="C212" s="152"/>
      <c r="D212" s="167"/>
      <c r="E212" s="152"/>
      <c r="F212" s="168"/>
      <c r="G212" s="283"/>
      <c r="H212" s="216"/>
      <c r="I212" s="216"/>
      <c r="J212" s="216"/>
      <c r="K212" s="216"/>
      <c r="L212" s="216"/>
      <c r="M212" s="216"/>
      <c r="N212" s="216"/>
      <c r="O212" s="216"/>
      <c r="P212" s="216"/>
      <c r="Q212" s="216"/>
      <c r="R212" s="216"/>
      <c r="S212" s="216"/>
      <c r="T212" s="216"/>
      <c r="U212" s="216"/>
      <c r="V212" s="216"/>
      <c r="W212" s="216"/>
      <c r="X212" s="216"/>
      <c r="Y212" s="216"/>
      <c r="Z212" s="152"/>
    </row>
    <row r="213" spans="1:26" s="1" customFormat="1" ht="17.399999999999999" customHeight="1">
      <c r="A213" s="143"/>
      <c r="B213" s="152"/>
      <c r="C213" s="152"/>
      <c r="D213" s="167"/>
      <c r="E213" s="152"/>
      <c r="F213" s="168"/>
      <c r="G213" s="283"/>
      <c r="H213" s="216"/>
      <c r="I213" s="216"/>
      <c r="J213" s="216"/>
      <c r="K213" s="216"/>
      <c r="L213" s="216"/>
      <c r="M213" s="216"/>
      <c r="N213" s="216"/>
      <c r="O213" s="216"/>
      <c r="P213" s="216"/>
      <c r="Q213" s="216"/>
      <c r="R213" s="216"/>
      <c r="S213" s="216"/>
      <c r="T213" s="216"/>
      <c r="U213" s="216"/>
      <c r="V213" s="216"/>
      <c r="W213" s="216"/>
      <c r="X213" s="216"/>
      <c r="Y213" s="216"/>
      <c r="Z213" s="152"/>
    </row>
    <row r="214" spans="1:26" s="1" customFormat="1" ht="17.399999999999999" customHeight="1">
      <c r="A214" s="143"/>
      <c r="B214" s="152"/>
      <c r="C214" s="152"/>
      <c r="D214" s="167"/>
      <c r="E214" s="152"/>
      <c r="F214" s="168"/>
      <c r="G214" s="283"/>
      <c r="H214" s="216"/>
      <c r="I214" s="216"/>
      <c r="J214" s="216"/>
      <c r="K214" s="216"/>
      <c r="L214" s="216"/>
      <c r="M214" s="216"/>
      <c r="N214" s="216"/>
      <c r="O214" s="216"/>
      <c r="P214" s="216"/>
      <c r="Q214" s="216"/>
      <c r="R214" s="216"/>
      <c r="S214" s="216"/>
      <c r="T214" s="216"/>
      <c r="U214" s="216"/>
      <c r="V214" s="216"/>
      <c r="W214" s="216"/>
      <c r="X214" s="216"/>
      <c r="Y214" s="216"/>
      <c r="Z214" s="152"/>
    </row>
    <row r="215" spans="1:26" s="1" customFormat="1" ht="17.399999999999999" customHeight="1">
      <c r="A215" s="143"/>
      <c r="B215" s="152"/>
      <c r="C215" s="152"/>
      <c r="D215" s="167"/>
      <c r="E215" s="152"/>
      <c r="F215" s="168"/>
      <c r="G215" s="283"/>
      <c r="H215" s="216"/>
      <c r="I215" s="216"/>
      <c r="J215" s="216"/>
      <c r="K215" s="216"/>
      <c r="L215" s="216"/>
      <c r="M215" s="216"/>
      <c r="N215" s="216"/>
      <c r="O215" s="216"/>
      <c r="P215" s="216"/>
      <c r="Q215" s="216"/>
      <c r="R215" s="216"/>
      <c r="S215" s="216"/>
      <c r="T215" s="216"/>
      <c r="U215" s="216"/>
      <c r="V215" s="216"/>
      <c r="W215" s="216"/>
      <c r="X215" s="216"/>
      <c r="Y215" s="216"/>
      <c r="Z215" s="152"/>
    </row>
    <row r="216" spans="1:26" s="1" customFormat="1" ht="17.399999999999999" customHeight="1">
      <c r="A216" s="143"/>
      <c r="B216" s="152"/>
      <c r="C216" s="152"/>
      <c r="D216" s="167"/>
      <c r="E216" s="152"/>
      <c r="F216" s="168"/>
      <c r="G216" s="283"/>
      <c r="H216" s="216"/>
      <c r="I216" s="216"/>
      <c r="J216" s="216"/>
      <c r="K216" s="216"/>
      <c r="L216" s="216"/>
      <c r="M216" s="216"/>
      <c r="N216" s="216"/>
      <c r="O216" s="216"/>
      <c r="P216" s="216"/>
      <c r="Q216" s="216"/>
      <c r="R216" s="216"/>
      <c r="S216" s="216"/>
      <c r="T216" s="216"/>
      <c r="U216" s="216"/>
      <c r="V216" s="216"/>
      <c r="W216" s="216"/>
      <c r="X216" s="216"/>
      <c r="Y216" s="216"/>
      <c r="Z216" s="152"/>
    </row>
    <row r="217" spans="1:26" s="1" customFormat="1" ht="17.399999999999999" customHeight="1">
      <c r="A217" s="143"/>
      <c r="B217" s="152"/>
      <c r="C217" s="152"/>
      <c r="D217" s="167"/>
      <c r="E217" s="152"/>
      <c r="F217" s="168"/>
      <c r="G217" s="283"/>
      <c r="H217" s="216"/>
      <c r="I217" s="216"/>
      <c r="J217" s="216"/>
      <c r="K217" s="216"/>
      <c r="L217" s="216"/>
      <c r="M217" s="216"/>
      <c r="N217" s="216"/>
      <c r="O217" s="216"/>
      <c r="P217" s="216"/>
      <c r="Q217" s="216"/>
      <c r="R217" s="216"/>
      <c r="S217" s="216"/>
      <c r="T217" s="216"/>
      <c r="U217" s="216"/>
      <c r="V217" s="216"/>
      <c r="W217" s="216"/>
      <c r="X217" s="216"/>
      <c r="Y217" s="216"/>
      <c r="Z217" s="152"/>
    </row>
    <row r="218" spans="1:26" s="1" customFormat="1" ht="17.399999999999999" customHeight="1">
      <c r="A218" s="143"/>
      <c r="B218" s="152"/>
      <c r="C218" s="152"/>
      <c r="D218" s="167"/>
      <c r="E218" s="152"/>
      <c r="F218" s="168"/>
      <c r="G218" s="283"/>
      <c r="H218" s="216"/>
      <c r="I218" s="216"/>
      <c r="J218" s="216"/>
      <c r="K218" s="216"/>
      <c r="L218" s="216"/>
      <c r="M218" s="216"/>
      <c r="N218" s="216"/>
      <c r="O218" s="216"/>
      <c r="P218" s="216"/>
      <c r="Q218" s="216"/>
      <c r="R218" s="216"/>
      <c r="S218" s="216"/>
      <c r="T218" s="216"/>
      <c r="U218" s="216"/>
      <c r="V218" s="216"/>
      <c r="W218" s="216"/>
      <c r="X218" s="216"/>
      <c r="Y218" s="216"/>
      <c r="Z218" s="152"/>
    </row>
    <row r="219" spans="1:26" s="1" customFormat="1" ht="17.399999999999999" customHeight="1">
      <c r="A219" s="143"/>
      <c r="B219" s="152"/>
      <c r="C219" s="152"/>
      <c r="D219" s="167"/>
      <c r="E219" s="152"/>
      <c r="F219" s="168"/>
      <c r="G219" s="283"/>
      <c r="H219" s="216"/>
      <c r="I219" s="216"/>
      <c r="J219" s="216"/>
      <c r="K219" s="216"/>
      <c r="L219" s="216"/>
      <c r="M219" s="216"/>
      <c r="N219" s="216"/>
      <c r="O219" s="216"/>
      <c r="P219" s="216"/>
      <c r="Q219" s="216"/>
      <c r="R219" s="216"/>
      <c r="S219" s="216"/>
      <c r="T219" s="216"/>
      <c r="U219" s="216"/>
      <c r="V219" s="216"/>
      <c r="W219" s="216"/>
      <c r="X219" s="216"/>
      <c r="Y219" s="216"/>
      <c r="Z219" s="152"/>
    </row>
    <row r="220" spans="1:26" s="1" customFormat="1" ht="17.399999999999999" customHeight="1">
      <c r="A220" s="143"/>
      <c r="B220" s="152"/>
      <c r="C220" s="152"/>
      <c r="D220" s="167"/>
      <c r="E220" s="152"/>
      <c r="F220" s="168"/>
      <c r="G220" s="283"/>
      <c r="H220" s="216"/>
      <c r="I220" s="216"/>
      <c r="J220" s="216"/>
      <c r="K220" s="216"/>
      <c r="L220" s="216"/>
      <c r="M220" s="216"/>
      <c r="N220" s="216"/>
      <c r="O220" s="216"/>
      <c r="P220" s="216"/>
      <c r="Q220" s="216"/>
      <c r="R220" s="216"/>
      <c r="S220" s="216"/>
      <c r="T220" s="216"/>
      <c r="U220" s="216"/>
      <c r="V220" s="216"/>
      <c r="W220" s="216"/>
      <c r="X220" s="216"/>
      <c r="Y220" s="216"/>
      <c r="Z220" s="152"/>
    </row>
    <row r="221" spans="1:26" s="1" customFormat="1" ht="17.399999999999999" customHeight="1">
      <c r="A221" s="143"/>
      <c r="B221" s="152"/>
      <c r="C221" s="152"/>
      <c r="D221" s="167"/>
      <c r="E221" s="152"/>
      <c r="F221" s="168"/>
      <c r="G221" s="283"/>
      <c r="H221" s="216"/>
      <c r="I221" s="216"/>
      <c r="J221" s="216"/>
      <c r="K221" s="216"/>
      <c r="L221" s="216"/>
      <c r="M221" s="216"/>
      <c r="N221" s="216"/>
      <c r="O221" s="216"/>
      <c r="P221" s="216"/>
      <c r="Q221" s="216"/>
      <c r="R221" s="216"/>
      <c r="S221" s="216"/>
      <c r="T221" s="216"/>
      <c r="U221" s="216"/>
      <c r="V221" s="216"/>
      <c r="W221" s="216"/>
      <c r="X221" s="216"/>
      <c r="Y221" s="216"/>
      <c r="Z221" s="152"/>
    </row>
    <row r="222" spans="1:26" s="1" customFormat="1" ht="17.399999999999999" customHeight="1">
      <c r="A222" s="143"/>
      <c r="B222" s="152"/>
      <c r="C222" s="152"/>
      <c r="D222" s="167"/>
      <c r="E222" s="152"/>
      <c r="F222" s="168"/>
      <c r="G222" s="283"/>
      <c r="H222" s="216"/>
      <c r="I222" s="216"/>
      <c r="J222" s="216"/>
      <c r="K222" s="216"/>
      <c r="L222" s="216"/>
      <c r="M222" s="216"/>
      <c r="N222" s="216"/>
      <c r="O222" s="216"/>
      <c r="P222" s="216"/>
      <c r="Q222" s="216"/>
      <c r="R222" s="216"/>
      <c r="S222" s="216"/>
      <c r="T222" s="216"/>
      <c r="U222" s="216"/>
      <c r="V222" s="216"/>
      <c r="W222" s="216"/>
      <c r="X222" s="216"/>
      <c r="Y222" s="216"/>
      <c r="Z222" s="152"/>
    </row>
    <row r="223" spans="1:26" s="1" customFormat="1" ht="17.399999999999999" customHeight="1">
      <c r="A223" s="143"/>
      <c r="B223" s="152"/>
      <c r="C223" s="152"/>
      <c r="D223" s="167"/>
      <c r="E223" s="152"/>
      <c r="F223" s="168"/>
      <c r="G223" s="283"/>
      <c r="H223" s="216"/>
      <c r="I223" s="216"/>
      <c r="J223" s="216"/>
      <c r="K223" s="216"/>
      <c r="L223" s="216"/>
      <c r="M223" s="216"/>
      <c r="N223" s="216"/>
      <c r="O223" s="216"/>
      <c r="P223" s="216"/>
      <c r="Q223" s="216"/>
      <c r="R223" s="216"/>
      <c r="S223" s="216"/>
      <c r="T223" s="216"/>
      <c r="U223" s="216"/>
      <c r="V223" s="216"/>
      <c r="W223" s="216"/>
      <c r="X223" s="216"/>
      <c r="Y223" s="216"/>
      <c r="Z223" s="152"/>
    </row>
    <row r="224" spans="1:26" s="1" customFormat="1" ht="17.399999999999999" customHeight="1">
      <c r="A224" s="143"/>
      <c r="B224" s="152"/>
      <c r="C224" s="152"/>
      <c r="D224" s="167"/>
      <c r="E224" s="152"/>
      <c r="F224" s="168"/>
      <c r="G224" s="283"/>
      <c r="H224" s="216"/>
      <c r="I224" s="216"/>
      <c r="J224" s="216"/>
      <c r="K224" s="216"/>
      <c r="L224" s="216"/>
      <c r="M224" s="216"/>
      <c r="N224" s="216"/>
      <c r="O224" s="216"/>
      <c r="P224" s="216"/>
      <c r="Q224" s="216"/>
      <c r="R224" s="216"/>
      <c r="S224" s="216"/>
      <c r="T224" s="216"/>
      <c r="U224" s="216"/>
      <c r="V224" s="216"/>
      <c r="W224" s="216"/>
      <c r="X224" s="216"/>
      <c r="Y224" s="216"/>
      <c r="Z224" s="152"/>
    </row>
    <row r="225" spans="1:26" s="1" customFormat="1" ht="17.399999999999999" customHeight="1">
      <c r="A225" s="143"/>
      <c r="B225" s="152"/>
      <c r="C225" s="152"/>
      <c r="D225" s="167"/>
      <c r="E225" s="152"/>
      <c r="F225" s="168"/>
      <c r="G225" s="283"/>
      <c r="H225" s="216"/>
      <c r="I225" s="216"/>
      <c r="J225" s="216"/>
      <c r="K225" s="216"/>
      <c r="L225" s="216"/>
      <c r="M225" s="216"/>
      <c r="N225" s="216"/>
      <c r="O225" s="216"/>
      <c r="P225" s="216"/>
      <c r="Q225" s="216"/>
      <c r="R225" s="216"/>
      <c r="S225" s="216"/>
      <c r="T225" s="216"/>
      <c r="U225" s="216"/>
      <c r="V225" s="216"/>
      <c r="W225" s="216"/>
      <c r="X225" s="216"/>
      <c r="Y225" s="216"/>
      <c r="Z225" s="152"/>
    </row>
    <row r="226" spans="1:26" s="1" customFormat="1" ht="17.399999999999999" customHeight="1">
      <c r="A226" s="143"/>
      <c r="B226" s="152"/>
      <c r="C226" s="152"/>
      <c r="D226" s="167"/>
      <c r="E226" s="152"/>
      <c r="F226" s="168"/>
      <c r="G226" s="283"/>
      <c r="H226" s="216"/>
      <c r="I226" s="216"/>
      <c r="J226" s="216"/>
      <c r="K226" s="216"/>
      <c r="L226" s="216"/>
      <c r="M226" s="216"/>
      <c r="N226" s="216"/>
      <c r="O226" s="216"/>
      <c r="P226" s="216"/>
      <c r="Q226" s="216"/>
      <c r="R226" s="216"/>
      <c r="S226" s="216"/>
      <c r="T226" s="216"/>
      <c r="U226" s="216"/>
      <c r="V226" s="216"/>
      <c r="W226" s="216"/>
      <c r="X226" s="216"/>
      <c r="Y226" s="216"/>
      <c r="Z226" s="152"/>
    </row>
    <row r="227" spans="1:26" s="1" customFormat="1" ht="17.399999999999999" customHeight="1">
      <c r="A227" s="143"/>
      <c r="B227" s="152"/>
      <c r="C227" s="152"/>
      <c r="D227" s="167"/>
      <c r="E227" s="152"/>
      <c r="F227" s="168"/>
      <c r="G227" s="283"/>
      <c r="H227" s="216"/>
      <c r="I227" s="216"/>
      <c r="J227" s="216"/>
      <c r="K227" s="216"/>
      <c r="L227" s="216"/>
      <c r="M227" s="216"/>
      <c r="N227" s="216"/>
      <c r="O227" s="216"/>
      <c r="P227" s="216"/>
      <c r="Q227" s="216"/>
      <c r="R227" s="216"/>
      <c r="S227" s="216"/>
      <c r="T227" s="216"/>
      <c r="U227" s="216"/>
      <c r="V227" s="216"/>
      <c r="W227" s="216"/>
      <c r="X227" s="216"/>
      <c r="Y227" s="216"/>
      <c r="Z227" s="152"/>
    </row>
    <row r="228" spans="1:26" s="1" customFormat="1" ht="17.399999999999999" customHeight="1">
      <c r="A228" s="143"/>
      <c r="B228" s="152"/>
      <c r="C228" s="152"/>
      <c r="D228" s="167"/>
      <c r="E228" s="152"/>
      <c r="F228" s="168"/>
      <c r="G228" s="283"/>
      <c r="H228" s="216"/>
      <c r="I228" s="216"/>
      <c r="J228" s="216"/>
      <c r="K228" s="216"/>
      <c r="L228" s="216"/>
      <c r="M228" s="216"/>
      <c r="N228" s="216"/>
      <c r="O228" s="216"/>
      <c r="P228" s="216"/>
      <c r="Q228" s="216"/>
      <c r="R228" s="216"/>
      <c r="S228" s="216"/>
      <c r="T228" s="216"/>
      <c r="U228" s="216"/>
      <c r="V228" s="216"/>
      <c r="W228" s="216"/>
      <c r="X228" s="216"/>
      <c r="Y228" s="216"/>
      <c r="Z228" s="152"/>
    </row>
    <row r="229" spans="1:26" s="1" customFormat="1" ht="17.399999999999999" customHeight="1">
      <c r="A229" s="143"/>
      <c r="B229" s="152"/>
      <c r="C229" s="152"/>
      <c r="D229" s="167"/>
      <c r="E229" s="152"/>
      <c r="F229" s="168"/>
      <c r="G229" s="283"/>
      <c r="H229" s="216"/>
      <c r="I229" s="216"/>
      <c r="J229" s="216"/>
      <c r="K229" s="216"/>
      <c r="L229" s="216"/>
      <c r="M229" s="216"/>
      <c r="N229" s="216"/>
      <c r="O229" s="216"/>
      <c r="P229" s="216"/>
      <c r="Q229" s="216"/>
      <c r="R229" s="216"/>
      <c r="S229" s="216"/>
      <c r="T229" s="216"/>
      <c r="U229" s="216"/>
      <c r="V229" s="216"/>
      <c r="W229" s="216"/>
      <c r="X229" s="216"/>
      <c r="Y229" s="216"/>
      <c r="Z229" s="152"/>
    </row>
    <row r="230" spans="1:26" s="1" customFormat="1" ht="17.399999999999999" customHeight="1">
      <c r="A230" s="143"/>
      <c r="B230" s="152"/>
      <c r="C230" s="152"/>
      <c r="D230" s="167"/>
      <c r="E230" s="152"/>
      <c r="F230" s="168"/>
      <c r="G230" s="283"/>
      <c r="H230" s="216"/>
      <c r="I230" s="216"/>
      <c r="J230" s="216"/>
      <c r="K230" s="216"/>
      <c r="L230" s="216"/>
      <c r="M230" s="216"/>
      <c r="N230" s="216"/>
      <c r="O230" s="216"/>
      <c r="P230" s="216"/>
      <c r="Q230" s="216"/>
      <c r="R230" s="216"/>
      <c r="S230" s="216"/>
      <c r="T230" s="216"/>
      <c r="U230" s="216"/>
      <c r="V230" s="216"/>
      <c r="W230" s="216"/>
      <c r="X230" s="216"/>
      <c r="Y230" s="216"/>
      <c r="Z230" s="152"/>
    </row>
    <row r="231" spans="1:26" s="1" customFormat="1" ht="17.399999999999999" customHeight="1">
      <c r="A231" s="143"/>
      <c r="B231" s="152"/>
      <c r="C231" s="152"/>
      <c r="D231" s="167"/>
      <c r="E231" s="152"/>
      <c r="F231" s="168"/>
      <c r="G231" s="283"/>
      <c r="H231" s="216"/>
      <c r="I231" s="216"/>
      <c r="J231" s="216"/>
      <c r="K231" s="216"/>
      <c r="L231" s="216"/>
      <c r="M231" s="216"/>
      <c r="N231" s="216"/>
      <c r="O231" s="216"/>
      <c r="P231" s="216"/>
      <c r="Q231" s="216"/>
      <c r="R231" s="216"/>
      <c r="S231" s="216"/>
      <c r="T231" s="216"/>
      <c r="U231" s="216"/>
      <c r="V231" s="216"/>
      <c r="W231" s="216"/>
      <c r="X231" s="216"/>
      <c r="Y231" s="216"/>
      <c r="Z231" s="152"/>
    </row>
    <row r="232" spans="1:26" s="1" customFormat="1" ht="17.399999999999999" customHeight="1">
      <c r="A232" s="143"/>
      <c r="B232" s="152"/>
      <c r="C232" s="152"/>
      <c r="D232" s="167"/>
      <c r="E232" s="152"/>
      <c r="F232" s="168"/>
      <c r="G232" s="283"/>
      <c r="H232" s="216"/>
      <c r="I232" s="216"/>
      <c r="J232" s="216"/>
      <c r="K232" s="216"/>
      <c r="L232" s="216"/>
      <c r="M232" s="216"/>
      <c r="N232" s="216"/>
      <c r="O232" s="216"/>
      <c r="P232" s="216"/>
      <c r="Q232" s="216"/>
      <c r="R232" s="216"/>
      <c r="S232" s="216"/>
      <c r="T232" s="216"/>
      <c r="U232" s="216"/>
      <c r="V232" s="216"/>
      <c r="W232" s="216"/>
      <c r="X232" s="216"/>
      <c r="Y232" s="216"/>
      <c r="Z232" s="152"/>
    </row>
    <row r="233" spans="1:26" s="1" customFormat="1" ht="17.399999999999999" customHeight="1">
      <c r="A233" s="143"/>
      <c r="B233" s="152"/>
      <c r="C233" s="152"/>
      <c r="D233" s="167"/>
      <c r="E233" s="152"/>
      <c r="F233" s="168"/>
      <c r="G233" s="283"/>
      <c r="H233" s="216"/>
      <c r="I233" s="216"/>
      <c r="J233" s="216"/>
      <c r="K233" s="216"/>
      <c r="L233" s="216"/>
      <c r="M233" s="216"/>
      <c r="N233" s="216"/>
      <c r="O233" s="216"/>
      <c r="P233" s="216"/>
      <c r="Q233" s="216"/>
      <c r="R233" s="216"/>
      <c r="S233" s="216"/>
      <c r="T233" s="216"/>
      <c r="U233" s="216"/>
      <c r="V233" s="216"/>
      <c r="W233" s="216"/>
      <c r="X233" s="216"/>
      <c r="Y233" s="216"/>
      <c r="Z233" s="152"/>
    </row>
    <row r="234" spans="1:26" s="1" customFormat="1" ht="17.399999999999999" customHeight="1">
      <c r="A234" s="143"/>
      <c r="B234" s="152"/>
      <c r="C234" s="152"/>
      <c r="D234" s="167"/>
      <c r="E234" s="152"/>
      <c r="F234" s="168"/>
      <c r="G234" s="283"/>
      <c r="H234" s="216"/>
      <c r="I234" s="216"/>
      <c r="J234" s="216"/>
      <c r="K234" s="216"/>
      <c r="L234" s="216"/>
      <c r="M234" s="216"/>
      <c r="N234" s="216"/>
      <c r="O234" s="216"/>
      <c r="P234" s="216"/>
      <c r="Q234" s="216"/>
      <c r="R234" s="216"/>
      <c r="S234" s="216"/>
      <c r="T234" s="216"/>
      <c r="U234" s="216"/>
      <c r="V234" s="216"/>
      <c r="W234" s="216"/>
      <c r="X234" s="216"/>
      <c r="Y234" s="216"/>
      <c r="Z234" s="152"/>
    </row>
    <row r="235" spans="1:26" s="1" customFormat="1" ht="17.399999999999999" customHeight="1">
      <c r="A235" s="143"/>
      <c r="B235" s="152"/>
      <c r="C235" s="152"/>
      <c r="D235" s="167"/>
      <c r="E235" s="152"/>
      <c r="F235" s="168"/>
      <c r="G235" s="283"/>
      <c r="H235" s="216"/>
      <c r="I235" s="216"/>
      <c r="J235" s="216"/>
      <c r="K235" s="216"/>
      <c r="L235" s="216"/>
      <c r="M235" s="216"/>
      <c r="N235" s="216"/>
      <c r="O235" s="216"/>
      <c r="P235" s="216"/>
      <c r="Q235" s="216"/>
      <c r="R235" s="216"/>
      <c r="S235" s="216"/>
      <c r="T235" s="216"/>
      <c r="U235" s="216"/>
      <c r="V235" s="216"/>
      <c r="W235" s="216"/>
      <c r="X235" s="216"/>
      <c r="Y235" s="216"/>
      <c r="Z235" s="152"/>
    </row>
    <row r="236" spans="1:26" s="1" customFormat="1" ht="17.399999999999999" customHeight="1">
      <c r="A236" s="143"/>
      <c r="B236" s="152"/>
      <c r="C236" s="152"/>
      <c r="D236" s="167"/>
      <c r="E236" s="152"/>
      <c r="F236" s="168"/>
      <c r="G236" s="283"/>
      <c r="H236" s="216"/>
      <c r="I236" s="216"/>
      <c r="J236" s="216"/>
      <c r="K236" s="216"/>
      <c r="L236" s="216"/>
      <c r="M236" s="216"/>
      <c r="N236" s="216"/>
      <c r="O236" s="216"/>
      <c r="P236" s="216"/>
      <c r="Q236" s="216"/>
      <c r="R236" s="216"/>
      <c r="S236" s="216"/>
      <c r="T236" s="216"/>
      <c r="U236" s="216"/>
      <c r="V236" s="216"/>
      <c r="W236" s="216"/>
      <c r="X236" s="216"/>
      <c r="Y236" s="216"/>
      <c r="Z236" s="152"/>
    </row>
    <row r="237" spans="1:26" s="1" customFormat="1" ht="17.399999999999999" customHeight="1">
      <c r="A237" s="143"/>
      <c r="B237" s="152"/>
      <c r="C237" s="152"/>
      <c r="D237" s="167"/>
      <c r="E237" s="152"/>
      <c r="F237" s="168"/>
      <c r="G237" s="283"/>
      <c r="H237" s="216"/>
      <c r="I237" s="216"/>
      <c r="J237" s="216"/>
      <c r="K237" s="216"/>
      <c r="L237" s="216"/>
      <c r="M237" s="216"/>
      <c r="N237" s="216"/>
      <c r="O237" s="216"/>
      <c r="P237" s="216"/>
      <c r="Q237" s="216"/>
      <c r="R237" s="216"/>
      <c r="S237" s="216"/>
      <c r="T237" s="216"/>
      <c r="U237" s="216"/>
      <c r="V237" s="216"/>
      <c r="W237" s="216"/>
      <c r="X237" s="216"/>
      <c r="Y237" s="216"/>
      <c r="Z237" s="152"/>
    </row>
    <row r="238" spans="1:26" s="1" customFormat="1" ht="17.399999999999999" customHeight="1">
      <c r="A238" s="143"/>
      <c r="B238" s="152"/>
      <c r="C238" s="152"/>
      <c r="D238" s="167"/>
      <c r="E238" s="152"/>
      <c r="F238" s="168"/>
      <c r="G238" s="283"/>
      <c r="H238" s="216"/>
      <c r="I238" s="216"/>
      <c r="J238" s="216"/>
      <c r="K238" s="216"/>
      <c r="L238" s="216"/>
      <c r="M238" s="216"/>
      <c r="N238" s="216"/>
      <c r="O238" s="216"/>
      <c r="P238" s="216"/>
      <c r="Q238" s="216"/>
      <c r="R238" s="216"/>
      <c r="S238" s="216"/>
      <c r="T238" s="216"/>
      <c r="U238" s="216"/>
      <c r="V238" s="216"/>
      <c r="W238" s="216"/>
      <c r="X238" s="216"/>
      <c r="Y238" s="216"/>
      <c r="Z238" s="152"/>
    </row>
    <row r="239" spans="1:26" s="1" customFormat="1" ht="17.399999999999999" customHeight="1">
      <c r="A239" s="143"/>
      <c r="B239" s="152"/>
      <c r="C239" s="152"/>
      <c r="D239" s="167"/>
      <c r="E239" s="152"/>
      <c r="F239" s="168"/>
      <c r="G239" s="283"/>
      <c r="H239" s="216"/>
      <c r="I239" s="216"/>
      <c r="J239" s="216"/>
      <c r="K239" s="216"/>
      <c r="L239" s="216"/>
      <c r="M239" s="216"/>
      <c r="N239" s="216"/>
      <c r="O239" s="216"/>
      <c r="P239" s="216"/>
      <c r="Q239" s="216"/>
      <c r="R239" s="216"/>
      <c r="S239" s="216"/>
      <c r="T239" s="216"/>
      <c r="U239" s="216"/>
      <c r="V239" s="216"/>
      <c r="W239" s="216"/>
      <c r="X239" s="216"/>
      <c r="Y239" s="216"/>
      <c r="Z239" s="152"/>
    </row>
    <row r="240" spans="1:26" s="1" customFormat="1" ht="17.399999999999999" customHeight="1">
      <c r="A240" s="143"/>
      <c r="B240" s="152"/>
      <c r="C240" s="152"/>
      <c r="D240" s="167"/>
      <c r="E240" s="152"/>
      <c r="F240" s="168"/>
      <c r="G240" s="283"/>
      <c r="H240" s="216"/>
      <c r="I240" s="216"/>
      <c r="J240" s="216"/>
      <c r="K240" s="216"/>
      <c r="L240" s="216"/>
      <c r="M240" s="216"/>
      <c r="N240" s="216"/>
      <c r="O240" s="216"/>
      <c r="P240" s="216"/>
      <c r="Q240" s="216"/>
      <c r="R240" s="216"/>
      <c r="S240" s="216"/>
      <c r="T240" s="216"/>
      <c r="U240" s="216"/>
      <c r="V240" s="216"/>
      <c r="W240" s="216"/>
      <c r="X240" s="216"/>
      <c r="Y240" s="216"/>
      <c r="Z240" s="152"/>
    </row>
    <row r="241" spans="1:26" s="1" customFormat="1" ht="17.399999999999999" customHeight="1">
      <c r="A241" s="143"/>
      <c r="B241" s="152"/>
      <c r="C241" s="152"/>
      <c r="D241" s="167"/>
      <c r="E241" s="152"/>
      <c r="F241" s="168"/>
      <c r="G241" s="283"/>
      <c r="H241" s="216"/>
      <c r="I241" s="216"/>
      <c r="J241" s="216"/>
      <c r="K241" s="216"/>
      <c r="L241" s="216"/>
      <c r="M241" s="216"/>
      <c r="N241" s="216"/>
      <c r="O241" s="216"/>
      <c r="P241" s="216"/>
      <c r="Q241" s="216"/>
      <c r="R241" s="216"/>
      <c r="S241" s="216"/>
      <c r="T241" s="216"/>
      <c r="U241" s="216"/>
      <c r="V241" s="216"/>
      <c r="W241" s="216"/>
      <c r="X241" s="216"/>
      <c r="Y241" s="216"/>
      <c r="Z241" s="152"/>
    </row>
    <row r="242" spans="1:26" s="1" customFormat="1" ht="17.399999999999999" customHeight="1">
      <c r="A242" s="143"/>
      <c r="B242" s="152"/>
      <c r="C242" s="152"/>
      <c r="D242" s="167"/>
      <c r="E242" s="152"/>
      <c r="F242" s="168"/>
      <c r="G242" s="283"/>
      <c r="H242" s="216"/>
      <c r="I242" s="216"/>
      <c r="J242" s="216"/>
      <c r="K242" s="216"/>
      <c r="L242" s="216"/>
      <c r="M242" s="216"/>
      <c r="N242" s="216"/>
      <c r="O242" s="216"/>
      <c r="P242" s="216"/>
      <c r="Q242" s="216"/>
      <c r="R242" s="216"/>
      <c r="S242" s="216"/>
      <c r="T242" s="216"/>
      <c r="U242" s="216"/>
      <c r="V242" s="216"/>
      <c r="W242" s="216"/>
      <c r="X242" s="216"/>
      <c r="Y242" s="216"/>
      <c r="Z242" s="152"/>
    </row>
    <row r="243" spans="1:26" s="1" customFormat="1" ht="17.399999999999999" customHeight="1">
      <c r="A243" s="143"/>
      <c r="B243" s="152"/>
      <c r="C243" s="152"/>
      <c r="D243" s="167"/>
      <c r="E243" s="152"/>
      <c r="F243" s="168"/>
      <c r="G243" s="283"/>
      <c r="H243" s="216"/>
      <c r="I243" s="216"/>
      <c r="J243" s="216"/>
      <c r="K243" s="216"/>
      <c r="L243" s="216"/>
      <c r="M243" s="216"/>
      <c r="N243" s="216"/>
      <c r="O243" s="216"/>
      <c r="P243" s="216"/>
      <c r="Q243" s="216"/>
      <c r="R243" s="216"/>
      <c r="S243" s="216"/>
      <c r="T243" s="216"/>
      <c r="U243" s="216"/>
      <c r="V243" s="216"/>
      <c r="W243" s="216"/>
      <c r="X243" s="216"/>
      <c r="Y243" s="216"/>
      <c r="Z243" s="152"/>
    </row>
    <row r="244" spans="1:26" s="1" customFormat="1" ht="17.399999999999999" customHeight="1">
      <c r="A244" s="143"/>
      <c r="B244" s="152"/>
      <c r="C244" s="152"/>
      <c r="D244" s="167"/>
      <c r="E244" s="152"/>
      <c r="F244" s="168"/>
      <c r="G244" s="283"/>
      <c r="H244" s="216"/>
      <c r="I244" s="216"/>
      <c r="J244" s="216"/>
      <c r="K244" s="216"/>
      <c r="L244" s="216"/>
      <c r="M244" s="216"/>
      <c r="N244" s="216"/>
      <c r="O244" s="216"/>
      <c r="P244" s="216"/>
      <c r="Q244" s="216"/>
      <c r="R244" s="216"/>
      <c r="S244" s="216"/>
      <c r="T244" s="216"/>
      <c r="U244" s="216"/>
      <c r="V244" s="216"/>
      <c r="W244" s="216"/>
      <c r="X244" s="216"/>
      <c r="Y244" s="216"/>
      <c r="Z244" s="152"/>
    </row>
    <row r="245" spans="1:26" s="1" customFormat="1" ht="17.399999999999999" customHeight="1">
      <c r="A245" s="143"/>
      <c r="B245" s="152"/>
      <c r="C245" s="152"/>
      <c r="D245" s="167"/>
      <c r="E245" s="152"/>
      <c r="F245" s="168"/>
      <c r="G245" s="283"/>
      <c r="H245" s="216"/>
      <c r="I245" s="216"/>
      <c r="J245" s="216"/>
      <c r="K245" s="216"/>
      <c r="L245" s="216"/>
      <c r="M245" s="216"/>
      <c r="N245" s="216"/>
      <c r="O245" s="216"/>
      <c r="P245" s="216"/>
      <c r="Q245" s="216"/>
      <c r="R245" s="216"/>
      <c r="S245" s="216"/>
      <c r="T245" s="216"/>
      <c r="U245" s="216"/>
      <c r="V245" s="216"/>
      <c r="W245" s="216"/>
      <c r="X245" s="216"/>
      <c r="Y245" s="216"/>
      <c r="Z245" s="152"/>
    </row>
    <row r="246" spans="1:26" s="1" customFormat="1" ht="17.399999999999999" customHeight="1">
      <c r="A246" s="143"/>
      <c r="B246" s="152"/>
      <c r="C246" s="152"/>
      <c r="D246" s="167"/>
      <c r="E246" s="152"/>
      <c r="F246" s="168"/>
      <c r="G246" s="283"/>
      <c r="H246" s="216"/>
      <c r="I246" s="216"/>
      <c r="J246" s="216"/>
      <c r="K246" s="216"/>
      <c r="L246" s="216"/>
      <c r="M246" s="216"/>
      <c r="N246" s="216"/>
      <c r="O246" s="216"/>
      <c r="P246" s="216"/>
      <c r="Q246" s="216"/>
      <c r="R246" s="216"/>
      <c r="S246" s="216"/>
      <c r="T246" s="216"/>
      <c r="U246" s="216"/>
      <c r="V246" s="216"/>
      <c r="W246" s="216"/>
      <c r="X246" s="216"/>
      <c r="Y246" s="216"/>
      <c r="Z246" s="152"/>
    </row>
    <row r="247" spans="1:26" s="1" customFormat="1" ht="17.399999999999999" customHeight="1">
      <c r="A247" s="143"/>
      <c r="B247" s="152"/>
      <c r="C247" s="152"/>
      <c r="D247" s="167"/>
      <c r="E247" s="152"/>
      <c r="F247" s="168"/>
      <c r="G247" s="283"/>
      <c r="H247" s="216"/>
      <c r="I247" s="216"/>
      <c r="J247" s="216"/>
      <c r="K247" s="216"/>
      <c r="L247" s="216"/>
      <c r="M247" s="216"/>
      <c r="N247" s="216"/>
      <c r="O247" s="216"/>
      <c r="P247" s="216"/>
      <c r="Q247" s="216"/>
      <c r="R247" s="216"/>
      <c r="S247" s="216"/>
      <c r="T247" s="216"/>
      <c r="U247" s="216"/>
      <c r="V247" s="216"/>
      <c r="W247" s="216"/>
      <c r="X247" s="216"/>
      <c r="Y247" s="216"/>
      <c r="Z247" s="152"/>
    </row>
    <row r="248" spans="1:26" s="1" customFormat="1" ht="17.399999999999999" customHeight="1">
      <c r="A248" s="143"/>
      <c r="B248" s="152"/>
      <c r="C248" s="152"/>
      <c r="D248" s="167"/>
      <c r="E248" s="152"/>
      <c r="F248" s="168"/>
      <c r="G248" s="283"/>
      <c r="H248" s="216"/>
      <c r="I248" s="216"/>
      <c r="J248" s="216"/>
      <c r="K248" s="216"/>
      <c r="L248" s="216"/>
      <c r="M248" s="216"/>
      <c r="N248" s="216"/>
      <c r="O248" s="216"/>
      <c r="P248" s="216"/>
      <c r="Q248" s="216"/>
      <c r="R248" s="216"/>
      <c r="S248" s="216"/>
      <c r="T248" s="216"/>
      <c r="U248" s="216"/>
      <c r="V248" s="216"/>
      <c r="W248" s="216"/>
      <c r="X248" s="216"/>
      <c r="Y248" s="216"/>
      <c r="Z248" s="152"/>
    </row>
    <row r="249" spans="1:26" s="1" customFormat="1" ht="17.399999999999999" customHeight="1">
      <c r="A249" s="143"/>
      <c r="B249" s="152"/>
      <c r="C249" s="152"/>
      <c r="D249" s="167"/>
      <c r="E249" s="152"/>
      <c r="F249" s="168"/>
      <c r="G249" s="283"/>
      <c r="H249" s="216"/>
      <c r="I249" s="216"/>
      <c r="J249" s="216"/>
      <c r="K249" s="216"/>
      <c r="L249" s="216"/>
      <c r="M249" s="216"/>
      <c r="N249" s="216"/>
      <c r="O249" s="216"/>
      <c r="P249" s="216"/>
      <c r="Q249" s="216"/>
      <c r="R249" s="216"/>
      <c r="S249" s="216"/>
      <c r="T249" s="216"/>
      <c r="U249" s="216"/>
      <c r="V249" s="216"/>
      <c r="W249" s="216"/>
      <c r="X249" s="216"/>
      <c r="Y249" s="216"/>
      <c r="Z249" s="152"/>
    </row>
    <row r="250" spans="1:26" s="1" customFormat="1" ht="17.399999999999999" customHeight="1">
      <c r="A250" s="143"/>
      <c r="B250" s="152"/>
      <c r="C250" s="152"/>
      <c r="D250" s="167"/>
      <c r="E250" s="152"/>
      <c r="F250" s="168"/>
      <c r="G250" s="283"/>
      <c r="H250" s="216"/>
      <c r="I250" s="216"/>
      <c r="J250" s="216"/>
      <c r="K250" s="216"/>
      <c r="L250" s="216"/>
      <c r="M250" s="216"/>
      <c r="N250" s="216"/>
      <c r="O250" s="216"/>
      <c r="P250" s="216"/>
      <c r="Q250" s="216"/>
      <c r="R250" s="216"/>
      <c r="S250" s="216"/>
      <c r="T250" s="216"/>
      <c r="U250" s="216"/>
      <c r="V250" s="216"/>
      <c r="W250" s="216"/>
      <c r="X250" s="216"/>
      <c r="Y250" s="216"/>
      <c r="Z250" s="152"/>
    </row>
    <row r="251" spans="1:26" s="1" customFormat="1" ht="17.399999999999999" customHeight="1">
      <c r="A251" s="143"/>
      <c r="B251" s="152"/>
      <c r="C251" s="152"/>
      <c r="D251" s="167"/>
      <c r="E251" s="152"/>
      <c r="F251" s="168"/>
      <c r="G251" s="283"/>
      <c r="H251" s="216"/>
      <c r="I251" s="216"/>
      <c r="J251" s="216"/>
      <c r="K251" s="216"/>
      <c r="L251" s="216"/>
      <c r="M251" s="216"/>
      <c r="N251" s="216"/>
      <c r="O251" s="216"/>
      <c r="P251" s="216"/>
      <c r="Q251" s="216"/>
      <c r="R251" s="216"/>
      <c r="S251" s="216"/>
      <c r="T251" s="216"/>
      <c r="U251" s="216"/>
      <c r="V251" s="216"/>
      <c r="W251" s="216"/>
      <c r="X251" s="216"/>
      <c r="Y251" s="216"/>
      <c r="Z251" s="152"/>
    </row>
    <row r="252" spans="1:26" s="1" customFormat="1" ht="17.399999999999999" customHeight="1">
      <c r="A252" s="143"/>
      <c r="B252" s="152"/>
      <c r="C252" s="152"/>
      <c r="D252" s="167"/>
      <c r="E252" s="152"/>
      <c r="F252" s="168"/>
      <c r="G252" s="283"/>
      <c r="H252" s="216"/>
      <c r="I252" s="216"/>
      <c r="J252" s="216"/>
      <c r="K252" s="216"/>
      <c r="L252" s="216"/>
      <c r="M252" s="216"/>
      <c r="N252" s="216"/>
      <c r="O252" s="216"/>
      <c r="P252" s="216"/>
      <c r="Q252" s="216"/>
      <c r="R252" s="216"/>
      <c r="S252" s="216"/>
      <c r="T252" s="216"/>
      <c r="U252" s="216"/>
      <c r="V252" s="216"/>
      <c r="W252" s="216"/>
      <c r="X252" s="216"/>
      <c r="Y252" s="216"/>
      <c r="Z252" s="152"/>
    </row>
    <row r="253" spans="1:26" s="1" customFormat="1" ht="17.399999999999999" customHeight="1">
      <c r="A253" s="143"/>
      <c r="B253" s="152"/>
      <c r="C253" s="152"/>
      <c r="D253" s="167"/>
      <c r="E253" s="152"/>
      <c r="F253" s="168"/>
      <c r="G253" s="283"/>
      <c r="H253" s="216"/>
      <c r="I253" s="216"/>
      <c r="J253" s="216"/>
      <c r="K253" s="216"/>
      <c r="L253" s="216"/>
      <c r="M253" s="216"/>
      <c r="N253" s="216"/>
      <c r="O253" s="216"/>
      <c r="P253" s="216"/>
      <c r="Q253" s="216"/>
      <c r="R253" s="216"/>
      <c r="S253" s="216"/>
      <c r="T253" s="216"/>
      <c r="U253" s="216"/>
      <c r="V253" s="216"/>
      <c r="W253" s="216"/>
      <c r="X253" s="216"/>
      <c r="Y253" s="216"/>
      <c r="Z253" s="152"/>
    </row>
    <row r="254" spans="1:26" s="1" customFormat="1" ht="17.399999999999999" customHeight="1">
      <c r="A254" s="143"/>
      <c r="B254" s="152"/>
      <c r="C254" s="152"/>
      <c r="D254" s="167"/>
      <c r="E254" s="152"/>
      <c r="F254" s="168"/>
      <c r="G254" s="283"/>
      <c r="H254" s="216"/>
      <c r="I254" s="216"/>
      <c r="J254" s="216"/>
      <c r="K254" s="216"/>
      <c r="L254" s="216"/>
      <c r="M254" s="216"/>
      <c r="N254" s="216"/>
      <c r="O254" s="216"/>
      <c r="P254" s="216"/>
      <c r="Q254" s="216"/>
      <c r="R254" s="216"/>
      <c r="S254" s="216"/>
      <c r="T254" s="216"/>
      <c r="U254" s="216"/>
      <c r="V254" s="216"/>
      <c r="W254" s="216"/>
      <c r="X254" s="216"/>
      <c r="Y254" s="216"/>
      <c r="Z254" s="152"/>
    </row>
    <row r="255" spans="1:26" s="1" customFormat="1" ht="17.399999999999999" customHeight="1">
      <c r="A255" s="143"/>
      <c r="B255" s="152"/>
      <c r="C255" s="152"/>
      <c r="D255" s="167"/>
      <c r="E255" s="152"/>
      <c r="F255" s="168"/>
      <c r="G255" s="283"/>
      <c r="H255" s="216"/>
      <c r="I255" s="216"/>
      <c r="J255" s="216"/>
      <c r="K255" s="216"/>
      <c r="L255" s="216"/>
      <c r="M255" s="216"/>
      <c r="N255" s="216"/>
      <c r="O255" s="216"/>
      <c r="P255" s="216"/>
      <c r="Q255" s="216"/>
      <c r="R255" s="216"/>
      <c r="S255" s="216"/>
      <c r="T255" s="216"/>
      <c r="U255" s="216"/>
      <c r="V255" s="216"/>
      <c r="W255" s="216"/>
      <c r="X255" s="216"/>
      <c r="Y255" s="216"/>
      <c r="Z255" s="152"/>
    </row>
    <row r="256" spans="1:26" s="1" customFormat="1" ht="17.399999999999999" customHeight="1">
      <c r="A256" s="143"/>
      <c r="B256" s="152"/>
      <c r="C256" s="152"/>
      <c r="D256" s="167"/>
      <c r="E256" s="152"/>
      <c r="F256" s="168"/>
      <c r="G256" s="283"/>
      <c r="H256" s="216"/>
      <c r="I256" s="216"/>
      <c r="J256" s="216"/>
      <c r="K256" s="216"/>
      <c r="L256" s="216"/>
      <c r="M256" s="216"/>
      <c r="N256" s="216"/>
      <c r="O256" s="216"/>
      <c r="P256" s="216"/>
      <c r="Q256" s="216"/>
      <c r="R256" s="216"/>
      <c r="S256" s="216"/>
      <c r="T256" s="216"/>
      <c r="U256" s="216"/>
      <c r="V256" s="216"/>
      <c r="W256" s="216"/>
      <c r="X256" s="216"/>
      <c r="Y256" s="216"/>
      <c r="Z256" s="152"/>
    </row>
    <row r="257" spans="1:26" s="1" customFormat="1" ht="17.399999999999999" customHeight="1">
      <c r="A257" s="143"/>
      <c r="B257" s="152"/>
      <c r="C257" s="152"/>
      <c r="D257" s="167"/>
      <c r="E257" s="152"/>
      <c r="F257" s="168"/>
      <c r="G257" s="283"/>
      <c r="H257" s="216"/>
      <c r="I257" s="216"/>
      <c r="J257" s="216"/>
      <c r="K257" s="216"/>
      <c r="L257" s="216"/>
      <c r="M257" s="216"/>
      <c r="N257" s="216"/>
      <c r="O257" s="216"/>
      <c r="P257" s="216"/>
      <c r="Q257" s="216"/>
      <c r="R257" s="216"/>
      <c r="S257" s="216"/>
      <c r="T257" s="216"/>
      <c r="U257" s="216"/>
      <c r="V257" s="216"/>
      <c r="W257" s="216"/>
      <c r="X257" s="216"/>
      <c r="Y257" s="216"/>
      <c r="Z257" s="152"/>
    </row>
    <row r="258" spans="1:26" s="1" customFormat="1" ht="17.399999999999999" customHeight="1">
      <c r="A258" s="143"/>
      <c r="B258" s="152"/>
      <c r="C258" s="152"/>
      <c r="D258" s="167"/>
      <c r="E258" s="152"/>
      <c r="F258" s="168"/>
      <c r="G258" s="283"/>
      <c r="H258" s="216"/>
      <c r="I258" s="216"/>
      <c r="J258" s="216"/>
      <c r="K258" s="216"/>
      <c r="L258" s="216"/>
      <c r="M258" s="216"/>
      <c r="N258" s="216"/>
      <c r="O258" s="216"/>
      <c r="P258" s="216"/>
      <c r="Q258" s="216"/>
      <c r="R258" s="216"/>
      <c r="S258" s="216"/>
      <c r="T258" s="216"/>
      <c r="U258" s="216"/>
      <c r="V258" s="216"/>
      <c r="W258" s="216"/>
      <c r="X258" s="216"/>
      <c r="Y258" s="216"/>
      <c r="Z258" s="152"/>
    </row>
    <row r="259" spans="1:26" s="1" customFormat="1" ht="17.399999999999999" customHeight="1">
      <c r="A259" s="143"/>
      <c r="B259" s="152"/>
      <c r="C259" s="152"/>
      <c r="D259" s="167"/>
      <c r="E259" s="152"/>
      <c r="F259" s="168"/>
      <c r="G259" s="283"/>
      <c r="H259" s="216"/>
      <c r="I259" s="216"/>
      <c r="J259" s="216"/>
      <c r="K259" s="216"/>
      <c r="L259" s="216"/>
      <c r="M259" s="216"/>
      <c r="N259" s="216"/>
      <c r="O259" s="216"/>
      <c r="P259" s="216"/>
      <c r="Q259" s="216"/>
      <c r="R259" s="216"/>
      <c r="S259" s="216"/>
      <c r="T259" s="216"/>
      <c r="U259" s="216"/>
      <c r="V259" s="216"/>
      <c r="W259" s="216"/>
      <c r="X259" s="216"/>
      <c r="Y259" s="216"/>
      <c r="Z259" s="152"/>
    </row>
    <row r="260" spans="1:26" s="1" customFormat="1" ht="17.399999999999999" customHeight="1">
      <c r="A260" s="143"/>
      <c r="B260" s="152"/>
      <c r="C260" s="152"/>
      <c r="D260" s="167"/>
      <c r="E260" s="152"/>
      <c r="F260" s="168"/>
      <c r="G260" s="283"/>
      <c r="H260" s="216"/>
      <c r="I260" s="216"/>
      <c r="J260" s="216"/>
      <c r="K260" s="216"/>
      <c r="L260" s="216"/>
      <c r="M260" s="216"/>
      <c r="N260" s="216"/>
      <c r="O260" s="216"/>
      <c r="P260" s="216"/>
      <c r="Q260" s="216"/>
      <c r="R260" s="216"/>
      <c r="S260" s="216"/>
      <c r="T260" s="216"/>
      <c r="U260" s="216"/>
      <c r="V260" s="216"/>
      <c r="W260" s="216"/>
      <c r="X260" s="216"/>
      <c r="Y260" s="216"/>
      <c r="Z260" s="152"/>
    </row>
    <row r="261" spans="1:26" s="1" customFormat="1" ht="17.399999999999999" customHeight="1">
      <c r="A261" s="143"/>
      <c r="B261" s="152"/>
      <c r="C261" s="152"/>
      <c r="D261" s="167"/>
      <c r="E261" s="152"/>
      <c r="F261" s="168"/>
      <c r="G261" s="283"/>
      <c r="H261" s="216"/>
      <c r="I261" s="216"/>
      <c r="J261" s="216"/>
      <c r="K261" s="216"/>
      <c r="L261" s="216"/>
      <c r="M261" s="216"/>
      <c r="N261" s="216"/>
      <c r="O261" s="216"/>
      <c r="P261" s="216"/>
      <c r="Q261" s="216"/>
      <c r="R261" s="216"/>
      <c r="S261" s="216"/>
      <c r="T261" s="216"/>
      <c r="U261" s="216"/>
      <c r="V261" s="216"/>
      <c r="W261" s="216"/>
      <c r="X261" s="216"/>
      <c r="Y261" s="216"/>
      <c r="Z261" s="152"/>
    </row>
    <row r="262" spans="1:26" s="1" customFormat="1" ht="17.399999999999999" customHeight="1">
      <c r="A262" s="143"/>
      <c r="B262" s="152"/>
      <c r="C262" s="152"/>
      <c r="D262" s="167"/>
      <c r="E262" s="152"/>
      <c r="F262" s="168"/>
      <c r="G262" s="283"/>
      <c r="H262" s="216"/>
      <c r="I262" s="216"/>
      <c r="J262" s="216"/>
      <c r="K262" s="216"/>
      <c r="L262" s="216"/>
      <c r="M262" s="216"/>
      <c r="N262" s="216"/>
      <c r="O262" s="216"/>
      <c r="P262" s="216"/>
      <c r="Q262" s="216"/>
      <c r="R262" s="216"/>
      <c r="S262" s="216"/>
      <c r="T262" s="216"/>
      <c r="U262" s="216"/>
      <c r="V262" s="216"/>
      <c r="W262" s="216"/>
      <c r="X262" s="216"/>
      <c r="Y262" s="216"/>
      <c r="Z262" s="152"/>
    </row>
    <row r="263" spans="1:26" s="1" customFormat="1" ht="17.399999999999999" customHeight="1">
      <c r="A263" s="143"/>
      <c r="B263" s="152"/>
      <c r="C263" s="152"/>
      <c r="D263" s="167"/>
      <c r="E263" s="152"/>
      <c r="F263" s="168"/>
      <c r="G263" s="283"/>
      <c r="H263" s="216"/>
      <c r="I263" s="216"/>
      <c r="J263" s="216"/>
      <c r="K263" s="216"/>
      <c r="L263" s="216"/>
      <c r="M263" s="216"/>
      <c r="N263" s="216"/>
      <c r="O263" s="216"/>
      <c r="P263" s="216"/>
      <c r="Q263" s="216"/>
      <c r="R263" s="216"/>
      <c r="S263" s="216"/>
      <c r="T263" s="216"/>
      <c r="U263" s="216"/>
      <c r="V263" s="216"/>
      <c r="W263" s="216"/>
      <c r="X263" s="216"/>
      <c r="Y263" s="216"/>
      <c r="Z263" s="152"/>
    </row>
    <row r="264" spans="1:26" s="1" customFormat="1" ht="17.399999999999999" customHeight="1">
      <c r="A264" s="143"/>
      <c r="B264" s="152"/>
      <c r="C264" s="152"/>
      <c r="D264" s="167"/>
      <c r="E264" s="152"/>
      <c r="F264" s="168"/>
      <c r="G264" s="283"/>
      <c r="H264" s="216"/>
      <c r="I264" s="216"/>
      <c r="J264" s="216"/>
      <c r="K264" s="216"/>
      <c r="L264" s="216"/>
      <c r="M264" s="216"/>
      <c r="N264" s="216"/>
      <c r="O264" s="216"/>
      <c r="P264" s="216"/>
      <c r="Q264" s="216"/>
      <c r="R264" s="216"/>
      <c r="S264" s="216"/>
      <c r="T264" s="216"/>
      <c r="U264" s="216"/>
      <c r="V264" s="216"/>
      <c r="W264" s="216"/>
      <c r="X264" s="216"/>
      <c r="Y264" s="216"/>
      <c r="Z264" s="152"/>
    </row>
    <row r="265" spans="1:26" ht="15.6">
      <c r="A265" s="143"/>
      <c r="B265" s="169"/>
      <c r="C265" s="169"/>
      <c r="D265" s="170"/>
      <c r="E265" s="171"/>
      <c r="F265" s="171"/>
      <c r="G265" s="172"/>
      <c r="H265" s="171"/>
      <c r="I265" s="171"/>
      <c r="J265" s="171"/>
      <c r="K265" s="171"/>
      <c r="L265" s="171"/>
      <c r="M265" s="171"/>
      <c r="N265" s="171"/>
      <c r="O265" s="171"/>
      <c r="P265" s="171"/>
      <c r="Q265" s="171"/>
      <c r="R265" s="171"/>
      <c r="S265" s="171"/>
      <c r="T265" s="171"/>
      <c r="U265" s="171"/>
      <c r="V265" s="171"/>
      <c r="W265" s="171"/>
      <c r="X265" s="171"/>
      <c r="Y265" s="171"/>
      <c r="Z265" s="169"/>
    </row>
    <row r="266" spans="1:26" ht="15.6">
      <c r="A266" s="143"/>
      <c r="B266" s="169"/>
      <c r="C266" s="169"/>
      <c r="D266" s="170"/>
      <c r="E266" s="171"/>
      <c r="F266" s="171"/>
      <c r="G266" s="172"/>
      <c r="H266" s="171"/>
      <c r="I266" s="171"/>
      <c r="J266" s="171"/>
      <c r="K266" s="171"/>
      <c r="L266" s="171"/>
      <c r="M266" s="171"/>
      <c r="N266" s="171"/>
      <c r="O266" s="171"/>
      <c r="P266" s="171"/>
      <c r="Q266" s="171"/>
      <c r="R266" s="171"/>
      <c r="S266" s="171"/>
      <c r="T266" s="171"/>
      <c r="U266" s="171"/>
      <c r="V266" s="171"/>
      <c r="W266" s="171"/>
      <c r="X266" s="171"/>
      <c r="Y266" s="171"/>
      <c r="Z266" s="169"/>
    </row>
    <row r="267" spans="1:26" ht="15.6">
      <c r="A267" s="143"/>
      <c r="B267" s="169"/>
      <c r="C267" s="169"/>
      <c r="D267" s="170"/>
      <c r="E267" s="171"/>
      <c r="F267" s="171"/>
      <c r="G267" s="172"/>
      <c r="H267" s="171"/>
      <c r="I267" s="171"/>
      <c r="J267" s="171"/>
      <c r="K267" s="171"/>
      <c r="L267" s="171"/>
      <c r="M267" s="171"/>
      <c r="N267" s="171"/>
      <c r="O267" s="171"/>
      <c r="P267" s="171"/>
      <c r="Q267" s="171"/>
      <c r="R267" s="171"/>
      <c r="S267" s="171"/>
      <c r="T267" s="171"/>
      <c r="U267" s="171"/>
      <c r="V267" s="171"/>
      <c r="W267" s="171"/>
      <c r="X267" s="171"/>
      <c r="Y267" s="171"/>
      <c r="Z267" s="169"/>
    </row>
    <row r="268" spans="1:26" ht="15.6">
      <c r="A268" s="143"/>
      <c r="B268" s="169"/>
      <c r="C268" s="169"/>
      <c r="D268" s="170"/>
      <c r="E268" s="171"/>
      <c r="F268" s="171"/>
      <c r="G268" s="172"/>
      <c r="H268" s="171"/>
      <c r="I268" s="171"/>
      <c r="J268" s="171"/>
      <c r="K268" s="171"/>
      <c r="L268" s="171"/>
      <c r="M268" s="171"/>
      <c r="N268" s="171"/>
      <c r="O268" s="171"/>
      <c r="P268" s="171"/>
      <c r="Q268" s="171"/>
      <c r="R268" s="171"/>
      <c r="S268" s="171"/>
      <c r="T268" s="171"/>
      <c r="U268" s="171"/>
      <c r="V268" s="171"/>
      <c r="W268" s="171"/>
      <c r="X268" s="171"/>
      <c r="Y268" s="171"/>
      <c r="Z268" s="169"/>
    </row>
    <row r="269" spans="1:26" ht="15.6">
      <c r="A269" s="143"/>
      <c r="B269" s="169"/>
      <c r="C269" s="169"/>
      <c r="D269" s="170"/>
      <c r="E269" s="171"/>
      <c r="F269" s="171"/>
      <c r="G269" s="172"/>
      <c r="H269" s="171"/>
      <c r="I269" s="171"/>
      <c r="J269" s="171"/>
      <c r="K269" s="171"/>
      <c r="L269" s="171"/>
      <c r="M269" s="171"/>
      <c r="N269" s="171"/>
      <c r="O269" s="171"/>
      <c r="P269" s="171"/>
      <c r="Q269" s="171"/>
      <c r="R269" s="171"/>
      <c r="S269" s="171"/>
      <c r="T269" s="171"/>
      <c r="U269" s="171"/>
      <c r="V269" s="171"/>
      <c r="W269" s="171"/>
      <c r="X269" s="171"/>
      <c r="Y269" s="171"/>
      <c r="Z269" s="169"/>
    </row>
    <row r="270" spans="1:26" ht="15.6">
      <c r="A270" s="143"/>
      <c r="B270" s="169"/>
      <c r="C270" s="169"/>
      <c r="D270" s="170"/>
      <c r="E270" s="171"/>
      <c r="F270" s="171"/>
      <c r="G270" s="172"/>
      <c r="H270" s="171"/>
      <c r="I270" s="171"/>
      <c r="J270" s="171"/>
      <c r="K270" s="171"/>
      <c r="L270" s="171"/>
      <c r="M270" s="171"/>
      <c r="N270" s="171"/>
      <c r="O270" s="171"/>
      <c r="P270" s="171"/>
      <c r="Q270" s="171"/>
      <c r="R270" s="171"/>
      <c r="S270" s="171"/>
      <c r="T270" s="171"/>
      <c r="U270" s="171"/>
      <c r="V270" s="171"/>
      <c r="W270" s="171"/>
      <c r="X270" s="171"/>
      <c r="Y270" s="171"/>
      <c r="Z270" s="169"/>
    </row>
    <row r="271" spans="1:26" ht="15.6">
      <c r="A271" s="143"/>
      <c r="B271" s="169"/>
      <c r="C271" s="169"/>
      <c r="D271" s="170"/>
      <c r="E271" s="171"/>
      <c r="F271" s="171"/>
      <c r="G271" s="172"/>
      <c r="H271" s="171"/>
      <c r="I271" s="171"/>
      <c r="J271" s="171"/>
      <c r="K271" s="171"/>
      <c r="L271" s="171"/>
      <c r="M271" s="171"/>
      <c r="N271" s="171"/>
      <c r="O271" s="171"/>
      <c r="P271" s="171"/>
      <c r="Q271" s="171"/>
      <c r="R271" s="171"/>
      <c r="S271" s="171"/>
      <c r="T271" s="171"/>
      <c r="U271" s="171"/>
      <c r="V271" s="171"/>
      <c r="W271" s="171"/>
      <c r="X271" s="171"/>
      <c r="Y271" s="171"/>
      <c r="Z271" s="169"/>
    </row>
    <row r="272" spans="1:26" ht="15.6">
      <c r="A272" s="143"/>
      <c r="B272" s="169"/>
      <c r="C272" s="169"/>
      <c r="D272" s="170"/>
      <c r="E272" s="171"/>
      <c r="F272" s="171"/>
      <c r="G272" s="172"/>
      <c r="H272" s="171"/>
      <c r="I272" s="171"/>
      <c r="J272" s="171"/>
      <c r="K272" s="171"/>
      <c r="L272" s="171"/>
      <c r="M272" s="171"/>
      <c r="N272" s="171"/>
      <c r="O272" s="171"/>
      <c r="P272" s="171"/>
      <c r="Q272" s="171"/>
      <c r="R272" s="171"/>
      <c r="S272" s="171"/>
      <c r="T272" s="171"/>
      <c r="U272" s="171"/>
      <c r="V272" s="171"/>
      <c r="W272" s="171"/>
      <c r="X272" s="171"/>
      <c r="Y272" s="171"/>
      <c r="Z272" s="169"/>
    </row>
    <row r="273" spans="1:26" ht="15.6">
      <c r="A273" s="143"/>
      <c r="B273" s="169"/>
      <c r="C273" s="169"/>
      <c r="D273" s="170"/>
      <c r="E273" s="171"/>
      <c r="F273" s="171"/>
      <c r="G273" s="172"/>
      <c r="H273" s="171"/>
      <c r="I273" s="171"/>
      <c r="J273" s="171"/>
      <c r="K273" s="171"/>
      <c r="L273" s="171"/>
      <c r="M273" s="171"/>
      <c r="N273" s="171"/>
      <c r="O273" s="171"/>
      <c r="P273" s="171"/>
      <c r="Q273" s="171"/>
      <c r="R273" s="171"/>
      <c r="S273" s="171"/>
      <c r="T273" s="171"/>
      <c r="U273" s="171"/>
      <c r="V273" s="171"/>
      <c r="W273" s="171"/>
      <c r="X273" s="171"/>
      <c r="Y273" s="171"/>
      <c r="Z273" s="169"/>
    </row>
    <row r="274" spans="1:26" ht="15.6">
      <c r="A274" s="143"/>
      <c r="B274" s="169"/>
      <c r="C274" s="169"/>
      <c r="D274" s="170"/>
      <c r="E274" s="171"/>
      <c r="F274" s="171"/>
      <c r="G274" s="172"/>
      <c r="H274" s="171"/>
      <c r="I274" s="171"/>
      <c r="J274" s="171"/>
      <c r="K274" s="171"/>
      <c r="L274" s="171"/>
      <c r="M274" s="171"/>
      <c r="N274" s="171"/>
      <c r="O274" s="171"/>
      <c r="P274" s="171"/>
      <c r="Q274" s="171"/>
      <c r="R274" s="171"/>
      <c r="S274" s="171"/>
      <c r="T274" s="171"/>
      <c r="U274" s="171"/>
      <c r="V274" s="171"/>
      <c r="W274" s="171"/>
      <c r="X274" s="171"/>
      <c r="Y274" s="171"/>
      <c r="Z274" s="169"/>
    </row>
    <row r="275" spans="1:26" ht="15.6">
      <c r="A275" s="143"/>
      <c r="B275" s="169"/>
      <c r="C275" s="169"/>
      <c r="D275" s="170"/>
      <c r="E275" s="171"/>
      <c r="F275" s="171"/>
      <c r="G275" s="172"/>
      <c r="H275" s="171"/>
      <c r="I275" s="171"/>
      <c r="J275" s="171"/>
      <c r="K275" s="171"/>
      <c r="L275" s="171"/>
      <c r="M275" s="171"/>
      <c r="N275" s="171"/>
      <c r="O275" s="171"/>
      <c r="P275" s="171"/>
      <c r="Q275" s="171"/>
      <c r="R275" s="171"/>
      <c r="S275" s="171"/>
      <c r="T275" s="171"/>
      <c r="U275" s="171"/>
      <c r="V275" s="171"/>
      <c r="W275" s="171"/>
      <c r="X275" s="171"/>
      <c r="Y275" s="171"/>
      <c r="Z275" s="169"/>
    </row>
    <row r="276" spans="1:26" ht="15.6">
      <c r="A276" s="143"/>
      <c r="B276" s="169"/>
      <c r="C276" s="169"/>
      <c r="D276" s="170"/>
      <c r="E276" s="171"/>
      <c r="F276" s="171"/>
      <c r="G276" s="172"/>
      <c r="H276" s="171"/>
      <c r="I276" s="171"/>
      <c r="J276" s="171"/>
      <c r="K276" s="171"/>
      <c r="L276" s="171"/>
      <c r="M276" s="171"/>
      <c r="N276" s="171"/>
      <c r="O276" s="171"/>
      <c r="P276" s="171"/>
      <c r="Q276" s="171"/>
      <c r="R276" s="171"/>
      <c r="S276" s="171"/>
      <c r="T276" s="171"/>
      <c r="U276" s="171"/>
      <c r="V276" s="171"/>
      <c r="W276" s="171"/>
      <c r="X276" s="171"/>
      <c r="Y276" s="171"/>
      <c r="Z276" s="169"/>
    </row>
    <row r="277" spans="1:26" ht="15.6">
      <c r="A277" s="143"/>
      <c r="B277" s="169"/>
      <c r="C277" s="169"/>
      <c r="D277" s="170"/>
      <c r="E277" s="171"/>
      <c r="F277" s="171"/>
      <c r="G277" s="172"/>
      <c r="H277" s="171"/>
      <c r="I277" s="171"/>
      <c r="J277" s="171"/>
      <c r="K277" s="171"/>
      <c r="L277" s="171"/>
      <c r="M277" s="171"/>
      <c r="N277" s="171"/>
      <c r="O277" s="171"/>
      <c r="P277" s="171"/>
      <c r="Q277" s="171"/>
      <c r="R277" s="171"/>
      <c r="S277" s="171"/>
      <c r="T277" s="171"/>
      <c r="U277" s="171"/>
      <c r="V277" s="171"/>
      <c r="W277" s="171"/>
      <c r="X277" s="171"/>
      <c r="Y277" s="171"/>
      <c r="Z277" s="169"/>
    </row>
    <row r="278" spans="1:26" ht="15.6">
      <c r="A278" s="143"/>
      <c r="B278" s="169"/>
      <c r="C278" s="169"/>
      <c r="D278" s="170"/>
      <c r="E278" s="171"/>
      <c r="F278" s="171"/>
      <c r="G278" s="172"/>
      <c r="H278" s="171"/>
      <c r="I278" s="171"/>
      <c r="J278" s="171"/>
      <c r="K278" s="171"/>
      <c r="L278" s="171"/>
      <c r="M278" s="171"/>
      <c r="N278" s="171"/>
      <c r="O278" s="171"/>
      <c r="P278" s="171"/>
      <c r="Q278" s="171"/>
      <c r="R278" s="171"/>
      <c r="S278" s="171"/>
      <c r="T278" s="171"/>
      <c r="U278" s="171"/>
      <c r="V278" s="171"/>
      <c r="W278" s="171"/>
      <c r="X278" s="171"/>
      <c r="Y278" s="171"/>
      <c r="Z278" s="169"/>
    </row>
    <row r="279" spans="1:26" ht="15.6">
      <c r="A279" s="143"/>
      <c r="B279" s="169"/>
      <c r="C279" s="169"/>
      <c r="D279" s="170"/>
      <c r="E279" s="171"/>
      <c r="F279" s="171"/>
      <c r="G279" s="172"/>
      <c r="H279" s="171"/>
      <c r="I279" s="171"/>
      <c r="J279" s="171"/>
      <c r="K279" s="171"/>
      <c r="L279" s="171"/>
      <c r="M279" s="171"/>
      <c r="N279" s="171"/>
      <c r="O279" s="171"/>
      <c r="P279" s="171"/>
      <c r="Q279" s="171"/>
      <c r="R279" s="171"/>
      <c r="S279" s="171"/>
      <c r="T279" s="171"/>
      <c r="U279" s="171"/>
      <c r="V279" s="171"/>
      <c r="W279" s="171"/>
      <c r="X279" s="171"/>
      <c r="Y279" s="171"/>
      <c r="Z279" s="169"/>
    </row>
    <row r="280" spans="1:26" ht="15.6">
      <c r="A280" s="143"/>
      <c r="B280" s="169"/>
      <c r="C280" s="169"/>
      <c r="D280" s="169"/>
      <c r="E280" s="169"/>
      <c r="F280" s="171"/>
      <c r="G280" s="172"/>
      <c r="H280" s="171"/>
      <c r="I280" s="171"/>
      <c r="J280" s="171"/>
      <c r="K280" s="171"/>
      <c r="L280" s="171"/>
      <c r="M280" s="171"/>
      <c r="N280" s="171"/>
      <c r="O280" s="171"/>
      <c r="P280" s="171"/>
      <c r="Q280" s="171"/>
      <c r="R280" s="171"/>
      <c r="S280" s="171"/>
      <c r="T280" s="171"/>
      <c r="U280" s="171"/>
      <c r="V280" s="171"/>
      <c r="W280" s="171"/>
      <c r="X280" s="171"/>
      <c r="Y280" s="171"/>
      <c r="Z280" s="169"/>
    </row>
    <row r="281" spans="1:26" ht="15.6">
      <c r="A281" s="143"/>
      <c r="B281" s="169"/>
      <c r="C281" s="169"/>
      <c r="D281" s="169"/>
      <c r="E281" s="169"/>
      <c r="F281" s="171"/>
      <c r="G281" s="172"/>
      <c r="H281" s="171"/>
      <c r="I281" s="171"/>
      <c r="J281" s="171"/>
      <c r="K281" s="171"/>
      <c r="L281" s="171"/>
      <c r="M281" s="171"/>
      <c r="N281" s="171"/>
      <c r="O281" s="171"/>
      <c r="P281" s="171"/>
      <c r="Q281" s="171"/>
      <c r="R281" s="171"/>
      <c r="S281" s="171"/>
      <c r="T281" s="171"/>
      <c r="U281" s="171"/>
      <c r="V281" s="171"/>
      <c r="W281" s="171"/>
      <c r="X281" s="171"/>
      <c r="Y281" s="171"/>
      <c r="Z281" s="169"/>
    </row>
    <row r="282" spans="1:26" ht="15.6">
      <c r="A282" s="143"/>
      <c r="B282" s="169"/>
      <c r="C282" s="169"/>
      <c r="D282" s="169"/>
      <c r="E282" s="169"/>
      <c r="F282" s="171"/>
      <c r="G282" s="172"/>
      <c r="H282" s="171"/>
      <c r="I282" s="171"/>
      <c r="J282" s="171"/>
      <c r="K282" s="171"/>
      <c r="L282" s="171"/>
      <c r="M282" s="171"/>
      <c r="N282" s="171"/>
      <c r="O282" s="171"/>
      <c r="P282" s="171"/>
      <c r="Q282" s="171"/>
      <c r="R282" s="171"/>
      <c r="S282" s="171"/>
      <c r="T282" s="171"/>
      <c r="U282" s="171"/>
      <c r="V282" s="171"/>
      <c r="W282" s="171"/>
      <c r="X282" s="171"/>
      <c r="Y282" s="171"/>
      <c r="Z282" s="169"/>
    </row>
    <row r="283" spans="1:26" ht="15.6">
      <c r="A283" s="143"/>
      <c r="B283" s="169"/>
      <c r="C283" s="169"/>
      <c r="D283" s="169"/>
      <c r="E283" s="169"/>
      <c r="F283" s="171"/>
      <c r="G283" s="172"/>
      <c r="H283" s="171"/>
      <c r="I283" s="171"/>
      <c r="J283" s="171"/>
      <c r="K283" s="171"/>
      <c r="L283" s="171"/>
      <c r="M283" s="171"/>
      <c r="N283" s="171"/>
      <c r="O283" s="171"/>
      <c r="P283" s="171"/>
      <c r="Q283" s="171"/>
      <c r="R283" s="171"/>
      <c r="S283" s="171"/>
      <c r="T283" s="171"/>
      <c r="U283" s="171"/>
      <c r="V283" s="171"/>
      <c r="W283" s="171"/>
      <c r="X283" s="171"/>
      <c r="Y283" s="171"/>
      <c r="Z283" s="169"/>
    </row>
    <row r="284" spans="1:26" s="82" customFormat="1" ht="17.399999999999999" customHeight="1">
      <c r="A284" s="143"/>
      <c r="B284" s="169"/>
      <c r="C284" s="169"/>
      <c r="D284" s="169"/>
      <c r="E284" s="169"/>
      <c r="F284" s="173"/>
      <c r="G284" s="174"/>
      <c r="H284" s="173"/>
      <c r="I284" s="173"/>
      <c r="J284" s="173"/>
      <c r="K284" s="173"/>
      <c r="L284" s="173"/>
      <c r="M284" s="173"/>
      <c r="N284" s="173"/>
      <c r="O284" s="173"/>
      <c r="P284" s="173"/>
      <c r="Q284" s="173"/>
      <c r="R284" s="173"/>
      <c r="S284" s="173"/>
      <c r="T284" s="173"/>
      <c r="U284" s="173"/>
      <c r="V284" s="173"/>
      <c r="W284" s="173"/>
      <c r="X284" s="173"/>
      <c r="Y284" s="173"/>
      <c r="Z284" s="175"/>
    </row>
    <row r="285" spans="1:26" ht="15.6">
      <c r="A285" s="143"/>
      <c r="B285" s="169"/>
      <c r="C285" s="169"/>
      <c r="D285" s="169"/>
      <c r="E285" s="169"/>
      <c r="F285" s="171"/>
      <c r="G285" s="172"/>
      <c r="H285" s="171"/>
      <c r="I285" s="171"/>
      <c r="J285" s="171"/>
      <c r="K285" s="171"/>
      <c r="L285" s="171"/>
      <c r="M285" s="171"/>
      <c r="N285" s="171"/>
      <c r="O285" s="171"/>
      <c r="P285" s="171"/>
      <c r="Q285" s="171"/>
      <c r="R285" s="171"/>
      <c r="S285" s="171"/>
      <c r="T285" s="171"/>
      <c r="U285" s="171"/>
      <c r="V285" s="171"/>
      <c r="W285" s="171"/>
      <c r="X285" s="171"/>
      <c r="Y285" s="171"/>
      <c r="Z285" s="169"/>
    </row>
    <row r="286" spans="1:26" ht="15.6">
      <c r="A286" s="143"/>
      <c r="B286" s="169"/>
      <c r="C286" s="169"/>
      <c r="D286" s="169"/>
      <c r="E286" s="169"/>
      <c r="F286" s="171"/>
      <c r="G286" s="172"/>
      <c r="H286" s="171"/>
      <c r="I286" s="171"/>
      <c r="J286" s="171"/>
      <c r="K286" s="171"/>
      <c r="L286" s="171"/>
      <c r="M286" s="171"/>
      <c r="N286" s="171"/>
      <c r="O286" s="171"/>
      <c r="P286" s="171"/>
      <c r="Q286" s="171"/>
      <c r="R286" s="171"/>
      <c r="S286" s="171"/>
      <c r="T286" s="171"/>
      <c r="U286" s="171"/>
      <c r="V286" s="171"/>
      <c r="W286" s="171"/>
      <c r="X286" s="171"/>
      <c r="Y286" s="171"/>
      <c r="Z286" s="169"/>
    </row>
    <row r="287" spans="1:26" ht="15.6">
      <c r="A287" s="143"/>
      <c r="B287" s="169"/>
      <c r="C287" s="169"/>
      <c r="D287" s="169"/>
      <c r="E287" s="169"/>
      <c r="F287" s="171"/>
      <c r="G287" s="172"/>
      <c r="H287" s="171"/>
      <c r="I287" s="171"/>
      <c r="J287" s="171"/>
      <c r="K287" s="171"/>
      <c r="L287" s="171"/>
      <c r="M287" s="171"/>
      <c r="N287" s="171"/>
      <c r="O287" s="171"/>
      <c r="P287" s="171"/>
      <c r="Q287" s="171"/>
      <c r="R287" s="171"/>
      <c r="S287" s="171"/>
      <c r="T287" s="171"/>
      <c r="U287" s="171"/>
      <c r="V287" s="171"/>
      <c r="W287" s="171"/>
      <c r="X287" s="171"/>
      <c r="Y287" s="171"/>
      <c r="Z287" s="169"/>
    </row>
    <row r="288" spans="1:26" ht="15.6">
      <c r="A288" s="143"/>
      <c r="B288" s="169"/>
      <c r="C288" s="169"/>
      <c r="D288" s="170"/>
      <c r="E288" s="171"/>
      <c r="F288" s="171"/>
      <c r="G288" s="172"/>
      <c r="H288" s="171"/>
      <c r="I288" s="171"/>
      <c r="J288" s="171"/>
      <c r="K288" s="171"/>
      <c r="L288" s="171"/>
      <c r="M288" s="171"/>
      <c r="N288" s="171"/>
      <c r="O288" s="171"/>
      <c r="P288" s="171"/>
      <c r="Q288" s="171"/>
      <c r="R288" s="171"/>
      <c r="S288" s="171"/>
      <c r="T288" s="171"/>
      <c r="U288" s="171"/>
      <c r="V288" s="171"/>
      <c r="W288" s="171"/>
      <c r="X288" s="171"/>
      <c r="Y288" s="171"/>
      <c r="Z288" s="169"/>
    </row>
    <row r="289" spans="1:26" ht="15.6">
      <c r="A289" s="143"/>
      <c r="B289" s="169"/>
      <c r="C289" s="169"/>
      <c r="D289" s="170"/>
      <c r="E289" s="171"/>
      <c r="F289" s="171"/>
      <c r="G289" s="172"/>
      <c r="H289" s="171"/>
      <c r="I289" s="171"/>
      <c r="J289" s="171"/>
      <c r="K289" s="171"/>
      <c r="L289" s="171"/>
      <c r="M289" s="171"/>
      <c r="N289" s="171"/>
      <c r="O289" s="171"/>
      <c r="P289" s="171"/>
      <c r="Q289" s="171"/>
      <c r="R289" s="171"/>
      <c r="S289" s="171"/>
      <c r="T289" s="171"/>
      <c r="U289" s="171"/>
      <c r="V289" s="171"/>
      <c r="W289" s="171"/>
      <c r="X289" s="171"/>
      <c r="Y289" s="171"/>
      <c r="Z289" s="169"/>
    </row>
    <row r="290" spans="1:26" ht="15.6">
      <c r="A290" s="143"/>
      <c r="B290" s="169"/>
      <c r="C290" s="169"/>
      <c r="D290" s="170"/>
      <c r="E290" s="171"/>
      <c r="F290" s="171"/>
      <c r="G290" s="172"/>
      <c r="H290" s="171"/>
      <c r="I290" s="171"/>
      <c r="J290" s="171"/>
      <c r="K290" s="171"/>
      <c r="L290" s="171"/>
      <c r="M290" s="171"/>
      <c r="N290" s="171"/>
      <c r="O290" s="171"/>
      <c r="P290" s="171"/>
      <c r="Q290" s="171"/>
      <c r="R290" s="171"/>
      <c r="S290" s="171"/>
      <c r="T290" s="171"/>
      <c r="U290" s="171"/>
      <c r="V290" s="171"/>
      <c r="W290" s="171"/>
      <c r="X290" s="171"/>
      <c r="Y290" s="171"/>
      <c r="Z290" s="169"/>
    </row>
    <row r="291" spans="1:26" ht="15.6">
      <c r="A291" s="143"/>
      <c r="B291" s="169"/>
      <c r="C291" s="169"/>
      <c r="D291" s="170"/>
      <c r="E291" s="171"/>
      <c r="F291" s="171"/>
      <c r="G291" s="172"/>
      <c r="H291" s="171"/>
      <c r="I291" s="171"/>
      <c r="J291" s="171"/>
      <c r="K291" s="171"/>
      <c r="L291" s="171"/>
      <c r="M291" s="171"/>
      <c r="N291" s="171"/>
      <c r="O291" s="171"/>
      <c r="P291" s="171"/>
      <c r="Q291" s="171"/>
      <c r="R291" s="171"/>
      <c r="S291" s="171"/>
      <c r="T291" s="171"/>
      <c r="U291" s="171"/>
      <c r="V291" s="171"/>
      <c r="W291" s="171"/>
      <c r="X291" s="171"/>
      <c r="Y291" s="171"/>
      <c r="Z291" s="169"/>
    </row>
    <row r="292" spans="1:26" ht="15.6">
      <c r="A292" s="143"/>
      <c r="B292" s="169"/>
      <c r="C292" s="169"/>
      <c r="D292" s="170"/>
      <c r="E292" s="171"/>
      <c r="F292" s="171"/>
      <c r="G292" s="172"/>
      <c r="H292" s="171"/>
      <c r="I292" s="171"/>
      <c r="J292" s="171"/>
      <c r="K292" s="171"/>
      <c r="L292" s="171"/>
      <c r="M292" s="171"/>
      <c r="N292" s="171"/>
      <c r="O292" s="171"/>
      <c r="P292" s="171"/>
      <c r="Q292" s="171"/>
      <c r="R292" s="171"/>
      <c r="S292" s="171"/>
      <c r="T292" s="171"/>
      <c r="U292" s="171"/>
      <c r="V292" s="171"/>
      <c r="W292" s="171"/>
      <c r="X292" s="171"/>
      <c r="Y292" s="171"/>
      <c r="Z292" s="169"/>
    </row>
    <row r="293" spans="1:26" ht="15.6">
      <c r="A293" s="143"/>
      <c r="B293" s="169"/>
      <c r="C293" s="169"/>
      <c r="D293" s="170"/>
      <c r="E293" s="171"/>
      <c r="F293" s="171"/>
      <c r="G293" s="172"/>
      <c r="H293" s="171"/>
      <c r="I293" s="171"/>
      <c r="J293" s="171"/>
      <c r="K293" s="171"/>
      <c r="L293" s="171"/>
      <c r="M293" s="171"/>
      <c r="N293" s="171"/>
      <c r="O293" s="171"/>
      <c r="P293" s="171"/>
      <c r="Q293" s="171"/>
      <c r="R293" s="171"/>
      <c r="S293" s="171"/>
      <c r="T293" s="171"/>
      <c r="U293" s="171"/>
      <c r="V293" s="171"/>
      <c r="W293" s="171"/>
      <c r="X293" s="171"/>
      <c r="Y293" s="171"/>
      <c r="Z293" s="169"/>
    </row>
    <row r="294" spans="1:26" ht="15.6">
      <c r="A294" s="143"/>
      <c r="B294" s="169"/>
      <c r="C294" s="169"/>
      <c r="D294" s="170"/>
      <c r="E294" s="171"/>
      <c r="F294" s="171"/>
      <c r="G294" s="172"/>
      <c r="H294" s="171"/>
      <c r="I294" s="171"/>
      <c r="J294" s="171"/>
      <c r="K294" s="171"/>
      <c r="L294" s="171"/>
      <c r="M294" s="171"/>
      <c r="N294" s="171"/>
      <c r="O294" s="171"/>
      <c r="P294" s="171"/>
      <c r="Q294" s="171"/>
      <c r="R294" s="171"/>
      <c r="S294" s="171"/>
      <c r="T294" s="171"/>
      <c r="U294" s="171"/>
      <c r="V294" s="171"/>
      <c r="W294" s="171"/>
      <c r="X294" s="171"/>
      <c r="Y294" s="171"/>
      <c r="Z294" s="169"/>
    </row>
    <row r="295" spans="1:26" ht="15.6">
      <c r="A295" s="143"/>
      <c r="B295" s="169"/>
      <c r="C295" s="169"/>
      <c r="D295" s="170"/>
      <c r="E295" s="171"/>
      <c r="F295" s="171"/>
      <c r="G295" s="172"/>
      <c r="H295" s="171"/>
      <c r="I295" s="171"/>
      <c r="J295" s="171"/>
      <c r="K295" s="171"/>
      <c r="L295" s="171"/>
      <c r="M295" s="171"/>
      <c r="N295" s="171"/>
      <c r="O295" s="171"/>
      <c r="P295" s="171"/>
      <c r="Q295" s="171"/>
      <c r="R295" s="171"/>
      <c r="S295" s="171"/>
      <c r="T295" s="171"/>
      <c r="U295" s="171"/>
      <c r="V295" s="171"/>
      <c r="W295" s="171"/>
      <c r="X295" s="171"/>
      <c r="Y295" s="171"/>
      <c r="Z295" s="169"/>
    </row>
    <row r="296" spans="1:26" ht="15.6">
      <c r="A296" s="143"/>
      <c r="B296" s="169"/>
      <c r="C296" s="169"/>
      <c r="D296" s="170"/>
      <c r="E296" s="171"/>
      <c r="F296" s="171"/>
      <c r="G296" s="172"/>
      <c r="H296" s="171"/>
      <c r="I296" s="171"/>
      <c r="J296" s="171"/>
      <c r="K296" s="171"/>
      <c r="L296" s="171"/>
      <c r="M296" s="171"/>
      <c r="N296" s="171"/>
      <c r="O296" s="171"/>
      <c r="P296" s="171"/>
      <c r="Q296" s="171"/>
      <c r="R296" s="171"/>
      <c r="S296" s="171"/>
      <c r="T296" s="171"/>
      <c r="U296" s="171"/>
      <c r="V296" s="171"/>
      <c r="W296" s="171"/>
      <c r="X296" s="171"/>
      <c r="Y296" s="171"/>
      <c r="Z296" s="169"/>
    </row>
    <row r="297" spans="1:26" ht="15.6">
      <c r="A297" s="143"/>
      <c r="B297" s="169"/>
      <c r="C297" s="169"/>
      <c r="D297" s="170"/>
      <c r="E297" s="171"/>
      <c r="F297" s="171"/>
      <c r="G297" s="172"/>
      <c r="H297" s="171"/>
      <c r="I297" s="171"/>
      <c r="J297" s="171"/>
      <c r="K297" s="171"/>
      <c r="L297" s="171"/>
      <c r="M297" s="171"/>
      <c r="N297" s="171"/>
      <c r="O297" s="171"/>
      <c r="P297" s="171"/>
      <c r="Q297" s="171"/>
      <c r="R297" s="171"/>
      <c r="S297" s="171"/>
      <c r="T297" s="171"/>
      <c r="U297" s="171"/>
      <c r="V297" s="171"/>
      <c r="W297" s="171"/>
      <c r="X297" s="171"/>
      <c r="Y297" s="171"/>
      <c r="Z297" s="169"/>
    </row>
    <row r="298" spans="1:26" ht="15.6">
      <c r="A298" s="143"/>
      <c r="B298" s="169"/>
      <c r="C298" s="169"/>
      <c r="D298" s="170"/>
      <c r="E298" s="171"/>
      <c r="F298" s="171"/>
      <c r="G298" s="172"/>
      <c r="H298" s="171"/>
      <c r="I298" s="171"/>
      <c r="J298" s="171"/>
      <c r="K298" s="171"/>
      <c r="L298" s="171"/>
      <c r="M298" s="171"/>
      <c r="N298" s="171"/>
      <c r="O298" s="171"/>
      <c r="P298" s="171"/>
      <c r="Q298" s="171"/>
      <c r="R298" s="171"/>
      <c r="S298" s="171"/>
      <c r="T298" s="171"/>
      <c r="U298" s="171"/>
      <c r="V298" s="171"/>
      <c r="W298" s="171"/>
      <c r="X298" s="171"/>
      <c r="Y298" s="171"/>
      <c r="Z298" s="169"/>
    </row>
    <row r="299" spans="1:26" ht="15.6">
      <c r="A299" s="143"/>
      <c r="B299" s="169"/>
      <c r="C299" s="169"/>
      <c r="D299" s="170"/>
      <c r="E299" s="171"/>
      <c r="F299" s="171"/>
      <c r="G299" s="172"/>
      <c r="H299" s="171"/>
      <c r="I299" s="171"/>
      <c r="J299" s="171"/>
      <c r="K299" s="171"/>
      <c r="L299" s="171"/>
      <c r="M299" s="171"/>
      <c r="N299" s="171"/>
      <c r="O299" s="171"/>
      <c r="P299" s="171"/>
      <c r="Q299" s="171"/>
      <c r="R299" s="171"/>
      <c r="S299" s="171"/>
      <c r="T299" s="171"/>
      <c r="U299" s="171"/>
      <c r="V299" s="171"/>
      <c r="W299" s="171"/>
      <c r="X299" s="171"/>
      <c r="Y299" s="171"/>
      <c r="Z299" s="169"/>
    </row>
    <row r="300" spans="1:26" ht="15.6">
      <c r="A300" s="143"/>
      <c r="B300" s="169"/>
      <c r="C300" s="169"/>
      <c r="D300" s="170"/>
      <c r="E300" s="171"/>
      <c r="F300" s="171"/>
      <c r="G300" s="172"/>
      <c r="H300" s="171"/>
      <c r="I300" s="171"/>
      <c r="J300" s="171"/>
      <c r="K300" s="171"/>
      <c r="L300" s="171"/>
      <c r="M300" s="171"/>
      <c r="N300" s="171"/>
      <c r="O300" s="171"/>
      <c r="P300" s="171"/>
      <c r="Q300" s="171"/>
      <c r="R300" s="171"/>
      <c r="S300" s="171"/>
      <c r="T300" s="171"/>
      <c r="U300" s="171"/>
      <c r="V300" s="171"/>
      <c r="W300" s="171"/>
      <c r="X300" s="171"/>
      <c r="Y300" s="171"/>
      <c r="Z300" s="169"/>
    </row>
    <row r="301" spans="1:26" ht="15.6">
      <c r="B301" s="176"/>
      <c r="C301" s="176"/>
      <c r="D301" s="177"/>
      <c r="E301" s="178"/>
      <c r="F301" s="178"/>
      <c r="G301" s="179"/>
      <c r="H301" s="178"/>
      <c r="I301" s="178"/>
      <c r="J301" s="178"/>
      <c r="K301" s="178"/>
      <c r="L301" s="178"/>
      <c r="M301" s="178"/>
      <c r="N301" s="178"/>
      <c r="O301" s="178"/>
      <c r="P301" s="178"/>
      <c r="Q301" s="178"/>
      <c r="R301" s="178"/>
      <c r="S301" s="178"/>
      <c r="T301" s="178"/>
      <c r="U301" s="178"/>
      <c r="V301" s="178"/>
      <c r="W301" s="178"/>
      <c r="X301" s="178"/>
      <c r="Y301" s="178"/>
      <c r="Z301" s="176"/>
    </row>
    <row r="302" spans="1:26" ht="15.6">
      <c r="B302" s="176"/>
      <c r="C302" s="176"/>
      <c r="D302" s="177"/>
      <c r="E302" s="178"/>
      <c r="F302" s="178"/>
      <c r="G302" s="179"/>
      <c r="H302" s="178"/>
      <c r="I302" s="178"/>
      <c r="J302" s="178"/>
      <c r="K302" s="178"/>
      <c r="L302" s="178"/>
      <c r="M302" s="178"/>
      <c r="N302" s="178"/>
      <c r="O302" s="178"/>
      <c r="P302" s="178"/>
      <c r="Q302" s="178"/>
      <c r="R302" s="178"/>
      <c r="S302" s="178"/>
      <c r="T302" s="178"/>
      <c r="U302" s="178"/>
      <c r="V302" s="178"/>
      <c r="W302" s="178"/>
      <c r="X302" s="178"/>
      <c r="Y302" s="178"/>
      <c r="Z302" s="176"/>
    </row>
    <row r="303" spans="1:26" ht="15.6">
      <c r="B303" s="176"/>
      <c r="C303" s="176"/>
      <c r="D303" s="177"/>
      <c r="E303" s="178"/>
      <c r="F303" s="178"/>
      <c r="G303" s="179"/>
      <c r="H303" s="178"/>
      <c r="I303" s="178"/>
      <c r="J303" s="178"/>
      <c r="K303" s="178"/>
      <c r="L303" s="178"/>
      <c r="M303" s="178"/>
      <c r="N303" s="178"/>
      <c r="O303" s="178"/>
      <c r="P303" s="178"/>
      <c r="Q303" s="178"/>
      <c r="R303" s="178"/>
      <c r="S303" s="178"/>
      <c r="T303" s="178"/>
      <c r="U303" s="178"/>
      <c r="V303" s="178"/>
      <c r="W303" s="178"/>
      <c r="X303" s="178"/>
      <c r="Y303" s="178"/>
      <c r="Z303" s="176"/>
    </row>
    <row r="304" spans="1:26" ht="15.6">
      <c r="B304" s="176"/>
      <c r="C304" s="176"/>
      <c r="D304" s="177"/>
      <c r="E304" s="178"/>
      <c r="F304" s="178"/>
      <c r="G304" s="179"/>
      <c r="H304" s="178"/>
      <c r="I304" s="178"/>
      <c r="J304" s="178"/>
      <c r="K304" s="178"/>
      <c r="L304" s="178"/>
      <c r="M304" s="178"/>
      <c r="N304" s="178"/>
      <c r="O304" s="178"/>
      <c r="P304" s="178"/>
      <c r="Q304" s="178"/>
      <c r="R304" s="178"/>
      <c r="S304" s="178"/>
      <c r="T304" s="178"/>
      <c r="U304" s="178"/>
      <c r="V304" s="178"/>
      <c r="W304" s="178"/>
      <c r="X304" s="178"/>
      <c r="Y304" s="178"/>
      <c r="Z304" s="176"/>
    </row>
    <row r="305" spans="2:26" ht="15.6">
      <c r="B305" s="176"/>
      <c r="C305" s="176"/>
      <c r="D305" s="177"/>
      <c r="E305" s="178"/>
      <c r="F305" s="178"/>
      <c r="G305" s="179"/>
      <c r="H305" s="178"/>
      <c r="I305" s="178"/>
      <c r="J305" s="178"/>
      <c r="K305" s="178"/>
      <c r="L305" s="178"/>
      <c r="M305" s="178"/>
      <c r="N305" s="178"/>
      <c r="O305" s="178"/>
      <c r="P305" s="178"/>
      <c r="Q305" s="178"/>
      <c r="R305" s="178"/>
      <c r="S305" s="178"/>
      <c r="T305" s="178"/>
      <c r="U305" s="178"/>
      <c r="V305" s="178"/>
      <c r="W305" s="178"/>
      <c r="X305" s="178"/>
      <c r="Y305" s="178"/>
      <c r="Z305" s="176"/>
    </row>
    <row r="306" spans="2:26" ht="15.6">
      <c r="B306" s="176"/>
      <c r="C306" s="176"/>
      <c r="D306" s="177"/>
      <c r="E306" s="178"/>
      <c r="F306" s="178"/>
      <c r="G306" s="179"/>
      <c r="H306" s="178"/>
      <c r="I306" s="178"/>
      <c r="J306" s="178"/>
      <c r="K306" s="178"/>
      <c r="L306" s="178"/>
      <c r="M306" s="178"/>
      <c r="N306" s="178"/>
      <c r="O306" s="178"/>
      <c r="P306" s="178"/>
      <c r="Q306" s="178"/>
      <c r="R306" s="178"/>
      <c r="S306" s="178"/>
      <c r="T306" s="178"/>
      <c r="U306" s="178"/>
      <c r="V306" s="178"/>
      <c r="W306" s="178"/>
      <c r="X306" s="178"/>
      <c r="Y306" s="178"/>
      <c r="Z306" s="176"/>
    </row>
    <row r="307" spans="2:26" ht="15.6">
      <c r="B307" s="176"/>
      <c r="C307" s="176"/>
      <c r="D307" s="177"/>
      <c r="E307" s="178"/>
      <c r="F307" s="178"/>
      <c r="G307" s="179"/>
      <c r="H307" s="178"/>
      <c r="I307" s="178"/>
      <c r="J307" s="178"/>
      <c r="K307" s="178"/>
      <c r="L307" s="178"/>
      <c r="M307" s="178"/>
      <c r="N307" s="178"/>
      <c r="O307" s="178"/>
      <c r="P307" s="178"/>
      <c r="Q307" s="178"/>
      <c r="R307" s="178"/>
      <c r="S307" s="178"/>
      <c r="T307" s="178"/>
      <c r="U307" s="178"/>
      <c r="V307" s="178"/>
      <c r="W307" s="178"/>
      <c r="X307" s="178"/>
      <c r="Y307" s="178"/>
      <c r="Z307" s="176"/>
    </row>
    <row r="308" spans="2:26" ht="15.6">
      <c r="B308" s="176"/>
      <c r="C308" s="176"/>
      <c r="D308" s="177"/>
      <c r="E308" s="178"/>
      <c r="F308" s="178"/>
      <c r="G308" s="179"/>
      <c r="H308" s="178"/>
      <c r="I308" s="178"/>
      <c r="J308" s="178"/>
      <c r="K308" s="178"/>
      <c r="L308" s="178"/>
      <c r="M308" s="178"/>
      <c r="N308" s="178"/>
      <c r="O308" s="178"/>
      <c r="P308" s="178"/>
      <c r="Q308" s="178"/>
      <c r="R308" s="178"/>
      <c r="S308" s="178"/>
      <c r="T308" s="178"/>
      <c r="U308" s="178"/>
      <c r="V308" s="178"/>
      <c r="W308" s="178"/>
      <c r="X308" s="178"/>
      <c r="Y308" s="178"/>
      <c r="Z308" s="176"/>
    </row>
    <row r="309" spans="2:26" ht="15.6">
      <c r="B309" s="176"/>
      <c r="C309" s="176"/>
      <c r="D309" s="177"/>
      <c r="E309" s="178"/>
      <c r="F309" s="178"/>
      <c r="G309" s="179"/>
      <c r="H309" s="178"/>
      <c r="I309" s="178"/>
      <c r="J309" s="178"/>
      <c r="K309" s="178"/>
      <c r="L309" s="178"/>
      <c r="M309" s="178"/>
      <c r="N309" s="178"/>
      <c r="O309" s="178"/>
      <c r="P309" s="178"/>
      <c r="Q309" s="178"/>
      <c r="R309" s="178"/>
      <c r="S309" s="178"/>
      <c r="T309" s="178"/>
      <c r="U309" s="178"/>
      <c r="V309" s="178"/>
      <c r="W309" s="178"/>
      <c r="X309" s="178"/>
      <c r="Y309" s="178"/>
      <c r="Z309" s="176"/>
    </row>
    <row r="310" spans="2:26" ht="15.6">
      <c r="B310" s="176"/>
      <c r="C310" s="176"/>
      <c r="D310" s="177"/>
      <c r="E310" s="178"/>
      <c r="F310" s="178"/>
      <c r="G310" s="179"/>
      <c r="H310" s="178"/>
      <c r="I310" s="178"/>
      <c r="J310" s="178"/>
      <c r="K310" s="178"/>
      <c r="L310" s="178"/>
      <c r="M310" s="178"/>
      <c r="N310" s="178"/>
      <c r="O310" s="178"/>
      <c r="P310" s="178"/>
      <c r="Q310" s="178"/>
      <c r="R310" s="178"/>
      <c r="S310" s="178"/>
      <c r="T310" s="178"/>
      <c r="U310" s="178"/>
      <c r="V310" s="178"/>
      <c r="W310" s="178"/>
      <c r="X310" s="178"/>
      <c r="Y310" s="178"/>
      <c r="Z310" s="176"/>
    </row>
    <row r="311" spans="2:26" ht="15.6">
      <c r="B311" s="176"/>
      <c r="C311" s="176"/>
      <c r="D311" s="177"/>
      <c r="E311" s="178"/>
      <c r="F311" s="178"/>
      <c r="G311" s="179"/>
      <c r="H311" s="178"/>
      <c r="I311" s="178"/>
      <c r="J311" s="178"/>
      <c r="K311" s="178"/>
      <c r="L311" s="178"/>
      <c r="M311" s="178"/>
      <c r="N311" s="178"/>
      <c r="O311" s="178"/>
      <c r="P311" s="178"/>
      <c r="Q311" s="178"/>
      <c r="R311" s="178"/>
      <c r="S311" s="178"/>
      <c r="T311" s="178"/>
      <c r="U311" s="178"/>
      <c r="V311" s="178"/>
      <c r="W311" s="178"/>
      <c r="X311" s="178"/>
      <c r="Y311" s="178"/>
      <c r="Z311" s="176"/>
    </row>
    <row r="312" spans="2:26" ht="15.6">
      <c r="B312" s="176"/>
      <c r="C312" s="176"/>
      <c r="D312" s="177"/>
      <c r="E312" s="178"/>
      <c r="F312" s="178"/>
      <c r="G312" s="179"/>
      <c r="H312" s="178"/>
      <c r="I312" s="178"/>
      <c r="J312" s="178"/>
      <c r="K312" s="178"/>
      <c r="L312" s="178"/>
      <c r="M312" s="178"/>
      <c r="N312" s="178"/>
      <c r="O312" s="178"/>
      <c r="P312" s="178"/>
      <c r="Q312" s="178"/>
      <c r="R312" s="178"/>
      <c r="S312" s="178"/>
      <c r="T312" s="178"/>
      <c r="U312" s="178"/>
      <c r="V312" s="178"/>
      <c r="W312" s="178"/>
      <c r="X312" s="178"/>
      <c r="Y312" s="178"/>
      <c r="Z312" s="176"/>
    </row>
    <row r="313" spans="2:26" ht="15.6">
      <c r="B313" s="176"/>
      <c r="C313" s="176"/>
      <c r="D313" s="177"/>
      <c r="E313" s="178"/>
      <c r="F313" s="178"/>
      <c r="G313" s="179"/>
      <c r="H313" s="178"/>
      <c r="I313" s="178"/>
      <c r="J313" s="178"/>
      <c r="K313" s="178"/>
      <c r="L313" s="178"/>
      <c r="M313" s="178"/>
      <c r="N313" s="178"/>
      <c r="O313" s="178"/>
      <c r="P313" s="178"/>
      <c r="Q313" s="178"/>
      <c r="R313" s="178"/>
      <c r="S313" s="178"/>
      <c r="T313" s="178"/>
      <c r="U313" s="178"/>
      <c r="V313" s="178"/>
      <c r="W313" s="178"/>
      <c r="X313" s="178"/>
      <c r="Y313" s="178"/>
      <c r="Z313" s="176"/>
    </row>
    <row r="314" spans="2:26" ht="15.6">
      <c r="B314" s="176"/>
      <c r="C314" s="176"/>
      <c r="D314" s="177"/>
      <c r="E314" s="178"/>
      <c r="F314" s="178"/>
      <c r="G314" s="179"/>
      <c r="H314" s="178"/>
      <c r="I314" s="178"/>
      <c r="J314" s="178"/>
      <c r="K314" s="178"/>
      <c r="L314" s="178"/>
      <c r="M314" s="178"/>
      <c r="N314" s="178"/>
      <c r="O314" s="178"/>
      <c r="P314" s="178"/>
      <c r="Q314" s="178"/>
      <c r="R314" s="178"/>
      <c r="S314" s="178"/>
      <c r="T314" s="178"/>
      <c r="U314" s="178"/>
      <c r="V314" s="178"/>
      <c r="W314" s="178"/>
      <c r="X314" s="178"/>
      <c r="Y314" s="178"/>
      <c r="Z314" s="176"/>
    </row>
    <row r="315" spans="2:26" ht="15.6">
      <c r="B315" s="176"/>
      <c r="C315" s="176"/>
      <c r="D315" s="177"/>
      <c r="E315" s="178"/>
      <c r="F315" s="178"/>
      <c r="G315" s="179"/>
      <c r="H315" s="178"/>
      <c r="I315" s="178"/>
      <c r="J315" s="178"/>
      <c r="K315" s="178"/>
      <c r="L315" s="178"/>
      <c r="M315" s="178"/>
      <c r="N315" s="178"/>
      <c r="O315" s="178"/>
      <c r="P315" s="178"/>
      <c r="Q315" s="178"/>
      <c r="R315" s="178"/>
      <c r="S315" s="178"/>
      <c r="T315" s="178"/>
      <c r="U315" s="178"/>
      <c r="V315" s="178"/>
      <c r="W315" s="178"/>
      <c r="X315" s="178"/>
      <c r="Y315" s="178"/>
      <c r="Z315" s="176"/>
    </row>
    <row r="316" spans="2:26" ht="15.6">
      <c r="B316" s="176"/>
      <c r="C316" s="176"/>
      <c r="D316" s="177"/>
      <c r="E316" s="178"/>
      <c r="F316" s="178"/>
      <c r="G316" s="179"/>
      <c r="H316" s="178"/>
      <c r="I316" s="178"/>
      <c r="J316" s="178"/>
      <c r="K316" s="178"/>
      <c r="L316" s="178"/>
      <c r="M316" s="178"/>
      <c r="N316" s="178"/>
      <c r="O316" s="178"/>
      <c r="P316" s="178"/>
      <c r="Q316" s="178"/>
      <c r="R316" s="178"/>
      <c r="S316" s="178"/>
      <c r="T316" s="178"/>
      <c r="U316" s="178"/>
      <c r="V316" s="178"/>
      <c r="W316" s="178"/>
      <c r="X316" s="178"/>
      <c r="Y316" s="178"/>
      <c r="Z316" s="176"/>
    </row>
    <row r="317" spans="2:26" ht="15.6">
      <c r="B317" s="176"/>
      <c r="C317" s="176"/>
      <c r="D317" s="177"/>
      <c r="E317" s="178"/>
      <c r="F317" s="178"/>
      <c r="G317" s="179"/>
      <c r="H317" s="178"/>
      <c r="I317" s="178"/>
      <c r="J317" s="178"/>
      <c r="K317" s="178"/>
      <c r="L317" s="178"/>
      <c r="M317" s="178"/>
      <c r="N317" s="178"/>
      <c r="O317" s="178"/>
      <c r="P317" s="178"/>
      <c r="Q317" s="178"/>
      <c r="R317" s="178"/>
      <c r="S317" s="178"/>
      <c r="T317" s="178"/>
      <c r="U317" s="178"/>
      <c r="V317" s="178"/>
      <c r="W317" s="178"/>
      <c r="X317" s="178"/>
      <c r="Y317" s="178"/>
      <c r="Z317" s="176"/>
    </row>
    <row r="318" spans="2:26" ht="15.6">
      <c r="B318" s="176"/>
      <c r="C318" s="176"/>
      <c r="D318" s="177"/>
      <c r="E318" s="178"/>
      <c r="F318" s="178"/>
      <c r="G318" s="179"/>
      <c r="H318" s="178"/>
      <c r="I318" s="178"/>
      <c r="J318" s="178"/>
      <c r="K318" s="178"/>
      <c r="L318" s="178"/>
      <c r="M318" s="178"/>
      <c r="N318" s="178"/>
      <c r="O318" s="178"/>
      <c r="P318" s="178"/>
      <c r="Q318" s="178"/>
      <c r="R318" s="178"/>
      <c r="S318" s="178"/>
      <c r="T318" s="178"/>
      <c r="U318" s="178"/>
      <c r="V318" s="178"/>
      <c r="W318" s="178"/>
      <c r="X318" s="178"/>
      <c r="Y318" s="178"/>
      <c r="Z318" s="176"/>
    </row>
    <row r="319" spans="2:26" ht="15.6">
      <c r="B319" s="176"/>
      <c r="C319" s="176"/>
      <c r="D319" s="177"/>
      <c r="E319" s="178"/>
      <c r="F319" s="178"/>
      <c r="G319" s="179"/>
      <c r="H319" s="178"/>
      <c r="I319" s="178"/>
      <c r="J319" s="178"/>
      <c r="K319" s="178"/>
      <c r="L319" s="178"/>
      <c r="M319" s="178"/>
      <c r="N319" s="178"/>
      <c r="O319" s="178"/>
      <c r="P319" s="178"/>
      <c r="Q319" s="178"/>
      <c r="R319" s="178"/>
      <c r="S319" s="178"/>
      <c r="T319" s="178"/>
      <c r="U319" s="178"/>
      <c r="V319" s="178"/>
      <c r="W319" s="178"/>
      <c r="X319" s="178"/>
      <c r="Y319" s="178"/>
      <c r="Z319" s="176"/>
    </row>
    <row r="320" spans="2:26" ht="15.6">
      <c r="B320" s="176"/>
      <c r="C320" s="176"/>
      <c r="D320" s="177"/>
      <c r="E320" s="178"/>
      <c r="F320" s="178"/>
      <c r="G320" s="179"/>
      <c r="H320" s="178"/>
      <c r="I320" s="178"/>
      <c r="J320" s="178"/>
      <c r="K320" s="178"/>
      <c r="L320" s="178"/>
      <c r="M320" s="178"/>
      <c r="N320" s="178"/>
      <c r="O320" s="178"/>
      <c r="P320" s="178"/>
      <c r="Q320" s="178"/>
      <c r="R320" s="178"/>
      <c r="S320" s="178"/>
      <c r="T320" s="178"/>
      <c r="U320" s="178"/>
      <c r="V320" s="178"/>
      <c r="W320" s="178"/>
      <c r="X320" s="178"/>
      <c r="Y320" s="178"/>
      <c r="Z320" s="176"/>
    </row>
    <row r="321" spans="2:26" ht="15.6">
      <c r="B321" s="176"/>
      <c r="C321" s="176"/>
      <c r="D321" s="177"/>
      <c r="E321" s="178"/>
      <c r="F321" s="178"/>
      <c r="G321" s="179"/>
      <c r="H321" s="178"/>
      <c r="I321" s="178"/>
      <c r="J321" s="178"/>
      <c r="K321" s="178"/>
      <c r="L321" s="178"/>
      <c r="M321" s="178"/>
      <c r="N321" s="178"/>
      <c r="O321" s="178"/>
      <c r="P321" s="178"/>
      <c r="Q321" s="178"/>
      <c r="R321" s="178"/>
      <c r="S321" s="178"/>
      <c r="T321" s="178"/>
      <c r="U321" s="178"/>
      <c r="V321" s="178"/>
      <c r="W321" s="178"/>
      <c r="X321" s="178"/>
      <c r="Y321" s="178"/>
      <c r="Z321" s="176"/>
    </row>
    <row r="322" spans="2:26" ht="15.6">
      <c r="B322" s="176"/>
      <c r="C322" s="176"/>
      <c r="D322" s="177"/>
      <c r="E322" s="178"/>
      <c r="F322" s="178"/>
      <c r="G322" s="179"/>
      <c r="H322" s="178"/>
      <c r="I322" s="178"/>
      <c r="J322" s="178"/>
      <c r="K322" s="178"/>
      <c r="L322" s="178"/>
      <c r="M322" s="178"/>
      <c r="N322" s="178"/>
      <c r="O322" s="178"/>
      <c r="P322" s="178"/>
      <c r="Q322" s="178"/>
      <c r="R322" s="178"/>
      <c r="S322" s="178"/>
      <c r="T322" s="178"/>
      <c r="U322" s="178"/>
      <c r="V322" s="178"/>
      <c r="W322" s="178"/>
      <c r="X322" s="178"/>
      <c r="Y322" s="178"/>
      <c r="Z322" s="176"/>
    </row>
    <row r="323" spans="2:26" ht="15.6">
      <c r="B323" s="176"/>
      <c r="C323" s="176"/>
      <c r="D323" s="177"/>
      <c r="E323" s="178"/>
      <c r="F323" s="178"/>
      <c r="G323" s="179"/>
      <c r="H323" s="178"/>
      <c r="I323" s="178"/>
      <c r="J323" s="178"/>
      <c r="K323" s="178"/>
      <c r="L323" s="178"/>
      <c r="M323" s="178"/>
      <c r="N323" s="178"/>
      <c r="O323" s="178"/>
      <c r="P323" s="178"/>
      <c r="Q323" s="178"/>
      <c r="R323" s="178"/>
      <c r="S323" s="178"/>
      <c r="T323" s="178"/>
      <c r="U323" s="178"/>
      <c r="V323" s="178"/>
      <c r="W323" s="178"/>
      <c r="X323" s="178"/>
      <c r="Y323" s="178"/>
      <c r="Z323" s="176"/>
    </row>
    <row r="324" spans="2:26" ht="15.6">
      <c r="B324" s="176"/>
      <c r="C324" s="176"/>
      <c r="D324" s="177"/>
      <c r="E324" s="178"/>
      <c r="F324" s="178"/>
      <c r="G324" s="179"/>
      <c r="H324" s="178"/>
      <c r="I324" s="178"/>
      <c r="J324" s="178"/>
      <c r="K324" s="178"/>
      <c r="L324" s="178"/>
      <c r="M324" s="178"/>
      <c r="N324" s="178"/>
      <c r="O324" s="178"/>
      <c r="P324" s="178"/>
      <c r="Q324" s="178"/>
      <c r="R324" s="178"/>
      <c r="S324" s="178"/>
      <c r="T324" s="178"/>
      <c r="U324" s="178"/>
      <c r="V324" s="178"/>
      <c r="W324" s="178"/>
      <c r="X324" s="178"/>
      <c r="Y324" s="178"/>
      <c r="Z324" s="176"/>
    </row>
    <row r="325" spans="2:26" ht="15.6">
      <c r="B325" s="176"/>
      <c r="C325" s="176"/>
      <c r="D325" s="177"/>
      <c r="E325" s="178"/>
      <c r="F325" s="178"/>
      <c r="G325" s="179"/>
      <c r="H325" s="178"/>
      <c r="I325" s="178"/>
      <c r="J325" s="178"/>
      <c r="K325" s="178"/>
      <c r="L325" s="178"/>
      <c r="M325" s="178"/>
      <c r="N325" s="178"/>
      <c r="O325" s="178"/>
      <c r="P325" s="178"/>
      <c r="Q325" s="178"/>
      <c r="R325" s="178"/>
      <c r="S325" s="178"/>
      <c r="T325" s="178"/>
      <c r="U325" s="178"/>
      <c r="V325" s="178"/>
      <c r="W325" s="178"/>
      <c r="X325" s="178"/>
      <c r="Y325" s="178"/>
      <c r="Z325" s="176"/>
    </row>
    <row r="326" spans="2:26" ht="15.6">
      <c r="B326" s="176"/>
      <c r="C326" s="176"/>
      <c r="D326" s="177"/>
      <c r="E326" s="178"/>
      <c r="F326" s="178"/>
      <c r="G326" s="179"/>
      <c r="H326" s="178"/>
      <c r="I326" s="178"/>
      <c r="J326" s="178"/>
      <c r="K326" s="178"/>
      <c r="L326" s="178"/>
      <c r="M326" s="178"/>
      <c r="N326" s="178"/>
      <c r="O326" s="178"/>
      <c r="P326" s="178"/>
      <c r="Q326" s="178"/>
      <c r="R326" s="178"/>
      <c r="S326" s="178"/>
      <c r="T326" s="178"/>
      <c r="U326" s="178"/>
      <c r="V326" s="178"/>
      <c r="W326" s="178"/>
      <c r="X326" s="178"/>
      <c r="Y326" s="178"/>
      <c r="Z326" s="176"/>
    </row>
    <row r="327" spans="2:26" ht="15.6">
      <c r="B327" s="176"/>
      <c r="C327" s="176"/>
      <c r="D327" s="177"/>
      <c r="E327" s="178"/>
      <c r="F327" s="178"/>
      <c r="G327" s="179"/>
      <c r="H327" s="178"/>
      <c r="I327" s="178"/>
      <c r="J327" s="178"/>
      <c r="K327" s="178"/>
      <c r="L327" s="178"/>
      <c r="M327" s="178"/>
      <c r="N327" s="178"/>
      <c r="O327" s="178"/>
      <c r="P327" s="178"/>
      <c r="Q327" s="178"/>
      <c r="R327" s="178"/>
      <c r="S327" s="178"/>
      <c r="T327" s="178"/>
      <c r="U327" s="178"/>
      <c r="V327" s="178"/>
      <c r="W327" s="178"/>
      <c r="X327" s="178"/>
      <c r="Y327" s="178"/>
      <c r="Z327" s="176"/>
    </row>
    <row r="328" spans="2:26" ht="15.6">
      <c r="B328" s="176"/>
      <c r="C328" s="176"/>
      <c r="D328" s="177"/>
      <c r="E328" s="178"/>
      <c r="F328" s="178"/>
      <c r="G328" s="179"/>
      <c r="H328" s="178"/>
      <c r="I328" s="178"/>
      <c r="J328" s="178"/>
      <c r="K328" s="178"/>
      <c r="L328" s="178"/>
      <c r="M328" s="178"/>
      <c r="N328" s="178"/>
      <c r="O328" s="178"/>
      <c r="P328" s="178"/>
      <c r="Q328" s="178"/>
      <c r="R328" s="178"/>
      <c r="S328" s="178"/>
      <c r="T328" s="178"/>
      <c r="U328" s="178"/>
      <c r="V328" s="178"/>
      <c r="W328" s="178"/>
      <c r="X328" s="178"/>
      <c r="Y328" s="178"/>
      <c r="Z328" s="176"/>
    </row>
    <row r="329" spans="2:26" ht="15.6">
      <c r="B329" s="176"/>
      <c r="C329" s="176"/>
      <c r="D329" s="177"/>
      <c r="E329" s="178"/>
      <c r="F329" s="178"/>
      <c r="G329" s="179"/>
      <c r="H329" s="178"/>
      <c r="I329" s="178"/>
      <c r="J329" s="178"/>
      <c r="K329" s="178"/>
      <c r="L329" s="178"/>
      <c r="M329" s="178"/>
      <c r="N329" s="178"/>
      <c r="O329" s="178"/>
      <c r="P329" s="178"/>
      <c r="Q329" s="178"/>
      <c r="R329" s="178"/>
      <c r="S329" s="178"/>
      <c r="T329" s="178"/>
      <c r="U329" s="178"/>
      <c r="V329" s="178"/>
      <c r="W329" s="178"/>
      <c r="X329" s="178"/>
      <c r="Y329" s="178"/>
      <c r="Z329" s="176"/>
    </row>
    <row r="330" spans="2:26" ht="15.6">
      <c r="B330" s="176"/>
      <c r="C330" s="176"/>
      <c r="D330" s="177"/>
      <c r="E330" s="178"/>
      <c r="F330" s="178"/>
      <c r="G330" s="179"/>
      <c r="H330" s="178"/>
      <c r="I330" s="178"/>
      <c r="J330" s="178"/>
      <c r="K330" s="178"/>
      <c r="L330" s="178"/>
      <c r="M330" s="178"/>
      <c r="N330" s="178"/>
      <c r="O330" s="178"/>
      <c r="P330" s="178"/>
      <c r="Q330" s="178"/>
      <c r="R330" s="178"/>
      <c r="S330" s="178"/>
      <c r="T330" s="178"/>
      <c r="U330" s="178"/>
      <c r="V330" s="178"/>
      <c r="W330" s="178"/>
      <c r="X330" s="178"/>
      <c r="Y330" s="178"/>
      <c r="Z330" s="176"/>
    </row>
    <row r="331" spans="2:26" ht="15.6">
      <c r="B331" s="176"/>
      <c r="C331" s="176"/>
      <c r="D331" s="177"/>
      <c r="E331" s="178"/>
      <c r="F331" s="178"/>
      <c r="G331" s="179"/>
      <c r="H331" s="178"/>
      <c r="I331" s="178"/>
      <c r="J331" s="178"/>
      <c r="K331" s="178"/>
      <c r="L331" s="178"/>
      <c r="M331" s="178"/>
      <c r="N331" s="178"/>
      <c r="O331" s="178"/>
      <c r="P331" s="178"/>
      <c r="Q331" s="178"/>
      <c r="R331" s="178"/>
      <c r="S331" s="178"/>
      <c r="T331" s="178"/>
      <c r="U331" s="178"/>
      <c r="V331" s="178"/>
      <c r="W331" s="178"/>
      <c r="X331" s="178"/>
      <c r="Y331" s="178"/>
      <c r="Z331" s="176"/>
    </row>
    <row r="332" spans="2:26" ht="15.6">
      <c r="B332" s="176"/>
      <c r="C332" s="176"/>
      <c r="D332" s="177"/>
      <c r="E332" s="178"/>
      <c r="F332" s="178"/>
      <c r="G332" s="179"/>
      <c r="H332" s="178"/>
      <c r="I332" s="178"/>
      <c r="J332" s="178"/>
      <c r="K332" s="178"/>
      <c r="L332" s="178"/>
      <c r="M332" s="178"/>
      <c r="N332" s="178"/>
      <c r="O332" s="178"/>
      <c r="P332" s="178"/>
      <c r="Q332" s="178"/>
      <c r="R332" s="178"/>
      <c r="S332" s="178"/>
      <c r="T332" s="178"/>
      <c r="U332" s="178"/>
      <c r="V332" s="178"/>
      <c r="W332" s="178"/>
      <c r="X332" s="178"/>
      <c r="Y332" s="178"/>
      <c r="Z332" s="176"/>
    </row>
    <row r="333" spans="2:26" ht="15.6">
      <c r="B333" s="176"/>
      <c r="C333" s="176"/>
      <c r="D333" s="177"/>
      <c r="E333" s="178"/>
      <c r="F333" s="178"/>
      <c r="G333" s="179"/>
      <c r="H333" s="178"/>
      <c r="I333" s="178"/>
      <c r="J333" s="178"/>
      <c r="K333" s="178"/>
      <c r="L333" s="178"/>
      <c r="M333" s="178"/>
      <c r="N333" s="178"/>
      <c r="O333" s="178"/>
      <c r="P333" s="178"/>
      <c r="Q333" s="178"/>
      <c r="R333" s="178"/>
      <c r="S333" s="178"/>
      <c r="T333" s="178"/>
      <c r="U333" s="178"/>
      <c r="V333" s="178"/>
      <c r="W333" s="178"/>
      <c r="X333" s="178"/>
      <c r="Y333" s="178"/>
      <c r="Z333" s="176"/>
    </row>
    <row r="334" spans="2:26" ht="15.6">
      <c r="B334" s="176"/>
      <c r="C334" s="176"/>
      <c r="D334" s="177"/>
      <c r="E334" s="178"/>
      <c r="F334" s="178"/>
      <c r="G334" s="179"/>
      <c r="H334" s="178"/>
      <c r="I334" s="178"/>
      <c r="J334" s="178"/>
      <c r="K334" s="178"/>
      <c r="L334" s="178"/>
      <c r="M334" s="178"/>
      <c r="N334" s="178"/>
      <c r="O334" s="178"/>
      <c r="P334" s="178"/>
      <c r="Q334" s="178"/>
      <c r="R334" s="178"/>
      <c r="S334" s="178"/>
      <c r="T334" s="178"/>
      <c r="U334" s="178"/>
      <c r="V334" s="178"/>
      <c r="W334" s="178"/>
      <c r="X334" s="178"/>
      <c r="Y334" s="178"/>
      <c r="Z334" s="176"/>
    </row>
    <row r="335" spans="2:26" ht="15.6">
      <c r="B335" s="176"/>
      <c r="C335" s="176"/>
      <c r="D335" s="177"/>
      <c r="E335" s="178"/>
      <c r="F335" s="178"/>
      <c r="G335" s="179"/>
      <c r="H335" s="178"/>
      <c r="I335" s="178"/>
      <c r="J335" s="178"/>
      <c r="K335" s="178"/>
      <c r="L335" s="178"/>
      <c r="M335" s="178"/>
      <c r="N335" s="178"/>
      <c r="O335" s="178"/>
      <c r="P335" s="178"/>
      <c r="Q335" s="178"/>
      <c r="R335" s="178"/>
      <c r="S335" s="178"/>
      <c r="T335" s="178"/>
      <c r="U335" s="178"/>
      <c r="V335" s="178"/>
      <c r="W335" s="178"/>
      <c r="X335" s="178"/>
      <c r="Y335" s="178"/>
      <c r="Z335" s="176"/>
    </row>
    <row r="336" spans="2:26" ht="15.6">
      <c r="B336" s="176"/>
      <c r="C336" s="176"/>
      <c r="D336" s="177"/>
      <c r="E336" s="178"/>
      <c r="F336" s="178"/>
      <c r="G336" s="179"/>
      <c r="H336" s="178"/>
      <c r="I336" s="178"/>
      <c r="J336" s="178"/>
      <c r="K336" s="178"/>
      <c r="L336" s="178"/>
      <c r="M336" s="178"/>
      <c r="N336" s="178"/>
      <c r="O336" s="178"/>
      <c r="P336" s="178"/>
      <c r="Q336" s="178"/>
      <c r="R336" s="178"/>
      <c r="S336" s="178"/>
      <c r="T336" s="178"/>
      <c r="U336" s="178"/>
      <c r="V336" s="178"/>
      <c r="W336" s="178"/>
      <c r="X336" s="178"/>
      <c r="Y336" s="178"/>
      <c r="Z336" s="176"/>
    </row>
    <row r="337" spans="2:26" ht="15.6">
      <c r="B337" s="176"/>
      <c r="C337" s="176"/>
      <c r="D337" s="177"/>
      <c r="E337" s="178"/>
      <c r="F337" s="178"/>
      <c r="G337" s="179"/>
      <c r="H337" s="178"/>
      <c r="I337" s="178"/>
      <c r="J337" s="178"/>
      <c r="K337" s="178"/>
      <c r="L337" s="178"/>
      <c r="M337" s="178"/>
      <c r="N337" s="178"/>
      <c r="O337" s="178"/>
      <c r="P337" s="178"/>
      <c r="Q337" s="178"/>
      <c r="R337" s="178"/>
      <c r="S337" s="178"/>
      <c r="T337" s="178"/>
      <c r="U337" s="178"/>
      <c r="V337" s="178"/>
      <c r="W337" s="178"/>
      <c r="X337" s="178"/>
      <c r="Y337" s="178"/>
      <c r="Z337" s="176"/>
    </row>
    <row r="338" spans="2:26" ht="15.6">
      <c r="B338" s="176"/>
      <c r="C338" s="176"/>
      <c r="D338" s="177"/>
      <c r="E338" s="178"/>
      <c r="F338" s="178"/>
      <c r="G338" s="179"/>
      <c r="H338" s="178"/>
      <c r="I338" s="178"/>
      <c r="J338" s="178"/>
      <c r="K338" s="178"/>
      <c r="L338" s="178"/>
      <c r="M338" s="178"/>
      <c r="N338" s="178"/>
      <c r="O338" s="178"/>
      <c r="P338" s="178"/>
      <c r="Q338" s="178"/>
      <c r="R338" s="178"/>
      <c r="S338" s="178"/>
      <c r="T338" s="178"/>
      <c r="U338" s="178"/>
      <c r="V338" s="178"/>
      <c r="W338" s="178"/>
      <c r="X338" s="178"/>
      <c r="Y338" s="178"/>
      <c r="Z338" s="176"/>
    </row>
    <row r="339" spans="2:26" ht="15.6">
      <c r="B339" s="176"/>
      <c r="C339" s="176"/>
      <c r="D339" s="177"/>
      <c r="E339" s="178"/>
      <c r="F339" s="178"/>
      <c r="G339" s="179"/>
      <c r="H339" s="178"/>
      <c r="I339" s="178"/>
      <c r="J339" s="178"/>
      <c r="K339" s="178"/>
      <c r="L339" s="178"/>
      <c r="M339" s="178"/>
      <c r="N339" s="178"/>
      <c r="O339" s="178"/>
      <c r="P339" s="178"/>
      <c r="Q339" s="178"/>
      <c r="R339" s="178"/>
      <c r="S339" s="178"/>
      <c r="T339" s="178"/>
      <c r="U339" s="178"/>
      <c r="V339" s="178"/>
      <c r="W339" s="178"/>
      <c r="X339" s="178"/>
      <c r="Y339" s="178"/>
      <c r="Z339" s="176"/>
    </row>
    <row r="340" spans="2:26" ht="15.6">
      <c r="B340" s="176"/>
      <c r="C340" s="176"/>
      <c r="D340" s="177"/>
      <c r="E340" s="178"/>
      <c r="F340" s="178"/>
      <c r="G340" s="179"/>
      <c r="H340" s="178"/>
      <c r="I340" s="178"/>
      <c r="J340" s="178"/>
      <c r="K340" s="178"/>
      <c r="L340" s="178"/>
      <c r="M340" s="178"/>
      <c r="N340" s="178"/>
      <c r="O340" s="178"/>
      <c r="P340" s="178"/>
      <c r="Q340" s="178"/>
      <c r="R340" s="178"/>
      <c r="S340" s="178"/>
      <c r="T340" s="178"/>
      <c r="U340" s="178"/>
      <c r="V340" s="178"/>
      <c r="W340" s="178"/>
      <c r="X340" s="178"/>
      <c r="Y340" s="178"/>
      <c r="Z340" s="176"/>
    </row>
    <row r="341" spans="2:26" ht="15.6">
      <c r="B341" s="176"/>
      <c r="C341" s="176"/>
      <c r="D341" s="177"/>
      <c r="E341" s="178"/>
      <c r="F341" s="178"/>
      <c r="G341" s="179"/>
      <c r="H341" s="178"/>
      <c r="I341" s="178"/>
      <c r="J341" s="178"/>
      <c r="K341" s="178"/>
      <c r="L341" s="178"/>
      <c r="M341" s="178"/>
      <c r="N341" s="178"/>
      <c r="O341" s="178"/>
      <c r="P341" s="178"/>
      <c r="Q341" s="178"/>
      <c r="R341" s="178"/>
      <c r="S341" s="178"/>
      <c r="T341" s="178"/>
      <c r="U341" s="178"/>
      <c r="V341" s="178"/>
      <c r="W341" s="178"/>
      <c r="X341" s="178"/>
      <c r="Y341" s="178"/>
      <c r="Z341" s="176"/>
    </row>
    <row r="342" spans="2:26" ht="15.6">
      <c r="B342" s="176"/>
      <c r="C342" s="176"/>
      <c r="D342" s="177"/>
      <c r="E342" s="178"/>
      <c r="F342" s="178"/>
      <c r="G342" s="179"/>
      <c r="H342" s="178"/>
      <c r="I342" s="178"/>
      <c r="J342" s="178"/>
      <c r="K342" s="178"/>
      <c r="L342" s="178"/>
      <c r="M342" s="178"/>
      <c r="N342" s="178"/>
      <c r="O342" s="178"/>
      <c r="P342" s="178"/>
      <c r="Q342" s="178"/>
      <c r="R342" s="178"/>
      <c r="S342" s="178"/>
      <c r="T342" s="178"/>
      <c r="U342" s="178"/>
      <c r="V342" s="178"/>
      <c r="W342" s="178"/>
      <c r="X342" s="178"/>
      <c r="Y342" s="178"/>
      <c r="Z342" s="176"/>
    </row>
    <row r="343" spans="2:26" ht="15.6">
      <c r="B343" s="176"/>
      <c r="C343" s="176"/>
      <c r="D343" s="177"/>
      <c r="E343" s="178"/>
      <c r="F343" s="178"/>
      <c r="G343" s="179"/>
      <c r="H343" s="178"/>
      <c r="I343" s="178"/>
      <c r="J343" s="178"/>
      <c r="K343" s="178"/>
      <c r="L343" s="178"/>
      <c r="M343" s="178"/>
      <c r="N343" s="178"/>
      <c r="O343" s="178"/>
      <c r="P343" s="178"/>
      <c r="Q343" s="178"/>
      <c r="R343" s="178"/>
      <c r="S343" s="178"/>
      <c r="T343" s="178"/>
      <c r="U343" s="178"/>
      <c r="V343" s="178"/>
      <c r="W343" s="178"/>
      <c r="X343" s="178"/>
      <c r="Y343" s="178"/>
      <c r="Z343" s="176"/>
    </row>
    <row r="344" spans="2:26" ht="15.6">
      <c r="B344" s="176"/>
      <c r="C344" s="176"/>
      <c r="D344" s="177"/>
      <c r="E344" s="178"/>
      <c r="F344" s="178"/>
      <c r="G344" s="179"/>
      <c r="H344" s="178"/>
      <c r="I344" s="178"/>
      <c r="J344" s="178"/>
      <c r="K344" s="178"/>
      <c r="L344" s="178"/>
      <c r="M344" s="178"/>
      <c r="N344" s="178"/>
      <c r="O344" s="178"/>
      <c r="P344" s="178"/>
      <c r="Q344" s="178"/>
      <c r="R344" s="178"/>
      <c r="S344" s="178"/>
      <c r="T344" s="178"/>
      <c r="U344" s="178"/>
      <c r="V344" s="178"/>
      <c r="W344" s="178"/>
      <c r="X344" s="178"/>
      <c r="Y344" s="178"/>
      <c r="Z344" s="176"/>
    </row>
    <row r="345" spans="2:26" ht="15.6">
      <c r="B345" s="176"/>
      <c r="C345" s="176"/>
      <c r="D345" s="177"/>
      <c r="E345" s="178"/>
      <c r="F345" s="178"/>
      <c r="G345" s="179"/>
      <c r="H345" s="178"/>
      <c r="I345" s="178"/>
      <c r="J345" s="178"/>
      <c r="K345" s="178"/>
      <c r="L345" s="178"/>
      <c r="M345" s="178"/>
      <c r="N345" s="178"/>
      <c r="O345" s="178"/>
      <c r="P345" s="178"/>
      <c r="Q345" s="178"/>
      <c r="R345" s="178"/>
      <c r="S345" s="178"/>
      <c r="T345" s="178"/>
      <c r="U345" s="178"/>
      <c r="V345" s="178"/>
      <c r="W345" s="178"/>
      <c r="X345" s="178"/>
      <c r="Y345" s="178"/>
      <c r="Z345" s="176"/>
    </row>
    <row r="346" spans="2:26" ht="15.6">
      <c r="B346" s="176"/>
      <c r="C346" s="176"/>
      <c r="D346" s="177"/>
      <c r="E346" s="178"/>
      <c r="F346" s="178"/>
      <c r="G346" s="179"/>
      <c r="H346" s="178"/>
      <c r="I346" s="178"/>
      <c r="J346" s="178"/>
      <c r="K346" s="178"/>
      <c r="L346" s="178"/>
      <c r="M346" s="178"/>
      <c r="N346" s="178"/>
      <c r="O346" s="178"/>
      <c r="P346" s="178"/>
      <c r="Q346" s="178"/>
      <c r="R346" s="178"/>
      <c r="S346" s="178"/>
      <c r="T346" s="178"/>
      <c r="U346" s="178"/>
      <c r="V346" s="178"/>
      <c r="W346" s="178"/>
      <c r="X346" s="178"/>
      <c r="Y346" s="178"/>
      <c r="Z346" s="176"/>
    </row>
    <row r="347" spans="2:26" ht="15.6">
      <c r="B347" s="176"/>
      <c r="C347" s="176"/>
      <c r="D347" s="177"/>
      <c r="E347" s="178"/>
      <c r="F347" s="178"/>
      <c r="G347" s="179"/>
      <c r="H347" s="178"/>
      <c r="I347" s="178"/>
      <c r="J347" s="178"/>
      <c r="K347" s="178"/>
      <c r="L347" s="178"/>
      <c r="M347" s="178"/>
      <c r="N347" s="178"/>
      <c r="O347" s="178"/>
      <c r="P347" s="178"/>
      <c r="Q347" s="178"/>
      <c r="R347" s="178"/>
      <c r="S347" s="178"/>
      <c r="T347" s="178"/>
      <c r="U347" s="178"/>
      <c r="V347" s="178"/>
      <c r="W347" s="178"/>
      <c r="X347" s="178"/>
      <c r="Y347" s="178"/>
      <c r="Z347" s="176"/>
    </row>
    <row r="348" spans="2:26" ht="15.6">
      <c r="B348" s="176"/>
      <c r="C348" s="176"/>
      <c r="D348" s="177"/>
      <c r="E348" s="178"/>
      <c r="F348" s="178"/>
      <c r="G348" s="179"/>
      <c r="H348" s="178"/>
      <c r="I348" s="178"/>
      <c r="J348" s="178"/>
      <c r="K348" s="178"/>
      <c r="L348" s="178"/>
      <c r="M348" s="178"/>
      <c r="N348" s="178"/>
      <c r="O348" s="178"/>
      <c r="P348" s="178"/>
      <c r="Q348" s="178"/>
      <c r="R348" s="178"/>
      <c r="S348" s="178"/>
      <c r="T348" s="178"/>
      <c r="U348" s="178"/>
      <c r="V348" s="178"/>
      <c r="W348" s="178"/>
      <c r="X348" s="178"/>
      <c r="Y348" s="178"/>
      <c r="Z348" s="176"/>
    </row>
    <row r="349" spans="2:26" ht="15.6">
      <c r="B349" s="176"/>
      <c r="C349" s="176"/>
      <c r="D349" s="177"/>
      <c r="E349" s="178"/>
      <c r="F349" s="178"/>
      <c r="G349" s="179"/>
      <c r="H349" s="178"/>
      <c r="I349" s="178"/>
      <c r="J349" s="178"/>
      <c r="K349" s="178"/>
      <c r="L349" s="178"/>
      <c r="M349" s="178"/>
      <c r="N349" s="178"/>
      <c r="O349" s="178"/>
      <c r="P349" s="178"/>
      <c r="Q349" s="178"/>
      <c r="R349" s="178"/>
      <c r="S349" s="178"/>
      <c r="T349" s="178"/>
      <c r="U349" s="178"/>
      <c r="V349" s="178"/>
      <c r="W349" s="178"/>
      <c r="X349" s="178"/>
      <c r="Y349" s="178"/>
      <c r="Z349" s="176"/>
    </row>
    <row r="350" spans="2:26" ht="15.6">
      <c r="B350" s="176"/>
      <c r="C350" s="176"/>
      <c r="D350" s="177"/>
      <c r="E350" s="178"/>
      <c r="F350" s="178"/>
      <c r="G350" s="179"/>
      <c r="H350" s="178"/>
      <c r="I350" s="178"/>
      <c r="J350" s="178"/>
      <c r="K350" s="178"/>
      <c r="L350" s="178"/>
      <c r="M350" s="178"/>
      <c r="N350" s="178"/>
      <c r="O350" s="178"/>
      <c r="P350" s="178"/>
      <c r="Q350" s="178"/>
      <c r="R350" s="178"/>
      <c r="S350" s="178"/>
      <c r="T350" s="178"/>
      <c r="U350" s="178"/>
      <c r="V350" s="178"/>
      <c r="W350" s="178"/>
      <c r="X350" s="178"/>
      <c r="Y350" s="178"/>
      <c r="Z350" s="176"/>
    </row>
    <row r="351" spans="2:26" ht="15.6">
      <c r="B351" s="176"/>
      <c r="C351" s="176"/>
      <c r="D351" s="177"/>
      <c r="E351" s="178"/>
      <c r="F351" s="178"/>
      <c r="G351" s="179"/>
      <c r="H351" s="178"/>
      <c r="I351" s="178"/>
      <c r="J351" s="178"/>
      <c r="K351" s="178"/>
      <c r="L351" s="178"/>
      <c r="M351" s="178"/>
      <c r="N351" s="178"/>
      <c r="O351" s="178"/>
      <c r="P351" s="178"/>
      <c r="Q351" s="178"/>
      <c r="R351" s="178"/>
      <c r="S351" s="178"/>
      <c r="T351" s="178"/>
      <c r="U351" s="178"/>
      <c r="V351" s="178"/>
      <c r="W351" s="178"/>
      <c r="X351" s="178"/>
      <c r="Y351" s="178"/>
      <c r="Z351" s="176"/>
    </row>
    <row r="352" spans="2:26" ht="15.6">
      <c r="B352" s="176"/>
      <c r="C352" s="176"/>
      <c r="D352" s="177"/>
      <c r="E352" s="178"/>
      <c r="F352" s="178"/>
      <c r="G352" s="179"/>
      <c r="H352" s="178"/>
      <c r="I352" s="178"/>
      <c r="J352" s="178"/>
      <c r="K352" s="178"/>
      <c r="L352" s="178"/>
      <c r="M352" s="178"/>
      <c r="N352" s="178"/>
      <c r="O352" s="178"/>
      <c r="P352" s="178"/>
      <c r="Q352" s="178"/>
      <c r="R352" s="178"/>
      <c r="S352" s="178"/>
      <c r="T352" s="178"/>
      <c r="U352" s="178"/>
      <c r="V352" s="178"/>
      <c r="W352" s="178"/>
      <c r="X352" s="178"/>
      <c r="Y352" s="178"/>
      <c r="Z352" s="176"/>
    </row>
    <row r="353" spans="2:26" ht="15.6">
      <c r="B353" s="176"/>
      <c r="C353" s="176"/>
      <c r="D353" s="177"/>
      <c r="E353" s="178"/>
      <c r="F353" s="178"/>
      <c r="G353" s="179"/>
      <c r="H353" s="178"/>
      <c r="I353" s="178"/>
      <c r="J353" s="178"/>
      <c r="K353" s="178"/>
      <c r="L353" s="178"/>
      <c r="M353" s="178"/>
      <c r="N353" s="178"/>
      <c r="O353" s="178"/>
      <c r="P353" s="178"/>
      <c r="Q353" s="178"/>
      <c r="R353" s="178"/>
      <c r="S353" s="178"/>
      <c r="T353" s="178"/>
      <c r="U353" s="178"/>
      <c r="V353" s="178"/>
      <c r="W353" s="178"/>
      <c r="X353" s="178"/>
      <c r="Y353" s="178"/>
      <c r="Z353" s="176"/>
    </row>
    <row r="354" spans="2:26" ht="15.6">
      <c r="B354" s="176"/>
      <c r="C354" s="176"/>
      <c r="D354" s="177"/>
      <c r="E354" s="178"/>
      <c r="F354" s="178"/>
      <c r="G354" s="179"/>
      <c r="H354" s="178"/>
      <c r="I354" s="178"/>
      <c r="J354" s="178"/>
      <c r="K354" s="178"/>
      <c r="L354" s="178"/>
      <c r="M354" s="178"/>
      <c r="N354" s="178"/>
      <c r="O354" s="178"/>
      <c r="P354" s="178"/>
      <c r="Q354" s="178"/>
      <c r="R354" s="178"/>
      <c r="S354" s="178"/>
      <c r="T354" s="178"/>
      <c r="U354" s="178"/>
      <c r="V354" s="178"/>
      <c r="W354" s="178"/>
      <c r="X354" s="178"/>
      <c r="Y354" s="178"/>
      <c r="Z354" s="176"/>
    </row>
    <row r="355" spans="2:26" ht="15.6">
      <c r="B355" s="176"/>
      <c r="C355" s="176"/>
      <c r="D355" s="177"/>
      <c r="E355" s="178"/>
      <c r="F355" s="178"/>
      <c r="G355" s="179"/>
      <c r="H355" s="178"/>
      <c r="I355" s="178"/>
      <c r="J355" s="178"/>
      <c r="K355" s="178"/>
      <c r="L355" s="178"/>
      <c r="M355" s="178"/>
      <c r="N355" s="178"/>
      <c r="O355" s="178"/>
      <c r="P355" s="178"/>
      <c r="Q355" s="178"/>
      <c r="R355" s="178"/>
      <c r="S355" s="178"/>
      <c r="T355" s="178"/>
      <c r="U355" s="178"/>
      <c r="V355" s="178"/>
      <c r="W355" s="178"/>
      <c r="X355" s="178"/>
      <c r="Y355" s="178"/>
      <c r="Z355" s="176"/>
    </row>
    <row r="356" spans="2:26" ht="15.6">
      <c r="B356" s="176"/>
      <c r="C356" s="176"/>
      <c r="D356" s="177"/>
      <c r="E356" s="178"/>
      <c r="F356" s="178"/>
      <c r="G356" s="179"/>
      <c r="H356" s="178"/>
      <c r="I356" s="178"/>
      <c r="J356" s="178"/>
      <c r="K356" s="178"/>
      <c r="L356" s="178"/>
      <c r="M356" s="178"/>
      <c r="N356" s="178"/>
      <c r="O356" s="178"/>
      <c r="P356" s="178"/>
      <c r="Q356" s="178"/>
      <c r="R356" s="178"/>
      <c r="S356" s="178"/>
      <c r="T356" s="178"/>
      <c r="U356" s="178"/>
      <c r="V356" s="178"/>
      <c r="W356" s="178"/>
      <c r="X356" s="178"/>
      <c r="Y356" s="178"/>
      <c r="Z356" s="176"/>
    </row>
    <row r="357" spans="2:26" ht="15.6">
      <c r="B357" s="176"/>
      <c r="C357" s="176"/>
      <c r="D357" s="177"/>
      <c r="E357" s="178"/>
      <c r="F357" s="178"/>
      <c r="G357" s="179"/>
      <c r="H357" s="178"/>
      <c r="I357" s="178"/>
      <c r="J357" s="178"/>
      <c r="K357" s="178"/>
      <c r="L357" s="178"/>
      <c r="M357" s="178"/>
      <c r="N357" s="178"/>
      <c r="O357" s="178"/>
      <c r="P357" s="178"/>
      <c r="Q357" s="178"/>
      <c r="R357" s="178"/>
      <c r="S357" s="178"/>
      <c r="T357" s="178"/>
      <c r="U357" s="178"/>
      <c r="V357" s="178"/>
      <c r="W357" s="178"/>
      <c r="X357" s="178"/>
      <c r="Y357" s="178"/>
      <c r="Z357" s="176"/>
    </row>
    <row r="358" spans="2:26" ht="15.6">
      <c r="B358" s="176"/>
      <c r="C358" s="176"/>
      <c r="D358" s="177"/>
      <c r="E358" s="178"/>
      <c r="F358" s="178"/>
      <c r="G358" s="179"/>
      <c r="H358" s="178"/>
      <c r="I358" s="178"/>
      <c r="J358" s="178"/>
      <c r="K358" s="178"/>
      <c r="L358" s="178"/>
      <c r="M358" s="178"/>
      <c r="N358" s="178"/>
      <c r="O358" s="178"/>
      <c r="P358" s="178"/>
      <c r="Q358" s="178"/>
      <c r="R358" s="178"/>
      <c r="S358" s="178"/>
      <c r="T358" s="178"/>
      <c r="U358" s="178"/>
      <c r="V358" s="178"/>
      <c r="W358" s="178"/>
      <c r="X358" s="178"/>
      <c r="Y358" s="178"/>
      <c r="Z358" s="176"/>
    </row>
    <row r="359" spans="2:26" ht="15.6">
      <c r="B359" s="176"/>
      <c r="C359" s="176"/>
      <c r="D359" s="177"/>
      <c r="E359" s="178"/>
      <c r="F359" s="178"/>
      <c r="G359" s="179"/>
      <c r="H359" s="178"/>
      <c r="I359" s="178"/>
      <c r="J359" s="178"/>
      <c r="K359" s="178"/>
      <c r="L359" s="178"/>
      <c r="M359" s="178"/>
      <c r="N359" s="178"/>
      <c r="O359" s="178"/>
      <c r="P359" s="178"/>
      <c r="Q359" s="178"/>
      <c r="R359" s="178"/>
      <c r="S359" s="178"/>
      <c r="T359" s="178"/>
      <c r="U359" s="178"/>
      <c r="V359" s="178"/>
      <c r="W359" s="178"/>
      <c r="X359" s="178"/>
      <c r="Y359" s="178"/>
      <c r="Z359" s="176"/>
    </row>
    <row r="360" spans="2:26" ht="15.6">
      <c r="B360" s="176"/>
      <c r="C360" s="176"/>
      <c r="D360" s="177"/>
      <c r="E360" s="178"/>
      <c r="F360" s="178"/>
      <c r="G360" s="179"/>
      <c r="H360" s="178"/>
      <c r="I360" s="178"/>
      <c r="J360" s="178"/>
      <c r="K360" s="178"/>
      <c r="L360" s="178"/>
      <c r="M360" s="178"/>
      <c r="N360" s="178"/>
      <c r="O360" s="178"/>
      <c r="P360" s="178"/>
      <c r="Q360" s="178"/>
      <c r="R360" s="178"/>
      <c r="S360" s="178"/>
      <c r="T360" s="178"/>
      <c r="U360" s="178"/>
      <c r="V360" s="178"/>
      <c r="W360" s="178"/>
      <c r="X360" s="178"/>
      <c r="Y360" s="178"/>
      <c r="Z360" s="176"/>
    </row>
    <row r="361" spans="2:26" ht="15.6">
      <c r="B361" s="176"/>
      <c r="C361" s="176"/>
      <c r="D361" s="177"/>
      <c r="E361" s="178"/>
      <c r="F361" s="178"/>
      <c r="G361" s="179"/>
      <c r="H361" s="178"/>
      <c r="I361" s="178"/>
      <c r="J361" s="178"/>
      <c r="K361" s="178"/>
      <c r="L361" s="178"/>
      <c r="M361" s="178"/>
      <c r="N361" s="178"/>
      <c r="O361" s="178"/>
      <c r="P361" s="178"/>
      <c r="Q361" s="178"/>
      <c r="R361" s="178"/>
      <c r="S361" s="178"/>
      <c r="T361" s="178"/>
      <c r="U361" s="178"/>
      <c r="V361" s="178"/>
      <c r="W361" s="178"/>
      <c r="X361" s="178"/>
      <c r="Y361" s="178"/>
      <c r="Z361" s="176"/>
    </row>
    <row r="362" spans="2:26" ht="15.6">
      <c r="B362" s="176"/>
      <c r="C362" s="176"/>
      <c r="D362" s="177"/>
      <c r="E362" s="178"/>
      <c r="F362" s="178"/>
      <c r="G362" s="179"/>
      <c r="H362" s="178"/>
      <c r="I362" s="178"/>
      <c r="J362" s="178"/>
      <c r="K362" s="178"/>
      <c r="L362" s="178"/>
      <c r="M362" s="178"/>
      <c r="N362" s="178"/>
      <c r="O362" s="178"/>
      <c r="P362" s="178"/>
      <c r="Q362" s="178"/>
      <c r="R362" s="178"/>
      <c r="S362" s="178"/>
      <c r="T362" s="178"/>
      <c r="U362" s="178"/>
      <c r="V362" s="178"/>
      <c r="W362" s="178"/>
      <c r="X362" s="178"/>
      <c r="Y362" s="178"/>
      <c r="Z362" s="176"/>
    </row>
    <row r="363" spans="2:26" ht="15.6">
      <c r="B363" s="176"/>
      <c r="C363" s="176"/>
      <c r="D363" s="177"/>
      <c r="E363" s="178"/>
      <c r="F363" s="178"/>
      <c r="G363" s="179"/>
      <c r="H363" s="178"/>
      <c r="I363" s="178"/>
      <c r="J363" s="178"/>
      <c r="K363" s="178"/>
      <c r="L363" s="178"/>
      <c r="M363" s="178"/>
      <c r="N363" s="178"/>
      <c r="O363" s="178"/>
      <c r="P363" s="178"/>
      <c r="Q363" s="178"/>
      <c r="R363" s="178"/>
      <c r="S363" s="178"/>
      <c r="T363" s="178"/>
      <c r="U363" s="178"/>
      <c r="V363" s="178"/>
      <c r="W363" s="178"/>
      <c r="X363" s="178"/>
      <c r="Y363" s="178"/>
      <c r="Z363" s="176"/>
    </row>
    <row r="364" spans="2:26" ht="15.6">
      <c r="B364" s="176"/>
      <c r="C364" s="176"/>
      <c r="D364" s="177"/>
      <c r="E364" s="178"/>
      <c r="F364" s="178"/>
      <c r="G364" s="179"/>
      <c r="H364" s="178"/>
      <c r="I364" s="178"/>
      <c r="J364" s="178"/>
      <c r="K364" s="178"/>
      <c r="L364" s="178"/>
      <c r="M364" s="178"/>
      <c r="N364" s="178"/>
      <c r="O364" s="178"/>
      <c r="P364" s="178"/>
      <c r="Q364" s="178"/>
      <c r="R364" s="178"/>
      <c r="S364" s="178"/>
      <c r="T364" s="178"/>
      <c r="U364" s="178"/>
      <c r="V364" s="178"/>
      <c r="W364" s="178"/>
      <c r="X364" s="178"/>
      <c r="Y364" s="178"/>
      <c r="Z364" s="176"/>
    </row>
    <row r="365" spans="2:26" ht="15.6">
      <c r="B365" s="176"/>
      <c r="C365" s="176"/>
      <c r="D365" s="177"/>
      <c r="E365" s="178"/>
      <c r="F365" s="178"/>
      <c r="G365" s="179"/>
      <c r="H365" s="178"/>
      <c r="I365" s="178"/>
      <c r="J365" s="178"/>
      <c r="K365" s="178"/>
      <c r="L365" s="178"/>
      <c r="M365" s="178"/>
      <c r="N365" s="178"/>
      <c r="O365" s="178"/>
      <c r="P365" s="178"/>
      <c r="Q365" s="178"/>
      <c r="R365" s="178"/>
      <c r="S365" s="178"/>
      <c r="T365" s="178"/>
      <c r="U365" s="178"/>
      <c r="V365" s="178"/>
      <c r="W365" s="178"/>
      <c r="X365" s="178"/>
      <c r="Y365" s="178"/>
      <c r="Z365" s="176"/>
    </row>
    <row r="366" spans="2:26" ht="15.6">
      <c r="B366" s="176"/>
      <c r="C366" s="176"/>
      <c r="D366" s="177"/>
      <c r="E366" s="178"/>
      <c r="F366" s="178"/>
      <c r="G366" s="179"/>
      <c r="H366" s="178"/>
      <c r="I366" s="178"/>
      <c r="J366" s="178"/>
      <c r="K366" s="178"/>
      <c r="L366" s="178"/>
      <c r="M366" s="178"/>
      <c r="N366" s="178"/>
      <c r="O366" s="178"/>
      <c r="P366" s="178"/>
      <c r="Q366" s="178"/>
      <c r="R366" s="178"/>
      <c r="S366" s="178"/>
      <c r="T366" s="178"/>
      <c r="U366" s="178"/>
      <c r="V366" s="178"/>
      <c r="W366" s="178"/>
      <c r="X366" s="178"/>
      <c r="Y366" s="178"/>
      <c r="Z366" s="176"/>
    </row>
    <row r="367" spans="2:26" ht="15.6">
      <c r="B367" s="176"/>
      <c r="C367" s="176"/>
      <c r="D367" s="177"/>
      <c r="E367" s="178"/>
      <c r="F367" s="178"/>
      <c r="G367" s="179"/>
      <c r="H367" s="178"/>
      <c r="I367" s="178"/>
      <c r="J367" s="178"/>
      <c r="K367" s="178"/>
      <c r="L367" s="178"/>
      <c r="M367" s="178"/>
      <c r="N367" s="178"/>
      <c r="O367" s="178"/>
      <c r="P367" s="178"/>
      <c r="Q367" s="178"/>
      <c r="R367" s="178"/>
      <c r="S367" s="178"/>
      <c r="T367" s="178"/>
      <c r="U367" s="178"/>
      <c r="V367" s="178"/>
      <c r="W367" s="178"/>
      <c r="X367" s="178"/>
      <c r="Y367" s="178"/>
      <c r="Z367" s="176"/>
    </row>
    <row r="368" spans="2:26" ht="15.6">
      <c r="B368" s="176"/>
      <c r="C368" s="176"/>
      <c r="D368" s="177"/>
      <c r="E368" s="178"/>
      <c r="F368" s="178"/>
      <c r="G368" s="179"/>
      <c r="H368" s="178"/>
      <c r="I368" s="178"/>
      <c r="J368" s="178"/>
      <c r="K368" s="178"/>
      <c r="L368" s="178"/>
      <c r="M368" s="178"/>
      <c r="N368" s="178"/>
      <c r="O368" s="178"/>
      <c r="P368" s="178"/>
      <c r="Q368" s="178"/>
      <c r="R368" s="178"/>
      <c r="S368" s="178"/>
      <c r="T368" s="178"/>
      <c r="U368" s="178"/>
      <c r="V368" s="178"/>
      <c r="W368" s="178"/>
      <c r="X368" s="178"/>
      <c r="Y368" s="178"/>
      <c r="Z368" s="176"/>
    </row>
    <row r="369" spans="2:26" ht="15.6">
      <c r="B369" s="176"/>
      <c r="C369" s="176"/>
      <c r="D369" s="177"/>
      <c r="E369" s="178"/>
      <c r="F369" s="178"/>
      <c r="G369" s="179"/>
      <c r="H369" s="178"/>
      <c r="I369" s="178"/>
      <c r="J369" s="178"/>
      <c r="K369" s="178"/>
      <c r="L369" s="178"/>
      <c r="M369" s="178"/>
      <c r="N369" s="178"/>
      <c r="O369" s="178"/>
      <c r="P369" s="178"/>
      <c r="Q369" s="178"/>
      <c r="R369" s="178"/>
      <c r="S369" s="178"/>
      <c r="T369" s="178"/>
      <c r="U369" s="178"/>
      <c r="V369" s="178"/>
      <c r="W369" s="178"/>
      <c r="X369" s="178"/>
      <c r="Y369" s="178"/>
      <c r="Z369" s="176"/>
    </row>
    <row r="370" spans="2:26" ht="15.6">
      <c r="B370" s="176"/>
      <c r="C370" s="176"/>
      <c r="D370" s="177"/>
      <c r="E370" s="178"/>
      <c r="F370" s="178"/>
      <c r="G370" s="179"/>
      <c r="H370" s="178"/>
      <c r="I370" s="178"/>
      <c r="J370" s="178"/>
      <c r="K370" s="178"/>
      <c r="L370" s="178"/>
      <c r="M370" s="178"/>
      <c r="N370" s="178"/>
      <c r="O370" s="178"/>
      <c r="P370" s="178"/>
      <c r="Q370" s="178"/>
      <c r="R370" s="178"/>
      <c r="S370" s="178"/>
      <c r="T370" s="178"/>
      <c r="U370" s="178"/>
      <c r="V370" s="178"/>
      <c r="W370" s="178"/>
      <c r="X370" s="178"/>
      <c r="Y370" s="178"/>
      <c r="Z370" s="176"/>
    </row>
    <row r="371" spans="2:26" ht="15.6">
      <c r="B371" s="176"/>
      <c r="C371" s="176"/>
      <c r="D371" s="177"/>
      <c r="E371" s="178"/>
      <c r="F371" s="178"/>
      <c r="G371" s="179"/>
      <c r="H371" s="178"/>
      <c r="I371" s="178"/>
      <c r="J371" s="178"/>
      <c r="K371" s="178"/>
      <c r="L371" s="178"/>
      <c r="M371" s="178"/>
      <c r="N371" s="178"/>
      <c r="O371" s="178"/>
      <c r="P371" s="178"/>
      <c r="Q371" s="178"/>
      <c r="R371" s="178"/>
      <c r="S371" s="178"/>
      <c r="T371" s="178"/>
      <c r="U371" s="178"/>
      <c r="V371" s="178"/>
      <c r="W371" s="178"/>
      <c r="X371" s="178"/>
      <c r="Y371" s="178"/>
      <c r="Z371" s="176"/>
    </row>
    <row r="372" spans="2:26" ht="15.6">
      <c r="B372" s="176"/>
      <c r="C372" s="176"/>
      <c r="D372" s="177"/>
      <c r="E372" s="178"/>
      <c r="F372" s="178"/>
      <c r="G372" s="179"/>
      <c r="H372" s="178"/>
      <c r="I372" s="178"/>
      <c r="J372" s="178"/>
      <c r="K372" s="178"/>
      <c r="L372" s="178"/>
      <c r="M372" s="178"/>
      <c r="N372" s="178"/>
      <c r="O372" s="178"/>
      <c r="P372" s="178"/>
      <c r="Q372" s="178"/>
      <c r="R372" s="178"/>
      <c r="S372" s="178"/>
      <c r="T372" s="178"/>
      <c r="U372" s="178"/>
      <c r="V372" s="178"/>
      <c r="W372" s="178"/>
      <c r="X372" s="178"/>
      <c r="Y372" s="178"/>
      <c r="Z372" s="176"/>
    </row>
    <row r="373" spans="2:26" ht="15.6">
      <c r="B373" s="176"/>
      <c r="C373" s="176"/>
      <c r="D373" s="177"/>
      <c r="E373" s="178"/>
      <c r="F373" s="178"/>
      <c r="G373" s="179"/>
      <c r="H373" s="178"/>
      <c r="I373" s="178"/>
      <c r="J373" s="178"/>
      <c r="K373" s="178"/>
      <c r="L373" s="178"/>
      <c r="M373" s="178"/>
      <c r="N373" s="178"/>
      <c r="O373" s="178"/>
      <c r="P373" s="178"/>
      <c r="Q373" s="178"/>
      <c r="R373" s="178"/>
      <c r="S373" s="178"/>
      <c r="T373" s="178"/>
      <c r="U373" s="178"/>
      <c r="V373" s="178"/>
      <c r="W373" s="178"/>
      <c r="X373" s="178"/>
      <c r="Y373" s="178"/>
      <c r="Z373" s="176"/>
    </row>
    <row r="374" spans="2:26" ht="15.6">
      <c r="B374" s="176"/>
      <c r="C374" s="176"/>
      <c r="D374" s="177"/>
      <c r="E374" s="178"/>
      <c r="F374" s="178"/>
      <c r="G374" s="179"/>
      <c r="H374" s="178"/>
      <c r="I374" s="178"/>
      <c r="J374" s="178"/>
      <c r="K374" s="178"/>
      <c r="L374" s="178"/>
      <c r="M374" s="178"/>
      <c r="N374" s="178"/>
      <c r="O374" s="178"/>
      <c r="P374" s="178"/>
      <c r="Q374" s="178"/>
      <c r="R374" s="178"/>
      <c r="S374" s="178"/>
      <c r="T374" s="178"/>
      <c r="U374" s="178"/>
      <c r="V374" s="178"/>
      <c r="W374" s="178"/>
      <c r="X374" s="178"/>
      <c r="Y374" s="178"/>
      <c r="Z374" s="176"/>
    </row>
    <row r="375" spans="2:26" ht="15.6">
      <c r="B375" s="176"/>
      <c r="C375" s="176"/>
      <c r="D375" s="177"/>
      <c r="E375" s="178"/>
      <c r="F375" s="178"/>
      <c r="G375" s="179"/>
      <c r="H375" s="178"/>
      <c r="I375" s="178"/>
      <c r="J375" s="178"/>
      <c r="K375" s="178"/>
      <c r="L375" s="178"/>
      <c r="M375" s="178"/>
      <c r="N375" s="178"/>
      <c r="O375" s="178"/>
      <c r="P375" s="178"/>
      <c r="Q375" s="178"/>
      <c r="R375" s="178"/>
      <c r="S375" s="178"/>
      <c r="T375" s="178"/>
      <c r="U375" s="178"/>
      <c r="V375" s="178"/>
      <c r="W375" s="178"/>
      <c r="X375" s="178"/>
      <c r="Y375" s="178"/>
      <c r="Z375" s="176"/>
    </row>
    <row r="376" spans="2:26" ht="15.6">
      <c r="B376" s="176"/>
      <c r="C376" s="176"/>
      <c r="D376" s="177"/>
      <c r="E376" s="178"/>
      <c r="F376" s="178"/>
      <c r="G376" s="179"/>
      <c r="H376" s="178"/>
      <c r="I376" s="178"/>
      <c r="J376" s="178"/>
      <c r="K376" s="178"/>
      <c r="L376" s="178"/>
      <c r="M376" s="178"/>
      <c r="N376" s="178"/>
      <c r="O376" s="178"/>
      <c r="P376" s="178"/>
      <c r="Q376" s="178"/>
      <c r="R376" s="178"/>
      <c r="S376" s="178"/>
      <c r="T376" s="178"/>
      <c r="U376" s="178"/>
      <c r="V376" s="178"/>
      <c r="W376" s="178"/>
      <c r="X376" s="178"/>
      <c r="Y376" s="178"/>
      <c r="Z376" s="176"/>
    </row>
    <row r="377" spans="2:26" ht="15.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spans="2:26" ht="15.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spans="2:26" ht="15.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spans="2:26" ht="15.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spans="2:26" ht="15.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spans="2:26" ht="15.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spans="2:26" ht="15.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spans="2:26" ht="15.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spans="2:26" ht="15.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spans="2:26" ht="15.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spans="2:26" ht="15.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spans="2:26" ht="15.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spans="2:26" ht="15.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spans="2:26" ht="15.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spans="2:26" ht="15.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spans="2:26" ht="15.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spans="2:26" ht="15.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spans="2:26" ht="15.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spans="2:26" ht="15.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spans="2:26" ht="15.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spans="2:26" ht="15.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spans="2:26" ht="15.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spans="2:26" ht="15.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spans="2:26" ht="15.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spans="2:26" ht="15.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spans="2:26" ht="15.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spans="2:26" ht="15.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spans="2:26" ht="15.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spans="2:26" ht="15.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spans="2:26" ht="15.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spans="2:26" ht="15.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spans="2:26" ht="15.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spans="2:26" ht="15.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spans="2:26" ht="15.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spans="2:26" ht="15.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spans="2:26" ht="15.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spans="2:26" ht="15.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spans="2:26" ht="15.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spans="2:26" ht="15.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spans="2:26" ht="15.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spans="2:26" ht="15.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spans="2:26" ht="15.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spans="2:26" ht="15.75" customHeight="1">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spans="2:26" ht="15.75" customHeight="1">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spans="2:26" ht="15.75" customHeight="1">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spans="2:26" ht="15.75" customHeight="1">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spans="2:26" ht="15.75" customHeight="1">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spans="2:26" ht="15.75" customHeight="1">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spans="2:26" ht="15.75" customHeight="1">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spans="2:26" ht="15.75" customHeight="1">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spans="2:26" ht="15.75" customHeight="1">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spans="2:26" ht="15.75" customHeight="1">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spans="2:26" ht="15.75" customHeight="1">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spans="2:26" ht="15.75" customHeight="1">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spans="2:26" ht="15.75" customHeight="1">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spans="2:26" ht="15.75" customHeight="1">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spans="2:26" ht="15.75" customHeight="1">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spans="2:26" ht="15.75" customHeight="1">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spans="2:26" ht="15.75" customHeight="1">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spans="2:26" ht="15.75" customHeight="1">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spans="2:26" ht="15.75" customHeight="1">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spans="2:26" ht="15.75" customHeight="1">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spans="2:26" ht="15.75" customHeight="1">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spans="2:26" ht="15.75" customHeight="1">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spans="2:26" ht="15.75" customHeight="1">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spans="2:26" ht="15.75" customHeight="1">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spans="2:26" ht="15.75" customHeight="1">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spans="2:26" ht="15.75" customHeight="1">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spans="2:26" ht="15.75" customHeight="1">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spans="2:26" ht="15.75" customHeight="1">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spans="2:26" ht="15.75" customHeight="1">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spans="2:26" ht="15.75" customHeight="1">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spans="2:26" ht="15.75" customHeight="1">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spans="2:26" ht="15.75" customHeight="1">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spans="2:26" ht="15.75" customHeight="1">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spans="2:26" ht="15.75" customHeight="1">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spans="2:26" ht="15.75" customHeight="1">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spans="2:26" ht="15.75" customHeight="1">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spans="2:26" ht="15.75" customHeight="1">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spans="2:26" ht="15.75" customHeight="1">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spans="2:26" ht="15.75" customHeight="1">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spans="2:26" ht="15.75" customHeight="1">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spans="2:26" ht="15.75" customHeight="1">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spans="2:26" ht="15.75" customHeight="1">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spans="2:26" ht="15.75" customHeight="1">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spans="2:26" ht="15.75" customHeight="1">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spans="2:26" ht="15.75" customHeight="1">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spans="2:26" ht="15.75" customHeight="1">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spans="2:26" ht="15.75" customHeight="1">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spans="2:26" ht="15.75" customHeight="1">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spans="2:26" ht="15.75" customHeight="1">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spans="2:26" ht="15.75" customHeight="1">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spans="2:26" ht="15.75" customHeight="1">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spans="2:26" ht="15.75" customHeight="1">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spans="2:26" ht="15.75" customHeight="1">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spans="2:26" ht="15.75" customHeight="1">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spans="2:26" ht="15.75" customHeight="1">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spans="2:26" ht="15.75" customHeight="1">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spans="2:26" ht="15.75" customHeight="1">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spans="2:26" ht="15.75" customHeight="1">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spans="2:26" ht="15.75" customHeight="1">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spans="2:26" ht="15.75" customHeight="1">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spans="2:26" ht="15.75" customHeight="1">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spans="2:26" ht="15.75" customHeight="1">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spans="2:26" ht="15.75" customHeight="1">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spans="2:26" ht="15.75" customHeight="1">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spans="2:26" ht="15.75" customHeight="1">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spans="2:26" ht="15.75" customHeight="1">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spans="2:26" ht="15.75" customHeight="1">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spans="2:26" ht="15.75" customHeight="1">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spans="2:26" ht="15.75" customHeight="1">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spans="2:26" ht="15.75" customHeight="1">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spans="2:26" ht="15.75" customHeight="1">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spans="2:26" ht="15.75" customHeight="1">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spans="2:26" ht="15.75" customHeight="1">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spans="2:26" ht="15.75" customHeight="1">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spans="2:26" ht="15.75" customHeight="1">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spans="2:26" ht="15.75" customHeight="1">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spans="2:26" ht="15.75" customHeight="1">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spans="2:26" ht="15.75" customHeight="1">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spans="2:26" ht="15.75" customHeight="1">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spans="2:26" ht="15.75" customHeight="1">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spans="2:26" ht="15.75" customHeight="1">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spans="2:26" ht="15.75" customHeight="1">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spans="2:26" ht="15.75" customHeight="1">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spans="2:26" ht="15.75" customHeight="1">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spans="2:26" ht="15.75" customHeight="1">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spans="2:26" ht="15.75" customHeight="1">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spans="2:26" ht="15.75" customHeight="1">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spans="2:26" ht="15.75" customHeight="1">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spans="2:26" ht="15.75" customHeight="1">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spans="2:26" ht="15.75" customHeight="1">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spans="2:26" ht="15.75" customHeight="1">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spans="2:26" ht="15.75" customHeight="1">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spans="2:26" ht="15.75" customHeight="1">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spans="2:26" ht="15.75" customHeight="1">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spans="2:26" ht="15.75" customHeight="1">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spans="2:26" ht="15.75" customHeight="1">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spans="2:26" ht="15.75" customHeight="1">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spans="2:26" ht="15.75" customHeight="1">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spans="2:26" ht="15.75" customHeight="1">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spans="2:26" ht="15.75" customHeight="1">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spans="2:26" ht="15.75" customHeight="1">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spans="2:26" ht="15.75" customHeight="1">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spans="2:26" ht="15.75" customHeight="1">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spans="2:26" ht="15.75" customHeight="1">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spans="2:26" ht="15.75" customHeight="1">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spans="2:26" ht="15.75" customHeight="1">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spans="2:26" ht="15.75" customHeight="1">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spans="2:26" ht="15.75" customHeight="1">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spans="2:26" ht="15.75" customHeight="1">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spans="2:26" ht="15.75" customHeight="1">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spans="2:26" ht="15.75" customHeight="1">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spans="2:26" ht="15.75" customHeight="1">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spans="2:26" ht="15.75" customHeight="1">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spans="2:26" ht="15.75" customHeight="1">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spans="2:26" ht="15.75" customHeight="1">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spans="2:26" ht="15.75" customHeight="1">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spans="2:26" ht="15.75" customHeight="1">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spans="2:26" ht="15.75" customHeight="1">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spans="2:26" ht="15.75" customHeight="1">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spans="2:26" ht="15.75" customHeight="1">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spans="2:26" ht="15.75" customHeight="1">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spans="2:26" ht="15.75" customHeight="1">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spans="2:26" ht="15.75" customHeight="1">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spans="2:26" ht="15.75" customHeight="1">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spans="2:26" ht="15.75" customHeight="1">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spans="2:26" ht="15.75" customHeight="1">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spans="2:26" ht="15.75" customHeight="1">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spans="2:26" ht="15.75" customHeight="1">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spans="2:26" ht="15.75" customHeight="1">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spans="2:26" ht="15.75" customHeight="1">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spans="2:26" ht="15.75" customHeight="1">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spans="2:26" ht="15.75" customHeight="1">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spans="2:26" ht="15.75" customHeight="1">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spans="2:26" ht="15.75" customHeight="1">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spans="2:26" ht="15.75" customHeight="1">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spans="2:26" ht="15.75" customHeight="1">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spans="2:26" ht="15.75" customHeight="1">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spans="2:26" ht="15.75" customHeight="1">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spans="2:26" ht="15.75" customHeight="1">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spans="2:26" ht="15.75" customHeight="1">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spans="2:26" ht="15.75" customHeight="1">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spans="2:26" ht="15.75" customHeight="1">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spans="2:26" ht="15.75" customHeight="1">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spans="2:26" ht="15.75" customHeight="1">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spans="2:26" ht="15.75" customHeight="1">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spans="2:26" ht="15.75" customHeight="1">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spans="2:26" ht="15.75" customHeight="1">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spans="2:26" ht="15.75" customHeight="1">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spans="2:26" ht="15.75" customHeight="1">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spans="2:26" ht="15.75" customHeight="1">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spans="2:26" ht="15.75" customHeight="1">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spans="2:26" ht="15.75" customHeight="1">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spans="2:26" ht="15.75" customHeight="1">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spans="2:26" ht="15.75" customHeight="1">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spans="2:26" ht="15.75" customHeight="1">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spans="2:26" ht="15.75" customHeight="1">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spans="2:26" ht="15.75" customHeight="1">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spans="2:26" ht="15.75" customHeight="1">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spans="2:26" ht="15.75" customHeight="1">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spans="2:26" ht="15.75" customHeight="1">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spans="2:26" ht="15.75" customHeight="1">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spans="2:26" ht="15.75" customHeight="1">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spans="2:26" ht="15.75" customHeight="1">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spans="2:26" ht="15.75" customHeight="1">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spans="2:26" ht="15.75" customHeight="1">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spans="2:26" ht="15.75" customHeight="1">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spans="2:26" ht="15.75" customHeight="1">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spans="2:26" ht="15.75" customHeight="1">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spans="2:26" ht="15.75" customHeight="1">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spans="2:26" ht="15.75" customHeight="1">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spans="2:26" ht="15.75" customHeight="1">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spans="2:26" ht="15.75" customHeight="1">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spans="2:26" ht="15.75" customHeight="1">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spans="2:26" ht="15.75" customHeight="1">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spans="2:26" ht="15.75" customHeight="1">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spans="2:26" ht="15.75" customHeight="1">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spans="2:26" ht="15.75" customHeight="1">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spans="2:26" ht="15.75" customHeight="1">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spans="2:26" ht="15.75" customHeight="1">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spans="2:26" ht="15.75" customHeight="1">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spans="2:26" ht="15.75" customHeight="1">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spans="2:26" ht="15.75" customHeight="1">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spans="2:26" ht="15.75" customHeight="1">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spans="2:26" ht="15.75" customHeight="1">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spans="2:26" ht="15.75" customHeight="1">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spans="2:26" ht="15.75" customHeight="1">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spans="2:26" ht="15.75" customHeight="1">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spans="2:26" ht="15.75" customHeight="1">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spans="2:26" ht="15.75" customHeight="1">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spans="2:26" ht="15.75" customHeight="1">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spans="2:26" ht="15.75" customHeight="1">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spans="2:26" ht="15.75" customHeight="1">
      <c r="B610" s="286"/>
      <c r="C610" s="286"/>
      <c r="D610" s="287"/>
      <c r="E610" s="286"/>
      <c r="F610" s="286"/>
      <c r="G610" s="287"/>
      <c r="H610" s="286"/>
      <c r="I610" s="286"/>
      <c r="J610" s="286"/>
      <c r="K610" s="286"/>
      <c r="L610" s="286"/>
      <c r="M610" s="286"/>
      <c r="N610" s="286"/>
      <c r="O610" s="286"/>
      <c r="P610" s="286"/>
      <c r="Q610" s="286"/>
      <c r="R610" s="286"/>
      <c r="S610" s="286"/>
      <c r="T610" s="286"/>
      <c r="U610" s="286"/>
      <c r="V610" s="286"/>
      <c r="W610" s="286"/>
      <c r="X610" s="286"/>
      <c r="Y610" s="286"/>
      <c r="Z610" s="286"/>
    </row>
    <row r="611" spans="2:26" ht="15.75" customHeight="1">
      <c r="B611" s="286"/>
      <c r="C611" s="286"/>
      <c r="D611" s="287"/>
      <c r="E611" s="286"/>
      <c r="F611" s="286"/>
      <c r="G611" s="287"/>
      <c r="H611" s="286"/>
      <c r="I611" s="286"/>
      <c r="J611" s="286"/>
      <c r="K611" s="286"/>
      <c r="L611" s="286"/>
      <c r="M611" s="286"/>
      <c r="N611" s="286"/>
      <c r="O611" s="286"/>
      <c r="P611" s="286"/>
      <c r="Q611" s="286"/>
      <c r="R611" s="286"/>
      <c r="S611" s="286"/>
      <c r="T611" s="286"/>
      <c r="U611" s="286"/>
      <c r="V611" s="286"/>
      <c r="W611" s="286"/>
      <c r="X611" s="286"/>
      <c r="Y611" s="286"/>
      <c r="Z611" s="286"/>
    </row>
    <row r="612" spans="2:26" ht="15.75" customHeight="1">
      <c r="B612" s="286"/>
      <c r="C612" s="286"/>
      <c r="D612" s="287"/>
      <c r="E612" s="286"/>
      <c r="F612" s="286"/>
      <c r="G612" s="287"/>
      <c r="H612" s="286"/>
      <c r="I612" s="286"/>
      <c r="J612" s="286"/>
      <c r="K612" s="286"/>
      <c r="L612" s="286"/>
      <c r="M612" s="286"/>
      <c r="N612" s="286"/>
      <c r="O612" s="286"/>
      <c r="P612" s="286"/>
      <c r="Q612" s="286"/>
      <c r="R612" s="286"/>
      <c r="S612" s="286"/>
      <c r="T612" s="286"/>
      <c r="U612" s="286"/>
      <c r="V612" s="286"/>
      <c r="W612" s="286"/>
      <c r="X612" s="286"/>
      <c r="Y612" s="286"/>
      <c r="Z612" s="286"/>
    </row>
    <row r="613" spans="2:26" ht="15.75" customHeight="1">
      <c r="B613" s="286"/>
      <c r="C613" s="286"/>
      <c r="D613" s="287"/>
      <c r="E613" s="286"/>
      <c r="F613" s="286"/>
      <c r="G613" s="287"/>
      <c r="H613" s="286"/>
      <c r="I613" s="286"/>
      <c r="J613" s="286"/>
      <c r="K613" s="286"/>
      <c r="L613" s="286"/>
      <c r="M613" s="286"/>
      <c r="N613" s="286"/>
      <c r="O613" s="286"/>
      <c r="P613" s="286"/>
      <c r="Q613" s="286"/>
      <c r="R613" s="286"/>
      <c r="S613" s="286"/>
      <c r="T613" s="286"/>
      <c r="U613" s="286"/>
      <c r="V613" s="286"/>
      <c r="W613" s="286"/>
      <c r="X613" s="286"/>
      <c r="Y613" s="286"/>
      <c r="Z613" s="286"/>
    </row>
    <row r="614" spans="2:26" ht="15.75" customHeight="1">
      <c r="B614" s="286"/>
      <c r="C614" s="286"/>
      <c r="D614" s="287"/>
      <c r="E614" s="286"/>
      <c r="F614" s="286"/>
      <c r="G614" s="287"/>
      <c r="H614" s="286"/>
      <c r="I614" s="286"/>
      <c r="J614" s="286"/>
      <c r="K614" s="286"/>
      <c r="L614" s="286"/>
      <c r="M614" s="286"/>
      <c r="N614" s="286"/>
      <c r="O614" s="286"/>
      <c r="P614" s="286"/>
      <c r="Q614" s="286"/>
      <c r="R614" s="286"/>
      <c r="S614" s="286"/>
      <c r="T614" s="286"/>
      <c r="U614" s="286"/>
      <c r="V614" s="286"/>
      <c r="W614" s="286"/>
      <c r="X614" s="286"/>
      <c r="Y614" s="286"/>
      <c r="Z614" s="286"/>
    </row>
    <row r="615" spans="2:26" ht="15.75" customHeight="1">
      <c r="B615" s="286"/>
      <c r="C615" s="286"/>
      <c r="D615" s="287"/>
      <c r="E615" s="286"/>
      <c r="F615" s="286"/>
      <c r="G615" s="287"/>
      <c r="H615" s="286"/>
      <c r="I615" s="286"/>
      <c r="J615" s="286"/>
      <c r="K615" s="286"/>
      <c r="L615" s="286"/>
      <c r="M615" s="286"/>
      <c r="N615" s="286"/>
      <c r="O615" s="286"/>
      <c r="P615" s="286"/>
      <c r="Q615" s="286"/>
      <c r="R615" s="286"/>
      <c r="S615" s="286"/>
      <c r="T615" s="286"/>
      <c r="U615" s="286"/>
      <c r="V615" s="286"/>
      <c r="W615" s="286"/>
      <c r="X615" s="286"/>
      <c r="Y615" s="286"/>
      <c r="Z615" s="286"/>
    </row>
    <row r="616" spans="2:26" ht="15.75" customHeight="1">
      <c r="B616" s="286"/>
      <c r="C616" s="286"/>
      <c r="D616" s="287"/>
      <c r="E616" s="286"/>
      <c r="F616" s="286"/>
      <c r="G616" s="287"/>
      <c r="H616" s="286"/>
      <c r="I616" s="286"/>
      <c r="J616" s="286"/>
      <c r="K616" s="286"/>
      <c r="L616" s="286"/>
      <c r="M616" s="286"/>
      <c r="N616" s="286"/>
      <c r="O616" s="286"/>
      <c r="P616" s="286"/>
      <c r="Q616" s="286"/>
      <c r="R616" s="286"/>
      <c r="S616" s="286"/>
      <c r="T616" s="286"/>
      <c r="U616" s="286"/>
      <c r="V616" s="286"/>
      <c r="W616" s="286"/>
      <c r="X616" s="286"/>
      <c r="Y616" s="286"/>
      <c r="Z616" s="286"/>
    </row>
    <row r="617" spans="2:26" ht="15.75" customHeight="1">
      <c r="B617" s="286"/>
      <c r="C617" s="286"/>
      <c r="D617" s="287"/>
      <c r="E617" s="286"/>
      <c r="F617" s="286"/>
      <c r="G617" s="287"/>
      <c r="H617" s="286"/>
      <c r="I617" s="286"/>
      <c r="J617" s="286"/>
      <c r="K617" s="286"/>
      <c r="L617" s="286"/>
      <c r="M617" s="286"/>
      <c r="N617" s="286"/>
      <c r="O617" s="286"/>
      <c r="P617" s="286"/>
      <c r="Q617" s="286"/>
      <c r="R617" s="286"/>
      <c r="S617" s="286"/>
      <c r="T617" s="286"/>
      <c r="U617" s="286"/>
      <c r="V617" s="286"/>
      <c r="W617" s="286"/>
      <c r="X617" s="286"/>
      <c r="Y617" s="286"/>
      <c r="Z617" s="286"/>
    </row>
    <row r="618" spans="2:26" ht="15.75" customHeight="1">
      <c r="B618" s="286"/>
      <c r="C618" s="286"/>
      <c r="D618" s="287"/>
      <c r="E618" s="286"/>
      <c r="F618" s="286"/>
      <c r="G618" s="287"/>
      <c r="H618" s="286"/>
      <c r="I618" s="286"/>
      <c r="J618" s="286"/>
      <c r="K618" s="286"/>
      <c r="L618" s="286"/>
      <c r="M618" s="286"/>
      <c r="N618" s="286"/>
      <c r="O618" s="286"/>
      <c r="P618" s="286"/>
      <c r="Q618" s="286"/>
      <c r="R618" s="286"/>
      <c r="S618" s="286"/>
      <c r="T618" s="286"/>
      <c r="U618" s="286"/>
      <c r="V618" s="286"/>
      <c r="W618" s="286"/>
      <c r="X618" s="286"/>
      <c r="Y618" s="286"/>
      <c r="Z618" s="286"/>
    </row>
    <row r="619" spans="2:26" ht="15.75" customHeight="1">
      <c r="B619" s="286"/>
      <c r="C619" s="286"/>
      <c r="D619" s="287"/>
      <c r="E619" s="286"/>
      <c r="F619" s="286"/>
      <c r="G619" s="287"/>
      <c r="H619" s="286"/>
      <c r="I619" s="286"/>
      <c r="J619" s="286"/>
      <c r="K619" s="286"/>
      <c r="L619" s="286"/>
      <c r="M619" s="286"/>
      <c r="N619" s="286"/>
      <c r="O619" s="286"/>
      <c r="P619" s="286"/>
      <c r="Q619" s="286"/>
      <c r="R619" s="286"/>
      <c r="S619" s="286"/>
      <c r="T619" s="286"/>
      <c r="U619" s="286"/>
      <c r="V619" s="286"/>
      <c r="W619" s="286"/>
      <c r="X619" s="286"/>
      <c r="Y619" s="286"/>
      <c r="Z619" s="286"/>
    </row>
    <row r="620" spans="2:26" ht="15.75" customHeight="1">
      <c r="B620" s="286"/>
      <c r="C620" s="286"/>
      <c r="D620" s="287"/>
      <c r="E620" s="286"/>
      <c r="F620" s="286"/>
      <c r="G620" s="287"/>
      <c r="H620" s="286"/>
      <c r="I620" s="286"/>
      <c r="J620" s="286"/>
      <c r="K620" s="286"/>
      <c r="L620" s="286"/>
      <c r="M620" s="286"/>
      <c r="N620" s="286"/>
      <c r="O620" s="286"/>
      <c r="P620" s="286"/>
      <c r="Q620" s="286"/>
      <c r="R620" s="286"/>
      <c r="S620" s="286"/>
      <c r="T620" s="286"/>
      <c r="U620" s="286"/>
      <c r="V620" s="286"/>
      <c r="W620" s="286"/>
      <c r="X620" s="286"/>
      <c r="Y620" s="286"/>
      <c r="Z620" s="286"/>
    </row>
    <row r="621" spans="2:26" ht="15.75" customHeight="1">
      <c r="B621" s="286"/>
      <c r="C621" s="286"/>
      <c r="D621" s="287"/>
      <c r="E621" s="286"/>
      <c r="F621" s="286"/>
      <c r="G621" s="287"/>
      <c r="H621" s="286"/>
      <c r="I621" s="286"/>
      <c r="J621" s="286"/>
      <c r="K621" s="286"/>
      <c r="L621" s="286"/>
      <c r="M621" s="286"/>
      <c r="N621" s="286"/>
      <c r="O621" s="286"/>
      <c r="P621" s="286"/>
      <c r="Q621" s="286"/>
      <c r="R621" s="286"/>
      <c r="S621" s="286"/>
      <c r="T621" s="286"/>
      <c r="U621" s="286"/>
      <c r="V621" s="286"/>
      <c r="W621" s="286"/>
      <c r="X621" s="286"/>
      <c r="Y621" s="286"/>
      <c r="Z621" s="286"/>
    </row>
    <row r="622" spans="2:26" ht="15.75" customHeight="1">
      <c r="B622" s="286"/>
      <c r="C622" s="286"/>
      <c r="D622" s="287"/>
      <c r="E622" s="286"/>
      <c r="F622" s="286"/>
      <c r="G622" s="287"/>
      <c r="H622" s="286"/>
      <c r="I622" s="286"/>
      <c r="J622" s="286"/>
      <c r="K622" s="286"/>
      <c r="L622" s="286"/>
      <c r="M622" s="286"/>
      <c r="N622" s="286"/>
      <c r="O622" s="286"/>
      <c r="P622" s="286"/>
      <c r="Q622" s="286"/>
      <c r="R622" s="286"/>
      <c r="S622" s="286"/>
      <c r="T622" s="286"/>
      <c r="U622" s="286"/>
      <c r="V622" s="286"/>
      <c r="W622" s="286"/>
      <c r="X622" s="286"/>
      <c r="Y622" s="286"/>
      <c r="Z622" s="286"/>
    </row>
    <row r="623" spans="2:26" ht="15.75" customHeight="1">
      <c r="B623" s="286"/>
      <c r="C623" s="286"/>
      <c r="D623" s="287"/>
      <c r="E623" s="286"/>
      <c r="F623" s="286"/>
      <c r="G623" s="287"/>
      <c r="H623" s="286"/>
      <c r="I623" s="286"/>
      <c r="J623" s="286"/>
      <c r="K623" s="286"/>
      <c r="L623" s="286"/>
      <c r="M623" s="286"/>
      <c r="N623" s="286"/>
      <c r="O623" s="286"/>
      <c r="P623" s="286"/>
      <c r="Q623" s="286"/>
      <c r="R623" s="286"/>
      <c r="S623" s="286"/>
      <c r="T623" s="286"/>
      <c r="U623" s="286"/>
      <c r="V623" s="286"/>
      <c r="W623" s="286"/>
      <c r="X623" s="286"/>
      <c r="Y623" s="286"/>
      <c r="Z623" s="286"/>
    </row>
    <row r="624" spans="2:26" ht="15.75" customHeight="1">
      <c r="B624" s="286"/>
      <c r="C624" s="286"/>
      <c r="D624" s="287"/>
      <c r="E624" s="286"/>
      <c r="F624" s="286"/>
      <c r="G624" s="287"/>
      <c r="H624" s="286"/>
      <c r="I624" s="286"/>
      <c r="J624" s="286"/>
      <c r="K624" s="286"/>
      <c r="L624" s="286"/>
      <c r="M624" s="286"/>
      <c r="N624" s="286"/>
      <c r="O624" s="286"/>
      <c r="P624" s="286"/>
      <c r="Q624" s="286"/>
      <c r="R624" s="286"/>
      <c r="S624" s="286"/>
      <c r="T624" s="286"/>
      <c r="U624" s="286"/>
      <c r="V624" s="286"/>
      <c r="W624" s="286"/>
      <c r="X624" s="286"/>
      <c r="Y624" s="286"/>
      <c r="Z624" s="286"/>
    </row>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sheetProtection algorithmName="SHA-512" hashValue="VO/jn2V2KxzOY+shFDQ8aSpQtwL4tDbDU09kkKM89TFg8lxnVyJnv7UOpDxJ9PtcP8eBC3VgwmzcJhi1Q2XCnw==" saltValue="iavF//FyhlrhGR+tMXHroQ==" spinCount="100000" sheet="1" objects="1" scenarios="1"/>
  <mergeCells count="4">
    <mergeCell ref="D78:F78"/>
    <mergeCell ref="C78:C79"/>
    <mergeCell ref="B78:B79"/>
    <mergeCell ref="B2:E2"/>
  </mergeCells>
  <conditionalFormatting sqref="J45:K54 J56:K63">
    <cfRule type="containsText" dxfId="1" priority="1" operator="containsText" text="Manual Input">
      <formula>NOT(ISERROR(SEARCH("Manual Input",J45)))</formula>
    </cfRule>
  </conditionalFormatting>
  <conditionalFormatting sqref="J69:K70">
    <cfRule type="containsText" dxfId="0" priority="2" operator="containsText" text="Manual Input">
      <formula>NOT(ISERROR(SEARCH("Manual Input",J69)))</formula>
    </cfRule>
  </conditionalFormatting>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F8EB-4CD5-4358-8F80-101CE19F4AD0}">
  <sheetPr codeName="Sheet9">
    <tabColor theme="1"/>
  </sheetPr>
  <dimension ref="A1:Z300"/>
  <sheetViews>
    <sheetView showGridLines="0" tabSelected="1" zoomScaleNormal="100" workbookViewId="0">
      <selection activeCell="J45" sqref="J45"/>
    </sheetView>
  </sheetViews>
  <sheetFormatPr defaultColWidth="8.59765625" defaultRowHeight="15"/>
  <cols>
    <col min="1" max="1" width="4.09765625" style="39" customWidth="1"/>
    <col min="2" max="2" width="3.09765625" style="31" customWidth="1"/>
    <col min="3" max="5" width="16.5" style="31" customWidth="1"/>
    <col min="6" max="6" width="21.09765625" style="31" bestFit="1" customWidth="1"/>
    <col min="7" max="7" width="16.5" style="31" customWidth="1"/>
    <col min="8" max="8" width="3.09765625" style="31" customWidth="1"/>
    <col min="9" max="26" width="10.09765625" style="31" customWidth="1"/>
    <col min="27" max="16384" width="8.59765625" style="31"/>
  </cols>
  <sheetData>
    <row r="1" spans="1:26" s="33" customFormat="1" ht="20.100000000000001" customHeight="1">
      <c r="A1" s="268"/>
      <c r="B1" s="288"/>
      <c r="C1" s="288"/>
      <c r="D1" s="288"/>
      <c r="E1" s="288"/>
      <c r="F1" s="288"/>
      <c r="G1" s="288"/>
      <c r="H1" s="288"/>
      <c r="I1" s="288"/>
      <c r="J1" s="288"/>
      <c r="K1" s="288"/>
      <c r="L1" s="288"/>
      <c r="M1" s="288"/>
      <c r="N1" s="288"/>
      <c r="O1" s="288"/>
      <c r="P1" s="288"/>
      <c r="Q1" s="288"/>
      <c r="R1" s="288"/>
      <c r="S1" s="288"/>
      <c r="T1" s="288"/>
      <c r="U1" s="288"/>
      <c r="V1" s="288"/>
      <c r="W1" s="288"/>
      <c r="X1" s="288"/>
      <c r="Y1" s="288"/>
      <c r="Z1" s="288"/>
    </row>
    <row r="2" spans="1:26" s="1" customFormat="1" ht="81" customHeight="1">
      <c r="A2" s="268"/>
      <c r="B2" s="338" t="s">
        <v>287</v>
      </c>
      <c r="C2" s="354"/>
      <c r="D2" s="354"/>
      <c r="E2" s="354"/>
      <c r="F2" s="354"/>
      <c r="G2" s="354"/>
      <c r="H2" s="355"/>
      <c r="I2" s="289"/>
      <c r="J2" s="289"/>
      <c r="K2" s="289"/>
      <c r="L2" s="289"/>
      <c r="M2" s="289"/>
      <c r="N2" s="289"/>
      <c r="O2" s="289"/>
      <c r="P2" s="289"/>
      <c r="Q2" s="289"/>
      <c r="R2" s="289"/>
      <c r="S2" s="289"/>
      <c r="T2" s="289"/>
      <c r="U2" s="289"/>
      <c r="V2" s="289"/>
      <c r="W2" s="289"/>
      <c r="X2" s="289"/>
      <c r="Y2" s="289"/>
      <c r="Z2" s="71"/>
    </row>
    <row r="3" spans="1:26" s="1" customFormat="1" ht="18" customHeight="1">
      <c r="A3" s="34"/>
      <c r="B3" s="290"/>
      <c r="C3" s="290"/>
      <c r="D3" s="291"/>
      <c r="E3" s="290"/>
      <c r="F3" s="290"/>
      <c r="G3" s="290"/>
      <c r="H3" s="290"/>
      <c r="I3" s="290"/>
      <c r="J3" s="290"/>
      <c r="K3" s="290"/>
      <c r="L3" s="290"/>
      <c r="M3" s="290"/>
      <c r="N3" s="290"/>
      <c r="O3" s="290"/>
      <c r="P3" s="290"/>
      <c r="Q3" s="290"/>
      <c r="R3" s="290"/>
      <c r="S3" s="290"/>
      <c r="T3" s="290"/>
      <c r="U3" s="290"/>
      <c r="V3" s="290"/>
      <c r="W3" s="290"/>
      <c r="X3" s="290"/>
      <c r="Y3" s="290"/>
      <c r="Z3" s="35"/>
    </row>
    <row r="4" spans="1:26" s="1" customFormat="1" ht="18" customHeight="1">
      <c r="A4" s="22"/>
      <c r="B4" s="270"/>
      <c r="C4" s="271"/>
      <c r="D4" s="292"/>
      <c r="E4" s="271"/>
      <c r="F4" s="271"/>
      <c r="G4" s="271"/>
      <c r="H4" s="272"/>
      <c r="I4" s="290"/>
      <c r="J4" s="290"/>
      <c r="K4" s="290"/>
      <c r="L4" s="290"/>
      <c r="M4" s="290"/>
      <c r="N4" s="290"/>
      <c r="O4" s="290"/>
      <c r="P4" s="290"/>
      <c r="Q4" s="290"/>
      <c r="R4" s="290"/>
      <c r="S4" s="290"/>
      <c r="T4" s="290"/>
      <c r="U4" s="290"/>
      <c r="V4" s="290"/>
      <c r="W4" s="290"/>
      <c r="X4" s="290"/>
      <c r="Y4" s="290"/>
      <c r="Z4" s="35"/>
    </row>
    <row r="5" spans="1:26" s="1" customFormat="1" ht="18" customHeight="1">
      <c r="A5" s="22"/>
      <c r="B5" s="293"/>
      <c r="C5" s="231" t="s">
        <v>149</v>
      </c>
      <c r="D5" s="294"/>
      <c r="E5" s="294"/>
      <c r="F5" s="356" t="str">
        <f>IF(logic_optpath&lt;&gt;"",logic_optpath,"")</f>
        <v/>
      </c>
      <c r="G5" s="357"/>
      <c r="H5" s="295"/>
      <c r="I5" s="296"/>
      <c r="J5" s="296"/>
      <c r="K5" s="296"/>
      <c r="L5" s="296"/>
      <c r="M5" s="296"/>
      <c r="N5" s="296"/>
      <c r="O5" s="296"/>
      <c r="P5" s="296"/>
      <c r="Q5" s="296"/>
      <c r="R5" s="296"/>
      <c r="S5" s="296"/>
      <c r="T5" s="296"/>
      <c r="U5" s="296"/>
      <c r="V5" s="296"/>
      <c r="W5" s="296"/>
      <c r="X5" s="296"/>
      <c r="Y5" s="296"/>
      <c r="Z5" s="296"/>
    </row>
    <row r="6" spans="1:26" s="1" customFormat="1" ht="18" customHeight="1">
      <c r="A6" s="22"/>
      <c r="B6" s="293"/>
      <c r="C6" s="72"/>
      <c r="D6" s="73"/>
      <c r="E6" s="73"/>
      <c r="F6" s="73"/>
      <c r="G6" s="73"/>
      <c r="H6" s="295"/>
      <c r="I6" s="296"/>
      <c r="J6" s="296"/>
      <c r="K6" s="296"/>
      <c r="L6" s="296"/>
      <c r="M6" s="296"/>
      <c r="N6" s="296"/>
      <c r="O6" s="296"/>
      <c r="P6" s="296"/>
      <c r="Q6" s="296"/>
      <c r="R6" s="296"/>
      <c r="S6" s="296"/>
      <c r="T6" s="296"/>
      <c r="U6" s="296"/>
      <c r="V6" s="296"/>
      <c r="W6" s="296"/>
      <c r="X6" s="296"/>
      <c r="Y6" s="296"/>
      <c r="Z6" s="296"/>
    </row>
    <row r="7" spans="1:26" s="1" customFormat="1" ht="18" customHeight="1">
      <c r="A7" s="22"/>
      <c r="B7" s="293"/>
      <c r="C7" s="89" t="s">
        <v>263</v>
      </c>
      <c r="D7" s="90"/>
      <c r="E7" s="90"/>
      <c r="F7" s="90"/>
      <c r="G7" s="91"/>
      <c r="H7" s="295"/>
      <c r="I7" s="296"/>
      <c r="J7" s="296"/>
      <c r="K7" s="296"/>
      <c r="L7" s="296"/>
      <c r="M7" s="296"/>
      <c r="N7" s="296"/>
      <c r="O7" s="296"/>
      <c r="P7" s="296"/>
      <c r="Q7" s="296"/>
      <c r="R7" s="296"/>
      <c r="S7" s="296"/>
      <c r="T7" s="296"/>
      <c r="U7" s="296"/>
      <c r="V7" s="296"/>
      <c r="W7" s="296"/>
      <c r="X7" s="296"/>
      <c r="Y7" s="296"/>
      <c r="Z7" s="296"/>
    </row>
    <row r="8" spans="1:26" s="1" customFormat="1" ht="18" customHeight="1">
      <c r="A8" s="22"/>
      <c r="B8" s="293"/>
      <c r="C8" s="72"/>
      <c r="D8" s="73"/>
      <c r="E8" s="73"/>
      <c r="F8" s="73"/>
      <c r="G8" s="73"/>
      <c r="H8" s="295"/>
      <c r="I8" s="296"/>
      <c r="J8" s="296"/>
      <c r="K8" s="296"/>
      <c r="L8" s="296"/>
      <c r="M8" s="296"/>
      <c r="N8" s="296"/>
      <c r="O8" s="296"/>
      <c r="P8" s="296"/>
      <c r="Q8" s="296"/>
      <c r="R8" s="296"/>
      <c r="S8" s="296"/>
      <c r="T8" s="296"/>
      <c r="U8" s="296"/>
      <c r="V8" s="296"/>
      <c r="W8" s="296"/>
      <c r="X8" s="296"/>
      <c r="Y8" s="296"/>
      <c r="Z8" s="296"/>
    </row>
    <row r="9" spans="1:26" s="1" customFormat="1" ht="18" customHeight="1">
      <c r="A9" s="22"/>
      <c r="B9" s="293"/>
      <c r="C9" s="109" t="s">
        <v>264</v>
      </c>
      <c r="D9" s="110"/>
      <c r="E9" s="109"/>
      <c r="F9" s="110"/>
      <c r="G9" s="111" t="s">
        <v>265</v>
      </c>
      <c r="H9" s="295"/>
      <c r="I9" s="296"/>
      <c r="J9" s="296"/>
      <c r="K9" s="296"/>
      <c r="L9" s="296"/>
      <c r="M9" s="296"/>
      <c r="N9" s="296"/>
      <c r="O9" s="296"/>
      <c r="P9" s="296"/>
      <c r="Q9" s="296"/>
      <c r="R9" s="296"/>
      <c r="S9" s="296"/>
      <c r="T9" s="296"/>
      <c r="U9" s="296"/>
      <c r="V9" s="296"/>
      <c r="W9" s="296"/>
      <c r="X9" s="296"/>
      <c r="Y9" s="296"/>
      <c r="Z9" s="296"/>
    </row>
    <row r="10" spans="1:26" s="1" customFormat="1" ht="18" customHeight="1">
      <c r="A10" s="22"/>
      <c r="B10" s="293"/>
      <c r="C10" s="253" t="s">
        <v>266</v>
      </c>
      <c r="D10" s="128"/>
      <c r="E10" s="128"/>
      <c r="F10" s="128"/>
      <c r="G10" s="129">
        <v>1</v>
      </c>
      <c r="H10" s="295"/>
      <c r="I10" s="296"/>
      <c r="J10" s="296"/>
      <c r="K10" s="296"/>
      <c r="L10" s="296"/>
      <c r="M10" s="296"/>
      <c r="N10" s="296"/>
      <c r="O10" s="296"/>
      <c r="P10" s="296"/>
      <c r="Q10" s="296"/>
      <c r="R10" s="296"/>
      <c r="S10" s="296"/>
      <c r="T10" s="296"/>
      <c r="U10" s="296"/>
      <c r="V10" s="296"/>
      <c r="W10" s="296"/>
      <c r="X10" s="296"/>
      <c r="Y10" s="296"/>
      <c r="Z10" s="296"/>
    </row>
    <row r="11" spans="1:26" s="1" customFormat="1" ht="18" customHeight="1">
      <c r="A11" s="22"/>
      <c r="B11" s="293"/>
      <c r="C11" s="72"/>
      <c r="D11" s="73"/>
      <c r="E11" s="73"/>
      <c r="F11" s="73"/>
      <c r="G11" s="73"/>
      <c r="H11" s="295"/>
      <c r="I11" s="296"/>
      <c r="J11" s="296"/>
      <c r="K11" s="296"/>
      <c r="L11" s="296"/>
      <c r="M11" s="296"/>
      <c r="N11" s="296"/>
      <c r="O11" s="296"/>
      <c r="P11" s="296"/>
      <c r="Q11" s="296"/>
      <c r="R11" s="296"/>
      <c r="S11" s="296"/>
      <c r="T11" s="296"/>
      <c r="U11" s="296"/>
      <c r="V11" s="296"/>
      <c r="W11" s="296"/>
      <c r="X11" s="296"/>
      <c r="Y11" s="296"/>
      <c r="Z11" s="296"/>
    </row>
    <row r="12" spans="1:26" ht="18" customHeight="1">
      <c r="A12" s="22"/>
      <c r="B12" s="74"/>
      <c r="C12" s="16" t="s">
        <v>281</v>
      </c>
      <c r="D12" s="75"/>
      <c r="E12" s="75"/>
      <c r="F12" s="75"/>
      <c r="G12" s="114" t="str">
        <f>IF(heatRecoveryRequirement="Yes", "Yes", "Not Compliant")</f>
        <v>Not Compliant</v>
      </c>
      <c r="H12" s="76"/>
      <c r="I12" s="30"/>
      <c r="J12" s="30"/>
      <c r="K12" s="30"/>
      <c r="L12" s="30"/>
      <c r="M12" s="30"/>
      <c r="N12" s="30"/>
      <c r="O12" s="30"/>
      <c r="P12" s="30"/>
      <c r="Q12" s="30"/>
      <c r="R12" s="30"/>
      <c r="S12" s="30"/>
      <c r="T12" s="30"/>
      <c r="U12" s="30"/>
      <c r="V12" s="30"/>
      <c r="W12" s="30"/>
      <c r="X12" s="30"/>
      <c r="Y12" s="30"/>
      <c r="Z12" s="30"/>
    </row>
    <row r="13" spans="1:26" ht="18" customHeight="1">
      <c r="A13" s="22"/>
      <c r="B13" s="74"/>
      <c r="C13" s="16"/>
      <c r="D13" s="75"/>
      <c r="E13" s="75"/>
      <c r="F13" s="75"/>
      <c r="G13" s="77"/>
      <c r="H13" s="76"/>
      <c r="I13" s="30"/>
      <c r="J13" s="30"/>
      <c r="K13" s="30"/>
      <c r="L13" s="30"/>
      <c r="M13" s="30"/>
      <c r="N13" s="30"/>
      <c r="O13" s="30"/>
      <c r="P13" s="30"/>
      <c r="Q13" s="30"/>
      <c r="R13" s="30"/>
      <c r="S13" s="30"/>
      <c r="T13" s="30"/>
      <c r="U13" s="30"/>
      <c r="V13" s="30"/>
      <c r="W13" s="30"/>
      <c r="X13" s="30"/>
      <c r="Y13" s="30"/>
      <c r="Z13" s="30"/>
    </row>
    <row r="14" spans="1:26" ht="18" customHeight="1">
      <c r="A14" s="22"/>
      <c r="B14" s="74"/>
      <c r="C14" s="109" t="s">
        <v>192</v>
      </c>
      <c r="D14" s="75"/>
      <c r="E14" s="75"/>
      <c r="F14" s="75"/>
      <c r="G14" s="77"/>
      <c r="H14" s="76"/>
      <c r="I14" s="30"/>
      <c r="J14" s="30"/>
      <c r="K14" s="30"/>
      <c r="L14" s="30"/>
      <c r="M14" s="30"/>
      <c r="N14" s="30"/>
      <c r="O14" s="30"/>
      <c r="P14" s="30"/>
      <c r="Q14" s="30"/>
      <c r="R14" s="30"/>
      <c r="S14" s="30"/>
      <c r="T14" s="30"/>
      <c r="U14" s="30"/>
      <c r="V14" s="30"/>
      <c r="W14" s="30"/>
      <c r="X14" s="30"/>
      <c r="Y14" s="30"/>
      <c r="Z14" s="30"/>
    </row>
    <row r="15" spans="1:26" ht="18" customHeight="1">
      <c r="A15" s="22"/>
      <c r="B15" s="74"/>
      <c r="C15" s="16"/>
      <c r="D15" s="75"/>
      <c r="E15" s="75"/>
      <c r="F15" s="75"/>
      <c r="G15" s="77"/>
      <c r="H15" s="76"/>
      <c r="I15" s="30"/>
      <c r="J15" s="30"/>
      <c r="K15" s="30"/>
      <c r="L15" s="30"/>
      <c r="M15" s="30"/>
      <c r="N15" s="30"/>
      <c r="O15" s="30"/>
      <c r="P15" s="30"/>
      <c r="Q15" s="30"/>
      <c r="R15" s="30"/>
      <c r="S15" s="30"/>
      <c r="T15" s="30"/>
      <c r="U15" s="30"/>
      <c r="V15" s="30"/>
      <c r="W15" s="30"/>
      <c r="X15" s="30"/>
      <c r="Y15" s="30"/>
      <c r="Z15" s="30"/>
    </row>
    <row r="16" spans="1:26" s="1" customFormat="1" ht="18" customHeight="1">
      <c r="A16" s="22"/>
      <c r="B16" s="293"/>
      <c r="C16" s="89" t="s">
        <v>267</v>
      </c>
      <c r="D16" s="90"/>
      <c r="E16" s="90"/>
      <c r="F16" s="90"/>
      <c r="G16" s="91"/>
      <c r="H16" s="295"/>
      <c r="I16" s="296"/>
      <c r="J16" s="296"/>
      <c r="K16" s="296"/>
      <c r="L16" s="296"/>
      <c r="M16" s="296"/>
      <c r="N16" s="296"/>
      <c r="O16" s="296"/>
      <c r="P16" s="296"/>
      <c r="Q16" s="296"/>
      <c r="R16" s="296"/>
      <c r="S16" s="296"/>
      <c r="T16" s="296"/>
      <c r="U16" s="296"/>
      <c r="V16" s="296"/>
      <c r="W16" s="296"/>
      <c r="X16" s="296"/>
      <c r="Y16" s="296"/>
      <c r="Z16" s="296"/>
    </row>
    <row r="17" spans="1:26" s="1" customFormat="1" ht="18" customHeight="1">
      <c r="A17" s="22"/>
      <c r="B17" s="293"/>
      <c r="C17" s="72"/>
      <c r="D17" s="73"/>
      <c r="E17" s="73"/>
      <c r="F17" s="73"/>
      <c r="G17" s="73"/>
      <c r="H17" s="295"/>
      <c r="I17" s="296"/>
      <c r="J17" s="296"/>
      <c r="K17" s="296"/>
      <c r="L17" s="296"/>
      <c r="M17" s="296"/>
      <c r="N17" s="296"/>
      <c r="O17" s="296"/>
      <c r="P17" s="296"/>
      <c r="Q17" s="296"/>
      <c r="R17" s="296"/>
      <c r="S17" s="296"/>
      <c r="T17" s="296"/>
      <c r="U17" s="296"/>
      <c r="V17" s="296"/>
      <c r="W17" s="296"/>
      <c r="X17" s="296"/>
      <c r="Y17" s="296"/>
      <c r="Z17" s="296"/>
    </row>
    <row r="18" spans="1:26" ht="18" customHeight="1">
      <c r="A18" s="22"/>
      <c r="B18" s="74"/>
      <c r="C18" s="97" t="s">
        <v>268</v>
      </c>
      <c r="D18" s="75"/>
      <c r="E18" s="75"/>
      <c r="F18" s="75"/>
      <c r="G18" s="111" t="s">
        <v>265</v>
      </c>
      <c r="H18" s="76"/>
      <c r="I18" s="30"/>
      <c r="J18" s="30"/>
      <c r="K18" s="30"/>
      <c r="L18" s="30"/>
      <c r="M18" s="30"/>
      <c r="N18" s="30"/>
      <c r="O18" s="30"/>
      <c r="P18" s="30"/>
      <c r="Q18" s="30"/>
      <c r="R18" s="30"/>
      <c r="S18" s="30"/>
      <c r="T18" s="30"/>
      <c r="U18" s="30"/>
      <c r="V18" s="30"/>
      <c r="W18" s="30"/>
      <c r="X18" s="30"/>
      <c r="Y18" s="30"/>
      <c r="Z18" s="30"/>
    </row>
    <row r="19" spans="1:26" s="1" customFormat="1" ht="18" customHeight="1">
      <c r="A19" s="22"/>
      <c r="B19" s="293"/>
      <c r="C19" s="254" t="s">
        <v>269</v>
      </c>
      <c r="D19" s="100"/>
      <c r="E19" s="107"/>
      <c r="F19" s="100"/>
      <c r="G19" s="101">
        <v>0</v>
      </c>
      <c r="H19" s="295"/>
      <c r="I19" s="296"/>
      <c r="J19" s="296"/>
      <c r="K19" s="296"/>
      <c r="L19" s="296"/>
      <c r="M19" s="296"/>
      <c r="N19" s="296"/>
      <c r="O19" s="296"/>
      <c r="P19" s="296"/>
      <c r="Q19" s="296"/>
      <c r="R19" s="296"/>
      <c r="S19" s="296"/>
      <c r="T19" s="296"/>
      <c r="U19" s="296"/>
      <c r="V19" s="296"/>
      <c r="W19" s="296"/>
      <c r="X19" s="296"/>
      <c r="Y19" s="296"/>
      <c r="Z19" s="296"/>
    </row>
    <row r="20" spans="1:26" s="1" customFormat="1" ht="18" customHeight="1">
      <c r="A20" s="22"/>
      <c r="B20" s="293"/>
      <c r="C20" s="260" t="s">
        <v>270</v>
      </c>
      <c r="D20" s="255"/>
      <c r="E20" s="259"/>
      <c r="F20" s="255"/>
      <c r="G20" s="102">
        <v>1</v>
      </c>
      <c r="H20" s="295"/>
      <c r="I20" s="296"/>
      <c r="J20" s="296"/>
      <c r="K20" s="296"/>
      <c r="L20" s="296"/>
      <c r="M20" s="296"/>
      <c r="N20" s="296"/>
      <c r="O20" s="296"/>
      <c r="P20" s="296"/>
      <c r="Q20" s="296"/>
      <c r="R20" s="296"/>
      <c r="S20" s="296"/>
      <c r="T20" s="296"/>
      <c r="U20" s="296"/>
      <c r="V20" s="296"/>
      <c r="W20" s="296"/>
      <c r="X20" s="296"/>
      <c r="Y20" s="296"/>
      <c r="Z20" s="296"/>
    </row>
    <row r="21" spans="1:26" s="1" customFormat="1" ht="18" customHeight="1">
      <c r="A21" s="22"/>
      <c r="B21" s="293"/>
      <c r="C21" s="261" t="s">
        <v>271</v>
      </c>
      <c r="D21" s="103"/>
      <c r="E21" s="108"/>
      <c r="F21" s="103"/>
      <c r="G21" s="104">
        <v>2</v>
      </c>
      <c r="H21" s="295"/>
      <c r="I21" s="296"/>
      <c r="J21" s="296"/>
      <c r="K21" s="296"/>
      <c r="L21" s="296"/>
      <c r="M21" s="296"/>
      <c r="N21" s="296"/>
      <c r="O21" s="296"/>
      <c r="P21" s="296"/>
      <c r="Q21" s="296"/>
      <c r="R21" s="296"/>
      <c r="S21" s="296"/>
      <c r="T21" s="296"/>
      <c r="U21" s="296"/>
      <c r="V21" s="296"/>
      <c r="W21" s="296"/>
      <c r="X21" s="296"/>
      <c r="Y21" s="296"/>
      <c r="Z21" s="296"/>
    </row>
    <row r="22" spans="1:26" ht="18" customHeight="1">
      <c r="A22" s="22"/>
      <c r="B22" s="74"/>
      <c r="C22" s="78"/>
      <c r="D22" s="78"/>
      <c r="E22" s="78"/>
      <c r="F22" s="78"/>
      <c r="G22" s="79"/>
      <c r="H22" s="76"/>
      <c r="I22" s="30"/>
      <c r="J22" s="30"/>
      <c r="K22" s="30"/>
      <c r="L22" s="30"/>
      <c r="M22" s="30"/>
      <c r="N22" s="30"/>
      <c r="O22" s="30"/>
      <c r="P22" s="30"/>
      <c r="Q22" s="30"/>
      <c r="R22" s="30"/>
      <c r="S22" s="30"/>
      <c r="T22" s="30"/>
      <c r="U22" s="30"/>
      <c r="V22" s="30"/>
      <c r="W22" s="30"/>
      <c r="X22" s="30"/>
      <c r="Y22" s="30"/>
      <c r="Z22" s="30"/>
    </row>
    <row r="23" spans="1:26" ht="18" customHeight="1">
      <c r="A23" s="22"/>
      <c r="B23" s="74"/>
      <c r="C23" s="16" t="s">
        <v>272</v>
      </c>
      <c r="D23" s="78"/>
      <c r="E23" s="78"/>
      <c r="F23" s="78"/>
      <c r="G23" s="251">
        <f>envelopeLoadsReduction</f>
        <v>0</v>
      </c>
      <c r="H23" s="76"/>
      <c r="I23" s="30"/>
      <c r="J23" s="30"/>
      <c r="K23" s="30"/>
      <c r="L23" s="30"/>
      <c r="M23" s="30"/>
      <c r="N23" s="30"/>
      <c r="O23" s="30"/>
      <c r="P23" s="30"/>
      <c r="Q23" s="30"/>
      <c r="R23" s="30"/>
      <c r="S23" s="30"/>
      <c r="T23" s="30"/>
      <c r="U23" s="30"/>
      <c r="V23" s="30"/>
      <c r="W23" s="30"/>
      <c r="X23" s="30"/>
      <c r="Y23" s="30"/>
      <c r="Z23" s="30"/>
    </row>
    <row r="24" spans="1:26" ht="18" customHeight="1">
      <c r="A24" s="22"/>
      <c r="B24" s="74"/>
      <c r="C24" s="78"/>
      <c r="D24" s="78"/>
      <c r="E24" s="78"/>
      <c r="F24" s="78"/>
      <c r="G24" s="79"/>
      <c r="H24" s="76"/>
      <c r="I24" s="30"/>
      <c r="J24" s="30"/>
      <c r="K24" s="30"/>
      <c r="L24" s="30"/>
      <c r="M24" s="30"/>
      <c r="N24" s="30"/>
      <c r="O24" s="30"/>
      <c r="P24" s="30"/>
      <c r="Q24" s="30"/>
      <c r="R24" s="30"/>
      <c r="S24" s="30"/>
      <c r="T24" s="30"/>
      <c r="U24" s="30"/>
      <c r="V24" s="30"/>
      <c r="W24" s="30"/>
      <c r="X24" s="30"/>
      <c r="Y24" s="30"/>
      <c r="Z24" s="30"/>
    </row>
    <row r="25" spans="1:26" ht="18" customHeight="1">
      <c r="A25" s="22"/>
      <c r="B25" s="74"/>
      <c r="C25" s="109" t="s">
        <v>192</v>
      </c>
      <c r="D25" s="75"/>
      <c r="E25" s="75"/>
      <c r="F25" s="75"/>
      <c r="G25" s="77"/>
      <c r="H25" s="76"/>
      <c r="I25" s="30"/>
      <c r="J25" s="30"/>
      <c r="K25" s="30"/>
      <c r="L25" s="30"/>
      <c r="M25" s="30"/>
      <c r="N25" s="30"/>
      <c r="O25" s="30"/>
      <c r="P25" s="30"/>
      <c r="Q25" s="30"/>
      <c r="R25" s="30"/>
      <c r="S25" s="30"/>
      <c r="T25" s="30"/>
      <c r="U25" s="30"/>
      <c r="V25" s="30"/>
      <c r="W25" s="30"/>
      <c r="X25" s="30"/>
      <c r="Y25" s="30"/>
      <c r="Z25" s="30"/>
    </row>
    <row r="26" spans="1:26" ht="18" customHeight="1">
      <c r="A26" s="22"/>
      <c r="B26" s="74"/>
      <c r="C26" s="78"/>
      <c r="D26" s="78"/>
      <c r="E26" s="78"/>
      <c r="F26" s="78"/>
      <c r="G26" s="79"/>
      <c r="H26" s="76"/>
      <c r="I26" s="30"/>
      <c r="J26" s="30"/>
      <c r="K26" s="30"/>
      <c r="L26" s="30"/>
      <c r="M26" s="30"/>
      <c r="N26" s="30"/>
      <c r="O26" s="30"/>
      <c r="P26" s="30"/>
      <c r="Q26" s="30"/>
      <c r="R26" s="30"/>
      <c r="S26" s="30"/>
      <c r="T26" s="30"/>
      <c r="U26" s="30"/>
      <c r="V26" s="30"/>
      <c r="W26" s="30"/>
      <c r="X26" s="30"/>
      <c r="Y26" s="30"/>
      <c r="Z26" s="30"/>
    </row>
    <row r="27" spans="1:26" s="1" customFormat="1" ht="18" customHeight="1">
      <c r="A27" s="22"/>
      <c r="B27" s="293"/>
      <c r="C27" s="97" t="s">
        <v>273</v>
      </c>
      <c r="D27" s="106"/>
      <c r="E27" s="105"/>
      <c r="F27" s="106"/>
      <c r="G27" s="111" t="s">
        <v>265</v>
      </c>
      <c r="H27" s="295"/>
      <c r="I27" s="296"/>
      <c r="J27" s="296"/>
      <c r="K27" s="296"/>
      <c r="L27" s="296"/>
      <c r="M27" s="296"/>
      <c r="N27" s="296"/>
      <c r="O27" s="296"/>
      <c r="P27" s="296"/>
      <c r="Q27" s="296"/>
      <c r="R27" s="296"/>
      <c r="S27" s="296"/>
      <c r="T27" s="296"/>
      <c r="U27" s="296"/>
      <c r="V27" s="296"/>
      <c r="W27" s="296"/>
      <c r="X27" s="296"/>
      <c r="Y27" s="296"/>
      <c r="Z27" s="296"/>
    </row>
    <row r="28" spans="1:26" s="1" customFormat="1" ht="18" customHeight="1">
      <c r="A28" s="22"/>
      <c r="B28" s="293"/>
      <c r="C28" s="254" t="s">
        <v>269</v>
      </c>
      <c r="D28" s="100"/>
      <c r="E28" s="107"/>
      <c r="F28" s="100"/>
      <c r="G28" s="101">
        <v>0</v>
      </c>
      <c r="H28" s="295"/>
      <c r="I28" s="296"/>
      <c r="J28" s="296"/>
      <c r="K28" s="296"/>
      <c r="L28" s="296"/>
      <c r="M28" s="296"/>
      <c r="N28" s="296"/>
      <c r="O28" s="296"/>
      <c r="P28" s="296"/>
      <c r="Q28" s="296"/>
      <c r="R28" s="296"/>
      <c r="S28" s="296"/>
      <c r="T28" s="296"/>
      <c r="U28" s="296"/>
      <c r="V28" s="296"/>
      <c r="W28" s="296"/>
      <c r="X28" s="296"/>
      <c r="Y28" s="296"/>
      <c r="Z28" s="296"/>
    </row>
    <row r="29" spans="1:26" s="1" customFormat="1" ht="18" customHeight="1">
      <c r="A29" s="22"/>
      <c r="B29" s="293"/>
      <c r="C29" s="261" t="s">
        <v>270</v>
      </c>
      <c r="D29" s="103"/>
      <c r="E29" s="108"/>
      <c r="F29" s="103"/>
      <c r="G29" s="104">
        <v>1</v>
      </c>
      <c r="H29" s="295"/>
      <c r="I29" s="296"/>
      <c r="J29" s="296"/>
      <c r="K29" s="296"/>
      <c r="L29" s="296"/>
      <c r="M29" s="296"/>
      <c r="N29" s="296"/>
      <c r="O29" s="296"/>
      <c r="P29" s="296"/>
      <c r="Q29" s="296"/>
      <c r="R29" s="296"/>
      <c r="S29" s="296"/>
      <c r="T29" s="296"/>
      <c r="U29" s="296"/>
      <c r="V29" s="296"/>
      <c r="W29" s="296"/>
      <c r="X29" s="296"/>
      <c r="Y29" s="296"/>
      <c r="Z29" s="296"/>
    </row>
    <row r="30" spans="1:26" ht="18" customHeight="1">
      <c r="A30" s="22"/>
      <c r="B30" s="74"/>
      <c r="C30" s="78"/>
      <c r="D30" s="78"/>
      <c r="E30" s="78"/>
      <c r="F30" s="78"/>
      <c r="G30" s="79"/>
      <c r="H30" s="76"/>
      <c r="I30" s="30"/>
      <c r="J30" s="30"/>
      <c r="K30" s="30"/>
      <c r="L30" s="30"/>
      <c r="M30" s="30"/>
      <c r="N30" s="30"/>
      <c r="O30" s="30"/>
      <c r="P30" s="30"/>
      <c r="Q30" s="30"/>
      <c r="R30" s="30"/>
      <c r="S30" s="30"/>
      <c r="T30" s="30"/>
      <c r="U30" s="30"/>
      <c r="V30" s="30"/>
      <c r="W30" s="30"/>
      <c r="X30" s="30"/>
      <c r="Y30" s="30"/>
      <c r="Z30" s="30"/>
    </row>
    <row r="31" spans="1:26" ht="18" customHeight="1">
      <c r="A31" s="22"/>
      <c r="B31" s="74"/>
      <c r="C31" s="16" t="s">
        <v>274</v>
      </c>
      <c r="D31" s="78"/>
      <c r="E31" s="78"/>
      <c r="F31" s="78"/>
      <c r="G31" s="251">
        <f>ventLoadsReduction</f>
        <v>0</v>
      </c>
      <c r="H31" s="76"/>
      <c r="I31" s="30"/>
      <c r="J31" s="30"/>
      <c r="K31" s="30"/>
      <c r="L31" s="30"/>
      <c r="M31" s="30"/>
      <c r="N31" s="30"/>
      <c r="O31" s="30"/>
      <c r="P31" s="30"/>
      <c r="Q31" s="30"/>
      <c r="R31" s="30"/>
      <c r="S31" s="30"/>
      <c r="T31" s="30"/>
      <c r="U31" s="30"/>
      <c r="V31" s="30"/>
      <c r="W31" s="30"/>
      <c r="X31" s="30"/>
      <c r="Y31" s="30"/>
      <c r="Z31" s="30"/>
    </row>
    <row r="32" spans="1:26" ht="18" customHeight="1">
      <c r="A32" s="22"/>
      <c r="B32" s="74"/>
      <c r="C32" s="16"/>
      <c r="D32" s="75"/>
      <c r="E32" s="75"/>
      <c r="F32" s="75"/>
      <c r="G32" s="77"/>
      <c r="H32" s="76"/>
      <c r="I32" s="30"/>
      <c r="J32" s="30"/>
      <c r="K32" s="30"/>
      <c r="L32" s="30"/>
      <c r="M32" s="30"/>
      <c r="N32" s="30"/>
      <c r="O32" s="30"/>
      <c r="P32" s="30"/>
      <c r="Q32" s="30"/>
      <c r="R32" s="30"/>
      <c r="S32" s="30"/>
      <c r="T32" s="30"/>
      <c r="U32" s="30"/>
      <c r="V32" s="30"/>
      <c r="W32" s="30"/>
      <c r="X32" s="30"/>
      <c r="Y32" s="30"/>
      <c r="Z32" s="30"/>
    </row>
    <row r="33" spans="1:26" ht="18" customHeight="1">
      <c r="A33" s="22"/>
      <c r="B33" s="74"/>
      <c r="C33" s="109" t="s">
        <v>199</v>
      </c>
      <c r="D33" s="75"/>
      <c r="E33" s="75"/>
      <c r="F33" s="75"/>
      <c r="G33" s="77"/>
      <c r="H33" s="76"/>
      <c r="I33" s="30"/>
      <c r="J33" s="30"/>
      <c r="K33" s="30"/>
      <c r="L33" s="30"/>
      <c r="M33" s="30"/>
      <c r="N33" s="30"/>
      <c r="O33" s="30"/>
      <c r="P33" s="30"/>
      <c r="Q33" s="30"/>
      <c r="R33" s="30"/>
      <c r="S33" s="30"/>
      <c r="T33" s="30"/>
      <c r="U33" s="30"/>
      <c r="V33" s="30"/>
      <c r="W33" s="30"/>
      <c r="X33" s="30"/>
      <c r="Y33" s="30"/>
      <c r="Z33" s="30"/>
    </row>
    <row r="34" spans="1:26" ht="18" customHeight="1">
      <c r="A34" s="22"/>
      <c r="B34" s="74"/>
      <c r="C34" s="16"/>
      <c r="D34" s="75"/>
      <c r="E34" s="75"/>
      <c r="F34" s="75"/>
      <c r="G34" s="77"/>
      <c r="H34" s="76"/>
      <c r="I34" s="30"/>
      <c r="J34" s="30"/>
      <c r="K34" s="30"/>
      <c r="L34" s="30"/>
      <c r="M34" s="30"/>
      <c r="N34" s="30"/>
      <c r="O34" s="30"/>
      <c r="P34" s="30"/>
      <c r="Q34" s="30"/>
      <c r="R34" s="30"/>
      <c r="S34" s="30"/>
      <c r="T34" s="30"/>
      <c r="U34" s="30"/>
      <c r="V34" s="30"/>
      <c r="W34" s="30"/>
      <c r="X34" s="30"/>
      <c r="Y34" s="30"/>
      <c r="Z34" s="30"/>
    </row>
    <row r="35" spans="1:26" s="1" customFormat="1" ht="18" customHeight="1">
      <c r="A35" s="22"/>
      <c r="B35" s="293"/>
      <c r="C35" s="89" t="s">
        <v>275</v>
      </c>
      <c r="D35" s="90"/>
      <c r="E35" s="90"/>
      <c r="F35" s="90"/>
      <c r="G35" s="91"/>
      <c r="H35" s="295"/>
      <c r="I35" s="296"/>
      <c r="J35" s="296"/>
      <c r="K35" s="296"/>
      <c r="L35" s="296"/>
      <c r="M35" s="296"/>
      <c r="N35" s="296"/>
      <c r="O35" s="296"/>
      <c r="P35" s="296"/>
      <c r="Q35" s="296"/>
      <c r="R35" s="296"/>
      <c r="S35" s="296"/>
      <c r="T35" s="296"/>
      <c r="U35" s="296"/>
      <c r="V35" s="296"/>
      <c r="W35" s="296"/>
      <c r="X35" s="296"/>
      <c r="Y35" s="296"/>
      <c r="Z35" s="296"/>
    </row>
    <row r="36" spans="1:26" ht="18" customHeight="1">
      <c r="A36" s="22"/>
      <c r="B36" s="74"/>
      <c r="C36" s="78"/>
      <c r="D36" s="78"/>
      <c r="E36" s="78"/>
      <c r="F36" s="78"/>
      <c r="G36" s="79"/>
      <c r="H36" s="76"/>
      <c r="I36" s="30"/>
      <c r="J36" s="30"/>
      <c r="K36" s="30"/>
      <c r="L36" s="30"/>
      <c r="M36" s="30"/>
      <c r="N36" s="30"/>
      <c r="O36" s="30"/>
      <c r="P36" s="30"/>
      <c r="Q36" s="30"/>
      <c r="R36" s="30"/>
      <c r="S36" s="30"/>
      <c r="T36" s="30"/>
      <c r="U36" s="30"/>
      <c r="V36" s="30"/>
      <c r="W36" s="30"/>
      <c r="X36" s="30"/>
      <c r="Y36" s="30"/>
      <c r="Z36" s="30"/>
    </row>
    <row r="37" spans="1:26" s="1" customFormat="1" ht="18" customHeight="1">
      <c r="A37" s="22"/>
      <c r="B37" s="293"/>
      <c r="C37" s="109" t="s">
        <v>276</v>
      </c>
      <c r="D37" s="110"/>
      <c r="E37" s="109"/>
      <c r="F37" s="110"/>
      <c r="G37" s="111" t="s">
        <v>265</v>
      </c>
      <c r="H37" s="295"/>
      <c r="I37" s="296"/>
      <c r="J37" s="296"/>
      <c r="K37" s="296"/>
      <c r="L37" s="296"/>
      <c r="M37" s="296"/>
      <c r="N37" s="296"/>
      <c r="O37" s="296"/>
      <c r="P37" s="296"/>
      <c r="Q37" s="296"/>
      <c r="R37" s="296"/>
      <c r="S37" s="296"/>
      <c r="T37" s="296"/>
      <c r="U37" s="296"/>
      <c r="V37" s="296"/>
      <c r="W37" s="296"/>
      <c r="X37" s="296"/>
      <c r="Y37" s="296"/>
      <c r="Z37" s="296"/>
    </row>
    <row r="38" spans="1:26" s="1" customFormat="1" ht="18" customHeight="1">
      <c r="A38" s="22"/>
      <c r="B38" s="293"/>
      <c r="C38" s="256" t="s">
        <v>277</v>
      </c>
      <c r="D38" s="100"/>
      <c r="E38" s="100"/>
      <c r="F38" s="100"/>
      <c r="G38" s="101">
        <v>0</v>
      </c>
      <c r="H38" s="295"/>
      <c r="I38" s="296"/>
      <c r="J38" s="296"/>
      <c r="K38" s="296"/>
      <c r="L38" s="296"/>
      <c r="M38" s="296"/>
      <c r="N38" s="296"/>
      <c r="O38" s="296"/>
      <c r="P38" s="296"/>
      <c r="Q38" s="296"/>
      <c r="R38" s="296"/>
      <c r="S38" s="296"/>
      <c r="T38" s="296"/>
      <c r="U38" s="296"/>
      <c r="V38" s="296"/>
      <c r="W38" s="296"/>
      <c r="X38" s="296"/>
      <c r="Y38" s="296"/>
      <c r="Z38" s="296"/>
    </row>
    <row r="39" spans="1:26" s="1" customFormat="1" ht="18" customHeight="1">
      <c r="A39" s="22"/>
      <c r="B39" s="293"/>
      <c r="C39" s="257" t="s">
        <v>278</v>
      </c>
      <c r="D39" s="255"/>
      <c r="E39" s="255"/>
      <c r="F39" s="255"/>
      <c r="G39" s="102">
        <v>1</v>
      </c>
      <c r="H39" s="295"/>
      <c r="I39" s="296"/>
      <c r="J39" s="296"/>
      <c r="K39" s="296"/>
      <c r="L39" s="296"/>
      <c r="M39" s="296"/>
      <c r="N39" s="296"/>
      <c r="O39" s="296"/>
      <c r="P39" s="296"/>
      <c r="Q39" s="296"/>
      <c r="R39" s="296"/>
      <c r="S39" s="296"/>
      <c r="T39" s="296"/>
      <c r="U39" s="296"/>
      <c r="V39" s="296"/>
      <c r="W39" s="296"/>
      <c r="X39" s="296"/>
      <c r="Y39" s="296"/>
      <c r="Z39" s="296"/>
    </row>
    <row r="40" spans="1:26" s="1" customFormat="1" ht="18" customHeight="1">
      <c r="A40" s="22"/>
      <c r="B40" s="293"/>
      <c r="C40" s="257" t="s">
        <v>279</v>
      </c>
      <c r="D40" s="255"/>
      <c r="E40" s="255"/>
      <c r="F40" s="255"/>
      <c r="G40" s="102">
        <v>2</v>
      </c>
      <c r="H40" s="295"/>
      <c r="I40" s="296"/>
      <c r="J40" s="296"/>
      <c r="K40" s="296"/>
      <c r="L40" s="296"/>
      <c r="M40" s="296"/>
      <c r="N40" s="296"/>
      <c r="O40" s="296"/>
      <c r="P40" s="296"/>
      <c r="Q40" s="296"/>
      <c r="R40" s="296"/>
      <c r="S40" s="296"/>
      <c r="T40" s="296"/>
      <c r="U40" s="296"/>
      <c r="V40" s="296"/>
      <c r="W40" s="296"/>
      <c r="X40" s="296"/>
      <c r="Y40" s="296"/>
      <c r="Z40" s="296"/>
    </row>
    <row r="41" spans="1:26" s="1" customFormat="1" ht="18" customHeight="1">
      <c r="A41" s="22"/>
      <c r="B41" s="293"/>
      <c r="C41" s="258" t="s">
        <v>280</v>
      </c>
      <c r="D41" s="103"/>
      <c r="E41" s="103"/>
      <c r="F41" s="103"/>
      <c r="G41" s="104">
        <v>3</v>
      </c>
      <c r="H41" s="295"/>
      <c r="I41" s="296"/>
      <c r="J41" s="296"/>
      <c r="K41" s="296"/>
      <c r="L41" s="296"/>
      <c r="M41" s="296"/>
      <c r="N41" s="296"/>
      <c r="O41" s="296"/>
      <c r="P41" s="296"/>
      <c r="Q41" s="296"/>
      <c r="R41" s="296"/>
      <c r="S41" s="296"/>
      <c r="T41" s="296"/>
      <c r="U41" s="296"/>
      <c r="V41" s="296"/>
      <c r="W41" s="296"/>
      <c r="X41" s="296"/>
      <c r="Y41" s="296"/>
      <c r="Z41" s="296"/>
    </row>
    <row r="42" spans="1:26" s="1" customFormat="1" ht="18" customHeight="1">
      <c r="A42" s="22"/>
      <c r="B42" s="293"/>
      <c r="C42" s="16"/>
      <c r="D42" s="75"/>
      <c r="E42" s="75"/>
      <c r="F42" s="75"/>
      <c r="G42" s="77"/>
      <c r="H42" s="295"/>
      <c r="I42" s="296"/>
      <c r="J42" s="296"/>
      <c r="K42" s="296"/>
      <c r="L42" s="296"/>
      <c r="M42" s="296"/>
      <c r="N42" s="296"/>
      <c r="O42" s="296"/>
      <c r="P42" s="296"/>
      <c r="Q42" s="296"/>
      <c r="R42" s="296"/>
      <c r="S42" s="296"/>
      <c r="T42" s="296"/>
      <c r="U42" s="296"/>
      <c r="V42" s="296"/>
      <c r="W42" s="296"/>
      <c r="X42" s="296"/>
      <c r="Y42" s="296"/>
      <c r="Z42" s="296"/>
    </row>
    <row r="43" spans="1:26" s="1" customFormat="1" ht="18" customHeight="1">
      <c r="A43" s="22"/>
      <c r="B43" s="293"/>
      <c r="C43" s="16" t="s">
        <v>276</v>
      </c>
      <c r="D43" s="75"/>
      <c r="E43" s="75"/>
      <c r="F43" s="75"/>
      <c r="G43" s="252">
        <f>performanceIndex</f>
        <v>0</v>
      </c>
      <c r="H43" s="295"/>
      <c r="I43" s="296"/>
      <c r="J43" s="296"/>
      <c r="K43" s="296"/>
      <c r="L43" s="296"/>
      <c r="M43" s="296"/>
      <c r="N43" s="296"/>
      <c r="O43" s="296"/>
      <c r="P43" s="296"/>
      <c r="Q43" s="296"/>
      <c r="R43" s="296"/>
      <c r="S43" s="296"/>
      <c r="T43" s="296"/>
      <c r="U43" s="296"/>
      <c r="V43" s="296"/>
      <c r="W43" s="296"/>
      <c r="X43" s="296"/>
      <c r="Y43" s="296"/>
      <c r="Z43" s="296"/>
    </row>
    <row r="44" spans="1:26" s="1" customFormat="1" ht="18" customHeight="1">
      <c r="A44" s="22"/>
      <c r="B44" s="293"/>
      <c r="C44" s="16"/>
      <c r="D44" s="75"/>
      <c r="E44" s="75"/>
      <c r="F44" s="75"/>
      <c r="G44" s="75"/>
      <c r="H44" s="295"/>
      <c r="I44" s="296"/>
      <c r="J44" s="296"/>
      <c r="K44" s="296"/>
      <c r="L44" s="296"/>
      <c r="M44" s="296"/>
      <c r="N44" s="296"/>
      <c r="O44" s="296"/>
      <c r="P44" s="296"/>
      <c r="Q44" s="296"/>
      <c r="R44" s="296"/>
      <c r="S44" s="296"/>
      <c r="T44" s="296"/>
      <c r="U44" s="296"/>
      <c r="V44" s="296"/>
      <c r="W44" s="296"/>
      <c r="X44" s="296"/>
      <c r="Y44" s="296"/>
      <c r="Z44" s="296"/>
    </row>
    <row r="45" spans="1:26" ht="18" customHeight="1">
      <c r="A45" s="86"/>
      <c r="B45" s="80"/>
      <c r="C45" s="27"/>
      <c r="D45" s="27"/>
      <c r="E45" s="27"/>
      <c r="F45" s="27"/>
      <c r="G45" s="27"/>
      <c r="H45" s="81"/>
      <c r="I45" s="30"/>
      <c r="J45" s="30"/>
      <c r="K45" s="30"/>
      <c r="L45" s="30"/>
      <c r="M45" s="30"/>
      <c r="N45" s="30"/>
      <c r="O45" s="30"/>
      <c r="P45" s="30"/>
      <c r="Q45" s="30"/>
      <c r="R45" s="30"/>
      <c r="S45" s="30"/>
      <c r="T45" s="30"/>
      <c r="U45" s="30"/>
      <c r="V45" s="30"/>
      <c r="W45" s="30"/>
      <c r="X45" s="30"/>
      <c r="Y45" s="30"/>
      <c r="Z45" s="30"/>
    </row>
    <row r="46" spans="1:26" ht="18" customHeight="1">
      <c r="A46" s="85"/>
      <c r="B46" s="30"/>
      <c r="C46" s="30"/>
      <c r="D46" s="30"/>
      <c r="E46" s="30"/>
      <c r="F46" s="30"/>
      <c r="G46" s="30"/>
      <c r="H46" s="358" t="s">
        <v>288</v>
      </c>
      <c r="I46" s="30"/>
      <c r="J46" s="30"/>
      <c r="K46" s="30"/>
      <c r="L46" s="30"/>
      <c r="M46" s="30"/>
      <c r="N46" s="30"/>
      <c r="O46" s="30"/>
      <c r="P46" s="30"/>
      <c r="Q46" s="30"/>
      <c r="R46" s="30"/>
      <c r="S46" s="30"/>
      <c r="T46" s="30"/>
      <c r="U46" s="30"/>
      <c r="V46" s="30"/>
      <c r="W46" s="30"/>
      <c r="X46" s="30"/>
      <c r="Y46" s="30"/>
      <c r="Z46" s="30"/>
    </row>
    <row r="47" spans="1:26" ht="18" customHeight="1">
      <c r="A47" s="85"/>
      <c r="B47" s="22"/>
      <c r="C47" s="30"/>
      <c r="D47" s="30"/>
      <c r="E47" s="30"/>
      <c r="F47" s="30"/>
      <c r="G47" s="30"/>
      <c r="H47" s="358" t="s">
        <v>289</v>
      </c>
      <c r="I47" s="30"/>
      <c r="J47" s="30"/>
      <c r="K47" s="30"/>
      <c r="L47" s="30"/>
      <c r="M47" s="30"/>
      <c r="N47" s="30"/>
      <c r="O47" s="30"/>
      <c r="P47" s="30"/>
      <c r="Q47" s="30"/>
      <c r="R47" s="30"/>
      <c r="S47" s="30"/>
      <c r="T47" s="30"/>
      <c r="U47" s="30"/>
      <c r="V47" s="30"/>
      <c r="W47" s="30"/>
      <c r="X47" s="30"/>
      <c r="Y47" s="30"/>
      <c r="Z47" s="30"/>
    </row>
    <row r="48" spans="1:26" ht="18" customHeight="1">
      <c r="A48" s="85"/>
      <c r="B48" s="18"/>
      <c r="C48" s="30"/>
      <c r="D48" s="30"/>
      <c r="E48" s="30"/>
      <c r="F48" s="30"/>
      <c r="G48" s="30"/>
      <c r="H48" s="359" t="s">
        <v>290</v>
      </c>
      <c r="I48" s="30"/>
      <c r="J48" s="30"/>
      <c r="K48" s="30"/>
      <c r="L48" s="30"/>
      <c r="M48" s="30"/>
      <c r="N48" s="30"/>
      <c r="O48" s="30"/>
      <c r="P48" s="30"/>
      <c r="Q48" s="30"/>
      <c r="R48" s="30"/>
      <c r="S48" s="30"/>
      <c r="T48" s="30"/>
      <c r="U48" s="30"/>
      <c r="V48" s="30"/>
      <c r="W48" s="30"/>
      <c r="X48" s="30"/>
      <c r="Y48" s="30"/>
      <c r="Z48" s="30"/>
    </row>
    <row r="49" spans="1:26" ht="18" customHeight="1">
      <c r="A49" s="85"/>
      <c r="B49" s="18"/>
      <c r="C49" s="30"/>
      <c r="D49" s="30"/>
      <c r="E49" s="30"/>
      <c r="F49" s="30"/>
      <c r="G49" s="30"/>
      <c r="H49" s="359" t="s">
        <v>291</v>
      </c>
      <c r="I49" s="30"/>
      <c r="J49" s="30"/>
      <c r="K49" s="30"/>
      <c r="L49" s="30"/>
      <c r="M49" s="30"/>
      <c r="N49" s="30"/>
      <c r="O49" s="30"/>
      <c r="P49" s="30"/>
      <c r="Q49" s="30"/>
      <c r="R49" s="30"/>
      <c r="S49" s="30"/>
      <c r="T49" s="30"/>
      <c r="U49" s="30"/>
      <c r="V49" s="30"/>
      <c r="W49" s="30"/>
      <c r="X49" s="30"/>
      <c r="Y49" s="30"/>
      <c r="Z49" s="30"/>
    </row>
    <row r="50" spans="1:26" ht="18" customHeight="1">
      <c r="A50" s="22"/>
      <c r="B50" s="30"/>
      <c r="C50" s="30"/>
      <c r="D50" s="30"/>
      <c r="E50" s="30"/>
      <c r="F50" s="30"/>
      <c r="G50" s="30"/>
      <c r="H50" s="359" t="s">
        <v>292</v>
      </c>
      <c r="I50" s="30"/>
      <c r="J50" s="30"/>
      <c r="K50" s="30"/>
      <c r="L50" s="30"/>
      <c r="M50" s="30"/>
      <c r="N50" s="30"/>
      <c r="O50" s="30"/>
      <c r="P50" s="30"/>
      <c r="Q50" s="30"/>
      <c r="R50" s="30"/>
      <c r="S50" s="30"/>
      <c r="T50" s="30"/>
      <c r="U50" s="30"/>
      <c r="V50" s="30"/>
      <c r="W50" s="30"/>
      <c r="X50" s="30"/>
      <c r="Y50" s="30"/>
      <c r="Z50" s="30"/>
    </row>
    <row r="51" spans="1:26" ht="18" customHeight="1">
      <c r="A51" s="22"/>
      <c r="B51" s="18"/>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8" customHeight="1">
      <c r="A52" s="22"/>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8" customHeight="1">
      <c r="A53" s="22"/>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8" customHeight="1">
      <c r="A54" s="22"/>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8" customHeight="1">
      <c r="A55" s="22"/>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8" customHeight="1">
      <c r="A56" s="37"/>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8" customHeight="1">
      <c r="A57" s="297"/>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8" customHeight="1">
      <c r="A58" s="297"/>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8" customHeight="1">
      <c r="A59" s="297"/>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8" customHeight="1">
      <c r="A60" s="297"/>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8" customHeight="1">
      <c r="A61" s="13"/>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8" customHeight="1">
      <c r="A62" s="13"/>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8" customHeight="1">
      <c r="A63" s="13"/>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8" customHeight="1">
      <c r="A64" s="13"/>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8" customHeight="1">
      <c r="A65" s="37"/>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8" customHeight="1">
      <c r="A66" s="13"/>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8" customHeight="1">
      <c r="A67" s="13"/>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8" customHeight="1">
      <c r="A68" s="13"/>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8" customHeight="1">
      <c r="A69" s="13"/>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8" customHeight="1">
      <c r="A70" s="13"/>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8" customHeight="1">
      <c r="A71" s="298"/>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8" customHeight="1">
      <c r="A72" s="298"/>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8" customHeight="1">
      <c r="A73" s="297"/>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8" customHeight="1">
      <c r="A74" s="297"/>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8" customHeight="1">
      <c r="A75" s="298"/>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8" customHeight="1">
      <c r="A76" s="298"/>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8" customHeight="1">
      <c r="A77" s="298"/>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8" customHeight="1">
      <c r="A78" s="298"/>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8" customHeight="1">
      <c r="A79" s="298"/>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8" customHeight="1">
      <c r="A80" s="298"/>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8" customHeight="1">
      <c r="A81" s="297"/>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8" customHeight="1">
      <c r="A82" s="298"/>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8" customHeight="1">
      <c r="A83" s="298"/>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8" customHeight="1">
      <c r="A84" s="297"/>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8" customHeight="1">
      <c r="A85" s="297"/>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8" customHeight="1">
      <c r="A86" s="298"/>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8" customHeight="1">
      <c r="A87" s="298"/>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8" customHeight="1">
      <c r="A88" s="38"/>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8" customHeight="1">
      <c r="A89" s="38"/>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8" customHeight="1">
      <c r="A90" s="297"/>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8" customHeight="1">
      <c r="A91" s="38"/>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8" customHeight="1">
      <c r="A92" s="38"/>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8" customHeight="1">
      <c r="A93" s="38"/>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8" customHeight="1">
      <c r="A94" s="38"/>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8" customHeight="1">
      <c r="A95" s="38"/>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8" customHeight="1">
      <c r="A96" s="38"/>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8" customHeight="1">
      <c r="A97" s="38"/>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8" customHeight="1">
      <c r="A98" s="38"/>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8" customHeight="1">
      <c r="A99" s="38"/>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8" customHeight="1">
      <c r="A100" s="38"/>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8" customHeight="1">
      <c r="A101" s="38"/>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8" customHeight="1">
      <c r="A102" s="38"/>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8" customHeight="1">
      <c r="A103" s="38"/>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8" customHeight="1">
      <c r="A104" s="38"/>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8" customHeight="1">
      <c r="A105" s="38"/>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8" customHeight="1">
      <c r="A106" s="38"/>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8" customHeight="1">
      <c r="A107" s="38"/>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8" customHeight="1">
      <c r="A108" s="38"/>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8" customHeight="1">
      <c r="A109" s="38"/>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8" customHeight="1">
      <c r="A110" s="38"/>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8" customHeight="1">
      <c r="A111" s="38"/>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8" customHeight="1">
      <c r="A112" s="38"/>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8" customHeight="1">
      <c r="A113" s="38"/>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8" customHeight="1">
      <c r="A114" s="38"/>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8" customHeight="1">
      <c r="A115" s="38"/>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8" customHeight="1">
      <c r="A116" s="38"/>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8" customHeight="1">
      <c r="A117" s="38"/>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8" customHeight="1">
      <c r="A118" s="38"/>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8" customHeight="1">
      <c r="A119" s="38"/>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8" customHeight="1">
      <c r="A120" s="38"/>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8" customHeight="1">
      <c r="A121" s="38"/>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8" customHeight="1">
      <c r="A122" s="38"/>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8" customHeight="1">
      <c r="A123" s="38"/>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8" customHeight="1">
      <c r="A124" s="38"/>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8" customHeight="1">
      <c r="A125" s="38"/>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8" customHeight="1">
      <c r="A126" s="38"/>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8" customHeight="1">
      <c r="A127" s="38"/>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8" customHeight="1">
      <c r="A128" s="38"/>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8" customHeight="1">
      <c r="A129" s="38"/>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8" customHeight="1">
      <c r="A130" s="38"/>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8" customHeight="1">
      <c r="A131" s="38"/>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8" customHeight="1">
      <c r="A132" s="38"/>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8" customHeight="1">
      <c r="A133" s="38"/>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8" customHeight="1">
      <c r="A134" s="38"/>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8" customHeight="1">
      <c r="A135" s="38"/>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8" customHeight="1">
      <c r="A136" s="38"/>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8" customHeight="1">
      <c r="A137" s="38"/>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8" customHeight="1">
      <c r="A138" s="38"/>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8" customHeight="1">
      <c r="A139" s="38"/>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8" customHeight="1">
      <c r="A140" s="38"/>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8" customHeight="1">
      <c r="A141" s="38"/>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8" customHeight="1">
      <c r="A142" s="38"/>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8" customHeight="1">
      <c r="A143" s="38"/>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8" customHeight="1">
      <c r="A144" s="38"/>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8" customHeight="1">
      <c r="A145" s="38"/>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8" customHeight="1">
      <c r="A146" s="38"/>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8" customHeight="1">
      <c r="A147" s="38"/>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8" customHeight="1">
      <c r="A148" s="38"/>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8" customHeight="1">
      <c r="A149" s="38"/>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8" customHeight="1">
      <c r="A150" s="38"/>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8" customHeight="1">
      <c r="A151" s="38"/>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8" customHeight="1">
      <c r="A152" s="38"/>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8" customHeight="1">
      <c r="A153" s="38"/>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8" customHeight="1">
      <c r="A154" s="38"/>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8" customHeight="1">
      <c r="A155" s="38"/>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8" customHeight="1">
      <c r="A156" s="38"/>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8" customHeight="1">
      <c r="A157" s="38"/>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8" customHeight="1">
      <c r="A158" s="38"/>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8" customHeight="1">
      <c r="A159" s="38"/>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8" customHeight="1">
      <c r="A160" s="38"/>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8" customHeight="1">
      <c r="A161" s="38"/>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8" customHeight="1">
      <c r="A162" s="38"/>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8" customHeight="1">
      <c r="A163" s="38"/>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8" customHeight="1">
      <c r="A164" s="38"/>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8" customHeight="1">
      <c r="A165" s="38"/>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8" customHeight="1">
      <c r="A166" s="38"/>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8" customHeight="1">
      <c r="A167" s="38"/>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8" customHeight="1">
      <c r="A168" s="38"/>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8" customHeight="1">
      <c r="A169" s="38"/>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8" customHeight="1">
      <c r="A170" s="38"/>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8" customHeight="1">
      <c r="A171" s="38"/>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8" customHeight="1">
      <c r="A172" s="38"/>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8" customHeight="1">
      <c r="A173" s="38"/>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8" customHeight="1">
      <c r="A174" s="38"/>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8" customHeight="1">
      <c r="A175" s="38"/>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8" customHeight="1">
      <c r="A176" s="38"/>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8" customHeight="1">
      <c r="A177" s="38"/>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8" customHeight="1">
      <c r="A178" s="38"/>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8" customHeight="1">
      <c r="A179" s="38"/>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8" customHeight="1">
      <c r="A180" s="38"/>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8" customHeight="1">
      <c r="A181" s="38"/>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8" customHeight="1">
      <c r="A182" s="38"/>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8" customHeight="1">
      <c r="A183" s="38"/>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8" customHeight="1">
      <c r="A184" s="38"/>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8" customHeight="1">
      <c r="A185" s="38"/>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8" customHeight="1">
      <c r="A186" s="38"/>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8" customHeight="1">
      <c r="A187" s="38"/>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8" customHeight="1">
      <c r="A188" s="38"/>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8" customHeight="1">
      <c r="A189" s="38"/>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8" customHeight="1">
      <c r="A190" s="38"/>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8" customHeight="1">
      <c r="A191" s="38"/>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8" customHeight="1">
      <c r="A192" s="38"/>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8" customHeight="1">
      <c r="A193" s="38"/>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8" customHeight="1">
      <c r="A194" s="38"/>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8" customHeight="1">
      <c r="A195" s="38"/>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8" customHeight="1">
      <c r="A196" s="38"/>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8" customHeight="1">
      <c r="A197" s="38"/>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8" customHeight="1">
      <c r="A198" s="38"/>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8" customHeight="1">
      <c r="A199" s="38"/>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8" customHeight="1">
      <c r="A200" s="38"/>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8" customHeight="1">
      <c r="A201" s="38"/>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8" customHeight="1">
      <c r="A202" s="38"/>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8" customHeight="1">
      <c r="A203" s="38"/>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8" customHeight="1">
      <c r="A204" s="38"/>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8" customHeight="1">
      <c r="A205" s="38"/>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8" customHeight="1">
      <c r="A206" s="38"/>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8" customHeight="1">
      <c r="A207" s="38"/>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8" customHeight="1">
      <c r="A208" s="38"/>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8" customHeight="1">
      <c r="A209" s="38"/>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8" customHeight="1">
      <c r="A210" s="38"/>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8" customHeight="1">
      <c r="A211" s="38"/>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8" customHeight="1">
      <c r="A212" s="38"/>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8" customHeight="1">
      <c r="A213" s="38"/>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8" customHeight="1">
      <c r="A214" s="38"/>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8" customHeight="1">
      <c r="A215" s="38"/>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8" customHeight="1">
      <c r="A216" s="38"/>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8" customHeight="1">
      <c r="A217" s="38"/>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8" customHeight="1">
      <c r="A218" s="38"/>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8" customHeight="1">
      <c r="A219" s="38"/>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8" customHeight="1">
      <c r="A220" s="38"/>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8" customHeight="1">
      <c r="A221" s="38"/>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8" customHeight="1">
      <c r="A222" s="38"/>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8" customHeight="1">
      <c r="A223" s="38"/>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8" customHeight="1">
      <c r="A224" s="38"/>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8" customHeight="1">
      <c r="A225" s="38"/>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8" customHeight="1">
      <c r="A226" s="38"/>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8" customHeight="1">
      <c r="A227" s="38"/>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8" customHeight="1">
      <c r="A228" s="38"/>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8" customHeight="1">
      <c r="A229" s="38"/>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8" customHeight="1">
      <c r="A230" s="38"/>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8" customHeight="1">
      <c r="A231" s="38"/>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8" customHeight="1">
      <c r="A232" s="38"/>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8" customHeight="1">
      <c r="A233" s="38"/>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8" customHeight="1">
      <c r="A234" s="38"/>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8" customHeight="1">
      <c r="A235" s="38"/>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8" customHeight="1">
      <c r="A236" s="38"/>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8" customHeight="1">
      <c r="A237" s="38"/>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8" customHeight="1">
      <c r="A238" s="38"/>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8" customHeight="1">
      <c r="A239" s="38"/>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8" customHeight="1">
      <c r="A240" s="38"/>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8" customHeight="1">
      <c r="A241" s="38"/>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8" customHeight="1">
      <c r="A242" s="38"/>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8" customHeight="1">
      <c r="A243" s="38"/>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8" customHeight="1">
      <c r="A244" s="38"/>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8" customHeight="1">
      <c r="A245" s="38"/>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8" customHeight="1">
      <c r="A246" s="38"/>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8" customHeight="1">
      <c r="A247" s="38"/>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8" customHeight="1">
      <c r="A248" s="38"/>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8" customHeight="1">
      <c r="A249" s="38"/>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8" customHeight="1">
      <c r="A250" s="38"/>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8" customHeight="1">
      <c r="A251" s="38"/>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8" customHeight="1">
      <c r="A252" s="38"/>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8" customHeight="1">
      <c r="A253" s="38"/>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8" customHeight="1">
      <c r="A254" s="38"/>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8" customHeight="1">
      <c r="A255" s="38"/>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8" customHeight="1">
      <c r="A256" s="38"/>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8" customHeight="1">
      <c r="A257" s="38"/>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8" customHeight="1">
      <c r="A258" s="38"/>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8" customHeight="1">
      <c r="A259" s="38"/>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8" customHeight="1">
      <c r="A260" s="38"/>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8" customHeight="1">
      <c r="A261" s="38"/>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8" customHeight="1">
      <c r="A262" s="38"/>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8" customHeight="1">
      <c r="A263" s="38"/>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8" customHeight="1">
      <c r="A264" s="38"/>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8" customHeight="1">
      <c r="A265" s="38"/>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8" customHeight="1">
      <c r="A266" s="38"/>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8" customHeight="1">
      <c r="A267" s="38"/>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8" customHeight="1">
      <c r="A268" s="38"/>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8" customHeight="1">
      <c r="A269" s="38"/>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8" customHeight="1">
      <c r="A270" s="38"/>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8" customHeight="1">
      <c r="A271" s="38"/>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8" customHeight="1">
      <c r="A272" s="38"/>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8" customHeight="1">
      <c r="A273" s="38"/>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8" customHeight="1">
      <c r="A274" s="38"/>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8" customHeight="1">
      <c r="A275" s="38"/>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8" customHeight="1">
      <c r="A276" s="38"/>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8" customHeight="1">
      <c r="A277" s="38"/>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8" customHeight="1">
      <c r="A278" s="38"/>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8" customHeight="1">
      <c r="A279" s="38"/>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8" customHeight="1">
      <c r="A280" s="38"/>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8" customHeight="1">
      <c r="A281" s="38"/>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8" customHeight="1">
      <c r="A282" s="38"/>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8" customHeight="1">
      <c r="A283" s="38"/>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8" customHeight="1">
      <c r="A284" s="38"/>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8" customHeight="1">
      <c r="A285" s="38"/>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8" customHeight="1">
      <c r="A286" s="38"/>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8" customHeight="1">
      <c r="A287" s="38"/>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8" customHeight="1">
      <c r="A288" s="38"/>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8" customHeight="1">
      <c r="A289" s="38"/>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8" customHeight="1">
      <c r="A290" s="38"/>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8" customHeight="1">
      <c r="A291" s="38"/>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8" customHeight="1">
      <c r="A292" s="38"/>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8" customHeight="1">
      <c r="A293" s="38"/>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8" customHeight="1">
      <c r="A294" s="38"/>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8" customHeight="1">
      <c r="A295" s="38"/>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8" customHeight="1">
      <c r="A296" s="38"/>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8" customHeight="1">
      <c r="A297" s="38"/>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8" customHeight="1">
      <c r="A298" s="38"/>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8" customHeight="1">
      <c r="A299" s="38"/>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8" customHeight="1">
      <c r="A300" s="38"/>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sheetData>
  <sheetProtection algorithmName="SHA-512" hashValue="k+o1bo/gkwxEIvzSb2jS6uCDnXF200gBFVnyVWOXUie9Ika5ZiNtmv4nWBkQYOewh1L6q4CqrthqlpIY6V8iQQ==" saltValue="GoaOuBDqsO8KpeQBnxtL3A==" spinCount="100000" sheet="1" objects="1" scenarios="1"/>
  <mergeCells count="2">
    <mergeCell ref="B2:H2"/>
    <mergeCell ref="F5:G5"/>
  </mergeCells>
  <phoneticPr fontId="29" type="noConversion"/>
  <dataValidations count="1">
    <dataValidation allowBlank="1" sqref="B45:H52 G23 C23 C25:G25 F11:G11 G19:G21 C37:F41 D11:E15 F12:F15 D7:F10 G6:G8 G12:G17 D16:F17 C6:F6 F5 C7:C17 C18:F21 D32:F35 C31:C35 G31:G35 C27:F29 C42:G44 B53:G1048576" xr:uid="{BCAEA7B9-18F6-4830-9F87-44191319D465}"/>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844abc4e8401c1450a9aa475f60ba8c4">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24de2162e127409559ea9d392cb77ab2"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02C8C1-004E-4E9B-B462-894FD9E92E33}">
  <ds:schemaRefs>
    <ds:schemaRef ds:uri="http://schemas.microsoft.com/office/infopath/2007/PartnerControls"/>
    <ds:schemaRef ds:uri="f6de9568-614d-4f6d-90f4-ce1bf79edf3e"/>
    <ds:schemaRef ds:uri="http://purl.org/dc/dcmitype/"/>
    <ds:schemaRef ds:uri="http://schemas.microsoft.com/office/2006/metadata/properties"/>
    <ds:schemaRef ds:uri="http://schemas.openxmlformats.org/package/2006/metadata/core-properties"/>
    <ds:schemaRef ds:uri="http://purl.org/dc/elements/1.1/"/>
    <ds:schemaRef ds:uri="http://schemas.microsoft.com/office/2006/documentManagement/types"/>
    <ds:schemaRef ds:uri="78762aea-3521-4cb4-8249-54cadcbfb64d"/>
    <ds:schemaRef ds:uri="http://www.w3.org/XML/1998/namespace"/>
    <ds:schemaRef ds:uri="http://purl.org/dc/terms/"/>
    <ds:schemaRef ds:uri="ff5b7889-32f6-4f7a-ad46-d91d7f417e7c"/>
    <ds:schemaRef ds:uri="5ff4af7e-cfd7-415a-baed-ead09a9487b3"/>
  </ds:schemaRefs>
</ds:datastoreItem>
</file>

<file path=customXml/itemProps2.xml><?xml version="1.0" encoding="utf-8"?>
<ds:datastoreItem xmlns:ds="http://schemas.openxmlformats.org/officeDocument/2006/customXml" ds:itemID="{6A2FAE8F-5A26-440A-BDAA-51968BF60BA4}">
  <ds:schemaRefs>
    <ds:schemaRef ds:uri="http://schemas.microsoft.com/sharepoint/v3/contenttype/forms"/>
  </ds:schemaRefs>
</ds:datastoreItem>
</file>

<file path=customXml/itemProps3.xml><?xml version="1.0" encoding="utf-8"?>
<ds:datastoreItem xmlns:ds="http://schemas.openxmlformats.org/officeDocument/2006/customXml" ds:itemID="{E0779675-D889-429C-A075-1983685324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9096ad9-8b60-446a-90b7-017dbb9421a3}" enabled="1" method="Standard" siteId="{3d234255-e20f-4205-88a5-9658a402999b}" removed="0"/>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50</vt:i4>
      </vt:variant>
    </vt:vector>
  </HeadingPairs>
  <TitlesOfParts>
    <vt:vector size="57" baseType="lpstr">
      <vt:lpstr>Revision History</vt:lpstr>
      <vt:lpstr>Internal Style Guide</vt:lpstr>
      <vt:lpstr>Instructions</vt:lpstr>
      <vt:lpstr>Inputs</vt:lpstr>
      <vt:lpstr>Logic</vt:lpstr>
      <vt:lpstr>Database</vt:lpstr>
      <vt:lpstr>Summary</vt:lpstr>
      <vt:lpstr>baseEnvelopeCooling</vt:lpstr>
      <vt:lpstr>baselineEnvelopeCooling</vt:lpstr>
      <vt:lpstr>baselineEnvelopeHeating</vt:lpstr>
      <vt:lpstr>baselineSimCooling</vt:lpstr>
      <vt:lpstr>baselineSimHeating</vt:lpstr>
      <vt:lpstr>baselineVentCooling</vt:lpstr>
      <vt:lpstr>baselineVentHeating</vt:lpstr>
      <vt:lpstr>buildingType</vt:lpstr>
      <vt:lpstr>cz</vt:lpstr>
      <vt:lpstr>envelopeLoadsReduction</vt:lpstr>
      <vt:lpstr>envelopeTradeOffCredits</vt:lpstr>
      <vt:lpstr>heatRecoveryRequirement</vt:lpstr>
      <vt:lpstr>inputs_EquipNo</vt:lpstr>
      <vt:lpstr>inputs_EquipTag</vt:lpstr>
      <vt:lpstr>inputs_EquipType</vt:lpstr>
      <vt:lpstr>inputs_HeatRecReq</vt:lpstr>
      <vt:lpstr>inputs_optpath</vt:lpstr>
      <vt:lpstr>inputs_OutdoorAirFlow</vt:lpstr>
      <vt:lpstr>inputs_pkclid</vt:lpstr>
      <vt:lpstr>inputs_pkclno</vt:lpstr>
      <vt:lpstr>inputs_pkclpl</vt:lpstr>
      <vt:lpstr>inputs_pkclst</vt:lpstr>
      <vt:lpstr>inputs_pkclty</vt:lpstr>
      <vt:lpstr>inputs_pkhtid</vt:lpstr>
      <vt:lpstr>inputs_pkhtno</vt:lpstr>
      <vt:lpstr>inputs_pkhtpl</vt:lpstr>
      <vt:lpstr>inputs_pkhtst</vt:lpstr>
      <vt:lpstr>inputs_pkhtty</vt:lpstr>
      <vt:lpstr>inputs_VentEquipQuant</vt:lpstr>
      <vt:lpstr>logic_EquipNo</vt:lpstr>
      <vt:lpstr>logic_optpath</vt:lpstr>
      <vt:lpstr>logic_VentFlow</vt:lpstr>
      <vt:lpstr>MPF</vt:lpstr>
      <vt:lpstr>option4path2credits</vt:lpstr>
      <vt:lpstr>optpath</vt:lpstr>
      <vt:lpstr>performanceIndex</vt:lpstr>
      <vt:lpstr>proposedEnvelopeCooling</vt:lpstr>
      <vt:lpstr>proposedEnvelopeHeating</vt:lpstr>
      <vt:lpstr>proposedSimCooling</vt:lpstr>
      <vt:lpstr>proposedSimHeating</vt:lpstr>
      <vt:lpstr>proposedVentCooling</vt:lpstr>
      <vt:lpstr>proposedVentHeating</vt:lpstr>
      <vt:lpstr>residential</vt:lpstr>
      <vt:lpstr>totalCompliantVentAirFlow</vt:lpstr>
      <vt:lpstr>totalVentAirFlow</vt:lpstr>
      <vt:lpstr>units</vt:lpstr>
      <vt:lpstr>ventLoadsReduction</vt:lpstr>
      <vt:lpstr>ventNonCompliantPercentage</vt:lpstr>
      <vt:lpstr>ventTradeOffCredits</vt:lpstr>
      <vt:lpstr>yesNoList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Laurie Kerr</dc:creator>
  <cp:keywords/>
  <dc:description/>
  <cp:lastModifiedBy>Corey Enck</cp:lastModifiedBy>
  <cp:revision/>
  <dcterms:created xsi:type="dcterms:W3CDTF">2025-03-06T17:46:42Z</dcterms:created>
  <dcterms:modified xsi:type="dcterms:W3CDTF">2025-10-31T22:05:44Z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