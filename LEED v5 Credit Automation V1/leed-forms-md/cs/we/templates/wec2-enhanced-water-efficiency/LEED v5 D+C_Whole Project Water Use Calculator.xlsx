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drawings/drawing5.xml" ContentType="application/vnd.openxmlformats-officedocument.drawing+xml"/>
  <Override PartName="/xl/comments2.xml" ContentType="application/vnd.openxmlformats-officedocument.spreadsheetml.comments+xml"/>
  <Override PartName="/xl/drawings/drawing6.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https://usgbc.sharepoint.com/sites/LEEDTechDevTeam/Shared Documents/LEED v5/Documentation/Published LEED v5 Calculators/November 3, 2025/"/>
    </mc:Choice>
  </mc:AlternateContent>
  <xr:revisionPtr revIDLastSave="10788" documentId="13_ncr:1_{89D1E19B-4026-40B2-99F4-9AFB74B8EA48}" xr6:coauthVersionLast="47" xr6:coauthVersionMax="47" xr10:uidLastSave="{4C86D703-EF14-4983-9456-F61089A668D5}"/>
  <workbookProtection workbookAlgorithmName="SHA-512" workbookHashValue="AoDLmfRKM1deO6v0ercCLVp2NCybtNioCN96kKeEZHDJXTbYJjR92lYjBKVoHvWjMENLqh9Pg11UmINVzWUv6g==" workbookSaltValue="GMzHk6jcae03U8PMaSS2xQ==" workbookSpinCount="100000" lockStructure="1"/>
  <bookViews>
    <workbookView xWindow="-108" yWindow="-108" windowWidth="23256" windowHeight="12456" tabRatio="926" firstSheet="2" activeTab="2" xr2:uid="{A2ABE215-9A73-4B33-B75D-D7BB02D35148}"/>
  </bookViews>
  <sheets>
    <sheet name="Revision History" sheetId="7" state="hidden" r:id="rId1"/>
    <sheet name="Internal Style Guide" sheetId="16" state="hidden" r:id="rId2"/>
    <sheet name="Instructions" sheetId="8" r:id="rId3"/>
    <sheet name="Inputs Whole-Project Water Use" sheetId="11" r:id="rId4"/>
    <sheet name="Logic" sheetId="20" state="hidden" r:id="rId5"/>
    <sheet name="Database" sheetId="12" state="hidden" r:id="rId6"/>
    <sheet name="Summary" sheetId="9" r:id="rId7"/>
  </sheets>
  <externalReferences>
    <externalReference r:id="rId8"/>
  </externalReferences>
  <definedNames>
    <definedName name="_xlnm._FilterDatabase" localSheetId="5" hidden="1">Database!#REF!</definedName>
    <definedName name="data_dumip">Database!$E$27:$E$73</definedName>
    <definedName name="data_dumipother">Database!$E$69:$E$73</definedName>
    <definedName name="data_dumsi">Database!$F$27:$F$73</definedName>
    <definedName name="data_dumsiother">Database!$F$69:$F$73</definedName>
    <definedName name="data_genaw">Database!$E$16:$E$17</definedName>
    <definedName name="data_genct">Database!$E$20:$E$21</definedName>
    <definedName name="data_genpt">Database!$E$7:$E$9</definedName>
    <definedName name="data_genunits">Database!$E$12:$E$13</definedName>
    <definedName name="data_genunitsval">Database!$F$12:$F$13</definedName>
    <definedName name="data_genunitsvol">Database!$G$12:$G$13</definedName>
    <definedName name="data_pntsnmbdccs">Database!$B$94</definedName>
    <definedName name="data_pntsnmbdccsdrp">Database!$D$94</definedName>
    <definedName name="data_pntsnmbdcnc">Database!$B$83</definedName>
    <definedName name="data_pntsnmbdcncdrp">Database!$D$83</definedName>
    <definedName name="data_pntsnmidc">Database!$B$105</definedName>
    <definedName name="data_pntsnmidcdrp">Database!$D$105</definedName>
    <definedName name="data_ptsdrp">Database!$D$78:$D$81</definedName>
    <definedName name="data_ptslkaw">Database!$G$116:$G$148</definedName>
    <definedName name="data_ptslkpnts">Database!$F$116:$F$148</definedName>
    <definedName name="data_ptslkpr">Database!$E$116:$E$148</definedName>
    <definedName name="data_ptslkpt">Database!$B$116:$B$148</definedName>
    <definedName name="data_ptspr">Database!$B$78:$B$81</definedName>
    <definedName name="data_unittyp">[1]Database!$E$12:$E$13</definedName>
    <definedName name="data_unitvol">[1]Database!$F$12:$F$13</definedName>
    <definedName name="data_wateruseapp">Database!$C$28:$C$32</definedName>
    <definedName name="data_waterusehvac">Database!$C$59:$C$67</definedName>
    <definedName name="data_waterusekitch">Database!$C$34:$C$49</definedName>
    <definedName name="data_wateruselabmed">Database!$C$51:$C$57</definedName>
    <definedName name="data_waterusetypes">Database!$C$27:$C$73</definedName>
    <definedName name="data_wurip">Database!$G$27:$G$73</definedName>
    <definedName name="data_wuripother">Database!$G$69:$G$73</definedName>
    <definedName name="data_wursi">Database!$H$27:$H$73</definedName>
    <definedName name="data_wursiother">Database!$H$69:$H$73</definedName>
    <definedName name="inputs_appawu">'Inputs Whole-Project Water Use'!$Q$26:$Q$139</definedName>
    <definedName name="inputs_appdumv">'Inputs Whole-Project Water Use'!$H$26:$H$139</definedName>
    <definedName name="inputs_appiid">'Inputs Whole-Project Water Use'!$B$26:$B$139</definedName>
    <definedName name="inputs_appiqty">'Inputs Whole-Project Water Use'!$C$26:$C$139</definedName>
    <definedName name="inputs_appiwut">'Inputs Whole-Project Water Use'!$D$26:$D$139</definedName>
    <definedName name="inputs_appno">'Inputs Whole-Project Water Use'!$A$29:$A$139</definedName>
    <definedName name="inputs_apppiado">'Inputs Whole-Project Water Use'!$F$26:$F$139</definedName>
    <definedName name="inputs_apppicpd">'Inputs Whole-Project Water Use'!$G$26:$G$139</definedName>
    <definedName name="inputs_apptotas">'Inputs Whole-Project Water Use'!$T$26:$T$139</definedName>
    <definedName name="inputs_appwurb">'Inputs Whole-Project Water Use'!$K$26:$K$139</definedName>
    <definedName name="inputs_appwurd">'Inputs Whole-Project Water Use'!$L$26:$L$139</definedName>
    <definedName name="inputs_bdffwub">'Inputs Whole-Project Water Use'!$D$15</definedName>
    <definedName name="inputs_bdffwud">'Inputs Whole-Project Water Use'!$F$15</definedName>
    <definedName name="inputs_bdffwuwa">'Inputs Whole-Project Water Use'!$E$15</definedName>
    <definedName name="inputs_bdoutwub">'Inputs Whole-Project Water Use'!$D$19</definedName>
    <definedName name="inputs_bdoutwud">'Inputs Whole-Project Water Use'!$F$19</definedName>
    <definedName name="inputs_bdoutwuwa">'Inputs Whole-Project Water Use'!$E$19</definedName>
    <definedName name="inputs_hvacno">'Inputs Whole-Project Water Use'!$A$392:$A$502</definedName>
    <definedName name="inputs_kitchiid">'Inputs Whole-Project Water Use'!$B$147:$B$255</definedName>
    <definedName name="inputs_kitchiqty">'Inputs Whole-Project Water Use'!$C$147:$C$255</definedName>
    <definedName name="inputs_kitchium">'Inputs Whole-Project Water Use'!$H$148:$H$255</definedName>
    <definedName name="inputs_kitchiwut">'Inputs Whole-Project Water Use'!$D$147:$D$255</definedName>
    <definedName name="inputs_kitchno">'Inputs Whole-Project Water Use'!$A$150:$A$260</definedName>
    <definedName name="inputs_kitchtotas">'Inputs Whole-Project Water Use'!$T$147:$T$255</definedName>
    <definedName name="inputs_kitchtotb">'Inputs Whole-Project Water Use'!$O$147:$O$255</definedName>
    <definedName name="inputs_kitchtots">'Inputs Whole-Project Water Use'!$S$147:$S$255</definedName>
    <definedName name="inputs_kitchwuau">'Inputs Whole-Project Water Use'!$J$148:$J$255</definedName>
    <definedName name="inputs_kitchwub">'Inputs Whole-Project Water Use'!$K$148:$K$255</definedName>
    <definedName name="inputs_kitchwud">'Inputs Whole-Project Water Use'!$L$148:$L$255</definedName>
    <definedName name="inputs_lbmdiid">'Inputs Whole-Project Water Use'!$B$268:$B$376</definedName>
    <definedName name="inputs_lbmdiqty">'Inputs Whole-Project Water Use'!$C$268:$C$376</definedName>
    <definedName name="inputs_lbmdium">'Inputs Whole-Project Water Use'!$H$268:$H$376</definedName>
    <definedName name="inputs_lbmdiwut">'Inputs Whole-Project Water Use'!$D$268:$D$376</definedName>
    <definedName name="inputs_lbmdno">'Inputs Whole-Project Water Use'!$A$271:$A$381</definedName>
    <definedName name="inputs_lbmdtotas">'Inputs Whole-Project Water Use'!$T$268:$T$376</definedName>
    <definedName name="inputs_lbmdtotb">'Inputs Whole-Project Water Use'!$O$268:$O$376</definedName>
    <definedName name="inputs_lbmdtots">'Inputs Whole-Project Water Use'!$S$268:$S$376</definedName>
    <definedName name="inputs_lbmdwuau">'Inputs Whole-Project Water Use'!$J$268:$J$376</definedName>
    <definedName name="inputs_lbmdwub">'Inputs Whole-Project Water Use'!$K$268:$K$376</definedName>
    <definedName name="inputs_lbmdwud">'Inputs Whole-Project Water Use'!$L$268:$L$376</definedName>
    <definedName name="inputs_lbmdwuprca">'Inputs Whole-Project Water Use'!$Q$268:$Q$376</definedName>
    <definedName name="inputs_othiid">'Inputs Whole-Project Water Use'!$B$510:$B$618</definedName>
    <definedName name="inputs_othiqty">'Inputs Whole-Project Water Use'!$C$510:$C$618</definedName>
    <definedName name="inputs_othium">'Inputs Whole-Project Water Use'!$H$510:$H$618</definedName>
    <definedName name="inputs_othno">'Inputs Whole-Project Water Use'!$A$513:$A$623</definedName>
    <definedName name="inputs_othtotas">'Inputs Whole-Project Water Use'!$T$510:$T$618</definedName>
    <definedName name="inputs_othtotb">'Inputs Whole-Project Water Use'!$O$510:$O$618</definedName>
    <definedName name="inputs_othtots">'Inputs Whole-Project Water Use'!$S$510:$S$618</definedName>
    <definedName name="inputs_othwuau">'Inputs Whole-Project Water Use'!$J$510:$J$618</definedName>
    <definedName name="inputs_othwub">'Inputs Whole-Project Water Use'!$K$510:$K$618</definedName>
    <definedName name="inputs_othwud">'Inputs Whole-Project Water Use'!$L$510:$L$618</definedName>
    <definedName name="inputs_prjtyp">'Inputs Whole-Project Water Use'!$G$6</definedName>
    <definedName name="inputs_units">'Inputs Whole-Project Water Use'!$G$8</definedName>
    <definedName name="inputspi_units">'[1]Inputs Fixture Fittings'!$G$8</definedName>
    <definedName name="logic_appawuawa">Logic!$Q$29:$Q$138</definedName>
    <definedName name="logic_appawub">Logic!$O$29:$O$138</definedName>
    <definedName name="logic_appawud">Logic!$R$29:$R$138</definedName>
    <definedName name="logic_appawudwoaw">Logic!$P$29:$P$138</definedName>
    <definedName name="logic_appawusa">Logic!$S$29:$S$138</definedName>
    <definedName name="logic_appawusp">Logic!$T$29:$T$138</definedName>
    <definedName name="logic_appno">Logic!$A$29:$A$139</definedName>
    <definedName name="logic_bdffwuasam">Logic!$H$15</definedName>
    <definedName name="logic_bdffwuasprc">Logic!$J$15</definedName>
    <definedName name="logic_bdoutwuasam">Logic!$H$19</definedName>
    <definedName name="logic_bdoutwuasprc">Logic!$J$19</definedName>
    <definedName name="logic_dumuapp">Logic!$I$29:$I$139</definedName>
    <definedName name="logic_dumukitch">Logic!$I$150:$I$260</definedName>
    <definedName name="logic_dumulabmed">Logic!$I$271:$I$381</definedName>
    <definedName name="logic_hvacawuawa">Logic!$H$392:$H$502</definedName>
    <definedName name="logic_hvacawub">Logic!$F$392:$F$502</definedName>
    <definedName name="logic_hvacawud">Logic!$I$392:$I$502</definedName>
    <definedName name="logic_hvacawudwoaw">Logic!$G$392:$G$502</definedName>
    <definedName name="logic_hvacawusa">Logic!$J$392:$J$502</definedName>
    <definedName name="logic_hvacawusp">Logic!$K$392:$K$502</definedName>
    <definedName name="logic_hvacno">Logic!$A$392:$A$502</definedName>
    <definedName name="logic_kitchawuawa">Logic!$Q$150:$Q$260</definedName>
    <definedName name="logic_kitchawub">Logic!$O$150:$O$260</definedName>
    <definedName name="logic_kitchawud">Logic!$R$150:$R$260</definedName>
    <definedName name="logic_kitchawudwoaw">Logic!$P$150:$P$260</definedName>
    <definedName name="logic_kitchawusa">Logic!$S$150:$S$260</definedName>
    <definedName name="logic_kitchawusp">Logic!$T$150:$T$260</definedName>
    <definedName name="logic_kitchno">Logic!$A$150:$A$260</definedName>
    <definedName name="logic_labmedawuawa">Logic!$Q$271:$Q$381</definedName>
    <definedName name="logic_labmedawub">Logic!$O$271:$O$381</definedName>
    <definedName name="logic_labmedawud">Logic!$R$271:$R$381</definedName>
    <definedName name="logic_labmedawudwoaw">Logic!$P$271:$P$381</definedName>
    <definedName name="logic_labmedawusa">Logic!$S$271:$S$381</definedName>
    <definedName name="logic_labmedawusp">Logic!$T$271:$T$381</definedName>
    <definedName name="logic_labmedno">Logic!$A$271:$A$381</definedName>
    <definedName name="logic_othawuawa">Logic!$Q$513:$Q$623</definedName>
    <definedName name="logic_othawub">Logic!$O$513:$O$623</definedName>
    <definedName name="logic_othawud">Logic!$R$513:$R$623</definedName>
    <definedName name="logic_othawudwoaw">Logic!$P$513:$P$623</definedName>
    <definedName name="logic_othawusa">Logic!$S$513:$S$623</definedName>
    <definedName name="logic_othawusp">Logic!$T$513:$T$623</definedName>
    <definedName name="logic_othno">Logic!$A$513:$A$623</definedName>
    <definedName name="logic_prjtyp">Logic!$G$6</definedName>
    <definedName name="logic_sumappawuawa">Logic!$Q$140</definedName>
    <definedName name="logic_sumappawub">Logic!$O$140</definedName>
    <definedName name="logic_sumappawud">Logic!$R$140</definedName>
    <definedName name="logic_sumappawudwoaw">Logic!$P$140</definedName>
    <definedName name="logic_sumappawusa">Logic!$S$140</definedName>
    <definedName name="logic_sumappawusp">Logic!$T$140</definedName>
    <definedName name="logic_sumhvacawuawa">Logic!$H$503</definedName>
    <definedName name="logic_sumhvacawub">Logic!$F$503</definedName>
    <definedName name="logic_sumhvacawud">Logic!$I$503</definedName>
    <definedName name="logic_sumhvacawudwoaw">Logic!$G$503</definedName>
    <definedName name="logic_sumhvacawusa">Logic!$J$503</definedName>
    <definedName name="logic_sumhvacawusp">Logic!$K$503</definedName>
    <definedName name="logic_sumkitchawuawa">Logic!$Q$261</definedName>
    <definedName name="logic_sumkitchawub">Logic!$O$261</definedName>
    <definedName name="logic_sumkitchawud">Logic!$R$261</definedName>
    <definedName name="logic_sumkitchawudwoaw">Logic!$P$261</definedName>
    <definedName name="logic_sumkitchawusa">Logic!$S$261</definedName>
    <definedName name="logic_sumkitchawusp">Logic!$T$261</definedName>
    <definedName name="logic_sumlabmedawuawa">Logic!$Q$382</definedName>
    <definedName name="logic_sumlabmedawub">Logic!$O$382</definedName>
    <definedName name="logic_sumlabmedawud">Logic!$R$382</definedName>
    <definedName name="logic_sumlabmedawudwoaw">Logic!$P$382</definedName>
    <definedName name="logic_sumlabmedawusa">Logic!$S$382</definedName>
    <definedName name="logic_sumlabmedawusp">Logic!$T$382</definedName>
    <definedName name="logic_sumothawuawa">Logic!$Q$624</definedName>
    <definedName name="logic_sumothawub">Logic!$O$624</definedName>
    <definedName name="logic_sumothawud">Logic!$R$624</definedName>
    <definedName name="logic_sumothawudwoaw">Logic!$P$624</definedName>
    <definedName name="logic_sumothawusa">Logic!$S$624</definedName>
    <definedName name="logic_sumothawusp">Logic!$T$624</definedName>
    <definedName name="logic_totalwuaw">Logic!$F$638</definedName>
    <definedName name="logic_totalwuawyn">Logic!$F$639</definedName>
    <definedName name="logic_totalwub">Logic!$D$638</definedName>
    <definedName name="logic_totalwud">Logic!$E$638</definedName>
    <definedName name="logic_totalwus">Logic!$H$638</definedName>
    <definedName name="logic_totalwusprc">Logic!$J$638</definedName>
    <definedName name="logic_units">Logic!$G$8</definedName>
    <definedName name="logic_wuruapp">Logic!$M$29:$M$139</definedName>
    <definedName name="logic_wurukitch">Logic!$M$150:$M$260</definedName>
    <definedName name="logic_wurulabmed">Logic!$M$271:$M$381</definedName>
    <definedName name="logic_wuruoth">Logic!$M$513:$M$623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487" i="20" l="1"/>
  <c r="K487" i="20" s="1"/>
  <c r="I473" i="20"/>
  <c r="I469" i="20"/>
  <c r="I467" i="20"/>
  <c r="I448" i="20"/>
  <c r="I447" i="20"/>
  <c r="I443" i="20"/>
  <c r="J427" i="20"/>
  <c r="K427" i="20" s="1"/>
  <c r="I427" i="20"/>
  <c r="J418" i="20"/>
  <c r="K418" i="20" s="1"/>
  <c r="I418" i="20"/>
  <c r="J416" i="20"/>
  <c r="K416" i="20" s="1"/>
  <c r="I413" i="20"/>
  <c r="I412" i="20"/>
  <c r="I411" i="20"/>
  <c r="I407" i="20"/>
  <c r="J402" i="20"/>
  <c r="K402" i="20" s="1"/>
  <c r="I402" i="20"/>
  <c r="J401" i="20"/>
  <c r="K401" i="20" s="1"/>
  <c r="I401" i="20"/>
  <c r="J400" i="20"/>
  <c r="K400" i="20" s="1"/>
  <c r="I400" i="20"/>
  <c r="J399" i="20"/>
  <c r="K399" i="20" s="1"/>
  <c r="I399" i="20"/>
  <c r="J398" i="20"/>
  <c r="K398" i="20" s="1"/>
  <c r="I398" i="20"/>
  <c r="J397" i="20"/>
  <c r="K397" i="20" s="1"/>
  <c r="I397" i="20"/>
  <c r="J396" i="20"/>
  <c r="K396" i="20" s="1"/>
  <c r="I396" i="20"/>
  <c r="J395" i="20"/>
  <c r="K395" i="20" s="1"/>
  <c r="I395" i="20"/>
  <c r="J394" i="20"/>
  <c r="K394" i="20" s="1"/>
  <c r="I394" i="20"/>
  <c r="J393" i="20"/>
  <c r="K393" i="20" s="1"/>
  <c r="I393" i="20"/>
  <c r="G501" i="20"/>
  <c r="H501" i="20" s="1"/>
  <c r="F501" i="20"/>
  <c r="C501" i="20" s="1"/>
  <c r="D501" i="20"/>
  <c r="B501" i="20"/>
  <c r="G500" i="20"/>
  <c r="H500" i="20" s="1"/>
  <c r="F500" i="20"/>
  <c r="C500" i="20" s="1"/>
  <c r="D500" i="20"/>
  <c r="B500" i="20"/>
  <c r="G499" i="20"/>
  <c r="H499" i="20" s="1"/>
  <c r="F499" i="20"/>
  <c r="C499" i="20" s="1"/>
  <c r="D499" i="20"/>
  <c r="B499" i="20"/>
  <c r="G498" i="20"/>
  <c r="H498" i="20" s="1"/>
  <c r="F498" i="20"/>
  <c r="J498" i="20" s="1"/>
  <c r="K498" i="20" s="1"/>
  <c r="D498" i="20"/>
  <c r="B498" i="20"/>
  <c r="G497" i="20"/>
  <c r="H497" i="20" s="1"/>
  <c r="F497" i="20"/>
  <c r="C497" i="20" s="1"/>
  <c r="D497" i="20"/>
  <c r="B497" i="20"/>
  <c r="G496" i="20"/>
  <c r="H496" i="20" s="1"/>
  <c r="F496" i="20"/>
  <c r="J496" i="20" s="1"/>
  <c r="K496" i="20" s="1"/>
  <c r="D496" i="20"/>
  <c r="C496" i="20"/>
  <c r="B496" i="20"/>
  <c r="G495" i="20"/>
  <c r="H495" i="20" s="1"/>
  <c r="F495" i="20"/>
  <c r="C495" i="20" s="1"/>
  <c r="D495" i="20"/>
  <c r="B495" i="20"/>
  <c r="G494" i="20"/>
  <c r="H494" i="20" s="1"/>
  <c r="F494" i="20"/>
  <c r="J494" i="20" s="1"/>
  <c r="K494" i="20" s="1"/>
  <c r="D494" i="20"/>
  <c r="B494" i="20"/>
  <c r="G493" i="20"/>
  <c r="H493" i="20" s="1"/>
  <c r="F493" i="20"/>
  <c r="C493" i="20" s="1"/>
  <c r="D493" i="20"/>
  <c r="B493" i="20"/>
  <c r="G492" i="20"/>
  <c r="H492" i="20" s="1"/>
  <c r="F492" i="20"/>
  <c r="C492" i="20" s="1"/>
  <c r="D492" i="20"/>
  <c r="B492" i="20"/>
  <c r="G491" i="20"/>
  <c r="H491" i="20" s="1"/>
  <c r="F491" i="20"/>
  <c r="C491" i="20" s="1"/>
  <c r="D491" i="20"/>
  <c r="B491" i="20"/>
  <c r="G490" i="20"/>
  <c r="H490" i="20" s="1"/>
  <c r="F490" i="20"/>
  <c r="J490" i="20" s="1"/>
  <c r="K490" i="20" s="1"/>
  <c r="D490" i="20"/>
  <c r="B490" i="20"/>
  <c r="G489" i="20"/>
  <c r="H489" i="20" s="1"/>
  <c r="F489" i="20"/>
  <c r="C489" i="20" s="1"/>
  <c r="D489" i="20"/>
  <c r="B489" i="20"/>
  <c r="G488" i="20"/>
  <c r="H488" i="20" s="1"/>
  <c r="F488" i="20"/>
  <c r="J488" i="20" s="1"/>
  <c r="K488" i="20" s="1"/>
  <c r="D488" i="20"/>
  <c r="C488" i="20"/>
  <c r="B488" i="20"/>
  <c r="G487" i="20"/>
  <c r="H487" i="20" s="1"/>
  <c r="F487" i="20"/>
  <c r="C487" i="20" s="1"/>
  <c r="D487" i="20"/>
  <c r="B487" i="20"/>
  <c r="G486" i="20"/>
  <c r="H486" i="20" s="1"/>
  <c r="F486" i="20"/>
  <c r="J486" i="20" s="1"/>
  <c r="K486" i="20" s="1"/>
  <c r="D486" i="20"/>
  <c r="B486" i="20"/>
  <c r="G485" i="20"/>
  <c r="H485" i="20" s="1"/>
  <c r="F485" i="20"/>
  <c r="C485" i="20" s="1"/>
  <c r="D485" i="20"/>
  <c r="B485" i="20"/>
  <c r="G484" i="20"/>
  <c r="H484" i="20" s="1"/>
  <c r="F484" i="20"/>
  <c r="C484" i="20" s="1"/>
  <c r="D484" i="20"/>
  <c r="B484" i="20"/>
  <c r="G483" i="20"/>
  <c r="H483" i="20" s="1"/>
  <c r="F483" i="20"/>
  <c r="C483" i="20" s="1"/>
  <c r="D483" i="20"/>
  <c r="B483" i="20"/>
  <c r="G482" i="20"/>
  <c r="H482" i="20" s="1"/>
  <c r="F482" i="20"/>
  <c r="J482" i="20" s="1"/>
  <c r="K482" i="20" s="1"/>
  <c r="D482" i="20"/>
  <c r="C482" i="20"/>
  <c r="B482" i="20"/>
  <c r="G481" i="20"/>
  <c r="H481" i="20" s="1"/>
  <c r="F481" i="20"/>
  <c r="C481" i="20" s="1"/>
  <c r="D481" i="20"/>
  <c r="B481" i="20"/>
  <c r="G480" i="20"/>
  <c r="H480" i="20" s="1"/>
  <c r="F480" i="20"/>
  <c r="J480" i="20" s="1"/>
  <c r="K480" i="20" s="1"/>
  <c r="D480" i="20"/>
  <c r="B480" i="20"/>
  <c r="G479" i="20"/>
  <c r="H479" i="20" s="1"/>
  <c r="F479" i="20"/>
  <c r="C479" i="20" s="1"/>
  <c r="D479" i="20"/>
  <c r="B479" i="20"/>
  <c r="G478" i="20"/>
  <c r="H478" i="20" s="1"/>
  <c r="F478" i="20"/>
  <c r="J478" i="20" s="1"/>
  <c r="K478" i="20" s="1"/>
  <c r="D478" i="20"/>
  <c r="B478" i="20"/>
  <c r="G477" i="20"/>
  <c r="H477" i="20" s="1"/>
  <c r="F477" i="20"/>
  <c r="C477" i="20" s="1"/>
  <c r="D477" i="20"/>
  <c r="B477" i="20"/>
  <c r="G476" i="20"/>
  <c r="H476" i="20" s="1"/>
  <c r="F476" i="20"/>
  <c r="C476" i="20" s="1"/>
  <c r="D476" i="20"/>
  <c r="B476" i="20"/>
  <c r="G475" i="20"/>
  <c r="H475" i="20" s="1"/>
  <c r="F475" i="20"/>
  <c r="C475" i="20" s="1"/>
  <c r="D475" i="20"/>
  <c r="B475" i="20"/>
  <c r="G474" i="20"/>
  <c r="H474" i="20" s="1"/>
  <c r="F474" i="20"/>
  <c r="J474" i="20" s="1"/>
  <c r="K474" i="20" s="1"/>
  <c r="D474" i="20"/>
  <c r="B474" i="20"/>
  <c r="G473" i="20"/>
  <c r="H473" i="20" s="1"/>
  <c r="F473" i="20"/>
  <c r="C473" i="20" s="1"/>
  <c r="D473" i="20"/>
  <c r="B473" i="20"/>
  <c r="G472" i="20"/>
  <c r="H472" i="20" s="1"/>
  <c r="F472" i="20"/>
  <c r="C472" i="20" s="1"/>
  <c r="D472" i="20"/>
  <c r="B472" i="20"/>
  <c r="G471" i="20"/>
  <c r="H471" i="20" s="1"/>
  <c r="F471" i="20"/>
  <c r="C471" i="20" s="1"/>
  <c r="D471" i="20"/>
  <c r="B471" i="20"/>
  <c r="G470" i="20"/>
  <c r="H470" i="20" s="1"/>
  <c r="F470" i="20"/>
  <c r="D470" i="20"/>
  <c r="C470" i="20"/>
  <c r="B470" i="20"/>
  <c r="G469" i="20"/>
  <c r="H469" i="20" s="1"/>
  <c r="F469" i="20"/>
  <c r="C469" i="20" s="1"/>
  <c r="D469" i="20"/>
  <c r="B469" i="20"/>
  <c r="G468" i="20"/>
  <c r="H468" i="20" s="1"/>
  <c r="F468" i="20"/>
  <c r="C468" i="20" s="1"/>
  <c r="D468" i="20"/>
  <c r="B468" i="20"/>
  <c r="G467" i="20"/>
  <c r="H467" i="20" s="1"/>
  <c r="F467" i="20"/>
  <c r="C467" i="20" s="1"/>
  <c r="D467" i="20"/>
  <c r="B467" i="20"/>
  <c r="G466" i="20"/>
  <c r="H466" i="20" s="1"/>
  <c r="F466" i="20"/>
  <c r="D466" i="20"/>
  <c r="C466" i="20"/>
  <c r="B466" i="20"/>
  <c r="G465" i="20"/>
  <c r="H465" i="20" s="1"/>
  <c r="F465" i="20"/>
  <c r="C465" i="20" s="1"/>
  <c r="D465" i="20"/>
  <c r="B465" i="20"/>
  <c r="G464" i="20"/>
  <c r="H464" i="20" s="1"/>
  <c r="F464" i="20"/>
  <c r="J464" i="20" s="1"/>
  <c r="K464" i="20" s="1"/>
  <c r="D464" i="20"/>
  <c r="B464" i="20"/>
  <c r="G463" i="20"/>
  <c r="H463" i="20" s="1"/>
  <c r="F463" i="20"/>
  <c r="C463" i="20" s="1"/>
  <c r="D463" i="20"/>
  <c r="B463" i="20"/>
  <c r="G462" i="20"/>
  <c r="H462" i="20" s="1"/>
  <c r="F462" i="20"/>
  <c r="J462" i="20" s="1"/>
  <c r="K462" i="20" s="1"/>
  <c r="D462" i="20"/>
  <c r="C462" i="20"/>
  <c r="B462" i="20"/>
  <c r="G461" i="20"/>
  <c r="H461" i="20" s="1"/>
  <c r="F461" i="20"/>
  <c r="C461" i="20" s="1"/>
  <c r="D461" i="20"/>
  <c r="B461" i="20"/>
  <c r="G460" i="20"/>
  <c r="H460" i="20" s="1"/>
  <c r="F460" i="20"/>
  <c r="C460" i="20" s="1"/>
  <c r="D460" i="20"/>
  <c r="B460" i="20"/>
  <c r="G459" i="20"/>
  <c r="H459" i="20" s="1"/>
  <c r="F459" i="20"/>
  <c r="C459" i="20" s="1"/>
  <c r="D459" i="20"/>
  <c r="B459" i="20"/>
  <c r="G458" i="20"/>
  <c r="H458" i="20" s="1"/>
  <c r="F458" i="20"/>
  <c r="J458" i="20" s="1"/>
  <c r="K458" i="20" s="1"/>
  <c r="D458" i="20"/>
  <c r="B458" i="20"/>
  <c r="G457" i="20"/>
  <c r="H457" i="20" s="1"/>
  <c r="F457" i="20"/>
  <c r="C457" i="20" s="1"/>
  <c r="D457" i="20"/>
  <c r="B457" i="20"/>
  <c r="G456" i="20"/>
  <c r="H456" i="20" s="1"/>
  <c r="F456" i="20"/>
  <c r="J456" i="20" s="1"/>
  <c r="K456" i="20" s="1"/>
  <c r="D456" i="20"/>
  <c r="C456" i="20"/>
  <c r="B456" i="20"/>
  <c r="G455" i="20"/>
  <c r="H455" i="20" s="1"/>
  <c r="F455" i="20"/>
  <c r="C455" i="20" s="1"/>
  <c r="D455" i="20"/>
  <c r="B455" i="20"/>
  <c r="G454" i="20"/>
  <c r="H454" i="20" s="1"/>
  <c r="F454" i="20"/>
  <c r="J454" i="20" s="1"/>
  <c r="K454" i="20" s="1"/>
  <c r="D454" i="20"/>
  <c r="C454" i="20"/>
  <c r="B454" i="20"/>
  <c r="G453" i="20"/>
  <c r="H453" i="20" s="1"/>
  <c r="F453" i="20"/>
  <c r="C453" i="20" s="1"/>
  <c r="D453" i="20"/>
  <c r="B453" i="20"/>
  <c r="G452" i="20"/>
  <c r="H452" i="20" s="1"/>
  <c r="F452" i="20"/>
  <c r="C452" i="20" s="1"/>
  <c r="D452" i="20"/>
  <c r="B452" i="20"/>
  <c r="G451" i="20"/>
  <c r="H451" i="20" s="1"/>
  <c r="F451" i="20"/>
  <c r="C451" i="20" s="1"/>
  <c r="D451" i="20"/>
  <c r="B451" i="20"/>
  <c r="G450" i="20"/>
  <c r="H450" i="20" s="1"/>
  <c r="F450" i="20"/>
  <c r="D450" i="20"/>
  <c r="B450" i="20"/>
  <c r="G449" i="20"/>
  <c r="H449" i="20" s="1"/>
  <c r="F449" i="20"/>
  <c r="C449" i="20" s="1"/>
  <c r="D449" i="20"/>
  <c r="B449" i="20"/>
  <c r="G448" i="20"/>
  <c r="H448" i="20" s="1"/>
  <c r="F448" i="20"/>
  <c r="J448" i="20" s="1"/>
  <c r="K448" i="20" s="1"/>
  <c r="D448" i="20"/>
  <c r="C448" i="20"/>
  <c r="B448" i="20"/>
  <c r="G447" i="20"/>
  <c r="H447" i="20" s="1"/>
  <c r="F447" i="20"/>
  <c r="C447" i="20" s="1"/>
  <c r="D447" i="20"/>
  <c r="B447" i="20"/>
  <c r="G446" i="20"/>
  <c r="H446" i="20" s="1"/>
  <c r="F446" i="20"/>
  <c r="J446" i="20" s="1"/>
  <c r="K446" i="20" s="1"/>
  <c r="D446" i="20"/>
  <c r="C446" i="20"/>
  <c r="B446" i="20"/>
  <c r="G445" i="20"/>
  <c r="H445" i="20" s="1"/>
  <c r="F445" i="20"/>
  <c r="C445" i="20" s="1"/>
  <c r="D445" i="20"/>
  <c r="B445" i="20"/>
  <c r="G444" i="20"/>
  <c r="H444" i="20" s="1"/>
  <c r="F444" i="20"/>
  <c r="D444" i="20"/>
  <c r="C444" i="20"/>
  <c r="B444" i="20"/>
  <c r="G443" i="20"/>
  <c r="H443" i="20" s="1"/>
  <c r="F443" i="20"/>
  <c r="C443" i="20" s="1"/>
  <c r="D443" i="20"/>
  <c r="B443" i="20"/>
  <c r="G442" i="20"/>
  <c r="H442" i="20" s="1"/>
  <c r="F442" i="20"/>
  <c r="J442" i="20" s="1"/>
  <c r="K442" i="20" s="1"/>
  <c r="D442" i="20"/>
  <c r="B442" i="20"/>
  <c r="G441" i="20"/>
  <c r="H441" i="20" s="1"/>
  <c r="F441" i="20"/>
  <c r="C441" i="20" s="1"/>
  <c r="D441" i="20"/>
  <c r="B441" i="20"/>
  <c r="G440" i="20"/>
  <c r="H440" i="20" s="1"/>
  <c r="F440" i="20"/>
  <c r="J440" i="20" s="1"/>
  <c r="K440" i="20" s="1"/>
  <c r="D440" i="20"/>
  <c r="B440" i="20"/>
  <c r="G439" i="20"/>
  <c r="H439" i="20" s="1"/>
  <c r="F439" i="20"/>
  <c r="C439" i="20" s="1"/>
  <c r="D439" i="20"/>
  <c r="B439" i="20"/>
  <c r="G438" i="20"/>
  <c r="H438" i="20" s="1"/>
  <c r="F438" i="20"/>
  <c r="J438" i="20" s="1"/>
  <c r="K438" i="20" s="1"/>
  <c r="D438" i="20"/>
  <c r="C438" i="20"/>
  <c r="B438" i="20"/>
  <c r="G437" i="20"/>
  <c r="H437" i="20" s="1"/>
  <c r="F437" i="20"/>
  <c r="C437" i="20" s="1"/>
  <c r="D437" i="20"/>
  <c r="B437" i="20"/>
  <c r="G436" i="20"/>
  <c r="H436" i="20" s="1"/>
  <c r="F436" i="20"/>
  <c r="J436" i="20" s="1"/>
  <c r="K436" i="20" s="1"/>
  <c r="D436" i="20"/>
  <c r="B436" i="20"/>
  <c r="G435" i="20"/>
  <c r="H435" i="20" s="1"/>
  <c r="F435" i="20"/>
  <c r="C435" i="20" s="1"/>
  <c r="D435" i="20"/>
  <c r="B435" i="20"/>
  <c r="G434" i="20"/>
  <c r="H434" i="20" s="1"/>
  <c r="F434" i="20"/>
  <c r="J434" i="20" s="1"/>
  <c r="K434" i="20" s="1"/>
  <c r="D434" i="20"/>
  <c r="B434" i="20"/>
  <c r="G433" i="20"/>
  <c r="H433" i="20" s="1"/>
  <c r="F433" i="20"/>
  <c r="C433" i="20" s="1"/>
  <c r="D433" i="20"/>
  <c r="B433" i="20"/>
  <c r="G432" i="20"/>
  <c r="H432" i="20" s="1"/>
  <c r="F432" i="20"/>
  <c r="C432" i="20" s="1"/>
  <c r="D432" i="20"/>
  <c r="B432" i="20"/>
  <c r="G431" i="20"/>
  <c r="H431" i="20" s="1"/>
  <c r="F431" i="20"/>
  <c r="C431" i="20" s="1"/>
  <c r="D431" i="20"/>
  <c r="B431" i="20"/>
  <c r="G430" i="20"/>
  <c r="H430" i="20" s="1"/>
  <c r="F430" i="20"/>
  <c r="J430" i="20" s="1"/>
  <c r="K430" i="20" s="1"/>
  <c r="D430" i="20"/>
  <c r="C430" i="20"/>
  <c r="B430" i="20"/>
  <c r="G429" i="20"/>
  <c r="H429" i="20" s="1"/>
  <c r="F429" i="20"/>
  <c r="C429" i="20" s="1"/>
  <c r="D429" i="20"/>
  <c r="B429" i="20"/>
  <c r="G428" i="20"/>
  <c r="H428" i="20" s="1"/>
  <c r="F428" i="20"/>
  <c r="D428" i="20"/>
  <c r="B428" i="20"/>
  <c r="G427" i="20"/>
  <c r="H427" i="20" s="1"/>
  <c r="F427" i="20"/>
  <c r="C427" i="20" s="1"/>
  <c r="D427" i="20"/>
  <c r="B427" i="20"/>
  <c r="G426" i="20"/>
  <c r="H426" i="20" s="1"/>
  <c r="F426" i="20"/>
  <c r="J426" i="20" s="1"/>
  <c r="K426" i="20" s="1"/>
  <c r="D426" i="20"/>
  <c r="C426" i="20"/>
  <c r="B426" i="20"/>
  <c r="G425" i="20"/>
  <c r="H425" i="20" s="1"/>
  <c r="F425" i="20"/>
  <c r="C425" i="20" s="1"/>
  <c r="D425" i="20"/>
  <c r="B425" i="20"/>
  <c r="G424" i="20"/>
  <c r="H424" i="20" s="1"/>
  <c r="F424" i="20"/>
  <c r="J424" i="20" s="1"/>
  <c r="K424" i="20" s="1"/>
  <c r="D424" i="20"/>
  <c r="B424" i="20"/>
  <c r="G423" i="20"/>
  <c r="H423" i="20" s="1"/>
  <c r="F423" i="20"/>
  <c r="C423" i="20" s="1"/>
  <c r="D423" i="20"/>
  <c r="B423" i="20"/>
  <c r="G422" i="20"/>
  <c r="H422" i="20" s="1"/>
  <c r="F422" i="20"/>
  <c r="J422" i="20" s="1"/>
  <c r="K422" i="20" s="1"/>
  <c r="D422" i="20"/>
  <c r="C422" i="20"/>
  <c r="B422" i="20"/>
  <c r="G421" i="20"/>
  <c r="H421" i="20" s="1"/>
  <c r="F421" i="20"/>
  <c r="C421" i="20" s="1"/>
  <c r="D421" i="20"/>
  <c r="B421" i="20"/>
  <c r="G420" i="20"/>
  <c r="H420" i="20" s="1"/>
  <c r="F420" i="20"/>
  <c r="J420" i="20" s="1"/>
  <c r="K420" i="20" s="1"/>
  <c r="D420" i="20"/>
  <c r="C420" i="20"/>
  <c r="B420" i="20"/>
  <c r="G419" i="20"/>
  <c r="H419" i="20" s="1"/>
  <c r="F419" i="20"/>
  <c r="C419" i="20" s="1"/>
  <c r="D419" i="20"/>
  <c r="B419" i="20"/>
  <c r="G418" i="20"/>
  <c r="H418" i="20" s="1"/>
  <c r="F418" i="20"/>
  <c r="D418" i="20"/>
  <c r="C418" i="20"/>
  <c r="B418" i="20"/>
  <c r="G417" i="20"/>
  <c r="H417" i="20" s="1"/>
  <c r="F417" i="20"/>
  <c r="C417" i="20" s="1"/>
  <c r="D417" i="20"/>
  <c r="B417" i="20"/>
  <c r="G416" i="20"/>
  <c r="H416" i="20" s="1"/>
  <c r="F416" i="20"/>
  <c r="D416" i="20"/>
  <c r="C416" i="20"/>
  <c r="B416" i="20"/>
  <c r="G415" i="20"/>
  <c r="H415" i="20" s="1"/>
  <c r="F415" i="20"/>
  <c r="C415" i="20" s="1"/>
  <c r="D415" i="20"/>
  <c r="B415" i="20"/>
  <c r="G414" i="20"/>
  <c r="H414" i="20" s="1"/>
  <c r="F414" i="20"/>
  <c r="J414" i="20" s="1"/>
  <c r="K414" i="20" s="1"/>
  <c r="D414" i="20"/>
  <c r="C414" i="20"/>
  <c r="B414" i="20"/>
  <c r="G413" i="20"/>
  <c r="H413" i="20" s="1"/>
  <c r="F413" i="20"/>
  <c r="C413" i="20" s="1"/>
  <c r="D413" i="20"/>
  <c r="B413" i="20"/>
  <c r="G412" i="20"/>
  <c r="H412" i="20" s="1"/>
  <c r="F412" i="20"/>
  <c r="J412" i="20" s="1"/>
  <c r="K412" i="20" s="1"/>
  <c r="D412" i="20"/>
  <c r="C412" i="20"/>
  <c r="B412" i="20"/>
  <c r="G411" i="20"/>
  <c r="H411" i="20" s="1"/>
  <c r="F411" i="20"/>
  <c r="C411" i="20" s="1"/>
  <c r="D411" i="20"/>
  <c r="B411" i="20"/>
  <c r="G410" i="20"/>
  <c r="H410" i="20" s="1"/>
  <c r="F410" i="20"/>
  <c r="J410" i="20" s="1"/>
  <c r="K410" i="20" s="1"/>
  <c r="D410" i="20"/>
  <c r="C410" i="20"/>
  <c r="B410" i="20"/>
  <c r="G409" i="20"/>
  <c r="H409" i="20" s="1"/>
  <c r="F409" i="20"/>
  <c r="C409" i="20" s="1"/>
  <c r="D409" i="20"/>
  <c r="B409" i="20"/>
  <c r="G408" i="20"/>
  <c r="H408" i="20" s="1"/>
  <c r="F408" i="20"/>
  <c r="J408" i="20" s="1"/>
  <c r="K408" i="20" s="1"/>
  <c r="D408" i="20"/>
  <c r="B408" i="20"/>
  <c r="G407" i="20"/>
  <c r="H407" i="20" s="1"/>
  <c r="F407" i="20"/>
  <c r="C407" i="20" s="1"/>
  <c r="D407" i="20"/>
  <c r="B407" i="20"/>
  <c r="G406" i="20"/>
  <c r="H406" i="20" s="1"/>
  <c r="F406" i="20"/>
  <c r="J406" i="20" s="1"/>
  <c r="K406" i="20" s="1"/>
  <c r="D406" i="20"/>
  <c r="C406" i="20"/>
  <c r="B406" i="20"/>
  <c r="G405" i="20"/>
  <c r="H405" i="20" s="1"/>
  <c r="F405" i="20"/>
  <c r="C405" i="20" s="1"/>
  <c r="D405" i="20"/>
  <c r="B405" i="20"/>
  <c r="G404" i="20"/>
  <c r="H404" i="20" s="1"/>
  <c r="F404" i="20"/>
  <c r="J404" i="20" s="1"/>
  <c r="K404" i="20" s="1"/>
  <c r="D404" i="20"/>
  <c r="C404" i="20"/>
  <c r="B404" i="20"/>
  <c r="G403" i="20"/>
  <c r="H403" i="20" s="1"/>
  <c r="F403" i="20"/>
  <c r="C403" i="20" s="1"/>
  <c r="D403" i="20"/>
  <c r="B403" i="20"/>
  <c r="G402" i="20"/>
  <c r="H402" i="20" s="1"/>
  <c r="F402" i="20"/>
  <c r="D402" i="20"/>
  <c r="C402" i="20"/>
  <c r="B402" i="20"/>
  <c r="G401" i="20"/>
  <c r="H401" i="20" s="1"/>
  <c r="F401" i="20"/>
  <c r="C401" i="20" s="1"/>
  <c r="D401" i="20"/>
  <c r="B401" i="20"/>
  <c r="G400" i="20"/>
  <c r="H400" i="20" s="1"/>
  <c r="F400" i="20"/>
  <c r="D400" i="20"/>
  <c r="C400" i="20"/>
  <c r="B400" i="20"/>
  <c r="G399" i="20"/>
  <c r="H399" i="20" s="1"/>
  <c r="F399" i="20"/>
  <c r="C399" i="20" s="1"/>
  <c r="D399" i="20"/>
  <c r="B399" i="20"/>
  <c r="G398" i="20"/>
  <c r="H398" i="20" s="1"/>
  <c r="F398" i="20"/>
  <c r="D398" i="20"/>
  <c r="C398" i="20"/>
  <c r="B398" i="20"/>
  <c r="G397" i="20"/>
  <c r="H397" i="20" s="1"/>
  <c r="F397" i="20"/>
  <c r="C397" i="20" s="1"/>
  <c r="D397" i="20"/>
  <c r="B397" i="20"/>
  <c r="G396" i="20"/>
  <c r="H396" i="20" s="1"/>
  <c r="F396" i="20"/>
  <c r="D396" i="20"/>
  <c r="C396" i="20"/>
  <c r="B396" i="20"/>
  <c r="G395" i="20"/>
  <c r="H395" i="20" s="1"/>
  <c r="F395" i="20"/>
  <c r="C395" i="20" s="1"/>
  <c r="D395" i="20"/>
  <c r="B395" i="20"/>
  <c r="G394" i="20"/>
  <c r="H394" i="20" s="1"/>
  <c r="F394" i="20"/>
  <c r="D394" i="20"/>
  <c r="C394" i="20"/>
  <c r="B394" i="20"/>
  <c r="G393" i="20"/>
  <c r="H393" i="20" s="1"/>
  <c r="F393" i="20"/>
  <c r="C393" i="20" s="1"/>
  <c r="D393" i="20"/>
  <c r="B393" i="20"/>
  <c r="L622" i="20"/>
  <c r="Q622" i="20" s="1"/>
  <c r="K622" i="20"/>
  <c r="C622" i="20" s="1"/>
  <c r="I622" i="20"/>
  <c r="H622" i="20"/>
  <c r="G622" i="20"/>
  <c r="F622" i="20"/>
  <c r="D622" i="20"/>
  <c r="B622" i="20"/>
  <c r="L621" i="20"/>
  <c r="Q621" i="20" s="1"/>
  <c r="K621" i="20"/>
  <c r="C621" i="20" s="1"/>
  <c r="I621" i="20"/>
  <c r="H621" i="20"/>
  <c r="G621" i="20"/>
  <c r="F621" i="20"/>
  <c r="D621" i="20"/>
  <c r="B621" i="20"/>
  <c r="L620" i="20"/>
  <c r="Q620" i="20" s="1"/>
  <c r="K620" i="20"/>
  <c r="C620" i="20" s="1"/>
  <c r="I620" i="20"/>
  <c r="H620" i="20"/>
  <c r="G620" i="20"/>
  <c r="F620" i="20"/>
  <c r="D620" i="20"/>
  <c r="B620" i="20"/>
  <c r="L619" i="20"/>
  <c r="Q619" i="20" s="1"/>
  <c r="K619" i="20"/>
  <c r="C619" i="20" s="1"/>
  <c r="I619" i="20"/>
  <c r="H619" i="20"/>
  <c r="G619" i="20"/>
  <c r="F619" i="20"/>
  <c r="D619" i="20"/>
  <c r="B619" i="20"/>
  <c r="L618" i="20"/>
  <c r="Q618" i="20" s="1"/>
  <c r="K618" i="20"/>
  <c r="C618" i="20" s="1"/>
  <c r="I618" i="20"/>
  <c r="H618" i="20"/>
  <c r="G618" i="20"/>
  <c r="F618" i="20"/>
  <c r="D618" i="20"/>
  <c r="B618" i="20"/>
  <c r="L617" i="20"/>
  <c r="Q617" i="20" s="1"/>
  <c r="K617" i="20"/>
  <c r="C617" i="20" s="1"/>
  <c r="I617" i="20"/>
  <c r="H617" i="20"/>
  <c r="G617" i="20"/>
  <c r="F617" i="20"/>
  <c r="D617" i="20"/>
  <c r="B617" i="20"/>
  <c r="L616" i="20"/>
  <c r="Q616" i="20" s="1"/>
  <c r="K616" i="20"/>
  <c r="C616" i="20" s="1"/>
  <c r="I616" i="20"/>
  <c r="H616" i="20"/>
  <c r="G616" i="20"/>
  <c r="F616" i="20"/>
  <c r="D616" i="20"/>
  <c r="B616" i="20"/>
  <c r="L615" i="20"/>
  <c r="Q615" i="20" s="1"/>
  <c r="K615" i="20"/>
  <c r="C615" i="20" s="1"/>
  <c r="I615" i="20"/>
  <c r="H615" i="20"/>
  <c r="G615" i="20"/>
  <c r="F615" i="20"/>
  <c r="D615" i="20"/>
  <c r="B615" i="20"/>
  <c r="L614" i="20"/>
  <c r="Q614" i="20" s="1"/>
  <c r="K614" i="20"/>
  <c r="C614" i="20" s="1"/>
  <c r="I614" i="20"/>
  <c r="H614" i="20"/>
  <c r="G614" i="20"/>
  <c r="F614" i="20"/>
  <c r="D614" i="20"/>
  <c r="B614" i="20"/>
  <c r="L613" i="20"/>
  <c r="Q613" i="20" s="1"/>
  <c r="K613" i="20"/>
  <c r="C613" i="20" s="1"/>
  <c r="I613" i="20"/>
  <c r="H613" i="20"/>
  <c r="G613" i="20"/>
  <c r="F613" i="20"/>
  <c r="D613" i="20"/>
  <c r="B613" i="20"/>
  <c r="L612" i="20"/>
  <c r="Q612" i="20" s="1"/>
  <c r="K612" i="20"/>
  <c r="C612" i="20" s="1"/>
  <c r="I612" i="20"/>
  <c r="H612" i="20"/>
  <c r="G612" i="20"/>
  <c r="F612" i="20"/>
  <c r="D612" i="20"/>
  <c r="B612" i="20"/>
  <c r="L611" i="20"/>
  <c r="Q611" i="20" s="1"/>
  <c r="K611" i="20"/>
  <c r="C611" i="20" s="1"/>
  <c r="I611" i="20"/>
  <c r="H611" i="20"/>
  <c r="G611" i="20"/>
  <c r="F611" i="20"/>
  <c r="D611" i="20"/>
  <c r="B611" i="20"/>
  <c r="L610" i="20"/>
  <c r="Q610" i="20" s="1"/>
  <c r="K610" i="20"/>
  <c r="C610" i="20" s="1"/>
  <c r="I610" i="20"/>
  <c r="H610" i="20"/>
  <c r="G610" i="20"/>
  <c r="F610" i="20"/>
  <c r="D610" i="20"/>
  <c r="B610" i="20"/>
  <c r="L609" i="20"/>
  <c r="Q609" i="20" s="1"/>
  <c r="K609" i="20"/>
  <c r="C609" i="20" s="1"/>
  <c r="I609" i="20"/>
  <c r="H609" i="20"/>
  <c r="G609" i="20"/>
  <c r="F609" i="20"/>
  <c r="D609" i="20"/>
  <c r="B609" i="20"/>
  <c r="L608" i="20"/>
  <c r="Q608" i="20" s="1"/>
  <c r="K608" i="20"/>
  <c r="C608" i="20" s="1"/>
  <c r="I608" i="20"/>
  <c r="H608" i="20"/>
  <c r="G608" i="20"/>
  <c r="F608" i="20"/>
  <c r="D608" i="20"/>
  <c r="B608" i="20"/>
  <c r="L607" i="20"/>
  <c r="Q607" i="20" s="1"/>
  <c r="K607" i="20"/>
  <c r="C607" i="20" s="1"/>
  <c r="I607" i="20"/>
  <c r="H607" i="20"/>
  <c r="G607" i="20"/>
  <c r="F607" i="20"/>
  <c r="D607" i="20"/>
  <c r="B607" i="20"/>
  <c r="L606" i="20"/>
  <c r="Q606" i="20" s="1"/>
  <c r="K606" i="20"/>
  <c r="C606" i="20" s="1"/>
  <c r="I606" i="20"/>
  <c r="H606" i="20"/>
  <c r="G606" i="20"/>
  <c r="F606" i="20"/>
  <c r="D606" i="20"/>
  <c r="B606" i="20"/>
  <c r="L605" i="20"/>
  <c r="Q605" i="20" s="1"/>
  <c r="K605" i="20"/>
  <c r="C605" i="20" s="1"/>
  <c r="I605" i="20"/>
  <c r="H605" i="20"/>
  <c r="G605" i="20"/>
  <c r="F605" i="20"/>
  <c r="D605" i="20"/>
  <c r="B605" i="20"/>
  <c r="L604" i="20"/>
  <c r="Q604" i="20" s="1"/>
  <c r="K604" i="20"/>
  <c r="C604" i="20" s="1"/>
  <c r="I604" i="20"/>
  <c r="H604" i="20"/>
  <c r="G604" i="20"/>
  <c r="F604" i="20"/>
  <c r="D604" i="20"/>
  <c r="B604" i="20"/>
  <c r="L603" i="20"/>
  <c r="Q603" i="20" s="1"/>
  <c r="K603" i="20"/>
  <c r="C603" i="20" s="1"/>
  <c r="I603" i="20"/>
  <c r="H603" i="20"/>
  <c r="G603" i="20"/>
  <c r="F603" i="20"/>
  <c r="D603" i="20"/>
  <c r="B603" i="20"/>
  <c r="L602" i="20"/>
  <c r="Q602" i="20" s="1"/>
  <c r="K602" i="20"/>
  <c r="C602" i="20" s="1"/>
  <c r="I602" i="20"/>
  <c r="H602" i="20"/>
  <c r="G602" i="20"/>
  <c r="F602" i="20"/>
  <c r="D602" i="20"/>
  <c r="B602" i="20"/>
  <c r="L601" i="20"/>
  <c r="Q601" i="20" s="1"/>
  <c r="K601" i="20"/>
  <c r="C601" i="20" s="1"/>
  <c r="I601" i="20"/>
  <c r="H601" i="20"/>
  <c r="G601" i="20"/>
  <c r="F601" i="20"/>
  <c r="D601" i="20"/>
  <c r="B601" i="20"/>
  <c r="L600" i="20"/>
  <c r="Q600" i="20" s="1"/>
  <c r="K600" i="20"/>
  <c r="C600" i="20" s="1"/>
  <c r="I600" i="20"/>
  <c r="H600" i="20"/>
  <c r="G600" i="20"/>
  <c r="F600" i="20"/>
  <c r="D600" i="20"/>
  <c r="B600" i="20"/>
  <c r="L599" i="20"/>
  <c r="Q599" i="20" s="1"/>
  <c r="K599" i="20"/>
  <c r="C599" i="20" s="1"/>
  <c r="I599" i="20"/>
  <c r="H599" i="20"/>
  <c r="G599" i="20"/>
  <c r="F599" i="20"/>
  <c r="D599" i="20"/>
  <c r="B599" i="20"/>
  <c r="L598" i="20"/>
  <c r="Q598" i="20" s="1"/>
  <c r="K598" i="20"/>
  <c r="C598" i="20" s="1"/>
  <c r="I598" i="20"/>
  <c r="H598" i="20"/>
  <c r="G598" i="20"/>
  <c r="F598" i="20"/>
  <c r="D598" i="20"/>
  <c r="B598" i="20"/>
  <c r="L597" i="20"/>
  <c r="Q597" i="20" s="1"/>
  <c r="K597" i="20"/>
  <c r="C597" i="20" s="1"/>
  <c r="I597" i="20"/>
  <c r="H597" i="20"/>
  <c r="G597" i="20"/>
  <c r="F597" i="20"/>
  <c r="D597" i="20"/>
  <c r="B597" i="20"/>
  <c r="L596" i="20"/>
  <c r="Q596" i="20" s="1"/>
  <c r="K596" i="20"/>
  <c r="C596" i="20" s="1"/>
  <c r="I596" i="20"/>
  <c r="H596" i="20"/>
  <c r="G596" i="20"/>
  <c r="F596" i="20"/>
  <c r="D596" i="20"/>
  <c r="B596" i="20"/>
  <c r="L595" i="20"/>
  <c r="Q595" i="20" s="1"/>
  <c r="K595" i="20"/>
  <c r="C595" i="20" s="1"/>
  <c r="I595" i="20"/>
  <c r="H595" i="20"/>
  <c r="G595" i="20"/>
  <c r="F595" i="20"/>
  <c r="D595" i="20"/>
  <c r="B595" i="20"/>
  <c r="L594" i="20"/>
  <c r="Q594" i="20" s="1"/>
  <c r="K594" i="20"/>
  <c r="C594" i="20" s="1"/>
  <c r="I594" i="20"/>
  <c r="H594" i="20"/>
  <c r="G594" i="20"/>
  <c r="F594" i="20"/>
  <c r="D594" i="20"/>
  <c r="B594" i="20"/>
  <c r="L593" i="20"/>
  <c r="Q593" i="20" s="1"/>
  <c r="K593" i="20"/>
  <c r="C593" i="20" s="1"/>
  <c r="I593" i="20"/>
  <c r="H593" i="20"/>
  <c r="G593" i="20"/>
  <c r="F593" i="20"/>
  <c r="D593" i="20"/>
  <c r="B593" i="20"/>
  <c r="L592" i="20"/>
  <c r="Q592" i="20" s="1"/>
  <c r="K592" i="20"/>
  <c r="C592" i="20" s="1"/>
  <c r="I592" i="20"/>
  <c r="H592" i="20"/>
  <c r="G592" i="20"/>
  <c r="F592" i="20"/>
  <c r="D592" i="20"/>
  <c r="B592" i="20"/>
  <c r="L591" i="20"/>
  <c r="Q591" i="20" s="1"/>
  <c r="K591" i="20"/>
  <c r="C591" i="20" s="1"/>
  <c r="I591" i="20"/>
  <c r="H591" i="20"/>
  <c r="G591" i="20"/>
  <c r="F591" i="20"/>
  <c r="D591" i="20"/>
  <c r="B591" i="20"/>
  <c r="L590" i="20"/>
  <c r="Q590" i="20" s="1"/>
  <c r="K590" i="20"/>
  <c r="C590" i="20" s="1"/>
  <c r="I590" i="20"/>
  <c r="H590" i="20"/>
  <c r="G590" i="20"/>
  <c r="F590" i="20"/>
  <c r="D590" i="20"/>
  <c r="B590" i="20"/>
  <c r="L589" i="20"/>
  <c r="Q589" i="20" s="1"/>
  <c r="K589" i="20"/>
  <c r="C589" i="20" s="1"/>
  <c r="I589" i="20"/>
  <c r="H589" i="20"/>
  <c r="G589" i="20"/>
  <c r="F589" i="20"/>
  <c r="D589" i="20"/>
  <c r="B589" i="20"/>
  <c r="L588" i="20"/>
  <c r="Q588" i="20" s="1"/>
  <c r="K588" i="20"/>
  <c r="C588" i="20" s="1"/>
  <c r="I588" i="20"/>
  <c r="H588" i="20"/>
  <c r="G588" i="20"/>
  <c r="F588" i="20"/>
  <c r="D588" i="20"/>
  <c r="B588" i="20"/>
  <c r="L587" i="20"/>
  <c r="Q587" i="20" s="1"/>
  <c r="K587" i="20"/>
  <c r="C587" i="20" s="1"/>
  <c r="I587" i="20"/>
  <c r="H587" i="20"/>
  <c r="G587" i="20"/>
  <c r="F587" i="20"/>
  <c r="D587" i="20"/>
  <c r="B587" i="20"/>
  <c r="L586" i="20"/>
  <c r="Q586" i="20" s="1"/>
  <c r="K586" i="20"/>
  <c r="C586" i="20" s="1"/>
  <c r="I586" i="20"/>
  <c r="H586" i="20"/>
  <c r="G586" i="20"/>
  <c r="F586" i="20"/>
  <c r="D586" i="20"/>
  <c r="B586" i="20"/>
  <c r="L585" i="20"/>
  <c r="Q585" i="20" s="1"/>
  <c r="K585" i="20"/>
  <c r="C585" i="20" s="1"/>
  <c r="I585" i="20"/>
  <c r="H585" i="20"/>
  <c r="G585" i="20"/>
  <c r="F585" i="20"/>
  <c r="D585" i="20"/>
  <c r="B585" i="20"/>
  <c r="L584" i="20"/>
  <c r="Q584" i="20" s="1"/>
  <c r="K584" i="20"/>
  <c r="C584" i="20" s="1"/>
  <c r="I584" i="20"/>
  <c r="H584" i="20"/>
  <c r="G584" i="20"/>
  <c r="F584" i="20"/>
  <c r="D584" i="20"/>
  <c r="B584" i="20"/>
  <c r="L583" i="20"/>
  <c r="Q583" i="20" s="1"/>
  <c r="K583" i="20"/>
  <c r="C583" i="20" s="1"/>
  <c r="I583" i="20"/>
  <c r="H583" i="20"/>
  <c r="G583" i="20"/>
  <c r="F583" i="20"/>
  <c r="D583" i="20"/>
  <c r="B583" i="20"/>
  <c r="L582" i="20"/>
  <c r="Q582" i="20" s="1"/>
  <c r="K582" i="20"/>
  <c r="C582" i="20" s="1"/>
  <c r="I582" i="20"/>
  <c r="H582" i="20"/>
  <c r="G582" i="20"/>
  <c r="F582" i="20"/>
  <c r="D582" i="20"/>
  <c r="B582" i="20"/>
  <c r="L581" i="20"/>
  <c r="Q581" i="20" s="1"/>
  <c r="K581" i="20"/>
  <c r="C581" i="20" s="1"/>
  <c r="I581" i="20"/>
  <c r="H581" i="20"/>
  <c r="G581" i="20"/>
  <c r="F581" i="20"/>
  <c r="D581" i="20"/>
  <c r="B581" i="20"/>
  <c r="L580" i="20"/>
  <c r="Q580" i="20" s="1"/>
  <c r="K580" i="20"/>
  <c r="C580" i="20" s="1"/>
  <c r="I580" i="20"/>
  <c r="H580" i="20"/>
  <c r="G580" i="20"/>
  <c r="F580" i="20"/>
  <c r="D580" i="20"/>
  <c r="B580" i="20"/>
  <c r="L579" i="20"/>
  <c r="Q579" i="20" s="1"/>
  <c r="K579" i="20"/>
  <c r="C579" i="20" s="1"/>
  <c r="I579" i="20"/>
  <c r="H579" i="20"/>
  <c r="G579" i="20"/>
  <c r="F579" i="20"/>
  <c r="D579" i="20"/>
  <c r="B579" i="20"/>
  <c r="L578" i="20"/>
  <c r="Q578" i="20" s="1"/>
  <c r="K578" i="20"/>
  <c r="C578" i="20" s="1"/>
  <c r="I578" i="20"/>
  <c r="H578" i="20"/>
  <c r="G578" i="20"/>
  <c r="F578" i="20"/>
  <c r="D578" i="20"/>
  <c r="B578" i="20"/>
  <c r="L577" i="20"/>
  <c r="Q577" i="20" s="1"/>
  <c r="K577" i="20"/>
  <c r="C577" i="20" s="1"/>
  <c r="I577" i="20"/>
  <c r="H577" i="20"/>
  <c r="G577" i="20"/>
  <c r="F577" i="20"/>
  <c r="D577" i="20"/>
  <c r="B577" i="20"/>
  <c r="L576" i="20"/>
  <c r="Q576" i="20" s="1"/>
  <c r="K576" i="20"/>
  <c r="C576" i="20" s="1"/>
  <c r="I576" i="20"/>
  <c r="H576" i="20"/>
  <c r="G576" i="20"/>
  <c r="F576" i="20"/>
  <c r="D576" i="20"/>
  <c r="B576" i="20"/>
  <c r="L575" i="20"/>
  <c r="Q575" i="20" s="1"/>
  <c r="K575" i="20"/>
  <c r="C575" i="20" s="1"/>
  <c r="I575" i="20"/>
  <c r="H575" i="20"/>
  <c r="G575" i="20"/>
  <c r="F575" i="20"/>
  <c r="D575" i="20"/>
  <c r="B575" i="20"/>
  <c r="L574" i="20"/>
  <c r="Q574" i="20" s="1"/>
  <c r="K574" i="20"/>
  <c r="C574" i="20" s="1"/>
  <c r="I574" i="20"/>
  <c r="H574" i="20"/>
  <c r="G574" i="20"/>
  <c r="F574" i="20"/>
  <c r="D574" i="20"/>
  <c r="B574" i="20"/>
  <c r="L573" i="20"/>
  <c r="Q573" i="20" s="1"/>
  <c r="K573" i="20"/>
  <c r="C573" i="20" s="1"/>
  <c r="I573" i="20"/>
  <c r="H573" i="20"/>
  <c r="G573" i="20"/>
  <c r="F573" i="20"/>
  <c r="D573" i="20"/>
  <c r="B573" i="20"/>
  <c r="L572" i="20"/>
  <c r="Q572" i="20" s="1"/>
  <c r="K572" i="20"/>
  <c r="C572" i="20" s="1"/>
  <c r="I572" i="20"/>
  <c r="H572" i="20"/>
  <c r="G572" i="20"/>
  <c r="F572" i="20"/>
  <c r="D572" i="20"/>
  <c r="B572" i="20"/>
  <c r="L571" i="20"/>
  <c r="Q571" i="20" s="1"/>
  <c r="K571" i="20"/>
  <c r="C571" i="20" s="1"/>
  <c r="I571" i="20"/>
  <c r="H571" i="20"/>
  <c r="G571" i="20"/>
  <c r="F571" i="20"/>
  <c r="D571" i="20"/>
  <c r="B571" i="20"/>
  <c r="L570" i="20"/>
  <c r="Q570" i="20" s="1"/>
  <c r="K570" i="20"/>
  <c r="C570" i="20" s="1"/>
  <c r="I570" i="20"/>
  <c r="H570" i="20"/>
  <c r="G570" i="20"/>
  <c r="F570" i="20"/>
  <c r="D570" i="20"/>
  <c r="B570" i="20"/>
  <c r="L569" i="20"/>
  <c r="Q569" i="20" s="1"/>
  <c r="K569" i="20"/>
  <c r="C569" i="20" s="1"/>
  <c r="I569" i="20"/>
  <c r="H569" i="20"/>
  <c r="G569" i="20"/>
  <c r="F569" i="20"/>
  <c r="D569" i="20"/>
  <c r="B569" i="20"/>
  <c r="L568" i="20"/>
  <c r="Q568" i="20" s="1"/>
  <c r="K568" i="20"/>
  <c r="C568" i="20" s="1"/>
  <c r="I568" i="20"/>
  <c r="H568" i="20"/>
  <c r="G568" i="20"/>
  <c r="F568" i="20"/>
  <c r="D568" i="20"/>
  <c r="B568" i="20"/>
  <c r="L567" i="20"/>
  <c r="Q567" i="20" s="1"/>
  <c r="K567" i="20"/>
  <c r="C567" i="20" s="1"/>
  <c r="I567" i="20"/>
  <c r="H567" i="20"/>
  <c r="G567" i="20"/>
  <c r="F567" i="20"/>
  <c r="D567" i="20"/>
  <c r="B567" i="20"/>
  <c r="L566" i="20"/>
  <c r="Q566" i="20" s="1"/>
  <c r="K566" i="20"/>
  <c r="C566" i="20" s="1"/>
  <c r="I566" i="20"/>
  <c r="H566" i="20"/>
  <c r="G566" i="20"/>
  <c r="F566" i="20"/>
  <c r="D566" i="20"/>
  <c r="B566" i="20"/>
  <c r="L565" i="20"/>
  <c r="Q565" i="20" s="1"/>
  <c r="K565" i="20"/>
  <c r="C565" i="20" s="1"/>
  <c r="I565" i="20"/>
  <c r="H565" i="20"/>
  <c r="G565" i="20"/>
  <c r="F565" i="20"/>
  <c r="D565" i="20"/>
  <c r="B565" i="20"/>
  <c r="L564" i="20"/>
  <c r="Q564" i="20" s="1"/>
  <c r="K564" i="20"/>
  <c r="C564" i="20" s="1"/>
  <c r="I564" i="20"/>
  <c r="H564" i="20"/>
  <c r="G564" i="20"/>
  <c r="F564" i="20"/>
  <c r="D564" i="20"/>
  <c r="B564" i="20"/>
  <c r="L563" i="20"/>
  <c r="Q563" i="20" s="1"/>
  <c r="K563" i="20"/>
  <c r="C563" i="20" s="1"/>
  <c r="I563" i="20"/>
  <c r="H563" i="20"/>
  <c r="G563" i="20"/>
  <c r="F563" i="20"/>
  <c r="D563" i="20"/>
  <c r="B563" i="20"/>
  <c r="L562" i="20"/>
  <c r="Q562" i="20" s="1"/>
  <c r="K562" i="20"/>
  <c r="C562" i="20" s="1"/>
  <c r="I562" i="20"/>
  <c r="H562" i="20"/>
  <c r="G562" i="20"/>
  <c r="F562" i="20"/>
  <c r="D562" i="20"/>
  <c r="B562" i="20"/>
  <c r="L561" i="20"/>
  <c r="Q561" i="20" s="1"/>
  <c r="K561" i="20"/>
  <c r="C561" i="20" s="1"/>
  <c r="I561" i="20"/>
  <c r="H561" i="20"/>
  <c r="G561" i="20"/>
  <c r="F561" i="20"/>
  <c r="D561" i="20"/>
  <c r="B561" i="20"/>
  <c r="L560" i="20"/>
  <c r="Q560" i="20" s="1"/>
  <c r="K560" i="20"/>
  <c r="C560" i="20" s="1"/>
  <c r="I560" i="20"/>
  <c r="H560" i="20"/>
  <c r="G560" i="20"/>
  <c r="F560" i="20"/>
  <c r="D560" i="20"/>
  <c r="B560" i="20"/>
  <c r="L559" i="20"/>
  <c r="Q559" i="20" s="1"/>
  <c r="K559" i="20"/>
  <c r="C559" i="20" s="1"/>
  <c r="I559" i="20"/>
  <c r="H559" i="20"/>
  <c r="G559" i="20"/>
  <c r="F559" i="20"/>
  <c r="D559" i="20"/>
  <c r="B559" i="20"/>
  <c r="L558" i="20"/>
  <c r="Q558" i="20" s="1"/>
  <c r="K558" i="20"/>
  <c r="C558" i="20" s="1"/>
  <c r="I558" i="20"/>
  <c r="H558" i="20"/>
  <c r="G558" i="20"/>
  <c r="F558" i="20"/>
  <c r="D558" i="20"/>
  <c r="B558" i="20"/>
  <c r="L557" i="20"/>
  <c r="Q557" i="20" s="1"/>
  <c r="K557" i="20"/>
  <c r="C557" i="20" s="1"/>
  <c r="I557" i="20"/>
  <c r="H557" i="20"/>
  <c r="G557" i="20"/>
  <c r="F557" i="20"/>
  <c r="D557" i="20"/>
  <c r="B557" i="20"/>
  <c r="L556" i="20"/>
  <c r="K556" i="20"/>
  <c r="C556" i="20" s="1"/>
  <c r="I556" i="20"/>
  <c r="H556" i="20"/>
  <c r="G556" i="20"/>
  <c r="F556" i="20"/>
  <c r="D556" i="20"/>
  <c r="B556" i="20"/>
  <c r="L555" i="20"/>
  <c r="Q555" i="20" s="1"/>
  <c r="K555" i="20"/>
  <c r="C555" i="20" s="1"/>
  <c r="I555" i="20"/>
  <c r="H555" i="20"/>
  <c r="G555" i="20"/>
  <c r="F555" i="20"/>
  <c r="D555" i="20"/>
  <c r="B555" i="20"/>
  <c r="L554" i="20"/>
  <c r="Q554" i="20" s="1"/>
  <c r="K554" i="20"/>
  <c r="C554" i="20" s="1"/>
  <c r="I554" i="20"/>
  <c r="H554" i="20"/>
  <c r="G554" i="20"/>
  <c r="F554" i="20"/>
  <c r="D554" i="20"/>
  <c r="B554" i="20"/>
  <c r="L553" i="20"/>
  <c r="Q553" i="20" s="1"/>
  <c r="K553" i="20"/>
  <c r="C553" i="20" s="1"/>
  <c r="I553" i="20"/>
  <c r="H553" i="20"/>
  <c r="G553" i="20"/>
  <c r="F553" i="20"/>
  <c r="D553" i="20"/>
  <c r="B553" i="20"/>
  <c r="L552" i="20"/>
  <c r="K552" i="20"/>
  <c r="C552" i="20" s="1"/>
  <c r="I552" i="20"/>
  <c r="H552" i="20"/>
  <c r="G552" i="20"/>
  <c r="F552" i="20"/>
  <c r="D552" i="20"/>
  <c r="B552" i="20"/>
  <c r="L551" i="20"/>
  <c r="Q551" i="20" s="1"/>
  <c r="K551" i="20"/>
  <c r="C551" i="20" s="1"/>
  <c r="I551" i="20"/>
  <c r="H551" i="20"/>
  <c r="G551" i="20"/>
  <c r="F551" i="20"/>
  <c r="D551" i="20"/>
  <c r="B551" i="20"/>
  <c r="L550" i="20"/>
  <c r="Q550" i="20" s="1"/>
  <c r="K550" i="20"/>
  <c r="C550" i="20" s="1"/>
  <c r="I550" i="20"/>
  <c r="H550" i="20"/>
  <c r="G550" i="20"/>
  <c r="F550" i="20"/>
  <c r="D550" i="20"/>
  <c r="B550" i="20"/>
  <c r="L549" i="20"/>
  <c r="Q549" i="20" s="1"/>
  <c r="K549" i="20"/>
  <c r="C549" i="20" s="1"/>
  <c r="I549" i="20"/>
  <c r="H549" i="20"/>
  <c r="G549" i="20"/>
  <c r="F549" i="20"/>
  <c r="D549" i="20"/>
  <c r="B549" i="20"/>
  <c r="L548" i="20"/>
  <c r="Q548" i="20" s="1"/>
  <c r="K548" i="20"/>
  <c r="C548" i="20" s="1"/>
  <c r="I548" i="20"/>
  <c r="H548" i="20"/>
  <c r="G548" i="20"/>
  <c r="F548" i="20"/>
  <c r="D548" i="20"/>
  <c r="B548" i="20"/>
  <c r="L547" i="20"/>
  <c r="Q547" i="20" s="1"/>
  <c r="K547" i="20"/>
  <c r="C547" i="20" s="1"/>
  <c r="I547" i="20"/>
  <c r="H547" i="20"/>
  <c r="G547" i="20"/>
  <c r="F547" i="20"/>
  <c r="D547" i="20"/>
  <c r="B547" i="20"/>
  <c r="L546" i="20"/>
  <c r="Q546" i="20" s="1"/>
  <c r="K546" i="20"/>
  <c r="C546" i="20" s="1"/>
  <c r="I546" i="20"/>
  <c r="H546" i="20"/>
  <c r="G546" i="20"/>
  <c r="F546" i="20"/>
  <c r="D546" i="20"/>
  <c r="B546" i="20"/>
  <c r="L545" i="20"/>
  <c r="Q545" i="20" s="1"/>
  <c r="K545" i="20"/>
  <c r="C545" i="20" s="1"/>
  <c r="I545" i="20"/>
  <c r="H545" i="20"/>
  <c r="G545" i="20"/>
  <c r="F545" i="20"/>
  <c r="D545" i="20"/>
  <c r="B545" i="20"/>
  <c r="L544" i="20"/>
  <c r="Q544" i="20" s="1"/>
  <c r="K544" i="20"/>
  <c r="C544" i="20" s="1"/>
  <c r="I544" i="20"/>
  <c r="H544" i="20"/>
  <c r="G544" i="20"/>
  <c r="F544" i="20"/>
  <c r="D544" i="20"/>
  <c r="B544" i="20"/>
  <c r="L543" i="20"/>
  <c r="Q543" i="20" s="1"/>
  <c r="K543" i="20"/>
  <c r="C543" i="20" s="1"/>
  <c r="I543" i="20"/>
  <c r="H543" i="20"/>
  <c r="G543" i="20"/>
  <c r="F543" i="20"/>
  <c r="D543" i="20"/>
  <c r="B543" i="20"/>
  <c r="L542" i="20"/>
  <c r="Q542" i="20" s="1"/>
  <c r="K542" i="20"/>
  <c r="C542" i="20" s="1"/>
  <c r="I542" i="20"/>
  <c r="H542" i="20"/>
  <c r="G542" i="20"/>
  <c r="F542" i="20"/>
  <c r="D542" i="20"/>
  <c r="B542" i="20"/>
  <c r="L541" i="20"/>
  <c r="Q541" i="20" s="1"/>
  <c r="K541" i="20"/>
  <c r="C541" i="20" s="1"/>
  <c r="I541" i="20"/>
  <c r="H541" i="20"/>
  <c r="G541" i="20"/>
  <c r="F541" i="20"/>
  <c r="D541" i="20"/>
  <c r="B541" i="20"/>
  <c r="L540" i="20"/>
  <c r="Q540" i="20" s="1"/>
  <c r="K540" i="20"/>
  <c r="C540" i="20" s="1"/>
  <c r="I540" i="20"/>
  <c r="H540" i="20"/>
  <c r="G540" i="20"/>
  <c r="F540" i="20"/>
  <c r="D540" i="20"/>
  <c r="B540" i="20"/>
  <c r="L539" i="20"/>
  <c r="Q539" i="20" s="1"/>
  <c r="K539" i="20"/>
  <c r="C539" i="20" s="1"/>
  <c r="I539" i="20"/>
  <c r="H539" i="20"/>
  <c r="G539" i="20"/>
  <c r="F539" i="20"/>
  <c r="D539" i="20"/>
  <c r="B539" i="20"/>
  <c r="L538" i="20"/>
  <c r="Q538" i="20" s="1"/>
  <c r="K538" i="20"/>
  <c r="C538" i="20" s="1"/>
  <c r="I538" i="20"/>
  <c r="H538" i="20"/>
  <c r="G538" i="20"/>
  <c r="F538" i="20"/>
  <c r="D538" i="20"/>
  <c r="B538" i="20"/>
  <c r="L537" i="20"/>
  <c r="Q537" i="20" s="1"/>
  <c r="K537" i="20"/>
  <c r="C537" i="20" s="1"/>
  <c r="I537" i="20"/>
  <c r="H537" i="20"/>
  <c r="G537" i="20"/>
  <c r="F537" i="20"/>
  <c r="D537" i="20"/>
  <c r="B537" i="20"/>
  <c r="L536" i="20"/>
  <c r="Q536" i="20" s="1"/>
  <c r="K536" i="20"/>
  <c r="C536" i="20" s="1"/>
  <c r="I536" i="20"/>
  <c r="H536" i="20"/>
  <c r="G536" i="20"/>
  <c r="F536" i="20"/>
  <c r="D536" i="20"/>
  <c r="B536" i="20"/>
  <c r="L535" i="20"/>
  <c r="Q535" i="20" s="1"/>
  <c r="K535" i="20"/>
  <c r="C535" i="20" s="1"/>
  <c r="I535" i="20"/>
  <c r="H535" i="20"/>
  <c r="G535" i="20"/>
  <c r="F535" i="20"/>
  <c r="D535" i="20"/>
  <c r="B535" i="20"/>
  <c r="L534" i="20"/>
  <c r="Q534" i="20" s="1"/>
  <c r="K534" i="20"/>
  <c r="C534" i="20" s="1"/>
  <c r="I534" i="20"/>
  <c r="H534" i="20"/>
  <c r="G534" i="20"/>
  <c r="F534" i="20"/>
  <c r="D534" i="20"/>
  <c r="B534" i="20"/>
  <c r="L533" i="20"/>
  <c r="Q533" i="20" s="1"/>
  <c r="K533" i="20"/>
  <c r="C533" i="20" s="1"/>
  <c r="I533" i="20"/>
  <c r="H533" i="20"/>
  <c r="G533" i="20"/>
  <c r="F533" i="20"/>
  <c r="D533" i="20"/>
  <c r="B533" i="20"/>
  <c r="L532" i="20"/>
  <c r="Q532" i="20" s="1"/>
  <c r="K532" i="20"/>
  <c r="C532" i="20" s="1"/>
  <c r="I532" i="20"/>
  <c r="H532" i="20"/>
  <c r="G532" i="20"/>
  <c r="F532" i="20"/>
  <c r="D532" i="20"/>
  <c r="B532" i="20"/>
  <c r="L531" i="20"/>
  <c r="Q531" i="20" s="1"/>
  <c r="K531" i="20"/>
  <c r="C531" i="20" s="1"/>
  <c r="I531" i="20"/>
  <c r="H531" i="20"/>
  <c r="G531" i="20"/>
  <c r="F531" i="20"/>
  <c r="D531" i="20"/>
  <c r="B531" i="20"/>
  <c r="L530" i="20"/>
  <c r="Q530" i="20" s="1"/>
  <c r="K530" i="20"/>
  <c r="C530" i="20" s="1"/>
  <c r="I530" i="20"/>
  <c r="H530" i="20"/>
  <c r="G530" i="20"/>
  <c r="F530" i="20"/>
  <c r="D530" i="20"/>
  <c r="B530" i="20"/>
  <c r="L529" i="20"/>
  <c r="Q529" i="20" s="1"/>
  <c r="K529" i="20"/>
  <c r="C529" i="20" s="1"/>
  <c r="I529" i="20"/>
  <c r="H529" i="20"/>
  <c r="G529" i="20"/>
  <c r="F529" i="20"/>
  <c r="D529" i="20"/>
  <c r="B529" i="20"/>
  <c r="L528" i="20"/>
  <c r="Q528" i="20" s="1"/>
  <c r="K528" i="20"/>
  <c r="C528" i="20" s="1"/>
  <c r="I528" i="20"/>
  <c r="H528" i="20"/>
  <c r="G528" i="20"/>
  <c r="F528" i="20"/>
  <c r="D528" i="20"/>
  <c r="B528" i="20"/>
  <c r="L527" i="20"/>
  <c r="Q527" i="20" s="1"/>
  <c r="K527" i="20"/>
  <c r="C527" i="20" s="1"/>
  <c r="I527" i="20"/>
  <c r="H527" i="20"/>
  <c r="G527" i="20"/>
  <c r="F527" i="20"/>
  <c r="D527" i="20"/>
  <c r="B527" i="20"/>
  <c r="L526" i="20"/>
  <c r="Q526" i="20" s="1"/>
  <c r="K526" i="20"/>
  <c r="C526" i="20" s="1"/>
  <c r="I526" i="20"/>
  <c r="H526" i="20"/>
  <c r="G526" i="20"/>
  <c r="F526" i="20"/>
  <c r="D526" i="20"/>
  <c r="B526" i="20"/>
  <c r="L525" i="20"/>
  <c r="Q525" i="20" s="1"/>
  <c r="K525" i="20"/>
  <c r="C525" i="20" s="1"/>
  <c r="I525" i="20"/>
  <c r="H525" i="20"/>
  <c r="G525" i="20"/>
  <c r="F525" i="20"/>
  <c r="D525" i="20"/>
  <c r="B525" i="20"/>
  <c r="L524" i="20"/>
  <c r="Q524" i="20" s="1"/>
  <c r="K524" i="20"/>
  <c r="C524" i="20" s="1"/>
  <c r="I524" i="20"/>
  <c r="H524" i="20"/>
  <c r="G524" i="20"/>
  <c r="F524" i="20"/>
  <c r="D524" i="20"/>
  <c r="B524" i="20"/>
  <c r="L523" i="20"/>
  <c r="Q523" i="20" s="1"/>
  <c r="K523" i="20"/>
  <c r="C523" i="20" s="1"/>
  <c r="I523" i="20"/>
  <c r="H523" i="20"/>
  <c r="G523" i="20"/>
  <c r="F523" i="20"/>
  <c r="D523" i="20"/>
  <c r="B523" i="20"/>
  <c r="L522" i="20"/>
  <c r="Q522" i="20" s="1"/>
  <c r="K522" i="20"/>
  <c r="I522" i="20"/>
  <c r="H522" i="20"/>
  <c r="G522" i="20"/>
  <c r="F522" i="20"/>
  <c r="D522" i="20"/>
  <c r="C522" i="20"/>
  <c r="B522" i="20"/>
  <c r="L521" i="20"/>
  <c r="Q521" i="20" s="1"/>
  <c r="K521" i="20"/>
  <c r="C521" i="20" s="1"/>
  <c r="I521" i="20"/>
  <c r="H521" i="20"/>
  <c r="G521" i="20"/>
  <c r="F521" i="20"/>
  <c r="D521" i="20"/>
  <c r="B521" i="20"/>
  <c r="L520" i="20"/>
  <c r="Q520" i="20" s="1"/>
  <c r="K520" i="20"/>
  <c r="C520" i="20" s="1"/>
  <c r="I520" i="20"/>
  <c r="H520" i="20"/>
  <c r="G520" i="20"/>
  <c r="F520" i="20"/>
  <c r="D520" i="20"/>
  <c r="B520" i="20"/>
  <c r="L519" i="20"/>
  <c r="Q519" i="20" s="1"/>
  <c r="K519" i="20"/>
  <c r="I519" i="20"/>
  <c r="H519" i="20"/>
  <c r="G519" i="20"/>
  <c r="F519" i="20"/>
  <c r="D519" i="20"/>
  <c r="C519" i="20"/>
  <c r="B519" i="20"/>
  <c r="L518" i="20"/>
  <c r="Q518" i="20" s="1"/>
  <c r="K518" i="20"/>
  <c r="C518" i="20" s="1"/>
  <c r="I518" i="20"/>
  <c r="H518" i="20"/>
  <c r="G518" i="20"/>
  <c r="F518" i="20"/>
  <c r="D518" i="20"/>
  <c r="B518" i="20"/>
  <c r="L517" i="20"/>
  <c r="Q517" i="20" s="1"/>
  <c r="K517" i="20"/>
  <c r="C517" i="20" s="1"/>
  <c r="I517" i="20"/>
  <c r="H517" i="20"/>
  <c r="G517" i="20"/>
  <c r="F517" i="20"/>
  <c r="P517" i="20" s="1"/>
  <c r="D517" i="20"/>
  <c r="B517" i="20"/>
  <c r="L516" i="20"/>
  <c r="Q516" i="20" s="1"/>
  <c r="K516" i="20"/>
  <c r="C516" i="20" s="1"/>
  <c r="I516" i="20"/>
  <c r="H516" i="20"/>
  <c r="G516" i="20"/>
  <c r="F516" i="20"/>
  <c r="P516" i="20" s="1"/>
  <c r="D516" i="20"/>
  <c r="B516" i="20"/>
  <c r="L515" i="20"/>
  <c r="Q515" i="20" s="1"/>
  <c r="K515" i="20"/>
  <c r="C515" i="20" s="1"/>
  <c r="I515" i="20"/>
  <c r="H515" i="20"/>
  <c r="G515" i="20"/>
  <c r="F515" i="20"/>
  <c r="D515" i="20"/>
  <c r="B515" i="20"/>
  <c r="L514" i="20"/>
  <c r="Q514" i="20" s="1"/>
  <c r="K514" i="20"/>
  <c r="C514" i="20" s="1"/>
  <c r="I514" i="20"/>
  <c r="H514" i="20"/>
  <c r="G514" i="20"/>
  <c r="F514" i="20"/>
  <c r="P514" i="20" s="1"/>
  <c r="P514" i="11" s="1"/>
  <c r="D514" i="20"/>
  <c r="B514" i="20"/>
  <c r="L380" i="20"/>
  <c r="K380" i="20"/>
  <c r="L379" i="20"/>
  <c r="K379" i="20"/>
  <c r="L378" i="20"/>
  <c r="K378" i="20"/>
  <c r="L377" i="20"/>
  <c r="K377" i="20"/>
  <c r="L376" i="20"/>
  <c r="K376" i="20"/>
  <c r="L375" i="20"/>
  <c r="K375" i="20"/>
  <c r="L374" i="20"/>
  <c r="K374" i="20"/>
  <c r="L373" i="20"/>
  <c r="K373" i="20"/>
  <c r="L372" i="20"/>
  <c r="K372" i="20"/>
  <c r="L371" i="20"/>
  <c r="K371" i="20"/>
  <c r="L370" i="20"/>
  <c r="K370" i="20"/>
  <c r="L369" i="20"/>
  <c r="K369" i="20"/>
  <c r="L368" i="20"/>
  <c r="K368" i="20"/>
  <c r="L367" i="20"/>
  <c r="K367" i="20"/>
  <c r="L366" i="20"/>
  <c r="K366" i="20"/>
  <c r="L365" i="20"/>
  <c r="K365" i="20"/>
  <c r="L364" i="20"/>
  <c r="K364" i="20"/>
  <c r="L363" i="20"/>
  <c r="K363" i="20"/>
  <c r="L362" i="20"/>
  <c r="K362" i="20"/>
  <c r="L361" i="20"/>
  <c r="K361" i="20"/>
  <c r="L360" i="20"/>
  <c r="K360" i="20"/>
  <c r="L359" i="20"/>
  <c r="K359" i="20"/>
  <c r="L358" i="20"/>
  <c r="K358" i="20"/>
  <c r="L357" i="20"/>
  <c r="K357" i="20"/>
  <c r="L356" i="20"/>
  <c r="K356" i="20"/>
  <c r="L355" i="20"/>
  <c r="K355" i="20"/>
  <c r="L354" i="20"/>
  <c r="K354" i="20"/>
  <c r="L353" i="20"/>
  <c r="K353" i="20"/>
  <c r="L352" i="20"/>
  <c r="K352" i="20"/>
  <c r="L351" i="20"/>
  <c r="K351" i="20"/>
  <c r="L350" i="20"/>
  <c r="K350" i="20"/>
  <c r="L349" i="20"/>
  <c r="K349" i="20"/>
  <c r="L348" i="20"/>
  <c r="K348" i="20"/>
  <c r="L347" i="20"/>
  <c r="K347" i="20"/>
  <c r="L346" i="20"/>
  <c r="K346" i="20"/>
  <c r="L345" i="20"/>
  <c r="K345" i="20"/>
  <c r="L344" i="20"/>
  <c r="K344" i="20"/>
  <c r="L343" i="20"/>
  <c r="K343" i="20"/>
  <c r="L342" i="20"/>
  <c r="K342" i="20"/>
  <c r="L341" i="20"/>
  <c r="K341" i="20"/>
  <c r="L340" i="20"/>
  <c r="K340" i="20"/>
  <c r="L339" i="20"/>
  <c r="K339" i="20"/>
  <c r="L338" i="20"/>
  <c r="K338" i="20"/>
  <c r="L337" i="20"/>
  <c r="K337" i="20"/>
  <c r="L336" i="20"/>
  <c r="K336" i="20"/>
  <c r="L335" i="20"/>
  <c r="K335" i="20"/>
  <c r="L334" i="20"/>
  <c r="K334" i="20"/>
  <c r="L333" i="20"/>
  <c r="K333" i="20"/>
  <c r="L332" i="20"/>
  <c r="K332" i="20"/>
  <c r="L331" i="20"/>
  <c r="K331" i="20"/>
  <c r="L330" i="20"/>
  <c r="K330" i="20"/>
  <c r="L329" i="20"/>
  <c r="K329" i="20"/>
  <c r="L328" i="20"/>
  <c r="K328" i="20"/>
  <c r="L327" i="20"/>
  <c r="K327" i="20"/>
  <c r="L326" i="20"/>
  <c r="K326" i="20"/>
  <c r="L325" i="20"/>
  <c r="K325" i="20"/>
  <c r="L324" i="20"/>
  <c r="K324" i="20"/>
  <c r="L323" i="20"/>
  <c r="K323" i="20"/>
  <c r="L322" i="20"/>
  <c r="K322" i="20"/>
  <c r="L321" i="20"/>
  <c r="K321" i="20"/>
  <c r="L320" i="20"/>
  <c r="K320" i="20"/>
  <c r="L319" i="20"/>
  <c r="K319" i="20"/>
  <c r="L318" i="20"/>
  <c r="K318" i="20"/>
  <c r="L317" i="20"/>
  <c r="K317" i="20"/>
  <c r="L316" i="20"/>
  <c r="K316" i="20"/>
  <c r="L315" i="20"/>
  <c r="K315" i="20"/>
  <c r="L314" i="20"/>
  <c r="K314" i="20"/>
  <c r="L313" i="20"/>
  <c r="K313" i="20"/>
  <c r="L312" i="20"/>
  <c r="K312" i="20"/>
  <c r="L311" i="20"/>
  <c r="K311" i="20"/>
  <c r="L310" i="20"/>
  <c r="K310" i="20"/>
  <c r="L309" i="20"/>
  <c r="K309" i="20"/>
  <c r="L308" i="20"/>
  <c r="K308" i="20"/>
  <c r="L307" i="20"/>
  <c r="K307" i="20"/>
  <c r="L306" i="20"/>
  <c r="K306" i="20"/>
  <c r="L305" i="20"/>
  <c r="K305" i="20"/>
  <c r="L304" i="20"/>
  <c r="K304" i="20"/>
  <c r="L303" i="20"/>
  <c r="K303" i="20"/>
  <c r="L302" i="20"/>
  <c r="K302" i="20"/>
  <c r="L301" i="20"/>
  <c r="K301" i="20"/>
  <c r="L300" i="20"/>
  <c r="K300" i="20"/>
  <c r="L299" i="20"/>
  <c r="K299" i="20"/>
  <c r="L298" i="20"/>
  <c r="K298" i="20"/>
  <c r="L297" i="20"/>
  <c r="K297" i="20"/>
  <c r="L296" i="20"/>
  <c r="K296" i="20"/>
  <c r="L295" i="20"/>
  <c r="K295" i="20"/>
  <c r="L294" i="20"/>
  <c r="K294" i="20"/>
  <c r="L293" i="20"/>
  <c r="K293" i="20"/>
  <c r="L292" i="20"/>
  <c r="K292" i="20"/>
  <c r="L291" i="20"/>
  <c r="K291" i="20"/>
  <c r="L290" i="20"/>
  <c r="K290" i="20"/>
  <c r="L289" i="20"/>
  <c r="K289" i="20"/>
  <c r="L288" i="20"/>
  <c r="K288" i="20"/>
  <c r="L287" i="20"/>
  <c r="K287" i="20"/>
  <c r="L286" i="20"/>
  <c r="K286" i="20"/>
  <c r="L285" i="20"/>
  <c r="K285" i="20"/>
  <c r="L284" i="20"/>
  <c r="K284" i="20"/>
  <c r="L283" i="20"/>
  <c r="K283" i="20"/>
  <c r="L282" i="20"/>
  <c r="K282" i="20"/>
  <c r="L281" i="20"/>
  <c r="K281" i="20"/>
  <c r="L280" i="20"/>
  <c r="K280" i="20"/>
  <c r="L279" i="20"/>
  <c r="K279" i="20"/>
  <c r="L278" i="20"/>
  <c r="K278" i="20"/>
  <c r="L277" i="20"/>
  <c r="K277" i="20"/>
  <c r="L276" i="20"/>
  <c r="K276" i="20"/>
  <c r="L275" i="20"/>
  <c r="K275" i="20"/>
  <c r="L274" i="20"/>
  <c r="K274" i="20"/>
  <c r="L273" i="20"/>
  <c r="K273" i="20"/>
  <c r="L272" i="20"/>
  <c r="K272" i="20"/>
  <c r="H380" i="20"/>
  <c r="G380" i="20"/>
  <c r="F380" i="20"/>
  <c r="D380" i="20"/>
  <c r="C380" i="20" s="1"/>
  <c r="B380" i="20"/>
  <c r="H379" i="20"/>
  <c r="G379" i="20"/>
  <c r="F379" i="20"/>
  <c r="D379" i="20"/>
  <c r="C379" i="20" s="1"/>
  <c r="B379" i="20"/>
  <c r="H378" i="20"/>
  <c r="G378" i="20"/>
  <c r="F378" i="20"/>
  <c r="D378" i="20"/>
  <c r="C378" i="20" s="1"/>
  <c r="B378" i="20"/>
  <c r="H377" i="20"/>
  <c r="G377" i="20"/>
  <c r="F377" i="20"/>
  <c r="D377" i="20"/>
  <c r="C377" i="20" s="1"/>
  <c r="B377" i="20"/>
  <c r="H376" i="20"/>
  <c r="G376" i="20"/>
  <c r="F376" i="20"/>
  <c r="D376" i="20"/>
  <c r="C376" i="20" s="1"/>
  <c r="B376" i="20"/>
  <c r="H375" i="20"/>
  <c r="G375" i="20"/>
  <c r="F375" i="20"/>
  <c r="D375" i="20"/>
  <c r="C375" i="20" s="1"/>
  <c r="B375" i="20"/>
  <c r="H374" i="20"/>
  <c r="G374" i="20"/>
  <c r="F374" i="20"/>
  <c r="D374" i="20"/>
  <c r="C374" i="20" s="1"/>
  <c r="B374" i="20"/>
  <c r="H373" i="20"/>
  <c r="G373" i="20"/>
  <c r="F373" i="20"/>
  <c r="D373" i="20"/>
  <c r="C373" i="20" s="1"/>
  <c r="B373" i="20"/>
  <c r="H372" i="20"/>
  <c r="G372" i="20"/>
  <c r="F372" i="20"/>
  <c r="D372" i="20"/>
  <c r="C372" i="20" s="1"/>
  <c r="B372" i="20"/>
  <c r="H371" i="20"/>
  <c r="G371" i="20"/>
  <c r="F371" i="20"/>
  <c r="D371" i="20"/>
  <c r="C371" i="20" s="1"/>
  <c r="B371" i="20"/>
  <c r="H370" i="20"/>
  <c r="G370" i="20"/>
  <c r="F370" i="20"/>
  <c r="D370" i="20"/>
  <c r="C370" i="20" s="1"/>
  <c r="B370" i="20"/>
  <c r="H369" i="20"/>
  <c r="G369" i="20"/>
  <c r="F369" i="20"/>
  <c r="D369" i="20"/>
  <c r="C369" i="20" s="1"/>
  <c r="B369" i="20"/>
  <c r="H368" i="20"/>
  <c r="G368" i="20"/>
  <c r="F368" i="20"/>
  <c r="D368" i="20"/>
  <c r="C368" i="20" s="1"/>
  <c r="B368" i="20"/>
  <c r="H367" i="20"/>
  <c r="G367" i="20"/>
  <c r="F367" i="20"/>
  <c r="D367" i="20"/>
  <c r="C367" i="20" s="1"/>
  <c r="B367" i="20"/>
  <c r="H366" i="20"/>
  <c r="G366" i="20"/>
  <c r="F366" i="20"/>
  <c r="D366" i="20"/>
  <c r="C366" i="20" s="1"/>
  <c r="B366" i="20"/>
  <c r="H365" i="20"/>
  <c r="G365" i="20"/>
  <c r="F365" i="20"/>
  <c r="D365" i="20"/>
  <c r="C365" i="20" s="1"/>
  <c r="B365" i="20"/>
  <c r="H364" i="20"/>
  <c r="G364" i="20"/>
  <c r="F364" i="20"/>
  <c r="D364" i="20"/>
  <c r="C364" i="20" s="1"/>
  <c r="B364" i="20"/>
  <c r="H363" i="20"/>
  <c r="G363" i="20"/>
  <c r="F363" i="20"/>
  <c r="D363" i="20"/>
  <c r="C363" i="20" s="1"/>
  <c r="B363" i="20"/>
  <c r="H362" i="20"/>
  <c r="G362" i="20"/>
  <c r="F362" i="20"/>
  <c r="D362" i="20"/>
  <c r="C362" i="20" s="1"/>
  <c r="B362" i="20"/>
  <c r="H361" i="20"/>
  <c r="G361" i="20"/>
  <c r="F361" i="20"/>
  <c r="D361" i="20"/>
  <c r="C361" i="20" s="1"/>
  <c r="B361" i="20"/>
  <c r="H360" i="20"/>
  <c r="G360" i="20"/>
  <c r="F360" i="20"/>
  <c r="D360" i="20"/>
  <c r="C360" i="20" s="1"/>
  <c r="B360" i="20"/>
  <c r="H359" i="20"/>
  <c r="G359" i="20"/>
  <c r="F359" i="20"/>
  <c r="D359" i="20"/>
  <c r="C359" i="20" s="1"/>
  <c r="B359" i="20"/>
  <c r="H358" i="20"/>
  <c r="G358" i="20"/>
  <c r="F358" i="20"/>
  <c r="D358" i="20"/>
  <c r="C358" i="20" s="1"/>
  <c r="B358" i="20"/>
  <c r="H357" i="20"/>
  <c r="G357" i="20"/>
  <c r="F357" i="20"/>
  <c r="D357" i="20"/>
  <c r="C357" i="20" s="1"/>
  <c r="B357" i="20"/>
  <c r="H356" i="20"/>
  <c r="G356" i="20"/>
  <c r="F356" i="20"/>
  <c r="D356" i="20"/>
  <c r="C356" i="20" s="1"/>
  <c r="B356" i="20"/>
  <c r="H355" i="20"/>
  <c r="G355" i="20"/>
  <c r="F355" i="20"/>
  <c r="D355" i="20"/>
  <c r="C355" i="20" s="1"/>
  <c r="B355" i="20"/>
  <c r="H354" i="20"/>
  <c r="G354" i="20"/>
  <c r="F354" i="20"/>
  <c r="D354" i="20"/>
  <c r="C354" i="20" s="1"/>
  <c r="B354" i="20"/>
  <c r="H353" i="20"/>
  <c r="G353" i="20"/>
  <c r="F353" i="20"/>
  <c r="D353" i="20"/>
  <c r="C353" i="20" s="1"/>
  <c r="B353" i="20"/>
  <c r="H352" i="20"/>
  <c r="G352" i="20"/>
  <c r="F352" i="20"/>
  <c r="D352" i="20"/>
  <c r="C352" i="20" s="1"/>
  <c r="B352" i="20"/>
  <c r="H351" i="20"/>
  <c r="G351" i="20"/>
  <c r="F351" i="20"/>
  <c r="D351" i="20"/>
  <c r="C351" i="20" s="1"/>
  <c r="B351" i="20"/>
  <c r="H350" i="20"/>
  <c r="G350" i="20"/>
  <c r="F350" i="20"/>
  <c r="D350" i="20"/>
  <c r="C350" i="20" s="1"/>
  <c r="B350" i="20"/>
  <c r="H349" i="20"/>
  <c r="G349" i="20"/>
  <c r="F349" i="20"/>
  <c r="D349" i="20"/>
  <c r="C349" i="20" s="1"/>
  <c r="B349" i="20"/>
  <c r="H348" i="20"/>
  <c r="G348" i="20"/>
  <c r="F348" i="20"/>
  <c r="D348" i="20"/>
  <c r="C348" i="20" s="1"/>
  <c r="B348" i="20"/>
  <c r="H347" i="20"/>
  <c r="G347" i="20"/>
  <c r="F347" i="20"/>
  <c r="D347" i="20"/>
  <c r="C347" i="20" s="1"/>
  <c r="B347" i="20"/>
  <c r="H346" i="20"/>
  <c r="G346" i="20"/>
  <c r="F346" i="20"/>
  <c r="D346" i="20"/>
  <c r="C346" i="20" s="1"/>
  <c r="B346" i="20"/>
  <c r="H345" i="20"/>
  <c r="G345" i="20"/>
  <c r="F345" i="20"/>
  <c r="D345" i="20"/>
  <c r="C345" i="20" s="1"/>
  <c r="B345" i="20"/>
  <c r="H344" i="20"/>
  <c r="G344" i="20"/>
  <c r="F344" i="20"/>
  <c r="D344" i="20"/>
  <c r="C344" i="20" s="1"/>
  <c r="B344" i="20"/>
  <c r="H343" i="20"/>
  <c r="G343" i="20"/>
  <c r="F343" i="20"/>
  <c r="D343" i="20"/>
  <c r="C343" i="20" s="1"/>
  <c r="B343" i="20"/>
  <c r="H342" i="20"/>
  <c r="G342" i="20"/>
  <c r="F342" i="20"/>
  <c r="D342" i="20"/>
  <c r="C342" i="20" s="1"/>
  <c r="B342" i="20"/>
  <c r="H341" i="20"/>
  <c r="G341" i="20"/>
  <c r="F341" i="20"/>
  <c r="D341" i="20"/>
  <c r="C341" i="20" s="1"/>
  <c r="B341" i="20"/>
  <c r="H340" i="20"/>
  <c r="G340" i="20"/>
  <c r="F340" i="20"/>
  <c r="D340" i="20"/>
  <c r="C340" i="20" s="1"/>
  <c r="B340" i="20"/>
  <c r="H339" i="20"/>
  <c r="G339" i="20"/>
  <c r="F339" i="20"/>
  <c r="D339" i="20"/>
  <c r="C339" i="20" s="1"/>
  <c r="B339" i="20"/>
  <c r="H338" i="20"/>
  <c r="G338" i="20"/>
  <c r="F338" i="20"/>
  <c r="D338" i="20"/>
  <c r="C338" i="20" s="1"/>
  <c r="B338" i="20"/>
  <c r="H337" i="20"/>
  <c r="G337" i="20"/>
  <c r="F337" i="20"/>
  <c r="D337" i="20"/>
  <c r="C337" i="20" s="1"/>
  <c r="B337" i="20"/>
  <c r="H336" i="20"/>
  <c r="G336" i="20"/>
  <c r="F336" i="20"/>
  <c r="D336" i="20"/>
  <c r="C336" i="20" s="1"/>
  <c r="B336" i="20"/>
  <c r="H335" i="20"/>
  <c r="G335" i="20"/>
  <c r="F335" i="20"/>
  <c r="D335" i="20"/>
  <c r="C335" i="20" s="1"/>
  <c r="B335" i="20"/>
  <c r="H334" i="20"/>
  <c r="G334" i="20"/>
  <c r="F334" i="20"/>
  <c r="D334" i="20"/>
  <c r="C334" i="20" s="1"/>
  <c r="B334" i="20"/>
  <c r="H333" i="20"/>
  <c r="G333" i="20"/>
  <c r="F333" i="20"/>
  <c r="D333" i="20"/>
  <c r="C333" i="20" s="1"/>
  <c r="B333" i="20"/>
  <c r="H332" i="20"/>
  <c r="G332" i="20"/>
  <c r="F332" i="20"/>
  <c r="D332" i="20"/>
  <c r="C332" i="20" s="1"/>
  <c r="B332" i="20"/>
  <c r="H331" i="20"/>
  <c r="G331" i="20"/>
  <c r="F331" i="20"/>
  <c r="D331" i="20"/>
  <c r="C331" i="20" s="1"/>
  <c r="B331" i="20"/>
  <c r="H330" i="20"/>
  <c r="G330" i="20"/>
  <c r="F330" i="20"/>
  <c r="D330" i="20"/>
  <c r="C330" i="20" s="1"/>
  <c r="B330" i="20"/>
  <c r="H329" i="20"/>
  <c r="G329" i="20"/>
  <c r="F329" i="20"/>
  <c r="D329" i="20"/>
  <c r="C329" i="20" s="1"/>
  <c r="B329" i="20"/>
  <c r="H328" i="20"/>
  <c r="G328" i="20"/>
  <c r="F328" i="20"/>
  <c r="D328" i="20"/>
  <c r="C328" i="20" s="1"/>
  <c r="B328" i="20"/>
  <c r="H327" i="20"/>
  <c r="G327" i="20"/>
  <c r="F327" i="20"/>
  <c r="D327" i="20"/>
  <c r="C327" i="20" s="1"/>
  <c r="B327" i="20"/>
  <c r="H326" i="20"/>
  <c r="G326" i="20"/>
  <c r="F326" i="20"/>
  <c r="D326" i="20"/>
  <c r="C326" i="20" s="1"/>
  <c r="B326" i="20"/>
  <c r="H325" i="20"/>
  <c r="G325" i="20"/>
  <c r="F325" i="20"/>
  <c r="D325" i="20"/>
  <c r="C325" i="20" s="1"/>
  <c r="B325" i="20"/>
  <c r="H324" i="20"/>
  <c r="G324" i="20"/>
  <c r="F324" i="20"/>
  <c r="D324" i="20"/>
  <c r="C324" i="20" s="1"/>
  <c r="B324" i="20"/>
  <c r="H323" i="20"/>
  <c r="G323" i="20"/>
  <c r="F323" i="20"/>
  <c r="D323" i="20"/>
  <c r="C323" i="20" s="1"/>
  <c r="B323" i="20"/>
  <c r="H322" i="20"/>
  <c r="G322" i="20"/>
  <c r="F322" i="20"/>
  <c r="D322" i="20"/>
  <c r="C322" i="20" s="1"/>
  <c r="B322" i="20"/>
  <c r="H321" i="20"/>
  <c r="G321" i="20"/>
  <c r="F321" i="20"/>
  <c r="D321" i="20"/>
  <c r="C321" i="20" s="1"/>
  <c r="B321" i="20"/>
  <c r="H320" i="20"/>
  <c r="G320" i="20"/>
  <c r="F320" i="20"/>
  <c r="D320" i="20"/>
  <c r="C320" i="20" s="1"/>
  <c r="B320" i="20"/>
  <c r="H319" i="20"/>
  <c r="G319" i="20"/>
  <c r="F319" i="20"/>
  <c r="D319" i="20"/>
  <c r="C319" i="20" s="1"/>
  <c r="B319" i="20"/>
  <c r="H318" i="20"/>
  <c r="G318" i="20"/>
  <c r="F318" i="20"/>
  <c r="D318" i="20"/>
  <c r="C318" i="20" s="1"/>
  <c r="B318" i="20"/>
  <c r="H317" i="20"/>
  <c r="G317" i="20"/>
  <c r="F317" i="20"/>
  <c r="D317" i="20"/>
  <c r="C317" i="20" s="1"/>
  <c r="B317" i="20"/>
  <c r="H316" i="20"/>
  <c r="G316" i="20"/>
  <c r="F316" i="20"/>
  <c r="D316" i="20"/>
  <c r="C316" i="20" s="1"/>
  <c r="B316" i="20"/>
  <c r="H315" i="20"/>
  <c r="G315" i="20"/>
  <c r="F315" i="20"/>
  <c r="D315" i="20"/>
  <c r="C315" i="20" s="1"/>
  <c r="B315" i="20"/>
  <c r="H314" i="20"/>
  <c r="G314" i="20"/>
  <c r="F314" i="20"/>
  <c r="D314" i="20"/>
  <c r="C314" i="20" s="1"/>
  <c r="B314" i="20"/>
  <c r="H313" i="20"/>
  <c r="G313" i="20"/>
  <c r="F313" i="20"/>
  <c r="D313" i="20"/>
  <c r="C313" i="20" s="1"/>
  <c r="B313" i="20"/>
  <c r="H312" i="20"/>
  <c r="G312" i="20"/>
  <c r="F312" i="20"/>
  <c r="D312" i="20"/>
  <c r="C312" i="20" s="1"/>
  <c r="B312" i="20"/>
  <c r="H311" i="20"/>
  <c r="G311" i="20"/>
  <c r="F311" i="20"/>
  <c r="D311" i="20"/>
  <c r="C311" i="20" s="1"/>
  <c r="B311" i="20"/>
  <c r="H310" i="20"/>
  <c r="G310" i="20"/>
  <c r="F310" i="20"/>
  <c r="D310" i="20"/>
  <c r="C310" i="20" s="1"/>
  <c r="B310" i="20"/>
  <c r="H309" i="20"/>
  <c r="G309" i="20"/>
  <c r="F309" i="20"/>
  <c r="D309" i="20"/>
  <c r="C309" i="20" s="1"/>
  <c r="B309" i="20"/>
  <c r="H308" i="20"/>
  <c r="G308" i="20"/>
  <c r="F308" i="20"/>
  <c r="D308" i="20"/>
  <c r="C308" i="20" s="1"/>
  <c r="B308" i="20"/>
  <c r="H307" i="20"/>
  <c r="G307" i="20"/>
  <c r="F307" i="20"/>
  <c r="D307" i="20"/>
  <c r="C307" i="20" s="1"/>
  <c r="B307" i="20"/>
  <c r="H306" i="20"/>
  <c r="G306" i="20"/>
  <c r="F306" i="20"/>
  <c r="D306" i="20"/>
  <c r="C306" i="20" s="1"/>
  <c r="B306" i="20"/>
  <c r="H305" i="20"/>
  <c r="G305" i="20"/>
  <c r="F305" i="20"/>
  <c r="D305" i="20"/>
  <c r="C305" i="20" s="1"/>
  <c r="B305" i="20"/>
  <c r="H304" i="20"/>
  <c r="G304" i="20"/>
  <c r="F304" i="20"/>
  <c r="D304" i="20"/>
  <c r="C304" i="20" s="1"/>
  <c r="B304" i="20"/>
  <c r="H303" i="20"/>
  <c r="G303" i="20"/>
  <c r="F303" i="20"/>
  <c r="D303" i="20"/>
  <c r="C303" i="20" s="1"/>
  <c r="B303" i="20"/>
  <c r="H302" i="20"/>
  <c r="G302" i="20"/>
  <c r="F302" i="20"/>
  <c r="D302" i="20"/>
  <c r="C302" i="20" s="1"/>
  <c r="B302" i="20"/>
  <c r="H301" i="20"/>
  <c r="G301" i="20"/>
  <c r="F301" i="20"/>
  <c r="D301" i="20"/>
  <c r="C301" i="20" s="1"/>
  <c r="B301" i="20"/>
  <c r="H300" i="20"/>
  <c r="G300" i="20"/>
  <c r="F300" i="20"/>
  <c r="D300" i="20"/>
  <c r="C300" i="20" s="1"/>
  <c r="B300" i="20"/>
  <c r="H299" i="20"/>
  <c r="G299" i="20"/>
  <c r="F299" i="20"/>
  <c r="D299" i="20"/>
  <c r="C299" i="20" s="1"/>
  <c r="B299" i="20"/>
  <c r="H298" i="20"/>
  <c r="G298" i="20"/>
  <c r="F298" i="20"/>
  <c r="D298" i="20"/>
  <c r="C298" i="20" s="1"/>
  <c r="B298" i="20"/>
  <c r="H297" i="20"/>
  <c r="G297" i="20"/>
  <c r="F297" i="20"/>
  <c r="D297" i="20"/>
  <c r="C297" i="20" s="1"/>
  <c r="B297" i="20"/>
  <c r="H296" i="20"/>
  <c r="G296" i="20"/>
  <c r="F296" i="20"/>
  <c r="D296" i="20"/>
  <c r="C296" i="20" s="1"/>
  <c r="B296" i="20"/>
  <c r="H295" i="20"/>
  <c r="G295" i="20"/>
  <c r="F295" i="20"/>
  <c r="D295" i="20"/>
  <c r="C295" i="20" s="1"/>
  <c r="B295" i="20"/>
  <c r="H294" i="20"/>
  <c r="G294" i="20"/>
  <c r="F294" i="20"/>
  <c r="D294" i="20"/>
  <c r="C294" i="20" s="1"/>
  <c r="B294" i="20"/>
  <c r="H293" i="20"/>
  <c r="G293" i="20"/>
  <c r="F293" i="20"/>
  <c r="D293" i="20"/>
  <c r="C293" i="20" s="1"/>
  <c r="B293" i="20"/>
  <c r="H292" i="20"/>
  <c r="G292" i="20"/>
  <c r="F292" i="20"/>
  <c r="D292" i="20"/>
  <c r="C292" i="20" s="1"/>
  <c r="B292" i="20"/>
  <c r="H291" i="20"/>
  <c r="G291" i="20"/>
  <c r="F291" i="20"/>
  <c r="D291" i="20"/>
  <c r="C291" i="20" s="1"/>
  <c r="B291" i="20"/>
  <c r="H290" i="20"/>
  <c r="G290" i="20"/>
  <c r="F290" i="20"/>
  <c r="D290" i="20"/>
  <c r="C290" i="20" s="1"/>
  <c r="B290" i="20"/>
  <c r="H289" i="20"/>
  <c r="G289" i="20"/>
  <c r="F289" i="20"/>
  <c r="D289" i="20"/>
  <c r="C289" i="20" s="1"/>
  <c r="B289" i="20"/>
  <c r="H288" i="20"/>
  <c r="G288" i="20"/>
  <c r="F288" i="20"/>
  <c r="D288" i="20"/>
  <c r="C288" i="20" s="1"/>
  <c r="B288" i="20"/>
  <c r="H287" i="20"/>
  <c r="G287" i="20"/>
  <c r="F287" i="20"/>
  <c r="D287" i="20"/>
  <c r="C287" i="20" s="1"/>
  <c r="B287" i="20"/>
  <c r="H286" i="20"/>
  <c r="G286" i="20"/>
  <c r="F286" i="20"/>
  <c r="D286" i="20"/>
  <c r="C286" i="20" s="1"/>
  <c r="B286" i="20"/>
  <c r="H285" i="20"/>
  <c r="G285" i="20"/>
  <c r="F285" i="20"/>
  <c r="D285" i="20"/>
  <c r="C285" i="20" s="1"/>
  <c r="B285" i="20"/>
  <c r="H284" i="20"/>
  <c r="G284" i="20"/>
  <c r="F284" i="20"/>
  <c r="D284" i="20"/>
  <c r="C284" i="20" s="1"/>
  <c r="B284" i="20"/>
  <c r="H283" i="20"/>
  <c r="G283" i="20"/>
  <c r="F283" i="20"/>
  <c r="D283" i="20"/>
  <c r="C283" i="20" s="1"/>
  <c r="B283" i="20"/>
  <c r="H282" i="20"/>
  <c r="G282" i="20"/>
  <c r="F282" i="20"/>
  <c r="D282" i="20"/>
  <c r="C282" i="20" s="1"/>
  <c r="B282" i="20"/>
  <c r="H281" i="20"/>
  <c r="G281" i="20"/>
  <c r="F281" i="20"/>
  <c r="D281" i="20"/>
  <c r="C281" i="20" s="1"/>
  <c r="B281" i="20"/>
  <c r="H280" i="20"/>
  <c r="G280" i="20"/>
  <c r="F280" i="20"/>
  <c r="D280" i="20"/>
  <c r="C280" i="20" s="1"/>
  <c r="B280" i="20"/>
  <c r="H279" i="20"/>
  <c r="G279" i="20"/>
  <c r="F279" i="20"/>
  <c r="D279" i="20"/>
  <c r="C279" i="20" s="1"/>
  <c r="B279" i="20"/>
  <c r="H278" i="20"/>
  <c r="G278" i="20"/>
  <c r="F278" i="20"/>
  <c r="D278" i="20"/>
  <c r="C278" i="20" s="1"/>
  <c r="B278" i="20"/>
  <c r="H277" i="20"/>
  <c r="G277" i="20"/>
  <c r="F277" i="20"/>
  <c r="D277" i="20"/>
  <c r="C277" i="20" s="1"/>
  <c r="B277" i="20"/>
  <c r="H276" i="20"/>
  <c r="G276" i="20"/>
  <c r="F276" i="20"/>
  <c r="D276" i="20"/>
  <c r="C276" i="20" s="1"/>
  <c r="B276" i="20"/>
  <c r="H275" i="20"/>
  <c r="G275" i="20"/>
  <c r="F275" i="20"/>
  <c r="D275" i="20"/>
  <c r="C275" i="20" s="1"/>
  <c r="B275" i="20"/>
  <c r="H274" i="20"/>
  <c r="G274" i="20"/>
  <c r="F274" i="20"/>
  <c r="D274" i="20"/>
  <c r="C274" i="20" s="1"/>
  <c r="B274" i="20"/>
  <c r="H273" i="20"/>
  <c r="G273" i="20"/>
  <c r="F273" i="20"/>
  <c r="D273" i="20"/>
  <c r="C273" i="20" s="1"/>
  <c r="B273" i="20"/>
  <c r="H272" i="20"/>
  <c r="G272" i="20"/>
  <c r="F272" i="20"/>
  <c r="D272" i="20"/>
  <c r="C272" i="20" s="1"/>
  <c r="B272" i="20"/>
  <c r="L259" i="20"/>
  <c r="K259" i="20"/>
  <c r="L258" i="20"/>
  <c r="K258" i="20"/>
  <c r="L257" i="20"/>
  <c r="K257" i="20"/>
  <c r="L256" i="20"/>
  <c r="K256" i="20"/>
  <c r="L255" i="20"/>
  <c r="K255" i="20"/>
  <c r="L254" i="20"/>
  <c r="K254" i="20"/>
  <c r="L253" i="20"/>
  <c r="K253" i="20"/>
  <c r="L252" i="20"/>
  <c r="K252" i="20"/>
  <c r="L251" i="20"/>
  <c r="K251" i="20"/>
  <c r="L250" i="20"/>
  <c r="K250" i="20"/>
  <c r="L249" i="20"/>
  <c r="K249" i="20"/>
  <c r="L248" i="20"/>
  <c r="K248" i="20"/>
  <c r="L247" i="20"/>
  <c r="K247" i="20"/>
  <c r="L246" i="20"/>
  <c r="K246" i="20"/>
  <c r="L245" i="20"/>
  <c r="K245" i="20"/>
  <c r="L244" i="20"/>
  <c r="K244" i="20"/>
  <c r="L243" i="20"/>
  <c r="K243" i="20"/>
  <c r="L242" i="20"/>
  <c r="K242" i="20"/>
  <c r="L241" i="20"/>
  <c r="K241" i="20"/>
  <c r="L240" i="20"/>
  <c r="K240" i="20"/>
  <c r="L239" i="20"/>
  <c r="K239" i="20"/>
  <c r="L238" i="20"/>
  <c r="K238" i="20"/>
  <c r="L237" i="20"/>
  <c r="K237" i="20"/>
  <c r="L236" i="20"/>
  <c r="K236" i="20"/>
  <c r="L235" i="20"/>
  <c r="K235" i="20"/>
  <c r="L234" i="20"/>
  <c r="K234" i="20"/>
  <c r="L233" i="20"/>
  <c r="K233" i="20"/>
  <c r="L232" i="20"/>
  <c r="K232" i="20"/>
  <c r="L231" i="20"/>
  <c r="K231" i="20"/>
  <c r="L230" i="20"/>
  <c r="K230" i="20"/>
  <c r="L229" i="20"/>
  <c r="K229" i="20"/>
  <c r="L228" i="20"/>
  <c r="K228" i="20"/>
  <c r="L227" i="20"/>
  <c r="K227" i="20"/>
  <c r="L226" i="20"/>
  <c r="K226" i="20"/>
  <c r="L225" i="20"/>
  <c r="K225" i="20"/>
  <c r="L224" i="20"/>
  <c r="K224" i="20"/>
  <c r="L223" i="20"/>
  <c r="K223" i="20"/>
  <c r="L222" i="20"/>
  <c r="K222" i="20"/>
  <c r="L221" i="20"/>
  <c r="K221" i="20"/>
  <c r="L220" i="20"/>
  <c r="K220" i="20"/>
  <c r="L219" i="20"/>
  <c r="K219" i="20"/>
  <c r="L218" i="20"/>
  <c r="K218" i="20"/>
  <c r="L217" i="20"/>
  <c r="K217" i="20"/>
  <c r="L216" i="20"/>
  <c r="K216" i="20"/>
  <c r="L215" i="20"/>
  <c r="K215" i="20"/>
  <c r="L214" i="20"/>
  <c r="K214" i="20"/>
  <c r="L213" i="20"/>
  <c r="K213" i="20"/>
  <c r="L212" i="20"/>
  <c r="K212" i="20"/>
  <c r="L211" i="20"/>
  <c r="K211" i="20"/>
  <c r="L210" i="20"/>
  <c r="K210" i="20"/>
  <c r="L209" i="20"/>
  <c r="K209" i="20"/>
  <c r="L208" i="20"/>
  <c r="K208" i="20"/>
  <c r="L207" i="20"/>
  <c r="K207" i="20"/>
  <c r="L206" i="20"/>
  <c r="K206" i="20"/>
  <c r="L205" i="20"/>
  <c r="K205" i="20"/>
  <c r="L204" i="20"/>
  <c r="K204" i="20"/>
  <c r="L203" i="20"/>
  <c r="K203" i="20"/>
  <c r="L202" i="20"/>
  <c r="K202" i="20"/>
  <c r="L201" i="20"/>
  <c r="K201" i="20"/>
  <c r="L200" i="20"/>
  <c r="K200" i="20"/>
  <c r="L199" i="20"/>
  <c r="K199" i="20"/>
  <c r="L198" i="20"/>
  <c r="K198" i="20"/>
  <c r="L197" i="20"/>
  <c r="K197" i="20"/>
  <c r="L196" i="20"/>
  <c r="K196" i="20"/>
  <c r="L195" i="20"/>
  <c r="K195" i="20"/>
  <c r="L194" i="20"/>
  <c r="K194" i="20"/>
  <c r="L193" i="20"/>
  <c r="K193" i="20"/>
  <c r="L192" i="20"/>
  <c r="K192" i="20"/>
  <c r="L191" i="20"/>
  <c r="K191" i="20"/>
  <c r="L190" i="20"/>
  <c r="K190" i="20"/>
  <c r="L189" i="20"/>
  <c r="K189" i="20"/>
  <c r="L188" i="20"/>
  <c r="K188" i="20"/>
  <c r="L187" i="20"/>
  <c r="K187" i="20"/>
  <c r="L186" i="20"/>
  <c r="K186" i="20"/>
  <c r="L185" i="20"/>
  <c r="K185" i="20"/>
  <c r="L184" i="20"/>
  <c r="K184" i="20"/>
  <c r="L183" i="20"/>
  <c r="K183" i="20"/>
  <c r="L182" i="20"/>
  <c r="K182" i="20"/>
  <c r="L181" i="20"/>
  <c r="K181" i="20"/>
  <c r="L180" i="20"/>
  <c r="K180" i="20"/>
  <c r="L179" i="20"/>
  <c r="K179" i="20"/>
  <c r="L178" i="20"/>
  <c r="K178" i="20"/>
  <c r="L177" i="20"/>
  <c r="K177" i="20"/>
  <c r="L176" i="20"/>
  <c r="K176" i="20"/>
  <c r="L175" i="20"/>
  <c r="K175" i="20"/>
  <c r="L174" i="20"/>
  <c r="K174" i="20"/>
  <c r="L173" i="20"/>
  <c r="K173" i="20"/>
  <c r="L172" i="20"/>
  <c r="K172" i="20"/>
  <c r="L171" i="20"/>
  <c r="K171" i="20"/>
  <c r="L170" i="20"/>
  <c r="K170" i="20"/>
  <c r="L169" i="20"/>
  <c r="K169" i="20"/>
  <c r="L168" i="20"/>
  <c r="K168" i="20"/>
  <c r="L167" i="20"/>
  <c r="K167" i="20"/>
  <c r="L166" i="20"/>
  <c r="K166" i="20"/>
  <c r="L165" i="20"/>
  <c r="K165" i="20"/>
  <c r="L164" i="20"/>
  <c r="K164" i="20"/>
  <c r="L163" i="20"/>
  <c r="K163" i="20"/>
  <c r="L162" i="20"/>
  <c r="K162" i="20"/>
  <c r="L161" i="20"/>
  <c r="K161" i="20"/>
  <c r="L160" i="20"/>
  <c r="K160" i="20"/>
  <c r="L159" i="20"/>
  <c r="K159" i="20"/>
  <c r="L158" i="20"/>
  <c r="K158" i="20"/>
  <c r="L157" i="20"/>
  <c r="K157" i="20"/>
  <c r="L156" i="20"/>
  <c r="K156" i="20"/>
  <c r="L155" i="20"/>
  <c r="K155" i="20"/>
  <c r="L154" i="20"/>
  <c r="K154" i="20"/>
  <c r="L153" i="20"/>
  <c r="K153" i="20"/>
  <c r="L152" i="20"/>
  <c r="K152" i="20"/>
  <c r="L151" i="20"/>
  <c r="K151" i="20"/>
  <c r="H259" i="20"/>
  <c r="G259" i="20"/>
  <c r="F259" i="20"/>
  <c r="D259" i="20"/>
  <c r="C259" i="20" s="1"/>
  <c r="B259" i="20"/>
  <c r="H258" i="20"/>
  <c r="G258" i="20"/>
  <c r="F258" i="20"/>
  <c r="D258" i="20"/>
  <c r="Q258" i="20" s="1"/>
  <c r="B258" i="20"/>
  <c r="H257" i="20"/>
  <c r="G257" i="20"/>
  <c r="F257" i="20"/>
  <c r="D257" i="20"/>
  <c r="C257" i="20" s="1"/>
  <c r="B257" i="20"/>
  <c r="H256" i="20"/>
  <c r="G256" i="20"/>
  <c r="F256" i="20"/>
  <c r="D256" i="20"/>
  <c r="B256" i="20"/>
  <c r="H255" i="20"/>
  <c r="G255" i="20"/>
  <c r="F255" i="20"/>
  <c r="D255" i="20"/>
  <c r="C255" i="20" s="1"/>
  <c r="B255" i="20"/>
  <c r="H254" i="20"/>
  <c r="G254" i="20"/>
  <c r="F254" i="20"/>
  <c r="D254" i="20"/>
  <c r="B254" i="20"/>
  <c r="H253" i="20"/>
  <c r="G253" i="20"/>
  <c r="F253" i="20"/>
  <c r="D253" i="20"/>
  <c r="C253" i="20" s="1"/>
  <c r="B253" i="20"/>
  <c r="H252" i="20"/>
  <c r="G252" i="20"/>
  <c r="F252" i="20"/>
  <c r="D252" i="20"/>
  <c r="Q252" i="20" s="1"/>
  <c r="B252" i="20"/>
  <c r="H251" i="20"/>
  <c r="G251" i="20"/>
  <c r="F251" i="20"/>
  <c r="D251" i="20"/>
  <c r="C251" i="20" s="1"/>
  <c r="B251" i="20"/>
  <c r="H250" i="20"/>
  <c r="G250" i="20"/>
  <c r="F250" i="20"/>
  <c r="D250" i="20"/>
  <c r="B250" i="20"/>
  <c r="H249" i="20"/>
  <c r="G249" i="20"/>
  <c r="F249" i="20"/>
  <c r="D249" i="20"/>
  <c r="C249" i="20" s="1"/>
  <c r="B249" i="20"/>
  <c r="H248" i="20"/>
  <c r="G248" i="20"/>
  <c r="F248" i="20"/>
  <c r="D248" i="20"/>
  <c r="C248" i="20" s="1"/>
  <c r="B248" i="20"/>
  <c r="H247" i="20"/>
  <c r="G247" i="20"/>
  <c r="F247" i="20"/>
  <c r="D247" i="20"/>
  <c r="C247" i="20" s="1"/>
  <c r="B247" i="20"/>
  <c r="H246" i="20"/>
  <c r="G246" i="20"/>
  <c r="F246" i="20"/>
  <c r="D246" i="20"/>
  <c r="C246" i="20" s="1"/>
  <c r="B246" i="20"/>
  <c r="H245" i="20"/>
  <c r="G245" i="20"/>
  <c r="F245" i="20"/>
  <c r="D245" i="20"/>
  <c r="C245" i="20" s="1"/>
  <c r="B245" i="20"/>
  <c r="H244" i="20"/>
  <c r="G244" i="20"/>
  <c r="F244" i="20"/>
  <c r="D244" i="20"/>
  <c r="B244" i="20"/>
  <c r="H243" i="20"/>
  <c r="G243" i="20"/>
  <c r="F243" i="20"/>
  <c r="D243" i="20"/>
  <c r="C243" i="20" s="1"/>
  <c r="B243" i="20"/>
  <c r="H242" i="20"/>
  <c r="G242" i="20"/>
  <c r="F242" i="20"/>
  <c r="D242" i="20"/>
  <c r="Q242" i="20" s="1"/>
  <c r="B242" i="20"/>
  <c r="H241" i="20"/>
  <c r="G241" i="20"/>
  <c r="F241" i="20"/>
  <c r="D241" i="20"/>
  <c r="C241" i="20" s="1"/>
  <c r="B241" i="20"/>
  <c r="H240" i="20"/>
  <c r="G240" i="20"/>
  <c r="F240" i="20"/>
  <c r="D240" i="20"/>
  <c r="C240" i="20" s="1"/>
  <c r="B240" i="20"/>
  <c r="H239" i="20"/>
  <c r="G239" i="20"/>
  <c r="F239" i="20"/>
  <c r="D239" i="20"/>
  <c r="C239" i="20" s="1"/>
  <c r="B239" i="20"/>
  <c r="H238" i="20"/>
  <c r="G238" i="20"/>
  <c r="F238" i="20"/>
  <c r="D238" i="20"/>
  <c r="C238" i="20" s="1"/>
  <c r="B238" i="20"/>
  <c r="H237" i="20"/>
  <c r="G237" i="20"/>
  <c r="F237" i="20"/>
  <c r="D237" i="20"/>
  <c r="C237" i="20" s="1"/>
  <c r="B237" i="20"/>
  <c r="H236" i="20"/>
  <c r="G236" i="20"/>
  <c r="F236" i="20"/>
  <c r="D236" i="20"/>
  <c r="Q236" i="20" s="1"/>
  <c r="B236" i="20"/>
  <c r="H235" i="20"/>
  <c r="G235" i="20"/>
  <c r="F235" i="20"/>
  <c r="D235" i="20"/>
  <c r="C235" i="20" s="1"/>
  <c r="B235" i="20"/>
  <c r="H234" i="20"/>
  <c r="G234" i="20"/>
  <c r="F234" i="20"/>
  <c r="D234" i="20"/>
  <c r="Q234" i="20" s="1"/>
  <c r="B234" i="20"/>
  <c r="H233" i="20"/>
  <c r="G233" i="20"/>
  <c r="F233" i="20"/>
  <c r="D233" i="20"/>
  <c r="C233" i="20" s="1"/>
  <c r="B233" i="20"/>
  <c r="H232" i="20"/>
  <c r="G232" i="20"/>
  <c r="F232" i="20"/>
  <c r="D232" i="20"/>
  <c r="C232" i="20" s="1"/>
  <c r="B232" i="20"/>
  <c r="H231" i="20"/>
  <c r="G231" i="20"/>
  <c r="F231" i="20"/>
  <c r="D231" i="20"/>
  <c r="C231" i="20" s="1"/>
  <c r="B231" i="20"/>
  <c r="H230" i="20"/>
  <c r="G230" i="20"/>
  <c r="F230" i="20"/>
  <c r="D230" i="20"/>
  <c r="B230" i="20"/>
  <c r="H229" i="20"/>
  <c r="G229" i="20"/>
  <c r="F229" i="20"/>
  <c r="D229" i="20"/>
  <c r="C229" i="20" s="1"/>
  <c r="B229" i="20"/>
  <c r="H228" i="20"/>
  <c r="G228" i="20"/>
  <c r="F228" i="20"/>
  <c r="D228" i="20"/>
  <c r="B228" i="20"/>
  <c r="H227" i="20"/>
  <c r="G227" i="20"/>
  <c r="F227" i="20"/>
  <c r="D227" i="20"/>
  <c r="C227" i="20" s="1"/>
  <c r="B227" i="20"/>
  <c r="H226" i="20"/>
  <c r="G226" i="20"/>
  <c r="F226" i="20"/>
  <c r="D226" i="20"/>
  <c r="B226" i="20"/>
  <c r="H225" i="20"/>
  <c r="G225" i="20"/>
  <c r="F225" i="20"/>
  <c r="D225" i="20"/>
  <c r="C225" i="20" s="1"/>
  <c r="B225" i="20"/>
  <c r="H224" i="20"/>
  <c r="G224" i="20"/>
  <c r="F224" i="20"/>
  <c r="D224" i="20"/>
  <c r="B224" i="20"/>
  <c r="H223" i="20"/>
  <c r="G223" i="20"/>
  <c r="F223" i="20"/>
  <c r="D223" i="20"/>
  <c r="C223" i="20" s="1"/>
  <c r="B223" i="20"/>
  <c r="H222" i="20"/>
  <c r="G222" i="20"/>
  <c r="F222" i="20"/>
  <c r="D222" i="20"/>
  <c r="Q222" i="20" s="1"/>
  <c r="B222" i="20"/>
  <c r="H221" i="20"/>
  <c r="G221" i="20"/>
  <c r="F221" i="20"/>
  <c r="D221" i="20"/>
  <c r="C221" i="20" s="1"/>
  <c r="B221" i="20"/>
  <c r="H220" i="20"/>
  <c r="G220" i="20"/>
  <c r="F220" i="20"/>
  <c r="D220" i="20"/>
  <c r="Q220" i="20" s="1"/>
  <c r="B220" i="20"/>
  <c r="H219" i="20"/>
  <c r="G219" i="20"/>
  <c r="F219" i="20"/>
  <c r="D219" i="20"/>
  <c r="C219" i="20" s="1"/>
  <c r="B219" i="20"/>
  <c r="H218" i="20"/>
  <c r="G218" i="20"/>
  <c r="F218" i="20"/>
  <c r="D218" i="20"/>
  <c r="Q218" i="20" s="1"/>
  <c r="B218" i="20"/>
  <c r="H217" i="20"/>
  <c r="G217" i="20"/>
  <c r="F217" i="20"/>
  <c r="D217" i="20"/>
  <c r="C217" i="20" s="1"/>
  <c r="B217" i="20"/>
  <c r="H216" i="20"/>
  <c r="G216" i="20"/>
  <c r="F216" i="20"/>
  <c r="D216" i="20"/>
  <c r="B216" i="20"/>
  <c r="H215" i="20"/>
  <c r="G215" i="20"/>
  <c r="F215" i="20"/>
  <c r="D215" i="20"/>
  <c r="C215" i="20" s="1"/>
  <c r="B215" i="20"/>
  <c r="H214" i="20"/>
  <c r="G214" i="20"/>
  <c r="F214" i="20"/>
  <c r="D214" i="20"/>
  <c r="Q214" i="20" s="1"/>
  <c r="B214" i="20"/>
  <c r="H213" i="20"/>
  <c r="G213" i="20"/>
  <c r="F213" i="20"/>
  <c r="D213" i="20"/>
  <c r="C213" i="20" s="1"/>
  <c r="B213" i="20"/>
  <c r="H212" i="20"/>
  <c r="G212" i="20"/>
  <c r="F212" i="20"/>
  <c r="D212" i="20"/>
  <c r="B212" i="20"/>
  <c r="H211" i="20"/>
  <c r="G211" i="20"/>
  <c r="F211" i="20"/>
  <c r="D211" i="20"/>
  <c r="C211" i="20" s="1"/>
  <c r="B211" i="20"/>
  <c r="H210" i="20"/>
  <c r="G210" i="20"/>
  <c r="F210" i="20"/>
  <c r="D210" i="20"/>
  <c r="Q210" i="20" s="1"/>
  <c r="B210" i="20"/>
  <c r="H209" i="20"/>
  <c r="G209" i="20"/>
  <c r="F209" i="20"/>
  <c r="D209" i="20"/>
  <c r="C209" i="20" s="1"/>
  <c r="B209" i="20"/>
  <c r="H208" i="20"/>
  <c r="G208" i="20"/>
  <c r="F208" i="20"/>
  <c r="D208" i="20"/>
  <c r="B208" i="20"/>
  <c r="H207" i="20"/>
  <c r="G207" i="20"/>
  <c r="F207" i="20"/>
  <c r="D207" i="20"/>
  <c r="C207" i="20" s="1"/>
  <c r="B207" i="20"/>
  <c r="H206" i="20"/>
  <c r="G206" i="20"/>
  <c r="F206" i="20"/>
  <c r="D206" i="20"/>
  <c r="Q206" i="20" s="1"/>
  <c r="B206" i="20"/>
  <c r="H205" i="20"/>
  <c r="G205" i="20"/>
  <c r="F205" i="20"/>
  <c r="D205" i="20"/>
  <c r="C205" i="20" s="1"/>
  <c r="B205" i="20"/>
  <c r="H204" i="20"/>
  <c r="G204" i="20"/>
  <c r="F204" i="20"/>
  <c r="D204" i="20"/>
  <c r="B204" i="20"/>
  <c r="H203" i="20"/>
  <c r="G203" i="20"/>
  <c r="F203" i="20"/>
  <c r="D203" i="20"/>
  <c r="C203" i="20" s="1"/>
  <c r="B203" i="20"/>
  <c r="H202" i="20"/>
  <c r="G202" i="20"/>
  <c r="F202" i="20"/>
  <c r="D202" i="20"/>
  <c r="C202" i="20" s="1"/>
  <c r="B202" i="20"/>
  <c r="H201" i="20"/>
  <c r="G201" i="20"/>
  <c r="F201" i="20"/>
  <c r="D201" i="20"/>
  <c r="C201" i="20" s="1"/>
  <c r="B201" i="20"/>
  <c r="H200" i="20"/>
  <c r="G200" i="20"/>
  <c r="F200" i="20"/>
  <c r="D200" i="20"/>
  <c r="Q200" i="20" s="1"/>
  <c r="B200" i="20"/>
  <c r="H199" i="20"/>
  <c r="G199" i="20"/>
  <c r="F199" i="20"/>
  <c r="D199" i="20"/>
  <c r="C199" i="20" s="1"/>
  <c r="B199" i="20"/>
  <c r="H198" i="20"/>
  <c r="G198" i="20"/>
  <c r="F198" i="20"/>
  <c r="D198" i="20"/>
  <c r="C198" i="20" s="1"/>
  <c r="B198" i="20"/>
  <c r="H197" i="20"/>
  <c r="G197" i="20"/>
  <c r="F197" i="20"/>
  <c r="D197" i="20"/>
  <c r="C197" i="20" s="1"/>
  <c r="B197" i="20"/>
  <c r="H196" i="20"/>
  <c r="G196" i="20"/>
  <c r="F196" i="20"/>
  <c r="D196" i="20"/>
  <c r="C196" i="20" s="1"/>
  <c r="B196" i="20"/>
  <c r="H195" i="20"/>
  <c r="G195" i="20"/>
  <c r="F195" i="20"/>
  <c r="D195" i="20"/>
  <c r="C195" i="20" s="1"/>
  <c r="B195" i="20"/>
  <c r="H194" i="20"/>
  <c r="G194" i="20"/>
  <c r="F194" i="20"/>
  <c r="D194" i="20"/>
  <c r="C194" i="20" s="1"/>
  <c r="B194" i="20"/>
  <c r="H193" i="20"/>
  <c r="G193" i="20"/>
  <c r="F193" i="20"/>
  <c r="D193" i="20"/>
  <c r="C193" i="20" s="1"/>
  <c r="B193" i="20"/>
  <c r="H192" i="20"/>
  <c r="G192" i="20"/>
  <c r="F192" i="20"/>
  <c r="D192" i="20"/>
  <c r="C192" i="20" s="1"/>
  <c r="B192" i="20"/>
  <c r="H191" i="20"/>
  <c r="G191" i="20"/>
  <c r="F191" i="20"/>
  <c r="D191" i="20"/>
  <c r="C191" i="20" s="1"/>
  <c r="B191" i="20"/>
  <c r="H190" i="20"/>
  <c r="G190" i="20"/>
  <c r="F190" i="20"/>
  <c r="D190" i="20"/>
  <c r="C190" i="20" s="1"/>
  <c r="B190" i="20"/>
  <c r="H189" i="20"/>
  <c r="G189" i="20"/>
  <c r="F189" i="20"/>
  <c r="D189" i="20"/>
  <c r="C189" i="20" s="1"/>
  <c r="B189" i="20"/>
  <c r="H188" i="20"/>
  <c r="G188" i="20"/>
  <c r="F188" i="20"/>
  <c r="D188" i="20"/>
  <c r="C188" i="20" s="1"/>
  <c r="B188" i="20"/>
  <c r="H187" i="20"/>
  <c r="G187" i="20"/>
  <c r="F187" i="20"/>
  <c r="D187" i="20"/>
  <c r="C187" i="20" s="1"/>
  <c r="B187" i="20"/>
  <c r="H186" i="20"/>
  <c r="G186" i="20"/>
  <c r="F186" i="20"/>
  <c r="D186" i="20"/>
  <c r="C186" i="20" s="1"/>
  <c r="B186" i="20"/>
  <c r="H185" i="20"/>
  <c r="G185" i="20"/>
  <c r="F185" i="20"/>
  <c r="D185" i="20"/>
  <c r="C185" i="20" s="1"/>
  <c r="B185" i="20"/>
  <c r="H184" i="20"/>
  <c r="G184" i="20"/>
  <c r="F184" i="20"/>
  <c r="D184" i="20"/>
  <c r="C184" i="20" s="1"/>
  <c r="B184" i="20"/>
  <c r="H183" i="20"/>
  <c r="G183" i="20"/>
  <c r="F183" i="20"/>
  <c r="D183" i="20"/>
  <c r="C183" i="20" s="1"/>
  <c r="B183" i="20"/>
  <c r="H182" i="20"/>
  <c r="G182" i="20"/>
  <c r="F182" i="20"/>
  <c r="D182" i="20"/>
  <c r="C182" i="20" s="1"/>
  <c r="B182" i="20"/>
  <c r="H181" i="20"/>
  <c r="G181" i="20"/>
  <c r="F181" i="20"/>
  <c r="D181" i="20"/>
  <c r="C181" i="20" s="1"/>
  <c r="B181" i="20"/>
  <c r="H180" i="20"/>
  <c r="G180" i="20"/>
  <c r="F180" i="20"/>
  <c r="D180" i="20"/>
  <c r="C180" i="20" s="1"/>
  <c r="B180" i="20"/>
  <c r="H179" i="20"/>
  <c r="G179" i="20"/>
  <c r="F179" i="20"/>
  <c r="D179" i="20"/>
  <c r="C179" i="20" s="1"/>
  <c r="B179" i="20"/>
  <c r="H178" i="20"/>
  <c r="G178" i="20"/>
  <c r="F178" i="20"/>
  <c r="D178" i="20"/>
  <c r="C178" i="20" s="1"/>
  <c r="B178" i="20"/>
  <c r="H177" i="20"/>
  <c r="G177" i="20"/>
  <c r="F177" i="20"/>
  <c r="D177" i="20"/>
  <c r="C177" i="20" s="1"/>
  <c r="B177" i="20"/>
  <c r="H176" i="20"/>
  <c r="G176" i="20"/>
  <c r="F176" i="20"/>
  <c r="D176" i="20"/>
  <c r="C176" i="20" s="1"/>
  <c r="B176" i="20"/>
  <c r="H175" i="20"/>
  <c r="G175" i="20"/>
  <c r="F175" i="20"/>
  <c r="D175" i="20"/>
  <c r="C175" i="20" s="1"/>
  <c r="B175" i="20"/>
  <c r="H174" i="20"/>
  <c r="G174" i="20"/>
  <c r="F174" i="20"/>
  <c r="D174" i="20"/>
  <c r="C174" i="20" s="1"/>
  <c r="B174" i="20"/>
  <c r="H173" i="20"/>
  <c r="G173" i="20"/>
  <c r="F173" i="20"/>
  <c r="D173" i="20"/>
  <c r="C173" i="20" s="1"/>
  <c r="B173" i="20"/>
  <c r="H172" i="20"/>
  <c r="G172" i="20"/>
  <c r="F172" i="20"/>
  <c r="D172" i="20"/>
  <c r="C172" i="20" s="1"/>
  <c r="B172" i="20"/>
  <c r="H171" i="20"/>
  <c r="G171" i="20"/>
  <c r="F171" i="20"/>
  <c r="D171" i="20"/>
  <c r="C171" i="20" s="1"/>
  <c r="B171" i="20"/>
  <c r="H170" i="20"/>
  <c r="G170" i="20"/>
  <c r="F170" i="20"/>
  <c r="D170" i="20"/>
  <c r="C170" i="20" s="1"/>
  <c r="B170" i="20"/>
  <c r="H169" i="20"/>
  <c r="G169" i="20"/>
  <c r="F169" i="20"/>
  <c r="D169" i="20"/>
  <c r="C169" i="20" s="1"/>
  <c r="B169" i="20"/>
  <c r="H168" i="20"/>
  <c r="G168" i="20"/>
  <c r="F168" i="20"/>
  <c r="D168" i="20"/>
  <c r="C168" i="20" s="1"/>
  <c r="B168" i="20"/>
  <c r="H167" i="20"/>
  <c r="G167" i="20"/>
  <c r="F167" i="20"/>
  <c r="D167" i="20"/>
  <c r="C167" i="20" s="1"/>
  <c r="B167" i="20"/>
  <c r="H166" i="20"/>
  <c r="G166" i="20"/>
  <c r="F166" i="20"/>
  <c r="D166" i="20"/>
  <c r="C166" i="20" s="1"/>
  <c r="B166" i="20"/>
  <c r="H165" i="20"/>
  <c r="G165" i="20"/>
  <c r="F165" i="20"/>
  <c r="D165" i="20"/>
  <c r="C165" i="20" s="1"/>
  <c r="B165" i="20"/>
  <c r="H164" i="20"/>
  <c r="G164" i="20"/>
  <c r="F164" i="20"/>
  <c r="D164" i="20"/>
  <c r="C164" i="20" s="1"/>
  <c r="B164" i="20"/>
  <c r="H163" i="20"/>
  <c r="G163" i="20"/>
  <c r="F163" i="20"/>
  <c r="D163" i="20"/>
  <c r="C163" i="20" s="1"/>
  <c r="B163" i="20"/>
  <c r="H162" i="20"/>
  <c r="G162" i="20"/>
  <c r="F162" i="20"/>
  <c r="D162" i="20"/>
  <c r="C162" i="20" s="1"/>
  <c r="B162" i="20"/>
  <c r="H161" i="20"/>
  <c r="G161" i="20"/>
  <c r="F161" i="20"/>
  <c r="D161" i="20"/>
  <c r="C161" i="20" s="1"/>
  <c r="B161" i="20"/>
  <c r="H160" i="20"/>
  <c r="G160" i="20"/>
  <c r="F160" i="20"/>
  <c r="D160" i="20"/>
  <c r="C160" i="20" s="1"/>
  <c r="B160" i="20"/>
  <c r="H159" i="20"/>
  <c r="G159" i="20"/>
  <c r="F159" i="20"/>
  <c r="D159" i="20"/>
  <c r="C159" i="20" s="1"/>
  <c r="B159" i="20"/>
  <c r="H158" i="20"/>
  <c r="G158" i="20"/>
  <c r="F158" i="20"/>
  <c r="D158" i="20"/>
  <c r="C158" i="20" s="1"/>
  <c r="B158" i="20"/>
  <c r="H157" i="20"/>
  <c r="G157" i="20"/>
  <c r="F157" i="20"/>
  <c r="D157" i="20"/>
  <c r="C157" i="20" s="1"/>
  <c r="B157" i="20"/>
  <c r="H156" i="20"/>
  <c r="G156" i="20"/>
  <c r="F156" i="20"/>
  <c r="D156" i="20"/>
  <c r="C156" i="20" s="1"/>
  <c r="B156" i="20"/>
  <c r="H155" i="20"/>
  <c r="G155" i="20"/>
  <c r="F155" i="20"/>
  <c r="D155" i="20"/>
  <c r="C155" i="20" s="1"/>
  <c r="B155" i="20"/>
  <c r="H154" i="20"/>
  <c r="G154" i="20"/>
  <c r="F154" i="20"/>
  <c r="D154" i="20"/>
  <c r="C154" i="20" s="1"/>
  <c r="B154" i="20"/>
  <c r="H153" i="20"/>
  <c r="G153" i="20"/>
  <c r="F153" i="20"/>
  <c r="D153" i="20"/>
  <c r="C153" i="20" s="1"/>
  <c r="B153" i="20"/>
  <c r="H152" i="20"/>
  <c r="G152" i="20"/>
  <c r="F152" i="20"/>
  <c r="D152" i="20"/>
  <c r="C152" i="20" s="1"/>
  <c r="B152" i="20"/>
  <c r="H151" i="20"/>
  <c r="G151" i="20"/>
  <c r="F151" i="20"/>
  <c r="D151" i="20"/>
  <c r="C151" i="20" s="1"/>
  <c r="B151" i="20"/>
  <c r="L138" i="20"/>
  <c r="K138" i="20"/>
  <c r="L137" i="20"/>
  <c r="K137" i="20"/>
  <c r="L136" i="20"/>
  <c r="K136" i="20"/>
  <c r="L135" i="20"/>
  <c r="K135" i="20"/>
  <c r="L134" i="20"/>
  <c r="K134" i="20"/>
  <c r="L133" i="20"/>
  <c r="K133" i="20"/>
  <c r="L132" i="20"/>
  <c r="K132" i="20"/>
  <c r="L131" i="20"/>
  <c r="K131" i="20"/>
  <c r="L130" i="20"/>
  <c r="K130" i="20"/>
  <c r="L129" i="20"/>
  <c r="K129" i="20"/>
  <c r="L128" i="20"/>
  <c r="K128" i="20"/>
  <c r="L127" i="20"/>
  <c r="K127" i="20"/>
  <c r="L126" i="20"/>
  <c r="K126" i="20"/>
  <c r="L125" i="20"/>
  <c r="K125" i="20"/>
  <c r="L124" i="20"/>
  <c r="K124" i="20"/>
  <c r="L123" i="20"/>
  <c r="K123" i="20"/>
  <c r="L122" i="20"/>
  <c r="K122" i="20"/>
  <c r="L121" i="20"/>
  <c r="K121" i="20"/>
  <c r="L120" i="20"/>
  <c r="K120" i="20"/>
  <c r="L119" i="20"/>
  <c r="K119" i="20"/>
  <c r="L118" i="20"/>
  <c r="K118" i="20"/>
  <c r="L117" i="20"/>
  <c r="K117" i="20"/>
  <c r="L116" i="20"/>
  <c r="K116" i="20"/>
  <c r="L115" i="20"/>
  <c r="K115" i="20"/>
  <c r="L114" i="20"/>
  <c r="K114" i="20"/>
  <c r="L113" i="20"/>
  <c r="K113" i="20"/>
  <c r="L112" i="20"/>
  <c r="K112" i="20"/>
  <c r="L111" i="20"/>
  <c r="K111" i="20"/>
  <c r="L110" i="20"/>
  <c r="K110" i="20"/>
  <c r="L109" i="20"/>
  <c r="K109" i="20"/>
  <c r="L108" i="20"/>
  <c r="K108" i="20"/>
  <c r="L107" i="20"/>
  <c r="K107" i="20"/>
  <c r="L106" i="20"/>
  <c r="K106" i="20"/>
  <c r="L105" i="20"/>
  <c r="K105" i="20"/>
  <c r="L104" i="20"/>
  <c r="K104" i="20"/>
  <c r="L103" i="20"/>
  <c r="K103" i="20"/>
  <c r="L102" i="20"/>
  <c r="K102" i="20"/>
  <c r="L101" i="20"/>
  <c r="K101" i="20"/>
  <c r="L100" i="20"/>
  <c r="K100" i="20"/>
  <c r="L99" i="20"/>
  <c r="K99" i="20"/>
  <c r="L98" i="20"/>
  <c r="K98" i="20"/>
  <c r="L97" i="20"/>
  <c r="K97" i="20"/>
  <c r="L96" i="20"/>
  <c r="K96" i="20"/>
  <c r="L95" i="20"/>
  <c r="K95" i="20"/>
  <c r="L94" i="20"/>
  <c r="K94" i="20"/>
  <c r="L93" i="20"/>
  <c r="K93" i="20"/>
  <c r="L92" i="20"/>
  <c r="K92" i="20"/>
  <c r="L91" i="20"/>
  <c r="K91" i="20"/>
  <c r="L90" i="20"/>
  <c r="K90" i="20"/>
  <c r="L89" i="20"/>
  <c r="K89" i="20"/>
  <c r="L88" i="20"/>
  <c r="K88" i="20"/>
  <c r="L87" i="20"/>
  <c r="K87" i="20"/>
  <c r="L86" i="20"/>
  <c r="K86" i="20"/>
  <c r="L85" i="20"/>
  <c r="K85" i="20"/>
  <c r="L84" i="20"/>
  <c r="K84" i="20"/>
  <c r="L83" i="20"/>
  <c r="K83" i="20"/>
  <c r="L82" i="20"/>
  <c r="K82" i="20"/>
  <c r="L81" i="20"/>
  <c r="K81" i="20"/>
  <c r="L80" i="20"/>
  <c r="K80" i="20"/>
  <c r="L79" i="20"/>
  <c r="K79" i="20"/>
  <c r="L78" i="20"/>
  <c r="K78" i="20"/>
  <c r="L77" i="20"/>
  <c r="K77" i="20"/>
  <c r="L76" i="20"/>
  <c r="K76" i="20"/>
  <c r="L75" i="20"/>
  <c r="K75" i="20"/>
  <c r="L74" i="20"/>
  <c r="K74" i="20"/>
  <c r="L73" i="20"/>
  <c r="K73" i="20"/>
  <c r="L72" i="20"/>
  <c r="K72" i="20"/>
  <c r="L71" i="20"/>
  <c r="K71" i="20"/>
  <c r="L70" i="20"/>
  <c r="K70" i="20"/>
  <c r="L69" i="20"/>
  <c r="K69" i="20"/>
  <c r="L68" i="20"/>
  <c r="K68" i="20"/>
  <c r="L67" i="20"/>
  <c r="K67" i="20"/>
  <c r="L66" i="20"/>
  <c r="K66" i="20"/>
  <c r="L65" i="20"/>
  <c r="K65" i="20"/>
  <c r="L64" i="20"/>
  <c r="K64" i="20"/>
  <c r="L63" i="20"/>
  <c r="K63" i="20"/>
  <c r="L62" i="20"/>
  <c r="K62" i="20"/>
  <c r="L61" i="20"/>
  <c r="K61" i="20"/>
  <c r="L60" i="20"/>
  <c r="K60" i="20"/>
  <c r="L59" i="20"/>
  <c r="K59" i="20"/>
  <c r="L58" i="20"/>
  <c r="K58" i="20"/>
  <c r="L57" i="20"/>
  <c r="K57" i="20"/>
  <c r="L56" i="20"/>
  <c r="K56" i="20"/>
  <c r="L55" i="20"/>
  <c r="K55" i="20"/>
  <c r="L54" i="20"/>
  <c r="K54" i="20"/>
  <c r="L53" i="20"/>
  <c r="K53" i="20"/>
  <c r="L52" i="20"/>
  <c r="K52" i="20"/>
  <c r="L51" i="20"/>
  <c r="K51" i="20"/>
  <c r="L50" i="20"/>
  <c r="K50" i="20"/>
  <c r="L49" i="20"/>
  <c r="K49" i="20"/>
  <c r="L48" i="20"/>
  <c r="K48" i="20"/>
  <c r="L47" i="20"/>
  <c r="K47" i="20"/>
  <c r="L46" i="20"/>
  <c r="K46" i="20"/>
  <c r="L45" i="20"/>
  <c r="K45" i="20"/>
  <c r="L44" i="20"/>
  <c r="K44" i="20"/>
  <c r="L43" i="20"/>
  <c r="K43" i="20"/>
  <c r="L42" i="20"/>
  <c r="K42" i="20"/>
  <c r="L41" i="20"/>
  <c r="K41" i="20"/>
  <c r="L40" i="20"/>
  <c r="K40" i="20"/>
  <c r="L39" i="20"/>
  <c r="K39" i="20"/>
  <c r="L38" i="20"/>
  <c r="K38" i="20"/>
  <c r="L37" i="20"/>
  <c r="K37" i="20"/>
  <c r="L36" i="20"/>
  <c r="K36" i="20"/>
  <c r="L35" i="20"/>
  <c r="K35" i="20"/>
  <c r="L34" i="20"/>
  <c r="K34" i="20"/>
  <c r="L33" i="20"/>
  <c r="K33" i="20"/>
  <c r="L32" i="20"/>
  <c r="K32" i="20"/>
  <c r="L31" i="20"/>
  <c r="K31" i="20"/>
  <c r="L30" i="20"/>
  <c r="K30" i="20"/>
  <c r="H138" i="20"/>
  <c r="G138" i="20"/>
  <c r="F138" i="20"/>
  <c r="H137" i="20"/>
  <c r="G137" i="20"/>
  <c r="F137" i="20"/>
  <c r="H136" i="20"/>
  <c r="G136" i="20"/>
  <c r="F136" i="20"/>
  <c r="H135" i="20"/>
  <c r="G135" i="20"/>
  <c r="F135" i="20"/>
  <c r="H134" i="20"/>
  <c r="G134" i="20"/>
  <c r="F134" i="20"/>
  <c r="H133" i="20"/>
  <c r="G133" i="20"/>
  <c r="F133" i="20"/>
  <c r="H132" i="20"/>
  <c r="G132" i="20"/>
  <c r="F132" i="20"/>
  <c r="H131" i="20"/>
  <c r="G131" i="20"/>
  <c r="F131" i="20"/>
  <c r="H130" i="20"/>
  <c r="G130" i="20"/>
  <c r="F130" i="20"/>
  <c r="H129" i="20"/>
  <c r="G129" i="20"/>
  <c r="F129" i="20"/>
  <c r="H128" i="20"/>
  <c r="G128" i="20"/>
  <c r="F128" i="20"/>
  <c r="H127" i="20"/>
  <c r="G127" i="20"/>
  <c r="F127" i="20"/>
  <c r="H126" i="20"/>
  <c r="G126" i="20"/>
  <c r="F126" i="20"/>
  <c r="H125" i="20"/>
  <c r="G125" i="20"/>
  <c r="F125" i="20"/>
  <c r="H124" i="20"/>
  <c r="G124" i="20"/>
  <c r="F124" i="20"/>
  <c r="H123" i="20"/>
  <c r="G123" i="20"/>
  <c r="F123" i="20"/>
  <c r="H122" i="20"/>
  <c r="G122" i="20"/>
  <c r="F122" i="20"/>
  <c r="H121" i="20"/>
  <c r="G121" i="20"/>
  <c r="F121" i="20"/>
  <c r="H120" i="20"/>
  <c r="G120" i="20"/>
  <c r="F120" i="20"/>
  <c r="H119" i="20"/>
  <c r="G119" i="20"/>
  <c r="F119" i="20"/>
  <c r="H118" i="20"/>
  <c r="G118" i="20"/>
  <c r="F118" i="20"/>
  <c r="H117" i="20"/>
  <c r="G117" i="20"/>
  <c r="F117" i="20"/>
  <c r="H116" i="20"/>
  <c r="G116" i="20"/>
  <c r="F116" i="20"/>
  <c r="H115" i="20"/>
  <c r="G115" i="20"/>
  <c r="F115" i="20"/>
  <c r="H114" i="20"/>
  <c r="G114" i="20"/>
  <c r="F114" i="20"/>
  <c r="H113" i="20"/>
  <c r="G113" i="20"/>
  <c r="F113" i="20"/>
  <c r="H112" i="20"/>
  <c r="G112" i="20"/>
  <c r="F112" i="20"/>
  <c r="H111" i="20"/>
  <c r="G111" i="20"/>
  <c r="F111" i="20"/>
  <c r="H110" i="20"/>
  <c r="G110" i="20"/>
  <c r="F110" i="20"/>
  <c r="H109" i="20"/>
  <c r="G109" i="20"/>
  <c r="F109" i="20"/>
  <c r="H108" i="20"/>
  <c r="G108" i="20"/>
  <c r="F108" i="20"/>
  <c r="H107" i="20"/>
  <c r="G107" i="20"/>
  <c r="F107" i="20"/>
  <c r="H106" i="20"/>
  <c r="G106" i="20"/>
  <c r="F106" i="20"/>
  <c r="H105" i="20"/>
  <c r="G105" i="20"/>
  <c r="F105" i="20"/>
  <c r="H104" i="20"/>
  <c r="G104" i="20"/>
  <c r="F104" i="20"/>
  <c r="H103" i="20"/>
  <c r="G103" i="20"/>
  <c r="F103" i="20"/>
  <c r="H102" i="20"/>
  <c r="G102" i="20"/>
  <c r="F102" i="20"/>
  <c r="H101" i="20"/>
  <c r="G101" i="20"/>
  <c r="F101" i="20"/>
  <c r="H100" i="20"/>
  <c r="G100" i="20"/>
  <c r="F100" i="20"/>
  <c r="H99" i="20"/>
  <c r="G99" i="20"/>
  <c r="F99" i="20"/>
  <c r="H98" i="20"/>
  <c r="G98" i="20"/>
  <c r="F98" i="20"/>
  <c r="H97" i="20"/>
  <c r="G97" i="20"/>
  <c r="F97" i="20"/>
  <c r="H96" i="20"/>
  <c r="G96" i="20"/>
  <c r="F96" i="20"/>
  <c r="H95" i="20"/>
  <c r="G95" i="20"/>
  <c r="F95" i="20"/>
  <c r="H94" i="20"/>
  <c r="G94" i="20"/>
  <c r="F94" i="20"/>
  <c r="H93" i="20"/>
  <c r="G93" i="20"/>
  <c r="F93" i="20"/>
  <c r="H92" i="20"/>
  <c r="G92" i="20"/>
  <c r="F92" i="20"/>
  <c r="H91" i="20"/>
  <c r="G91" i="20"/>
  <c r="F91" i="20"/>
  <c r="H90" i="20"/>
  <c r="G90" i="20"/>
  <c r="F90" i="20"/>
  <c r="H89" i="20"/>
  <c r="G89" i="20"/>
  <c r="F89" i="20"/>
  <c r="H88" i="20"/>
  <c r="G88" i="20"/>
  <c r="F88" i="20"/>
  <c r="H87" i="20"/>
  <c r="G87" i="20"/>
  <c r="F87" i="20"/>
  <c r="H86" i="20"/>
  <c r="G86" i="20"/>
  <c r="F86" i="20"/>
  <c r="H85" i="20"/>
  <c r="G85" i="20"/>
  <c r="F85" i="20"/>
  <c r="H84" i="20"/>
  <c r="G84" i="20"/>
  <c r="F84" i="20"/>
  <c r="H83" i="20"/>
  <c r="G83" i="20"/>
  <c r="F83" i="20"/>
  <c r="H82" i="20"/>
  <c r="G82" i="20"/>
  <c r="F82" i="20"/>
  <c r="H81" i="20"/>
  <c r="G81" i="20"/>
  <c r="F81" i="20"/>
  <c r="H80" i="20"/>
  <c r="G80" i="20"/>
  <c r="F80" i="20"/>
  <c r="H79" i="20"/>
  <c r="G79" i="20"/>
  <c r="F79" i="20"/>
  <c r="H78" i="20"/>
  <c r="G78" i="20"/>
  <c r="F78" i="20"/>
  <c r="H77" i="20"/>
  <c r="G77" i="20"/>
  <c r="F77" i="20"/>
  <c r="H76" i="20"/>
  <c r="G76" i="20"/>
  <c r="F76" i="20"/>
  <c r="H75" i="20"/>
  <c r="G75" i="20"/>
  <c r="F75" i="20"/>
  <c r="H74" i="20"/>
  <c r="G74" i="20"/>
  <c r="F74" i="20"/>
  <c r="H73" i="20"/>
  <c r="G73" i="20"/>
  <c r="F73" i="20"/>
  <c r="H72" i="20"/>
  <c r="G72" i="20"/>
  <c r="F72" i="20"/>
  <c r="H71" i="20"/>
  <c r="G71" i="20"/>
  <c r="F71" i="20"/>
  <c r="H70" i="20"/>
  <c r="G70" i="20"/>
  <c r="F70" i="20"/>
  <c r="H69" i="20"/>
  <c r="G69" i="20"/>
  <c r="F69" i="20"/>
  <c r="H68" i="20"/>
  <c r="G68" i="20"/>
  <c r="F68" i="20"/>
  <c r="H67" i="20"/>
  <c r="G67" i="20"/>
  <c r="F67" i="20"/>
  <c r="H66" i="20"/>
  <c r="G66" i="20"/>
  <c r="F66" i="20"/>
  <c r="H65" i="20"/>
  <c r="G65" i="20"/>
  <c r="F65" i="20"/>
  <c r="H64" i="20"/>
  <c r="G64" i="20"/>
  <c r="F64" i="20"/>
  <c r="H63" i="20"/>
  <c r="G63" i="20"/>
  <c r="F63" i="20"/>
  <c r="H62" i="20"/>
  <c r="G62" i="20"/>
  <c r="F62" i="20"/>
  <c r="H61" i="20"/>
  <c r="G61" i="20"/>
  <c r="F61" i="20"/>
  <c r="H60" i="20"/>
  <c r="G60" i="20"/>
  <c r="F60" i="20"/>
  <c r="H59" i="20"/>
  <c r="G59" i="20"/>
  <c r="F59" i="20"/>
  <c r="H58" i="20"/>
  <c r="G58" i="20"/>
  <c r="F58" i="20"/>
  <c r="H57" i="20"/>
  <c r="G57" i="20"/>
  <c r="F57" i="20"/>
  <c r="H56" i="20"/>
  <c r="G56" i="20"/>
  <c r="F56" i="20"/>
  <c r="H55" i="20"/>
  <c r="G55" i="20"/>
  <c r="F55" i="20"/>
  <c r="H54" i="20"/>
  <c r="G54" i="20"/>
  <c r="F54" i="20"/>
  <c r="H53" i="20"/>
  <c r="G53" i="20"/>
  <c r="F53" i="20"/>
  <c r="H52" i="20"/>
  <c r="G52" i="20"/>
  <c r="F52" i="20"/>
  <c r="H51" i="20"/>
  <c r="G51" i="20"/>
  <c r="F51" i="20"/>
  <c r="H50" i="20"/>
  <c r="G50" i="20"/>
  <c r="F50" i="20"/>
  <c r="H49" i="20"/>
  <c r="G49" i="20"/>
  <c r="F49" i="20"/>
  <c r="H48" i="20"/>
  <c r="G48" i="20"/>
  <c r="F48" i="20"/>
  <c r="H47" i="20"/>
  <c r="G47" i="20"/>
  <c r="F47" i="20"/>
  <c r="H46" i="20"/>
  <c r="G46" i="20"/>
  <c r="F46" i="20"/>
  <c r="H45" i="20"/>
  <c r="G45" i="20"/>
  <c r="F45" i="20"/>
  <c r="H44" i="20"/>
  <c r="G44" i="20"/>
  <c r="F44" i="20"/>
  <c r="H43" i="20"/>
  <c r="G43" i="20"/>
  <c r="F43" i="20"/>
  <c r="H42" i="20"/>
  <c r="G42" i="20"/>
  <c r="F42" i="20"/>
  <c r="H41" i="20"/>
  <c r="G41" i="20"/>
  <c r="F41" i="20"/>
  <c r="H40" i="20"/>
  <c r="G40" i="20"/>
  <c r="F40" i="20"/>
  <c r="H39" i="20"/>
  <c r="G39" i="20"/>
  <c r="F39" i="20"/>
  <c r="H38" i="20"/>
  <c r="G38" i="20"/>
  <c r="F38" i="20"/>
  <c r="H37" i="20"/>
  <c r="G37" i="20"/>
  <c r="F37" i="20"/>
  <c r="H36" i="20"/>
  <c r="G36" i="20"/>
  <c r="F36" i="20"/>
  <c r="H35" i="20"/>
  <c r="G35" i="20"/>
  <c r="F35" i="20"/>
  <c r="H34" i="20"/>
  <c r="G34" i="20"/>
  <c r="F34" i="20"/>
  <c r="H33" i="20"/>
  <c r="G33" i="20"/>
  <c r="F33" i="20"/>
  <c r="H32" i="20"/>
  <c r="G32" i="20"/>
  <c r="F32" i="20"/>
  <c r="H31" i="20"/>
  <c r="G31" i="20"/>
  <c r="F31" i="20"/>
  <c r="H30" i="20"/>
  <c r="G30" i="20"/>
  <c r="F30" i="20"/>
  <c r="D138" i="20"/>
  <c r="Q138" i="20" s="1"/>
  <c r="D137" i="20"/>
  <c r="C137" i="20" s="1"/>
  <c r="D136" i="20"/>
  <c r="Q136" i="20" s="1"/>
  <c r="D135" i="20"/>
  <c r="Q135" i="20" s="1"/>
  <c r="D134" i="20"/>
  <c r="Q134" i="20" s="1"/>
  <c r="D133" i="20"/>
  <c r="C133" i="20" s="1"/>
  <c r="D132" i="20"/>
  <c r="C132" i="20" s="1"/>
  <c r="D131" i="20"/>
  <c r="Q131" i="20" s="1"/>
  <c r="D130" i="20"/>
  <c r="C130" i="20" s="1"/>
  <c r="D129" i="20"/>
  <c r="C129" i="20" s="1"/>
  <c r="D128" i="20"/>
  <c r="Q128" i="20" s="1"/>
  <c r="D127" i="20"/>
  <c r="Q127" i="20" s="1"/>
  <c r="D126" i="20"/>
  <c r="Q126" i="20" s="1"/>
  <c r="D125" i="20"/>
  <c r="C125" i="20" s="1"/>
  <c r="D124" i="20"/>
  <c r="Q124" i="20" s="1"/>
  <c r="D123" i="20"/>
  <c r="Q123" i="20" s="1"/>
  <c r="D122" i="20"/>
  <c r="Q122" i="20" s="1"/>
  <c r="D121" i="20"/>
  <c r="Q121" i="20" s="1"/>
  <c r="D120" i="20"/>
  <c r="C120" i="20" s="1"/>
  <c r="D119" i="20"/>
  <c r="C119" i="20" s="1"/>
  <c r="D118" i="20"/>
  <c r="C118" i="20" s="1"/>
  <c r="D117" i="20"/>
  <c r="C117" i="20" s="1"/>
  <c r="D116" i="20"/>
  <c r="Q116" i="20" s="1"/>
  <c r="D115" i="20"/>
  <c r="Q115" i="20" s="1"/>
  <c r="D114" i="20"/>
  <c r="Q114" i="20" s="1"/>
  <c r="D113" i="20"/>
  <c r="C113" i="20" s="1"/>
  <c r="D112" i="20"/>
  <c r="Q112" i="20" s="1"/>
  <c r="D111" i="20"/>
  <c r="Q111" i="20" s="1"/>
  <c r="D110" i="20"/>
  <c r="Q110" i="20" s="1"/>
  <c r="D109" i="20"/>
  <c r="Q109" i="20" s="1"/>
  <c r="D108" i="20"/>
  <c r="Q108" i="20" s="1"/>
  <c r="D107" i="20"/>
  <c r="C107" i="20" s="1"/>
  <c r="D106" i="20"/>
  <c r="C106" i="20" s="1"/>
  <c r="D105" i="20"/>
  <c r="C105" i="20" s="1"/>
  <c r="D104" i="20"/>
  <c r="Q104" i="20" s="1"/>
  <c r="D103" i="20"/>
  <c r="C103" i="20" s="1"/>
  <c r="D102" i="20"/>
  <c r="Q102" i="20" s="1"/>
  <c r="D101" i="20"/>
  <c r="C101" i="20" s="1"/>
  <c r="D100" i="20"/>
  <c r="Q100" i="20" s="1"/>
  <c r="D99" i="20"/>
  <c r="Q99" i="20" s="1"/>
  <c r="D98" i="20"/>
  <c r="Q98" i="20" s="1"/>
  <c r="D97" i="20"/>
  <c r="Q97" i="20" s="1"/>
  <c r="D96" i="20"/>
  <c r="Q96" i="20" s="1"/>
  <c r="D95" i="20"/>
  <c r="Q95" i="20" s="1"/>
  <c r="D94" i="20"/>
  <c r="C94" i="20" s="1"/>
  <c r="D93" i="20"/>
  <c r="C93" i="20" s="1"/>
  <c r="D92" i="20"/>
  <c r="Q92" i="20" s="1"/>
  <c r="D91" i="20"/>
  <c r="Q91" i="20" s="1"/>
  <c r="D90" i="20"/>
  <c r="Q90" i="20" s="1"/>
  <c r="D89" i="20"/>
  <c r="C89" i="20" s="1"/>
  <c r="D88" i="20"/>
  <c r="Q88" i="20" s="1"/>
  <c r="D87" i="20"/>
  <c r="Q87" i="20" s="1"/>
  <c r="D86" i="20"/>
  <c r="Q86" i="20" s="1"/>
  <c r="D85" i="20"/>
  <c r="C85" i="20" s="1"/>
  <c r="D84" i="20"/>
  <c r="C84" i="20" s="1"/>
  <c r="D83" i="20"/>
  <c r="Q83" i="20" s="1"/>
  <c r="D82" i="20"/>
  <c r="C82" i="20" s="1"/>
  <c r="D81" i="20"/>
  <c r="C81" i="20" s="1"/>
  <c r="D80" i="20"/>
  <c r="Q80" i="20" s="1"/>
  <c r="D79" i="20"/>
  <c r="C79" i="20" s="1"/>
  <c r="D78" i="20"/>
  <c r="Q78" i="20" s="1"/>
  <c r="D77" i="20"/>
  <c r="Q77" i="20" s="1"/>
  <c r="D76" i="20"/>
  <c r="Q76" i="20" s="1"/>
  <c r="D75" i="20"/>
  <c r="Q75" i="20" s="1"/>
  <c r="D74" i="20"/>
  <c r="Q74" i="20" s="1"/>
  <c r="D73" i="20"/>
  <c r="C73" i="20" s="1"/>
  <c r="D72" i="20"/>
  <c r="C72" i="20" s="1"/>
  <c r="D71" i="20"/>
  <c r="C71" i="20" s="1"/>
  <c r="D70" i="20"/>
  <c r="C70" i="20" s="1"/>
  <c r="D69" i="20"/>
  <c r="C69" i="20" s="1"/>
  <c r="D68" i="20"/>
  <c r="Q68" i="20" s="1"/>
  <c r="D67" i="20"/>
  <c r="Q67" i="20" s="1"/>
  <c r="D66" i="20"/>
  <c r="Q66" i="20" s="1"/>
  <c r="D65" i="20"/>
  <c r="Q65" i="20" s="1"/>
  <c r="D64" i="20"/>
  <c r="Q64" i="20" s="1"/>
  <c r="D63" i="20"/>
  <c r="Q63" i="20" s="1"/>
  <c r="D62" i="20"/>
  <c r="Q62" i="20" s="1"/>
  <c r="D61" i="20"/>
  <c r="Q61" i="20" s="1"/>
  <c r="D60" i="20"/>
  <c r="C60" i="20" s="1"/>
  <c r="D59" i="20"/>
  <c r="C59" i="20" s="1"/>
  <c r="D58" i="20"/>
  <c r="C58" i="20" s="1"/>
  <c r="D57" i="20"/>
  <c r="C57" i="20" s="1"/>
  <c r="D56" i="20"/>
  <c r="Q56" i="20" s="1"/>
  <c r="D55" i="20"/>
  <c r="C55" i="20" s="1"/>
  <c r="D54" i="20"/>
  <c r="Q54" i="20" s="1"/>
  <c r="D53" i="20"/>
  <c r="Q53" i="20" s="1"/>
  <c r="D52" i="20"/>
  <c r="Q52" i="20" s="1"/>
  <c r="D51" i="20"/>
  <c r="Q51" i="20" s="1"/>
  <c r="D50" i="20"/>
  <c r="Q50" i="20" s="1"/>
  <c r="D49" i="20"/>
  <c r="Q49" i="20" s="1"/>
  <c r="D48" i="20"/>
  <c r="Q48" i="20" s="1"/>
  <c r="D47" i="20"/>
  <c r="Q47" i="20" s="1"/>
  <c r="D46" i="20"/>
  <c r="C46" i="20" s="1"/>
  <c r="D45" i="20"/>
  <c r="C45" i="20" s="1"/>
  <c r="D44" i="20"/>
  <c r="Q44" i="20" s="1"/>
  <c r="D43" i="20"/>
  <c r="Q43" i="20" s="1"/>
  <c r="D42" i="20"/>
  <c r="C42" i="20" s="1"/>
  <c r="D41" i="20"/>
  <c r="Q41" i="20" s="1"/>
  <c r="D40" i="20"/>
  <c r="Q40" i="20" s="1"/>
  <c r="D39" i="20"/>
  <c r="Q39" i="20" s="1"/>
  <c r="D38" i="20"/>
  <c r="Q38" i="20" s="1"/>
  <c r="D37" i="20"/>
  <c r="Q37" i="20" s="1"/>
  <c r="D36" i="20"/>
  <c r="Q36" i="20" s="1"/>
  <c r="D35" i="20"/>
  <c r="Q35" i="20" s="1"/>
  <c r="D34" i="20"/>
  <c r="C34" i="20" s="1"/>
  <c r="D33" i="20"/>
  <c r="C33" i="20" s="1"/>
  <c r="D32" i="20"/>
  <c r="Q32" i="20" s="1"/>
  <c r="D31" i="20"/>
  <c r="Q31" i="20" s="1"/>
  <c r="D30" i="20"/>
  <c r="Q30" i="20" s="1"/>
  <c r="C138" i="20"/>
  <c r="B138" i="20"/>
  <c r="B137" i="20"/>
  <c r="B136" i="20"/>
  <c r="B135" i="20"/>
  <c r="B134" i="20"/>
  <c r="B133" i="20"/>
  <c r="B132" i="20"/>
  <c r="B131" i="20"/>
  <c r="B130" i="20"/>
  <c r="B129" i="20"/>
  <c r="C128" i="20"/>
  <c r="B128" i="20"/>
  <c r="B127" i="20"/>
  <c r="B126" i="20"/>
  <c r="B125" i="20"/>
  <c r="B124" i="20"/>
  <c r="B123" i="20"/>
  <c r="B122" i="20"/>
  <c r="B121" i="20"/>
  <c r="B120" i="20"/>
  <c r="B119" i="20"/>
  <c r="B118" i="20"/>
  <c r="B117" i="20"/>
  <c r="B116" i="20"/>
  <c r="B115" i="20"/>
  <c r="B114" i="20"/>
  <c r="B113" i="20"/>
  <c r="B112" i="20"/>
  <c r="B111" i="20"/>
  <c r="B110" i="20"/>
  <c r="B109" i="20"/>
  <c r="B108" i="20"/>
  <c r="B107" i="20"/>
  <c r="B106" i="20"/>
  <c r="B105" i="20"/>
  <c r="B104" i="20"/>
  <c r="B103" i="20"/>
  <c r="B102" i="20"/>
  <c r="B101" i="20"/>
  <c r="B100" i="20"/>
  <c r="B99" i="20"/>
  <c r="B98" i="20"/>
  <c r="B97" i="20"/>
  <c r="B96" i="20"/>
  <c r="B95" i="20"/>
  <c r="B94" i="20"/>
  <c r="B93" i="20"/>
  <c r="B92" i="20"/>
  <c r="B91" i="20"/>
  <c r="B90" i="20"/>
  <c r="B89" i="20"/>
  <c r="B88" i="20"/>
  <c r="B87" i="20"/>
  <c r="B86" i="20"/>
  <c r="B85" i="20"/>
  <c r="B84" i="20"/>
  <c r="B83" i="20"/>
  <c r="B82" i="20"/>
  <c r="B81" i="20"/>
  <c r="C80" i="20"/>
  <c r="B80" i="20"/>
  <c r="B79" i="20"/>
  <c r="B78" i="20"/>
  <c r="B77" i="20"/>
  <c r="B76" i="20"/>
  <c r="B75" i="20"/>
  <c r="B74" i="20"/>
  <c r="B73" i="20"/>
  <c r="B72" i="20"/>
  <c r="B71" i="20"/>
  <c r="B70" i="20"/>
  <c r="B69" i="20"/>
  <c r="C68" i="20"/>
  <c r="B68" i="20"/>
  <c r="B67" i="20"/>
  <c r="B66" i="20"/>
  <c r="B65" i="20"/>
  <c r="B64" i="20"/>
  <c r="B63" i="20"/>
  <c r="B62" i="20"/>
  <c r="B61" i="20"/>
  <c r="B60" i="20"/>
  <c r="B59" i="20"/>
  <c r="B58" i="20"/>
  <c r="B57" i="20"/>
  <c r="C56" i="20"/>
  <c r="B56" i="20"/>
  <c r="B55" i="20"/>
  <c r="B54" i="20"/>
  <c r="B53" i="20"/>
  <c r="B52" i="20"/>
  <c r="B51" i="20"/>
  <c r="B50" i="20"/>
  <c r="B49" i="20"/>
  <c r="B48" i="20"/>
  <c r="B47" i="20"/>
  <c r="B46" i="20"/>
  <c r="B45" i="20"/>
  <c r="C44" i="20"/>
  <c r="B44" i="20"/>
  <c r="B43" i="20"/>
  <c r="B42" i="20"/>
  <c r="B41" i="20"/>
  <c r="B40" i="20"/>
  <c r="B39" i="20"/>
  <c r="C38" i="20"/>
  <c r="B38" i="20"/>
  <c r="B37" i="20"/>
  <c r="B36" i="20"/>
  <c r="B35" i="20"/>
  <c r="B34" i="20"/>
  <c r="B33" i="20"/>
  <c r="B32" i="20"/>
  <c r="B31" i="20"/>
  <c r="B30" i="20"/>
  <c r="B624" i="11"/>
  <c r="P542" i="20" l="1"/>
  <c r="R542" i="20" s="1"/>
  <c r="R542" i="11" s="1"/>
  <c r="O559" i="20"/>
  <c r="P620" i="20"/>
  <c r="O563" i="20"/>
  <c r="O563" i="11" s="1"/>
  <c r="P538" i="20"/>
  <c r="P538" i="11" s="1"/>
  <c r="C92" i="20"/>
  <c r="C104" i="20"/>
  <c r="C442" i="20"/>
  <c r="C464" i="20"/>
  <c r="C486" i="20"/>
  <c r="I406" i="20"/>
  <c r="I422" i="20"/>
  <c r="I483" i="20"/>
  <c r="J428" i="20"/>
  <c r="K428" i="20" s="1"/>
  <c r="C434" i="20"/>
  <c r="J450" i="20"/>
  <c r="K450" i="20" s="1"/>
  <c r="C478" i="20"/>
  <c r="J411" i="20"/>
  <c r="K411" i="20" s="1"/>
  <c r="I417" i="20"/>
  <c r="J467" i="20"/>
  <c r="K467" i="20" s="1"/>
  <c r="I486" i="20"/>
  <c r="I408" i="20"/>
  <c r="J413" i="20"/>
  <c r="K413" i="20" s="1"/>
  <c r="J432" i="20"/>
  <c r="K432" i="20" s="1"/>
  <c r="J473" i="20"/>
  <c r="K473" i="20" s="1"/>
  <c r="C408" i="20"/>
  <c r="I403" i="20"/>
  <c r="I414" i="20"/>
  <c r="I419" i="20"/>
  <c r="I433" i="20"/>
  <c r="J453" i="20"/>
  <c r="K453" i="20" s="1"/>
  <c r="I478" i="20"/>
  <c r="I491" i="20"/>
  <c r="J417" i="20"/>
  <c r="K417" i="20" s="1"/>
  <c r="J407" i="20"/>
  <c r="K407" i="20" s="1"/>
  <c r="I488" i="20"/>
  <c r="J403" i="20"/>
  <c r="K403" i="20" s="1"/>
  <c r="I409" i="20"/>
  <c r="J419" i="20"/>
  <c r="K419" i="20" s="1"/>
  <c r="J433" i="20"/>
  <c r="K433" i="20" s="1"/>
  <c r="I454" i="20"/>
  <c r="J491" i="20"/>
  <c r="K491" i="20" s="1"/>
  <c r="C474" i="20"/>
  <c r="I404" i="20"/>
  <c r="J409" i="20"/>
  <c r="K409" i="20" s="1"/>
  <c r="I420" i="20"/>
  <c r="I437" i="20"/>
  <c r="I459" i="20"/>
  <c r="I481" i="20"/>
  <c r="I493" i="20"/>
  <c r="I410" i="20"/>
  <c r="I415" i="20"/>
  <c r="I438" i="20"/>
  <c r="I462" i="20"/>
  <c r="I482" i="20"/>
  <c r="I494" i="20"/>
  <c r="J472" i="20"/>
  <c r="K472" i="20" s="1"/>
  <c r="C436" i="20"/>
  <c r="C480" i="20"/>
  <c r="C494" i="20"/>
  <c r="I405" i="20"/>
  <c r="J415" i="20"/>
  <c r="K415" i="20" s="1"/>
  <c r="I421" i="20"/>
  <c r="C428" i="20"/>
  <c r="J444" i="20"/>
  <c r="K444" i="20" s="1"/>
  <c r="J466" i="20"/>
  <c r="K466" i="20" s="1"/>
  <c r="J405" i="20"/>
  <c r="K405" i="20" s="1"/>
  <c r="I416" i="20"/>
  <c r="J421" i="20"/>
  <c r="K421" i="20" s="1"/>
  <c r="I442" i="20"/>
  <c r="I499" i="20"/>
  <c r="J431" i="20"/>
  <c r="K431" i="20" s="1"/>
  <c r="I432" i="20"/>
  <c r="J437" i="20"/>
  <c r="K437" i="20" s="1"/>
  <c r="C424" i="20"/>
  <c r="C440" i="20"/>
  <c r="I423" i="20"/>
  <c r="I434" i="20"/>
  <c r="I439" i="20"/>
  <c r="J423" i="20"/>
  <c r="K423" i="20" s="1"/>
  <c r="I429" i="20"/>
  <c r="J439" i="20"/>
  <c r="K439" i="20" s="1"/>
  <c r="I424" i="20"/>
  <c r="J429" i="20"/>
  <c r="K429" i="20" s="1"/>
  <c r="I440" i="20"/>
  <c r="I430" i="20"/>
  <c r="I435" i="20"/>
  <c r="I425" i="20"/>
  <c r="J435" i="20"/>
  <c r="K435" i="20" s="1"/>
  <c r="I441" i="20"/>
  <c r="I428" i="20"/>
  <c r="J425" i="20"/>
  <c r="K425" i="20" s="1"/>
  <c r="I436" i="20"/>
  <c r="J441" i="20"/>
  <c r="K441" i="20" s="1"/>
  <c r="I426" i="20"/>
  <c r="I431" i="20"/>
  <c r="C450" i="20"/>
  <c r="C458" i="20"/>
  <c r="J452" i="20"/>
  <c r="K452" i="20" s="1"/>
  <c r="I458" i="20"/>
  <c r="J447" i="20"/>
  <c r="K447" i="20" s="1"/>
  <c r="I453" i="20"/>
  <c r="J443" i="20"/>
  <c r="K443" i="20" s="1"/>
  <c r="I449" i="20"/>
  <c r="J459" i="20"/>
  <c r="K459" i="20" s="1"/>
  <c r="I444" i="20"/>
  <c r="J449" i="20"/>
  <c r="K449" i="20" s="1"/>
  <c r="I460" i="20"/>
  <c r="I450" i="20"/>
  <c r="I455" i="20"/>
  <c r="J460" i="20"/>
  <c r="K460" i="20" s="1"/>
  <c r="I445" i="20"/>
  <c r="J455" i="20"/>
  <c r="K455" i="20" s="1"/>
  <c r="I461" i="20"/>
  <c r="J445" i="20"/>
  <c r="K445" i="20" s="1"/>
  <c r="I456" i="20"/>
  <c r="J461" i="20"/>
  <c r="K461" i="20" s="1"/>
  <c r="I446" i="20"/>
  <c r="I451" i="20"/>
  <c r="J451" i="20"/>
  <c r="K451" i="20" s="1"/>
  <c r="I457" i="20"/>
  <c r="I452" i="20"/>
  <c r="J457" i="20"/>
  <c r="K457" i="20" s="1"/>
  <c r="I463" i="20"/>
  <c r="J468" i="20"/>
  <c r="K468" i="20" s="1"/>
  <c r="I474" i="20"/>
  <c r="I479" i="20"/>
  <c r="J463" i="20"/>
  <c r="K463" i="20" s="1"/>
  <c r="J479" i="20"/>
  <c r="K479" i="20" s="1"/>
  <c r="I468" i="20"/>
  <c r="I464" i="20"/>
  <c r="J469" i="20"/>
  <c r="K469" i="20" s="1"/>
  <c r="I480" i="20"/>
  <c r="I470" i="20"/>
  <c r="I475" i="20"/>
  <c r="I465" i="20"/>
  <c r="J470" i="20"/>
  <c r="K470" i="20" s="1"/>
  <c r="J475" i="20"/>
  <c r="K475" i="20" s="1"/>
  <c r="J465" i="20"/>
  <c r="K465" i="20" s="1"/>
  <c r="I476" i="20"/>
  <c r="J481" i="20"/>
  <c r="K481" i="20" s="1"/>
  <c r="I466" i="20"/>
  <c r="I471" i="20"/>
  <c r="J476" i="20"/>
  <c r="K476" i="20" s="1"/>
  <c r="J471" i="20"/>
  <c r="K471" i="20" s="1"/>
  <c r="I477" i="20"/>
  <c r="I472" i="20"/>
  <c r="J477" i="20"/>
  <c r="K477" i="20" s="1"/>
  <c r="I497" i="20"/>
  <c r="C490" i="20"/>
  <c r="C498" i="20"/>
  <c r="I492" i="20"/>
  <c r="J497" i="20"/>
  <c r="K497" i="20" s="1"/>
  <c r="I487" i="20"/>
  <c r="J492" i="20"/>
  <c r="K492" i="20" s="1"/>
  <c r="I498" i="20"/>
  <c r="J493" i="20"/>
  <c r="K493" i="20" s="1"/>
  <c r="J483" i="20"/>
  <c r="K483" i="20" s="1"/>
  <c r="I489" i="20"/>
  <c r="J499" i="20"/>
  <c r="K499" i="20" s="1"/>
  <c r="I484" i="20"/>
  <c r="J489" i="20"/>
  <c r="K489" i="20" s="1"/>
  <c r="I500" i="20"/>
  <c r="J484" i="20"/>
  <c r="K484" i="20" s="1"/>
  <c r="I490" i="20"/>
  <c r="I495" i="20"/>
  <c r="J500" i="20"/>
  <c r="K500" i="20" s="1"/>
  <c r="I485" i="20"/>
  <c r="J495" i="20"/>
  <c r="K495" i="20" s="1"/>
  <c r="I501" i="20"/>
  <c r="J485" i="20"/>
  <c r="K485" i="20" s="1"/>
  <c r="I496" i="20"/>
  <c r="J501" i="20"/>
  <c r="K501" i="20" s="1"/>
  <c r="C32" i="20"/>
  <c r="P519" i="20"/>
  <c r="P522" i="20"/>
  <c r="P531" i="20"/>
  <c r="P531" i="11" s="1"/>
  <c r="P534" i="20"/>
  <c r="R534" i="20" s="1"/>
  <c r="R534" i="11" s="1"/>
  <c r="P577" i="20"/>
  <c r="P577" i="11" s="1"/>
  <c r="P580" i="20"/>
  <c r="R580" i="20" s="1"/>
  <c r="R580" i="11" s="1"/>
  <c r="P583" i="20"/>
  <c r="P583" i="11" s="1"/>
  <c r="P515" i="20"/>
  <c r="P515" i="11" s="1"/>
  <c r="P518" i="20"/>
  <c r="R518" i="20" s="1"/>
  <c r="R518" i="11" s="1"/>
  <c r="O522" i="20"/>
  <c r="O522" i="11" s="1"/>
  <c r="P540" i="20"/>
  <c r="P540" i="11" s="1"/>
  <c r="O543" i="20"/>
  <c r="O543" i="11" s="1"/>
  <c r="O552" i="20"/>
  <c r="O552" i="11" s="1"/>
  <c r="P521" i="20"/>
  <c r="P521" i="11" s="1"/>
  <c r="P533" i="20"/>
  <c r="P533" i="11" s="1"/>
  <c r="P603" i="20"/>
  <c r="R603" i="20" s="1"/>
  <c r="R603" i="11" s="1"/>
  <c r="P548" i="20"/>
  <c r="P548" i="11" s="1"/>
  <c r="P520" i="20"/>
  <c r="P520" i="11" s="1"/>
  <c r="O274" i="20"/>
  <c r="O274" i="11" s="1"/>
  <c r="O516" i="20"/>
  <c r="O516" i="11" s="1"/>
  <c r="P519" i="11"/>
  <c r="R519" i="20"/>
  <c r="R519" i="11" s="1"/>
  <c r="R522" i="20"/>
  <c r="R522" i="11" s="1"/>
  <c r="P522" i="11"/>
  <c r="R516" i="20"/>
  <c r="R516" i="11" s="1"/>
  <c r="P516" i="11"/>
  <c r="R517" i="20"/>
  <c r="R517" i="11" s="1"/>
  <c r="P517" i="11"/>
  <c r="C116" i="20"/>
  <c r="O537" i="20"/>
  <c r="O537" i="11" s="1"/>
  <c r="P276" i="20"/>
  <c r="P372" i="20"/>
  <c r="P524" i="20"/>
  <c r="R524" i="20" s="1"/>
  <c r="R524" i="11" s="1"/>
  <c r="P527" i="20"/>
  <c r="P527" i="11" s="1"/>
  <c r="P530" i="20"/>
  <c r="R530" i="20" s="1"/>
  <c r="R530" i="11" s="1"/>
  <c r="O556" i="20"/>
  <c r="O556" i="11" s="1"/>
  <c r="P565" i="20"/>
  <c r="P565" i="11" s="1"/>
  <c r="P568" i="20"/>
  <c r="R568" i="20" s="1"/>
  <c r="R568" i="11" s="1"/>
  <c r="P571" i="20"/>
  <c r="P571" i="11" s="1"/>
  <c r="O517" i="20"/>
  <c r="S517" i="20" s="1"/>
  <c r="P537" i="20"/>
  <c r="P537" i="11" s="1"/>
  <c r="O518" i="20"/>
  <c r="S518" i="20" s="1"/>
  <c r="O533" i="20"/>
  <c r="O533" i="11" s="1"/>
  <c r="P536" i="20"/>
  <c r="R536" i="20" s="1"/>
  <c r="R536" i="11" s="1"/>
  <c r="O603" i="20"/>
  <c r="O603" i="11" s="1"/>
  <c r="P272" i="20"/>
  <c r="P523" i="20"/>
  <c r="R523" i="20" s="1"/>
  <c r="R523" i="11" s="1"/>
  <c r="O526" i="20"/>
  <c r="O526" i="11" s="1"/>
  <c r="P529" i="20"/>
  <c r="R529" i="20" s="1"/>
  <c r="R529" i="11" s="1"/>
  <c r="P561" i="20"/>
  <c r="R561" i="20" s="1"/>
  <c r="R561" i="11" s="1"/>
  <c r="P564" i="20"/>
  <c r="P564" i="11" s="1"/>
  <c r="P607" i="20"/>
  <c r="R607" i="20" s="1"/>
  <c r="R607" i="11" s="1"/>
  <c r="P610" i="20"/>
  <c r="P610" i="11" s="1"/>
  <c r="P613" i="20"/>
  <c r="R613" i="20" s="1"/>
  <c r="R613" i="11" s="1"/>
  <c r="O519" i="20"/>
  <c r="O519" i="11" s="1"/>
  <c r="P526" i="20"/>
  <c r="P526" i="11" s="1"/>
  <c r="P532" i="20"/>
  <c r="P532" i="11" s="1"/>
  <c r="O539" i="20"/>
  <c r="O539" i="11" s="1"/>
  <c r="P579" i="20"/>
  <c r="R579" i="20" s="1"/>
  <c r="R579" i="11" s="1"/>
  <c r="P585" i="20"/>
  <c r="P585" i="11" s="1"/>
  <c r="O588" i="20"/>
  <c r="P591" i="20"/>
  <c r="P591" i="11" s="1"/>
  <c r="O594" i="20"/>
  <c r="O616" i="20"/>
  <c r="O616" i="11" s="1"/>
  <c r="P619" i="20"/>
  <c r="R619" i="20" s="1"/>
  <c r="R619" i="11" s="1"/>
  <c r="O551" i="20"/>
  <c r="O551" i="11" s="1"/>
  <c r="O514" i="20"/>
  <c r="O514" i="11" s="1"/>
  <c r="O520" i="20"/>
  <c r="O520" i="11" s="1"/>
  <c r="P535" i="20"/>
  <c r="P606" i="20"/>
  <c r="R606" i="20" s="1"/>
  <c r="R606" i="11" s="1"/>
  <c r="C135" i="20"/>
  <c r="O280" i="20"/>
  <c r="O280" i="11" s="1"/>
  <c r="O525" i="20"/>
  <c r="O525" i="11" s="1"/>
  <c r="P528" i="20"/>
  <c r="P528" i="11" s="1"/>
  <c r="O538" i="20"/>
  <c r="O538" i="11" s="1"/>
  <c r="P563" i="20"/>
  <c r="R563" i="20" s="1"/>
  <c r="R563" i="11" s="1"/>
  <c r="O566" i="20"/>
  <c r="O566" i="11" s="1"/>
  <c r="O572" i="20"/>
  <c r="O572" i="11" s="1"/>
  <c r="P609" i="20"/>
  <c r="R609" i="20" s="1"/>
  <c r="R609" i="11" s="1"/>
  <c r="O515" i="20"/>
  <c r="O515" i="11" s="1"/>
  <c r="O521" i="20"/>
  <c r="O521" i="11" s="1"/>
  <c r="O531" i="20"/>
  <c r="O531" i="11" s="1"/>
  <c r="P541" i="20"/>
  <c r="R541" i="20" s="1"/>
  <c r="R541" i="11" s="1"/>
  <c r="P581" i="20"/>
  <c r="R581" i="20" s="1"/>
  <c r="R581" i="11" s="1"/>
  <c r="P596" i="20"/>
  <c r="P596" i="11" s="1"/>
  <c r="O621" i="20"/>
  <c r="O621" i="11" s="1"/>
  <c r="R535" i="20"/>
  <c r="R535" i="11" s="1"/>
  <c r="P535" i="11"/>
  <c r="R528" i="20"/>
  <c r="R528" i="11" s="1"/>
  <c r="P614" i="20"/>
  <c r="P614" i="11" s="1"/>
  <c r="P525" i="20"/>
  <c r="P543" i="20"/>
  <c r="P588" i="20"/>
  <c r="R588" i="20" s="1"/>
  <c r="R588" i="11" s="1"/>
  <c r="O546" i="20"/>
  <c r="P549" i="20"/>
  <c r="R549" i="20" s="1"/>
  <c r="R549" i="11" s="1"/>
  <c r="P559" i="20"/>
  <c r="S559" i="20" s="1"/>
  <c r="T559" i="20" s="1"/>
  <c r="T559" i="11" s="1"/>
  <c r="O562" i="20"/>
  <c r="O562" i="11" s="1"/>
  <c r="P575" i="20"/>
  <c r="R575" i="20" s="1"/>
  <c r="R575" i="11" s="1"/>
  <c r="P578" i="20"/>
  <c r="P578" i="11" s="1"/>
  <c r="P597" i="20"/>
  <c r="P597" i="11" s="1"/>
  <c r="P604" i="20"/>
  <c r="P604" i="11" s="1"/>
  <c r="P617" i="20"/>
  <c r="P617" i="11" s="1"/>
  <c r="O532" i="20"/>
  <c r="O532" i="11" s="1"/>
  <c r="P546" i="20"/>
  <c r="R546" i="20" s="1"/>
  <c r="R546" i="11" s="1"/>
  <c r="O545" i="20"/>
  <c r="O545" i="11" s="1"/>
  <c r="P555" i="20"/>
  <c r="R555" i="20" s="1"/>
  <c r="R555" i="11" s="1"/>
  <c r="O558" i="20"/>
  <c r="O558" i="11" s="1"/>
  <c r="P574" i="20"/>
  <c r="R574" i="20" s="1"/>
  <c r="R574" i="11" s="1"/>
  <c r="P584" i="20"/>
  <c r="P584" i="11" s="1"/>
  <c r="P587" i="20"/>
  <c r="R587" i="20" s="1"/>
  <c r="R587" i="11" s="1"/>
  <c r="P590" i="20"/>
  <c r="P590" i="11" s="1"/>
  <c r="P593" i="20"/>
  <c r="R593" i="20" s="1"/>
  <c r="R593" i="11" s="1"/>
  <c r="P539" i="20"/>
  <c r="P539" i="11" s="1"/>
  <c r="O604" i="20"/>
  <c r="O604" i="11" s="1"/>
  <c r="P556" i="20"/>
  <c r="P556" i="11" s="1"/>
  <c r="O600" i="20"/>
  <c r="O600" i="11" s="1"/>
  <c r="O528" i="20"/>
  <c r="O528" i="11" s="1"/>
  <c r="O534" i="20"/>
  <c r="O534" i="11" s="1"/>
  <c r="O540" i="20"/>
  <c r="O540" i="11" s="1"/>
  <c r="O609" i="20"/>
  <c r="O609" i="11" s="1"/>
  <c r="P562" i="20"/>
  <c r="P562" i="11" s="1"/>
  <c r="O527" i="20"/>
  <c r="O527" i="11" s="1"/>
  <c r="P558" i="20"/>
  <c r="R558" i="20" s="1"/>
  <c r="R558" i="11" s="1"/>
  <c r="O593" i="20"/>
  <c r="S593" i="20" s="1"/>
  <c r="O610" i="20"/>
  <c r="O610" i="11" s="1"/>
  <c r="P551" i="20"/>
  <c r="P551" i="11" s="1"/>
  <c r="P552" i="20"/>
  <c r="R552" i="20" s="1"/>
  <c r="R552" i="11" s="1"/>
  <c r="P554" i="20"/>
  <c r="P554" i="11" s="1"/>
  <c r="O567" i="20"/>
  <c r="O567" i="11" s="1"/>
  <c r="P570" i="20"/>
  <c r="P570" i="11" s="1"/>
  <c r="P573" i="20"/>
  <c r="R573" i="20" s="1"/>
  <c r="R573" i="11" s="1"/>
  <c r="P599" i="20"/>
  <c r="R599" i="20" s="1"/>
  <c r="R599" i="11" s="1"/>
  <c r="P612" i="20"/>
  <c r="R612" i="20" s="1"/>
  <c r="R612" i="11" s="1"/>
  <c r="O622" i="20"/>
  <c r="O622" i="11" s="1"/>
  <c r="O523" i="20"/>
  <c r="O529" i="20"/>
  <c r="O529" i="11" s="1"/>
  <c r="O535" i="20"/>
  <c r="S535" i="20" s="1"/>
  <c r="O541" i="20"/>
  <c r="O541" i="11" s="1"/>
  <c r="O578" i="20"/>
  <c r="O578" i="11" s="1"/>
  <c r="O544" i="20"/>
  <c r="O544" i="11" s="1"/>
  <c r="O557" i="20"/>
  <c r="O557" i="11" s="1"/>
  <c r="P567" i="20"/>
  <c r="R567" i="20" s="1"/>
  <c r="R567" i="11" s="1"/>
  <c r="P586" i="20"/>
  <c r="R586" i="20" s="1"/>
  <c r="R586" i="11" s="1"/>
  <c r="P589" i="20"/>
  <c r="R589" i="20" s="1"/>
  <c r="R589" i="11" s="1"/>
  <c r="P592" i="20"/>
  <c r="R592" i="20" s="1"/>
  <c r="R592" i="11" s="1"/>
  <c r="P602" i="20"/>
  <c r="P602" i="11" s="1"/>
  <c r="P544" i="20"/>
  <c r="P544" i="11" s="1"/>
  <c r="P547" i="20"/>
  <c r="P547" i="11" s="1"/>
  <c r="P557" i="20"/>
  <c r="P557" i="11" s="1"/>
  <c r="P560" i="20"/>
  <c r="P560" i="11" s="1"/>
  <c r="P576" i="20"/>
  <c r="P576" i="11" s="1"/>
  <c r="P595" i="20"/>
  <c r="R595" i="20" s="1"/>
  <c r="R595" i="11" s="1"/>
  <c r="P605" i="20"/>
  <c r="P605" i="11" s="1"/>
  <c r="P615" i="20"/>
  <c r="R615" i="20" s="1"/>
  <c r="R615" i="11" s="1"/>
  <c r="O524" i="20"/>
  <c r="O530" i="20"/>
  <c r="O536" i="20"/>
  <c r="S536" i="20" s="1"/>
  <c r="T536" i="20" s="1"/>
  <c r="T536" i="11" s="1"/>
  <c r="O542" i="20"/>
  <c r="S542" i="20" s="1"/>
  <c r="T542" i="20" s="1"/>
  <c r="T542" i="11" s="1"/>
  <c r="O583" i="20"/>
  <c r="O583" i="11" s="1"/>
  <c r="O547" i="20"/>
  <c r="P550" i="20"/>
  <c r="P550" i="11" s="1"/>
  <c r="O553" i="20"/>
  <c r="O579" i="20"/>
  <c r="O579" i="11" s="1"/>
  <c r="P598" i="20"/>
  <c r="R598" i="20" s="1"/>
  <c r="R598" i="11" s="1"/>
  <c r="P608" i="20"/>
  <c r="P608" i="11" s="1"/>
  <c r="O615" i="20"/>
  <c r="O615" i="11" s="1"/>
  <c r="P618" i="20"/>
  <c r="R618" i="20" s="1"/>
  <c r="R618" i="11" s="1"/>
  <c r="P621" i="20"/>
  <c r="R621" i="20" s="1"/>
  <c r="R621" i="11" s="1"/>
  <c r="R531" i="20"/>
  <c r="R531" i="11" s="1"/>
  <c r="P566" i="20"/>
  <c r="P566" i="11" s="1"/>
  <c r="P569" i="20"/>
  <c r="R569" i="20" s="1"/>
  <c r="R569" i="11" s="1"/>
  <c r="P572" i="20"/>
  <c r="P572" i="11" s="1"/>
  <c r="P582" i="20"/>
  <c r="P582" i="11" s="1"/>
  <c r="P601" i="20"/>
  <c r="R601" i="20" s="1"/>
  <c r="R601" i="11" s="1"/>
  <c r="P611" i="20"/>
  <c r="P611" i="11" s="1"/>
  <c r="P616" i="20"/>
  <c r="P616" i="11" s="1"/>
  <c r="P622" i="20"/>
  <c r="P622" i="11" s="1"/>
  <c r="O605" i="20"/>
  <c r="O611" i="20"/>
  <c r="O617" i="20"/>
  <c r="O606" i="20"/>
  <c r="O606" i="11" s="1"/>
  <c r="O612" i="20"/>
  <c r="O612" i="11" s="1"/>
  <c r="O618" i="20"/>
  <c r="O618" i="11" s="1"/>
  <c r="O607" i="20"/>
  <c r="O607" i="11" s="1"/>
  <c r="O613" i="20"/>
  <c r="O613" i="11" s="1"/>
  <c r="O619" i="20"/>
  <c r="O608" i="20"/>
  <c r="O608" i="11" s="1"/>
  <c r="O614" i="20"/>
  <c r="O614" i="11" s="1"/>
  <c r="O620" i="20"/>
  <c r="O620" i="11" s="1"/>
  <c r="O587" i="20"/>
  <c r="O599" i="20"/>
  <c r="S599" i="20" s="1"/>
  <c r="P594" i="20"/>
  <c r="R594" i="20" s="1"/>
  <c r="R594" i="11" s="1"/>
  <c r="P600" i="20"/>
  <c r="R600" i="20" s="1"/>
  <c r="R600" i="11" s="1"/>
  <c r="O589" i="20"/>
  <c r="O595" i="20"/>
  <c r="O595" i="11" s="1"/>
  <c r="O601" i="20"/>
  <c r="O601" i="11" s="1"/>
  <c r="O584" i="20"/>
  <c r="O584" i="11" s="1"/>
  <c r="O590" i="20"/>
  <c r="O596" i="20"/>
  <c r="O596" i="11" s="1"/>
  <c r="O602" i="20"/>
  <c r="O602" i="11" s="1"/>
  <c r="O585" i="20"/>
  <c r="O585" i="11" s="1"/>
  <c r="O591" i="20"/>
  <c r="O591" i="11" s="1"/>
  <c r="O597" i="20"/>
  <c r="O597" i="11" s="1"/>
  <c r="O586" i="20"/>
  <c r="O586" i="11" s="1"/>
  <c r="O592" i="20"/>
  <c r="O592" i="11" s="1"/>
  <c r="O598" i="20"/>
  <c r="O598" i="11" s="1"/>
  <c r="O573" i="20"/>
  <c r="O573" i="11" s="1"/>
  <c r="O568" i="20"/>
  <c r="O568" i="11" s="1"/>
  <c r="O574" i="20"/>
  <c r="O580" i="20"/>
  <c r="O569" i="20"/>
  <c r="O569" i="11" s="1"/>
  <c r="O575" i="20"/>
  <c r="O575" i="11" s="1"/>
  <c r="O581" i="20"/>
  <c r="O581" i="11" s="1"/>
  <c r="O564" i="20"/>
  <c r="O564" i="11" s="1"/>
  <c r="O570" i="20"/>
  <c r="O570" i="11" s="1"/>
  <c r="O576" i="20"/>
  <c r="O576" i="11" s="1"/>
  <c r="O582" i="20"/>
  <c r="O582" i="11" s="1"/>
  <c r="O565" i="20"/>
  <c r="O565" i="11" s="1"/>
  <c r="O571" i="20"/>
  <c r="O571" i="11" s="1"/>
  <c r="O577" i="20"/>
  <c r="O577" i="11" s="1"/>
  <c r="R559" i="20"/>
  <c r="R559" i="11" s="1"/>
  <c r="P559" i="11"/>
  <c r="O546" i="11"/>
  <c r="S546" i="20"/>
  <c r="T546" i="20" s="1"/>
  <c r="T546" i="11" s="1"/>
  <c r="P545" i="20"/>
  <c r="P545" i="11" s="1"/>
  <c r="Q552" i="20"/>
  <c r="P553" i="20"/>
  <c r="P553" i="11" s="1"/>
  <c r="O548" i="20"/>
  <c r="O548" i="11" s="1"/>
  <c r="O554" i="20"/>
  <c r="O554" i="11" s="1"/>
  <c r="O560" i="20"/>
  <c r="O560" i="11" s="1"/>
  <c r="Q556" i="20"/>
  <c r="O549" i="20"/>
  <c r="O549" i="11" s="1"/>
  <c r="O555" i="20"/>
  <c r="O555" i="11" s="1"/>
  <c r="O561" i="20"/>
  <c r="O561" i="11" s="1"/>
  <c r="O550" i="20"/>
  <c r="O550" i="11" s="1"/>
  <c r="T517" i="20"/>
  <c r="T517" i="11" s="1"/>
  <c r="S517" i="11"/>
  <c r="T535" i="20"/>
  <c r="T535" i="11" s="1"/>
  <c r="S535" i="11"/>
  <c r="T518" i="20"/>
  <c r="T518" i="11" s="1"/>
  <c r="S518" i="11"/>
  <c r="S519" i="20"/>
  <c r="S543" i="20"/>
  <c r="R564" i="20"/>
  <c r="R564" i="11" s="1"/>
  <c r="R616" i="20"/>
  <c r="R616" i="11" s="1"/>
  <c r="O517" i="11"/>
  <c r="P592" i="11"/>
  <c r="R622" i="20"/>
  <c r="R622" i="11" s="1"/>
  <c r="P593" i="11"/>
  <c r="S588" i="20"/>
  <c r="T588" i="20" s="1"/>
  <c r="T588" i="11" s="1"/>
  <c r="S594" i="20"/>
  <c r="T594" i="20" s="1"/>
  <c r="T594" i="11" s="1"/>
  <c r="S514" i="20"/>
  <c r="S520" i="20"/>
  <c r="R547" i="20"/>
  <c r="R547" i="11" s="1"/>
  <c r="O518" i="11"/>
  <c r="P598" i="11"/>
  <c r="O617" i="11"/>
  <c r="R514" i="20"/>
  <c r="R514" i="11" s="1"/>
  <c r="R520" i="20"/>
  <c r="R520" i="11" s="1"/>
  <c r="R526" i="20"/>
  <c r="R526" i="11" s="1"/>
  <c r="R532" i="20"/>
  <c r="R532" i="11" s="1"/>
  <c r="R538" i="20"/>
  <c r="R538" i="11" s="1"/>
  <c r="R515" i="20"/>
  <c r="R515" i="11" s="1"/>
  <c r="R521" i="20"/>
  <c r="R521" i="11" s="1"/>
  <c r="P518" i="11"/>
  <c r="P536" i="11"/>
  <c r="P542" i="11"/>
  <c r="P567" i="11"/>
  <c r="P599" i="11"/>
  <c r="S547" i="20"/>
  <c r="T547" i="20" s="1"/>
  <c r="T547" i="11" s="1"/>
  <c r="S515" i="20"/>
  <c r="S521" i="20"/>
  <c r="P603" i="11"/>
  <c r="S516" i="20"/>
  <c r="S522" i="20"/>
  <c r="R554" i="20"/>
  <c r="R554" i="11" s="1"/>
  <c r="R582" i="20"/>
  <c r="R582" i="11" s="1"/>
  <c r="P546" i="11"/>
  <c r="P606" i="11"/>
  <c r="R560" i="20"/>
  <c r="R560" i="11" s="1"/>
  <c r="R584" i="20"/>
  <c r="R584" i="11" s="1"/>
  <c r="S574" i="20"/>
  <c r="S574" i="11" s="1"/>
  <c r="S584" i="20"/>
  <c r="T584" i="20" s="1"/>
  <c r="T584" i="11" s="1"/>
  <c r="O611" i="11"/>
  <c r="R605" i="20"/>
  <c r="R605" i="11" s="1"/>
  <c r="P613" i="11"/>
  <c r="P620" i="11"/>
  <c r="R620" i="20"/>
  <c r="R620" i="11" s="1"/>
  <c r="O587" i="11"/>
  <c r="O593" i="11"/>
  <c r="O599" i="11"/>
  <c r="O588" i="11"/>
  <c r="O594" i="11"/>
  <c r="P588" i="11"/>
  <c r="P601" i="11"/>
  <c r="S564" i="20"/>
  <c r="S576" i="20"/>
  <c r="O574" i="11"/>
  <c r="O580" i="11"/>
  <c r="R565" i="20"/>
  <c r="R565" i="11" s="1"/>
  <c r="R571" i="20"/>
  <c r="R571" i="11" s="1"/>
  <c r="P568" i="11"/>
  <c r="P581" i="11"/>
  <c r="S548" i="20"/>
  <c r="O547" i="11"/>
  <c r="O553" i="11"/>
  <c r="O559" i="11"/>
  <c r="S555" i="20"/>
  <c r="R544" i="20"/>
  <c r="R544" i="11" s="1"/>
  <c r="R550" i="20"/>
  <c r="R550" i="11" s="1"/>
  <c r="R557" i="20"/>
  <c r="R557" i="11" s="1"/>
  <c r="P555" i="11"/>
  <c r="S557" i="20"/>
  <c r="S546" i="11"/>
  <c r="P281" i="20"/>
  <c r="R281" i="20" s="1"/>
  <c r="R281" i="11" s="1"/>
  <c r="P293" i="20"/>
  <c r="R293" i="20" s="1"/>
  <c r="R293" i="11" s="1"/>
  <c r="P305" i="20"/>
  <c r="R305" i="20" s="1"/>
  <c r="R305" i="11" s="1"/>
  <c r="P317" i="20"/>
  <c r="P329" i="20"/>
  <c r="O341" i="20"/>
  <c r="P353" i="20"/>
  <c r="P365" i="20"/>
  <c r="P286" i="20"/>
  <c r="P286" i="11" s="1"/>
  <c r="P298" i="20"/>
  <c r="P298" i="11" s="1"/>
  <c r="P279" i="20"/>
  <c r="P279" i="11" s="1"/>
  <c r="O291" i="20"/>
  <c r="O291" i="11" s="1"/>
  <c r="P303" i="20"/>
  <c r="P315" i="20"/>
  <c r="R315" i="20" s="1"/>
  <c r="R315" i="11" s="1"/>
  <c r="O363" i="20"/>
  <c r="O363" i="11" s="1"/>
  <c r="C67" i="20"/>
  <c r="P277" i="20"/>
  <c r="O361" i="20"/>
  <c r="O361" i="11" s="1"/>
  <c r="P282" i="20"/>
  <c r="R282" i="20" s="1"/>
  <c r="R282" i="11" s="1"/>
  <c r="P294" i="20"/>
  <c r="P275" i="20"/>
  <c r="P275" i="11" s="1"/>
  <c r="P292" i="20"/>
  <c r="P292" i="11" s="1"/>
  <c r="P273" i="20"/>
  <c r="P273" i="11" s="1"/>
  <c r="P274" i="20"/>
  <c r="P274" i="11" s="1"/>
  <c r="P278" i="20"/>
  <c r="R278" i="20" s="1"/>
  <c r="R278" i="11" s="1"/>
  <c r="P280" i="20"/>
  <c r="P280" i="11" s="1"/>
  <c r="P290" i="20"/>
  <c r="P290" i="11" s="1"/>
  <c r="Q272" i="20"/>
  <c r="P367" i="20"/>
  <c r="P379" i="20"/>
  <c r="Q303" i="20"/>
  <c r="R276" i="20"/>
  <c r="R276" i="11" s="1"/>
  <c r="P276" i="11"/>
  <c r="P272" i="11"/>
  <c r="R272" i="20"/>
  <c r="R272" i="11" s="1"/>
  <c r="R277" i="20"/>
  <c r="R277" i="11" s="1"/>
  <c r="P277" i="11"/>
  <c r="P278" i="11"/>
  <c r="P159" i="20"/>
  <c r="R159" i="20" s="1"/>
  <c r="O171" i="20"/>
  <c r="P283" i="20"/>
  <c r="P285" i="20"/>
  <c r="P285" i="11" s="1"/>
  <c r="O290" i="20"/>
  <c r="O290" i="11" s="1"/>
  <c r="P295" i="20"/>
  <c r="P297" i="20"/>
  <c r="P297" i="11" s="1"/>
  <c r="P307" i="20"/>
  <c r="P309" i="20"/>
  <c r="R309" i="20" s="1"/>
  <c r="R309" i="11" s="1"/>
  <c r="P319" i="20"/>
  <c r="P319" i="11" s="1"/>
  <c r="P331" i="20"/>
  <c r="P331" i="11" s="1"/>
  <c r="P343" i="20"/>
  <c r="P343" i="11" s="1"/>
  <c r="O350" i="20"/>
  <c r="O350" i="11" s="1"/>
  <c r="P355" i="20"/>
  <c r="P355" i="11" s="1"/>
  <c r="P369" i="20"/>
  <c r="P369" i="11" s="1"/>
  <c r="O275" i="20"/>
  <c r="O275" i="11" s="1"/>
  <c r="O286" i="20"/>
  <c r="O286" i="11" s="1"/>
  <c r="Q273" i="20"/>
  <c r="Q323" i="20"/>
  <c r="P152" i="20"/>
  <c r="R152" i="20" s="1"/>
  <c r="C236" i="20"/>
  <c r="O288" i="20"/>
  <c r="O288" i="11" s="1"/>
  <c r="O300" i="20"/>
  <c r="O300" i="11" s="1"/>
  <c r="P312" i="20"/>
  <c r="P312" i="11" s="1"/>
  <c r="P324" i="20"/>
  <c r="P324" i="11" s="1"/>
  <c r="O336" i="20"/>
  <c r="P348" i="20"/>
  <c r="P360" i="20"/>
  <c r="R360" i="20" s="1"/>
  <c r="R360" i="11" s="1"/>
  <c r="Q274" i="20"/>
  <c r="Q335" i="20"/>
  <c r="P377" i="20"/>
  <c r="R377" i="20" s="1"/>
  <c r="R377" i="11" s="1"/>
  <c r="P361" i="20"/>
  <c r="P361" i="11" s="1"/>
  <c r="O276" i="20"/>
  <c r="O276" i="11" s="1"/>
  <c r="P291" i="20"/>
  <c r="P291" i="11" s="1"/>
  <c r="Q275" i="20"/>
  <c r="Q369" i="20"/>
  <c r="O152" i="20"/>
  <c r="S152" i="20" s="1"/>
  <c r="T152" i="20" s="1"/>
  <c r="O292" i="20"/>
  <c r="O292" i="11" s="1"/>
  <c r="Q276" i="20"/>
  <c r="Q371" i="20"/>
  <c r="O277" i="20"/>
  <c r="O277" i="11" s="1"/>
  <c r="Q277" i="20"/>
  <c r="P284" i="20"/>
  <c r="P284" i="11" s="1"/>
  <c r="P296" i="20"/>
  <c r="P296" i="11" s="1"/>
  <c r="O303" i="20"/>
  <c r="O303" i="11" s="1"/>
  <c r="O327" i="20"/>
  <c r="S327" i="20" s="1"/>
  <c r="O339" i="20"/>
  <c r="O298" i="20"/>
  <c r="O298" i="11" s="1"/>
  <c r="Q278" i="20"/>
  <c r="P153" i="20"/>
  <c r="R153" i="20" s="1"/>
  <c r="P165" i="20"/>
  <c r="R165" i="20" s="1"/>
  <c r="P177" i="20"/>
  <c r="R177" i="20" s="1"/>
  <c r="P289" i="20"/>
  <c r="P289" i="11" s="1"/>
  <c r="P301" i="20"/>
  <c r="R301" i="20" s="1"/>
  <c r="R301" i="11" s="1"/>
  <c r="O272" i="20"/>
  <c r="O278" i="20"/>
  <c r="Q279" i="20"/>
  <c r="O315" i="20"/>
  <c r="O315" i="11" s="1"/>
  <c r="Q280" i="20"/>
  <c r="P287" i="20"/>
  <c r="R287" i="20" s="1"/>
  <c r="R287" i="11" s="1"/>
  <c r="P299" i="20"/>
  <c r="R299" i="20" s="1"/>
  <c r="R299" i="11" s="1"/>
  <c r="O273" i="20"/>
  <c r="O273" i="11" s="1"/>
  <c r="O279" i="20"/>
  <c r="O279" i="11" s="1"/>
  <c r="Q289" i="20"/>
  <c r="O282" i="20"/>
  <c r="S282" i="20" s="1"/>
  <c r="O294" i="20"/>
  <c r="S294" i="20" s="1"/>
  <c r="P304" i="20"/>
  <c r="R304" i="20" s="1"/>
  <c r="R304" i="11" s="1"/>
  <c r="P316" i="20"/>
  <c r="O328" i="20"/>
  <c r="O340" i="20"/>
  <c r="O340" i="11" s="1"/>
  <c r="P352" i="20"/>
  <c r="P352" i="11" s="1"/>
  <c r="O364" i="20"/>
  <c r="O364" i="11" s="1"/>
  <c r="O376" i="20"/>
  <c r="O376" i="11" s="1"/>
  <c r="Q290" i="20"/>
  <c r="C214" i="20"/>
  <c r="O285" i="20"/>
  <c r="S285" i="20" s="1"/>
  <c r="O297" i="20"/>
  <c r="O309" i="20"/>
  <c r="O309" i="11" s="1"/>
  <c r="P321" i="20"/>
  <c r="P321" i="11" s="1"/>
  <c r="O345" i="20"/>
  <c r="O369" i="20"/>
  <c r="O369" i="11" s="1"/>
  <c r="Q301" i="20"/>
  <c r="S280" i="20"/>
  <c r="R275" i="20"/>
  <c r="R275" i="11" s="1"/>
  <c r="R303" i="20"/>
  <c r="R303" i="11" s="1"/>
  <c r="P303" i="11"/>
  <c r="R296" i="20"/>
  <c r="R296" i="11" s="1"/>
  <c r="P282" i="11"/>
  <c r="R294" i="20"/>
  <c r="R294" i="11" s="1"/>
  <c r="P294" i="11"/>
  <c r="O341" i="11"/>
  <c r="R284" i="20"/>
  <c r="R284" i="11" s="1"/>
  <c r="O294" i="11"/>
  <c r="P281" i="11"/>
  <c r="P283" i="11"/>
  <c r="R283" i="20"/>
  <c r="R283" i="11" s="1"/>
  <c r="R295" i="20"/>
  <c r="R295" i="11" s="1"/>
  <c r="P295" i="11"/>
  <c r="P309" i="11"/>
  <c r="R369" i="20"/>
  <c r="R369" i="11" s="1"/>
  <c r="Q372" i="20"/>
  <c r="P310" i="20"/>
  <c r="R310" i="20" s="1"/>
  <c r="R310" i="11" s="1"/>
  <c r="O322" i="20"/>
  <c r="O322" i="11" s="1"/>
  <c r="O334" i="20"/>
  <c r="O334" i="11" s="1"/>
  <c r="P346" i="20"/>
  <c r="R346" i="20" s="1"/>
  <c r="R346" i="11" s="1"/>
  <c r="P358" i="20"/>
  <c r="R358" i="20" s="1"/>
  <c r="R358" i="11" s="1"/>
  <c r="P370" i="20"/>
  <c r="P370" i="11" s="1"/>
  <c r="O333" i="20"/>
  <c r="O281" i="20"/>
  <c r="O287" i="20"/>
  <c r="O293" i="20"/>
  <c r="O299" i="20"/>
  <c r="O321" i="20"/>
  <c r="Q291" i="20"/>
  <c r="Q315" i="20"/>
  <c r="P327" i="20"/>
  <c r="R327" i="20" s="1"/>
  <c r="R327" i="11" s="1"/>
  <c r="P339" i="20"/>
  <c r="P339" i="11" s="1"/>
  <c r="P351" i="20"/>
  <c r="R351" i="20" s="1"/>
  <c r="R351" i="11" s="1"/>
  <c r="P363" i="20"/>
  <c r="P375" i="20"/>
  <c r="Q292" i="20"/>
  <c r="Q321" i="20"/>
  <c r="P308" i="20"/>
  <c r="P308" i="11" s="1"/>
  <c r="P368" i="20"/>
  <c r="R368" i="20" s="1"/>
  <c r="R368" i="11" s="1"/>
  <c r="P313" i="20"/>
  <c r="R313" i="20" s="1"/>
  <c r="R313" i="11" s="1"/>
  <c r="P325" i="20"/>
  <c r="R325" i="20" s="1"/>
  <c r="R325" i="11" s="1"/>
  <c r="P337" i="20"/>
  <c r="P337" i="11" s="1"/>
  <c r="O344" i="20"/>
  <c r="O344" i="11" s="1"/>
  <c r="P349" i="20"/>
  <c r="O351" i="20"/>
  <c r="O351" i="11" s="1"/>
  <c r="O356" i="20"/>
  <c r="O356" i="11" s="1"/>
  <c r="P373" i="20"/>
  <c r="P373" i="11" s="1"/>
  <c r="P364" i="20"/>
  <c r="P364" i="11" s="1"/>
  <c r="P376" i="20"/>
  <c r="P288" i="20"/>
  <c r="P300" i="20"/>
  <c r="P341" i="20"/>
  <c r="S341" i="20" s="1"/>
  <c r="O375" i="20"/>
  <c r="O375" i="11" s="1"/>
  <c r="Q282" i="20"/>
  <c r="Q294" i="20"/>
  <c r="Q331" i="20"/>
  <c r="P320" i="20"/>
  <c r="P320" i="11" s="1"/>
  <c r="P356" i="20"/>
  <c r="R356" i="20" s="1"/>
  <c r="R356" i="11" s="1"/>
  <c r="Q281" i="20"/>
  <c r="Q293" i="20"/>
  <c r="P306" i="20"/>
  <c r="P306" i="11" s="1"/>
  <c r="P318" i="20"/>
  <c r="P318" i="11" s="1"/>
  <c r="P342" i="20"/>
  <c r="R342" i="20" s="1"/>
  <c r="R342" i="11" s="1"/>
  <c r="P354" i="20"/>
  <c r="R354" i="20" s="1"/>
  <c r="R354" i="11" s="1"/>
  <c r="P366" i="20"/>
  <c r="P366" i="11" s="1"/>
  <c r="P378" i="20"/>
  <c r="P378" i="11" s="1"/>
  <c r="O283" i="20"/>
  <c r="O289" i="20"/>
  <c r="O295" i="20"/>
  <c r="O301" i="20"/>
  <c r="Q283" i="20"/>
  <c r="Q295" i="20"/>
  <c r="Q332" i="20"/>
  <c r="R286" i="20"/>
  <c r="R286" i="11" s="1"/>
  <c r="R292" i="20"/>
  <c r="R292" i="11" s="1"/>
  <c r="R298" i="20"/>
  <c r="R298" i="11" s="1"/>
  <c r="P315" i="11"/>
  <c r="O332" i="20"/>
  <c r="O332" i="11" s="1"/>
  <c r="P344" i="20"/>
  <c r="R344" i="20" s="1"/>
  <c r="R344" i="11" s="1"/>
  <c r="P380" i="20"/>
  <c r="P380" i="11" s="1"/>
  <c r="P311" i="20"/>
  <c r="P311" i="11" s="1"/>
  <c r="P323" i="20"/>
  <c r="R323" i="20" s="1"/>
  <c r="R323" i="11" s="1"/>
  <c r="P335" i="20"/>
  <c r="P335" i="11" s="1"/>
  <c r="P347" i="20"/>
  <c r="R347" i="20" s="1"/>
  <c r="R347" i="11" s="1"/>
  <c r="P359" i="20"/>
  <c r="P371" i="20"/>
  <c r="R371" i="20" s="1"/>
  <c r="R371" i="11" s="1"/>
  <c r="O346" i="20"/>
  <c r="O346" i="11" s="1"/>
  <c r="Q284" i="20"/>
  <c r="Q296" i="20"/>
  <c r="Q333" i="20"/>
  <c r="S292" i="20"/>
  <c r="Q300" i="20"/>
  <c r="O331" i="20"/>
  <c r="O284" i="20"/>
  <c r="O296" i="20"/>
  <c r="Q285" i="20"/>
  <c r="Q297" i="20"/>
  <c r="Q288" i="20"/>
  <c r="O326" i="20"/>
  <c r="O326" i="11" s="1"/>
  <c r="O330" i="20"/>
  <c r="O330" i="11" s="1"/>
  <c r="P333" i="20"/>
  <c r="P345" i="20"/>
  <c r="S345" i="20" s="1"/>
  <c r="O352" i="20"/>
  <c r="S352" i="20" s="1"/>
  <c r="P357" i="20"/>
  <c r="P357" i="11" s="1"/>
  <c r="P330" i="20"/>
  <c r="O357" i="20"/>
  <c r="O357" i="11" s="1"/>
  <c r="Q286" i="20"/>
  <c r="Q298" i="20"/>
  <c r="Q341" i="20"/>
  <c r="O338" i="20"/>
  <c r="O338" i="11" s="1"/>
  <c r="P302" i="20"/>
  <c r="R302" i="20" s="1"/>
  <c r="R302" i="11" s="1"/>
  <c r="P314" i="20"/>
  <c r="P314" i="11" s="1"/>
  <c r="P326" i="20"/>
  <c r="P326" i="11" s="1"/>
  <c r="P338" i="20"/>
  <c r="R338" i="20" s="1"/>
  <c r="R338" i="11" s="1"/>
  <c r="P350" i="20"/>
  <c r="P362" i="20"/>
  <c r="P362" i="11" s="1"/>
  <c r="P374" i="20"/>
  <c r="P374" i="11" s="1"/>
  <c r="O325" i="20"/>
  <c r="O325" i="11" s="1"/>
  <c r="O337" i="20"/>
  <c r="O358" i="20"/>
  <c r="Q287" i="20"/>
  <c r="Q299" i="20"/>
  <c r="Q350" i="20"/>
  <c r="R317" i="20"/>
  <c r="R317" i="11" s="1"/>
  <c r="P317" i="11"/>
  <c r="P310" i="11"/>
  <c r="P307" i="11"/>
  <c r="R307" i="20"/>
  <c r="R307" i="11" s="1"/>
  <c r="R318" i="20"/>
  <c r="R318" i="11" s="1"/>
  <c r="R316" i="20"/>
  <c r="R316" i="11" s="1"/>
  <c r="P316" i="11"/>
  <c r="O304" i="20"/>
  <c r="O310" i="20"/>
  <c r="O316" i="20"/>
  <c r="Q305" i="20"/>
  <c r="Q317" i="20"/>
  <c r="Q306" i="20"/>
  <c r="Q318" i="20"/>
  <c r="Q316" i="20"/>
  <c r="O305" i="20"/>
  <c r="O311" i="20"/>
  <c r="O317" i="20"/>
  <c r="Q307" i="20"/>
  <c r="Q319" i="20"/>
  <c r="Q308" i="20"/>
  <c r="Q320" i="20"/>
  <c r="O306" i="20"/>
  <c r="O312" i="20"/>
  <c r="O318" i="20"/>
  <c r="Q309" i="20"/>
  <c r="Q310" i="20"/>
  <c r="Q304" i="20"/>
  <c r="O307" i="20"/>
  <c r="O313" i="20"/>
  <c r="O319" i="20"/>
  <c r="Q311" i="20"/>
  <c r="S309" i="20"/>
  <c r="Q312" i="20"/>
  <c r="O302" i="20"/>
  <c r="O308" i="20"/>
  <c r="O314" i="20"/>
  <c r="O320" i="20"/>
  <c r="Q313" i="20"/>
  <c r="Q302" i="20"/>
  <c r="Q314" i="20"/>
  <c r="R335" i="20"/>
  <c r="R335" i="11" s="1"/>
  <c r="O328" i="11"/>
  <c r="O336" i="11"/>
  <c r="S325" i="20"/>
  <c r="O337" i="11"/>
  <c r="R329" i="20"/>
  <c r="R329" i="11" s="1"/>
  <c r="P329" i="11"/>
  <c r="S339" i="20"/>
  <c r="O339" i="11"/>
  <c r="O333" i="11"/>
  <c r="Q322" i="20"/>
  <c r="Q334" i="20"/>
  <c r="O324" i="20"/>
  <c r="P332" i="20"/>
  <c r="Q324" i="20"/>
  <c r="Q336" i="20"/>
  <c r="Q325" i="20"/>
  <c r="Q337" i="20"/>
  <c r="Q326" i="20"/>
  <c r="Q338" i="20"/>
  <c r="P336" i="20"/>
  <c r="Q327" i="20"/>
  <c r="P322" i="20"/>
  <c r="P328" i="20"/>
  <c r="P334" i="20"/>
  <c r="P340" i="20"/>
  <c r="Q328" i="20"/>
  <c r="Q340" i="20"/>
  <c r="Q339" i="20"/>
  <c r="O323" i="20"/>
  <c r="O329" i="20"/>
  <c r="O335" i="20"/>
  <c r="Q329" i="20"/>
  <c r="Q330" i="20"/>
  <c r="P349" i="11"/>
  <c r="R349" i="20"/>
  <c r="R349" i="11" s="1"/>
  <c r="R359" i="20"/>
  <c r="R359" i="11" s="1"/>
  <c r="P359" i="11"/>
  <c r="R352" i="20"/>
  <c r="R352" i="11" s="1"/>
  <c r="R348" i="20"/>
  <c r="R348" i="11" s="1"/>
  <c r="P348" i="11"/>
  <c r="R353" i="20"/>
  <c r="R353" i="11" s="1"/>
  <c r="P353" i="11"/>
  <c r="P346" i="11"/>
  <c r="R355" i="20"/>
  <c r="R355" i="11" s="1"/>
  <c r="Q351" i="20"/>
  <c r="O345" i="11"/>
  <c r="Q353" i="20"/>
  <c r="Q354" i="20"/>
  <c r="Q343" i="20"/>
  <c r="Q355" i="20"/>
  <c r="Q342" i="20"/>
  <c r="O347" i="20"/>
  <c r="O353" i="20"/>
  <c r="O359" i="20"/>
  <c r="Q344" i="20"/>
  <c r="Q356" i="20"/>
  <c r="Q352" i="20"/>
  <c r="Q345" i="20"/>
  <c r="Q357" i="20"/>
  <c r="O342" i="20"/>
  <c r="O348" i="20"/>
  <c r="O354" i="20"/>
  <c r="O360" i="20"/>
  <c r="Q346" i="20"/>
  <c r="Q358" i="20"/>
  <c r="Q347" i="20"/>
  <c r="Q359" i="20"/>
  <c r="O343" i="20"/>
  <c r="O349" i="20"/>
  <c r="O355" i="20"/>
  <c r="Q348" i="20"/>
  <c r="Q360" i="20"/>
  <c r="Q349" i="20"/>
  <c r="P376" i="11"/>
  <c r="R376" i="20"/>
  <c r="R376" i="11" s="1"/>
  <c r="P367" i="11"/>
  <c r="R367" i="20"/>
  <c r="R367" i="11" s="1"/>
  <c r="P379" i="11"/>
  <c r="R379" i="20"/>
  <c r="R379" i="11" s="1"/>
  <c r="P372" i="11"/>
  <c r="R372" i="20"/>
  <c r="R372" i="11" s="1"/>
  <c r="P365" i="11"/>
  <c r="R365" i="20"/>
  <c r="R365" i="11" s="1"/>
  <c r="P377" i="11"/>
  <c r="P375" i="11"/>
  <c r="P368" i="11"/>
  <c r="Q370" i="20"/>
  <c r="S369" i="20"/>
  <c r="O365" i="20"/>
  <c r="O371" i="20"/>
  <c r="O377" i="20"/>
  <c r="Q373" i="20"/>
  <c r="Q362" i="20"/>
  <c r="Q374" i="20"/>
  <c r="O366" i="20"/>
  <c r="O372" i="20"/>
  <c r="O378" i="20"/>
  <c r="Q363" i="20"/>
  <c r="Q375" i="20"/>
  <c r="O370" i="20"/>
  <c r="Q364" i="20"/>
  <c r="Q376" i="20"/>
  <c r="O367" i="20"/>
  <c r="O373" i="20"/>
  <c r="O379" i="20"/>
  <c r="Q365" i="20"/>
  <c r="Q377" i="20"/>
  <c r="Q366" i="20"/>
  <c r="Q378" i="20"/>
  <c r="O362" i="20"/>
  <c r="O368" i="20"/>
  <c r="O374" i="20"/>
  <c r="O380" i="20"/>
  <c r="Q367" i="20"/>
  <c r="Q379" i="20"/>
  <c r="Q368" i="20"/>
  <c r="Q380" i="20"/>
  <c r="S361" i="20"/>
  <c r="T361" i="20" s="1"/>
  <c r="T361" i="11" s="1"/>
  <c r="R361" i="20"/>
  <c r="R361" i="11" s="1"/>
  <c r="Q361" i="20"/>
  <c r="C136" i="20"/>
  <c r="P151" i="20"/>
  <c r="R151" i="20" s="1"/>
  <c r="O237" i="20"/>
  <c r="C242" i="20"/>
  <c r="C41" i="20"/>
  <c r="C43" i="20"/>
  <c r="C35" i="20"/>
  <c r="P156" i="20"/>
  <c r="R156" i="20" s="1"/>
  <c r="P168" i="20"/>
  <c r="R168" i="20" s="1"/>
  <c r="P180" i="20"/>
  <c r="R180" i="20" s="1"/>
  <c r="P192" i="20"/>
  <c r="R192" i="20" s="1"/>
  <c r="P223" i="20"/>
  <c r="R223" i="20" s="1"/>
  <c r="P154" i="20"/>
  <c r="R154" i="20" s="1"/>
  <c r="P157" i="20"/>
  <c r="R157" i="20" s="1"/>
  <c r="C91" i="20"/>
  <c r="P243" i="20"/>
  <c r="R243" i="20" s="1"/>
  <c r="O245" i="20"/>
  <c r="C90" i="20"/>
  <c r="P155" i="20"/>
  <c r="R155" i="20" s="1"/>
  <c r="P167" i="20"/>
  <c r="R167" i="20" s="1"/>
  <c r="P179" i="20"/>
  <c r="R179" i="20" s="1"/>
  <c r="O203" i="20"/>
  <c r="O156" i="20"/>
  <c r="C114" i="20"/>
  <c r="C115" i="20"/>
  <c r="P158" i="20"/>
  <c r="R158" i="20" s="1"/>
  <c r="Q162" i="20"/>
  <c r="Q55" i="20"/>
  <c r="P160" i="20"/>
  <c r="R160" i="20" s="1"/>
  <c r="P172" i="20"/>
  <c r="R172" i="20" s="1"/>
  <c r="P184" i="20"/>
  <c r="R184" i="20" s="1"/>
  <c r="O196" i="20"/>
  <c r="P208" i="20"/>
  <c r="R208" i="20" s="1"/>
  <c r="O250" i="20"/>
  <c r="O252" i="20"/>
  <c r="Q166" i="20"/>
  <c r="C95" i="20"/>
  <c r="P220" i="20"/>
  <c r="R220" i="20" s="1"/>
  <c r="Q152" i="20"/>
  <c r="Q156" i="20"/>
  <c r="O167" i="20"/>
  <c r="S167" i="20" s="1"/>
  <c r="T167" i="20" s="1"/>
  <c r="P170" i="20"/>
  <c r="R170" i="20" s="1"/>
  <c r="P206" i="20"/>
  <c r="R206" i="20" s="1"/>
  <c r="P239" i="20"/>
  <c r="R239" i="20" s="1"/>
  <c r="O153" i="20"/>
  <c r="O157" i="20"/>
  <c r="Q170" i="20"/>
  <c r="P163" i="20"/>
  <c r="R163" i="20" s="1"/>
  <c r="O175" i="20"/>
  <c r="P187" i="20"/>
  <c r="R187" i="20" s="1"/>
  <c r="P199" i="20"/>
  <c r="R199" i="20" s="1"/>
  <c r="P230" i="20"/>
  <c r="R230" i="20" s="1"/>
  <c r="C258" i="20"/>
  <c r="P247" i="20"/>
  <c r="R247" i="20" s="1"/>
  <c r="Q153" i="20"/>
  <c r="Q157" i="20"/>
  <c r="Q174" i="20"/>
  <c r="C39" i="20"/>
  <c r="P161" i="20"/>
  <c r="R161" i="20" s="1"/>
  <c r="P173" i="20"/>
  <c r="R173" i="20" s="1"/>
  <c r="O154" i="20"/>
  <c r="O158" i="20"/>
  <c r="Q178" i="20"/>
  <c r="C47" i="20"/>
  <c r="C99" i="20"/>
  <c r="P166" i="20"/>
  <c r="R166" i="20" s="1"/>
  <c r="P178" i="20"/>
  <c r="R178" i="20" s="1"/>
  <c r="P221" i="20"/>
  <c r="R221" i="20" s="1"/>
  <c r="P249" i="20"/>
  <c r="R249" i="20" s="1"/>
  <c r="P256" i="20"/>
  <c r="R256" i="20" s="1"/>
  <c r="O179" i="20"/>
  <c r="P171" i="20"/>
  <c r="R171" i="20" s="1"/>
  <c r="P233" i="20"/>
  <c r="R233" i="20" s="1"/>
  <c r="O240" i="20"/>
  <c r="O247" i="20"/>
  <c r="Q154" i="20"/>
  <c r="Q158" i="20"/>
  <c r="Q204" i="20"/>
  <c r="P164" i="20"/>
  <c r="R164" i="20" s="1"/>
  <c r="P176" i="20"/>
  <c r="R176" i="20" s="1"/>
  <c r="O200" i="20"/>
  <c r="O151" i="20"/>
  <c r="O155" i="20"/>
  <c r="O159" i="20"/>
  <c r="Q207" i="20"/>
  <c r="P169" i="20"/>
  <c r="R169" i="20" s="1"/>
  <c r="P238" i="20"/>
  <c r="R238" i="20" s="1"/>
  <c r="P245" i="20"/>
  <c r="R245" i="20" s="1"/>
  <c r="O223" i="20"/>
  <c r="S223" i="20" s="1"/>
  <c r="T223" i="20" s="1"/>
  <c r="P162" i="20"/>
  <c r="R162" i="20" s="1"/>
  <c r="P174" i="20"/>
  <c r="R174" i="20" s="1"/>
  <c r="P229" i="20"/>
  <c r="R229" i="20" s="1"/>
  <c r="C250" i="20"/>
  <c r="Q151" i="20"/>
  <c r="Q155" i="20"/>
  <c r="Q159" i="20"/>
  <c r="Q240" i="20"/>
  <c r="C50" i="20"/>
  <c r="C108" i="20"/>
  <c r="C51" i="20"/>
  <c r="C63" i="20"/>
  <c r="C75" i="20"/>
  <c r="C61" i="20"/>
  <c r="C62" i="20"/>
  <c r="C64" i="20"/>
  <c r="C74" i="20"/>
  <c r="C86" i="20"/>
  <c r="C98" i="20"/>
  <c r="C87" i="20"/>
  <c r="C111" i="20"/>
  <c r="C122" i="20"/>
  <c r="C123" i="20"/>
  <c r="C134" i="20"/>
  <c r="O163" i="20"/>
  <c r="S171" i="20"/>
  <c r="T171" i="20" s="1"/>
  <c r="P185" i="20"/>
  <c r="R185" i="20" s="1"/>
  <c r="P197" i="20"/>
  <c r="R197" i="20" s="1"/>
  <c r="O204" i="20"/>
  <c r="C216" i="20"/>
  <c r="P218" i="20"/>
  <c r="R218" i="20" s="1"/>
  <c r="O227" i="20"/>
  <c r="C234" i="20"/>
  <c r="O254" i="20"/>
  <c r="P200" i="20"/>
  <c r="R200" i="20" s="1"/>
  <c r="P212" i="20"/>
  <c r="R212" i="20" s="1"/>
  <c r="P175" i="20"/>
  <c r="R175" i="20" s="1"/>
  <c r="O190" i="20"/>
  <c r="P209" i="20"/>
  <c r="R209" i="20" s="1"/>
  <c r="P225" i="20"/>
  <c r="R225" i="20" s="1"/>
  <c r="P236" i="20"/>
  <c r="R236" i="20" s="1"/>
  <c r="Q163" i="20"/>
  <c r="Q167" i="20"/>
  <c r="Q171" i="20"/>
  <c r="Q175" i="20"/>
  <c r="Q179" i="20"/>
  <c r="Q208" i="20"/>
  <c r="Q226" i="20"/>
  <c r="Q241" i="20"/>
  <c r="P183" i="20"/>
  <c r="R183" i="20" s="1"/>
  <c r="O195" i="20"/>
  <c r="C200" i="20"/>
  <c r="P202" i="20"/>
  <c r="R202" i="20" s="1"/>
  <c r="P204" i="20"/>
  <c r="R204" i="20" s="1"/>
  <c r="O216" i="20"/>
  <c r="C230" i="20"/>
  <c r="P234" i="20"/>
  <c r="R234" i="20" s="1"/>
  <c r="P252" i="20"/>
  <c r="R252" i="20" s="1"/>
  <c r="P259" i="20"/>
  <c r="R259" i="20" s="1"/>
  <c r="P237" i="20"/>
  <c r="R237" i="20" s="1"/>
  <c r="O160" i="20"/>
  <c r="O164" i="20"/>
  <c r="O168" i="20"/>
  <c r="O172" i="20"/>
  <c r="O176" i="20"/>
  <c r="O180" i="20"/>
  <c r="Q211" i="20"/>
  <c r="O230" i="20"/>
  <c r="S230" i="20" s="1"/>
  <c r="T230" i="20" s="1"/>
  <c r="P188" i="20"/>
  <c r="R188" i="20" s="1"/>
  <c r="P207" i="20"/>
  <c r="R207" i="20" s="1"/>
  <c r="P214" i="20"/>
  <c r="R214" i="20" s="1"/>
  <c r="P232" i="20"/>
  <c r="R232" i="20" s="1"/>
  <c r="P241" i="20"/>
  <c r="R241" i="20" s="1"/>
  <c r="O243" i="20"/>
  <c r="O257" i="20"/>
  <c r="Q212" i="20"/>
  <c r="Q243" i="20"/>
  <c r="O212" i="20"/>
  <c r="P190" i="20"/>
  <c r="R190" i="20" s="1"/>
  <c r="P196" i="20"/>
  <c r="R196" i="20" s="1"/>
  <c r="Q160" i="20"/>
  <c r="Q164" i="20"/>
  <c r="Q168" i="20"/>
  <c r="Q172" i="20"/>
  <c r="Q176" i="20"/>
  <c r="O185" i="20"/>
  <c r="Q215" i="20"/>
  <c r="Q230" i="20"/>
  <c r="P193" i="20"/>
  <c r="R193" i="20" s="1"/>
  <c r="P186" i="20"/>
  <c r="R186" i="20" s="1"/>
  <c r="P198" i="20"/>
  <c r="R198" i="20" s="1"/>
  <c r="P205" i="20"/>
  <c r="R205" i="20" s="1"/>
  <c r="P219" i="20"/>
  <c r="R219" i="20" s="1"/>
  <c r="C226" i="20"/>
  <c r="P228" i="20"/>
  <c r="R228" i="20" s="1"/>
  <c r="P248" i="20"/>
  <c r="R248" i="20" s="1"/>
  <c r="P250" i="20"/>
  <c r="R250" i="20" s="1"/>
  <c r="P255" i="20"/>
  <c r="R255" i="20" s="1"/>
  <c r="O161" i="20"/>
  <c r="O165" i="20"/>
  <c r="O169" i="20"/>
  <c r="O173" i="20"/>
  <c r="O177" i="20"/>
  <c r="O186" i="20"/>
  <c r="P216" i="20"/>
  <c r="R216" i="20" s="1"/>
  <c r="Q248" i="20"/>
  <c r="P191" i="20"/>
  <c r="R191" i="20" s="1"/>
  <c r="P210" i="20"/>
  <c r="R210" i="20" s="1"/>
  <c r="C224" i="20"/>
  <c r="C244" i="20"/>
  <c r="O246" i="20"/>
  <c r="O191" i="20"/>
  <c r="Q219" i="20"/>
  <c r="Q233" i="20"/>
  <c r="Q249" i="20"/>
  <c r="P217" i="20"/>
  <c r="R217" i="20" s="1"/>
  <c r="P226" i="20"/>
  <c r="R226" i="20" s="1"/>
  <c r="P235" i="20"/>
  <c r="R235" i="20" s="1"/>
  <c r="P253" i="20"/>
  <c r="R253" i="20" s="1"/>
  <c r="Q161" i="20"/>
  <c r="Q165" i="20"/>
  <c r="Q169" i="20"/>
  <c r="Q173" i="20"/>
  <c r="Q177" i="20"/>
  <c r="P195" i="20"/>
  <c r="R195" i="20" s="1"/>
  <c r="O220" i="20"/>
  <c r="O234" i="20"/>
  <c r="Q250" i="20"/>
  <c r="P240" i="20"/>
  <c r="R240" i="20" s="1"/>
  <c r="P211" i="20"/>
  <c r="R211" i="20" s="1"/>
  <c r="P181" i="20"/>
  <c r="R181" i="20" s="1"/>
  <c r="P189" i="20"/>
  <c r="R189" i="20" s="1"/>
  <c r="O208" i="20"/>
  <c r="S208" i="20" s="1"/>
  <c r="T208" i="20" s="1"/>
  <c r="P215" i="20"/>
  <c r="R215" i="20" s="1"/>
  <c r="P224" i="20"/>
  <c r="R224" i="20" s="1"/>
  <c r="O233" i="20"/>
  <c r="O244" i="20"/>
  <c r="O162" i="20"/>
  <c r="O166" i="20"/>
  <c r="O170" i="20"/>
  <c r="O174" i="20"/>
  <c r="O178" i="20"/>
  <c r="Q253" i="20"/>
  <c r="P182" i="20"/>
  <c r="R182" i="20" s="1"/>
  <c r="P194" i="20"/>
  <c r="R194" i="20" s="1"/>
  <c r="P201" i="20"/>
  <c r="R201" i="20" s="1"/>
  <c r="P213" i="20"/>
  <c r="R213" i="20" s="1"/>
  <c r="C220" i="20"/>
  <c r="P222" i="20"/>
  <c r="R222" i="20" s="1"/>
  <c r="P231" i="20"/>
  <c r="R231" i="20" s="1"/>
  <c r="P242" i="20"/>
  <c r="R242" i="20" s="1"/>
  <c r="P251" i="20"/>
  <c r="R251" i="20" s="1"/>
  <c r="P258" i="20"/>
  <c r="R258" i="20" s="1"/>
  <c r="P203" i="20"/>
  <c r="R203" i="20" s="1"/>
  <c r="Q256" i="20"/>
  <c r="Q190" i="20"/>
  <c r="O181" i="20"/>
  <c r="O197" i="20"/>
  <c r="S197" i="20" s="1"/>
  <c r="T197" i="20" s="1"/>
  <c r="Q186" i="20"/>
  <c r="O192" i="20"/>
  <c r="O182" i="20"/>
  <c r="O187" i="20"/>
  <c r="O198" i="20"/>
  <c r="O193" i="20"/>
  <c r="Q182" i="20"/>
  <c r="O188" i="20"/>
  <c r="Q198" i="20"/>
  <c r="O183" i="20"/>
  <c r="O194" i="20"/>
  <c r="O199" i="20"/>
  <c r="O189" i="20"/>
  <c r="O184" i="20"/>
  <c r="Q194" i="20"/>
  <c r="O224" i="20"/>
  <c r="P227" i="20"/>
  <c r="R227" i="20" s="1"/>
  <c r="Q237" i="20"/>
  <c r="C228" i="20"/>
  <c r="Q227" i="20"/>
  <c r="O231" i="20"/>
  <c r="O238" i="20"/>
  <c r="O221" i="20"/>
  <c r="Q224" i="20"/>
  <c r="O228" i="20"/>
  <c r="Q231" i="20"/>
  <c r="O235" i="20"/>
  <c r="Q238" i="20"/>
  <c r="C222" i="20"/>
  <c r="Q221" i="20"/>
  <c r="O225" i="20"/>
  <c r="Q228" i="20"/>
  <c r="O232" i="20"/>
  <c r="Q223" i="20"/>
  <c r="O222" i="20"/>
  <c r="Q235" i="20"/>
  <c r="O239" i="20"/>
  <c r="Q225" i="20"/>
  <c r="O229" i="20"/>
  <c r="Q232" i="20"/>
  <c r="O236" i="20"/>
  <c r="O226" i="20"/>
  <c r="Q239" i="20"/>
  <c r="Q229" i="20"/>
  <c r="C218" i="20"/>
  <c r="C212" i="20"/>
  <c r="O205" i="20"/>
  <c r="O209" i="20"/>
  <c r="O213" i="20"/>
  <c r="O217" i="20"/>
  <c r="C210" i="20"/>
  <c r="C208" i="20"/>
  <c r="Q205" i="20"/>
  <c r="Q209" i="20"/>
  <c r="Q213" i="20"/>
  <c r="Q217" i="20"/>
  <c r="C206" i="20"/>
  <c r="O201" i="20"/>
  <c r="O206" i="20"/>
  <c r="O210" i="20"/>
  <c r="O214" i="20"/>
  <c r="O218" i="20"/>
  <c r="C204" i="20"/>
  <c r="O202" i="20"/>
  <c r="O207" i="20"/>
  <c r="O211" i="20"/>
  <c r="O215" i="20"/>
  <c r="O219" i="20"/>
  <c r="Q216" i="20"/>
  <c r="P246" i="20"/>
  <c r="R246" i="20" s="1"/>
  <c r="O253" i="20"/>
  <c r="Q246" i="20"/>
  <c r="Q257" i="20"/>
  <c r="C256" i="20"/>
  <c r="P244" i="20"/>
  <c r="R244" i="20" s="1"/>
  <c r="Q247" i="20"/>
  <c r="O251" i="20"/>
  <c r="Q254" i="20"/>
  <c r="O258" i="20"/>
  <c r="P257" i="20"/>
  <c r="R257" i="20" s="1"/>
  <c r="P254" i="20"/>
  <c r="R254" i="20" s="1"/>
  <c r="C254" i="20"/>
  <c r="O241" i="20"/>
  <c r="Q244" i="20"/>
  <c r="O248" i="20"/>
  <c r="C252" i="20"/>
  <c r="Q251" i="20"/>
  <c r="O255" i="20"/>
  <c r="O242" i="20"/>
  <c r="Q255" i="20"/>
  <c r="O259" i="20"/>
  <c r="Q245" i="20"/>
  <c r="O249" i="20"/>
  <c r="O256" i="20"/>
  <c r="Q259" i="20"/>
  <c r="Q202" i="20"/>
  <c r="Q203" i="20"/>
  <c r="Q183" i="20"/>
  <c r="Q187" i="20"/>
  <c r="Q191" i="20"/>
  <c r="Q195" i="20"/>
  <c r="Q199" i="20"/>
  <c r="Q184" i="20"/>
  <c r="Q188" i="20"/>
  <c r="Q192" i="20"/>
  <c r="Q196" i="20"/>
  <c r="Q201" i="20"/>
  <c r="Q181" i="20"/>
  <c r="Q185" i="20"/>
  <c r="Q189" i="20"/>
  <c r="Q193" i="20"/>
  <c r="Q197" i="20"/>
  <c r="Q180" i="20"/>
  <c r="C66" i="20"/>
  <c r="C100" i="20"/>
  <c r="C124" i="20"/>
  <c r="C30" i="20"/>
  <c r="C53" i="20"/>
  <c r="Q103" i="20"/>
  <c r="C76" i="20"/>
  <c r="C31" i="20"/>
  <c r="C102" i="20"/>
  <c r="C54" i="20"/>
  <c r="C40" i="20"/>
  <c r="C88" i="20"/>
  <c r="C112" i="20"/>
  <c r="Q42" i="20"/>
  <c r="C52" i="20"/>
  <c r="C127" i="20"/>
  <c r="C121" i="20"/>
  <c r="Q69" i="20"/>
  <c r="Q81" i="20"/>
  <c r="Q93" i="20"/>
  <c r="Q105" i="20"/>
  <c r="Q117" i="20"/>
  <c r="Q129" i="20"/>
  <c r="C36" i="20"/>
  <c r="C49" i="20"/>
  <c r="C96" i="20"/>
  <c r="Q33" i="20"/>
  <c r="Q45" i="20"/>
  <c r="Q57" i="20"/>
  <c r="Q70" i="20"/>
  <c r="Q82" i="20"/>
  <c r="Q94" i="20"/>
  <c r="Q106" i="20"/>
  <c r="Q118" i="20"/>
  <c r="Q130" i="20"/>
  <c r="Q79" i="20"/>
  <c r="C109" i="20"/>
  <c r="C83" i="20"/>
  <c r="C110" i="20"/>
  <c r="C131" i="20"/>
  <c r="Q34" i="20"/>
  <c r="Q46" i="20"/>
  <c r="Q58" i="20"/>
  <c r="Q71" i="20"/>
  <c r="Q107" i="20"/>
  <c r="Q119" i="20"/>
  <c r="C48" i="20"/>
  <c r="Q60" i="20"/>
  <c r="Q72" i="20"/>
  <c r="Q84" i="20"/>
  <c r="Q120" i="20"/>
  <c r="Q132" i="20"/>
  <c r="C37" i="20"/>
  <c r="C97" i="20"/>
  <c r="C77" i="20"/>
  <c r="Q73" i="20"/>
  <c r="Q85" i="20"/>
  <c r="Q133" i="20"/>
  <c r="C65" i="20"/>
  <c r="C78" i="20"/>
  <c r="C126" i="20"/>
  <c r="Q89" i="20"/>
  <c r="Q101" i="20"/>
  <c r="Q113" i="20"/>
  <c r="Q125" i="20"/>
  <c r="Q137" i="20"/>
  <c r="Q59" i="20"/>
  <c r="F19" i="20"/>
  <c r="F15" i="20"/>
  <c r="D19" i="20"/>
  <c r="D15" i="20"/>
  <c r="J389" i="20"/>
  <c r="I389" i="20"/>
  <c r="H389" i="20"/>
  <c r="G389" i="20"/>
  <c r="F389" i="20"/>
  <c r="G389" i="11"/>
  <c r="T593" i="20" l="1"/>
  <c r="T593" i="11" s="1"/>
  <c r="S593" i="11"/>
  <c r="P529" i="11"/>
  <c r="R570" i="20"/>
  <c r="R570" i="11" s="1"/>
  <c r="R577" i="20"/>
  <c r="R577" i="11" s="1"/>
  <c r="R597" i="20"/>
  <c r="R597" i="11" s="1"/>
  <c r="S580" i="20"/>
  <c r="S580" i="11" s="1"/>
  <c r="S573" i="20"/>
  <c r="T573" i="20" s="1"/>
  <c r="T573" i="11" s="1"/>
  <c r="S586" i="20"/>
  <c r="S567" i="20"/>
  <c r="T567" i="20" s="1"/>
  <c r="T567" i="11" s="1"/>
  <c r="R539" i="20"/>
  <c r="R539" i="11" s="1"/>
  <c r="S537" i="20"/>
  <c r="S537" i="11" s="1"/>
  <c r="S530" i="20"/>
  <c r="S530" i="11" s="1"/>
  <c r="S545" i="20"/>
  <c r="S545" i="11" s="1"/>
  <c r="R591" i="20"/>
  <c r="R591" i="11" s="1"/>
  <c r="R585" i="20"/>
  <c r="R585" i="11" s="1"/>
  <c r="S578" i="20"/>
  <c r="S601" i="20"/>
  <c r="T601" i="20" s="1"/>
  <c r="T601" i="11" s="1"/>
  <c r="R551" i="20"/>
  <c r="R551" i="11" s="1"/>
  <c r="S572" i="20"/>
  <c r="S572" i="11" s="1"/>
  <c r="R553" i="20"/>
  <c r="R553" i="11" s="1"/>
  <c r="R545" i="20"/>
  <c r="R545" i="11" s="1"/>
  <c r="P595" i="11"/>
  <c r="R596" i="20"/>
  <c r="R596" i="11" s="1"/>
  <c r="S605" i="20"/>
  <c r="T605" i="20" s="1"/>
  <c r="T605" i="11" s="1"/>
  <c r="S562" i="20"/>
  <c r="R572" i="20"/>
  <c r="R572" i="11" s="1"/>
  <c r="S588" i="11"/>
  <c r="R548" i="20"/>
  <c r="R548" i="11" s="1"/>
  <c r="S556" i="20"/>
  <c r="S556" i="11" s="1"/>
  <c r="S571" i="20"/>
  <c r="S539" i="20"/>
  <c r="T539" i="20" s="1"/>
  <c r="T539" i="11" s="1"/>
  <c r="R562" i="20"/>
  <c r="R562" i="11" s="1"/>
  <c r="P580" i="11"/>
  <c r="P594" i="11"/>
  <c r="P579" i="11"/>
  <c r="S533" i="20"/>
  <c r="T533" i="20" s="1"/>
  <c r="T533" i="11" s="1"/>
  <c r="R533" i="20"/>
  <c r="R533" i="11" s="1"/>
  <c r="S532" i="20"/>
  <c r="T532" i="20" s="1"/>
  <c r="T532" i="11" s="1"/>
  <c r="S531" i="20"/>
  <c r="T531" i="20" s="1"/>
  <c r="T531" i="11" s="1"/>
  <c r="R537" i="20"/>
  <c r="R537" i="11" s="1"/>
  <c r="R556" i="20"/>
  <c r="R556" i="11" s="1"/>
  <c r="P574" i="11"/>
  <c r="R583" i="20"/>
  <c r="R583" i="11" s="1"/>
  <c r="S526" i="20"/>
  <c r="S526" i="11" s="1"/>
  <c r="S525" i="20"/>
  <c r="P530" i="11"/>
  <c r="P552" i="11"/>
  <c r="S595" i="20"/>
  <c r="T595" i="20" s="1"/>
  <c r="T595" i="11" s="1"/>
  <c r="P589" i="11"/>
  <c r="S552" i="20"/>
  <c r="T552" i="20" s="1"/>
  <c r="T552" i="11" s="1"/>
  <c r="S591" i="20"/>
  <c r="T591" i="20" s="1"/>
  <c r="T591" i="11" s="1"/>
  <c r="S608" i="20"/>
  <c r="T608" i="20" s="1"/>
  <c r="T608" i="11" s="1"/>
  <c r="S619" i="20"/>
  <c r="S619" i="11" s="1"/>
  <c r="P607" i="11"/>
  <c r="R614" i="20"/>
  <c r="R614" i="11" s="1"/>
  <c r="P612" i="11"/>
  <c r="R608" i="20"/>
  <c r="R608" i="11" s="1"/>
  <c r="P609" i="11"/>
  <c r="S617" i="20"/>
  <c r="T617" i="20" s="1"/>
  <c r="T617" i="11" s="1"/>
  <c r="S615" i="20"/>
  <c r="S615" i="11" s="1"/>
  <c r="P619" i="11"/>
  <c r="O619" i="11"/>
  <c r="S604" i="20"/>
  <c r="T604" i="20" s="1"/>
  <c r="T604" i="11" s="1"/>
  <c r="S620" i="20"/>
  <c r="S620" i="11" s="1"/>
  <c r="P621" i="11"/>
  <c r="S616" i="20"/>
  <c r="S616" i="11" s="1"/>
  <c r="P615" i="11"/>
  <c r="S614" i="20"/>
  <c r="R617" i="20"/>
  <c r="R617" i="11" s="1"/>
  <c r="S609" i="20"/>
  <c r="T609" i="20" s="1"/>
  <c r="T609" i="11" s="1"/>
  <c r="R604" i="20"/>
  <c r="R604" i="11" s="1"/>
  <c r="O605" i="11"/>
  <c r="P524" i="11"/>
  <c r="S524" i="20"/>
  <c r="T524" i="20" s="1"/>
  <c r="T524" i="11" s="1"/>
  <c r="O536" i="11"/>
  <c r="R527" i="20"/>
  <c r="R527" i="11" s="1"/>
  <c r="S536" i="11"/>
  <c r="S523" i="20"/>
  <c r="T523" i="20" s="1"/>
  <c r="T523" i="11" s="1"/>
  <c r="R540" i="20"/>
  <c r="R540" i="11" s="1"/>
  <c r="O530" i="11"/>
  <c r="S534" i="20"/>
  <c r="S534" i="11" s="1"/>
  <c r="S528" i="20"/>
  <c r="S528" i="11" s="1"/>
  <c r="O535" i="11"/>
  <c r="P534" i="11"/>
  <c r="S563" i="20"/>
  <c r="T563" i="20" s="1"/>
  <c r="T563" i="11" s="1"/>
  <c r="S529" i="20"/>
  <c r="P563" i="11"/>
  <c r="S538" i="20"/>
  <c r="S538" i="11" s="1"/>
  <c r="S165" i="20"/>
  <c r="T165" i="20" s="1"/>
  <c r="S161" i="20"/>
  <c r="T161" i="20" s="1"/>
  <c r="T599" i="20"/>
  <c r="T599" i="11" s="1"/>
  <c r="S599" i="11"/>
  <c r="S256" i="20"/>
  <c r="T256" i="20" s="1"/>
  <c r="S206" i="20"/>
  <c r="T206" i="20" s="1"/>
  <c r="S222" i="20"/>
  <c r="T222" i="20" s="1"/>
  <c r="S221" i="20"/>
  <c r="T221" i="20" s="1"/>
  <c r="S160" i="20"/>
  <c r="T160" i="20" s="1"/>
  <c r="S163" i="20"/>
  <c r="T163" i="20" s="1"/>
  <c r="P347" i="11"/>
  <c r="P293" i="11"/>
  <c r="T574" i="20"/>
  <c r="T574" i="11" s="1"/>
  <c r="P586" i="11"/>
  <c r="S252" i="20"/>
  <c r="T252" i="20" s="1"/>
  <c r="S337" i="20"/>
  <c r="S276" i="20"/>
  <c r="S611" i="20"/>
  <c r="T611" i="20" s="1"/>
  <c r="T611" i="11" s="1"/>
  <c r="S603" i="20"/>
  <c r="P342" i="11"/>
  <c r="S550" i="20"/>
  <c r="T550" i="20" s="1"/>
  <c r="T550" i="11" s="1"/>
  <c r="S547" i="11"/>
  <c r="S303" i="20"/>
  <c r="R280" i="20"/>
  <c r="R280" i="11" s="1"/>
  <c r="R611" i="20"/>
  <c r="R611" i="11" s="1"/>
  <c r="S568" i="20"/>
  <c r="T568" i="20" s="1"/>
  <c r="T568" i="11" s="1"/>
  <c r="P573" i="11"/>
  <c r="S553" i="20"/>
  <c r="R319" i="20"/>
  <c r="R319" i="11" s="1"/>
  <c r="P371" i="11"/>
  <c r="S336" i="20"/>
  <c r="R297" i="20"/>
  <c r="R297" i="11" s="1"/>
  <c r="S597" i="20"/>
  <c r="S621" i="20"/>
  <c r="T621" i="20" s="1"/>
  <c r="T621" i="11" s="1"/>
  <c r="P618" i="11"/>
  <c r="O524" i="11"/>
  <c r="S541" i="20"/>
  <c r="R366" i="20"/>
  <c r="R366" i="11" s="1"/>
  <c r="P541" i="11"/>
  <c r="S153" i="20"/>
  <c r="T153" i="20" s="1"/>
  <c r="P304" i="11"/>
  <c r="P549" i="11"/>
  <c r="S549" i="20"/>
  <c r="S577" i="20"/>
  <c r="T577" i="20" s="1"/>
  <c r="T577" i="11" s="1"/>
  <c r="S570" i="20"/>
  <c r="T570" i="20" s="1"/>
  <c r="T570" i="11" s="1"/>
  <c r="S579" i="20"/>
  <c r="S540" i="20"/>
  <c r="T540" i="20" s="1"/>
  <c r="T540" i="11" s="1"/>
  <c r="R576" i="20"/>
  <c r="R576" i="11" s="1"/>
  <c r="S297" i="20"/>
  <c r="O327" i="11"/>
  <c r="P305" i="11"/>
  <c r="P299" i="11"/>
  <c r="P575" i="11"/>
  <c r="S602" i="20"/>
  <c r="S344" i="20"/>
  <c r="S340" i="20"/>
  <c r="R290" i="20"/>
  <c r="R290" i="11" s="1"/>
  <c r="S592" i="20"/>
  <c r="S592" i="11" s="1"/>
  <c r="S542" i="11"/>
  <c r="S587" i="20"/>
  <c r="T587" i="20" s="1"/>
  <c r="T587" i="11" s="1"/>
  <c r="S610" i="20"/>
  <c r="S610" i="11" s="1"/>
  <c r="S527" i="20"/>
  <c r="S527" i="11" s="1"/>
  <c r="S170" i="20"/>
  <c r="T170" i="20" s="1"/>
  <c r="P344" i="11"/>
  <c r="R324" i="20"/>
  <c r="R324" i="11" s="1"/>
  <c r="S326" i="20"/>
  <c r="O285" i="11"/>
  <c r="S584" i="11"/>
  <c r="S554" i="20"/>
  <c r="R326" i="20"/>
  <c r="R326" i="11" s="1"/>
  <c r="S288" i="20"/>
  <c r="T288" i="20" s="1"/>
  <c r="T288" i="11" s="1"/>
  <c r="S551" i="20"/>
  <c r="T551" i="20" s="1"/>
  <c r="T551" i="11" s="1"/>
  <c r="P600" i="11"/>
  <c r="P523" i="11"/>
  <c r="S166" i="20"/>
  <c r="T166" i="20" s="1"/>
  <c r="S187" i="20"/>
  <c r="T187" i="20" s="1"/>
  <c r="S159" i="20"/>
  <c r="T159" i="20" s="1"/>
  <c r="R380" i="20"/>
  <c r="R380" i="11" s="1"/>
  <c r="R337" i="20"/>
  <c r="R337" i="11" s="1"/>
  <c r="R339" i="20"/>
  <c r="R339" i="11" s="1"/>
  <c r="S315" i="20"/>
  <c r="S376" i="20"/>
  <c r="S575" i="20"/>
  <c r="T575" i="20" s="1"/>
  <c r="T575" i="11" s="1"/>
  <c r="S155" i="20"/>
  <c r="T155" i="20" s="1"/>
  <c r="P561" i="11"/>
  <c r="R566" i="20"/>
  <c r="R566" i="11" s="1"/>
  <c r="S184" i="20"/>
  <c r="T184" i="20" s="1"/>
  <c r="S172" i="20"/>
  <c r="T172" i="20" s="1"/>
  <c r="S151" i="20"/>
  <c r="T151" i="20" s="1"/>
  <c r="S157" i="20"/>
  <c r="T157" i="20" s="1"/>
  <c r="S156" i="20"/>
  <c r="T156" i="20" s="1"/>
  <c r="P354" i="11"/>
  <c r="P325" i="11"/>
  <c r="R602" i="20"/>
  <c r="R602" i="11" s="1"/>
  <c r="S247" i="20"/>
  <c r="T247" i="20" s="1"/>
  <c r="S200" i="20"/>
  <c r="T200" i="20" s="1"/>
  <c r="S363" i="20"/>
  <c r="S561" i="20"/>
  <c r="T561" i="20" s="1"/>
  <c r="T561" i="11" s="1"/>
  <c r="S568" i="11"/>
  <c r="S622" i="20"/>
  <c r="T622" i="20" s="1"/>
  <c r="T622" i="11" s="1"/>
  <c r="O542" i="11"/>
  <c r="P587" i="11"/>
  <c r="R314" i="20"/>
  <c r="R314" i="11" s="1"/>
  <c r="R291" i="20"/>
  <c r="R291" i="11" s="1"/>
  <c r="S606" i="20"/>
  <c r="R610" i="20"/>
  <c r="R610" i="11" s="1"/>
  <c r="P302" i="11"/>
  <c r="S350" i="20"/>
  <c r="S566" i="20"/>
  <c r="T566" i="20" s="1"/>
  <c r="T566" i="11" s="1"/>
  <c r="S600" i="20"/>
  <c r="S612" i="20"/>
  <c r="O523" i="11"/>
  <c r="S598" i="20"/>
  <c r="T598" i="20" s="1"/>
  <c r="T598" i="11" s="1"/>
  <c r="S523" i="11"/>
  <c r="S595" i="11"/>
  <c r="S558" i="20"/>
  <c r="T558" i="20" s="1"/>
  <c r="T558" i="11" s="1"/>
  <c r="S569" i="20"/>
  <c r="R590" i="20"/>
  <c r="R590" i="11" s="1"/>
  <c r="S617" i="11"/>
  <c r="P543" i="11"/>
  <c r="R543" i="20"/>
  <c r="R543" i="11" s="1"/>
  <c r="P525" i="11"/>
  <c r="R525" i="20"/>
  <c r="R525" i="11" s="1"/>
  <c r="S544" i="20"/>
  <c r="S544" i="11" s="1"/>
  <c r="P569" i="11"/>
  <c r="S583" i="20"/>
  <c r="S583" i="11" s="1"/>
  <c r="R578" i="20"/>
  <c r="R578" i="11" s="1"/>
  <c r="P558" i="11"/>
  <c r="S618" i="20"/>
  <c r="S613" i="20"/>
  <c r="T613" i="20" s="1"/>
  <c r="T613" i="11" s="1"/>
  <c r="S607" i="20"/>
  <c r="O590" i="11"/>
  <c r="S590" i="20"/>
  <c r="S601" i="11"/>
  <c r="S585" i="20"/>
  <c r="S585" i="11" s="1"/>
  <c r="S596" i="20"/>
  <c r="S594" i="11"/>
  <c r="O589" i="11"/>
  <c r="S589" i="20"/>
  <c r="S582" i="20"/>
  <c r="S582" i="11" s="1"/>
  <c r="S565" i="20"/>
  <c r="T565" i="20" s="1"/>
  <c r="T565" i="11" s="1"/>
  <c r="S581" i="20"/>
  <c r="T581" i="20" s="1"/>
  <c r="T581" i="11" s="1"/>
  <c r="S560" i="20"/>
  <c r="S560" i="11" s="1"/>
  <c r="T543" i="20"/>
  <c r="T543" i="11" s="1"/>
  <c r="S543" i="11"/>
  <c r="S532" i="11"/>
  <c r="T525" i="20"/>
  <c r="T525" i="11" s="1"/>
  <c r="S525" i="11"/>
  <c r="T526" i="20"/>
  <c r="T526" i="11" s="1"/>
  <c r="T519" i="20"/>
  <c r="T519" i="11" s="1"/>
  <c r="S519" i="11"/>
  <c r="T520" i="20"/>
  <c r="T520" i="11" s="1"/>
  <c r="S520" i="11"/>
  <c r="T538" i="20"/>
  <c r="T538" i="11" s="1"/>
  <c r="T522" i="20"/>
  <c r="T522" i="11" s="1"/>
  <c r="S522" i="11"/>
  <c r="T514" i="20"/>
  <c r="T514" i="11" s="1"/>
  <c r="S514" i="11"/>
  <c r="T516" i="20"/>
  <c r="T516" i="11" s="1"/>
  <c r="S516" i="11"/>
  <c r="S539" i="11"/>
  <c r="S559" i="11"/>
  <c r="S573" i="11"/>
  <c r="T521" i="20"/>
  <c r="T521" i="11" s="1"/>
  <c r="S521" i="11"/>
  <c r="T515" i="20"/>
  <c r="T515" i="11" s="1"/>
  <c r="S515" i="11"/>
  <c r="T615" i="20"/>
  <c r="T615" i="11" s="1"/>
  <c r="T586" i="20"/>
  <c r="T586" i="11" s="1"/>
  <c r="S586" i="11"/>
  <c r="T597" i="20"/>
  <c r="T597" i="11" s="1"/>
  <c r="S597" i="11"/>
  <c r="T572" i="20"/>
  <c r="T572" i="11" s="1"/>
  <c r="T571" i="20"/>
  <c r="T571" i="11" s="1"/>
  <c r="S571" i="11"/>
  <c r="T576" i="20"/>
  <c r="T576" i="11" s="1"/>
  <c r="S576" i="11"/>
  <c r="S570" i="11"/>
  <c r="T578" i="20"/>
  <c r="T578" i="11" s="1"/>
  <c r="S578" i="11"/>
  <c r="T564" i="20"/>
  <c r="T564" i="11" s="1"/>
  <c r="S564" i="11"/>
  <c r="T556" i="20"/>
  <c r="T556" i="11" s="1"/>
  <c r="T557" i="20"/>
  <c r="T557" i="11" s="1"/>
  <c r="S557" i="11"/>
  <c r="T554" i="20"/>
  <c r="T554" i="11" s="1"/>
  <c r="S554" i="11"/>
  <c r="T562" i="20"/>
  <c r="T562" i="11" s="1"/>
  <c r="S562" i="11"/>
  <c r="T545" i="20"/>
  <c r="T545" i="11" s="1"/>
  <c r="T548" i="20"/>
  <c r="T548" i="11" s="1"/>
  <c r="S548" i="11"/>
  <c r="T555" i="20"/>
  <c r="T555" i="11" s="1"/>
  <c r="S555" i="11"/>
  <c r="T549" i="20"/>
  <c r="T549" i="11" s="1"/>
  <c r="S549" i="11"/>
  <c r="S249" i="20"/>
  <c r="T249" i="20" s="1"/>
  <c r="S238" i="20"/>
  <c r="T238" i="20" s="1"/>
  <c r="P356" i="11"/>
  <c r="S286" i="20"/>
  <c r="S286" i="11" s="1"/>
  <c r="S274" i="20"/>
  <c r="S290" i="20"/>
  <c r="T290" i="20" s="1"/>
  <c r="T290" i="11" s="1"/>
  <c r="R289" i="20"/>
  <c r="R289" i="11" s="1"/>
  <c r="R279" i="20"/>
  <c r="R279" i="11" s="1"/>
  <c r="S188" i="20"/>
  <c r="T188" i="20" s="1"/>
  <c r="P363" i="11"/>
  <c r="R274" i="20"/>
  <c r="R274" i="11" s="1"/>
  <c r="R363" i="20"/>
  <c r="R363" i="11" s="1"/>
  <c r="R285" i="20"/>
  <c r="R285" i="11" s="1"/>
  <c r="S273" i="20"/>
  <c r="S226" i="20"/>
  <c r="T226" i="20" s="1"/>
  <c r="P360" i="11"/>
  <c r="S277" i="20"/>
  <c r="S177" i="20"/>
  <c r="T177" i="20" s="1"/>
  <c r="R273" i="20"/>
  <c r="R273" i="11" s="1"/>
  <c r="S162" i="20"/>
  <c r="T162" i="20" s="1"/>
  <c r="S173" i="20"/>
  <c r="T173" i="20" s="1"/>
  <c r="S212" i="20"/>
  <c r="T212" i="20" s="1"/>
  <c r="S180" i="20"/>
  <c r="T180" i="20" s="1"/>
  <c r="S158" i="20"/>
  <c r="T158" i="20" s="1"/>
  <c r="S237" i="20"/>
  <c r="T237" i="20" s="1"/>
  <c r="P327" i="11"/>
  <c r="S245" i="20"/>
  <c r="T245" i="20" s="1"/>
  <c r="S229" i="20"/>
  <c r="T229" i="20" s="1"/>
  <c r="S235" i="20"/>
  <c r="T235" i="20" s="1"/>
  <c r="S356" i="20"/>
  <c r="S356" i="11" s="1"/>
  <c r="R320" i="20"/>
  <c r="R320" i="11" s="1"/>
  <c r="S291" i="20"/>
  <c r="S192" i="20"/>
  <c r="T192" i="20" s="1"/>
  <c r="O297" i="11"/>
  <c r="S330" i="20"/>
  <c r="T330" i="20" s="1"/>
  <c r="T330" i="11" s="1"/>
  <c r="S248" i="20"/>
  <c r="T248" i="20" s="1"/>
  <c r="S169" i="20"/>
  <c r="T169" i="20" s="1"/>
  <c r="S176" i="20"/>
  <c r="T176" i="20" s="1"/>
  <c r="S154" i="20"/>
  <c r="T154" i="20" s="1"/>
  <c r="P313" i="11"/>
  <c r="S331" i="20"/>
  <c r="S191" i="20"/>
  <c r="T191" i="20" s="1"/>
  <c r="S333" i="20"/>
  <c r="R321" i="20"/>
  <c r="R321" i="11" s="1"/>
  <c r="O282" i="11"/>
  <c r="S241" i="20"/>
  <c r="T241" i="20" s="1"/>
  <c r="S168" i="20"/>
  <c r="T168" i="20" s="1"/>
  <c r="P323" i="11"/>
  <c r="P301" i="11"/>
  <c r="S275" i="20"/>
  <c r="O278" i="11"/>
  <c r="S278" i="20"/>
  <c r="S199" i="20"/>
  <c r="T199" i="20" s="1"/>
  <c r="S164" i="20"/>
  <c r="T164" i="20" s="1"/>
  <c r="S364" i="20"/>
  <c r="R312" i="20"/>
  <c r="R312" i="11" s="1"/>
  <c r="S298" i="20"/>
  <c r="T298" i="20" s="1"/>
  <c r="T298" i="11" s="1"/>
  <c r="S300" i="20"/>
  <c r="T300" i="20" s="1"/>
  <c r="T300" i="11" s="1"/>
  <c r="O272" i="11"/>
  <c r="S272" i="20"/>
  <c r="R370" i="20"/>
  <c r="R370" i="11" s="1"/>
  <c r="R364" i="20"/>
  <c r="R364" i="11" s="1"/>
  <c r="R357" i="20"/>
  <c r="R357" i="11" s="1"/>
  <c r="R331" i="20"/>
  <c r="R331" i="11" s="1"/>
  <c r="S178" i="20"/>
  <c r="T178" i="20" s="1"/>
  <c r="S242" i="20"/>
  <c r="T242" i="20" s="1"/>
  <c r="S225" i="20"/>
  <c r="T225" i="20" s="1"/>
  <c r="S174" i="20"/>
  <c r="T174" i="20" s="1"/>
  <c r="R343" i="20"/>
  <c r="R343" i="11" s="1"/>
  <c r="O352" i="11"/>
  <c r="S351" i="20"/>
  <c r="T351" i="20" s="1"/>
  <c r="T351" i="11" s="1"/>
  <c r="S332" i="20"/>
  <c r="S332" i="11" s="1"/>
  <c r="R311" i="20"/>
  <c r="R311" i="11" s="1"/>
  <c r="P287" i="11"/>
  <c r="S279" i="20"/>
  <c r="T279" i="20" s="1"/>
  <c r="T279" i="11" s="1"/>
  <c r="T275" i="20"/>
  <c r="T275" i="11" s="1"/>
  <c r="S275" i="11"/>
  <c r="S375" i="20"/>
  <c r="T375" i="20" s="1"/>
  <c r="T375" i="11" s="1"/>
  <c r="T276" i="20"/>
  <c r="T276" i="11" s="1"/>
  <c r="S276" i="11"/>
  <c r="P345" i="11"/>
  <c r="S358" i="20"/>
  <c r="T358" i="20" s="1"/>
  <c r="T358" i="11" s="1"/>
  <c r="T280" i="20"/>
  <c r="T280" i="11" s="1"/>
  <c r="S280" i="11"/>
  <c r="R345" i="20"/>
  <c r="R345" i="11" s="1"/>
  <c r="O331" i="11"/>
  <c r="T274" i="20"/>
  <c r="T274" i="11" s="1"/>
  <c r="S274" i="11"/>
  <c r="R350" i="20"/>
  <c r="R350" i="11" s="1"/>
  <c r="P358" i="11"/>
  <c r="T273" i="20"/>
  <c r="T273" i="11" s="1"/>
  <c r="S273" i="11"/>
  <c r="O358" i="11"/>
  <c r="T277" i="20"/>
  <c r="T277" i="11" s="1"/>
  <c r="S277" i="11"/>
  <c r="S338" i="20"/>
  <c r="T338" i="20" s="1"/>
  <c r="T338" i="11" s="1"/>
  <c r="P333" i="11"/>
  <c r="R333" i="20"/>
  <c r="R333" i="11" s="1"/>
  <c r="P350" i="11"/>
  <c r="S346" i="20"/>
  <c r="R375" i="20"/>
  <c r="R375" i="11" s="1"/>
  <c r="R373" i="20"/>
  <c r="R373" i="11" s="1"/>
  <c r="R378" i="20"/>
  <c r="R378" i="11" s="1"/>
  <c r="R374" i="20"/>
  <c r="R374" i="11" s="1"/>
  <c r="R362" i="20"/>
  <c r="R362" i="11" s="1"/>
  <c r="T345" i="20"/>
  <c r="T345" i="11" s="1"/>
  <c r="S345" i="11"/>
  <c r="T341" i="20"/>
  <c r="T341" i="11" s="1"/>
  <c r="S341" i="11"/>
  <c r="T376" i="20"/>
  <c r="T376" i="11" s="1"/>
  <c r="S376" i="11"/>
  <c r="P338" i="11"/>
  <c r="T297" i="20"/>
  <c r="T297" i="11" s="1"/>
  <c r="S297" i="11"/>
  <c r="T282" i="20"/>
  <c r="T282" i="11" s="1"/>
  <c r="S282" i="11"/>
  <c r="P330" i="11"/>
  <c r="R306" i="20"/>
  <c r="R306" i="11" s="1"/>
  <c r="R330" i="20"/>
  <c r="R330" i="11" s="1"/>
  <c r="O296" i="11"/>
  <c r="S296" i="20"/>
  <c r="T285" i="20"/>
  <c r="T285" i="11" s="1"/>
  <c r="S285" i="11"/>
  <c r="R308" i="20"/>
  <c r="R308" i="11" s="1"/>
  <c r="O284" i="11"/>
  <c r="S284" i="20"/>
  <c r="T286" i="20"/>
  <c r="T286" i="11" s="1"/>
  <c r="P351" i="11"/>
  <c r="O321" i="11"/>
  <c r="S321" i="20"/>
  <c r="O299" i="11"/>
  <c r="S299" i="20"/>
  <c r="O301" i="11"/>
  <c r="S301" i="20"/>
  <c r="O293" i="11"/>
  <c r="S293" i="20"/>
  <c r="S357" i="20"/>
  <c r="O295" i="11"/>
  <c r="S295" i="20"/>
  <c r="O287" i="11"/>
  <c r="S287" i="20"/>
  <c r="O289" i="11"/>
  <c r="S289" i="20"/>
  <c r="P341" i="11"/>
  <c r="R341" i="20"/>
  <c r="R341" i="11" s="1"/>
  <c r="O281" i="11"/>
  <c r="S281" i="20"/>
  <c r="O283" i="11"/>
  <c r="S283" i="20"/>
  <c r="R300" i="20"/>
  <c r="R300" i="11" s="1"/>
  <c r="P300" i="11"/>
  <c r="T291" i="20"/>
  <c r="T291" i="11" s="1"/>
  <c r="S291" i="11"/>
  <c r="T292" i="20"/>
  <c r="T292" i="11" s="1"/>
  <c r="S292" i="11"/>
  <c r="R288" i="20"/>
  <c r="R288" i="11" s="1"/>
  <c r="P288" i="11"/>
  <c r="T294" i="20"/>
  <c r="T294" i="11" s="1"/>
  <c r="S294" i="11"/>
  <c r="S304" i="20"/>
  <c r="O304" i="11"/>
  <c r="O320" i="11"/>
  <c r="S320" i="20"/>
  <c r="O314" i="11"/>
  <c r="S314" i="20"/>
  <c r="T315" i="20"/>
  <c r="T315" i="11" s="1"/>
  <c r="S315" i="11"/>
  <c r="O308" i="11"/>
  <c r="S308" i="20"/>
  <c r="T309" i="20"/>
  <c r="T309" i="11" s="1"/>
  <c r="S309" i="11"/>
  <c r="O302" i="11"/>
  <c r="S302" i="20"/>
  <c r="T303" i="20"/>
  <c r="T303" i="11" s="1"/>
  <c r="S303" i="11"/>
  <c r="O319" i="11"/>
  <c r="S319" i="20"/>
  <c r="O313" i="11"/>
  <c r="S313" i="20"/>
  <c r="O307" i="11"/>
  <c r="S307" i="20"/>
  <c r="O318" i="11"/>
  <c r="S318" i="20"/>
  <c r="O317" i="11"/>
  <c r="S317" i="20"/>
  <c r="O312" i="11"/>
  <c r="S312" i="20"/>
  <c r="S311" i="20"/>
  <c r="O311" i="11"/>
  <c r="S310" i="20"/>
  <c r="O310" i="11"/>
  <c r="O306" i="11"/>
  <c r="S306" i="20"/>
  <c r="S305" i="20"/>
  <c r="O305" i="11"/>
  <c r="O316" i="11"/>
  <c r="S316" i="20"/>
  <c r="T340" i="20"/>
  <c r="T340" i="11" s="1"/>
  <c r="S340" i="11"/>
  <c r="R334" i="20"/>
  <c r="R334" i="11" s="1"/>
  <c r="P334" i="11"/>
  <c r="S334" i="20"/>
  <c r="S330" i="11"/>
  <c r="S329" i="20"/>
  <c r="O329" i="11"/>
  <c r="R322" i="20"/>
  <c r="R322" i="11" s="1"/>
  <c r="P322" i="11"/>
  <c r="T331" i="20"/>
  <c r="T331" i="11" s="1"/>
  <c r="S331" i="11"/>
  <c r="S335" i="20"/>
  <c r="O335" i="11"/>
  <c r="R328" i="20"/>
  <c r="R328" i="11" s="1"/>
  <c r="P328" i="11"/>
  <c r="S323" i="20"/>
  <c r="O323" i="11"/>
  <c r="T327" i="20"/>
  <c r="T327" i="11" s="1"/>
  <c r="S327" i="11"/>
  <c r="S322" i="20"/>
  <c r="T337" i="20"/>
  <c r="T337" i="11" s="1"/>
  <c r="S337" i="11"/>
  <c r="T336" i="20"/>
  <c r="T336" i="11" s="1"/>
  <c r="S336" i="11"/>
  <c r="P332" i="11"/>
  <c r="R332" i="20"/>
  <c r="R332" i="11" s="1"/>
  <c r="S328" i="20"/>
  <c r="T326" i="20"/>
  <c r="T326" i="11" s="1"/>
  <c r="S326" i="11"/>
  <c r="T333" i="20"/>
  <c r="T333" i="11" s="1"/>
  <c r="S333" i="11"/>
  <c r="T325" i="20"/>
  <c r="T325" i="11" s="1"/>
  <c r="S325" i="11"/>
  <c r="R336" i="20"/>
  <c r="R336" i="11" s="1"/>
  <c r="P336" i="11"/>
  <c r="T332" i="20"/>
  <c r="T332" i="11" s="1"/>
  <c r="O324" i="11"/>
  <c r="S324" i="20"/>
  <c r="R340" i="20"/>
  <c r="R340" i="11" s="1"/>
  <c r="P340" i="11"/>
  <c r="T339" i="20"/>
  <c r="T339" i="11" s="1"/>
  <c r="S339" i="11"/>
  <c r="S359" i="20"/>
  <c r="O359" i="11"/>
  <c r="O355" i="11"/>
  <c r="S355" i="20"/>
  <c r="S354" i="20"/>
  <c r="O354" i="11"/>
  <c r="T344" i="20"/>
  <c r="T344" i="11" s="1"/>
  <c r="S344" i="11"/>
  <c r="O349" i="11"/>
  <c r="S349" i="20"/>
  <c r="S348" i="20"/>
  <c r="O348" i="11"/>
  <c r="S347" i="20"/>
  <c r="O347" i="11"/>
  <c r="S360" i="20"/>
  <c r="O360" i="11"/>
  <c r="S353" i="20"/>
  <c r="O353" i="11"/>
  <c r="O343" i="11"/>
  <c r="S343" i="20"/>
  <c r="S342" i="20"/>
  <c r="O342" i="11"/>
  <c r="T352" i="20"/>
  <c r="T352" i="11" s="1"/>
  <c r="S352" i="11"/>
  <c r="T350" i="20"/>
  <c r="T350" i="11" s="1"/>
  <c r="S350" i="11"/>
  <c r="T356" i="20"/>
  <c r="T356" i="11" s="1"/>
  <c r="S374" i="20"/>
  <c r="O374" i="11"/>
  <c r="S379" i="20"/>
  <c r="O379" i="11"/>
  <c r="S362" i="20"/>
  <c r="O362" i="11"/>
  <c r="S367" i="20"/>
  <c r="O367" i="11"/>
  <c r="S378" i="20"/>
  <c r="O378" i="11"/>
  <c r="T369" i="20"/>
  <c r="T369" i="11" s="1"/>
  <c r="S369" i="11"/>
  <c r="S380" i="20"/>
  <c r="O380" i="11"/>
  <c r="S373" i="20"/>
  <c r="O373" i="11"/>
  <c r="S372" i="20"/>
  <c r="O372" i="11"/>
  <c r="T363" i="20"/>
  <c r="T363" i="11" s="1"/>
  <c r="S363" i="11"/>
  <c r="S366" i="20"/>
  <c r="O366" i="11"/>
  <c r="O370" i="11"/>
  <c r="S370" i="20"/>
  <c r="S368" i="20"/>
  <c r="O368" i="11"/>
  <c r="T364" i="20"/>
  <c r="T364" i="11" s="1"/>
  <c r="S364" i="11"/>
  <c r="S377" i="20"/>
  <c r="O377" i="11"/>
  <c r="S371" i="20"/>
  <c r="O371" i="11"/>
  <c r="S365" i="20"/>
  <c r="O365" i="11"/>
  <c r="S361" i="11"/>
  <c r="S243" i="20"/>
  <c r="T243" i="20" s="1"/>
  <c r="S233" i="20"/>
  <c r="T233" i="20" s="1"/>
  <c r="S179" i="20"/>
  <c r="T179" i="20" s="1"/>
  <c r="S236" i="20"/>
  <c r="T236" i="20" s="1"/>
  <c r="S220" i="20"/>
  <c r="T220" i="20" s="1"/>
  <c r="S183" i="20"/>
  <c r="T183" i="20" s="1"/>
  <c r="S259" i="20"/>
  <c r="T259" i="20" s="1"/>
  <c r="S253" i="20"/>
  <c r="T253" i="20" s="1"/>
  <c r="S217" i="20"/>
  <c r="T217" i="20" s="1"/>
  <c r="S239" i="20"/>
  <c r="T239" i="20" s="1"/>
  <c r="S216" i="20"/>
  <c r="T216" i="20" s="1"/>
  <c r="S224" i="20"/>
  <c r="T224" i="20" s="1"/>
  <c r="S231" i="20"/>
  <c r="T231" i="20" s="1"/>
  <c r="S190" i="20"/>
  <c r="T190" i="20" s="1"/>
  <c r="S232" i="20"/>
  <c r="T232" i="20" s="1"/>
  <c r="S186" i="20"/>
  <c r="T186" i="20" s="1"/>
  <c r="S214" i="20"/>
  <c r="T214" i="20" s="1"/>
  <c r="S258" i="20"/>
  <c r="T258" i="20" s="1"/>
  <c r="S255" i="20"/>
  <c r="T255" i="20" s="1"/>
  <c r="S234" i="20"/>
  <c r="T234" i="20" s="1"/>
  <c r="S209" i="20"/>
  <c r="T209" i="20" s="1"/>
  <c r="S204" i="20"/>
  <c r="T204" i="20" s="1"/>
  <c r="S203" i="20"/>
  <c r="T203" i="20" s="1"/>
  <c r="S219" i="20"/>
  <c r="T219" i="20" s="1"/>
  <c r="S215" i="20"/>
  <c r="T215" i="20" s="1"/>
  <c r="S211" i="20"/>
  <c r="T211" i="20" s="1"/>
  <c r="S210" i="20"/>
  <c r="T210" i="20" s="1"/>
  <c r="S185" i="20"/>
  <c r="T185" i="20" s="1"/>
  <c r="S193" i="20"/>
  <c r="T193" i="20" s="1"/>
  <c r="S198" i="20"/>
  <c r="T198" i="20" s="1"/>
  <c r="S189" i="20"/>
  <c r="T189" i="20" s="1"/>
  <c r="S196" i="20"/>
  <c r="T196" i="20" s="1"/>
  <c r="S218" i="20"/>
  <c r="T218" i="20" s="1"/>
  <c r="S207" i="20"/>
  <c r="T207" i="20" s="1"/>
  <c r="S228" i="20"/>
  <c r="T228" i="20" s="1"/>
  <c r="S195" i="20"/>
  <c r="T195" i="20" s="1"/>
  <c r="S201" i="20"/>
  <c r="T201" i="20" s="1"/>
  <c r="S182" i="20"/>
  <c r="T182" i="20" s="1"/>
  <c r="S202" i="20"/>
  <c r="T202" i="20" s="1"/>
  <c r="S251" i="20"/>
  <c r="T251" i="20" s="1"/>
  <c r="S213" i="20"/>
  <c r="T213" i="20" s="1"/>
  <c r="S194" i="20"/>
  <c r="T194" i="20" s="1"/>
  <c r="S250" i="20"/>
  <c r="T250" i="20" s="1"/>
  <c r="S181" i="20"/>
  <c r="T181" i="20" s="1"/>
  <c r="S205" i="20"/>
  <c r="T205" i="20" s="1"/>
  <c r="S240" i="20"/>
  <c r="T240" i="20" s="1"/>
  <c r="S175" i="20"/>
  <c r="T175" i="20" s="1"/>
  <c r="S227" i="20"/>
  <c r="T227" i="20" s="1"/>
  <c r="S257" i="20"/>
  <c r="T257" i="20" s="1"/>
  <c r="S254" i="20"/>
  <c r="T254" i="20" s="1"/>
  <c r="S244" i="20"/>
  <c r="T244" i="20" s="1"/>
  <c r="S246" i="20"/>
  <c r="T246" i="20" s="1"/>
  <c r="S26" i="11"/>
  <c r="R26" i="11"/>
  <c r="Q26" i="11"/>
  <c r="P26" i="11"/>
  <c r="O26" i="11"/>
  <c r="S147" i="11"/>
  <c r="R147" i="11"/>
  <c r="Q147" i="11"/>
  <c r="P147" i="11"/>
  <c r="O147" i="11"/>
  <c r="S268" i="11"/>
  <c r="R268" i="11"/>
  <c r="Q268" i="11"/>
  <c r="P268" i="11"/>
  <c r="O268" i="11"/>
  <c r="J389" i="11"/>
  <c r="I389" i="11"/>
  <c r="H389" i="11"/>
  <c r="F389" i="11"/>
  <c r="S510" i="11"/>
  <c r="R510" i="11"/>
  <c r="Q510" i="11"/>
  <c r="P510" i="11"/>
  <c r="O510" i="11"/>
  <c r="O510" i="20"/>
  <c r="S510" i="20"/>
  <c r="R510" i="20"/>
  <c r="Q510" i="20"/>
  <c r="P510" i="20"/>
  <c r="S268" i="20"/>
  <c r="R268" i="20"/>
  <c r="Q268" i="20"/>
  <c r="P268" i="20"/>
  <c r="O268" i="20"/>
  <c r="S147" i="20"/>
  <c r="R147" i="20"/>
  <c r="Q147" i="20"/>
  <c r="P147" i="20"/>
  <c r="O147" i="20"/>
  <c r="P26" i="20"/>
  <c r="I513" i="20"/>
  <c r="H513" i="20"/>
  <c r="F392" i="20"/>
  <c r="C392" i="20" s="1"/>
  <c r="G392" i="20"/>
  <c r="H392" i="20" s="1"/>
  <c r="B503" i="11"/>
  <c r="L513" i="20"/>
  <c r="Q513" i="20" s="1"/>
  <c r="K513" i="20"/>
  <c r="C513" i="20" s="1"/>
  <c r="G513" i="20"/>
  <c r="F513" i="20"/>
  <c r="L271" i="20"/>
  <c r="K271" i="20"/>
  <c r="H271" i="20"/>
  <c r="G271" i="20"/>
  <c r="F271" i="20"/>
  <c r="L150" i="20"/>
  <c r="K150" i="20"/>
  <c r="H150" i="20"/>
  <c r="G150" i="20"/>
  <c r="F150" i="20"/>
  <c r="S26" i="20"/>
  <c r="R26" i="20"/>
  <c r="Q26" i="20"/>
  <c r="O26" i="20"/>
  <c r="L29" i="20"/>
  <c r="K29" i="20"/>
  <c r="H29" i="20"/>
  <c r="G29" i="20"/>
  <c r="F29" i="20"/>
  <c r="D29" i="20"/>
  <c r="E19" i="20"/>
  <c r="E15" i="20"/>
  <c r="B140" i="11"/>
  <c r="B261" i="11"/>
  <c r="B382" i="11"/>
  <c r="S551" i="11" l="1"/>
  <c r="S591" i="11"/>
  <c r="S605" i="11"/>
  <c r="S567" i="11"/>
  <c r="T544" i="20"/>
  <c r="T544" i="11" s="1"/>
  <c r="T592" i="20"/>
  <c r="T592" i="11" s="1"/>
  <c r="S533" i="11"/>
  <c r="T528" i="20"/>
  <c r="T528" i="11" s="1"/>
  <c r="T537" i="20"/>
  <c r="T537" i="11" s="1"/>
  <c r="S552" i="11"/>
  <c r="S608" i="11"/>
  <c r="T527" i="20"/>
  <c r="T527" i="11" s="1"/>
  <c r="S540" i="11"/>
  <c r="S531" i="11"/>
  <c r="T585" i="20"/>
  <c r="T585" i="11" s="1"/>
  <c r="S598" i="11"/>
  <c r="S561" i="11"/>
  <c r="S524" i="11"/>
  <c r="S550" i="11"/>
  <c r="S577" i="11"/>
  <c r="S621" i="11"/>
  <c r="T580" i="20"/>
  <c r="T580" i="11" s="1"/>
  <c r="T619" i="20"/>
  <c r="T619" i="11" s="1"/>
  <c r="T530" i="20"/>
  <c r="T530" i="11" s="1"/>
  <c r="T616" i="20"/>
  <c r="T616" i="11" s="1"/>
  <c r="S604" i="11"/>
  <c r="S611" i="11"/>
  <c r="T620" i="20"/>
  <c r="T620" i="11" s="1"/>
  <c r="S614" i="11"/>
  <c r="T614" i="20"/>
  <c r="T614" i="11" s="1"/>
  <c r="S609" i="11"/>
  <c r="S622" i="11"/>
  <c r="S563" i="11"/>
  <c r="T534" i="20"/>
  <c r="T534" i="11" s="1"/>
  <c r="T529" i="20"/>
  <c r="T529" i="11" s="1"/>
  <c r="S529" i="11"/>
  <c r="S298" i="11"/>
  <c r="T541" i="20"/>
  <c r="T541" i="11" s="1"/>
  <c r="S541" i="11"/>
  <c r="S581" i="11"/>
  <c r="S579" i="11"/>
  <c r="T579" i="20"/>
  <c r="T579" i="11" s="1"/>
  <c r="T603" i="20"/>
  <c r="T603" i="11" s="1"/>
  <c r="S603" i="11"/>
  <c r="T553" i="20"/>
  <c r="T553" i="11" s="1"/>
  <c r="S553" i="11"/>
  <c r="T583" i="20"/>
  <c r="T583" i="11" s="1"/>
  <c r="T560" i="20"/>
  <c r="T560" i="11" s="1"/>
  <c r="S566" i="11"/>
  <c r="T610" i="20"/>
  <c r="T610" i="11" s="1"/>
  <c r="S606" i="11"/>
  <c r="T606" i="20"/>
  <c r="T606" i="11" s="1"/>
  <c r="S558" i="11"/>
  <c r="S288" i="11"/>
  <c r="S587" i="11"/>
  <c r="T602" i="20"/>
  <c r="T602" i="11" s="1"/>
  <c r="S602" i="11"/>
  <c r="S290" i="11"/>
  <c r="T582" i="20"/>
  <c r="T582" i="11" s="1"/>
  <c r="T600" i="20"/>
  <c r="T600" i="11" s="1"/>
  <c r="S600" i="11"/>
  <c r="S575" i="11"/>
  <c r="T618" i="20"/>
  <c r="T618" i="11" s="1"/>
  <c r="S618" i="11"/>
  <c r="S613" i="11"/>
  <c r="T569" i="20"/>
  <c r="T569" i="11" s="1"/>
  <c r="S569" i="11"/>
  <c r="S565" i="11"/>
  <c r="T612" i="20"/>
  <c r="T612" i="11" s="1"/>
  <c r="S612" i="11"/>
  <c r="T607" i="20"/>
  <c r="T607" i="11" s="1"/>
  <c r="S607" i="11"/>
  <c r="T589" i="20"/>
  <c r="T589" i="11" s="1"/>
  <c r="S589" i="11"/>
  <c r="T596" i="20"/>
  <c r="T596" i="11" s="1"/>
  <c r="S596" i="11"/>
  <c r="T590" i="20"/>
  <c r="T590" i="11" s="1"/>
  <c r="S590" i="11"/>
  <c r="S279" i="11"/>
  <c r="S300" i="11"/>
  <c r="T278" i="20"/>
  <c r="T278" i="11" s="1"/>
  <c r="S278" i="11"/>
  <c r="S375" i="11"/>
  <c r="S351" i="11"/>
  <c r="S358" i="11"/>
  <c r="T272" i="20"/>
  <c r="T272" i="11" s="1"/>
  <c r="S272" i="11"/>
  <c r="S338" i="11"/>
  <c r="T346" i="20"/>
  <c r="T346" i="11" s="1"/>
  <c r="S346" i="11"/>
  <c r="T301" i="20"/>
  <c r="T301" i="11" s="1"/>
  <c r="S301" i="11"/>
  <c r="T299" i="20"/>
  <c r="T299" i="11" s="1"/>
  <c r="S299" i="11"/>
  <c r="T296" i="20"/>
  <c r="T296" i="11" s="1"/>
  <c r="S296" i="11"/>
  <c r="T289" i="20"/>
  <c r="T289" i="11" s="1"/>
  <c r="S289" i="11"/>
  <c r="T321" i="20"/>
  <c r="T321" i="11" s="1"/>
  <c r="S321" i="11"/>
  <c r="T287" i="20"/>
  <c r="T287" i="11" s="1"/>
  <c r="S287" i="11"/>
  <c r="T283" i="20"/>
  <c r="T283" i="11" s="1"/>
  <c r="S283" i="11"/>
  <c r="T295" i="20"/>
  <c r="T295" i="11" s="1"/>
  <c r="S295" i="11"/>
  <c r="S357" i="11"/>
  <c r="T357" i="20"/>
  <c r="T357" i="11" s="1"/>
  <c r="T284" i="20"/>
  <c r="T284" i="11" s="1"/>
  <c r="S284" i="11"/>
  <c r="T293" i="20"/>
  <c r="T293" i="11" s="1"/>
  <c r="S293" i="11"/>
  <c r="T281" i="20"/>
  <c r="T281" i="11" s="1"/>
  <c r="S281" i="11"/>
  <c r="T318" i="20"/>
  <c r="T318" i="11" s="1"/>
  <c r="S318" i="11"/>
  <c r="T305" i="20"/>
  <c r="T305" i="11" s="1"/>
  <c r="S305" i="11"/>
  <c r="T307" i="20"/>
  <c r="T307" i="11" s="1"/>
  <c r="S307" i="11"/>
  <c r="T306" i="20"/>
  <c r="T306" i="11" s="1"/>
  <c r="S306" i="11"/>
  <c r="T313" i="20"/>
  <c r="T313" i="11" s="1"/>
  <c r="S313" i="11"/>
  <c r="T310" i="20"/>
  <c r="T310" i="11" s="1"/>
  <c r="S310" i="11"/>
  <c r="T319" i="20"/>
  <c r="T319" i="11" s="1"/>
  <c r="S319" i="11"/>
  <c r="T314" i="20"/>
  <c r="T314" i="11" s="1"/>
  <c r="S314" i="11"/>
  <c r="T308" i="20"/>
  <c r="T308" i="11" s="1"/>
  <c r="S308" i="11"/>
  <c r="T311" i="20"/>
  <c r="T311" i="11" s="1"/>
  <c r="S311" i="11"/>
  <c r="T312" i="20"/>
  <c r="T312" i="11" s="1"/>
  <c r="S312" i="11"/>
  <c r="T320" i="20"/>
  <c r="T320" i="11" s="1"/>
  <c r="S320" i="11"/>
  <c r="T316" i="20"/>
  <c r="T316" i="11" s="1"/>
  <c r="S316" i="11"/>
  <c r="T317" i="20"/>
  <c r="T317" i="11" s="1"/>
  <c r="S317" i="11"/>
  <c r="T302" i="20"/>
  <c r="T302" i="11" s="1"/>
  <c r="S302" i="11"/>
  <c r="T304" i="20"/>
  <c r="T304" i="11" s="1"/>
  <c r="S304" i="11"/>
  <c r="T322" i="20"/>
  <c r="T322" i="11" s="1"/>
  <c r="S322" i="11"/>
  <c r="T323" i="20"/>
  <c r="T323" i="11" s="1"/>
  <c r="S323" i="11"/>
  <c r="T324" i="20"/>
  <c r="T324" i="11" s="1"/>
  <c r="S324" i="11"/>
  <c r="T328" i="20"/>
  <c r="T328" i="11" s="1"/>
  <c r="S328" i="11"/>
  <c r="T334" i="20"/>
  <c r="T334" i="11" s="1"/>
  <c r="S334" i="11"/>
  <c r="T329" i="20"/>
  <c r="T329" i="11" s="1"/>
  <c r="S329" i="11"/>
  <c r="T335" i="20"/>
  <c r="T335" i="11" s="1"/>
  <c r="S335" i="11"/>
  <c r="T348" i="20"/>
  <c r="T348" i="11" s="1"/>
  <c r="S348" i="11"/>
  <c r="T349" i="20"/>
  <c r="T349" i="11" s="1"/>
  <c r="S349" i="11"/>
  <c r="T342" i="20"/>
  <c r="T342" i="11" s="1"/>
  <c r="S342" i="11"/>
  <c r="T343" i="20"/>
  <c r="T343" i="11" s="1"/>
  <c r="S343" i="11"/>
  <c r="T353" i="20"/>
  <c r="T353" i="11" s="1"/>
  <c r="S353" i="11"/>
  <c r="T354" i="20"/>
  <c r="T354" i="11" s="1"/>
  <c r="S354" i="11"/>
  <c r="T355" i="20"/>
  <c r="T355" i="11" s="1"/>
  <c r="S355" i="11"/>
  <c r="T360" i="20"/>
  <c r="T360" i="11" s="1"/>
  <c r="S360" i="11"/>
  <c r="T347" i="20"/>
  <c r="T347" i="11" s="1"/>
  <c r="S347" i="11"/>
  <c r="T359" i="20"/>
  <c r="T359" i="11" s="1"/>
  <c r="S359" i="11"/>
  <c r="T365" i="20"/>
  <c r="T365" i="11" s="1"/>
  <c r="S365" i="11"/>
  <c r="T366" i="20"/>
  <c r="T366" i="11" s="1"/>
  <c r="S366" i="11"/>
  <c r="T378" i="20"/>
  <c r="T378" i="11" s="1"/>
  <c r="S378" i="11"/>
  <c r="T371" i="20"/>
  <c r="T371" i="11" s="1"/>
  <c r="S371" i="11"/>
  <c r="T367" i="20"/>
  <c r="T367" i="11" s="1"/>
  <c r="S367" i="11"/>
  <c r="T377" i="20"/>
  <c r="T377" i="11" s="1"/>
  <c r="S377" i="11"/>
  <c r="T372" i="20"/>
  <c r="T372" i="11" s="1"/>
  <c r="S372" i="11"/>
  <c r="T362" i="20"/>
  <c r="T362" i="11" s="1"/>
  <c r="S362" i="11"/>
  <c r="T373" i="20"/>
  <c r="T373" i="11" s="1"/>
  <c r="S373" i="11"/>
  <c r="T368" i="20"/>
  <c r="T368" i="11" s="1"/>
  <c r="S368" i="11"/>
  <c r="T380" i="20"/>
  <c r="T380" i="11" s="1"/>
  <c r="S380" i="11"/>
  <c r="T379" i="20"/>
  <c r="T379" i="11" s="1"/>
  <c r="S379" i="11"/>
  <c r="T370" i="20"/>
  <c r="T370" i="11" s="1"/>
  <c r="S370" i="11"/>
  <c r="T374" i="20"/>
  <c r="T374" i="11" s="1"/>
  <c r="S374" i="11"/>
  <c r="I398" i="11"/>
  <c r="I410" i="11"/>
  <c r="I416" i="11"/>
  <c r="I422" i="11"/>
  <c r="I434" i="11"/>
  <c r="I446" i="11"/>
  <c r="I458" i="11"/>
  <c r="I470" i="11"/>
  <c r="I488" i="11"/>
  <c r="I494" i="11"/>
  <c r="I500" i="11"/>
  <c r="I399" i="11"/>
  <c r="I405" i="11"/>
  <c r="I411" i="11"/>
  <c r="I417" i="11"/>
  <c r="I423" i="11"/>
  <c r="I429" i="11"/>
  <c r="I435" i="11"/>
  <c r="I441" i="11"/>
  <c r="I447" i="11"/>
  <c r="I453" i="11"/>
  <c r="I459" i="11"/>
  <c r="I465" i="11"/>
  <c r="I471" i="11"/>
  <c r="I477" i="11"/>
  <c r="I489" i="11"/>
  <c r="I501" i="11"/>
  <c r="I400" i="11"/>
  <c r="I406" i="11"/>
  <c r="I412" i="11"/>
  <c r="I418" i="11"/>
  <c r="I424" i="11"/>
  <c r="I430" i="11"/>
  <c r="I436" i="11"/>
  <c r="I442" i="11"/>
  <c r="I454" i="11"/>
  <c r="I466" i="11"/>
  <c r="I472" i="11"/>
  <c r="I478" i="11"/>
  <c r="I490" i="11"/>
  <c r="I496" i="11"/>
  <c r="I395" i="11"/>
  <c r="I401" i="11"/>
  <c r="I407" i="11"/>
  <c r="I413" i="11"/>
  <c r="I419" i="11"/>
  <c r="I425" i="11"/>
  <c r="I431" i="11"/>
  <c r="I437" i="11"/>
  <c r="I443" i="11"/>
  <c r="I449" i="11"/>
  <c r="I455" i="11"/>
  <c r="I461" i="11"/>
  <c r="I467" i="11"/>
  <c r="I473" i="11"/>
  <c r="I479" i="11"/>
  <c r="I485" i="11"/>
  <c r="I497" i="11"/>
  <c r="I396" i="11"/>
  <c r="I402" i="11"/>
  <c r="I408" i="11"/>
  <c r="I420" i="11"/>
  <c r="I426" i="11"/>
  <c r="I438" i="11"/>
  <c r="I450" i="11"/>
  <c r="I456" i="11"/>
  <c r="I462" i="11"/>
  <c r="I474" i="11"/>
  <c r="I480" i="11"/>
  <c r="I486" i="11"/>
  <c r="I498" i="11"/>
  <c r="I397" i="11"/>
  <c r="I403" i="11"/>
  <c r="I409" i="11"/>
  <c r="I415" i="11"/>
  <c r="I421" i="11"/>
  <c r="I427" i="11"/>
  <c r="I433" i="11"/>
  <c r="I439" i="11"/>
  <c r="I445" i="11"/>
  <c r="I451" i="11"/>
  <c r="I457" i="11"/>
  <c r="I463" i="11"/>
  <c r="I469" i="11"/>
  <c r="I475" i="11"/>
  <c r="I481" i="11"/>
  <c r="I493" i="11"/>
  <c r="I499" i="11"/>
  <c r="I393" i="11"/>
  <c r="C29" i="20"/>
  <c r="Q29" i="20"/>
  <c r="O235" i="11"/>
  <c r="P40" i="20"/>
  <c r="P40" i="11" s="1"/>
  <c r="P52" i="20"/>
  <c r="P52" i="11" s="1"/>
  <c r="P88" i="20"/>
  <c r="P88" i="11" s="1"/>
  <c r="P100" i="20"/>
  <c r="P100" i="11" s="1"/>
  <c r="P112" i="20"/>
  <c r="P112" i="11" s="1"/>
  <c r="P187" i="11"/>
  <c r="P199" i="11"/>
  <c r="P212" i="11"/>
  <c r="P224" i="11"/>
  <c r="P236" i="11"/>
  <c r="P36" i="20"/>
  <c r="P36" i="11" s="1"/>
  <c r="P155" i="11"/>
  <c r="J501" i="11"/>
  <c r="P38" i="20"/>
  <c r="P38" i="11" s="1"/>
  <c r="P202" i="11"/>
  <c r="P214" i="11"/>
  <c r="O41" i="20"/>
  <c r="O41" i="11" s="1"/>
  <c r="P33" i="20"/>
  <c r="P45" i="20"/>
  <c r="P45" i="11" s="1"/>
  <c r="P57" i="20"/>
  <c r="P57" i="11" s="1"/>
  <c r="P81" i="20"/>
  <c r="P81" i="11" s="1"/>
  <c r="P93" i="20"/>
  <c r="P93" i="11" s="1"/>
  <c r="P105" i="20"/>
  <c r="P105" i="11" s="1"/>
  <c r="P117" i="20"/>
  <c r="P117" i="11" s="1"/>
  <c r="P129" i="20"/>
  <c r="P129" i="11" s="1"/>
  <c r="P158" i="11"/>
  <c r="P182" i="11"/>
  <c r="P194" i="11"/>
  <c r="P207" i="11"/>
  <c r="P219" i="11"/>
  <c r="P231" i="11"/>
  <c r="O211" i="11"/>
  <c r="O53" i="20"/>
  <c r="O53" i="11" s="1"/>
  <c r="O223" i="11"/>
  <c r="P35" i="20"/>
  <c r="P35" i="11" s="1"/>
  <c r="P156" i="11"/>
  <c r="O205" i="11"/>
  <c r="O217" i="11"/>
  <c r="O229" i="11"/>
  <c r="P90" i="20"/>
  <c r="P90" i="11" s="1"/>
  <c r="P102" i="20"/>
  <c r="P102" i="11" s="1"/>
  <c r="P114" i="20"/>
  <c r="P114" i="11" s="1"/>
  <c r="P210" i="11"/>
  <c r="P234" i="11"/>
  <c r="P246" i="11"/>
  <c r="P85" i="20"/>
  <c r="P85" i="11" s="1"/>
  <c r="P97" i="20"/>
  <c r="P97" i="11" s="1"/>
  <c r="P109" i="20"/>
  <c r="P109" i="11" s="1"/>
  <c r="P154" i="11"/>
  <c r="O163" i="11"/>
  <c r="P203" i="11"/>
  <c r="P215" i="11"/>
  <c r="P227" i="11"/>
  <c r="P239" i="11"/>
  <c r="P32" i="20"/>
  <c r="P159" i="11"/>
  <c r="P121" i="20"/>
  <c r="P121" i="11" s="1"/>
  <c r="P37" i="20"/>
  <c r="P37" i="11" s="1"/>
  <c r="P34" i="20"/>
  <c r="P34" i="11" s="1"/>
  <c r="P82" i="20"/>
  <c r="P82" i="11" s="1"/>
  <c r="P94" i="20"/>
  <c r="P94" i="11" s="1"/>
  <c r="P106" i="20"/>
  <c r="P106" i="11" s="1"/>
  <c r="P118" i="20"/>
  <c r="P118" i="11" s="1"/>
  <c r="P157" i="11"/>
  <c r="P181" i="11"/>
  <c r="O193" i="11"/>
  <c r="P206" i="11"/>
  <c r="P218" i="11"/>
  <c r="P230" i="11"/>
  <c r="P242" i="11"/>
  <c r="P254" i="11"/>
  <c r="P44" i="20"/>
  <c r="P44" i="11" s="1"/>
  <c r="P56" i="20"/>
  <c r="P56" i="11" s="1"/>
  <c r="P80" i="20"/>
  <c r="P80" i="11" s="1"/>
  <c r="P92" i="20"/>
  <c r="P92" i="11" s="1"/>
  <c r="P104" i="20"/>
  <c r="P104" i="11" s="1"/>
  <c r="P116" i="20"/>
  <c r="P116" i="11" s="1"/>
  <c r="P183" i="11"/>
  <c r="P195" i="11"/>
  <c r="O208" i="11"/>
  <c r="O220" i="11"/>
  <c r="O232" i="11"/>
  <c r="O35" i="20"/>
  <c r="O35" i="11" s="1"/>
  <c r="O102" i="20"/>
  <c r="O102" i="11" s="1"/>
  <c r="O154" i="11"/>
  <c r="O187" i="11"/>
  <c r="O166" i="11"/>
  <c r="P87" i="20"/>
  <c r="P87" i="11" s="1"/>
  <c r="O92" i="20"/>
  <c r="O92" i="11" s="1"/>
  <c r="P99" i="20"/>
  <c r="P99" i="11" s="1"/>
  <c r="P111" i="20"/>
  <c r="P111" i="11" s="1"/>
  <c r="O123" i="20"/>
  <c r="O123" i="11" s="1"/>
  <c r="O185" i="11"/>
  <c r="P188" i="11"/>
  <c r="P190" i="11"/>
  <c r="P192" i="11"/>
  <c r="O197" i="11"/>
  <c r="O203" i="11"/>
  <c r="P208" i="11"/>
  <c r="P213" i="11"/>
  <c r="O215" i="11"/>
  <c r="P220" i="11"/>
  <c r="P225" i="11"/>
  <c r="O227" i="11"/>
  <c r="P232" i="11"/>
  <c r="P237" i="11"/>
  <c r="O239" i="11"/>
  <c r="P249" i="11"/>
  <c r="O199" i="11"/>
  <c r="O36" i="20"/>
  <c r="O36" i="11" s="1"/>
  <c r="O104" i="20"/>
  <c r="O104" i="11" s="1"/>
  <c r="O155" i="11"/>
  <c r="P89" i="20"/>
  <c r="P89" i="11" s="1"/>
  <c r="P113" i="20"/>
  <c r="P113" i="11" s="1"/>
  <c r="O186" i="11"/>
  <c r="O198" i="11"/>
  <c r="P211" i="11"/>
  <c r="P223" i="11"/>
  <c r="P235" i="11"/>
  <c r="O109" i="20"/>
  <c r="O109" i="11" s="1"/>
  <c r="P179" i="11"/>
  <c r="P191" i="11"/>
  <c r="O204" i="11"/>
  <c r="O216" i="11"/>
  <c r="O228" i="11"/>
  <c r="O240" i="11"/>
  <c r="O37" i="20"/>
  <c r="O37" i="11" s="1"/>
  <c r="O114" i="20"/>
  <c r="O114" i="11" s="1"/>
  <c r="O156" i="11"/>
  <c r="O46" i="20"/>
  <c r="O46" i="11" s="1"/>
  <c r="P84" i="20"/>
  <c r="P84" i="11" s="1"/>
  <c r="P96" i="20"/>
  <c r="P96" i="11" s="1"/>
  <c r="P103" i="20"/>
  <c r="P103" i="11" s="1"/>
  <c r="P108" i="20"/>
  <c r="P108" i="11" s="1"/>
  <c r="P115" i="20"/>
  <c r="P115" i="11" s="1"/>
  <c r="P120" i="20"/>
  <c r="P120" i="11" s="1"/>
  <c r="P127" i="20"/>
  <c r="P127" i="11" s="1"/>
  <c r="O160" i="11"/>
  <c r="P162" i="11"/>
  <c r="O167" i="11"/>
  <c r="O172" i="11"/>
  <c r="P174" i="11"/>
  <c r="O179" i="11"/>
  <c r="O184" i="11"/>
  <c r="P186" i="11"/>
  <c r="O191" i="11"/>
  <c r="O196" i="11"/>
  <c r="P198" i="11"/>
  <c r="P204" i="11"/>
  <c r="P209" i="11"/>
  <c r="P216" i="11"/>
  <c r="P221" i="11"/>
  <c r="P228" i="11"/>
  <c r="P233" i="11"/>
  <c r="P240" i="11"/>
  <c r="P245" i="11"/>
  <c r="O252" i="11"/>
  <c r="P257" i="11"/>
  <c r="P31" i="20"/>
  <c r="O60" i="20"/>
  <c r="O60" i="11" s="1"/>
  <c r="P91" i="20"/>
  <c r="P91" i="11" s="1"/>
  <c r="P46" i="20"/>
  <c r="P46" i="11" s="1"/>
  <c r="P86" i="20"/>
  <c r="P86" i="11" s="1"/>
  <c r="P98" i="20"/>
  <c r="P98" i="11" s="1"/>
  <c r="P110" i="20"/>
  <c r="P110" i="11" s="1"/>
  <c r="P134" i="20"/>
  <c r="P134" i="11" s="1"/>
  <c r="P153" i="11"/>
  <c r="P165" i="11"/>
  <c r="P177" i="11"/>
  <c r="P189" i="11"/>
  <c r="O202" i="11"/>
  <c r="O214" i="11"/>
  <c r="O226" i="11"/>
  <c r="O238" i="11"/>
  <c r="P250" i="11"/>
  <c r="O38" i="20"/>
  <c r="O38" i="11" s="1"/>
  <c r="O116" i="20"/>
  <c r="O116" i="11" s="1"/>
  <c r="O157" i="11"/>
  <c r="O121" i="20"/>
  <c r="O121" i="11" s="1"/>
  <c r="P226" i="11"/>
  <c r="P200" i="11"/>
  <c r="O32" i="20"/>
  <c r="O32" i="11" s="1"/>
  <c r="O85" i="20"/>
  <c r="O85" i="11" s="1"/>
  <c r="O158" i="11"/>
  <c r="P47" i="20"/>
  <c r="P47" i="11" s="1"/>
  <c r="P83" i="20"/>
  <c r="P83" i="11" s="1"/>
  <c r="P95" i="20"/>
  <c r="P95" i="11" s="1"/>
  <c r="P107" i="20"/>
  <c r="P107" i="11" s="1"/>
  <c r="P119" i="20"/>
  <c r="P119" i="11" s="1"/>
  <c r="P131" i="20"/>
  <c r="P131" i="11" s="1"/>
  <c r="O192" i="11"/>
  <c r="P205" i="11"/>
  <c r="P217" i="11"/>
  <c r="P229" i="11"/>
  <c r="P241" i="11"/>
  <c r="O90" i="20"/>
  <c r="O90" i="11" s="1"/>
  <c r="P126" i="20"/>
  <c r="P126" i="11" s="1"/>
  <c r="P138" i="20"/>
  <c r="P138" i="11" s="1"/>
  <c r="P185" i="11"/>
  <c r="P197" i="11"/>
  <c r="O210" i="11"/>
  <c r="O234" i="11"/>
  <c r="O246" i="11"/>
  <c r="P258" i="11"/>
  <c r="O34" i="20"/>
  <c r="O34" i="11" s="1"/>
  <c r="O159" i="11"/>
  <c r="P238" i="11"/>
  <c r="O178" i="11"/>
  <c r="O190" i="11"/>
  <c r="O97" i="20"/>
  <c r="O97" i="11" s="1"/>
  <c r="O241" i="11"/>
  <c r="P222" i="11"/>
  <c r="P59" i="20"/>
  <c r="P59" i="11" s="1"/>
  <c r="P42" i="20"/>
  <c r="P42" i="11" s="1"/>
  <c r="P54" i="20"/>
  <c r="P54" i="11" s="1"/>
  <c r="P49" i="20"/>
  <c r="P49" i="11" s="1"/>
  <c r="O40" i="20"/>
  <c r="O40" i="11" s="1"/>
  <c r="P39" i="20"/>
  <c r="P39" i="11" s="1"/>
  <c r="O42" i="20"/>
  <c r="O42" i="11" s="1"/>
  <c r="P51" i="20"/>
  <c r="P51" i="11" s="1"/>
  <c r="O54" i="20"/>
  <c r="O54" i="11" s="1"/>
  <c r="O80" i="20"/>
  <c r="O80" i="11" s="1"/>
  <c r="O52" i="20"/>
  <c r="O52" i="11" s="1"/>
  <c r="P41" i="20"/>
  <c r="P41" i="11" s="1"/>
  <c r="P53" i="20"/>
  <c r="P53" i="11" s="1"/>
  <c r="P101" i="20"/>
  <c r="P101" i="11" s="1"/>
  <c r="P48" i="20"/>
  <c r="P48" i="11" s="1"/>
  <c r="P43" i="20"/>
  <c r="P43" i="11" s="1"/>
  <c r="O48" i="20"/>
  <c r="O48" i="11" s="1"/>
  <c r="P55" i="20"/>
  <c r="P55" i="11" s="1"/>
  <c r="O58" i="20"/>
  <c r="O58" i="11" s="1"/>
  <c r="P50" i="20"/>
  <c r="P50" i="11" s="1"/>
  <c r="P58" i="20"/>
  <c r="P58" i="11" s="1"/>
  <c r="O122" i="20"/>
  <c r="O122" i="11" s="1"/>
  <c r="P170" i="11"/>
  <c r="P163" i="11"/>
  <c r="P175" i="11"/>
  <c r="O175" i="11"/>
  <c r="P243" i="11"/>
  <c r="O168" i="11"/>
  <c r="O180" i="11"/>
  <c r="P161" i="11"/>
  <c r="P173" i="11"/>
  <c r="O222" i="11"/>
  <c r="P171" i="11"/>
  <c r="O161" i="11"/>
  <c r="P164" i="11"/>
  <c r="P166" i="11"/>
  <c r="P168" i="11"/>
  <c r="O173" i="11"/>
  <c r="P176" i="11"/>
  <c r="P178" i="11"/>
  <c r="P180" i="11"/>
  <c r="P201" i="11"/>
  <c r="O169" i="11"/>
  <c r="O162" i="11"/>
  <c r="O174" i="11"/>
  <c r="P167" i="11"/>
  <c r="O31" i="20"/>
  <c r="O31" i="11" s="1"/>
  <c r="O33" i="20"/>
  <c r="O33" i="11" s="1"/>
  <c r="O47" i="20"/>
  <c r="O47" i="11" s="1"/>
  <c r="O59" i="20"/>
  <c r="O59" i="11" s="1"/>
  <c r="O91" i="20"/>
  <c r="O91" i="11" s="1"/>
  <c r="O103" i="20"/>
  <c r="O103" i="11" s="1"/>
  <c r="O115" i="20"/>
  <c r="O115" i="11" s="1"/>
  <c r="P124" i="20"/>
  <c r="P124" i="11" s="1"/>
  <c r="P136" i="20"/>
  <c r="P136" i="11" s="1"/>
  <c r="O96" i="20"/>
  <c r="O96" i="11" s="1"/>
  <c r="O86" i="20"/>
  <c r="O86" i="11" s="1"/>
  <c r="O98" i="20"/>
  <c r="O98" i="11" s="1"/>
  <c r="O110" i="20"/>
  <c r="O110" i="11" s="1"/>
  <c r="O66" i="20"/>
  <c r="O66" i="11" s="1"/>
  <c r="P122" i="20"/>
  <c r="P122" i="11" s="1"/>
  <c r="O84" i="20"/>
  <c r="O84" i="11" s="1"/>
  <c r="O120" i="20"/>
  <c r="O120" i="11" s="1"/>
  <c r="P61" i="20"/>
  <c r="P61" i="11" s="1"/>
  <c r="P73" i="20"/>
  <c r="P73" i="11" s="1"/>
  <c r="P133" i="20"/>
  <c r="P133" i="11" s="1"/>
  <c r="O43" i="20"/>
  <c r="O43" i="11" s="1"/>
  <c r="O49" i="20"/>
  <c r="O49" i="11" s="1"/>
  <c r="O55" i="20"/>
  <c r="O55" i="11" s="1"/>
  <c r="O81" i="20"/>
  <c r="O81" i="11" s="1"/>
  <c r="O87" i="20"/>
  <c r="O87" i="11" s="1"/>
  <c r="O93" i="20"/>
  <c r="O93" i="11" s="1"/>
  <c r="O99" i="20"/>
  <c r="O99" i="11" s="1"/>
  <c r="O105" i="20"/>
  <c r="O105" i="11" s="1"/>
  <c r="O111" i="20"/>
  <c r="O111" i="11" s="1"/>
  <c r="O117" i="20"/>
  <c r="O117" i="11" s="1"/>
  <c r="O129" i="20"/>
  <c r="O129" i="11" s="1"/>
  <c r="P128" i="20"/>
  <c r="P128" i="11" s="1"/>
  <c r="O44" i="20"/>
  <c r="O44" i="11" s="1"/>
  <c r="O50" i="20"/>
  <c r="O50" i="11" s="1"/>
  <c r="O56" i="20"/>
  <c r="O56" i="11" s="1"/>
  <c r="O82" i="20"/>
  <c r="O82" i="11" s="1"/>
  <c r="O88" i="20"/>
  <c r="O88" i="11" s="1"/>
  <c r="O94" i="20"/>
  <c r="O94" i="11" s="1"/>
  <c r="O100" i="20"/>
  <c r="O100" i="11" s="1"/>
  <c r="O106" i="20"/>
  <c r="O106" i="11" s="1"/>
  <c r="O112" i="20"/>
  <c r="O112" i="11" s="1"/>
  <c r="O118" i="20"/>
  <c r="O118" i="11" s="1"/>
  <c r="P130" i="20"/>
  <c r="P130" i="11" s="1"/>
  <c r="O108" i="20"/>
  <c r="O108" i="11" s="1"/>
  <c r="P135" i="20"/>
  <c r="P135" i="11" s="1"/>
  <c r="P125" i="20"/>
  <c r="P125" i="11" s="1"/>
  <c r="P137" i="20"/>
  <c r="P137" i="11" s="1"/>
  <c r="O39" i="20"/>
  <c r="O39" i="11" s="1"/>
  <c r="O45" i="20"/>
  <c r="O45" i="11" s="1"/>
  <c r="O51" i="20"/>
  <c r="O51" i="11" s="1"/>
  <c r="O57" i="20"/>
  <c r="O57" i="11" s="1"/>
  <c r="O83" i="20"/>
  <c r="O83" i="11" s="1"/>
  <c r="O89" i="20"/>
  <c r="O89" i="11" s="1"/>
  <c r="O95" i="20"/>
  <c r="O95" i="11" s="1"/>
  <c r="O101" i="20"/>
  <c r="O101" i="11" s="1"/>
  <c r="O107" i="20"/>
  <c r="O107" i="11" s="1"/>
  <c r="O113" i="20"/>
  <c r="O113" i="11" s="1"/>
  <c r="O119" i="20"/>
  <c r="O119" i="11" s="1"/>
  <c r="P132" i="20"/>
  <c r="P132" i="11" s="1"/>
  <c r="P64" i="20"/>
  <c r="P64" i="11" s="1"/>
  <c r="P76" i="20"/>
  <c r="P76" i="11" s="1"/>
  <c r="O78" i="20"/>
  <c r="O78" i="11" s="1"/>
  <c r="P65" i="20"/>
  <c r="P65" i="11" s="1"/>
  <c r="P70" i="20"/>
  <c r="P70" i="11" s="1"/>
  <c r="O61" i="20"/>
  <c r="O61" i="11" s="1"/>
  <c r="P68" i="20"/>
  <c r="P68" i="11" s="1"/>
  <c r="P63" i="20"/>
  <c r="P63" i="11" s="1"/>
  <c r="P75" i="20"/>
  <c r="P75" i="11" s="1"/>
  <c r="O73" i="20"/>
  <c r="O73" i="11" s="1"/>
  <c r="P77" i="20"/>
  <c r="P77" i="11" s="1"/>
  <c r="P60" i="20"/>
  <c r="P60" i="11" s="1"/>
  <c r="P72" i="20"/>
  <c r="P72" i="11" s="1"/>
  <c r="O67" i="20"/>
  <c r="O67" i="11" s="1"/>
  <c r="O72" i="20"/>
  <c r="O72" i="11" s="1"/>
  <c r="O79" i="20"/>
  <c r="O79" i="11" s="1"/>
  <c r="P62" i="20"/>
  <c r="P62" i="11" s="1"/>
  <c r="P74" i="20"/>
  <c r="P74" i="11" s="1"/>
  <c r="P69" i="20"/>
  <c r="P69" i="11" s="1"/>
  <c r="P71" i="20"/>
  <c r="P71" i="11" s="1"/>
  <c r="P66" i="20"/>
  <c r="P66" i="11" s="1"/>
  <c r="P78" i="20"/>
  <c r="P78" i="11" s="1"/>
  <c r="P67" i="20"/>
  <c r="P67" i="11" s="1"/>
  <c r="P79" i="20"/>
  <c r="P79" i="11" s="1"/>
  <c r="O62" i="20"/>
  <c r="O62" i="11" s="1"/>
  <c r="O68" i="20"/>
  <c r="O68" i="11" s="1"/>
  <c r="O74" i="20"/>
  <c r="O74" i="11" s="1"/>
  <c r="O63" i="20"/>
  <c r="O63" i="11" s="1"/>
  <c r="O69" i="20"/>
  <c r="O69" i="11" s="1"/>
  <c r="O75" i="20"/>
  <c r="O75" i="11" s="1"/>
  <c r="O64" i="20"/>
  <c r="O64" i="11" s="1"/>
  <c r="O70" i="20"/>
  <c r="O70" i="11" s="1"/>
  <c r="O76" i="20"/>
  <c r="O76" i="11" s="1"/>
  <c r="O65" i="20"/>
  <c r="O65" i="11" s="1"/>
  <c r="O71" i="20"/>
  <c r="O71" i="11" s="1"/>
  <c r="O77" i="20"/>
  <c r="O77" i="11" s="1"/>
  <c r="P123" i="20"/>
  <c r="P123" i="11" s="1"/>
  <c r="O124" i="20"/>
  <c r="O124" i="11" s="1"/>
  <c r="O130" i="20"/>
  <c r="O130" i="11" s="1"/>
  <c r="O136" i="20"/>
  <c r="O136" i="11" s="1"/>
  <c r="O125" i="20"/>
  <c r="O125" i="11" s="1"/>
  <c r="O131" i="20"/>
  <c r="O131" i="11" s="1"/>
  <c r="O137" i="20"/>
  <c r="O137" i="11" s="1"/>
  <c r="O135" i="20"/>
  <c r="O135" i="11" s="1"/>
  <c r="O126" i="20"/>
  <c r="O126" i="11" s="1"/>
  <c r="O132" i="20"/>
  <c r="O132" i="11" s="1"/>
  <c r="O138" i="20"/>
  <c r="O138" i="11" s="1"/>
  <c r="O127" i="20"/>
  <c r="O127" i="11" s="1"/>
  <c r="O133" i="20"/>
  <c r="O133" i="11" s="1"/>
  <c r="O128" i="20"/>
  <c r="O128" i="11" s="1"/>
  <c r="O134" i="20"/>
  <c r="O134" i="11" s="1"/>
  <c r="P152" i="11"/>
  <c r="O152" i="11"/>
  <c r="O153" i="11"/>
  <c r="P160" i="11"/>
  <c r="O209" i="11"/>
  <c r="O221" i="11"/>
  <c r="O233" i="11"/>
  <c r="P247" i="11"/>
  <c r="P259" i="11"/>
  <c r="O258" i="11"/>
  <c r="P172" i="11"/>
  <c r="P184" i="11"/>
  <c r="P196" i="11"/>
  <c r="O181" i="11"/>
  <c r="P255" i="11"/>
  <c r="P169" i="11"/>
  <c r="P193" i="11"/>
  <c r="P248" i="11"/>
  <c r="P252" i="11"/>
  <c r="O164" i="11"/>
  <c r="O170" i="11"/>
  <c r="O176" i="11"/>
  <c r="O182" i="11"/>
  <c r="O188" i="11"/>
  <c r="O194" i="11"/>
  <c r="O200" i="11"/>
  <c r="O206" i="11"/>
  <c r="O212" i="11"/>
  <c r="O218" i="11"/>
  <c r="O224" i="11"/>
  <c r="O230" i="11"/>
  <c r="O236" i="11"/>
  <c r="O242" i="11"/>
  <c r="P253" i="11"/>
  <c r="O165" i="11"/>
  <c r="O171" i="11"/>
  <c r="O177" i="11"/>
  <c r="O183" i="11"/>
  <c r="O189" i="11"/>
  <c r="O195" i="11"/>
  <c r="O201" i="11"/>
  <c r="O207" i="11"/>
  <c r="O213" i="11"/>
  <c r="O219" i="11"/>
  <c r="O225" i="11"/>
  <c r="O231" i="11"/>
  <c r="O237" i="11"/>
  <c r="O243" i="11"/>
  <c r="P251" i="11"/>
  <c r="P244" i="11"/>
  <c r="P256" i="11"/>
  <c r="O247" i="11"/>
  <c r="O253" i="11"/>
  <c r="O259" i="11"/>
  <c r="O248" i="11"/>
  <c r="O254" i="11"/>
  <c r="O249" i="11"/>
  <c r="O255" i="11"/>
  <c r="O244" i="11"/>
  <c r="O250" i="11"/>
  <c r="O256" i="11"/>
  <c r="O245" i="11"/>
  <c r="O251" i="11"/>
  <c r="O257" i="11"/>
  <c r="F503" i="20"/>
  <c r="I482" i="11"/>
  <c r="G503" i="20"/>
  <c r="J397" i="11"/>
  <c r="J405" i="11"/>
  <c r="J409" i="11"/>
  <c r="J413" i="11"/>
  <c r="J417" i="11"/>
  <c r="J445" i="11"/>
  <c r="J453" i="11"/>
  <c r="J457" i="11"/>
  <c r="J461" i="11"/>
  <c r="J465" i="11"/>
  <c r="J473" i="11"/>
  <c r="J477" i="11"/>
  <c r="J481" i="11"/>
  <c r="J485" i="11"/>
  <c r="J493" i="11"/>
  <c r="J497" i="11"/>
  <c r="J404" i="11"/>
  <c r="J428" i="11"/>
  <c r="J432" i="11"/>
  <c r="J440" i="11"/>
  <c r="J464" i="11"/>
  <c r="J468" i="11"/>
  <c r="J476" i="11"/>
  <c r="J480" i="11"/>
  <c r="J488" i="11"/>
  <c r="J496" i="11"/>
  <c r="J415" i="11"/>
  <c r="J399" i="11"/>
  <c r="J431" i="11"/>
  <c r="J447" i="11"/>
  <c r="J395" i="11"/>
  <c r="J403" i="11"/>
  <c r="J407" i="11"/>
  <c r="J411" i="11"/>
  <c r="J419" i="11"/>
  <c r="J423" i="11"/>
  <c r="J427" i="11"/>
  <c r="J435" i="11"/>
  <c r="J439" i="11"/>
  <c r="J443" i="11"/>
  <c r="J451" i="11"/>
  <c r="J455" i="11"/>
  <c r="J459" i="11"/>
  <c r="J463" i="11"/>
  <c r="J467" i="11"/>
  <c r="J471" i="11"/>
  <c r="J475" i="11"/>
  <c r="J479" i="11"/>
  <c r="J483" i="11"/>
  <c r="J487" i="11"/>
  <c r="J491" i="11"/>
  <c r="J495" i="11"/>
  <c r="J444" i="11"/>
  <c r="J448" i="11"/>
  <c r="J452" i="11"/>
  <c r="J460" i="11"/>
  <c r="J425" i="11"/>
  <c r="J433" i="11"/>
  <c r="J437" i="11"/>
  <c r="J499" i="11"/>
  <c r="I483" i="11"/>
  <c r="I487" i="11"/>
  <c r="I491" i="11"/>
  <c r="I495" i="11"/>
  <c r="J486" i="11"/>
  <c r="J418" i="11"/>
  <c r="J398" i="11"/>
  <c r="J402" i="11"/>
  <c r="J406" i="11"/>
  <c r="J410" i="11"/>
  <c r="J422" i="11"/>
  <c r="J426" i="11"/>
  <c r="J430" i="11"/>
  <c r="J438" i="11"/>
  <c r="J446" i="11"/>
  <c r="J450" i="11"/>
  <c r="J458" i="11"/>
  <c r="J466" i="11"/>
  <c r="J470" i="11"/>
  <c r="J474" i="11"/>
  <c r="J478" i="11"/>
  <c r="J490" i="11"/>
  <c r="J494" i="11"/>
  <c r="J498" i="11"/>
  <c r="J394" i="11"/>
  <c r="J414" i="11"/>
  <c r="I414" i="11"/>
  <c r="I394" i="11"/>
  <c r="J412" i="11"/>
  <c r="J420" i="11"/>
  <c r="J484" i="11"/>
  <c r="J492" i="11"/>
  <c r="I432" i="11"/>
  <c r="I440" i="11"/>
  <c r="I448" i="11"/>
  <c r="I464" i="11"/>
  <c r="J396" i="11"/>
  <c r="J400" i="11"/>
  <c r="J408" i="11"/>
  <c r="J416" i="11"/>
  <c r="J424" i="11"/>
  <c r="J436" i="11"/>
  <c r="J456" i="11"/>
  <c r="J472" i="11"/>
  <c r="J500" i="11"/>
  <c r="I404" i="11"/>
  <c r="I444" i="11"/>
  <c r="I428" i="11"/>
  <c r="I452" i="11"/>
  <c r="I484" i="11"/>
  <c r="I460" i="11"/>
  <c r="I468" i="11"/>
  <c r="I476" i="11"/>
  <c r="I492" i="11"/>
  <c r="J401" i="11"/>
  <c r="J421" i="11"/>
  <c r="J429" i="11"/>
  <c r="J441" i="11"/>
  <c r="J449" i="11"/>
  <c r="J469" i="11"/>
  <c r="J489" i="11"/>
  <c r="J434" i="11"/>
  <c r="J442" i="11"/>
  <c r="J454" i="11"/>
  <c r="J462" i="11"/>
  <c r="J482" i="11"/>
  <c r="G503" i="11" l="1"/>
  <c r="K417" i="11"/>
  <c r="K413" i="11"/>
  <c r="K483" i="11"/>
  <c r="K427" i="11"/>
  <c r="K415" i="11"/>
  <c r="K493" i="11"/>
  <c r="K409" i="11"/>
  <c r="K491" i="11"/>
  <c r="K479" i="11"/>
  <c r="K423" i="11"/>
  <c r="K496" i="11"/>
  <c r="K485" i="11"/>
  <c r="K405" i="11"/>
  <c r="K419" i="11"/>
  <c r="K481" i="11"/>
  <c r="K437" i="11"/>
  <c r="K488" i="11"/>
  <c r="K397" i="11"/>
  <c r="K471" i="11"/>
  <c r="K501" i="11"/>
  <c r="K399" i="11"/>
  <c r="K475" i="11"/>
  <c r="K411" i="11"/>
  <c r="K477" i="11"/>
  <c r="K425" i="11"/>
  <c r="K467" i="11"/>
  <c r="K407" i="11"/>
  <c r="K476" i="11"/>
  <c r="K473" i="11"/>
  <c r="K487" i="11"/>
  <c r="K460" i="11"/>
  <c r="K463" i="11"/>
  <c r="K403" i="11"/>
  <c r="K468" i="11"/>
  <c r="K465" i="11"/>
  <c r="K404" i="11"/>
  <c r="K497" i="11"/>
  <c r="K433" i="11"/>
  <c r="K480" i="11"/>
  <c r="K452" i="11"/>
  <c r="K459" i="11"/>
  <c r="K395" i="11"/>
  <c r="K464" i="11"/>
  <c r="K461" i="11"/>
  <c r="K448" i="11"/>
  <c r="K455" i="11"/>
  <c r="K447" i="11"/>
  <c r="K440" i="11"/>
  <c r="K457" i="11"/>
  <c r="K435" i="11"/>
  <c r="K444" i="11"/>
  <c r="K439" i="11"/>
  <c r="K451" i="11"/>
  <c r="K432" i="11"/>
  <c r="K453" i="11"/>
  <c r="K495" i="11"/>
  <c r="K443" i="11"/>
  <c r="K431" i="11"/>
  <c r="K428" i="11"/>
  <c r="K445" i="11"/>
  <c r="D636" i="20"/>
  <c r="F503" i="11"/>
  <c r="J393" i="11"/>
  <c r="R32" i="20"/>
  <c r="R32" i="11" s="1"/>
  <c r="P32" i="11"/>
  <c r="R31" i="20"/>
  <c r="R31" i="11" s="1"/>
  <c r="P31" i="11"/>
  <c r="R33" i="20"/>
  <c r="R33" i="11" s="1"/>
  <c r="P33" i="11"/>
  <c r="Q140" i="20"/>
  <c r="R200" i="11"/>
  <c r="S33" i="20"/>
  <c r="P30" i="20"/>
  <c r="O30" i="20"/>
  <c r="O30" i="11" s="1"/>
  <c r="P29" i="20"/>
  <c r="O29" i="20"/>
  <c r="K478" i="11"/>
  <c r="K434" i="11"/>
  <c r="K474" i="11"/>
  <c r="K470" i="11"/>
  <c r="K398" i="11"/>
  <c r="K466" i="11"/>
  <c r="K472" i="11"/>
  <c r="K458" i="11"/>
  <c r="K456" i="11"/>
  <c r="K450" i="11"/>
  <c r="K469" i="11"/>
  <c r="K436" i="11"/>
  <c r="K446" i="11"/>
  <c r="K449" i="11"/>
  <c r="K424" i="11"/>
  <c r="K438" i="11"/>
  <c r="K441" i="11"/>
  <c r="K430" i="11"/>
  <c r="K394" i="11"/>
  <c r="K462" i="11"/>
  <c r="K429" i="11"/>
  <c r="K426" i="11"/>
  <c r="K454" i="11"/>
  <c r="K400" i="11"/>
  <c r="K442" i="11"/>
  <c r="K401" i="11"/>
  <c r="K396" i="11"/>
  <c r="K414" i="11"/>
  <c r="K416" i="11"/>
  <c r="K408" i="11"/>
  <c r="K421" i="11"/>
  <c r="K410" i="11"/>
  <c r="K406" i="11"/>
  <c r="K402" i="11"/>
  <c r="K420" i="11"/>
  <c r="K418" i="11"/>
  <c r="K412" i="11"/>
  <c r="K498" i="11"/>
  <c r="K499" i="11"/>
  <c r="K494" i="11"/>
  <c r="K492" i="11"/>
  <c r="K484" i="11"/>
  <c r="K500" i="11"/>
  <c r="K490" i="11"/>
  <c r="K486" i="11"/>
  <c r="K489" i="11"/>
  <c r="K482" i="11"/>
  <c r="K422" i="11"/>
  <c r="S34" i="20"/>
  <c r="S38" i="20"/>
  <c r="S38" i="11" s="1"/>
  <c r="S200" i="11"/>
  <c r="S54" i="20"/>
  <c r="R54" i="20"/>
  <c r="R54" i="11" s="1"/>
  <c r="R42" i="20"/>
  <c r="R42" i="11" s="1"/>
  <c r="S42" i="20"/>
  <c r="S44" i="20"/>
  <c r="R72" i="20"/>
  <c r="R72" i="11" s="1"/>
  <c r="R69" i="20"/>
  <c r="R69" i="11" s="1"/>
  <c r="R67" i="20"/>
  <c r="R67" i="11" s="1"/>
  <c r="R119" i="20"/>
  <c r="R119" i="11" s="1"/>
  <c r="R66" i="20"/>
  <c r="R66" i="11" s="1"/>
  <c r="S77" i="20"/>
  <c r="S53" i="20"/>
  <c r="S66" i="20"/>
  <c r="R99" i="20"/>
  <c r="R99" i="11" s="1"/>
  <c r="S99" i="20"/>
  <c r="S99" i="11" s="1"/>
  <c r="R77" i="20"/>
  <c r="R77" i="11" s="1"/>
  <c r="R64" i="20"/>
  <c r="R64" i="11" s="1"/>
  <c r="S74" i="20"/>
  <c r="S74" i="11" s="1"/>
  <c r="R63" i="20"/>
  <c r="R63" i="11" s="1"/>
  <c r="R74" i="20"/>
  <c r="R74" i="11" s="1"/>
  <c r="R70" i="20"/>
  <c r="R70" i="11" s="1"/>
  <c r="R61" i="20"/>
  <c r="R61" i="11" s="1"/>
  <c r="R73" i="20"/>
  <c r="R73" i="11" s="1"/>
  <c r="R71" i="20"/>
  <c r="R71" i="11" s="1"/>
  <c r="R78" i="20"/>
  <c r="R78" i="11" s="1"/>
  <c r="R60" i="20"/>
  <c r="R60" i="11" s="1"/>
  <c r="R121" i="20"/>
  <c r="R121" i="11" s="1"/>
  <c r="R100" i="20"/>
  <c r="R100" i="11" s="1"/>
  <c r="R79" i="20"/>
  <c r="R79" i="11" s="1"/>
  <c r="S68" i="20"/>
  <c r="R65" i="20"/>
  <c r="R65" i="11" s="1"/>
  <c r="R62" i="20"/>
  <c r="R62" i="11" s="1"/>
  <c r="R68" i="20"/>
  <c r="R68" i="11" s="1"/>
  <c r="R76" i="20"/>
  <c r="R76" i="11" s="1"/>
  <c r="R120" i="20"/>
  <c r="R120" i="11" s="1"/>
  <c r="R75" i="20"/>
  <c r="R75" i="11" s="1"/>
  <c r="R122" i="20"/>
  <c r="R122" i="11" s="1"/>
  <c r="R101" i="20"/>
  <c r="R101" i="11" s="1"/>
  <c r="R80" i="20"/>
  <c r="R80" i="11" s="1"/>
  <c r="R59" i="20"/>
  <c r="R59" i="11" s="1"/>
  <c r="R138" i="20"/>
  <c r="R138" i="11" s="1"/>
  <c r="S124" i="20"/>
  <c r="S124" i="11" s="1"/>
  <c r="S132" i="20"/>
  <c r="S132" i="11" s="1"/>
  <c r="R134" i="20"/>
  <c r="R134" i="11" s="1"/>
  <c r="S129" i="20"/>
  <c r="R130" i="20"/>
  <c r="R130" i="11" s="1"/>
  <c r="R128" i="20"/>
  <c r="R128" i="11" s="1"/>
  <c r="R129" i="20"/>
  <c r="R129" i="11" s="1"/>
  <c r="R132" i="20"/>
  <c r="R132" i="11" s="1"/>
  <c r="R131" i="20"/>
  <c r="R131" i="11" s="1"/>
  <c r="R127" i="20"/>
  <c r="R127" i="11" s="1"/>
  <c r="R135" i="20"/>
  <c r="R135" i="11" s="1"/>
  <c r="R126" i="20"/>
  <c r="R126" i="11" s="1"/>
  <c r="R136" i="20"/>
  <c r="R136" i="11" s="1"/>
  <c r="R125" i="20"/>
  <c r="R125" i="11" s="1"/>
  <c r="R123" i="20"/>
  <c r="R123" i="11" s="1"/>
  <c r="R137" i="20"/>
  <c r="R137" i="11" s="1"/>
  <c r="R124" i="20"/>
  <c r="R124" i="11" s="1"/>
  <c r="R133" i="20"/>
  <c r="R133" i="11" s="1"/>
  <c r="R113" i="20"/>
  <c r="R113" i="11" s="1"/>
  <c r="R117" i="20"/>
  <c r="R117" i="11" s="1"/>
  <c r="R112" i="20"/>
  <c r="R112" i="11" s="1"/>
  <c r="R107" i="20"/>
  <c r="R107" i="11" s="1"/>
  <c r="R110" i="20"/>
  <c r="R110" i="11" s="1"/>
  <c r="R114" i="20"/>
  <c r="R114" i="11" s="1"/>
  <c r="R109" i="20"/>
  <c r="R109" i="11" s="1"/>
  <c r="S106" i="20"/>
  <c r="S106" i="11" s="1"/>
  <c r="R106" i="20"/>
  <c r="R106" i="11" s="1"/>
  <c r="R104" i="20"/>
  <c r="R104" i="11" s="1"/>
  <c r="R108" i="20"/>
  <c r="R108" i="11" s="1"/>
  <c r="R103" i="20"/>
  <c r="R103" i="11" s="1"/>
  <c r="R105" i="20"/>
  <c r="R105" i="11" s="1"/>
  <c r="R111" i="20"/>
  <c r="R111" i="11" s="1"/>
  <c r="S102" i="20"/>
  <c r="S102" i="11" s="1"/>
  <c r="R118" i="20"/>
  <c r="R118" i="11" s="1"/>
  <c r="R102" i="20"/>
  <c r="R102" i="11" s="1"/>
  <c r="R116" i="20"/>
  <c r="R116" i="11" s="1"/>
  <c r="R115" i="20"/>
  <c r="R115" i="11" s="1"/>
  <c r="R88" i="20"/>
  <c r="R88" i="11" s="1"/>
  <c r="R94" i="20"/>
  <c r="R94" i="11" s="1"/>
  <c r="R87" i="20"/>
  <c r="R87" i="11" s="1"/>
  <c r="R91" i="20"/>
  <c r="R91" i="11" s="1"/>
  <c r="R86" i="20"/>
  <c r="R86" i="11" s="1"/>
  <c r="R90" i="20"/>
  <c r="R90" i="11" s="1"/>
  <c r="R85" i="20"/>
  <c r="R85" i="11" s="1"/>
  <c r="R93" i="20"/>
  <c r="R93" i="11" s="1"/>
  <c r="R84" i="20"/>
  <c r="R84" i="11" s="1"/>
  <c r="R82" i="20"/>
  <c r="R82" i="11" s="1"/>
  <c r="R95" i="20"/>
  <c r="R95" i="11" s="1"/>
  <c r="S91" i="20"/>
  <c r="R83" i="20"/>
  <c r="R83" i="11" s="1"/>
  <c r="R89" i="20"/>
  <c r="R89" i="11" s="1"/>
  <c r="R81" i="20"/>
  <c r="R81" i="11" s="1"/>
  <c r="R98" i="20"/>
  <c r="R98" i="11" s="1"/>
  <c r="R96" i="20"/>
  <c r="R96" i="11" s="1"/>
  <c r="R97" i="20"/>
  <c r="R97" i="11" s="1"/>
  <c r="R92" i="20"/>
  <c r="R92" i="11" s="1"/>
  <c r="S64" i="20"/>
  <c r="S64" i="11" s="1"/>
  <c r="S31" i="20"/>
  <c r="S137" i="20"/>
  <c r="S137" i="11" s="1"/>
  <c r="S93" i="20"/>
  <c r="S93" i="11" s="1"/>
  <c r="S51" i="20"/>
  <c r="S51" i="11" s="1"/>
  <c r="S133" i="20"/>
  <c r="S133" i="11" s="1"/>
  <c r="S88" i="20"/>
  <c r="S88" i="11" s="1"/>
  <c r="S49" i="20"/>
  <c r="S49" i="11" s="1"/>
  <c r="S107" i="20"/>
  <c r="S107" i="11" s="1"/>
  <c r="S32" i="20"/>
  <c r="S136" i="20"/>
  <c r="S136" i="11" s="1"/>
  <c r="S115" i="20"/>
  <c r="S115" i="11" s="1"/>
  <c r="S119" i="20"/>
  <c r="S119" i="11" s="1"/>
  <c r="S57" i="20"/>
  <c r="S65" i="20"/>
  <c r="S65" i="11" s="1"/>
  <c r="S41" i="20"/>
  <c r="S43" i="20"/>
  <c r="S43" i="11" s="1"/>
  <c r="S95" i="20"/>
  <c r="S95" i="11" s="1"/>
  <c r="S37" i="20"/>
  <c r="S39" i="20"/>
  <c r="S118" i="20"/>
  <c r="S118" i="11" s="1"/>
  <c r="S97" i="20"/>
  <c r="S97" i="11" s="1"/>
  <c r="S76" i="20"/>
  <c r="S76" i="11" s="1"/>
  <c r="S55" i="20"/>
  <c r="S55" i="11" s="1"/>
  <c r="S128" i="20"/>
  <c r="S128" i="11" s="1"/>
  <c r="S126" i="20"/>
  <c r="S126" i="11" s="1"/>
  <c r="S61" i="20"/>
  <c r="S61" i="11" s="1"/>
  <c r="S40" i="20"/>
  <c r="S98" i="20"/>
  <c r="S98" i="11" s="1"/>
  <c r="S123" i="20"/>
  <c r="S123" i="11" s="1"/>
  <c r="S83" i="20"/>
  <c r="S83" i="11" s="1"/>
  <c r="S96" i="20"/>
  <c r="S96" i="11" s="1"/>
  <c r="S36" i="20"/>
  <c r="S36" i="11" s="1"/>
  <c r="S94" i="20"/>
  <c r="S94" i="11" s="1"/>
  <c r="S73" i="20"/>
  <c r="S73" i="11" s="1"/>
  <c r="S52" i="20"/>
  <c r="S52" i="11" s="1"/>
  <c r="S113" i="20"/>
  <c r="S113" i="11" s="1"/>
  <c r="S89" i="20"/>
  <c r="S89" i="11" s="1"/>
  <c r="S134" i="20"/>
  <c r="S134" i="11" s="1"/>
  <c r="S90" i="20"/>
  <c r="S90" i="11" s="1"/>
  <c r="S48" i="20"/>
  <c r="S130" i="20"/>
  <c r="S130" i="11" s="1"/>
  <c r="S85" i="20"/>
  <c r="S85" i="11" s="1"/>
  <c r="R56" i="20"/>
  <c r="R56" i="11" s="1"/>
  <c r="R46" i="20"/>
  <c r="R46" i="11" s="1"/>
  <c r="R155" i="11"/>
  <c r="S111" i="20"/>
  <c r="S111" i="11" s="1"/>
  <c r="R48" i="20"/>
  <c r="R48" i="11" s="1"/>
  <c r="S46" i="20"/>
  <c r="S46" i="11" s="1"/>
  <c r="R35" i="20"/>
  <c r="R35" i="11" s="1"/>
  <c r="S131" i="20"/>
  <c r="S131" i="11" s="1"/>
  <c r="S104" i="20"/>
  <c r="S104" i="11" s="1"/>
  <c r="R53" i="20"/>
  <c r="R53" i="11" s="1"/>
  <c r="S108" i="20"/>
  <c r="S108" i="11" s="1"/>
  <c r="S84" i="20"/>
  <c r="S84" i="11" s="1"/>
  <c r="S63" i="20"/>
  <c r="S63" i="11" s="1"/>
  <c r="S45" i="20"/>
  <c r="S45" i="11" s="1"/>
  <c r="S127" i="20"/>
  <c r="S127" i="11" s="1"/>
  <c r="S82" i="20"/>
  <c r="S82" i="11" s="1"/>
  <c r="R43" i="20"/>
  <c r="R43" i="11" s="1"/>
  <c r="R50" i="20"/>
  <c r="R50" i="11" s="1"/>
  <c r="R45" i="20"/>
  <c r="R45" i="11" s="1"/>
  <c r="S103" i="20"/>
  <c r="S103" i="11" s="1"/>
  <c r="R152" i="11"/>
  <c r="S159" i="11"/>
  <c r="S125" i="20"/>
  <c r="S125" i="11" s="1"/>
  <c r="S71" i="20"/>
  <c r="S71" i="11" s="1"/>
  <c r="S47" i="20"/>
  <c r="S47" i="11" s="1"/>
  <c r="S105" i="20"/>
  <c r="S105" i="11" s="1"/>
  <c r="S81" i="20"/>
  <c r="S81" i="11" s="1"/>
  <c r="S60" i="20"/>
  <c r="S60" i="11" s="1"/>
  <c r="S121" i="20"/>
  <c r="S121" i="11" s="1"/>
  <c r="S100" i="20"/>
  <c r="S100" i="11" s="1"/>
  <c r="S79" i="20"/>
  <c r="S79" i="11" s="1"/>
  <c r="R40" i="20"/>
  <c r="R40" i="11" s="1"/>
  <c r="R47" i="20"/>
  <c r="R47" i="11" s="1"/>
  <c r="R58" i="20"/>
  <c r="R58" i="11" s="1"/>
  <c r="S78" i="20"/>
  <c r="S78" i="11" s="1"/>
  <c r="R37" i="20"/>
  <c r="R37" i="11" s="1"/>
  <c r="R158" i="11"/>
  <c r="S232" i="11"/>
  <c r="S116" i="20"/>
  <c r="S116" i="11" s="1"/>
  <c r="S92" i="20"/>
  <c r="S92" i="11" s="1"/>
  <c r="R44" i="20"/>
  <c r="R44" i="11" s="1"/>
  <c r="S120" i="20"/>
  <c r="S120" i="11" s="1"/>
  <c r="S75" i="20"/>
  <c r="S75" i="11" s="1"/>
  <c r="R57" i="20"/>
  <c r="R57" i="11" s="1"/>
  <c r="R39" i="20"/>
  <c r="R39" i="11" s="1"/>
  <c r="R55" i="20"/>
  <c r="R55" i="11" s="1"/>
  <c r="R34" i="20"/>
  <c r="R34" i="11" s="1"/>
  <c r="R156" i="11"/>
  <c r="R153" i="11"/>
  <c r="R159" i="11"/>
  <c r="S58" i="20"/>
  <c r="S58" i="11" s="1"/>
  <c r="R154" i="11"/>
  <c r="R157" i="11"/>
  <c r="R41" i="20"/>
  <c r="R41" i="11" s="1"/>
  <c r="S138" i="20"/>
  <c r="S138" i="11" s="1"/>
  <c r="S117" i="20"/>
  <c r="S117" i="11" s="1"/>
  <c r="S72" i="20"/>
  <c r="S72" i="11" s="1"/>
  <c r="R36" i="20"/>
  <c r="R36" i="11" s="1"/>
  <c r="S112" i="20"/>
  <c r="S112" i="11" s="1"/>
  <c r="R52" i="20"/>
  <c r="R52" i="11" s="1"/>
  <c r="S50" i="20"/>
  <c r="S50" i="11" s="1"/>
  <c r="S62" i="20"/>
  <c r="S62" i="11" s="1"/>
  <c r="R38" i="20"/>
  <c r="R38" i="11" s="1"/>
  <c r="S70" i="20"/>
  <c r="S70" i="11" s="1"/>
  <c r="S110" i="20"/>
  <c r="S110" i="11" s="1"/>
  <c r="S86" i="20"/>
  <c r="S86" i="11" s="1"/>
  <c r="S56" i="20"/>
  <c r="S56" i="11" s="1"/>
  <c r="S35" i="20"/>
  <c r="S35" i="11" s="1"/>
  <c r="S135" i="20"/>
  <c r="S135" i="11" s="1"/>
  <c r="S114" i="20"/>
  <c r="S114" i="11" s="1"/>
  <c r="S69" i="20"/>
  <c r="S69" i="11" s="1"/>
  <c r="R51" i="20"/>
  <c r="R51" i="11" s="1"/>
  <c r="S109" i="20"/>
  <c r="S109" i="11" s="1"/>
  <c r="S67" i="20"/>
  <c r="S67" i="11" s="1"/>
  <c r="R49" i="20"/>
  <c r="R49" i="11" s="1"/>
  <c r="S87" i="20"/>
  <c r="S87" i="11" s="1"/>
  <c r="S227" i="11"/>
  <c r="R214" i="11"/>
  <c r="R258" i="11"/>
  <c r="S253" i="11"/>
  <c r="R253" i="11"/>
  <c r="R241" i="11"/>
  <c r="R225" i="11"/>
  <c r="R251" i="11"/>
  <c r="R196" i="11"/>
  <c r="R223" i="11"/>
  <c r="R232" i="11"/>
  <c r="R207" i="11"/>
  <c r="R212" i="11"/>
  <c r="R218" i="11"/>
  <c r="R210" i="11"/>
  <c r="R216" i="11"/>
  <c r="S223" i="11"/>
  <c r="R186" i="11"/>
  <c r="R235" i="11"/>
  <c r="R208" i="11"/>
  <c r="S206" i="11"/>
  <c r="R239" i="11"/>
  <c r="R182" i="11"/>
  <c r="R227" i="11"/>
  <c r="R205" i="11"/>
  <c r="R249" i="11"/>
  <c r="S196" i="11"/>
  <c r="S195" i="11"/>
  <c r="S241" i="11"/>
  <c r="R215" i="11"/>
  <c r="R236" i="11"/>
  <c r="R244" i="11"/>
  <c r="R188" i="11"/>
  <c r="R250" i="11"/>
  <c r="R185" i="11"/>
  <c r="R233" i="11"/>
  <c r="R199" i="11"/>
  <c r="R226" i="11"/>
  <c r="R252" i="11"/>
  <c r="R195" i="11"/>
  <c r="R204" i="11"/>
  <c r="R184" i="11"/>
  <c r="R183" i="11"/>
  <c r="S187" i="11"/>
  <c r="R248" i="11"/>
  <c r="R217" i="11"/>
  <c r="R259" i="11"/>
  <c r="R234" i="11"/>
  <c r="R228" i="11"/>
  <c r="R197" i="11"/>
  <c r="R230" i="11"/>
  <c r="R191" i="11"/>
  <c r="R238" i="11"/>
  <c r="R209" i="11"/>
  <c r="R245" i="11"/>
  <c r="R255" i="11"/>
  <c r="R237" i="11"/>
  <c r="R202" i="11"/>
  <c r="R256" i="11"/>
  <c r="R203" i="11"/>
  <c r="R181" i="11"/>
  <c r="R229" i="11"/>
  <c r="R219" i="11"/>
  <c r="R257" i="11"/>
  <c r="R190" i="11"/>
  <c r="R213" i="11"/>
  <c r="R247" i="11"/>
  <c r="R224" i="11"/>
  <c r="R242" i="11"/>
  <c r="R193" i="11"/>
  <c r="R187" i="11"/>
  <c r="S189" i="11"/>
  <c r="R221" i="11"/>
  <c r="R192" i="11"/>
  <c r="R231" i="11"/>
  <c r="R211" i="11"/>
  <c r="R198" i="11"/>
  <c r="R246" i="11"/>
  <c r="R194" i="11"/>
  <c r="R220" i="11"/>
  <c r="R189" i="11"/>
  <c r="R240" i="11"/>
  <c r="S207" i="11"/>
  <c r="R160" i="11"/>
  <c r="R168" i="11"/>
  <c r="R171" i="11"/>
  <c r="R167" i="11"/>
  <c r="R165" i="11"/>
  <c r="R180" i="11"/>
  <c r="R175" i="11"/>
  <c r="R174" i="11"/>
  <c r="R169" i="11"/>
  <c r="R172" i="11"/>
  <c r="S168" i="11"/>
  <c r="R164" i="11"/>
  <c r="R243" i="11"/>
  <c r="S165" i="11"/>
  <c r="R179" i="11"/>
  <c r="S171" i="11"/>
  <c r="R177" i="11"/>
  <c r="R162" i="11"/>
  <c r="R178" i="11"/>
  <c r="R173" i="11"/>
  <c r="R222" i="11"/>
  <c r="R161" i="11"/>
  <c r="R176" i="11"/>
  <c r="R163" i="11"/>
  <c r="S160" i="11"/>
  <c r="R166" i="11"/>
  <c r="R201" i="11"/>
  <c r="S179" i="11"/>
  <c r="S80" i="20"/>
  <c r="S80" i="11" s="1"/>
  <c r="S101" i="20"/>
  <c r="S101" i="11" s="1"/>
  <c r="S59" i="20"/>
  <c r="S59" i="11" s="1"/>
  <c r="S122" i="20"/>
  <c r="S122" i="11" s="1"/>
  <c r="S219" i="11"/>
  <c r="S175" i="11"/>
  <c r="S231" i="11"/>
  <c r="S239" i="11"/>
  <c r="S180" i="11"/>
  <c r="S243" i="11"/>
  <c r="S251" i="11"/>
  <c r="S153" i="11"/>
  <c r="S210" i="11"/>
  <c r="S254" i="11"/>
  <c r="S225" i="11"/>
  <c r="S249" i="11"/>
  <c r="S183" i="11"/>
  <c r="S182" i="11"/>
  <c r="S154" i="11"/>
  <c r="S218" i="11"/>
  <c r="S215" i="11"/>
  <c r="S240" i="11"/>
  <c r="S167" i="11"/>
  <c r="S170" i="11"/>
  <c r="R206" i="11"/>
  <c r="S238" i="11"/>
  <c r="S157" i="11"/>
  <c r="S174" i="11"/>
  <c r="S255" i="11"/>
  <c r="S155" i="11"/>
  <c r="S236" i="11"/>
  <c r="S178" i="11"/>
  <c r="S191" i="11"/>
  <c r="S252" i="11"/>
  <c r="S190" i="11"/>
  <c r="S204" i="11"/>
  <c r="S229" i="11"/>
  <c r="S214" i="11"/>
  <c r="S216" i="11"/>
  <c r="S203" i="11"/>
  <c r="S259" i="11"/>
  <c r="S235" i="11"/>
  <c r="S188" i="11"/>
  <c r="S162" i="11"/>
  <c r="S234" i="11"/>
  <c r="S176" i="11"/>
  <c r="S237" i="11"/>
  <c r="S199" i="11"/>
  <c r="S201" i="11"/>
  <c r="S257" i="11"/>
  <c r="S224" i="11"/>
  <c r="S186" i="11"/>
  <c r="S184" i="11"/>
  <c r="S169" i="11"/>
  <c r="S258" i="11"/>
  <c r="S244" i="11"/>
  <c r="S213" i="11"/>
  <c r="S193" i="11"/>
  <c r="S164" i="11"/>
  <c r="R254" i="11"/>
  <c r="S197" i="11"/>
  <c r="S181" i="11"/>
  <c r="R170" i="11"/>
  <c r="S217" i="11"/>
  <c r="S220" i="11"/>
  <c r="S211" i="11"/>
  <c r="S152" i="11"/>
  <c r="S242" i="11"/>
  <c r="S208" i="11"/>
  <c r="S194" i="11"/>
  <c r="S226" i="11"/>
  <c r="S163" i="11"/>
  <c r="S172" i="11"/>
  <c r="S256" i="11"/>
  <c r="S230" i="11"/>
  <c r="S228" i="11"/>
  <c r="S248" i="11"/>
  <c r="S205" i="11"/>
  <c r="S158" i="11"/>
  <c r="S221" i="11"/>
  <c r="S192" i="11"/>
  <c r="S177" i="11"/>
  <c r="S173" i="11"/>
  <c r="S185" i="11"/>
  <c r="S161" i="11"/>
  <c r="S250" i="11"/>
  <c r="S156" i="11"/>
  <c r="S202" i="11"/>
  <c r="S212" i="11"/>
  <c r="S166" i="11"/>
  <c r="S222" i="11"/>
  <c r="S247" i="11"/>
  <c r="S198" i="11"/>
  <c r="S245" i="11"/>
  <c r="S209" i="11"/>
  <c r="S246" i="11"/>
  <c r="S233" i="11"/>
  <c r="K393" i="11" l="1"/>
  <c r="O29" i="11"/>
  <c r="T34" i="20"/>
  <c r="T34" i="11" s="1"/>
  <c r="S34" i="11"/>
  <c r="T39" i="20"/>
  <c r="T39" i="11" s="1"/>
  <c r="S39" i="11"/>
  <c r="T129" i="20"/>
  <c r="T129" i="11" s="1"/>
  <c r="S129" i="11"/>
  <c r="T37" i="20"/>
  <c r="T37" i="11" s="1"/>
  <c r="S37" i="11"/>
  <c r="T48" i="20"/>
  <c r="T48" i="11" s="1"/>
  <c r="S48" i="11"/>
  <c r="T91" i="20"/>
  <c r="T91" i="11" s="1"/>
  <c r="S91" i="11"/>
  <c r="T68" i="20"/>
  <c r="T68" i="11" s="1"/>
  <c r="S68" i="11"/>
  <c r="T33" i="20"/>
  <c r="T33" i="11" s="1"/>
  <c r="S33" i="11"/>
  <c r="T40" i="20"/>
  <c r="T40" i="11" s="1"/>
  <c r="S40" i="11"/>
  <c r="T41" i="20"/>
  <c r="T41" i="11" s="1"/>
  <c r="S41" i="11"/>
  <c r="T44" i="20"/>
  <c r="T44" i="11" s="1"/>
  <c r="S44" i="11"/>
  <c r="T42" i="20"/>
  <c r="T42" i="11" s="1"/>
  <c r="S42" i="11"/>
  <c r="T57" i="20"/>
  <c r="T57" i="11" s="1"/>
  <c r="S57" i="11"/>
  <c r="T31" i="20"/>
  <c r="T31" i="11" s="1"/>
  <c r="S31" i="11"/>
  <c r="T66" i="20"/>
  <c r="T66" i="11" s="1"/>
  <c r="S66" i="11"/>
  <c r="T54" i="20"/>
  <c r="T54" i="11" s="1"/>
  <c r="S54" i="11"/>
  <c r="T53" i="20"/>
  <c r="T53" i="11" s="1"/>
  <c r="S53" i="11"/>
  <c r="T32" i="20"/>
  <c r="T32" i="11" s="1"/>
  <c r="S32" i="11"/>
  <c r="T77" i="20"/>
  <c r="T77" i="11" s="1"/>
  <c r="S77" i="11"/>
  <c r="R30" i="20"/>
  <c r="R30" i="11" s="1"/>
  <c r="P30" i="11"/>
  <c r="F633" i="20"/>
  <c r="Q140" i="11"/>
  <c r="R29" i="20"/>
  <c r="P29" i="11"/>
  <c r="P140" i="20"/>
  <c r="P140" i="11" s="1"/>
  <c r="O140" i="20"/>
  <c r="S30" i="20"/>
  <c r="S30" i="11" s="1"/>
  <c r="T74" i="20"/>
  <c r="T74" i="11" s="1"/>
  <c r="T38" i="20"/>
  <c r="T38" i="11" s="1"/>
  <c r="T227" i="11"/>
  <c r="T159" i="11"/>
  <c r="T200" i="11"/>
  <c r="T106" i="20"/>
  <c r="T106" i="11" s="1"/>
  <c r="T232" i="11"/>
  <c r="T124" i="20"/>
  <c r="T124" i="11" s="1"/>
  <c r="T132" i="20"/>
  <c r="T132" i="11" s="1"/>
  <c r="T102" i="20"/>
  <c r="T102" i="11" s="1"/>
  <c r="T121" i="20"/>
  <c r="T121" i="11" s="1"/>
  <c r="T99" i="20"/>
  <c r="T99" i="11" s="1"/>
  <c r="T79" i="20"/>
  <c r="T79" i="11" s="1"/>
  <c r="T100" i="20"/>
  <c r="T100" i="11" s="1"/>
  <c r="T120" i="20"/>
  <c r="T120" i="11" s="1"/>
  <c r="T119" i="20"/>
  <c r="T119" i="11" s="1"/>
  <c r="T122" i="20"/>
  <c r="T122" i="11" s="1"/>
  <c r="T101" i="20"/>
  <c r="T101" i="11" s="1"/>
  <c r="T80" i="20"/>
  <c r="T80" i="11" s="1"/>
  <c r="T59" i="20"/>
  <c r="T59" i="11" s="1"/>
  <c r="T127" i="20"/>
  <c r="T127" i="11" s="1"/>
  <c r="T135" i="20"/>
  <c r="T135" i="11" s="1"/>
  <c r="T123" i="20"/>
  <c r="T123" i="11" s="1"/>
  <c r="T134" i="20"/>
  <c r="T134" i="11" s="1"/>
  <c r="T126" i="20"/>
  <c r="T126" i="11" s="1"/>
  <c r="T138" i="20"/>
  <c r="T138" i="11" s="1"/>
  <c r="T128" i="20"/>
  <c r="T128" i="11" s="1"/>
  <c r="T133" i="20"/>
  <c r="T133" i="11" s="1"/>
  <c r="T136" i="20"/>
  <c r="T136" i="11" s="1"/>
  <c r="T125" i="20"/>
  <c r="T125" i="11" s="1"/>
  <c r="T131" i="20"/>
  <c r="T131" i="11" s="1"/>
  <c r="T130" i="20"/>
  <c r="T130" i="11" s="1"/>
  <c r="T137" i="20"/>
  <c r="T137" i="11" s="1"/>
  <c r="T110" i="20"/>
  <c r="T110" i="11" s="1"/>
  <c r="T117" i="20"/>
  <c r="T117" i="11" s="1"/>
  <c r="T105" i="20"/>
  <c r="T105" i="11" s="1"/>
  <c r="T111" i="20"/>
  <c r="T111" i="11" s="1"/>
  <c r="T104" i="20"/>
  <c r="T104" i="11" s="1"/>
  <c r="T109" i="20"/>
  <c r="T109" i="11" s="1"/>
  <c r="T103" i="20"/>
  <c r="T103" i="11" s="1"/>
  <c r="T116" i="20"/>
  <c r="T116" i="11" s="1"/>
  <c r="T118" i="20"/>
  <c r="T118" i="11" s="1"/>
  <c r="T115" i="20"/>
  <c r="T115" i="11" s="1"/>
  <c r="T114" i="20"/>
  <c r="T114" i="11" s="1"/>
  <c r="T112" i="20"/>
  <c r="T112" i="11" s="1"/>
  <c r="T113" i="20"/>
  <c r="T113" i="11" s="1"/>
  <c r="T108" i="20"/>
  <c r="T108" i="11" s="1"/>
  <c r="T107" i="20"/>
  <c r="T107" i="11" s="1"/>
  <c r="T84" i="20"/>
  <c r="T84" i="11" s="1"/>
  <c r="T98" i="20"/>
  <c r="T98" i="11" s="1"/>
  <c r="T95" i="20"/>
  <c r="T95" i="11" s="1"/>
  <c r="T89" i="20"/>
  <c r="T89" i="11" s="1"/>
  <c r="T87" i="20"/>
  <c r="T87" i="11" s="1"/>
  <c r="T86" i="20"/>
  <c r="T86" i="11" s="1"/>
  <c r="T81" i="20"/>
  <c r="T81" i="11" s="1"/>
  <c r="T88" i="20"/>
  <c r="T88" i="11" s="1"/>
  <c r="T94" i="20"/>
  <c r="T94" i="11" s="1"/>
  <c r="T85" i="20"/>
  <c r="T85" i="11" s="1"/>
  <c r="T93" i="20"/>
  <c r="T93" i="11" s="1"/>
  <c r="T92" i="20"/>
  <c r="T92" i="11" s="1"/>
  <c r="T82" i="20"/>
  <c r="T82" i="11" s="1"/>
  <c r="T96" i="20"/>
  <c r="T96" i="11" s="1"/>
  <c r="T97" i="20"/>
  <c r="T97" i="11" s="1"/>
  <c r="T90" i="20"/>
  <c r="T90" i="11" s="1"/>
  <c r="T83" i="20"/>
  <c r="T83" i="11" s="1"/>
  <c r="T69" i="20"/>
  <c r="T69" i="11" s="1"/>
  <c r="T63" i="20"/>
  <c r="T63" i="11" s="1"/>
  <c r="T64" i="20"/>
  <c r="T64" i="11" s="1"/>
  <c r="T70" i="20"/>
  <c r="T70" i="11" s="1"/>
  <c r="T60" i="20"/>
  <c r="T60" i="11" s="1"/>
  <c r="T72" i="20"/>
  <c r="T72" i="11" s="1"/>
  <c r="T75" i="20"/>
  <c r="T75" i="11" s="1"/>
  <c r="T61" i="20"/>
  <c r="T61" i="11" s="1"/>
  <c r="T73" i="20"/>
  <c r="T73" i="11" s="1"/>
  <c r="T62" i="20"/>
  <c r="T62" i="11" s="1"/>
  <c r="T67" i="20"/>
  <c r="T67" i="11" s="1"/>
  <c r="T71" i="20"/>
  <c r="T71" i="11" s="1"/>
  <c r="T65" i="20"/>
  <c r="T65" i="11" s="1"/>
  <c r="T76" i="20"/>
  <c r="T76" i="11" s="1"/>
  <c r="T78" i="20"/>
  <c r="T78" i="11" s="1"/>
  <c r="T49" i="20"/>
  <c r="T49" i="11" s="1"/>
  <c r="T51" i="20"/>
  <c r="T51" i="11" s="1"/>
  <c r="T43" i="20"/>
  <c r="T43" i="11" s="1"/>
  <c r="T55" i="20"/>
  <c r="T55" i="11" s="1"/>
  <c r="T52" i="20"/>
  <c r="T52" i="11" s="1"/>
  <c r="T36" i="20"/>
  <c r="T36" i="11" s="1"/>
  <c r="T50" i="20"/>
  <c r="T50" i="11" s="1"/>
  <c r="T45" i="20"/>
  <c r="T45" i="11" s="1"/>
  <c r="T35" i="20"/>
  <c r="T35" i="11" s="1"/>
  <c r="T56" i="20"/>
  <c r="T56" i="11" s="1"/>
  <c r="T58" i="20"/>
  <c r="T58" i="11" s="1"/>
  <c r="T46" i="20"/>
  <c r="T46" i="11" s="1"/>
  <c r="T47" i="20"/>
  <c r="T47" i="11" s="1"/>
  <c r="T154" i="11"/>
  <c r="T152" i="11"/>
  <c r="T158" i="11"/>
  <c r="T157" i="11"/>
  <c r="T156" i="11"/>
  <c r="T153" i="11"/>
  <c r="T155" i="11"/>
  <c r="T184" i="11"/>
  <c r="T225" i="11"/>
  <c r="T241" i="11"/>
  <c r="T259" i="11"/>
  <c r="T183" i="11"/>
  <c r="T251" i="11"/>
  <c r="T207" i="11"/>
  <c r="T246" i="11"/>
  <c r="T250" i="11"/>
  <c r="T256" i="11"/>
  <c r="T181" i="11"/>
  <c r="T186" i="11"/>
  <c r="T203" i="11"/>
  <c r="T238" i="11"/>
  <c r="T195" i="11"/>
  <c r="T223" i="11"/>
  <c r="T197" i="11"/>
  <c r="T224" i="11"/>
  <c r="T216" i="11"/>
  <c r="T245" i="11"/>
  <c r="T185" i="11"/>
  <c r="T257" i="11"/>
  <c r="T214" i="11"/>
  <c r="T182" i="11"/>
  <c r="T196" i="11"/>
  <c r="T206" i="11"/>
  <c r="T228" i="11"/>
  <c r="T233" i="11"/>
  <c r="T209" i="11"/>
  <c r="T226" i="11"/>
  <c r="T215" i="11"/>
  <c r="T247" i="11"/>
  <c r="T194" i="11"/>
  <c r="T193" i="11"/>
  <c r="T199" i="11"/>
  <c r="T204" i="11"/>
  <c r="T240" i="11"/>
  <c r="T218" i="11"/>
  <c r="T231" i="11"/>
  <c r="T219" i="11"/>
  <c r="T192" i="11"/>
  <c r="T208" i="11"/>
  <c r="T213" i="11"/>
  <c r="T237" i="11"/>
  <c r="T190" i="11"/>
  <c r="T255" i="11"/>
  <c r="T187" i="11"/>
  <c r="T253" i="11"/>
  <c r="T229" i="11"/>
  <c r="T254" i="11"/>
  <c r="T221" i="11"/>
  <c r="T242" i="11"/>
  <c r="T244" i="11"/>
  <c r="T252" i="11"/>
  <c r="T236" i="11"/>
  <c r="T217" i="11"/>
  <c r="T212" i="11"/>
  <c r="T258" i="11"/>
  <c r="T234" i="11"/>
  <c r="T191" i="11"/>
  <c r="T249" i="11"/>
  <c r="T235" i="11"/>
  <c r="T230" i="11"/>
  <c r="T198" i="11"/>
  <c r="T239" i="11"/>
  <c r="T202" i="11"/>
  <c r="T205" i="11"/>
  <c r="T211" i="11"/>
  <c r="T248" i="11"/>
  <c r="T220" i="11"/>
  <c r="T188" i="11"/>
  <c r="T210" i="11"/>
  <c r="T189" i="11"/>
  <c r="T201" i="11"/>
  <c r="T177" i="11"/>
  <c r="T222" i="11"/>
  <c r="T178" i="11"/>
  <c r="T173" i="11"/>
  <c r="T166" i="11"/>
  <c r="T176" i="11"/>
  <c r="T174" i="11"/>
  <c r="T179" i="11"/>
  <c r="T168" i="11"/>
  <c r="T162" i="11"/>
  <c r="T171" i="11"/>
  <c r="T169" i="11"/>
  <c r="T167" i="11"/>
  <c r="T164" i="11"/>
  <c r="T243" i="11"/>
  <c r="T165" i="11"/>
  <c r="T161" i="11"/>
  <c r="T172" i="11"/>
  <c r="T170" i="11"/>
  <c r="T175" i="11"/>
  <c r="T163" i="11"/>
  <c r="T180" i="11"/>
  <c r="T160" i="11"/>
  <c r="R29" i="11" l="1"/>
  <c r="R140" i="20"/>
  <c r="R140" i="11" s="1"/>
  <c r="D633" i="20"/>
  <c r="O140" i="11"/>
  <c r="S29" i="20"/>
  <c r="T30" i="20"/>
  <c r="T30" i="11" s="1"/>
  <c r="E633" i="20" l="1"/>
  <c r="T29" i="20"/>
  <c r="S29" i="11"/>
  <c r="S140" i="20"/>
  <c r="B140" i="20"/>
  <c r="B261" i="20"/>
  <c r="B382" i="20"/>
  <c r="B503" i="20"/>
  <c r="B624" i="20"/>
  <c r="T29" i="11" l="1"/>
  <c r="T140" i="20"/>
  <c r="S140" i="11"/>
  <c r="H633" i="20"/>
  <c r="J633" i="20" l="1"/>
  <c r="T140" i="11"/>
  <c r="D392" i="20"/>
  <c r="B392" i="20"/>
  <c r="H19" i="20" l="1"/>
  <c r="H15" i="20"/>
  <c r="F632" i="20"/>
  <c r="F631" i="20"/>
  <c r="E632" i="20"/>
  <c r="E631" i="20"/>
  <c r="D632" i="20"/>
  <c r="D631" i="20"/>
  <c r="H629" i="20"/>
  <c r="B15" i="11"/>
  <c r="H503" i="20" l="1"/>
  <c r="I392" i="20"/>
  <c r="I392" i="11" s="1"/>
  <c r="D513" i="20"/>
  <c r="B513" i="20"/>
  <c r="D271" i="20"/>
  <c r="Q271" i="20" s="1"/>
  <c r="B271" i="20"/>
  <c r="D150" i="20"/>
  <c r="Q150" i="20" s="1"/>
  <c r="B150" i="20"/>
  <c r="B29" i="20"/>
  <c r="B19" i="11"/>
  <c r="G8" i="20"/>
  <c r="G6" i="20"/>
  <c r="M525" i="20" l="1"/>
  <c r="M525" i="11" s="1"/>
  <c r="M522" i="20"/>
  <c r="M522" i="11" s="1"/>
  <c r="M521" i="20"/>
  <c r="M521" i="11" s="1"/>
  <c r="M520" i="20"/>
  <c r="M520" i="11" s="1"/>
  <c r="M570" i="20"/>
  <c r="M570" i="11" s="1"/>
  <c r="M519" i="20"/>
  <c r="M519" i="11" s="1"/>
  <c r="M563" i="20"/>
  <c r="M563" i="11" s="1"/>
  <c r="M518" i="20"/>
  <c r="M518" i="11" s="1"/>
  <c r="M558" i="20"/>
  <c r="M558" i="11" s="1"/>
  <c r="M517" i="20"/>
  <c r="M517" i="11" s="1"/>
  <c r="M540" i="20"/>
  <c r="M540" i="11" s="1"/>
  <c r="M516" i="20"/>
  <c r="M516" i="11" s="1"/>
  <c r="M539" i="20"/>
  <c r="M539" i="11" s="1"/>
  <c r="M515" i="20"/>
  <c r="M515" i="11" s="1"/>
  <c r="M537" i="20"/>
  <c r="M537" i="11" s="1"/>
  <c r="M514" i="20"/>
  <c r="M514" i="11" s="1"/>
  <c r="M528" i="20"/>
  <c r="M528" i="11" s="1"/>
  <c r="M527" i="20"/>
  <c r="M527" i="11" s="1"/>
  <c r="M560" i="20"/>
  <c r="M560" i="11" s="1"/>
  <c r="M541" i="20"/>
  <c r="M541" i="11" s="1"/>
  <c r="M596" i="20"/>
  <c r="M596" i="11" s="1"/>
  <c r="M568" i="20"/>
  <c r="M568" i="11" s="1"/>
  <c r="M604" i="20"/>
  <c r="M604" i="11" s="1"/>
  <c r="M622" i="20"/>
  <c r="M622" i="11" s="1"/>
  <c r="M566" i="20"/>
  <c r="M566" i="11" s="1"/>
  <c r="M615" i="20"/>
  <c r="M615" i="11" s="1"/>
  <c r="M606" i="20"/>
  <c r="M606" i="11" s="1"/>
  <c r="M571" i="20"/>
  <c r="M571" i="11" s="1"/>
  <c r="M574" i="20"/>
  <c r="M574" i="11" s="1"/>
  <c r="M614" i="20"/>
  <c r="M614" i="11" s="1"/>
  <c r="M607" i="20"/>
  <c r="M607" i="11" s="1"/>
  <c r="M576" i="20"/>
  <c r="M576" i="11" s="1"/>
  <c r="M569" i="20"/>
  <c r="M569" i="11" s="1"/>
  <c r="M618" i="20"/>
  <c r="M618" i="11" s="1"/>
  <c r="M605" i="20"/>
  <c r="M605" i="11" s="1"/>
  <c r="M608" i="20"/>
  <c r="M608" i="11" s="1"/>
  <c r="M577" i="20"/>
  <c r="M577" i="11" s="1"/>
  <c r="M617" i="20"/>
  <c r="M617" i="11" s="1"/>
  <c r="M610" i="20"/>
  <c r="M610" i="11" s="1"/>
  <c r="M579" i="20"/>
  <c r="M579" i="11" s="1"/>
  <c r="M565" i="20"/>
  <c r="M565" i="11" s="1"/>
  <c r="M619" i="20"/>
  <c r="M619" i="11" s="1"/>
  <c r="M572" i="20"/>
  <c r="M572" i="11" s="1"/>
  <c r="M621" i="20"/>
  <c r="M621" i="11" s="1"/>
  <c r="M611" i="20"/>
  <c r="M611" i="11" s="1"/>
  <c r="M580" i="20"/>
  <c r="M580" i="11" s="1"/>
  <c r="M620" i="20"/>
  <c r="M620" i="11" s="1"/>
  <c r="M523" i="20"/>
  <c r="M523" i="11" s="1"/>
  <c r="M613" i="20"/>
  <c r="M613" i="11" s="1"/>
  <c r="M582" i="20"/>
  <c r="M582" i="11" s="1"/>
  <c r="M609" i="20"/>
  <c r="M609" i="11" s="1"/>
  <c r="M524" i="20"/>
  <c r="M524" i="11" s="1"/>
  <c r="M583" i="20"/>
  <c r="M583" i="11" s="1"/>
  <c r="M526" i="20"/>
  <c r="M526" i="11" s="1"/>
  <c r="M585" i="20"/>
  <c r="M585" i="11" s="1"/>
  <c r="M542" i="20"/>
  <c r="M542" i="11" s="1"/>
  <c r="M552" i="20"/>
  <c r="M552" i="11" s="1"/>
  <c r="M612" i="20"/>
  <c r="M612" i="11" s="1"/>
  <c r="M575" i="20"/>
  <c r="M575" i="11" s="1"/>
  <c r="M534" i="20"/>
  <c r="M534" i="11" s="1"/>
  <c r="M530" i="20"/>
  <c r="M530" i="11" s="1"/>
  <c r="M535" i="20"/>
  <c r="M535" i="11" s="1"/>
  <c r="M586" i="20"/>
  <c r="M586" i="11" s="1"/>
  <c r="M601" i="20"/>
  <c r="M601" i="11" s="1"/>
  <c r="M529" i="20"/>
  <c r="M529" i="11" s="1"/>
  <c r="M588" i="20"/>
  <c r="M588" i="11" s="1"/>
  <c r="M545" i="20"/>
  <c r="M545" i="11" s="1"/>
  <c r="M578" i="20"/>
  <c r="M578" i="11" s="1"/>
  <c r="M544" i="20"/>
  <c r="M544" i="11" s="1"/>
  <c r="M589" i="20"/>
  <c r="M589" i="11" s="1"/>
  <c r="M591" i="20"/>
  <c r="M591" i="11" s="1"/>
  <c r="M548" i="20"/>
  <c r="M548" i="11" s="1"/>
  <c r="M581" i="20"/>
  <c r="M581" i="11" s="1"/>
  <c r="M547" i="20"/>
  <c r="M547" i="11" s="1"/>
  <c r="M592" i="20"/>
  <c r="M592" i="11" s="1"/>
  <c r="M555" i="20"/>
  <c r="M555" i="11" s="1"/>
  <c r="M594" i="20"/>
  <c r="M594" i="11" s="1"/>
  <c r="M551" i="20"/>
  <c r="M551" i="11" s="1"/>
  <c r="M593" i="20"/>
  <c r="M593" i="11" s="1"/>
  <c r="M584" i="20"/>
  <c r="M584" i="11" s="1"/>
  <c r="M550" i="20"/>
  <c r="M550" i="11" s="1"/>
  <c r="M556" i="20"/>
  <c r="M556" i="11" s="1"/>
  <c r="M595" i="20"/>
  <c r="M595" i="11" s="1"/>
  <c r="M543" i="20"/>
  <c r="M543" i="11" s="1"/>
  <c r="M554" i="20"/>
  <c r="M554" i="11" s="1"/>
  <c r="M561" i="20"/>
  <c r="M561" i="11" s="1"/>
  <c r="M532" i="20"/>
  <c r="M532" i="11" s="1"/>
  <c r="M597" i="20"/>
  <c r="M597" i="11" s="1"/>
  <c r="M602" i="20"/>
  <c r="M602" i="11" s="1"/>
  <c r="M587" i="20"/>
  <c r="M587" i="11" s="1"/>
  <c r="M553" i="20"/>
  <c r="M553" i="11" s="1"/>
  <c r="M559" i="20"/>
  <c r="M559" i="11" s="1"/>
  <c r="M598" i="20"/>
  <c r="M598" i="11" s="1"/>
  <c r="M546" i="20"/>
  <c r="M546" i="11" s="1"/>
  <c r="M603" i="20"/>
  <c r="M603" i="11" s="1"/>
  <c r="M564" i="20"/>
  <c r="M564" i="11" s="1"/>
  <c r="M531" i="20"/>
  <c r="M531" i="11" s="1"/>
  <c r="M538" i="20"/>
  <c r="M538" i="11" s="1"/>
  <c r="M590" i="20"/>
  <c r="M590" i="11" s="1"/>
  <c r="M599" i="20"/>
  <c r="M599" i="11" s="1"/>
  <c r="M562" i="20"/>
  <c r="M562" i="11" s="1"/>
  <c r="M533" i="20"/>
  <c r="M533" i="11" s="1"/>
  <c r="M549" i="20"/>
  <c r="M549" i="11" s="1"/>
  <c r="M536" i="20"/>
  <c r="M536" i="11" s="1"/>
  <c r="M567" i="20"/>
  <c r="M567" i="11" s="1"/>
  <c r="M616" i="20"/>
  <c r="M616" i="11" s="1"/>
  <c r="M600" i="20"/>
  <c r="M600" i="11" s="1"/>
  <c r="M557" i="20"/>
  <c r="M557" i="11" s="1"/>
  <c r="M573" i="20"/>
  <c r="M573" i="11" s="1"/>
  <c r="M328" i="20"/>
  <c r="M328" i="11" s="1"/>
  <c r="M277" i="20"/>
  <c r="M277" i="11" s="1"/>
  <c r="I326" i="20"/>
  <c r="I326" i="11" s="1"/>
  <c r="I274" i="20"/>
  <c r="I274" i="11" s="1"/>
  <c r="M327" i="20"/>
  <c r="M327" i="11" s="1"/>
  <c r="M276" i="20"/>
  <c r="M276" i="11" s="1"/>
  <c r="I319" i="20"/>
  <c r="I319" i="11" s="1"/>
  <c r="I273" i="20"/>
  <c r="I273" i="11" s="1"/>
  <c r="M295" i="20"/>
  <c r="M295" i="11" s="1"/>
  <c r="M275" i="20"/>
  <c r="M275" i="11" s="1"/>
  <c r="I307" i="20"/>
  <c r="I307" i="11" s="1"/>
  <c r="I272" i="20"/>
  <c r="I272" i="11" s="1"/>
  <c r="M294" i="20"/>
  <c r="M294" i="11" s="1"/>
  <c r="M274" i="20"/>
  <c r="M274" i="11" s="1"/>
  <c r="I301" i="20"/>
  <c r="I301" i="11" s="1"/>
  <c r="M278" i="20"/>
  <c r="M278" i="11" s="1"/>
  <c r="I275" i="20"/>
  <c r="I275" i="11" s="1"/>
  <c r="M293" i="20"/>
  <c r="M293" i="11" s="1"/>
  <c r="M273" i="20"/>
  <c r="M273" i="11" s="1"/>
  <c r="I290" i="20"/>
  <c r="I290" i="11" s="1"/>
  <c r="M371" i="20"/>
  <c r="M371" i="11" s="1"/>
  <c r="M290" i="20"/>
  <c r="M290" i="11" s="1"/>
  <c r="M272" i="20"/>
  <c r="M272" i="11" s="1"/>
  <c r="I289" i="20"/>
  <c r="I289" i="11" s="1"/>
  <c r="M330" i="20"/>
  <c r="M330" i="11" s="1"/>
  <c r="I338" i="20"/>
  <c r="I338" i="11" s="1"/>
  <c r="M359" i="20"/>
  <c r="M359" i="11" s="1"/>
  <c r="M283" i="20"/>
  <c r="M283" i="11" s="1"/>
  <c r="I280" i="20"/>
  <c r="I280" i="11" s="1"/>
  <c r="M357" i="20"/>
  <c r="M357" i="11" s="1"/>
  <c r="M282" i="20"/>
  <c r="M282" i="11" s="1"/>
  <c r="I279" i="20"/>
  <c r="I279" i="11" s="1"/>
  <c r="M355" i="20"/>
  <c r="M355" i="11" s="1"/>
  <c r="M281" i="20"/>
  <c r="M281" i="11" s="1"/>
  <c r="I376" i="20"/>
  <c r="I376" i="11" s="1"/>
  <c r="I278" i="20"/>
  <c r="I278" i="11" s="1"/>
  <c r="M343" i="20"/>
  <c r="M343" i="11" s="1"/>
  <c r="M280" i="20"/>
  <c r="M280" i="11" s="1"/>
  <c r="I362" i="20"/>
  <c r="I362" i="11" s="1"/>
  <c r="I277" i="20"/>
  <c r="I277" i="11" s="1"/>
  <c r="M338" i="20"/>
  <c r="M338" i="11" s="1"/>
  <c r="M279" i="20"/>
  <c r="M279" i="11" s="1"/>
  <c r="I343" i="20"/>
  <c r="I343" i="11" s="1"/>
  <c r="I276" i="20"/>
  <c r="I276" i="11" s="1"/>
  <c r="I308" i="20"/>
  <c r="I308" i="11" s="1"/>
  <c r="M332" i="20"/>
  <c r="M332" i="11" s="1"/>
  <c r="I321" i="20"/>
  <c r="I321" i="11" s="1"/>
  <c r="I286" i="20"/>
  <c r="I286" i="11" s="1"/>
  <c r="M312" i="20"/>
  <c r="M312" i="11" s="1"/>
  <c r="I311" i="20"/>
  <c r="I311" i="11" s="1"/>
  <c r="I304" i="20"/>
  <c r="I304" i="11" s="1"/>
  <c r="I330" i="20"/>
  <c r="I330" i="11" s="1"/>
  <c r="I329" i="20"/>
  <c r="I329" i="11" s="1"/>
  <c r="I324" i="20"/>
  <c r="I324" i="11" s="1"/>
  <c r="M358" i="20"/>
  <c r="M358" i="11" s="1"/>
  <c r="I348" i="20"/>
  <c r="I348" i="11" s="1"/>
  <c r="I350" i="20"/>
  <c r="I350" i="11" s="1"/>
  <c r="I352" i="20"/>
  <c r="I352" i="11" s="1"/>
  <c r="I380" i="20"/>
  <c r="I380" i="11" s="1"/>
  <c r="M380" i="20"/>
  <c r="M380" i="11" s="1"/>
  <c r="I373" i="20"/>
  <c r="I373" i="11" s="1"/>
  <c r="M298" i="20"/>
  <c r="M298" i="11" s="1"/>
  <c r="M322" i="20"/>
  <c r="M322" i="11" s="1"/>
  <c r="I297" i="20"/>
  <c r="I297" i="11" s="1"/>
  <c r="M346" i="20"/>
  <c r="M346" i="11" s="1"/>
  <c r="I344" i="20"/>
  <c r="I344" i="11" s="1"/>
  <c r="M362" i="20"/>
  <c r="M362" i="11" s="1"/>
  <c r="M287" i="20"/>
  <c r="M287" i="11" s="1"/>
  <c r="I356" i="20"/>
  <c r="I356" i="11" s="1"/>
  <c r="I298" i="20"/>
  <c r="I298" i="11" s="1"/>
  <c r="M302" i="20"/>
  <c r="M302" i="11" s="1"/>
  <c r="M304" i="20"/>
  <c r="M304" i="11" s="1"/>
  <c r="I303" i="20"/>
  <c r="I303" i="11" s="1"/>
  <c r="I316" i="20"/>
  <c r="I316" i="11" s="1"/>
  <c r="I323" i="20"/>
  <c r="I323" i="11" s="1"/>
  <c r="I336" i="20"/>
  <c r="I336" i="11" s="1"/>
  <c r="I360" i="20"/>
  <c r="I360" i="11" s="1"/>
  <c r="M351" i="20"/>
  <c r="M351" i="11" s="1"/>
  <c r="M353" i="20"/>
  <c r="M353" i="11" s="1"/>
  <c r="I363" i="20"/>
  <c r="I363" i="11" s="1"/>
  <c r="M365" i="20"/>
  <c r="M365" i="11" s="1"/>
  <c r="M370" i="20"/>
  <c r="M370" i="11" s="1"/>
  <c r="M377" i="20"/>
  <c r="M377" i="11" s="1"/>
  <c r="I355" i="20"/>
  <c r="I355" i="11" s="1"/>
  <c r="M374" i="20"/>
  <c r="M374" i="11" s="1"/>
  <c r="I374" i="20"/>
  <c r="I374" i="11" s="1"/>
  <c r="M368" i="20"/>
  <c r="M368" i="11" s="1"/>
  <c r="M299" i="20"/>
  <c r="M299" i="11" s="1"/>
  <c r="M288" i="20"/>
  <c r="M288" i="11" s="1"/>
  <c r="I331" i="20"/>
  <c r="I331" i="11" s="1"/>
  <c r="M292" i="20"/>
  <c r="M292" i="11" s="1"/>
  <c r="M314" i="20"/>
  <c r="M314" i="11" s="1"/>
  <c r="M316" i="20"/>
  <c r="M316" i="11" s="1"/>
  <c r="I315" i="20"/>
  <c r="I315" i="11" s="1"/>
  <c r="M307" i="20"/>
  <c r="M307" i="11" s="1"/>
  <c r="I306" i="20"/>
  <c r="I306" i="11" s="1"/>
  <c r="I322" i="20"/>
  <c r="I322" i="11" s="1"/>
  <c r="I335" i="20"/>
  <c r="I335" i="11" s="1"/>
  <c r="M325" i="20"/>
  <c r="M325" i="11" s="1"/>
  <c r="M349" i="20"/>
  <c r="M349" i="11" s="1"/>
  <c r="I375" i="20"/>
  <c r="I375" i="11" s="1"/>
  <c r="I370" i="20"/>
  <c r="I370" i="11" s="1"/>
  <c r="M285" i="20"/>
  <c r="M285" i="11" s="1"/>
  <c r="I337" i="20"/>
  <c r="I337" i="11" s="1"/>
  <c r="M315" i="20"/>
  <c r="M315" i="11" s="1"/>
  <c r="I288" i="20"/>
  <c r="I288" i="11" s="1"/>
  <c r="M284" i="20"/>
  <c r="M284" i="11" s="1"/>
  <c r="M339" i="20"/>
  <c r="M339" i="11" s="1"/>
  <c r="M300" i="20"/>
  <c r="M300" i="11" s="1"/>
  <c r="I364" i="20"/>
  <c r="I364" i="11" s="1"/>
  <c r="M326" i="20"/>
  <c r="M326" i="11" s="1"/>
  <c r="M306" i="20"/>
  <c r="M306" i="11" s="1"/>
  <c r="M319" i="20"/>
  <c r="M319" i="11" s="1"/>
  <c r="I318" i="20"/>
  <c r="I318" i="11" s="1"/>
  <c r="I334" i="20"/>
  <c r="I334" i="11" s="1"/>
  <c r="M324" i="20"/>
  <c r="M324" i="11" s="1"/>
  <c r="M337" i="20"/>
  <c r="M337" i="11" s="1"/>
  <c r="I354" i="20"/>
  <c r="I354" i="11" s="1"/>
  <c r="M367" i="20"/>
  <c r="M367" i="11" s="1"/>
  <c r="I372" i="20"/>
  <c r="I372" i="11" s="1"/>
  <c r="M296" i="20"/>
  <c r="M296" i="11" s="1"/>
  <c r="M372" i="20"/>
  <c r="M372" i="11" s="1"/>
  <c r="M340" i="20"/>
  <c r="M340" i="11" s="1"/>
  <c r="I284" i="20"/>
  <c r="I284" i="11" s="1"/>
  <c r="M347" i="20"/>
  <c r="M347" i="11" s="1"/>
  <c r="M318" i="20"/>
  <c r="M318" i="11" s="1"/>
  <c r="M309" i="20"/>
  <c r="M309" i="11" s="1"/>
  <c r="I339" i="20"/>
  <c r="I339" i="11" s="1"/>
  <c r="M323" i="20"/>
  <c r="M323" i="11" s="1"/>
  <c r="M336" i="20"/>
  <c r="M336" i="11" s="1"/>
  <c r="M344" i="20"/>
  <c r="M344" i="11" s="1"/>
  <c r="I367" i="20"/>
  <c r="I367" i="11" s="1"/>
  <c r="M379" i="20"/>
  <c r="M379" i="11" s="1"/>
  <c r="M369" i="20"/>
  <c r="M369" i="11" s="1"/>
  <c r="I291" i="20"/>
  <c r="I291" i="11" s="1"/>
  <c r="M334" i="20"/>
  <c r="M334" i="11" s="1"/>
  <c r="M331" i="20"/>
  <c r="M331" i="11" s="1"/>
  <c r="M373" i="20"/>
  <c r="M373" i="11" s="1"/>
  <c r="I341" i="20"/>
  <c r="I341" i="11" s="1"/>
  <c r="I296" i="20"/>
  <c r="I296" i="11" s="1"/>
  <c r="M291" i="20"/>
  <c r="M291" i="11" s="1"/>
  <c r="I305" i="20"/>
  <c r="I305" i="11" s="1"/>
  <c r="I328" i="20"/>
  <c r="I328" i="11" s="1"/>
  <c r="M335" i="20"/>
  <c r="M335" i="11" s="1"/>
  <c r="M356" i="20"/>
  <c r="M356" i="11" s="1"/>
  <c r="I347" i="20"/>
  <c r="I347" i="11" s="1"/>
  <c r="I379" i="20"/>
  <c r="I379" i="11" s="1"/>
  <c r="I361" i="20"/>
  <c r="I361" i="11" s="1"/>
  <c r="M341" i="20"/>
  <c r="M341" i="11" s="1"/>
  <c r="M375" i="20"/>
  <c r="M375" i="11" s="1"/>
  <c r="I365" i="20"/>
  <c r="I365" i="11" s="1"/>
  <c r="I371" i="20"/>
  <c r="I371" i="11" s="1"/>
  <c r="I309" i="20"/>
  <c r="I309" i="11" s="1"/>
  <c r="M361" i="20"/>
  <c r="M361" i="11" s="1"/>
  <c r="I281" i="20"/>
  <c r="I281" i="11" s="1"/>
  <c r="I325" i="20"/>
  <c r="I325" i="11" s="1"/>
  <c r="M321" i="20"/>
  <c r="M321" i="11" s="1"/>
  <c r="M311" i="20"/>
  <c r="M311" i="11" s="1"/>
  <c r="I317" i="20"/>
  <c r="I317" i="11" s="1"/>
  <c r="I340" i="20"/>
  <c r="I340" i="11" s="1"/>
  <c r="I359" i="20"/>
  <c r="I359" i="11" s="1"/>
  <c r="M364" i="20"/>
  <c r="M364" i="11" s="1"/>
  <c r="I357" i="20"/>
  <c r="I357" i="11" s="1"/>
  <c r="M297" i="20"/>
  <c r="M297" i="11" s="1"/>
  <c r="I292" i="20"/>
  <c r="I292" i="11" s="1"/>
  <c r="I293" i="20"/>
  <c r="I293" i="11" s="1"/>
  <c r="I282" i="20"/>
  <c r="I282" i="11" s="1"/>
  <c r="I358" i="20"/>
  <c r="I358" i="11" s="1"/>
  <c r="I300" i="20"/>
  <c r="I300" i="11" s="1"/>
  <c r="M310" i="20"/>
  <c r="M310" i="11" s="1"/>
  <c r="M345" i="20"/>
  <c r="M345" i="11" s="1"/>
  <c r="I310" i="20"/>
  <c r="I310" i="11" s="1"/>
  <c r="I302" i="20"/>
  <c r="I302" i="11" s="1"/>
  <c r="M308" i="20"/>
  <c r="M308" i="11" s="1"/>
  <c r="M329" i="20"/>
  <c r="M329" i="11" s="1"/>
  <c r="I332" i="20"/>
  <c r="I332" i="11" s="1"/>
  <c r="M348" i="20"/>
  <c r="M348" i="11" s="1"/>
  <c r="I353" i="20"/>
  <c r="I353" i="11" s="1"/>
  <c r="I366" i="20"/>
  <c r="I366" i="11" s="1"/>
  <c r="M376" i="20"/>
  <c r="M376" i="11" s="1"/>
  <c r="I368" i="20"/>
  <c r="I368" i="11" s="1"/>
  <c r="I313" i="20"/>
  <c r="I313" i="11" s="1"/>
  <c r="I349" i="20"/>
  <c r="I349" i="11" s="1"/>
  <c r="I294" i="20"/>
  <c r="I294" i="11" s="1"/>
  <c r="M289" i="20"/>
  <c r="M289" i="11" s="1"/>
  <c r="I287" i="20"/>
  <c r="I287" i="11" s="1"/>
  <c r="M313" i="20"/>
  <c r="M313" i="11" s="1"/>
  <c r="I312" i="20"/>
  <c r="I312" i="11" s="1"/>
  <c r="I314" i="20"/>
  <c r="I314" i="11" s="1"/>
  <c r="M320" i="20"/>
  <c r="M320" i="11" s="1"/>
  <c r="M333" i="20"/>
  <c r="M333" i="11" s="1"/>
  <c r="I342" i="20"/>
  <c r="I342" i="11" s="1"/>
  <c r="M360" i="20"/>
  <c r="M360" i="11" s="1"/>
  <c r="I351" i="20"/>
  <c r="I351" i="11" s="1"/>
  <c r="M342" i="20"/>
  <c r="M342" i="11" s="1"/>
  <c r="I378" i="20"/>
  <c r="I378" i="11" s="1"/>
  <c r="I283" i="20"/>
  <c r="I283" i="11" s="1"/>
  <c r="M317" i="20"/>
  <c r="M317" i="11" s="1"/>
  <c r="I295" i="20"/>
  <c r="I295" i="11" s="1"/>
  <c r="I377" i="20"/>
  <c r="I377" i="11" s="1"/>
  <c r="I346" i="20"/>
  <c r="I346" i="11" s="1"/>
  <c r="M286" i="20"/>
  <c r="M286" i="11" s="1"/>
  <c r="I320" i="20"/>
  <c r="I320" i="11" s="1"/>
  <c r="M301" i="20"/>
  <c r="M301" i="11" s="1"/>
  <c r="I299" i="20"/>
  <c r="I299" i="11" s="1"/>
  <c r="M303" i="20"/>
  <c r="M303" i="11" s="1"/>
  <c r="M305" i="20"/>
  <c r="M305" i="11" s="1"/>
  <c r="I333" i="20"/>
  <c r="I333" i="11" s="1"/>
  <c r="I345" i="20"/>
  <c r="I345" i="11" s="1"/>
  <c r="M350" i="20"/>
  <c r="M350" i="11" s="1"/>
  <c r="M352" i="20"/>
  <c r="M352" i="11" s="1"/>
  <c r="M354" i="20"/>
  <c r="M354" i="11" s="1"/>
  <c r="M363" i="20"/>
  <c r="M363" i="11" s="1"/>
  <c r="I369" i="20"/>
  <c r="I369" i="11" s="1"/>
  <c r="I285" i="20"/>
  <c r="I285" i="11" s="1"/>
  <c r="M366" i="20"/>
  <c r="M366" i="11" s="1"/>
  <c r="I327" i="20"/>
  <c r="I327" i="11" s="1"/>
  <c r="M378" i="20"/>
  <c r="M378" i="11" s="1"/>
  <c r="M156" i="20"/>
  <c r="M156" i="11" s="1"/>
  <c r="I169" i="20"/>
  <c r="I169" i="11" s="1"/>
  <c r="M155" i="20"/>
  <c r="I159" i="20"/>
  <c r="M154" i="20"/>
  <c r="I158" i="20"/>
  <c r="M259" i="20"/>
  <c r="M259" i="11" s="1"/>
  <c r="M153" i="20"/>
  <c r="I157" i="20"/>
  <c r="M221" i="20"/>
  <c r="M152" i="20"/>
  <c r="I156" i="20"/>
  <c r="I156" i="11" s="1"/>
  <c r="I184" i="20"/>
  <c r="I184" i="11" s="1"/>
  <c r="M175" i="20"/>
  <c r="M151" i="20"/>
  <c r="I155" i="20"/>
  <c r="M174" i="20"/>
  <c r="I154" i="20"/>
  <c r="M163" i="20"/>
  <c r="M163" i="11" s="1"/>
  <c r="I153" i="20"/>
  <c r="M162" i="20"/>
  <c r="I235" i="20"/>
  <c r="I152" i="20"/>
  <c r="M159" i="20"/>
  <c r="M159" i="11" s="1"/>
  <c r="I233" i="20"/>
  <c r="I233" i="11" s="1"/>
  <c r="I151" i="20"/>
  <c r="M157" i="20"/>
  <c r="M158" i="20"/>
  <c r="M158" i="11" s="1"/>
  <c r="I188" i="20"/>
  <c r="I188" i="11" s="1"/>
  <c r="M250" i="20"/>
  <c r="I228" i="20"/>
  <c r="I228" i="11" s="1"/>
  <c r="M165" i="20"/>
  <c r="I247" i="20"/>
  <c r="M167" i="20"/>
  <c r="M167" i="11" s="1"/>
  <c r="I220" i="20"/>
  <c r="I220" i="11" s="1"/>
  <c r="M243" i="20"/>
  <c r="M243" i="11" s="1"/>
  <c r="I258" i="20"/>
  <c r="I258" i="11" s="1"/>
  <c r="I231" i="20"/>
  <c r="M220" i="20"/>
  <c r="I179" i="20"/>
  <c r="I179" i="11" s="1"/>
  <c r="M196" i="20"/>
  <c r="M196" i="11" s="1"/>
  <c r="I221" i="20"/>
  <c r="I238" i="20"/>
  <c r="I238" i="11" s="1"/>
  <c r="M209" i="20"/>
  <c r="I210" i="20"/>
  <c r="I213" i="20"/>
  <c r="M244" i="20"/>
  <c r="M257" i="20"/>
  <c r="M257" i="11" s="1"/>
  <c r="I255" i="20"/>
  <c r="I255" i="11" s="1"/>
  <c r="M200" i="20"/>
  <c r="M200" i="11" s="1"/>
  <c r="I193" i="20"/>
  <c r="I191" i="20"/>
  <c r="I191" i="11" s="1"/>
  <c r="I211" i="20"/>
  <c r="I211" i="11" s="1"/>
  <c r="M164" i="20"/>
  <c r="M177" i="20"/>
  <c r="M177" i="11" s="1"/>
  <c r="M179" i="20"/>
  <c r="M168" i="20"/>
  <c r="I250" i="20"/>
  <c r="M171" i="20"/>
  <c r="I259" i="20"/>
  <c r="I259" i="11" s="1"/>
  <c r="I232" i="20"/>
  <c r="I232" i="11" s="1"/>
  <c r="I198" i="20"/>
  <c r="I198" i="11" s="1"/>
  <c r="M224" i="20"/>
  <c r="M229" i="20"/>
  <c r="M229" i="11" s="1"/>
  <c r="M213" i="20"/>
  <c r="I246" i="20"/>
  <c r="I187" i="20"/>
  <c r="I187" i="11" s="1"/>
  <c r="M191" i="20"/>
  <c r="M182" i="20"/>
  <c r="I180" i="20"/>
  <c r="M180" i="20"/>
  <c r="M176" i="20"/>
  <c r="M176" i="11" s="1"/>
  <c r="M233" i="20"/>
  <c r="M233" i="11" s="1"/>
  <c r="M166" i="20"/>
  <c r="M166" i="11" s="1"/>
  <c r="M235" i="20"/>
  <c r="M184" i="20"/>
  <c r="M169" i="20"/>
  <c r="M169" i="11" s="1"/>
  <c r="M208" i="20"/>
  <c r="M160" i="20"/>
  <c r="M160" i="11" s="1"/>
  <c r="M161" i="20"/>
  <c r="M161" i="11" s="1"/>
  <c r="M236" i="20"/>
  <c r="M251" i="20"/>
  <c r="I199" i="20"/>
  <c r="I203" i="20"/>
  <c r="I203" i="11" s="1"/>
  <c r="M203" i="20"/>
  <c r="M203" i="11" s="1"/>
  <c r="M194" i="20"/>
  <c r="M194" i="11" s="1"/>
  <c r="M232" i="20"/>
  <c r="I254" i="20"/>
  <c r="I254" i="11" s="1"/>
  <c r="M222" i="20"/>
  <c r="M178" i="20"/>
  <c r="M240" i="20"/>
  <c r="M240" i="11" s="1"/>
  <c r="M190" i="20"/>
  <c r="M247" i="20"/>
  <c r="M172" i="20"/>
  <c r="M172" i="11" s="1"/>
  <c r="M173" i="20"/>
  <c r="M173" i="11" s="1"/>
  <c r="I192" i="20"/>
  <c r="I192" i="11" s="1"/>
  <c r="I223" i="20"/>
  <c r="I223" i="11" s="1"/>
  <c r="M214" i="20"/>
  <c r="M185" i="20"/>
  <c r="M185" i="11" s="1"/>
  <c r="M189" i="20"/>
  <c r="M189" i="11" s="1"/>
  <c r="I182" i="20"/>
  <c r="I182" i="11" s="1"/>
  <c r="I185" i="20"/>
  <c r="I185" i="11" s="1"/>
  <c r="M234" i="20"/>
  <c r="M234" i="11" s="1"/>
  <c r="M241" i="20"/>
  <c r="M217" i="20"/>
  <c r="M219" i="20"/>
  <c r="M198" i="20"/>
  <c r="M226" i="20"/>
  <c r="M226" i="11" s="1"/>
  <c r="I225" i="20"/>
  <c r="I225" i="11" s="1"/>
  <c r="M205" i="20"/>
  <c r="I209" i="20"/>
  <c r="M197" i="20"/>
  <c r="M201" i="20"/>
  <c r="M201" i="11" s="1"/>
  <c r="I194" i="20"/>
  <c r="I197" i="20"/>
  <c r="I197" i="11" s="1"/>
  <c r="M253" i="20"/>
  <c r="M254" i="20"/>
  <c r="M238" i="20"/>
  <c r="M238" i="11" s="1"/>
  <c r="I237" i="20"/>
  <c r="I227" i="20"/>
  <c r="I227" i="11" s="1"/>
  <c r="I205" i="20"/>
  <c r="I205" i="11" s="1"/>
  <c r="M252" i="20"/>
  <c r="I251" i="20"/>
  <c r="I251" i="11" s="1"/>
  <c r="I245" i="20"/>
  <c r="I189" i="20"/>
  <c r="I189" i="11" s="1"/>
  <c r="M192" i="20"/>
  <c r="M183" i="20"/>
  <c r="M183" i="11" s="1"/>
  <c r="M223" i="20"/>
  <c r="I239" i="20"/>
  <c r="I207" i="20"/>
  <c r="M215" i="20"/>
  <c r="M215" i="11" s="1"/>
  <c r="I242" i="20"/>
  <c r="I242" i="11" s="1"/>
  <c r="M187" i="20"/>
  <c r="M187" i="11" s="1"/>
  <c r="M255" i="20"/>
  <c r="M199" i="20"/>
  <c r="M199" i="11" s="1"/>
  <c r="I168" i="20"/>
  <c r="I168" i="11" s="1"/>
  <c r="M212" i="20"/>
  <c r="M212" i="11" s="1"/>
  <c r="M228" i="20"/>
  <c r="I215" i="20"/>
  <c r="I215" i="11" s="1"/>
  <c r="I201" i="20"/>
  <c r="M195" i="20"/>
  <c r="M246" i="20"/>
  <c r="M246" i="11" s="1"/>
  <c r="I226" i="20"/>
  <c r="I164" i="20"/>
  <c r="I164" i="11" s="1"/>
  <c r="I257" i="20"/>
  <c r="I257" i="11" s="1"/>
  <c r="M249" i="20"/>
  <c r="I208" i="20"/>
  <c r="M204" i="20"/>
  <c r="I162" i="20"/>
  <c r="I162" i="11" s="1"/>
  <c r="I176" i="20"/>
  <c r="I176" i="11" s="1"/>
  <c r="I195" i="20"/>
  <c r="I195" i="11" s="1"/>
  <c r="M206" i="20"/>
  <c r="M206" i="11" s="1"/>
  <c r="I219" i="20"/>
  <c r="M242" i="20"/>
  <c r="M256" i="20"/>
  <c r="I170" i="20"/>
  <c r="I170" i="11" s="1"/>
  <c r="I161" i="20"/>
  <c r="I161" i="11" s="1"/>
  <c r="I174" i="20"/>
  <c r="I174" i="11" s="1"/>
  <c r="I229" i="20"/>
  <c r="I186" i="20"/>
  <c r="I222" i="20"/>
  <c r="I222" i="11" s="1"/>
  <c r="M218" i="20"/>
  <c r="M218" i="11" s="1"/>
  <c r="M210" i="20"/>
  <c r="M210" i="11" s="1"/>
  <c r="M248" i="20"/>
  <c r="I244" i="20"/>
  <c r="I200" i="20"/>
  <c r="I171" i="20"/>
  <c r="I160" i="20"/>
  <c r="I160" i="11" s="1"/>
  <c r="I173" i="20"/>
  <c r="I173" i="11" s="1"/>
  <c r="I217" i="20"/>
  <c r="I256" i="20"/>
  <c r="I256" i="11" s="1"/>
  <c r="I165" i="20"/>
  <c r="M186" i="20"/>
  <c r="M186" i="11" s="1"/>
  <c r="I234" i="20"/>
  <c r="I236" i="20"/>
  <c r="I236" i="11" s="1"/>
  <c r="I241" i="20"/>
  <c r="M258" i="20"/>
  <c r="M230" i="20"/>
  <c r="M230" i="11" s="1"/>
  <c r="I224" i="20"/>
  <c r="I240" i="20"/>
  <c r="I240" i="11" s="1"/>
  <c r="I204" i="20"/>
  <c r="I204" i="11" s="1"/>
  <c r="I172" i="20"/>
  <c r="I216" i="20"/>
  <c r="I216" i="11" s="1"/>
  <c r="I249" i="20"/>
  <c r="I249" i="11" s="1"/>
  <c r="I163" i="20"/>
  <c r="I163" i="11" s="1"/>
  <c r="M170" i="20"/>
  <c r="M170" i="11" s="1"/>
  <c r="I177" i="20"/>
  <c r="I177" i="11" s="1"/>
  <c r="I166" i="20"/>
  <c r="M225" i="20"/>
  <c r="M227" i="20"/>
  <c r="M227" i="11" s="1"/>
  <c r="I206" i="20"/>
  <c r="M211" i="20"/>
  <c r="M211" i="11" s="1"/>
  <c r="I253" i="20"/>
  <c r="I253" i="11" s="1"/>
  <c r="I202" i="20"/>
  <c r="I202" i="11" s="1"/>
  <c r="M202" i="20"/>
  <c r="M202" i="11" s="1"/>
  <c r="M181" i="20"/>
  <c r="M216" i="20"/>
  <c r="M216" i="11" s="1"/>
  <c r="I212" i="20"/>
  <c r="I212" i="11" s="1"/>
  <c r="I243" i="20"/>
  <c r="I243" i="11" s="1"/>
  <c r="I214" i="20"/>
  <c r="I248" i="20"/>
  <c r="I175" i="20"/>
  <c r="I175" i="11" s="1"/>
  <c r="M207" i="20"/>
  <c r="I230" i="20"/>
  <c r="I230" i="11" s="1"/>
  <c r="I178" i="20"/>
  <c r="I178" i="11" s="1"/>
  <c r="I167" i="20"/>
  <c r="I167" i="11" s="1"/>
  <c r="I190" i="20"/>
  <c r="I190" i="11" s="1"/>
  <c r="I196" i="20"/>
  <c r="I183" i="20"/>
  <c r="I183" i="11" s="1"/>
  <c r="M237" i="20"/>
  <c r="M239" i="20"/>
  <c r="M239" i="11" s="1"/>
  <c r="M231" i="20"/>
  <c r="M231" i="11" s="1"/>
  <c r="I218" i="20"/>
  <c r="I252" i="20"/>
  <c r="I252" i="11" s="1"/>
  <c r="M245" i="20"/>
  <c r="M188" i="20"/>
  <c r="M188" i="11" s="1"/>
  <c r="I181" i="20"/>
  <c r="I181" i="11" s="1"/>
  <c r="M193" i="20"/>
  <c r="M513" i="20"/>
  <c r="M271" i="20"/>
  <c r="M271" i="11" s="1"/>
  <c r="I271" i="20"/>
  <c r="I271" i="11" s="1"/>
  <c r="I248" i="11"/>
  <c r="I237" i="11"/>
  <c r="I214" i="11"/>
  <c r="I209" i="11"/>
  <c r="I151" i="11"/>
  <c r="I219" i="11"/>
  <c r="I217" i="11"/>
  <c r="I239" i="11"/>
  <c r="I247" i="11"/>
  <c r="I224" i="11"/>
  <c r="I213" i="11"/>
  <c r="I201" i="11"/>
  <c r="I155" i="11"/>
  <c r="I186" i="11"/>
  <c r="I207" i="11"/>
  <c r="I218" i="11"/>
  <c r="I172" i="11"/>
  <c r="I158" i="11"/>
  <c r="I180" i="11"/>
  <c r="I246" i="11"/>
  <c r="I235" i="11"/>
  <c r="I200" i="11"/>
  <c r="I166" i="11"/>
  <c r="I154" i="11"/>
  <c r="I196" i="11"/>
  <c r="I193" i="11"/>
  <c r="I226" i="11"/>
  <c r="I245" i="11"/>
  <c r="I234" i="11"/>
  <c r="I165" i="11"/>
  <c r="I153" i="11"/>
  <c r="I150" i="20"/>
  <c r="I150" i="11" s="1"/>
  <c r="I194" i="11"/>
  <c r="I244" i="11"/>
  <c r="I221" i="11"/>
  <c r="I210" i="11"/>
  <c r="I199" i="11"/>
  <c r="I152" i="11"/>
  <c r="I241" i="11"/>
  <c r="I206" i="11"/>
  <c r="I171" i="11"/>
  <c r="I231" i="11"/>
  <c r="I208" i="11"/>
  <c r="I229" i="11"/>
  <c r="I159" i="11"/>
  <c r="I157" i="11"/>
  <c r="I250" i="11"/>
  <c r="M248" i="11"/>
  <c r="M237" i="11"/>
  <c r="M225" i="11"/>
  <c r="M214" i="11"/>
  <c r="M191" i="11"/>
  <c r="M168" i="11"/>
  <c r="M235" i="11"/>
  <c r="M178" i="11"/>
  <c r="M154" i="11"/>
  <c r="M245" i="11"/>
  <c r="M222" i="11"/>
  <c r="M165" i="11"/>
  <c r="M221" i="11"/>
  <c r="M152" i="11"/>
  <c r="M220" i="11"/>
  <c r="M198" i="11"/>
  <c r="M242" i="11"/>
  <c r="M217" i="11"/>
  <c r="M157" i="11"/>
  <c r="M247" i="11"/>
  <c r="M236" i="11"/>
  <c r="M224" i="11"/>
  <c r="M213" i="11"/>
  <c r="M190" i="11"/>
  <c r="M179" i="11"/>
  <c r="M155" i="11"/>
  <c r="M223" i="11"/>
  <c r="M153" i="11"/>
  <c r="M244" i="11"/>
  <c r="M164" i="11"/>
  <c r="M209" i="11"/>
  <c r="M175" i="11"/>
  <c r="M254" i="11"/>
  <c r="M208" i="11"/>
  <c r="M162" i="11"/>
  <c r="M219" i="11"/>
  <c r="M184" i="11"/>
  <c r="M252" i="11"/>
  <c r="M195" i="11"/>
  <c r="M228" i="11"/>
  <c r="M182" i="11"/>
  <c r="M193" i="11"/>
  <c r="M258" i="11"/>
  <c r="M232" i="11"/>
  <c r="M174" i="11"/>
  <c r="M241" i="11"/>
  <c r="M192" i="11"/>
  <c r="M205" i="11"/>
  <c r="M250" i="11"/>
  <c r="M256" i="11"/>
  <c r="M151" i="11"/>
  <c r="M197" i="11"/>
  <c r="M253" i="11"/>
  <c r="M207" i="11"/>
  <c r="M171" i="11"/>
  <c r="M204" i="11"/>
  <c r="M249" i="11"/>
  <c r="M180" i="11"/>
  <c r="M255" i="11"/>
  <c r="M251" i="11"/>
  <c r="M181" i="11"/>
  <c r="M150" i="20"/>
  <c r="M150" i="11" s="1"/>
  <c r="M127" i="20"/>
  <c r="M127" i="11" s="1"/>
  <c r="M116" i="20"/>
  <c r="M116" i="11" s="1"/>
  <c r="M104" i="20"/>
  <c r="M104" i="11" s="1"/>
  <c r="M93" i="20"/>
  <c r="M93" i="11" s="1"/>
  <c r="M81" i="20"/>
  <c r="M81" i="11" s="1"/>
  <c r="M138" i="20"/>
  <c r="M138" i="11" s="1"/>
  <c r="M126" i="20"/>
  <c r="M126" i="11" s="1"/>
  <c r="M115" i="20"/>
  <c r="M115" i="11" s="1"/>
  <c r="M103" i="20"/>
  <c r="M103" i="11" s="1"/>
  <c r="M92" i="20"/>
  <c r="M92" i="11" s="1"/>
  <c r="M80" i="20"/>
  <c r="M80" i="11" s="1"/>
  <c r="M69" i="20"/>
  <c r="M69" i="11" s="1"/>
  <c r="M58" i="20"/>
  <c r="M58" i="11" s="1"/>
  <c r="M46" i="20"/>
  <c r="M46" i="11" s="1"/>
  <c r="M34" i="20"/>
  <c r="M34" i="11" s="1"/>
  <c r="M33" i="20"/>
  <c r="M33" i="11" s="1"/>
  <c r="M113" i="20"/>
  <c r="M113" i="11" s="1"/>
  <c r="M90" i="20"/>
  <c r="M90" i="11" s="1"/>
  <c r="M137" i="20"/>
  <c r="M137" i="11" s="1"/>
  <c r="M125" i="20"/>
  <c r="M125" i="11" s="1"/>
  <c r="M114" i="20"/>
  <c r="M114" i="11" s="1"/>
  <c r="M102" i="20"/>
  <c r="M102" i="11" s="1"/>
  <c r="M91" i="20"/>
  <c r="M91" i="11" s="1"/>
  <c r="M79" i="20"/>
  <c r="M79" i="11" s="1"/>
  <c r="M68" i="20"/>
  <c r="M68" i="11" s="1"/>
  <c r="M57" i="20"/>
  <c r="M57" i="11" s="1"/>
  <c r="M45" i="20"/>
  <c r="M45" i="11" s="1"/>
  <c r="M124" i="20"/>
  <c r="M124" i="11" s="1"/>
  <c r="M101" i="20"/>
  <c r="M101" i="11" s="1"/>
  <c r="M56" i="20"/>
  <c r="M56" i="11" s="1"/>
  <c r="M136" i="20"/>
  <c r="M136" i="11" s="1"/>
  <c r="M135" i="20"/>
  <c r="M135" i="11" s="1"/>
  <c r="M123" i="20"/>
  <c r="M123" i="11" s="1"/>
  <c r="M112" i="20"/>
  <c r="M112" i="11" s="1"/>
  <c r="M100" i="20"/>
  <c r="M100" i="11" s="1"/>
  <c r="M89" i="20"/>
  <c r="M89" i="11" s="1"/>
  <c r="M78" i="20"/>
  <c r="M78" i="11" s="1"/>
  <c r="M66" i="20"/>
  <c r="M66" i="11" s="1"/>
  <c r="M55" i="20"/>
  <c r="M55" i="11" s="1"/>
  <c r="M43" i="20"/>
  <c r="M43" i="11" s="1"/>
  <c r="M31" i="20"/>
  <c r="M31" i="11" s="1"/>
  <c r="M122" i="20"/>
  <c r="M122" i="11" s="1"/>
  <c r="M88" i="20"/>
  <c r="M88" i="11" s="1"/>
  <c r="M65" i="20"/>
  <c r="M65" i="11" s="1"/>
  <c r="M42" i="20"/>
  <c r="M42" i="11" s="1"/>
  <c r="M30" i="20"/>
  <c r="M30" i="11" s="1"/>
  <c r="M134" i="20"/>
  <c r="M134" i="11" s="1"/>
  <c r="M111" i="20"/>
  <c r="M111" i="11" s="1"/>
  <c r="M99" i="20"/>
  <c r="M99" i="11" s="1"/>
  <c r="M77" i="20"/>
  <c r="M77" i="11" s="1"/>
  <c r="M54" i="20"/>
  <c r="M54" i="11" s="1"/>
  <c r="M133" i="20"/>
  <c r="M133" i="11" s="1"/>
  <c r="M121" i="20"/>
  <c r="M121" i="11" s="1"/>
  <c r="M110" i="20"/>
  <c r="M110" i="11" s="1"/>
  <c r="M87" i="20"/>
  <c r="M87" i="11" s="1"/>
  <c r="M76" i="20"/>
  <c r="M76" i="11" s="1"/>
  <c r="M64" i="20"/>
  <c r="M64" i="11" s="1"/>
  <c r="M53" i="20"/>
  <c r="M53" i="11" s="1"/>
  <c r="M41" i="20"/>
  <c r="M41" i="11" s="1"/>
  <c r="M71" i="20"/>
  <c r="M71" i="11" s="1"/>
  <c r="M48" i="20"/>
  <c r="M48" i="11" s="1"/>
  <c r="M47" i="20"/>
  <c r="M47" i="11" s="1"/>
  <c r="M44" i="20"/>
  <c r="M44" i="11" s="1"/>
  <c r="M132" i="20"/>
  <c r="M132" i="11" s="1"/>
  <c r="M120" i="20"/>
  <c r="M120" i="11" s="1"/>
  <c r="M109" i="20"/>
  <c r="M109" i="11" s="1"/>
  <c r="M98" i="20"/>
  <c r="M98" i="11" s="1"/>
  <c r="M86" i="20"/>
  <c r="M86" i="11" s="1"/>
  <c r="M75" i="20"/>
  <c r="M75" i="11" s="1"/>
  <c r="M63" i="20"/>
  <c r="M63" i="11" s="1"/>
  <c r="M52" i="20"/>
  <c r="M52" i="11" s="1"/>
  <c r="M40" i="20"/>
  <c r="M40" i="11" s="1"/>
  <c r="M94" i="20"/>
  <c r="M94" i="11" s="1"/>
  <c r="M36" i="20"/>
  <c r="M36" i="11" s="1"/>
  <c r="M131" i="20"/>
  <c r="M131" i="11" s="1"/>
  <c r="M119" i="20"/>
  <c r="M119" i="11" s="1"/>
  <c r="M108" i="20"/>
  <c r="M108" i="11" s="1"/>
  <c r="M97" i="20"/>
  <c r="M97" i="11" s="1"/>
  <c r="M85" i="20"/>
  <c r="M85" i="11" s="1"/>
  <c r="M74" i="20"/>
  <c r="M74" i="11" s="1"/>
  <c r="M62" i="20"/>
  <c r="M62" i="11" s="1"/>
  <c r="M51" i="20"/>
  <c r="M51" i="11" s="1"/>
  <c r="M39" i="20"/>
  <c r="M39" i="11" s="1"/>
  <c r="M105" i="20"/>
  <c r="M105" i="11" s="1"/>
  <c r="M35" i="20"/>
  <c r="M35" i="11" s="1"/>
  <c r="M32" i="20"/>
  <c r="M32" i="11" s="1"/>
  <c r="M130" i="20"/>
  <c r="M130" i="11" s="1"/>
  <c r="M107" i="20"/>
  <c r="M107" i="11" s="1"/>
  <c r="M96" i="20"/>
  <c r="M96" i="11" s="1"/>
  <c r="M84" i="20"/>
  <c r="M84" i="11" s="1"/>
  <c r="M73" i="20"/>
  <c r="M73" i="11" s="1"/>
  <c r="M61" i="20"/>
  <c r="M61" i="11" s="1"/>
  <c r="M50" i="20"/>
  <c r="M50" i="11" s="1"/>
  <c r="M38" i="20"/>
  <c r="M38" i="11" s="1"/>
  <c r="M117" i="20"/>
  <c r="M117" i="11" s="1"/>
  <c r="M82" i="20"/>
  <c r="M82" i="11" s="1"/>
  <c r="M70" i="20"/>
  <c r="M70" i="11" s="1"/>
  <c r="M129" i="20"/>
  <c r="M129" i="11" s="1"/>
  <c r="M118" i="20"/>
  <c r="M118" i="11" s="1"/>
  <c r="M106" i="20"/>
  <c r="M106" i="11" s="1"/>
  <c r="M95" i="20"/>
  <c r="M95" i="11" s="1"/>
  <c r="M83" i="20"/>
  <c r="M83" i="11" s="1"/>
  <c r="M72" i="20"/>
  <c r="M72" i="11" s="1"/>
  <c r="M60" i="20"/>
  <c r="M60" i="11" s="1"/>
  <c r="M49" i="20"/>
  <c r="M49" i="11" s="1"/>
  <c r="M37" i="20"/>
  <c r="M37" i="11" s="1"/>
  <c r="M128" i="20"/>
  <c r="M128" i="11" s="1"/>
  <c r="M59" i="20"/>
  <c r="M59" i="11" s="1"/>
  <c r="M67" i="20"/>
  <c r="M67" i="11" s="1"/>
  <c r="I79" i="20"/>
  <c r="I79" i="11" s="1"/>
  <c r="I136" i="20"/>
  <c r="I136" i="11" s="1"/>
  <c r="I124" i="20"/>
  <c r="I124" i="11" s="1"/>
  <c r="I113" i="20"/>
  <c r="I113" i="11" s="1"/>
  <c r="I101" i="20"/>
  <c r="I101" i="11" s="1"/>
  <c r="I90" i="20"/>
  <c r="I90" i="11" s="1"/>
  <c r="I67" i="20"/>
  <c r="I67" i="11" s="1"/>
  <c r="I56" i="20"/>
  <c r="I56" i="11" s="1"/>
  <c r="I44" i="20"/>
  <c r="I44" i="11" s="1"/>
  <c r="I32" i="20"/>
  <c r="I32" i="11" s="1"/>
  <c r="I135" i="20"/>
  <c r="I135" i="11" s="1"/>
  <c r="I123" i="20"/>
  <c r="I123" i="11" s="1"/>
  <c r="I112" i="20"/>
  <c r="I112" i="11" s="1"/>
  <c r="I100" i="20"/>
  <c r="I100" i="11" s="1"/>
  <c r="I89" i="20"/>
  <c r="I89" i="11" s="1"/>
  <c r="I78" i="20"/>
  <c r="I78" i="11" s="1"/>
  <c r="I66" i="20"/>
  <c r="I66" i="11" s="1"/>
  <c r="I55" i="20"/>
  <c r="I55" i="11" s="1"/>
  <c r="I43" i="20"/>
  <c r="I43" i="11" s="1"/>
  <c r="I31" i="20"/>
  <c r="I31" i="11" s="1"/>
  <c r="I134" i="20"/>
  <c r="I134" i="11" s="1"/>
  <c r="I122" i="20"/>
  <c r="I122" i="11" s="1"/>
  <c r="I111" i="20"/>
  <c r="I111" i="11" s="1"/>
  <c r="I99" i="20"/>
  <c r="I99" i="11" s="1"/>
  <c r="I88" i="20"/>
  <c r="I88" i="11" s="1"/>
  <c r="I77" i="20"/>
  <c r="I77" i="11" s="1"/>
  <c r="I65" i="20"/>
  <c r="I65" i="11" s="1"/>
  <c r="I54" i="20"/>
  <c r="I54" i="11" s="1"/>
  <c r="I42" i="20"/>
  <c r="I42" i="11" s="1"/>
  <c r="I30" i="20"/>
  <c r="I30" i="11" s="1"/>
  <c r="I133" i="20"/>
  <c r="I133" i="11" s="1"/>
  <c r="I121" i="20"/>
  <c r="I121" i="11" s="1"/>
  <c r="I110" i="20"/>
  <c r="I110" i="11" s="1"/>
  <c r="I87" i="20"/>
  <c r="I87" i="11" s="1"/>
  <c r="I76" i="20"/>
  <c r="I76" i="11" s="1"/>
  <c r="I64" i="20"/>
  <c r="I64" i="11" s="1"/>
  <c r="I41" i="20"/>
  <c r="I41" i="11" s="1"/>
  <c r="I120" i="20"/>
  <c r="I120" i="11" s="1"/>
  <c r="I109" i="20"/>
  <c r="I109" i="11" s="1"/>
  <c r="I86" i="20"/>
  <c r="I86" i="11" s="1"/>
  <c r="I75" i="20"/>
  <c r="I75" i="11" s="1"/>
  <c r="I63" i="20"/>
  <c r="I63" i="11" s="1"/>
  <c r="I52" i="20"/>
  <c r="I52" i="11" s="1"/>
  <c r="I131" i="20"/>
  <c r="I131" i="11" s="1"/>
  <c r="I119" i="20"/>
  <c r="I119" i="11" s="1"/>
  <c r="I108" i="20"/>
  <c r="I108" i="11" s="1"/>
  <c r="I97" i="20"/>
  <c r="I97" i="11" s="1"/>
  <c r="I85" i="20"/>
  <c r="I85" i="11" s="1"/>
  <c r="I62" i="20"/>
  <c r="I62" i="11" s="1"/>
  <c r="I39" i="20"/>
  <c r="I39" i="11" s="1"/>
  <c r="I96" i="20"/>
  <c r="I96" i="11" s="1"/>
  <c r="I84" i="20"/>
  <c r="I84" i="11" s="1"/>
  <c r="I73" i="20"/>
  <c r="I73" i="11" s="1"/>
  <c r="I61" i="20"/>
  <c r="I61" i="11" s="1"/>
  <c r="I50" i="20"/>
  <c r="I50" i="11" s="1"/>
  <c r="I38" i="20"/>
  <c r="I38" i="11" s="1"/>
  <c r="I118" i="20"/>
  <c r="I118" i="11" s="1"/>
  <c r="I95" i="20"/>
  <c r="I95" i="11" s="1"/>
  <c r="I72" i="20"/>
  <c r="I72" i="11" s="1"/>
  <c r="I128" i="20"/>
  <c r="I128" i="11" s="1"/>
  <c r="I82" i="20"/>
  <c r="I82" i="11" s="1"/>
  <c r="I127" i="20"/>
  <c r="I127" i="11" s="1"/>
  <c r="I70" i="20"/>
  <c r="I70" i="11" s="1"/>
  <c r="I103" i="20"/>
  <c r="I103" i="11" s="1"/>
  <c r="I46" i="20"/>
  <c r="I46" i="11" s="1"/>
  <c r="I137" i="20"/>
  <c r="I137" i="11" s="1"/>
  <c r="I33" i="20"/>
  <c r="I33" i="11" s="1"/>
  <c r="I53" i="20"/>
  <c r="I53" i="11" s="1"/>
  <c r="I37" i="20"/>
  <c r="I37" i="11" s="1"/>
  <c r="I94" i="20"/>
  <c r="I94" i="11" s="1"/>
  <c r="I48" i="20"/>
  <c r="I48" i="11" s="1"/>
  <c r="I81" i="20"/>
  <c r="I81" i="11" s="1"/>
  <c r="I47" i="20"/>
  <c r="I47" i="11" s="1"/>
  <c r="I92" i="20"/>
  <c r="I92" i="11" s="1"/>
  <c r="I34" i="20"/>
  <c r="I34" i="11" s="1"/>
  <c r="I91" i="20"/>
  <c r="I91" i="11" s="1"/>
  <c r="I57" i="20"/>
  <c r="I57" i="11" s="1"/>
  <c r="I132" i="20"/>
  <c r="I132" i="11" s="1"/>
  <c r="I98" i="20"/>
  <c r="I98" i="11" s="1"/>
  <c r="I40" i="20"/>
  <c r="I40" i="11" s="1"/>
  <c r="I74" i="20"/>
  <c r="I74" i="11" s="1"/>
  <c r="I51" i="20"/>
  <c r="I51" i="11" s="1"/>
  <c r="I107" i="20"/>
  <c r="I107" i="11" s="1"/>
  <c r="I106" i="20"/>
  <c r="I106" i="11" s="1"/>
  <c r="I83" i="20"/>
  <c r="I83" i="11" s="1"/>
  <c r="I60" i="20"/>
  <c r="I60" i="11" s="1"/>
  <c r="I117" i="20"/>
  <c r="I117" i="11" s="1"/>
  <c r="I59" i="20"/>
  <c r="I59" i="11" s="1"/>
  <c r="I116" i="20"/>
  <c r="I116" i="11" s="1"/>
  <c r="I115" i="20"/>
  <c r="I115" i="11" s="1"/>
  <c r="I80" i="20"/>
  <c r="I80" i="11" s="1"/>
  <c r="I125" i="20"/>
  <c r="I125" i="11" s="1"/>
  <c r="I68" i="20"/>
  <c r="I68" i="11" s="1"/>
  <c r="I35" i="20"/>
  <c r="I35" i="11" s="1"/>
  <c r="I130" i="20"/>
  <c r="I130" i="11" s="1"/>
  <c r="I49" i="20"/>
  <c r="I49" i="11" s="1"/>
  <c r="I105" i="20"/>
  <c r="I105" i="11" s="1"/>
  <c r="I71" i="20"/>
  <c r="I71" i="11" s="1"/>
  <c r="I36" i="20"/>
  <c r="I36" i="11" s="1"/>
  <c r="I104" i="20"/>
  <c r="I104" i="11" s="1"/>
  <c r="I126" i="20"/>
  <c r="I126" i="11" s="1"/>
  <c r="I69" i="20"/>
  <c r="I69" i="11" s="1"/>
  <c r="I114" i="20"/>
  <c r="I114" i="11" s="1"/>
  <c r="I45" i="20"/>
  <c r="I45" i="11" s="1"/>
  <c r="I129" i="20"/>
  <c r="I129" i="11" s="1"/>
  <c r="I93" i="20"/>
  <c r="I93" i="11" s="1"/>
  <c r="I138" i="20"/>
  <c r="I138" i="11" s="1"/>
  <c r="I58" i="20"/>
  <c r="I58" i="11" s="1"/>
  <c r="I102" i="20"/>
  <c r="I102" i="11" s="1"/>
  <c r="M29" i="20"/>
  <c r="I29" i="20"/>
  <c r="I29" i="11" s="1"/>
  <c r="F636" i="20"/>
  <c r="H503" i="11"/>
  <c r="I503" i="20"/>
  <c r="J392" i="20"/>
  <c r="J392" i="11" s="1"/>
  <c r="M513" i="11"/>
  <c r="C150" i="20"/>
  <c r="C271" i="20"/>
  <c r="J19" i="20"/>
  <c r="J15" i="20"/>
  <c r="C12" i="9"/>
  <c r="C11" i="9"/>
  <c r="C10" i="9"/>
  <c r="D629" i="20"/>
  <c r="F629" i="20"/>
  <c r="E629" i="20"/>
  <c r="B19" i="20"/>
  <c r="B15" i="20"/>
  <c r="I503" i="11" l="1"/>
  <c r="O513" i="20"/>
  <c r="O513" i="11" s="1"/>
  <c r="P513" i="20"/>
  <c r="P513" i="11" s="1"/>
  <c r="J503" i="20"/>
  <c r="K392" i="20"/>
  <c r="K392" i="11" s="1"/>
  <c r="E636" i="20"/>
  <c r="Q261" i="20"/>
  <c r="M29" i="11"/>
  <c r="Q624" i="20"/>
  <c r="Q624" i="11" s="1"/>
  <c r="P151" i="11"/>
  <c r="O151" i="11"/>
  <c r="P150" i="20"/>
  <c r="O150" i="20"/>
  <c r="P271" i="20"/>
  <c r="O271" i="20"/>
  <c r="Q382" i="20"/>
  <c r="J19" i="11"/>
  <c r="J15" i="11"/>
  <c r="H15" i="11"/>
  <c r="H631" i="20"/>
  <c r="H632" i="20"/>
  <c r="H19" i="11"/>
  <c r="J503" i="11" l="1"/>
  <c r="O624" i="20"/>
  <c r="O624" i="11" s="1"/>
  <c r="P624" i="20"/>
  <c r="P624" i="11" s="1"/>
  <c r="R513" i="20"/>
  <c r="O271" i="11"/>
  <c r="Q382" i="11"/>
  <c r="H636" i="20"/>
  <c r="K503" i="20"/>
  <c r="R271" i="20"/>
  <c r="P271" i="11"/>
  <c r="P150" i="11"/>
  <c r="O150" i="11"/>
  <c r="F634" i="20"/>
  <c r="Q261" i="11"/>
  <c r="R150" i="20"/>
  <c r="F637" i="20"/>
  <c r="O261" i="20"/>
  <c r="P261" i="20"/>
  <c r="R151" i="11"/>
  <c r="O382" i="20"/>
  <c r="P382" i="20"/>
  <c r="F635" i="20"/>
  <c r="J631" i="20"/>
  <c r="J632" i="20"/>
  <c r="K503" i="11" l="1"/>
  <c r="S513" i="20"/>
  <c r="S513" i="11" s="1"/>
  <c r="R513" i="11"/>
  <c r="R624" i="20"/>
  <c r="D637" i="20"/>
  <c r="P382" i="11"/>
  <c r="O382" i="11"/>
  <c r="J636" i="20"/>
  <c r="S271" i="20"/>
  <c r="R271" i="11"/>
  <c r="R382" i="20"/>
  <c r="P261" i="11"/>
  <c r="S150" i="20"/>
  <c r="R150" i="11"/>
  <c r="O261" i="11"/>
  <c r="R261" i="20"/>
  <c r="D634" i="20"/>
  <c r="D635" i="20"/>
  <c r="E637" i="20" l="1"/>
  <c r="R624" i="11"/>
  <c r="T513" i="20"/>
  <c r="T513" i="11" s="1"/>
  <c r="S624" i="20"/>
  <c r="R382" i="11"/>
  <c r="T271" i="20"/>
  <c r="S271" i="11"/>
  <c r="S382" i="20"/>
  <c r="S150" i="11"/>
  <c r="E635" i="20"/>
  <c r="R261" i="11"/>
  <c r="T150" i="20"/>
  <c r="T151" i="11"/>
  <c r="S151" i="11"/>
  <c r="S261" i="20"/>
  <c r="D638" i="20"/>
  <c r="H10" i="9" s="1"/>
  <c r="E634" i="20"/>
  <c r="F638" i="20"/>
  <c r="H11" i="9" s="1"/>
  <c r="H637" i="20" l="1"/>
  <c r="S624" i="11"/>
  <c r="T624" i="20"/>
  <c r="S382" i="11"/>
  <c r="T271" i="11"/>
  <c r="T382" i="20"/>
  <c r="H635" i="20"/>
  <c r="T150" i="11"/>
  <c r="E638" i="20"/>
  <c r="H12" i="9" s="1"/>
  <c r="S261" i="11"/>
  <c r="H634" i="20"/>
  <c r="T261" i="20"/>
  <c r="F639" i="20"/>
  <c r="H9" i="9" s="1"/>
  <c r="J637" i="20" l="1"/>
  <c r="T624" i="11"/>
  <c r="T382" i="11"/>
  <c r="J635" i="20"/>
  <c r="H638" i="20"/>
  <c r="J638" i="20" s="1"/>
  <c r="H13" i="9" s="1"/>
  <c r="T261" i="11"/>
  <c r="J634" i="20"/>
  <c r="D5" i="9"/>
  <c r="C18" i="9" l="1"/>
  <c r="H26" i="9" s="1" a="1"/>
  <c r="H26" i="9" s="1"/>
  <c r="H27" i="9" l="1"/>
  <c r="G22" i="9" a="1"/>
  <c r="G22" i="9" s="1"/>
  <c r="G21" i="9" a="1"/>
  <c r="G21" i="9" s="1"/>
  <c r="G25" i="9" a="1"/>
  <c r="G25" i="9" s="1"/>
  <c r="H25" i="9" a="1"/>
  <c r="H25" i="9" s="1"/>
  <c r="G19" i="9" a="1"/>
  <c r="G19" i="9" s="1"/>
  <c r="H24" i="9" a="1"/>
  <c r="H24" i="9" s="1"/>
  <c r="G20" i="9" a="1"/>
  <c r="G20" i="9" s="1"/>
  <c r="G26" i="9" a="1"/>
  <c r="G26" i="9" s="1"/>
  <c r="G27" i="9" s="1"/>
  <c r="H23" i="9" a="1"/>
  <c r="H23" i="9" s="1"/>
  <c r="H19" i="9" a="1"/>
  <c r="H19" i="9" s="1"/>
  <c r="H22" i="9" a="1"/>
  <c r="H22" i="9" s="1"/>
  <c r="H21" i="9" a="1"/>
  <c r="H21" i="9" s="1"/>
  <c r="H20" i="9" a="1"/>
  <c r="H20" i="9" s="1"/>
  <c r="G24" i="9" a="1"/>
  <c r="G24" i="9" s="1"/>
  <c r="G23" i="9" a="1"/>
  <c r="G23" i="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Connell, Gioia</author>
  </authors>
  <commentList>
    <comment ref="K13" authorId="0" shapeId="0" xr:uid="{4BC4B778-436F-49CD-9874-5CA04E2941DD}">
      <text>
        <r>
          <rPr>
            <b/>
            <sz val="9"/>
            <color indexed="81"/>
            <rFont val="Tahoma"/>
            <family val="2"/>
          </rPr>
          <t xml:space="preserve">Note
</t>
        </r>
        <r>
          <rPr>
            <sz val="9"/>
            <color indexed="81"/>
            <rFont val="Tahoma"/>
            <family val="2"/>
          </rPr>
          <t>For fixtures and fittings, determine the baseline using a USGBC-approved calculator, as described in WEc2: Enhanced Water Efficiency, Option 2. Fixture and Fittings - Calculated Reduction. 
Additional potable water savings can be earned above the prerequisite
level using alternative water sources.
Projects must include the fixtures and fittings necessary to meet the occupants’ needs, whether they will be installed as part of the project’s scope of work or not. Include at a minimum all necessary restroom fixtures (toilets, urinals, and lavatories) to meet the project occupants’ needs, and showers when seeking LT Credit Transportation Demand Management.</t>
        </r>
      </text>
    </comment>
    <comment ref="D14" authorId="0" shapeId="0" xr:uid="{71D8B97B-85C8-444E-9B61-998C534676D4}">
      <text>
        <r>
          <rPr>
            <b/>
            <sz val="9"/>
            <color indexed="81"/>
            <rFont val="Tahoma"/>
            <family val="2"/>
          </rPr>
          <t>Note</t>
        </r>
        <r>
          <rPr>
            <sz val="9"/>
            <color indexed="81"/>
            <rFont val="Tahoma"/>
            <family val="2"/>
          </rPr>
          <t xml:space="preserve">
Manual input. Must be a positive number. 
Value from LEED v5 Fixture and Fittings Water Use Calculator.</t>
        </r>
      </text>
    </comment>
    <comment ref="E14" authorId="0" shapeId="0" xr:uid="{3E2B488A-9F09-48F9-BAE4-589F2FB1E0C2}">
      <text>
        <r>
          <rPr>
            <b/>
            <sz val="9"/>
            <color indexed="81"/>
            <rFont val="Tahoma"/>
            <family val="2"/>
          </rPr>
          <t>Note</t>
        </r>
        <r>
          <rPr>
            <sz val="9"/>
            <color indexed="81"/>
            <rFont val="Tahoma"/>
            <family val="2"/>
          </rPr>
          <t xml:space="preserve">
Manual input. Must be a positive number. 
Value from LEED v5 Fixture and Fittings Water Use Calculator.</t>
        </r>
      </text>
    </comment>
    <comment ref="F14" authorId="0" shapeId="0" xr:uid="{D8D7F84B-6C13-4A55-995E-4505DD7B1A3A}">
      <text>
        <r>
          <rPr>
            <b/>
            <sz val="9"/>
            <color indexed="81"/>
            <rFont val="Tahoma"/>
            <family val="2"/>
          </rPr>
          <t>Note</t>
        </r>
        <r>
          <rPr>
            <sz val="9"/>
            <color indexed="81"/>
            <rFont val="Tahoma"/>
            <family val="2"/>
          </rPr>
          <t xml:space="preserve">
Manual input. Must be a positive number. 
Value from LEED v5 Fixture and Fittings Water Use Calculator.
Note that if no alternative water is used, this value will be the same as the field Total Annual Water Use Design (excluding alternative water use).</t>
        </r>
      </text>
    </comment>
    <comment ref="H14" authorId="0" shapeId="0" xr:uid="{26251D88-3A7E-48CD-BE65-C928688C7010}">
      <text>
        <r>
          <rPr>
            <b/>
            <sz val="9"/>
            <color indexed="81"/>
            <rFont val="Tahoma"/>
            <family val="2"/>
          </rPr>
          <t>Note</t>
        </r>
        <r>
          <rPr>
            <sz val="9"/>
            <color indexed="81"/>
            <rFont val="Tahoma"/>
            <family val="2"/>
          </rPr>
          <t xml:space="preserve">
Positive number indicates savings. Negative number indicates increase from baseline.</t>
        </r>
      </text>
    </comment>
    <comment ref="J14" authorId="0" shapeId="0" xr:uid="{873584EE-7EFC-4F6B-9702-59D2ECA6D44F}">
      <text>
        <r>
          <rPr>
            <b/>
            <sz val="9"/>
            <color indexed="81"/>
            <rFont val="Tahoma"/>
            <family val="2"/>
          </rPr>
          <t>Note</t>
        </r>
        <r>
          <rPr>
            <sz val="9"/>
            <color indexed="81"/>
            <rFont val="Tahoma"/>
            <family val="2"/>
          </rPr>
          <t xml:space="preserve">
Positive number indicates savings. Negative number indicates increase from baseline.</t>
        </r>
      </text>
    </comment>
    <comment ref="K17" authorId="0" shapeId="0" xr:uid="{D85A3F1F-4F76-4758-8859-942E263EE14B}">
      <text>
        <r>
          <rPr>
            <b/>
            <sz val="9"/>
            <color indexed="81"/>
            <rFont val="Tahoma"/>
            <family val="2"/>
          </rPr>
          <t xml:space="preserve">Note
</t>
        </r>
        <r>
          <rPr>
            <sz val="9"/>
            <color indexed="81"/>
            <rFont val="Tahoma"/>
            <family val="2"/>
          </rPr>
          <t xml:space="preserve">For outdoor water use, determine the baseline water consumption by calculating the project’s TIR, as outlined in WEc2: Enhanced Water Efficiency, Option 4. Outdoor Water Use, Path 2. Efficient Irrigation.
Projects must include the water use necessary to meet the occupants’ needs, whether they will be installed as part of the project’s scope of work or not. </t>
        </r>
      </text>
    </comment>
    <comment ref="D18" authorId="0" shapeId="0" xr:uid="{7A3A542B-D2FA-40DF-B9FA-B31AF3DCDE45}">
      <text>
        <r>
          <rPr>
            <b/>
            <sz val="9"/>
            <color indexed="81"/>
            <rFont val="Tahoma"/>
            <family val="2"/>
          </rPr>
          <t>Note</t>
        </r>
        <r>
          <rPr>
            <sz val="9"/>
            <color indexed="81"/>
            <rFont val="Tahoma"/>
            <family val="2"/>
          </rPr>
          <t xml:space="preserve">
Manual input. Must be a positive number. 
Value from LEED v5 Outdoor Water Use Calculator.</t>
        </r>
      </text>
    </comment>
    <comment ref="E18" authorId="0" shapeId="0" xr:uid="{FDD4C9D6-3466-4B65-B46C-73875E39A668}">
      <text>
        <r>
          <rPr>
            <b/>
            <sz val="9"/>
            <color indexed="81"/>
            <rFont val="Tahoma"/>
            <family val="2"/>
          </rPr>
          <t>Note</t>
        </r>
        <r>
          <rPr>
            <sz val="9"/>
            <color indexed="81"/>
            <rFont val="Tahoma"/>
            <family val="2"/>
          </rPr>
          <t xml:space="preserve">
Manual input. Must be a positive number. 
Value from LEED v5 Outdoor Water Use Calculator.</t>
        </r>
      </text>
    </comment>
    <comment ref="F18" authorId="0" shapeId="0" xr:uid="{D06347B6-2A79-4367-A29B-D0D1CD1BCBE9}">
      <text>
        <r>
          <rPr>
            <b/>
            <sz val="9"/>
            <color indexed="81"/>
            <rFont val="Tahoma"/>
            <family val="2"/>
          </rPr>
          <t>Note</t>
        </r>
        <r>
          <rPr>
            <sz val="9"/>
            <color indexed="81"/>
            <rFont val="Tahoma"/>
            <family val="2"/>
          </rPr>
          <t xml:space="preserve">
Manual input. Must be a positive number. 
Value from LEED v5 Outdoor Water Use Calculator.
Note that if no alternative water is used, this value will be the same as the field Total Annual Water Use Design (excluding alternative water use).</t>
        </r>
      </text>
    </comment>
    <comment ref="H18" authorId="0" shapeId="0" xr:uid="{FA7B287A-4870-4487-AA31-B30F25E03F65}">
      <text>
        <r>
          <rPr>
            <b/>
            <sz val="9"/>
            <color indexed="81"/>
            <rFont val="Tahoma"/>
            <family val="2"/>
          </rPr>
          <t>Note</t>
        </r>
        <r>
          <rPr>
            <sz val="9"/>
            <color indexed="81"/>
            <rFont val="Tahoma"/>
            <family val="2"/>
          </rPr>
          <t xml:space="preserve">
Positive number indicates savings. Negative number indicates increase from baseline.</t>
        </r>
      </text>
    </comment>
    <comment ref="J18" authorId="0" shapeId="0" xr:uid="{4305E17F-1F89-4C53-A4B7-2330DEE79722}">
      <text>
        <r>
          <rPr>
            <b/>
            <sz val="9"/>
            <color indexed="81"/>
            <rFont val="Tahoma"/>
            <family val="2"/>
          </rPr>
          <t>Note</t>
        </r>
        <r>
          <rPr>
            <sz val="9"/>
            <color indexed="81"/>
            <rFont val="Tahoma"/>
            <family val="2"/>
          </rPr>
          <t xml:space="preserve">
Positive number indicates savings. Negative number indicates increase from baseline.</t>
        </r>
      </text>
    </comment>
    <comment ref="G25" authorId="0" shapeId="0" xr:uid="{DD6F8B81-7BA2-4335-8069-B53D1A73EC86}">
      <text>
        <r>
          <rPr>
            <b/>
            <sz val="9"/>
            <color indexed="81"/>
            <rFont val="Tahoma"/>
            <family val="2"/>
          </rPr>
          <t xml:space="preserve">Note
</t>
        </r>
        <r>
          <rPr>
            <sz val="9"/>
            <color indexed="81"/>
            <rFont val="Tahoma"/>
            <family val="2"/>
          </rPr>
          <t xml:space="preserve">Projects must include equipment necessary to meet the occupants’ needs, whether they will be installed as part of the project’s scope of work or not. </t>
        </r>
      </text>
    </comment>
    <comment ref="B26" authorId="0" shapeId="0" xr:uid="{EA19B788-C74F-4BA6-AC77-53E2153BCAF8}">
      <text>
        <r>
          <rPr>
            <b/>
            <sz val="9"/>
            <color indexed="81"/>
            <rFont val="Tahoma"/>
            <family val="2"/>
          </rPr>
          <t>Note</t>
        </r>
        <r>
          <rPr>
            <sz val="9"/>
            <color indexed="81"/>
            <rFont val="Tahoma"/>
            <family val="2"/>
          </rPr>
          <t xml:space="preserve">
Manual input.</t>
        </r>
      </text>
    </comment>
    <comment ref="C26" authorId="0" shapeId="0" xr:uid="{835D45DE-111C-4827-ABB9-8D0F150E7BB2}">
      <text>
        <r>
          <rPr>
            <b/>
            <sz val="9"/>
            <color indexed="81"/>
            <rFont val="Tahoma"/>
            <family val="2"/>
          </rPr>
          <t xml:space="preserve">Note
</t>
        </r>
        <r>
          <rPr>
            <sz val="9"/>
            <color indexed="81"/>
            <rFont val="Tahoma"/>
            <family val="2"/>
          </rPr>
          <t>Manual input. Must be a positive number.</t>
        </r>
      </text>
    </comment>
    <comment ref="D26" authorId="0" shapeId="0" xr:uid="{47AD307B-761E-4E8C-9A53-ED3489B77D55}">
      <text>
        <r>
          <rPr>
            <b/>
            <sz val="9"/>
            <color indexed="81"/>
            <rFont val="Tahoma"/>
            <family val="2"/>
          </rPr>
          <t>Note</t>
        </r>
        <r>
          <rPr>
            <sz val="9"/>
            <color indexed="81"/>
            <rFont val="Tahoma"/>
            <family val="2"/>
          </rPr>
          <t xml:space="preserve">
Dropdown input. If Other, include water use in a narrative.</t>
        </r>
      </text>
    </comment>
    <comment ref="F26" authorId="0" shapeId="0" xr:uid="{E5CA775D-7975-4A5F-8F2F-A727E8A94000}">
      <text>
        <r>
          <rPr>
            <b/>
            <sz val="9"/>
            <color indexed="81"/>
            <rFont val="Tahoma"/>
            <family val="2"/>
          </rPr>
          <t>Note</t>
        </r>
        <r>
          <rPr>
            <sz val="9"/>
            <color indexed="81"/>
            <rFont val="Tahoma"/>
            <family val="2"/>
          </rPr>
          <t xml:space="preserve">
Manual input. Must be a positive number.</t>
        </r>
      </text>
    </comment>
    <comment ref="G26" authorId="0" shapeId="0" xr:uid="{E6E6C916-B5B1-4A49-A1BE-7E694EFA44EB}">
      <text>
        <r>
          <rPr>
            <b/>
            <sz val="9"/>
            <color indexed="81"/>
            <rFont val="Tahoma"/>
            <family val="2"/>
          </rPr>
          <t>Note</t>
        </r>
        <r>
          <rPr>
            <sz val="9"/>
            <color indexed="81"/>
            <rFont val="Tahoma"/>
            <family val="2"/>
          </rPr>
          <t xml:space="preserve">
Manual input. Must be a positive number.</t>
        </r>
      </text>
    </comment>
    <comment ref="O26" authorId="0" shapeId="0" xr:uid="{7F3FCF61-BDD4-46E1-8B6B-52B044ACB251}">
      <text>
        <r>
          <rPr>
            <b/>
            <sz val="9"/>
            <color indexed="81"/>
            <rFont val="Tahoma"/>
            <family val="2"/>
          </rPr>
          <t xml:space="preserve">Note
</t>
        </r>
        <r>
          <rPr>
            <sz val="9"/>
            <color indexed="81"/>
            <rFont val="Tahoma"/>
            <family val="2"/>
          </rPr>
          <t>Calculation.
Quantity x Annual Days of Operation x Cycles per Day x Daily Usage Multiplier x Equiment Baseline Water Use</t>
        </r>
      </text>
    </comment>
    <comment ref="P26" authorId="0" shapeId="0" xr:uid="{11EA2CD3-D5D9-484F-90C6-116935D1B2CF}">
      <text>
        <r>
          <rPr>
            <b/>
            <sz val="9"/>
            <color indexed="81"/>
            <rFont val="Tahoma"/>
            <family val="2"/>
          </rPr>
          <t xml:space="preserve">Note
</t>
        </r>
        <r>
          <rPr>
            <sz val="9"/>
            <color indexed="81"/>
            <rFont val="Tahoma"/>
            <family val="2"/>
          </rPr>
          <t>Calculation.
Quantity x Annual Days of Operation x Cycles per Day x Daily Usage Multiplier x Equiment Design Water Use</t>
        </r>
      </text>
    </comment>
    <comment ref="Q26" authorId="0" shapeId="0" xr:uid="{DE1769BA-1768-4421-9664-2F1DCC39EACD}">
      <text>
        <r>
          <rPr>
            <b/>
            <sz val="9"/>
            <color indexed="81"/>
            <rFont val="Tahoma"/>
            <family val="2"/>
          </rPr>
          <t>Note</t>
        </r>
        <r>
          <rPr>
            <sz val="9"/>
            <color indexed="81"/>
            <rFont val="Tahoma"/>
            <family val="2"/>
          </rPr>
          <t xml:space="preserve">
Manual input. Must be a positive number. Cannot be greater than Annual Water Use Design.
Total value of annual alternative water used for all equipment. If more than one equipment is included in Quantity, include value used for all quanity of equipment.</t>
        </r>
      </text>
    </comment>
    <comment ref="R26" authorId="0" shapeId="0" xr:uid="{F2966A09-2788-4A66-B57F-2BC1A48B917B}">
      <text>
        <r>
          <rPr>
            <b/>
            <sz val="9"/>
            <color indexed="81"/>
            <rFont val="Tahoma"/>
            <family val="2"/>
          </rPr>
          <t xml:space="preserve">Note
</t>
        </r>
        <r>
          <rPr>
            <sz val="9"/>
            <color indexed="81"/>
            <rFont val="Tahoma"/>
            <family val="2"/>
          </rPr>
          <t>Calculation.
Annual Water Use Design without Alternative Water - Annual Alternative Water Use</t>
        </r>
      </text>
    </comment>
    <comment ref="S26" authorId="0" shapeId="0" xr:uid="{0BB83302-B200-4FB4-8AA1-4F77AC53C6A2}">
      <text>
        <r>
          <rPr>
            <b/>
            <sz val="9"/>
            <color indexed="81"/>
            <rFont val="Tahoma"/>
            <family val="2"/>
          </rPr>
          <t xml:space="preserve">Note
</t>
        </r>
        <r>
          <rPr>
            <sz val="9"/>
            <color indexed="81"/>
            <rFont val="Tahoma"/>
            <family val="2"/>
          </rPr>
          <t>Calculation. Positive number indicates savings, negative number indicates increase form baseline.
Annual Water Use Baseline - Annual Water Use Design</t>
        </r>
      </text>
    </comment>
    <comment ref="T26" authorId="0" shapeId="0" xr:uid="{B08C5C77-6B31-4F79-A425-CB4F58065029}">
      <text>
        <r>
          <rPr>
            <b/>
            <sz val="9"/>
            <color indexed="81"/>
            <rFont val="Tahoma"/>
            <family val="2"/>
          </rPr>
          <t xml:space="preserve">Note
</t>
        </r>
        <r>
          <rPr>
            <sz val="9"/>
            <color indexed="81"/>
            <rFont val="Tahoma"/>
            <family val="2"/>
          </rPr>
          <t xml:space="preserve">Calculation. Positive number indicates savings, negative number indicates increase form baseline.
Annual Water Use Savings / 
Annual Water Use Baseline </t>
        </r>
      </text>
    </comment>
    <comment ref="H27" authorId="0" shapeId="0" xr:uid="{03F93402-3217-4F05-B565-603F149DA517}">
      <text>
        <r>
          <rPr>
            <b/>
            <sz val="9"/>
            <color indexed="81"/>
            <rFont val="Tahoma"/>
            <family val="2"/>
          </rPr>
          <t xml:space="preserve">Note
</t>
        </r>
        <r>
          <rPr>
            <sz val="9"/>
            <color indexed="81"/>
            <rFont val="Tahoma"/>
            <family val="2"/>
          </rPr>
          <t>Manual input. Must be a positive number.
Input value based on the Daily Usage Multiplier Unit.</t>
        </r>
      </text>
    </comment>
    <comment ref="I27" authorId="0" shapeId="0" xr:uid="{9D8198A7-D2F4-48B6-9A0C-6698054D8C08}">
      <text>
        <r>
          <rPr>
            <b/>
            <sz val="9"/>
            <color indexed="81"/>
            <rFont val="Tahoma"/>
            <family val="2"/>
          </rPr>
          <t xml:space="preserve">Note
</t>
        </r>
        <r>
          <rPr>
            <sz val="9"/>
            <color indexed="81"/>
            <rFont val="Tahoma"/>
            <family val="2"/>
          </rPr>
          <t>Per equipment value. Automatic input.</t>
        </r>
      </text>
    </comment>
    <comment ref="K27" authorId="0" shapeId="0" xr:uid="{8E045223-3249-4754-B589-979CDA83F1D9}">
      <text>
        <r>
          <rPr>
            <b/>
            <sz val="9"/>
            <color indexed="81"/>
            <rFont val="Tahoma"/>
            <family val="2"/>
          </rPr>
          <t xml:space="preserve">Note
</t>
        </r>
        <r>
          <rPr>
            <sz val="9"/>
            <color indexed="81"/>
            <rFont val="Tahoma"/>
            <family val="2"/>
          </rPr>
          <t xml:space="preserve">Per equipment value. Manual input. Must be a positive number.
Value of selected Water Use Rate Unit for equipment (i.e. if Unit is L/cycle and baseline equipment is 80 L/cycle, input 80).
</t>
        </r>
      </text>
    </comment>
    <comment ref="L27" authorId="0" shapeId="0" xr:uid="{AE997DFF-5987-45D5-B766-FBE06E84B037}">
      <text>
        <r>
          <rPr>
            <b/>
            <sz val="9"/>
            <color indexed="81"/>
            <rFont val="Tahoma"/>
            <family val="2"/>
          </rPr>
          <t xml:space="preserve">Note
</t>
        </r>
        <r>
          <rPr>
            <sz val="9"/>
            <color indexed="81"/>
            <rFont val="Tahoma"/>
            <family val="2"/>
          </rPr>
          <t xml:space="preserve">Per equipment value. Manual input. Must be a positive number.
Value of selected Water Use Rate Unit for equipment (i.e. if Unit is L/cycle and installed equipment is 40 L/cycle, input 40).
</t>
        </r>
      </text>
    </comment>
    <comment ref="M27" authorId="0" shapeId="0" xr:uid="{D579F8F7-8B5D-4997-A73B-AA0D327BD9E2}">
      <text>
        <r>
          <rPr>
            <b/>
            <sz val="9"/>
            <color indexed="81"/>
            <rFont val="Tahoma"/>
            <family val="2"/>
          </rPr>
          <t xml:space="preserve">Note
</t>
        </r>
        <r>
          <rPr>
            <sz val="9"/>
            <color indexed="81"/>
            <rFont val="Tahoma"/>
            <family val="2"/>
          </rPr>
          <t>Per equipment value. Automatic input.</t>
        </r>
      </text>
    </comment>
    <comment ref="G146" authorId="0" shapeId="0" xr:uid="{0F028B05-3066-4AD2-8207-DFE49BB5F6D2}">
      <text>
        <r>
          <rPr>
            <b/>
            <sz val="9"/>
            <color indexed="81"/>
            <rFont val="Tahoma"/>
            <family val="2"/>
          </rPr>
          <t xml:space="preserve">Note
</t>
        </r>
        <r>
          <rPr>
            <sz val="9"/>
            <color indexed="81"/>
            <rFont val="Tahoma"/>
            <family val="2"/>
          </rPr>
          <t xml:space="preserve">Projects must include equipment necessary to meet the occupants’ needs, whether they will be installed as part of the project’s scope of work or not. </t>
        </r>
      </text>
    </comment>
    <comment ref="B147" authorId="0" shapeId="0" xr:uid="{5BAB0DAF-BA0D-4AFD-897B-3D5920CAD432}">
      <text>
        <r>
          <rPr>
            <b/>
            <sz val="9"/>
            <color indexed="81"/>
            <rFont val="Tahoma"/>
            <family val="2"/>
          </rPr>
          <t>Note</t>
        </r>
        <r>
          <rPr>
            <sz val="9"/>
            <color indexed="81"/>
            <rFont val="Tahoma"/>
            <family val="2"/>
          </rPr>
          <t xml:space="preserve">
Manual input.</t>
        </r>
      </text>
    </comment>
    <comment ref="C147" authorId="0" shapeId="0" xr:uid="{9E440020-AEEC-4A76-A1CA-E5A7DCA7DB09}">
      <text>
        <r>
          <rPr>
            <b/>
            <sz val="9"/>
            <color indexed="81"/>
            <rFont val="Tahoma"/>
            <family val="2"/>
          </rPr>
          <t xml:space="preserve">Note
</t>
        </r>
        <r>
          <rPr>
            <sz val="9"/>
            <color indexed="81"/>
            <rFont val="Tahoma"/>
            <family val="2"/>
          </rPr>
          <t>Manual input. Must be a positive number.</t>
        </r>
      </text>
    </comment>
    <comment ref="D147" authorId="0" shapeId="0" xr:uid="{421A8616-5BE5-4E10-AFCD-A3A86932D40F}">
      <text>
        <r>
          <rPr>
            <b/>
            <sz val="9"/>
            <color indexed="81"/>
            <rFont val="Tahoma"/>
            <family val="2"/>
          </rPr>
          <t>Note</t>
        </r>
        <r>
          <rPr>
            <sz val="9"/>
            <color indexed="81"/>
            <rFont val="Tahoma"/>
            <family val="2"/>
          </rPr>
          <t xml:space="preserve">
Dropdown input. If Other, include water use in a narrative.</t>
        </r>
      </text>
    </comment>
    <comment ref="F147" authorId="0" shapeId="0" xr:uid="{694B4338-B3B4-472D-ADFA-6FF399C66864}">
      <text>
        <r>
          <rPr>
            <b/>
            <sz val="9"/>
            <color indexed="81"/>
            <rFont val="Tahoma"/>
            <family val="2"/>
          </rPr>
          <t>Note</t>
        </r>
        <r>
          <rPr>
            <sz val="9"/>
            <color indexed="81"/>
            <rFont val="Tahoma"/>
            <family val="2"/>
          </rPr>
          <t xml:space="preserve">
Manual input. Must be a positive number.</t>
        </r>
      </text>
    </comment>
    <comment ref="G147" authorId="0" shapeId="0" xr:uid="{3C692FB9-8E54-4CF9-924E-F8C0687DF25A}">
      <text>
        <r>
          <rPr>
            <b/>
            <sz val="9"/>
            <color indexed="81"/>
            <rFont val="Tahoma"/>
            <family val="2"/>
          </rPr>
          <t>Note</t>
        </r>
        <r>
          <rPr>
            <sz val="9"/>
            <color indexed="81"/>
            <rFont val="Tahoma"/>
            <family val="2"/>
          </rPr>
          <t xml:space="preserve">
Manual input. Must be a positive number.</t>
        </r>
      </text>
    </comment>
    <comment ref="O147" authorId="0" shapeId="0" xr:uid="{A88A29C7-28C1-4373-A609-C6DB34EA3A01}">
      <text>
        <r>
          <rPr>
            <b/>
            <sz val="9"/>
            <color indexed="81"/>
            <rFont val="Tahoma"/>
            <family val="2"/>
          </rPr>
          <t xml:space="preserve">Note
</t>
        </r>
        <r>
          <rPr>
            <sz val="9"/>
            <color indexed="81"/>
            <rFont val="Tahoma"/>
            <family val="2"/>
          </rPr>
          <t>Calculation.
Quantity x Annual Days of Operation x Cycles per Day x Daily Usage Multiplier x Equiment Baseline Water Use</t>
        </r>
      </text>
    </comment>
    <comment ref="P147" authorId="0" shapeId="0" xr:uid="{6427FB72-EFCD-4F4B-959C-7B853B6CC7E4}">
      <text>
        <r>
          <rPr>
            <b/>
            <sz val="9"/>
            <color indexed="81"/>
            <rFont val="Tahoma"/>
            <family val="2"/>
          </rPr>
          <t xml:space="preserve">Note
</t>
        </r>
        <r>
          <rPr>
            <sz val="9"/>
            <color indexed="81"/>
            <rFont val="Tahoma"/>
            <family val="2"/>
          </rPr>
          <t>Calculation.
Quantity x Annual Days of Operation x Cycles per Day x Daily Usage Multiplier x Equiment Design Water Use</t>
        </r>
      </text>
    </comment>
    <comment ref="Q147" authorId="0" shapeId="0" xr:uid="{C5DA868B-E950-4711-90B8-B43C1A02FEBE}">
      <text>
        <r>
          <rPr>
            <b/>
            <sz val="9"/>
            <color indexed="81"/>
            <rFont val="Tahoma"/>
            <family val="2"/>
          </rPr>
          <t>Note</t>
        </r>
        <r>
          <rPr>
            <sz val="9"/>
            <color indexed="81"/>
            <rFont val="Tahoma"/>
            <family val="2"/>
          </rPr>
          <t xml:space="preserve">
Manual input. Must be a positive number. Cannot be greater than Annual Water Use Design.
Total value of annual alternative water used for all equipment. If more than one equipment is included in Quantity, include value used for all quanity of equipment.</t>
        </r>
      </text>
    </comment>
    <comment ref="R147" authorId="0" shapeId="0" xr:uid="{380686AF-0148-4B41-B7D3-6708E9C4B7B1}">
      <text>
        <r>
          <rPr>
            <b/>
            <sz val="9"/>
            <color indexed="81"/>
            <rFont val="Tahoma"/>
            <family val="2"/>
          </rPr>
          <t xml:space="preserve">Note
</t>
        </r>
        <r>
          <rPr>
            <sz val="9"/>
            <color indexed="81"/>
            <rFont val="Tahoma"/>
            <family val="2"/>
          </rPr>
          <t>Calculation.
Annual Water Use Design without Alternative Water - Annual Alternative Water Use</t>
        </r>
      </text>
    </comment>
    <comment ref="S147" authorId="0" shapeId="0" xr:uid="{2764F707-89B8-4B99-9E2C-DAE2081BD73B}">
      <text>
        <r>
          <rPr>
            <b/>
            <sz val="9"/>
            <color indexed="81"/>
            <rFont val="Tahoma"/>
            <family val="2"/>
          </rPr>
          <t xml:space="preserve">Note
</t>
        </r>
        <r>
          <rPr>
            <sz val="9"/>
            <color indexed="81"/>
            <rFont val="Tahoma"/>
            <family val="2"/>
          </rPr>
          <t>Calculation. Positive number indicates savings, negative number indicates increase form baseline.
Annual Water Use Baseline - Annual Water Use Design</t>
        </r>
      </text>
    </comment>
    <comment ref="T147" authorId="0" shapeId="0" xr:uid="{8A6DB30B-35E2-4340-8294-05426D19F731}">
      <text>
        <r>
          <rPr>
            <b/>
            <sz val="9"/>
            <color indexed="81"/>
            <rFont val="Tahoma"/>
            <family val="2"/>
          </rPr>
          <t xml:space="preserve">Note
</t>
        </r>
        <r>
          <rPr>
            <sz val="9"/>
            <color indexed="81"/>
            <rFont val="Tahoma"/>
            <family val="2"/>
          </rPr>
          <t xml:space="preserve">Calculation. Positive number indicates savings, negative number indicates increase form baseline.
Annual Water Use Savings / 
Annual Water Use Baseline </t>
        </r>
      </text>
    </comment>
    <comment ref="H148" authorId="0" shapeId="0" xr:uid="{885AFB1F-4812-459B-9EB2-B9E3C2E7650F}">
      <text>
        <r>
          <rPr>
            <b/>
            <sz val="9"/>
            <color indexed="81"/>
            <rFont val="Tahoma"/>
            <family val="2"/>
          </rPr>
          <t xml:space="preserve">Note
</t>
        </r>
        <r>
          <rPr>
            <sz val="9"/>
            <color indexed="81"/>
            <rFont val="Tahoma"/>
            <family val="2"/>
          </rPr>
          <t>Manual input. Must be a positive number.
Input value based on the Daily Usage Multiplier Unit.</t>
        </r>
      </text>
    </comment>
    <comment ref="I148" authorId="0" shapeId="0" xr:uid="{029BE3AA-ADC2-4C5F-AAE6-A312263BB32D}">
      <text>
        <r>
          <rPr>
            <b/>
            <sz val="9"/>
            <color indexed="81"/>
            <rFont val="Tahoma"/>
            <family val="2"/>
          </rPr>
          <t xml:space="preserve">Note
</t>
        </r>
        <r>
          <rPr>
            <sz val="9"/>
            <color indexed="81"/>
            <rFont val="Tahoma"/>
            <family val="2"/>
          </rPr>
          <t>Per equipment value. Automatic input.</t>
        </r>
      </text>
    </comment>
    <comment ref="K148" authorId="0" shapeId="0" xr:uid="{AC0B28A5-E555-455B-B450-E3D793B8EC0E}">
      <text>
        <r>
          <rPr>
            <b/>
            <sz val="9"/>
            <color indexed="81"/>
            <rFont val="Tahoma"/>
            <family val="2"/>
          </rPr>
          <t xml:space="preserve">Note
</t>
        </r>
        <r>
          <rPr>
            <sz val="9"/>
            <color indexed="81"/>
            <rFont val="Tahoma"/>
            <family val="2"/>
          </rPr>
          <t>Per equipment value. Manual input. Must be a positive number.
Value of selected Water Use Rate Unit for equipment (i.e. if Unit is gal/rack and baseline equipment is 1.2 gal/rack, input 1.2).</t>
        </r>
      </text>
    </comment>
    <comment ref="L148" authorId="0" shapeId="0" xr:uid="{7C1C2A33-EF43-4708-83E8-D5EA88AA174C}">
      <text>
        <r>
          <rPr>
            <b/>
            <sz val="9"/>
            <color indexed="81"/>
            <rFont val="Tahoma"/>
            <family val="2"/>
          </rPr>
          <t xml:space="preserve">Note
</t>
        </r>
        <r>
          <rPr>
            <sz val="9"/>
            <color indexed="81"/>
            <rFont val="Tahoma"/>
            <family val="2"/>
          </rPr>
          <t xml:space="preserve">Per equipment value. Manual input. Must be a positive number.
Value of selected Water Use Rate Unit for equipment (i.e. if Unit is gal/rack and installed equipment is 0.5 gal/rack, input 0.5).
</t>
        </r>
      </text>
    </comment>
    <comment ref="M148" authorId="0" shapeId="0" xr:uid="{DE77C2B4-A451-4111-A2BB-2290DED27BDA}">
      <text>
        <r>
          <rPr>
            <b/>
            <sz val="9"/>
            <color indexed="81"/>
            <rFont val="Tahoma"/>
            <family val="2"/>
          </rPr>
          <t xml:space="preserve">Note
</t>
        </r>
        <r>
          <rPr>
            <sz val="9"/>
            <color indexed="81"/>
            <rFont val="Tahoma"/>
            <family val="2"/>
          </rPr>
          <t>Per equipment value. Automatic input.</t>
        </r>
      </text>
    </comment>
    <comment ref="G267" authorId="0" shapeId="0" xr:uid="{BD73C00F-6F20-4075-B3F0-C4E61C847A15}">
      <text>
        <r>
          <rPr>
            <b/>
            <sz val="9"/>
            <color indexed="81"/>
            <rFont val="Tahoma"/>
            <family val="2"/>
          </rPr>
          <t xml:space="preserve">Note
</t>
        </r>
        <r>
          <rPr>
            <sz val="9"/>
            <color indexed="81"/>
            <rFont val="Tahoma"/>
            <family val="2"/>
          </rPr>
          <t xml:space="preserve">Projects must include equipment necessary to meet the occupants’ needs, whether they will be installed as part of the project’s scope of work or not. </t>
        </r>
      </text>
    </comment>
    <comment ref="B268" authorId="0" shapeId="0" xr:uid="{4BD680F6-EB99-43AD-A59E-1A4908192629}">
      <text>
        <r>
          <rPr>
            <b/>
            <sz val="9"/>
            <color indexed="81"/>
            <rFont val="Tahoma"/>
            <family val="2"/>
          </rPr>
          <t>Note</t>
        </r>
        <r>
          <rPr>
            <sz val="9"/>
            <color indexed="81"/>
            <rFont val="Tahoma"/>
            <family val="2"/>
          </rPr>
          <t xml:space="preserve">
Manual input.</t>
        </r>
      </text>
    </comment>
    <comment ref="C268" authorId="0" shapeId="0" xr:uid="{29D05FD4-B3A3-4FEE-BB6F-EC9148C5A42A}">
      <text>
        <r>
          <rPr>
            <b/>
            <sz val="9"/>
            <color indexed="81"/>
            <rFont val="Tahoma"/>
            <family val="2"/>
          </rPr>
          <t xml:space="preserve">Note
</t>
        </r>
        <r>
          <rPr>
            <sz val="9"/>
            <color indexed="81"/>
            <rFont val="Tahoma"/>
            <family val="2"/>
          </rPr>
          <t>Manual input. Must be a positive number.</t>
        </r>
      </text>
    </comment>
    <comment ref="D268" authorId="0" shapeId="0" xr:uid="{B03E51ED-7055-4C6A-BE4E-FEFD814C64C9}">
      <text>
        <r>
          <rPr>
            <b/>
            <sz val="9"/>
            <color indexed="81"/>
            <rFont val="Tahoma"/>
            <family val="2"/>
          </rPr>
          <t>Note</t>
        </r>
        <r>
          <rPr>
            <sz val="9"/>
            <color indexed="81"/>
            <rFont val="Tahoma"/>
            <family val="2"/>
          </rPr>
          <t xml:space="preserve">
Dropdown input. If Other, include water use in a narrative.</t>
        </r>
      </text>
    </comment>
    <comment ref="F268" authorId="0" shapeId="0" xr:uid="{F88FFBF8-5497-46DD-8E28-7F3D44DBE337}">
      <text>
        <r>
          <rPr>
            <b/>
            <sz val="9"/>
            <color indexed="81"/>
            <rFont val="Tahoma"/>
            <family val="2"/>
          </rPr>
          <t>Note</t>
        </r>
        <r>
          <rPr>
            <sz val="9"/>
            <color indexed="81"/>
            <rFont val="Tahoma"/>
            <family val="2"/>
          </rPr>
          <t xml:space="preserve">
Manual input. Must be a positive number.</t>
        </r>
      </text>
    </comment>
    <comment ref="G268" authorId="0" shapeId="0" xr:uid="{1435B00D-0C3B-4E6E-B4DD-38726351FCA5}">
      <text>
        <r>
          <rPr>
            <b/>
            <sz val="9"/>
            <color indexed="81"/>
            <rFont val="Tahoma"/>
            <family val="2"/>
          </rPr>
          <t>Note</t>
        </r>
        <r>
          <rPr>
            <sz val="9"/>
            <color indexed="81"/>
            <rFont val="Tahoma"/>
            <family val="2"/>
          </rPr>
          <t xml:space="preserve">
Manual input. Must be a positive number.</t>
        </r>
      </text>
    </comment>
    <comment ref="O268" authorId="0" shapeId="0" xr:uid="{ECE4B6B6-F3C4-4A43-AE1C-B33D58B8364C}">
      <text>
        <r>
          <rPr>
            <b/>
            <sz val="9"/>
            <color indexed="81"/>
            <rFont val="Tahoma"/>
            <family val="2"/>
          </rPr>
          <t xml:space="preserve">Note
</t>
        </r>
        <r>
          <rPr>
            <sz val="9"/>
            <color indexed="81"/>
            <rFont val="Tahoma"/>
            <family val="2"/>
          </rPr>
          <t>Calculation.
Quantity x Annual Days of Operation x Cycles per Day x Daily Usage Multiplier x Equiment Baseline Water Use</t>
        </r>
      </text>
    </comment>
    <comment ref="P268" authorId="0" shapeId="0" xr:uid="{FB2E02BE-4D0F-404B-9F47-F7F943C02426}">
      <text>
        <r>
          <rPr>
            <b/>
            <sz val="9"/>
            <color indexed="81"/>
            <rFont val="Tahoma"/>
            <family val="2"/>
          </rPr>
          <t xml:space="preserve">Note
</t>
        </r>
        <r>
          <rPr>
            <sz val="9"/>
            <color indexed="81"/>
            <rFont val="Tahoma"/>
            <family val="2"/>
          </rPr>
          <t>Calculation.
Quantity x Annual Days of Operation x Cycles per Day x Daily Usage Multiplier x Equiment Design Water Use</t>
        </r>
      </text>
    </comment>
    <comment ref="Q268" authorId="0" shapeId="0" xr:uid="{4D226C20-2778-497B-8668-E56E5567FA05}">
      <text>
        <r>
          <rPr>
            <b/>
            <sz val="9"/>
            <color indexed="81"/>
            <rFont val="Tahoma"/>
            <family val="2"/>
          </rPr>
          <t>Note</t>
        </r>
        <r>
          <rPr>
            <sz val="9"/>
            <color indexed="81"/>
            <rFont val="Tahoma"/>
            <family val="2"/>
          </rPr>
          <t xml:space="preserve">
Manual input. Must be a positive number. Cannot be greater than Annual Water Use Design.
Total value of annual alternative water used for all equipment. If more than one equipment is included in Quantity, include value used for all quanity of equipment.</t>
        </r>
      </text>
    </comment>
    <comment ref="R268" authorId="0" shapeId="0" xr:uid="{BC94D03C-0321-4223-B6E8-A0974325F6FC}">
      <text>
        <r>
          <rPr>
            <b/>
            <sz val="9"/>
            <color indexed="81"/>
            <rFont val="Tahoma"/>
            <family val="2"/>
          </rPr>
          <t xml:space="preserve">Note
</t>
        </r>
        <r>
          <rPr>
            <sz val="9"/>
            <color indexed="81"/>
            <rFont val="Tahoma"/>
            <family val="2"/>
          </rPr>
          <t>Calculation.
Annual Water Use Design without Alternative Water - Annual Alternative Water Use</t>
        </r>
      </text>
    </comment>
    <comment ref="S268" authorId="0" shapeId="0" xr:uid="{65F0689E-365C-4743-9264-42D9C421EEF1}">
      <text>
        <r>
          <rPr>
            <b/>
            <sz val="9"/>
            <color indexed="81"/>
            <rFont val="Tahoma"/>
            <family val="2"/>
          </rPr>
          <t xml:space="preserve">Note
</t>
        </r>
        <r>
          <rPr>
            <sz val="9"/>
            <color indexed="81"/>
            <rFont val="Tahoma"/>
            <family val="2"/>
          </rPr>
          <t>Calculation. Positive number indicates savings, negative number indicates increase form baseline.
Annual Water Use Baseline - Annual Water Use Design</t>
        </r>
      </text>
    </comment>
    <comment ref="T268" authorId="0" shapeId="0" xr:uid="{646BB830-00C9-47EE-99C2-6594C64185A7}">
      <text>
        <r>
          <rPr>
            <b/>
            <sz val="9"/>
            <color indexed="81"/>
            <rFont val="Tahoma"/>
            <family val="2"/>
          </rPr>
          <t xml:space="preserve">Note
</t>
        </r>
        <r>
          <rPr>
            <sz val="9"/>
            <color indexed="81"/>
            <rFont val="Tahoma"/>
            <family val="2"/>
          </rPr>
          <t xml:space="preserve">Calculation. Positive number indicates savings, negative number indicates increase form baseline.
Annual Water Use Savings / 
Annual Water Use Baseline </t>
        </r>
      </text>
    </comment>
    <comment ref="H269" authorId="0" shapeId="0" xr:uid="{2031E32B-8736-463B-995F-79E33717F4DD}">
      <text>
        <r>
          <rPr>
            <b/>
            <sz val="9"/>
            <color indexed="81"/>
            <rFont val="Tahoma"/>
            <family val="2"/>
          </rPr>
          <t xml:space="preserve">Note
</t>
        </r>
        <r>
          <rPr>
            <sz val="9"/>
            <color indexed="81"/>
            <rFont val="Tahoma"/>
            <family val="2"/>
          </rPr>
          <t>Manual input. Must be a positive number.
Input value based on the Daily Usage Multiplier Unit.</t>
        </r>
      </text>
    </comment>
    <comment ref="I269" authorId="0" shapeId="0" xr:uid="{2D69A494-658F-4B3D-8C54-D438FC2F5A1D}">
      <text>
        <r>
          <rPr>
            <b/>
            <sz val="9"/>
            <color indexed="81"/>
            <rFont val="Tahoma"/>
            <family val="2"/>
          </rPr>
          <t xml:space="preserve">Note
</t>
        </r>
        <r>
          <rPr>
            <sz val="9"/>
            <color indexed="81"/>
            <rFont val="Tahoma"/>
            <family val="2"/>
          </rPr>
          <t>Per equipment value. Automatic input.</t>
        </r>
      </text>
    </comment>
    <comment ref="K269" authorId="0" shapeId="0" xr:uid="{15AE92C4-5318-4D99-87EE-136847F0B530}">
      <text>
        <r>
          <rPr>
            <b/>
            <sz val="9"/>
            <color indexed="81"/>
            <rFont val="Tahoma"/>
            <family val="2"/>
          </rPr>
          <t xml:space="preserve">Note
</t>
        </r>
        <r>
          <rPr>
            <sz val="9"/>
            <color indexed="81"/>
            <rFont val="Tahoma"/>
            <family val="2"/>
          </rPr>
          <t>Per equipment value. Manual input. Must be a positive number.
Value of selected Water Use Rate Unit for equipment (i.e. if Unit is L/DIN Tray and baseline equipment is 1.5 L/DIN Tray, input 1.5).</t>
        </r>
      </text>
    </comment>
    <comment ref="L269" authorId="0" shapeId="0" xr:uid="{B4C2B28A-2762-495A-918D-581BF22863A6}">
      <text>
        <r>
          <rPr>
            <b/>
            <sz val="9"/>
            <color indexed="81"/>
            <rFont val="Tahoma"/>
            <family val="2"/>
          </rPr>
          <t xml:space="preserve">Note
</t>
        </r>
        <r>
          <rPr>
            <sz val="9"/>
            <color indexed="81"/>
            <rFont val="Tahoma"/>
            <family val="2"/>
          </rPr>
          <t>Per equipment value. Manual input. Must be a positive number.
Value of selected Water Use Rate Unit for equipment (i.e. if Unit is L/DIN Tray and baseline equipment is 1.3 L/DIN Tray, input 1.3).</t>
        </r>
      </text>
    </comment>
    <comment ref="M269" authorId="0" shapeId="0" xr:uid="{12B5F622-C8DD-47EC-A449-395F772114C6}">
      <text>
        <r>
          <rPr>
            <b/>
            <sz val="9"/>
            <color indexed="81"/>
            <rFont val="Tahoma"/>
            <family val="2"/>
          </rPr>
          <t xml:space="preserve">Note
</t>
        </r>
        <r>
          <rPr>
            <sz val="9"/>
            <color indexed="81"/>
            <rFont val="Tahoma"/>
            <family val="2"/>
          </rPr>
          <t>Per equipment value. Automatic input.</t>
        </r>
      </text>
    </comment>
    <comment ref="E388" authorId="0" shapeId="0" xr:uid="{3AEBE848-41D4-43C3-B904-02F5D6F57701}">
      <text>
        <r>
          <rPr>
            <b/>
            <sz val="9"/>
            <color indexed="81"/>
            <rFont val="Tahoma"/>
            <family val="2"/>
          </rPr>
          <t xml:space="preserve">Note
</t>
        </r>
        <r>
          <rPr>
            <sz val="9"/>
            <color indexed="81"/>
            <rFont val="Tahoma"/>
            <family val="2"/>
          </rPr>
          <t xml:space="preserve">Projects must include equipment necessary to meet the occupants’ needs, whether they will be installed as part of the project’s scope of work or not. </t>
        </r>
      </text>
    </comment>
    <comment ref="B389" authorId="0" shapeId="0" xr:uid="{048B7B5D-CB7A-4BAA-B75E-AFE372140D29}">
      <text>
        <r>
          <rPr>
            <b/>
            <sz val="9"/>
            <color indexed="81"/>
            <rFont val="Tahoma"/>
            <family val="2"/>
          </rPr>
          <t>Note</t>
        </r>
        <r>
          <rPr>
            <sz val="9"/>
            <color indexed="81"/>
            <rFont val="Tahoma"/>
            <family val="2"/>
          </rPr>
          <t xml:space="preserve">
Manual input.</t>
        </r>
      </text>
    </comment>
    <comment ref="C389" authorId="0" shapeId="0" xr:uid="{BCA8019E-B6DF-4139-AB23-AF8CD3010501}">
      <text>
        <r>
          <rPr>
            <b/>
            <sz val="9"/>
            <color indexed="81"/>
            <rFont val="Tahoma"/>
            <family val="2"/>
          </rPr>
          <t xml:space="preserve">Note
</t>
        </r>
        <r>
          <rPr>
            <sz val="9"/>
            <color indexed="81"/>
            <rFont val="Tahoma"/>
            <family val="2"/>
          </rPr>
          <t>Manual input. Must be a positive number.</t>
        </r>
      </text>
    </comment>
    <comment ref="D389" authorId="0" shapeId="0" xr:uid="{E4361028-87CC-4985-A1EA-CD5BD9501D77}">
      <text>
        <r>
          <rPr>
            <b/>
            <sz val="9"/>
            <color indexed="81"/>
            <rFont val="Tahoma"/>
            <family val="2"/>
          </rPr>
          <t>Note</t>
        </r>
        <r>
          <rPr>
            <sz val="9"/>
            <color indexed="81"/>
            <rFont val="Tahoma"/>
            <family val="2"/>
          </rPr>
          <t xml:space="preserve">
Dropdown input. If Other, include water use in a narrative.</t>
        </r>
      </text>
    </comment>
    <comment ref="F389" authorId="0" shapeId="0" xr:uid="{8F8C8740-805B-44C8-A2E9-CF9AA3954BE6}">
      <text>
        <r>
          <rPr>
            <b/>
            <sz val="9"/>
            <color indexed="81"/>
            <rFont val="Tahoma"/>
            <family val="2"/>
          </rPr>
          <t xml:space="preserve">Note
</t>
        </r>
        <r>
          <rPr>
            <sz val="9"/>
            <color indexed="81"/>
            <rFont val="Tahoma"/>
            <family val="2"/>
          </rPr>
          <t xml:space="preserve">Manual input. Must be a positive number. 
</t>
        </r>
        <r>
          <rPr>
            <b/>
            <sz val="9"/>
            <color indexed="81"/>
            <rFont val="Tahoma"/>
            <family val="2"/>
          </rPr>
          <t xml:space="preserve">
</t>
        </r>
        <r>
          <rPr>
            <sz val="9"/>
            <color indexed="81"/>
            <rFont val="Tahoma"/>
            <family val="2"/>
          </rPr>
          <t>Input all HVAC water consumption, including cooling towers, evaporative condensers, evaporative coolers, boilers, humidification, etc. Total value of annual water use baseline for all equipment. If more than one equipment is included in Quantity, include value used for all quanity of equipment.</t>
        </r>
      </text>
    </comment>
    <comment ref="G389" authorId="0" shapeId="0" xr:uid="{CAD18E60-AA2B-406F-95BD-9CC5A817C0C2}">
      <text>
        <r>
          <rPr>
            <b/>
            <sz val="9"/>
            <color indexed="81"/>
            <rFont val="Tahoma"/>
            <family val="2"/>
          </rPr>
          <t xml:space="preserve">Note
</t>
        </r>
        <r>
          <rPr>
            <sz val="9"/>
            <color indexed="81"/>
            <rFont val="Tahoma"/>
            <family val="2"/>
          </rPr>
          <t xml:space="preserve">Manual input. Must be a positive number. 
</t>
        </r>
        <r>
          <rPr>
            <b/>
            <sz val="9"/>
            <color indexed="81"/>
            <rFont val="Tahoma"/>
            <family val="2"/>
          </rPr>
          <t xml:space="preserve">
</t>
        </r>
        <r>
          <rPr>
            <sz val="9"/>
            <color indexed="81"/>
            <rFont val="Tahoma"/>
            <family val="2"/>
          </rPr>
          <t>Input all HVAC water consumption, including cooling towers, evaporative condensers, evaporative coolers, boilers, humidification, etc. Total value of annual water use for all equipment in the design. If more than one equipment is included in Quantity, include value used for all quanity of equipment.</t>
        </r>
      </text>
    </comment>
    <comment ref="H389" authorId="0" shapeId="0" xr:uid="{C8433382-6938-45B2-9BC9-480C1478ECC7}">
      <text>
        <r>
          <rPr>
            <b/>
            <sz val="9"/>
            <color indexed="81"/>
            <rFont val="Tahoma"/>
            <family val="2"/>
          </rPr>
          <t>Note</t>
        </r>
        <r>
          <rPr>
            <sz val="9"/>
            <color indexed="81"/>
            <rFont val="Tahoma"/>
            <family val="2"/>
          </rPr>
          <t xml:space="preserve">
Manual input. Must be a positive number. Cannot be greater than Annual Water Use Design.
Total value of annual alternative water used for all equipment. If more than one equipment is included in Quantity, include value used for all quanity of equipment.</t>
        </r>
      </text>
    </comment>
    <comment ref="I389" authorId="0" shapeId="0" xr:uid="{61FA542F-3E2C-4143-B770-D0B0841A37E6}">
      <text>
        <r>
          <rPr>
            <b/>
            <sz val="9"/>
            <color indexed="81"/>
            <rFont val="Tahoma"/>
            <family val="2"/>
          </rPr>
          <t xml:space="preserve">Note
</t>
        </r>
        <r>
          <rPr>
            <sz val="9"/>
            <color indexed="81"/>
            <rFont val="Tahoma"/>
            <family val="2"/>
          </rPr>
          <t>Calculation.
Annual Water Use Design without Alternative Water - Annual Alternative Water Use</t>
        </r>
      </text>
    </comment>
    <comment ref="J389" authorId="0" shapeId="0" xr:uid="{F112C50F-50CF-495C-9728-D82F311A5020}">
      <text>
        <r>
          <rPr>
            <b/>
            <sz val="9"/>
            <color indexed="81"/>
            <rFont val="Tahoma"/>
            <family val="2"/>
          </rPr>
          <t xml:space="preserve">Note
</t>
        </r>
        <r>
          <rPr>
            <sz val="9"/>
            <color indexed="81"/>
            <rFont val="Tahoma"/>
            <family val="2"/>
          </rPr>
          <t>Calculation. Positive number indicates savings, negative number indicates increase form baseline.
Annual Water Use Baseline - Annual Water Use Design</t>
        </r>
      </text>
    </comment>
    <comment ref="K389" authorId="0" shapeId="0" xr:uid="{DCF74999-E431-4661-B69C-5B880FF7A08B}">
      <text>
        <r>
          <rPr>
            <b/>
            <sz val="9"/>
            <color indexed="81"/>
            <rFont val="Tahoma"/>
            <family val="2"/>
          </rPr>
          <t xml:space="preserve">Note
</t>
        </r>
        <r>
          <rPr>
            <sz val="9"/>
            <color indexed="81"/>
            <rFont val="Tahoma"/>
            <family val="2"/>
          </rPr>
          <t xml:space="preserve">Calculation. Positive number indicates savings, negative number indicates increase form baseline.
Annual Water Use Savings / 
Annual Water Use Baseline </t>
        </r>
      </text>
    </comment>
    <comment ref="G509" authorId="0" shapeId="0" xr:uid="{E319AAE9-3967-4161-ADEA-AD4AAAE1009E}">
      <text>
        <r>
          <rPr>
            <b/>
            <sz val="9"/>
            <color indexed="81"/>
            <rFont val="Tahoma"/>
            <family val="2"/>
          </rPr>
          <t xml:space="preserve">Note
</t>
        </r>
        <r>
          <rPr>
            <sz val="9"/>
            <color indexed="81"/>
            <rFont val="Tahoma"/>
            <family val="2"/>
          </rPr>
          <t xml:space="preserve">Projects must include equipment necessary to meet the occupants’ needs, whether they will be installed as part of the project’s scope of work or not. </t>
        </r>
      </text>
    </comment>
    <comment ref="B510" authorId="0" shapeId="0" xr:uid="{9CE987B3-2952-4357-A1E7-FB9E8B61996A}">
      <text>
        <r>
          <rPr>
            <b/>
            <sz val="9"/>
            <color indexed="81"/>
            <rFont val="Tahoma"/>
            <family val="2"/>
          </rPr>
          <t>Note</t>
        </r>
        <r>
          <rPr>
            <sz val="9"/>
            <color indexed="81"/>
            <rFont val="Tahoma"/>
            <family val="2"/>
          </rPr>
          <t xml:space="preserve">
Manual input.</t>
        </r>
      </text>
    </comment>
    <comment ref="C510" authorId="0" shapeId="0" xr:uid="{1FC28E87-848E-434C-A37F-9BDE62A5BAB6}">
      <text>
        <r>
          <rPr>
            <b/>
            <sz val="9"/>
            <color indexed="81"/>
            <rFont val="Tahoma"/>
            <family val="2"/>
          </rPr>
          <t xml:space="preserve">Note
</t>
        </r>
        <r>
          <rPr>
            <sz val="9"/>
            <color indexed="81"/>
            <rFont val="Tahoma"/>
            <family val="2"/>
          </rPr>
          <t>Manual input. Must be a positive number.</t>
        </r>
      </text>
    </comment>
    <comment ref="D510" authorId="0" shapeId="0" xr:uid="{C3603E6C-1B48-4256-B7DF-6C6AC8A70EE7}">
      <text>
        <r>
          <rPr>
            <b/>
            <sz val="9"/>
            <color indexed="81"/>
            <rFont val="Tahoma"/>
            <family val="2"/>
          </rPr>
          <t>Note</t>
        </r>
        <r>
          <rPr>
            <sz val="9"/>
            <color indexed="81"/>
            <rFont val="Tahoma"/>
            <family val="2"/>
          </rPr>
          <t xml:space="preserve">
Manual input. Examples of Other Water Use include Drinking fountains, Janitorial sinks, Ornamental water features, Spas, Swimming pools, Discharge water temperature tempering, Manufacturing water consumption, Vehicle washing, etc.
</t>
        </r>
      </text>
    </comment>
    <comment ref="F510" authorId="0" shapeId="0" xr:uid="{5F430089-C0C0-45D1-9594-BE1C9553E0DA}">
      <text>
        <r>
          <rPr>
            <b/>
            <sz val="9"/>
            <color indexed="81"/>
            <rFont val="Tahoma"/>
            <family val="2"/>
          </rPr>
          <t>Note</t>
        </r>
        <r>
          <rPr>
            <sz val="9"/>
            <color indexed="81"/>
            <rFont val="Tahoma"/>
            <family val="2"/>
          </rPr>
          <t xml:space="preserve">
Manual input. Must be a positive number.</t>
        </r>
      </text>
    </comment>
    <comment ref="G510" authorId="0" shapeId="0" xr:uid="{43BD711A-EE62-45B0-9117-95AE74B06076}">
      <text>
        <r>
          <rPr>
            <b/>
            <sz val="9"/>
            <color indexed="81"/>
            <rFont val="Tahoma"/>
            <family val="2"/>
          </rPr>
          <t>Note</t>
        </r>
        <r>
          <rPr>
            <sz val="9"/>
            <color indexed="81"/>
            <rFont val="Tahoma"/>
            <family val="2"/>
          </rPr>
          <t xml:space="preserve">
Manual input. Must be a positive number.</t>
        </r>
      </text>
    </comment>
    <comment ref="O510" authorId="0" shapeId="0" xr:uid="{A52E5329-8A63-435C-BD9A-BAA6647BC51F}">
      <text>
        <r>
          <rPr>
            <b/>
            <sz val="9"/>
            <color indexed="81"/>
            <rFont val="Tahoma"/>
            <family val="2"/>
          </rPr>
          <t xml:space="preserve">Note
</t>
        </r>
        <r>
          <rPr>
            <sz val="9"/>
            <color indexed="81"/>
            <rFont val="Tahoma"/>
            <family val="2"/>
          </rPr>
          <t>Calculation.
Quantity x Annual Days of Operation x Cycles per Day x Daily Usage Multiplier x Equiment Baseline Water Use</t>
        </r>
      </text>
    </comment>
    <comment ref="P510" authorId="0" shapeId="0" xr:uid="{019ABC7B-7CBA-4438-AEE0-7B0E8CA39D11}">
      <text>
        <r>
          <rPr>
            <b/>
            <sz val="9"/>
            <color indexed="81"/>
            <rFont val="Tahoma"/>
            <family val="2"/>
          </rPr>
          <t xml:space="preserve">Note
</t>
        </r>
        <r>
          <rPr>
            <sz val="9"/>
            <color indexed="81"/>
            <rFont val="Tahoma"/>
            <family val="2"/>
          </rPr>
          <t>Calculation.
Quantity x Annual Days of Operation x Cycles per Day x Daily Usage Multiplier x Equiment Design Water Use</t>
        </r>
      </text>
    </comment>
    <comment ref="Q510" authorId="0" shapeId="0" xr:uid="{685B07EB-7F35-4CFB-A4CB-ABA008E44A08}">
      <text>
        <r>
          <rPr>
            <b/>
            <sz val="9"/>
            <color indexed="81"/>
            <rFont val="Tahoma"/>
            <family val="2"/>
          </rPr>
          <t>Note</t>
        </r>
        <r>
          <rPr>
            <sz val="9"/>
            <color indexed="81"/>
            <rFont val="Tahoma"/>
            <family val="2"/>
          </rPr>
          <t xml:space="preserve">
Manual input. Must be a positive number. Cannot be greater than Annual Water Use Design.
Total value of annual alternative water used for all equipment. If more than one equipment is included in Quantity, include value used for all quanity of equipment.</t>
        </r>
      </text>
    </comment>
    <comment ref="R510" authorId="0" shapeId="0" xr:uid="{8B323EC4-8528-4929-84D0-270A16BC6B2E}">
      <text>
        <r>
          <rPr>
            <b/>
            <sz val="9"/>
            <color indexed="81"/>
            <rFont val="Tahoma"/>
            <family val="2"/>
          </rPr>
          <t xml:space="preserve">Note
</t>
        </r>
        <r>
          <rPr>
            <sz val="9"/>
            <color indexed="81"/>
            <rFont val="Tahoma"/>
            <family val="2"/>
          </rPr>
          <t>Calculation.
Annual Water Use Design without Alternative Water - Annual Alternative Water Use</t>
        </r>
      </text>
    </comment>
    <comment ref="S510" authorId="0" shapeId="0" xr:uid="{760ED9E0-FD76-45DC-914F-05F8EE773596}">
      <text>
        <r>
          <rPr>
            <b/>
            <sz val="9"/>
            <color indexed="81"/>
            <rFont val="Tahoma"/>
            <family val="2"/>
          </rPr>
          <t xml:space="preserve">Note
</t>
        </r>
        <r>
          <rPr>
            <sz val="9"/>
            <color indexed="81"/>
            <rFont val="Tahoma"/>
            <family val="2"/>
          </rPr>
          <t>Calculation. Positive number indicates savings, negative number indicates increase form baseline.
Annual Water Use Baseline - Annual Water Use Design</t>
        </r>
      </text>
    </comment>
    <comment ref="T510" authorId="0" shapeId="0" xr:uid="{F2C2FB89-99D4-46A8-8439-7CF322D867FD}">
      <text>
        <r>
          <rPr>
            <b/>
            <sz val="9"/>
            <color indexed="81"/>
            <rFont val="Tahoma"/>
            <family val="2"/>
          </rPr>
          <t xml:space="preserve">Note
</t>
        </r>
        <r>
          <rPr>
            <sz val="9"/>
            <color indexed="81"/>
            <rFont val="Tahoma"/>
            <family val="2"/>
          </rPr>
          <t xml:space="preserve">Calculation. Positive number indicates savings, negative number indicates increase form baseline.
Annual Water Use Savings / 
Annual Water Use Baseline </t>
        </r>
      </text>
    </comment>
    <comment ref="H511" authorId="0" shapeId="0" xr:uid="{306242CC-00F3-4572-9FD5-83FBE14EB137}">
      <text>
        <r>
          <rPr>
            <b/>
            <sz val="9"/>
            <color indexed="81"/>
            <rFont val="Tahoma"/>
            <family val="2"/>
          </rPr>
          <t xml:space="preserve">Note
</t>
        </r>
        <r>
          <rPr>
            <sz val="9"/>
            <color indexed="81"/>
            <rFont val="Tahoma"/>
            <family val="2"/>
          </rPr>
          <t>Manual input. Must be a positive number.
Input value based on the Daily Usage Multiplier Unit.</t>
        </r>
      </text>
    </comment>
    <comment ref="I511" authorId="0" shapeId="0" xr:uid="{07C8322B-ED4F-4187-9614-C3BEAD6A328B}">
      <text>
        <r>
          <rPr>
            <b/>
            <sz val="9"/>
            <color indexed="81"/>
            <rFont val="Tahoma"/>
            <family val="2"/>
          </rPr>
          <t xml:space="preserve">Note
</t>
        </r>
        <r>
          <rPr>
            <sz val="9"/>
            <color indexed="81"/>
            <rFont val="Tahoma"/>
            <family val="2"/>
          </rPr>
          <t>Per equipment value. Dropdown selection.</t>
        </r>
      </text>
    </comment>
    <comment ref="K511" authorId="0" shapeId="0" xr:uid="{12145406-463C-463C-BDE3-A6BFE948F3F2}">
      <text>
        <r>
          <rPr>
            <b/>
            <sz val="9"/>
            <color indexed="81"/>
            <rFont val="Tahoma"/>
            <family val="2"/>
          </rPr>
          <t xml:space="preserve">Note
</t>
        </r>
        <r>
          <rPr>
            <sz val="9"/>
            <color indexed="81"/>
            <rFont val="Tahoma"/>
            <family val="2"/>
          </rPr>
          <t>Per equipment value. Manual input. Must be a positive number.
Value of selected Water Use Rate Unit for equipment (i.e. if Unit is 100 gal/unit, input 100).</t>
        </r>
      </text>
    </comment>
    <comment ref="L511" authorId="0" shapeId="0" xr:uid="{378EC140-4045-41E3-AB0B-81D3BDF6C1CB}">
      <text>
        <r>
          <rPr>
            <b/>
            <sz val="9"/>
            <color indexed="81"/>
            <rFont val="Tahoma"/>
            <family val="2"/>
          </rPr>
          <t xml:space="preserve">Note
</t>
        </r>
        <r>
          <rPr>
            <sz val="9"/>
            <color indexed="81"/>
            <rFont val="Tahoma"/>
            <family val="2"/>
          </rPr>
          <t>Per equipment value. Manual input. Must be a positive number.
Value of selected Water Use Rate Unit for equipment (i.e. if Unit is 70 gal/unit, input 70).</t>
        </r>
      </text>
    </comment>
    <comment ref="M511" authorId="0" shapeId="0" xr:uid="{1F3A5B2B-938B-43A8-B69F-583ABD299621}">
      <text>
        <r>
          <rPr>
            <b/>
            <sz val="9"/>
            <color indexed="81"/>
            <rFont val="Tahoma"/>
            <family val="2"/>
          </rPr>
          <t xml:space="preserve">Note
</t>
        </r>
        <r>
          <rPr>
            <sz val="9"/>
            <color indexed="81"/>
            <rFont val="Tahoma"/>
            <family val="2"/>
          </rPr>
          <t>Per equipment value. Automatic input.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Connell, Gioia</author>
  </authors>
  <commentList>
    <comment ref="C28" authorId="0" shapeId="0" xr:uid="{09BFE706-185A-45A8-A959-9121317FAEFA}">
      <text>
        <r>
          <rPr>
            <b/>
            <sz val="9"/>
            <color indexed="81"/>
            <rFont val="Tahoma"/>
            <family val="2"/>
          </rPr>
          <t xml:space="preserve">Note
</t>
        </r>
        <r>
          <rPr>
            <sz val="9"/>
            <color indexed="81"/>
            <rFont val="Tahoma"/>
            <family val="2"/>
          </rPr>
          <t xml:space="preserve">On premise, min capacity 2,400 lbs (10,886 kg) per 8-hour shift. Based on equal quantities of heavily, medium, and lightly soiled laundry.
</t>
        </r>
      </text>
    </comment>
    <comment ref="G39" authorId="0" shapeId="0" xr:uid="{D1A44669-6760-46AD-BD8F-C381A384FE20}">
      <text>
        <r>
          <rPr>
            <b/>
            <sz val="9"/>
            <color indexed="81"/>
            <rFont val="Tahoma"/>
            <family val="2"/>
          </rPr>
          <t xml:space="preserve">Note
</t>
        </r>
        <r>
          <rPr>
            <sz val="9"/>
            <color indexed="81"/>
            <rFont val="Tahoma"/>
            <family val="2"/>
          </rPr>
          <t>From Energy Star website.</t>
        </r>
      </text>
    </comment>
    <comment ref="H39" authorId="0" shapeId="0" xr:uid="{14AFD8EB-ADE3-4D13-B764-9C02DE61213E}">
      <text>
        <r>
          <rPr>
            <b/>
            <sz val="9"/>
            <color indexed="81"/>
            <rFont val="Tahoma"/>
            <family val="2"/>
          </rPr>
          <t xml:space="preserve">Note
</t>
        </r>
        <r>
          <rPr>
            <sz val="9"/>
            <color indexed="81"/>
            <rFont val="Tahoma"/>
            <family val="2"/>
          </rPr>
          <t>From Energy Star website.</t>
        </r>
      </text>
    </comment>
    <comment ref="C45" authorId="0" shapeId="0" xr:uid="{9B2EEBDA-D467-4C3B-A479-F0B6FF729347}">
      <text>
        <r>
          <rPr>
            <b/>
            <sz val="9"/>
            <color indexed="81"/>
            <rFont val="Tahoma"/>
            <family val="2"/>
          </rPr>
          <t>Note</t>
        </r>
        <r>
          <rPr>
            <sz val="9"/>
            <color indexed="81"/>
            <rFont val="Tahoma"/>
            <family val="2"/>
          </rPr>
          <t xml:space="preserve">
10-minute auto shutoff alternative to gpm/lpm.</t>
        </r>
      </text>
    </comment>
    <comment ref="G51" authorId="0" shapeId="0" xr:uid="{7E537D41-6BD8-4978-B43A-E35169DFDA7E}">
      <text>
        <r>
          <rPr>
            <b/>
            <sz val="9"/>
            <color indexed="81"/>
            <rFont val="Tahoma"/>
            <family val="2"/>
          </rPr>
          <t xml:space="preserve">Note
</t>
        </r>
        <r>
          <rPr>
            <sz val="9"/>
            <color indexed="81"/>
            <rFont val="Tahoma"/>
            <family val="2"/>
          </rPr>
          <t>From Energy Star website.</t>
        </r>
      </text>
    </comment>
    <comment ref="H51" authorId="0" shapeId="0" xr:uid="{73F4E8AB-42E3-482A-8891-75D408EA7079}">
      <text>
        <r>
          <rPr>
            <b/>
            <sz val="9"/>
            <color indexed="81"/>
            <rFont val="Tahoma"/>
            <family val="2"/>
          </rPr>
          <t xml:space="preserve">Note
</t>
        </r>
        <r>
          <rPr>
            <sz val="9"/>
            <color indexed="81"/>
            <rFont val="Tahoma"/>
            <family val="2"/>
          </rPr>
          <t>From Energy Star website.</t>
        </r>
      </text>
    </comment>
    <comment ref="G55" authorId="0" shapeId="0" xr:uid="{217F5801-A311-4FAE-853A-5EC0DA11F20B}">
      <text>
        <r>
          <rPr>
            <b/>
            <sz val="9"/>
            <color indexed="81"/>
            <rFont val="Tahoma"/>
            <family val="2"/>
          </rPr>
          <t xml:space="preserve">Note
</t>
        </r>
        <r>
          <rPr>
            <sz val="9"/>
            <color indexed="81"/>
            <rFont val="Tahoma"/>
            <family val="2"/>
          </rPr>
          <t>From Energy Star website.</t>
        </r>
      </text>
    </comment>
    <comment ref="H55" authorId="0" shapeId="0" xr:uid="{A6C367C8-A3CA-40A3-BD6C-704A41C309C6}">
      <text>
        <r>
          <rPr>
            <b/>
            <sz val="9"/>
            <color indexed="81"/>
            <rFont val="Tahoma"/>
            <family val="2"/>
          </rPr>
          <t xml:space="preserve">Note
</t>
        </r>
        <r>
          <rPr>
            <sz val="9"/>
            <color indexed="81"/>
            <rFont val="Tahoma"/>
            <family val="2"/>
          </rPr>
          <t>From Energy Star website.</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<sst xmlns="http://schemas.openxmlformats.org/spreadsheetml/2006/main" count="962" uniqueCount="390">
  <si>
    <t>No.</t>
  </si>
  <si>
    <t>Date</t>
  </si>
  <si>
    <t xml:space="preserve">  </t>
  </si>
  <si>
    <t>Related TASK No.</t>
  </si>
  <si>
    <t>NA</t>
  </si>
  <si>
    <t>Draft Calculator Revision History</t>
  </si>
  <si>
    <t>TASKS</t>
  </si>
  <si>
    <t>Party</t>
  </si>
  <si>
    <t>Tab Edited</t>
  </si>
  <si>
    <t>Field Edited</t>
  </si>
  <si>
    <t>Description</t>
  </si>
  <si>
    <t>Date Complete</t>
  </si>
  <si>
    <t>Source File</t>
  </si>
  <si>
    <t>WSP</t>
  </si>
  <si>
    <t>ALL</t>
  </si>
  <si>
    <t xml:space="preserve">Templatized </t>
  </si>
  <si>
    <t>Make sure to create named fields (Formulas &gt; Name Manager) and use formulas using named field values (note be sure to delete unused names from the template document)</t>
  </si>
  <si>
    <r>
      <t xml:space="preserve">Created calculator. Note formulas only built out in Logic up until Appliance Water. Instructions not developed yet. Ready for preliminary review. Need to confirm:
- confirm appliance water use baselines (USGBC?) - see comments in Database CONFIRMED WITH GINA 8/26/25 </t>
    </r>
    <r>
      <rPr>
        <b/>
        <sz val="10"/>
        <color rgb="FFFF0000"/>
        <rFont val="Arial"/>
        <family val="2"/>
      </rPr>
      <t>NEED TO ASK USGBC</t>
    </r>
    <r>
      <rPr>
        <sz val="10"/>
        <color rgb="FFFF0000"/>
        <rFont val="Arial"/>
        <family val="2"/>
      </rPr>
      <t xml:space="preserve"> 1) NEED TO MEET MINIMUMS FROM DIFFERENT CREDITS? BASED ON REFERENCE GUIDE, ANTICIPATE NO, BUT WOULD LIKE TO CONFIRM. 2) BASELINE VALUES DETERMINED BY CREDIT TABLES? BASED ON REFERENCE GUIDE, ANTICIPATE YES, BUT WOULD LIKE TO CONFIRM. 3) HOW TO TREAT EQUIPMENT THAT ONLY HAVE PERFORMANCE VALUES IN THE PREREQ? SHOULD PREREQ VALUES BE USED AS BASELINE? SHOULD UNIT TYPES BE EXCLUDED FROM CALCULATOR? SHOULD OTHER VALUE BE USED AS BASELINE? 4) IF CREDIT TABLES ARE THE BASELINE, CONFIRM IF EQUIPMENT THAT ONLY LISTS ENERGY STAR REQUIREMENTS USE THE MAXIMUM ALLOWED VALUES LISTED IN ENERGY STAR AS BASELINE?
- confirm if water use reduction is only a value of appliance capacity or if it is actual volume (currently calc is built out for the later) CONFIRMED WITH GINA ACTUAL VOLUME 8/26/25
- confirm if savings should be represented as a positive or negative number (currently calc is built out for the former) CONFIRMED WITH GINA POSITIVE 8/26/25 </t>
    </r>
    <r>
      <rPr>
        <b/>
        <sz val="10"/>
        <color rgb="FFFF0000"/>
        <rFont val="Arial"/>
        <family val="2"/>
      </rPr>
      <t>NOTE SHOULD BE CONFIRMED ACROSS THE BOARD WITH USGBC</t>
    </r>
    <r>
      <rPr>
        <sz val="10"/>
        <color rgb="FFFF0000"/>
        <rFont val="Arial"/>
        <family val="2"/>
      </rPr>
      <t xml:space="preserve">
- confirm and coordinate structure with other water calculators (fixtures, outdoor) </t>
    </r>
    <r>
      <rPr>
        <b/>
        <sz val="10"/>
        <color rgb="FFFF0000"/>
        <rFont val="Arial"/>
        <family val="2"/>
      </rPr>
      <t>NOTE COORDINATE WITH AMY JYOTI</t>
    </r>
    <r>
      <rPr>
        <sz val="10"/>
        <color rgb="FFFF0000"/>
        <rFont val="Arial"/>
        <family val="2"/>
      </rPr>
      <t xml:space="preserve">
- note formatting not reviewed or updated, many will need to be made bigger for visibility
</t>
    </r>
  </si>
  <si>
    <t>Make sure all credit calculation requirements are included</t>
  </si>
  <si>
    <t>Updated formatting, completed formulas, updated database tab for WEc values
Ready for preliminary LEED review, note the following
- Still need to confirm baseline values for Database from USGBC
- Remains unclear to me IF can only have heavy commercial use to use this pathway, and how residential relates to it. Langauge has dishwasher and laundry limits for credit table value usage, but instructions also state that all water sources need to be included, confirm how to address
- Recommend reviewer also see if any of these tables can be used to contribute to appliance pathway (Option 3)
- Recommend LEED Reviewer think through if it would be helpful to combine this calculator with Fixtures and Outdoor (though note at this time still in progress)
- Potential for conditional formatting for laundry volume, but would like to confirm general calculator from LEED Reviewer First</t>
  </si>
  <si>
    <t>Make sure formulas work, values correct, validation included where needed (i.e. positive numbers only, etc.)</t>
  </si>
  <si>
    <t>Updated based on WSP internal review comments.</t>
  </si>
  <si>
    <t>Make sure labels are correct (including make explicit where inputs are required or optional)</t>
  </si>
  <si>
    <t>QC Cell Formatting (see internal style guide)</t>
  </si>
  <si>
    <t>Add Notes where needed</t>
  </si>
  <si>
    <t>Add summary "Point calculation" tab</t>
  </si>
  <si>
    <t>Update instructions tab</t>
  </si>
  <si>
    <t>Add flags as needed (i.e. for CFCs, IDC BDC &gt;700 GWP)</t>
  </si>
  <si>
    <t>Allow Add rows without macros, include instructions (NOTE prior calculator drafts have used Groups, welcome other recommendations)</t>
  </si>
  <si>
    <t>Update formatting per USGBC (including If required create named fields; If guidance says use tables, convert to tables)</t>
  </si>
  <si>
    <t>Spell Check</t>
  </si>
  <si>
    <t>Final Lock Settings and QC</t>
  </si>
  <si>
    <t>PAT LINDO SCOPING NOTE 
We need 3 distinct calculators: 1.) “LEED v5 Whole Project Water Use calculator” 2.) “LEED v5 Fixture and Fittings Efficiency calculator” and 3.) “LEED v5 Outdoor Water Use Efficiency calculator” -(remove ‘minimum’ from the #3 title). These can combined into one single tool or as individual tools. Within these calculators we need an input (deduct) line item for alternative water. The deduct will reduce water demand and provide an 'extra' point for the project.</t>
  </si>
  <si>
    <t>https://wsponlinenam.sharepoint.com/:x:/r/sites/US-BuiltEcology/BE%20Drive/01_Projects/2025/US0046386.5310---LEED%20v5%20Calculators%20and%20Tech%20Dev/11_LEED%20Calculator%20Development/01_LEED%20V5.0%20Calculators%20Scoping%20and%20Methodology/LEED%20v5_%20Calculator%20Scoping%20for%20Review%20USGBC%20Comments.xlsx?d=w012339cd8b03415185c90d63478e1f76&amp;csf=1&amp;web=1&amp;e=wm5D2j</t>
  </si>
  <si>
    <t xml:space="preserve">PAT LINDO SCOPING NOTE 
We need 3 distinct calculators: 1.) “LEED v5 Whole Project Water Use calculator” 2.) “LEED v5 Fixture and Fittings Efficiency calculator” and 3.) “LEED v5 Outdoor Water Use Efficiency calculator” -(remove ‘minimum’ from the #3 title). 
Under WEp2 A project can choose either a prescriptive path as a standalone or a performance path, which links these calculators together. Then under WEc2 the project can choose option 1 “Whole water use” or option 2 Fixtures &amp; Fittings which adds up the individual fixture flows. All of these of approaches use input values from third party calculators for process water (cooling) and alternative water.
Note: These calculators can combined into one single tool or as individual tools. Within these calculators we need an input (deduct) line item for alternative water. The deduct will reduce water demand and provide an 'extra' point for the project.
</t>
  </si>
  <si>
    <t xml:space="preserve">PAT LINDO SCOPING NOTE 
The baseline calculations for process water (including cooling towers) is generated by a third party calculator and included in the LEED calculator as a simple “input” (value / number).
</t>
  </si>
  <si>
    <t xml:space="preserve">PAT LINDO SCOPING NOTE 
This calculator includes an update with additional savings from irrigation scheduling technologies” per pages
31-34 of EPA TIR. refer to calculator as "outdoor water efficiency"
</t>
  </si>
  <si>
    <t>Internal Style Guide</t>
  </si>
  <si>
    <t>TEMP LOCK PASSWORD</t>
  </si>
  <si>
    <t>LEEDv5</t>
  </si>
  <si>
    <t>Workbook Structure</t>
  </si>
  <si>
    <t>Tabs</t>
  </si>
  <si>
    <t>Inputs Tab: User input AND final summary values only, can have some automatic input cells IF important for user data, can have multiple inputs tabs if needed</t>
  </si>
  <si>
    <r>
      <t xml:space="preserve">Logic Tab: Calculations for values needed for LEED Performance, no user input, </t>
    </r>
    <r>
      <rPr>
        <u/>
        <sz val="10"/>
        <color theme="1"/>
        <rFont val="Arial"/>
        <family val="2"/>
      </rPr>
      <t>will be hidden from users</t>
    </r>
  </si>
  <si>
    <r>
      <t xml:space="preserve">Database Tab: Constants, values for logic calculations, points, limit to static values no formulas where possible, </t>
    </r>
    <r>
      <rPr>
        <u/>
        <sz val="10"/>
        <color theme="1"/>
        <rFont val="Arial"/>
        <family val="2"/>
      </rPr>
      <t>will be hidden from users</t>
    </r>
  </si>
  <si>
    <t>Summary Tab: Points, values needed for LEED performance (see Reference Guide Documentation requirements for what needs to be included)</t>
  </si>
  <si>
    <t>Formulas</t>
  </si>
  <si>
    <t xml:space="preserve">Note calculators must use Formula &gt; Name Manager to name fields and cells that are used for calculations or pulled into other cells. </t>
  </si>
  <si>
    <t>Recommend developing full calculator structure and initial formulas before naming fields and updating formulas.</t>
  </si>
  <si>
    <t>Settings</t>
  </si>
  <si>
    <t>Prior to sharing with users, ensure that the File &gt; Options &gt; Advanced &gt; Enable fill handle and cell "drag-and-drop" is turned OFF</t>
  </si>
  <si>
    <t>This importantly prevents users from being able to drag unprotected input cells across fields, which could distrupt calculator function</t>
  </si>
  <si>
    <t>General Sheet Formating</t>
  </si>
  <si>
    <t>Turn-off view gridlines</t>
  </si>
  <si>
    <t>Columns to left and right of boarder to be Width of 3.5 (42 pxl)</t>
  </si>
  <si>
    <t>Rows above and below boarder to be Height of 20 (34 pxl)</t>
  </si>
  <si>
    <t>Lock all sheets EXCEPT for Inputs for all functions EXCEPT for "Select"</t>
  </si>
  <si>
    <t>Lock all Inputs sheets for all functions EXCEPT for "Select" AND "Format Columns, "Format Rows" to allow for using additional row functions</t>
  </si>
  <si>
    <t>Sheet Background Fill</t>
  </si>
  <si>
    <t>#F7F8F6;  fill up to row 300, 600, or 900 as needed; fill up to column Z</t>
  </si>
  <si>
    <t>Instructions + Summary Background Fill</t>
  </si>
  <si>
    <t>#FFFFFF</t>
  </si>
  <si>
    <t>Title Fill</t>
  </si>
  <si>
    <t>IP</t>
  </si>
  <si>
    <t>#952713</t>
  </si>
  <si>
    <t>LT</t>
  </si>
  <si>
    <t>#B87400</t>
  </si>
  <si>
    <t>SS</t>
  </si>
  <si>
    <t>#536426</t>
  </si>
  <si>
    <t>WE</t>
  </si>
  <si>
    <t>#006570</t>
  </si>
  <si>
    <t>EA</t>
  </si>
  <si>
    <t>#C75127</t>
  </si>
  <si>
    <t>MR</t>
  </si>
  <si>
    <t>#7C4901</t>
  </si>
  <si>
    <t>EQ</t>
  </si>
  <si>
    <t>#684659</t>
  </si>
  <si>
    <t>PR</t>
  </si>
  <si>
    <t>#7E8AA2</t>
  </si>
  <si>
    <t>Title Format</t>
  </si>
  <si>
    <t xml:space="preserve">Use downloadable PNG logo w and maintain aspect ratio in all cases. Logo must never be more than 1 inch (72 pixels) wide. </t>
  </si>
  <si>
    <t xml:space="preserve">Suggest standard header height of 90.0 (150 pxl) with an increase to 95.0 (160 pxl) prerequisite and credit combo. </t>
  </si>
  <si>
    <t xml:space="preserve">Note naming convention (see below for example): </t>
  </si>
  <si>
    <r>
      <t>USGBC Calculator || LEED for Building Operations and Maintenance</t>
    </r>
    <r>
      <rPr>
        <sz val="10"/>
        <color theme="0"/>
        <rFont val="Arial"/>
        <family val="2"/>
      </rPr>
      <t xml:space="preserve"> [14 point font, bold]</t>
    </r>
    <r>
      <rPr>
        <b/>
        <sz val="14"/>
        <color theme="0"/>
        <rFont val="Arial"/>
        <family val="2"/>
      </rPr>
      <t xml:space="preserve">
</t>
    </r>
    <r>
      <rPr>
        <b/>
        <sz val="12"/>
        <color theme="0"/>
        <rFont val="Arial"/>
        <family val="2"/>
      </rPr>
      <t xml:space="preserve">LEED v5 EAp4: Fundamental Refigerant Management </t>
    </r>
    <r>
      <rPr>
        <sz val="10"/>
        <color theme="0"/>
        <rFont val="Arial"/>
        <family val="2"/>
      </rPr>
      <t xml:space="preserve"> [12 point font, bold]</t>
    </r>
    <r>
      <rPr>
        <b/>
        <sz val="12"/>
        <color theme="0"/>
        <rFont val="Arial"/>
        <family val="2"/>
      </rPr>
      <t xml:space="preserve">
LEED v5 EAc3: Enhanced Refrigerant Management Performance</t>
    </r>
    <r>
      <rPr>
        <sz val="10"/>
        <color theme="0"/>
        <rFont val="Arial"/>
        <family val="2"/>
      </rPr>
      <t xml:space="preserve"> [12 point font, bold]</t>
    </r>
    <r>
      <rPr>
        <b/>
        <sz val="12"/>
        <color theme="0"/>
        <rFont val="Arial"/>
        <family val="2"/>
      </rPr>
      <t xml:space="preserve">
Sheet Name (I.E. Inputs, Logic, Database, Summary)</t>
    </r>
    <r>
      <rPr>
        <sz val="10"/>
        <color theme="0"/>
        <rFont val="Arial"/>
        <family val="2"/>
      </rPr>
      <t xml:space="preserve"> [12 point font, bold]</t>
    </r>
  </si>
  <si>
    <t>Cell Outline</t>
  </si>
  <si>
    <t>Automatic, Default Weight</t>
  </si>
  <si>
    <t>Standard Row Width</t>
  </si>
  <si>
    <t>18.0 (30 pxls)</t>
  </si>
  <si>
    <t>Text Alignment</t>
  </si>
  <si>
    <t>Subheadings</t>
  </si>
  <si>
    <t>Center justified, Vertical Center</t>
  </si>
  <si>
    <t>Text</t>
  </si>
  <si>
    <t>Left justified, Vertical Center</t>
  </si>
  <si>
    <t>Numbers</t>
  </si>
  <si>
    <t>Right justified, Vertical Center</t>
  </si>
  <si>
    <t>Number Formatting</t>
  </si>
  <si>
    <t>Qty</t>
  </si>
  <si>
    <t>GWP of refrigerant</t>
  </si>
  <si>
    <t>Total GWP</t>
  </si>
  <si>
    <t>Refrigerant Leakage Emissions Ratio (RLER) - Note Ref Guide includes 1 decimal place in some sample calculations, confirm if calculator should as well.</t>
  </si>
  <si>
    <t xml:space="preserve">Sum Refrigerant at Full Charge (Rc) </t>
  </si>
  <si>
    <t xml:space="preserve">Refrigerant at Full Charge (Rc) </t>
  </si>
  <si>
    <t>Refrigerant added or leaked</t>
  </si>
  <si>
    <t>Months</t>
  </si>
  <si>
    <t>% Leaked</t>
  </si>
  <si>
    <t>% DES</t>
  </si>
  <si>
    <t>Font</t>
  </si>
  <si>
    <t>Headings</t>
  </si>
  <si>
    <t>Arial 11 Bold UPPERCASE</t>
  </si>
  <si>
    <t>Subheading</t>
  </si>
  <si>
    <t>Arial 10 Bold</t>
  </si>
  <si>
    <t>Arial 10</t>
  </si>
  <si>
    <t>HEADING</t>
  </si>
  <si>
    <t xml:space="preserve">FILL HEX #353434, TEXT HEX # F7F8F6 </t>
  </si>
  <si>
    <t>FILL FOR SUBHEADING CELLS HEX #B6B7B8 CENTER</t>
  </si>
  <si>
    <t>Manual input</t>
  </si>
  <si>
    <t>FILL FOR USER INPUT CELLS HEX #000000</t>
  </si>
  <si>
    <t>Auto input</t>
  </si>
  <si>
    <t>FILL FOR AUTOMATIC CELLS HEX #F2F2F2</t>
  </si>
  <si>
    <t>Calculation</t>
  </si>
  <si>
    <t>FILL FOR AUTOMATIC CELLS HEX #D9D9D9</t>
  </si>
  <si>
    <t>Supplemental instructions</t>
  </si>
  <si>
    <t>CREDIT INSTRUCTIONS</t>
  </si>
  <si>
    <t>▪</t>
  </si>
  <si>
    <t>This calculator serves as a water balance model by calculating the building's total water demand and provides a comparison of a baseline and design case water model.</t>
  </si>
  <si>
    <t>Projects must demonstrate a minimum of 30% reduction from the project’s baseline to earn points. Using alternative water sources earns additional points for the calculated reductions.</t>
  </si>
  <si>
    <t>INPUT INSTRUCTIONS</t>
  </si>
  <si>
    <t>User input cell formatting.</t>
  </si>
  <si>
    <t>Automatic input cell formatting.</t>
  </si>
  <si>
    <t>Calculation cell formatting.</t>
  </si>
  <si>
    <t>All input cells are required unless otherwise noted.</t>
  </si>
  <si>
    <t>Input baseline case and design case model values from other calculators.</t>
  </si>
  <si>
    <t>Required fields for each category:</t>
  </si>
  <si>
    <r>
      <rPr>
        <b/>
        <i/>
        <sz val="10"/>
        <color theme="1"/>
        <rFont val="Arial"/>
        <family val="2"/>
      </rPr>
      <t xml:space="preserve">Water Use Baseline. </t>
    </r>
    <r>
      <rPr>
        <sz val="10"/>
        <color theme="1"/>
        <rFont val="Arial"/>
        <family val="2"/>
      </rPr>
      <t>Must be a positive number. From external calculator.</t>
    </r>
  </si>
  <si>
    <t>Input appliance baseline case and design case model values.</t>
  </si>
  <si>
    <t>Input kitchen equipment baseline case and design case model values.</t>
  </si>
  <si>
    <t>Input lab and medical baseline case and design case model values.</t>
  </si>
  <si>
    <t>Input HVAC water use baseline case and design case model values.</t>
  </si>
  <si>
    <t>Input other water use baseline case and design case model values.</t>
  </si>
  <si>
    <t>The following instructions apply to Steps 3, 4, 5, 6, and 7.</t>
  </si>
  <si>
    <t>Project Equipment and Annual Usage Information</t>
  </si>
  <si>
    <t>Optional fields for each category:</t>
  </si>
  <si>
    <r>
      <rPr>
        <b/>
        <i/>
        <sz val="10"/>
        <color theme="1"/>
        <rFont val="Arial"/>
        <family val="2"/>
      </rPr>
      <t xml:space="preserve">Appliance ID. </t>
    </r>
    <r>
      <rPr>
        <sz val="10"/>
        <color theme="1"/>
        <rFont val="Arial"/>
        <family val="2"/>
      </rPr>
      <t>Descriptor for the equipment. This should match drawings, and/or Current Facilities Requirements and Operations and Maintenance Plan. (Examples: P-01, F-01, or P-X for multiple installations of the same equipment type).</t>
    </r>
  </si>
  <si>
    <r>
      <rPr>
        <b/>
        <i/>
        <sz val="10"/>
        <color theme="1"/>
        <rFont val="Arial"/>
        <family val="2"/>
      </rPr>
      <t xml:space="preserve">Quantity. </t>
    </r>
    <r>
      <rPr>
        <sz val="10"/>
        <color theme="1"/>
        <rFont val="Arial"/>
        <family val="2"/>
      </rPr>
      <t xml:space="preserve">The quantity of identical equipment.  </t>
    </r>
    <r>
      <rPr>
        <u/>
        <sz val="10"/>
        <color theme="1"/>
        <rFont val="Arial"/>
        <family val="2"/>
      </rPr>
      <t>This value must be entered when a group of equipment is entered in a single reporting line.</t>
    </r>
  </si>
  <si>
    <r>
      <rPr>
        <b/>
        <i/>
        <sz val="10"/>
        <color theme="1"/>
        <rFont val="Arial"/>
        <family val="2"/>
      </rPr>
      <t xml:space="preserve">Water Use Type. </t>
    </r>
    <r>
      <rPr>
        <sz val="10"/>
        <color theme="1"/>
        <rFont val="Arial"/>
        <family val="2"/>
      </rPr>
      <t xml:space="preserve">Dropdown inputs for common equipment types for appliances, kitchen equipment, laboratory and medical equipment, and other water uses. </t>
    </r>
  </si>
  <si>
    <t>Baseline and Design Model Annual Water Use Information</t>
  </si>
  <si>
    <t xml:space="preserve">STEP 1: GENERAL INFORMATION </t>
  </si>
  <si>
    <t>Project Type</t>
  </si>
  <si>
    <t>BD+C Core and Shell (CS)</t>
  </si>
  <si>
    <t>Unit of Measurement</t>
  </si>
  <si>
    <t>IP Units</t>
  </si>
  <si>
    <t>STEP 2: BASELINE AND DESIGN MODELS FROM OTHER CALCULATORS</t>
  </si>
  <si>
    <t>Fixtures and Fittings Water Use</t>
  </si>
  <si>
    <t>Unit</t>
  </si>
  <si>
    <r>
      <t>Outdoor Water Use</t>
    </r>
    <r>
      <rPr>
        <sz val="10"/>
        <color theme="1"/>
        <rFont val="Arial"/>
        <family val="2"/>
      </rPr>
      <t xml:space="preserve"> (BD+C only)</t>
    </r>
  </si>
  <si>
    <t>STEP 3: APPLIANCE WATER USE BASELINE AND DESIGN MODEL</t>
  </si>
  <si>
    <t>Click + to the left to add additional rows. Click - to the left to collapse (content will be saved).</t>
  </si>
  <si>
    <t>Project Equipment Information</t>
  </si>
  <si>
    <t>Baseline and Design Water Use Information</t>
  </si>
  <si>
    <t>-</t>
  </si>
  <si>
    <r>
      <t xml:space="preserve">Appliance ID </t>
    </r>
    <r>
      <rPr>
        <sz val="9"/>
        <color theme="1"/>
        <rFont val="Arial"/>
        <family val="2"/>
      </rPr>
      <t xml:space="preserve">
(Optional)</t>
    </r>
  </si>
  <si>
    <r>
      <t xml:space="preserve">Quantity </t>
    </r>
    <r>
      <rPr>
        <sz val="9"/>
        <color theme="1"/>
        <rFont val="Arial"/>
        <family val="2"/>
      </rPr>
      <t xml:space="preserve">
(Optional)</t>
    </r>
  </si>
  <si>
    <t>Water Use Type</t>
  </si>
  <si>
    <t>Equipment Baseline Water Use</t>
  </si>
  <si>
    <t>Equipment Design Water Use</t>
  </si>
  <si>
    <t>Click + to left for additional rows</t>
  </si>
  <si>
    <t>STEP 4: KITCHEN EQUIPMENT WATER USE BASELINE AND DESIGN MODEL</t>
  </si>
  <si>
    <t>STEP 5: LAB AND MEDICAL EQUIPMENT WATER USE BASELINE AND DESIGN MODEL</t>
  </si>
  <si>
    <t>STEP 6: HVAC WATER USE BASELINE AND DESIGN MODEL</t>
  </si>
  <si>
    <t>STEP 7: OTHER WATER USE BASELINE AND DESIGN MODEL</t>
  </si>
  <si>
    <t xml:space="preserve">LOGIC 1 GENERAL INFORMATION </t>
  </si>
  <si>
    <t>LOGIC 2 BASELINE AND DESIGN MODELS FROM OTHER CALCULATORS</t>
  </si>
  <si>
    <t>LOGIC 3 APPLIANCE WATER USE BASELINE AND DESIGN MODEL</t>
  </si>
  <si>
    <t>LOGIC 4 KITCHEN EQUIPMENT WATER USE BASELINE AND DESIGN MODEL</t>
  </si>
  <si>
    <t>LOGIC 5 LAB AND MEDICAL EQUIPMENT WATER USE BASELINE AND DESIGN MODEL</t>
  </si>
  <si>
    <t>LOGIC 6 HVAC WATER USE BASELINE AND DESIGN MODEL</t>
  </si>
  <si>
    <t>LOGIC 7 OTHER WATER USE BASELINE AND DESIGN MODEL</t>
  </si>
  <si>
    <t>LOGIC 8 BASELINE AND DESIGN SUMMARY</t>
  </si>
  <si>
    <t>Water Use Category</t>
  </si>
  <si>
    <t>Annual Savings %</t>
  </si>
  <si>
    <t>Fixtures and Fittings</t>
  </si>
  <si>
    <t>Outdoor</t>
  </si>
  <si>
    <t>Appliance</t>
  </si>
  <si>
    <t>Kitchen Equipment</t>
  </si>
  <si>
    <t>Lab Medical Equipment</t>
  </si>
  <si>
    <t>HVAC</t>
  </si>
  <si>
    <t>Other</t>
  </si>
  <si>
    <t>Total</t>
  </si>
  <si>
    <t>Alternative Water Supply</t>
  </si>
  <si>
    <t>GENERAL INFORMATION</t>
  </si>
  <si>
    <t>Options</t>
  </si>
  <si>
    <t>Select</t>
  </si>
  <si>
    <t>BD+C New Construction (NC)</t>
  </si>
  <si>
    <t>ID+C</t>
  </si>
  <si>
    <t>Unit systems</t>
  </si>
  <si>
    <t>Amount</t>
  </si>
  <si>
    <t>gal/year</t>
  </si>
  <si>
    <t>gals</t>
  </si>
  <si>
    <t>SI Units</t>
  </si>
  <si>
    <t>l/year</t>
  </si>
  <si>
    <t>liters</t>
  </si>
  <si>
    <t>Alternative Water</t>
  </si>
  <si>
    <t>No</t>
  </si>
  <si>
    <t>Yes</t>
  </si>
  <si>
    <t>Process Water</t>
  </si>
  <si>
    <t>BASELINE CALCULATIONS</t>
  </si>
  <si>
    <t>Water Uses</t>
  </si>
  <si>
    <t>Water Use Types</t>
  </si>
  <si>
    <t>data_waterusesapp</t>
  </si>
  <si>
    <t>data_waterusetypesapp</t>
  </si>
  <si>
    <t>Commercial clothes washers</t>
  </si>
  <si>
    <t>Residential clothes washers</t>
  </si>
  <si>
    <t>Ice machine</t>
  </si>
  <si>
    <t>Prerinse spray valves</t>
  </si>
  <si>
    <t>data_wateruseskitch</t>
  </si>
  <si>
    <t>data_waterusetypeskitch</t>
  </si>
  <si>
    <t>Dishwasher Undercounter</t>
  </si>
  <si>
    <t>Dishwasher Single tank, stationary, door</t>
  </si>
  <si>
    <t>Dishwasher Single tank, conveyor</t>
  </si>
  <si>
    <t>Dishwasher Multiple tank, conveyor</t>
  </si>
  <si>
    <t>Dishwasher Flight machine</t>
  </si>
  <si>
    <t>Dishwasher Residential (standard + compact)</t>
  </si>
  <si>
    <t>Food steamer Boilerless/connectionless</t>
  </si>
  <si>
    <t>Food steamer Steam generator</t>
  </si>
  <si>
    <t>Combination oven Countertop or Stand</t>
  </si>
  <si>
    <t>Combination oven Roll-in</t>
  </si>
  <si>
    <t>Food waste disposer, Disposer/full load condition</t>
  </si>
  <si>
    <t>Food waste disposer, Disposer/no-load condition</t>
  </si>
  <si>
    <t>Food waste disposer, Scrap collector</t>
  </si>
  <si>
    <t>Food waste disposer, Pulper</t>
  </si>
  <si>
    <t>Food waste disposer, Strainer basket</t>
  </si>
  <si>
    <t>data_wateruseslabmed</t>
  </si>
  <si>
    <t>data_waterusetypeslabmed</t>
  </si>
  <si>
    <t>Lab and Medical Equipment</t>
  </si>
  <si>
    <t>Reverse-osmosis water purifier</t>
  </si>
  <si>
    <t>Steam sterilizer 60 in/1,520 mm</t>
  </si>
  <si>
    <t>Steam sterilizer 48 in/1,220 mm</t>
  </si>
  <si>
    <t>Sterile process washer</t>
  </si>
  <si>
    <t>X-ray processor, ≥150 mm in any dimension</t>
  </si>
  <si>
    <t>Digital imager, all sizes</t>
  </si>
  <si>
    <t>data_wateruseshvac</t>
  </si>
  <si>
    <t>data_waterusetypeshvac</t>
  </si>
  <si>
    <t>Cooling Tower Evaporation</t>
  </si>
  <si>
    <t>Evaporative Cooler</t>
  </si>
  <si>
    <t xml:space="preserve">Boiler </t>
  </si>
  <si>
    <t>Steam Plant</t>
  </si>
  <si>
    <t>Refrigerant</t>
  </si>
  <si>
    <t>Humidification</t>
  </si>
  <si>
    <t>POINTS FOR CREDIT</t>
  </si>
  <si>
    <t>Percent Reduction</t>
  </si>
  <si>
    <t>Dropdown</t>
  </si>
  <si>
    <t>BD+C New Construction Percent Reduction</t>
  </si>
  <si>
    <t>BD+C Core and Shell Percent Reduction</t>
  </si>
  <si>
    <t>Interior Design + Construction Percent Reduction</t>
  </si>
  <si>
    <t>Points</t>
  </si>
  <si>
    <t>Alternative water</t>
  </si>
  <si>
    <t>EP</t>
  </si>
  <si>
    <t>–</t>
  </si>
  <si>
    <t>8 (only NC + IDC)</t>
  </si>
  <si>
    <t>EP (only NC)</t>
  </si>
  <si>
    <t>8 + EP</t>
  </si>
  <si>
    <t>Project Uses Alternative Water Sources</t>
  </si>
  <si>
    <t>Positive values indicate savings, negative values indicate increase from baseline</t>
  </si>
  <si>
    <t>Model must account for all end uses for the project, including fixtures and fittings, domestic hot water, appliances, commercial kitchen and laundry equipment, laboratory and medical equipment, process water, HVAC systems, and landscape irrigation.</t>
  </si>
  <si>
    <t>Teams should always prioritize water efficiency first in the prerequisite to reduce consumption and demand before applying alternative water solutions in the credit. For any seasonally dependent sources, such as rainwater, calculations must reflect annual, seasonal totals to confirm the available quantity of the alternative water source.</t>
  </si>
  <si>
    <t>If the alternative water is used for multiple applications in the project – for example, flush fixtures, irrigation, and/or process water – or is shared by multiple buildings, teams must provide supply and demand calculations to confirm the available quantity of alternative water and demonstrate that a sufficient quantity is available to meet the demands of all uses. Monthly supply and demand calculations are typically provided for seasonally dependent sources of alternative water, such as harvested rainwater, and for projects with seasonal occupancy variations, such as schools.</t>
  </si>
  <si>
    <t xml:space="preserve">Alternative water sources include on-site reclaimed water, off-site supplied reclaimed wastewater, graywater, rainwater, stormwater, treated seawater, condensate, nuisance water, treated blowdown from process water, reject water from reverse osmosis, and other recycled water sources. </t>
  </si>
  <si>
    <t>Potable water sources include municipally supplied potable water, well water, groundwater, and water from naturally occurring surface bodies of water (such as streams, lakes, or rivers), even if not treated to potable drinking water standards.</t>
  </si>
  <si>
    <t>Projects must include the fixtures and fittings necessary to meet the occupants’ needs, whether they will be installed as part of the project’s scope of work or not. Include at a minimum all necessary restroom fixtures (toilets, urinals, and lavatories) to meet the project occupants’ needs, and showers when seeking LT Credit Transportation Demand Management. Upload separate calculations for the credit, as applicable.</t>
  </si>
  <si>
    <t>For fixtures and fittings, determine the baseline using a USGBC-approved calculator, as described in WEc2: Enhanced Water Efficiency, Option 2. Fixture and Fittings - Calculated Reduction.</t>
  </si>
  <si>
    <t>For outdoor water use, determine the baseline water consumption by calculating the project’s TIR, as outlined in WEc2: Enhanced Water Efficiency, Option 4. Outdoor Water Use, Path 2. Efficient Irrigation.</t>
  </si>
  <si>
    <t>The baseline system must be a 100% water-cooled chiller system with axial variable-speed fan cooling towers having a maximum drift of 0.002% of recirculated water volume and three cooling tower cycles.</t>
  </si>
  <si>
    <t>Baseline performance shall be calculated based on proposed case cooling loads for spaces served by systems 7, 8, 11, 12, or 13 in the baseline energy model.</t>
  </si>
  <si>
    <t>Cooling tower water usage calculations may be performed within the energy simulation software or using the cooling tower or evaporative condenser manufacturer's  water usage program based on hourly design conditions, building loads and water chemistry.</t>
  </si>
  <si>
    <t>Projects may document a 100% reduction in water use for cooling if at least one of the baseline system(s) designated for the building using ASHRAE 90.1-2019 or 2022 Table G3.1.1-3 includes a cooling tower or evaporative condenser, and the design does not include a cooling tower or evaporative condenser.</t>
  </si>
  <si>
    <t>For cooling system water use:</t>
  </si>
  <si>
    <t>Input all HVAC water consumption, including cooling towers, evaporative condensers, evaporative coolers, boilers, humidification, etc.</t>
  </si>
  <si>
    <t>Water used by these systems must be included in the baseline if applicable for the project’s ASHRAE 90.1 Appendix G baseline system type according to ASHRAE 90.1-2019 or 2022 Table G3.1.1-3.</t>
  </si>
  <si>
    <t>Projects without cooling towers or evaporative cooling systems may document 100% reduction in water use for cooling if at least one of the baseline system(s) designated for the building per ASHRAE 90.1-2019 or 90.1-2022, Appendix G, Table G3.1.1-3 include a cooling tower or evaporative condenser, and the project eliminates the use of water for cooling in the proposed design.</t>
  </si>
  <si>
    <t>Include all other water consumption associated with the project. Examples may include swimming pools, fountains, water coolers/drinking fountains, manufacturing processes, etc.</t>
  </si>
  <si>
    <t>To define baseline values for equipment, project teams can use U.S. EPA WaterSense, ENERGY STAR, or U.S. Federal DOE/EPAct baselines; or other industry standard baseline. Must submit narrative and documentation separately justifying baseline values if claiming savings.</t>
  </si>
  <si>
    <t xml:space="preserve">For projects establishing a new baseline technology as the industry standard, submit exceptional calculations and at least one of the following: </t>
  </si>
  <si>
    <t xml:space="preserve">For projects with proprietary manufacturing processes, demonstrate that the production process is more efficient than the company’s average production efficiency: </t>
  </si>
  <si>
    <t>Provide the new process’s estimated WCI, anticipated production level, and an explanation of how these numbers were determined.</t>
  </si>
  <si>
    <t>Calculate the annual production process water cost savings using the baseline WCI, proposed WCI, and anticipated production level.</t>
  </si>
  <si>
    <t>Calculate the process’s past average Water Consumption Index (WCI) in units of water per product manufactured to establish the baseline production efficiency.</t>
  </si>
  <si>
    <t>Identify at least three projects built in the last five years that manufacture the product.</t>
  </si>
  <si>
    <t>List of three projects built in the last five years that use the baseline technology.</t>
  </si>
  <si>
    <t>Current utility incentive programs for new construction that establish the baseline.</t>
  </si>
  <si>
    <t>Published studies justifying the baseline technology as standard practice.</t>
  </si>
  <si>
    <t>WHOLE PROJECT WATER USE CREDIT THRESDHOLDS</t>
  </si>
  <si>
    <t>PROJECT WATER USE BASELINE AND DESIGN</t>
  </si>
  <si>
    <t>Total Annual Water Use Baseline</t>
  </si>
  <si>
    <t>Total Annual Water Use Design (including alternative water)</t>
  </si>
  <si>
    <r>
      <t xml:space="preserve">Total Annual Alternative Water Use </t>
    </r>
    <r>
      <rPr>
        <sz val="10"/>
        <color theme="1"/>
        <rFont val="Arial"/>
        <family val="2"/>
      </rPr>
      <t>(Optional)</t>
    </r>
  </si>
  <si>
    <t>Total Annual Savings</t>
  </si>
  <si>
    <t>Total Annual Savings %</t>
  </si>
  <si>
    <t>Total Percent Reduction for WEc2: Enhanced Water Efficiency (includes alternative water)</t>
  </si>
  <si>
    <t>(Optional)</t>
  </si>
  <si>
    <t>gal/rack</t>
  </si>
  <si>
    <t>gal/cycle</t>
  </si>
  <si>
    <t>gpm</t>
  </si>
  <si>
    <t>gpm makeup water</t>
  </si>
  <si>
    <t>gal/100 lbs ice</t>
  </si>
  <si>
    <t>gal/U.S. tray</t>
  </si>
  <si>
    <t>L/rack</t>
  </si>
  <si>
    <t>L/cycle</t>
  </si>
  <si>
    <t>lpm</t>
  </si>
  <si>
    <t>lpm makeup water</t>
  </si>
  <si>
    <t>L/100 kgs ice</t>
  </si>
  <si>
    <t>liters/DIN tray</t>
  </si>
  <si>
    <t>include in narrative</t>
  </si>
  <si>
    <t>minutes of use</t>
  </si>
  <si>
    <t>U.S. trays</t>
  </si>
  <si>
    <t>DIN trays</t>
  </si>
  <si>
    <t>Annual Days of Operation</t>
  </si>
  <si>
    <t>lph</t>
  </si>
  <si>
    <t>gph</t>
  </si>
  <si>
    <t>Daily Usage Multiplier</t>
  </si>
  <si>
    <t>Daily Usage Multiplier IP</t>
  </si>
  <si>
    <t>Daily Usage Multiplier SI</t>
  </si>
  <si>
    <t>data_dumipapp</t>
  </si>
  <si>
    <t>data_dumsiapp</t>
  </si>
  <si>
    <t>data_dumipkitch</t>
  </si>
  <si>
    <t>data_dumsikitch</t>
  </si>
  <si>
    <t>data_dumiplabmed</t>
  </si>
  <si>
    <t>data_dumsilabmed</t>
  </si>
  <si>
    <t>Water Use Rate IP</t>
  </si>
  <si>
    <t>Water Use Rate SI</t>
  </si>
  <si>
    <t>data_wuripapp</t>
  </si>
  <si>
    <t>data_wursiapp</t>
  </si>
  <si>
    <t>data_wuripkitch</t>
  </si>
  <si>
    <t>data_wursikitch</t>
  </si>
  <si>
    <t>data_wuriplabmed</t>
  </si>
  <si>
    <t>data_wursilabmed</t>
  </si>
  <si>
    <t>equipment cubic feet</t>
  </si>
  <si>
    <t>equipment cubic meters</t>
  </si>
  <si>
    <t>gal/cf per cycle</t>
  </si>
  <si>
    <t>gal/m3 per cycle</t>
  </si>
  <si>
    <t>hours per cycle</t>
  </si>
  <si>
    <t>number of cycles</t>
  </si>
  <si>
    <t>gph/pan</t>
  </si>
  <si>
    <t>lph/pan</t>
  </si>
  <si>
    <t>Cooling Tower Blow Down</t>
  </si>
  <si>
    <t>Boiler Blowdown/Flush</t>
  </si>
  <si>
    <t>NA, no onsite water</t>
  </si>
  <si>
    <t>Value</t>
  </si>
  <si>
    <t>Water Use Rate</t>
  </si>
  <si>
    <t>Water Consumption</t>
  </si>
  <si>
    <t>Cycles per Day</t>
  </si>
  <si>
    <t>data_waterusesother</t>
  </si>
  <si>
    <t>data_waterusetypesother</t>
  </si>
  <si>
    <t>data_dumipother</t>
  </si>
  <si>
    <t>data_dumsiother</t>
  </si>
  <si>
    <t>data_wuripother</t>
  </si>
  <si>
    <t>data_wursiother</t>
  </si>
  <si>
    <t>manual input</t>
  </si>
  <si>
    <t>unit</t>
  </si>
  <si>
    <t>gal/unit</t>
  </si>
  <si>
    <t>L/unit</t>
  </si>
  <si>
    <t>AnnualWater Use Savings (%)</t>
  </si>
  <si>
    <t>lbs ice per cycle</t>
  </si>
  <si>
    <t>other, include in narrative</t>
  </si>
  <si>
    <r>
      <rPr>
        <b/>
        <i/>
        <sz val="10"/>
        <color theme="1"/>
        <rFont val="Arial"/>
        <family val="2"/>
      </rPr>
      <t xml:space="preserve">Total Annual Water Use Design (including alternative water). </t>
    </r>
    <r>
      <rPr>
        <sz val="10"/>
        <color theme="1"/>
        <rFont val="Arial"/>
        <family val="2"/>
      </rPr>
      <t>Must be a positive number. From external calculator.</t>
    </r>
  </si>
  <si>
    <r>
      <rPr>
        <b/>
        <i/>
        <sz val="10"/>
        <color theme="1"/>
        <rFont val="Arial"/>
        <family val="2"/>
      </rPr>
      <t xml:space="preserve">Total Annual Alternative Water Use. </t>
    </r>
    <r>
      <rPr>
        <sz val="10"/>
        <color theme="1"/>
        <rFont val="Arial"/>
        <family val="2"/>
      </rPr>
      <t>Must be a positive number. From external calculator.</t>
    </r>
  </si>
  <si>
    <t>See additional instructions below.</t>
  </si>
  <si>
    <r>
      <rPr>
        <u/>
        <sz val="10"/>
        <color theme="1"/>
        <rFont val="Arial"/>
        <family val="2"/>
      </rPr>
      <t>Note</t>
    </r>
    <r>
      <rPr>
        <sz val="10"/>
        <color theme="1"/>
        <rFont val="Arial"/>
        <family val="2"/>
      </rPr>
      <t xml:space="preserve"> Annual Days of Operation and Cycles per Day are not required for HVAC Water Uses. Conduct calculations separately using ASHRAE 90.1-2019 or  90.1-2022, Appendix G, Table G3.1.1-3.</t>
    </r>
  </si>
  <si>
    <r>
      <rPr>
        <b/>
        <i/>
        <sz val="10"/>
        <color theme="1"/>
        <rFont val="Arial"/>
        <family val="2"/>
      </rPr>
      <t>Annual Days of Operation.</t>
    </r>
    <r>
      <rPr>
        <b/>
        <sz val="10"/>
        <color theme="1"/>
        <rFont val="Arial"/>
        <family val="2"/>
      </rPr>
      <t xml:space="preserve"> </t>
    </r>
    <r>
      <rPr>
        <sz val="10"/>
        <color theme="1"/>
        <rFont val="Arial"/>
        <family val="2"/>
      </rPr>
      <t>Input Annual Days of Operation.</t>
    </r>
  </si>
  <si>
    <r>
      <rPr>
        <b/>
        <i/>
        <sz val="10"/>
        <color theme="1"/>
        <rFont val="Arial"/>
        <family val="2"/>
      </rPr>
      <t>Cycles per Day.</t>
    </r>
    <r>
      <rPr>
        <b/>
        <sz val="10"/>
        <color theme="1"/>
        <rFont val="Arial"/>
        <family val="2"/>
      </rPr>
      <t xml:space="preserve"> </t>
    </r>
    <r>
      <rPr>
        <sz val="10"/>
        <color theme="1"/>
        <rFont val="Arial"/>
        <family val="2"/>
      </rPr>
      <t>Input Cycles per Day.</t>
    </r>
  </si>
  <si>
    <r>
      <rPr>
        <b/>
        <i/>
        <sz val="10"/>
        <color theme="1"/>
        <rFont val="Arial"/>
        <family val="2"/>
      </rPr>
      <t>Daily Usage Multiplier.</t>
    </r>
    <r>
      <rPr>
        <b/>
        <sz val="10"/>
        <color theme="1"/>
        <rFont val="Arial"/>
        <family val="2"/>
      </rPr>
      <t xml:space="preserve"> </t>
    </r>
    <r>
      <rPr>
        <sz val="10"/>
        <color theme="1"/>
        <rFont val="Arial"/>
        <family val="2"/>
      </rPr>
      <t xml:space="preserve">Input Value based on Daily Usage Multiplier Unit. Daily Usage Multiplier Unit is automatically populated based on selected Water Use Type for appliances, kitchen equipment, and lab and medical equipment. Daily Usage Multiplier Unit must be manually selected for other water uses. </t>
    </r>
  </si>
  <si>
    <r>
      <rPr>
        <b/>
        <i/>
        <sz val="10"/>
        <color theme="1"/>
        <rFont val="Arial"/>
        <family val="2"/>
      </rPr>
      <t>Water Use Rate.</t>
    </r>
    <r>
      <rPr>
        <sz val="10"/>
        <color theme="1"/>
        <rFont val="Arial"/>
        <family val="2"/>
      </rPr>
      <t xml:space="preserve"> Per equipment value. Input baseline and design water use value corresponding with the Water Use Rate Unit for the equipment line item. Water Use Rate Unit is automatically populated based on the Daily Usage Multiplier Unit for appliances, kitchen equipment, lab and medical equipment, and other water uses. 
Baseline values for appliances, kitchen equipment, laboratory and medical equipment can be determined using WEp2/WEc2 LEED Reference Guide Tables, EPA ENERGY STAR, WaterSense, or U.S. Federal DOE/EPAct standards. A baseline can also be established using an applicable industry standard or local code. Must submit narrative and documentation separately justifying baseline values if claiming savings.</t>
    </r>
  </si>
  <si>
    <t>The design case water model must use fixtures and fittings, appliances, kitchen equipment, and laboratory and medical equipment as specified within the contract documents. For outdoor water use, determine the actual water used on-site.</t>
  </si>
  <si>
    <t>The baseline case water model must reflect the minimum requirements and typical water use for the project type without any additional water-savings measures.</t>
  </si>
  <si>
    <t>Input general information for the project, including project type and units.</t>
  </si>
  <si>
    <r>
      <rPr>
        <b/>
        <i/>
        <sz val="10"/>
        <color theme="1"/>
        <rFont val="Arial"/>
        <family val="2"/>
      </rPr>
      <t xml:space="preserve">Annual Alternative Water Use. </t>
    </r>
    <r>
      <rPr>
        <sz val="10"/>
        <color theme="1"/>
        <rFont val="Arial"/>
        <family val="2"/>
      </rPr>
      <t>Cannot be greater than Annual Water Use Design without Alternative Water. Input the total value of annual alternative water used for all equipment. If more than one equipment is included in Quantity, include value used for all quantity of equipment.</t>
    </r>
  </si>
  <si>
    <r>
      <rPr>
        <u/>
        <sz val="10"/>
        <color theme="1"/>
        <rFont val="Arial"/>
        <family val="2"/>
      </rPr>
      <t>Note</t>
    </r>
    <r>
      <rPr>
        <sz val="10"/>
        <color theme="1"/>
        <rFont val="Arial"/>
        <family val="2"/>
      </rPr>
      <t xml:space="preserve"> Daily Usage Multiplier and Water Use Rate are not required for HVAC water uses. For HVAC water uses, input direct Annual Water Use Baseline and Annual Water Use Design without Alternative Water values from separate calculations using ASHRAE 90.1-2019 or  90.1-2022, Appendix G, Table G3.1.1-3.</t>
    </r>
  </si>
  <si>
    <t>no. pans x hours/cycle</t>
  </si>
  <si>
    <t>no. racks in dishwasher</t>
  </si>
  <si>
    <r>
      <rPr>
        <i/>
        <u/>
        <sz val="10"/>
        <color rgb="FF000000"/>
        <rFont val="Arial"/>
        <family val="2"/>
      </rPr>
      <t>ID+C Projects Only</t>
    </r>
    <r>
      <rPr>
        <sz val="10"/>
        <color rgb="FF000000"/>
        <rFont val="Arial"/>
        <family val="2"/>
      </rPr>
      <t xml:space="preserve">: Include any associated base building water use that is necessary for equipment that serves the tenant space. </t>
    </r>
  </si>
  <si>
    <r>
      <t xml:space="preserve">LEED v5 Whole Project Water Use Calculator </t>
    </r>
    <r>
      <rPr>
        <b/>
        <sz val="12"/>
        <color theme="0"/>
        <rFont val="Arial"/>
        <family val="2"/>
      </rPr>
      <t xml:space="preserve">
LEED for Building Design and Construction | Interior Design and Construction
Instructions</t>
    </r>
  </si>
  <si>
    <r>
      <t xml:space="preserve">LEED v5 Whole Project Water Use Calculator </t>
    </r>
    <r>
      <rPr>
        <b/>
        <sz val="12"/>
        <color theme="0"/>
        <rFont val="Arial"/>
        <family val="2"/>
      </rPr>
      <t xml:space="preserve">
LEED for Building Design and Construction | Interior Design and Construction
Inputs Whole-Project Water Use</t>
    </r>
  </si>
  <si>
    <r>
      <t xml:space="preserve">LEED v5 Whole Project Water Use Calculator 
</t>
    </r>
    <r>
      <rPr>
        <b/>
        <sz val="12"/>
        <color theme="0"/>
        <rFont val="Arial"/>
        <family val="2"/>
      </rPr>
      <t>LEED for Building Design and Construction | Interior Design and Construction
Logic</t>
    </r>
  </si>
  <si>
    <r>
      <t xml:space="preserve">LEED v5 Whole Project Water Use Calculator </t>
    </r>
    <r>
      <rPr>
        <b/>
        <sz val="12"/>
        <color theme="0"/>
        <rFont val="Arial"/>
        <family val="2"/>
      </rPr>
      <t xml:space="preserve">
LEED for Building Design and Construction | Interior Design and Construction
Database</t>
    </r>
  </si>
  <si>
    <r>
      <t xml:space="preserve">LEED v5 Whole Project Water Use Calculator </t>
    </r>
    <r>
      <rPr>
        <b/>
        <sz val="12"/>
        <color theme="0"/>
        <rFont val="Arial"/>
        <family val="2"/>
      </rPr>
      <t xml:space="preserve">
LEED for Building Design and Construction | Interior Design and Construction
Summary</t>
    </r>
  </si>
  <si>
    <t>WEc2: Enhanced Water Efficiency | Option 1. Whole-Project Water Use</t>
  </si>
  <si>
    <t>V01</t>
  </si>
  <si>
    <r>
      <t xml:space="preserve">Copyright </t>
    </r>
    <r>
      <rPr>
        <sz val="9"/>
        <color theme="0" tint="-0.499984740745262"/>
        <rFont val="Arial"/>
        <family val="2"/>
      </rPr>
      <t>©</t>
    </r>
    <r>
      <rPr>
        <sz val="8"/>
        <color theme="0" tint="-0.499984740745262"/>
        <rFont val="Arial"/>
        <family val="2"/>
      </rPr>
      <t xml:space="preserve"> 2025</t>
    </r>
  </si>
  <si>
    <t>U.S. Green Building Council</t>
  </si>
  <si>
    <t>All Rights Reserved</t>
  </si>
  <si>
    <t>Last Updated: 10/31/2025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</si>
</sst>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_(* #,##0_);_(* \(#,##0\);_(* &quot;-&quot;??_);_(@_)"/>
    <numFmt numFmtId="165" formatCode="0.0%"/>
    <numFmt numFmtId="166" formatCode="0."/>
    <numFmt numFmtId="167" formatCode="#,##0.0_);\(#,##0.0\)"/>
    <numFmt numFmtId="168" formatCode="#,##0.0"/>
    <numFmt numFmtId="169" formatCode="#,##0.0_);[Red]\(#,##0.0\)"/>
  </numFmts>
  <fonts count="57">
    <font>
      <sz val="12"/>
      <color theme="1"/>
      <name val="Aptos Narrow"/>
      <family val="2"/>
      <scheme val="minor"/>
    </font>
    <font>
      <sz val="11"/>
      <color theme="1"/>
      <name val="Aptos Narrow"/>
      <family val="2"/>
      <scheme val="minor"/>
    </font>
    <font>
      <sz val="11"/>
      <color theme="1"/>
      <name val="Arial"/>
      <family val="2"/>
    </font>
    <font>
      <sz val="11"/>
      <color theme="1"/>
      <name val="Arial"/>
      <family val="2"/>
    </font>
    <font>
      <sz val="11"/>
      <color theme="1"/>
      <name val="Arial"/>
      <family val="2"/>
    </font>
    <font>
      <sz val="11"/>
      <color theme="1"/>
      <name val="Arial"/>
      <family val="2"/>
    </font>
    <font>
      <sz val="11"/>
      <color theme="1"/>
      <name val="Aptos Narrow"/>
      <family val="2"/>
      <scheme val="minor"/>
    </font>
    <font>
      <u/>
      <sz val="12"/>
      <color theme="10"/>
      <name val="Aptos Narrow"/>
      <family val="2"/>
      <scheme val="minor"/>
    </font>
    <font>
      <b/>
      <sz val="10"/>
      <name val="Arial"/>
      <family val="2"/>
    </font>
    <font>
      <b/>
      <sz val="10"/>
      <color theme="1"/>
      <name val="Arial"/>
      <family val="2"/>
    </font>
    <font>
      <sz val="10"/>
      <color theme="1"/>
      <name val="Arial"/>
      <family val="2"/>
    </font>
    <font>
      <b/>
      <sz val="12"/>
      <color theme="1"/>
      <name val="Arial"/>
      <family val="2"/>
    </font>
    <font>
      <b/>
      <sz val="14"/>
      <color theme="1"/>
      <name val="Arial"/>
      <family val="2"/>
    </font>
    <font>
      <sz val="10"/>
      <name val="Arial"/>
      <family val="2"/>
    </font>
    <font>
      <sz val="12"/>
      <color theme="1"/>
      <name val="Arial"/>
      <family val="2"/>
    </font>
    <font>
      <sz val="11"/>
      <color theme="1"/>
      <name val="Arial"/>
      <family val="2"/>
    </font>
    <font>
      <b/>
      <sz val="11"/>
      <color theme="1"/>
      <name val="Arial"/>
      <family val="2"/>
    </font>
    <font>
      <sz val="9"/>
      <color theme="1"/>
      <name val="Arial"/>
      <family val="2"/>
    </font>
    <font>
      <b/>
      <sz val="12"/>
      <name val="Arial"/>
      <family val="2"/>
    </font>
    <font>
      <sz val="12"/>
      <color rgb="FFFF0000"/>
      <name val="Arial"/>
      <family val="2"/>
    </font>
    <font>
      <u/>
      <sz val="10"/>
      <name val="Arial"/>
      <family val="2"/>
    </font>
    <font>
      <sz val="11"/>
      <color theme="1"/>
      <name val="Aptos Narrow"/>
      <family val="2"/>
      <scheme val="minor"/>
    </font>
    <font>
      <sz val="10"/>
      <color theme="1"/>
      <name val="Helvetica Neue"/>
    </font>
    <font>
      <sz val="12"/>
      <color theme="1"/>
      <name val="Arial"/>
      <family val="2"/>
    </font>
    <font>
      <i/>
      <sz val="10"/>
      <color theme="0" tint="-0.499984740745262"/>
      <name val="Arial"/>
      <family val="2"/>
    </font>
    <font>
      <i/>
      <sz val="10"/>
      <color theme="1"/>
      <name val="Arial"/>
      <family val="2"/>
    </font>
    <font>
      <b/>
      <sz val="11"/>
      <name val="Arial"/>
      <family val="2"/>
    </font>
    <font>
      <sz val="11"/>
      <color theme="1"/>
      <name val="Arial"/>
      <family val="2"/>
    </font>
    <font>
      <b/>
      <u/>
      <sz val="10"/>
      <color theme="1"/>
      <name val="Arial"/>
      <family val="2"/>
    </font>
    <font>
      <sz val="12"/>
      <color theme="1"/>
      <name val="Aptos Narrow"/>
      <family val="2"/>
      <scheme val="minor"/>
    </font>
    <font>
      <b/>
      <sz val="9"/>
      <name val="Arial"/>
      <family val="2"/>
    </font>
    <font>
      <sz val="9"/>
      <color indexed="81"/>
      <name val="Tahoma"/>
      <family val="2"/>
    </font>
    <font>
      <b/>
      <sz val="9"/>
      <color indexed="81"/>
      <name val="Tahoma"/>
      <family val="2"/>
    </font>
    <font>
      <sz val="10"/>
      <color theme="0" tint="-0.249977111117893"/>
      <name val="Arial"/>
      <family val="2"/>
    </font>
    <font>
      <sz val="10"/>
      <color rgb="FFFF0000"/>
      <name val="Arial"/>
      <family val="2"/>
    </font>
    <font>
      <sz val="11"/>
      <color theme="0"/>
      <name val="Arial"/>
      <family val="2"/>
    </font>
    <font>
      <b/>
      <sz val="11"/>
      <color theme="0"/>
      <name val="Arial"/>
      <family val="2"/>
    </font>
    <font>
      <b/>
      <sz val="10"/>
      <color rgb="FFFF0000"/>
      <name val="Arial"/>
      <family val="2"/>
    </font>
    <font>
      <b/>
      <sz val="14"/>
      <color theme="0"/>
      <name val="Arial"/>
      <family val="2"/>
    </font>
    <font>
      <u/>
      <sz val="10"/>
      <color theme="1"/>
      <name val="Arial"/>
      <family val="2"/>
    </font>
    <font>
      <sz val="14"/>
      <color theme="1"/>
      <name val="Arial"/>
      <family val="2"/>
    </font>
    <font>
      <b/>
      <sz val="12"/>
      <color theme="0"/>
      <name val="Arial"/>
      <family val="2"/>
    </font>
    <font>
      <sz val="10"/>
      <color theme="0"/>
      <name val="Arial"/>
      <family val="2"/>
    </font>
    <font>
      <sz val="11"/>
      <color rgb="FF000000"/>
      <name val="Arial"/>
      <family val="2"/>
    </font>
    <font>
      <sz val="10"/>
      <color rgb="FF000000"/>
      <name val="Arial"/>
      <family val="2"/>
    </font>
    <font>
      <b/>
      <i/>
      <sz val="10"/>
      <color rgb="FF000000"/>
      <name val="Arial"/>
      <family val="2"/>
    </font>
    <font>
      <b/>
      <i/>
      <sz val="10"/>
      <color theme="1"/>
      <name val="Arial"/>
      <family val="2"/>
    </font>
    <font>
      <b/>
      <sz val="9"/>
      <color theme="1"/>
      <name val="Arial"/>
      <family val="2"/>
    </font>
    <font>
      <sz val="7"/>
      <color theme="1"/>
      <name val="Arial"/>
      <family val="2"/>
    </font>
    <font>
      <sz val="11"/>
      <name val="Arial"/>
      <family val="2"/>
    </font>
    <font>
      <b/>
      <sz val="8"/>
      <color theme="1"/>
      <name val="Arial"/>
      <family val="2"/>
    </font>
    <font>
      <sz val="8"/>
      <color theme="1"/>
      <name val="Arial"/>
      <family val="2"/>
    </font>
    <font>
      <sz val="9"/>
      <color theme="0" tint="-0.249977111117893"/>
      <name val="Arial"/>
      <family val="2"/>
    </font>
    <font>
      <b/>
      <sz val="7"/>
      <color theme="1"/>
      <name val="Arial"/>
      <family val="2"/>
    </font>
    <font>
      <i/>
      <u/>
      <sz val="10"/>
      <color rgb="FF000000"/>
      <name val="Arial"/>
      <family val="2"/>
    </font>
    <font>
      <sz val="8"/>
      <color theme="0" tint="-0.499984740745262"/>
      <name val="Arial"/>
      <family val="2"/>
    </font>
    <font>
      <sz val="9"/>
      <color theme="0" tint="-0.499984740745262"/>
      <name val="Arial"/>
      <family val="2"/>
    </font>
  </fonts>
  <fills count="26">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theme="0" tint="-4.9989318521683403E-2"/>
        <bgColor indexed="64"/>
      </patternFill>
    </fill>
    <fill>
      <patternFill patternType="solid">
        <fgColor theme="0" tint="-4.9989318521683403E-2"/>
        <bgColor rgb="FFF2F2F2"/>
      </patternFill>
    </fill>
    <fill>
      <patternFill patternType="solid">
        <fgColor theme="0"/>
        <bgColor rgb="FFF2F2F2"/>
      </patternFill>
    </fill>
    <fill>
      <patternFill patternType="solid">
        <fgColor theme="0" tint="-4.9989318521683403E-2"/>
        <bgColor theme="0"/>
      </patternFill>
    </fill>
    <fill>
      <patternFill patternType="solid">
        <fgColor theme="0"/>
        <bgColor rgb="FFFFFFFF"/>
      </patternFill>
    </fill>
    <fill>
      <patternFill patternType="solid">
        <fgColor theme="0" tint="-0.14999847407452621"/>
        <bgColor rgb="FFF2F2F2"/>
      </patternFill>
    </fill>
    <fill>
      <patternFill patternType="solid">
        <fgColor theme="0" tint="-4.9989318521683403E-2"/>
        <bgColor rgb="FFFFFFFF"/>
      </patternFill>
    </fill>
    <fill>
      <patternFill patternType="solid">
        <fgColor theme="1"/>
        <bgColor rgb="FFF2F2F2"/>
      </patternFill>
    </fill>
    <fill>
      <patternFill patternType="solid">
        <fgColor theme="1"/>
        <bgColor rgb="FFF8F8F6"/>
      </patternFill>
    </fill>
    <fill>
      <patternFill patternType="solid">
        <fgColor rgb="FFF7F8F6"/>
        <bgColor indexed="64"/>
      </patternFill>
    </fill>
    <fill>
      <patternFill patternType="solid">
        <fgColor rgb="FFC75127"/>
        <bgColor indexed="64"/>
      </patternFill>
    </fill>
    <fill>
      <patternFill patternType="solid">
        <fgColor theme="1"/>
        <bgColor rgb="FFBFBFBF"/>
      </patternFill>
    </fill>
    <fill>
      <patternFill patternType="solid">
        <fgColor rgb="FFB6B7B8"/>
        <bgColor indexed="64"/>
      </patternFill>
    </fill>
    <fill>
      <patternFill patternType="solid">
        <fgColor rgb="FF006570"/>
        <bgColor rgb="FFF8F8F6"/>
      </patternFill>
    </fill>
    <fill>
      <patternFill patternType="solid">
        <fgColor rgb="FFF7F8F6"/>
        <bgColor rgb="FFF2F2F2"/>
      </patternFill>
    </fill>
    <fill>
      <patternFill patternType="solid">
        <fgColor theme="1"/>
        <bgColor indexed="64"/>
      </patternFill>
    </fill>
    <fill>
      <patternFill patternType="solid">
        <fgColor rgb="FFB6B7B8"/>
        <bgColor rgb="FFFFFFFF"/>
      </patternFill>
    </fill>
    <fill>
      <patternFill patternType="solid">
        <fgColor rgb="FFB6B7B8"/>
        <bgColor theme="0"/>
      </patternFill>
    </fill>
    <fill>
      <patternFill patternType="solid">
        <fgColor rgb="FFFFFFFF"/>
        <bgColor rgb="FFF2F2F2"/>
      </patternFill>
    </fill>
    <fill>
      <patternFill patternType="solid">
        <fgColor rgb="FFFFFFFF"/>
        <bgColor rgb="FF000000"/>
      </patternFill>
    </fill>
    <fill>
      <patternFill patternType="solid">
        <fgColor rgb="FFF7F8F6"/>
        <bgColor rgb="FF000000"/>
      </patternFill>
    </fill>
    <fill>
      <patternFill patternType="solid">
        <fgColor rgb="FFF2F2F2"/>
        <bgColor rgb="FFF2F2F2"/>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style="thin">
        <color rgb="FF000000"/>
      </top>
      <bottom style="thin">
        <color rgb="FF000000"/>
      </bottom>
      <diagonal/>
    </border>
    <border>
      <left style="thin">
        <color indexed="64"/>
      </left>
      <right style="thin">
        <color indexed="64"/>
      </right>
      <top/>
      <bottom/>
      <diagonal/>
    </border>
  </borders>
  <cellStyleXfs count="8">
    <xf numFmtId="0" fontId="0" fillId="0" borderId="0"/>
    <xf numFmtId="0" fontId="7" fillId="0" borderId="0" applyNumberFormat="0" applyFill="0" applyBorder="0" applyAlignment="0" applyProtection="0"/>
    <xf numFmtId="0" fontId="21" fillId="0" borderId="0"/>
    <xf numFmtId="9" fontId="29" fillId="0" borderId="0" applyFont="0" applyFill="0" applyBorder="0" applyAlignment="0" applyProtection="0"/>
    <xf numFmtId="0" fontId="9" fillId="16" borderId="0">
      <alignment horizontal="center" vertical="center"/>
    </xf>
    <xf numFmtId="0" fontId="29" fillId="0" borderId="0"/>
    <xf numFmtId="0" fontId="1" fillId="0" borderId="0"/>
    <xf numFmtId="0" fontId="13" fillId="0" borderId="0"/>
  </cellStyleXfs>
  <cellXfs count="427">
    <xf numFmtId="0" fontId="0" fillId="0" borderId="0" xfId="0"/>
    <xf numFmtId="0" fontId="27" fillId="0" borderId="0" xfId="2" applyFont="1" applyAlignment="1">
      <alignment vertical="center"/>
    </xf>
    <xf numFmtId="0" fontId="15" fillId="0" borderId="0" xfId="2" applyFont="1" applyAlignment="1">
      <alignment vertical="center"/>
    </xf>
    <xf numFmtId="0" fontId="16" fillId="6" borderId="15" xfId="2" applyFont="1" applyFill="1" applyBorder="1" applyAlignment="1">
      <alignment vertical="center"/>
    </xf>
    <xf numFmtId="0" fontId="16" fillId="6" borderId="11" xfId="2" applyFont="1" applyFill="1" applyBorder="1" applyAlignment="1">
      <alignment vertical="center"/>
    </xf>
    <xf numFmtId="0" fontId="9" fillId="6" borderId="15" xfId="2" applyFont="1" applyFill="1" applyBorder="1" applyAlignment="1">
      <alignment vertical="center"/>
    </xf>
    <xf numFmtId="0" fontId="9" fillId="6" borderId="0" xfId="2" applyFont="1" applyFill="1" applyAlignment="1">
      <alignment vertical="center"/>
    </xf>
    <xf numFmtId="0" fontId="9" fillId="6" borderId="11" xfId="2" applyFont="1" applyFill="1" applyBorder="1" applyAlignment="1">
      <alignment vertical="center"/>
    </xf>
    <xf numFmtId="0" fontId="28" fillId="6" borderId="15" xfId="2" applyFont="1" applyFill="1" applyBorder="1" applyAlignment="1">
      <alignment horizontal="center" vertical="center"/>
    </xf>
    <xf numFmtId="0" fontId="28" fillId="3" borderId="0" xfId="0" applyFont="1" applyFill="1" applyAlignment="1">
      <alignment vertical="center"/>
    </xf>
    <xf numFmtId="0" fontId="10" fillId="6" borderId="15" xfId="2" applyFont="1" applyFill="1" applyBorder="1" applyAlignment="1">
      <alignment horizontal="center" vertical="top"/>
    </xf>
    <xf numFmtId="0" fontId="10" fillId="0" borderId="0" xfId="2" applyFont="1" applyAlignment="1">
      <alignment vertical="top"/>
    </xf>
    <xf numFmtId="0" fontId="10" fillId="0" borderId="0" xfId="0" applyFont="1" applyAlignment="1">
      <alignment vertical="top"/>
    </xf>
    <xf numFmtId="0" fontId="10" fillId="6" borderId="15" xfId="2" applyFont="1" applyFill="1" applyBorder="1" applyAlignment="1">
      <alignment horizontal="center" vertical="center"/>
    </xf>
    <xf numFmtId="0" fontId="10" fillId="3" borderId="0" xfId="0" applyFont="1" applyFill="1" applyAlignment="1">
      <alignment vertical="center"/>
    </xf>
    <xf numFmtId="0" fontId="10" fillId="0" borderId="0" xfId="2" applyFont="1" applyAlignment="1">
      <alignment vertical="center"/>
    </xf>
    <xf numFmtId="0" fontId="10" fillId="0" borderId="0" xfId="0" applyFont="1" applyAlignment="1">
      <alignment vertical="center"/>
    </xf>
    <xf numFmtId="0" fontId="9" fillId="6" borderId="15" xfId="2" applyFont="1" applyFill="1" applyBorder="1" applyAlignment="1">
      <alignment horizontal="center" vertical="center"/>
    </xf>
    <xf numFmtId="0" fontId="10" fillId="3" borderId="15" xfId="0" applyFont="1" applyFill="1" applyBorder="1" applyAlignment="1">
      <alignment vertical="center"/>
    </xf>
    <xf numFmtId="0" fontId="10" fillId="3" borderId="0" xfId="0" applyFont="1" applyFill="1" applyAlignment="1">
      <alignment vertical="center" wrapText="1"/>
    </xf>
    <xf numFmtId="0" fontId="25" fillId="6" borderId="15" xfId="2" applyFont="1" applyFill="1" applyBorder="1" applyAlignment="1">
      <alignment horizontal="center" vertical="center"/>
    </xf>
    <xf numFmtId="0" fontId="25" fillId="0" borderId="0" xfId="2" applyFont="1" applyAlignment="1">
      <alignment vertical="center"/>
    </xf>
    <xf numFmtId="0" fontId="25" fillId="0" borderId="0" xfId="0" applyFont="1" applyAlignment="1">
      <alignment vertical="center"/>
    </xf>
    <xf numFmtId="0" fontId="14" fillId="3" borderId="6" xfId="0" applyFont="1" applyFill="1" applyBorder="1" applyAlignment="1">
      <alignment vertical="center"/>
    </xf>
    <xf numFmtId="0" fontId="14" fillId="3" borderId="6" xfId="0" applyFont="1" applyFill="1" applyBorder="1" applyAlignment="1">
      <alignment vertical="center" wrapText="1"/>
    </xf>
    <xf numFmtId="0" fontId="14" fillId="0" borderId="0" xfId="0" applyFont="1" applyAlignment="1">
      <alignment vertical="center"/>
    </xf>
    <xf numFmtId="0" fontId="15" fillId="0" borderId="0" xfId="2" applyFont="1"/>
    <xf numFmtId="0" fontId="14" fillId="0" borderId="0" xfId="0" applyFont="1"/>
    <xf numFmtId="0" fontId="10" fillId="0" borderId="0" xfId="0" applyFont="1"/>
    <xf numFmtId="0" fontId="10" fillId="4" borderId="1" xfId="0" applyFont="1" applyFill="1" applyBorder="1" applyAlignment="1">
      <alignment vertical="center"/>
    </xf>
    <xf numFmtId="0" fontId="10" fillId="2" borderId="1" xfId="0" applyFont="1" applyFill="1" applyBorder="1" applyAlignment="1">
      <alignment vertical="center"/>
    </xf>
    <xf numFmtId="0" fontId="11" fillId="0" borderId="0" xfId="0" applyFont="1" applyAlignment="1" applyProtection="1">
      <alignment vertical="top"/>
      <protection locked="0"/>
    </xf>
    <xf numFmtId="0" fontId="11" fillId="0" borderId="0" xfId="0" applyFont="1" applyAlignment="1" applyProtection="1">
      <alignment vertical="top" wrapText="1"/>
      <protection locked="0"/>
    </xf>
    <xf numFmtId="0" fontId="14" fillId="0" borderId="0" xfId="0" applyFont="1" applyAlignment="1" applyProtection="1">
      <alignment vertical="top" wrapText="1"/>
      <protection locked="0"/>
    </xf>
    <xf numFmtId="0" fontId="14" fillId="0" borderId="0" xfId="0" applyFont="1" applyAlignment="1" applyProtection="1">
      <alignment horizontal="center" vertical="top" wrapText="1"/>
      <protection locked="0"/>
    </xf>
    <xf numFmtId="0" fontId="18" fillId="4" borderId="0" xfId="0" applyFont="1" applyFill="1" applyAlignment="1" applyProtection="1">
      <alignment horizontal="left" vertical="top" wrapText="1"/>
      <protection locked="0"/>
    </xf>
    <xf numFmtId="14" fontId="18" fillId="4" borderId="0" xfId="0" applyNumberFormat="1" applyFont="1" applyFill="1" applyAlignment="1" applyProtection="1">
      <alignment horizontal="center" vertical="top" wrapText="1"/>
      <protection locked="0"/>
    </xf>
    <xf numFmtId="0" fontId="14" fillId="4" borderId="0" xfId="0" applyFont="1" applyFill="1" applyAlignment="1" applyProtection="1">
      <alignment vertical="top" wrapText="1"/>
      <protection locked="0"/>
    </xf>
    <xf numFmtId="0" fontId="14" fillId="4" borderId="0" xfId="0" applyFont="1" applyFill="1" applyAlignment="1" applyProtection="1">
      <alignment vertical="top"/>
      <protection locked="0"/>
    </xf>
    <xf numFmtId="0" fontId="19" fillId="4" borderId="0" xfId="0" applyFont="1" applyFill="1" applyAlignment="1" applyProtection="1">
      <alignment horizontal="center" vertical="top" wrapText="1"/>
      <protection locked="0"/>
    </xf>
    <xf numFmtId="14" fontId="19" fillId="4" borderId="0" xfId="0" applyNumberFormat="1" applyFont="1" applyFill="1" applyAlignment="1" applyProtection="1">
      <alignment horizontal="center" vertical="top" wrapText="1"/>
      <protection locked="0"/>
    </xf>
    <xf numFmtId="0" fontId="16" fillId="2" borderId="1" xfId="0" applyFont="1" applyFill="1" applyBorder="1" applyAlignment="1" applyProtection="1">
      <alignment vertical="top" wrapText="1"/>
      <protection locked="0"/>
    </xf>
    <xf numFmtId="0" fontId="16" fillId="2" borderId="1" xfId="0" applyFont="1" applyFill="1" applyBorder="1" applyAlignment="1" applyProtection="1">
      <alignment horizontal="left" vertical="top" wrapText="1"/>
      <protection locked="0"/>
    </xf>
    <xf numFmtId="0" fontId="15" fillId="0" borderId="0" xfId="0" applyFont="1" applyAlignment="1" applyProtection="1">
      <alignment vertical="top" wrapText="1"/>
      <protection locked="0"/>
    </xf>
    <xf numFmtId="0" fontId="16" fillId="2" borderId="1" xfId="0" applyFont="1" applyFill="1" applyBorder="1" applyAlignment="1" applyProtection="1">
      <alignment horizontal="center" vertical="top" wrapText="1"/>
      <protection locked="0"/>
    </xf>
    <xf numFmtId="14" fontId="16" fillId="2" borderId="1" xfId="0" applyNumberFormat="1" applyFont="1" applyFill="1" applyBorder="1" applyAlignment="1" applyProtection="1">
      <alignment horizontal="center" vertical="top" wrapText="1"/>
      <protection locked="0"/>
    </xf>
    <xf numFmtId="0" fontId="16" fillId="2" borderId="1" xfId="0" applyFont="1" applyFill="1" applyBorder="1" applyAlignment="1" applyProtection="1">
      <alignment vertical="top"/>
      <protection locked="0"/>
    </xf>
    <xf numFmtId="14" fontId="10" fillId="0" borderId="1" xfId="0" applyNumberFormat="1" applyFont="1" applyBorder="1" applyAlignment="1" applyProtection="1">
      <alignment vertical="top" wrapText="1"/>
      <protection locked="0"/>
    </xf>
    <xf numFmtId="0" fontId="10" fillId="0" borderId="1" xfId="0" applyFont="1" applyBorder="1" applyAlignment="1" applyProtection="1">
      <alignment vertical="top" wrapText="1"/>
      <protection locked="0"/>
    </xf>
    <xf numFmtId="0" fontId="10" fillId="0" borderId="1" xfId="0" applyFont="1" applyBorder="1" applyAlignment="1" applyProtection="1">
      <alignment horizontal="center" vertical="top" wrapText="1"/>
      <protection locked="0"/>
    </xf>
    <xf numFmtId="0" fontId="10" fillId="0" borderId="0" xfId="0" applyFont="1" applyAlignment="1" applyProtection="1">
      <alignment vertical="top" wrapText="1"/>
      <protection locked="0"/>
    </xf>
    <xf numFmtId="0" fontId="13" fillId="4" borderId="1" xfId="0" applyFont="1" applyFill="1" applyBorder="1" applyAlignment="1" applyProtection="1">
      <alignment horizontal="center" vertical="top" wrapText="1"/>
      <protection locked="0"/>
    </xf>
    <xf numFmtId="14" fontId="13" fillId="4" borderId="1" xfId="0" applyNumberFormat="1" applyFont="1" applyFill="1" applyBorder="1" applyAlignment="1" applyProtection="1">
      <alignment horizontal="center" vertical="top" wrapText="1"/>
      <protection locked="0"/>
    </xf>
    <xf numFmtId="0" fontId="13" fillId="4" borderId="1" xfId="0" applyFont="1" applyFill="1" applyBorder="1" applyAlignment="1" applyProtection="1">
      <alignment vertical="top" wrapText="1"/>
      <protection locked="0"/>
    </xf>
    <xf numFmtId="0" fontId="20" fillId="4" borderId="1" xfId="1" applyFont="1" applyFill="1" applyBorder="1" applyAlignment="1" applyProtection="1">
      <alignment vertical="top"/>
      <protection locked="0"/>
    </xf>
    <xf numFmtId="0" fontId="13" fillId="4" borderId="1" xfId="0" applyFont="1" applyFill="1" applyBorder="1" applyAlignment="1" applyProtection="1">
      <alignment vertical="top"/>
      <protection locked="0"/>
    </xf>
    <xf numFmtId="14" fontId="13" fillId="0" borderId="1" xfId="0" applyNumberFormat="1" applyFont="1" applyBorder="1" applyAlignment="1" applyProtection="1">
      <alignment vertical="top" wrapText="1"/>
      <protection locked="0"/>
    </xf>
    <xf numFmtId="0" fontId="13" fillId="0" borderId="1" xfId="0" applyFont="1" applyBorder="1" applyAlignment="1" applyProtection="1">
      <alignment vertical="top" wrapText="1"/>
      <protection locked="0"/>
    </xf>
    <xf numFmtId="0" fontId="13" fillId="0" borderId="1" xfId="0" applyFont="1" applyBorder="1" applyAlignment="1" applyProtection="1">
      <alignment horizontal="center" vertical="top" wrapText="1"/>
      <protection locked="0"/>
    </xf>
    <xf numFmtId="0" fontId="13" fillId="0" borderId="0" xfId="0" applyFont="1" applyAlignment="1" applyProtection="1">
      <alignment vertical="top" wrapText="1"/>
      <protection locked="0"/>
    </xf>
    <xf numFmtId="0" fontId="0" fillId="0" borderId="0" xfId="0" applyProtection="1">
      <protection locked="0"/>
    </xf>
    <xf numFmtId="0" fontId="15" fillId="0" borderId="0" xfId="0" applyFont="1" applyAlignment="1">
      <alignment vertical="center"/>
    </xf>
    <xf numFmtId="0" fontId="26" fillId="3" borderId="0" xfId="0" applyFont="1" applyFill="1" applyAlignment="1">
      <alignment horizontal="left" vertical="center"/>
    </xf>
    <xf numFmtId="0" fontId="26" fillId="3" borderId="0" xfId="0" applyFont="1" applyFill="1" applyAlignment="1">
      <alignment horizontal="center" vertical="center" wrapText="1"/>
    </xf>
    <xf numFmtId="0" fontId="14" fillId="3" borderId="11" xfId="0" applyFont="1" applyFill="1" applyBorder="1" applyAlignment="1">
      <alignment vertical="center"/>
    </xf>
    <xf numFmtId="0" fontId="11" fillId="3" borderId="9" xfId="0" applyFont="1" applyFill="1" applyBorder="1" applyAlignment="1">
      <alignment vertical="center"/>
    </xf>
    <xf numFmtId="0" fontId="10" fillId="3" borderId="10" xfId="0" applyFont="1" applyFill="1" applyBorder="1" applyAlignment="1">
      <alignment vertical="center"/>
    </xf>
    <xf numFmtId="0" fontId="25" fillId="7" borderId="12" xfId="2" applyFont="1" applyFill="1" applyBorder="1" applyAlignment="1">
      <alignment horizontal="left" vertical="center"/>
    </xf>
    <xf numFmtId="0" fontId="25" fillId="7" borderId="13" xfId="2" applyFont="1" applyFill="1" applyBorder="1" applyAlignment="1">
      <alignment horizontal="left" vertical="center"/>
    </xf>
    <xf numFmtId="0" fontId="10" fillId="7" borderId="14" xfId="2" applyFont="1" applyFill="1" applyBorder="1" applyAlignment="1">
      <alignment vertical="center"/>
    </xf>
    <xf numFmtId="0" fontId="10" fillId="7" borderId="13" xfId="2" applyFont="1" applyFill="1" applyBorder="1" applyAlignment="1">
      <alignment horizontal="left" vertical="center"/>
    </xf>
    <xf numFmtId="0" fontId="23" fillId="0" borderId="0" xfId="0" applyFont="1" applyAlignment="1">
      <alignment vertical="center"/>
    </xf>
    <xf numFmtId="0" fontId="8" fillId="4" borderId="6" xfId="0" applyFont="1" applyFill="1" applyBorder="1" applyAlignment="1">
      <alignment horizontal="center" vertical="center" wrapText="1"/>
    </xf>
    <xf numFmtId="0" fontId="8" fillId="3" borderId="6" xfId="0" applyFont="1" applyFill="1" applyBorder="1" applyAlignment="1">
      <alignment horizontal="left" vertical="center"/>
    </xf>
    <xf numFmtId="0" fontId="8" fillId="3" borderId="6" xfId="0" applyFont="1" applyFill="1" applyBorder="1" applyAlignment="1">
      <alignment horizontal="center" vertical="center" wrapText="1"/>
    </xf>
    <xf numFmtId="0" fontId="7" fillId="4" borderId="1" xfId="1" applyFill="1" applyBorder="1" applyAlignment="1" applyProtection="1">
      <alignment vertical="top"/>
      <protection locked="0"/>
    </xf>
    <xf numFmtId="1" fontId="10" fillId="4" borderId="1" xfId="0" applyNumberFormat="1" applyFont="1" applyFill="1" applyBorder="1" applyAlignment="1">
      <alignment horizontal="left" vertical="center"/>
    </xf>
    <xf numFmtId="9" fontId="10" fillId="4" borderId="1" xfId="3" applyFont="1" applyFill="1" applyBorder="1" applyAlignment="1">
      <alignment horizontal="left" vertical="center"/>
    </xf>
    <xf numFmtId="0" fontId="10" fillId="7" borderId="12" xfId="2" applyFont="1" applyFill="1" applyBorder="1" applyAlignment="1">
      <alignment vertical="center"/>
    </xf>
    <xf numFmtId="0" fontId="25" fillId="7" borderId="13" xfId="2" applyFont="1" applyFill="1" applyBorder="1" applyAlignment="1">
      <alignment vertical="center"/>
    </xf>
    <xf numFmtId="0" fontId="25" fillId="7" borderId="1" xfId="2" applyFont="1" applyFill="1" applyBorder="1" applyAlignment="1">
      <alignment vertical="center"/>
    </xf>
    <xf numFmtId="0" fontId="10" fillId="7" borderId="18" xfId="2" applyFont="1" applyFill="1" applyBorder="1" applyAlignment="1">
      <alignment vertical="center"/>
    </xf>
    <xf numFmtId="9" fontId="13" fillId="4" borderId="15" xfId="3" applyFont="1" applyFill="1" applyBorder="1" applyAlignment="1">
      <alignment horizontal="left" vertical="center"/>
    </xf>
    <xf numFmtId="9" fontId="13" fillId="4" borderId="7" xfId="3" applyFont="1" applyFill="1" applyBorder="1" applyAlignment="1">
      <alignment horizontal="left" vertical="center"/>
    </xf>
    <xf numFmtId="0" fontId="8" fillId="4" borderId="5" xfId="0" applyFont="1" applyFill="1" applyBorder="1" applyAlignment="1">
      <alignment horizontal="center" vertical="center" wrapText="1"/>
    </xf>
    <xf numFmtId="9" fontId="13" fillId="4" borderId="9" xfId="3" applyFont="1" applyFill="1" applyBorder="1" applyAlignment="1">
      <alignment horizontal="left" vertical="center"/>
    </xf>
    <xf numFmtId="167" fontId="10" fillId="3" borderId="1" xfId="0" applyNumberFormat="1" applyFont="1" applyFill="1" applyBorder="1" applyAlignment="1" applyProtection="1">
      <alignment horizontal="right" vertical="center"/>
      <protection locked="0"/>
    </xf>
    <xf numFmtId="165" fontId="10" fillId="4" borderId="1" xfId="0" applyNumberFormat="1" applyFont="1" applyFill="1" applyBorder="1" applyAlignment="1">
      <alignment horizontal="center" vertical="center"/>
    </xf>
    <xf numFmtId="0" fontId="15" fillId="0" borderId="0" xfId="2" applyFont="1" applyAlignment="1">
      <alignment horizontal="center" vertical="center"/>
    </xf>
    <xf numFmtId="0" fontId="14" fillId="0" borderId="0" xfId="0" applyFont="1" applyAlignment="1">
      <alignment vertical="center" wrapText="1"/>
    </xf>
    <xf numFmtId="0" fontId="14" fillId="0" borderId="0" xfId="0" applyFont="1" applyAlignment="1">
      <alignment horizontal="center" vertical="center"/>
    </xf>
    <xf numFmtId="0" fontId="9" fillId="0" borderId="0" xfId="0" applyFont="1" applyAlignment="1">
      <alignment horizontal="center" vertical="center"/>
    </xf>
    <xf numFmtId="0" fontId="10" fillId="0" borderId="0" xfId="2" applyFont="1" applyAlignment="1">
      <alignment horizontal="left" vertical="center"/>
    </xf>
    <xf numFmtId="0" fontId="17" fillId="0" borderId="0" xfId="2" applyFont="1" applyAlignment="1">
      <alignment vertical="center"/>
    </xf>
    <xf numFmtId="0" fontId="6" fillId="0" borderId="0" xfId="2" applyFont="1"/>
    <xf numFmtId="0" fontId="6" fillId="0" borderId="0" xfId="2" applyFont="1" applyAlignment="1">
      <alignment horizontal="left"/>
    </xf>
    <xf numFmtId="0" fontId="22" fillId="0" borderId="0" xfId="2" applyFont="1"/>
    <xf numFmtId="37" fontId="10" fillId="3" borderId="1" xfId="0" applyNumberFormat="1" applyFont="1" applyFill="1" applyBorder="1" applyAlignment="1" applyProtection="1">
      <alignment horizontal="left" vertical="center"/>
      <protection locked="0"/>
    </xf>
    <xf numFmtId="14" fontId="34" fillId="0" borderId="1" xfId="0" applyNumberFormat="1" applyFont="1" applyBorder="1" applyAlignment="1" applyProtection="1">
      <alignment vertical="top" wrapText="1"/>
      <protection locked="0"/>
    </xf>
    <xf numFmtId="0" fontId="34" fillId="0" borderId="1" xfId="0" applyFont="1" applyBorder="1" applyAlignment="1" applyProtection="1">
      <alignment vertical="top" wrapText="1"/>
      <protection locked="0"/>
    </xf>
    <xf numFmtId="0" fontId="34" fillId="0" borderId="1" xfId="0" applyFont="1" applyBorder="1" applyAlignment="1" applyProtection="1">
      <alignment horizontal="center" vertical="top" wrapText="1"/>
      <protection locked="0"/>
    </xf>
    <xf numFmtId="0" fontId="8" fillId="3" borderId="6" xfId="0" applyFont="1" applyFill="1" applyBorder="1" applyAlignment="1">
      <alignment horizontal="center" vertical="center"/>
    </xf>
    <xf numFmtId="37" fontId="9" fillId="3" borderId="6" xfId="0" applyNumberFormat="1" applyFont="1" applyFill="1" applyBorder="1" applyAlignment="1">
      <alignment horizontal="center" vertical="center"/>
    </xf>
    <xf numFmtId="0" fontId="13" fillId="4" borderId="5" xfId="0" applyFont="1" applyFill="1" applyBorder="1" applyAlignment="1">
      <alignment horizontal="center" vertical="center"/>
    </xf>
    <xf numFmtId="0" fontId="13" fillId="4" borderId="6" xfId="0" applyFont="1" applyFill="1" applyBorder="1" applyAlignment="1">
      <alignment horizontal="center" vertical="center"/>
    </xf>
    <xf numFmtId="0" fontId="8" fillId="4" borderId="0" xfId="0" applyFont="1" applyFill="1" applyAlignment="1">
      <alignment horizontal="center" vertical="center" wrapText="1"/>
    </xf>
    <xf numFmtId="0" fontId="13" fillId="4" borderId="0" xfId="0" applyFont="1" applyFill="1" applyAlignment="1">
      <alignment horizontal="center" vertical="center"/>
    </xf>
    <xf numFmtId="0" fontId="10" fillId="4" borderId="2" xfId="0" applyFont="1" applyFill="1" applyBorder="1" applyAlignment="1">
      <alignment vertical="center"/>
    </xf>
    <xf numFmtId="0" fontId="13" fillId="4" borderId="8" xfId="0" applyFont="1" applyFill="1" applyBorder="1" applyAlignment="1">
      <alignment horizontal="center" vertical="center"/>
    </xf>
    <xf numFmtId="0" fontId="13" fillId="4" borderId="11" xfId="0" applyFont="1" applyFill="1" applyBorder="1" applyAlignment="1">
      <alignment horizontal="center" vertical="center"/>
    </xf>
    <xf numFmtId="0" fontId="13" fillId="4" borderId="10" xfId="0" applyFont="1" applyFill="1" applyBorder="1" applyAlignment="1">
      <alignment horizontal="center" vertical="center"/>
    </xf>
    <xf numFmtId="9" fontId="35" fillId="3" borderId="0" xfId="0" applyNumberFormat="1" applyFont="1" applyFill="1" applyAlignment="1">
      <alignment horizontal="left" vertical="center"/>
    </xf>
    <xf numFmtId="0" fontId="36" fillId="3" borderId="0" xfId="0" applyFont="1" applyFill="1" applyAlignment="1">
      <alignment horizontal="center" vertical="center" wrapText="1"/>
    </xf>
    <xf numFmtId="0" fontId="35" fillId="3" borderId="0" xfId="0" applyFont="1" applyFill="1" applyAlignment="1">
      <alignment horizontal="center" vertical="center" wrapText="1"/>
    </xf>
    <xf numFmtId="0" fontId="36" fillId="11" borderId="2" xfId="2" applyFont="1" applyFill="1" applyBorder="1" applyAlignment="1">
      <alignment vertical="center"/>
    </xf>
    <xf numFmtId="0" fontId="36" fillId="11" borderId="3" xfId="2" applyFont="1" applyFill="1" applyBorder="1" applyAlignment="1">
      <alignment vertical="center"/>
    </xf>
    <xf numFmtId="0" fontId="36" fillId="11" borderId="4" xfId="2" applyFont="1" applyFill="1" applyBorder="1" applyAlignment="1">
      <alignment vertical="center"/>
    </xf>
    <xf numFmtId="0" fontId="15" fillId="0" borderId="0" xfId="0" applyFont="1"/>
    <xf numFmtId="0" fontId="9" fillId="13" borderId="0" xfId="0" applyFont="1" applyFill="1" applyAlignment="1">
      <alignment vertical="center"/>
    </xf>
    <xf numFmtId="0" fontId="10" fillId="13" borderId="0" xfId="0" applyFont="1" applyFill="1" applyAlignment="1">
      <alignment vertical="center"/>
    </xf>
    <xf numFmtId="0" fontId="25" fillId="13" borderId="0" xfId="0" applyFont="1" applyFill="1" applyAlignment="1">
      <alignment vertical="center"/>
    </xf>
    <xf numFmtId="0" fontId="40" fillId="0" borderId="0" xfId="0" applyFont="1" applyAlignment="1">
      <alignment vertical="center" wrapText="1"/>
    </xf>
    <xf numFmtId="0" fontId="36" fillId="15" borderId="1" xfId="0" applyFont="1" applyFill="1" applyBorder="1" applyAlignment="1">
      <alignment vertical="center"/>
    </xf>
    <xf numFmtId="0" fontId="9" fillId="16" borderId="1" xfId="4" applyBorder="1">
      <alignment horizontal="center" vertical="center"/>
    </xf>
    <xf numFmtId="0" fontId="10" fillId="18" borderId="0" xfId="0" applyFont="1" applyFill="1" applyAlignment="1">
      <alignment horizontal="center" vertical="center"/>
    </xf>
    <xf numFmtId="0" fontId="10" fillId="18" borderId="0" xfId="0" applyFont="1" applyFill="1"/>
    <xf numFmtId="0" fontId="10" fillId="18" borderId="0" xfId="0" applyFont="1" applyFill="1" applyAlignment="1">
      <alignment vertical="center"/>
    </xf>
    <xf numFmtId="0" fontId="10" fillId="13" borderId="0" xfId="0" quotePrefix="1" applyFont="1" applyFill="1" applyAlignment="1">
      <alignment vertical="center"/>
    </xf>
    <xf numFmtId="0" fontId="12" fillId="13" borderId="0" xfId="0" applyFont="1" applyFill="1" applyAlignment="1">
      <alignment vertical="center" wrapText="1"/>
    </xf>
    <xf numFmtId="0" fontId="40" fillId="13" borderId="0" xfId="0" applyFont="1" applyFill="1" applyAlignment="1">
      <alignment vertical="center" wrapText="1"/>
    </xf>
    <xf numFmtId="3" fontId="10" fillId="13" borderId="0" xfId="0" applyNumberFormat="1" applyFont="1" applyFill="1" applyAlignment="1">
      <alignment horizontal="left" vertical="center"/>
    </xf>
    <xf numFmtId="0" fontId="10" fillId="13" borderId="0" xfId="0" applyFont="1" applyFill="1" applyAlignment="1">
      <alignment horizontal="left" vertical="center"/>
    </xf>
    <xf numFmtId="166" fontId="10" fillId="13" borderId="0" xfId="0" applyNumberFormat="1" applyFont="1" applyFill="1" applyAlignment="1">
      <alignment vertical="center"/>
    </xf>
    <xf numFmtId="168" fontId="10" fillId="13" borderId="0" xfId="0" applyNumberFormat="1" applyFont="1" applyFill="1" applyAlignment="1">
      <alignment horizontal="left" vertical="center"/>
    </xf>
    <xf numFmtId="165" fontId="10" fillId="13" borderId="0" xfId="0" applyNumberFormat="1" applyFont="1" applyFill="1" applyAlignment="1">
      <alignment horizontal="left" vertical="center"/>
    </xf>
    <xf numFmtId="0" fontId="14" fillId="13" borderId="0" xfId="0" applyFont="1" applyFill="1"/>
    <xf numFmtId="0" fontId="10" fillId="13" borderId="0" xfId="0" applyFont="1" applyFill="1"/>
    <xf numFmtId="0" fontId="24" fillId="18" borderId="0" xfId="0" applyFont="1" applyFill="1" applyAlignment="1">
      <alignment horizontal="left" vertical="center" indent="1"/>
    </xf>
    <xf numFmtId="0" fontId="14" fillId="13" borderId="0" xfId="0" applyFont="1" applyFill="1" applyAlignment="1">
      <alignment vertical="center"/>
    </xf>
    <xf numFmtId="0" fontId="10" fillId="13" borderId="0" xfId="0" applyFont="1" applyFill="1" applyAlignment="1">
      <alignment vertical="top"/>
    </xf>
    <xf numFmtId="0" fontId="10" fillId="3" borderId="1" xfId="0" applyFont="1" applyFill="1" applyBorder="1" applyAlignment="1">
      <alignment vertical="center"/>
    </xf>
    <xf numFmtId="0" fontId="0" fillId="13" borderId="0" xfId="0" applyFill="1"/>
    <xf numFmtId="0" fontId="36" fillId="15" borderId="2" xfId="2" applyFont="1" applyFill="1" applyBorder="1" applyAlignment="1">
      <alignment vertical="center"/>
    </xf>
    <xf numFmtId="0" fontId="35" fillId="15" borderId="3" xfId="2" applyFont="1" applyFill="1" applyBorder="1" applyAlignment="1">
      <alignment vertical="center"/>
    </xf>
    <xf numFmtId="0" fontId="35" fillId="15" borderId="4" xfId="2" applyFont="1" applyFill="1" applyBorder="1" applyAlignment="1">
      <alignment vertical="center"/>
    </xf>
    <xf numFmtId="0" fontId="10" fillId="18" borderId="0" xfId="2" applyFont="1" applyFill="1" applyAlignment="1">
      <alignment vertical="center"/>
    </xf>
    <xf numFmtId="0" fontId="36" fillId="19" borderId="2" xfId="0" applyFont="1" applyFill="1" applyBorder="1" applyAlignment="1">
      <alignment horizontal="left" vertical="center"/>
    </xf>
    <xf numFmtId="0" fontId="36" fillId="19" borderId="3" xfId="0" applyFont="1" applyFill="1" applyBorder="1" applyAlignment="1">
      <alignment horizontal="center" vertical="center" wrapText="1"/>
    </xf>
    <xf numFmtId="164" fontId="36" fillId="19" borderId="4" xfId="0" applyNumberFormat="1" applyFont="1" applyFill="1" applyBorder="1" applyAlignment="1">
      <alignment horizontal="center" vertical="center" wrapText="1"/>
    </xf>
    <xf numFmtId="0" fontId="10" fillId="18" borderId="0" xfId="2" applyFont="1" applyFill="1" applyAlignment="1">
      <alignment horizontal="left" vertical="center"/>
    </xf>
    <xf numFmtId="0" fontId="17" fillId="18" borderId="0" xfId="2" applyFont="1" applyFill="1" applyAlignment="1">
      <alignment vertical="center"/>
    </xf>
    <xf numFmtId="0" fontId="8" fillId="16" borderId="12" xfId="2" applyFont="1" applyFill="1" applyBorder="1" applyAlignment="1">
      <alignment horizontal="center" vertical="center"/>
    </xf>
    <xf numFmtId="0" fontId="9" fillId="16" borderId="2" xfId="0" applyFont="1" applyFill="1" applyBorder="1" applyAlignment="1">
      <alignment vertical="center"/>
    </xf>
    <xf numFmtId="0" fontId="9" fillId="16" borderId="3" xfId="0" applyFont="1" applyFill="1" applyBorder="1" applyAlignment="1">
      <alignment vertical="center"/>
    </xf>
    <xf numFmtId="0" fontId="9" fillId="16" borderId="4" xfId="0" applyFont="1" applyFill="1" applyBorder="1" applyAlignment="1">
      <alignment horizontal="right" vertical="center"/>
    </xf>
    <xf numFmtId="0" fontId="30" fillId="16" borderId="1" xfId="0" applyFont="1" applyFill="1" applyBorder="1" applyAlignment="1">
      <alignment horizontal="left" vertical="center" wrapText="1"/>
    </xf>
    <xf numFmtId="0" fontId="36" fillId="15" borderId="3" xfId="2" applyFont="1" applyFill="1" applyBorder="1" applyAlignment="1">
      <alignment vertical="center"/>
    </xf>
    <xf numFmtId="0" fontId="36" fillId="15" borderId="3" xfId="2" applyFont="1" applyFill="1" applyBorder="1" applyAlignment="1">
      <alignment horizontal="left" vertical="center"/>
    </xf>
    <xf numFmtId="0" fontId="36" fillId="15" borderId="4" xfId="2" applyFont="1" applyFill="1" applyBorder="1" applyAlignment="1">
      <alignment vertical="center"/>
    </xf>
    <xf numFmtId="0" fontId="10" fillId="7" borderId="1" xfId="0" applyFont="1" applyFill="1" applyBorder="1" applyAlignment="1">
      <alignment horizontal="left" vertical="center"/>
    </xf>
    <xf numFmtId="0" fontId="10" fillId="7" borderId="2" xfId="0" applyFont="1" applyFill="1" applyBorder="1" applyAlignment="1">
      <alignment vertical="center"/>
    </xf>
    <xf numFmtId="0" fontId="10" fillId="7" borderId="3" xfId="0" applyFont="1" applyFill="1" applyBorder="1" applyAlignment="1">
      <alignment vertical="center"/>
    </xf>
    <xf numFmtId="0" fontId="10" fillId="7" borderId="4" xfId="0" applyFont="1" applyFill="1" applyBorder="1" applyAlignment="1">
      <alignment horizontal="right" vertical="center"/>
    </xf>
    <xf numFmtId="9" fontId="10" fillId="7" borderId="1" xfId="3" applyFont="1" applyFill="1" applyBorder="1" applyAlignment="1">
      <alignment horizontal="left" vertical="center"/>
    </xf>
    <xf numFmtId="1" fontId="10" fillId="7" borderId="1" xfId="0" applyNumberFormat="1" applyFont="1" applyFill="1" applyBorder="1" applyAlignment="1">
      <alignment horizontal="left" vertical="center"/>
    </xf>
    <xf numFmtId="0" fontId="10" fillId="18" borderId="0" xfId="0" applyFont="1" applyFill="1" applyAlignment="1">
      <alignment vertical="top"/>
    </xf>
    <xf numFmtId="0" fontId="25" fillId="18" borderId="0" xfId="0" applyFont="1" applyFill="1" applyAlignment="1">
      <alignment vertical="center"/>
    </xf>
    <xf numFmtId="0" fontId="14" fillId="18" borderId="0" xfId="0" applyFont="1" applyFill="1" applyAlignment="1">
      <alignment vertical="center"/>
    </xf>
    <xf numFmtId="0" fontId="14" fillId="18" borderId="0" xfId="0" applyFont="1" applyFill="1" applyAlignment="1">
      <alignment vertical="center" wrapText="1"/>
    </xf>
    <xf numFmtId="0" fontId="28" fillId="6" borderId="11" xfId="0" applyFont="1" applyFill="1" applyBorder="1" applyAlignment="1">
      <alignment vertical="center"/>
    </xf>
    <xf numFmtId="0" fontId="10" fillId="6" borderId="11" xfId="0" applyFont="1" applyFill="1" applyBorder="1" applyAlignment="1">
      <alignment vertical="top"/>
    </xf>
    <xf numFmtId="0" fontId="10" fillId="6" borderId="11" xfId="0" applyFont="1" applyFill="1" applyBorder="1" applyAlignment="1">
      <alignment vertical="center"/>
    </xf>
    <xf numFmtId="0" fontId="9" fillId="6" borderId="11" xfId="0" applyFont="1" applyFill="1" applyBorder="1" applyAlignment="1">
      <alignment vertical="center"/>
    </xf>
    <xf numFmtId="0" fontId="25" fillId="6" borderId="11" xfId="0" applyFont="1" applyFill="1" applyBorder="1" applyAlignment="1">
      <alignment vertical="center"/>
    </xf>
    <xf numFmtId="0" fontId="14" fillId="6" borderId="10" xfId="0" applyFont="1" applyFill="1" applyBorder="1" applyAlignment="1">
      <alignment vertical="center"/>
    </xf>
    <xf numFmtId="0" fontId="33" fillId="18" borderId="0" xfId="2" applyFont="1" applyFill="1" applyAlignment="1">
      <alignment horizontal="center" vertical="center"/>
    </xf>
    <xf numFmtId="0" fontId="24" fillId="18" borderId="0" xfId="2" applyFont="1" applyFill="1" applyAlignment="1">
      <alignment horizontal="left" vertical="center" indent="1"/>
    </xf>
    <xf numFmtId="0" fontId="9" fillId="20" borderId="3" xfId="2" applyFont="1" applyFill="1" applyBorder="1" applyAlignment="1">
      <alignment horizontal="center" vertical="center" wrapText="1"/>
    </xf>
    <xf numFmtId="0" fontId="16" fillId="16" borderId="3" xfId="2" applyFont="1" applyFill="1" applyBorder="1"/>
    <xf numFmtId="0" fontId="9" fillId="16" borderId="3" xfId="2" applyFont="1" applyFill="1" applyBorder="1" applyAlignment="1">
      <alignment horizontal="center" vertical="center" wrapText="1"/>
    </xf>
    <xf numFmtId="0" fontId="9" fillId="16" borderId="2" xfId="2" applyFont="1" applyFill="1" applyBorder="1" applyAlignment="1">
      <alignment vertical="center"/>
    </xf>
    <xf numFmtId="0" fontId="16" fillId="18" borderId="0" xfId="2" applyFont="1" applyFill="1"/>
    <xf numFmtId="0" fontId="9" fillId="16" borderId="1" xfId="0" applyFont="1" applyFill="1" applyBorder="1" applyAlignment="1">
      <alignment horizontal="center" vertical="center"/>
    </xf>
    <xf numFmtId="0" fontId="25" fillId="16" borderId="1" xfId="0" applyFont="1" applyFill="1" applyBorder="1" applyAlignment="1">
      <alignment horizontal="center" vertical="center"/>
    </xf>
    <xf numFmtId="0" fontId="25" fillId="21" borderId="1" xfId="0" applyFont="1" applyFill="1" applyBorder="1" applyAlignment="1">
      <alignment horizontal="center" vertical="center"/>
    </xf>
    <xf numFmtId="0" fontId="9" fillId="16" borderId="3" xfId="2" applyFont="1" applyFill="1" applyBorder="1" applyAlignment="1">
      <alignment vertical="center"/>
    </xf>
    <xf numFmtId="0" fontId="9" fillId="16" borderId="4" xfId="0" applyFont="1" applyFill="1" applyBorder="1" applyAlignment="1">
      <alignment vertical="center"/>
    </xf>
    <xf numFmtId="167" fontId="10" fillId="4" borderId="1" xfId="0" applyNumberFormat="1" applyFont="1" applyFill="1" applyBorder="1" applyAlignment="1">
      <alignment horizontal="center" vertical="center"/>
    </xf>
    <xf numFmtId="0" fontId="43" fillId="18" borderId="0" xfId="0" applyFont="1" applyFill="1" applyAlignment="1">
      <alignment horizontal="center" vertical="center"/>
    </xf>
    <xf numFmtId="0" fontId="44" fillId="22" borderId="15" xfId="0" applyFont="1" applyFill="1" applyBorder="1" applyAlignment="1">
      <alignment horizontal="center" vertical="center"/>
    </xf>
    <xf numFmtId="0" fontId="44" fillId="23" borderId="0" xfId="0" applyFont="1" applyFill="1" applyAlignment="1">
      <alignment vertical="center"/>
    </xf>
    <xf numFmtId="0" fontId="44" fillId="23" borderId="0" xfId="0" applyFont="1" applyFill="1" applyAlignment="1">
      <alignment vertical="top"/>
    </xf>
    <xf numFmtId="0" fontId="45" fillId="23" borderId="0" xfId="0" applyFont="1" applyFill="1" applyAlignment="1">
      <alignment vertical="center" wrapText="1"/>
    </xf>
    <xf numFmtId="0" fontId="44" fillId="23" borderId="11" xfId="0" applyFont="1" applyFill="1" applyBorder="1" applyAlignment="1">
      <alignment vertical="center"/>
    </xf>
    <xf numFmtId="0" fontId="44" fillId="24" borderId="0" xfId="0" applyFont="1" applyFill="1" applyAlignment="1">
      <alignment vertical="center"/>
    </xf>
    <xf numFmtId="0" fontId="44" fillId="0" borderId="0" xfId="0" applyFont="1" applyAlignment="1">
      <alignment vertical="center"/>
    </xf>
    <xf numFmtId="0" fontId="45" fillId="23" borderId="0" xfId="0" applyFont="1" applyFill="1" applyAlignment="1">
      <alignment vertical="center"/>
    </xf>
    <xf numFmtId="0" fontId="9" fillId="6" borderId="1" xfId="2" applyFont="1" applyFill="1" applyBorder="1" applyAlignment="1">
      <alignment vertical="center"/>
    </xf>
    <xf numFmtId="0" fontId="9" fillId="5" borderId="1" xfId="2" applyFont="1" applyFill="1" applyBorder="1" applyAlignment="1">
      <alignment vertical="center"/>
    </xf>
    <xf numFmtId="0" fontId="46" fillId="6" borderId="0" xfId="2" applyFont="1" applyFill="1" applyAlignment="1">
      <alignment vertical="center"/>
    </xf>
    <xf numFmtId="0" fontId="9" fillId="6" borderId="0" xfId="2" applyFont="1" applyFill="1" applyAlignment="1">
      <alignment vertical="top"/>
    </xf>
    <xf numFmtId="0" fontId="9" fillId="6" borderId="0" xfId="2" applyFont="1" applyFill="1" applyAlignment="1">
      <alignment horizontal="center" vertical="center"/>
    </xf>
    <xf numFmtId="0" fontId="28" fillId="3" borderId="0" xfId="0" applyFont="1" applyFill="1" applyAlignment="1">
      <alignment vertical="top"/>
    </xf>
    <xf numFmtId="0" fontId="10" fillId="3" borderId="0" xfId="0" quotePrefix="1" applyFont="1" applyFill="1" applyAlignment="1">
      <alignment vertical="center" wrapText="1"/>
    </xf>
    <xf numFmtId="0" fontId="10" fillId="3" borderId="0" xfId="0" applyFont="1" applyFill="1" applyAlignment="1">
      <alignment vertical="top" wrapText="1"/>
    </xf>
    <xf numFmtId="0" fontId="39" fillId="18" borderId="0" xfId="0" applyFont="1" applyFill="1" applyAlignment="1">
      <alignment vertical="center"/>
    </xf>
    <xf numFmtId="0" fontId="39" fillId="0" borderId="0" xfId="2" applyFont="1" applyAlignment="1">
      <alignment vertical="center"/>
    </xf>
    <xf numFmtId="0" fontId="39" fillId="0" borderId="0" xfId="0" applyFont="1" applyAlignment="1">
      <alignment vertical="center"/>
    </xf>
    <xf numFmtId="0" fontId="10" fillId="3" borderId="0" xfId="0" applyFont="1" applyFill="1" applyAlignment="1">
      <alignment horizontal="left" vertical="center" wrapText="1"/>
    </xf>
    <xf numFmtId="0" fontId="10" fillId="6" borderId="15" xfId="2" applyFont="1" applyFill="1" applyBorder="1" applyAlignment="1">
      <alignment horizontal="left" vertical="top"/>
    </xf>
    <xf numFmtId="0" fontId="10" fillId="6" borderId="0" xfId="2" applyFont="1" applyFill="1" applyAlignment="1">
      <alignment horizontal="left" vertical="center"/>
    </xf>
    <xf numFmtId="0" fontId="10" fillId="3" borderId="0" xfId="0" applyFont="1" applyFill="1" applyAlignment="1">
      <alignment horizontal="left" vertical="top" wrapText="1"/>
    </xf>
    <xf numFmtId="0" fontId="10" fillId="6" borderId="11" xfId="0" applyFont="1" applyFill="1" applyBorder="1" applyAlignment="1">
      <alignment horizontal="left" vertical="top"/>
    </xf>
    <xf numFmtId="0" fontId="10" fillId="18" borderId="0" xfId="0" applyFont="1" applyFill="1" applyAlignment="1">
      <alignment horizontal="left" vertical="top"/>
    </xf>
    <xf numFmtId="0" fontId="25" fillId="18" borderId="0" xfId="0" applyFont="1" applyFill="1" applyAlignment="1">
      <alignment horizontal="left" vertical="center"/>
    </xf>
    <xf numFmtId="0" fontId="10" fillId="0" borderId="0" xfId="2" applyFont="1" applyAlignment="1">
      <alignment horizontal="left" vertical="top"/>
    </xf>
    <xf numFmtId="0" fontId="10" fillId="0" borderId="0" xfId="0" applyFont="1" applyAlignment="1">
      <alignment horizontal="left" vertical="top"/>
    </xf>
    <xf numFmtId="0" fontId="10" fillId="6" borderId="15" xfId="2" applyFont="1" applyFill="1" applyBorder="1" applyAlignment="1">
      <alignment horizontal="left" vertical="center"/>
    </xf>
    <xf numFmtId="0" fontId="10" fillId="6" borderId="11" xfId="0" applyFont="1" applyFill="1" applyBorder="1" applyAlignment="1">
      <alignment horizontal="left" vertical="center"/>
    </xf>
    <xf numFmtId="0" fontId="10" fillId="18" borderId="0" xfId="0" applyFont="1" applyFill="1" applyAlignment="1">
      <alignment horizontal="left" vertical="center"/>
    </xf>
    <xf numFmtId="0" fontId="10" fillId="0" borderId="0" xfId="0" applyFont="1" applyAlignment="1">
      <alignment horizontal="left" vertical="center"/>
    </xf>
    <xf numFmtId="0" fontId="46" fillId="3" borderId="0" xfId="0" applyFont="1" applyFill="1" applyAlignment="1">
      <alignment vertical="center"/>
    </xf>
    <xf numFmtId="0" fontId="9" fillId="3" borderId="0" xfId="0" applyFont="1" applyFill="1" applyAlignment="1">
      <alignment horizontal="left" vertical="center"/>
    </xf>
    <xf numFmtId="0" fontId="25" fillId="3" borderId="0" xfId="0" applyFont="1" applyFill="1" applyAlignment="1">
      <alignment vertical="top" wrapText="1"/>
    </xf>
    <xf numFmtId="0" fontId="25" fillId="3" borderId="0" xfId="0" applyFont="1" applyFill="1" applyAlignment="1">
      <alignment vertical="top"/>
    </xf>
    <xf numFmtId="167" fontId="10" fillId="2" borderId="1" xfId="3" applyNumberFormat="1" applyFont="1" applyFill="1" applyBorder="1" applyAlignment="1" applyProtection="1">
      <alignment horizontal="right" vertical="center"/>
    </xf>
    <xf numFmtId="0" fontId="24" fillId="6" borderId="0" xfId="2" applyFont="1" applyFill="1" applyAlignment="1">
      <alignment vertical="center"/>
    </xf>
    <xf numFmtId="0" fontId="9" fillId="9" borderId="1" xfId="2" applyFont="1" applyFill="1" applyBorder="1" applyAlignment="1">
      <alignment vertical="center"/>
    </xf>
    <xf numFmtId="0" fontId="10" fillId="7" borderId="2" xfId="0" applyFont="1" applyFill="1" applyBorder="1" applyAlignment="1">
      <alignment horizontal="left" vertical="center"/>
    </xf>
    <xf numFmtId="0" fontId="10" fillId="7" borderId="4" xfId="0" applyFont="1" applyFill="1" applyBorder="1" applyAlignment="1">
      <alignment horizontal="left" vertical="center"/>
    </xf>
    <xf numFmtId="167" fontId="10" fillId="3" borderId="1" xfId="0" applyNumberFormat="1" applyFont="1" applyFill="1" applyBorder="1" applyAlignment="1" applyProtection="1">
      <alignment vertical="center"/>
      <protection locked="0"/>
    </xf>
    <xf numFmtId="165" fontId="10" fillId="2" borderId="1" xfId="3" applyNumberFormat="1" applyFont="1" applyFill="1" applyBorder="1" applyAlignment="1" applyProtection="1">
      <alignment horizontal="right" vertical="center"/>
    </xf>
    <xf numFmtId="0" fontId="48" fillId="18" borderId="0" xfId="2" applyFont="1" applyFill="1" applyAlignment="1">
      <alignment horizontal="center" vertical="center"/>
    </xf>
    <xf numFmtId="0" fontId="10" fillId="4" borderId="1" xfId="0" applyFont="1" applyFill="1" applyBorder="1" applyAlignment="1">
      <alignment horizontal="center" vertical="center"/>
    </xf>
    <xf numFmtId="0" fontId="9" fillId="16" borderId="3" xfId="0" applyFont="1" applyFill="1" applyBorder="1" applyAlignment="1">
      <alignment horizontal="left" vertical="center"/>
    </xf>
    <xf numFmtId="0" fontId="9" fillId="16" borderId="5" xfId="0" applyFont="1" applyFill="1" applyBorder="1" applyAlignment="1">
      <alignment vertical="center"/>
    </xf>
    <xf numFmtId="0" fontId="10" fillId="16" borderId="8" xfId="0" applyFont="1" applyFill="1" applyBorder="1" applyAlignment="1">
      <alignment horizontal="left" vertical="center"/>
    </xf>
    <xf numFmtId="0" fontId="9" fillId="16" borderId="7" xfId="0" applyFont="1" applyFill="1" applyBorder="1" applyAlignment="1">
      <alignment vertical="center"/>
    </xf>
    <xf numFmtId="37" fontId="10" fillId="4" borderId="2" xfId="0" applyNumberFormat="1" applyFont="1" applyFill="1" applyBorder="1" applyAlignment="1">
      <alignment horizontal="left" vertical="center" indent="1"/>
    </xf>
    <xf numFmtId="0" fontId="10" fillId="3" borderId="0" xfId="0" applyFont="1" applyFill="1" applyAlignment="1">
      <alignment horizontal="left" vertical="top" wrapText="1" indent="3"/>
    </xf>
    <xf numFmtId="0" fontId="8" fillId="18" borderId="0" xfId="2" applyFont="1" applyFill="1" applyAlignment="1">
      <alignment horizontal="left" vertical="center"/>
    </xf>
    <xf numFmtId="0" fontId="5" fillId="18" borderId="0" xfId="2" applyFont="1" applyFill="1"/>
    <xf numFmtId="0" fontId="5" fillId="18" borderId="0" xfId="2" applyFont="1" applyFill="1" applyAlignment="1">
      <alignment vertical="center"/>
    </xf>
    <xf numFmtId="0" fontId="10" fillId="18" borderId="0" xfId="2" applyFont="1" applyFill="1"/>
    <xf numFmtId="0" fontId="5" fillId="0" borderId="0" xfId="2" applyFont="1"/>
    <xf numFmtId="0" fontId="5" fillId="0" borderId="0" xfId="0" applyFont="1" applyAlignment="1" applyProtection="1">
      <alignment vertical="top" wrapText="1"/>
      <protection locked="0"/>
    </xf>
    <xf numFmtId="0" fontId="5" fillId="18" borderId="0" xfId="0" applyFont="1" applyFill="1" applyAlignment="1">
      <alignment horizontal="center" vertical="center"/>
    </xf>
    <xf numFmtId="0" fontId="5" fillId="18" borderId="0" xfId="0" applyFont="1" applyFill="1"/>
    <xf numFmtId="0" fontId="5" fillId="13" borderId="0" xfId="0" applyFont="1" applyFill="1" applyAlignment="1">
      <alignment vertical="top"/>
    </xf>
    <xf numFmtId="0" fontId="5" fillId="13" borderId="0" xfId="0" applyFont="1" applyFill="1"/>
    <xf numFmtId="0" fontId="5" fillId="18" borderId="0" xfId="2" applyFont="1" applyFill="1" applyAlignment="1">
      <alignment horizontal="center" vertical="center"/>
    </xf>
    <xf numFmtId="0" fontId="5" fillId="18" borderId="0" xfId="2" applyFont="1" applyFill="1" applyAlignment="1">
      <alignment horizontal="left" vertical="center"/>
    </xf>
    <xf numFmtId="0" fontId="5" fillId="0" borderId="0" xfId="2" applyFont="1" applyAlignment="1">
      <alignment vertical="center"/>
    </xf>
    <xf numFmtId="0" fontId="5" fillId="6" borderId="7" xfId="2" applyFont="1" applyFill="1" applyBorder="1" applyAlignment="1">
      <alignment vertical="center"/>
    </xf>
    <xf numFmtId="0" fontId="5" fillId="6" borderId="5" xfId="2" applyFont="1" applyFill="1" applyBorder="1" applyAlignment="1">
      <alignment vertical="center"/>
    </xf>
    <xf numFmtId="0" fontId="5" fillId="6" borderId="8" xfId="2" applyFont="1" applyFill="1" applyBorder="1" applyAlignment="1">
      <alignment vertical="center"/>
    </xf>
    <xf numFmtId="0" fontId="5" fillId="6" borderId="9" xfId="2" applyFont="1" applyFill="1" applyBorder="1" applyAlignment="1">
      <alignment horizontal="center" vertical="center"/>
    </xf>
    <xf numFmtId="0" fontId="5" fillId="16" borderId="3" xfId="2" applyFont="1" applyFill="1" applyBorder="1"/>
    <xf numFmtId="0" fontId="5" fillId="16" borderId="3" xfId="2" applyFont="1" applyFill="1" applyBorder="1" applyAlignment="1">
      <alignment horizontal="left"/>
    </xf>
    <xf numFmtId="0" fontId="5" fillId="0" borderId="0" xfId="2" applyFont="1" applyAlignment="1">
      <alignment horizontal="center" vertical="center"/>
    </xf>
    <xf numFmtId="0" fontId="5" fillId="4" borderId="3" xfId="2" applyFont="1" applyFill="1" applyBorder="1" applyAlignment="1">
      <alignment vertical="center"/>
    </xf>
    <xf numFmtId="0" fontId="5" fillId="4" borderId="4" xfId="2" applyFont="1" applyFill="1" applyBorder="1" applyAlignment="1">
      <alignment vertical="center"/>
    </xf>
    <xf numFmtId="0" fontId="5" fillId="0" borderId="0" xfId="2" applyFont="1" applyAlignment="1">
      <alignment horizontal="left" vertical="center"/>
    </xf>
    <xf numFmtId="0" fontId="5" fillId="6" borderId="5" xfId="2" applyFont="1" applyFill="1" applyBorder="1" applyAlignment="1">
      <alignment horizontal="left" vertical="center"/>
    </xf>
    <xf numFmtId="0" fontId="5" fillId="6" borderId="15" xfId="2" applyFont="1" applyFill="1" applyBorder="1" applyAlignment="1">
      <alignment vertical="center"/>
    </xf>
    <xf numFmtId="0" fontId="5" fillId="4" borderId="4" xfId="2" applyFont="1" applyFill="1" applyBorder="1" applyAlignment="1">
      <alignment horizontal="left" vertical="center"/>
    </xf>
    <xf numFmtId="0" fontId="5" fillId="6" borderId="11" xfId="2" applyFont="1" applyFill="1" applyBorder="1" applyAlignment="1">
      <alignment vertical="center"/>
    </xf>
    <xf numFmtId="0" fontId="5" fillId="6" borderId="0" xfId="2" applyFont="1" applyFill="1" applyAlignment="1">
      <alignment vertical="center"/>
    </xf>
    <xf numFmtId="0" fontId="5" fillId="6" borderId="0" xfId="2" applyFont="1" applyFill="1" applyAlignment="1">
      <alignment horizontal="left" vertical="center"/>
    </xf>
    <xf numFmtId="0" fontId="5" fillId="3" borderId="15" xfId="0" applyFont="1" applyFill="1" applyBorder="1" applyAlignment="1">
      <alignment vertical="center"/>
    </xf>
    <xf numFmtId="0" fontId="5" fillId="3" borderId="11" xfId="0" applyFont="1" applyFill="1" applyBorder="1" applyAlignment="1">
      <alignment vertical="center"/>
    </xf>
    <xf numFmtId="0" fontId="5" fillId="13" borderId="0" xfId="0" applyFont="1" applyFill="1" applyAlignment="1">
      <alignment vertical="center"/>
    </xf>
    <xf numFmtId="0" fontId="13" fillId="3" borderId="0" xfId="0" applyFont="1" applyFill="1" applyAlignment="1">
      <alignment horizontal="left" vertical="center" wrapText="1"/>
    </xf>
    <xf numFmtId="0" fontId="9" fillId="16" borderId="1" xfId="0" applyFont="1" applyFill="1" applyBorder="1" applyAlignment="1">
      <alignment horizontal="center" vertical="center" wrapText="1"/>
    </xf>
    <xf numFmtId="0" fontId="4" fillId="18" borderId="0" xfId="2" applyFont="1" applyFill="1" applyAlignment="1">
      <alignment horizontal="center" vertical="center"/>
    </xf>
    <xf numFmtId="0" fontId="10" fillId="3" borderId="0" xfId="0" applyFont="1" applyFill="1" applyAlignment="1">
      <alignment vertical="top"/>
    </xf>
    <xf numFmtId="167" fontId="10" fillId="16" borderId="3" xfId="3" applyNumberFormat="1" applyFont="1" applyFill="1" applyBorder="1" applyAlignment="1" applyProtection="1">
      <alignment horizontal="right" vertical="center"/>
    </xf>
    <xf numFmtId="0" fontId="4" fillId="3" borderId="15" xfId="0" applyFont="1" applyFill="1" applyBorder="1" applyAlignment="1">
      <alignment vertical="center"/>
    </xf>
    <xf numFmtId="0" fontId="4" fillId="3" borderId="11" xfId="0" applyFont="1" applyFill="1" applyBorder="1" applyAlignment="1">
      <alignment vertical="center"/>
    </xf>
    <xf numFmtId="0" fontId="49" fillId="18" borderId="0" xfId="0" applyFont="1" applyFill="1" applyAlignment="1">
      <alignment vertical="center"/>
    </xf>
    <xf numFmtId="0" fontId="4" fillId="0" borderId="0" xfId="0" applyFont="1" applyAlignment="1">
      <alignment vertical="center"/>
    </xf>
    <xf numFmtId="0" fontId="4" fillId="6" borderId="0" xfId="2" applyFont="1" applyFill="1" applyAlignment="1">
      <alignment vertical="center"/>
    </xf>
    <xf numFmtId="0" fontId="49" fillId="13" borderId="0" xfId="0" applyFont="1" applyFill="1" applyAlignment="1">
      <alignment vertical="center"/>
    </xf>
    <xf numFmtId="0" fontId="4" fillId="13" borderId="0" xfId="0" applyFont="1" applyFill="1" applyAlignment="1">
      <alignment vertical="center"/>
    </xf>
    <xf numFmtId="167" fontId="10" fillId="3" borderId="1" xfId="3" applyNumberFormat="1" applyFont="1" applyFill="1" applyBorder="1" applyAlignment="1" applyProtection="1">
      <alignment horizontal="right" vertical="center"/>
    </xf>
    <xf numFmtId="167" fontId="10" fillId="3" borderId="2" xfId="0" applyNumberFormat="1" applyFont="1" applyFill="1" applyBorder="1" applyAlignment="1" applyProtection="1">
      <alignment vertical="center"/>
      <protection locked="0"/>
    </xf>
    <xf numFmtId="167" fontId="9" fillId="16" borderId="1" xfId="0" applyNumberFormat="1" applyFont="1" applyFill="1" applyBorder="1" applyAlignment="1">
      <alignment horizontal="center" vertical="center"/>
    </xf>
    <xf numFmtId="167" fontId="10" fillId="7" borderId="1" xfId="0" applyNumberFormat="1" applyFont="1" applyFill="1" applyBorder="1" applyAlignment="1">
      <alignment horizontal="left" vertical="center"/>
    </xf>
    <xf numFmtId="0" fontId="52" fillId="18" borderId="0" xfId="2" applyFont="1" applyFill="1" applyAlignment="1">
      <alignment horizontal="center" vertical="center"/>
    </xf>
    <xf numFmtId="167" fontId="10" fillId="4" borderId="1" xfId="3" applyNumberFormat="1" applyFont="1" applyFill="1" applyBorder="1" applyAlignment="1" applyProtection="1">
      <alignment horizontal="right" vertical="center"/>
    </xf>
    <xf numFmtId="0" fontId="9" fillId="16" borderId="4" xfId="0" applyFont="1" applyFill="1" applyBorder="1" applyAlignment="1">
      <alignment horizontal="left" vertical="center"/>
    </xf>
    <xf numFmtId="167" fontId="10" fillId="3" borderId="3" xfId="0" applyNumberFormat="1" applyFont="1" applyFill="1" applyBorder="1" applyAlignment="1" applyProtection="1">
      <alignment vertical="center"/>
      <protection locked="0"/>
    </xf>
    <xf numFmtId="167" fontId="10" fillId="16" borderId="4" xfId="3" applyNumberFormat="1" applyFont="1" applyFill="1" applyBorder="1" applyAlignment="1" applyProtection="1">
      <alignment horizontal="right" vertical="center"/>
    </xf>
    <xf numFmtId="0" fontId="10" fillId="16" borderId="2" xfId="0" applyFont="1" applyFill="1" applyBorder="1" applyAlignment="1" applyProtection="1">
      <alignment horizontal="left" vertical="center"/>
      <protection locked="0"/>
    </xf>
    <xf numFmtId="0" fontId="10" fillId="16" borderId="3" xfId="0" applyFont="1" applyFill="1" applyBorder="1" applyAlignment="1" applyProtection="1">
      <alignment horizontal="left" vertical="center"/>
      <protection locked="0"/>
    </xf>
    <xf numFmtId="0" fontId="10" fillId="16" borderId="4" xfId="3" applyNumberFormat="1" applyFont="1" applyFill="1" applyBorder="1" applyAlignment="1" applyProtection="1">
      <alignment horizontal="right" vertical="center"/>
    </xf>
    <xf numFmtId="37" fontId="10" fillId="3" borderId="2" xfId="0" applyNumberFormat="1" applyFont="1" applyFill="1" applyBorder="1" applyAlignment="1" applyProtection="1">
      <alignment horizontal="right" vertical="center"/>
      <protection locked="0"/>
    </xf>
    <xf numFmtId="0" fontId="10" fillId="16" borderId="3" xfId="0" applyFont="1" applyFill="1" applyBorder="1" applyAlignment="1" applyProtection="1">
      <alignment horizontal="right" vertical="center"/>
      <protection locked="0"/>
    </xf>
    <xf numFmtId="37" fontId="10" fillId="3" borderId="4" xfId="0" applyNumberFormat="1" applyFont="1" applyFill="1" applyBorder="1" applyAlignment="1" applyProtection="1">
      <alignment horizontal="right" vertical="center"/>
      <protection locked="0"/>
    </xf>
    <xf numFmtId="37" fontId="10" fillId="16" borderId="3" xfId="0" applyNumberFormat="1" applyFont="1" applyFill="1" applyBorder="1" applyAlignment="1" applyProtection="1">
      <alignment horizontal="right" vertical="center"/>
      <protection locked="0"/>
    </xf>
    <xf numFmtId="0" fontId="10" fillId="16" borderId="3" xfId="0" applyFont="1" applyFill="1" applyBorder="1" applyAlignment="1">
      <alignment horizontal="left" vertical="center"/>
    </xf>
    <xf numFmtId="0" fontId="51" fillId="16" borderId="16" xfId="0" applyFont="1" applyFill="1" applyBorder="1" applyAlignment="1">
      <alignment horizontal="center" vertical="center" wrapText="1"/>
    </xf>
    <xf numFmtId="0" fontId="10" fillId="16" borderId="2" xfId="0" applyFont="1" applyFill="1" applyBorder="1" applyAlignment="1">
      <alignment horizontal="left" vertical="center"/>
    </xf>
    <xf numFmtId="0" fontId="10" fillId="16" borderId="3" xfId="0" applyFont="1" applyFill="1" applyBorder="1" applyAlignment="1">
      <alignment horizontal="right" vertical="center"/>
    </xf>
    <xf numFmtId="37" fontId="10" fillId="16" borderId="2" xfId="0" applyNumberFormat="1" applyFont="1" applyFill="1" applyBorder="1" applyAlignment="1">
      <alignment horizontal="left" vertical="center"/>
    </xf>
    <xf numFmtId="37" fontId="9" fillId="16" borderId="3" xfId="0" applyNumberFormat="1" applyFont="1" applyFill="1" applyBorder="1" applyAlignment="1">
      <alignment horizontal="right" vertical="center"/>
    </xf>
    <xf numFmtId="167" fontId="10" fillId="16" borderId="3" xfId="0" applyNumberFormat="1" applyFont="1" applyFill="1" applyBorder="1" applyAlignment="1" applyProtection="1">
      <alignment horizontal="left" vertical="center"/>
      <protection locked="0"/>
    </xf>
    <xf numFmtId="39" fontId="10" fillId="3" borderId="1" xfId="0" applyNumberFormat="1" applyFont="1" applyFill="1" applyBorder="1" applyAlignment="1" applyProtection="1">
      <alignment horizontal="right" vertical="center"/>
      <protection locked="0"/>
    </xf>
    <xf numFmtId="165" fontId="10" fillId="16" borderId="4" xfId="3" applyNumberFormat="1" applyFont="1" applyFill="1" applyBorder="1" applyAlignment="1" applyProtection="1">
      <alignment horizontal="right" vertical="center"/>
    </xf>
    <xf numFmtId="169" fontId="10" fillId="2" borderId="1" xfId="3" applyNumberFormat="1" applyFont="1" applyFill="1" applyBorder="1" applyAlignment="1" applyProtection="1">
      <alignment horizontal="right" vertical="center"/>
    </xf>
    <xf numFmtId="169" fontId="10" fillId="2" borderId="1" xfId="3" applyNumberFormat="1" applyFont="1" applyFill="1" applyBorder="1" applyAlignment="1" applyProtection="1">
      <alignment vertical="center"/>
    </xf>
    <xf numFmtId="0" fontId="5" fillId="18" borderId="0" xfId="2" quotePrefix="1" applyFont="1" applyFill="1"/>
    <xf numFmtId="37" fontId="10" fillId="4" borderId="1" xfId="0" applyNumberFormat="1" applyFont="1" applyFill="1" applyBorder="1" applyAlignment="1">
      <alignment horizontal="left" vertical="center"/>
    </xf>
    <xf numFmtId="37" fontId="10" fillId="4" borderId="2" xfId="0" applyNumberFormat="1" applyFont="1" applyFill="1" applyBorder="1" applyAlignment="1">
      <alignment horizontal="right" vertical="center"/>
    </xf>
    <xf numFmtId="37" fontId="10" fillId="4" borderId="4" xfId="0" applyNumberFormat="1" applyFont="1" applyFill="1" applyBorder="1" applyAlignment="1">
      <alignment horizontal="right" vertical="center"/>
    </xf>
    <xf numFmtId="167" fontId="10" fillId="4" borderId="4" xfId="0" applyNumberFormat="1" applyFont="1" applyFill="1" applyBorder="1" applyAlignment="1">
      <alignment horizontal="right" vertical="center"/>
    </xf>
    <xf numFmtId="167" fontId="10" fillId="4" borderId="1" xfId="0" applyNumberFormat="1" applyFont="1" applyFill="1" applyBorder="1" applyAlignment="1">
      <alignment horizontal="right" vertical="center"/>
    </xf>
    <xf numFmtId="167" fontId="3" fillId="18" borderId="0" xfId="2" applyNumberFormat="1" applyFont="1" applyFill="1" applyAlignment="1">
      <alignment horizontal="center" vertical="center"/>
    </xf>
    <xf numFmtId="167" fontId="5" fillId="18" borderId="0" xfId="2" applyNumberFormat="1" applyFont="1" applyFill="1"/>
    <xf numFmtId="0" fontId="2" fillId="18" borderId="0" xfId="2" applyFont="1" applyFill="1" applyAlignment="1">
      <alignment horizontal="center" vertical="center"/>
    </xf>
    <xf numFmtId="0" fontId="2" fillId="18" borderId="0" xfId="2" applyFont="1" applyFill="1"/>
    <xf numFmtId="167" fontId="2" fillId="18" borderId="0" xfId="2" applyNumberFormat="1" applyFont="1" applyFill="1"/>
    <xf numFmtId="0" fontId="5" fillId="18" borderId="0" xfId="2" applyFont="1" applyFill="1" applyAlignment="1">
      <alignment horizontal="center" vertical="center" wrapText="1"/>
    </xf>
    <xf numFmtId="0" fontId="5" fillId="18" borderId="0" xfId="2" applyFont="1" applyFill="1" applyAlignment="1">
      <alignment vertical="center" wrapText="1"/>
    </xf>
    <xf numFmtId="0" fontId="15" fillId="0" borderId="0" xfId="2" applyFont="1" applyAlignment="1">
      <alignment vertical="center" wrapText="1"/>
    </xf>
    <xf numFmtId="0" fontId="9" fillId="16" borderId="3" xfId="0" applyFont="1" applyFill="1" applyBorder="1" applyAlignment="1">
      <alignment horizontal="right" vertical="center"/>
    </xf>
    <xf numFmtId="167" fontId="10" fillId="25" borderId="1" xfId="2" applyNumberFormat="1" applyFont="1" applyFill="1" applyBorder="1" applyAlignment="1">
      <alignment horizontal="right" vertical="center"/>
    </xf>
    <xf numFmtId="167" fontId="10" fillId="9" borderId="1" xfId="2" applyNumberFormat="1" applyFont="1" applyFill="1" applyBorder="1" applyAlignment="1">
      <alignment horizontal="right" vertical="center"/>
    </xf>
    <xf numFmtId="0" fontId="10" fillId="16" borderId="3" xfId="2" applyFont="1" applyFill="1" applyBorder="1" applyAlignment="1">
      <alignment horizontal="right"/>
    </xf>
    <xf numFmtId="167" fontId="10" fillId="16" borderId="3" xfId="3" applyNumberFormat="1" applyFont="1" applyFill="1" applyBorder="1" applyAlignment="1" applyProtection="1">
      <alignment vertical="center"/>
    </xf>
    <xf numFmtId="167" fontId="10" fillId="3" borderId="1" xfId="3" applyNumberFormat="1" applyFont="1" applyFill="1" applyBorder="1" applyAlignment="1" applyProtection="1">
      <alignment horizontal="right" vertical="center"/>
      <protection locked="0"/>
    </xf>
    <xf numFmtId="0" fontId="38" fillId="12" borderId="2" xfId="0" applyFont="1" applyFill="1" applyBorder="1" applyAlignment="1">
      <alignment horizontal="left" vertical="center" wrapText="1"/>
    </xf>
    <xf numFmtId="0" fontId="38" fillId="12" borderId="3" xfId="0" applyFont="1" applyFill="1" applyBorder="1" applyAlignment="1">
      <alignment horizontal="left" vertical="center" wrapText="1"/>
    </xf>
    <xf numFmtId="0" fontId="38" fillId="12" borderId="4" xfId="0" applyFont="1" applyFill="1" applyBorder="1" applyAlignment="1">
      <alignment horizontal="left" vertical="center" wrapText="1"/>
    </xf>
    <xf numFmtId="0" fontId="38" fillId="14" borderId="2" xfId="0" applyFont="1" applyFill="1" applyBorder="1" applyAlignment="1">
      <alignment horizontal="left" vertical="center" wrapText="1"/>
    </xf>
    <xf numFmtId="0" fontId="38" fillId="14" borderId="3" xfId="0" applyFont="1" applyFill="1" applyBorder="1" applyAlignment="1">
      <alignment horizontal="left" vertical="center" wrapText="1"/>
    </xf>
    <xf numFmtId="0" fontId="38" fillId="14" borderId="4" xfId="0" applyFont="1" applyFill="1" applyBorder="1" applyAlignment="1">
      <alignment horizontal="left" vertical="center" wrapText="1"/>
    </xf>
    <xf numFmtId="0" fontId="13" fillId="3" borderId="0" xfId="0" applyFont="1" applyFill="1" applyAlignment="1">
      <alignment horizontal="left" vertical="center" wrapText="1"/>
    </xf>
    <xf numFmtId="0" fontId="38" fillId="17" borderId="2" xfId="2" applyFont="1" applyFill="1" applyBorder="1" applyAlignment="1">
      <alignment horizontal="left" vertical="center" wrapText="1"/>
    </xf>
    <xf numFmtId="0" fontId="38" fillId="17" borderId="3" xfId="2" applyFont="1" applyFill="1" applyBorder="1" applyAlignment="1">
      <alignment horizontal="left" vertical="center" wrapText="1"/>
    </xf>
    <xf numFmtId="0" fontId="38" fillId="17" borderId="4" xfId="2" applyFont="1" applyFill="1" applyBorder="1" applyAlignment="1">
      <alignment horizontal="left" vertical="center" wrapText="1"/>
    </xf>
    <xf numFmtId="0" fontId="10" fillId="3" borderId="0" xfId="0" applyFont="1" applyFill="1" applyAlignment="1">
      <alignment horizontal="left" vertical="center" wrapText="1"/>
    </xf>
    <xf numFmtId="0" fontId="44" fillId="3" borderId="0" xfId="0" applyFont="1" applyFill="1" applyAlignment="1">
      <alignment horizontal="left" vertical="center" wrapText="1"/>
    </xf>
    <xf numFmtId="0" fontId="10" fillId="3" borderId="0" xfId="0" applyFont="1" applyFill="1" applyAlignment="1">
      <alignment horizontal="left" vertical="top" wrapText="1"/>
    </xf>
    <xf numFmtId="167" fontId="10" fillId="4" borderId="2" xfId="0" applyNumberFormat="1" applyFont="1" applyFill="1" applyBorder="1" applyAlignment="1">
      <alignment horizontal="left" vertical="center"/>
    </xf>
    <xf numFmtId="167" fontId="10" fillId="4" borderId="4" xfId="0" applyNumberFormat="1" applyFont="1" applyFill="1" applyBorder="1" applyAlignment="1">
      <alignment horizontal="left" vertical="center"/>
    </xf>
    <xf numFmtId="0" fontId="53" fillId="16" borderId="17" xfId="0" applyFont="1" applyFill="1" applyBorder="1" applyAlignment="1">
      <alignment horizontal="center" vertical="center" wrapText="1"/>
    </xf>
    <xf numFmtId="0" fontId="53" fillId="16" borderId="19" xfId="0" applyFont="1" applyFill="1" applyBorder="1" applyAlignment="1">
      <alignment horizontal="center" vertical="center" wrapText="1"/>
    </xf>
    <xf numFmtId="0" fontId="50" fillId="16" borderId="17" xfId="0" applyFont="1" applyFill="1" applyBorder="1" applyAlignment="1">
      <alignment horizontal="center" vertical="center" wrapText="1"/>
    </xf>
    <xf numFmtId="0" fontId="50" fillId="16" borderId="19" xfId="0" applyFont="1" applyFill="1" applyBorder="1" applyAlignment="1">
      <alignment horizontal="center" vertical="center" wrapText="1"/>
    </xf>
    <xf numFmtId="0" fontId="50" fillId="16" borderId="16" xfId="0" applyFont="1" applyFill="1" applyBorder="1" applyAlignment="1">
      <alignment horizontal="center" vertical="center" wrapText="1"/>
    </xf>
    <xf numFmtId="0" fontId="50" fillId="16" borderId="7" xfId="0" applyFont="1" applyFill="1" applyBorder="1" applyAlignment="1">
      <alignment horizontal="center" vertical="center" wrapText="1"/>
    </xf>
    <xf numFmtId="0" fontId="50" fillId="16" borderId="8" xfId="0" applyFont="1" applyFill="1" applyBorder="1" applyAlignment="1">
      <alignment horizontal="center" vertical="center" wrapText="1"/>
    </xf>
    <xf numFmtId="0" fontId="50" fillId="16" borderId="9" xfId="0" applyFont="1" applyFill="1" applyBorder="1" applyAlignment="1">
      <alignment horizontal="center" vertical="center" wrapText="1"/>
    </xf>
    <xf numFmtId="0" fontId="50" fillId="16" borderId="10" xfId="0" applyFont="1" applyFill="1" applyBorder="1" applyAlignment="1">
      <alignment horizontal="center" vertical="center" wrapText="1"/>
    </xf>
    <xf numFmtId="167" fontId="10" fillId="3" borderId="2" xfId="0" applyNumberFormat="1" applyFont="1" applyFill="1" applyBorder="1" applyAlignment="1" applyProtection="1">
      <alignment horizontal="left" vertical="center"/>
      <protection locked="0"/>
    </xf>
    <xf numFmtId="167" fontId="10" fillId="3" borderId="4" xfId="0" applyNumberFormat="1" applyFont="1" applyFill="1" applyBorder="1" applyAlignment="1" applyProtection="1">
      <alignment horizontal="left" vertical="center"/>
      <protection locked="0"/>
    </xf>
    <xf numFmtId="0" fontId="47" fillId="16" borderId="2" xfId="0" applyFont="1" applyFill="1" applyBorder="1" applyAlignment="1">
      <alignment horizontal="center" vertical="center" wrapText="1"/>
    </xf>
    <xf numFmtId="0" fontId="47" fillId="16" borderId="3" xfId="0" applyFont="1" applyFill="1" applyBorder="1" applyAlignment="1">
      <alignment horizontal="center" vertical="center" wrapText="1"/>
    </xf>
    <xf numFmtId="0" fontId="47" fillId="16" borderId="4" xfId="0" applyFont="1" applyFill="1" applyBorder="1" applyAlignment="1">
      <alignment horizontal="center" vertical="center" wrapText="1"/>
    </xf>
    <xf numFmtId="0" fontId="10" fillId="3" borderId="2" xfId="0" applyFont="1" applyFill="1" applyBorder="1" applyAlignment="1" applyProtection="1">
      <alignment horizontal="left" vertical="center"/>
      <protection locked="0"/>
    </xf>
    <xf numFmtId="0" fontId="10" fillId="3" borderId="4" xfId="0" applyFont="1" applyFill="1" applyBorder="1" applyAlignment="1" applyProtection="1">
      <alignment horizontal="left" vertical="center"/>
      <protection locked="0"/>
    </xf>
    <xf numFmtId="0" fontId="9" fillId="16" borderId="1" xfId="0" applyFont="1" applyFill="1" applyBorder="1" applyAlignment="1">
      <alignment horizontal="center" vertical="center"/>
    </xf>
    <xf numFmtId="0" fontId="10" fillId="4" borderId="1" xfId="0" applyFont="1" applyFill="1" applyBorder="1" applyAlignment="1">
      <alignment horizontal="center" vertical="center"/>
    </xf>
    <xf numFmtId="0" fontId="9" fillId="16" borderId="1" xfId="0" applyFont="1" applyFill="1" applyBorder="1" applyAlignment="1">
      <alignment horizontal="center" vertical="center" wrapText="1"/>
    </xf>
    <xf numFmtId="167" fontId="10" fillId="3" borderId="1" xfId="0" applyNumberFormat="1" applyFont="1" applyFill="1" applyBorder="1" applyAlignment="1" applyProtection="1">
      <alignment vertical="center"/>
      <protection locked="0"/>
    </xf>
    <xf numFmtId="0" fontId="47" fillId="16" borderId="17" xfId="0" applyFont="1" applyFill="1" applyBorder="1" applyAlignment="1">
      <alignment horizontal="center" vertical="center" wrapText="1"/>
    </xf>
    <xf numFmtId="0" fontId="47" fillId="16" borderId="19" xfId="0" applyFont="1" applyFill="1" applyBorder="1" applyAlignment="1">
      <alignment horizontal="center" vertical="center" wrapText="1"/>
    </xf>
    <xf numFmtId="0" fontId="47" fillId="16" borderId="16" xfId="0" applyFont="1" applyFill="1" applyBorder="1" applyAlignment="1">
      <alignment horizontal="center" vertical="center" wrapText="1"/>
    </xf>
    <xf numFmtId="0" fontId="10" fillId="8" borderId="1" xfId="2" applyFont="1" applyFill="1" applyBorder="1" applyAlignment="1" applyProtection="1">
      <alignment horizontal="center" vertical="center" wrapText="1"/>
      <protection locked="0"/>
    </xf>
    <xf numFmtId="0" fontId="47" fillId="16" borderId="7" xfId="0" applyFont="1" applyFill="1" applyBorder="1" applyAlignment="1">
      <alignment horizontal="center" vertical="center" wrapText="1"/>
    </xf>
    <xf numFmtId="0" fontId="47" fillId="16" borderId="5" xfId="0" applyFont="1" applyFill="1" applyBorder="1" applyAlignment="1">
      <alignment horizontal="center" vertical="center" wrapText="1"/>
    </xf>
    <xf numFmtId="0" fontId="47" fillId="16" borderId="8" xfId="0" applyFont="1" applyFill="1" applyBorder="1" applyAlignment="1">
      <alignment horizontal="center" vertical="center" wrapText="1"/>
    </xf>
    <xf numFmtId="167" fontId="10" fillId="4" borderId="2" xfId="0" applyNumberFormat="1" applyFont="1" applyFill="1" applyBorder="1" applyAlignment="1">
      <alignment vertical="center"/>
    </xf>
    <xf numFmtId="167" fontId="10" fillId="4" borderId="4" xfId="0" applyNumberFormat="1" applyFont="1" applyFill="1" applyBorder="1" applyAlignment="1">
      <alignment vertical="center"/>
    </xf>
    <xf numFmtId="0" fontId="9" fillId="16" borderId="2" xfId="0" applyFont="1" applyFill="1" applyBorder="1" applyAlignment="1">
      <alignment horizontal="center" vertical="center" wrapText="1"/>
    </xf>
    <xf numFmtId="0" fontId="9" fillId="16" borderId="4" xfId="0" applyFont="1" applyFill="1" applyBorder="1" applyAlignment="1">
      <alignment horizontal="center" vertical="center" wrapText="1"/>
    </xf>
    <xf numFmtId="165" fontId="10" fillId="4" borderId="2" xfId="3" applyNumberFormat="1" applyFont="1" applyFill="1" applyBorder="1" applyAlignment="1" applyProtection="1">
      <alignment vertical="center"/>
    </xf>
    <xf numFmtId="165" fontId="10" fillId="4" borderId="4" xfId="3" applyNumberFormat="1" applyFont="1" applyFill="1" applyBorder="1" applyAlignment="1" applyProtection="1">
      <alignment vertical="center"/>
    </xf>
    <xf numFmtId="0" fontId="10" fillId="3" borderId="2" xfId="0" applyFont="1" applyFill="1" applyBorder="1" applyAlignment="1" applyProtection="1">
      <alignment vertical="center"/>
      <protection locked="0"/>
    </xf>
    <xf numFmtId="0" fontId="10" fillId="3" borderId="3" xfId="0" applyFont="1" applyFill="1" applyBorder="1" applyAlignment="1" applyProtection="1">
      <alignment vertical="center"/>
      <protection locked="0"/>
    </xf>
    <xf numFmtId="0" fontId="47" fillId="16" borderId="7" xfId="0" applyFont="1" applyFill="1" applyBorder="1" applyAlignment="1">
      <alignment horizontal="center" vertical="center"/>
    </xf>
    <xf numFmtId="0" fontId="47" fillId="16" borderId="8" xfId="0" applyFont="1" applyFill="1" applyBorder="1" applyAlignment="1">
      <alignment horizontal="center" vertical="center"/>
    </xf>
    <xf numFmtId="0" fontId="47" fillId="16" borderId="15" xfId="0" applyFont="1" applyFill="1" applyBorder="1" applyAlignment="1">
      <alignment horizontal="center" vertical="center"/>
    </xf>
    <xf numFmtId="0" fontId="47" fillId="16" borderId="11" xfId="0" applyFont="1" applyFill="1" applyBorder="1" applyAlignment="1">
      <alignment horizontal="center" vertical="center"/>
    </xf>
    <xf numFmtId="0" fontId="47" fillId="16" borderId="9" xfId="0" applyFont="1" applyFill="1" applyBorder="1" applyAlignment="1">
      <alignment horizontal="center" vertical="center"/>
    </xf>
    <xf numFmtId="0" fontId="47" fillId="16" borderId="10" xfId="0" applyFont="1" applyFill="1" applyBorder="1" applyAlignment="1">
      <alignment horizontal="center" vertical="center"/>
    </xf>
    <xf numFmtId="0" fontId="47" fillId="16" borderId="5" xfId="0" applyFont="1" applyFill="1" applyBorder="1" applyAlignment="1">
      <alignment horizontal="center" vertical="center"/>
    </xf>
    <xf numFmtId="0" fontId="47" fillId="16" borderId="0" xfId="0" applyFont="1" applyFill="1" applyAlignment="1">
      <alignment horizontal="center" vertical="center"/>
    </xf>
    <xf numFmtId="0" fontId="47" fillId="16" borderId="6" xfId="0" applyFont="1" applyFill="1" applyBorder="1" applyAlignment="1">
      <alignment horizontal="center" vertical="center"/>
    </xf>
    <xf numFmtId="167" fontId="10" fillId="2" borderId="2" xfId="0" applyNumberFormat="1" applyFont="1" applyFill="1" applyBorder="1" applyAlignment="1">
      <alignment horizontal="left" vertical="center"/>
    </xf>
    <xf numFmtId="167" fontId="10" fillId="2" borderId="4" xfId="0" applyNumberFormat="1" applyFont="1" applyFill="1" applyBorder="1" applyAlignment="1">
      <alignment horizontal="left" vertical="center"/>
    </xf>
    <xf numFmtId="167" fontId="10" fillId="4" borderId="2" xfId="0" applyNumberFormat="1" applyFont="1" applyFill="1" applyBorder="1" applyAlignment="1">
      <alignment horizontal="right" vertical="center"/>
    </xf>
    <xf numFmtId="167" fontId="10" fillId="4" borderId="4" xfId="0" applyNumberFormat="1" applyFont="1" applyFill="1" applyBorder="1" applyAlignment="1">
      <alignment horizontal="right" vertical="center"/>
    </xf>
    <xf numFmtId="0" fontId="10" fillId="10" borderId="2" xfId="2" applyFont="1" applyFill="1" applyBorder="1" applyAlignment="1">
      <alignment horizontal="center" vertical="center" wrapText="1"/>
    </xf>
    <xf numFmtId="0" fontId="10" fillId="10" borderId="3" xfId="2" applyFont="1" applyFill="1" applyBorder="1" applyAlignment="1">
      <alignment horizontal="center" vertical="center" wrapText="1"/>
    </xf>
    <xf numFmtId="0" fontId="10" fillId="10" borderId="4" xfId="2" applyFont="1" applyFill="1" applyBorder="1" applyAlignment="1">
      <alignment horizontal="center" vertical="center" wrapText="1"/>
    </xf>
    <xf numFmtId="0" fontId="10" fillId="4" borderId="2" xfId="0" applyFont="1" applyFill="1" applyBorder="1" applyAlignment="1">
      <alignment horizontal="left" vertical="center"/>
    </xf>
    <xf numFmtId="0" fontId="10" fillId="4" borderId="4" xfId="0" applyFont="1" applyFill="1" applyBorder="1" applyAlignment="1">
      <alignment horizontal="left" vertical="center"/>
    </xf>
    <xf numFmtId="167" fontId="10" fillId="25" borderId="1" xfId="2" applyNumberFormat="1" applyFont="1" applyFill="1" applyBorder="1" applyAlignment="1">
      <alignment horizontal="right" vertical="center"/>
    </xf>
    <xf numFmtId="167" fontId="10" fillId="9" borderId="1" xfId="2" applyNumberFormat="1" applyFont="1" applyFill="1" applyBorder="1" applyAlignment="1">
      <alignment horizontal="right" vertical="center"/>
    </xf>
    <xf numFmtId="165" fontId="10" fillId="25" borderId="1" xfId="3" applyNumberFormat="1" applyFont="1" applyFill="1" applyBorder="1" applyAlignment="1" applyProtection="1">
      <alignment horizontal="right" vertical="center"/>
    </xf>
    <xf numFmtId="165" fontId="10" fillId="2" borderId="1" xfId="2" applyNumberFormat="1" applyFont="1" applyFill="1" applyBorder="1" applyAlignment="1">
      <alignment horizontal="right" vertical="center"/>
    </xf>
    <xf numFmtId="0" fontId="10" fillId="4" borderId="2" xfId="0" applyFont="1" applyFill="1" applyBorder="1" applyAlignment="1">
      <alignment horizontal="center" vertical="center"/>
    </xf>
    <xf numFmtId="0" fontId="10" fillId="4" borderId="4" xfId="0" applyFont="1" applyFill="1" applyBorder="1" applyAlignment="1">
      <alignment horizontal="center" vertical="center"/>
    </xf>
    <xf numFmtId="167" fontId="10" fillId="2" borderId="2" xfId="0" applyNumberFormat="1" applyFont="1" applyFill="1" applyBorder="1" applyAlignment="1">
      <alignment horizontal="right" vertical="center"/>
    </xf>
    <xf numFmtId="167" fontId="10" fillId="2" borderId="4" xfId="0" applyNumberFormat="1" applyFont="1" applyFill="1" applyBorder="1" applyAlignment="1">
      <alignment horizontal="right" vertical="center"/>
    </xf>
    <xf numFmtId="165" fontId="10" fillId="2" borderId="1" xfId="3" applyNumberFormat="1" applyFont="1" applyFill="1" applyBorder="1" applyAlignment="1" applyProtection="1">
      <alignment horizontal="right" vertical="center"/>
    </xf>
    <xf numFmtId="0" fontId="9" fillId="16" borderId="2" xfId="0" applyFont="1" applyFill="1" applyBorder="1" applyAlignment="1">
      <alignment horizontal="center" vertical="center"/>
    </xf>
    <xf numFmtId="0" fontId="9" fillId="16" borderId="4" xfId="0" applyFont="1" applyFill="1" applyBorder="1" applyAlignment="1">
      <alignment horizontal="center" vertical="center"/>
    </xf>
    <xf numFmtId="0" fontId="10" fillId="2" borderId="2" xfId="3" applyNumberFormat="1" applyFont="1" applyFill="1" applyBorder="1" applyAlignment="1" applyProtection="1">
      <alignment horizontal="left" vertical="center"/>
    </xf>
    <xf numFmtId="0" fontId="10" fillId="2" borderId="4" xfId="3" applyNumberFormat="1" applyFont="1" applyFill="1" applyBorder="1" applyAlignment="1" applyProtection="1">
      <alignment horizontal="left" vertical="center"/>
    </xf>
    <xf numFmtId="0" fontId="9" fillId="16" borderId="2" xfId="0" applyFont="1" applyFill="1" applyBorder="1" applyAlignment="1">
      <alignment horizontal="left" vertical="center"/>
    </xf>
    <xf numFmtId="0" fontId="9" fillId="16" borderId="4" xfId="0" applyFont="1" applyFill="1" applyBorder="1" applyAlignment="1">
      <alignment horizontal="left" vertical="center"/>
    </xf>
    <xf numFmtId="0" fontId="10" fillId="16" borderId="3" xfId="2" applyFont="1" applyFill="1" applyBorder="1" applyAlignment="1">
      <alignment horizontal="right"/>
    </xf>
    <xf numFmtId="0" fontId="10" fillId="16" borderId="4" xfId="2" applyFont="1" applyFill="1" applyBorder="1" applyAlignment="1">
      <alignment horizontal="right"/>
    </xf>
    <xf numFmtId="0" fontId="25" fillId="21" borderId="2" xfId="0" applyFont="1" applyFill="1" applyBorder="1" applyAlignment="1">
      <alignment horizontal="center" vertical="center"/>
    </xf>
    <xf numFmtId="0" fontId="25" fillId="21" borderId="4" xfId="0" applyFont="1" applyFill="1" applyBorder="1" applyAlignment="1">
      <alignment horizontal="center" vertical="center"/>
    </xf>
    <xf numFmtId="0" fontId="10" fillId="7" borderId="2" xfId="0" applyFont="1" applyFill="1" applyBorder="1" applyAlignment="1">
      <alignment horizontal="left" vertical="center"/>
    </xf>
    <xf numFmtId="0" fontId="10" fillId="7" borderId="4" xfId="0" applyFont="1" applyFill="1" applyBorder="1" applyAlignment="1">
      <alignment horizontal="left" vertical="center"/>
    </xf>
    <xf numFmtId="0" fontId="13" fillId="16" borderId="13" xfId="2" applyFont="1" applyFill="1" applyBorder="1" applyAlignment="1">
      <alignment horizontal="center" vertical="center"/>
    </xf>
    <xf numFmtId="0" fontId="13" fillId="16" borderId="14" xfId="2" applyFont="1" applyFill="1" applyBorder="1" applyAlignment="1">
      <alignment horizontal="center" vertical="center"/>
    </xf>
    <xf numFmtId="0" fontId="25" fillId="16" borderId="2" xfId="0" applyFont="1" applyFill="1" applyBorder="1" applyAlignment="1">
      <alignment horizontal="center" vertical="center"/>
    </xf>
    <xf numFmtId="0" fontId="25" fillId="16" borderId="4" xfId="0" applyFont="1" applyFill="1" applyBorder="1" applyAlignment="1">
      <alignment horizontal="center" vertical="center"/>
    </xf>
    <xf numFmtId="0" fontId="24" fillId="6" borderId="0" xfId="2" applyFont="1" applyFill="1" applyAlignment="1">
      <alignment horizontal="center" vertical="center"/>
    </xf>
    <xf numFmtId="0" fontId="55" fillId="13" borderId="0" xfId="6" applyFont="1" applyFill="1" applyAlignment="1">
      <alignment horizontal="right" vertical="center"/>
    </xf>
    <xf numFmtId="0" fontId="55" fillId="13" borderId="0" xfId="7" applyFont="1" applyFill="1" applyAlignment="1">
      <alignment horizontal="right" vertical="center"/>
    </xf>
  </cellXfs>
  <cellStyles count="8">
    <cellStyle name="Calc 1 Subheading" xfId="4" xr:uid="{286483EE-F269-47F7-9B48-A73C36C414D9}"/>
    <cellStyle name="Hyperlink" xfId="1" builtinId="8"/>
    <cellStyle name="Normal" xfId="0" builtinId="0"/>
    <cellStyle name="Normal 2" xfId="2" xr:uid="{127EAB7F-3C81-408F-80F2-C58F39304EFB}"/>
    <cellStyle name="Normal 2 2" xfId="7" xr:uid="{58A9CFA2-A4DA-44F3-B4B2-F74709903F24}"/>
    <cellStyle name="Normal 2 2 2" xfId="6" xr:uid="{1A98FE1C-6C2B-4D0A-82AC-39033E0C8579}"/>
    <cellStyle name="Normal 3" xfId="5" xr:uid="{C9D4F625-2298-4126-810D-98255EE46602}"/>
    <cellStyle name="Percent" xfId="3" builtinId="5"/>
  </cellStyles>
  <dxfs count="61">
    <dxf>
      <font>
        <color theme="0" tint="-4.9989318521683403E-2"/>
      </font>
    </dxf>
    <dxf>
      <font>
        <color theme="0" tint="-4.9989318521683403E-2"/>
      </font>
    </dxf>
    <dxf>
      <font>
        <color rgb="FFC00000"/>
      </font>
    </dxf>
    <dxf>
      <font>
        <color rgb="FFC0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theme="0" tint="-0.34998626667073579"/>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ill>
        <patternFill>
          <bgColor theme="0"/>
        </patternFill>
      </fill>
    </dxf>
    <dxf>
      <fill>
        <patternFill>
          <bgColor theme="0"/>
        </patternFill>
      </fill>
    </dxf>
    <dxf>
      <font>
        <color theme="0" tint="-0.34998626667073579"/>
      </font>
    </dxf>
    <dxf>
      <font>
        <color theme="0" tint="-0.34998626667073579"/>
      </font>
      <fill>
        <patternFill>
          <bgColor theme="0" tint="-4.9989318521683403E-2"/>
        </patternFill>
      </fill>
    </dxf>
    <dxf>
      <font>
        <color theme="0" tint="-0.34998626667073579"/>
      </font>
    </dxf>
    <dxf>
      <font>
        <color theme="0" tint="-0.499984740745262"/>
      </font>
      <fill>
        <patternFill>
          <bgColor rgb="FFB6B7B8"/>
        </patternFill>
      </fill>
    </dxf>
    <dxf>
      <font>
        <color theme="0" tint="-0.499984740745262"/>
      </font>
      <fill>
        <patternFill>
          <bgColor rgb="FFB6B7B8"/>
        </patternFill>
      </fill>
    </dxf>
    <dxf>
      <font>
        <color theme="0" tint="-0.499984740745262"/>
      </font>
      <fill>
        <patternFill>
          <bgColor rgb="FFB6B7B8"/>
        </patternFill>
      </fill>
    </dxf>
    <dxf>
      <font>
        <color theme="0" tint="-0.499984740745262"/>
      </font>
      <fill>
        <patternFill>
          <bgColor rgb="FFB6B7B8"/>
        </patternFill>
      </fill>
    </dxf>
    <dxf>
      <font>
        <color theme="0" tint="-0.499984740745262"/>
      </font>
      <fill>
        <patternFill>
          <bgColor rgb="FFB6B7B8"/>
        </patternFill>
      </fill>
    </dxf>
    <dxf>
      <font>
        <color theme="0" tint="-0.34998626667073579"/>
      </font>
    </dxf>
    <dxf>
      <font>
        <color rgb="FFC00000"/>
      </font>
    </dxf>
    <dxf>
      <font>
        <color rgb="FFC00000"/>
      </font>
    </dxf>
    <dxf>
      <font>
        <color rgb="FFC00000"/>
      </font>
    </dxf>
    <dxf>
      <font>
        <color theme="0" tint="-0.34998626667073579"/>
      </font>
    </dxf>
    <dxf>
      <fill>
        <patternFill>
          <bgColor theme="0"/>
        </patternFill>
      </fill>
    </dxf>
    <dxf>
      <fill>
        <patternFill>
          <bgColor theme="0"/>
        </patternFill>
      </fill>
    </dxf>
    <dxf>
      <font>
        <color theme="0" tint="-0.34998626667073579"/>
      </font>
      <fill>
        <patternFill>
          <bgColor theme="0" tint="-4.9989318521683403E-2"/>
        </patternFill>
      </fill>
    </dxf>
    <dxf>
      <font>
        <color theme="0" tint="-0.499984740745262"/>
      </font>
      <fill>
        <patternFill>
          <bgColor rgb="FFB6B7B8"/>
        </patternFill>
      </fill>
    </dxf>
    <dxf>
      <font>
        <color theme="0" tint="-0.499984740745262"/>
      </font>
      <fill>
        <patternFill>
          <bgColor rgb="FFB6B7B8"/>
        </patternFill>
      </fill>
    </dxf>
    <dxf>
      <font>
        <color theme="0" tint="-0.499984740745262"/>
      </font>
      <fill>
        <patternFill>
          <bgColor rgb="FFB6B7B8"/>
        </patternFill>
      </fill>
    </dxf>
    <dxf>
      <font>
        <color theme="0" tint="-0.499984740745262"/>
      </font>
      <fill>
        <patternFill>
          <bgColor rgb="FFB6B7B8"/>
        </patternFill>
      </fill>
    </dxf>
    <dxf>
      <font>
        <color theme="0" tint="-0.499984740745262"/>
      </font>
      <fill>
        <patternFill>
          <bgColor rgb="FFB6B7B8"/>
        </patternFill>
      </fill>
    </dxf>
    <dxf>
      <font>
        <color theme="0" tint="-0.34998626667073579"/>
      </font>
    </dxf>
    <dxf>
      <fill>
        <patternFill>
          <bgColor rgb="FFCCECFF"/>
        </patternFill>
      </fill>
      <border>
        <left style="thin">
          <color auto="1"/>
        </left>
        <right style="thin">
          <color auto="1"/>
        </right>
        <top style="thin">
          <color auto="1"/>
        </top>
        <bottom style="thin">
          <color auto="1"/>
        </bottom>
        <vertical style="thin">
          <color auto="1"/>
        </vertical>
        <horizontal style="thin">
          <color auto="1"/>
        </horizontal>
      </border>
    </dxf>
    <dxf>
      <fill>
        <patternFill>
          <bgColor theme="0" tint="-0.14996795556505021"/>
        </patternFill>
      </fill>
      <border>
        <left style="thin">
          <color auto="1"/>
        </left>
        <right style="thin">
          <color auto="1"/>
        </right>
        <top style="thin">
          <color auto="1"/>
        </top>
        <bottom style="thin">
          <color auto="1"/>
        </bottom>
        <vertical style="thin">
          <color auto="1"/>
        </vertical>
        <horizontal style="thin">
          <color auto="1"/>
        </horizontal>
      </border>
    </dxf>
    <dxf>
      <fill>
        <patternFill patternType="none">
          <bgColor auto="1"/>
        </patternFill>
      </fill>
      <border>
        <left style="thin">
          <color auto="1"/>
        </left>
        <right style="thin">
          <color auto="1"/>
        </right>
        <top style="thin">
          <color auto="1"/>
        </top>
        <bottom style="thin">
          <color auto="1"/>
        </bottom>
        <vertical style="thin">
          <color auto="1"/>
        </vertical>
        <horizontal style="thin">
          <color auto="1"/>
        </horizontal>
      </border>
    </dxf>
    <dxf>
      <fill>
        <patternFill>
          <bgColor theme="0" tint="-0.14996795556505021"/>
        </patternFill>
      </fill>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s>
  <tableStyles count="2" defaultTableStyle="TableStyleMedium2" defaultPivotStyle="PivotStyleLight16">
    <tableStyle name="Table Style 1" pivot="0" count="2" xr9:uid="{3EA2E18B-DF56-427F-8E23-3C06AC846FF3}">
      <tableStyleElement type="wholeTable" dxfId="60"/>
      <tableStyleElement type="headerRow" dxfId="59"/>
    </tableStyle>
    <tableStyle name="Table Style 2" pivot="0" count="3" xr9:uid="{4DA85417-2B61-4B0F-B495-3E662A0E4ED9}">
      <tableStyleElement type="wholeTable" dxfId="58"/>
      <tableStyleElement type="headerRow" dxfId="57"/>
      <tableStyleElement type="lastTotalCell" dxfId="56"/>
    </tableStyle>
  </tableStyles>
  <colors>
    <mruColors>
      <color rgb="FFB6B7B8"/>
      <color rgb="FF7F7F7F"/>
      <color rgb="FFFFFFCC"/>
      <color rgb="FFF7F8F6"/>
      <color rgb="FF006570"/>
      <color rgb="FFCCECFF"/>
      <color rgb="FFBFBFBF"/>
      <color rgb="FFFF9999"/>
      <color rgb="FFFF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14</xdr:col>
      <xdr:colOff>240030</xdr:colOff>
      <xdr:row>1</xdr:row>
      <xdr:rowOff>304800</xdr:rowOff>
    </xdr:from>
    <xdr:ext cx="910590" cy="299550"/>
    <xdr:pic>
      <xdr:nvPicPr>
        <xdr:cNvPr id="2" name="Picture 7">
          <a:extLst>
            <a:ext uri="{FF2B5EF4-FFF2-40B4-BE49-F238E27FC236}">
              <a16:creationId xmlns:a16="http://schemas.microsoft.com/office/drawing/2014/main" id="{83C63568-B1B0-4F46-B874-3F0FE1A9DCE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283190" y="556260"/>
          <a:ext cx="910590" cy="29955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5</xdr:col>
      <xdr:colOff>7552504</xdr:colOff>
      <xdr:row>1</xdr:row>
      <xdr:rowOff>694510</xdr:rowOff>
    </xdr:from>
    <xdr:ext cx="910590" cy="299550"/>
    <xdr:pic>
      <xdr:nvPicPr>
        <xdr:cNvPr id="2" name="Picture 7">
          <a:extLst>
            <a:ext uri="{FF2B5EF4-FFF2-40B4-BE49-F238E27FC236}">
              <a16:creationId xmlns:a16="http://schemas.microsoft.com/office/drawing/2014/main" id="{82E13958-7D65-43E6-A55C-CFB24911FD2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924104" y="945970"/>
          <a:ext cx="910590" cy="29955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9</xdr:col>
      <xdr:colOff>359677</xdr:colOff>
      <xdr:row>1</xdr:row>
      <xdr:rowOff>691564</xdr:rowOff>
    </xdr:from>
    <xdr:ext cx="910590" cy="299550"/>
    <xdr:pic>
      <xdr:nvPicPr>
        <xdr:cNvPr id="2" name="Picture 7">
          <a:extLst>
            <a:ext uri="{FF2B5EF4-FFF2-40B4-BE49-F238E27FC236}">
              <a16:creationId xmlns:a16="http://schemas.microsoft.com/office/drawing/2014/main" id="{FEDB8419-291E-4B3A-9F63-BE4F06189BB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964437" y="943024"/>
          <a:ext cx="910590" cy="299550"/>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9</xdr:col>
      <xdr:colOff>359677</xdr:colOff>
      <xdr:row>1</xdr:row>
      <xdr:rowOff>691564</xdr:rowOff>
    </xdr:from>
    <xdr:ext cx="910590" cy="299550"/>
    <xdr:pic>
      <xdr:nvPicPr>
        <xdr:cNvPr id="3" name="Picture 7">
          <a:extLst>
            <a:ext uri="{FF2B5EF4-FFF2-40B4-BE49-F238E27FC236}">
              <a16:creationId xmlns:a16="http://schemas.microsoft.com/office/drawing/2014/main" id="{70618728-5F15-4F28-98E9-D79540A7C6B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964437" y="943024"/>
          <a:ext cx="910590" cy="299550"/>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xdr:from>
      <xdr:col>6</xdr:col>
      <xdr:colOff>925280</xdr:colOff>
      <xdr:row>1</xdr:row>
      <xdr:rowOff>687979</xdr:rowOff>
    </xdr:from>
    <xdr:ext cx="910590" cy="299550"/>
    <xdr:pic>
      <xdr:nvPicPr>
        <xdr:cNvPr id="2" name="Picture 7">
          <a:extLst>
            <a:ext uri="{FF2B5EF4-FFF2-40B4-BE49-F238E27FC236}">
              <a16:creationId xmlns:a16="http://schemas.microsoft.com/office/drawing/2014/main" id="{C4CE2F6A-DC53-47D1-90E1-6A44127AD4E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418020" y="939439"/>
          <a:ext cx="910590" cy="299550"/>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oneCellAnchor>
    <xdr:from>
      <xdr:col>7</xdr:col>
      <xdr:colOff>520339</xdr:colOff>
      <xdr:row>1</xdr:row>
      <xdr:rowOff>708660</xdr:rowOff>
    </xdr:from>
    <xdr:ext cx="910590" cy="299550"/>
    <xdr:pic>
      <xdr:nvPicPr>
        <xdr:cNvPr id="3" name="Picture 7">
          <a:extLst>
            <a:ext uri="{FF2B5EF4-FFF2-40B4-BE49-F238E27FC236}">
              <a16:creationId xmlns:a16="http://schemas.microsoft.com/office/drawing/2014/main" id="{F7A599BB-7C1C-45D0-A278-2D0D24EAA80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713619" y="960120"/>
          <a:ext cx="910590" cy="299550"/>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https://wsponlinenam.sharepoint.com/sites/US-BuiltEcology/BE%20Drive/01_Projects/2025/US0046386.5310---LEED%20v5%20Calculators%20and%20Tech%20Dev/11_LEED%20Calculator%20Development/AWA%2002%20Calculator%20Development/Team%20D/Calculator_WE%20Water%20Fixtures%20Fittings/LEED%20v5%20Fixture%20and%20Fittings%20Water%20Use%20Calculator%20BDC%20IDC_REVISED.xlsx" TargetMode="External"/><Relationship Id="rId2" Type="http://schemas.microsoft.com/office/2019/04/relationships/externalLinkLongPath" Target="/sites/US-BuiltEcology/BE%20Drive/01_Projects/2025/US0046386.5310---LEED%20v5%20Calculators%20and%20Tech%20Dev/11_LEED%20Calculator%20Development/AWA%2002%20Calculator%20Development/Team%20D/Calculator_WE%20Water%20Fixtures%20Fittings/LEED%20v5%20Fixture%20and%20Fittings%20Water%20Use%20Calculator%20BDC%20IDC_REVISED.xlsx?BE2FEC50" TargetMode="External"/><Relationship Id="rId1" Type="http://schemas.openxmlformats.org/officeDocument/2006/relationships/externalLinkPath" Target="file:///\\BE2FEC50\LEED%20v5%20Fixture%20and%20Fittings%20Water%20Use%20Calculator%20BDC%20IDC_REVISE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3"/>
    </xxl21:alternateUrls>
    <sheetNames>
      <sheetName val="Comments_USGBC"/>
      <sheetName val="Comments_WSP"/>
      <sheetName val="Comments_TESTING"/>
      <sheetName val="Revision History"/>
      <sheetName val="Internal Style Guide"/>
      <sheetName val="Instructions"/>
      <sheetName val="Inputs Fixture Fittings"/>
      <sheetName val="Logic"/>
      <sheetName val="Database"/>
      <sheetName val="Summary"/>
    </sheetNames>
    <sheetDataSet>
      <sheetData sheetId="0"/>
      <sheetData sheetId="1"/>
      <sheetData sheetId="2"/>
      <sheetData sheetId="3"/>
      <sheetData sheetId="4"/>
      <sheetData sheetId="5"/>
      <sheetData sheetId="6">
        <row r="8">
          <cell r="G8" t="str">
            <v>IP Units</v>
          </cell>
        </row>
      </sheetData>
      <sheetData sheetId="7"/>
      <sheetData sheetId="8">
        <row r="12">
          <cell r="E12" t="str">
            <v>IP Units</v>
          </cell>
          <cell r="F12" t="str">
            <v>gals</v>
          </cell>
        </row>
        <row r="13">
          <cell r="E13" t="str">
            <v>SI Units</v>
          </cell>
          <cell r="F13" t="str">
            <v>liters</v>
          </cell>
        </row>
      </sheetData>
      <sheetData sheetId="9"/>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x:/r/sites/US-BuiltEcology/BE%20Drive/01_Projects/2025/US0046386.5310---LEED%20v5%20Calculators%20and%20Tech%20Dev/11_LEED%20Calculator%20Development/01_LEED%20V5.0%20Calculators%20Scoping%20and%20Methodology/LEED%20v5_%20Calculator%20Scoping%20for%20Review%20USGBC%20Comments.xlsx?d=w012339cd8b03415185c90d63478e1f76&amp;csf=1&amp;web=1&amp;e=wm5D2j" TargetMode="External"/><Relationship Id="rId2" Type="http://schemas.openxmlformats.org/officeDocument/2006/relationships/hyperlink" Target="../../../../../../../../../:x:/r/sites/US-BuiltEcology/BE%20Drive/01_Projects/2025/US0046386.5310---LEED%20v5%20Calculators%20and%20Tech%20Dev/11_LEED%20Calculator%20Development/01_LEED%20V5.0%20Calculators%20Scoping%20and%20Methodology/LEED%20v5_%20Calculator%20Scoping%20for%20Review%20USGBC%20Comments.xlsx?d=w012339cd8b03415185c90d63478e1f76&amp;csf=1&amp;web=1&amp;e=wm5D2j" TargetMode="External"/><Relationship Id="rId1" Type="http://schemas.openxmlformats.org/officeDocument/2006/relationships/hyperlink" Target="../../../../../../../../../:x:/r/sites/US-BuiltEcology/BE%20Drive/01_Projects/2025/US0046386.5310---LEED%20v5%20Calculators%20and%20Tech%20Dev/11_LEED%20Calculator%20Development/01_LEED%20V5.0%20Calculators%20Scoping%20and%20Methodology/LEED%20v5_%20Calculator%20Scoping%20for%20Review%20USGBC%20Comments.xlsx?d=w012339cd8b03415185c90d63478e1f76&amp;csf=1&amp;web=1&amp;e=wm5D2j" TargetMode="External"/><Relationship Id="rId4" Type="http://schemas.openxmlformats.org/officeDocument/2006/relationships/hyperlink" Target="../../../../../../../../../:x:/r/sites/US-BuiltEcology/BE%20Drive/01_Projects/2025/US0046386.5310---LEED%20v5%20Calculators%20and%20Tech%20Dev/11_LEED%20Calculator%20Development/01_LEED%20V5.0%20Calculators%20Scoping%20and%20Methodology/LEED%20v5_%20Calculator%20Scoping%20for%20Review%20USGBC%20Comments.xlsx?d=w012339cd8b03415185c90d63478e1f76&amp;csf=1&amp;web=1&amp;e=wm5D2j"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958A1A-C815-47E1-9A73-82CD7C997B4A}">
  <sheetPr>
    <tabColor theme="0"/>
  </sheetPr>
  <dimension ref="A1:L60"/>
  <sheetViews>
    <sheetView showGridLines="0" zoomScale="80" zoomScaleNormal="80" workbookViewId="0"/>
  </sheetViews>
  <sheetFormatPr defaultColWidth="8.69921875" defaultRowHeight="15.6"/>
  <cols>
    <col min="1" max="2" width="8.69921875" style="60"/>
    <col min="3" max="3" width="26.19921875" style="60" customWidth="1"/>
    <col min="4" max="4" width="31.09765625" style="60" customWidth="1"/>
    <col min="5" max="5" width="39.69921875" style="60" customWidth="1"/>
    <col min="6" max="6" width="8.3984375" style="60" customWidth="1"/>
    <col min="7" max="7" width="8.69921875" style="60"/>
    <col min="8" max="8" width="8.09765625" style="60" bestFit="1" customWidth="1"/>
    <col min="9" max="9" width="13.3984375" style="60" customWidth="1"/>
    <col min="10" max="11" width="39.19921875" style="60" customWidth="1"/>
    <col min="12" max="16384" width="8.69921875" style="60"/>
  </cols>
  <sheetData>
    <row r="1" spans="1:12" s="33" customFormat="1">
      <c r="A1" s="31" t="s">
        <v>5</v>
      </c>
      <c r="B1" s="32"/>
      <c r="F1" s="34"/>
      <c r="H1" s="35" t="s">
        <v>6</v>
      </c>
      <c r="I1" s="36"/>
      <c r="J1" s="37"/>
      <c r="K1" s="38"/>
    </row>
    <row r="2" spans="1:12" s="33" customFormat="1">
      <c r="A2" s="32"/>
      <c r="B2" s="32"/>
      <c r="F2" s="34"/>
      <c r="H2" s="39"/>
      <c r="I2" s="40"/>
      <c r="J2" s="37"/>
      <c r="K2" s="38"/>
    </row>
    <row r="3" spans="1:12" s="43" customFormat="1" ht="41.4">
      <c r="A3" s="41" t="s">
        <v>1</v>
      </c>
      <c r="B3" s="41" t="s">
        <v>7</v>
      </c>
      <c r="C3" s="41" t="s">
        <v>8</v>
      </c>
      <c r="D3" s="41" t="s">
        <v>9</v>
      </c>
      <c r="E3" s="41" t="s">
        <v>10</v>
      </c>
      <c r="F3" s="42" t="s">
        <v>3</v>
      </c>
      <c r="G3" s="245"/>
      <c r="H3" s="44" t="s">
        <v>0</v>
      </c>
      <c r="I3" s="45" t="s">
        <v>11</v>
      </c>
      <c r="J3" s="41" t="s">
        <v>8</v>
      </c>
      <c r="K3" s="46" t="s">
        <v>12</v>
      </c>
      <c r="L3" s="245"/>
    </row>
    <row r="4" spans="1:12" s="50" customFormat="1" ht="52.8">
      <c r="A4" s="47">
        <v>45881</v>
      </c>
      <c r="B4" s="47" t="s">
        <v>13</v>
      </c>
      <c r="C4" s="48" t="s">
        <v>14</v>
      </c>
      <c r="D4" s="48" t="s">
        <v>14</v>
      </c>
      <c r="E4" s="48" t="s">
        <v>15</v>
      </c>
      <c r="F4" s="49" t="s">
        <v>4</v>
      </c>
      <c r="H4" s="51">
        <v>1</v>
      </c>
      <c r="I4" s="52"/>
      <c r="J4" s="53" t="s">
        <v>16</v>
      </c>
      <c r="K4" s="54"/>
      <c r="L4" s="50" t="s">
        <v>2</v>
      </c>
    </row>
    <row r="5" spans="1:12" s="50" customFormat="1" ht="409.6">
      <c r="A5" s="98">
        <v>45888</v>
      </c>
      <c r="B5" s="98" t="s">
        <v>13</v>
      </c>
      <c r="C5" s="99" t="s">
        <v>14</v>
      </c>
      <c r="D5" s="99" t="s">
        <v>14</v>
      </c>
      <c r="E5" s="99" t="s">
        <v>17</v>
      </c>
      <c r="F5" s="100" t="s">
        <v>4</v>
      </c>
      <c r="H5" s="51">
        <v>2</v>
      </c>
      <c r="I5" s="52"/>
      <c r="J5" s="53" t="s">
        <v>18</v>
      </c>
      <c r="K5" s="54"/>
      <c r="L5" s="50" t="s">
        <v>2</v>
      </c>
    </row>
    <row r="6" spans="1:12" s="50" customFormat="1" ht="290.39999999999998">
      <c r="A6" s="47">
        <v>45898</v>
      </c>
      <c r="B6" s="47" t="s">
        <v>13</v>
      </c>
      <c r="C6" s="48" t="s">
        <v>14</v>
      </c>
      <c r="D6" s="48" t="s">
        <v>14</v>
      </c>
      <c r="E6" s="48" t="s">
        <v>19</v>
      </c>
      <c r="F6" s="49" t="s">
        <v>4</v>
      </c>
      <c r="H6" s="51">
        <v>3</v>
      </c>
      <c r="I6" s="52"/>
      <c r="J6" s="53" t="s">
        <v>20</v>
      </c>
      <c r="K6" s="54"/>
      <c r="L6" s="50" t="s">
        <v>2</v>
      </c>
    </row>
    <row r="7" spans="1:12" s="50" customFormat="1" ht="26.4">
      <c r="A7" s="47">
        <v>45903</v>
      </c>
      <c r="B7" s="47" t="s">
        <v>13</v>
      </c>
      <c r="C7" s="48" t="s">
        <v>14</v>
      </c>
      <c r="D7" s="48" t="s">
        <v>14</v>
      </c>
      <c r="E7" s="48" t="s">
        <v>21</v>
      </c>
      <c r="F7" s="49" t="s">
        <v>4</v>
      </c>
      <c r="H7" s="51">
        <v>4</v>
      </c>
      <c r="I7" s="52"/>
      <c r="J7" s="53" t="s">
        <v>22</v>
      </c>
      <c r="K7" s="54"/>
      <c r="L7" s="50" t="s">
        <v>2</v>
      </c>
    </row>
    <row r="8" spans="1:12" s="50" customFormat="1" ht="13.2">
      <c r="A8" s="47">
        <v>45905</v>
      </c>
      <c r="B8" s="47" t="s">
        <v>13</v>
      </c>
      <c r="C8" s="48" t="s">
        <v>14</v>
      </c>
      <c r="D8" s="48" t="s">
        <v>14</v>
      </c>
      <c r="E8" s="48" t="s">
        <v>21</v>
      </c>
      <c r="F8" s="49" t="s">
        <v>4</v>
      </c>
      <c r="H8" s="51">
        <v>5</v>
      </c>
      <c r="I8" s="52"/>
      <c r="J8" s="53" t="s">
        <v>23</v>
      </c>
      <c r="K8" s="54"/>
      <c r="L8" s="50" t="s">
        <v>2</v>
      </c>
    </row>
    <row r="9" spans="1:12" s="50" customFormat="1" ht="13.2">
      <c r="A9" s="47"/>
      <c r="B9" s="47"/>
      <c r="C9" s="48"/>
      <c r="D9" s="48"/>
      <c r="E9" s="48"/>
      <c r="F9" s="49"/>
      <c r="H9" s="51">
        <v>6</v>
      </c>
      <c r="I9" s="52"/>
      <c r="J9" s="53" t="s">
        <v>24</v>
      </c>
      <c r="K9" s="54"/>
      <c r="L9" s="50" t="s">
        <v>2</v>
      </c>
    </row>
    <row r="10" spans="1:12" s="50" customFormat="1" ht="13.2">
      <c r="A10" s="47"/>
      <c r="B10" s="47"/>
      <c r="C10" s="48"/>
      <c r="D10" s="48"/>
      <c r="E10" s="48"/>
      <c r="F10" s="49"/>
      <c r="H10" s="51">
        <v>7</v>
      </c>
      <c r="I10" s="52"/>
      <c r="J10" s="53" t="s">
        <v>25</v>
      </c>
      <c r="K10" s="54"/>
      <c r="L10" s="50" t="s">
        <v>2</v>
      </c>
    </row>
    <row r="11" spans="1:12" s="50" customFormat="1" ht="13.2">
      <c r="A11" s="47"/>
      <c r="B11" s="47"/>
      <c r="C11" s="48"/>
      <c r="D11" s="48"/>
      <c r="E11" s="48"/>
      <c r="F11" s="49"/>
      <c r="H11" s="51">
        <v>8</v>
      </c>
      <c r="I11" s="52"/>
      <c r="J11" s="53" t="s">
        <v>26</v>
      </c>
      <c r="K11" s="54"/>
      <c r="L11" s="50" t="s">
        <v>2</v>
      </c>
    </row>
    <row r="12" spans="1:12" s="50" customFormat="1" ht="26.4">
      <c r="A12" s="47"/>
      <c r="B12" s="47"/>
      <c r="C12" s="48"/>
      <c r="D12" s="48"/>
      <c r="E12" s="48"/>
      <c r="F12" s="49"/>
      <c r="H12" s="51">
        <v>9</v>
      </c>
      <c r="I12" s="52"/>
      <c r="J12" s="53" t="s">
        <v>27</v>
      </c>
      <c r="K12" s="54"/>
      <c r="L12" s="50" t="s">
        <v>2</v>
      </c>
    </row>
    <row r="13" spans="1:12" s="50" customFormat="1" ht="39.6">
      <c r="A13" s="47"/>
      <c r="B13" s="47"/>
      <c r="C13" s="48"/>
      <c r="D13" s="48"/>
      <c r="E13" s="48"/>
      <c r="F13" s="49"/>
      <c r="H13" s="51">
        <v>10</v>
      </c>
      <c r="I13" s="52"/>
      <c r="J13" s="53" t="s">
        <v>28</v>
      </c>
      <c r="K13" s="54"/>
      <c r="L13" s="50" t="s">
        <v>2</v>
      </c>
    </row>
    <row r="14" spans="1:12" s="50" customFormat="1" ht="39.6">
      <c r="A14" s="47"/>
      <c r="B14" s="47"/>
      <c r="C14" s="48"/>
      <c r="D14" s="48"/>
      <c r="E14" s="48"/>
      <c r="F14" s="49"/>
      <c r="H14" s="51">
        <v>11</v>
      </c>
      <c r="I14" s="52"/>
      <c r="J14" s="53" t="s">
        <v>29</v>
      </c>
      <c r="K14" s="54"/>
      <c r="L14" s="50" t="s">
        <v>2</v>
      </c>
    </row>
    <row r="15" spans="1:12" s="50" customFormat="1" ht="13.2">
      <c r="A15" s="47"/>
      <c r="B15" s="47"/>
      <c r="C15" s="48"/>
      <c r="D15" s="48"/>
      <c r="E15" s="48"/>
      <c r="F15" s="49"/>
      <c r="H15" s="51">
        <v>12</v>
      </c>
      <c r="I15" s="52"/>
      <c r="J15" s="53" t="s">
        <v>30</v>
      </c>
      <c r="K15" s="54"/>
      <c r="L15" s="50" t="s">
        <v>2</v>
      </c>
    </row>
    <row r="16" spans="1:12" s="50" customFormat="1" ht="13.2">
      <c r="A16" s="47"/>
      <c r="B16" s="47"/>
      <c r="C16" s="48"/>
      <c r="D16" s="48"/>
      <c r="E16" s="48"/>
      <c r="F16" s="49"/>
      <c r="H16" s="51">
        <v>13</v>
      </c>
      <c r="I16" s="52"/>
      <c r="J16" s="53" t="s">
        <v>31</v>
      </c>
      <c r="K16" s="54"/>
      <c r="L16" s="50" t="s">
        <v>2</v>
      </c>
    </row>
    <row r="17" spans="1:12" s="50" customFormat="1" ht="13.2">
      <c r="A17" s="47"/>
      <c r="B17" s="47"/>
      <c r="C17" s="48"/>
      <c r="D17" s="48"/>
      <c r="E17" s="48"/>
      <c r="F17" s="49"/>
      <c r="H17" s="51"/>
      <c r="I17" s="52"/>
      <c r="J17" s="53"/>
      <c r="K17" s="54"/>
      <c r="L17" s="50" t="s">
        <v>2</v>
      </c>
    </row>
    <row r="18" spans="1:12" s="50" customFormat="1" ht="145.19999999999999">
      <c r="A18" s="47"/>
      <c r="B18" s="47"/>
      <c r="C18" s="48"/>
      <c r="D18" s="48"/>
      <c r="E18" s="48"/>
      <c r="F18" s="49"/>
      <c r="H18" s="51"/>
      <c r="I18" s="52"/>
      <c r="J18" s="53" t="s">
        <v>32</v>
      </c>
      <c r="K18" s="75" t="s">
        <v>33</v>
      </c>
      <c r="L18" s="50" t="s">
        <v>2</v>
      </c>
    </row>
    <row r="19" spans="1:12" s="50" customFormat="1" ht="277.2">
      <c r="A19" s="47"/>
      <c r="B19" s="47"/>
      <c r="C19" s="48"/>
      <c r="D19" s="48"/>
      <c r="E19" s="48"/>
      <c r="F19" s="49"/>
      <c r="H19" s="51"/>
      <c r="I19" s="52"/>
      <c r="J19" s="53" t="s">
        <v>34</v>
      </c>
      <c r="K19" s="75" t="s">
        <v>33</v>
      </c>
      <c r="L19" s="50" t="s">
        <v>2</v>
      </c>
    </row>
    <row r="20" spans="1:12" s="50" customFormat="1" ht="79.2">
      <c r="A20" s="47"/>
      <c r="B20" s="47"/>
      <c r="C20" s="48"/>
      <c r="D20" s="48"/>
      <c r="E20" s="48"/>
      <c r="F20" s="49"/>
      <c r="H20" s="51"/>
      <c r="I20" s="52"/>
      <c r="J20" s="53" t="s">
        <v>35</v>
      </c>
      <c r="K20" s="75" t="s">
        <v>33</v>
      </c>
      <c r="L20" s="50" t="s">
        <v>2</v>
      </c>
    </row>
    <row r="21" spans="1:12" s="50" customFormat="1" ht="92.4">
      <c r="A21" s="47"/>
      <c r="B21" s="47"/>
      <c r="C21" s="48"/>
      <c r="D21" s="48"/>
      <c r="E21" s="48"/>
      <c r="F21" s="49"/>
      <c r="H21" s="51"/>
      <c r="I21" s="52"/>
      <c r="J21" s="53" t="s">
        <v>36</v>
      </c>
      <c r="K21" s="75" t="s">
        <v>33</v>
      </c>
      <c r="L21" s="50" t="s">
        <v>2</v>
      </c>
    </row>
    <row r="22" spans="1:12" s="50" customFormat="1" ht="13.2">
      <c r="A22" s="47"/>
      <c r="B22" s="47"/>
      <c r="C22" s="48"/>
      <c r="D22" s="48"/>
      <c r="E22" s="48"/>
      <c r="F22" s="49"/>
      <c r="H22" s="51"/>
      <c r="I22" s="52"/>
      <c r="J22" s="53"/>
      <c r="K22" s="55"/>
      <c r="L22" s="50" t="s">
        <v>2</v>
      </c>
    </row>
    <row r="23" spans="1:12" s="50" customFormat="1" ht="13.2">
      <c r="A23" s="47"/>
      <c r="B23" s="47"/>
      <c r="C23" s="48"/>
      <c r="D23" s="48"/>
      <c r="E23" s="48"/>
      <c r="F23" s="49"/>
      <c r="H23" s="51"/>
      <c r="I23" s="52"/>
      <c r="J23" s="53"/>
      <c r="K23" s="55"/>
    </row>
    <row r="24" spans="1:12" s="50" customFormat="1" ht="13.2">
      <c r="A24" s="47"/>
      <c r="B24" s="47"/>
      <c r="C24" s="48"/>
      <c r="D24" s="48"/>
      <c r="E24" s="48"/>
      <c r="F24" s="49"/>
      <c r="H24" s="51"/>
      <c r="I24" s="52"/>
      <c r="J24" s="53"/>
      <c r="K24" s="55"/>
    </row>
    <row r="25" spans="1:12" s="50" customFormat="1" ht="13.2">
      <c r="A25" s="47"/>
      <c r="B25" s="47"/>
      <c r="C25" s="48"/>
      <c r="D25" s="48"/>
      <c r="E25" s="48"/>
      <c r="F25" s="49"/>
      <c r="H25" s="51"/>
      <c r="I25" s="52"/>
      <c r="J25" s="53"/>
      <c r="K25" s="55"/>
      <c r="L25" s="50" t="s">
        <v>2</v>
      </c>
    </row>
    <row r="26" spans="1:12" s="50" customFormat="1" ht="13.2">
      <c r="A26" s="47"/>
      <c r="B26" s="47"/>
      <c r="C26" s="48"/>
      <c r="D26" s="48"/>
      <c r="E26" s="48"/>
      <c r="F26" s="49"/>
      <c r="H26" s="51"/>
      <c r="I26" s="52"/>
      <c r="J26" s="53"/>
      <c r="K26" s="55"/>
    </row>
    <row r="27" spans="1:12" s="50" customFormat="1" ht="13.2">
      <c r="A27" s="47"/>
      <c r="B27" s="47"/>
      <c r="C27" s="48"/>
      <c r="D27" s="48"/>
      <c r="E27" s="48"/>
      <c r="F27" s="49"/>
      <c r="H27" s="51"/>
      <c r="I27" s="52"/>
      <c r="J27" s="53"/>
      <c r="K27" s="55"/>
    </row>
    <row r="28" spans="1:12" s="50" customFormat="1" ht="13.2">
      <c r="A28" s="47"/>
      <c r="B28" s="47"/>
      <c r="C28" s="48"/>
      <c r="D28" s="48"/>
      <c r="E28" s="48"/>
      <c r="F28" s="49"/>
      <c r="H28" s="51"/>
      <c r="I28" s="52"/>
      <c r="J28" s="53"/>
      <c r="K28" s="55"/>
    </row>
    <row r="29" spans="1:12" s="50" customFormat="1" ht="13.2">
      <c r="A29" s="47"/>
      <c r="B29" s="47"/>
      <c r="C29" s="48"/>
      <c r="D29" s="48"/>
      <c r="E29" s="48"/>
      <c r="F29" s="49"/>
      <c r="H29" s="51"/>
      <c r="I29" s="52"/>
      <c r="J29" s="53"/>
      <c r="K29" s="55"/>
    </row>
    <row r="30" spans="1:12" s="50" customFormat="1" ht="13.2">
      <c r="A30" s="47"/>
      <c r="B30" s="47"/>
      <c r="C30" s="48"/>
      <c r="D30" s="48"/>
      <c r="E30" s="48"/>
      <c r="F30" s="49"/>
      <c r="H30" s="51"/>
      <c r="I30" s="52"/>
      <c r="J30" s="53"/>
      <c r="K30" s="55"/>
    </row>
    <row r="31" spans="1:12" s="50" customFormat="1" ht="13.2">
      <c r="A31" s="47"/>
      <c r="B31" s="47"/>
      <c r="C31" s="48"/>
      <c r="D31" s="48"/>
      <c r="E31" s="48"/>
      <c r="F31" s="49"/>
      <c r="H31" s="51"/>
      <c r="I31" s="52"/>
      <c r="J31" s="53"/>
      <c r="K31" s="55"/>
    </row>
    <row r="32" spans="1:12" s="50" customFormat="1" ht="13.2">
      <c r="A32" s="47"/>
      <c r="B32" s="47"/>
      <c r="C32" s="48"/>
      <c r="D32" s="48"/>
      <c r="E32" s="48"/>
      <c r="F32" s="49"/>
      <c r="H32" s="51"/>
      <c r="I32" s="52"/>
      <c r="J32" s="53"/>
      <c r="K32" s="55"/>
    </row>
    <row r="33" spans="1:11" s="50" customFormat="1" ht="13.2">
      <c r="A33" s="47"/>
      <c r="B33" s="47"/>
      <c r="C33" s="48"/>
      <c r="D33" s="48"/>
      <c r="E33" s="48"/>
      <c r="F33" s="49"/>
      <c r="H33" s="51"/>
      <c r="I33" s="52"/>
      <c r="J33" s="53"/>
      <c r="K33" s="55"/>
    </row>
    <row r="34" spans="1:11" s="50" customFormat="1" ht="13.2">
      <c r="A34" s="47"/>
      <c r="B34" s="47"/>
      <c r="C34" s="48"/>
      <c r="D34" s="48"/>
      <c r="E34" s="48"/>
      <c r="F34" s="49"/>
      <c r="H34" s="51"/>
      <c r="I34" s="52"/>
      <c r="J34" s="53"/>
      <c r="K34" s="55"/>
    </row>
    <row r="35" spans="1:11" s="50" customFormat="1" ht="13.2">
      <c r="A35" s="47"/>
      <c r="B35" s="47"/>
      <c r="C35" s="48"/>
      <c r="D35" s="48"/>
      <c r="E35" s="48"/>
      <c r="F35" s="49"/>
      <c r="H35" s="51"/>
      <c r="I35" s="52"/>
      <c r="J35" s="53"/>
      <c r="K35" s="55"/>
    </row>
    <row r="36" spans="1:11" s="59" customFormat="1" ht="13.2">
      <c r="A36" s="56"/>
      <c r="B36" s="56"/>
      <c r="C36" s="48"/>
      <c r="D36" s="57"/>
      <c r="E36" s="57"/>
      <c r="F36" s="58"/>
      <c r="H36" s="51"/>
      <c r="I36" s="52"/>
      <c r="J36" s="53"/>
      <c r="K36" s="55"/>
    </row>
    <row r="37" spans="1:11" s="59" customFormat="1" ht="13.2">
      <c r="A37" s="56"/>
      <c r="B37" s="56"/>
      <c r="C37" s="48"/>
      <c r="D37" s="57"/>
      <c r="E37" s="57"/>
      <c r="F37" s="58"/>
      <c r="H37" s="51"/>
      <c r="I37" s="52"/>
      <c r="J37" s="53"/>
      <c r="K37" s="55"/>
    </row>
    <row r="38" spans="1:11" s="59" customFormat="1" ht="13.2">
      <c r="A38" s="56"/>
      <c r="B38" s="56"/>
      <c r="C38" s="48"/>
      <c r="D38" s="57"/>
      <c r="E38" s="57"/>
      <c r="F38" s="58"/>
      <c r="H38" s="51"/>
      <c r="I38" s="52"/>
      <c r="J38" s="53"/>
      <c r="K38" s="55"/>
    </row>
    <row r="39" spans="1:11" s="59" customFormat="1" ht="13.2">
      <c r="A39" s="56"/>
      <c r="B39" s="56"/>
      <c r="C39" s="48"/>
      <c r="D39" s="57"/>
      <c r="E39" s="57"/>
      <c r="F39" s="58"/>
      <c r="H39" s="51"/>
      <c r="I39" s="52"/>
      <c r="J39" s="53"/>
      <c r="K39" s="55"/>
    </row>
    <row r="40" spans="1:11" s="59" customFormat="1" ht="13.2">
      <c r="A40" s="56"/>
      <c r="B40" s="56"/>
      <c r="C40" s="48"/>
      <c r="D40" s="57"/>
      <c r="E40" s="57"/>
      <c r="F40" s="58"/>
      <c r="H40" s="51"/>
      <c r="I40" s="52"/>
      <c r="J40" s="53"/>
      <c r="K40" s="55"/>
    </row>
    <row r="41" spans="1:11" s="59" customFormat="1" ht="13.2">
      <c r="A41" s="56"/>
      <c r="B41" s="56"/>
      <c r="C41" s="48"/>
      <c r="D41" s="57"/>
      <c r="E41" s="57"/>
      <c r="F41" s="58"/>
      <c r="H41" s="51"/>
      <c r="I41" s="52"/>
      <c r="J41" s="53"/>
      <c r="K41" s="55"/>
    </row>
    <row r="42" spans="1:11" s="59" customFormat="1" ht="13.2">
      <c r="A42" s="56"/>
      <c r="B42" s="56"/>
      <c r="C42" s="48"/>
      <c r="D42" s="57"/>
      <c r="E42" s="57"/>
      <c r="F42" s="58"/>
      <c r="H42" s="51"/>
      <c r="I42" s="52"/>
      <c r="J42" s="53"/>
      <c r="K42" s="55"/>
    </row>
    <row r="43" spans="1:11" s="59" customFormat="1" ht="13.2">
      <c r="A43" s="56"/>
      <c r="B43" s="56"/>
      <c r="C43" s="48"/>
      <c r="D43" s="57"/>
      <c r="E43" s="48"/>
      <c r="F43" s="58"/>
      <c r="H43" s="51"/>
      <c r="I43" s="52"/>
      <c r="J43" s="53"/>
      <c r="K43" s="55"/>
    </row>
    <row r="44" spans="1:11" s="50" customFormat="1" ht="13.2">
      <c r="A44" s="47"/>
      <c r="B44" s="47"/>
      <c r="C44" s="48"/>
      <c r="D44" s="48"/>
      <c r="E44" s="48"/>
      <c r="F44" s="49"/>
      <c r="H44" s="51"/>
      <c r="I44" s="52"/>
      <c r="J44" s="53"/>
      <c r="K44" s="55"/>
    </row>
    <row r="45" spans="1:11" s="50" customFormat="1" ht="13.2">
      <c r="A45" s="47"/>
      <c r="B45" s="47"/>
      <c r="C45" s="48"/>
      <c r="D45" s="48"/>
      <c r="E45" s="48"/>
      <c r="F45" s="49"/>
      <c r="H45" s="51"/>
      <c r="I45" s="52"/>
      <c r="J45" s="53"/>
      <c r="K45" s="55"/>
    </row>
    <row r="46" spans="1:11" s="50" customFormat="1" ht="13.2">
      <c r="A46" s="47"/>
      <c r="B46" s="47"/>
      <c r="C46" s="48"/>
      <c r="D46" s="48"/>
      <c r="E46" s="48"/>
      <c r="F46" s="49"/>
      <c r="H46" s="51"/>
      <c r="I46" s="52"/>
      <c r="J46" s="53"/>
      <c r="K46" s="55"/>
    </row>
    <row r="47" spans="1:11" s="50" customFormat="1" ht="13.2">
      <c r="A47" s="47"/>
      <c r="B47" s="47"/>
      <c r="C47" s="48"/>
      <c r="D47" s="48"/>
      <c r="E47" s="48"/>
      <c r="F47" s="49"/>
      <c r="H47" s="51"/>
      <c r="I47" s="52"/>
      <c r="J47" s="53"/>
      <c r="K47" s="55"/>
    </row>
    <row r="48" spans="1:11" s="50" customFormat="1" ht="13.2">
      <c r="A48" s="47"/>
      <c r="B48" s="47"/>
      <c r="C48" s="48"/>
      <c r="D48" s="48"/>
      <c r="E48" s="48"/>
      <c r="F48" s="49"/>
      <c r="H48" s="51"/>
      <c r="I48" s="52"/>
      <c r="J48" s="53"/>
      <c r="K48" s="55"/>
    </row>
    <row r="49" spans="1:11" s="50" customFormat="1" ht="13.2">
      <c r="A49" s="47"/>
      <c r="B49" s="47"/>
      <c r="C49" s="48"/>
      <c r="D49" s="48"/>
      <c r="E49" s="48"/>
      <c r="F49" s="49"/>
      <c r="H49" s="51"/>
      <c r="I49" s="52"/>
      <c r="J49" s="53"/>
      <c r="K49" s="55"/>
    </row>
    <row r="50" spans="1:11" s="59" customFormat="1" ht="13.2">
      <c r="A50" s="56"/>
      <c r="B50" s="56"/>
      <c r="C50" s="48"/>
      <c r="D50" s="57"/>
      <c r="E50" s="57"/>
      <c r="F50" s="58"/>
      <c r="H50" s="51"/>
      <c r="I50" s="52"/>
      <c r="J50" s="53"/>
      <c r="K50" s="55"/>
    </row>
    <row r="51" spans="1:11" s="59" customFormat="1" ht="13.2">
      <c r="A51" s="56"/>
      <c r="B51" s="56"/>
      <c r="C51" s="48"/>
      <c r="D51" s="57"/>
      <c r="E51" s="57"/>
      <c r="F51" s="58"/>
      <c r="H51" s="51"/>
      <c r="I51" s="52"/>
      <c r="J51" s="53"/>
      <c r="K51" s="55"/>
    </row>
    <row r="52" spans="1:11" s="59" customFormat="1" ht="13.2">
      <c r="A52" s="56"/>
      <c r="B52" s="56"/>
      <c r="C52" s="48"/>
      <c r="D52" s="57"/>
      <c r="E52" s="57"/>
      <c r="F52" s="58"/>
      <c r="H52" s="51"/>
      <c r="I52" s="52"/>
      <c r="J52" s="53"/>
      <c r="K52" s="55"/>
    </row>
    <row r="53" spans="1:11" s="59" customFormat="1" ht="13.2">
      <c r="A53" s="56"/>
      <c r="B53" s="56"/>
      <c r="C53" s="48"/>
      <c r="D53" s="57"/>
      <c r="E53" s="57"/>
      <c r="F53" s="58"/>
      <c r="H53" s="51"/>
      <c r="I53" s="52"/>
      <c r="J53" s="53"/>
      <c r="K53" s="55"/>
    </row>
    <row r="54" spans="1:11" s="50" customFormat="1" ht="13.2">
      <c r="A54" s="47"/>
      <c r="B54" s="47"/>
      <c r="C54" s="48"/>
      <c r="D54" s="57"/>
      <c r="E54" s="48"/>
      <c r="F54" s="49"/>
      <c r="H54" s="51"/>
      <c r="I54" s="52"/>
      <c r="J54" s="53"/>
      <c r="K54" s="55"/>
    </row>
    <row r="55" spans="1:11" s="50" customFormat="1" ht="13.2">
      <c r="A55" s="47"/>
      <c r="B55" s="47"/>
      <c r="C55" s="48"/>
      <c r="D55" s="48"/>
      <c r="E55" s="48"/>
      <c r="F55" s="49"/>
      <c r="H55" s="51"/>
      <c r="I55" s="52"/>
      <c r="J55" s="53"/>
      <c r="K55" s="55"/>
    </row>
    <row r="56" spans="1:11" s="50" customFormat="1" ht="13.2">
      <c r="A56" s="47"/>
      <c r="B56" s="47"/>
      <c r="C56" s="48"/>
      <c r="D56" s="48"/>
      <c r="E56" s="48"/>
      <c r="F56" s="49"/>
      <c r="H56" s="51"/>
      <c r="I56" s="52"/>
      <c r="J56" s="53"/>
      <c r="K56" s="55"/>
    </row>
    <row r="57" spans="1:11" s="50" customFormat="1" ht="13.2">
      <c r="A57" s="47"/>
      <c r="B57" s="47"/>
      <c r="C57" s="48"/>
      <c r="D57" s="48"/>
      <c r="E57" s="48"/>
      <c r="F57" s="49"/>
      <c r="H57" s="51"/>
      <c r="I57" s="52"/>
      <c r="J57" s="53"/>
      <c r="K57" s="55"/>
    </row>
    <row r="58" spans="1:11" s="50" customFormat="1" ht="13.2">
      <c r="A58" s="47"/>
      <c r="B58" s="47"/>
      <c r="C58" s="48"/>
      <c r="D58" s="48"/>
      <c r="E58" s="48"/>
      <c r="F58" s="49"/>
      <c r="H58" s="51"/>
      <c r="I58" s="52"/>
      <c r="J58" s="53"/>
      <c r="K58" s="55"/>
    </row>
    <row r="59" spans="1:11" s="50" customFormat="1" ht="13.2">
      <c r="A59" s="47"/>
      <c r="B59" s="47"/>
      <c r="C59" s="48"/>
      <c r="D59" s="48"/>
      <c r="E59" s="48"/>
      <c r="F59" s="49"/>
      <c r="H59" s="51"/>
      <c r="I59" s="52"/>
      <c r="J59" s="53"/>
      <c r="K59" s="55"/>
    </row>
    <row r="60" spans="1:11" s="50" customFormat="1" ht="13.2">
      <c r="A60" s="47"/>
      <c r="B60" s="47"/>
      <c r="C60" s="48"/>
      <c r="D60" s="48"/>
      <c r="E60" s="48"/>
      <c r="F60" s="49"/>
      <c r="H60" s="51"/>
      <c r="I60" s="52"/>
      <c r="J60" s="53"/>
      <c r="K60" s="55"/>
    </row>
  </sheetData>
  <hyperlinks>
    <hyperlink ref="K18" r:id="rId1" display="https://wsponlinenam.sharepoint.com/:x:/r/sites/US-BuiltEcology/BE%20Drive/01_Projects/2025/US0046386.5310---LEED%20v5%20Calculators%20and%20Tech%20Dev/11_LEED%20Calculator%20Development/01_LEED%20V5.0%20Calculators%20Scoping%20and%20Methodology/LEED%20v5_%20Calculator%20Scoping%20for%20Review%20USGBC%20Comments.xlsx?d=w012339cd8b03415185c90d63478e1f76&amp;csf=1&amp;web=1&amp;e=wm5D2j" xr:uid="{851D3CB8-AD13-40C7-B389-61DE1C1D48DF}"/>
    <hyperlink ref="K19" r:id="rId2" display="https://wsponlinenam.sharepoint.com/:x:/r/sites/US-BuiltEcology/BE%20Drive/01_Projects/2025/US0046386.5310---LEED%20v5%20Calculators%20and%20Tech%20Dev/11_LEED%20Calculator%20Development/01_LEED%20V5.0%20Calculators%20Scoping%20and%20Methodology/LEED%20v5_%20Calculator%20Scoping%20for%20Review%20USGBC%20Comments.xlsx?d=w012339cd8b03415185c90d63478e1f76&amp;csf=1&amp;web=1&amp;e=wm5D2j" xr:uid="{E1D7AA86-61B9-45A1-A38A-C3224C60B4D4}"/>
    <hyperlink ref="K20" r:id="rId3" display="https://wsponlinenam.sharepoint.com/:x:/r/sites/US-BuiltEcology/BE%20Drive/01_Projects/2025/US0046386.5310---LEED%20v5%20Calculators%20and%20Tech%20Dev/11_LEED%20Calculator%20Development/01_LEED%20V5.0%20Calculators%20Scoping%20and%20Methodology/LEED%20v5_%20Calculator%20Scoping%20for%20Review%20USGBC%20Comments.xlsx?d=w012339cd8b03415185c90d63478e1f76&amp;csf=1&amp;web=1&amp;e=wm5D2j" xr:uid="{9356470A-DB92-4F8E-82C7-0AF6F8B5098B}"/>
    <hyperlink ref="K21" r:id="rId4" display="https://wsponlinenam.sharepoint.com/:x:/r/sites/US-BuiltEcology/BE%20Drive/01_Projects/2025/US0046386.5310---LEED%20v5%20Calculators%20and%20Tech%20Dev/11_LEED%20Calculator%20Development/01_LEED%20V5.0%20Calculators%20Scoping%20and%20Methodology/LEED%20v5_%20Calculator%20Scoping%20for%20Review%20USGBC%20Comments.xlsx?d=w012339cd8b03415185c90d63478e1f76&amp;csf=1&amp;web=1&amp;e=wm5D2j" xr:uid="{6C5AA6FE-13A5-4E0E-B3E7-8106342C88B2}"/>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308E7-EF0B-4CC8-ADCB-7A0FDA181A48}">
  <sheetPr>
    <tabColor theme="0"/>
  </sheetPr>
  <dimension ref="A1:Z600"/>
  <sheetViews>
    <sheetView showGridLines="0" zoomScaleNormal="90" workbookViewId="0">
      <selection activeCell="B2" sqref="B2:P2"/>
    </sheetView>
  </sheetViews>
  <sheetFormatPr defaultRowHeight="15.6"/>
  <cols>
    <col min="1" max="1" width="4.19921875" style="27" customWidth="1"/>
    <col min="2" max="7" width="11" customWidth="1"/>
  </cols>
  <sheetData>
    <row r="1" spans="1:26" s="117" customFormat="1" ht="19.95" customHeight="1">
      <c r="A1" s="246"/>
      <c r="B1" s="247"/>
      <c r="C1" s="247"/>
      <c r="D1" s="247"/>
      <c r="E1" s="247"/>
      <c r="F1" s="247"/>
      <c r="G1" s="247"/>
      <c r="H1" s="247"/>
      <c r="I1" s="247"/>
      <c r="J1" s="247"/>
      <c r="K1" s="247"/>
      <c r="L1" s="247"/>
      <c r="M1" s="247"/>
      <c r="N1" s="247"/>
      <c r="O1" s="247"/>
      <c r="P1" s="247"/>
      <c r="Q1" s="247"/>
      <c r="R1" s="247"/>
      <c r="S1" s="247"/>
      <c r="T1" s="247"/>
      <c r="U1" s="247"/>
      <c r="V1" s="247"/>
      <c r="W1" s="247"/>
      <c r="X1" s="247"/>
      <c r="Y1" s="247"/>
      <c r="Z1" s="247"/>
    </row>
    <row r="2" spans="1:26" s="117" customFormat="1" ht="72" customHeight="1">
      <c r="A2" s="246"/>
      <c r="B2" s="331" t="s">
        <v>37</v>
      </c>
      <c r="C2" s="332"/>
      <c r="D2" s="332"/>
      <c r="E2" s="332"/>
      <c r="F2" s="332"/>
      <c r="G2" s="332"/>
      <c r="H2" s="332"/>
      <c r="I2" s="332"/>
      <c r="J2" s="332"/>
      <c r="K2" s="332"/>
      <c r="L2" s="332"/>
      <c r="M2" s="332"/>
      <c r="N2" s="332"/>
      <c r="O2" s="332"/>
      <c r="P2" s="333"/>
      <c r="Q2" s="247"/>
      <c r="R2" s="247"/>
      <c r="S2" s="247"/>
      <c r="T2" s="247"/>
      <c r="U2" s="247"/>
      <c r="V2" s="247"/>
      <c r="W2" s="247"/>
      <c r="X2" s="247"/>
      <c r="Y2" s="247"/>
      <c r="Z2" s="247"/>
    </row>
    <row r="3" spans="1:26" s="28" customFormat="1" ht="18" customHeight="1">
      <c r="A3" s="124"/>
      <c r="B3" s="125"/>
      <c r="C3" s="125"/>
      <c r="D3" s="125"/>
      <c r="E3" s="125"/>
      <c r="F3" s="125"/>
      <c r="G3" s="125"/>
      <c r="H3" s="125"/>
      <c r="I3" s="125"/>
      <c r="J3" s="126"/>
      <c r="K3" s="126"/>
      <c r="L3" s="126"/>
      <c r="M3" s="125"/>
      <c r="N3" s="125"/>
      <c r="O3" s="125"/>
      <c r="P3" s="125"/>
      <c r="Q3" s="125"/>
      <c r="R3" s="125"/>
      <c r="S3" s="125"/>
      <c r="T3" s="125"/>
      <c r="U3" s="125"/>
      <c r="V3" s="125"/>
      <c r="W3" s="125"/>
      <c r="X3" s="125"/>
      <c r="Y3" s="125"/>
      <c r="Z3" s="125"/>
    </row>
    <row r="4" spans="1:26" s="16" customFormat="1" ht="18" customHeight="1">
      <c r="A4" s="118"/>
      <c r="B4" s="118" t="s">
        <v>38</v>
      </c>
      <c r="C4" s="119"/>
      <c r="D4" s="119"/>
      <c r="E4" s="119" t="s">
        <v>39</v>
      </c>
      <c r="F4" s="119"/>
      <c r="G4" s="119"/>
      <c r="H4" s="119"/>
      <c r="I4" s="119"/>
      <c r="J4" s="119"/>
      <c r="K4" s="119"/>
      <c r="L4" s="119"/>
      <c r="M4" s="119"/>
      <c r="N4" s="119"/>
      <c r="O4" s="119"/>
      <c r="P4" s="119"/>
      <c r="Q4" s="119"/>
      <c r="R4" s="119"/>
      <c r="S4" s="119"/>
      <c r="T4" s="119"/>
      <c r="U4" s="119"/>
      <c r="V4" s="119"/>
      <c r="W4" s="119"/>
      <c r="X4" s="119"/>
      <c r="Y4" s="119"/>
      <c r="Z4" s="119"/>
    </row>
    <row r="5" spans="1:26" s="16" customFormat="1" ht="18" customHeight="1">
      <c r="A5" s="118"/>
      <c r="B5" s="118" t="s">
        <v>40</v>
      </c>
      <c r="C5" s="119"/>
      <c r="D5" s="119" t="s">
        <v>41</v>
      </c>
      <c r="E5" s="119" t="s">
        <v>42</v>
      </c>
      <c r="F5" s="119"/>
      <c r="G5" s="119"/>
      <c r="H5" s="119"/>
      <c r="I5" s="119"/>
      <c r="J5" s="119"/>
      <c r="K5" s="119"/>
      <c r="L5" s="119"/>
      <c r="M5" s="119"/>
      <c r="N5" s="119"/>
      <c r="O5" s="119"/>
      <c r="P5" s="119"/>
      <c r="Q5" s="119"/>
      <c r="R5" s="119"/>
      <c r="S5" s="119"/>
      <c r="T5" s="119"/>
      <c r="U5" s="119"/>
      <c r="V5" s="119"/>
      <c r="W5" s="119"/>
      <c r="X5" s="119"/>
      <c r="Y5" s="119"/>
      <c r="Z5" s="119"/>
    </row>
    <row r="6" spans="1:26" s="16" customFormat="1" ht="18" customHeight="1">
      <c r="A6" s="118"/>
      <c r="B6" s="118"/>
      <c r="C6" s="119"/>
      <c r="D6" s="119"/>
      <c r="E6" s="119" t="s">
        <v>43</v>
      </c>
      <c r="F6" s="119"/>
      <c r="G6" s="119"/>
      <c r="H6" s="119"/>
      <c r="I6" s="119"/>
      <c r="J6" s="119"/>
      <c r="K6" s="119"/>
      <c r="L6" s="119"/>
      <c r="M6" s="119"/>
      <c r="N6" s="119"/>
      <c r="O6" s="119"/>
      <c r="P6" s="119"/>
      <c r="Q6" s="119"/>
      <c r="R6" s="119"/>
      <c r="S6" s="119"/>
      <c r="T6" s="119"/>
      <c r="U6" s="119"/>
      <c r="V6" s="119"/>
      <c r="W6" s="119"/>
      <c r="X6" s="119"/>
      <c r="Y6" s="119"/>
      <c r="Z6" s="119"/>
    </row>
    <row r="7" spans="1:26" s="16" customFormat="1" ht="18" customHeight="1">
      <c r="A7" s="118"/>
      <c r="B7" s="118"/>
      <c r="C7" s="119"/>
      <c r="D7" s="119"/>
      <c r="E7" s="119" t="s">
        <v>44</v>
      </c>
      <c r="F7" s="119"/>
      <c r="G7" s="119"/>
      <c r="H7" s="119"/>
      <c r="I7" s="119"/>
      <c r="J7" s="119"/>
      <c r="K7" s="119"/>
      <c r="L7" s="119"/>
      <c r="M7" s="119"/>
      <c r="N7" s="119"/>
      <c r="O7" s="119"/>
      <c r="P7" s="119"/>
      <c r="Q7" s="119"/>
      <c r="R7" s="119"/>
      <c r="S7" s="119"/>
      <c r="T7" s="119"/>
      <c r="U7" s="119"/>
      <c r="V7" s="119"/>
      <c r="W7" s="119"/>
      <c r="X7" s="119"/>
      <c r="Y7" s="119"/>
      <c r="Z7" s="119"/>
    </row>
    <row r="8" spans="1:26" s="16" customFormat="1" ht="18" customHeight="1">
      <c r="A8" s="118"/>
      <c r="B8" s="118"/>
      <c r="C8" s="119"/>
      <c r="D8" s="119"/>
      <c r="E8" s="119" t="s">
        <v>45</v>
      </c>
      <c r="F8" s="119"/>
      <c r="G8" s="119"/>
      <c r="H8" s="119"/>
      <c r="I8" s="119"/>
      <c r="J8" s="119"/>
      <c r="K8" s="119"/>
      <c r="L8" s="119"/>
      <c r="M8" s="119"/>
      <c r="N8" s="119"/>
      <c r="O8" s="119"/>
      <c r="P8" s="119"/>
      <c r="Q8" s="119"/>
      <c r="R8" s="119"/>
      <c r="S8" s="119"/>
      <c r="T8" s="119"/>
      <c r="U8" s="119"/>
      <c r="V8" s="119"/>
      <c r="W8" s="119"/>
      <c r="X8" s="119"/>
      <c r="Y8" s="119"/>
      <c r="Z8" s="119"/>
    </row>
    <row r="9" spans="1:26" s="16" customFormat="1" ht="18" customHeight="1">
      <c r="A9" s="118"/>
      <c r="B9" s="118"/>
      <c r="C9" s="119"/>
      <c r="D9" s="119" t="s">
        <v>46</v>
      </c>
      <c r="E9" s="120" t="s">
        <v>47</v>
      </c>
      <c r="F9" s="119"/>
      <c r="G9" s="119"/>
      <c r="H9" s="119"/>
      <c r="I9" s="119"/>
      <c r="J9" s="119"/>
      <c r="K9" s="119"/>
      <c r="L9" s="119"/>
      <c r="M9" s="119"/>
      <c r="N9" s="119"/>
      <c r="O9" s="119"/>
      <c r="P9" s="119"/>
      <c r="Q9" s="119"/>
      <c r="R9" s="119"/>
      <c r="S9" s="119"/>
      <c r="T9" s="119"/>
      <c r="U9" s="119"/>
      <c r="V9" s="119"/>
      <c r="W9" s="119"/>
      <c r="X9" s="119"/>
      <c r="Y9" s="119"/>
      <c r="Z9" s="119"/>
    </row>
    <row r="10" spans="1:26" s="16" customFormat="1" ht="18" customHeight="1">
      <c r="A10" s="118"/>
      <c r="B10" s="118"/>
      <c r="C10" s="119"/>
      <c r="D10" s="119"/>
      <c r="E10" s="120" t="s">
        <v>48</v>
      </c>
      <c r="F10" s="119"/>
      <c r="G10" s="119"/>
      <c r="H10" s="119"/>
      <c r="I10" s="119"/>
      <c r="J10" s="119"/>
      <c r="K10" s="119"/>
      <c r="L10" s="119"/>
      <c r="M10" s="119"/>
      <c r="N10" s="119"/>
      <c r="O10" s="119"/>
      <c r="P10" s="119"/>
      <c r="Q10" s="119"/>
      <c r="R10" s="119"/>
      <c r="S10" s="119"/>
      <c r="T10" s="119"/>
      <c r="U10" s="119"/>
      <c r="V10" s="119"/>
      <c r="W10" s="119"/>
      <c r="X10" s="119"/>
      <c r="Y10" s="119"/>
      <c r="Z10" s="119"/>
    </row>
    <row r="11" spans="1:26" s="16" customFormat="1" ht="18" customHeight="1">
      <c r="A11" s="118"/>
      <c r="B11" s="118"/>
      <c r="C11" s="119"/>
      <c r="D11" s="119" t="s">
        <v>49</v>
      </c>
      <c r="E11" s="119" t="s">
        <v>50</v>
      </c>
      <c r="F11" s="119"/>
      <c r="G11" s="119"/>
      <c r="H11" s="119"/>
      <c r="I11" s="119"/>
      <c r="J11" s="119"/>
      <c r="K11" s="119"/>
      <c r="L11" s="119"/>
      <c r="M11" s="119"/>
      <c r="N11" s="119"/>
      <c r="O11" s="119"/>
      <c r="P11" s="119"/>
      <c r="Q11" s="119"/>
      <c r="R11" s="119"/>
      <c r="S11" s="119"/>
      <c r="T11" s="119"/>
      <c r="U11" s="119"/>
      <c r="V11" s="119"/>
      <c r="W11" s="119"/>
      <c r="X11" s="119"/>
      <c r="Y11" s="119"/>
      <c r="Z11" s="119"/>
    </row>
    <row r="12" spans="1:26" s="16" customFormat="1" ht="18" customHeight="1">
      <c r="A12" s="118"/>
      <c r="B12" s="118"/>
      <c r="C12" s="119"/>
      <c r="D12" s="119"/>
      <c r="E12" s="119" t="s">
        <v>51</v>
      </c>
      <c r="F12" s="119"/>
      <c r="G12" s="119"/>
      <c r="H12" s="119"/>
      <c r="I12" s="119"/>
      <c r="J12" s="119"/>
      <c r="K12" s="119"/>
      <c r="L12" s="119"/>
      <c r="M12" s="119"/>
      <c r="N12" s="119"/>
      <c r="O12" s="119"/>
      <c r="P12" s="119"/>
      <c r="Q12" s="119"/>
      <c r="R12" s="119"/>
      <c r="S12" s="119"/>
      <c r="T12" s="119"/>
      <c r="U12" s="119"/>
      <c r="V12" s="119"/>
      <c r="W12" s="119"/>
      <c r="X12" s="119"/>
      <c r="Y12" s="119"/>
      <c r="Z12" s="119"/>
    </row>
    <row r="13" spans="1:26" s="16" customFormat="1" ht="18" customHeight="1">
      <c r="A13" s="118"/>
      <c r="B13" s="118" t="s">
        <v>52</v>
      </c>
      <c r="C13" s="119"/>
      <c r="D13" s="119"/>
      <c r="E13" s="119" t="s">
        <v>53</v>
      </c>
      <c r="F13" s="119"/>
      <c r="G13" s="119"/>
      <c r="H13" s="119"/>
      <c r="I13" s="119"/>
      <c r="J13" s="119"/>
      <c r="K13" s="119"/>
      <c r="L13" s="119"/>
      <c r="M13" s="119"/>
      <c r="N13" s="119"/>
      <c r="O13" s="119"/>
      <c r="P13" s="119"/>
      <c r="Q13" s="119"/>
      <c r="R13" s="119"/>
      <c r="S13" s="119"/>
      <c r="T13" s="119"/>
      <c r="U13" s="119"/>
      <c r="V13" s="119"/>
      <c r="W13" s="119"/>
      <c r="X13" s="119"/>
      <c r="Y13" s="119"/>
      <c r="Z13" s="119"/>
    </row>
    <row r="14" spans="1:26" s="16" customFormat="1" ht="18" customHeight="1">
      <c r="A14" s="118"/>
      <c r="B14" s="118"/>
      <c r="C14" s="119"/>
      <c r="D14" s="119"/>
      <c r="E14" s="119" t="s">
        <v>54</v>
      </c>
      <c r="F14" s="119"/>
      <c r="G14" s="119"/>
      <c r="H14" s="119"/>
      <c r="I14" s="119"/>
      <c r="J14" s="119"/>
      <c r="K14" s="119"/>
      <c r="L14" s="119"/>
      <c r="M14" s="119"/>
      <c r="N14" s="119"/>
      <c r="O14" s="119"/>
      <c r="P14" s="119"/>
      <c r="Q14" s="119"/>
      <c r="R14" s="119"/>
      <c r="S14" s="119"/>
      <c r="T14" s="119"/>
      <c r="U14" s="119"/>
      <c r="V14" s="119"/>
      <c r="W14" s="119"/>
      <c r="X14" s="119"/>
      <c r="Y14" s="119"/>
      <c r="Z14" s="119"/>
    </row>
    <row r="15" spans="1:26" s="16" customFormat="1" ht="18" customHeight="1">
      <c r="A15" s="118"/>
      <c r="B15" s="118"/>
      <c r="C15" s="119"/>
      <c r="D15" s="119"/>
      <c r="E15" s="119" t="s">
        <v>55</v>
      </c>
      <c r="F15" s="119"/>
      <c r="G15" s="119"/>
      <c r="H15" s="119"/>
      <c r="I15" s="119"/>
      <c r="J15" s="119"/>
      <c r="K15" s="119"/>
      <c r="L15" s="119"/>
      <c r="M15" s="119"/>
      <c r="N15" s="119"/>
      <c r="O15" s="119"/>
      <c r="P15" s="119"/>
      <c r="Q15" s="119"/>
      <c r="R15" s="119"/>
      <c r="S15" s="119"/>
      <c r="T15" s="119"/>
      <c r="U15" s="119"/>
      <c r="V15" s="119"/>
      <c r="W15" s="119"/>
      <c r="X15" s="119"/>
      <c r="Y15" s="119"/>
      <c r="Z15" s="119"/>
    </row>
    <row r="16" spans="1:26" s="16" customFormat="1" ht="18" customHeight="1">
      <c r="A16" s="118"/>
      <c r="B16" s="118"/>
      <c r="C16" s="119"/>
      <c r="D16" s="119"/>
      <c r="E16" s="119" t="s">
        <v>56</v>
      </c>
      <c r="F16" s="119"/>
      <c r="G16" s="119"/>
      <c r="H16" s="119"/>
      <c r="I16" s="119"/>
      <c r="J16" s="119"/>
      <c r="K16" s="119"/>
      <c r="L16" s="119"/>
      <c r="M16" s="119"/>
      <c r="N16" s="119"/>
      <c r="O16" s="119"/>
      <c r="P16" s="119"/>
      <c r="Q16" s="119"/>
      <c r="R16" s="119"/>
      <c r="S16" s="119"/>
      <c r="T16" s="119"/>
      <c r="U16" s="119"/>
      <c r="V16" s="119"/>
      <c r="W16" s="119"/>
      <c r="X16" s="119"/>
      <c r="Y16" s="119"/>
      <c r="Z16" s="119"/>
    </row>
    <row r="17" spans="1:26" s="16" customFormat="1" ht="18" customHeight="1">
      <c r="A17" s="118"/>
      <c r="B17" s="118"/>
      <c r="C17" s="119"/>
      <c r="D17" s="119"/>
      <c r="E17" s="119" t="s">
        <v>57</v>
      </c>
      <c r="F17" s="119"/>
      <c r="G17" s="119"/>
      <c r="H17" s="119"/>
      <c r="I17" s="119"/>
      <c r="J17" s="119"/>
      <c r="K17" s="119"/>
      <c r="L17" s="119"/>
      <c r="M17" s="119"/>
      <c r="N17" s="119"/>
      <c r="O17" s="119"/>
      <c r="P17" s="119"/>
      <c r="Q17" s="119"/>
      <c r="R17" s="119"/>
      <c r="S17" s="119"/>
      <c r="T17" s="119"/>
      <c r="U17" s="119"/>
      <c r="V17" s="119"/>
      <c r="W17" s="119"/>
      <c r="X17" s="119"/>
      <c r="Y17" s="119"/>
      <c r="Z17" s="119"/>
    </row>
    <row r="18" spans="1:26" s="16" customFormat="1" ht="18" customHeight="1">
      <c r="A18" s="118"/>
      <c r="B18" s="118" t="s">
        <v>58</v>
      </c>
      <c r="C18" s="119"/>
      <c r="D18" s="119"/>
      <c r="E18" s="119" t="s">
        <v>59</v>
      </c>
      <c r="F18" s="119"/>
      <c r="G18" s="119"/>
      <c r="H18" s="119"/>
      <c r="I18" s="119"/>
      <c r="J18" s="119"/>
      <c r="K18" s="119"/>
      <c r="L18" s="119"/>
      <c r="M18" s="119"/>
      <c r="N18" s="119"/>
      <c r="O18" s="119"/>
      <c r="P18" s="119"/>
      <c r="Q18" s="119"/>
      <c r="R18" s="119"/>
      <c r="S18" s="119"/>
      <c r="T18" s="119"/>
      <c r="U18" s="119"/>
      <c r="V18" s="119"/>
      <c r="W18" s="119"/>
      <c r="X18" s="119"/>
      <c r="Y18" s="119"/>
      <c r="Z18" s="119"/>
    </row>
    <row r="19" spans="1:26" s="16" customFormat="1" ht="18" customHeight="1">
      <c r="A19" s="118"/>
      <c r="B19" s="118" t="s">
        <v>60</v>
      </c>
      <c r="C19" s="119"/>
      <c r="D19" s="119"/>
      <c r="E19" s="119" t="s">
        <v>61</v>
      </c>
      <c r="F19" s="119"/>
      <c r="G19" s="119"/>
      <c r="H19" s="119"/>
      <c r="I19" s="119"/>
      <c r="J19" s="119"/>
      <c r="K19" s="119"/>
      <c r="L19" s="119"/>
      <c r="M19" s="119"/>
      <c r="N19" s="119"/>
      <c r="O19" s="119"/>
      <c r="P19" s="119"/>
      <c r="Q19" s="119"/>
      <c r="R19" s="119"/>
      <c r="S19" s="119"/>
      <c r="T19" s="119"/>
      <c r="U19" s="119"/>
      <c r="V19" s="119"/>
      <c r="W19" s="119"/>
      <c r="X19" s="119"/>
      <c r="Y19" s="119"/>
      <c r="Z19" s="119"/>
    </row>
    <row r="20" spans="1:26" s="16" customFormat="1" ht="18" customHeight="1">
      <c r="A20" s="118"/>
      <c r="B20" s="118" t="s">
        <v>62</v>
      </c>
      <c r="C20" s="119"/>
      <c r="D20" s="119"/>
      <c r="E20" s="119" t="s">
        <v>63</v>
      </c>
      <c r="F20" s="119" t="s">
        <v>64</v>
      </c>
      <c r="G20" s="119"/>
      <c r="H20" s="119"/>
      <c r="I20" s="119"/>
      <c r="J20" s="119"/>
      <c r="K20" s="119"/>
      <c r="L20" s="119"/>
      <c r="M20" s="119"/>
      <c r="N20" s="119"/>
      <c r="O20" s="119"/>
      <c r="P20" s="119"/>
      <c r="Q20" s="119"/>
      <c r="R20" s="119"/>
      <c r="S20" s="119"/>
      <c r="T20" s="119"/>
      <c r="U20" s="119"/>
      <c r="V20" s="119"/>
      <c r="W20" s="119"/>
      <c r="X20" s="119"/>
      <c r="Y20" s="119"/>
      <c r="Z20" s="119"/>
    </row>
    <row r="21" spans="1:26" s="16" customFormat="1" ht="18" customHeight="1">
      <c r="A21" s="118"/>
      <c r="B21" s="118"/>
      <c r="C21" s="119"/>
      <c r="D21" s="119"/>
      <c r="E21" s="119" t="s">
        <v>65</v>
      </c>
      <c r="F21" s="119" t="s">
        <v>66</v>
      </c>
      <c r="G21" s="119"/>
      <c r="H21" s="119"/>
      <c r="I21" s="119"/>
      <c r="J21" s="119"/>
      <c r="K21" s="119"/>
      <c r="L21" s="119"/>
      <c r="M21" s="119"/>
      <c r="N21" s="119"/>
      <c r="O21" s="119"/>
      <c r="P21" s="119"/>
      <c r="Q21" s="119"/>
      <c r="R21" s="119"/>
      <c r="S21" s="119"/>
      <c r="T21" s="119"/>
      <c r="U21" s="119"/>
      <c r="V21" s="119"/>
      <c r="W21" s="119"/>
      <c r="X21" s="119"/>
      <c r="Y21" s="119"/>
      <c r="Z21" s="119"/>
    </row>
    <row r="22" spans="1:26" s="16" customFormat="1" ht="18" customHeight="1">
      <c r="A22" s="118"/>
      <c r="B22" s="118"/>
      <c r="C22" s="119"/>
      <c r="D22" s="119"/>
      <c r="E22" s="119" t="s">
        <v>67</v>
      </c>
      <c r="F22" s="119" t="s">
        <v>68</v>
      </c>
      <c r="G22" s="119"/>
      <c r="H22" s="119"/>
      <c r="I22" s="119"/>
      <c r="J22" s="119"/>
      <c r="K22" s="119"/>
      <c r="L22" s="119"/>
      <c r="M22" s="119"/>
      <c r="N22" s="119"/>
      <c r="O22" s="119"/>
      <c r="P22" s="119"/>
      <c r="Q22" s="119"/>
      <c r="R22" s="119"/>
      <c r="S22" s="119"/>
      <c r="T22" s="119"/>
      <c r="U22" s="119"/>
      <c r="V22" s="119"/>
      <c r="W22" s="119"/>
      <c r="X22" s="119"/>
      <c r="Y22" s="119"/>
      <c r="Z22" s="119"/>
    </row>
    <row r="23" spans="1:26" s="16" customFormat="1" ht="18" customHeight="1">
      <c r="A23" s="118"/>
      <c r="B23" s="118"/>
      <c r="C23" s="119"/>
      <c r="D23" s="119"/>
      <c r="E23" s="119" t="s">
        <v>69</v>
      </c>
      <c r="F23" s="119" t="s">
        <v>70</v>
      </c>
      <c r="G23" s="119"/>
      <c r="H23" s="119"/>
      <c r="I23" s="119"/>
      <c r="J23" s="119"/>
      <c r="K23" s="119"/>
      <c r="L23" s="119"/>
      <c r="M23" s="119"/>
      <c r="N23" s="119"/>
      <c r="O23" s="119"/>
      <c r="P23" s="119"/>
      <c r="Q23" s="119"/>
      <c r="R23" s="119"/>
      <c r="S23" s="119"/>
      <c r="T23" s="119"/>
      <c r="U23" s="119"/>
      <c r="V23" s="119"/>
      <c r="W23" s="119"/>
      <c r="X23" s="119"/>
      <c r="Y23" s="119"/>
      <c r="Z23" s="119"/>
    </row>
    <row r="24" spans="1:26" s="16" customFormat="1" ht="18" customHeight="1">
      <c r="A24" s="118"/>
      <c r="B24" s="118"/>
      <c r="C24" s="119"/>
      <c r="D24" s="119"/>
      <c r="E24" s="119" t="s">
        <v>71</v>
      </c>
      <c r="F24" s="119" t="s">
        <v>72</v>
      </c>
      <c r="G24" s="119"/>
      <c r="H24" s="119"/>
      <c r="I24" s="119"/>
      <c r="J24" s="119"/>
      <c r="K24" s="119"/>
      <c r="L24" s="119"/>
      <c r="M24" s="119"/>
      <c r="N24" s="119"/>
      <c r="O24" s="119"/>
      <c r="P24" s="119"/>
      <c r="Q24" s="119"/>
      <c r="R24" s="119"/>
      <c r="S24" s="119"/>
      <c r="T24" s="119"/>
      <c r="U24" s="119"/>
      <c r="V24" s="119"/>
      <c r="W24" s="119"/>
      <c r="X24" s="119"/>
      <c r="Y24" s="119"/>
      <c r="Z24" s="119"/>
    </row>
    <row r="25" spans="1:26" s="16" customFormat="1" ht="18" customHeight="1">
      <c r="A25" s="118"/>
      <c r="B25" s="118"/>
      <c r="C25" s="119"/>
      <c r="D25" s="119"/>
      <c r="E25" s="119" t="s">
        <v>73</v>
      </c>
      <c r="F25" s="119" t="s">
        <v>74</v>
      </c>
      <c r="G25" s="119"/>
      <c r="H25" s="119"/>
      <c r="I25" s="119"/>
      <c r="J25" s="119"/>
      <c r="K25" s="119"/>
      <c r="L25" s="119"/>
      <c r="M25" s="119"/>
      <c r="N25" s="119"/>
      <c r="O25" s="119"/>
      <c r="P25" s="119"/>
      <c r="Q25" s="119"/>
      <c r="R25" s="119"/>
      <c r="S25" s="119"/>
      <c r="T25" s="119"/>
      <c r="U25" s="119"/>
      <c r="V25" s="119"/>
      <c r="W25" s="119"/>
      <c r="X25" s="119"/>
      <c r="Y25" s="119"/>
      <c r="Z25" s="119"/>
    </row>
    <row r="26" spans="1:26" s="16" customFormat="1" ht="18" customHeight="1">
      <c r="A26" s="118"/>
      <c r="B26" s="118"/>
      <c r="C26" s="119"/>
      <c r="D26" s="119"/>
      <c r="E26" s="119" t="s">
        <v>75</v>
      </c>
      <c r="F26" s="119" t="s">
        <v>76</v>
      </c>
      <c r="G26" s="119"/>
      <c r="H26" s="119"/>
      <c r="I26" s="119"/>
      <c r="J26" s="119"/>
      <c r="K26" s="119"/>
      <c r="L26" s="119"/>
      <c r="M26" s="119"/>
      <c r="N26" s="119"/>
      <c r="O26" s="119"/>
      <c r="P26" s="119"/>
      <c r="Q26" s="119"/>
      <c r="R26" s="119"/>
      <c r="S26" s="119"/>
      <c r="T26" s="119"/>
      <c r="U26" s="119"/>
      <c r="V26" s="119"/>
      <c r="W26" s="119"/>
      <c r="X26" s="119"/>
      <c r="Y26" s="119"/>
      <c r="Z26" s="119"/>
    </row>
    <row r="27" spans="1:26" s="16" customFormat="1" ht="18" customHeight="1">
      <c r="A27" s="118"/>
      <c r="B27" s="118"/>
      <c r="C27" s="119"/>
      <c r="D27" s="119"/>
      <c r="E27" s="119" t="s">
        <v>77</v>
      </c>
      <c r="F27" s="119" t="s">
        <v>78</v>
      </c>
      <c r="G27" s="119"/>
      <c r="H27" s="119"/>
      <c r="I27" s="119"/>
      <c r="J27" s="119"/>
      <c r="K27" s="119"/>
      <c r="L27" s="119"/>
      <c r="M27" s="119"/>
      <c r="N27" s="119"/>
      <c r="O27" s="119"/>
      <c r="P27" s="119"/>
      <c r="Q27" s="119"/>
      <c r="R27" s="119"/>
      <c r="S27" s="119"/>
      <c r="T27" s="119"/>
      <c r="U27" s="119"/>
      <c r="V27" s="119"/>
      <c r="W27" s="119"/>
      <c r="X27" s="119"/>
      <c r="Y27" s="119"/>
      <c r="Z27" s="119"/>
    </row>
    <row r="28" spans="1:26" s="16" customFormat="1" ht="18" customHeight="1">
      <c r="A28" s="118"/>
      <c r="B28" s="118" t="s">
        <v>79</v>
      </c>
      <c r="C28" s="119"/>
      <c r="D28" s="119"/>
      <c r="E28" s="127" t="s">
        <v>80</v>
      </c>
      <c r="F28" s="119"/>
      <c r="G28" s="119"/>
      <c r="H28" s="119"/>
      <c r="I28" s="119"/>
      <c r="J28" s="119"/>
      <c r="K28" s="119"/>
      <c r="L28" s="119"/>
      <c r="M28" s="119"/>
      <c r="N28" s="119"/>
      <c r="O28" s="119"/>
      <c r="P28" s="119"/>
      <c r="Q28" s="119"/>
      <c r="R28" s="119"/>
      <c r="S28" s="119"/>
      <c r="T28" s="119"/>
      <c r="U28" s="119"/>
      <c r="V28" s="119"/>
      <c r="W28" s="119"/>
      <c r="X28" s="119"/>
      <c r="Y28" s="119"/>
      <c r="Z28" s="119"/>
    </row>
    <row r="29" spans="1:26" s="16" customFormat="1" ht="18" customHeight="1">
      <c r="A29" s="118"/>
      <c r="B29" s="118"/>
      <c r="C29" s="119"/>
      <c r="D29" s="119"/>
      <c r="E29" s="119" t="s">
        <v>81</v>
      </c>
      <c r="F29" s="119"/>
      <c r="G29" s="119"/>
      <c r="H29" s="119"/>
      <c r="I29" s="119"/>
      <c r="J29" s="119"/>
      <c r="K29" s="119"/>
      <c r="L29" s="119"/>
      <c r="M29" s="119"/>
      <c r="N29" s="119"/>
      <c r="O29" s="119"/>
      <c r="P29" s="119"/>
      <c r="Q29" s="119"/>
      <c r="R29" s="119"/>
      <c r="S29" s="119"/>
      <c r="T29" s="119"/>
      <c r="U29" s="119"/>
      <c r="V29" s="119"/>
      <c r="W29" s="119"/>
      <c r="X29" s="119"/>
      <c r="Y29" s="119"/>
      <c r="Z29" s="119"/>
    </row>
    <row r="30" spans="1:26" s="16" customFormat="1" ht="18" customHeight="1">
      <c r="A30" s="118"/>
      <c r="B30" s="118"/>
      <c r="C30" s="119"/>
      <c r="D30" s="119"/>
      <c r="E30" s="119" t="s">
        <v>82</v>
      </c>
      <c r="F30" s="119"/>
      <c r="G30" s="119"/>
      <c r="H30" s="119"/>
      <c r="I30" s="119"/>
      <c r="J30" s="119"/>
      <c r="K30" s="119"/>
      <c r="L30" s="119"/>
      <c r="M30" s="119"/>
      <c r="N30" s="119"/>
      <c r="O30" s="119"/>
      <c r="P30" s="119"/>
      <c r="Q30" s="119"/>
      <c r="R30" s="119"/>
      <c r="S30" s="119"/>
      <c r="T30" s="119"/>
      <c r="U30" s="119"/>
      <c r="V30" s="119"/>
      <c r="W30" s="119"/>
      <c r="X30" s="119"/>
      <c r="Y30" s="119"/>
      <c r="Z30" s="119"/>
    </row>
    <row r="31" spans="1:26" s="121" customFormat="1" ht="94.95" customHeight="1">
      <c r="A31" s="128"/>
      <c r="B31" s="128"/>
      <c r="C31" s="129"/>
      <c r="D31" s="129"/>
      <c r="E31" s="129"/>
      <c r="F31" s="334" t="s">
        <v>83</v>
      </c>
      <c r="G31" s="335"/>
      <c r="H31" s="335"/>
      <c r="I31" s="335"/>
      <c r="J31" s="335"/>
      <c r="K31" s="335"/>
      <c r="L31" s="335"/>
      <c r="M31" s="335"/>
      <c r="N31" s="335"/>
      <c r="O31" s="335"/>
      <c r="P31" s="336"/>
      <c r="Q31" s="129"/>
      <c r="R31" s="129"/>
      <c r="S31" s="129"/>
      <c r="T31" s="129"/>
      <c r="U31" s="129"/>
      <c r="V31" s="129"/>
      <c r="W31" s="129"/>
      <c r="X31" s="129"/>
      <c r="Y31" s="129"/>
      <c r="Z31" s="129"/>
    </row>
    <row r="32" spans="1:26" s="16" customFormat="1" ht="18" customHeight="1">
      <c r="A32" s="118"/>
      <c r="B32" s="118" t="s">
        <v>84</v>
      </c>
      <c r="C32" s="119"/>
      <c r="D32" s="119"/>
      <c r="E32" s="119" t="s">
        <v>85</v>
      </c>
      <c r="F32" s="119"/>
      <c r="G32" s="119"/>
      <c r="H32" s="119"/>
      <c r="I32" s="119"/>
      <c r="J32" s="119"/>
      <c r="K32" s="119"/>
      <c r="L32" s="119"/>
      <c r="M32" s="119"/>
      <c r="N32" s="119"/>
      <c r="O32" s="119"/>
      <c r="P32" s="119"/>
      <c r="Q32" s="119"/>
      <c r="R32" s="119"/>
      <c r="S32" s="119"/>
      <c r="T32" s="119"/>
      <c r="U32" s="119"/>
      <c r="V32" s="119"/>
      <c r="W32" s="119"/>
      <c r="X32" s="119"/>
      <c r="Y32" s="119"/>
      <c r="Z32" s="119"/>
    </row>
    <row r="33" spans="1:26" s="16" customFormat="1" ht="18" customHeight="1">
      <c r="A33" s="118"/>
      <c r="B33" s="118" t="s">
        <v>86</v>
      </c>
      <c r="C33" s="119"/>
      <c r="D33" s="119"/>
      <c r="E33" s="119" t="s">
        <v>87</v>
      </c>
      <c r="F33" s="119"/>
      <c r="G33" s="119"/>
      <c r="H33" s="119"/>
      <c r="I33" s="119"/>
      <c r="J33" s="119"/>
      <c r="K33" s="119"/>
      <c r="L33" s="119"/>
      <c r="M33" s="119"/>
      <c r="N33" s="119"/>
      <c r="O33" s="119"/>
      <c r="P33" s="119"/>
      <c r="Q33" s="119"/>
      <c r="R33" s="119"/>
      <c r="S33" s="119"/>
      <c r="T33" s="119"/>
      <c r="U33" s="119"/>
      <c r="V33" s="119"/>
      <c r="W33" s="119"/>
      <c r="X33" s="119"/>
      <c r="Y33" s="119"/>
      <c r="Z33" s="119"/>
    </row>
    <row r="34" spans="1:26" s="16" customFormat="1" ht="18" customHeight="1">
      <c r="A34" s="118"/>
      <c r="B34" s="118" t="s">
        <v>88</v>
      </c>
      <c r="C34" s="119"/>
      <c r="D34" s="119" t="s">
        <v>89</v>
      </c>
      <c r="E34" s="119" t="s">
        <v>90</v>
      </c>
      <c r="F34" s="119"/>
      <c r="G34" s="119"/>
      <c r="H34" s="119"/>
      <c r="I34" s="119"/>
      <c r="J34" s="119"/>
      <c r="K34" s="119"/>
      <c r="L34" s="119"/>
      <c r="M34" s="119"/>
      <c r="N34" s="119"/>
      <c r="O34" s="119"/>
      <c r="P34" s="119"/>
      <c r="Q34" s="119"/>
      <c r="R34" s="119"/>
      <c r="S34" s="119"/>
      <c r="T34" s="119"/>
      <c r="U34" s="119"/>
      <c r="V34" s="119"/>
      <c r="W34" s="119"/>
      <c r="X34" s="119"/>
      <c r="Y34" s="119"/>
      <c r="Z34" s="119"/>
    </row>
    <row r="35" spans="1:26" s="16" customFormat="1" ht="18" customHeight="1">
      <c r="A35" s="118"/>
      <c r="B35" s="118"/>
      <c r="C35" s="119"/>
      <c r="D35" s="119" t="s">
        <v>91</v>
      </c>
      <c r="E35" s="119" t="s">
        <v>92</v>
      </c>
      <c r="F35" s="119"/>
      <c r="G35" s="119"/>
      <c r="H35" s="119"/>
      <c r="I35" s="119"/>
      <c r="J35" s="119"/>
      <c r="K35" s="119"/>
      <c r="L35" s="119"/>
      <c r="M35" s="119"/>
      <c r="N35" s="119"/>
      <c r="O35" s="119"/>
      <c r="P35" s="119"/>
      <c r="Q35" s="119"/>
      <c r="R35" s="119"/>
      <c r="S35" s="119"/>
      <c r="T35" s="119"/>
      <c r="U35" s="119"/>
      <c r="V35" s="119"/>
      <c r="W35" s="119"/>
      <c r="X35" s="119"/>
      <c r="Y35" s="119"/>
      <c r="Z35" s="119"/>
    </row>
    <row r="36" spans="1:26" s="16" customFormat="1" ht="18" customHeight="1">
      <c r="A36" s="118"/>
      <c r="B36" s="118"/>
      <c r="C36" s="119"/>
      <c r="D36" s="119" t="s">
        <v>93</v>
      </c>
      <c r="E36" s="119" t="s">
        <v>94</v>
      </c>
      <c r="F36" s="119"/>
      <c r="G36" s="119"/>
      <c r="H36" s="119"/>
      <c r="I36" s="119"/>
      <c r="J36" s="119"/>
      <c r="K36" s="119"/>
      <c r="L36" s="119"/>
      <c r="M36" s="119"/>
      <c r="N36" s="119"/>
      <c r="O36" s="119"/>
      <c r="P36" s="119"/>
      <c r="Q36" s="119"/>
      <c r="R36" s="119"/>
      <c r="S36" s="119"/>
      <c r="T36" s="119"/>
      <c r="U36" s="119"/>
      <c r="V36" s="119"/>
      <c r="W36" s="119"/>
      <c r="X36" s="119"/>
      <c r="Y36" s="119"/>
      <c r="Z36" s="119"/>
    </row>
    <row r="37" spans="1:26" s="16" customFormat="1" ht="18" customHeight="1">
      <c r="A37" s="118"/>
      <c r="B37" s="118" t="s">
        <v>95</v>
      </c>
      <c r="C37" s="119"/>
      <c r="D37" s="130">
        <v>1000</v>
      </c>
      <c r="E37" s="119" t="s">
        <v>96</v>
      </c>
      <c r="F37" s="119"/>
      <c r="G37" s="119"/>
      <c r="H37" s="119"/>
      <c r="I37" s="119"/>
      <c r="J37" s="119"/>
      <c r="K37" s="119"/>
      <c r="L37" s="119"/>
      <c r="M37" s="119"/>
      <c r="N37" s="119"/>
      <c r="O37" s="119"/>
      <c r="P37" s="119"/>
      <c r="Q37" s="119"/>
      <c r="R37" s="119"/>
      <c r="S37" s="119"/>
      <c r="T37" s="119"/>
      <c r="U37" s="119"/>
      <c r="V37" s="119"/>
      <c r="W37" s="119"/>
      <c r="X37" s="119"/>
      <c r="Y37" s="119"/>
      <c r="Z37" s="119"/>
    </row>
    <row r="38" spans="1:26" s="16" customFormat="1" ht="18" customHeight="1">
      <c r="A38" s="118"/>
      <c r="B38" s="119"/>
      <c r="C38" s="119"/>
      <c r="D38" s="131"/>
      <c r="E38" s="119" t="s">
        <v>97</v>
      </c>
      <c r="F38" s="119"/>
      <c r="G38" s="119"/>
      <c r="H38" s="119"/>
      <c r="I38" s="119"/>
      <c r="J38" s="119"/>
      <c r="K38" s="119"/>
      <c r="L38" s="119"/>
      <c r="M38" s="119"/>
      <c r="N38" s="119"/>
      <c r="O38" s="119"/>
      <c r="P38" s="119"/>
      <c r="Q38" s="119"/>
      <c r="R38" s="119"/>
      <c r="S38" s="119"/>
      <c r="T38" s="119"/>
      <c r="U38" s="119"/>
      <c r="V38" s="119"/>
      <c r="W38" s="119"/>
      <c r="X38" s="119"/>
      <c r="Y38" s="119"/>
      <c r="Z38" s="119"/>
    </row>
    <row r="39" spans="1:26" s="16" customFormat="1" ht="18" customHeight="1">
      <c r="A39" s="118"/>
      <c r="B39" s="119"/>
      <c r="C39" s="119"/>
      <c r="D39" s="131"/>
      <c r="E39" s="119" t="s">
        <v>98</v>
      </c>
      <c r="F39" s="119"/>
      <c r="G39" s="119"/>
      <c r="H39" s="119"/>
      <c r="I39" s="119"/>
      <c r="J39" s="119"/>
      <c r="K39" s="119"/>
      <c r="L39" s="119"/>
      <c r="M39" s="119"/>
      <c r="N39" s="119"/>
      <c r="O39" s="119"/>
      <c r="P39" s="119"/>
      <c r="Q39" s="119"/>
      <c r="R39" s="119"/>
      <c r="S39" s="119"/>
      <c r="T39" s="119"/>
      <c r="U39" s="119"/>
      <c r="V39" s="119"/>
      <c r="W39" s="119"/>
      <c r="X39" s="119"/>
      <c r="Y39" s="119"/>
      <c r="Z39" s="119"/>
    </row>
    <row r="40" spans="1:26" s="16" customFormat="1" ht="18" customHeight="1">
      <c r="A40" s="118"/>
      <c r="B40" s="119"/>
      <c r="C40" s="119"/>
      <c r="D40" s="131"/>
      <c r="E40" s="119" t="s">
        <v>99</v>
      </c>
      <c r="F40" s="119"/>
      <c r="G40" s="119"/>
      <c r="H40" s="119"/>
      <c r="I40" s="119"/>
      <c r="J40" s="119"/>
      <c r="K40" s="119"/>
      <c r="L40" s="119"/>
      <c r="M40" s="119"/>
      <c r="N40" s="119"/>
      <c r="O40" s="119"/>
      <c r="P40" s="119"/>
      <c r="Q40" s="119"/>
      <c r="R40" s="119"/>
      <c r="S40" s="119"/>
      <c r="T40" s="119"/>
      <c r="U40" s="119"/>
      <c r="V40" s="119"/>
      <c r="W40" s="119"/>
      <c r="X40" s="119"/>
      <c r="Y40" s="119"/>
      <c r="Z40" s="119"/>
    </row>
    <row r="41" spans="1:26" s="16" customFormat="1" ht="18" customHeight="1">
      <c r="A41" s="132"/>
      <c r="B41" s="119"/>
      <c r="C41" s="119"/>
      <c r="D41" s="131"/>
      <c r="E41" s="119" t="s">
        <v>100</v>
      </c>
      <c r="F41" s="119"/>
      <c r="G41" s="119"/>
      <c r="H41" s="119"/>
      <c r="I41" s="119"/>
      <c r="J41" s="119"/>
      <c r="K41" s="119"/>
      <c r="L41" s="119"/>
      <c r="M41" s="119"/>
      <c r="N41" s="119"/>
      <c r="O41" s="119"/>
      <c r="P41" s="119"/>
      <c r="Q41" s="119"/>
      <c r="R41" s="119"/>
      <c r="S41" s="119"/>
      <c r="T41" s="119"/>
      <c r="U41" s="119"/>
      <c r="V41" s="119"/>
      <c r="W41" s="119"/>
      <c r="X41" s="119"/>
      <c r="Y41" s="119"/>
      <c r="Z41" s="119"/>
    </row>
    <row r="42" spans="1:26" s="16" customFormat="1" ht="18" customHeight="1">
      <c r="A42" s="132"/>
      <c r="B42" s="119"/>
      <c r="C42" s="119"/>
      <c r="D42" s="133">
        <v>1000.1</v>
      </c>
      <c r="E42" s="119" t="s">
        <v>101</v>
      </c>
      <c r="F42" s="119"/>
      <c r="G42" s="119"/>
      <c r="H42" s="119"/>
      <c r="I42" s="119"/>
      <c r="J42" s="119"/>
      <c r="K42" s="119"/>
      <c r="L42" s="119"/>
      <c r="M42" s="119"/>
      <c r="N42" s="119"/>
      <c r="O42" s="119"/>
      <c r="P42" s="119"/>
      <c r="Q42" s="119"/>
      <c r="R42" s="119"/>
      <c r="S42" s="119"/>
      <c r="T42" s="119"/>
      <c r="U42" s="119"/>
      <c r="V42" s="119"/>
      <c r="W42" s="119"/>
      <c r="X42" s="119"/>
      <c r="Y42" s="119"/>
      <c r="Z42" s="119"/>
    </row>
    <row r="43" spans="1:26" s="27" customFormat="1" ht="18" customHeight="1">
      <c r="A43" s="248"/>
      <c r="B43" s="119"/>
      <c r="C43" s="119"/>
      <c r="D43" s="134"/>
      <c r="E43" s="119" t="s">
        <v>102</v>
      </c>
      <c r="F43" s="119"/>
      <c r="G43" s="119"/>
      <c r="H43" s="119"/>
      <c r="I43" s="119"/>
      <c r="J43" s="119"/>
      <c r="K43" s="119"/>
      <c r="L43" s="135"/>
      <c r="M43" s="135"/>
      <c r="N43" s="135"/>
      <c r="O43" s="135"/>
      <c r="P43" s="135"/>
      <c r="Q43" s="135"/>
      <c r="R43" s="135"/>
      <c r="S43" s="135"/>
      <c r="T43" s="135"/>
      <c r="U43" s="135"/>
      <c r="V43" s="135"/>
      <c r="W43" s="135"/>
      <c r="X43" s="135"/>
      <c r="Y43" s="135"/>
      <c r="Z43" s="135"/>
    </row>
    <row r="44" spans="1:26" s="27" customFormat="1" ht="18" customHeight="1">
      <c r="A44" s="248"/>
      <c r="B44" s="119"/>
      <c r="C44" s="119"/>
      <c r="D44" s="134"/>
      <c r="E44" s="119" t="s">
        <v>103</v>
      </c>
      <c r="F44" s="119"/>
      <c r="G44" s="119"/>
      <c r="H44" s="119"/>
      <c r="I44" s="119"/>
      <c r="J44" s="119"/>
      <c r="K44" s="119"/>
      <c r="L44" s="135"/>
      <c r="M44" s="135"/>
      <c r="N44" s="135"/>
      <c r="O44" s="135"/>
      <c r="P44" s="135"/>
      <c r="Q44" s="135"/>
      <c r="R44" s="135"/>
      <c r="S44" s="135"/>
      <c r="T44" s="135"/>
      <c r="U44" s="135"/>
      <c r="V44" s="135"/>
      <c r="W44" s="135"/>
      <c r="X44" s="135"/>
      <c r="Y44" s="135"/>
      <c r="Z44" s="135"/>
    </row>
    <row r="45" spans="1:26" s="27" customFormat="1" ht="18" customHeight="1">
      <c r="A45" s="248"/>
      <c r="B45" s="119"/>
      <c r="C45" s="119"/>
      <c r="D45" s="134">
        <v>1.0999999999999999E-2</v>
      </c>
      <c r="E45" s="119" t="s">
        <v>104</v>
      </c>
      <c r="F45" s="119"/>
      <c r="G45" s="119"/>
      <c r="H45" s="119"/>
      <c r="I45" s="135"/>
      <c r="J45" s="135"/>
      <c r="K45" s="135"/>
      <c r="L45" s="135"/>
      <c r="M45" s="135"/>
      <c r="N45" s="135"/>
      <c r="O45" s="135"/>
      <c r="P45" s="135"/>
      <c r="Q45" s="135"/>
      <c r="R45" s="135"/>
      <c r="S45" s="135"/>
      <c r="T45" s="135"/>
      <c r="U45" s="135"/>
      <c r="V45" s="135"/>
      <c r="W45" s="135"/>
      <c r="X45" s="135"/>
      <c r="Y45" s="135"/>
      <c r="Z45" s="135"/>
    </row>
    <row r="46" spans="1:26" s="27" customFormat="1" ht="18" customHeight="1">
      <c r="A46" s="248"/>
      <c r="B46" s="118"/>
      <c r="C46" s="118"/>
      <c r="D46" s="131"/>
      <c r="E46" s="119" t="s">
        <v>105</v>
      </c>
      <c r="F46" s="119"/>
      <c r="G46" s="119"/>
      <c r="H46" s="119"/>
      <c r="I46" s="135"/>
      <c r="J46" s="135"/>
      <c r="K46" s="135"/>
      <c r="L46" s="135"/>
      <c r="M46" s="135"/>
      <c r="N46" s="135"/>
      <c r="O46" s="135"/>
      <c r="P46" s="135"/>
      <c r="Q46" s="135"/>
      <c r="R46" s="135"/>
      <c r="S46" s="135"/>
      <c r="T46" s="135"/>
      <c r="U46" s="135"/>
      <c r="V46" s="135"/>
      <c r="W46" s="135"/>
      <c r="X46" s="135"/>
      <c r="Y46" s="135"/>
      <c r="Z46" s="135"/>
    </row>
    <row r="47" spans="1:26" s="16" customFormat="1" ht="18" customHeight="1">
      <c r="A47" s="132"/>
      <c r="B47" s="118" t="s">
        <v>106</v>
      </c>
      <c r="C47" s="118"/>
      <c r="D47" s="131" t="s">
        <v>107</v>
      </c>
      <c r="E47" s="119" t="s">
        <v>108</v>
      </c>
      <c r="F47" s="119"/>
      <c r="G47" s="119"/>
      <c r="H47" s="119"/>
      <c r="I47" s="135"/>
      <c r="J47" s="135"/>
      <c r="K47" s="119"/>
      <c r="L47" s="119"/>
      <c r="M47" s="119"/>
      <c r="N47" s="119"/>
      <c r="O47" s="119"/>
      <c r="P47" s="119"/>
      <c r="Q47" s="119"/>
      <c r="R47" s="119"/>
      <c r="S47" s="119"/>
      <c r="T47" s="119"/>
      <c r="U47" s="119"/>
      <c r="V47" s="119"/>
      <c r="W47" s="119"/>
      <c r="X47" s="119"/>
      <c r="Y47" s="119"/>
      <c r="Z47" s="119"/>
    </row>
    <row r="48" spans="1:26" s="16" customFormat="1" ht="18" customHeight="1">
      <c r="A48" s="248"/>
      <c r="B48" s="119"/>
      <c r="C48" s="118"/>
      <c r="D48" s="131" t="s">
        <v>109</v>
      </c>
      <c r="E48" s="119" t="s">
        <v>110</v>
      </c>
      <c r="F48" s="119"/>
      <c r="G48" s="119"/>
      <c r="H48" s="136"/>
      <c r="I48" s="136"/>
      <c r="J48" s="136"/>
      <c r="K48" s="119"/>
      <c r="L48" s="119"/>
      <c r="M48" s="119"/>
      <c r="N48" s="119"/>
      <c r="O48" s="119"/>
      <c r="P48" s="119"/>
      <c r="Q48" s="119"/>
      <c r="R48" s="119"/>
      <c r="S48" s="119"/>
      <c r="T48" s="119"/>
      <c r="U48" s="119"/>
      <c r="V48" s="119"/>
      <c r="W48" s="119"/>
      <c r="X48" s="119"/>
      <c r="Y48" s="119"/>
      <c r="Z48" s="119"/>
    </row>
    <row r="49" spans="1:26" s="27" customFormat="1" ht="18" customHeight="1">
      <c r="A49" s="248"/>
      <c r="B49" s="118"/>
      <c r="C49" s="118"/>
      <c r="D49" s="131" t="s">
        <v>91</v>
      </c>
      <c r="E49" s="119" t="s">
        <v>111</v>
      </c>
      <c r="F49" s="119"/>
      <c r="G49" s="119"/>
      <c r="H49" s="136"/>
      <c r="I49" s="136"/>
      <c r="J49" s="136"/>
      <c r="K49" s="119"/>
      <c r="L49" s="135"/>
      <c r="M49" s="135"/>
      <c r="N49" s="135"/>
      <c r="O49" s="135"/>
      <c r="P49" s="135"/>
      <c r="Q49" s="135"/>
      <c r="R49" s="135"/>
      <c r="S49" s="135"/>
      <c r="T49" s="135"/>
      <c r="U49" s="135"/>
      <c r="V49" s="135"/>
      <c r="W49" s="135"/>
      <c r="X49" s="135"/>
      <c r="Y49" s="135"/>
      <c r="Z49" s="135"/>
    </row>
    <row r="50" spans="1:26" s="27" customFormat="1" ht="18" customHeight="1">
      <c r="A50" s="248"/>
      <c r="B50" s="119"/>
      <c r="C50" s="119"/>
      <c r="D50" s="131"/>
      <c r="E50" s="122" t="s">
        <v>112</v>
      </c>
      <c r="F50" s="137" t="s">
        <v>113</v>
      </c>
      <c r="G50" s="136"/>
      <c r="H50" s="136"/>
      <c r="I50" s="136"/>
      <c r="J50" s="136"/>
      <c r="K50" s="135"/>
      <c r="L50" s="135"/>
      <c r="M50" s="135"/>
      <c r="N50" s="135"/>
      <c r="O50" s="135"/>
      <c r="P50" s="135"/>
      <c r="Q50" s="135"/>
      <c r="R50" s="135"/>
      <c r="S50" s="135"/>
      <c r="T50" s="135"/>
      <c r="U50" s="135"/>
      <c r="V50" s="135"/>
      <c r="W50" s="135"/>
      <c r="X50" s="135"/>
      <c r="Y50" s="135"/>
      <c r="Z50" s="135"/>
    </row>
    <row r="51" spans="1:26" s="27" customFormat="1" ht="18" customHeight="1">
      <c r="A51" s="248"/>
      <c r="B51" s="138"/>
      <c r="C51" s="138"/>
      <c r="D51" s="119"/>
      <c r="E51" s="123" t="s">
        <v>109</v>
      </c>
      <c r="F51" s="137" t="s">
        <v>114</v>
      </c>
      <c r="G51" s="136"/>
      <c r="H51" s="136"/>
      <c r="I51" s="136"/>
      <c r="J51" s="136"/>
      <c r="K51" s="135"/>
      <c r="L51" s="135"/>
      <c r="M51" s="135"/>
      <c r="N51" s="135"/>
      <c r="O51" s="135"/>
      <c r="P51" s="135"/>
      <c r="Q51" s="135"/>
      <c r="R51" s="135"/>
      <c r="S51" s="135"/>
      <c r="T51" s="135"/>
      <c r="U51" s="135"/>
      <c r="V51" s="135"/>
      <c r="W51" s="135"/>
      <c r="X51" s="135"/>
      <c r="Y51" s="135"/>
      <c r="Z51" s="135"/>
    </row>
    <row r="52" spans="1:26" s="27" customFormat="1" ht="18" customHeight="1">
      <c r="A52" s="139"/>
      <c r="B52" s="138"/>
      <c r="C52" s="138"/>
      <c r="D52" s="119"/>
      <c r="E52" s="140" t="s">
        <v>115</v>
      </c>
      <c r="F52" s="137" t="s">
        <v>116</v>
      </c>
      <c r="G52" s="136"/>
      <c r="H52" s="136"/>
      <c r="I52" s="136"/>
      <c r="J52" s="136"/>
      <c r="K52" s="135"/>
      <c r="L52" s="135"/>
      <c r="M52" s="135"/>
      <c r="N52" s="135"/>
      <c r="O52" s="135"/>
      <c r="P52" s="135"/>
      <c r="Q52" s="135"/>
      <c r="R52" s="135"/>
      <c r="S52" s="135"/>
      <c r="T52" s="135"/>
      <c r="U52" s="135"/>
      <c r="V52" s="135"/>
      <c r="W52" s="135"/>
      <c r="X52" s="135"/>
      <c r="Y52" s="135"/>
      <c r="Z52" s="135"/>
    </row>
    <row r="53" spans="1:26" s="28" customFormat="1" ht="18" customHeight="1">
      <c r="A53" s="139"/>
      <c r="B53" s="136"/>
      <c r="C53" s="119"/>
      <c r="D53" s="119"/>
      <c r="E53" s="29" t="s">
        <v>117</v>
      </c>
      <c r="F53" s="137" t="s">
        <v>118</v>
      </c>
      <c r="G53" s="136"/>
      <c r="H53" s="136"/>
      <c r="I53" s="136"/>
      <c r="J53" s="136"/>
      <c r="K53" s="135"/>
      <c r="L53" s="136"/>
      <c r="M53" s="136"/>
      <c r="N53" s="136"/>
      <c r="O53" s="136"/>
      <c r="P53" s="136"/>
      <c r="Q53" s="136"/>
      <c r="R53" s="136"/>
      <c r="S53" s="136"/>
      <c r="T53" s="136"/>
      <c r="U53" s="136"/>
      <c r="V53" s="136"/>
      <c r="W53" s="136"/>
      <c r="X53" s="136"/>
      <c r="Y53" s="136"/>
      <c r="Z53" s="136"/>
    </row>
    <row r="54" spans="1:26" s="28" customFormat="1" ht="18" customHeight="1">
      <c r="A54" s="139"/>
      <c r="B54" s="136"/>
      <c r="C54" s="136"/>
      <c r="D54" s="119"/>
      <c r="E54" s="30" t="s">
        <v>119</v>
      </c>
      <c r="F54" s="137" t="s">
        <v>120</v>
      </c>
      <c r="G54" s="136"/>
      <c r="H54" s="136"/>
      <c r="I54" s="136"/>
      <c r="J54" s="136"/>
      <c r="K54" s="136"/>
      <c r="L54" s="136"/>
      <c r="M54" s="136"/>
      <c r="N54" s="136"/>
      <c r="O54" s="136"/>
      <c r="P54" s="136"/>
      <c r="Q54" s="136"/>
      <c r="R54" s="136"/>
      <c r="S54" s="136"/>
      <c r="T54" s="136"/>
      <c r="U54" s="136"/>
      <c r="V54" s="136"/>
      <c r="W54" s="136"/>
      <c r="X54" s="136"/>
      <c r="Y54" s="136"/>
      <c r="Z54" s="136"/>
    </row>
    <row r="55" spans="1:26" s="28" customFormat="1" ht="17.399999999999999" customHeight="1">
      <c r="A55" s="139"/>
      <c r="B55" s="136"/>
      <c r="C55" s="136"/>
      <c r="D55" s="119"/>
      <c r="E55" s="137" t="s">
        <v>121</v>
      </c>
      <c r="F55" s="136"/>
      <c r="G55" s="136"/>
      <c r="H55" s="136"/>
      <c r="I55" s="136"/>
      <c r="J55" s="136"/>
      <c r="K55" s="136"/>
      <c r="L55" s="136"/>
      <c r="M55" s="136"/>
      <c r="N55" s="136"/>
      <c r="O55" s="136"/>
      <c r="P55" s="136"/>
      <c r="Q55" s="136"/>
      <c r="R55" s="136"/>
      <c r="S55" s="136"/>
      <c r="T55" s="136"/>
      <c r="U55" s="136"/>
      <c r="V55" s="136"/>
      <c r="W55" s="136"/>
      <c r="X55" s="136"/>
      <c r="Y55" s="136"/>
      <c r="Z55" s="136"/>
    </row>
    <row r="56" spans="1:26" s="28" customFormat="1" ht="18" customHeight="1">
      <c r="A56" s="139"/>
      <c r="B56" s="136"/>
      <c r="C56" s="136"/>
      <c r="D56" s="136"/>
      <c r="E56" s="141"/>
      <c r="F56" s="136"/>
      <c r="G56" s="136"/>
      <c r="H56" s="136"/>
      <c r="I56" s="136"/>
      <c r="J56" s="136"/>
      <c r="K56" s="136"/>
      <c r="L56" s="136"/>
      <c r="M56" s="136"/>
      <c r="N56" s="136"/>
      <c r="O56" s="136"/>
      <c r="P56" s="136"/>
      <c r="Q56" s="136"/>
      <c r="R56" s="136"/>
      <c r="S56" s="136"/>
      <c r="T56" s="136"/>
      <c r="U56" s="136"/>
      <c r="V56" s="136"/>
      <c r="W56" s="136"/>
      <c r="X56" s="136"/>
      <c r="Y56" s="136"/>
      <c r="Z56" s="136"/>
    </row>
    <row r="57" spans="1:26" s="28" customFormat="1" ht="18" customHeight="1">
      <c r="A57" s="139"/>
      <c r="B57" s="136"/>
      <c r="C57" s="136"/>
      <c r="D57" s="136"/>
      <c r="E57" s="141"/>
      <c r="F57" s="136"/>
      <c r="G57" s="136"/>
      <c r="H57" s="136"/>
      <c r="I57" s="136"/>
      <c r="J57" s="136"/>
      <c r="K57" s="136"/>
      <c r="L57" s="136"/>
      <c r="M57" s="136"/>
      <c r="N57" s="136"/>
      <c r="O57" s="136"/>
      <c r="P57" s="136"/>
      <c r="Q57" s="136"/>
      <c r="R57" s="136"/>
      <c r="S57" s="136"/>
      <c r="T57" s="136"/>
      <c r="U57" s="136"/>
      <c r="V57" s="136"/>
      <c r="W57" s="136"/>
      <c r="X57" s="136"/>
      <c r="Y57" s="136"/>
      <c r="Z57" s="136"/>
    </row>
    <row r="58" spans="1:26" ht="18" customHeight="1">
      <c r="A58" s="248"/>
      <c r="B58" s="141"/>
      <c r="C58" s="141"/>
      <c r="D58" s="141"/>
      <c r="E58" s="141"/>
      <c r="F58" s="141"/>
      <c r="G58" s="141"/>
      <c r="H58" s="141"/>
      <c r="I58" s="141"/>
      <c r="J58" s="141"/>
      <c r="K58" s="141"/>
      <c r="L58" s="141"/>
      <c r="M58" s="141"/>
      <c r="N58" s="141"/>
      <c r="O58" s="141"/>
      <c r="P58" s="141"/>
      <c r="Q58" s="141"/>
      <c r="R58" s="141"/>
      <c r="S58" s="141"/>
      <c r="T58" s="141"/>
      <c r="U58" s="141"/>
      <c r="V58" s="141"/>
      <c r="W58" s="141"/>
      <c r="X58" s="141"/>
      <c r="Y58" s="141"/>
      <c r="Z58" s="141"/>
    </row>
    <row r="59" spans="1:26" ht="18" customHeight="1">
      <c r="A59" s="248"/>
      <c r="B59" s="141"/>
      <c r="C59" s="141"/>
      <c r="D59" s="141"/>
      <c r="E59" s="141"/>
      <c r="F59" s="141"/>
      <c r="G59" s="141"/>
      <c r="H59" s="141"/>
      <c r="I59" s="141"/>
      <c r="J59" s="141"/>
      <c r="K59" s="141"/>
      <c r="L59" s="141"/>
      <c r="M59" s="141"/>
      <c r="N59" s="141"/>
      <c r="O59" s="141"/>
      <c r="P59" s="141"/>
      <c r="Q59" s="141"/>
      <c r="R59" s="141"/>
      <c r="S59" s="141"/>
      <c r="T59" s="141"/>
      <c r="U59" s="141"/>
      <c r="V59" s="141"/>
      <c r="W59" s="141"/>
      <c r="X59" s="141"/>
      <c r="Y59" s="141"/>
      <c r="Z59" s="141"/>
    </row>
    <row r="60" spans="1:26" ht="18" customHeight="1">
      <c r="A60" s="248"/>
      <c r="B60" s="141"/>
      <c r="C60" s="141"/>
      <c r="D60" s="141"/>
      <c r="E60" s="141"/>
      <c r="F60" s="141"/>
      <c r="G60" s="141"/>
      <c r="H60" s="141"/>
      <c r="I60" s="141"/>
      <c r="J60" s="141"/>
      <c r="K60" s="141"/>
      <c r="L60" s="141"/>
      <c r="M60" s="141"/>
      <c r="N60" s="141"/>
      <c r="O60" s="141"/>
      <c r="P60" s="141"/>
      <c r="Q60" s="141"/>
      <c r="R60" s="141"/>
      <c r="S60" s="141"/>
      <c r="T60" s="141"/>
      <c r="U60" s="141"/>
      <c r="V60" s="141"/>
      <c r="W60" s="141"/>
      <c r="X60" s="141"/>
      <c r="Y60" s="141"/>
      <c r="Z60" s="141"/>
    </row>
    <row r="61" spans="1:26" ht="18" customHeight="1">
      <c r="A61" s="249"/>
      <c r="B61" s="141"/>
      <c r="C61" s="141"/>
      <c r="D61" s="141"/>
      <c r="E61" s="141"/>
      <c r="F61" s="141"/>
      <c r="G61" s="141"/>
      <c r="H61" s="141"/>
      <c r="I61" s="141"/>
      <c r="J61" s="141"/>
      <c r="K61" s="141"/>
      <c r="L61" s="141"/>
      <c r="M61" s="141"/>
      <c r="N61" s="141"/>
      <c r="O61" s="141"/>
      <c r="P61" s="141"/>
      <c r="Q61" s="141"/>
      <c r="R61" s="141"/>
      <c r="S61" s="141"/>
      <c r="T61" s="141"/>
      <c r="U61" s="141"/>
      <c r="V61" s="141"/>
      <c r="W61" s="141"/>
      <c r="X61" s="141"/>
      <c r="Y61" s="141"/>
      <c r="Z61" s="141"/>
    </row>
    <row r="62" spans="1:26" ht="18" customHeight="1">
      <c r="A62" s="249"/>
      <c r="B62" s="141"/>
      <c r="C62" s="141"/>
      <c r="D62" s="141"/>
      <c r="E62" s="141"/>
      <c r="F62" s="141"/>
      <c r="G62" s="141"/>
      <c r="H62" s="141"/>
      <c r="I62" s="141"/>
      <c r="J62" s="141"/>
      <c r="K62" s="141"/>
      <c r="L62" s="141"/>
      <c r="M62" s="141"/>
      <c r="N62" s="141"/>
      <c r="O62" s="141"/>
      <c r="P62" s="141"/>
      <c r="Q62" s="141"/>
      <c r="R62" s="141"/>
      <c r="S62" s="141"/>
      <c r="T62" s="141"/>
      <c r="U62" s="141"/>
      <c r="V62" s="141"/>
      <c r="W62" s="141"/>
      <c r="X62" s="141"/>
      <c r="Y62" s="141"/>
      <c r="Z62" s="141"/>
    </row>
    <row r="63" spans="1:26" ht="18" customHeight="1">
      <c r="A63" s="249"/>
      <c r="B63" s="141"/>
      <c r="C63" s="141"/>
      <c r="D63" s="141"/>
      <c r="E63" s="141"/>
      <c r="F63" s="141"/>
      <c r="G63" s="141"/>
      <c r="H63" s="141"/>
      <c r="I63" s="141"/>
      <c r="J63" s="141"/>
      <c r="K63" s="141"/>
      <c r="L63" s="141"/>
      <c r="M63" s="141"/>
      <c r="N63" s="141"/>
      <c r="O63" s="141"/>
      <c r="P63" s="141"/>
      <c r="Q63" s="141"/>
      <c r="R63" s="141"/>
      <c r="S63" s="141"/>
      <c r="T63" s="141"/>
      <c r="U63" s="141"/>
      <c r="V63" s="141"/>
      <c r="W63" s="141"/>
      <c r="X63" s="141"/>
      <c r="Y63" s="141"/>
      <c r="Z63" s="141"/>
    </row>
    <row r="64" spans="1:26" ht="18" customHeight="1">
      <c r="A64" s="248"/>
      <c r="B64" s="141"/>
      <c r="C64" s="141"/>
      <c r="D64" s="141"/>
      <c r="E64" s="141"/>
      <c r="F64" s="141"/>
      <c r="G64" s="141"/>
      <c r="H64" s="141"/>
      <c r="I64" s="141"/>
      <c r="J64" s="141"/>
      <c r="K64" s="141"/>
      <c r="L64" s="141"/>
      <c r="M64" s="141"/>
      <c r="N64" s="141"/>
      <c r="O64" s="141"/>
      <c r="P64" s="141"/>
      <c r="Q64" s="141"/>
      <c r="R64" s="141"/>
      <c r="S64" s="141"/>
      <c r="T64" s="141"/>
      <c r="U64" s="141"/>
      <c r="V64" s="141"/>
      <c r="W64" s="141"/>
      <c r="X64" s="141"/>
      <c r="Y64" s="141"/>
      <c r="Z64" s="141"/>
    </row>
    <row r="65" spans="1:26" ht="18" customHeight="1">
      <c r="A65" s="249"/>
      <c r="B65" s="141"/>
      <c r="C65" s="141"/>
      <c r="D65" s="141"/>
      <c r="E65" s="141"/>
      <c r="F65" s="141"/>
      <c r="G65" s="141"/>
      <c r="H65" s="141"/>
      <c r="I65" s="141"/>
      <c r="J65" s="141"/>
      <c r="K65" s="141"/>
      <c r="L65" s="141"/>
      <c r="M65" s="141"/>
      <c r="N65" s="141"/>
      <c r="O65" s="141"/>
      <c r="P65" s="141"/>
      <c r="Q65" s="141"/>
      <c r="R65" s="141"/>
      <c r="S65" s="141"/>
      <c r="T65" s="141"/>
      <c r="U65" s="141"/>
      <c r="V65" s="141"/>
      <c r="W65" s="141"/>
      <c r="X65" s="141"/>
      <c r="Y65" s="141"/>
      <c r="Z65" s="141"/>
    </row>
    <row r="66" spans="1:26" ht="18" customHeight="1">
      <c r="A66" s="249"/>
      <c r="B66" s="141"/>
      <c r="C66" s="141"/>
      <c r="D66" s="141"/>
      <c r="E66" s="141"/>
      <c r="F66" s="141"/>
      <c r="G66" s="141"/>
      <c r="H66" s="141"/>
      <c r="I66" s="141"/>
      <c r="J66" s="141"/>
      <c r="K66" s="141"/>
      <c r="L66" s="141"/>
      <c r="M66" s="141"/>
      <c r="N66" s="141"/>
      <c r="O66" s="141"/>
      <c r="P66" s="141"/>
      <c r="Q66" s="141"/>
      <c r="R66" s="141"/>
      <c r="S66" s="141"/>
      <c r="T66" s="141"/>
      <c r="U66" s="141"/>
      <c r="V66" s="141"/>
      <c r="W66" s="141"/>
      <c r="X66" s="141"/>
      <c r="Y66" s="141"/>
      <c r="Z66" s="141"/>
    </row>
    <row r="67" spans="1:26" ht="18" customHeight="1">
      <c r="A67" s="248"/>
      <c r="B67" s="141"/>
      <c r="C67" s="141"/>
      <c r="D67" s="141"/>
      <c r="E67" s="141"/>
      <c r="F67" s="141"/>
      <c r="G67" s="141"/>
      <c r="H67" s="141"/>
      <c r="I67" s="141"/>
      <c r="J67" s="141"/>
      <c r="K67" s="141"/>
      <c r="L67" s="141"/>
      <c r="M67" s="141"/>
      <c r="N67" s="141"/>
      <c r="O67" s="141"/>
      <c r="P67" s="141"/>
      <c r="Q67" s="141"/>
      <c r="R67" s="141"/>
      <c r="S67" s="141"/>
      <c r="T67" s="141"/>
      <c r="U67" s="141"/>
      <c r="V67" s="141"/>
      <c r="W67" s="141"/>
      <c r="X67" s="141"/>
      <c r="Y67" s="141"/>
      <c r="Z67" s="141"/>
    </row>
    <row r="68" spans="1:26" ht="18" customHeight="1">
      <c r="A68" s="249"/>
      <c r="B68" s="141"/>
      <c r="C68" s="141"/>
      <c r="D68" s="141"/>
      <c r="E68" s="141"/>
      <c r="F68" s="141"/>
      <c r="G68" s="141"/>
      <c r="H68" s="141"/>
      <c r="I68" s="141"/>
      <c r="J68" s="141"/>
      <c r="K68" s="141"/>
      <c r="L68" s="141"/>
      <c r="M68" s="141"/>
      <c r="N68" s="141"/>
      <c r="O68" s="141"/>
      <c r="P68" s="141"/>
      <c r="Q68" s="141"/>
      <c r="R68" s="141"/>
      <c r="S68" s="141"/>
      <c r="T68" s="141"/>
      <c r="U68" s="141"/>
      <c r="V68" s="141"/>
      <c r="W68" s="141"/>
      <c r="X68" s="141"/>
      <c r="Y68" s="141"/>
      <c r="Z68" s="141"/>
    </row>
    <row r="69" spans="1:26" ht="18" customHeight="1">
      <c r="A69" s="249"/>
      <c r="B69" s="141"/>
      <c r="C69" s="141"/>
      <c r="D69" s="141"/>
      <c r="E69" s="141"/>
      <c r="F69" s="141"/>
      <c r="G69" s="141"/>
      <c r="H69" s="141"/>
      <c r="I69" s="141"/>
      <c r="J69" s="141"/>
      <c r="K69" s="141"/>
      <c r="L69" s="141"/>
      <c r="M69" s="141"/>
      <c r="N69" s="141"/>
      <c r="O69" s="141"/>
      <c r="P69" s="141"/>
      <c r="Q69" s="141"/>
      <c r="R69" s="141"/>
      <c r="S69" s="141"/>
      <c r="T69" s="141"/>
      <c r="U69" s="141"/>
      <c r="V69" s="141"/>
      <c r="W69" s="141"/>
      <c r="X69" s="141"/>
      <c r="Y69" s="141"/>
      <c r="Z69" s="141"/>
    </row>
    <row r="70" spans="1:26" ht="18" customHeight="1">
      <c r="A70" s="135"/>
      <c r="B70" s="141"/>
      <c r="C70" s="141"/>
      <c r="D70" s="141"/>
      <c r="E70" s="141"/>
      <c r="F70" s="141"/>
      <c r="G70" s="141"/>
      <c r="H70" s="141"/>
      <c r="I70" s="141"/>
      <c r="J70" s="141"/>
      <c r="K70" s="141"/>
      <c r="L70" s="141"/>
      <c r="M70" s="141"/>
      <c r="N70" s="141"/>
      <c r="O70" s="141"/>
      <c r="P70" s="141"/>
      <c r="Q70" s="141"/>
      <c r="R70" s="141"/>
      <c r="S70" s="141"/>
      <c r="T70" s="141"/>
      <c r="U70" s="141"/>
      <c r="V70" s="141"/>
      <c r="W70" s="141"/>
      <c r="X70" s="141"/>
      <c r="Y70" s="141"/>
      <c r="Z70" s="141"/>
    </row>
    <row r="71" spans="1:26" ht="18" customHeight="1">
      <c r="A71" s="135"/>
      <c r="B71" s="141"/>
      <c r="C71" s="141"/>
      <c r="D71" s="141"/>
      <c r="E71" s="141"/>
      <c r="F71" s="141"/>
      <c r="G71" s="141"/>
      <c r="H71" s="141"/>
      <c r="I71" s="141"/>
      <c r="J71" s="141"/>
      <c r="K71" s="141"/>
      <c r="L71" s="141"/>
      <c r="M71" s="141"/>
      <c r="N71" s="141"/>
      <c r="O71" s="141"/>
      <c r="P71" s="141"/>
      <c r="Q71" s="141"/>
      <c r="R71" s="141"/>
      <c r="S71" s="141"/>
      <c r="T71" s="141"/>
      <c r="U71" s="141"/>
      <c r="V71" s="141"/>
      <c r="W71" s="141"/>
      <c r="X71" s="141"/>
      <c r="Y71" s="141"/>
      <c r="Z71" s="141"/>
    </row>
    <row r="72" spans="1:26" ht="18" customHeight="1">
      <c r="A72" s="248"/>
      <c r="B72" s="141"/>
      <c r="C72" s="141"/>
      <c r="D72" s="141"/>
      <c r="E72" s="141"/>
      <c r="F72" s="141"/>
      <c r="G72" s="141"/>
      <c r="H72" s="141"/>
      <c r="I72" s="141"/>
      <c r="J72" s="141"/>
      <c r="K72" s="141"/>
      <c r="L72" s="141"/>
      <c r="M72" s="141"/>
      <c r="N72" s="141"/>
      <c r="O72" s="141"/>
      <c r="P72" s="141"/>
      <c r="Q72" s="141"/>
      <c r="R72" s="141"/>
      <c r="S72" s="141"/>
      <c r="T72" s="141"/>
      <c r="U72" s="141"/>
      <c r="V72" s="141"/>
      <c r="W72" s="141"/>
      <c r="X72" s="141"/>
      <c r="Y72" s="141"/>
      <c r="Z72" s="141"/>
    </row>
    <row r="73" spans="1:26" ht="18" customHeight="1">
      <c r="A73" s="135"/>
      <c r="B73" s="141"/>
      <c r="C73" s="141"/>
      <c r="D73" s="141"/>
      <c r="E73" s="141"/>
      <c r="F73" s="141"/>
      <c r="G73" s="141"/>
      <c r="H73" s="141"/>
      <c r="I73" s="141"/>
      <c r="J73" s="141"/>
      <c r="K73" s="141"/>
      <c r="L73" s="141"/>
      <c r="M73" s="141"/>
      <c r="N73" s="141"/>
      <c r="O73" s="141"/>
      <c r="P73" s="141"/>
      <c r="Q73" s="141"/>
      <c r="R73" s="141"/>
      <c r="S73" s="141"/>
      <c r="T73" s="141"/>
      <c r="U73" s="141"/>
      <c r="V73" s="141"/>
      <c r="W73" s="141"/>
      <c r="X73" s="141"/>
      <c r="Y73" s="141"/>
      <c r="Z73" s="141"/>
    </row>
    <row r="74" spans="1:26" ht="18" customHeight="1">
      <c r="A74" s="135"/>
      <c r="B74" s="141"/>
      <c r="C74" s="141"/>
      <c r="D74" s="141"/>
      <c r="E74" s="141"/>
      <c r="F74" s="141"/>
      <c r="G74" s="141"/>
      <c r="H74" s="141"/>
      <c r="I74" s="141"/>
      <c r="J74" s="141"/>
      <c r="K74" s="141"/>
      <c r="L74" s="141"/>
      <c r="M74" s="141"/>
      <c r="N74" s="141"/>
      <c r="O74" s="141"/>
      <c r="P74" s="141"/>
      <c r="Q74" s="141"/>
      <c r="R74" s="141"/>
      <c r="S74" s="141"/>
      <c r="T74" s="141"/>
      <c r="U74" s="141"/>
      <c r="V74" s="141"/>
      <c r="W74" s="141"/>
      <c r="X74" s="141"/>
      <c r="Y74" s="141"/>
      <c r="Z74" s="141"/>
    </row>
    <row r="75" spans="1:26" ht="18" customHeight="1">
      <c r="A75" s="135"/>
      <c r="B75" s="141"/>
      <c r="C75" s="141"/>
      <c r="D75" s="141"/>
      <c r="E75" s="141"/>
      <c r="F75" s="141"/>
      <c r="G75" s="141"/>
      <c r="H75" s="141"/>
      <c r="I75" s="141"/>
      <c r="J75" s="141"/>
      <c r="K75" s="141"/>
      <c r="L75" s="141"/>
      <c r="M75" s="141"/>
      <c r="N75" s="141"/>
      <c r="O75" s="141"/>
      <c r="P75" s="141"/>
      <c r="Q75" s="141"/>
      <c r="R75" s="141"/>
      <c r="S75" s="141"/>
      <c r="T75" s="141"/>
      <c r="U75" s="141"/>
      <c r="V75" s="141"/>
      <c r="W75" s="141"/>
      <c r="X75" s="141"/>
      <c r="Y75" s="141"/>
      <c r="Z75" s="141"/>
    </row>
    <row r="76" spans="1:26" ht="18" customHeight="1">
      <c r="A76" s="135"/>
      <c r="B76" s="141"/>
      <c r="C76" s="141"/>
      <c r="D76" s="141"/>
      <c r="E76" s="141"/>
      <c r="F76" s="141"/>
      <c r="G76" s="141"/>
      <c r="H76" s="141"/>
      <c r="I76" s="141"/>
      <c r="J76" s="141"/>
      <c r="K76" s="141"/>
      <c r="L76" s="141"/>
      <c r="M76" s="141"/>
      <c r="N76" s="141"/>
      <c r="O76" s="141"/>
      <c r="P76" s="141"/>
      <c r="Q76" s="141"/>
      <c r="R76" s="141"/>
      <c r="S76" s="141"/>
      <c r="T76" s="141"/>
      <c r="U76" s="141"/>
      <c r="V76" s="141"/>
      <c r="W76" s="141"/>
      <c r="X76" s="141"/>
      <c r="Y76" s="141"/>
      <c r="Z76" s="141"/>
    </row>
    <row r="77" spans="1:26" ht="18" customHeight="1">
      <c r="A77" s="135"/>
      <c r="B77" s="141"/>
      <c r="C77" s="141"/>
      <c r="D77" s="141"/>
      <c r="E77" s="141"/>
      <c r="F77" s="141"/>
      <c r="G77" s="141"/>
      <c r="H77" s="141"/>
      <c r="I77" s="141"/>
      <c r="J77" s="141"/>
      <c r="K77" s="141"/>
      <c r="L77" s="141"/>
      <c r="M77" s="141"/>
      <c r="N77" s="141"/>
      <c r="O77" s="141"/>
      <c r="P77" s="141"/>
      <c r="Q77" s="141"/>
      <c r="R77" s="141"/>
      <c r="S77" s="141"/>
      <c r="T77" s="141"/>
      <c r="U77" s="141"/>
      <c r="V77" s="141"/>
      <c r="W77" s="141"/>
      <c r="X77" s="141"/>
      <c r="Y77" s="141"/>
      <c r="Z77" s="141"/>
    </row>
    <row r="78" spans="1:26" ht="18" customHeight="1">
      <c r="A78" s="135"/>
      <c r="B78" s="141"/>
      <c r="C78" s="141"/>
      <c r="D78" s="141"/>
      <c r="E78" s="141"/>
      <c r="F78" s="141"/>
      <c r="G78" s="141"/>
      <c r="H78" s="141"/>
      <c r="I78" s="141"/>
      <c r="J78" s="141"/>
      <c r="K78" s="141"/>
      <c r="L78" s="141"/>
      <c r="M78" s="141"/>
      <c r="N78" s="141"/>
      <c r="O78" s="141"/>
      <c r="P78" s="141"/>
      <c r="Q78" s="141"/>
      <c r="R78" s="141"/>
      <c r="S78" s="141"/>
      <c r="T78" s="141"/>
      <c r="U78" s="141"/>
      <c r="V78" s="141"/>
      <c r="W78" s="141"/>
      <c r="X78" s="141"/>
      <c r="Y78" s="141"/>
      <c r="Z78" s="141"/>
    </row>
    <row r="79" spans="1:26" ht="18" customHeight="1">
      <c r="A79" s="135"/>
      <c r="B79" s="141"/>
      <c r="C79" s="141"/>
      <c r="D79" s="141"/>
      <c r="E79" s="141"/>
      <c r="F79" s="141"/>
      <c r="G79" s="141"/>
      <c r="H79" s="141"/>
      <c r="I79" s="141"/>
      <c r="J79" s="141"/>
      <c r="K79" s="141"/>
      <c r="L79" s="141"/>
      <c r="M79" s="141"/>
      <c r="N79" s="141"/>
      <c r="O79" s="141"/>
      <c r="P79" s="141"/>
      <c r="Q79" s="141"/>
      <c r="R79" s="141"/>
      <c r="S79" s="141"/>
      <c r="T79" s="141"/>
      <c r="U79" s="141"/>
      <c r="V79" s="141"/>
      <c r="W79" s="141"/>
      <c r="X79" s="141"/>
      <c r="Y79" s="141"/>
      <c r="Z79" s="141"/>
    </row>
    <row r="80" spans="1:26" ht="18" customHeight="1">
      <c r="A80" s="135"/>
      <c r="B80" s="141"/>
      <c r="C80" s="141"/>
      <c r="D80" s="141"/>
      <c r="E80" s="141"/>
      <c r="F80" s="141"/>
      <c r="G80" s="141"/>
      <c r="H80" s="141"/>
      <c r="I80" s="141"/>
      <c r="J80" s="141"/>
      <c r="K80" s="141"/>
      <c r="L80" s="141"/>
      <c r="M80" s="141"/>
      <c r="N80" s="141"/>
      <c r="O80" s="141"/>
      <c r="P80" s="141"/>
      <c r="Q80" s="141"/>
      <c r="R80" s="141"/>
      <c r="S80" s="141"/>
      <c r="T80" s="141"/>
      <c r="U80" s="141"/>
      <c r="V80" s="141"/>
      <c r="W80" s="141"/>
      <c r="X80" s="141"/>
      <c r="Y80" s="141"/>
      <c r="Z80" s="141"/>
    </row>
    <row r="81" spans="1:26" ht="18" customHeight="1">
      <c r="A81" s="135"/>
      <c r="B81" s="141"/>
      <c r="C81" s="141"/>
      <c r="D81" s="141"/>
      <c r="E81" s="141"/>
      <c r="F81" s="141"/>
      <c r="G81" s="141"/>
      <c r="H81" s="141"/>
      <c r="I81" s="141"/>
      <c r="J81" s="141"/>
      <c r="K81" s="141"/>
      <c r="L81" s="141"/>
      <c r="M81" s="141"/>
      <c r="N81" s="141"/>
      <c r="O81" s="141"/>
      <c r="P81" s="141"/>
      <c r="Q81" s="141"/>
      <c r="R81" s="141"/>
      <c r="S81" s="141"/>
      <c r="T81" s="141"/>
      <c r="U81" s="141"/>
      <c r="V81" s="141"/>
      <c r="W81" s="141"/>
      <c r="X81" s="141"/>
      <c r="Y81" s="141"/>
      <c r="Z81" s="141"/>
    </row>
    <row r="82" spans="1:26" ht="18" customHeight="1">
      <c r="A82" s="135"/>
      <c r="B82" s="141"/>
      <c r="C82" s="141"/>
      <c r="D82" s="141"/>
      <c r="E82" s="141"/>
      <c r="F82" s="141"/>
      <c r="G82" s="141"/>
      <c r="H82" s="141"/>
      <c r="I82" s="141"/>
      <c r="J82" s="141"/>
      <c r="K82" s="141"/>
      <c r="L82" s="141"/>
      <c r="M82" s="141"/>
      <c r="N82" s="141"/>
      <c r="O82" s="141"/>
      <c r="P82" s="141"/>
      <c r="Q82" s="141"/>
      <c r="R82" s="141"/>
      <c r="S82" s="141"/>
      <c r="T82" s="141"/>
      <c r="U82" s="141"/>
      <c r="V82" s="141"/>
      <c r="W82" s="141"/>
      <c r="X82" s="141"/>
      <c r="Y82" s="141"/>
      <c r="Z82" s="141"/>
    </row>
    <row r="83" spans="1:26" ht="18" customHeight="1">
      <c r="A83" s="135"/>
      <c r="B83" s="141"/>
      <c r="C83" s="141"/>
      <c r="D83" s="141"/>
      <c r="E83" s="141"/>
      <c r="F83" s="141"/>
      <c r="G83" s="141"/>
      <c r="H83" s="141"/>
      <c r="I83" s="141"/>
      <c r="J83" s="141"/>
      <c r="K83" s="141"/>
      <c r="L83" s="141"/>
      <c r="M83" s="141"/>
      <c r="N83" s="141"/>
      <c r="O83" s="141"/>
      <c r="P83" s="141"/>
      <c r="Q83" s="141"/>
      <c r="R83" s="141"/>
      <c r="S83" s="141"/>
      <c r="T83" s="141"/>
      <c r="U83" s="141"/>
      <c r="V83" s="141"/>
      <c r="W83" s="141"/>
      <c r="X83" s="141"/>
      <c r="Y83" s="141"/>
      <c r="Z83" s="141"/>
    </row>
    <row r="84" spans="1:26" ht="18" customHeight="1">
      <c r="A84" s="135"/>
      <c r="B84" s="141"/>
      <c r="C84" s="141"/>
      <c r="D84" s="141"/>
      <c r="E84" s="141"/>
      <c r="F84" s="141"/>
      <c r="G84" s="141"/>
      <c r="H84" s="141"/>
      <c r="I84" s="141"/>
      <c r="J84" s="141"/>
      <c r="K84" s="141"/>
      <c r="L84" s="141"/>
      <c r="M84" s="141"/>
      <c r="N84" s="141"/>
      <c r="O84" s="141"/>
      <c r="P84" s="141"/>
      <c r="Q84" s="141"/>
      <c r="R84" s="141"/>
      <c r="S84" s="141"/>
      <c r="T84" s="141"/>
      <c r="U84" s="141"/>
      <c r="V84" s="141"/>
      <c r="W84" s="141"/>
      <c r="X84" s="141"/>
      <c r="Y84" s="141"/>
      <c r="Z84" s="141"/>
    </row>
    <row r="85" spans="1:26" ht="18" customHeight="1">
      <c r="A85" s="135"/>
      <c r="B85" s="141"/>
      <c r="C85" s="141"/>
      <c r="D85" s="141"/>
      <c r="E85" s="141"/>
      <c r="F85" s="141"/>
      <c r="G85" s="141"/>
      <c r="H85" s="141"/>
      <c r="I85" s="141"/>
      <c r="J85" s="141"/>
      <c r="K85" s="141"/>
      <c r="L85" s="141"/>
      <c r="M85" s="141"/>
      <c r="N85" s="141"/>
      <c r="O85" s="141"/>
      <c r="P85" s="141"/>
      <c r="Q85" s="141"/>
      <c r="R85" s="141"/>
      <c r="S85" s="141"/>
      <c r="T85" s="141"/>
      <c r="U85" s="141"/>
      <c r="V85" s="141"/>
      <c r="W85" s="141"/>
      <c r="X85" s="141"/>
      <c r="Y85" s="141"/>
      <c r="Z85" s="141"/>
    </row>
    <row r="86" spans="1:26" ht="18" customHeight="1">
      <c r="A86" s="135"/>
      <c r="B86" s="141"/>
      <c r="C86" s="141"/>
      <c r="D86" s="141"/>
      <c r="E86" s="141"/>
      <c r="F86" s="141"/>
      <c r="G86" s="141"/>
      <c r="H86" s="141"/>
      <c r="I86" s="141"/>
      <c r="J86" s="141"/>
      <c r="K86" s="141"/>
      <c r="L86" s="141"/>
      <c r="M86" s="141"/>
      <c r="N86" s="141"/>
      <c r="O86" s="141"/>
      <c r="P86" s="141"/>
      <c r="Q86" s="141"/>
      <c r="R86" s="141"/>
      <c r="S86" s="141"/>
      <c r="T86" s="141"/>
      <c r="U86" s="141"/>
      <c r="V86" s="141"/>
      <c r="W86" s="141"/>
      <c r="X86" s="141"/>
      <c r="Y86" s="141"/>
      <c r="Z86" s="141"/>
    </row>
    <row r="87" spans="1:26" ht="18" customHeight="1">
      <c r="A87" s="135"/>
      <c r="B87" s="141"/>
      <c r="C87" s="141"/>
      <c r="D87" s="141"/>
      <c r="E87" s="141"/>
      <c r="F87" s="141"/>
      <c r="G87" s="141"/>
      <c r="H87" s="141"/>
      <c r="I87" s="141"/>
      <c r="J87" s="141"/>
      <c r="K87" s="141"/>
      <c r="L87" s="141"/>
      <c r="M87" s="141"/>
      <c r="N87" s="141"/>
      <c r="O87" s="141"/>
      <c r="P87" s="141"/>
      <c r="Q87" s="141"/>
      <c r="R87" s="141"/>
      <c r="S87" s="141"/>
      <c r="T87" s="141"/>
      <c r="U87" s="141"/>
      <c r="V87" s="141"/>
      <c r="W87" s="141"/>
      <c r="X87" s="141"/>
      <c r="Y87" s="141"/>
      <c r="Z87" s="141"/>
    </row>
    <row r="88" spans="1:26" ht="18" customHeight="1">
      <c r="A88" s="135"/>
      <c r="B88" s="141"/>
      <c r="C88" s="141"/>
      <c r="D88" s="141"/>
      <c r="E88" s="141"/>
      <c r="F88" s="141"/>
      <c r="G88" s="141"/>
      <c r="H88" s="141"/>
      <c r="I88" s="141"/>
      <c r="J88" s="141"/>
      <c r="K88" s="141"/>
      <c r="L88" s="141"/>
      <c r="M88" s="141"/>
      <c r="N88" s="141"/>
      <c r="O88" s="141"/>
      <c r="P88" s="141"/>
      <c r="Q88" s="141"/>
      <c r="R88" s="141"/>
      <c r="S88" s="141"/>
      <c r="T88" s="141"/>
      <c r="U88" s="141"/>
      <c r="V88" s="141"/>
      <c r="W88" s="141"/>
      <c r="X88" s="141"/>
      <c r="Y88" s="141"/>
      <c r="Z88" s="141"/>
    </row>
    <row r="89" spans="1:26" ht="18" customHeight="1">
      <c r="A89" s="135"/>
      <c r="B89" s="141"/>
      <c r="C89" s="141"/>
      <c r="D89" s="141"/>
      <c r="E89" s="141"/>
      <c r="F89" s="141"/>
      <c r="G89" s="141"/>
      <c r="H89" s="141"/>
      <c r="I89" s="141"/>
      <c r="J89" s="141"/>
      <c r="K89" s="141"/>
      <c r="L89" s="141"/>
      <c r="M89" s="141"/>
      <c r="N89" s="141"/>
      <c r="O89" s="141"/>
      <c r="P89" s="141"/>
      <c r="Q89" s="141"/>
      <c r="R89" s="141"/>
      <c r="S89" s="141"/>
      <c r="T89" s="141"/>
      <c r="U89" s="141"/>
      <c r="V89" s="141"/>
      <c r="W89" s="141"/>
      <c r="X89" s="141"/>
      <c r="Y89" s="141"/>
      <c r="Z89" s="141"/>
    </row>
    <row r="90" spans="1:26" ht="18" customHeight="1">
      <c r="A90" s="135"/>
      <c r="B90" s="141"/>
      <c r="C90" s="141"/>
      <c r="D90" s="141"/>
      <c r="E90" s="141"/>
      <c r="F90" s="141"/>
      <c r="G90" s="141"/>
      <c r="H90" s="141"/>
      <c r="I90" s="141"/>
      <c r="J90" s="141"/>
      <c r="K90" s="141"/>
      <c r="L90" s="141"/>
      <c r="M90" s="141"/>
      <c r="N90" s="141"/>
      <c r="O90" s="141"/>
      <c r="P90" s="141"/>
      <c r="Q90" s="141"/>
      <c r="R90" s="141"/>
      <c r="S90" s="141"/>
      <c r="T90" s="141"/>
      <c r="U90" s="141"/>
      <c r="V90" s="141"/>
      <c r="W90" s="141"/>
      <c r="X90" s="141"/>
      <c r="Y90" s="141"/>
      <c r="Z90" s="141"/>
    </row>
    <row r="91" spans="1:26" ht="18" customHeight="1">
      <c r="A91" s="135"/>
      <c r="B91" s="141"/>
      <c r="C91" s="141"/>
      <c r="D91" s="141"/>
      <c r="E91" s="141"/>
      <c r="F91" s="141"/>
      <c r="G91" s="141"/>
      <c r="H91" s="141"/>
      <c r="I91" s="141"/>
      <c r="J91" s="141"/>
      <c r="K91" s="141"/>
      <c r="L91" s="141"/>
      <c r="M91" s="141"/>
      <c r="N91" s="141"/>
      <c r="O91" s="141"/>
      <c r="P91" s="141"/>
      <c r="Q91" s="141"/>
      <c r="R91" s="141"/>
      <c r="S91" s="141"/>
      <c r="T91" s="141"/>
      <c r="U91" s="141"/>
      <c r="V91" s="141"/>
      <c r="W91" s="141"/>
      <c r="X91" s="141"/>
      <c r="Y91" s="141"/>
      <c r="Z91" s="141"/>
    </row>
    <row r="92" spans="1:26" ht="18" customHeight="1">
      <c r="A92" s="135"/>
      <c r="B92" s="141"/>
      <c r="C92" s="141"/>
      <c r="D92" s="141"/>
      <c r="E92" s="141"/>
      <c r="F92" s="141"/>
      <c r="G92" s="141"/>
      <c r="H92" s="141"/>
      <c r="I92" s="141"/>
      <c r="J92" s="141"/>
      <c r="K92" s="141"/>
      <c r="L92" s="141"/>
      <c r="M92" s="141"/>
      <c r="N92" s="141"/>
      <c r="O92" s="141"/>
      <c r="P92" s="141"/>
      <c r="Q92" s="141"/>
      <c r="R92" s="141"/>
      <c r="S92" s="141"/>
      <c r="T92" s="141"/>
      <c r="U92" s="141"/>
      <c r="V92" s="141"/>
      <c r="W92" s="141"/>
      <c r="X92" s="141"/>
      <c r="Y92" s="141"/>
      <c r="Z92" s="141"/>
    </row>
    <row r="93" spans="1:26" ht="18" customHeight="1">
      <c r="A93" s="135"/>
      <c r="B93" s="141"/>
      <c r="C93" s="141"/>
      <c r="D93" s="141"/>
      <c r="E93" s="141"/>
      <c r="F93" s="141"/>
      <c r="G93" s="141"/>
      <c r="H93" s="141"/>
      <c r="I93" s="141"/>
      <c r="J93" s="141"/>
      <c r="K93" s="141"/>
      <c r="L93" s="141"/>
      <c r="M93" s="141"/>
      <c r="N93" s="141"/>
      <c r="O93" s="141"/>
      <c r="P93" s="141"/>
      <c r="Q93" s="141"/>
      <c r="R93" s="141"/>
      <c r="S93" s="141"/>
      <c r="T93" s="141"/>
      <c r="U93" s="141"/>
      <c r="V93" s="141"/>
      <c r="W93" s="141"/>
      <c r="X93" s="141"/>
      <c r="Y93" s="141"/>
      <c r="Z93" s="141"/>
    </row>
    <row r="94" spans="1:26" ht="18" customHeight="1">
      <c r="A94" s="135"/>
      <c r="B94" s="141"/>
      <c r="C94" s="141"/>
      <c r="D94" s="141"/>
      <c r="E94" s="141"/>
      <c r="F94" s="141"/>
      <c r="G94" s="141"/>
      <c r="H94" s="141"/>
      <c r="I94" s="141"/>
      <c r="J94" s="141"/>
      <c r="K94" s="141"/>
      <c r="L94" s="141"/>
      <c r="M94" s="141"/>
      <c r="N94" s="141"/>
      <c r="O94" s="141"/>
      <c r="P94" s="141"/>
      <c r="Q94" s="141"/>
      <c r="R94" s="141"/>
      <c r="S94" s="141"/>
      <c r="T94" s="141"/>
      <c r="U94" s="141"/>
      <c r="V94" s="141"/>
      <c r="W94" s="141"/>
      <c r="X94" s="141"/>
      <c r="Y94" s="141"/>
      <c r="Z94" s="141"/>
    </row>
    <row r="95" spans="1:26" ht="18" customHeight="1">
      <c r="A95" s="135"/>
      <c r="B95" s="141"/>
      <c r="C95" s="141"/>
      <c r="D95" s="141"/>
      <c r="E95" s="141"/>
      <c r="F95" s="141"/>
      <c r="G95" s="141"/>
      <c r="H95" s="141"/>
      <c r="I95" s="141"/>
      <c r="J95" s="141"/>
      <c r="K95" s="141"/>
      <c r="L95" s="141"/>
      <c r="M95" s="141"/>
      <c r="N95" s="141"/>
      <c r="O95" s="141"/>
      <c r="P95" s="141"/>
      <c r="Q95" s="141"/>
      <c r="R95" s="141"/>
      <c r="S95" s="141"/>
      <c r="T95" s="141"/>
      <c r="U95" s="141"/>
      <c r="V95" s="141"/>
      <c r="W95" s="141"/>
      <c r="X95" s="141"/>
      <c r="Y95" s="141"/>
      <c r="Z95" s="141"/>
    </row>
    <row r="96" spans="1:26" ht="18" customHeight="1">
      <c r="A96" s="135"/>
      <c r="B96" s="141"/>
      <c r="C96" s="141"/>
      <c r="D96" s="141"/>
      <c r="E96" s="141"/>
      <c r="F96" s="141"/>
      <c r="G96" s="141"/>
      <c r="H96" s="141"/>
      <c r="I96" s="141"/>
      <c r="J96" s="141"/>
      <c r="K96" s="141"/>
      <c r="L96" s="141"/>
      <c r="M96" s="141"/>
      <c r="N96" s="141"/>
      <c r="O96" s="141"/>
      <c r="P96" s="141"/>
      <c r="Q96" s="141"/>
      <c r="R96" s="141"/>
      <c r="S96" s="141"/>
      <c r="T96" s="141"/>
      <c r="U96" s="141"/>
      <c r="V96" s="141"/>
      <c r="W96" s="141"/>
      <c r="X96" s="141"/>
      <c r="Y96" s="141"/>
      <c r="Z96" s="141"/>
    </row>
    <row r="97" spans="1:26" ht="18" customHeight="1">
      <c r="A97" s="135"/>
      <c r="B97" s="141"/>
      <c r="C97" s="141"/>
      <c r="D97" s="141"/>
      <c r="E97" s="141"/>
      <c r="F97" s="141"/>
      <c r="G97" s="141"/>
      <c r="H97" s="141"/>
      <c r="I97" s="141"/>
      <c r="J97" s="141"/>
      <c r="K97" s="141"/>
      <c r="L97" s="141"/>
      <c r="M97" s="141"/>
      <c r="N97" s="141"/>
      <c r="O97" s="141"/>
      <c r="P97" s="141"/>
      <c r="Q97" s="141"/>
      <c r="R97" s="141"/>
      <c r="S97" s="141"/>
      <c r="T97" s="141"/>
      <c r="U97" s="141"/>
      <c r="V97" s="141"/>
      <c r="W97" s="141"/>
      <c r="X97" s="141"/>
      <c r="Y97" s="141"/>
      <c r="Z97" s="141"/>
    </row>
    <row r="98" spans="1:26" ht="18" customHeight="1">
      <c r="A98" s="135"/>
      <c r="B98" s="141"/>
      <c r="C98" s="141"/>
      <c r="D98" s="141"/>
      <c r="E98" s="141"/>
      <c r="F98" s="141"/>
      <c r="G98" s="141"/>
      <c r="H98" s="141"/>
      <c r="I98" s="141"/>
      <c r="J98" s="141"/>
      <c r="K98" s="141"/>
      <c r="L98" s="141"/>
      <c r="M98" s="141"/>
      <c r="N98" s="141"/>
      <c r="O98" s="141"/>
      <c r="P98" s="141"/>
      <c r="Q98" s="141"/>
      <c r="R98" s="141"/>
      <c r="S98" s="141"/>
      <c r="T98" s="141"/>
      <c r="U98" s="141"/>
      <c r="V98" s="141"/>
      <c r="W98" s="141"/>
      <c r="X98" s="141"/>
      <c r="Y98" s="141"/>
      <c r="Z98" s="141"/>
    </row>
    <row r="99" spans="1:26" ht="18" customHeight="1">
      <c r="A99" s="135"/>
      <c r="B99" s="141"/>
      <c r="C99" s="141"/>
      <c r="D99" s="141"/>
      <c r="E99" s="141"/>
      <c r="F99" s="141"/>
      <c r="G99" s="141"/>
      <c r="H99" s="141"/>
      <c r="I99" s="141"/>
      <c r="J99" s="141"/>
      <c r="K99" s="141"/>
      <c r="L99" s="141"/>
      <c r="M99" s="141"/>
      <c r="N99" s="141"/>
      <c r="O99" s="141"/>
      <c r="P99" s="141"/>
      <c r="Q99" s="141"/>
      <c r="R99" s="141"/>
      <c r="S99" s="141"/>
      <c r="T99" s="141"/>
      <c r="U99" s="141"/>
      <c r="V99" s="141"/>
      <c r="W99" s="141"/>
      <c r="X99" s="141"/>
      <c r="Y99" s="141"/>
      <c r="Z99" s="141"/>
    </row>
    <row r="100" spans="1:26" ht="18" customHeight="1">
      <c r="A100" s="135"/>
      <c r="B100" s="141"/>
      <c r="C100" s="141"/>
      <c r="D100" s="141"/>
      <c r="E100" s="141"/>
      <c r="F100" s="141"/>
      <c r="G100" s="141"/>
      <c r="H100" s="141"/>
      <c r="I100" s="141"/>
      <c r="J100" s="141"/>
      <c r="K100" s="141"/>
      <c r="L100" s="141"/>
      <c r="M100" s="141"/>
      <c r="N100" s="141"/>
      <c r="O100" s="141"/>
      <c r="P100" s="141"/>
      <c r="Q100" s="141"/>
      <c r="R100" s="141"/>
      <c r="S100" s="141"/>
      <c r="T100" s="141"/>
      <c r="U100" s="141"/>
      <c r="V100" s="141"/>
      <c r="W100" s="141"/>
      <c r="X100" s="141"/>
      <c r="Y100" s="141"/>
      <c r="Z100" s="141"/>
    </row>
    <row r="101" spans="1:26" ht="18" customHeight="1">
      <c r="A101" s="135"/>
      <c r="B101" s="141"/>
      <c r="C101" s="141"/>
      <c r="D101" s="141"/>
      <c r="E101" s="141"/>
      <c r="F101" s="141"/>
      <c r="G101" s="141"/>
      <c r="H101" s="141"/>
      <c r="I101" s="141"/>
      <c r="J101" s="141"/>
      <c r="K101" s="141"/>
      <c r="L101" s="141"/>
      <c r="M101" s="141"/>
      <c r="N101" s="141"/>
      <c r="O101" s="141"/>
      <c r="P101" s="141"/>
      <c r="Q101" s="141"/>
      <c r="R101" s="141"/>
      <c r="S101" s="141"/>
      <c r="T101" s="141"/>
      <c r="U101" s="141"/>
      <c r="V101" s="141"/>
      <c r="W101" s="141"/>
      <c r="X101" s="141"/>
      <c r="Y101" s="141"/>
      <c r="Z101" s="141"/>
    </row>
    <row r="102" spans="1:26" ht="18" customHeight="1">
      <c r="A102" s="135"/>
      <c r="B102" s="141"/>
      <c r="C102" s="141"/>
      <c r="D102" s="141"/>
      <c r="E102" s="141"/>
      <c r="F102" s="141"/>
      <c r="G102" s="141"/>
      <c r="H102" s="141"/>
      <c r="I102" s="141"/>
      <c r="J102" s="141"/>
      <c r="K102" s="141"/>
      <c r="L102" s="141"/>
      <c r="M102" s="141"/>
      <c r="N102" s="141"/>
      <c r="O102" s="141"/>
      <c r="P102" s="141"/>
      <c r="Q102" s="141"/>
      <c r="R102" s="141"/>
      <c r="S102" s="141"/>
      <c r="T102" s="141"/>
      <c r="U102" s="141"/>
      <c r="V102" s="141"/>
      <c r="W102" s="141"/>
      <c r="X102" s="141"/>
      <c r="Y102" s="141"/>
      <c r="Z102" s="141"/>
    </row>
    <row r="103" spans="1:26" ht="18" customHeight="1">
      <c r="A103" s="135"/>
      <c r="B103" s="141"/>
      <c r="C103" s="141"/>
      <c r="D103" s="141"/>
      <c r="E103" s="141"/>
      <c r="F103" s="141"/>
      <c r="G103" s="141"/>
      <c r="H103" s="141"/>
      <c r="I103" s="141"/>
      <c r="J103" s="141"/>
      <c r="K103" s="141"/>
      <c r="L103" s="141"/>
      <c r="M103" s="141"/>
      <c r="N103" s="141"/>
      <c r="O103" s="141"/>
      <c r="P103" s="141"/>
      <c r="Q103" s="141"/>
      <c r="R103" s="141"/>
      <c r="S103" s="141"/>
      <c r="T103" s="141"/>
      <c r="U103" s="141"/>
      <c r="V103" s="141"/>
      <c r="W103" s="141"/>
      <c r="X103" s="141"/>
      <c r="Y103" s="141"/>
      <c r="Z103" s="141"/>
    </row>
    <row r="104" spans="1:26" ht="18" customHeight="1">
      <c r="A104" s="135"/>
      <c r="B104" s="141"/>
      <c r="C104" s="141"/>
      <c r="D104" s="141"/>
      <c r="E104" s="141"/>
      <c r="F104" s="141"/>
      <c r="G104" s="141"/>
      <c r="H104" s="141"/>
      <c r="I104" s="141"/>
      <c r="J104" s="141"/>
      <c r="K104" s="141"/>
      <c r="L104" s="141"/>
      <c r="M104" s="141"/>
      <c r="N104" s="141"/>
      <c r="O104" s="141"/>
      <c r="P104" s="141"/>
      <c r="Q104" s="141"/>
      <c r="R104" s="141"/>
      <c r="S104" s="141"/>
      <c r="T104" s="141"/>
      <c r="U104" s="141"/>
      <c r="V104" s="141"/>
      <c r="W104" s="141"/>
      <c r="X104" s="141"/>
      <c r="Y104" s="141"/>
      <c r="Z104" s="141"/>
    </row>
    <row r="105" spans="1:26" ht="18" customHeight="1">
      <c r="A105" s="135"/>
      <c r="B105" s="141"/>
      <c r="C105" s="141"/>
      <c r="D105" s="141"/>
      <c r="E105" s="141"/>
      <c r="F105" s="141"/>
      <c r="G105" s="141"/>
      <c r="H105" s="141"/>
      <c r="I105" s="141"/>
      <c r="J105" s="141"/>
      <c r="K105" s="141"/>
      <c r="L105" s="141"/>
      <c r="M105" s="141"/>
      <c r="N105" s="141"/>
      <c r="O105" s="141"/>
      <c r="P105" s="141"/>
      <c r="Q105" s="141"/>
      <c r="R105" s="141"/>
      <c r="S105" s="141"/>
      <c r="T105" s="141"/>
      <c r="U105" s="141"/>
      <c r="V105" s="141"/>
      <c r="W105" s="141"/>
      <c r="X105" s="141"/>
      <c r="Y105" s="141"/>
      <c r="Z105" s="141"/>
    </row>
    <row r="106" spans="1:26" ht="18" customHeight="1">
      <c r="A106" s="135"/>
      <c r="B106" s="141"/>
      <c r="C106" s="141"/>
      <c r="D106" s="141"/>
      <c r="E106" s="141"/>
      <c r="F106" s="141"/>
      <c r="G106" s="141"/>
      <c r="H106" s="141"/>
      <c r="I106" s="141"/>
      <c r="J106" s="141"/>
      <c r="K106" s="141"/>
      <c r="L106" s="141"/>
      <c r="M106" s="141"/>
      <c r="N106" s="141"/>
      <c r="O106" s="141"/>
      <c r="P106" s="141"/>
      <c r="Q106" s="141"/>
      <c r="R106" s="141"/>
      <c r="S106" s="141"/>
      <c r="T106" s="141"/>
      <c r="U106" s="141"/>
      <c r="V106" s="141"/>
      <c r="W106" s="141"/>
      <c r="X106" s="141"/>
      <c r="Y106" s="141"/>
      <c r="Z106" s="141"/>
    </row>
    <row r="107" spans="1:26" ht="18" customHeight="1">
      <c r="A107" s="135"/>
      <c r="B107" s="141"/>
      <c r="C107" s="141"/>
      <c r="D107" s="141"/>
      <c r="E107" s="141"/>
      <c r="F107" s="141"/>
      <c r="G107" s="141"/>
      <c r="H107" s="141"/>
      <c r="I107" s="141"/>
      <c r="J107" s="141"/>
      <c r="K107" s="141"/>
      <c r="L107" s="141"/>
      <c r="M107" s="141"/>
      <c r="N107" s="141"/>
      <c r="O107" s="141"/>
      <c r="P107" s="141"/>
      <c r="Q107" s="141"/>
      <c r="R107" s="141"/>
      <c r="S107" s="141"/>
      <c r="T107" s="141"/>
      <c r="U107" s="141"/>
      <c r="V107" s="141"/>
      <c r="W107" s="141"/>
      <c r="X107" s="141"/>
      <c r="Y107" s="141"/>
      <c r="Z107" s="141"/>
    </row>
    <row r="108" spans="1:26" ht="18" customHeight="1">
      <c r="A108" s="135"/>
      <c r="B108" s="141"/>
      <c r="C108" s="141"/>
      <c r="D108" s="141"/>
      <c r="E108" s="141"/>
      <c r="F108" s="141"/>
      <c r="G108" s="141"/>
      <c r="H108" s="141"/>
      <c r="I108" s="141"/>
      <c r="J108" s="141"/>
      <c r="K108" s="141"/>
      <c r="L108" s="141"/>
      <c r="M108" s="141"/>
      <c r="N108" s="141"/>
      <c r="O108" s="141"/>
      <c r="P108" s="141"/>
      <c r="Q108" s="141"/>
      <c r="R108" s="141"/>
      <c r="S108" s="141"/>
      <c r="T108" s="141"/>
      <c r="U108" s="141"/>
      <c r="V108" s="141"/>
      <c r="W108" s="141"/>
      <c r="X108" s="141"/>
      <c r="Y108" s="141"/>
      <c r="Z108" s="141"/>
    </row>
    <row r="109" spans="1:26" ht="18" customHeight="1">
      <c r="A109" s="135"/>
      <c r="B109" s="141"/>
      <c r="C109" s="141"/>
      <c r="D109" s="141"/>
      <c r="E109" s="141"/>
      <c r="F109" s="141"/>
      <c r="G109" s="141"/>
      <c r="H109" s="141"/>
      <c r="I109" s="141"/>
      <c r="J109" s="141"/>
      <c r="K109" s="141"/>
      <c r="L109" s="141"/>
      <c r="M109" s="141"/>
      <c r="N109" s="141"/>
      <c r="O109" s="141"/>
      <c r="P109" s="141"/>
      <c r="Q109" s="141"/>
      <c r="R109" s="141"/>
      <c r="S109" s="141"/>
      <c r="T109" s="141"/>
      <c r="U109" s="141"/>
      <c r="V109" s="141"/>
      <c r="W109" s="141"/>
      <c r="X109" s="141"/>
      <c r="Y109" s="141"/>
      <c r="Z109" s="141"/>
    </row>
    <row r="110" spans="1:26" ht="18" customHeight="1">
      <c r="A110" s="135"/>
      <c r="B110" s="141"/>
      <c r="C110" s="141"/>
      <c r="D110" s="141"/>
      <c r="E110" s="141"/>
      <c r="F110" s="141"/>
      <c r="G110" s="141"/>
      <c r="H110" s="141"/>
      <c r="I110" s="141"/>
      <c r="J110" s="141"/>
      <c r="K110" s="141"/>
      <c r="L110" s="141"/>
      <c r="M110" s="141"/>
      <c r="N110" s="141"/>
      <c r="O110" s="141"/>
      <c r="P110" s="141"/>
      <c r="Q110" s="141"/>
      <c r="R110" s="141"/>
      <c r="S110" s="141"/>
      <c r="T110" s="141"/>
      <c r="U110" s="141"/>
      <c r="V110" s="141"/>
      <c r="W110" s="141"/>
      <c r="X110" s="141"/>
      <c r="Y110" s="141"/>
      <c r="Z110" s="141"/>
    </row>
    <row r="111" spans="1:26" ht="18" customHeight="1">
      <c r="A111" s="135"/>
      <c r="B111" s="141"/>
      <c r="C111" s="141"/>
      <c r="D111" s="141"/>
      <c r="E111" s="141"/>
      <c r="F111" s="141"/>
      <c r="G111" s="141"/>
      <c r="H111" s="141"/>
      <c r="I111" s="141"/>
      <c r="J111" s="141"/>
      <c r="K111" s="141"/>
      <c r="L111" s="141"/>
      <c r="M111" s="141"/>
      <c r="N111" s="141"/>
      <c r="O111" s="141"/>
      <c r="P111" s="141"/>
      <c r="Q111" s="141"/>
      <c r="R111" s="141"/>
      <c r="S111" s="141"/>
      <c r="T111" s="141"/>
      <c r="U111" s="141"/>
      <c r="V111" s="141"/>
      <c r="W111" s="141"/>
      <c r="X111" s="141"/>
      <c r="Y111" s="141"/>
      <c r="Z111" s="141"/>
    </row>
    <row r="112" spans="1:26" ht="18" customHeight="1">
      <c r="A112" s="135"/>
      <c r="B112" s="141"/>
      <c r="C112" s="141"/>
      <c r="D112" s="141"/>
      <c r="E112" s="141"/>
      <c r="F112" s="141"/>
      <c r="G112" s="141"/>
      <c r="H112" s="141"/>
      <c r="I112" s="141"/>
      <c r="J112" s="141"/>
      <c r="K112" s="141"/>
      <c r="L112" s="141"/>
      <c r="M112" s="141"/>
      <c r="N112" s="141"/>
      <c r="O112" s="141"/>
      <c r="P112" s="141"/>
      <c r="Q112" s="141"/>
      <c r="R112" s="141"/>
      <c r="S112" s="141"/>
      <c r="T112" s="141"/>
      <c r="U112" s="141"/>
      <c r="V112" s="141"/>
      <c r="W112" s="141"/>
      <c r="X112" s="141"/>
      <c r="Y112" s="141"/>
      <c r="Z112" s="141"/>
    </row>
    <row r="113" spans="1:26" ht="18" customHeight="1">
      <c r="A113" s="135"/>
      <c r="B113" s="141"/>
      <c r="C113" s="141"/>
      <c r="D113" s="141"/>
      <c r="E113" s="141"/>
      <c r="F113" s="141"/>
      <c r="G113" s="141"/>
      <c r="H113" s="141"/>
      <c r="I113" s="141"/>
      <c r="J113" s="141"/>
      <c r="K113" s="141"/>
      <c r="L113" s="141"/>
      <c r="M113" s="141"/>
      <c r="N113" s="141"/>
      <c r="O113" s="141"/>
      <c r="P113" s="141"/>
      <c r="Q113" s="141"/>
      <c r="R113" s="141"/>
      <c r="S113" s="141"/>
      <c r="T113" s="141"/>
      <c r="U113" s="141"/>
      <c r="V113" s="141"/>
      <c r="W113" s="141"/>
      <c r="X113" s="141"/>
      <c r="Y113" s="141"/>
      <c r="Z113" s="141"/>
    </row>
    <row r="114" spans="1:26" ht="18" customHeight="1">
      <c r="A114" s="135"/>
      <c r="B114" s="141"/>
      <c r="C114" s="141"/>
      <c r="D114" s="141"/>
      <c r="E114" s="141"/>
      <c r="F114" s="141"/>
      <c r="G114" s="141"/>
      <c r="H114" s="141"/>
      <c r="I114" s="141"/>
      <c r="J114" s="141"/>
      <c r="K114" s="141"/>
      <c r="L114" s="141"/>
      <c r="M114" s="141"/>
      <c r="N114" s="141"/>
      <c r="O114" s="141"/>
      <c r="P114" s="141"/>
      <c r="Q114" s="141"/>
      <c r="R114" s="141"/>
      <c r="S114" s="141"/>
      <c r="T114" s="141"/>
      <c r="U114" s="141"/>
      <c r="V114" s="141"/>
      <c r="W114" s="141"/>
      <c r="X114" s="141"/>
      <c r="Y114" s="141"/>
      <c r="Z114" s="141"/>
    </row>
    <row r="115" spans="1:26" ht="18" customHeight="1">
      <c r="A115" s="135"/>
      <c r="B115" s="141"/>
      <c r="C115" s="141"/>
      <c r="D115" s="141"/>
      <c r="E115" s="141"/>
      <c r="F115" s="141"/>
      <c r="G115" s="141"/>
      <c r="H115" s="141"/>
      <c r="I115" s="141"/>
      <c r="J115" s="141"/>
      <c r="K115" s="141"/>
      <c r="L115" s="141"/>
      <c r="M115" s="141"/>
      <c r="N115" s="141"/>
      <c r="O115" s="141"/>
      <c r="P115" s="141"/>
      <c r="Q115" s="141"/>
      <c r="R115" s="141"/>
      <c r="S115" s="141"/>
      <c r="T115" s="141"/>
      <c r="U115" s="141"/>
      <c r="V115" s="141"/>
      <c r="W115" s="141"/>
      <c r="X115" s="141"/>
      <c r="Y115" s="141"/>
      <c r="Z115" s="141"/>
    </row>
    <row r="116" spans="1:26" ht="18" customHeight="1">
      <c r="A116" s="135"/>
      <c r="B116" s="141"/>
      <c r="C116" s="141"/>
      <c r="D116" s="141"/>
      <c r="E116" s="141"/>
      <c r="F116" s="141"/>
      <c r="G116" s="141"/>
      <c r="H116" s="141"/>
      <c r="I116" s="141"/>
      <c r="J116" s="141"/>
      <c r="K116" s="141"/>
      <c r="L116" s="141"/>
      <c r="M116" s="141"/>
      <c r="N116" s="141"/>
      <c r="O116" s="141"/>
      <c r="P116" s="141"/>
      <c r="Q116" s="141"/>
      <c r="R116" s="141"/>
      <c r="S116" s="141"/>
      <c r="T116" s="141"/>
      <c r="U116" s="141"/>
      <c r="V116" s="141"/>
      <c r="W116" s="141"/>
      <c r="X116" s="141"/>
      <c r="Y116" s="141"/>
      <c r="Z116" s="141"/>
    </row>
    <row r="117" spans="1:26" ht="18" customHeight="1">
      <c r="A117" s="135"/>
      <c r="B117" s="141"/>
      <c r="C117" s="141"/>
      <c r="D117" s="141"/>
      <c r="E117" s="141"/>
      <c r="F117" s="141"/>
      <c r="G117" s="141"/>
      <c r="H117" s="141"/>
      <c r="I117" s="141"/>
      <c r="J117" s="141"/>
      <c r="K117" s="141"/>
      <c r="L117" s="141"/>
      <c r="M117" s="141"/>
      <c r="N117" s="141"/>
      <c r="O117" s="141"/>
      <c r="P117" s="141"/>
      <c r="Q117" s="141"/>
      <c r="R117" s="141"/>
      <c r="S117" s="141"/>
      <c r="T117" s="141"/>
      <c r="U117" s="141"/>
      <c r="V117" s="141"/>
      <c r="W117" s="141"/>
      <c r="X117" s="141"/>
      <c r="Y117" s="141"/>
      <c r="Z117" s="141"/>
    </row>
    <row r="118" spans="1:26" ht="18" customHeight="1">
      <c r="A118" s="135"/>
      <c r="B118" s="141"/>
      <c r="C118" s="141"/>
      <c r="D118" s="141"/>
      <c r="E118" s="141"/>
      <c r="F118" s="141"/>
      <c r="G118" s="141"/>
      <c r="H118" s="141"/>
      <c r="I118" s="141"/>
      <c r="J118" s="141"/>
      <c r="K118" s="141"/>
      <c r="L118" s="141"/>
      <c r="M118" s="141"/>
      <c r="N118" s="141"/>
      <c r="O118" s="141"/>
      <c r="P118" s="141"/>
      <c r="Q118" s="141"/>
      <c r="R118" s="141"/>
      <c r="S118" s="141"/>
      <c r="T118" s="141"/>
      <c r="U118" s="141"/>
      <c r="V118" s="141"/>
      <c r="W118" s="141"/>
      <c r="X118" s="141"/>
      <c r="Y118" s="141"/>
      <c r="Z118" s="141"/>
    </row>
    <row r="119" spans="1:26" ht="18" customHeight="1">
      <c r="A119" s="135"/>
      <c r="B119" s="141"/>
      <c r="C119" s="141"/>
      <c r="D119" s="141"/>
      <c r="E119" s="141"/>
      <c r="F119" s="141"/>
      <c r="G119" s="141"/>
      <c r="H119" s="141"/>
      <c r="I119" s="141"/>
      <c r="J119" s="141"/>
      <c r="K119" s="141"/>
      <c r="L119" s="141"/>
      <c r="M119" s="141"/>
      <c r="N119" s="141"/>
      <c r="O119" s="141"/>
      <c r="P119" s="141"/>
      <c r="Q119" s="141"/>
      <c r="R119" s="141"/>
      <c r="S119" s="141"/>
      <c r="T119" s="141"/>
      <c r="U119" s="141"/>
      <c r="V119" s="141"/>
      <c r="W119" s="141"/>
      <c r="X119" s="141"/>
      <c r="Y119" s="141"/>
      <c r="Z119" s="141"/>
    </row>
    <row r="120" spans="1:26" ht="18" customHeight="1">
      <c r="A120" s="135"/>
      <c r="B120" s="141"/>
      <c r="C120" s="141"/>
      <c r="D120" s="141"/>
      <c r="E120" s="141"/>
      <c r="F120" s="141"/>
      <c r="G120" s="141"/>
      <c r="H120" s="141"/>
      <c r="I120" s="141"/>
      <c r="J120" s="141"/>
      <c r="K120" s="141"/>
      <c r="L120" s="141"/>
      <c r="M120" s="141"/>
      <c r="N120" s="141"/>
      <c r="O120" s="141"/>
      <c r="P120" s="141"/>
      <c r="Q120" s="141"/>
      <c r="R120" s="141"/>
      <c r="S120" s="141"/>
      <c r="T120" s="141"/>
      <c r="U120" s="141"/>
      <c r="V120" s="141"/>
      <c r="W120" s="141"/>
      <c r="X120" s="141"/>
      <c r="Y120" s="141"/>
      <c r="Z120" s="141"/>
    </row>
    <row r="121" spans="1:26" ht="18" customHeight="1">
      <c r="A121" s="135"/>
      <c r="B121" s="141"/>
      <c r="C121" s="141"/>
      <c r="D121" s="141"/>
      <c r="E121" s="141"/>
      <c r="F121" s="141"/>
      <c r="G121" s="141"/>
      <c r="H121" s="141"/>
      <c r="I121" s="141"/>
      <c r="J121" s="141"/>
      <c r="K121" s="141"/>
      <c r="L121" s="141"/>
      <c r="M121" s="141"/>
      <c r="N121" s="141"/>
      <c r="O121" s="141"/>
      <c r="P121" s="141"/>
      <c r="Q121" s="141"/>
      <c r="R121" s="141"/>
      <c r="S121" s="141"/>
      <c r="T121" s="141"/>
      <c r="U121" s="141"/>
      <c r="V121" s="141"/>
      <c r="W121" s="141"/>
      <c r="X121" s="141"/>
      <c r="Y121" s="141"/>
      <c r="Z121" s="141"/>
    </row>
    <row r="122" spans="1:26" ht="18" customHeight="1">
      <c r="A122" s="135"/>
      <c r="B122" s="141"/>
      <c r="C122" s="141"/>
      <c r="D122" s="141"/>
      <c r="E122" s="141"/>
      <c r="F122" s="141"/>
      <c r="G122" s="141"/>
      <c r="H122" s="141"/>
      <c r="I122" s="141"/>
      <c r="J122" s="141"/>
      <c r="K122" s="141"/>
      <c r="L122" s="141"/>
      <c r="M122" s="141"/>
      <c r="N122" s="141"/>
      <c r="O122" s="141"/>
      <c r="P122" s="141"/>
      <c r="Q122" s="141"/>
      <c r="R122" s="141"/>
      <c r="S122" s="141"/>
      <c r="T122" s="141"/>
      <c r="U122" s="141"/>
      <c r="V122" s="141"/>
      <c r="W122" s="141"/>
      <c r="X122" s="141"/>
      <c r="Y122" s="141"/>
      <c r="Z122" s="141"/>
    </row>
    <row r="123" spans="1:26" ht="18" customHeight="1">
      <c r="A123" s="135"/>
      <c r="B123" s="141"/>
      <c r="C123" s="141"/>
      <c r="D123" s="141"/>
      <c r="E123" s="141"/>
      <c r="F123" s="141"/>
      <c r="G123" s="141"/>
      <c r="H123" s="141"/>
      <c r="I123" s="141"/>
      <c r="J123" s="141"/>
      <c r="K123" s="141"/>
      <c r="L123" s="141"/>
      <c r="M123" s="141"/>
      <c r="N123" s="141"/>
      <c r="O123" s="141"/>
      <c r="P123" s="141"/>
      <c r="Q123" s="141"/>
      <c r="R123" s="141"/>
      <c r="S123" s="141"/>
      <c r="T123" s="141"/>
      <c r="U123" s="141"/>
      <c r="V123" s="141"/>
      <c r="W123" s="141"/>
      <c r="X123" s="141"/>
      <c r="Y123" s="141"/>
      <c r="Z123" s="141"/>
    </row>
    <row r="124" spans="1:26" ht="18" customHeight="1">
      <c r="A124" s="135"/>
      <c r="B124" s="141"/>
      <c r="C124" s="141"/>
      <c r="D124" s="141"/>
      <c r="E124" s="141"/>
      <c r="F124" s="141"/>
      <c r="G124" s="141"/>
      <c r="H124" s="141"/>
      <c r="I124" s="141"/>
      <c r="J124" s="141"/>
      <c r="K124" s="141"/>
      <c r="L124" s="141"/>
      <c r="M124" s="141"/>
      <c r="N124" s="141"/>
      <c r="O124" s="141"/>
      <c r="P124" s="141"/>
      <c r="Q124" s="141"/>
      <c r="R124" s="141"/>
      <c r="S124" s="141"/>
      <c r="T124" s="141"/>
      <c r="U124" s="141"/>
      <c r="V124" s="141"/>
      <c r="W124" s="141"/>
      <c r="X124" s="141"/>
      <c r="Y124" s="141"/>
      <c r="Z124" s="141"/>
    </row>
    <row r="125" spans="1:26" ht="18" customHeight="1">
      <c r="A125" s="135"/>
      <c r="B125" s="141"/>
      <c r="C125" s="141"/>
      <c r="D125" s="141"/>
      <c r="E125" s="141"/>
      <c r="F125" s="141"/>
      <c r="G125" s="141"/>
      <c r="H125" s="141"/>
      <c r="I125" s="141"/>
      <c r="J125" s="141"/>
      <c r="K125" s="141"/>
      <c r="L125" s="141"/>
      <c r="M125" s="141"/>
      <c r="N125" s="141"/>
      <c r="O125" s="141"/>
      <c r="P125" s="141"/>
      <c r="Q125" s="141"/>
      <c r="R125" s="141"/>
      <c r="S125" s="141"/>
      <c r="T125" s="141"/>
      <c r="U125" s="141"/>
      <c r="V125" s="141"/>
      <c r="W125" s="141"/>
      <c r="X125" s="141"/>
      <c r="Y125" s="141"/>
      <c r="Z125" s="141"/>
    </row>
    <row r="126" spans="1:26" ht="18" customHeight="1">
      <c r="A126" s="135"/>
      <c r="B126" s="141"/>
      <c r="C126" s="141"/>
      <c r="D126" s="141"/>
      <c r="E126" s="141"/>
      <c r="F126" s="141"/>
      <c r="G126" s="141"/>
      <c r="H126" s="141"/>
      <c r="I126" s="141"/>
      <c r="J126" s="141"/>
      <c r="K126" s="141"/>
      <c r="L126" s="141"/>
      <c r="M126" s="141"/>
      <c r="N126" s="141"/>
      <c r="O126" s="141"/>
      <c r="P126" s="141"/>
      <c r="Q126" s="141"/>
      <c r="R126" s="141"/>
      <c r="S126" s="141"/>
      <c r="T126" s="141"/>
      <c r="U126" s="141"/>
      <c r="V126" s="141"/>
      <c r="W126" s="141"/>
      <c r="X126" s="141"/>
      <c r="Y126" s="141"/>
      <c r="Z126" s="141"/>
    </row>
    <row r="127" spans="1:26" ht="18" customHeight="1">
      <c r="A127" s="135"/>
      <c r="B127" s="141"/>
      <c r="C127" s="141"/>
      <c r="D127" s="141"/>
      <c r="E127" s="141"/>
      <c r="F127" s="141"/>
      <c r="G127" s="141"/>
      <c r="H127" s="141"/>
      <c r="I127" s="141"/>
      <c r="J127" s="141"/>
      <c r="K127" s="141"/>
      <c r="L127" s="141"/>
      <c r="M127" s="141"/>
      <c r="N127" s="141"/>
      <c r="O127" s="141"/>
      <c r="P127" s="141"/>
      <c r="Q127" s="141"/>
      <c r="R127" s="141"/>
      <c r="S127" s="141"/>
      <c r="T127" s="141"/>
      <c r="U127" s="141"/>
      <c r="V127" s="141"/>
      <c r="W127" s="141"/>
      <c r="X127" s="141"/>
      <c r="Y127" s="141"/>
      <c r="Z127" s="141"/>
    </row>
    <row r="128" spans="1:26" ht="18" customHeight="1">
      <c r="A128" s="135"/>
      <c r="B128" s="141"/>
      <c r="C128" s="141"/>
      <c r="D128" s="141"/>
      <c r="E128" s="141"/>
      <c r="F128" s="141"/>
      <c r="G128" s="141"/>
      <c r="H128" s="141"/>
      <c r="I128" s="141"/>
      <c r="J128" s="141"/>
      <c r="K128" s="141"/>
      <c r="L128" s="141"/>
      <c r="M128" s="141"/>
      <c r="N128" s="141"/>
      <c r="O128" s="141"/>
      <c r="P128" s="141"/>
      <c r="Q128" s="141"/>
      <c r="R128" s="141"/>
      <c r="S128" s="141"/>
      <c r="T128" s="141"/>
      <c r="U128" s="141"/>
      <c r="V128" s="141"/>
      <c r="W128" s="141"/>
      <c r="X128" s="141"/>
      <c r="Y128" s="141"/>
      <c r="Z128" s="141"/>
    </row>
    <row r="129" spans="1:26" ht="18" customHeight="1">
      <c r="A129" s="135"/>
      <c r="B129" s="141"/>
      <c r="C129" s="141"/>
      <c r="D129" s="141"/>
      <c r="E129" s="141"/>
      <c r="F129" s="141"/>
      <c r="G129" s="141"/>
      <c r="H129" s="141"/>
      <c r="I129" s="141"/>
      <c r="J129" s="141"/>
      <c r="K129" s="141"/>
      <c r="L129" s="141"/>
      <c r="M129" s="141"/>
      <c r="N129" s="141"/>
      <c r="O129" s="141"/>
      <c r="P129" s="141"/>
      <c r="Q129" s="141"/>
      <c r="R129" s="141"/>
      <c r="S129" s="141"/>
      <c r="T129" s="141"/>
      <c r="U129" s="141"/>
      <c r="V129" s="141"/>
      <c r="W129" s="141"/>
      <c r="X129" s="141"/>
      <c r="Y129" s="141"/>
      <c r="Z129" s="141"/>
    </row>
    <row r="130" spans="1:26" ht="18" customHeight="1">
      <c r="A130" s="135"/>
      <c r="B130" s="141"/>
      <c r="C130" s="141"/>
      <c r="D130" s="141"/>
      <c r="E130" s="141"/>
      <c r="F130" s="141"/>
      <c r="G130" s="141"/>
      <c r="H130" s="141"/>
      <c r="I130" s="141"/>
      <c r="J130" s="141"/>
      <c r="K130" s="141"/>
      <c r="L130" s="141"/>
      <c r="M130" s="141"/>
      <c r="N130" s="141"/>
      <c r="O130" s="141"/>
      <c r="P130" s="141"/>
      <c r="Q130" s="141"/>
      <c r="R130" s="141"/>
      <c r="S130" s="141"/>
      <c r="T130" s="141"/>
      <c r="U130" s="141"/>
      <c r="V130" s="141"/>
      <c r="W130" s="141"/>
      <c r="X130" s="141"/>
      <c r="Y130" s="141"/>
      <c r="Z130" s="141"/>
    </row>
    <row r="131" spans="1:26" ht="18" customHeight="1">
      <c r="A131" s="135"/>
      <c r="B131" s="141"/>
      <c r="C131" s="141"/>
      <c r="D131" s="141"/>
      <c r="E131" s="141"/>
      <c r="F131" s="141"/>
      <c r="G131" s="141"/>
      <c r="H131" s="141"/>
      <c r="I131" s="141"/>
      <c r="J131" s="141"/>
      <c r="K131" s="141"/>
      <c r="L131" s="141"/>
      <c r="M131" s="141"/>
      <c r="N131" s="141"/>
      <c r="O131" s="141"/>
      <c r="P131" s="141"/>
      <c r="Q131" s="141"/>
      <c r="R131" s="141"/>
      <c r="S131" s="141"/>
      <c r="T131" s="141"/>
      <c r="U131" s="141"/>
      <c r="V131" s="141"/>
      <c r="W131" s="141"/>
      <c r="X131" s="141"/>
      <c r="Y131" s="141"/>
      <c r="Z131" s="141"/>
    </row>
    <row r="132" spans="1:26" ht="18" customHeight="1">
      <c r="A132" s="135"/>
      <c r="B132" s="141"/>
      <c r="C132" s="141"/>
      <c r="D132" s="141"/>
      <c r="E132" s="141"/>
      <c r="F132" s="141"/>
      <c r="G132" s="141"/>
      <c r="H132" s="141"/>
      <c r="I132" s="141"/>
      <c r="J132" s="141"/>
      <c r="K132" s="141"/>
      <c r="L132" s="141"/>
      <c r="M132" s="141"/>
      <c r="N132" s="141"/>
      <c r="O132" s="141"/>
      <c r="P132" s="141"/>
      <c r="Q132" s="141"/>
      <c r="R132" s="141"/>
      <c r="S132" s="141"/>
      <c r="T132" s="141"/>
      <c r="U132" s="141"/>
      <c r="V132" s="141"/>
      <c r="W132" s="141"/>
      <c r="X132" s="141"/>
      <c r="Y132" s="141"/>
      <c r="Z132" s="141"/>
    </row>
    <row r="133" spans="1:26" ht="18" customHeight="1">
      <c r="A133" s="135"/>
      <c r="B133" s="141"/>
      <c r="C133" s="141"/>
      <c r="D133" s="141"/>
      <c r="E133" s="141"/>
      <c r="F133" s="141"/>
      <c r="G133" s="141"/>
      <c r="H133" s="141"/>
      <c r="I133" s="141"/>
      <c r="J133" s="141"/>
      <c r="K133" s="141"/>
      <c r="L133" s="141"/>
      <c r="M133" s="141"/>
      <c r="N133" s="141"/>
      <c r="O133" s="141"/>
      <c r="P133" s="141"/>
      <c r="Q133" s="141"/>
      <c r="R133" s="141"/>
      <c r="S133" s="141"/>
      <c r="T133" s="141"/>
      <c r="U133" s="141"/>
      <c r="V133" s="141"/>
      <c r="W133" s="141"/>
      <c r="X133" s="141"/>
      <c r="Y133" s="141"/>
      <c r="Z133" s="141"/>
    </row>
    <row r="134" spans="1:26" ht="18" customHeight="1">
      <c r="A134" s="135"/>
      <c r="B134" s="141"/>
      <c r="C134" s="141"/>
      <c r="D134" s="141"/>
      <c r="E134" s="141"/>
      <c r="F134" s="141"/>
      <c r="G134" s="141"/>
      <c r="H134" s="141"/>
      <c r="I134" s="141"/>
      <c r="J134" s="141"/>
      <c r="K134" s="141"/>
      <c r="L134" s="141"/>
      <c r="M134" s="141"/>
      <c r="N134" s="141"/>
      <c r="O134" s="141"/>
      <c r="P134" s="141"/>
      <c r="Q134" s="141"/>
      <c r="R134" s="141"/>
      <c r="S134" s="141"/>
      <c r="T134" s="141"/>
      <c r="U134" s="141"/>
      <c r="V134" s="141"/>
      <c r="W134" s="141"/>
      <c r="X134" s="141"/>
      <c r="Y134" s="141"/>
      <c r="Z134" s="141"/>
    </row>
    <row r="135" spans="1:26" ht="18" customHeight="1">
      <c r="A135" s="135"/>
      <c r="B135" s="141"/>
      <c r="C135" s="141"/>
      <c r="D135" s="141"/>
      <c r="E135" s="141"/>
      <c r="F135" s="141"/>
      <c r="G135" s="141"/>
      <c r="H135" s="141"/>
      <c r="I135" s="141"/>
      <c r="J135" s="141"/>
      <c r="K135" s="141"/>
      <c r="L135" s="141"/>
      <c r="M135" s="141"/>
      <c r="N135" s="141"/>
      <c r="O135" s="141"/>
      <c r="P135" s="141"/>
      <c r="Q135" s="141"/>
      <c r="R135" s="141"/>
      <c r="S135" s="141"/>
      <c r="T135" s="141"/>
      <c r="U135" s="141"/>
      <c r="V135" s="141"/>
      <c r="W135" s="141"/>
      <c r="X135" s="141"/>
      <c r="Y135" s="141"/>
      <c r="Z135" s="141"/>
    </row>
    <row r="136" spans="1:26" ht="18" customHeight="1">
      <c r="A136" s="135"/>
      <c r="B136" s="141"/>
      <c r="C136" s="141"/>
      <c r="D136" s="141"/>
      <c r="E136" s="141"/>
      <c r="F136" s="141"/>
      <c r="G136" s="141"/>
      <c r="H136" s="141"/>
      <c r="I136" s="141"/>
      <c r="J136" s="141"/>
      <c r="K136" s="141"/>
      <c r="L136" s="141"/>
      <c r="M136" s="141"/>
      <c r="N136" s="141"/>
      <c r="O136" s="141"/>
      <c r="P136" s="141"/>
      <c r="Q136" s="141"/>
      <c r="R136" s="141"/>
      <c r="S136" s="141"/>
      <c r="T136" s="141"/>
      <c r="U136" s="141"/>
      <c r="V136" s="141"/>
      <c r="W136" s="141"/>
      <c r="X136" s="141"/>
      <c r="Y136" s="141"/>
      <c r="Z136" s="141"/>
    </row>
    <row r="137" spans="1:26" ht="18" customHeight="1">
      <c r="A137" s="135"/>
      <c r="B137" s="141"/>
      <c r="C137" s="141"/>
      <c r="D137" s="141"/>
      <c r="E137" s="141"/>
      <c r="F137" s="141"/>
      <c r="G137" s="141"/>
      <c r="H137" s="141"/>
      <c r="I137" s="141"/>
      <c r="J137" s="141"/>
      <c r="K137" s="141"/>
      <c r="L137" s="141"/>
      <c r="M137" s="141"/>
      <c r="N137" s="141"/>
      <c r="O137" s="141"/>
      <c r="P137" s="141"/>
      <c r="Q137" s="141"/>
      <c r="R137" s="141"/>
      <c r="S137" s="141"/>
      <c r="T137" s="141"/>
      <c r="U137" s="141"/>
      <c r="V137" s="141"/>
      <c r="W137" s="141"/>
      <c r="X137" s="141"/>
      <c r="Y137" s="141"/>
      <c r="Z137" s="141"/>
    </row>
    <row r="138" spans="1:26" ht="18" customHeight="1">
      <c r="A138" s="135"/>
      <c r="B138" s="141"/>
      <c r="C138" s="141"/>
      <c r="D138" s="141"/>
      <c r="E138" s="141"/>
      <c r="F138" s="141"/>
      <c r="G138" s="141"/>
      <c r="H138" s="141"/>
      <c r="I138" s="141"/>
      <c r="J138" s="141"/>
      <c r="K138" s="141"/>
      <c r="L138" s="141"/>
      <c r="M138" s="141"/>
      <c r="N138" s="141"/>
      <c r="O138" s="141"/>
      <c r="P138" s="141"/>
      <c r="Q138" s="141"/>
      <c r="R138" s="141"/>
      <c r="S138" s="141"/>
      <c r="T138" s="141"/>
      <c r="U138" s="141"/>
      <c r="V138" s="141"/>
      <c r="W138" s="141"/>
      <c r="X138" s="141"/>
      <c r="Y138" s="141"/>
      <c r="Z138" s="141"/>
    </row>
    <row r="139" spans="1:26" ht="18" customHeight="1">
      <c r="A139" s="135"/>
      <c r="B139" s="141"/>
      <c r="C139" s="141"/>
      <c r="D139" s="141"/>
      <c r="E139" s="141"/>
      <c r="F139" s="141"/>
      <c r="G139" s="141"/>
      <c r="H139" s="141"/>
      <c r="I139" s="141"/>
      <c r="J139" s="141"/>
      <c r="K139" s="141"/>
      <c r="L139" s="141"/>
      <c r="M139" s="141"/>
      <c r="N139" s="141"/>
      <c r="O139" s="141"/>
      <c r="P139" s="141"/>
      <c r="Q139" s="141"/>
      <c r="R139" s="141"/>
      <c r="S139" s="141"/>
      <c r="T139" s="141"/>
      <c r="U139" s="141"/>
      <c r="V139" s="141"/>
      <c r="W139" s="141"/>
      <c r="X139" s="141"/>
      <c r="Y139" s="141"/>
      <c r="Z139" s="141"/>
    </row>
    <row r="140" spans="1:26" ht="18" customHeight="1">
      <c r="A140" s="135"/>
      <c r="B140" s="141"/>
      <c r="C140" s="141"/>
      <c r="D140" s="141"/>
      <c r="E140" s="141"/>
      <c r="F140" s="141"/>
      <c r="G140" s="141"/>
      <c r="H140" s="141"/>
      <c r="I140" s="141"/>
      <c r="J140" s="141"/>
      <c r="K140" s="141"/>
      <c r="L140" s="141"/>
      <c r="M140" s="141"/>
      <c r="N140" s="141"/>
      <c r="O140" s="141"/>
      <c r="P140" s="141"/>
      <c r="Q140" s="141"/>
      <c r="R140" s="141"/>
      <c r="S140" s="141"/>
      <c r="T140" s="141"/>
      <c r="U140" s="141"/>
      <c r="V140" s="141"/>
      <c r="W140" s="141"/>
      <c r="X140" s="141"/>
      <c r="Y140" s="141"/>
      <c r="Z140" s="141"/>
    </row>
    <row r="141" spans="1:26" ht="18" customHeight="1">
      <c r="A141" s="135"/>
      <c r="B141" s="141"/>
      <c r="C141" s="141"/>
      <c r="D141" s="141"/>
      <c r="E141" s="141"/>
      <c r="F141" s="141"/>
      <c r="G141" s="141"/>
      <c r="H141" s="141"/>
      <c r="I141" s="141"/>
      <c r="J141" s="141"/>
      <c r="K141" s="141"/>
      <c r="L141" s="141"/>
      <c r="M141" s="141"/>
      <c r="N141" s="141"/>
      <c r="O141" s="141"/>
      <c r="P141" s="141"/>
      <c r="Q141" s="141"/>
      <c r="R141" s="141"/>
      <c r="S141" s="141"/>
      <c r="T141" s="141"/>
      <c r="U141" s="141"/>
      <c r="V141" s="141"/>
      <c r="W141" s="141"/>
      <c r="X141" s="141"/>
      <c r="Y141" s="141"/>
      <c r="Z141" s="141"/>
    </row>
    <row r="142" spans="1:26" ht="18" customHeight="1">
      <c r="A142" s="135"/>
      <c r="B142" s="141"/>
      <c r="C142" s="141"/>
      <c r="D142" s="141"/>
      <c r="E142" s="141"/>
      <c r="F142" s="141"/>
      <c r="G142" s="141"/>
      <c r="H142" s="141"/>
      <c r="I142" s="141"/>
      <c r="J142" s="141"/>
      <c r="K142" s="141"/>
      <c r="L142" s="141"/>
      <c r="M142" s="141"/>
      <c r="N142" s="141"/>
      <c r="O142" s="141"/>
      <c r="P142" s="141"/>
      <c r="Q142" s="141"/>
      <c r="R142" s="141"/>
      <c r="S142" s="141"/>
      <c r="T142" s="141"/>
      <c r="U142" s="141"/>
      <c r="V142" s="141"/>
      <c r="W142" s="141"/>
      <c r="X142" s="141"/>
      <c r="Y142" s="141"/>
      <c r="Z142" s="141"/>
    </row>
    <row r="143" spans="1:26" ht="18" customHeight="1">
      <c r="A143" s="135"/>
      <c r="B143" s="141"/>
      <c r="C143" s="141"/>
      <c r="D143" s="141"/>
      <c r="E143" s="141"/>
      <c r="F143" s="141"/>
      <c r="G143" s="141"/>
      <c r="H143" s="141"/>
      <c r="I143" s="141"/>
      <c r="J143" s="141"/>
      <c r="K143" s="141"/>
      <c r="L143" s="141"/>
      <c r="M143" s="141"/>
      <c r="N143" s="141"/>
      <c r="O143" s="141"/>
      <c r="P143" s="141"/>
      <c r="Q143" s="141"/>
      <c r="R143" s="141"/>
      <c r="S143" s="141"/>
      <c r="T143" s="141"/>
      <c r="U143" s="141"/>
      <c r="V143" s="141"/>
      <c r="W143" s="141"/>
      <c r="X143" s="141"/>
      <c r="Y143" s="141"/>
      <c r="Z143" s="141"/>
    </row>
    <row r="144" spans="1:26" ht="18" customHeight="1">
      <c r="A144" s="135"/>
      <c r="B144" s="141"/>
      <c r="C144" s="141"/>
      <c r="D144" s="141"/>
      <c r="E144" s="141"/>
      <c r="F144" s="141"/>
      <c r="G144" s="141"/>
      <c r="H144" s="141"/>
      <c r="I144" s="141"/>
      <c r="J144" s="141"/>
      <c r="K144" s="141"/>
      <c r="L144" s="141"/>
      <c r="M144" s="141"/>
      <c r="N144" s="141"/>
      <c r="O144" s="141"/>
      <c r="P144" s="141"/>
      <c r="Q144" s="141"/>
      <c r="R144" s="141"/>
      <c r="S144" s="141"/>
      <c r="T144" s="141"/>
      <c r="U144" s="141"/>
      <c r="V144" s="141"/>
      <c r="W144" s="141"/>
      <c r="X144" s="141"/>
      <c r="Y144" s="141"/>
      <c r="Z144" s="141"/>
    </row>
    <row r="145" spans="1:26" ht="18" customHeight="1">
      <c r="A145" s="135"/>
      <c r="B145" s="141"/>
      <c r="C145" s="141"/>
      <c r="D145" s="141"/>
      <c r="E145" s="141"/>
      <c r="F145" s="141"/>
      <c r="G145" s="141"/>
      <c r="H145" s="141"/>
      <c r="I145" s="141"/>
      <c r="J145" s="141"/>
      <c r="K145" s="141"/>
      <c r="L145" s="141"/>
      <c r="M145" s="141"/>
      <c r="N145" s="141"/>
      <c r="O145" s="141"/>
      <c r="P145" s="141"/>
      <c r="Q145" s="141"/>
      <c r="R145" s="141"/>
      <c r="S145" s="141"/>
      <c r="T145" s="141"/>
      <c r="U145" s="141"/>
      <c r="V145" s="141"/>
      <c r="W145" s="141"/>
      <c r="X145" s="141"/>
      <c r="Y145" s="141"/>
      <c r="Z145" s="141"/>
    </row>
    <row r="146" spans="1:26" ht="18" customHeight="1">
      <c r="A146" s="135"/>
      <c r="B146" s="141"/>
      <c r="C146" s="141"/>
      <c r="D146" s="141"/>
      <c r="E146" s="141"/>
      <c r="F146" s="141"/>
      <c r="G146" s="141"/>
      <c r="H146" s="141"/>
      <c r="I146" s="141"/>
      <c r="J146" s="141"/>
      <c r="K146" s="141"/>
      <c r="L146" s="141"/>
      <c r="M146" s="141"/>
      <c r="N146" s="141"/>
      <c r="O146" s="141"/>
      <c r="P146" s="141"/>
      <c r="Q146" s="141"/>
      <c r="R146" s="141"/>
      <c r="S146" s="141"/>
      <c r="T146" s="141"/>
      <c r="U146" s="141"/>
      <c r="V146" s="141"/>
      <c r="W146" s="141"/>
      <c r="X146" s="141"/>
      <c r="Y146" s="141"/>
      <c r="Z146" s="141"/>
    </row>
    <row r="147" spans="1:26" ht="18" customHeight="1">
      <c r="A147" s="135"/>
      <c r="B147" s="141"/>
      <c r="C147" s="141"/>
      <c r="D147" s="141"/>
      <c r="E147" s="141"/>
      <c r="F147" s="141"/>
      <c r="G147" s="141"/>
      <c r="H147" s="141"/>
      <c r="I147" s="141"/>
      <c r="J147" s="141"/>
      <c r="K147" s="141"/>
      <c r="L147" s="141"/>
      <c r="M147" s="141"/>
      <c r="N147" s="141"/>
      <c r="O147" s="141"/>
      <c r="P147" s="141"/>
      <c r="Q147" s="141"/>
      <c r="R147" s="141"/>
      <c r="S147" s="141"/>
      <c r="T147" s="141"/>
      <c r="U147" s="141"/>
      <c r="V147" s="141"/>
      <c r="W147" s="141"/>
      <c r="X147" s="141"/>
      <c r="Y147" s="141"/>
      <c r="Z147" s="141"/>
    </row>
    <row r="148" spans="1:26" ht="18" customHeight="1">
      <c r="A148" s="135"/>
      <c r="B148" s="141"/>
      <c r="C148" s="141"/>
      <c r="D148" s="141"/>
      <c r="E148" s="141"/>
      <c r="F148" s="141"/>
      <c r="G148" s="141"/>
      <c r="H148" s="141"/>
      <c r="I148" s="141"/>
      <c r="J148" s="141"/>
      <c r="K148" s="141"/>
      <c r="L148" s="141"/>
      <c r="M148" s="141"/>
      <c r="N148" s="141"/>
      <c r="O148" s="141"/>
      <c r="P148" s="141"/>
      <c r="Q148" s="141"/>
      <c r="R148" s="141"/>
      <c r="S148" s="141"/>
      <c r="T148" s="141"/>
      <c r="U148" s="141"/>
      <c r="V148" s="141"/>
      <c r="W148" s="141"/>
      <c r="X148" s="141"/>
      <c r="Y148" s="141"/>
      <c r="Z148" s="141"/>
    </row>
    <row r="149" spans="1:26" ht="18" customHeight="1">
      <c r="A149" s="135"/>
      <c r="B149" s="141"/>
      <c r="C149" s="141"/>
      <c r="D149" s="141"/>
      <c r="E149" s="141"/>
      <c r="F149" s="141"/>
      <c r="G149" s="141"/>
      <c r="H149" s="141"/>
      <c r="I149" s="141"/>
      <c r="J149" s="141"/>
      <c r="K149" s="141"/>
      <c r="L149" s="141"/>
      <c r="M149" s="141"/>
      <c r="N149" s="141"/>
      <c r="O149" s="141"/>
      <c r="P149" s="141"/>
      <c r="Q149" s="141"/>
      <c r="R149" s="141"/>
      <c r="S149" s="141"/>
      <c r="T149" s="141"/>
      <c r="U149" s="141"/>
      <c r="V149" s="141"/>
      <c r="W149" s="141"/>
      <c r="X149" s="141"/>
      <c r="Y149" s="141"/>
      <c r="Z149" s="141"/>
    </row>
    <row r="150" spans="1:26" ht="18" customHeight="1">
      <c r="A150" s="135"/>
      <c r="B150" s="141"/>
      <c r="C150" s="141"/>
      <c r="D150" s="141"/>
      <c r="E150" s="141"/>
      <c r="F150" s="141"/>
      <c r="G150" s="141"/>
      <c r="H150" s="141"/>
      <c r="I150" s="141"/>
      <c r="J150" s="141"/>
      <c r="K150" s="141"/>
      <c r="L150" s="141"/>
      <c r="M150" s="141"/>
      <c r="N150" s="141"/>
      <c r="O150" s="141"/>
      <c r="P150" s="141"/>
      <c r="Q150" s="141"/>
      <c r="R150" s="141"/>
      <c r="S150" s="141"/>
      <c r="T150" s="141"/>
      <c r="U150" s="141"/>
      <c r="V150" s="141"/>
      <c r="W150" s="141"/>
      <c r="X150" s="141"/>
      <c r="Y150" s="141"/>
      <c r="Z150" s="141"/>
    </row>
    <row r="151" spans="1:26" ht="18" customHeight="1">
      <c r="A151" s="135"/>
      <c r="B151" s="141"/>
      <c r="C151" s="141"/>
      <c r="D151" s="141"/>
      <c r="E151" s="141"/>
      <c r="F151" s="141"/>
      <c r="G151" s="141"/>
      <c r="H151" s="141"/>
      <c r="I151" s="141"/>
      <c r="J151" s="141"/>
      <c r="K151" s="141"/>
      <c r="L151" s="141"/>
      <c r="M151" s="141"/>
      <c r="N151" s="141"/>
      <c r="O151" s="141"/>
      <c r="P151" s="141"/>
      <c r="Q151" s="141"/>
      <c r="R151" s="141"/>
      <c r="S151" s="141"/>
      <c r="T151" s="141"/>
      <c r="U151" s="141"/>
      <c r="V151" s="141"/>
      <c r="W151" s="141"/>
      <c r="X151" s="141"/>
      <c r="Y151" s="141"/>
      <c r="Z151" s="141"/>
    </row>
    <row r="152" spans="1:26" ht="18" customHeight="1">
      <c r="A152" s="135"/>
      <c r="B152" s="141"/>
      <c r="C152" s="141"/>
      <c r="D152" s="141"/>
      <c r="E152" s="141"/>
      <c r="F152" s="141"/>
      <c r="G152" s="141"/>
      <c r="H152" s="141"/>
      <c r="I152" s="141"/>
      <c r="J152" s="141"/>
      <c r="K152" s="141"/>
      <c r="L152" s="141"/>
      <c r="M152" s="141"/>
      <c r="N152" s="141"/>
      <c r="O152" s="141"/>
      <c r="P152" s="141"/>
      <c r="Q152" s="141"/>
      <c r="R152" s="141"/>
      <c r="S152" s="141"/>
      <c r="T152" s="141"/>
      <c r="U152" s="141"/>
      <c r="V152" s="141"/>
      <c r="W152" s="141"/>
      <c r="X152" s="141"/>
      <c r="Y152" s="141"/>
      <c r="Z152" s="141"/>
    </row>
    <row r="153" spans="1:26" ht="18" customHeight="1">
      <c r="A153" s="135"/>
      <c r="B153" s="141"/>
      <c r="C153" s="141"/>
      <c r="D153" s="141"/>
      <c r="E153" s="141"/>
      <c r="F153" s="141"/>
      <c r="G153" s="141"/>
      <c r="H153" s="141"/>
      <c r="I153" s="141"/>
      <c r="J153" s="141"/>
      <c r="K153" s="141"/>
      <c r="L153" s="141"/>
      <c r="M153" s="141"/>
      <c r="N153" s="141"/>
      <c r="O153" s="141"/>
      <c r="P153" s="141"/>
      <c r="Q153" s="141"/>
      <c r="R153" s="141"/>
      <c r="S153" s="141"/>
      <c r="T153" s="141"/>
      <c r="U153" s="141"/>
      <c r="V153" s="141"/>
      <c r="W153" s="141"/>
      <c r="X153" s="141"/>
      <c r="Y153" s="141"/>
      <c r="Z153" s="141"/>
    </row>
    <row r="154" spans="1:26" ht="18" customHeight="1">
      <c r="A154" s="135"/>
      <c r="B154" s="141"/>
      <c r="C154" s="141"/>
      <c r="D154" s="141"/>
      <c r="E154" s="141"/>
      <c r="F154" s="141"/>
      <c r="G154" s="141"/>
      <c r="H154" s="141"/>
      <c r="I154" s="141"/>
      <c r="J154" s="141"/>
      <c r="K154" s="141"/>
      <c r="L154" s="141"/>
      <c r="M154" s="141"/>
      <c r="N154" s="141"/>
      <c r="O154" s="141"/>
      <c r="P154" s="141"/>
      <c r="Q154" s="141"/>
      <c r="R154" s="141"/>
      <c r="S154" s="141"/>
      <c r="T154" s="141"/>
      <c r="U154" s="141"/>
      <c r="V154" s="141"/>
      <c r="W154" s="141"/>
      <c r="X154" s="141"/>
      <c r="Y154" s="141"/>
      <c r="Z154" s="141"/>
    </row>
    <row r="155" spans="1:26" ht="18" customHeight="1">
      <c r="A155" s="135"/>
      <c r="B155" s="141"/>
      <c r="C155" s="141"/>
      <c r="D155" s="141"/>
      <c r="E155" s="141"/>
      <c r="F155" s="141"/>
      <c r="G155" s="141"/>
      <c r="H155" s="141"/>
      <c r="I155" s="141"/>
      <c r="J155" s="141"/>
      <c r="K155" s="141"/>
      <c r="L155" s="141"/>
      <c r="M155" s="141"/>
      <c r="N155" s="141"/>
      <c r="O155" s="141"/>
      <c r="P155" s="141"/>
      <c r="Q155" s="141"/>
      <c r="R155" s="141"/>
      <c r="S155" s="141"/>
      <c r="T155" s="141"/>
      <c r="U155" s="141"/>
      <c r="V155" s="141"/>
      <c r="W155" s="141"/>
      <c r="X155" s="141"/>
      <c r="Y155" s="141"/>
      <c r="Z155" s="141"/>
    </row>
    <row r="156" spans="1:26" ht="18" customHeight="1">
      <c r="A156" s="135"/>
      <c r="B156" s="141"/>
      <c r="C156" s="141"/>
      <c r="D156" s="141"/>
      <c r="E156" s="141"/>
      <c r="F156" s="141"/>
      <c r="G156" s="141"/>
      <c r="H156" s="141"/>
      <c r="I156" s="141"/>
      <c r="J156" s="141"/>
      <c r="K156" s="141"/>
      <c r="L156" s="141"/>
      <c r="M156" s="141"/>
      <c r="N156" s="141"/>
      <c r="O156" s="141"/>
      <c r="P156" s="141"/>
      <c r="Q156" s="141"/>
      <c r="R156" s="141"/>
      <c r="S156" s="141"/>
      <c r="T156" s="141"/>
      <c r="U156" s="141"/>
      <c r="V156" s="141"/>
      <c r="W156" s="141"/>
      <c r="X156" s="141"/>
      <c r="Y156" s="141"/>
      <c r="Z156" s="141"/>
    </row>
    <row r="157" spans="1:26" ht="18" customHeight="1">
      <c r="A157" s="135"/>
      <c r="B157" s="141"/>
      <c r="C157" s="141"/>
      <c r="D157" s="141"/>
      <c r="E157" s="141"/>
      <c r="F157" s="141"/>
      <c r="G157" s="141"/>
      <c r="H157" s="141"/>
      <c r="I157" s="141"/>
      <c r="J157" s="141"/>
      <c r="K157" s="141"/>
      <c r="L157" s="141"/>
      <c r="M157" s="141"/>
      <c r="N157" s="141"/>
      <c r="O157" s="141"/>
      <c r="P157" s="141"/>
      <c r="Q157" s="141"/>
      <c r="R157" s="141"/>
      <c r="S157" s="141"/>
      <c r="T157" s="141"/>
      <c r="U157" s="141"/>
      <c r="V157" s="141"/>
      <c r="W157" s="141"/>
      <c r="X157" s="141"/>
      <c r="Y157" s="141"/>
      <c r="Z157" s="141"/>
    </row>
    <row r="158" spans="1:26" ht="18" customHeight="1">
      <c r="A158" s="135"/>
      <c r="B158" s="141"/>
      <c r="C158" s="141"/>
      <c r="D158" s="141"/>
      <c r="E158" s="141"/>
      <c r="F158" s="141"/>
      <c r="G158" s="141"/>
      <c r="H158" s="141"/>
      <c r="I158" s="141"/>
      <c r="J158" s="141"/>
      <c r="K158" s="141"/>
      <c r="L158" s="141"/>
      <c r="M158" s="141"/>
      <c r="N158" s="141"/>
      <c r="O158" s="141"/>
      <c r="P158" s="141"/>
      <c r="Q158" s="141"/>
      <c r="R158" s="141"/>
      <c r="S158" s="141"/>
      <c r="T158" s="141"/>
      <c r="U158" s="141"/>
      <c r="V158" s="141"/>
      <c r="W158" s="141"/>
      <c r="X158" s="141"/>
      <c r="Y158" s="141"/>
      <c r="Z158" s="141"/>
    </row>
    <row r="159" spans="1:26" ht="18" customHeight="1">
      <c r="A159" s="135"/>
      <c r="B159" s="141"/>
      <c r="C159" s="141"/>
      <c r="D159" s="141"/>
      <c r="E159" s="141"/>
      <c r="F159" s="141"/>
      <c r="G159" s="141"/>
      <c r="H159" s="141"/>
      <c r="I159" s="141"/>
      <c r="J159" s="141"/>
      <c r="K159" s="141"/>
      <c r="L159" s="141"/>
      <c r="M159" s="141"/>
      <c r="N159" s="141"/>
      <c r="O159" s="141"/>
      <c r="P159" s="141"/>
      <c r="Q159" s="141"/>
      <c r="R159" s="141"/>
      <c r="S159" s="141"/>
      <c r="T159" s="141"/>
      <c r="U159" s="141"/>
      <c r="V159" s="141"/>
      <c r="W159" s="141"/>
      <c r="X159" s="141"/>
      <c r="Y159" s="141"/>
      <c r="Z159" s="141"/>
    </row>
    <row r="160" spans="1:26" ht="18" customHeight="1">
      <c r="A160" s="135"/>
      <c r="B160" s="141"/>
      <c r="C160" s="141"/>
      <c r="D160" s="141"/>
      <c r="E160" s="141"/>
      <c r="F160" s="141"/>
      <c r="G160" s="141"/>
      <c r="H160" s="141"/>
      <c r="I160" s="141"/>
      <c r="J160" s="141"/>
      <c r="K160" s="141"/>
      <c r="L160" s="141"/>
      <c r="M160" s="141"/>
      <c r="N160" s="141"/>
      <c r="O160" s="141"/>
      <c r="P160" s="141"/>
      <c r="Q160" s="141"/>
      <c r="R160" s="141"/>
      <c r="S160" s="141"/>
      <c r="T160" s="141"/>
      <c r="U160" s="141"/>
      <c r="V160" s="141"/>
      <c r="W160" s="141"/>
      <c r="X160" s="141"/>
      <c r="Y160" s="141"/>
      <c r="Z160" s="141"/>
    </row>
    <row r="161" spans="1:26" ht="18" customHeight="1">
      <c r="A161" s="135"/>
      <c r="B161" s="141"/>
      <c r="C161" s="141"/>
      <c r="D161" s="141"/>
      <c r="E161" s="141"/>
      <c r="F161" s="141"/>
      <c r="G161" s="141"/>
      <c r="H161" s="141"/>
      <c r="I161" s="141"/>
      <c r="J161" s="141"/>
      <c r="K161" s="141"/>
      <c r="L161" s="141"/>
      <c r="M161" s="141"/>
      <c r="N161" s="141"/>
      <c r="O161" s="141"/>
      <c r="P161" s="141"/>
      <c r="Q161" s="141"/>
      <c r="R161" s="141"/>
      <c r="S161" s="141"/>
      <c r="T161" s="141"/>
      <c r="U161" s="141"/>
      <c r="V161" s="141"/>
      <c r="W161" s="141"/>
      <c r="X161" s="141"/>
      <c r="Y161" s="141"/>
      <c r="Z161" s="141"/>
    </row>
    <row r="162" spans="1:26" ht="18" customHeight="1">
      <c r="A162" s="135"/>
      <c r="B162" s="141"/>
      <c r="C162" s="141"/>
      <c r="D162" s="141"/>
      <c r="E162" s="141"/>
      <c r="F162" s="141"/>
      <c r="G162" s="141"/>
      <c r="H162" s="141"/>
      <c r="I162" s="141"/>
      <c r="J162" s="141"/>
      <c r="K162" s="141"/>
      <c r="L162" s="141"/>
      <c r="M162" s="141"/>
      <c r="N162" s="141"/>
      <c r="O162" s="141"/>
      <c r="P162" s="141"/>
      <c r="Q162" s="141"/>
      <c r="R162" s="141"/>
      <c r="S162" s="141"/>
      <c r="T162" s="141"/>
      <c r="U162" s="141"/>
      <c r="V162" s="141"/>
      <c r="W162" s="141"/>
      <c r="X162" s="141"/>
      <c r="Y162" s="141"/>
      <c r="Z162" s="141"/>
    </row>
    <row r="163" spans="1:26" ht="18" customHeight="1">
      <c r="A163" s="135"/>
      <c r="B163" s="141"/>
      <c r="C163" s="141"/>
      <c r="D163" s="141"/>
      <c r="E163" s="141"/>
      <c r="F163" s="141"/>
      <c r="G163" s="141"/>
      <c r="H163" s="141"/>
      <c r="I163" s="141"/>
      <c r="J163" s="141"/>
      <c r="K163" s="141"/>
      <c r="L163" s="141"/>
      <c r="M163" s="141"/>
      <c r="N163" s="141"/>
      <c r="O163" s="141"/>
      <c r="P163" s="141"/>
      <c r="Q163" s="141"/>
      <c r="R163" s="141"/>
      <c r="S163" s="141"/>
      <c r="T163" s="141"/>
      <c r="U163" s="141"/>
      <c r="V163" s="141"/>
      <c r="W163" s="141"/>
      <c r="X163" s="141"/>
      <c r="Y163" s="141"/>
      <c r="Z163" s="141"/>
    </row>
    <row r="164" spans="1:26" ht="18" customHeight="1">
      <c r="A164" s="135"/>
      <c r="B164" s="141"/>
      <c r="C164" s="141"/>
      <c r="D164" s="141"/>
      <c r="E164" s="141"/>
      <c r="F164" s="141"/>
      <c r="G164" s="141"/>
      <c r="H164" s="141"/>
      <c r="I164" s="141"/>
      <c r="J164" s="141"/>
      <c r="K164" s="141"/>
      <c r="L164" s="141"/>
      <c r="M164" s="141"/>
      <c r="N164" s="141"/>
      <c r="O164" s="141"/>
      <c r="P164" s="141"/>
      <c r="Q164" s="141"/>
      <c r="R164" s="141"/>
      <c r="S164" s="141"/>
      <c r="T164" s="141"/>
      <c r="U164" s="141"/>
      <c r="V164" s="141"/>
      <c r="W164" s="141"/>
      <c r="X164" s="141"/>
      <c r="Y164" s="141"/>
      <c r="Z164" s="141"/>
    </row>
    <row r="165" spans="1:26" ht="18" customHeight="1">
      <c r="A165" s="135"/>
      <c r="B165" s="141"/>
      <c r="C165" s="141"/>
      <c r="D165" s="141"/>
      <c r="E165" s="141"/>
      <c r="F165" s="141"/>
      <c r="G165" s="141"/>
      <c r="H165" s="141"/>
      <c r="I165" s="141"/>
      <c r="J165" s="141"/>
      <c r="K165" s="141"/>
      <c r="L165" s="141"/>
      <c r="M165" s="141"/>
      <c r="N165" s="141"/>
      <c r="O165" s="141"/>
      <c r="P165" s="141"/>
      <c r="Q165" s="141"/>
      <c r="R165" s="141"/>
      <c r="S165" s="141"/>
      <c r="T165" s="141"/>
      <c r="U165" s="141"/>
      <c r="V165" s="141"/>
      <c r="W165" s="141"/>
      <c r="X165" s="141"/>
      <c r="Y165" s="141"/>
      <c r="Z165" s="141"/>
    </row>
    <row r="166" spans="1:26" ht="18" customHeight="1">
      <c r="A166" s="135"/>
      <c r="B166" s="141"/>
      <c r="C166" s="141"/>
      <c r="D166" s="141"/>
      <c r="E166" s="141"/>
      <c r="F166" s="141"/>
      <c r="G166" s="141"/>
      <c r="H166" s="141"/>
      <c r="I166" s="141"/>
      <c r="J166" s="141"/>
      <c r="K166" s="141"/>
      <c r="L166" s="141"/>
      <c r="M166" s="141"/>
      <c r="N166" s="141"/>
      <c r="O166" s="141"/>
      <c r="P166" s="141"/>
      <c r="Q166" s="141"/>
      <c r="R166" s="141"/>
      <c r="S166" s="141"/>
      <c r="T166" s="141"/>
      <c r="U166" s="141"/>
      <c r="V166" s="141"/>
      <c r="W166" s="141"/>
      <c r="X166" s="141"/>
      <c r="Y166" s="141"/>
      <c r="Z166" s="141"/>
    </row>
    <row r="167" spans="1:26" ht="18" customHeight="1">
      <c r="A167" s="135"/>
      <c r="B167" s="141"/>
      <c r="C167" s="141"/>
      <c r="D167" s="141"/>
      <c r="E167" s="141"/>
      <c r="F167" s="141"/>
      <c r="G167" s="141"/>
      <c r="H167" s="141"/>
      <c r="I167" s="141"/>
      <c r="J167" s="141"/>
      <c r="K167" s="141"/>
      <c r="L167" s="141"/>
      <c r="M167" s="141"/>
      <c r="N167" s="141"/>
      <c r="O167" s="141"/>
      <c r="P167" s="141"/>
      <c r="Q167" s="141"/>
      <c r="R167" s="141"/>
      <c r="S167" s="141"/>
      <c r="T167" s="141"/>
      <c r="U167" s="141"/>
      <c r="V167" s="141"/>
      <c r="W167" s="141"/>
      <c r="X167" s="141"/>
      <c r="Y167" s="141"/>
      <c r="Z167" s="141"/>
    </row>
    <row r="168" spans="1:26" ht="18" customHeight="1">
      <c r="A168" s="135"/>
      <c r="B168" s="141"/>
      <c r="C168" s="141"/>
      <c r="D168" s="141"/>
      <c r="E168" s="141"/>
      <c r="F168" s="141"/>
      <c r="G168" s="141"/>
      <c r="H168" s="141"/>
      <c r="I168" s="141"/>
      <c r="J168" s="141"/>
      <c r="K168" s="141"/>
      <c r="L168" s="141"/>
      <c r="M168" s="141"/>
      <c r="N168" s="141"/>
      <c r="O168" s="141"/>
      <c r="P168" s="141"/>
      <c r="Q168" s="141"/>
      <c r="R168" s="141"/>
      <c r="S168" s="141"/>
      <c r="T168" s="141"/>
      <c r="U168" s="141"/>
      <c r="V168" s="141"/>
      <c r="W168" s="141"/>
      <c r="X168" s="141"/>
      <c r="Y168" s="141"/>
      <c r="Z168" s="141"/>
    </row>
    <row r="169" spans="1:26" ht="18" customHeight="1">
      <c r="A169" s="135"/>
      <c r="B169" s="141"/>
      <c r="C169" s="141"/>
      <c r="D169" s="141"/>
      <c r="E169" s="141"/>
      <c r="F169" s="141"/>
      <c r="G169" s="141"/>
      <c r="H169" s="141"/>
      <c r="I169" s="141"/>
      <c r="J169" s="141"/>
      <c r="K169" s="141"/>
      <c r="L169" s="141"/>
      <c r="M169" s="141"/>
      <c r="N169" s="141"/>
      <c r="O169" s="141"/>
      <c r="P169" s="141"/>
      <c r="Q169" s="141"/>
      <c r="R169" s="141"/>
      <c r="S169" s="141"/>
      <c r="T169" s="141"/>
      <c r="U169" s="141"/>
      <c r="V169" s="141"/>
      <c r="W169" s="141"/>
      <c r="X169" s="141"/>
      <c r="Y169" s="141"/>
      <c r="Z169" s="141"/>
    </row>
    <row r="170" spans="1:26" ht="18" customHeight="1">
      <c r="A170" s="135"/>
      <c r="B170" s="141"/>
      <c r="C170" s="141"/>
      <c r="D170" s="141"/>
      <c r="E170" s="141"/>
      <c r="F170" s="141"/>
      <c r="G170" s="141"/>
      <c r="H170" s="141"/>
      <c r="I170" s="141"/>
      <c r="J170" s="141"/>
      <c r="K170" s="141"/>
      <c r="L170" s="141"/>
      <c r="M170" s="141"/>
      <c r="N170" s="141"/>
      <c r="O170" s="141"/>
      <c r="P170" s="141"/>
      <c r="Q170" s="141"/>
      <c r="R170" s="141"/>
      <c r="S170" s="141"/>
      <c r="T170" s="141"/>
      <c r="U170" s="141"/>
      <c r="V170" s="141"/>
      <c r="W170" s="141"/>
      <c r="X170" s="141"/>
      <c r="Y170" s="141"/>
      <c r="Z170" s="141"/>
    </row>
    <row r="171" spans="1:26" ht="18" customHeight="1">
      <c r="A171" s="135"/>
      <c r="B171" s="141"/>
      <c r="C171" s="141"/>
      <c r="D171" s="141"/>
      <c r="E171" s="141"/>
      <c r="F171" s="141"/>
      <c r="G171" s="141"/>
      <c r="H171" s="141"/>
      <c r="I171" s="141"/>
      <c r="J171" s="141"/>
      <c r="K171" s="141"/>
      <c r="L171" s="141"/>
      <c r="M171" s="141"/>
      <c r="N171" s="141"/>
      <c r="O171" s="141"/>
      <c r="P171" s="141"/>
      <c r="Q171" s="141"/>
      <c r="R171" s="141"/>
      <c r="S171" s="141"/>
      <c r="T171" s="141"/>
      <c r="U171" s="141"/>
      <c r="V171" s="141"/>
      <c r="W171" s="141"/>
      <c r="X171" s="141"/>
      <c r="Y171" s="141"/>
      <c r="Z171" s="141"/>
    </row>
    <row r="172" spans="1:26" ht="18" customHeight="1">
      <c r="A172" s="135"/>
      <c r="B172" s="141"/>
      <c r="C172" s="141"/>
      <c r="D172" s="141"/>
      <c r="E172" s="141"/>
      <c r="F172" s="141"/>
      <c r="G172" s="141"/>
      <c r="H172" s="141"/>
      <c r="I172" s="141"/>
      <c r="J172" s="141"/>
      <c r="K172" s="141"/>
      <c r="L172" s="141"/>
      <c r="M172" s="141"/>
      <c r="N172" s="141"/>
      <c r="O172" s="141"/>
      <c r="P172" s="141"/>
      <c r="Q172" s="141"/>
      <c r="R172" s="141"/>
      <c r="S172" s="141"/>
      <c r="T172" s="141"/>
      <c r="U172" s="141"/>
      <c r="V172" s="141"/>
      <c r="W172" s="141"/>
      <c r="X172" s="141"/>
      <c r="Y172" s="141"/>
      <c r="Z172" s="141"/>
    </row>
    <row r="173" spans="1:26" ht="18" customHeight="1">
      <c r="A173" s="135"/>
      <c r="B173" s="141"/>
      <c r="C173" s="141"/>
      <c r="D173" s="141"/>
      <c r="E173" s="141"/>
      <c r="F173" s="141"/>
      <c r="G173" s="141"/>
      <c r="H173" s="141"/>
      <c r="I173" s="141"/>
      <c r="J173" s="141"/>
      <c r="K173" s="141"/>
      <c r="L173" s="141"/>
      <c r="M173" s="141"/>
      <c r="N173" s="141"/>
      <c r="O173" s="141"/>
      <c r="P173" s="141"/>
      <c r="Q173" s="141"/>
      <c r="R173" s="141"/>
      <c r="S173" s="141"/>
      <c r="T173" s="141"/>
      <c r="U173" s="141"/>
      <c r="V173" s="141"/>
      <c r="W173" s="141"/>
      <c r="X173" s="141"/>
      <c r="Y173" s="141"/>
      <c r="Z173" s="141"/>
    </row>
    <row r="174" spans="1:26" ht="18" customHeight="1">
      <c r="A174" s="135"/>
      <c r="B174" s="141"/>
      <c r="C174" s="141"/>
      <c r="D174" s="141"/>
      <c r="E174" s="141"/>
      <c r="F174" s="141"/>
      <c r="G174" s="141"/>
      <c r="H174" s="141"/>
      <c r="I174" s="141"/>
      <c r="J174" s="141"/>
      <c r="K174" s="141"/>
      <c r="L174" s="141"/>
      <c r="M174" s="141"/>
      <c r="N174" s="141"/>
      <c r="O174" s="141"/>
      <c r="P174" s="141"/>
      <c r="Q174" s="141"/>
      <c r="R174" s="141"/>
      <c r="S174" s="141"/>
      <c r="T174" s="141"/>
      <c r="U174" s="141"/>
      <c r="V174" s="141"/>
      <c r="W174" s="141"/>
      <c r="X174" s="141"/>
      <c r="Y174" s="141"/>
      <c r="Z174" s="141"/>
    </row>
    <row r="175" spans="1:26" ht="18" customHeight="1">
      <c r="A175" s="135"/>
      <c r="B175" s="141"/>
      <c r="C175" s="141"/>
      <c r="D175" s="141"/>
      <c r="E175" s="141"/>
      <c r="F175" s="141"/>
      <c r="G175" s="141"/>
      <c r="H175" s="141"/>
      <c r="I175" s="141"/>
      <c r="J175" s="141"/>
      <c r="K175" s="141"/>
      <c r="L175" s="141"/>
      <c r="M175" s="141"/>
      <c r="N175" s="141"/>
      <c r="O175" s="141"/>
      <c r="P175" s="141"/>
      <c r="Q175" s="141"/>
      <c r="R175" s="141"/>
      <c r="S175" s="141"/>
      <c r="T175" s="141"/>
      <c r="U175" s="141"/>
      <c r="V175" s="141"/>
      <c r="W175" s="141"/>
      <c r="X175" s="141"/>
      <c r="Y175" s="141"/>
      <c r="Z175" s="141"/>
    </row>
    <row r="176" spans="1:26" ht="18" customHeight="1">
      <c r="A176" s="135"/>
      <c r="B176" s="141"/>
      <c r="C176" s="141"/>
      <c r="D176" s="141"/>
      <c r="E176" s="141"/>
      <c r="F176" s="141"/>
      <c r="G176" s="141"/>
      <c r="H176" s="141"/>
      <c r="I176" s="141"/>
      <c r="J176" s="141"/>
      <c r="K176" s="141"/>
      <c r="L176" s="141"/>
      <c r="M176" s="141"/>
      <c r="N176" s="141"/>
      <c r="O176" s="141"/>
      <c r="P176" s="141"/>
      <c r="Q176" s="141"/>
      <c r="R176" s="141"/>
      <c r="S176" s="141"/>
      <c r="T176" s="141"/>
      <c r="U176" s="141"/>
      <c r="V176" s="141"/>
      <c r="W176" s="141"/>
      <c r="X176" s="141"/>
      <c r="Y176" s="141"/>
      <c r="Z176" s="141"/>
    </row>
    <row r="177" spans="1:26" ht="18" customHeight="1">
      <c r="A177" s="135"/>
      <c r="B177" s="141"/>
      <c r="C177" s="141"/>
      <c r="D177" s="141"/>
      <c r="E177" s="141"/>
      <c r="F177" s="141"/>
      <c r="G177" s="141"/>
      <c r="H177" s="141"/>
      <c r="I177" s="141"/>
      <c r="J177" s="141"/>
      <c r="K177" s="141"/>
      <c r="L177" s="141"/>
      <c r="M177" s="141"/>
      <c r="N177" s="141"/>
      <c r="O177" s="141"/>
      <c r="P177" s="141"/>
      <c r="Q177" s="141"/>
      <c r="R177" s="141"/>
      <c r="S177" s="141"/>
      <c r="T177" s="141"/>
      <c r="U177" s="141"/>
      <c r="V177" s="141"/>
      <c r="W177" s="141"/>
      <c r="X177" s="141"/>
      <c r="Y177" s="141"/>
      <c r="Z177" s="141"/>
    </row>
    <row r="178" spans="1:26" ht="18" customHeight="1">
      <c r="A178" s="135"/>
      <c r="B178" s="141"/>
      <c r="C178" s="141"/>
      <c r="D178" s="141"/>
      <c r="E178" s="141"/>
      <c r="F178" s="141"/>
      <c r="G178" s="141"/>
      <c r="H178" s="141"/>
      <c r="I178" s="141"/>
      <c r="J178" s="141"/>
      <c r="K178" s="141"/>
      <c r="L178" s="141"/>
      <c r="M178" s="141"/>
      <c r="N178" s="141"/>
      <c r="O178" s="141"/>
      <c r="P178" s="141"/>
      <c r="Q178" s="141"/>
      <c r="R178" s="141"/>
      <c r="S178" s="141"/>
      <c r="T178" s="141"/>
      <c r="U178" s="141"/>
      <c r="V178" s="141"/>
      <c r="W178" s="141"/>
      <c r="X178" s="141"/>
      <c r="Y178" s="141"/>
      <c r="Z178" s="141"/>
    </row>
    <row r="179" spans="1:26" ht="18" customHeight="1">
      <c r="A179" s="135"/>
      <c r="B179" s="141"/>
      <c r="C179" s="141"/>
      <c r="D179" s="141"/>
      <c r="E179" s="141"/>
      <c r="F179" s="141"/>
      <c r="G179" s="141"/>
      <c r="H179" s="141"/>
      <c r="I179" s="141"/>
      <c r="J179" s="141"/>
      <c r="K179" s="141"/>
      <c r="L179" s="141"/>
      <c r="M179" s="141"/>
      <c r="N179" s="141"/>
      <c r="O179" s="141"/>
      <c r="P179" s="141"/>
      <c r="Q179" s="141"/>
      <c r="R179" s="141"/>
      <c r="S179" s="141"/>
      <c r="T179" s="141"/>
      <c r="U179" s="141"/>
      <c r="V179" s="141"/>
      <c r="W179" s="141"/>
      <c r="X179" s="141"/>
      <c r="Y179" s="141"/>
      <c r="Z179" s="141"/>
    </row>
    <row r="180" spans="1:26" ht="18" customHeight="1">
      <c r="A180" s="135"/>
      <c r="B180" s="141"/>
      <c r="C180" s="141"/>
      <c r="D180" s="141"/>
      <c r="E180" s="141"/>
      <c r="F180" s="141"/>
      <c r="G180" s="141"/>
      <c r="H180" s="141"/>
      <c r="I180" s="141"/>
      <c r="J180" s="141"/>
      <c r="K180" s="141"/>
      <c r="L180" s="141"/>
      <c r="M180" s="141"/>
      <c r="N180" s="141"/>
      <c r="O180" s="141"/>
      <c r="P180" s="141"/>
      <c r="Q180" s="141"/>
      <c r="R180" s="141"/>
      <c r="S180" s="141"/>
      <c r="T180" s="141"/>
      <c r="U180" s="141"/>
      <c r="V180" s="141"/>
      <c r="W180" s="141"/>
      <c r="X180" s="141"/>
      <c r="Y180" s="141"/>
      <c r="Z180" s="141"/>
    </row>
    <row r="181" spans="1:26" ht="18" customHeight="1">
      <c r="A181" s="135"/>
      <c r="B181" s="141"/>
      <c r="C181" s="141"/>
      <c r="D181" s="141"/>
      <c r="E181" s="141"/>
      <c r="F181" s="141"/>
      <c r="G181" s="141"/>
      <c r="H181" s="141"/>
      <c r="I181" s="141"/>
      <c r="J181" s="141"/>
      <c r="K181" s="141"/>
      <c r="L181" s="141"/>
      <c r="M181" s="141"/>
      <c r="N181" s="141"/>
      <c r="O181" s="141"/>
      <c r="P181" s="141"/>
      <c r="Q181" s="141"/>
      <c r="R181" s="141"/>
      <c r="S181" s="141"/>
      <c r="T181" s="141"/>
      <c r="U181" s="141"/>
      <c r="V181" s="141"/>
      <c r="W181" s="141"/>
      <c r="X181" s="141"/>
      <c r="Y181" s="141"/>
      <c r="Z181" s="141"/>
    </row>
    <row r="182" spans="1:26" ht="18" customHeight="1">
      <c r="A182" s="135"/>
      <c r="B182" s="141"/>
      <c r="C182" s="141"/>
      <c r="D182" s="141"/>
      <c r="E182" s="141"/>
      <c r="F182" s="141"/>
      <c r="G182" s="141"/>
      <c r="H182" s="141"/>
      <c r="I182" s="141"/>
      <c r="J182" s="141"/>
      <c r="K182" s="141"/>
      <c r="L182" s="141"/>
      <c r="M182" s="141"/>
      <c r="N182" s="141"/>
      <c r="O182" s="141"/>
      <c r="P182" s="141"/>
      <c r="Q182" s="141"/>
      <c r="R182" s="141"/>
      <c r="S182" s="141"/>
      <c r="T182" s="141"/>
      <c r="U182" s="141"/>
      <c r="V182" s="141"/>
      <c r="W182" s="141"/>
      <c r="X182" s="141"/>
      <c r="Y182" s="141"/>
      <c r="Z182" s="141"/>
    </row>
    <row r="183" spans="1:26" ht="18" customHeight="1">
      <c r="A183" s="135"/>
      <c r="B183" s="141"/>
      <c r="C183" s="141"/>
      <c r="D183" s="141"/>
      <c r="E183" s="141"/>
      <c r="F183" s="141"/>
      <c r="G183" s="141"/>
      <c r="H183" s="141"/>
      <c r="I183" s="141"/>
      <c r="J183" s="141"/>
      <c r="K183" s="141"/>
      <c r="L183" s="141"/>
      <c r="M183" s="141"/>
      <c r="N183" s="141"/>
      <c r="O183" s="141"/>
      <c r="P183" s="141"/>
      <c r="Q183" s="141"/>
      <c r="R183" s="141"/>
      <c r="S183" s="141"/>
      <c r="T183" s="141"/>
      <c r="U183" s="141"/>
      <c r="V183" s="141"/>
      <c r="W183" s="141"/>
      <c r="X183" s="141"/>
      <c r="Y183" s="141"/>
      <c r="Z183" s="141"/>
    </row>
    <row r="184" spans="1:26" ht="18" customHeight="1">
      <c r="A184" s="135"/>
      <c r="B184" s="141"/>
      <c r="C184" s="141"/>
      <c r="D184" s="141"/>
      <c r="E184" s="141"/>
      <c r="F184" s="141"/>
      <c r="G184" s="141"/>
      <c r="H184" s="141"/>
      <c r="I184" s="141"/>
      <c r="J184" s="141"/>
      <c r="K184" s="141"/>
      <c r="L184" s="141"/>
      <c r="M184" s="141"/>
      <c r="N184" s="141"/>
      <c r="O184" s="141"/>
      <c r="P184" s="141"/>
      <c r="Q184" s="141"/>
      <c r="R184" s="141"/>
      <c r="S184" s="141"/>
      <c r="T184" s="141"/>
      <c r="U184" s="141"/>
      <c r="V184" s="141"/>
      <c r="W184" s="141"/>
      <c r="X184" s="141"/>
      <c r="Y184" s="141"/>
      <c r="Z184" s="141"/>
    </row>
    <row r="185" spans="1:26" ht="18" customHeight="1">
      <c r="A185" s="135"/>
      <c r="B185" s="141"/>
      <c r="C185" s="141"/>
      <c r="D185" s="141"/>
      <c r="E185" s="141"/>
      <c r="F185" s="141"/>
      <c r="G185" s="141"/>
      <c r="H185" s="141"/>
      <c r="I185" s="141"/>
      <c r="J185" s="141"/>
      <c r="K185" s="141"/>
      <c r="L185" s="141"/>
      <c r="M185" s="141"/>
      <c r="N185" s="141"/>
      <c r="O185" s="141"/>
      <c r="P185" s="141"/>
      <c r="Q185" s="141"/>
      <c r="R185" s="141"/>
      <c r="S185" s="141"/>
      <c r="T185" s="141"/>
      <c r="U185" s="141"/>
      <c r="V185" s="141"/>
      <c r="W185" s="141"/>
      <c r="X185" s="141"/>
      <c r="Y185" s="141"/>
      <c r="Z185" s="141"/>
    </row>
    <row r="186" spans="1:26" ht="18" customHeight="1">
      <c r="A186" s="135"/>
      <c r="B186" s="141"/>
      <c r="C186" s="141"/>
      <c r="D186" s="141"/>
      <c r="E186" s="141"/>
      <c r="F186" s="141"/>
      <c r="G186" s="141"/>
      <c r="H186" s="141"/>
      <c r="I186" s="141"/>
      <c r="J186" s="141"/>
      <c r="K186" s="141"/>
      <c r="L186" s="141"/>
      <c r="M186" s="141"/>
      <c r="N186" s="141"/>
      <c r="O186" s="141"/>
      <c r="P186" s="141"/>
      <c r="Q186" s="141"/>
      <c r="R186" s="141"/>
      <c r="S186" s="141"/>
      <c r="T186" s="141"/>
      <c r="U186" s="141"/>
      <c r="V186" s="141"/>
      <c r="W186" s="141"/>
      <c r="X186" s="141"/>
      <c r="Y186" s="141"/>
      <c r="Z186" s="141"/>
    </row>
    <row r="187" spans="1:26" ht="18" customHeight="1">
      <c r="A187" s="135"/>
      <c r="B187" s="141"/>
      <c r="C187" s="141"/>
      <c r="D187" s="141"/>
      <c r="E187" s="141"/>
      <c r="F187" s="141"/>
      <c r="G187" s="141"/>
      <c r="H187" s="141"/>
      <c r="I187" s="141"/>
      <c r="J187" s="141"/>
      <c r="K187" s="141"/>
      <c r="L187" s="141"/>
      <c r="M187" s="141"/>
      <c r="N187" s="141"/>
      <c r="O187" s="141"/>
      <c r="P187" s="141"/>
      <c r="Q187" s="141"/>
      <c r="R187" s="141"/>
      <c r="S187" s="141"/>
      <c r="T187" s="141"/>
      <c r="U187" s="141"/>
      <c r="V187" s="141"/>
      <c r="W187" s="141"/>
      <c r="X187" s="141"/>
      <c r="Y187" s="141"/>
      <c r="Z187" s="141"/>
    </row>
    <row r="188" spans="1:26" ht="18" customHeight="1">
      <c r="A188" s="135"/>
      <c r="B188" s="141"/>
      <c r="C188" s="141"/>
      <c r="D188" s="141"/>
      <c r="E188" s="141"/>
      <c r="F188" s="141"/>
      <c r="G188" s="141"/>
      <c r="H188" s="141"/>
      <c r="I188" s="141"/>
      <c r="J188" s="141"/>
      <c r="K188" s="141"/>
      <c r="L188" s="141"/>
      <c r="M188" s="141"/>
      <c r="N188" s="141"/>
      <c r="O188" s="141"/>
      <c r="P188" s="141"/>
      <c r="Q188" s="141"/>
      <c r="R188" s="141"/>
      <c r="S188" s="141"/>
      <c r="T188" s="141"/>
      <c r="U188" s="141"/>
      <c r="V188" s="141"/>
      <c r="W188" s="141"/>
      <c r="X188" s="141"/>
      <c r="Y188" s="141"/>
      <c r="Z188" s="141"/>
    </row>
    <row r="189" spans="1:26" ht="18" customHeight="1">
      <c r="A189" s="135"/>
      <c r="B189" s="141"/>
      <c r="C189" s="141"/>
      <c r="D189" s="141"/>
      <c r="E189" s="141"/>
      <c r="F189" s="141"/>
      <c r="G189" s="141"/>
      <c r="H189" s="141"/>
      <c r="I189" s="141"/>
      <c r="J189" s="141"/>
      <c r="K189" s="141"/>
      <c r="L189" s="141"/>
      <c r="M189" s="141"/>
      <c r="N189" s="141"/>
      <c r="O189" s="141"/>
      <c r="P189" s="141"/>
      <c r="Q189" s="141"/>
      <c r="R189" s="141"/>
      <c r="S189" s="141"/>
      <c r="T189" s="141"/>
      <c r="U189" s="141"/>
      <c r="V189" s="141"/>
      <c r="W189" s="141"/>
      <c r="X189" s="141"/>
      <c r="Y189" s="141"/>
      <c r="Z189" s="141"/>
    </row>
    <row r="190" spans="1:26" ht="18" customHeight="1">
      <c r="A190" s="135"/>
      <c r="B190" s="141"/>
      <c r="C190" s="141"/>
      <c r="D190" s="141"/>
      <c r="E190" s="141"/>
      <c r="F190" s="141"/>
      <c r="G190" s="141"/>
      <c r="H190" s="141"/>
      <c r="I190" s="141"/>
      <c r="J190" s="141"/>
      <c r="K190" s="141"/>
      <c r="L190" s="141"/>
      <c r="M190" s="141"/>
      <c r="N190" s="141"/>
      <c r="O190" s="141"/>
      <c r="P190" s="141"/>
      <c r="Q190" s="141"/>
      <c r="R190" s="141"/>
      <c r="S190" s="141"/>
      <c r="T190" s="141"/>
      <c r="U190" s="141"/>
      <c r="V190" s="141"/>
      <c r="W190" s="141"/>
      <c r="X190" s="141"/>
      <c r="Y190" s="141"/>
      <c r="Z190" s="141"/>
    </row>
    <row r="191" spans="1:26" ht="18" customHeight="1">
      <c r="A191" s="135"/>
      <c r="B191" s="141"/>
      <c r="C191" s="141"/>
      <c r="D191" s="141"/>
      <c r="E191" s="141"/>
      <c r="F191" s="141"/>
      <c r="G191" s="141"/>
      <c r="H191" s="141"/>
      <c r="I191" s="141"/>
      <c r="J191" s="141"/>
      <c r="K191" s="141"/>
      <c r="L191" s="141"/>
      <c r="M191" s="141"/>
      <c r="N191" s="141"/>
      <c r="O191" s="141"/>
      <c r="P191" s="141"/>
      <c r="Q191" s="141"/>
      <c r="R191" s="141"/>
      <c r="S191" s="141"/>
      <c r="T191" s="141"/>
      <c r="U191" s="141"/>
      <c r="V191" s="141"/>
      <c r="W191" s="141"/>
      <c r="X191" s="141"/>
      <c r="Y191" s="141"/>
      <c r="Z191" s="141"/>
    </row>
    <row r="192" spans="1:26" ht="18" customHeight="1">
      <c r="A192" s="135"/>
      <c r="B192" s="141"/>
      <c r="C192" s="141"/>
      <c r="D192" s="141"/>
      <c r="E192" s="141"/>
      <c r="F192" s="141"/>
      <c r="G192" s="141"/>
      <c r="H192" s="141"/>
      <c r="I192" s="141"/>
      <c r="J192" s="141"/>
      <c r="K192" s="141"/>
      <c r="L192" s="141"/>
      <c r="M192" s="141"/>
      <c r="N192" s="141"/>
      <c r="O192" s="141"/>
      <c r="P192" s="141"/>
      <c r="Q192" s="141"/>
      <c r="R192" s="141"/>
      <c r="S192" s="141"/>
      <c r="T192" s="141"/>
      <c r="U192" s="141"/>
      <c r="V192" s="141"/>
      <c r="W192" s="141"/>
      <c r="X192" s="141"/>
      <c r="Y192" s="141"/>
      <c r="Z192" s="141"/>
    </row>
    <row r="193" spans="1:26" ht="18" customHeight="1">
      <c r="A193" s="135"/>
      <c r="B193" s="141"/>
      <c r="C193" s="141"/>
      <c r="D193" s="141"/>
      <c r="E193" s="141"/>
      <c r="F193" s="141"/>
      <c r="G193" s="141"/>
      <c r="H193" s="141"/>
      <c r="I193" s="141"/>
      <c r="J193" s="141"/>
      <c r="K193" s="141"/>
      <c r="L193" s="141"/>
      <c r="M193" s="141"/>
      <c r="N193" s="141"/>
      <c r="O193" s="141"/>
      <c r="P193" s="141"/>
      <c r="Q193" s="141"/>
      <c r="R193" s="141"/>
      <c r="S193" s="141"/>
      <c r="T193" s="141"/>
      <c r="U193" s="141"/>
      <c r="V193" s="141"/>
      <c r="W193" s="141"/>
      <c r="X193" s="141"/>
      <c r="Y193" s="141"/>
      <c r="Z193" s="141"/>
    </row>
    <row r="194" spans="1:26" ht="18" customHeight="1">
      <c r="A194" s="135"/>
      <c r="B194" s="141"/>
      <c r="C194" s="141"/>
      <c r="D194" s="141"/>
      <c r="E194" s="141"/>
      <c r="F194" s="141"/>
      <c r="G194" s="141"/>
      <c r="H194" s="141"/>
      <c r="I194" s="141"/>
      <c r="J194" s="141"/>
      <c r="K194" s="141"/>
      <c r="L194" s="141"/>
      <c r="M194" s="141"/>
      <c r="N194" s="141"/>
      <c r="O194" s="141"/>
      <c r="P194" s="141"/>
      <c r="Q194" s="141"/>
      <c r="R194" s="141"/>
      <c r="S194" s="141"/>
      <c r="T194" s="141"/>
      <c r="U194" s="141"/>
      <c r="V194" s="141"/>
      <c r="W194" s="141"/>
      <c r="X194" s="141"/>
      <c r="Y194" s="141"/>
      <c r="Z194" s="141"/>
    </row>
    <row r="195" spans="1:26" ht="18" customHeight="1">
      <c r="A195" s="135"/>
      <c r="B195" s="141"/>
      <c r="C195" s="141"/>
      <c r="D195" s="141"/>
      <c r="E195" s="141"/>
      <c r="F195" s="141"/>
      <c r="G195" s="141"/>
      <c r="H195" s="141"/>
      <c r="I195" s="141"/>
      <c r="J195" s="141"/>
      <c r="K195" s="141"/>
      <c r="L195" s="141"/>
      <c r="M195" s="141"/>
      <c r="N195" s="141"/>
      <c r="O195" s="141"/>
      <c r="P195" s="141"/>
      <c r="Q195" s="141"/>
      <c r="R195" s="141"/>
      <c r="S195" s="141"/>
      <c r="T195" s="141"/>
      <c r="U195" s="141"/>
      <c r="V195" s="141"/>
      <c r="W195" s="141"/>
      <c r="X195" s="141"/>
      <c r="Y195" s="141"/>
      <c r="Z195" s="141"/>
    </row>
    <row r="196" spans="1:26" ht="18" customHeight="1">
      <c r="A196" s="135"/>
      <c r="B196" s="141"/>
      <c r="C196" s="141"/>
      <c r="D196" s="141"/>
      <c r="E196" s="141"/>
      <c r="F196" s="141"/>
      <c r="G196" s="141"/>
      <c r="H196" s="141"/>
      <c r="I196" s="141"/>
      <c r="J196" s="141"/>
      <c r="K196" s="141"/>
      <c r="L196" s="141"/>
      <c r="M196" s="141"/>
      <c r="N196" s="141"/>
      <c r="O196" s="141"/>
      <c r="P196" s="141"/>
      <c r="Q196" s="141"/>
      <c r="R196" s="141"/>
      <c r="S196" s="141"/>
      <c r="T196" s="141"/>
      <c r="U196" s="141"/>
      <c r="V196" s="141"/>
      <c r="W196" s="141"/>
      <c r="X196" s="141"/>
      <c r="Y196" s="141"/>
      <c r="Z196" s="141"/>
    </row>
    <row r="197" spans="1:26" ht="18" customHeight="1">
      <c r="A197" s="135"/>
      <c r="B197" s="141"/>
      <c r="C197" s="141"/>
      <c r="D197" s="141"/>
      <c r="E197" s="141"/>
      <c r="F197" s="141"/>
      <c r="G197" s="141"/>
      <c r="H197" s="141"/>
      <c r="I197" s="141"/>
      <c r="J197" s="141"/>
      <c r="K197" s="141"/>
      <c r="L197" s="141"/>
      <c r="M197" s="141"/>
      <c r="N197" s="141"/>
      <c r="O197" s="141"/>
      <c r="P197" s="141"/>
      <c r="Q197" s="141"/>
      <c r="R197" s="141"/>
      <c r="S197" s="141"/>
      <c r="T197" s="141"/>
      <c r="U197" s="141"/>
      <c r="V197" s="141"/>
      <c r="W197" s="141"/>
      <c r="X197" s="141"/>
      <c r="Y197" s="141"/>
      <c r="Z197" s="141"/>
    </row>
    <row r="198" spans="1:26" ht="18" customHeight="1">
      <c r="A198" s="135"/>
      <c r="B198" s="141"/>
      <c r="C198" s="141"/>
      <c r="D198" s="141"/>
      <c r="E198" s="141"/>
      <c r="F198" s="141"/>
      <c r="G198" s="141"/>
      <c r="H198" s="141"/>
      <c r="I198" s="141"/>
      <c r="J198" s="141"/>
      <c r="K198" s="141"/>
      <c r="L198" s="141"/>
      <c r="M198" s="141"/>
      <c r="N198" s="141"/>
      <c r="O198" s="141"/>
      <c r="P198" s="141"/>
      <c r="Q198" s="141"/>
      <c r="R198" s="141"/>
      <c r="S198" s="141"/>
      <c r="T198" s="141"/>
      <c r="U198" s="141"/>
      <c r="V198" s="141"/>
      <c r="W198" s="141"/>
      <c r="X198" s="141"/>
      <c r="Y198" s="141"/>
      <c r="Z198" s="141"/>
    </row>
    <row r="199" spans="1:26" ht="18" customHeight="1">
      <c r="A199" s="135"/>
      <c r="B199" s="141"/>
      <c r="C199" s="141"/>
      <c r="D199" s="141"/>
      <c r="E199" s="141"/>
      <c r="F199" s="141"/>
      <c r="G199" s="141"/>
      <c r="H199" s="141"/>
      <c r="I199" s="141"/>
      <c r="J199" s="141"/>
      <c r="K199" s="141"/>
      <c r="L199" s="141"/>
      <c r="M199" s="141"/>
      <c r="N199" s="141"/>
      <c r="O199" s="141"/>
      <c r="P199" s="141"/>
      <c r="Q199" s="141"/>
      <c r="R199" s="141"/>
      <c r="S199" s="141"/>
      <c r="T199" s="141"/>
      <c r="U199" s="141"/>
      <c r="V199" s="141"/>
      <c r="W199" s="141"/>
      <c r="X199" s="141"/>
      <c r="Y199" s="141"/>
      <c r="Z199" s="141"/>
    </row>
    <row r="200" spans="1:26" ht="18" customHeight="1">
      <c r="A200" s="135"/>
      <c r="B200" s="141"/>
      <c r="C200" s="141"/>
      <c r="D200" s="141"/>
      <c r="E200" s="141"/>
      <c r="F200" s="141"/>
      <c r="G200" s="141"/>
      <c r="H200" s="141"/>
      <c r="I200" s="141"/>
      <c r="J200" s="141"/>
      <c r="K200" s="141"/>
      <c r="L200" s="141"/>
      <c r="M200" s="141"/>
      <c r="N200" s="141"/>
      <c r="O200" s="141"/>
      <c r="P200" s="141"/>
      <c r="Q200" s="141"/>
      <c r="R200" s="141"/>
      <c r="S200" s="141"/>
      <c r="T200" s="141"/>
      <c r="U200" s="141"/>
      <c r="V200" s="141"/>
      <c r="W200" s="141"/>
      <c r="X200" s="141"/>
      <c r="Y200" s="141"/>
      <c r="Z200" s="141"/>
    </row>
    <row r="201" spans="1:26" ht="18" customHeight="1">
      <c r="A201" s="135"/>
      <c r="B201" s="141"/>
      <c r="C201" s="141"/>
      <c r="D201" s="141"/>
      <c r="E201" s="141"/>
      <c r="F201" s="141"/>
      <c r="G201" s="141"/>
      <c r="H201" s="141"/>
      <c r="I201" s="141"/>
      <c r="J201" s="141"/>
      <c r="K201" s="141"/>
      <c r="L201" s="141"/>
      <c r="M201" s="141"/>
      <c r="N201" s="141"/>
      <c r="O201" s="141"/>
      <c r="P201" s="141"/>
      <c r="Q201" s="141"/>
      <c r="R201" s="141"/>
      <c r="S201" s="141"/>
      <c r="T201" s="141"/>
      <c r="U201" s="141"/>
      <c r="V201" s="141"/>
      <c r="W201" s="141"/>
      <c r="X201" s="141"/>
      <c r="Y201" s="141"/>
      <c r="Z201" s="141"/>
    </row>
    <row r="202" spans="1:26" ht="18" customHeight="1">
      <c r="A202" s="135"/>
      <c r="B202" s="141"/>
      <c r="C202" s="141"/>
      <c r="D202" s="141"/>
      <c r="E202" s="141"/>
      <c r="F202" s="141"/>
      <c r="G202" s="141"/>
      <c r="H202" s="141"/>
      <c r="I202" s="141"/>
      <c r="J202" s="141"/>
      <c r="K202" s="141"/>
      <c r="L202" s="141"/>
      <c r="M202" s="141"/>
      <c r="N202" s="141"/>
      <c r="O202" s="141"/>
      <c r="P202" s="141"/>
      <c r="Q202" s="141"/>
      <c r="R202" s="141"/>
      <c r="S202" s="141"/>
      <c r="T202" s="141"/>
      <c r="U202" s="141"/>
      <c r="V202" s="141"/>
      <c r="W202" s="141"/>
      <c r="X202" s="141"/>
      <c r="Y202" s="141"/>
      <c r="Z202" s="141"/>
    </row>
    <row r="203" spans="1:26" ht="18" customHeight="1">
      <c r="A203" s="135"/>
      <c r="B203" s="141"/>
      <c r="C203" s="141"/>
      <c r="D203" s="141"/>
      <c r="E203" s="141"/>
      <c r="F203" s="141"/>
      <c r="G203" s="141"/>
      <c r="H203" s="141"/>
      <c r="I203" s="141"/>
      <c r="J203" s="141"/>
      <c r="K203" s="141"/>
      <c r="L203" s="141"/>
      <c r="M203" s="141"/>
      <c r="N203" s="141"/>
      <c r="O203" s="141"/>
      <c r="P203" s="141"/>
      <c r="Q203" s="141"/>
      <c r="R203" s="141"/>
      <c r="S203" s="141"/>
      <c r="T203" s="141"/>
      <c r="U203" s="141"/>
      <c r="V203" s="141"/>
      <c r="W203" s="141"/>
      <c r="X203" s="141"/>
      <c r="Y203" s="141"/>
      <c r="Z203" s="141"/>
    </row>
    <row r="204" spans="1:26" ht="18" customHeight="1">
      <c r="A204" s="135"/>
      <c r="B204" s="141"/>
      <c r="C204" s="141"/>
      <c r="D204" s="141"/>
      <c r="E204" s="141"/>
      <c r="F204" s="141"/>
      <c r="G204" s="141"/>
      <c r="H204" s="141"/>
      <c r="I204" s="141"/>
      <c r="J204" s="141"/>
      <c r="K204" s="141"/>
      <c r="L204" s="141"/>
      <c r="M204" s="141"/>
      <c r="N204" s="141"/>
      <c r="O204" s="141"/>
      <c r="P204" s="141"/>
      <c r="Q204" s="141"/>
      <c r="R204" s="141"/>
      <c r="S204" s="141"/>
      <c r="T204" s="141"/>
      <c r="U204" s="141"/>
      <c r="V204" s="141"/>
      <c r="W204" s="141"/>
      <c r="X204" s="141"/>
      <c r="Y204" s="141"/>
      <c r="Z204" s="141"/>
    </row>
    <row r="205" spans="1:26" ht="18" customHeight="1">
      <c r="A205" s="135"/>
      <c r="B205" s="141"/>
      <c r="C205" s="141"/>
      <c r="D205" s="141"/>
      <c r="E205" s="141"/>
      <c r="F205" s="141"/>
      <c r="G205" s="141"/>
      <c r="H205" s="141"/>
      <c r="I205" s="141"/>
      <c r="J205" s="141"/>
      <c r="K205" s="141"/>
      <c r="L205" s="141"/>
      <c r="M205" s="141"/>
      <c r="N205" s="141"/>
      <c r="O205" s="141"/>
      <c r="P205" s="141"/>
      <c r="Q205" s="141"/>
      <c r="R205" s="141"/>
      <c r="S205" s="141"/>
      <c r="T205" s="141"/>
      <c r="U205" s="141"/>
      <c r="V205" s="141"/>
      <c r="W205" s="141"/>
      <c r="X205" s="141"/>
      <c r="Y205" s="141"/>
      <c r="Z205" s="141"/>
    </row>
    <row r="206" spans="1:26" ht="18" customHeight="1">
      <c r="A206" s="135"/>
      <c r="B206" s="141"/>
      <c r="C206" s="141"/>
      <c r="D206" s="141"/>
      <c r="E206" s="141"/>
      <c r="F206" s="141"/>
      <c r="G206" s="141"/>
      <c r="H206" s="141"/>
      <c r="I206" s="141"/>
      <c r="J206" s="141"/>
      <c r="K206" s="141"/>
      <c r="L206" s="141"/>
      <c r="M206" s="141"/>
      <c r="N206" s="141"/>
      <c r="O206" s="141"/>
      <c r="P206" s="141"/>
      <c r="Q206" s="141"/>
      <c r="R206" s="141"/>
      <c r="S206" s="141"/>
      <c r="T206" s="141"/>
      <c r="U206" s="141"/>
      <c r="V206" s="141"/>
      <c r="W206" s="141"/>
      <c r="X206" s="141"/>
      <c r="Y206" s="141"/>
      <c r="Z206" s="141"/>
    </row>
    <row r="207" spans="1:26" ht="18" customHeight="1">
      <c r="A207" s="135"/>
      <c r="B207" s="141"/>
      <c r="C207" s="141"/>
      <c r="D207" s="141"/>
      <c r="E207" s="141"/>
      <c r="F207" s="141"/>
      <c r="G207" s="141"/>
      <c r="H207" s="141"/>
      <c r="I207" s="141"/>
      <c r="J207" s="141"/>
      <c r="K207" s="141"/>
      <c r="L207" s="141"/>
      <c r="M207" s="141"/>
      <c r="N207" s="141"/>
      <c r="O207" s="141"/>
      <c r="P207" s="141"/>
      <c r="Q207" s="141"/>
      <c r="R207" s="141"/>
      <c r="S207" s="141"/>
      <c r="T207" s="141"/>
      <c r="U207" s="141"/>
      <c r="V207" s="141"/>
      <c r="W207" s="141"/>
      <c r="X207" s="141"/>
      <c r="Y207" s="141"/>
      <c r="Z207" s="141"/>
    </row>
    <row r="208" spans="1:26" ht="18" customHeight="1">
      <c r="A208" s="135"/>
      <c r="B208" s="141"/>
      <c r="C208" s="141"/>
      <c r="D208" s="141"/>
      <c r="E208" s="141"/>
      <c r="F208" s="141"/>
      <c r="G208" s="141"/>
      <c r="H208" s="141"/>
      <c r="I208" s="141"/>
      <c r="J208" s="141"/>
      <c r="K208" s="141"/>
      <c r="L208" s="141"/>
      <c r="M208" s="141"/>
      <c r="N208" s="141"/>
      <c r="O208" s="141"/>
      <c r="P208" s="141"/>
      <c r="Q208" s="141"/>
      <c r="R208" s="141"/>
      <c r="S208" s="141"/>
      <c r="T208" s="141"/>
      <c r="U208" s="141"/>
      <c r="V208" s="141"/>
      <c r="W208" s="141"/>
      <c r="X208" s="141"/>
      <c r="Y208" s="141"/>
      <c r="Z208" s="141"/>
    </row>
    <row r="209" spans="1:26" ht="18" customHeight="1">
      <c r="A209" s="135"/>
      <c r="B209" s="141"/>
      <c r="C209" s="141"/>
      <c r="D209" s="141"/>
      <c r="E209" s="141"/>
      <c r="F209" s="141"/>
      <c r="G209" s="141"/>
      <c r="H209" s="141"/>
      <c r="I209" s="141"/>
      <c r="J209" s="141"/>
      <c r="K209" s="141"/>
      <c r="L209" s="141"/>
      <c r="M209" s="141"/>
      <c r="N209" s="141"/>
      <c r="O209" s="141"/>
      <c r="P209" s="141"/>
      <c r="Q209" s="141"/>
      <c r="R209" s="141"/>
      <c r="S209" s="141"/>
      <c r="T209" s="141"/>
      <c r="U209" s="141"/>
      <c r="V209" s="141"/>
      <c r="W209" s="141"/>
      <c r="X209" s="141"/>
      <c r="Y209" s="141"/>
      <c r="Z209" s="141"/>
    </row>
    <row r="210" spans="1:26" ht="18" customHeight="1">
      <c r="A210" s="135"/>
      <c r="B210" s="141"/>
      <c r="C210" s="141"/>
      <c r="D210" s="141"/>
      <c r="E210" s="141"/>
      <c r="F210" s="141"/>
      <c r="G210" s="141"/>
      <c r="H210" s="141"/>
      <c r="I210" s="141"/>
      <c r="J210" s="141"/>
      <c r="K210" s="141"/>
      <c r="L210" s="141"/>
      <c r="M210" s="141"/>
      <c r="N210" s="141"/>
      <c r="O210" s="141"/>
      <c r="P210" s="141"/>
      <c r="Q210" s="141"/>
      <c r="R210" s="141"/>
      <c r="S210" s="141"/>
      <c r="T210" s="141"/>
      <c r="U210" s="141"/>
      <c r="V210" s="141"/>
      <c r="W210" s="141"/>
      <c r="X210" s="141"/>
      <c r="Y210" s="141"/>
      <c r="Z210" s="141"/>
    </row>
    <row r="211" spans="1:26" ht="18" customHeight="1">
      <c r="A211" s="135"/>
      <c r="B211" s="141"/>
      <c r="C211" s="141"/>
      <c r="D211" s="141"/>
      <c r="E211" s="141"/>
      <c r="F211" s="141"/>
      <c r="G211" s="141"/>
      <c r="H211" s="141"/>
      <c r="I211" s="141"/>
      <c r="J211" s="141"/>
      <c r="K211" s="141"/>
      <c r="L211" s="141"/>
      <c r="M211" s="141"/>
      <c r="N211" s="141"/>
      <c r="O211" s="141"/>
      <c r="P211" s="141"/>
      <c r="Q211" s="141"/>
      <c r="R211" s="141"/>
      <c r="S211" s="141"/>
      <c r="T211" s="141"/>
      <c r="U211" s="141"/>
      <c r="V211" s="141"/>
      <c r="W211" s="141"/>
      <c r="X211" s="141"/>
      <c r="Y211" s="141"/>
      <c r="Z211" s="141"/>
    </row>
    <row r="212" spans="1:26" ht="18" customHeight="1">
      <c r="A212" s="135"/>
      <c r="B212" s="141"/>
      <c r="C212" s="141"/>
      <c r="D212" s="141"/>
      <c r="E212" s="141"/>
      <c r="F212" s="141"/>
      <c r="G212" s="141"/>
      <c r="H212" s="141"/>
      <c r="I212" s="141"/>
      <c r="J212" s="141"/>
      <c r="K212" s="141"/>
      <c r="L212" s="141"/>
      <c r="M212" s="141"/>
      <c r="N212" s="141"/>
      <c r="O212" s="141"/>
      <c r="P212" s="141"/>
      <c r="Q212" s="141"/>
      <c r="R212" s="141"/>
      <c r="S212" s="141"/>
      <c r="T212" s="141"/>
      <c r="U212" s="141"/>
      <c r="V212" s="141"/>
      <c r="W212" s="141"/>
      <c r="X212" s="141"/>
      <c r="Y212" s="141"/>
      <c r="Z212" s="141"/>
    </row>
    <row r="213" spans="1:26" ht="18" customHeight="1">
      <c r="A213" s="135"/>
      <c r="B213" s="141"/>
      <c r="C213" s="141"/>
      <c r="D213" s="141"/>
      <c r="E213" s="141"/>
      <c r="F213" s="141"/>
      <c r="G213" s="141"/>
      <c r="H213" s="141"/>
      <c r="I213" s="141"/>
      <c r="J213" s="141"/>
      <c r="K213" s="141"/>
      <c r="L213" s="141"/>
      <c r="M213" s="141"/>
      <c r="N213" s="141"/>
      <c r="O213" s="141"/>
      <c r="P213" s="141"/>
      <c r="Q213" s="141"/>
      <c r="R213" s="141"/>
      <c r="S213" s="141"/>
      <c r="T213" s="141"/>
      <c r="U213" s="141"/>
      <c r="V213" s="141"/>
      <c r="W213" s="141"/>
      <c r="X213" s="141"/>
      <c r="Y213" s="141"/>
      <c r="Z213" s="141"/>
    </row>
    <row r="214" spans="1:26" ht="18" customHeight="1">
      <c r="A214" s="135"/>
      <c r="B214" s="141"/>
      <c r="C214" s="141"/>
      <c r="D214" s="141"/>
      <c r="E214" s="141"/>
      <c r="F214" s="141"/>
      <c r="G214" s="141"/>
      <c r="H214" s="141"/>
      <c r="I214" s="141"/>
      <c r="J214" s="141"/>
      <c r="K214" s="141"/>
      <c r="L214" s="141"/>
      <c r="M214" s="141"/>
      <c r="N214" s="141"/>
      <c r="O214" s="141"/>
      <c r="P214" s="141"/>
      <c r="Q214" s="141"/>
      <c r="R214" s="141"/>
      <c r="S214" s="141"/>
      <c r="T214" s="141"/>
      <c r="U214" s="141"/>
      <c r="V214" s="141"/>
      <c r="W214" s="141"/>
      <c r="X214" s="141"/>
      <c r="Y214" s="141"/>
      <c r="Z214" s="141"/>
    </row>
    <row r="215" spans="1:26" ht="18" customHeight="1">
      <c r="A215" s="135"/>
      <c r="B215" s="141"/>
      <c r="C215" s="141"/>
      <c r="D215" s="141"/>
      <c r="E215" s="141"/>
      <c r="F215" s="141"/>
      <c r="G215" s="141"/>
      <c r="H215" s="141"/>
      <c r="I215" s="141"/>
      <c r="J215" s="141"/>
      <c r="K215" s="141"/>
      <c r="L215" s="141"/>
      <c r="M215" s="141"/>
      <c r="N215" s="141"/>
      <c r="O215" s="141"/>
      <c r="P215" s="141"/>
      <c r="Q215" s="141"/>
      <c r="R215" s="141"/>
      <c r="S215" s="141"/>
      <c r="T215" s="141"/>
      <c r="U215" s="141"/>
      <c r="V215" s="141"/>
      <c r="W215" s="141"/>
      <c r="X215" s="141"/>
      <c r="Y215" s="141"/>
      <c r="Z215" s="141"/>
    </row>
    <row r="216" spans="1:26" ht="18" customHeight="1">
      <c r="A216" s="135"/>
      <c r="B216" s="141"/>
      <c r="C216" s="141"/>
      <c r="D216" s="141"/>
      <c r="E216" s="141"/>
      <c r="F216" s="141"/>
      <c r="G216" s="141"/>
      <c r="H216" s="141"/>
      <c r="I216" s="141"/>
      <c r="J216" s="141"/>
      <c r="K216" s="141"/>
      <c r="L216" s="141"/>
      <c r="M216" s="141"/>
      <c r="N216" s="141"/>
      <c r="O216" s="141"/>
      <c r="P216" s="141"/>
      <c r="Q216" s="141"/>
      <c r="R216" s="141"/>
      <c r="S216" s="141"/>
      <c r="T216" s="141"/>
      <c r="U216" s="141"/>
      <c r="V216" s="141"/>
      <c r="W216" s="141"/>
      <c r="X216" s="141"/>
      <c r="Y216" s="141"/>
      <c r="Z216" s="141"/>
    </row>
    <row r="217" spans="1:26" ht="18" customHeight="1">
      <c r="A217" s="135"/>
      <c r="B217" s="141"/>
      <c r="C217" s="141"/>
      <c r="D217" s="141"/>
      <c r="E217" s="141"/>
      <c r="F217" s="141"/>
      <c r="G217" s="141"/>
      <c r="H217" s="141"/>
      <c r="I217" s="141"/>
      <c r="J217" s="141"/>
      <c r="K217" s="141"/>
      <c r="L217" s="141"/>
      <c r="M217" s="141"/>
      <c r="N217" s="141"/>
      <c r="O217" s="141"/>
      <c r="P217" s="141"/>
      <c r="Q217" s="141"/>
      <c r="R217" s="141"/>
      <c r="S217" s="141"/>
      <c r="T217" s="141"/>
      <c r="U217" s="141"/>
      <c r="V217" s="141"/>
      <c r="W217" s="141"/>
      <c r="X217" s="141"/>
      <c r="Y217" s="141"/>
      <c r="Z217" s="141"/>
    </row>
    <row r="218" spans="1:26" ht="18" customHeight="1">
      <c r="A218" s="135"/>
      <c r="B218" s="141"/>
      <c r="C218" s="141"/>
      <c r="D218" s="141"/>
      <c r="E218" s="141"/>
      <c r="F218" s="141"/>
      <c r="G218" s="141"/>
      <c r="H218" s="141"/>
      <c r="I218" s="141"/>
      <c r="J218" s="141"/>
      <c r="K218" s="141"/>
      <c r="L218" s="141"/>
      <c r="M218" s="141"/>
      <c r="N218" s="141"/>
      <c r="O218" s="141"/>
      <c r="P218" s="141"/>
      <c r="Q218" s="141"/>
      <c r="R218" s="141"/>
      <c r="S218" s="141"/>
      <c r="T218" s="141"/>
      <c r="U218" s="141"/>
      <c r="V218" s="141"/>
      <c r="W218" s="141"/>
      <c r="X218" s="141"/>
      <c r="Y218" s="141"/>
      <c r="Z218" s="141"/>
    </row>
    <row r="219" spans="1:26" ht="18" customHeight="1">
      <c r="A219" s="135"/>
      <c r="B219" s="141"/>
      <c r="C219" s="141"/>
      <c r="D219" s="141"/>
      <c r="E219" s="141"/>
      <c r="F219" s="141"/>
      <c r="G219" s="141"/>
      <c r="H219" s="141"/>
      <c r="I219" s="141"/>
      <c r="J219" s="141"/>
      <c r="K219" s="141"/>
      <c r="L219" s="141"/>
      <c r="M219" s="141"/>
      <c r="N219" s="141"/>
      <c r="O219" s="141"/>
      <c r="P219" s="141"/>
      <c r="Q219" s="141"/>
      <c r="R219" s="141"/>
      <c r="S219" s="141"/>
      <c r="T219" s="141"/>
      <c r="U219" s="141"/>
      <c r="V219" s="141"/>
      <c r="W219" s="141"/>
      <c r="X219" s="141"/>
      <c r="Y219" s="141"/>
      <c r="Z219" s="141"/>
    </row>
    <row r="220" spans="1:26" ht="18" customHeight="1">
      <c r="A220" s="135"/>
      <c r="B220" s="141"/>
      <c r="C220" s="141"/>
      <c r="D220" s="141"/>
      <c r="E220" s="141"/>
      <c r="F220" s="141"/>
      <c r="G220" s="141"/>
      <c r="H220" s="141"/>
      <c r="I220" s="141"/>
      <c r="J220" s="141"/>
      <c r="K220" s="141"/>
      <c r="L220" s="141"/>
      <c r="M220" s="141"/>
      <c r="N220" s="141"/>
      <c r="O220" s="141"/>
      <c r="P220" s="141"/>
      <c r="Q220" s="141"/>
      <c r="R220" s="141"/>
      <c r="S220" s="141"/>
      <c r="T220" s="141"/>
      <c r="U220" s="141"/>
      <c r="V220" s="141"/>
      <c r="W220" s="141"/>
      <c r="X220" s="141"/>
      <c r="Y220" s="141"/>
      <c r="Z220" s="141"/>
    </row>
    <row r="221" spans="1:26" ht="18" customHeight="1">
      <c r="A221" s="135"/>
      <c r="B221" s="141"/>
      <c r="C221" s="141"/>
      <c r="D221" s="141"/>
      <c r="E221" s="141"/>
      <c r="F221" s="141"/>
      <c r="G221" s="141"/>
      <c r="H221" s="141"/>
      <c r="I221" s="141"/>
      <c r="J221" s="141"/>
      <c r="K221" s="141"/>
      <c r="L221" s="141"/>
      <c r="M221" s="141"/>
      <c r="N221" s="141"/>
      <c r="O221" s="141"/>
      <c r="P221" s="141"/>
      <c r="Q221" s="141"/>
      <c r="R221" s="141"/>
      <c r="S221" s="141"/>
      <c r="T221" s="141"/>
      <c r="U221" s="141"/>
      <c r="V221" s="141"/>
      <c r="W221" s="141"/>
      <c r="X221" s="141"/>
      <c r="Y221" s="141"/>
      <c r="Z221" s="141"/>
    </row>
    <row r="222" spans="1:26" ht="18" customHeight="1">
      <c r="A222" s="135"/>
      <c r="B222" s="141"/>
      <c r="C222" s="141"/>
      <c r="D222" s="141"/>
      <c r="E222" s="141"/>
      <c r="F222" s="141"/>
      <c r="G222" s="141"/>
      <c r="H222" s="141"/>
      <c r="I222" s="141"/>
      <c r="J222" s="141"/>
      <c r="K222" s="141"/>
      <c r="L222" s="141"/>
      <c r="M222" s="141"/>
      <c r="N222" s="141"/>
      <c r="O222" s="141"/>
      <c r="P222" s="141"/>
      <c r="Q222" s="141"/>
      <c r="R222" s="141"/>
      <c r="S222" s="141"/>
      <c r="T222" s="141"/>
      <c r="U222" s="141"/>
      <c r="V222" s="141"/>
      <c r="W222" s="141"/>
      <c r="X222" s="141"/>
      <c r="Y222" s="141"/>
      <c r="Z222" s="141"/>
    </row>
    <row r="223" spans="1:26" ht="18" customHeight="1">
      <c r="A223" s="135"/>
      <c r="B223" s="141"/>
      <c r="C223" s="141"/>
      <c r="D223" s="141"/>
      <c r="E223" s="141"/>
      <c r="F223" s="141"/>
      <c r="G223" s="141"/>
      <c r="H223" s="141"/>
      <c r="I223" s="141"/>
      <c r="J223" s="141"/>
      <c r="K223" s="141"/>
      <c r="L223" s="141"/>
      <c r="M223" s="141"/>
      <c r="N223" s="141"/>
      <c r="O223" s="141"/>
      <c r="P223" s="141"/>
      <c r="Q223" s="141"/>
      <c r="R223" s="141"/>
      <c r="S223" s="141"/>
      <c r="T223" s="141"/>
      <c r="U223" s="141"/>
      <c r="V223" s="141"/>
      <c r="W223" s="141"/>
      <c r="X223" s="141"/>
      <c r="Y223" s="141"/>
      <c r="Z223" s="141"/>
    </row>
    <row r="224" spans="1:26" ht="18" customHeight="1">
      <c r="A224" s="135"/>
      <c r="B224" s="141"/>
      <c r="C224" s="141"/>
      <c r="D224" s="141"/>
      <c r="E224" s="141"/>
      <c r="F224" s="141"/>
      <c r="G224" s="141"/>
      <c r="H224" s="141"/>
      <c r="I224" s="141"/>
      <c r="J224" s="141"/>
      <c r="K224" s="141"/>
      <c r="L224" s="141"/>
      <c r="M224" s="141"/>
      <c r="N224" s="141"/>
      <c r="O224" s="141"/>
      <c r="P224" s="141"/>
      <c r="Q224" s="141"/>
      <c r="R224" s="141"/>
      <c r="S224" s="141"/>
      <c r="T224" s="141"/>
      <c r="U224" s="141"/>
      <c r="V224" s="141"/>
      <c r="W224" s="141"/>
      <c r="X224" s="141"/>
      <c r="Y224" s="141"/>
      <c r="Z224" s="141"/>
    </row>
    <row r="225" spans="1:26" ht="18" customHeight="1">
      <c r="A225" s="135"/>
      <c r="B225" s="141"/>
      <c r="C225" s="141"/>
      <c r="D225" s="141"/>
      <c r="E225" s="141"/>
      <c r="F225" s="141"/>
      <c r="G225" s="141"/>
      <c r="H225" s="141"/>
      <c r="I225" s="141"/>
      <c r="J225" s="141"/>
      <c r="K225" s="141"/>
      <c r="L225" s="141"/>
      <c r="M225" s="141"/>
      <c r="N225" s="141"/>
      <c r="O225" s="141"/>
      <c r="P225" s="141"/>
      <c r="Q225" s="141"/>
      <c r="R225" s="141"/>
      <c r="S225" s="141"/>
      <c r="T225" s="141"/>
      <c r="U225" s="141"/>
      <c r="V225" s="141"/>
      <c r="W225" s="141"/>
      <c r="X225" s="141"/>
      <c r="Y225" s="141"/>
      <c r="Z225" s="141"/>
    </row>
    <row r="226" spans="1:26" ht="18" customHeight="1">
      <c r="A226" s="135"/>
      <c r="B226" s="141"/>
      <c r="C226" s="141"/>
      <c r="D226" s="141"/>
      <c r="E226" s="141"/>
      <c r="F226" s="141"/>
      <c r="G226" s="141"/>
      <c r="H226" s="141"/>
      <c r="I226" s="141"/>
      <c r="J226" s="141"/>
      <c r="K226" s="141"/>
      <c r="L226" s="141"/>
      <c r="M226" s="141"/>
      <c r="N226" s="141"/>
      <c r="O226" s="141"/>
      <c r="P226" s="141"/>
      <c r="Q226" s="141"/>
      <c r="R226" s="141"/>
      <c r="S226" s="141"/>
      <c r="T226" s="141"/>
      <c r="U226" s="141"/>
      <c r="V226" s="141"/>
      <c r="W226" s="141"/>
      <c r="X226" s="141"/>
      <c r="Y226" s="141"/>
      <c r="Z226" s="141"/>
    </row>
    <row r="227" spans="1:26" ht="18" customHeight="1">
      <c r="A227" s="135"/>
      <c r="B227" s="141"/>
      <c r="C227" s="141"/>
      <c r="D227" s="141"/>
      <c r="E227" s="141"/>
      <c r="F227" s="141"/>
      <c r="G227" s="141"/>
      <c r="H227" s="141"/>
      <c r="I227" s="141"/>
      <c r="J227" s="141"/>
      <c r="K227" s="141"/>
      <c r="L227" s="141"/>
      <c r="M227" s="141"/>
      <c r="N227" s="141"/>
      <c r="O227" s="141"/>
      <c r="P227" s="141"/>
      <c r="Q227" s="141"/>
      <c r="R227" s="141"/>
      <c r="S227" s="141"/>
      <c r="T227" s="141"/>
      <c r="U227" s="141"/>
      <c r="V227" s="141"/>
      <c r="W227" s="141"/>
      <c r="X227" s="141"/>
      <c r="Y227" s="141"/>
      <c r="Z227" s="141"/>
    </row>
    <row r="228" spans="1:26" ht="18" customHeight="1">
      <c r="A228" s="135"/>
      <c r="B228" s="141"/>
      <c r="C228" s="141"/>
      <c r="D228" s="141"/>
      <c r="E228" s="141"/>
      <c r="F228" s="141"/>
      <c r="G228" s="141"/>
      <c r="H228" s="141"/>
      <c r="I228" s="141"/>
      <c r="J228" s="141"/>
      <c r="K228" s="141"/>
      <c r="L228" s="141"/>
      <c r="M228" s="141"/>
      <c r="N228" s="141"/>
      <c r="O228" s="141"/>
      <c r="P228" s="141"/>
      <c r="Q228" s="141"/>
      <c r="R228" s="141"/>
      <c r="S228" s="141"/>
      <c r="T228" s="141"/>
      <c r="U228" s="141"/>
      <c r="V228" s="141"/>
      <c r="W228" s="141"/>
      <c r="X228" s="141"/>
      <c r="Y228" s="141"/>
      <c r="Z228" s="141"/>
    </row>
    <row r="229" spans="1:26" ht="18" customHeight="1">
      <c r="A229" s="135"/>
      <c r="B229" s="141"/>
      <c r="C229" s="141"/>
      <c r="D229" s="141"/>
      <c r="E229" s="141"/>
      <c r="F229" s="141"/>
      <c r="G229" s="141"/>
      <c r="H229" s="141"/>
      <c r="I229" s="141"/>
      <c r="J229" s="141"/>
      <c r="K229" s="141"/>
      <c r="L229" s="141"/>
      <c r="M229" s="141"/>
      <c r="N229" s="141"/>
      <c r="O229" s="141"/>
      <c r="P229" s="141"/>
      <c r="Q229" s="141"/>
      <c r="R229" s="141"/>
      <c r="S229" s="141"/>
      <c r="T229" s="141"/>
      <c r="U229" s="141"/>
      <c r="V229" s="141"/>
      <c r="W229" s="141"/>
      <c r="X229" s="141"/>
      <c r="Y229" s="141"/>
      <c r="Z229" s="141"/>
    </row>
    <row r="230" spans="1:26" ht="18" customHeight="1">
      <c r="A230" s="135"/>
      <c r="B230" s="141"/>
      <c r="C230" s="141"/>
      <c r="D230" s="141"/>
      <c r="E230" s="141"/>
      <c r="F230" s="141"/>
      <c r="G230" s="141"/>
      <c r="H230" s="141"/>
      <c r="I230" s="141"/>
      <c r="J230" s="141"/>
      <c r="K230" s="141"/>
      <c r="L230" s="141"/>
      <c r="M230" s="141"/>
      <c r="N230" s="141"/>
      <c r="O230" s="141"/>
      <c r="P230" s="141"/>
      <c r="Q230" s="141"/>
      <c r="R230" s="141"/>
      <c r="S230" s="141"/>
      <c r="T230" s="141"/>
      <c r="U230" s="141"/>
      <c r="V230" s="141"/>
      <c r="W230" s="141"/>
      <c r="X230" s="141"/>
      <c r="Y230" s="141"/>
      <c r="Z230" s="141"/>
    </row>
    <row r="231" spans="1:26" ht="18" customHeight="1">
      <c r="A231" s="135"/>
      <c r="B231" s="141"/>
      <c r="C231" s="141"/>
      <c r="D231" s="141"/>
      <c r="E231" s="141"/>
      <c r="F231" s="141"/>
      <c r="G231" s="141"/>
      <c r="H231" s="141"/>
      <c r="I231" s="141"/>
      <c r="J231" s="141"/>
      <c r="K231" s="141"/>
      <c r="L231" s="141"/>
      <c r="M231" s="141"/>
      <c r="N231" s="141"/>
      <c r="O231" s="141"/>
      <c r="P231" s="141"/>
      <c r="Q231" s="141"/>
      <c r="R231" s="141"/>
      <c r="S231" s="141"/>
      <c r="T231" s="141"/>
      <c r="U231" s="141"/>
      <c r="V231" s="141"/>
      <c r="W231" s="141"/>
      <c r="X231" s="141"/>
      <c r="Y231" s="141"/>
      <c r="Z231" s="141"/>
    </row>
    <row r="232" spans="1:26" ht="18" customHeight="1">
      <c r="A232" s="135"/>
      <c r="B232" s="141"/>
      <c r="C232" s="141"/>
      <c r="D232" s="141"/>
      <c r="E232" s="141"/>
      <c r="F232" s="141"/>
      <c r="G232" s="141"/>
      <c r="H232" s="141"/>
      <c r="I232" s="141"/>
      <c r="J232" s="141"/>
      <c r="K232" s="141"/>
      <c r="L232" s="141"/>
      <c r="M232" s="141"/>
      <c r="N232" s="141"/>
      <c r="O232" s="141"/>
      <c r="P232" s="141"/>
      <c r="Q232" s="141"/>
      <c r="R232" s="141"/>
      <c r="S232" s="141"/>
      <c r="T232" s="141"/>
      <c r="U232" s="141"/>
      <c r="V232" s="141"/>
      <c r="W232" s="141"/>
      <c r="X232" s="141"/>
      <c r="Y232" s="141"/>
      <c r="Z232" s="141"/>
    </row>
    <row r="233" spans="1:26" ht="18" customHeight="1">
      <c r="A233" s="135"/>
      <c r="B233" s="141"/>
      <c r="C233" s="141"/>
      <c r="D233" s="141"/>
      <c r="E233" s="141"/>
      <c r="F233" s="141"/>
      <c r="G233" s="141"/>
      <c r="H233" s="141"/>
      <c r="I233" s="141"/>
      <c r="J233" s="141"/>
      <c r="K233" s="141"/>
      <c r="L233" s="141"/>
      <c r="M233" s="141"/>
      <c r="N233" s="141"/>
      <c r="O233" s="141"/>
      <c r="P233" s="141"/>
      <c r="Q233" s="141"/>
      <c r="R233" s="141"/>
      <c r="S233" s="141"/>
      <c r="T233" s="141"/>
      <c r="U233" s="141"/>
      <c r="V233" s="141"/>
      <c r="W233" s="141"/>
      <c r="X233" s="141"/>
      <c r="Y233" s="141"/>
      <c r="Z233" s="141"/>
    </row>
    <row r="234" spans="1:26" ht="18" customHeight="1">
      <c r="A234" s="135"/>
      <c r="B234" s="141"/>
      <c r="C234" s="141"/>
      <c r="D234" s="141"/>
      <c r="E234" s="141"/>
      <c r="F234" s="141"/>
      <c r="G234" s="141"/>
      <c r="H234" s="141"/>
      <c r="I234" s="141"/>
      <c r="J234" s="141"/>
      <c r="K234" s="141"/>
      <c r="L234" s="141"/>
      <c r="M234" s="141"/>
      <c r="N234" s="141"/>
      <c r="O234" s="141"/>
      <c r="P234" s="141"/>
      <c r="Q234" s="141"/>
      <c r="R234" s="141"/>
      <c r="S234" s="141"/>
      <c r="T234" s="141"/>
      <c r="U234" s="141"/>
      <c r="V234" s="141"/>
      <c r="W234" s="141"/>
      <c r="X234" s="141"/>
      <c r="Y234" s="141"/>
      <c r="Z234" s="141"/>
    </row>
    <row r="235" spans="1:26" ht="18" customHeight="1">
      <c r="A235" s="135"/>
      <c r="B235" s="141"/>
      <c r="C235" s="141"/>
      <c r="D235" s="141"/>
      <c r="E235" s="141"/>
      <c r="F235" s="141"/>
      <c r="G235" s="141"/>
      <c r="H235" s="141"/>
      <c r="I235" s="141"/>
      <c r="J235" s="141"/>
      <c r="K235" s="141"/>
      <c r="L235" s="141"/>
      <c r="M235" s="141"/>
      <c r="N235" s="141"/>
      <c r="O235" s="141"/>
      <c r="P235" s="141"/>
      <c r="Q235" s="141"/>
      <c r="R235" s="141"/>
      <c r="S235" s="141"/>
      <c r="T235" s="141"/>
      <c r="U235" s="141"/>
      <c r="V235" s="141"/>
      <c r="W235" s="141"/>
      <c r="X235" s="141"/>
      <c r="Y235" s="141"/>
      <c r="Z235" s="141"/>
    </row>
    <row r="236" spans="1:26" ht="18" customHeight="1">
      <c r="A236" s="135"/>
      <c r="B236" s="141"/>
      <c r="C236" s="141"/>
      <c r="D236" s="141"/>
      <c r="E236" s="141"/>
      <c r="F236" s="141"/>
      <c r="G236" s="141"/>
      <c r="H236" s="141"/>
      <c r="I236" s="141"/>
      <c r="J236" s="141"/>
      <c r="K236" s="141"/>
      <c r="L236" s="141"/>
      <c r="M236" s="141"/>
      <c r="N236" s="141"/>
      <c r="O236" s="141"/>
      <c r="P236" s="141"/>
      <c r="Q236" s="141"/>
      <c r="R236" s="141"/>
      <c r="S236" s="141"/>
      <c r="T236" s="141"/>
      <c r="U236" s="141"/>
      <c r="V236" s="141"/>
      <c r="W236" s="141"/>
      <c r="X236" s="141"/>
      <c r="Y236" s="141"/>
      <c r="Z236" s="141"/>
    </row>
    <row r="237" spans="1:26" ht="18" customHeight="1">
      <c r="A237" s="135"/>
      <c r="B237" s="141"/>
      <c r="C237" s="141"/>
      <c r="D237" s="141"/>
      <c r="E237" s="141"/>
      <c r="F237" s="141"/>
      <c r="G237" s="141"/>
      <c r="H237" s="141"/>
      <c r="I237" s="141"/>
      <c r="J237" s="141"/>
      <c r="K237" s="141"/>
      <c r="L237" s="141"/>
      <c r="M237" s="141"/>
      <c r="N237" s="141"/>
      <c r="O237" s="141"/>
      <c r="P237" s="141"/>
      <c r="Q237" s="141"/>
      <c r="R237" s="141"/>
      <c r="S237" s="141"/>
      <c r="T237" s="141"/>
      <c r="U237" s="141"/>
      <c r="V237" s="141"/>
      <c r="W237" s="141"/>
      <c r="X237" s="141"/>
      <c r="Y237" s="141"/>
      <c r="Z237" s="141"/>
    </row>
    <row r="238" spans="1:26" ht="18" customHeight="1">
      <c r="A238" s="135"/>
      <c r="B238" s="141"/>
      <c r="C238" s="141"/>
      <c r="D238" s="141"/>
      <c r="E238" s="141"/>
      <c r="F238" s="141"/>
      <c r="G238" s="141"/>
      <c r="H238" s="141"/>
      <c r="I238" s="141"/>
      <c r="J238" s="141"/>
      <c r="K238" s="141"/>
      <c r="L238" s="141"/>
      <c r="M238" s="141"/>
      <c r="N238" s="141"/>
      <c r="O238" s="141"/>
      <c r="P238" s="141"/>
      <c r="Q238" s="141"/>
      <c r="R238" s="141"/>
      <c r="S238" s="141"/>
      <c r="T238" s="141"/>
      <c r="U238" s="141"/>
      <c r="V238" s="141"/>
      <c r="W238" s="141"/>
      <c r="X238" s="141"/>
      <c r="Y238" s="141"/>
      <c r="Z238" s="141"/>
    </row>
    <row r="239" spans="1:26" ht="18" customHeight="1">
      <c r="A239" s="135"/>
      <c r="B239" s="141"/>
      <c r="C239" s="141"/>
      <c r="D239" s="141"/>
      <c r="E239" s="141"/>
      <c r="F239" s="141"/>
      <c r="G239" s="141"/>
      <c r="H239" s="141"/>
      <c r="I239" s="141"/>
      <c r="J239" s="141"/>
      <c r="K239" s="141"/>
      <c r="L239" s="141"/>
      <c r="M239" s="141"/>
      <c r="N239" s="141"/>
      <c r="O239" s="141"/>
      <c r="P239" s="141"/>
      <c r="Q239" s="141"/>
      <c r="R239" s="141"/>
      <c r="S239" s="141"/>
      <c r="T239" s="141"/>
      <c r="U239" s="141"/>
      <c r="V239" s="141"/>
      <c r="W239" s="141"/>
      <c r="X239" s="141"/>
      <c r="Y239" s="141"/>
      <c r="Z239" s="141"/>
    </row>
    <row r="240" spans="1:26" ht="18" customHeight="1">
      <c r="A240" s="135"/>
      <c r="B240" s="141"/>
      <c r="C240" s="141"/>
      <c r="D240" s="141"/>
      <c r="E240" s="141"/>
      <c r="F240" s="141"/>
      <c r="G240" s="141"/>
      <c r="H240" s="141"/>
      <c r="I240" s="141"/>
      <c r="J240" s="141"/>
      <c r="K240" s="141"/>
      <c r="L240" s="141"/>
      <c r="M240" s="141"/>
      <c r="N240" s="141"/>
      <c r="O240" s="141"/>
      <c r="P240" s="141"/>
      <c r="Q240" s="141"/>
      <c r="R240" s="141"/>
      <c r="S240" s="141"/>
      <c r="T240" s="141"/>
      <c r="U240" s="141"/>
      <c r="V240" s="141"/>
      <c r="W240" s="141"/>
      <c r="X240" s="141"/>
      <c r="Y240" s="141"/>
      <c r="Z240" s="141"/>
    </row>
    <row r="241" spans="1:26" ht="18" customHeight="1">
      <c r="A241" s="135"/>
      <c r="B241" s="141"/>
      <c r="C241" s="141"/>
      <c r="D241" s="141"/>
      <c r="E241" s="141"/>
      <c r="F241" s="141"/>
      <c r="G241" s="141"/>
      <c r="H241" s="141"/>
      <c r="I241" s="141"/>
      <c r="J241" s="141"/>
      <c r="K241" s="141"/>
      <c r="L241" s="141"/>
      <c r="M241" s="141"/>
      <c r="N241" s="141"/>
      <c r="O241" s="141"/>
      <c r="P241" s="141"/>
      <c r="Q241" s="141"/>
      <c r="R241" s="141"/>
      <c r="S241" s="141"/>
      <c r="T241" s="141"/>
      <c r="U241" s="141"/>
      <c r="V241" s="141"/>
      <c r="W241" s="141"/>
      <c r="X241" s="141"/>
      <c r="Y241" s="141"/>
      <c r="Z241" s="141"/>
    </row>
    <row r="242" spans="1:26" ht="18" customHeight="1">
      <c r="A242" s="135"/>
      <c r="B242" s="141"/>
      <c r="C242" s="141"/>
      <c r="D242" s="141"/>
      <c r="E242" s="141"/>
      <c r="F242" s="141"/>
      <c r="G242" s="141"/>
      <c r="H242" s="141"/>
      <c r="I242" s="141"/>
      <c r="J242" s="141"/>
      <c r="K242" s="141"/>
      <c r="L242" s="141"/>
      <c r="M242" s="141"/>
      <c r="N242" s="141"/>
      <c r="O242" s="141"/>
      <c r="P242" s="141"/>
      <c r="Q242" s="141"/>
      <c r="R242" s="141"/>
      <c r="S242" s="141"/>
      <c r="T242" s="141"/>
      <c r="U242" s="141"/>
      <c r="V242" s="141"/>
      <c r="W242" s="141"/>
      <c r="X242" s="141"/>
      <c r="Y242" s="141"/>
      <c r="Z242" s="141"/>
    </row>
    <row r="243" spans="1:26" ht="18" customHeight="1">
      <c r="A243" s="135"/>
      <c r="B243" s="141"/>
      <c r="C243" s="141"/>
      <c r="D243" s="141"/>
      <c r="E243" s="141"/>
      <c r="F243" s="141"/>
      <c r="G243" s="141"/>
      <c r="H243" s="141"/>
      <c r="I243" s="141"/>
      <c r="J243" s="141"/>
      <c r="K243" s="141"/>
      <c r="L243" s="141"/>
      <c r="M243" s="141"/>
      <c r="N243" s="141"/>
      <c r="O243" s="141"/>
      <c r="P243" s="141"/>
      <c r="Q243" s="141"/>
      <c r="R243" s="141"/>
      <c r="S243" s="141"/>
      <c r="T243" s="141"/>
      <c r="U243" s="141"/>
      <c r="V243" s="141"/>
      <c r="W243" s="141"/>
      <c r="X243" s="141"/>
      <c r="Y243" s="141"/>
      <c r="Z243" s="141"/>
    </row>
    <row r="244" spans="1:26" ht="18" customHeight="1">
      <c r="A244" s="135"/>
      <c r="B244" s="141"/>
      <c r="C244" s="141"/>
      <c r="D244" s="141"/>
      <c r="E244" s="141"/>
      <c r="F244" s="141"/>
      <c r="G244" s="141"/>
      <c r="H244" s="141"/>
      <c r="I244" s="141"/>
      <c r="J244" s="141"/>
      <c r="K244" s="141"/>
      <c r="L244" s="141"/>
      <c r="M244" s="141"/>
      <c r="N244" s="141"/>
      <c r="O244" s="141"/>
      <c r="P244" s="141"/>
      <c r="Q244" s="141"/>
      <c r="R244" s="141"/>
      <c r="S244" s="141"/>
      <c r="T244" s="141"/>
      <c r="U244" s="141"/>
      <c r="V244" s="141"/>
      <c r="W244" s="141"/>
      <c r="X244" s="141"/>
      <c r="Y244" s="141"/>
      <c r="Z244" s="141"/>
    </row>
    <row r="245" spans="1:26" ht="18" customHeight="1">
      <c r="A245" s="135"/>
      <c r="B245" s="141"/>
      <c r="C245" s="141"/>
      <c r="D245" s="141"/>
      <c r="E245" s="141"/>
      <c r="F245" s="141"/>
      <c r="G245" s="141"/>
      <c r="H245" s="141"/>
      <c r="I245" s="141"/>
      <c r="J245" s="141"/>
      <c r="K245" s="141"/>
      <c r="L245" s="141"/>
      <c r="M245" s="141"/>
      <c r="N245" s="141"/>
      <c r="O245" s="141"/>
      <c r="P245" s="141"/>
      <c r="Q245" s="141"/>
      <c r="R245" s="141"/>
      <c r="S245" s="141"/>
      <c r="T245" s="141"/>
      <c r="U245" s="141"/>
      <c r="V245" s="141"/>
      <c r="W245" s="141"/>
      <c r="X245" s="141"/>
      <c r="Y245" s="141"/>
      <c r="Z245" s="141"/>
    </row>
    <row r="246" spans="1:26" ht="18" customHeight="1">
      <c r="A246" s="135"/>
      <c r="B246" s="141"/>
      <c r="C246" s="141"/>
      <c r="D246" s="141"/>
      <c r="E246" s="141"/>
      <c r="F246" s="141"/>
      <c r="G246" s="141"/>
      <c r="H246" s="141"/>
      <c r="I246" s="141"/>
      <c r="J246" s="141"/>
      <c r="K246" s="141"/>
      <c r="L246" s="141"/>
      <c r="M246" s="141"/>
      <c r="N246" s="141"/>
      <c r="O246" s="141"/>
      <c r="P246" s="141"/>
      <c r="Q246" s="141"/>
      <c r="R246" s="141"/>
      <c r="S246" s="141"/>
      <c r="T246" s="141"/>
      <c r="U246" s="141"/>
      <c r="V246" s="141"/>
      <c r="W246" s="141"/>
      <c r="X246" s="141"/>
      <c r="Y246" s="141"/>
      <c r="Z246" s="141"/>
    </row>
    <row r="247" spans="1:26" ht="18" customHeight="1">
      <c r="A247" s="135"/>
      <c r="B247" s="141"/>
      <c r="C247" s="141"/>
      <c r="D247" s="141"/>
      <c r="E247" s="141"/>
      <c r="F247" s="141"/>
      <c r="G247" s="141"/>
      <c r="H247" s="141"/>
      <c r="I247" s="141"/>
      <c r="J247" s="141"/>
      <c r="K247" s="141"/>
      <c r="L247" s="141"/>
      <c r="M247" s="141"/>
      <c r="N247" s="141"/>
      <c r="O247" s="141"/>
      <c r="P247" s="141"/>
      <c r="Q247" s="141"/>
      <c r="R247" s="141"/>
      <c r="S247" s="141"/>
      <c r="T247" s="141"/>
      <c r="U247" s="141"/>
      <c r="V247" s="141"/>
      <c r="W247" s="141"/>
      <c r="X247" s="141"/>
      <c r="Y247" s="141"/>
      <c r="Z247" s="141"/>
    </row>
    <row r="248" spans="1:26" ht="18" customHeight="1">
      <c r="A248" s="135"/>
      <c r="B248" s="141"/>
      <c r="C248" s="141"/>
      <c r="D248" s="141"/>
      <c r="E248" s="141"/>
      <c r="F248" s="141"/>
      <c r="G248" s="141"/>
      <c r="H248" s="141"/>
      <c r="I248" s="141"/>
      <c r="J248" s="141"/>
      <c r="K248" s="141"/>
      <c r="L248" s="141"/>
      <c r="M248" s="141"/>
      <c r="N248" s="141"/>
      <c r="O248" s="141"/>
      <c r="P248" s="141"/>
      <c r="Q248" s="141"/>
      <c r="R248" s="141"/>
      <c r="S248" s="141"/>
      <c r="T248" s="141"/>
      <c r="U248" s="141"/>
      <c r="V248" s="141"/>
      <c r="W248" s="141"/>
      <c r="X248" s="141"/>
      <c r="Y248" s="141"/>
      <c r="Z248" s="141"/>
    </row>
    <row r="249" spans="1:26" ht="18" customHeight="1">
      <c r="A249" s="135"/>
      <c r="B249" s="141"/>
      <c r="C249" s="141"/>
      <c r="D249" s="141"/>
      <c r="E249" s="141"/>
      <c r="F249" s="141"/>
      <c r="G249" s="141"/>
      <c r="H249" s="141"/>
      <c r="I249" s="141"/>
      <c r="J249" s="141"/>
      <c r="K249" s="141"/>
      <c r="L249" s="141"/>
      <c r="M249" s="141"/>
      <c r="N249" s="141"/>
      <c r="O249" s="141"/>
      <c r="P249" s="141"/>
      <c r="Q249" s="141"/>
      <c r="R249" s="141"/>
      <c r="S249" s="141"/>
      <c r="T249" s="141"/>
      <c r="U249" s="141"/>
      <c r="V249" s="141"/>
      <c r="W249" s="141"/>
      <c r="X249" s="141"/>
      <c r="Y249" s="141"/>
      <c r="Z249" s="141"/>
    </row>
    <row r="250" spans="1:26" ht="18" customHeight="1">
      <c r="A250" s="135"/>
      <c r="B250" s="141"/>
      <c r="C250" s="141"/>
      <c r="D250" s="141"/>
      <c r="E250" s="141"/>
      <c r="F250" s="141"/>
      <c r="G250" s="141"/>
      <c r="H250" s="141"/>
      <c r="I250" s="141"/>
      <c r="J250" s="141"/>
      <c r="K250" s="141"/>
      <c r="L250" s="141"/>
      <c r="M250" s="141"/>
      <c r="N250" s="141"/>
      <c r="O250" s="141"/>
      <c r="P250" s="141"/>
      <c r="Q250" s="141"/>
      <c r="R250" s="141"/>
      <c r="S250" s="141"/>
      <c r="T250" s="141"/>
      <c r="U250" s="141"/>
      <c r="V250" s="141"/>
      <c r="W250" s="141"/>
      <c r="X250" s="141"/>
      <c r="Y250" s="141"/>
      <c r="Z250" s="141"/>
    </row>
    <row r="251" spans="1:26" ht="18" customHeight="1">
      <c r="A251" s="135"/>
      <c r="B251" s="141"/>
      <c r="C251" s="141"/>
      <c r="D251" s="141"/>
      <c r="E251" s="141"/>
      <c r="F251" s="141"/>
      <c r="G251" s="141"/>
      <c r="H251" s="141"/>
      <c r="I251" s="141"/>
      <c r="J251" s="141"/>
      <c r="K251" s="141"/>
      <c r="L251" s="141"/>
      <c r="M251" s="141"/>
      <c r="N251" s="141"/>
      <c r="O251" s="141"/>
      <c r="P251" s="141"/>
      <c r="Q251" s="141"/>
      <c r="R251" s="141"/>
      <c r="S251" s="141"/>
      <c r="T251" s="141"/>
      <c r="U251" s="141"/>
      <c r="V251" s="141"/>
      <c r="W251" s="141"/>
      <c r="X251" s="141"/>
      <c r="Y251" s="141"/>
      <c r="Z251" s="141"/>
    </row>
    <row r="252" spans="1:26" ht="18" customHeight="1">
      <c r="A252" s="135"/>
      <c r="B252" s="141"/>
      <c r="C252" s="141"/>
      <c r="D252" s="141"/>
      <c r="E252" s="141"/>
      <c r="F252" s="141"/>
      <c r="G252" s="141"/>
      <c r="H252" s="141"/>
      <c r="I252" s="141"/>
      <c r="J252" s="141"/>
      <c r="K252" s="141"/>
      <c r="L252" s="141"/>
      <c r="M252" s="141"/>
      <c r="N252" s="141"/>
      <c r="O252" s="141"/>
      <c r="P252" s="141"/>
      <c r="Q252" s="141"/>
      <c r="R252" s="141"/>
      <c r="S252" s="141"/>
      <c r="T252" s="141"/>
      <c r="U252" s="141"/>
      <c r="V252" s="141"/>
      <c r="W252" s="141"/>
      <c r="X252" s="141"/>
      <c r="Y252" s="141"/>
      <c r="Z252" s="141"/>
    </row>
    <row r="253" spans="1:26" ht="18" customHeight="1">
      <c r="A253" s="135"/>
      <c r="B253" s="141"/>
      <c r="C253" s="141"/>
      <c r="D253" s="141"/>
      <c r="E253" s="141"/>
      <c r="F253" s="141"/>
      <c r="G253" s="141"/>
      <c r="H253" s="141"/>
      <c r="I253" s="141"/>
      <c r="J253" s="141"/>
      <c r="K253" s="141"/>
      <c r="L253" s="141"/>
      <c r="M253" s="141"/>
      <c r="N253" s="141"/>
      <c r="O253" s="141"/>
      <c r="P253" s="141"/>
      <c r="Q253" s="141"/>
      <c r="R253" s="141"/>
      <c r="S253" s="141"/>
      <c r="T253" s="141"/>
      <c r="U253" s="141"/>
      <c r="V253" s="141"/>
      <c r="W253" s="141"/>
      <c r="X253" s="141"/>
      <c r="Y253" s="141"/>
      <c r="Z253" s="141"/>
    </row>
    <row r="254" spans="1:26" ht="18" customHeight="1">
      <c r="A254" s="135"/>
      <c r="B254" s="141"/>
      <c r="C254" s="141"/>
      <c r="D254" s="141"/>
      <c r="E254" s="141"/>
      <c r="F254" s="141"/>
      <c r="G254" s="141"/>
      <c r="H254" s="141"/>
      <c r="I254" s="141"/>
      <c r="J254" s="141"/>
      <c r="K254" s="141"/>
      <c r="L254" s="141"/>
      <c r="M254" s="141"/>
      <c r="N254" s="141"/>
      <c r="O254" s="141"/>
      <c r="P254" s="141"/>
      <c r="Q254" s="141"/>
      <c r="R254" s="141"/>
      <c r="S254" s="141"/>
      <c r="T254" s="141"/>
      <c r="U254" s="141"/>
      <c r="V254" s="141"/>
      <c r="W254" s="141"/>
      <c r="X254" s="141"/>
      <c r="Y254" s="141"/>
      <c r="Z254" s="141"/>
    </row>
    <row r="255" spans="1:26" ht="18" customHeight="1">
      <c r="A255" s="135"/>
      <c r="B255" s="141"/>
      <c r="C255" s="141"/>
      <c r="D255" s="141"/>
      <c r="E255" s="141"/>
      <c r="F255" s="141"/>
      <c r="G255" s="141"/>
      <c r="H255" s="141"/>
      <c r="I255" s="141"/>
      <c r="J255" s="141"/>
      <c r="K255" s="141"/>
      <c r="L255" s="141"/>
      <c r="M255" s="141"/>
      <c r="N255" s="141"/>
      <c r="O255" s="141"/>
      <c r="P255" s="141"/>
      <c r="Q255" s="141"/>
      <c r="R255" s="141"/>
      <c r="S255" s="141"/>
      <c r="T255" s="141"/>
      <c r="U255" s="141"/>
      <c r="V255" s="141"/>
      <c r="W255" s="141"/>
      <c r="X255" s="141"/>
      <c r="Y255" s="141"/>
      <c r="Z255" s="141"/>
    </row>
    <row r="256" spans="1:26" ht="18" customHeight="1">
      <c r="A256" s="135"/>
      <c r="B256" s="141"/>
      <c r="C256" s="141"/>
      <c r="D256" s="141"/>
      <c r="E256" s="141"/>
      <c r="F256" s="141"/>
      <c r="G256" s="141"/>
      <c r="H256" s="141"/>
      <c r="I256" s="141"/>
      <c r="J256" s="141"/>
      <c r="K256" s="141"/>
      <c r="L256" s="141"/>
      <c r="M256" s="141"/>
      <c r="N256" s="141"/>
      <c r="O256" s="141"/>
      <c r="P256" s="141"/>
      <c r="Q256" s="141"/>
      <c r="R256" s="141"/>
      <c r="S256" s="141"/>
      <c r="T256" s="141"/>
      <c r="U256" s="141"/>
      <c r="V256" s="141"/>
      <c r="W256" s="141"/>
      <c r="X256" s="141"/>
      <c r="Y256" s="141"/>
      <c r="Z256" s="141"/>
    </row>
    <row r="257" spans="1:26" ht="18" customHeight="1">
      <c r="A257" s="135"/>
      <c r="B257" s="141"/>
      <c r="C257" s="141"/>
      <c r="D257" s="141"/>
      <c r="E257" s="141"/>
      <c r="F257" s="141"/>
      <c r="G257" s="141"/>
      <c r="H257" s="141"/>
      <c r="I257" s="141"/>
      <c r="J257" s="141"/>
      <c r="K257" s="141"/>
      <c r="L257" s="141"/>
      <c r="M257" s="141"/>
      <c r="N257" s="141"/>
      <c r="O257" s="141"/>
      <c r="P257" s="141"/>
      <c r="Q257" s="141"/>
      <c r="R257" s="141"/>
      <c r="S257" s="141"/>
      <c r="T257" s="141"/>
      <c r="U257" s="141"/>
      <c r="V257" s="141"/>
      <c r="W257" s="141"/>
      <c r="X257" s="141"/>
      <c r="Y257" s="141"/>
      <c r="Z257" s="141"/>
    </row>
    <row r="258" spans="1:26" ht="18" customHeight="1">
      <c r="A258" s="135"/>
      <c r="B258" s="141"/>
      <c r="C258" s="141"/>
      <c r="D258" s="141"/>
      <c r="E258" s="141"/>
      <c r="F258" s="141"/>
      <c r="G258" s="141"/>
      <c r="H258" s="141"/>
      <c r="I258" s="141"/>
      <c r="J258" s="141"/>
      <c r="K258" s="141"/>
      <c r="L258" s="141"/>
      <c r="M258" s="141"/>
      <c r="N258" s="141"/>
      <c r="O258" s="141"/>
      <c r="P258" s="141"/>
      <c r="Q258" s="141"/>
      <c r="R258" s="141"/>
      <c r="S258" s="141"/>
      <c r="T258" s="141"/>
      <c r="U258" s="141"/>
      <c r="V258" s="141"/>
      <c r="W258" s="141"/>
      <c r="X258" s="141"/>
      <c r="Y258" s="141"/>
      <c r="Z258" s="141"/>
    </row>
    <row r="259" spans="1:26" ht="18" customHeight="1">
      <c r="A259" s="135"/>
      <c r="B259" s="141"/>
      <c r="C259" s="141"/>
      <c r="D259" s="141"/>
      <c r="E259" s="141"/>
      <c r="F259" s="141"/>
      <c r="G259" s="141"/>
      <c r="H259" s="141"/>
      <c r="I259" s="141"/>
      <c r="J259" s="141"/>
      <c r="K259" s="141"/>
      <c r="L259" s="141"/>
      <c r="M259" s="141"/>
      <c r="N259" s="141"/>
      <c r="O259" s="141"/>
      <c r="P259" s="141"/>
      <c r="Q259" s="141"/>
      <c r="R259" s="141"/>
      <c r="S259" s="141"/>
      <c r="T259" s="141"/>
      <c r="U259" s="141"/>
      <c r="V259" s="141"/>
      <c r="W259" s="141"/>
      <c r="X259" s="141"/>
      <c r="Y259" s="141"/>
      <c r="Z259" s="141"/>
    </row>
    <row r="260" spans="1:26" ht="18" customHeight="1">
      <c r="A260" s="135"/>
      <c r="B260" s="141"/>
      <c r="C260" s="141"/>
      <c r="D260" s="141"/>
      <c r="E260" s="141"/>
      <c r="F260" s="141"/>
      <c r="G260" s="141"/>
      <c r="H260" s="141"/>
      <c r="I260" s="141"/>
      <c r="J260" s="141"/>
      <c r="K260" s="141"/>
      <c r="L260" s="141"/>
      <c r="M260" s="141"/>
      <c r="N260" s="141"/>
      <c r="O260" s="141"/>
      <c r="P260" s="141"/>
      <c r="Q260" s="141"/>
      <c r="R260" s="141"/>
      <c r="S260" s="141"/>
      <c r="T260" s="141"/>
      <c r="U260" s="141"/>
      <c r="V260" s="141"/>
      <c r="W260" s="141"/>
      <c r="X260" s="141"/>
      <c r="Y260" s="141"/>
      <c r="Z260" s="141"/>
    </row>
    <row r="261" spans="1:26" ht="18" customHeight="1">
      <c r="A261" s="135"/>
      <c r="B261" s="141"/>
      <c r="C261" s="141"/>
      <c r="D261" s="141"/>
      <c r="E261" s="141"/>
      <c r="F261" s="141"/>
      <c r="G261" s="141"/>
      <c r="H261" s="141"/>
      <c r="I261" s="141"/>
      <c r="J261" s="141"/>
      <c r="K261" s="141"/>
      <c r="L261" s="141"/>
      <c r="M261" s="141"/>
      <c r="N261" s="141"/>
      <c r="O261" s="141"/>
      <c r="P261" s="141"/>
      <c r="Q261" s="141"/>
      <c r="R261" s="141"/>
      <c r="S261" s="141"/>
      <c r="T261" s="141"/>
      <c r="U261" s="141"/>
      <c r="V261" s="141"/>
      <c r="W261" s="141"/>
      <c r="X261" s="141"/>
      <c r="Y261" s="141"/>
      <c r="Z261" s="141"/>
    </row>
    <row r="262" spans="1:26" ht="18" customHeight="1">
      <c r="A262" s="135"/>
      <c r="B262" s="141"/>
      <c r="C262" s="141"/>
      <c r="D262" s="141"/>
      <c r="E262" s="141"/>
      <c r="F262" s="141"/>
      <c r="G262" s="141"/>
      <c r="H262" s="141"/>
      <c r="I262" s="141"/>
      <c r="J262" s="141"/>
      <c r="K262" s="141"/>
      <c r="L262" s="141"/>
      <c r="M262" s="141"/>
      <c r="N262" s="141"/>
      <c r="O262" s="141"/>
      <c r="P262" s="141"/>
      <c r="Q262" s="141"/>
      <c r="R262" s="141"/>
      <c r="S262" s="141"/>
      <c r="T262" s="141"/>
      <c r="U262" s="141"/>
      <c r="V262" s="141"/>
      <c r="W262" s="141"/>
      <c r="X262" s="141"/>
      <c r="Y262" s="141"/>
      <c r="Z262" s="141"/>
    </row>
    <row r="263" spans="1:26" ht="18" customHeight="1">
      <c r="A263" s="135"/>
      <c r="B263" s="141"/>
      <c r="C263" s="141"/>
      <c r="D263" s="141"/>
      <c r="E263" s="141"/>
      <c r="F263" s="141"/>
      <c r="G263" s="141"/>
      <c r="H263" s="141"/>
      <c r="I263" s="141"/>
      <c r="J263" s="141"/>
      <c r="K263" s="141"/>
      <c r="L263" s="141"/>
      <c r="M263" s="141"/>
      <c r="N263" s="141"/>
      <c r="O263" s="141"/>
      <c r="P263" s="141"/>
      <c r="Q263" s="141"/>
      <c r="R263" s="141"/>
      <c r="S263" s="141"/>
      <c r="T263" s="141"/>
      <c r="U263" s="141"/>
      <c r="V263" s="141"/>
      <c r="W263" s="141"/>
      <c r="X263" s="141"/>
      <c r="Y263" s="141"/>
      <c r="Z263" s="141"/>
    </row>
    <row r="264" spans="1:26" ht="18" customHeight="1">
      <c r="A264" s="135"/>
      <c r="B264" s="141"/>
      <c r="C264" s="141"/>
      <c r="D264" s="141"/>
      <c r="E264" s="141"/>
      <c r="F264" s="141"/>
      <c r="G264" s="141"/>
      <c r="H264" s="141"/>
      <c r="I264" s="141"/>
      <c r="J264" s="141"/>
      <c r="K264" s="141"/>
      <c r="L264" s="141"/>
      <c r="M264" s="141"/>
      <c r="N264" s="141"/>
      <c r="O264" s="141"/>
      <c r="P264" s="141"/>
      <c r="Q264" s="141"/>
      <c r="R264" s="141"/>
      <c r="S264" s="141"/>
      <c r="T264" s="141"/>
      <c r="U264" s="141"/>
      <c r="V264" s="141"/>
      <c r="W264" s="141"/>
      <c r="X264" s="141"/>
      <c r="Y264" s="141"/>
      <c r="Z264" s="141"/>
    </row>
    <row r="265" spans="1:26" ht="18" customHeight="1">
      <c r="A265" s="135"/>
      <c r="B265" s="141"/>
      <c r="C265" s="141"/>
      <c r="D265" s="141"/>
      <c r="E265" s="141"/>
      <c r="F265" s="141"/>
      <c r="G265" s="141"/>
      <c r="H265" s="141"/>
      <c r="I265" s="141"/>
      <c r="J265" s="141"/>
      <c r="K265" s="141"/>
      <c r="L265" s="141"/>
      <c r="M265" s="141"/>
      <c r="N265" s="141"/>
      <c r="O265" s="141"/>
      <c r="P265" s="141"/>
      <c r="Q265" s="141"/>
      <c r="R265" s="141"/>
      <c r="S265" s="141"/>
      <c r="T265" s="141"/>
      <c r="U265" s="141"/>
      <c r="V265" s="141"/>
      <c r="W265" s="141"/>
      <c r="X265" s="141"/>
      <c r="Y265" s="141"/>
      <c r="Z265" s="141"/>
    </row>
    <row r="266" spans="1:26" ht="18" customHeight="1">
      <c r="A266" s="135"/>
      <c r="B266" s="141"/>
      <c r="C266" s="141"/>
      <c r="D266" s="141"/>
      <c r="E266" s="141"/>
      <c r="F266" s="141"/>
      <c r="G266" s="141"/>
      <c r="H266" s="141"/>
      <c r="I266" s="141"/>
      <c r="J266" s="141"/>
      <c r="K266" s="141"/>
      <c r="L266" s="141"/>
      <c r="M266" s="141"/>
      <c r="N266" s="141"/>
      <c r="O266" s="141"/>
      <c r="P266" s="141"/>
      <c r="Q266" s="141"/>
      <c r="R266" s="141"/>
      <c r="S266" s="141"/>
      <c r="T266" s="141"/>
      <c r="U266" s="141"/>
      <c r="V266" s="141"/>
      <c r="W266" s="141"/>
      <c r="X266" s="141"/>
      <c r="Y266" s="141"/>
      <c r="Z266" s="141"/>
    </row>
    <row r="267" spans="1:26" ht="18" customHeight="1">
      <c r="A267" s="135"/>
      <c r="B267" s="141"/>
      <c r="C267" s="141"/>
      <c r="D267" s="141"/>
      <c r="E267" s="141"/>
      <c r="F267" s="141"/>
      <c r="G267" s="141"/>
      <c r="H267" s="141"/>
      <c r="I267" s="141"/>
      <c r="J267" s="141"/>
      <c r="K267" s="141"/>
      <c r="L267" s="141"/>
      <c r="M267" s="141"/>
      <c r="N267" s="141"/>
      <c r="O267" s="141"/>
      <c r="P267" s="141"/>
      <c r="Q267" s="141"/>
      <c r="R267" s="141"/>
      <c r="S267" s="141"/>
      <c r="T267" s="141"/>
      <c r="U267" s="141"/>
      <c r="V267" s="141"/>
      <c r="W267" s="141"/>
      <c r="X267" s="141"/>
      <c r="Y267" s="141"/>
      <c r="Z267" s="141"/>
    </row>
    <row r="268" spans="1:26" ht="18" customHeight="1">
      <c r="A268" s="135"/>
      <c r="B268" s="141"/>
      <c r="C268" s="141"/>
      <c r="D268" s="141"/>
      <c r="E268" s="141"/>
      <c r="F268" s="141"/>
      <c r="G268" s="141"/>
      <c r="H268" s="141"/>
      <c r="I268" s="141"/>
      <c r="J268" s="141"/>
      <c r="K268" s="141"/>
      <c r="L268" s="141"/>
      <c r="M268" s="141"/>
      <c r="N268" s="141"/>
      <c r="O268" s="141"/>
      <c r="P268" s="141"/>
      <c r="Q268" s="141"/>
      <c r="R268" s="141"/>
      <c r="S268" s="141"/>
      <c r="T268" s="141"/>
      <c r="U268" s="141"/>
      <c r="V268" s="141"/>
      <c r="W268" s="141"/>
      <c r="X268" s="141"/>
      <c r="Y268" s="141"/>
      <c r="Z268" s="141"/>
    </row>
    <row r="269" spans="1:26" ht="18" customHeight="1">
      <c r="A269" s="135"/>
      <c r="B269" s="141"/>
      <c r="C269" s="141"/>
      <c r="D269" s="141"/>
      <c r="E269" s="141"/>
      <c r="F269" s="141"/>
      <c r="G269" s="141"/>
      <c r="H269" s="141"/>
      <c r="I269" s="141"/>
      <c r="J269" s="141"/>
      <c r="K269" s="141"/>
      <c r="L269" s="141"/>
      <c r="M269" s="141"/>
      <c r="N269" s="141"/>
      <c r="O269" s="141"/>
      <c r="P269" s="141"/>
      <c r="Q269" s="141"/>
      <c r="R269" s="141"/>
      <c r="S269" s="141"/>
      <c r="T269" s="141"/>
      <c r="U269" s="141"/>
      <c r="V269" s="141"/>
      <c r="W269" s="141"/>
      <c r="X269" s="141"/>
      <c r="Y269" s="141"/>
      <c r="Z269" s="141"/>
    </row>
    <row r="270" spans="1:26" ht="18" customHeight="1">
      <c r="A270" s="135"/>
      <c r="B270" s="141"/>
      <c r="C270" s="141"/>
      <c r="D270" s="141"/>
      <c r="E270" s="141"/>
      <c r="F270" s="141"/>
      <c r="G270" s="141"/>
      <c r="H270" s="141"/>
      <c r="I270" s="141"/>
      <c r="J270" s="141"/>
      <c r="K270" s="141"/>
      <c r="L270" s="141"/>
      <c r="M270" s="141"/>
      <c r="N270" s="141"/>
      <c r="O270" s="141"/>
      <c r="P270" s="141"/>
      <c r="Q270" s="141"/>
      <c r="R270" s="141"/>
      <c r="S270" s="141"/>
      <c r="T270" s="141"/>
      <c r="U270" s="141"/>
      <c r="V270" s="141"/>
      <c r="W270" s="141"/>
      <c r="X270" s="141"/>
      <c r="Y270" s="141"/>
      <c r="Z270" s="141"/>
    </row>
    <row r="271" spans="1:26" ht="18" customHeight="1">
      <c r="A271" s="135"/>
      <c r="B271" s="141"/>
      <c r="C271" s="141"/>
      <c r="D271" s="141"/>
      <c r="E271" s="141"/>
      <c r="F271" s="141"/>
      <c r="G271" s="141"/>
      <c r="H271" s="141"/>
      <c r="I271" s="141"/>
      <c r="J271" s="141"/>
      <c r="K271" s="141"/>
      <c r="L271" s="141"/>
      <c r="M271" s="141"/>
      <c r="N271" s="141"/>
      <c r="O271" s="141"/>
      <c r="P271" s="141"/>
      <c r="Q271" s="141"/>
      <c r="R271" s="141"/>
      <c r="S271" s="141"/>
      <c r="T271" s="141"/>
      <c r="U271" s="141"/>
      <c r="V271" s="141"/>
      <c r="W271" s="141"/>
      <c r="X271" s="141"/>
      <c r="Y271" s="141"/>
      <c r="Z271" s="141"/>
    </row>
    <row r="272" spans="1:26" ht="18" customHeight="1">
      <c r="A272" s="135"/>
      <c r="B272" s="141"/>
      <c r="C272" s="141"/>
      <c r="D272" s="141"/>
      <c r="E272" s="141"/>
      <c r="F272" s="141"/>
      <c r="G272" s="141"/>
      <c r="H272" s="141"/>
      <c r="I272" s="141"/>
      <c r="J272" s="141"/>
      <c r="K272" s="141"/>
      <c r="L272" s="141"/>
      <c r="M272" s="141"/>
      <c r="N272" s="141"/>
      <c r="O272" s="141"/>
      <c r="P272" s="141"/>
      <c r="Q272" s="141"/>
      <c r="R272" s="141"/>
      <c r="S272" s="141"/>
      <c r="T272" s="141"/>
      <c r="U272" s="141"/>
      <c r="V272" s="141"/>
      <c r="W272" s="141"/>
      <c r="X272" s="141"/>
      <c r="Y272" s="141"/>
      <c r="Z272" s="141"/>
    </row>
    <row r="273" spans="1:26" ht="18" customHeight="1">
      <c r="A273" s="135"/>
      <c r="B273" s="141"/>
      <c r="C273" s="141"/>
      <c r="D273" s="141"/>
      <c r="E273" s="141"/>
      <c r="F273" s="141"/>
      <c r="G273" s="141"/>
      <c r="H273" s="141"/>
      <c r="I273" s="141"/>
      <c r="J273" s="141"/>
      <c r="K273" s="141"/>
      <c r="L273" s="141"/>
      <c r="M273" s="141"/>
      <c r="N273" s="141"/>
      <c r="O273" s="141"/>
      <c r="P273" s="141"/>
      <c r="Q273" s="141"/>
      <c r="R273" s="141"/>
      <c r="S273" s="141"/>
      <c r="T273" s="141"/>
      <c r="U273" s="141"/>
      <c r="V273" s="141"/>
      <c r="W273" s="141"/>
      <c r="X273" s="141"/>
      <c r="Y273" s="141"/>
      <c r="Z273" s="141"/>
    </row>
    <row r="274" spans="1:26" ht="18" customHeight="1">
      <c r="A274" s="135"/>
      <c r="B274" s="141"/>
      <c r="C274" s="141"/>
      <c r="D274" s="141"/>
      <c r="E274" s="141"/>
      <c r="F274" s="141"/>
      <c r="G274" s="141"/>
      <c r="H274" s="141"/>
      <c r="I274" s="141"/>
      <c r="J274" s="141"/>
      <c r="K274" s="141"/>
      <c r="L274" s="141"/>
      <c r="M274" s="141"/>
      <c r="N274" s="141"/>
      <c r="O274" s="141"/>
      <c r="P274" s="141"/>
      <c r="Q274" s="141"/>
      <c r="R274" s="141"/>
      <c r="S274" s="141"/>
      <c r="T274" s="141"/>
      <c r="U274" s="141"/>
      <c r="V274" s="141"/>
      <c r="W274" s="141"/>
      <c r="X274" s="141"/>
      <c r="Y274" s="141"/>
      <c r="Z274" s="141"/>
    </row>
    <row r="275" spans="1:26" ht="18" customHeight="1">
      <c r="A275" s="135"/>
      <c r="B275" s="141"/>
      <c r="C275" s="141"/>
      <c r="D275" s="141"/>
      <c r="E275" s="141"/>
      <c r="F275" s="141"/>
      <c r="G275" s="141"/>
      <c r="H275" s="141"/>
      <c r="I275" s="141"/>
      <c r="J275" s="141"/>
      <c r="K275" s="141"/>
      <c r="L275" s="141"/>
      <c r="M275" s="141"/>
      <c r="N275" s="141"/>
      <c r="O275" s="141"/>
      <c r="P275" s="141"/>
      <c r="Q275" s="141"/>
      <c r="R275" s="141"/>
      <c r="S275" s="141"/>
      <c r="T275" s="141"/>
      <c r="U275" s="141"/>
      <c r="V275" s="141"/>
      <c r="W275" s="141"/>
      <c r="X275" s="141"/>
      <c r="Y275" s="141"/>
      <c r="Z275" s="141"/>
    </row>
    <row r="276" spans="1:26" ht="18" customHeight="1">
      <c r="A276" s="135"/>
      <c r="B276" s="141"/>
      <c r="C276" s="141"/>
      <c r="D276" s="141"/>
      <c r="E276" s="141"/>
      <c r="F276" s="141"/>
      <c r="G276" s="141"/>
      <c r="H276" s="141"/>
      <c r="I276" s="141"/>
      <c r="J276" s="141"/>
      <c r="K276" s="141"/>
      <c r="L276" s="141"/>
      <c r="M276" s="141"/>
      <c r="N276" s="141"/>
      <c r="O276" s="141"/>
      <c r="P276" s="141"/>
      <c r="Q276" s="141"/>
      <c r="R276" s="141"/>
      <c r="S276" s="141"/>
      <c r="T276" s="141"/>
      <c r="U276" s="141"/>
      <c r="V276" s="141"/>
      <c r="W276" s="141"/>
      <c r="X276" s="141"/>
      <c r="Y276" s="141"/>
      <c r="Z276" s="141"/>
    </row>
    <row r="277" spans="1:26" ht="18" customHeight="1">
      <c r="A277" s="135"/>
      <c r="B277" s="141"/>
      <c r="C277" s="141"/>
      <c r="D277" s="141"/>
      <c r="E277" s="141"/>
      <c r="F277" s="141"/>
      <c r="G277" s="141"/>
      <c r="H277" s="141"/>
      <c r="I277" s="141"/>
      <c r="J277" s="141"/>
      <c r="K277" s="141"/>
      <c r="L277" s="141"/>
      <c r="M277" s="141"/>
      <c r="N277" s="141"/>
      <c r="O277" s="141"/>
      <c r="P277" s="141"/>
      <c r="Q277" s="141"/>
      <c r="R277" s="141"/>
      <c r="S277" s="141"/>
      <c r="T277" s="141"/>
      <c r="U277" s="141"/>
      <c r="V277" s="141"/>
      <c r="W277" s="141"/>
      <c r="X277" s="141"/>
      <c r="Y277" s="141"/>
      <c r="Z277" s="141"/>
    </row>
    <row r="278" spans="1:26" ht="18" customHeight="1">
      <c r="A278" s="135"/>
      <c r="B278" s="141"/>
      <c r="C278" s="141"/>
      <c r="D278" s="141"/>
      <c r="E278" s="141"/>
      <c r="F278" s="141"/>
      <c r="G278" s="141"/>
      <c r="H278" s="141"/>
      <c r="I278" s="141"/>
      <c r="J278" s="141"/>
      <c r="K278" s="141"/>
      <c r="L278" s="141"/>
      <c r="M278" s="141"/>
      <c r="N278" s="141"/>
      <c r="O278" s="141"/>
      <c r="P278" s="141"/>
      <c r="Q278" s="141"/>
      <c r="R278" s="141"/>
      <c r="S278" s="141"/>
      <c r="T278" s="141"/>
      <c r="U278" s="141"/>
      <c r="V278" s="141"/>
      <c r="W278" s="141"/>
      <c r="X278" s="141"/>
      <c r="Y278" s="141"/>
      <c r="Z278" s="141"/>
    </row>
    <row r="279" spans="1:26" ht="18" customHeight="1">
      <c r="A279" s="135"/>
      <c r="B279" s="141"/>
      <c r="C279" s="141"/>
      <c r="D279" s="141"/>
      <c r="E279" s="141"/>
      <c r="F279" s="141"/>
      <c r="G279" s="141"/>
      <c r="H279" s="141"/>
      <c r="I279" s="141"/>
      <c r="J279" s="141"/>
      <c r="K279" s="141"/>
      <c r="L279" s="141"/>
      <c r="M279" s="141"/>
      <c r="N279" s="141"/>
      <c r="O279" s="141"/>
      <c r="P279" s="141"/>
      <c r="Q279" s="141"/>
      <c r="R279" s="141"/>
      <c r="S279" s="141"/>
      <c r="T279" s="141"/>
      <c r="U279" s="141"/>
      <c r="V279" s="141"/>
      <c r="W279" s="141"/>
      <c r="X279" s="141"/>
      <c r="Y279" s="141"/>
      <c r="Z279" s="141"/>
    </row>
    <row r="280" spans="1:26" ht="18" customHeight="1">
      <c r="A280" s="135"/>
      <c r="B280" s="141"/>
      <c r="C280" s="141"/>
      <c r="D280" s="141"/>
      <c r="E280" s="141"/>
      <c r="F280" s="141"/>
      <c r="G280" s="141"/>
      <c r="H280" s="141"/>
      <c r="I280" s="141"/>
      <c r="J280" s="141"/>
      <c r="K280" s="141"/>
      <c r="L280" s="141"/>
      <c r="M280" s="141"/>
      <c r="N280" s="141"/>
      <c r="O280" s="141"/>
      <c r="P280" s="141"/>
      <c r="Q280" s="141"/>
      <c r="R280" s="141"/>
      <c r="S280" s="141"/>
      <c r="T280" s="141"/>
      <c r="U280" s="141"/>
      <c r="V280" s="141"/>
      <c r="W280" s="141"/>
      <c r="X280" s="141"/>
      <c r="Y280" s="141"/>
      <c r="Z280" s="141"/>
    </row>
    <row r="281" spans="1:26" ht="18" customHeight="1">
      <c r="A281" s="135"/>
      <c r="B281" s="141"/>
      <c r="C281" s="141"/>
      <c r="D281" s="141"/>
      <c r="E281" s="141"/>
      <c r="F281" s="141"/>
      <c r="G281" s="141"/>
      <c r="H281" s="141"/>
      <c r="I281" s="141"/>
      <c r="J281" s="141"/>
      <c r="K281" s="141"/>
      <c r="L281" s="141"/>
      <c r="M281" s="141"/>
      <c r="N281" s="141"/>
      <c r="O281" s="141"/>
      <c r="P281" s="141"/>
      <c r="Q281" s="141"/>
      <c r="R281" s="141"/>
      <c r="S281" s="141"/>
      <c r="T281" s="141"/>
      <c r="U281" s="141"/>
      <c r="V281" s="141"/>
      <c r="W281" s="141"/>
      <c r="X281" s="141"/>
      <c r="Y281" s="141"/>
      <c r="Z281" s="141"/>
    </row>
    <row r="282" spans="1:26" ht="18" customHeight="1">
      <c r="A282" s="135"/>
      <c r="B282" s="141"/>
      <c r="C282" s="141"/>
      <c r="D282" s="141"/>
      <c r="E282" s="141"/>
      <c r="F282" s="141"/>
      <c r="G282" s="141"/>
      <c r="H282" s="141"/>
      <c r="I282" s="141"/>
      <c r="J282" s="141"/>
      <c r="K282" s="141"/>
      <c r="L282" s="141"/>
      <c r="M282" s="141"/>
      <c r="N282" s="141"/>
      <c r="O282" s="141"/>
      <c r="P282" s="141"/>
      <c r="Q282" s="141"/>
      <c r="R282" s="141"/>
      <c r="S282" s="141"/>
      <c r="T282" s="141"/>
      <c r="U282" s="141"/>
      <c r="V282" s="141"/>
      <c r="W282" s="141"/>
      <c r="X282" s="141"/>
      <c r="Y282" s="141"/>
      <c r="Z282" s="141"/>
    </row>
    <row r="283" spans="1:26" ht="18" customHeight="1">
      <c r="A283" s="135"/>
      <c r="B283" s="141"/>
      <c r="C283" s="141"/>
      <c r="D283" s="141"/>
      <c r="E283" s="141"/>
      <c r="F283" s="141"/>
      <c r="G283" s="141"/>
      <c r="H283" s="141"/>
      <c r="I283" s="141"/>
      <c r="J283" s="141"/>
      <c r="K283" s="141"/>
      <c r="L283" s="141"/>
      <c r="M283" s="141"/>
      <c r="N283" s="141"/>
      <c r="O283" s="141"/>
      <c r="P283" s="141"/>
      <c r="Q283" s="141"/>
      <c r="R283" s="141"/>
      <c r="S283" s="141"/>
      <c r="T283" s="141"/>
      <c r="U283" s="141"/>
      <c r="V283" s="141"/>
      <c r="W283" s="141"/>
      <c r="X283" s="141"/>
      <c r="Y283" s="141"/>
      <c r="Z283" s="141"/>
    </row>
    <row r="284" spans="1:26" ht="18" customHeight="1">
      <c r="A284" s="135"/>
      <c r="B284" s="141"/>
      <c r="C284" s="141"/>
      <c r="D284" s="141"/>
      <c r="E284" s="141"/>
      <c r="F284" s="141"/>
      <c r="G284" s="141"/>
      <c r="H284" s="141"/>
      <c r="I284" s="141"/>
      <c r="J284" s="141"/>
      <c r="K284" s="141"/>
      <c r="L284" s="141"/>
      <c r="M284" s="141"/>
      <c r="N284" s="141"/>
      <c r="O284" s="141"/>
      <c r="P284" s="141"/>
      <c r="Q284" s="141"/>
      <c r="R284" s="141"/>
      <c r="S284" s="141"/>
      <c r="T284" s="141"/>
      <c r="U284" s="141"/>
      <c r="V284" s="141"/>
      <c r="W284" s="141"/>
      <c r="X284" s="141"/>
      <c r="Y284" s="141"/>
      <c r="Z284" s="141"/>
    </row>
    <row r="285" spans="1:26" ht="18" customHeight="1">
      <c r="A285" s="135"/>
      <c r="B285" s="141"/>
      <c r="C285" s="141"/>
      <c r="D285" s="141"/>
      <c r="E285" s="141"/>
      <c r="F285" s="141"/>
      <c r="G285" s="141"/>
      <c r="H285" s="141"/>
      <c r="I285" s="141"/>
      <c r="J285" s="141"/>
      <c r="K285" s="141"/>
      <c r="L285" s="141"/>
      <c r="M285" s="141"/>
      <c r="N285" s="141"/>
      <c r="O285" s="141"/>
      <c r="P285" s="141"/>
      <c r="Q285" s="141"/>
      <c r="R285" s="141"/>
      <c r="S285" s="141"/>
      <c r="T285" s="141"/>
      <c r="U285" s="141"/>
      <c r="V285" s="141"/>
      <c r="W285" s="141"/>
      <c r="X285" s="141"/>
      <c r="Y285" s="141"/>
      <c r="Z285" s="141"/>
    </row>
    <row r="286" spans="1:26" ht="18" customHeight="1">
      <c r="A286" s="135"/>
      <c r="B286" s="141"/>
      <c r="C286" s="141"/>
      <c r="D286" s="141"/>
      <c r="E286" s="141"/>
      <c r="F286" s="141"/>
      <c r="G286" s="141"/>
      <c r="H286" s="141"/>
      <c r="I286" s="141"/>
      <c r="J286" s="141"/>
      <c r="K286" s="141"/>
      <c r="L286" s="141"/>
      <c r="M286" s="141"/>
      <c r="N286" s="141"/>
      <c r="O286" s="141"/>
      <c r="P286" s="141"/>
      <c r="Q286" s="141"/>
      <c r="R286" s="141"/>
      <c r="S286" s="141"/>
      <c r="T286" s="141"/>
      <c r="U286" s="141"/>
      <c r="V286" s="141"/>
      <c r="W286" s="141"/>
      <c r="X286" s="141"/>
      <c r="Y286" s="141"/>
      <c r="Z286" s="141"/>
    </row>
    <row r="287" spans="1:26" ht="18" customHeight="1">
      <c r="A287" s="135"/>
      <c r="B287" s="141"/>
      <c r="C287" s="141"/>
      <c r="D287" s="141"/>
      <c r="E287" s="141"/>
      <c r="F287" s="141"/>
      <c r="G287" s="141"/>
      <c r="H287" s="141"/>
      <c r="I287" s="141"/>
      <c r="J287" s="141"/>
      <c r="K287" s="141"/>
      <c r="L287" s="141"/>
      <c r="M287" s="141"/>
      <c r="N287" s="141"/>
      <c r="O287" s="141"/>
      <c r="P287" s="141"/>
      <c r="Q287" s="141"/>
      <c r="R287" s="141"/>
      <c r="S287" s="141"/>
      <c r="T287" s="141"/>
      <c r="U287" s="141"/>
      <c r="V287" s="141"/>
      <c r="W287" s="141"/>
      <c r="X287" s="141"/>
      <c r="Y287" s="141"/>
      <c r="Z287" s="141"/>
    </row>
    <row r="288" spans="1:26" ht="18" customHeight="1">
      <c r="A288" s="135"/>
      <c r="B288" s="141"/>
      <c r="C288" s="141"/>
      <c r="D288" s="141"/>
      <c r="E288" s="141"/>
      <c r="F288" s="141"/>
      <c r="G288" s="141"/>
      <c r="H288" s="141"/>
      <c r="I288" s="141"/>
      <c r="J288" s="141"/>
      <c r="K288" s="141"/>
      <c r="L288" s="141"/>
      <c r="M288" s="141"/>
      <c r="N288" s="141"/>
      <c r="O288" s="141"/>
      <c r="P288" s="141"/>
      <c r="Q288" s="141"/>
      <c r="R288" s="141"/>
      <c r="S288" s="141"/>
      <c r="T288" s="141"/>
      <c r="U288" s="141"/>
      <c r="V288" s="141"/>
      <c r="W288" s="141"/>
      <c r="X288" s="141"/>
      <c r="Y288" s="141"/>
      <c r="Z288" s="141"/>
    </row>
    <row r="289" spans="1:26" ht="18" customHeight="1">
      <c r="A289" s="135"/>
      <c r="B289" s="141"/>
      <c r="C289" s="141"/>
      <c r="D289" s="141"/>
      <c r="E289" s="141"/>
      <c r="F289" s="141"/>
      <c r="G289" s="141"/>
      <c r="H289" s="141"/>
      <c r="I289" s="141"/>
      <c r="J289" s="141"/>
      <c r="K289" s="141"/>
      <c r="L289" s="141"/>
      <c r="M289" s="141"/>
      <c r="N289" s="141"/>
      <c r="O289" s="141"/>
      <c r="P289" s="141"/>
      <c r="Q289" s="141"/>
      <c r="R289" s="141"/>
      <c r="S289" s="141"/>
      <c r="T289" s="141"/>
      <c r="U289" s="141"/>
      <c r="V289" s="141"/>
      <c r="W289" s="141"/>
      <c r="X289" s="141"/>
      <c r="Y289" s="141"/>
      <c r="Z289" s="141"/>
    </row>
    <row r="290" spans="1:26" ht="18" customHeight="1">
      <c r="A290" s="135"/>
      <c r="B290" s="141"/>
      <c r="C290" s="141"/>
      <c r="D290" s="141"/>
      <c r="E290" s="141"/>
      <c r="F290" s="141"/>
      <c r="G290" s="141"/>
      <c r="H290" s="141"/>
      <c r="I290" s="141"/>
      <c r="J290" s="141"/>
      <c r="K290" s="141"/>
      <c r="L290" s="141"/>
      <c r="M290" s="141"/>
      <c r="N290" s="141"/>
      <c r="O290" s="141"/>
      <c r="P290" s="141"/>
      <c r="Q290" s="141"/>
      <c r="R290" s="141"/>
      <c r="S290" s="141"/>
      <c r="T290" s="141"/>
      <c r="U290" s="141"/>
      <c r="V290" s="141"/>
      <c r="W290" s="141"/>
      <c r="X290" s="141"/>
      <c r="Y290" s="141"/>
      <c r="Z290" s="141"/>
    </row>
    <row r="291" spans="1:26" ht="18" customHeight="1">
      <c r="A291" s="135"/>
      <c r="B291" s="141"/>
      <c r="C291" s="141"/>
      <c r="D291" s="141"/>
      <c r="E291" s="141"/>
      <c r="F291" s="141"/>
      <c r="G291" s="141"/>
      <c r="H291" s="141"/>
      <c r="I291" s="141"/>
      <c r="J291" s="141"/>
      <c r="K291" s="141"/>
      <c r="L291" s="141"/>
      <c r="M291" s="141"/>
      <c r="N291" s="141"/>
      <c r="O291" s="141"/>
      <c r="P291" s="141"/>
      <c r="Q291" s="141"/>
      <c r="R291" s="141"/>
      <c r="S291" s="141"/>
      <c r="T291" s="141"/>
      <c r="U291" s="141"/>
      <c r="V291" s="141"/>
      <c r="W291" s="141"/>
      <c r="X291" s="141"/>
      <c r="Y291" s="141"/>
      <c r="Z291" s="141"/>
    </row>
    <row r="292" spans="1:26" ht="18" customHeight="1">
      <c r="A292" s="135"/>
      <c r="B292" s="141"/>
      <c r="C292" s="141"/>
      <c r="D292" s="141"/>
      <c r="E292" s="141"/>
      <c r="F292" s="141"/>
      <c r="G292" s="141"/>
      <c r="H292" s="141"/>
      <c r="I292" s="141"/>
      <c r="J292" s="141"/>
      <c r="K292" s="141"/>
      <c r="L292" s="141"/>
      <c r="M292" s="141"/>
      <c r="N292" s="141"/>
      <c r="O292" s="141"/>
      <c r="P292" s="141"/>
      <c r="Q292" s="141"/>
      <c r="R292" s="141"/>
      <c r="S292" s="141"/>
      <c r="T292" s="141"/>
      <c r="U292" s="141"/>
      <c r="V292" s="141"/>
      <c r="W292" s="141"/>
      <c r="X292" s="141"/>
      <c r="Y292" s="141"/>
      <c r="Z292" s="141"/>
    </row>
    <row r="293" spans="1:26" ht="18" customHeight="1">
      <c r="A293" s="135"/>
      <c r="B293" s="141"/>
      <c r="C293" s="141"/>
      <c r="D293" s="141"/>
      <c r="E293" s="141"/>
      <c r="F293" s="141"/>
      <c r="G293" s="141"/>
      <c r="H293" s="141"/>
      <c r="I293" s="141"/>
      <c r="J293" s="141"/>
      <c r="K293" s="141"/>
      <c r="L293" s="141"/>
      <c r="M293" s="141"/>
      <c r="N293" s="141"/>
      <c r="O293" s="141"/>
      <c r="P293" s="141"/>
      <c r="Q293" s="141"/>
      <c r="R293" s="141"/>
      <c r="S293" s="141"/>
      <c r="T293" s="141"/>
      <c r="U293" s="141"/>
      <c r="V293" s="141"/>
      <c r="W293" s="141"/>
      <c r="X293" s="141"/>
      <c r="Y293" s="141"/>
      <c r="Z293" s="141"/>
    </row>
    <row r="294" spans="1:26" ht="18" customHeight="1">
      <c r="A294" s="135"/>
      <c r="B294" s="141"/>
      <c r="C294" s="141"/>
      <c r="D294" s="141"/>
      <c r="E294" s="141"/>
      <c r="F294" s="141"/>
      <c r="G294" s="141"/>
      <c r="H294" s="141"/>
      <c r="I294" s="141"/>
      <c r="J294" s="141"/>
      <c r="K294" s="141"/>
      <c r="L294" s="141"/>
      <c r="M294" s="141"/>
      <c r="N294" s="141"/>
      <c r="O294" s="141"/>
      <c r="P294" s="141"/>
      <c r="Q294" s="141"/>
      <c r="R294" s="141"/>
      <c r="S294" s="141"/>
      <c r="T294" s="141"/>
      <c r="U294" s="141"/>
      <c r="V294" s="141"/>
      <c r="W294" s="141"/>
      <c r="X294" s="141"/>
      <c r="Y294" s="141"/>
      <c r="Z294" s="141"/>
    </row>
    <row r="295" spans="1:26" ht="18" customHeight="1">
      <c r="A295" s="135"/>
      <c r="B295" s="141"/>
      <c r="C295" s="141"/>
      <c r="D295" s="141"/>
      <c r="E295" s="141"/>
      <c r="F295" s="141"/>
      <c r="G295" s="141"/>
      <c r="H295" s="141"/>
      <c r="I295" s="141"/>
      <c r="J295" s="141"/>
      <c r="K295" s="141"/>
      <c r="L295" s="141"/>
      <c r="M295" s="141"/>
      <c r="N295" s="141"/>
      <c r="O295" s="141"/>
      <c r="P295" s="141"/>
      <c r="Q295" s="141"/>
      <c r="R295" s="141"/>
      <c r="S295" s="141"/>
      <c r="T295" s="141"/>
      <c r="U295" s="141"/>
      <c r="V295" s="141"/>
      <c r="W295" s="141"/>
      <c r="X295" s="141"/>
      <c r="Y295" s="141"/>
      <c r="Z295" s="141"/>
    </row>
    <row r="296" spans="1:26" ht="18" customHeight="1">
      <c r="A296" s="135"/>
      <c r="B296" s="141"/>
      <c r="C296" s="141"/>
      <c r="D296" s="141"/>
      <c r="E296" s="141"/>
      <c r="F296" s="141"/>
      <c r="G296" s="141"/>
      <c r="H296" s="141"/>
      <c r="I296" s="141"/>
      <c r="J296" s="141"/>
      <c r="K296" s="141"/>
      <c r="L296" s="141"/>
      <c r="M296" s="141"/>
      <c r="N296" s="141"/>
      <c r="O296" s="141"/>
      <c r="P296" s="141"/>
      <c r="Q296" s="141"/>
      <c r="R296" s="141"/>
      <c r="S296" s="141"/>
      <c r="T296" s="141"/>
      <c r="U296" s="141"/>
      <c r="V296" s="141"/>
      <c r="W296" s="141"/>
      <c r="X296" s="141"/>
      <c r="Y296" s="141"/>
      <c r="Z296" s="141"/>
    </row>
    <row r="297" spans="1:26" ht="18" customHeight="1">
      <c r="A297" s="135"/>
      <c r="B297" s="141"/>
      <c r="C297" s="141"/>
      <c r="D297" s="141"/>
      <c r="E297" s="141"/>
      <c r="F297" s="141"/>
      <c r="G297" s="141"/>
      <c r="H297" s="141"/>
      <c r="I297" s="141"/>
      <c r="J297" s="141"/>
      <c r="K297" s="141"/>
      <c r="L297" s="141"/>
      <c r="M297" s="141"/>
      <c r="N297" s="141"/>
      <c r="O297" s="141"/>
      <c r="P297" s="141"/>
      <c r="Q297" s="141"/>
      <c r="R297" s="141"/>
      <c r="S297" s="141"/>
      <c r="T297" s="141"/>
      <c r="U297" s="141"/>
      <c r="V297" s="141"/>
      <c r="W297" s="141"/>
      <c r="X297" s="141"/>
      <c r="Y297" s="141"/>
      <c r="Z297" s="141"/>
    </row>
    <row r="298" spans="1:26" ht="18" customHeight="1">
      <c r="A298" s="135"/>
      <c r="B298" s="141"/>
      <c r="C298" s="141"/>
      <c r="D298" s="141"/>
      <c r="E298" s="141"/>
      <c r="F298" s="141"/>
      <c r="G298" s="141"/>
      <c r="H298" s="141"/>
      <c r="I298" s="141"/>
      <c r="J298" s="141"/>
      <c r="K298" s="141"/>
      <c r="L298" s="141"/>
      <c r="M298" s="141"/>
      <c r="N298" s="141"/>
      <c r="O298" s="141"/>
      <c r="P298" s="141"/>
      <c r="Q298" s="141"/>
      <c r="R298" s="141"/>
      <c r="S298" s="141"/>
      <c r="T298" s="141"/>
      <c r="U298" s="141"/>
      <c r="V298" s="141"/>
      <c r="W298" s="141"/>
      <c r="X298" s="141"/>
      <c r="Y298" s="141"/>
      <c r="Z298" s="141"/>
    </row>
    <row r="299" spans="1:26" ht="18" customHeight="1">
      <c r="A299" s="135"/>
      <c r="B299" s="141"/>
      <c r="C299" s="141"/>
      <c r="D299" s="141"/>
      <c r="E299" s="141"/>
      <c r="F299" s="141"/>
      <c r="G299" s="141"/>
      <c r="H299" s="141"/>
      <c r="I299" s="141"/>
      <c r="J299" s="141"/>
      <c r="K299" s="141"/>
      <c r="L299" s="141"/>
      <c r="M299" s="141"/>
      <c r="N299" s="141"/>
      <c r="O299" s="141"/>
      <c r="P299" s="141"/>
      <c r="Q299" s="141"/>
      <c r="R299" s="141"/>
      <c r="S299" s="141"/>
      <c r="T299" s="141"/>
      <c r="U299" s="141"/>
      <c r="V299" s="141"/>
      <c r="W299" s="141"/>
      <c r="X299" s="141"/>
      <c r="Y299" s="141"/>
      <c r="Z299" s="141"/>
    </row>
    <row r="300" spans="1:26" ht="18" customHeight="1">
      <c r="A300" s="135"/>
      <c r="B300" s="141"/>
      <c r="C300" s="141"/>
      <c r="D300" s="141"/>
      <c r="E300" s="141"/>
      <c r="F300" s="141"/>
      <c r="G300" s="141"/>
      <c r="H300" s="141"/>
      <c r="I300" s="141"/>
      <c r="J300" s="141"/>
      <c r="K300" s="141"/>
      <c r="L300" s="141"/>
      <c r="M300" s="141"/>
      <c r="N300" s="141"/>
      <c r="O300" s="141"/>
      <c r="P300" s="141"/>
      <c r="Q300" s="141"/>
      <c r="R300" s="141"/>
      <c r="S300" s="141"/>
      <c r="T300" s="141"/>
      <c r="U300" s="141"/>
      <c r="V300" s="141"/>
      <c r="W300" s="141"/>
      <c r="X300" s="141"/>
      <c r="Y300" s="141"/>
      <c r="Z300" s="141"/>
    </row>
    <row r="301" spans="1:26" ht="18" customHeight="1"/>
    <row r="302" spans="1:26" ht="18" customHeight="1"/>
    <row r="303" spans="1:26" ht="18" customHeight="1"/>
    <row r="304" spans="1:26" ht="18" customHeight="1"/>
    <row r="305" ht="18" customHeight="1"/>
    <row r="306" ht="18" customHeight="1"/>
    <row r="307" ht="18" customHeight="1"/>
    <row r="308" ht="18" customHeight="1"/>
    <row r="309" ht="18" customHeight="1"/>
    <row r="310" ht="18" customHeight="1"/>
    <row r="311" ht="18" customHeight="1"/>
    <row r="312" ht="18" customHeight="1"/>
    <row r="313" ht="18" customHeight="1"/>
    <row r="314" ht="18" customHeight="1"/>
    <row r="315" ht="18" customHeight="1"/>
    <row r="316" ht="18" customHeight="1"/>
    <row r="317" ht="18" customHeight="1"/>
    <row r="318" ht="18" customHeight="1"/>
    <row r="319" ht="18" customHeight="1"/>
    <row r="320" ht="18" customHeight="1"/>
    <row r="321" ht="18" customHeight="1"/>
    <row r="322" ht="18" customHeight="1"/>
    <row r="323" ht="18" customHeight="1"/>
    <row r="324" ht="18" customHeight="1"/>
    <row r="325" ht="18" customHeight="1"/>
    <row r="326" ht="18" customHeight="1"/>
    <row r="327" ht="18" customHeight="1"/>
    <row r="328" ht="18" customHeight="1"/>
    <row r="329" ht="18" customHeight="1"/>
    <row r="330" ht="18" customHeight="1"/>
    <row r="331" ht="18" customHeight="1"/>
    <row r="332" ht="18" customHeight="1"/>
    <row r="333" ht="18" customHeight="1"/>
    <row r="334" ht="18" customHeight="1"/>
    <row r="335" ht="18" customHeight="1"/>
    <row r="336" ht="18" customHeight="1"/>
    <row r="337" ht="18" customHeight="1"/>
    <row r="338" ht="18" customHeight="1"/>
    <row r="339" ht="18" customHeight="1"/>
    <row r="340" ht="18" customHeight="1"/>
    <row r="341" ht="18" customHeight="1"/>
    <row r="342" ht="18" customHeight="1"/>
    <row r="343" ht="18" customHeight="1"/>
    <row r="344" ht="18" customHeight="1"/>
    <row r="345" ht="18" customHeight="1"/>
    <row r="346" ht="18" customHeight="1"/>
    <row r="347" ht="18" customHeight="1"/>
    <row r="348" ht="18" customHeight="1"/>
    <row r="349" ht="18" customHeight="1"/>
    <row r="350" ht="18" customHeight="1"/>
    <row r="351" ht="18" customHeight="1"/>
    <row r="352" ht="18" customHeight="1"/>
    <row r="353" ht="18" customHeight="1"/>
    <row r="354" ht="18" customHeight="1"/>
    <row r="355" ht="18" customHeight="1"/>
    <row r="356" ht="18" customHeight="1"/>
    <row r="357" ht="18" customHeight="1"/>
    <row r="358" ht="18" customHeight="1"/>
    <row r="359" ht="18" customHeight="1"/>
    <row r="360" ht="18" customHeight="1"/>
    <row r="361" ht="18" customHeight="1"/>
    <row r="362" ht="18" customHeight="1"/>
    <row r="363" ht="18" customHeight="1"/>
    <row r="364" ht="18" customHeight="1"/>
    <row r="365" ht="18" customHeight="1"/>
    <row r="366" ht="18" customHeight="1"/>
    <row r="367" ht="18" customHeight="1"/>
    <row r="368" ht="18" customHeight="1"/>
    <row r="369" ht="18" customHeight="1"/>
    <row r="370" ht="18" customHeight="1"/>
    <row r="371" ht="18" customHeight="1"/>
    <row r="372" ht="18" customHeight="1"/>
    <row r="373" ht="18" customHeight="1"/>
    <row r="374" ht="18" customHeight="1"/>
    <row r="375" ht="18" customHeight="1"/>
    <row r="376" ht="18" customHeight="1"/>
    <row r="377" ht="18" customHeight="1"/>
    <row r="378" ht="18" customHeight="1"/>
    <row r="379" ht="18" customHeight="1"/>
    <row r="380" ht="18" customHeight="1"/>
    <row r="381" ht="18" customHeight="1"/>
    <row r="382" ht="18" customHeight="1"/>
    <row r="383" ht="18" customHeight="1"/>
    <row r="384" ht="18" customHeight="1"/>
    <row r="385" ht="18" customHeight="1"/>
    <row r="386" ht="18" customHeight="1"/>
    <row r="387" ht="18" customHeight="1"/>
    <row r="388" ht="18" customHeight="1"/>
    <row r="389" ht="18" customHeight="1"/>
    <row r="390" ht="18" customHeight="1"/>
    <row r="391" ht="18" customHeight="1"/>
    <row r="392" ht="18" customHeight="1"/>
    <row r="393" ht="18" customHeight="1"/>
    <row r="394" ht="18" customHeight="1"/>
    <row r="395" ht="18" customHeight="1"/>
    <row r="396" ht="18" customHeight="1"/>
    <row r="397" ht="18" customHeight="1"/>
    <row r="398" ht="18" customHeight="1"/>
    <row r="399" ht="18" customHeight="1"/>
    <row r="400" ht="18" customHeight="1"/>
    <row r="401" ht="18" customHeight="1"/>
    <row r="402" ht="18" customHeight="1"/>
    <row r="403" ht="18" customHeight="1"/>
    <row r="404" ht="18" customHeight="1"/>
    <row r="405" ht="18" customHeight="1"/>
    <row r="406" ht="18" customHeight="1"/>
    <row r="407" ht="18" customHeight="1"/>
    <row r="408" ht="18" customHeight="1"/>
    <row r="409" ht="18" customHeight="1"/>
    <row r="410" ht="18" customHeight="1"/>
    <row r="411" ht="18" customHeight="1"/>
    <row r="412" ht="18" customHeight="1"/>
    <row r="413" ht="18" customHeight="1"/>
    <row r="414" ht="18" customHeight="1"/>
    <row r="415" ht="18" customHeight="1"/>
    <row r="416" ht="18" customHeight="1"/>
    <row r="417" ht="18" customHeight="1"/>
    <row r="418" ht="18" customHeight="1"/>
    <row r="419" ht="18" customHeight="1"/>
    <row r="420" ht="18" customHeight="1"/>
    <row r="421" ht="18" customHeight="1"/>
    <row r="422" ht="18" customHeight="1"/>
    <row r="423" ht="18" customHeight="1"/>
    <row r="424" ht="18" customHeight="1"/>
    <row r="425" ht="18" customHeight="1"/>
    <row r="426" ht="18" customHeight="1"/>
    <row r="427" ht="18" customHeight="1"/>
    <row r="428" ht="18" customHeight="1"/>
    <row r="429" ht="18" customHeight="1"/>
    <row r="430" ht="18" customHeight="1"/>
    <row r="431" ht="18" customHeight="1"/>
    <row r="432" ht="18" customHeight="1"/>
    <row r="433" ht="18" customHeight="1"/>
    <row r="434" ht="18" customHeight="1"/>
    <row r="435" ht="18" customHeight="1"/>
    <row r="436" ht="18" customHeight="1"/>
    <row r="437" ht="18" customHeight="1"/>
    <row r="438" ht="18" customHeight="1"/>
    <row r="439" ht="18" customHeight="1"/>
    <row r="440" ht="18" customHeight="1"/>
    <row r="441" ht="18" customHeight="1"/>
    <row r="442" ht="18" customHeight="1"/>
    <row r="443" ht="18" customHeight="1"/>
    <row r="444" ht="18" customHeight="1"/>
    <row r="445" ht="18" customHeight="1"/>
    <row r="446" ht="18" customHeight="1"/>
    <row r="447" ht="18" customHeight="1"/>
    <row r="448" ht="18" customHeight="1"/>
    <row r="449" ht="18" customHeight="1"/>
    <row r="450" ht="18" customHeight="1"/>
    <row r="451" ht="18" customHeight="1"/>
    <row r="452" ht="18" customHeight="1"/>
    <row r="453" ht="18" customHeight="1"/>
    <row r="454" ht="18" customHeight="1"/>
    <row r="455" ht="18" customHeight="1"/>
    <row r="456" ht="18" customHeight="1"/>
    <row r="457" ht="18" customHeight="1"/>
    <row r="458" ht="18" customHeight="1"/>
    <row r="459" ht="18" customHeight="1"/>
    <row r="460" ht="18" customHeight="1"/>
    <row r="461" ht="18" customHeight="1"/>
    <row r="462" ht="18" customHeight="1"/>
    <row r="463" ht="18" customHeight="1"/>
    <row r="464" ht="18" customHeight="1"/>
    <row r="465" ht="18" customHeight="1"/>
    <row r="466" ht="18" customHeight="1"/>
    <row r="467" ht="18" customHeight="1"/>
    <row r="468" ht="18" customHeight="1"/>
    <row r="469" ht="18" customHeight="1"/>
    <row r="470" ht="18" customHeight="1"/>
    <row r="471" ht="18" customHeight="1"/>
    <row r="472" ht="18" customHeight="1"/>
    <row r="473" ht="18" customHeight="1"/>
    <row r="474" ht="18" customHeight="1"/>
    <row r="475" ht="18" customHeight="1"/>
    <row r="476" ht="18" customHeight="1"/>
    <row r="477" ht="18" customHeight="1"/>
    <row r="478" ht="18" customHeight="1"/>
    <row r="479" ht="18" customHeight="1"/>
    <row r="480" ht="18" customHeight="1"/>
    <row r="481" ht="18" customHeight="1"/>
    <row r="482" ht="18" customHeight="1"/>
    <row r="483" ht="18" customHeight="1"/>
    <row r="484" ht="18" customHeight="1"/>
    <row r="485" ht="18" customHeight="1"/>
    <row r="486" ht="18" customHeight="1"/>
    <row r="487" ht="18" customHeight="1"/>
    <row r="488" ht="18" customHeight="1"/>
    <row r="489" ht="18" customHeight="1"/>
    <row r="490" ht="18" customHeight="1"/>
    <row r="491" ht="18" customHeight="1"/>
    <row r="492" ht="18" customHeight="1"/>
    <row r="493" ht="18" customHeight="1"/>
    <row r="494" ht="18" customHeight="1"/>
    <row r="495" ht="18" customHeight="1"/>
    <row r="496" ht="18" customHeight="1"/>
    <row r="497" ht="18" customHeight="1"/>
    <row r="498" ht="18" customHeight="1"/>
    <row r="499" ht="18" customHeight="1"/>
    <row r="500" ht="18" customHeight="1"/>
    <row r="501" ht="18" customHeight="1"/>
    <row r="502" ht="18" customHeight="1"/>
    <row r="503" ht="18" customHeight="1"/>
    <row r="504" ht="18" customHeight="1"/>
    <row r="505" ht="18" customHeight="1"/>
    <row r="506" ht="18" customHeight="1"/>
    <row r="507" ht="18" customHeight="1"/>
    <row r="508" ht="18" customHeight="1"/>
    <row r="509" ht="18" customHeight="1"/>
    <row r="510" ht="18" customHeight="1"/>
    <row r="511" ht="18" customHeight="1"/>
    <row r="512" ht="18" customHeight="1"/>
    <row r="513" ht="18" customHeight="1"/>
    <row r="514" ht="18" customHeight="1"/>
    <row r="515" ht="18" customHeight="1"/>
    <row r="516" ht="18" customHeight="1"/>
    <row r="517" ht="18" customHeight="1"/>
    <row r="518" ht="18" customHeight="1"/>
    <row r="519" ht="18" customHeight="1"/>
    <row r="520" ht="18" customHeight="1"/>
    <row r="521" ht="18" customHeight="1"/>
    <row r="522" ht="18" customHeight="1"/>
    <row r="523" ht="18" customHeight="1"/>
    <row r="524" ht="18" customHeight="1"/>
    <row r="525" ht="18" customHeight="1"/>
    <row r="526" ht="18" customHeight="1"/>
    <row r="527" ht="18" customHeight="1"/>
    <row r="528" ht="18" customHeight="1"/>
    <row r="529" ht="18" customHeight="1"/>
    <row r="530" ht="18" customHeight="1"/>
    <row r="531" ht="18" customHeight="1"/>
    <row r="532" ht="18" customHeight="1"/>
    <row r="533" ht="18" customHeight="1"/>
    <row r="534" ht="18" customHeight="1"/>
    <row r="535" ht="18" customHeight="1"/>
    <row r="536" ht="18" customHeight="1"/>
    <row r="537" ht="18" customHeight="1"/>
    <row r="538" ht="18" customHeight="1"/>
    <row r="539" ht="18" customHeight="1"/>
    <row r="540" ht="18" customHeight="1"/>
    <row r="541" ht="18" customHeight="1"/>
    <row r="542" ht="18" customHeight="1"/>
    <row r="543" ht="18" customHeight="1"/>
    <row r="544" ht="18" customHeight="1"/>
    <row r="545" ht="18" customHeight="1"/>
    <row r="546" ht="18" customHeight="1"/>
    <row r="547" ht="18" customHeight="1"/>
    <row r="548" ht="18" customHeight="1"/>
    <row r="549" ht="18" customHeight="1"/>
    <row r="550" ht="18" customHeight="1"/>
    <row r="551" ht="18" customHeight="1"/>
    <row r="552" ht="18" customHeight="1"/>
    <row r="553" ht="18" customHeight="1"/>
    <row r="554" ht="18" customHeight="1"/>
    <row r="555" ht="18" customHeight="1"/>
    <row r="556" ht="18" customHeight="1"/>
    <row r="557" ht="18" customHeight="1"/>
    <row r="558" ht="18" customHeight="1"/>
    <row r="559" ht="18" customHeight="1"/>
    <row r="560" ht="18" customHeight="1"/>
    <row r="561" ht="18" customHeight="1"/>
    <row r="562" ht="18" customHeight="1"/>
    <row r="563" ht="18" customHeight="1"/>
    <row r="564" ht="18" customHeight="1"/>
    <row r="565" ht="18" customHeight="1"/>
    <row r="566" ht="18" customHeight="1"/>
    <row r="567" ht="18" customHeight="1"/>
    <row r="568" ht="18" customHeight="1"/>
    <row r="569" ht="18" customHeight="1"/>
    <row r="570" ht="18" customHeight="1"/>
    <row r="571" ht="18" customHeight="1"/>
    <row r="572" ht="18" customHeight="1"/>
    <row r="573" ht="18" customHeight="1"/>
    <row r="574" ht="18" customHeight="1"/>
    <row r="575" ht="18" customHeight="1"/>
    <row r="576" ht="18" customHeight="1"/>
    <row r="577" ht="18" customHeight="1"/>
    <row r="578" ht="18" customHeight="1"/>
    <row r="579" ht="18" customHeight="1"/>
    <row r="580" ht="18" customHeight="1"/>
    <row r="581" ht="18" customHeight="1"/>
    <row r="582" ht="18" customHeight="1"/>
    <row r="583" ht="18" customHeight="1"/>
    <row r="584" ht="18" customHeight="1"/>
    <row r="585" ht="18" customHeight="1"/>
    <row r="586" ht="18" customHeight="1"/>
    <row r="587" ht="18" customHeight="1"/>
    <row r="588" ht="18" customHeight="1"/>
    <row r="589" ht="18" customHeight="1"/>
    <row r="590" ht="18" customHeight="1"/>
    <row r="591" ht="18" customHeight="1"/>
    <row r="592" ht="18" customHeight="1"/>
    <row r="593" ht="18" customHeight="1"/>
    <row r="594" ht="18" customHeight="1"/>
    <row r="595" ht="18" customHeight="1"/>
    <row r="596" ht="18" customHeight="1"/>
    <row r="597" ht="18" customHeight="1"/>
    <row r="598" ht="18" customHeight="1"/>
    <row r="599" ht="18" customHeight="1"/>
    <row r="600" ht="18" customHeight="1"/>
  </sheetData>
  <sheetProtection algorithmName="SHA-512" hashValue="+r+VQa7P2lCNZr5dGar0KSs8fszPhB7bw6qemdJvEFNhrA7L1lf9fHuyVd9/1VoonEeDh1NgnuSUlUn62TYdFw==" saltValue="6nwmZg1uYu138sknq59sJQ==" spinCount="100000" sheet="1" objects="1" scenarios="1"/>
  <mergeCells count="2">
    <mergeCell ref="B2:P2"/>
    <mergeCell ref="F31:P31"/>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3E0AC0-9EF2-4383-BE22-19B09BE0C498}">
  <sheetPr>
    <tabColor theme="1"/>
  </sheetPr>
  <dimension ref="A1:HU508"/>
  <sheetViews>
    <sheetView showGridLines="0" tabSelected="1" zoomScaleNormal="100" workbookViewId="0">
      <selection activeCell="J95" sqref="J95"/>
    </sheetView>
  </sheetViews>
  <sheetFormatPr defaultColWidth="8.69921875" defaultRowHeight="15"/>
  <cols>
    <col min="1" max="1" width="4.19921875" style="88" customWidth="1"/>
    <col min="2" max="2" width="4.19921875" style="25" customWidth="1"/>
    <col min="3" max="5" width="3.19921875" style="25" customWidth="1"/>
    <col min="6" max="6" width="109.5" style="89" customWidth="1"/>
    <col min="7" max="7" width="4.19921875" style="25" customWidth="1"/>
    <col min="8" max="26" width="8.69921875" style="25"/>
    <col min="27" max="229" width="8.69921875" style="2"/>
    <col min="230" max="16384" width="8.69921875" style="25"/>
  </cols>
  <sheetData>
    <row r="1" spans="1:229" s="2" customFormat="1" ht="19.95" customHeight="1">
      <c r="A1" s="250"/>
      <c r="B1" s="242"/>
      <c r="C1" s="242"/>
      <c r="D1" s="251"/>
      <c r="E1" s="242"/>
      <c r="F1" s="242"/>
      <c r="G1" s="242"/>
      <c r="H1" s="242"/>
      <c r="I1" s="242"/>
      <c r="J1" s="242"/>
      <c r="K1" s="242"/>
      <c r="L1" s="242"/>
      <c r="M1" s="242"/>
      <c r="N1" s="242"/>
      <c r="O1" s="242"/>
      <c r="P1" s="242"/>
      <c r="Q1" s="242"/>
      <c r="R1" s="242"/>
      <c r="S1" s="242"/>
      <c r="T1" s="242"/>
      <c r="U1" s="242"/>
      <c r="V1" s="242"/>
      <c r="W1" s="242"/>
      <c r="X1" s="242"/>
      <c r="Y1" s="242"/>
      <c r="Z1" s="145"/>
      <c r="AA1" s="252"/>
      <c r="AB1" s="252"/>
      <c r="AC1" s="252"/>
      <c r="AD1" s="252"/>
      <c r="AE1" s="252"/>
      <c r="AF1" s="252"/>
      <c r="AG1" s="252"/>
      <c r="AH1" s="252"/>
      <c r="AI1" s="252"/>
      <c r="AJ1" s="252"/>
      <c r="AK1" s="252"/>
      <c r="AL1" s="252"/>
      <c r="AM1" s="252"/>
      <c r="AN1" s="252"/>
      <c r="AO1" s="252"/>
      <c r="AP1" s="252"/>
      <c r="AQ1" s="252"/>
      <c r="AR1" s="252"/>
      <c r="AS1" s="252"/>
      <c r="AT1" s="252"/>
      <c r="AU1" s="252"/>
      <c r="AV1" s="252"/>
      <c r="AW1" s="252"/>
      <c r="AX1" s="252"/>
      <c r="AY1" s="252"/>
      <c r="AZ1" s="252"/>
      <c r="BA1" s="252"/>
      <c r="BB1" s="252"/>
      <c r="BC1" s="252"/>
      <c r="BD1" s="252"/>
      <c r="BE1" s="252"/>
      <c r="BF1" s="252"/>
      <c r="BG1" s="252"/>
      <c r="BH1" s="252"/>
      <c r="BI1" s="252"/>
      <c r="BJ1" s="252"/>
      <c r="BK1" s="252"/>
      <c r="BL1" s="252"/>
      <c r="BM1" s="252"/>
      <c r="BN1" s="252"/>
      <c r="BO1" s="252"/>
      <c r="BP1" s="252"/>
      <c r="BQ1" s="252"/>
      <c r="BR1" s="252"/>
      <c r="BS1" s="252"/>
      <c r="BT1" s="252"/>
      <c r="BU1" s="252"/>
      <c r="BV1" s="252"/>
      <c r="BW1" s="252"/>
      <c r="BX1" s="252"/>
      <c r="BY1" s="252"/>
      <c r="BZ1" s="252"/>
      <c r="CA1" s="252"/>
      <c r="CB1" s="252"/>
      <c r="CC1" s="252"/>
      <c r="CD1" s="252"/>
      <c r="CE1" s="252"/>
      <c r="CF1" s="252"/>
      <c r="CG1" s="252"/>
      <c r="CH1" s="252"/>
      <c r="CI1" s="252"/>
      <c r="CJ1" s="252"/>
      <c r="CK1" s="252"/>
      <c r="CL1" s="252"/>
      <c r="CM1" s="252"/>
      <c r="CN1" s="252"/>
      <c r="CO1" s="252"/>
      <c r="CP1" s="252"/>
      <c r="CQ1" s="252"/>
      <c r="CR1" s="252"/>
      <c r="CS1" s="252"/>
      <c r="CT1" s="252"/>
      <c r="CU1" s="252"/>
      <c r="CV1" s="252"/>
      <c r="CW1" s="252"/>
      <c r="CX1" s="252"/>
      <c r="CY1" s="252"/>
      <c r="CZ1" s="252"/>
      <c r="DA1" s="252"/>
      <c r="DB1" s="252"/>
      <c r="DC1" s="252"/>
      <c r="DD1" s="252"/>
      <c r="DE1" s="252"/>
      <c r="DF1" s="252"/>
      <c r="DG1" s="252"/>
      <c r="DH1" s="252"/>
      <c r="DI1" s="252"/>
      <c r="DJ1" s="252"/>
      <c r="DK1" s="252"/>
      <c r="DL1" s="252"/>
      <c r="DM1" s="252"/>
      <c r="DN1" s="252"/>
      <c r="DO1" s="252"/>
      <c r="DP1" s="252"/>
      <c r="DQ1" s="252"/>
      <c r="DR1" s="252"/>
      <c r="DS1" s="252"/>
      <c r="DT1" s="252"/>
      <c r="DU1" s="252"/>
      <c r="DV1" s="252"/>
      <c r="DW1" s="252"/>
      <c r="DX1" s="252"/>
      <c r="DY1" s="252"/>
      <c r="DZ1" s="252"/>
      <c r="EA1" s="252"/>
      <c r="EB1" s="252"/>
      <c r="EC1" s="252"/>
      <c r="ED1" s="252"/>
      <c r="EE1" s="252"/>
      <c r="EF1" s="252"/>
      <c r="EG1" s="252"/>
      <c r="EH1" s="252"/>
      <c r="EI1" s="252"/>
      <c r="EJ1" s="252"/>
      <c r="EK1" s="252"/>
      <c r="EL1" s="252"/>
      <c r="EM1" s="252"/>
      <c r="EN1" s="252"/>
      <c r="EO1" s="252"/>
      <c r="EP1" s="252"/>
      <c r="EQ1" s="252"/>
      <c r="ER1" s="252"/>
      <c r="ES1" s="252"/>
      <c r="ET1" s="252"/>
      <c r="EU1" s="252"/>
      <c r="EV1" s="252"/>
      <c r="EW1" s="252"/>
      <c r="EX1" s="252"/>
      <c r="EY1" s="252"/>
      <c r="EZ1" s="252"/>
      <c r="FA1" s="252"/>
      <c r="FB1" s="252"/>
      <c r="FC1" s="252"/>
      <c r="FD1" s="252"/>
      <c r="FE1" s="252"/>
      <c r="FF1" s="252"/>
      <c r="FG1" s="252"/>
      <c r="FH1" s="252"/>
      <c r="FI1" s="252"/>
      <c r="FJ1" s="252"/>
      <c r="FK1" s="252"/>
      <c r="FL1" s="252"/>
      <c r="FM1" s="252"/>
      <c r="FN1" s="252"/>
      <c r="FO1" s="252"/>
      <c r="FP1" s="252"/>
      <c r="FQ1" s="252"/>
      <c r="FR1" s="252"/>
      <c r="FS1" s="252"/>
      <c r="FT1" s="252"/>
      <c r="FU1" s="252"/>
      <c r="FV1" s="252"/>
      <c r="FW1" s="252"/>
      <c r="FX1" s="252"/>
      <c r="FY1" s="252"/>
      <c r="FZ1" s="252"/>
      <c r="GA1" s="252"/>
      <c r="GB1" s="252"/>
      <c r="GC1" s="252"/>
      <c r="GD1" s="252"/>
      <c r="GE1" s="252"/>
      <c r="GF1" s="252"/>
      <c r="GG1" s="252"/>
      <c r="GH1" s="252"/>
      <c r="GI1" s="252"/>
      <c r="GJ1" s="252"/>
      <c r="GK1" s="252"/>
      <c r="GL1" s="252"/>
      <c r="GM1" s="252"/>
      <c r="GN1" s="252"/>
      <c r="GO1" s="252"/>
      <c r="GP1" s="252"/>
      <c r="GQ1" s="252"/>
      <c r="GR1" s="252"/>
      <c r="GS1" s="252"/>
      <c r="GT1" s="252"/>
      <c r="GU1" s="252"/>
      <c r="GV1" s="252"/>
      <c r="GW1" s="252"/>
      <c r="GX1" s="252"/>
      <c r="GY1" s="252"/>
      <c r="GZ1" s="252"/>
      <c r="HA1" s="252"/>
      <c r="HB1" s="252"/>
      <c r="HC1" s="252"/>
      <c r="HD1" s="252"/>
      <c r="HE1" s="252"/>
      <c r="HF1" s="252"/>
      <c r="HG1" s="252"/>
      <c r="HH1" s="252"/>
      <c r="HI1" s="252"/>
      <c r="HJ1" s="252"/>
      <c r="HK1" s="252"/>
      <c r="HL1" s="252"/>
      <c r="HM1" s="252"/>
      <c r="HN1" s="252"/>
      <c r="HO1" s="252"/>
      <c r="HP1" s="252"/>
      <c r="HQ1" s="252"/>
      <c r="HR1" s="252"/>
      <c r="HS1" s="252"/>
      <c r="HT1" s="252"/>
      <c r="HU1" s="252"/>
    </row>
    <row r="2" spans="1:229" s="2" customFormat="1" ht="94.95" customHeight="1">
      <c r="A2" s="250"/>
      <c r="B2" s="338" t="s">
        <v>379</v>
      </c>
      <c r="C2" s="339"/>
      <c r="D2" s="339"/>
      <c r="E2" s="339"/>
      <c r="F2" s="339"/>
      <c r="G2" s="340"/>
      <c r="H2" s="242"/>
      <c r="I2" s="242"/>
      <c r="J2" s="242"/>
      <c r="K2" s="242"/>
      <c r="L2" s="242"/>
      <c r="M2" s="242"/>
      <c r="N2" s="242"/>
      <c r="O2" s="242"/>
      <c r="P2" s="242"/>
      <c r="Q2" s="242"/>
      <c r="R2" s="242"/>
      <c r="S2" s="242"/>
      <c r="T2" s="242"/>
      <c r="U2" s="242"/>
      <c r="V2" s="242"/>
      <c r="W2" s="242"/>
      <c r="X2" s="242"/>
      <c r="Y2" s="242"/>
      <c r="Z2" s="242"/>
      <c r="AA2" s="252"/>
      <c r="AB2" s="252"/>
      <c r="AC2" s="252"/>
      <c r="AD2" s="252"/>
      <c r="AE2" s="252"/>
      <c r="AF2" s="252"/>
      <c r="AG2" s="252"/>
      <c r="AH2" s="252"/>
      <c r="AI2" s="252"/>
      <c r="AJ2" s="252"/>
      <c r="AK2" s="252"/>
      <c r="AL2" s="252"/>
      <c r="AM2" s="252"/>
      <c r="AN2" s="252"/>
      <c r="AO2" s="252"/>
      <c r="AP2" s="252"/>
      <c r="AQ2" s="252"/>
      <c r="AR2" s="252"/>
      <c r="AS2" s="252"/>
      <c r="AT2" s="252"/>
      <c r="AU2" s="252"/>
      <c r="AV2" s="252"/>
      <c r="AW2" s="252"/>
      <c r="AX2" s="252"/>
      <c r="AY2" s="252"/>
      <c r="AZ2" s="252"/>
      <c r="BA2" s="252"/>
      <c r="BB2" s="252"/>
      <c r="BC2" s="252"/>
      <c r="BD2" s="252"/>
      <c r="BE2" s="252"/>
      <c r="BF2" s="252"/>
      <c r="BG2" s="252"/>
      <c r="BH2" s="252"/>
      <c r="BI2" s="252"/>
      <c r="BJ2" s="252"/>
      <c r="BK2" s="252"/>
      <c r="BL2" s="252"/>
      <c r="BM2" s="252"/>
      <c r="BN2" s="252"/>
      <c r="BO2" s="252"/>
      <c r="BP2" s="252"/>
      <c r="BQ2" s="252"/>
      <c r="BR2" s="252"/>
      <c r="BS2" s="252"/>
      <c r="BT2" s="252"/>
      <c r="BU2" s="252"/>
      <c r="BV2" s="252"/>
      <c r="BW2" s="252"/>
      <c r="BX2" s="252"/>
      <c r="BY2" s="252"/>
      <c r="BZ2" s="252"/>
      <c r="CA2" s="252"/>
      <c r="CB2" s="252"/>
      <c r="CC2" s="252"/>
      <c r="CD2" s="252"/>
      <c r="CE2" s="252"/>
      <c r="CF2" s="252"/>
      <c r="CG2" s="252"/>
      <c r="CH2" s="252"/>
      <c r="CI2" s="252"/>
      <c r="CJ2" s="252"/>
      <c r="CK2" s="252"/>
      <c r="CL2" s="252"/>
      <c r="CM2" s="252"/>
      <c r="CN2" s="252"/>
      <c r="CO2" s="252"/>
      <c r="CP2" s="252"/>
      <c r="CQ2" s="252"/>
      <c r="CR2" s="252"/>
      <c r="CS2" s="252"/>
      <c r="CT2" s="252"/>
      <c r="CU2" s="252"/>
      <c r="CV2" s="252"/>
      <c r="CW2" s="252"/>
      <c r="CX2" s="252"/>
      <c r="CY2" s="252"/>
      <c r="CZ2" s="252"/>
      <c r="DA2" s="252"/>
      <c r="DB2" s="252"/>
      <c r="DC2" s="252"/>
      <c r="DD2" s="252"/>
      <c r="DE2" s="252"/>
      <c r="DF2" s="252"/>
      <c r="DG2" s="252"/>
      <c r="DH2" s="252"/>
      <c r="DI2" s="252"/>
      <c r="DJ2" s="252"/>
      <c r="DK2" s="252"/>
      <c r="DL2" s="252"/>
      <c r="DM2" s="252"/>
      <c r="DN2" s="252"/>
      <c r="DO2" s="252"/>
      <c r="DP2" s="252"/>
      <c r="DQ2" s="252"/>
      <c r="DR2" s="252"/>
      <c r="DS2" s="252"/>
      <c r="DT2" s="252"/>
      <c r="DU2" s="252"/>
      <c r="DV2" s="252"/>
      <c r="DW2" s="252"/>
      <c r="DX2" s="252"/>
      <c r="DY2" s="252"/>
      <c r="DZ2" s="252"/>
      <c r="EA2" s="252"/>
      <c r="EB2" s="252"/>
      <c r="EC2" s="252"/>
      <c r="ED2" s="252"/>
      <c r="EE2" s="252"/>
      <c r="EF2" s="252"/>
      <c r="EG2" s="252"/>
      <c r="EH2" s="252"/>
      <c r="EI2" s="252"/>
      <c r="EJ2" s="252"/>
      <c r="EK2" s="252"/>
      <c r="EL2" s="252"/>
      <c r="EM2" s="252"/>
      <c r="EN2" s="252"/>
      <c r="EO2" s="252"/>
      <c r="EP2" s="252"/>
      <c r="EQ2" s="252"/>
      <c r="ER2" s="252"/>
      <c r="ES2" s="252"/>
      <c r="ET2" s="252"/>
      <c r="EU2" s="252"/>
      <c r="EV2" s="252"/>
      <c r="EW2" s="252"/>
      <c r="EX2" s="252"/>
      <c r="EY2" s="252"/>
      <c r="EZ2" s="252"/>
      <c r="FA2" s="252"/>
      <c r="FB2" s="252"/>
      <c r="FC2" s="252"/>
      <c r="FD2" s="252"/>
      <c r="FE2" s="252"/>
      <c r="FF2" s="252"/>
      <c r="FG2" s="252"/>
      <c r="FH2" s="252"/>
      <c r="FI2" s="252"/>
      <c r="FJ2" s="252"/>
      <c r="FK2" s="252"/>
      <c r="FL2" s="252"/>
      <c r="FM2" s="252"/>
      <c r="FN2" s="252"/>
      <c r="FO2" s="252"/>
      <c r="FP2" s="252"/>
      <c r="FQ2" s="252"/>
      <c r="FR2" s="252"/>
      <c r="FS2" s="252"/>
      <c r="FT2" s="252"/>
      <c r="FU2" s="252"/>
      <c r="FV2" s="252"/>
      <c r="FW2" s="252"/>
      <c r="FX2" s="252"/>
      <c r="FY2" s="252"/>
      <c r="FZ2" s="252"/>
      <c r="GA2" s="252"/>
      <c r="GB2" s="252"/>
      <c r="GC2" s="252"/>
      <c r="GD2" s="252"/>
      <c r="GE2" s="252"/>
      <c r="GF2" s="252"/>
      <c r="GG2" s="252"/>
      <c r="GH2" s="252"/>
      <c r="GI2" s="252"/>
      <c r="GJ2" s="252"/>
      <c r="GK2" s="252"/>
      <c r="GL2" s="252"/>
      <c r="GM2" s="252"/>
      <c r="GN2" s="252"/>
      <c r="GO2" s="252"/>
      <c r="GP2" s="252"/>
      <c r="GQ2" s="252"/>
      <c r="GR2" s="252"/>
      <c r="GS2" s="252"/>
      <c r="GT2" s="252"/>
      <c r="GU2" s="252"/>
      <c r="GV2" s="252"/>
      <c r="GW2" s="252"/>
      <c r="GX2" s="252"/>
      <c r="GY2" s="252"/>
      <c r="GZ2" s="252"/>
      <c r="HA2" s="252"/>
      <c r="HB2" s="252"/>
      <c r="HC2" s="252"/>
      <c r="HD2" s="252"/>
      <c r="HE2" s="252"/>
      <c r="HF2" s="252"/>
      <c r="HG2" s="252"/>
      <c r="HH2" s="252"/>
      <c r="HI2" s="252"/>
      <c r="HJ2" s="252"/>
      <c r="HK2" s="252"/>
      <c r="HL2" s="252"/>
      <c r="HM2" s="252"/>
      <c r="HN2" s="252"/>
      <c r="HO2" s="252"/>
      <c r="HP2" s="252"/>
      <c r="HQ2" s="252"/>
      <c r="HR2" s="252"/>
      <c r="HS2" s="252"/>
      <c r="HT2" s="252"/>
      <c r="HU2" s="252"/>
    </row>
    <row r="3" spans="1:229" s="2" customFormat="1" ht="18" customHeight="1">
      <c r="A3" s="250"/>
      <c r="B3" s="242"/>
      <c r="C3" s="242"/>
      <c r="D3" s="242"/>
      <c r="E3" s="242"/>
      <c r="F3" s="242"/>
      <c r="G3" s="242"/>
      <c r="H3" s="242"/>
      <c r="I3" s="242"/>
      <c r="J3" s="242"/>
      <c r="K3" s="242"/>
      <c r="L3" s="242"/>
      <c r="M3" s="242"/>
      <c r="N3" s="242"/>
      <c r="O3" s="242"/>
      <c r="P3" s="242"/>
      <c r="Q3" s="242"/>
      <c r="R3" s="242"/>
      <c r="S3" s="242"/>
      <c r="T3" s="242"/>
      <c r="U3" s="242"/>
      <c r="V3" s="242"/>
      <c r="W3" s="242"/>
      <c r="X3" s="242"/>
      <c r="Y3" s="242"/>
      <c r="Z3" s="242"/>
      <c r="AA3" s="252"/>
      <c r="AB3" s="252"/>
      <c r="AC3" s="252"/>
      <c r="AD3" s="252"/>
      <c r="AE3" s="252"/>
      <c r="AF3" s="252"/>
      <c r="AG3" s="252"/>
      <c r="AH3" s="252"/>
      <c r="AI3" s="252"/>
      <c r="AJ3" s="252"/>
      <c r="AK3" s="252"/>
      <c r="AL3" s="252"/>
      <c r="AM3" s="252"/>
      <c r="AN3" s="252"/>
      <c r="AO3" s="252"/>
      <c r="AP3" s="252"/>
      <c r="AQ3" s="252"/>
      <c r="AR3" s="252"/>
      <c r="AS3" s="252"/>
      <c r="AT3" s="252"/>
      <c r="AU3" s="252"/>
      <c r="AV3" s="252"/>
      <c r="AW3" s="252"/>
      <c r="AX3" s="252"/>
      <c r="AY3" s="252"/>
      <c r="AZ3" s="252"/>
      <c r="BA3" s="252"/>
      <c r="BB3" s="252"/>
      <c r="BC3" s="252"/>
      <c r="BD3" s="252"/>
      <c r="BE3" s="252"/>
      <c r="BF3" s="252"/>
      <c r="BG3" s="252"/>
      <c r="BH3" s="252"/>
      <c r="BI3" s="252"/>
      <c r="BJ3" s="252"/>
      <c r="BK3" s="252"/>
      <c r="BL3" s="252"/>
      <c r="BM3" s="252"/>
      <c r="BN3" s="252"/>
      <c r="BO3" s="252"/>
      <c r="BP3" s="252"/>
      <c r="BQ3" s="252"/>
      <c r="BR3" s="252"/>
      <c r="BS3" s="252"/>
      <c r="BT3" s="252"/>
      <c r="BU3" s="252"/>
      <c r="BV3" s="252"/>
      <c r="BW3" s="252"/>
      <c r="BX3" s="252"/>
      <c r="BY3" s="252"/>
      <c r="BZ3" s="252"/>
      <c r="CA3" s="252"/>
      <c r="CB3" s="252"/>
      <c r="CC3" s="252"/>
      <c r="CD3" s="252"/>
      <c r="CE3" s="252"/>
      <c r="CF3" s="252"/>
      <c r="CG3" s="252"/>
      <c r="CH3" s="252"/>
      <c r="CI3" s="252"/>
      <c r="CJ3" s="252"/>
      <c r="CK3" s="252"/>
      <c r="CL3" s="252"/>
      <c r="CM3" s="252"/>
      <c r="CN3" s="252"/>
      <c r="CO3" s="252"/>
      <c r="CP3" s="252"/>
      <c r="CQ3" s="252"/>
      <c r="CR3" s="252"/>
      <c r="CS3" s="252"/>
      <c r="CT3" s="252"/>
      <c r="CU3" s="252"/>
      <c r="CV3" s="252"/>
      <c r="CW3" s="252"/>
      <c r="CX3" s="252"/>
      <c r="CY3" s="252"/>
      <c r="CZ3" s="252"/>
      <c r="DA3" s="252"/>
      <c r="DB3" s="252"/>
      <c r="DC3" s="252"/>
      <c r="DD3" s="252"/>
      <c r="DE3" s="252"/>
      <c r="DF3" s="252"/>
      <c r="DG3" s="252"/>
      <c r="DH3" s="252"/>
      <c r="DI3" s="252"/>
      <c r="DJ3" s="252"/>
      <c r="DK3" s="252"/>
      <c r="DL3" s="252"/>
      <c r="DM3" s="252"/>
      <c r="DN3" s="252"/>
      <c r="DO3" s="252"/>
      <c r="DP3" s="252"/>
      <c r="DQ3" s="252"/>
      <c r="DR3" s="252"/>
      <c r="DS3" s="252"/>
      <c r="DT3" s="252"/>
      <c r="DU3" s="252"/>
      <c r="DV3" s="252"/>
      <c r="DW3" s="252"/>
      <c r="DX3" s="252"/>
      <c r="DY3" s="252"/>
      <c r="DZ3" s="252"/>
      <c r="EA3" s="252"/>
      <c r="EB3" s="252"/>
      <c r="EC3" s="252"/>
      <c r="ED3" s="252"/>
      <c r="EE3" s="252"/>
      <c r="EF3" s="252"/>
      <c r="EG3" s="252"/>
      <c r="EH3" s="252"/>
      <c r="EI3" s="252"/>
      <c r="EJ3" s="252"/>
      <c r="EK3" s="252"/>
      <c r="EL3" s="252"/>
      <c r="EM3" s="252"/>
      <c r="EN3" s="252"/>
      <c r="EO3" s="252"/>
      <c r="EP3" s="252"/>
      <c r="EQ3" s="252"/>
      <c r="ER3" s="252"/>
      <c r="ES3" s="252"/>
      <c r="ET3" s="252"/>
      <c r="EU3" s="252"/>
      <c r="EV3" s="252"/>
      <c r="EW3" s="252"/>
      <c r="EX3" s="252"/>
      <c r="EY3" s="252"/>
      <c r="EZ3" s="252"/>
      <c r="FA3" s="252"/>
      <c r="FB3" s="252"/>
      <c r="FC3" s="252"/>
      <c r="FD3" s="252"/>
      <c r="FE3" s="252"/>
      <c r="FF3" s="252"/>
      <c r="FG3" s="252"/>
      <c r="FH3" s="252"/>
      <c r="FI3" s="252"/>
      <c r="FJ3" s="252"/>
      <c r="FK3" s="252"/>
      <c r="FL3" s="252"/>
      <c r="FM3" s="252"/>
      <c r="FN3" s="252"/>
      <c r="FO3" s="252"/>
      <c r="FP3" s="252"/>
      <c r="FQ3" s="252"/>
      <c r="FR3" s="252"/>
      <c r="FS3" s="252"/>
      <c r="FT3" s="252"/>
      <c r="FU3" s="252"/>
      <c r="FV3" s="252"/>
      <c r="FW3" s="252"/>
      <c r="FX3" s="252"/>
      <c r="FY3" s="252"/>
      <c r="FZ3" s="252"/>
      <c r="GA3" s="252"/>
      <c r="GB3" s="252"/>
      <c r="GC3" s="252"/>
      <c r="GD3" s="252"/>
      <c r="GE3" s="252"/>
      <c r="GF3" s="252"/>
      <c r="GG3" s="252"/>
      <c r="GH3" s="252"/>
      <c r="GI3" s="252"/>
      <c r="GJ3" s="252"/>
      <c r="GK3" s="252"/>
      <c r="GL3" s="252"/>
      <c r="GM3" s="252"/>
      <c r="GN3" s="252"/>
      <c r="GO3" s="252"/>
      <c r="GP3" s="252"/>
      <c r="GQ3" s="252"/>
      <c r="GR3" s="252"/>
      <c r="GS3" s="252"/>
      <c r="GT3" s="252"/>
      <c r="GU3" s="252"/>
      <c r="GV3" s="252"/>
      <c r="GW3" s="252"/>
      <c r="GX3" s="252"/>
      <c r="GY3" s="252"/>
      <c r="GZ3" s="252"/>
      <c r="HA3" s="252"/>
      <c r="HB3" s="252"/>
      <c r="HC3" s="252"/>
      <c r="HD3" s="252"/>
      <c r="HE3" s="252"/>
      <c r="HF3" s="252"/>
      <c r="HG3" s="252"/>
      <c r="HH3" s="252"/>
      <c r="HI3" s="252"/>
      <c r="HJ3" s="252"/>
      <c r="HK3" s="252"/>
      <c r="HL3" s="252"/>
      <c r="HM3" s="252"/>
      <c r="HN3" s="252"/>
      <c r="HO3" s="252"/>
      <c r="HP3" s="252"/>
      <c r="HQ3" s="252"/>
      <c r="HR3" s="252"/>
      <c r="HS3" s="252"/>
      <c r="HT3" s="252"/>
      <c r="HU3" s="252"/>
    </row>
    <row r="4" spans="1:229" s="2" customFormat="1" ht="18" customHeight="1">
      <c r="A4" s="250"/>
      <c r="B4" s="253"/>
      <c r="C4" s="254"/>
      <c r="D4" s="254"/>
      <c r="E4" s="254"/>
      <c r="F4" s="254"/>
      <c r="G4" s="255"/>
      <c r="H4" s="242"/>
      <c r="I4" s="242"/>
      <c r="J4" s="242"/>
      <c r="K4" s="242"/>
      <c r="L4" s="242"/>
      <c r="M4" s="242"/>
      <c r="N4" s="242"/>
      <c r="O4" s="242"/>
      <c r="P4" s="242"/>
      <c r="Q4" s="242"/>
      <c r="R4" s="242"/>
      <c r="S4" s="242"/>
      <c r="T4" s="242"/>
      <c r="U4" s="242"/>
      <c r="V4" s="242"/>
      <c r="W4" s="242"/>
      <c r="X4" s="242"/>
      <c r="Y4" s="242"/>
      <c r="Z4" s="242"/>
      <c r="AA4" s="252"/>
      <c r="AB4" s="252"/>
      <c r="AC4" s="252"/>
      <c r="AD4" s="252"/>
      <c r="AE4" s="252"/>
      <c r="AF4" s="252"/>
      <c r="AG4" s="252"/>
      <c r="AH4" s="252"/>
      <c r="AI4" s="252"/>
      <c r="AJ4" s="252"/>
      <c r="AK4" s="252"/>
      <c r="AL4" s="252"/>
      <c r="AM4" s="252"/>
      <c r="AN4" s="252"/>
      <c r="AO4" s="252"/>
      <c r="AP4" s="252"/>
      <c r="AQ4" s="252"/>
      <c r="AR4" s="252"/>
      <c r="AS4" s="252"/>
      <c r="AT4" s="252"/>
      <c r="AU4" s="252"/>
      <c r="AV4" s="252"/>
      <c r="AW4" s="252"/>
      <c r="AX4" s="252"/>
      <c r="AY4" s="252"/>
      <c r="AZ4" s="252"/>
      <c r="BA4" s="252"/>
      <c r="BB4" s="252"/>
      <c r="BC4" s="252"/>
      <c r="BD4" s="252"/>
      <c r="BE4" s="252"/>
      <c r="BF4" s="252"/>
      <c r="BG4" s="252"/>
      <c r="BH4" s="252"/>
      <c r="BI4" s="252"/>
      <c r="BJ4" s="252"/>
      <c r="BK4" s="252"/>
      <c r="BL4" s="252"/>
      <c r="BM4" s="252"/>
      <c r="BN4" s="252"/>
      <c r="BO4" s="252"/>
      <c r="BP4" s="252"/>
      <c r="BQ4" s="252"/>
      <c r="BR4" s="252"/>
      <c r="BS4" s="252"/>
      <c r="BT4" s="252"/>
      <c r="BU4" s="252"/>
      <c r="BV4" s="252"/>
      <c r="BW4" s="252"/>
      <c r="BX4" s="252"/>
      <c r="BY4" s="252"/>
      <c r="BZ4" s="252"/>
      <c r="CA4" s="252"/>
      <c r="CB4" s="252"/>
      <c r="CC4" s="252"/>
      <c r="CD4" s="252"/>
      <c r="CE4" s="252"/>
      <c r="CF4" s="252"/>
      <c r="CG4" s="252"/>
      <c r="CH4" s="252"/>
      <c r="CI4" s="252"/>
      <c r="CJ4" s="252"/>
      <c r="CK4" s="252"/>
      <c r="CL4" s="252"/>
      <c r="CM4" s="252"/>
      <c r="CN4" s="252"/>
      <c r="CO4" s="252"/>
      <c r="CP4" s="252"/>
      <c r="CQ4" s="252"/>
      <c r="CR4" s="252"/>
      <c r="CS4" s="252"/>
      <c r="CT4" s="252"/>
      <c r="CU4" s="252"/>
      <c r="CV4" s="252"/>
      <c r="CW4" s="252"/>
      <c r="CX4" s="252"/>
      <c r="CY4" s="252"/>
      <c r="CZ4" s="252"/>
      <c r="DA4" s="252"/>
      <c r="DB4" s="252"/>
      <c r="DC4" s="252"/>
      <c r="DD4" s="252"/>
      <c r="DE4" s="252"/>
      <c r="DF4" s="252"/>
      <c r="DG4" s="252"/>
      <c r="DH4" s="252"/>
      <c r="DI4" s="252"/>
      <c r="DJ4" s="252"/>
      <c r="DK4" s="252"/>
      <c r="DL4" s="252"/>
      <c r="DM4" s="252"/>
      <c r="DN4" s="252"/>
      <c r="DO4" s="252"/>
      <c r="DP4" s="252"/>
      <c r="DQ4" s="252"/>
      <c r="DR4" s="252"/>
      <c r="DS4" s="252"/>
      <c r="DT4" s="252"/>
      <c r="DU4" s="252"/>
      <c r="DV4" s="252"/>
      <c r="DW4" s="252"/>
      <c r="DX4" s="252"/>
      <c r="DY4" s="252"/>
      <c r="DZ4" s="252"/>
      <c r="EA4" s="252"/>
      <c r="EB4" s="252"/>
      <c r="EC4" s="252"/>
      <c r="ED4" s="252"/>
      <c r="EE4" s="252"/>
      <c r="EF4" s="252"/>
      <c r="EG4" s="252"/>
      <c r="EH4" s="252"/>
      <c r="EI4" s="252"/>
      <c r="EJ4" s="252"/>
      <c r="EK4" s="252"/>
      <c r="EL4" s="252"/>
      <c r="EM4" s="252"/>
      <c r="EN4" s="252"/>
      <c r="EO4" s="252"/>
      <c r="EP4" s="252"/>
      <c r="EQ4" s="252"/>
      <c r="ER4" s="252"/>
      <c r="ES4" s="252"/>
      <c r="ET4" s="252"/>
      <c r="EU4" s="252"/>
      <c r="EV4" s="252"/>
      <c r="EW4" s="252"/>
      <c r="EX4" s="252"/>
      <c r="EY4" s="252"/>
      <c r="EZ4" s="252"/>
      <c r="FA4" s="252"/>
      <c r="FB4" s="252"/>
      <c r="FC4" s="252"/>
      <c r="FD4" s="252"/>
      <c r="FE4" s="252"/>
      <c r="FF4" s="252"/>
      <c r="FG4" s="252"/>
      <c r="FH4" s="252"/>
      <c r="FI4" s="252"/>
      <c r="FJ4" s="252"/>
      <c r="FK4" s="252"/>
      <c r="FL4" s="252"/>
      <c r="FM4" s="252"/>
      <c r="FN4" s="252"/>
      <c r="FO4" s="252"/>
      <c r="FP4" s="252"/>
      <c r="FQ4" s="252"/>
      <c r="FR4" s="252"/>
      <c r="FS4" s="252"/>
      <c r="FT4" s="252"/>
      <c r="FU4" s="252"/>
      <c r="FV4" s="252"/>
      <c r="FW4" s="252"/>
      <c r="FX4" s="252"/>
      <c r="FY4" s="252"/>
      <c r="FZ4" s="252"/>
      <c r="GA4" s="252"/>
      <c r="GB4" s="252"/>
      <c r="GC4" s="252"/>
      <c r="GD4" s="252"/>
      <c r="GE4" s="252"/>
      <c r="GF4" s="252"/>
      <c r="GG4" s="252"/>
      <c r="GH4" s="252"/>
      <c r="GI4" s="252"/>
      <c r="GJ4" s="252"/>
      <c r="GK4" s="252"/>
      <c r="GL4" s="252"/>
      <c r="GM4" s="252"/>
      <c r="GN4" s="252"/>
      <c r="GO4" s="252"/>
      <c r="GP4" s="252"/>
      <c r="GQ4" s="252"/>
      <c r="GR4" s="252"/>
      <c r="GS4" s="252"/>
      <c r="GT4" s="252"/>
      <c r="GU4" s="252"/>
      <c r="GV4" s="252"/>
      <c r="GW4" s="252"/>
      <c r="GX4" s="252"/>
      <c r="GY4" s="252"/>
      <c r="GZ4" s="252"/>
      <c r="HA4" s="252"/>
      <c r="HB4" s="252"/>
      <c r="HC4" s="252"/>
      <c r="HD4" s="252"/>
      <c r="HE4" s="252"/>
      <c r="HF4" s="252"/>
      <c r="HG4" s="252"/>
      <c r="HH4" s="252"/>
      <c r="HI4" s="252"/>
      <c r="HJ4" s="252"/>
      <c r="HK4" s="252"/>
      <c r="HL4" s="252"/>
      <c r="HM4" s="252"/>
      <c r="HN4" s="252"/>
      <c r="HO4" s="252"/>
      <c r="HP4" s="252"/>
      <c r="HQ4" s="252"/>
      <c r="HR4" s="252"/>
      <c r="HS4" s="252"/>
      <c r="HT4" s="252"/>
      <c r="HU4" s="252"/>
    </row>
    <row r="5" spans="1:229" s="2" customFormat="1" ht="18" customHeight="1">
      <c r="A5" s="250"/>
      <c r="B5" s="3"/>
      <c r="C5" s="114" t="s">
        <v>122</v>
      </c>
      <c r="D5" s="115"/>
      <c r="E5" s="115"/>
      <c r="F5" s="116"/>
      <c r="G5" s="4"/>
      <c r="H5" s="242"/>
      <c r="I5" s="242"/>
      <c r="J5" s="242"/>
      <c r="K5" s="242"/>
      <c r="L5" s="242"/>
      <c r="M5" s="242"/>
      <c r="N5" s="242"/>
      <c r="O5" s="242"/>
      <c r="P5" s="242"/>
      <c r="Q5" s="242"/>
      <c r="R5" s="145"/>
      <c r="S5" s="242"/>
      <c r="T5" s="242"/>
      <c r="U5" s="242"/>
      <c r="V5" s="242"/>
      <c r="W5" s="242"/>
      <c r="X5" s="242"/>
      <c r="Y5" s="242"/>
      <c r="Z5" s="242"/>
      <c r="AA5" s="252"/>
      <c r="AB5" s="252"/>
      <c r="AC5" s="252"/>
      <c r="AD5" s="252"/>
      <c r="AE5" s="252"/>
      <c r="AF5" s="252"/>
      <c r="AG5" s="252"/>
      <c r="AH5" s="252"/>
      <c r="AI5" s="252"/>
      <c r="AJ5" s="252"/>
      <c r="AK5" s="252"/>
      <c r="AL5" s="252"/>
      <c r="AM5" s="252"/>
      <c r="AN5" s="252"/>
      <c r="AO5" s="252"/>
      <c r="AP5" s="252"/>
      <c r="AQ5" s="252"/>
      <c r="AR5" s="252"/>
      <c r="AS5" s="252"/>
      <c r="AT5" s="252"/>
      <c r="AU5" s="252"/>
      <c r="AV5" s="252"/>
      <c r="AW5" s="252"/>
      <c r="AX5" s="252"/>
      <c r="AY5" s="252"/>
      <c r="AZ5" s="252"/>
      <c r="BA5" s="252"/>
      <c r="BB5" s="252"/>
      <c r="BC5" s="252"/>
      <c r="BD5" s="252"/>
      <c r="BE5" s="252"/>
      <c r="BF5" s="252"/>
      <c r="BG5" s="252"/>
      <c r="BH5" s="252"/>
      <c r="BI5" s="252"/>
      <c r="BJ5" s="252"/>
      <c r="BK5" s="252"/>
      <c r="BL5" s="252"/>
      <c r="BM5" s="252"/>
      <c r="BN5" s="252"/>
      <c r="BO5" s="252"/>
      <c r="BP5" s="252"/>
      <c r="BQ5" s="252"/>
      <c r="BR5" s="252"/>
      <c r="BS5" s="252"/>
      <c r="BT5" s="252"/>
      <c r="BU5" s="252"/>
      <c r="BV5" s="252"/>
      <c r="BW5" s="252"/>
      <c r="BX5" s="252"/>
      <c r="BY5" s="252"/>
      <c r="BZ5" s="252"/>
      <c r="CA5" s="252"/>
      <c r="CB5" s="252"/>
      <c r="CC5" s="252"/>
      <c r="CD5" s="252"/>
      <c r="CE5" s="252"/>
      <c r="CF5" s="252"/>
      <c r="CG5" s="252"/>
      <c r="CH5" s="252"/>
      <c r="CI5" s="252"/>
      <c r="CJ5" s="252"/>
      <c r="CK5" s="252"/>
      <c r="CL5" s="252"/>
      <c r="CM5" s="252"/>
      <c r="CN5" s="252"/>
      <c r="CO5" s="252"/>
      <c r="CP5" s="252"/>
      <c r="CQ5" s="252"/>
      <c r="CR5" s="252"/>
      <c r="CS5" s="252"/>
      <c r="CT5" s="252"/>
      <c r="CU5" s="252"/>
      <c r="CV5" s="252"/>
      <c r="CW5" s="252"/>
      <c r="CX5" s="252"/>
      <c r="CY5" s="252"/>
      <c r="CZ5" s="252"/>
      <c r="DA5" s="252"/>
      <c r="DB5" s="252"/>
      <c r="DC5" s="252"/>
      <c r="DD5" s="252"/>
      <c r="DE5" s="252"/>
      <c r="DF5" s="252"/>
      <c r="DG5" s="252"/>
      <c r="DH5" s="252"/>
      <c r="DI5" s="252"/>
      <c r="DJ5" s="252"/>
      <c r="DK5" s="252"/>
      <c r="DL5" s="252"/>
      <c r="DM5" s="252"/>
      <c r="DN5" s="252"/>
      <c r="DO5" s="252"/>
      <c r="DP5" s="252"/>
      <c r="DQ5" s="252"/>
      <c r="DR5" s="252"/>
      <c r="DS5" s="252"/>
      <c r="DT5" s="252"/>
      <c r="DU5" s="252"/>
      <c r="DV5" s="252"/>
      <c r="DW5" s="252"/>
      <c r="DX5" s="252"/>
      <c r="DY5" s="252"/>
      <c r="DZ5" s="252"/>
      <c r="EA5" s="252"/>
      <c r="EB5" s="252"/>
      <c r="EC5" s="252"/>
      <c r="ED5" s="252"/>
      <c r="EE5" s="252"/>
      <c r="EF5" s="252"/>
      <c r="EG5" s="252"/>
      <c r="EH5" s="252"/>
      <c r="EI5" s="252"/>
      <c r="EJ5" s="252"/>
      <c r="EK5" s="252"/>
      <c r="EL5" s="252"/>
      <c r="EM5" s="252"/>
      <c r="EN5" s="252"/>
      <c r="EO5" s="252"/>
      <c r="EP5" s="252"/>
      <c r="EQ5" s="252"/>
      <c r="ER5" s="252"/>
      <c r="ES5" s="252"/>
      <c r="ET5" s="252"/>
      <c r="EU5" s="252"/>
      <c r="EV5" s="252"/>
      <c r="EW5" s="252"/>
      <c r="EX5" s="252"/>
      <c r="EY5" s="252"/>
      <c r="EZ5" s="252"/>
      <c r="FA5" s="252"/>
      <c r="FB5" s="252"/>
      <c r="FC5" s="252"/>
      <c r="FD5" s="252"/>
      <c r="FE5" s="252"/>
      <c r="FF5" s="252"/>
      <c r="FG5" s="252"/>
      <c r="FH5" s="252"/>
      <c r="FI5" s="252"/>
      <c r="FJ5" s="252"/>
      <c r="FK5" s="252"/>
      <c r="FL5" s="252"/>
      <c r="FM5" s="252"/>
      <c r="FN5" s="252"/>
      <c r="FO5" s="252"/>
      <c r="FP5" s="252"/>
      <c r="FQ5" s="252"/>
      <c r="FR5" s="252"/>
      <c r="FS5" s="252"/>
      <c r="FT5" s="252"/>
      <c r="FU5" s="252"/>
      <c r="FV5" s="252"/>
      <c r="FW5" s="252"/>
      <c r="FX5" s="252"/>
      <c r="FY5" s="252"/>
      <c r="FZ5" s="252"/>
      <c r="GA5" s="252"/>
      <c r="GB5" s="252"/>
      <c r="GC5" s="252"/>
      <c r="GD5" s="252"/>
      <c r="GE5" s="252"/>
      <c r="GF5" s="252"/>
      <c r="GG5" s="252"/>
      <c r="GH5" s="252"/>
      <c r="GI5" s="252"/>
      <c r="GJ5" s="252"/>
      <c r="GK5" s="252"/>
      <c r="GL5" s="252"/>
      <c r="GM5" s="252"/>
      <c r="GN5" s="252"/>
      <c r="GO5" s="252"/>
      <c r="GP5" s="252"/>
      <c r="GQ5" s="252"/>
      <c r="GR5" s="252"/>
      <c r="GS5" s="252"/>
      <c r="GT5" s="252"/>
      <c r="GU5" s="252"/>
      <c r="GV5" s="252"/>
      <c r="GW5" s="252"/>
      <c r="GX5" s="252"/>
      <c r="GY5" s="252"/>
      <c r="GZ5" s="252"/>
      <c r="HA5" s="252"/>
      <c r="HB5" s="252"/>
      <c r="HC5" s="252"/>
      <c r="HD5" s="252"/>
      <c r="HE5" s="252"/>
      <c r="HF5" s="252"/>
      <c r="HG5" s="252"/>
      <c r="HH5" s="252"/>
      <c r="HI5" s="252"/>
      <c r="HJ5" s="252"/>
      <c r="HK5" s="252"/>
      <c r="HL5" s="252"/>
      <c r="HM5" s="252"/>
      <c r="HN5" s="252"/>
      <c r="HO5" s="252"/>
      <c r="HP5" s="252"/>
      <c r="HQ5" s="252"/>
      <c r="HR5" s="252"/>
      <c r="HS5" s="252"/>
      <c r="HT5" s="252"/>
      <c r="HU5" s="252"/>
    </row>
    <row r="6" spans="1:229" s="15" customFormat="1" ht="18" customHeight="1">
      <c r="A6" s="250"/>
      <c r="B6" s="5"/>
      <c r="C6" s="6"/>
      <c r="D6" s="6"/>
      <c r="E6" s="6"/>
      <c r="F6" s="6"/>
      <c r="G6" s="7"/>
      <c r="H6" s="145"/>
      <c r="I6" s="145"/>
      <c r="J6" s="145"/>
      <c r="K6" s="145"/>
      <c r="L6" s="145"/>
      <c r="M6" s="145"/>
      <c r="N6" s="145"/>
      <c r="O6" s="145"/>
      <c r="P6" s="145"/>
      <c r="Q6" s="145"/>
      <c r="R6" s="145"/>
      <c r="S6" s="145"/>
      <c r="T6" s="145"/>
      <c r="U6" s="145"/>
      <c r="V6" s="145"/>
      <c r="W6" s="145"/>
      <c r="X6" s="145"/>
      <c r="Y6" s="145"/>
      <c r="Z6" s="145"/>
    </row>
    <row r="7" spans="1:229" s="207" customFormat="1" ht="18" customHeight="1">
      <c r="A7" s="250"/>
      <c r="B7" s="8"/>
      <c r="C7" s="9"/>
      <c r="D7" s="9" t="s">
        <v>384</v>
      </c>
      <c r="E7" s="9"/>
      <c r="F7" s="9"/>
      <c r="G7" s="169"/>
      <c r="H7" s="205"/>
      <c r="I7" s="205"/>
      <c r="J7" s="205"/>
      <c r="K7" s="205"/>
      <c r="L7" s="205"/>
      <c r="M7" s="205"/>
      <c r="N7" s="205"/>
      <c r="O7" s="205"/>
      <c r="P7" s="205"/>
      <c r="Q7" s="205"/>
      <c r="R7" s="205"/>
      <c r="S7" s="205"/>
      <c r="T7" s="205"/>
      <c r="U7" s="205"/>
      <c r="V7" s="205"/>
      <c r="W7" s="205"/>
      <c r="X7" s="205"/>
      <c r="Y7" s="205"/>
      <c r="Z7" s="205"/>
      <c r="AA7" s="206"/>
      <c r="AB7" s="206"/>
      <c r="AC7" s="206"/>
      <c r="AD7" s="206"/>
      <c r="AE7" s="206"/>
      <c r="AF7" s="206"/>
      <c r="AG7" s="206"/>
      <c r="AH7" s="206"/>
      <c r="AI7" s="206"/>
      <c r="AJ7" s="206"/>
      <c r="AK7" s="206"/>
      <c r="AL7" s="206"/>
      <c r="AM7" s="206"/>
      <c r="AN7" s="206"/>
      <c r="AO7" s="206"/>
      <c r="AP7" s="206"/>
      <c r="AQ7" s="206"/>
      <c r="AR7" s="206"/>
      <c r="AS7" s="206"/>
      <c r="AT7" s="206"/>
      <c r="AU7" s="206"/>
      <c r="AV7" s="206"/>
      <c r="AW7" s="206"/>
      <c r="AX7" s="206"/>
      <c r="AY7" s="206"/>
      <c r="AZ7" s="206"/>
      <c r="BA7" s="206"/>
      <c r="BB7" s="206"/>
      <c r="BC7" s="206"/>
      <c r="BD7" s="206"/>
      <c r="BE7" s="206"/>
      <c r="BF7" s="206"/>
      <c r="BG7" s="206"/>
      <c r="BH7" s="206"/>
      <c r="BI7" s="206"/>
      <c r="BJ7" s="206"/>
      <c r="BK7" s="206"/>
      <c r="BL7" s="206"/>
      <c r="BM7" s="206"/>
      <c r="BN7" s="206"/>
      <c r="BO7" s="206"/>
      <c r="BP7" s="206"/>
      <c r="BQ7" s="206"/>
      <c r="BR7" s="206"/>
      <c r="BS7" s="206"/>
      <c r="BT7" s="206"/>
      <c r="BU7" s="206"/>
      <c r="BV7" s="206"/>
      <c r="BW7" s="206"/>
      <c r="BX7" s="206"/>
      <c r="BY7" s="206"/>
      <c r="BZ7" s="206"/>
      <c r="CA7" s="206"/>
      <c r="CB7" s="206"/>
      <c r="CC7" s="206"/>
      <c r="CD7" s="206"/>
      <c r="CE7" s="206"/>
      <c r="CF7" s="206"/>
      <c r="CG7" s="206"/>
      <c r="CH7" s="206"/>
      <c r="CI7" s="206"/>
      <c r="CJ7" s="206"/>
      <c r="CK7" s="206"/>
      <c r="CL7" s="206"/>
      <c r="CM7" s="206"/>
      <c r="CN7" s="206"/>
      <c r="CO7" s="206"/>
      <c r="CP7" s="206"/>
      <c r="CQ7" s="206"/>
      <c r="CR7" s="206"/>
      <c r="CS7" s="206"/>
      <c r="CT7" s="206"/>
      <c r="CU7" s="206"/>
      <c r="CV7" s="206"/>
      <c r="CW7" s="206"/>
      <c r="CX7" s="206"/>
      <c r="CY7" s="206"/>
      <c r="CZ7" s="206"/>
      <c r="DA7" s="206"/>
      <c r="DB7" s="206"/>
      <c r="DC7" s="206"/>
      <c r="DD7" s="206"/>
      <c r="DE7" s="206"/>
      <c r="DF7" s="206"/>
      <c r="DG7" s="206"/>
      <c r="DH7" s="206"/>
      <c r="DI7" s="206"/>
      <c r="DJ7" s="206"/>
      <c r="DK7" s="206"/>
      <c r="DL7" s="206"/>
      <c r="DM7" s="206"/>
      <c r="DN7" s="206"/>
      <c r="DO7" s="206"/>
      <c r="DP7" s="206"/>
      <c r="DQ7" s="206"/>
      <c r="DR7" s="206"/>
      <c r="DS7" s="206"/>
      <c r="DT7" s="206"/>
      <c r="DU7" s="206"/>
      <c r="DV7" s="206"/>
      <c r="DW7" s="206"/>
      <c r="DX7" s="206"/>
      <c r="DY7" s="206"/>
      <c r="DZ7" s="206"/>
      <c r="EA7" s="206"/>
      <c r="EB7" s="206"/>
      <c r="EC7" s="206"/>
      <c r="ED7" s="206"/>
      <c r="EE7" s="206"/>
      <c r="EF7" s="206"/>
      <c r="EG7" s="206"/>
      <c r="EH7" s="206"/>
      <c r="EI7" s="206"/>
      <c r="EJ7" s="206"/>
      <c r="EK7" s="206"/>
      <c r="EL7" s="206"/>
      <c r="EM7" s="206"/>
      <c r="EN7" s="206"/>
      <c r="EO7" s="206"/>
      <c r="EP7" s="206"/>
      <c r="EQ7" s="206"/>
      <c r="ER7" s="206"/>
      <c r="ES7" s="206"/>
      <c r="ET7" s="206"/>
      <c r="EU7" s="206"/>
      <c r="EV7" s="206"/>
      <c r="EW7" s="206"/>
      <c r="EX7" s="206"/>
      <c r="EY7" s="206"/>
      <c r="EZ7" s="206"/>
      <c r="FA7" s="206"/>
      <c r="FB7" s="206"/>
      <c r="FC7" s="206"/>
      <c r="FD7" s="206"/>
      <c r="FE7" s="206"/>
      <c r="FF7" s="206"/>
      <c r="FG7" s="206"/>
      <c r="FH7" s="206"/>
      <c r="FI7" s="206"/>
      <c r="FJ7" s="206"/>
      <c r="FK7" s="206"/>
      <c r="FL7" s="206"/>
      <c r="FM7" s="206"/>
      <c r="FN7" s="206"/>
      <c r="FO7" s="206"/>
      <c r="FP7" s="206"/>
      <c r="FQ7" s="206"/>
      <c r="FR7" s="206"/>
      <c r="FS7" s="206"/>
      <c r="FT7" s="206"/>
      <c r="FU7" s="206"/>
      <c r="FV7" s="206"/>
      <c r="FW7" s="206"/>
      <c r="FX7" s="206"/>
      <c r="FY7" s="206"/>
      <c r="FZ7" s="206"/>
      <c r="GA7" s="206"/>
      <c r="GB7" s="206"/>
      <c r="GC7" s="206"/>
      <c r="GD7" s="206"/>
      <c r="GE7" s="206"/>
      <c r="GF7" s="206"/>
      <c r="GG7" s="206"/>
      <c r="GH7" s="206"/>
      <c r="GI7" s="206"/>
      <c r="GJ7" s="206"/>
      <c r="GK7" s="206"/>
      <c r="GL7" s="206"/>
      <c r="GM7" s="206"/>
      <c r="GN7" s="206"/>
      <c r="GO7" s="206"/>
      <c r="GP7" s="206"/>
      <c r="GQ7" s="206"/>
      <c r="GR7" s="206"/>
      <c r="GS7" s="206"/>
      <c r="GT7" s="206"/>
      <c r="GU7" s="206"/>
      <c r="GV7" s="206"/>
      <c r="GW7" s="206"/>
      <c r="GX7" s="206"/>
      <c r="GY7" s="206"/>
      <c r="GZ7" s="206"/>
      <c r="HA7" s="206"/>
      <c r="HB7" s="206"/>
      <c r="HC7" s="206"/>
      <c r="HD7" s="206"/>
      <c r="HE7" s="206"/>
      <c r="HF7" s="206"/>
      <c r="HG7" s="206"/>
      <c r="HH7" s="206"/>
      <c r="HI7" s="206"/>
      <c r="HJ7" s="206"/>
      <c r="HK7" s="206"/>
      <c r="HL7" s="206"/>
      <c r="HM7" s="206"/>
      <c r="HN7" s="206"/>
      <c r="HO7" s="206"/>
      <c r="HP7" s="206"/>
      <c r="HQ7" s="206"/>
      <c r="HR7" s="206"/>
      <c r="HS7" s="206"/>
      <c r="HT7" s="206"/>
      <c r="HU7" s="206"/>
    </row>
    <row r="8" spans="1:229" s="12" customFormat="1" ht="25.95" customHeight="1">
      <c r="A8" s="250"/>
      <c r="B8" s="10"/>
      <c r="C8" s="9"/>
      <c r="D8" s="204" t="s">
        <v>123</v>
      </c>
      <c r="E8" s="341" t="s">
        <v>124</v>
      </c>
      <c r="F8" s="341"/>
      <c r="G8" s="170"/>
      <c r="H8" s="165"/>
      <c r="I8" s="145"/>
      <c r="J8" s="165"/>
      <c r="K8" s="165"/>
      <c r="L8" s="165"/>
      <c r="M8" s="165"/>
      <c r="N8" s="165"/>
      <c r="O8" s="165"/>
      <c r="P8" s="165"/>
      <c r="Q8" s="165"/>
      <c r="R8" s="165"/>
      <c r="S8" s="165"/>
      <c r="T8" s="165"/>
      <c r="U8" s="165"/>
      <c r="V8" s="165"/>
      <c r="W8" s="165"/>
      <c r="X8" s="165"/>
      <c r="Y8" s="165"/>
      <c r="Z8" s="165"/>
      <c r="AA8" s="11"/>
      <c r="AB8" s="11"/>
      <c r="AC8" s="11"/>
      <c r="AD8" s="11"/>
      <c r="AE8" s="11"/>
      <c r="AF8" s="11"/>
      <c r="AG8" s="11"/>
      <c r="AH8" s="11"/>
      <c r="AI8" s="11"/>
      <c r="AJ8" s="11"/>
      <c r="AK8" s="11"/>
      <c r="AL8" s="11"/>
      <c r="AM8" s="11"/>
      <c r="AN8" s="11"/>
      <c r="AO8" s="11"/>
      <c r="AP8" s="11"/>
      <c r="AQ8" s="11"/>
      <c r="AR8" s="11"/>
      <c r="AS8" s="11"/>
      <c r="AT8" s="11"/>
      <c r="AU8" s="11"/>
      <c r="AV8" s="11"/>
      <c r="AW8" s="11"/>
      <c r="AX8" s="11"/>
      <c r="AY8" s="11"/>
      <c r="AZ8" s="11"/>
      <c r="BA8" s="11"/>
      <c r="BB8" s="11"/>
      <c r="BC8" s="11"/>
      <c r="BD8" s="11"/>
      <c r="BE8" s="11"/>
      <c r="BF8" s="11"/>
      <c r="BG8" s="11"/>
      <c r="BH8" s="11"/>
      <c r="BI8" s="11"/>
      <c r="BJ8" s="11"/>
      <c r="BK8" s="11"/>
      <c r="BL8" s="11"/>
      <c r="BM8" s="11"/>
      <c r="BN8" s="11"/>
      <c r="BO8" s="11"/>
      <c r="BP8" s="11"/>
      <c r="BQ8" s="11"/>
      <c r="BR8" s="11"/>
      <c r="BS8" s="11"/>
      <c r="BT8" s="11"/>
      <c r="BU8" s="11"/>
      <c r="BV8" s="11"/>
      <c r="BW8" s="11"/>
      <c r="BX8" s="11"/>
      <c r="BY8" s="11"/>
      <c r="BZ8" s="11"/>
      <c r="CA8" s="11"/>
      <c r="CB8" s="11"/>
      <c r="CC8" s="11"/>
      <c r="CD8" s="11"/>
      <c r="CE8" s="11"/>
      <c r="CF8" s="11"/>
      <c r="CG8" s="11"/>
      <c r="CH8" s="11"/>
      <c r="CI8" s="11"/>
      <c r="CJ8" s="11"/>
      <c r="CK8" s="11"/>
      <c r="CL8" s="11"/>
      <c r="CM8" s="11"/>
      <c r="CN8" s="11"/>
      <c r="CO8" s="11"/>
      <c r="CP8" s="11"/>
      <c r="CQ8" s="11"/>
      <c r="CR8" s="11"/>
      <c r="CS8" s="11"/>
      <c r="CT8" s="11"/>
      <c r="CU8" s="11"/>
      <c r="CV8" s="11"/>
      <c r="CW8" s="11"/>
      <c r="CX8" s="11"/>
      <c r="CY8" s="11"/>
      <c r="CZ8" s="11"/>
      <c r="DA8" s="11"/>
      <c r="DB8" s="11"/>
      <c r="DC8" s="11"/>
      <c r="DD8" s="11"/>
      <c r="DE8" s="11"/>
      <c r="DF8" s="11"/>
      <c r="DG8" s="11"/>
      <c r="DH8" s="11"/>
      <c r="DI8" s="11"/>
      <c r="DJ8" s="11"/>
      <c r="DK8" s="11"/>
      <c r="DL8" s="11"/>
      <c r="DM8" s="11"/>
      <c r="DN8" s="11"/>
      <c r="DO8" s="11"/>
      <c r="DP8" s="11"/>
      <c r="DQ8" s="11"/>
      <c r="DR8" s="11"/>
      <c r="DS8" s="11"/>
      <c r="DT8" s="11"/>
      <c r="DU8" s="11"/>
      <c r="DV8" s="11"/>
      <c r="DW8" s="11"/>
      <c r="DX8" s="11"/>
      <c r="DY8" s="11"/>
      <c r="DZ8" s="11"/>
      <c r="EA8" s="11"/>
      <c r="EB8" s="11"/>
      <c r="EC8" s="11"/>
      <c r="ED8" s="11"/>
      <c r="EE8" s="11"/>
      <c r="EF8" s="11"/>
      <c r="EG8" s="11"/>
      <c r="EH8" s="11"/>
      <c r="EI8" s="11"/>
      <c r="EJ8" s="11"/>
      <c r="EK8" s="11"/>
      <c r="EL8" s="11"/>
      <c r="EM8" s="11"/>
      <c r="EN8" s="11"/>
      <c r="EO8" s="11"/>
      <c r="EP8" s="11"/>
      <c r="EQ8" s="11"/>
      <c r="ER8" s="11"/>
      <c r="ES8" s="11"/>
      <c r="ET8" s="11"/>
      <c r="EU8" s="11"/>
      <c r="EV8" s="11"/>
      <c r="EW8" s="11"/>
      <c r="EX8" s="11"/>
      <c r="EY8" s="11"/>
      <c r="EZ8" s="11"/>
      <c r="FA8" s="11"/>
      <c r="FB8" s="11"/>
      <c r="FC8" s="11"/>
      <c r="FD8" s="11"/>
      <c r="FE8" s="11"/>
      <c r="FF8" s="11"/>
      <c r="FG8" s="11"/>
      <c r="FH8" s="11"/>
      <c r="FI8" s="11"/>
      <c r="FJ8" s="11"/>
      <c r="FK8" s="11"/>
      <c r="FL8" s="11"/>
      <c r="FM8" s="11"/>
      <c r="FN8" s="11"/>
      <c r="FO8" s="11"/>
      <c r="FP8" s="11"/>
      <c r="FQ8" s="11"/>
      <c r="FR8" s="11"/>
      <c r="FS8" s="11"/>
      <c r="FT8" s="11"/>
      <c r="FU8" s="11"/>
      <c r="FV8" s="11"/>
      <c r="FW8" s="11"/>
      <c r="FX8" s="11"/>
      <c r="FY8" s="11"/>
      <c r="FZ8" s="11"/>
      <c r="GA8" s="11"/>
      <c r="GB8" s="11"/>
      <c r="GC8" s="11"/>
      <c r="GD8" s="11"/>
      <c r="GE8" s="11"/>
      <c r="GF8" s="11"/>
      <c r="GG8" s="11"/>
      <c r="GH8" s="11"/>
      <c r="GI8" s="11"/>
      <c r="GJ8" s="11"/>
      <c r="GK8" s="11"/>
      <c r="GL8" s="11"/>
      <c r="GM8" s="11"/>
      <c r="GN8" s="11"/>
      <c r="GO8" s="11"/>
      <c r="GP8" s="11"/>
      <c r="GQ8" s="11"/>
      <c r="GR8" s="11"/>
      <c r="GS8" s="11"/>
      <c r="GT8" s="11"/>
      <c r="GU8" s="11"/>
      <c r="GV8" s="11"/>
      <c r="GW8" s="11"/>
      <c r="GX8" s="11"/>
      <c r="GY8" s="11"/>
      <c r="GZ8" s="11"/>
      <c r="HA8" s="11"/>
      <c r="HB8" s="11"/>
      <c r="HC8" s="11"/>
      <c r="HD8" s="11"/>
      <c r="HE8" s="11"/>
      <c r="HF8" s="11"/>
      <c r="HG8" s="11"/>
      <c r="HH8" s="11"/>
      <c r="HI8" s="11"/>
      <c r="HJ8" s="11"/>
      <c r="HK8" s="11"/>
      <c r="HL8" s="11"/>
      <c r="HM8" s="11"/>
      <c r="HN8" s="11"/>
      <c r="HO8" s="11"/>
      <c r="HP8" s="11"/>
      <c r="HQ8" s="11"/>
      <c r="HR8" s="11"/>
      <c r="HS8" s="11"/>
      <c r="HT8" s="11"/>
      <c r="HU8" s="11"/>
    </row>
    <row r="9" spans="1:229" s="12" customFormat="1" ht="25.95" customHeight="1">
      <c r="A9" s="250"/>
      <c r="B9" s="10"/>
      <c r="C9" s="9"/>
      <c r="D9" s="204"/>
      <c r="E9" s="204" t="s">
        <v>123</v>
      </c>
      <c r="F9" s="203" t="s">
        <v>372</v>
      </c>
      <c r="G9" s="170"/>
      <c r="H9" s="165"/>
      <c r="I9" s="145"/>
      <c r="J9" s="165"/>
      <c r="K9" s="165"/>
      <c r="L9" s="165"/>
      <c r="M9" s="165"/>
      <c r="N9" s="165"/>
      <c r="O9" s="165"/>
      <c r="P9" s="165"/>
      <c r="Q9" s="165"/>
      <c r="R9" s="165"/>
      <c r="S9" s="165"/>
      <c r="T9" s="165"/>
      <c r="U9" s="165"/>
      <c r="V9" s="165"/>
      <c r="W9" s="165"/>
      <c r="X9" s="165"/>
      <c r="Y9" s="165"/>
      <c r="Z9" s="165"/>
      <c r="AA9" s="11"/>
      <c r="AB9" s="11"/>
      <c r="AC9" s="11"/>
      <c r="AD9" s="11"/>
      <c r="AE9" s="11"/>
      <c r="AF9" s="11"/>
      <c r="AG9" s="11"/>
      <c r="AH9" s="11"/>
      <c r="AI9" s="11"/>
      <c r="AJ9" s="11"/>
      <c r="AK9" s="11"/>
      <c r="AL9" s="11"/>
      <c r="AM9" s="11"/>
      <c r="AN9" s="11"/>
      <c r="AO9" s="11"/>
      <c r="AP9" s="11"/>
      <c r="AQ9" s="11"/>
      <c r="AR9" s="11"/>
      <c r="AS9" s="11"/>
      <c r="AT9" s="11"/>
      <c r="AU9" s="11"/>
      <c r="AV9" s="11"/>
      <c r="AW9" s="11"/>
      <c r="AX9" s="11"/>
      <c r="AY9" s="11"/>
      <c r="AZ9" s="11"/>
      <c r="BA9" s="11"/>
      <c r="BB9" s="11"/>
      <c r="BC9" s="11"/>
      <c r="BD9" s="11"/>
      <c r="BE9" s="11"/>
      <c r="BF9" s="11"/>
      <c r="BG9" s="11"/>
      <c r="BH9" s="11"/>
      <c r="BI9" s="11"/>
      <c r="BJ9" s="11"/>
      <c r="BK9" s="11"/>
      <c r="BL9" s="11"/>
      <c r="BM9" s="11"/>
      <c r="BN9" s="11"/>
      <c r="BO9" s="11"/>
      <c r="BP9" s="11"/>
      <c r="BQ9" s="11"/>
      <c r="BR9" s="11"/>
      <c r="BS9" s="11"/>
      <c r="BT9" s="11"/>
      <c r="BU9" s="11"/>
      <c r="BV9" s="11"/>
      <c r="BW9" s="11"/>
      <c r="BX9" s="11"/>
      <c r="BY9" s="11"/>
      <c r="BZ9" s="11"/>
      <c r="CA9" s="11"/>
      <c r="CB9" s="11"/>
      <c r="CC9" s="11"/>
      <c r="CD9" s="11"/>
      <c r="CE9" s="11"/>
      <c r="CF9" s="11"/>
      <c r="CG9" s="11"/>
      <c r="CH9" s="11"/>
      <c r="CI9" s="11"/>
      <c r="CJ9" s="11"/>
      <c r="CK9" s="11"/>
      <c r="CL9" s="11"/>
      <c r="CM9" s="11"/>
      <c r="CN9" s="11"/>
      <c r="CO9" s="11"/>
      <c r="CP9" s="11"/>
      <c r="CQ9" s="11"/>
      <c r="CR9" s="11"/>
      <c r="CS9" s="11"/>
      <c r="CT9" s="11"/>
      <c r="CU9" s="11"/>
      <c r="CV9" s="11"/>
      <c r="CW9" s="11"/>
      <c r="CX9" s="11"/>
      <c r="CY9" s="11"/>
      <c r="CZ9" s="11"/>
      <c r="DA9" s="11"/>
      <c r="DB9" s="11"/>
      <c r="DC9" s="11"/>
      <c r="DD9" s="11"/>
      <c r="DE9" s="11"/>
      <c r="DF9" s="11"/>
      <c r="DG9" s="11"/>
      <c r="DH9" s="11"/>
      <c r="DI9" s="11"/>
      <c r="DJ9" s="11"/>
      <c r="DK9" s="11"/>
      <c r="DL9" s="11"/>
      <c r="DM9" s="11"/>
      <c r="DN9" s="11"/>
      <c r="DO9" s="11"/>
      <c r="DP9" s="11"/>
      <c r="DQ9" s="11"/>
      <c r="DR9" s="11"/>
      <c r="DS9" s="11"/>
      <c r="DT9" s="11"/>
      <c r="DU9" s="11"/>
      <c r="DV9" s="11"/>
      <c r="DW9" s="11"/>
      <c r="DX9" s="11"/>
      <c r="DY9" s="11"/>
      <c r="DZ9" s="11"/>
      <c r="EA9" s="11"/>
      <c r="EB9" s="11"/>
      <c r="EC9" s="11"/>
      <c r="ED9" s="11"/>
      <c r="EE9" s="11"/>
      <c r="EF9" s="11"/>
      <c r="EG9" s="11"/>
      <c r="EH9" s="11"/>
      <c r="EI9" s="11"/>
      <c r="EJ9" s="11"/>
      <c r="EK9" s="11"/>
      <c r="EL9" s="11"/>
      <c r="EM9" s="11"/>
      <c r="EN9" s="11"/>
      <c r="EO9" s="11"/>
      <c r="EP9" s="11"/>
      <c r="EQ9" s="11"/>
      <c r="ER9" s="11"/>
      <c r="ES9" s="11"/>
      <c r="ET9" s="11"/>
      <c r="EU9" s="11"/>
      <c r="EV9" s="11"/>
      <c r="EW9" s="11"/>
      <c r="EX9" s="11"/>
      <c r="EY9" s="11"/>
      <c r="EZ9" s="11"/>
      <c r="FA9" s="11"/>
      <c r="FB9" s="11"/>
      <c r="FC9" s="11"/>
      <c r="FD9" s="11"/>
      <c r="FE9" s="11"/>
      <c r="FF9" s="11"/>
      <c r="FG9" s="11"/>
      <c r="FH9" s="11"/>
      <c r="FI9" s="11"/>
      <c r="FJ9" s="11"/>
      <c r="FK9" s="11"/>
      <c r="FL9" s="11"/>
      <c r="FM9" s="11"/>
      <c r="FN9" s="11"/>
      <c r="FO9" s="11"/>
      <c r="FP9" s="11"/>
      <c r="FQ9" s="11"/>
      <c r="FR9" s="11"/>
      <c r="FS9" s="11"/>
      <c r="FT9" s="11"/>
      <c r="FU9" s="11"/>
      <c r="FV9" s="11"/>
      <c r="FW9" s="11"/>
      <c r="FX9" s="11"/>
      <c r="FY9" s="11"/>
      <c r="FZ9" s="11"/>
      <c r="GA9" s="11"/>
      <c r="GB9" s="11"/>
      <c r="GC9" s="11"/>
      <c r="GD9" s="11"/>
      <c r="GE9" s="11"/>
      <c r="GF9" s="11"/>
      <c r="GG9" s="11"/>
      <c r="GH9" s="11"/>
      <c r="GI9" s="11"/>
      <c r="GJ9" s="11"/>
      <c r="GK9" s="11"/>
      <c r="GL9" s="11"/>
      <c r="GM9" s="11"/>
      <c r="GN9" s="11"/>
      <c r="GO9" s="11"/>
      <c r="GP9" s="11"/>
      <c r="GQ9" s="11"/>
      <c r="GR9" s="11"/>
      <c r="GS9" s="11"/>
      <c r="GT9" s="11"/>
      <c r="GU9" s="11"/>
      <c r="GV9" s="11"/>
      <c r="GW9" s="11"/>
      <c r="GX9" s="11"/>
      <c r="GY9" s="11"/>
      <c r="GZ9" s="11"/>
      <c r="HA9" s="11"/>
      <c r="HB9" s="11"/>
      <c r="HC9" s="11"/>
      <c r="HD9" s="11"/>
      <c r="HE9" s="11"/>
      <c r="HF9" s="11"/>
      <c r="HG9" s="11"/>
      <c r="HH9" s="11"/>
      <c r="HI9" s="11"/>
      <c r="HJ9" s="11"/>
      <c r="HK9" s="11"/>
      <c r="HL9" s="11"/>
      <c r="HM9" s="11"/>
      <c r="HN9" s="11"/>
      <c r="HO9" s="11"/>
      <c r="HP9" s="11"/>
      <c r="HQ9" s="11"/>
      <c r="HR9" s="11"/>
      <c r="HS9" s="11"/>
      <c r="HT9" s="11"/>
      <c r="HU9" s="11"/>
    </row>
    <row r="10" spans="1:229" s="12" customFormat="1" ht="25.95" customHeight="1">
      <c r="A10" s="250"/>
      <c r="B10" s="10"/>
      <c r="C10" s="9"/>
      <c r="D10" s="204"/>
      <c r="E10" s="204" t="s">
        <v>123</v>
      </c>
      <c r="F10" s="203" t="s">
        <v>371</v>
      </c>
      <c r="G10" s="170"/>
      <c r="H10" s="165"/>
      <c r="I10" s="145"/>
      <c r="J10" s="165"/>
      <c r="K10" s="165"/>
      <c r="L10" s="165"/>
      <c r="M10" s="165"/>
      <c r="N10" s="165"/>
      <c r="O10" s="165"/>
      <c r="P10" s="165"/>
      <c r="Q10" s="165"/>
      <c r="R10" s="165"/>
      <c r="S10" s="165"/>
      <c r="T10" s="165"/>
      <c r="U10" s="165"/>
      <c r="V10" s="165"/>
      <c r="W10" s="165"/>
      <c r="X10" s="165"/>
      <c r="Y10" s="165"/>
      <c r="Z10" s="165"/>
      <c r="AA10" s="11"/>
      <c r="AB10" s="11"/>
      <c r="AC10" s="11"/>
      <c r="AD10" s="11"/>
      <c r="AE10" s="11"/>
      <c r="AF10" s="11"/>
      <c r="AG10" s="11"/>
      <c r="AH10" s="11"/>
      <c r="AI10" s="11"/>
      <c r="AJ10" s="11"/>
      <c r="AK10" s="11"/>
      <c r="AL10" s="11"/>
      <c r="AM10" s="11"/>
      <c r="AN10" s="11"/>
      <c r="AO10" s="11"/>
      <c r="AP10" s="11"/>
      <c r="AQ10" s="11"/>
      <c r="AR10" s="11"/>
      <c r="AS10" s="11"/>
      <c r="AT10" s="11"/>
      <c r="AU10" s="11"/>
      <c r="AV10" s="11"/>
      <c r="AW10" s="11"/>
      <c r="AX10" s="11"/>
      <c r="AY10" s="11"/>
      <c r="AZ10" s="11"/>
      <c r="BA10" s="11"/>
      <c r="BB10" s="11"/>
      <c r="BC10" s="11"/>
      <c r="BD10" s="11"/>
      <c r="BE10" s="11"/>
      <c r="BF10" s="11"/>
      <c r="BG10" s="11"/>
      <c r="BH10" s="11"/>
      <c r="BI10" s="11"/>
      <c r="BJ10" s="11"/>
      <c r="BK10" s="11"/>
      <c r="BL10" s="11"/>
      <c r="BM10" s="11"/>
      <c r="BN10" s="11"/>
      <c r="BO10" s="11"/>
      <c r="BP10" s="11"/>
      <c r="BQ10" s="11"/>
      <c r="BR10" s="11"/>
      <c r="BS10" s="11"/>
      <c r="BT10" s="11"/>
      <c r="BU10" s="11"/>
      <c r="BV10" s="11"/>
      <c r="BW10" s="11"/>
      <c r="BX10" s="11"/>
      <c r="BY10" s="11"/>
      <c r="BZ10" s="11"/>
      <c r="CA10" s="11"/>
      <c r="CB10" s="11"/>
      <c r="CC10" s="11"/>
      <c r="CD10" s="11"/>
      <c r="CE10" s="11"/>
      <c r="CF10" s="11"/>
      <c r="CG10" s="11"/>
      <c r="CH10" s="11"/>
      <c r="CI10" s="11"/>
      <c r="CJ10" s="11"/>
      <c r="CK10" s="11"/>
      <c r="CL10" s="11"/>
      <c r="CM10" s="11"/>
      <c r="CN10" s="11"/>
      <c r="CO10" s="11"/>
      <c r="CP10" s="11"/>
      <c r="CQ10" s="11"/>
      <c r="CR10" s="11"/>
      <c r="CS10" s="11"/>
      <c r="CT10" s="11"/>
      <c r="CU10" s="11"/>
      <c r="CV10" s="11"/>
      <c r="CW10" s="11"/>
      <c r="CX10" s="11"/>
      <c r="CY10" s="11"/>
      <c r="CZ10" s="11"/>
      <c r="DA10" s="11"/>
      <c r="DB10" s="11"/>
      <c r="DC10" s="11"/>
      <c r="DD10" s="11"/>
      <c r="DE10" s="11"/>
      <c r="DF10" s="11"/>
      <c r="DG10" s="11"/>
      <c r="DH10" s="11"/>
      <c r="DI10" s="11"/>
      <c r="DJ10" s="11"/>
      <c r="DK10" s="11"/>
      <c r="DL10" s="11"/>
      <c r="DM10" s="11"/>
      <c r="DN10" s="11"/>
      <c r="DO10" s="11"/>
      <c r="DP10" s="11"/>
      <c r="DQ10" s="11"/>
      <c r="DR10" s="11"/>
      <c r="DS10" s="11"/>
      <c r="DT10" s="11"/>
      <c r="DU10" s="11"/>
      <c r="DV10" s="11"/>
      <c r="DW10" s="11"/>
      <c r="DX10" s="11"/>
      <c r="DY10" s="11"/>
      <c r="DZ10" s="11"/>
      <c r="EA10" s="11"/>
      <c r="EB10" s="11"/>
      <c r="EC10" s="11"/>
      <c r="ED10" s="11"/>
      <c r="EE10" s="11"/>
      <c r="EF10" s="11"/>
      <c r="EG10" s="11"/>
      <c r="EH10" s="11"/>
      <c r="EI10" s="11"/>
      <c r="EJ10" s="11"/>
      <c r="EK10" s="11"/>
      <c r="EL10" s="11"/>
      <c r="EM10" s="11"/>
      <c r="EN10" s="11"/>
      <c r="EO10" s="11"/>
      <c r="EP10" s="11"/>
      <c r="EQ10" s="11"/>
      <c r="ER10" s="11"/>
      <c r="ES10" s="11"/>
      <c r="ET10" s="11"/>
      <c r="EU10" s="11"/>
      <c r="EV10" s="11"/>
      <c r="EW10" s="11"/>
      <c r="EX10" s="11"/>
      <c r="EY10" s="11"/>
      <c r="EZ10" s="11"/>
      <c r="FA10" s="11"/>
      <c r="FB10" s="11"/>
      <c r="FC10" s="11"/>
      <c r="FD10" s="11"/>
      <c r="FE10" s="11"/>
      <c r="FF10" s="11"/>
      <c r="FG10" s="11"/>
      <c r="FH10" s="11"/>
      <c r="FI10" s="11"/>
      <c r="FJ10" s="11"/>
      <c r="FK10" s="11"/>
      <c r="FL10" s="11"/>
      <c r="FM10" s="11"/>
      <c r="FN10" s="11"/>
      <c r="FO10" s="11"/>
      <c r="FP10" s="11"/>
      <c r="FQ10" s="11"/>
      <c r="FR10" s="11"/>
      <c r="FS10" s="11"/>
      <c r="FT10" s="11"/>
      <c r="FU10" s="11"/>
      <c r="FV10" s="11"/>
      <c r="FW10" s="11"/>
      <c r="FX10" s="11"/>
      <c r="FY10" s="11"/>
      <c r="FZ10" s="11"/>
      <c r="GA10" s="11"/>
      <c r="GB10" s="11"/>
      <c r="GC10" s="11"/>
      <c r="GD10" s="11"/>
      <c r="GE10" s="11"/>
      <c r="GF10" s="11"/>
      <c r="GG10" s="11"/>
      <c r="GH10" s="11"/>
      <c r="GI10" s="11"/>
      <c r="GJ10" s="11"/>
      <c r="GK10" s="11"/>
      <c r="GL10" s="11"/>
      <c r="GM10" s="11"/>
      <c r="GN10" s="11"/>
      <c r="GO10" s="11"/>
      <c r="GP10" s="11"/>
      <c r="GQ10" s="11"/>
      <c r="GR10" s="11"/>
      <c r="GS10" s="11"/>
      <c r="GT10" s="11"/>
      <c r="GU10" s="11"/>
      <c r="GV10" s="11"/>
      <c r="GW10" s="11"/>
      <c r="GX10" s="11"/>
      <c r="GY10" s="11"/>
      <c r="GZ10" s="11"/>
      <c r="HA10" s="11"/>
      <c r="HB10" s="11"/>
      <c r="HC10" s="11"/>
      <c r="HD10" s="11"/>
      <c r="HE10" s="11"/>
      <c r="HF10" s="11"/>
      <c r="HG10" s="11"/>
      <c r="HH10" s="11"/>
      <c r="HI10" s="11"/>
      <c r="HJ10" s="11"/>
      <c r="HK10" s="11"/>
      <c r="HL10" s="11"/>
      <c r="HM10" s="11"/>
      <c r="HN10" s="11"/>
      <c r="HO10" s="11"/>
      <c r="HP10" s="11"/>
      <c r="HQ10" s="11"/>
      <c r="HR10" s="11"/>
      <c r="HS10" s="11"/>
      <c r="HT10" s="11"/>
      <c r="HU10" s="11"/>
    </row>
    <row r="11" spans="1:229" s="12" customFormat="1" ht="25.95" customHeight="1">
      <c r="A11" s="250"/>
      <c r="B11" s="10"/>
      <c r="C11" s="9"/>
      <c r="D11" s="204" t="s">
        <v>123</v>
      </c>
      <c r="E11" s="341" t="s">
        <v>263</v>
      </c>
      <c r="F11" s="341"/>
      <c r="G11" s="170"/>
      <c r="H11" s="165"/>
      <c r="I11" s="205"/>
      <c r="J11" s="165"/>
      <c r="K11" s="165"/>
      <c r="L11" s="165"/>
      <c r="M11" s="165"/>
      <c r="N11" s="165"/>
      <c r="O11" s="165"/>
      <c r="P11" s="165"/>
      <c r="Q11" s="165"/>
      <c r="R11" s="165"/>
      <c r="S11" s="165"/>
      <c r="T11" s="165"/>
      <c r="U11" s="165"/>
      <c r="V11" s="165"/>
      <c r="W11" s="165"/>
      <c r="X11" s="165"/>
      <c r="Y11" s="165"/>
      <c r="Z11" s="165"/>
      <c r="AA11" s="11"/>
      <c r="AB11" s="11"/>
      <c r="AC11" s="11"/>
      <c r="AD11" s="11"/>
      <c r="AE11" s="11"/>
      <c r="AF11" s="11"/>
      <c r="AG11" s="11"/>
      <c r="AH11" s="11"/>
      <c r="AI11" s="11"/>
      <c r="AJ11" s="11"/>
      <c r="AK11" s="11"/>
      <c r="AL11" s="11"/>
      <c r="AM11" s="11"/>
      <c r="AN11" s="11"/>
      <c r="AO11" s="11"/>
      <c r="AP11" s="11"/>
      <c r="AQ11" s="11"/>
      <c r="AR11" s="11"/>
      <c r="AS11" s="11"/>
      <c r="AT11" s="11"/>
      <c r="AU11" s="11"/>
      <c r="AV11" s="11"/>
      <c r="AW11" s="11"/>
      <c r="AX11" s="11"/>
      <c r="AY11" s="11"/>
      <c r="AZ11" s="11"/>
      <c r="BA11" s="11"/>
      <c r="BB11" s="11"/>
      <c r="BC11" s="11"/>
      <c r="BD11" s="11"/>
      <c r="BE11" s="11"/>
      <c r="BF11" s="11"/>
      <c r="BG11" s="11"/>
      <c r="BH11" s="11"/>
      <c r="BI11" s="11"/>
      <c r="BJ11" s="11"/>
      <c r="BK11" s="11"/>
      <c r="BL11" s="11"/>
      <c r="BM11" s="11"/>
      <c r="BN11" s="11"/>
      <c r="BO11" s="11"/>
      <c r="BP11" s="11"/>
      <c r="BQ11" s="11"/>
      <c r="BR11" s="11"/>
      <c r="BS11" s="11"/>
      <c r="BT11" s="11"/>
      <c r="BU11" s="11"/>
      <c r="BV11" s="11"/>
      <c r="BW11" s="11"/>
      <c r="BX11" s="11"/>
      <c r="BY11" s="11"/>
      <c r="BZ11" s="11"/>
      <c r="CA11" s="11"/>
      <c r="CB11" s="11"/>
      <c r="CC11" s="11"/>
      <c r="CD11" s="11"/>
      <c r="CE11" s="11"/>
      <c r="CF11" s="11"/>
      <c r="CG11" s="11"/>
      <c r="CH11" s="11"/>
      <c r="CI11" s="11"/>
      <c r="CJ11" s="11"/>
      <c r="CK11" s="11"/>
      <c r="CL11" s="11"/>
      <c r="CM11" s="11"/>
      <c r="CN11" s="11"/>
      <c r="CO11" s="11"/>
      <c r="CP11" s="11"/>
      <c r="CQ11" s="11"/>
      <c r="CR11" s="11"/>
      <c r="CS11" s="11"/>
      <c r="CT11" s="11"/>
      <c r="CU11" s="11"/>
      <c r="CV11" s="11"/>
      <c r="CW11" s="11"/>
      <c r="CX11" s="11"/>
      <c r="CY11" s="11"/>
      <c r="CZ11" s="11"/>
      <c r="DA11" s="11"/>
      <c r="DB11" s="11"/>
      <c r="DC11" s="11"/>
      <c r="DD11" s="11"/>
      <c r="DE11" s="11"/>
      <c r="DF11" s="11"/>
      <c r="DG11" s="11"/>
      <c r="DH11" s="11"/>
      <c r="DI11" s="11"/>
      <c r="DJ11" s="11"/>
      <c r="DK11" s="11"/>
      <c r="DL11" s="11"/>
      <c r="DM11" s="11"/>
      <c r="DN11" s="11"/>
      <c r="DO11" s="11"/>
      <c r="DP11" s="11"/>
      <c r="DQ11" s="11"/>
      <c r="DR11" s="11"/>
      <c r="DS11" s="11"/>
      <c r="DT11" s="11"/>
      <c r="DU11" s="11"/>
      <c r="DV11" s="11"/>
      <c r="DW11" s="11"/>
      <c r="DX11" s="11"/>
      <c r="DY11" s="11"/>
      <c r="DZ11" s="11"/>
      <c r="EA11" s="11"/>
      <c r="EB11" s="11"/>
      <c r="EC11" s="11"/>
      <c r="ED11" s="11"/>
      <c r="EE11" s="11"/>
      <c r="EF11" s="11"/>
      <c r="EG11" s="11"/>
      <c r="EH11" s="11"/>
      <c r="EI11" s="11"/>
      <c r="EJ11" s="11"/>
      <c r="EK11" s="11"/>
      <c r="EL11" s="11"/>
      <c r="EM11" s="11"/>
      <c r="EN11" s="11"/>
      <c r="EO11" s="11"/>
      <c r="EP11" s="11"/>
      <c r="EQ11" s="11"/>
      <c r="ER11" s="11"/>
      <c r="ES11" s="11"/>
      <c r="ET11" s="11"/>
      <c r="EU11" s="11"/>
      <c r="EV11" s="11"/>
      <c r="EW11" s="11"/>
      <c r="EX11" s="11"/>
      <c r="EY11" s="11"/>
      <c r="EZ11" s="11"/>
      <c r="FA11" s="11"/>
      <c r="FB11" s="11"/>
      <c r="FC11" s="11"/>
      <c r="FD11" s="11"/>
      <c r="FE11" s="11"/>
      <c r="FF11" s="11"/>
      <c r="FG11" s="11"/>
      <c r="FH11" s="11"/>
      <c r="FI11" s="11"/>
      <c r="FJ11" s="11"/>
      <c r="FK11" s="11"/>
      <c r="FL11" s="11"/>
      <c r="FM11" s="11"/>
      <c r="FN11" s="11"/>
      <c r="FO11" s="11"/>
      <c r="FP11" s="11"/>
      <c r="FQ11" s="11"/>
      <c r="FR11" s="11"/>
      <c r="FS11" s="11"/>
      <c r="FT11" s="11"/>
      <c r="FU11" s="11"/>
      <c r="FV11" s="11"/>
      <c r="FW11" s="11"/>
      <c r="FX11" s="11"/>
      <c r="FY11" s="11"/>
      <c r="FZ11" s="11"/>
      <c r="GA11" s="11"/>
      <c r="GB11" s="11"/>
      <c r="GC11" s="11"/>
      <c r="GD11" s="11"/>
      <c r="GE11" s="11"/>
      <c r="GF11" s="11"/>
      <c r="GG11" s="11"/>
      <c r="GH11" s="11"/>
      <c r="GI11" s="11"/>
      <c r="GJ11" s="11"/>
      <c r="GK11" s="11"/>
      <c r="GL11" s="11"/>
      <c r="GM11" s="11"/>
      <c r="GN11" s="11"/>
      <c r="GO11" s="11"/>
      <c r="GP11" s="11"/>
      <c r="GQ11" s="11"/>
      <c r="GR11" s="11"/>
      <c r="GS11" s="11"/>
      <c r="GT11" s="11"/>
      <c r="GU11" s="11"/>
      <c r="GV11" s="11"/>
      <c r="GW11" s="11"/>
      <c r="GX11" s="11"/>
      <c r="GY11" s="11"/>
      <c r="GZ11" s="11"/>
      <c r="HA11" s="11"/>
      <c r="HB11" s="11"/>
      <c r="HC11" s="11"/>
      <c r="HD11" s="11"/>
      <c r="HE11" s="11"/>
      <c r="HF11" s="11"/>
      <c r="HG11" s="11"/>
      <c r="HH11" s="11"/>
      <c r="HI11" s="11"/>
      <c r="HJ11" s="11"/>
      <c r="HK11" s="11"/>
      <c r="HL11" s="11"/>
      <c r="HM11" s="11"/>
      <c r="HN11" s="11"/>
      <c r="HO11" s="11"/>
      <c r="HP11" s="11"/>
      <c r="HQ11" s="11"/>
      <c r="HR11" s="11"/>
      <c r="HS11" s="11"/>
      <c r="HT11" s="11"/>
      <c r="HU11" s="11"/>
    </row>
    <row r="12" spans="1:229" s="12" customFormat="1" ht="40.049999999999997" customHeight="1">
      <c r="A12" s="250"/>
      <c r="B12" s="10"/>
      <c r="C12" s="9"/>
      <c r="D12" s="204" t="s">
        <v>123</v>
      </c>
      <c r="E12" s="343" t="s">
        <v>268</v>
      </c>
      <c r="F12" s="343"/>
      <c r="G12" s="170"/>
      <c r="H12" s="165"/>
      <c r="I12" s="205"/>
      <c r="J12" s="165"/>
      <c r="K12" s="165"/>
      <c r="L12" s="165"/>
      <c r="M12" s="165"/>
      <c r="N12" s="165"/>
      <c r="O12" s="165"/>
      <c r="P12" s="165"/>
      <c r="Q12" s="165"/>
      <c r="R12" s="165"/>
      <c r="S12" s="165"/>
      <c r="T12" s="165"/>
      <c r="U12" s="165"/>
      <c r="V12" s="165"/>
      <c r="W12" s="165"/>
      <c r="X12" s="165"/>
      <c r="Y12" s="165"/>
      <c r="Z12" s="165"/>
      <c r="AA12" s="11"/>
      <c r="AB12" s="11"/>
      <c r="AC12" s="11"/>
      <c r="AD12" s="11"/>
      <c r="AE12" s="11"/>
      <c r="AF12" s="11"/>
      <c r="AG12" s="11"/>
      <c r="AH12" s="11"/>
      <c r="AI12" s="11"/>
      <c r="AJ12" s="11"/>
      <c r="AK12" s="11"/>
      <c r="AL12" s="11"/>
      <c r="AM12" s="11"/>
      <c r="AN12" s="11"/>
      <c r="AO12" s="11"/>
      <c r="AP12" s="11"/>
      <c r="AQ12" s="11"/>
      <c r="AR12" s="11"/>
      <c r="AS12" s="11"/>
      <c r="AT12" s="11"/>
      <c r="AU12" s="11"/>
      <c r="AV12" s="11"/>
      <c r="AW12" s="11"/>
      <c r="AX12" s="11"/>
      <c r="AY12" s="11"/>
      <c r="AZ12" s="11"/>
      <c r="BA12" s="11"/>
      <c r="BB12" s="11"/>
      <c r="BC12" s="11"/>
      <c r="BD12" s="11"/>
      <c r="BE12" s="11"/>
      <c r="BF12" s="11"/>
      <c r="BG12" s="11"/>
      <c r="BH12" s="11"/>
      <c r="BI12" s="11"/>
      <c r="BJ12" s="11"/>
      <c r="BK12" s="11"/>
      <c r="BL12" s="11"/>
      <c r="BM12" s="11"/>
      <c r="BN12" s="11"/>
      <c r="BO12" s="11"/>
      <c r="BP12" s="11"/>
      <c r="BQ12" s="11"/>
      <c r="BR12" s="11"/>
      <c r="BS12" s="11"/>
      <c r="BT12" s="11"/>
      <c r="BU12" s="11"/>
      <c r="BV12" s="11"/>
      <c r="BW12" s="11"/>
      <c r="BX12" s="11"/>
      <c r="BY12" s="11"/>
      <c r="BZ12" s="11"/>
      <c r="CA12" s="11"/>
      <c r="CB12" s="11"/>
      <c r="CC12" s="11"/>
      <c r="CD12" s="11"/>
      <c r="CE12" s="11"/>
      <c r="CF12" s="11"/>
      <c r="CG12" s="11"/>
      <c r="CH12" s="11"/>
      <c r="CI12" s="11"/>
      <c r="CJ12" s="11"/>
      <c r="CK12" s="11"/>
      <c r="CL12" s="11"/>
      <c r="CM12" s="11"/>
      <c r="CN12" s="11"/>
      <c r="CO12" s="11"/>
      <c r="CP12" s="11"/>
      <c r="CQ12" s="11"/>
      <c r="CR12" s="11"/>
      <c r="CS12" s="11"/>
      <c r="CT12" s="11"/>
      <c r="CU12" s="11"/>
      <c r="CV12" s="11"/>
      <c r="CW12" s="11"/>
      <c r="CX12" s="11"/>
      <c r="CY12" s="11"/>
      <c r="CZ12" s="11"/>
      <c r="DA12" s="11"/>
      <c r="DB12" s="11"/>
      <c r="DC12" s="11"/>
      <c r="DD12" s="11"/>
      <c r="DE12" s="11"/>
      <c r="DF12" s="11"/>
      <c r="DG12" s="11"/>
      <c r="DH12" s="11"/>
      <c r="DI12" s="11"/>
      <c r="DJ12" s="11"/>
      <c r="DK12" s="11"/>
      <c r="DL12" s="11"/>
      <c r="DM12" s="11"/>
      <c r="DN12" s="11"/>
      <c r="DO12" s="11"/>
      <c r="DP12" s="11"/>
      <c r="DQ12" s="11"/>
      <c r="DR12" s="11"/>
      <c r="DS12" s="11"/>
      <c r="DT12" s="11"/>
      <c r="DU12" s="11"/>
      <c r="DV12" s="11"/>
      <c r="DW12" s="11"/>
      <c r="DX12" s="11"/>
      <c r="DY12" s="11"/>
      <c r="DZ12" s="11"/>
      <c r="EA12" s="11"/>
      <c r="EB12" s="11"/>
      <c r="EC12" s="11"/>
      <c r="ED12" s="11"/>
      <c r="EE12" s="11"/>
      <c r="EF12" s="11"/>
      <c r="EG12" s="11"/>
      <c r="EH12" s="11"/>
      <c r="EI12" s="11"/>
      <c r="EJ12" s="11"/>
      <c r="EK12" s="11"/>
      <c r="EL12" s="11"/>
      <c r="EM12" s="11"/>
      <c r="EN12" s="11"/>
      <c r="EO12" s="11"/>
      <c r="EP12" s="11"/>
      <c r="EQ12" s="11"/>
      <c r="ER12" s="11"/>
      <c r="ES12" s="11"/>
      <c r="ET12" s="11"/>
      <c r="EU12" s="11"/>
      <c r="EV12" s="11"/>
      <c r="EW12" s="11"/>
      <c r="EX12" s="11"/>
      <c r="EY12" s="11"/>
      <c r="EZ12" s="11"/>
      <c r="FA12" s="11"/>
      <c r="FB12" s="11"/>
      <c r="FC12" s="11"/>
      <c r="FD12" s="11"/>
      <c r="FE12" s="11"/>
      <c r="FF12" s="11"/>
      <c r="FG12" s="11"/>
      <c r="FH12" s="11"/>
      <c r="FI12" s="11"/>
      <c r="FJ12" s="11"/>
      <c r="FK12" s="11"/>
      <c r="FL12" s="11"/>
      <c r="FM12" s="11"/>
      <c r="FN12" s="11"/>
      <c r="FO12" s="11"/>
      <c r="FP12" s="11"/>
      <c r="FQ12" s="11"/>
      <c r="FR12" s="11"/>
      <c r="FS12" s="11"/>
      <c r="FT12" s="11"/>
      <c r="FU12" s="11"/>
      <c r="FV12" s="11"/>
      <c r="FW12" s="11"/>
      <c r="FX12" s="11"/>
      <c r="FY12" s="11"/>
      <c r="FZ12" s="11"/>
      <c r="GA12" s="11"/>
      <c r="GB12" s="11"/>
      <c r="GC12" s="11"/>
      <c r="GD12" s="11"/>
      <c r="GE12" s="11"/>
      <c r="GF12" s="11"/>
      <c r="GG12" s="11"/>
      <c r="GH12" s="11"/>
      <c r="GI12" s="11"/>
      <c r="GJ12" s="11"/>
      <c r="GK12" s="11"/>
      <c r="GL12" s="11"/>
      <c r="GM12" s="11"/>
      <c r="GN12" s="11"/>
      <c r="GO12" s="11"/>
      <c r="GP12" s="11"/>
      <c r="GQ12" s="11"/>
      <c r="GR12" s="11"/>
      <c r="GS12" s="11"/>
      <c r="GT12" s="11"/>
      <c r="GU12" s="11"/>
      <c r="GV12" s="11"/>
      <c r="GW12" s="11"/>
      <c r="GX12" s="11"/>
      <c r="GY12" s="11"/>
      <c r="GZ12" s="11"/>
      <c r="HA12" s="11"/>
      <c r="HB12" s="11"/>
      <c r="HC12" s="11"/>
      <c r="HD12" s="11"/>
      <c r="HE12" s="11"/>
      <c r="HF12" s="11"/>
      <c r="HG12" s="11"/>
      <c r="HH12" s="11"/>
      <c r="HI12" s="11"/>
      <c r="HJ12" s="11"/>
      <c r="HK12" s="11"/>
      <c r="HL12" s="11"/>
      <c r="HM12" s="11"/>
      <c r="HN12" s="11"/>
      <c r="HO12" s="11"/>
      <c r="HP12" s="11"/>
      <c r="HQ12" s="11"/>
      <c r="HR12" s="11"/>
      <c r="HS12" s="11"/>
      <c r="HT12" s="11"/>
      <c r="HU12" s="11"/>
    </row>
    <row r="13" spans="1:229" s="16" customFormat="1" ht="25.95" customHeight="1">
      <c r="A13" s="250"/>
      <c r="B13" s="13"/>
      <c r="C13" s="9"/>
      <c r="D13" s="204" t="s">
        <v>123</v>
      </c>
      <c r="E13" s="341" t="s">
        <v>125</v>
      </c>
      <c r="F13" s="341"/>
      <c r="G13" s="171"/>
      <c r="H13" s="126"/>
      <c r="I13" s="165"/>
      <c r="J13" s="126"/>
      <c r="K13" s="126"/>
      <c r="L13" s="126"/>
      <c r="M13" s="126"/>
      <c r="N13" s="126"/>
      <c r="O13" s="126"/>
      <c r="P13" s="126"/>
      <c r="Q13" s="126"/>
      <c r="R13" s="126"/>
      <c r="S13" s="126"/>
      <c r="T13" s="126"/>
      <c r="U13" s="126"/>
      <c r="V13" s="126"/>
      <c r="W13" s="126"/>
      <c r="X13" s="126"/>
      <c r="Y13" s="126"/>
      <c r="Z13" s="126"/>
      <c r="AA13" s="15"/>
      <c r="AB13" s="15"/>
      <c r="AC13" s="15"/>
      <c r="AD13" s="15"/>
      <c r="AE13" s="15"/>
      <c r="AF13" s="15"/>
      <c r="AG13" s="15"/>
      <c r="AH13" s="15"/>
      <c r="AI13" s="15"/>
      <c r="AJ13" s="15"/>
      <c r="AK13" s="15"/>
      <c r="AL13" s="15"/>
      <c r="AM13" s="15"/>
      <c r="AN13" s="15"/>
      <c r="AO13" s="15"/>
      <c r="AP13" s="15"/>
      <c r="AQ13" s="15"/>
      <c r="AR13" s="15"/>
      <c r="AS13" s="15"/>
      <c r="AT13" s="15"/>
      <c r="AU13" s="15"/>
      <c r="AV13" s="15"/>
      <c r="AW13" s="15"/>
      <c r="AX13" s="15"/>
      <c r="AY13" s="15"/>
      <c r="AZ13" s="15"/>
      <c r="BA13" s="15"/>
      <c r="BB13" s="15"/>
      <c r="BC13" s="15"/>
      <c r="BD13" s="15"/>
      <c r="BE13" s="15"/>
      <c r="BF13" s="15"/>
      <c r="BG13" s="15"/>
      <c r="BH13" s="15"/>
      <c r="BI13" s="15"/>
      <c r="BJ13" s="15"/>
      <c r="BK13" s="15"/>
      <c r="BL13" s="15"/>
      <c r="BM13" s="15"/>
      <c r="BN13" s="15"/>
      <c r="BO13" s="15"/>
      <c r="BP13" s="15"/>
      <c r="BQ13" s="15"/>
      <c r="BR13" s="15"/>
      <c r="BS13" s="15"/>
      <c r="BT13" s="15"/>
      <c r="BU13" s="15"/>
      <c r="BV13" s="15"/>
      <c r="BW13" s="15"/>
      <c r="BX13" s="15"/>
      <c r="BY13" s="15"/>
      <c r="BZ13" s="15"/>
      <c r="CA13" s="15"/>
      <c r="CB13" s="15"/>
      <c r="CC13" s="15"/>
      <c r="CD13" s="15"/>
      <c r="CE13" s="15"/>
      <c r="CF13" s="15"/>
      <c r="CG13" s="15"/>
      <c r="CH13" s="15"/>
      <c r="CI13" s="15"/>
      <c r="CJ13" s="15"/>
      <c r="CK13" s="15"/>
      <c r="CL13" s="15"/>
      <c r="CM13" s="15"/>
      <c r="CN13" s="15"/>
      <c r="CO13" s="15"/>
      <c r="CP13" s="15"/>
      <c r="CQ13" s="15"/>
      <c r="CR13" s="15"/>
      <c r="CS13" s="15"/>
      <c r="CT13" s="15"/>
      <c r="CU13" s="15"/>
      <c r="CV13" s="15"/>
      <c r="CW13" s="15"/>
      <c r="CX13" s="15"/>
      <c r="CY13" s="15"/>
      <c r="CZ13" s="15"/>
      <c r="DA13" s="15"/>
      <c r="DB13" s="15"/>
      <c r="DC13" s="15"/>
      <c r="DD13" s="15"/>
      <c r="DE13" s="15"/>
      <c r="DF13" s="15"/>
      <c r="DG13" s="15"/>
      <c r="DH13" s="15"/>
      <c r="DI13" s="15"/>
      <c r="DJ13" s="15"/>
      <c r="DK13" s="15"/>
      <c r="DL13" s="15"/>
      <c r="DM13" s="15"/>
      <c r="DN13" s="15"/>
      <c r="DO13" s="15"/>
      <c r="DP13" s="15"/>
      <c r="DQ13" s="15"/>
      <c r="DR13" s="15"/>
      <c r="DS13" s="15"/>
      <c r="DT13" s="15"/>
      <c r="DU13" s="15"/>
      <c r="DV13" s="15"/>
      <c r="DW13" s="15"/>
      <c r="DX13" s="15"/>
      <c r="DY13" s="15"/>
      <c r="DZ13" s="15"/>
      <c r="EA13" s="15"/>
      <c r="EB13" s="15"/>
      <c r="EC13" s="15"/>
      <c r="ED13" s="15"/>
      <c r="EE13" s="15"/>
      <c r="EF13" s="15"/>
      <c r="EG13" s="15"/>
      <c r="EH13" s="15"/>
      <c r="EI13" s="15"/>
      <c r="EJ13" s="15"/>
      <c r="EK13" s="15"/>
      <c r="EL13" s="15"/>
      <c r="EM13" s="15"/>
      <c r="EN13" s="15"/>
      <c r="EO13" s="15"/>
      <c r="EP13" s="15"/>
      <c r="EQ13" s="15"/>
      <c r="ER13" s="15"/>
      <c r="ES13" s="15"/>
      <c r="ET13" s="15"/>
      <c r="EU13" s="15"/>
      <c r="EV13" s="15"/>
      <c r="EW13" s="15"/>
      <c r="EX13" s="15"/>
      <c r="EY13" s="15"/>
      <c r="EZ13" s="15"/>
      <c r="FA13" s="15"/>
      <c r="FB13" s="15"/>
      <c r="FC13" s="15"/>
      <c r="FD13" s="15"/>
      <c r="FE13" s="15"/>
      <c r="FF13" s="15"/>
      <c r="FG13" s="15"/>
      <c r="FH13" s="15"/>
      <c r="FI13" s="15"/>
      <c r="FJ13" s="15"/>
      <c r="FK13" s="15"/>
      <c r="FL13" s="15"/>
      <c r="FM13" s="15"/>
      <c r="FN13" s="15"/>
      <c r="FO13" s="15"/>
      <c r="FP13" s="15"/>
      <c r="FQ13" s="15"/>
      <c r="FR13" s="15"/>
      <c r="FS13" s="15"/>
      <c r="FT13" s="15"/>
      <c r="FU13" s="15"/>
      <c r="FV13" s="15"/>
      <c r="FW13" s="15"/>
      <c r="FX13" s="15"/>
      <c r="FY13" s="15"/>
      <c r="FZ13" s="15"/>
      <c r="GA13" s="15"/>
      <c r="GB13" s="15"/>
      <c r="GC13" s="15"/>
      <c r="GD13" s="15"/>
      <c r="GE13" s="15"/>
      <c r="GF13" s="15"/>
      <c r="GG13" s="15"/>
      <c r="GH13" s="15"/>
      <c r="GI13" s="15"/>
      <c r="GJ13" s="15"/>
      <c r="GK13" s="15"/>
      <c r="GL13" s="15"/>
      <c r="GM13" s="15"/>
      <c r="GN13" s="15"/>
      <c r="GO13" s="15"/>
      <c r="GP13" s="15"/>
      <c r="GQ13" s="15"/>
      <c r="GR13" s="15"/>
      <c r="GS13" s="15"/>
      <c r="GT13" s="15"/>
      <c r="GU13" s="15"/>
      <c r="GV13" s="15"/>
      <c r="GW13" s="15"/>
      <c r="GX13" s="15"/>
      <c r="GY13" s="15"/>
      <c r="GZ13" s="15"/>
      <c r="HA13" s="15"/>
      <c r="HB13" s="15"/>
      <c r="HC13" s="15"/>
      <c r="HD13" s="15"/>
      <c r="HE13" s="15"/>
      <c r="HF13" s="15"/>
      <c r="HG13" s="15"/>
      <c r="HH13" s="15"/>
      <c r="HI13" s="15"/>
      <c r="HJ13" s="15"/>
      <c r="HK13" s="15"/>
      <c r="HL13" s="15"/>
      <c r="HM13" s="15"/>
      <c r="HN13" s="15"/>
      <c r="HO13" s="15"/>
      <c r="HP13" s="15"/>
      <c r="HQ13" s="15"/>
      <c r="HR13" s="15"/>
      <c r="HS13" s="15"/>
      <c r="HT13" s="15"/>
      <c r="HU13" s="15"/>
    </row>
    <row r="14" spans="1:229" s="16" customFormat="1" ht="40.049999999999997" customHeight="1">
      <c r="A14" s="274"/>
      <c r="B14" s="18"/>
      <c r="C14" s="14"/>
      <c r="D14" s="275" t="s">
        <v>123</v>
      </c>
      <c r="E14" s="343" t="s">
        <v>264</v>
      </c>
      <c r="F14" s="343"/>
      <c r="G14" s="171"/>
      <c r="H14" s="126"/>
      <c r="I14" s="145"/>
      <c r="J14" s="126"/>
      <c r="K14" s="126"/>
      <c r="L14" s="126"/>
      <c r="M14" s="126"/>
      <c r="N14" s="126"/>
      <c r="O14" s="126"/>
      <c r="P14" s="126"/>
      <c r="Q14" s="126"/>
      <c r="R14" s="126"/>
      <c r="S14" s="126"/>
      <c r="T14" s="126"/>
      <c r="U14" s="126"/>
      <c r="V14" s="126"/>
      <c r="W14" s="126"/>
      <c r="X14" s="126"/>
      <c r="Y14" s="126"/>
      <c r="Z14" s="126"/>
      <c r="AA14" s="15"/>
      <c r="AB14" s="15"/>
      <c r="AC14" s="15"/>
      <c r="AD14" s="15"/>
      <c r="AE14" s="15"/>
      <c r="AF14" s="15"/>
      <c r="AG14" s="15"/>
      <c r="AH14" s="15"/>
      <c r="AI14" s="15"/>
      <c r="AJ14" s="15"/>
      <c r="AK14" s="15"/>
      <c r="AL14" s="15"/>
      <c r="AM14" s="15"/>
      <c r="AN14" s="15"/>
      <c r="AO14" s="15"/>
      <c r="AP14" s="15"/>
      <c r="AQ14" s="15"/>
      <c r="AR14" s="15"/>
      <c r="AS14" s="15"/>
      <c r="AT14" s="15"/>
      <c r="AU14" s="15"/>
      <c r="AV14" s="15"/>
      <c r="AW14" s="15"/>
      <c r="AX14" s="15"/>
      <c r="AY14" s="15"/>
      <c r="AZ14" s="15"/>
      <c r="BA14" s="15"/>
      <c r="BB14" s="15"/>
      <c r="BC14" s="15"/>
      <c r="BD14" s="15"/>
      <c r="BE14" s="15"/>
      <c r="BF14" s="15"/>
      <c r="BG14" s="15"/>
      <c r="BH14" s="15"/>
      <c r="BI14" s="15"/>
      <c r="BJ14" s="15"/>
      <c r="BK14" s="15"/>
      <c r="BL14" s="15"/>
      <c r="BM14" s="15"/>
      <c r="BN14" s="15"/>
      <c r="BO14" s="15"/>
      <c r="BP14" s="15"/>
      <c r="BQ14" s="15"/>
      <c r="BR14" s="15"/>
      <c r="BS14" s="15"/>
      <c r="BT14" s="15"/>
      <c r="BU14" s="15"/>
      <c r="BV14" s="15"/>
      <c r="BW14" s="15"/>
      <c r="BX14" s="15"/>
      <c r="BY14" s="15"/>
      <c r="BZ14" s="15"/>
      <c r="CA14" s="15"/>
      <c r="CB14" s="15"/>
      <c r="CC14" s="15"/>
      <c r="CD14" s="15"/>
      <c r="CE14" s="15"/>
      <c r="CF14" s="15"/>
      <c r="CG14" s="15"/>
      <c r="CH14" s="15"/>
      <c r="CI14" s="15"/>
      <c r="CJ14" s="15"/>
      <c r="CK14" s="15"/>
      <c r="CL14" s="15"/>
      <c r="CM14" s="15"/>
      <c r="CN14" s="15"/>
      <c r="CO14" s="15"/>
      <c r="CP14" s="15"/>
      <c r="CQ14" s="15"/>
      <c r="CR14" s="15"/>
      <c r="CS14" s="15"/>
      <c r="CT14" s="15"/>
      <c r="CU14" s="15"/>
      <c r="CV14" s="15"/>
      <c r="CW14" s="15"/>
      <c r="CX14" s="15"/>
      <c r="CY14" s="15"/>
      <c r="CZ14" s="15"/>
      <c r="DA14" s="15"/>
      <c r="DB14" s="15"/>
      <c r="DC14" s="15"/>
      <c r="DD14" s="15"/>
      <c r="DE14" s="15"/>
      <c r="DF14" s="15"/>
      <c r="DG14" s="15"/>
      <c r="DH14" s="15"/>
      <c r="DI14" s="15"/>
      <c r="DJ14" s="15"/>
      <c r="DK14" s="15"/>
      <c r="DL14" s="15"/>
      <c r="DM14" s="15"/>
      <c r="DN14" s="15"/>
      <c r="DO14" s="15"/>
      <c r="DP14" s="15"/>
      <c r="DQ14" s="15"/>
      <c r="DR14" s="15"/>
      <c r="DS14" s="15"/>
      <c r="DT14" s="15"/>
      <c r="DU14" s="15"/>
      <c r="DV14" s="15"/>
      <c r="DW14" s="15"/>
      <c r="DX14" s="15"/>
      <c r="DY14" s="15"/>
      <c r="DZ14" s="15"/>
      <c r="EA14" s="15"/>
      <c r="EB14" s="15"/>
      <c r="EC14" s="15"/>
      <c r="ED14" s="15"/>
      <c r="EE14" s="15"/>
      <c r="EF14" s="15"/>
      <c r="EG14" s="15"/>
      <c r="EH14" s="15"/>
      <c r="EI14" s="15"/>
      <c r="EJ14" s="15"/>
      <c r="EK14" s="15"/>
      <c r="EL14" s="15"/>
      <c r="EM14" s="15"/>
      <c r="EN14" s="15"/>
      <c r="EO14" s="15"/>
      <c r="EP14" s="15"/>
      <c r="EQ14" s="15"/>
      <c r="ER14" s="15"/>
      <c r="ES14" s="15"/>
      <c r="ET14" s="15"/>
      <c r="EU14" s="15"/>
      <c r="EV14" s="15"/>
      <c r="EW14" s="15"/>
      <c r="EX14" s="15"/>
      <c r="EY14" s="15"/>
      <c r="EZ14" s="15"/>
      <c r="FA14" s="15"/>
      <c r="FB14" s="15"/>
      <c r="FC14" s="15"/>
      <c r="FD14" s="15"/>
      <c r="FE14" s="15"/>
      <c r="FF14" s="15"/>
      <c r="FG14" s="15"/>
      <c r="FH14" s="15"/>
      <c r="FI14" s="15"/>
      <c r="FJ14" s="15"/>
      <c r="FK14" s="15"/>
      <c r="FL14" s="15"/>
      <c r="FM14" s="15"/>
      <c r="FN14" s="15"/>
      <c r="FO14" s="15"/>
      <c r="FP14" s="15"/>
      <c r="FQ14" s="15"/>
      <c r="FR14" s="15"/>
      <c r="FS14" s="15"/>
      <c r="FT14" s="15"/>
      <c r="FU14" s="15"/>
      <c r="FV14" s="15"/>
      <c r="FW14" s="15"/>
      <c r="FX14" s="15"/>
      <c r="FY14" s="15"/>
      <c r="FZ14" s="15"/>
      <c r="GA14" s="15"/>
      <c r="GB14" s="15"/>
      <c r="GC14" s="15"/>
      <c r="GD14" s="15"/>
      <c r="GE14" s="15"/>
      <c r="GF14" s="15"/>
      <c r="GG14" s="15"/>
      <c r="GH14" s="15"/>
      <c r="GI14" s="15"/>
      <c r="GJ14" s="15"/>
      <c r="GK14" s="15"/>
      <c r="GL14" s="15"/>
      <c r="GM14" s="15"/>
      <c r="GN14" s="15"/>
      <c r="GO14" s="15"/>
      <c r="GP14" s="15"/>
      <c r="GQ14" s="15"/>
      <c r="GR14" s="15"/>
      <c r="GS14" s="15"/>
      <c r="GT14" s="15"/>
      <c r="GU14" s="15"/>
      <c r="GV14" s="15"/>
      <c r="GW14" s="15"/>
      <c r="GX14" s="15"/>
      <c r="GY14" s="15"/>
      <c r="GZ14" s="15"/>
      <c r="HA14" s="15"/>
      <c r="HB14" s="15"/>
      <c r="HC14" s="15"/>
      <c r="HD14" s="15"/>
      <c r="HE14" s="15"/>
      <c r="HF14" s="15"/>
      <c r="HG14" s="15"/>
      <c r="HH14" s="15"/>
      <c r="HI14" s="15"/>
      <c r="HJ14" s="15"/>
      <c r="HK14" s="15"/>
      <c r="HL14" s="15"/>
      <c r="HM14" s="15"/>
      <c r="HN14" s="15"/>
      <c r="HO14" s="15"/>
      <c r="HP14" s="15"/>
      <c r="HQ14" s="15"/>
      <c r="HR14" s="15"/>
      <c r="HS14" s="15"/>
      <c r="HT14" s="15"/>
      <c r="HU14" s="15"/>
    </row>
    <row r="15" spans="1:229" s="16" customFormat="1" ht="52.8">
      <c r="A15" s="274"/>
      <c r="B15" s="18"/>
      <c r="C15" s="14"/>
      <c r="D15" s="14"/>
      <c r="E15" s="204" t="s">
        <v>123</v>
      </c>
      <c r="F15" s="19" t="s">
        <v>265</v>
      </c>
      <c r="G15" s="171"/>
      <c r="H15" s="126"/>
      <c r="I15" s="145"/>
      <c r="J15" s="126"/>
      <c r="K15" s="126"/>
      <c r="L15" s="126"/>
      <c r="M15" s="126"/>
      <c r="N15" s="126"/>
      <c r="O15" s="126"/>
      <c r="P15" s="126"/>
      <c r="Q15" s="126"/>
      <c r="R15" s="126"/>
      <c r="S15" s="126"/>
      <c r="T15" s="126"/>
      <c r="U15" s="126"/>
      <c r="V15" s="126"/>
      <c r="W15" s="126"/>
      <c r="X15" s="126"/>
      <c r="Y15" s="126"/>
      <c r="Z15" s="126"/>
      <c r="AA15" s="15"/>
      <c r="AB15" s="15"/>
      <c r="AC15" s="15"/>
      <c r="AD15" s="15"/>
      <c r="AE15" s="15"/>
      <c r="AF15" s="15"/>
      <c r="AG15" s="15"/>
      <c r="AH15" s="15"/>
      <c r="AI15" s="15"/>
      <c r="AJ15" s="15"/>
      <c r="AK15" s="15"/>
      <c r="AL15" s="15"/>
      <c r="AM15" s="15"/>
      <c r="AN15" s="15"/>
      <c r="AO15" s="15"/>
      <c r="AP15" s="15"/>
      <c r="AQ15" s="15"/>
      <c r="AR15" s="15"/>
      <c r="AS15" s="15"/>
      <c r="AT15" s="15"/>
      <c r="AU15" s="15"/>
      <c r="AV15" s="15"/>
      <c r="AW15" s="15"/>
      <c r="AX15" s="15"/>
      <c r="AY15" s="15"/>
      <c r="AZ15" s="15"/>
      <c r="BA15" s="15"/>
      <c r="BB15" s="15"/>
      <c r="BC15" s="15"/>
      <c r="BD15" s="15"/>
      <c r="BE15" s="15"/>
      <c r="BF15" s="15"/>
      <c r="BG15" s="15"/>
      <c r="BH15" s="15"/>
      <c r="BI15" s="15"/>
      <c r="BJ15" s="15"/>
      <c r="BK15" s="15"/>
      <c r="BL15" s="15"/>
      <c r="BM15" s="15"/>
      <c r="BN15" s="15"/>
      <c r="BO15" s="15"/>
      <c r="BP15" s="15"/>
      <c r="BQ15" s="15"/>
      <c r="BR15" s="15"/>
      <c r="BS15" s="15"/>
      <c r="BT15" s="15"/>
      <c r="BU15" s="15"/>
      <c r="BV15" s="15"/>
      <c r="BW15" s="15"/>
      <c r="BX15" s="15"/>
      <c r="BY15" s="15"/>
      <c r="BZ15" s="15"/>
      <c r="CA15" s="15"/>
      <c r="CB15" s="15"/>
      <c r="CC15" s="15"/>
      <c r="CD15" s="15"/>
      <c r="CE15" s="15"/>
      <c r="CF15" s="15"/>
      <c r="CG15" s="15"/>
      <c r="CH15" s="15"/>
      <c r="CI15" s="15"/>
      <c r="CJ15" s="15"/>
      <c r="CK15" s="15"/>
      <c r="CL15" s="15"/>
      <c r="CM15" s="15"/>
      <c r="CN15" s="15"/>
      <c r="CO15" s="15"/>
      <c r="CP15" s="15"/>
      <c r="CQ15" s="15"/>
      <c r="CR15" s="15"/>
      <c r="CS15" s="15"/>
      <c r="CT15" s="15"/>
      <c r="CU15" s="15"/>
      <c r="CV15" s="15"/>
      <c r="CW15" s="15"/>
      <c r="CX15" s="15"/>
      <c r="CY15" s="15"/>
      <c r="CZ15" s="15"/>
      <c r="DA15" s="15"/>
      <c r="DB15" s="15"/>
      <c r="DC15" s="15"/>
      <c r="DD15" s="15"/>
      <c r="DE15" s="15"/>
      <c r="DF15" s="15"/>
      <c r="DG15" s="15"/>
      <c r="DH15" s="15"/>
      <c r="DI15" s="15"/>
      <c r="DJ15" s="15"/>
      <c r="DK15" s="15"/>
      <c r="DL15" s="15"/>
      <c r="DM15" s="15"/>
      <c r="DN15" s="15"/>
      <c r="DO15" s="15"/>
      <c r="DP15" s="15"/>
      <c r="DQ15" s="15"/>
      <c r="DR15" s="15"/>
      <c r="DS15" s="15"/>
      <c r="DT15" s="15"/>
      <c r="DU15" s="15"/>
      <c r="DV15" s="15"/>
      <c r="DW15" s="15"/>
      <c r="DX15" s="15"/>
      <c r="DY15" s="15"/>
      <c r="DZ15" s="15"/>
      <c r="EA15" s="15"/>
      <c r="EB15" s="15"/>
      <c r="EC15" s="15"/>
      <c r="ED15" s="15"/>
      <c r="EE15" s="15"/>
      <c r="EF15" s="15"/>
      <c r="EG15" s="15"/>
      <c r="EH15" s="15"/>
      <c r="EI15" s="15"/>
      <c r="EJ15" s="15"/>
      <c r="EK15" s="15"/>
      <c r="EL15" s="15"/>
      <c r="EM15" s="15"/>
      <c r="EN15" s="15"/>
      <c r="EO15" s="15"/>
      <c r="EP15" s="15"/>
      <c r="EQ15" s="15"/>
      <c r="ER15" s="15"/>
      <c r="ES15" s="15"/>
      <c r="ET15" s="15"/>
      <c r="EU15" s="15"/>
      <c r="EV15" s="15"/>
      <c r="EW15" s="15"/>
      <c r="EX15" s="15"/>
      <c r="EY15" s="15"/>
      <c r="EZ15" s="15"/>
      <c r="FA15" s="15"/>
      <c r="FB15" s="15"/>
      <c r="FC15" s="15"/>
      <c r="FD15" s="15"/>
      <c r="FE15" s="15"/>
      <c r="FF15" s="15"/>
      <c r="FG15" s="15"/>
      <c r="FH15" s="15"/>
      <c r="FI15" s="15"/>
      <c r="FJ15" s="15"/>
      <c r="FK15" s="15"/>
      <c r="FL15" s="15"/>
      <c r="FM15" s="15"/>
      <c r="FN15" s="15"/>
      <c r="FO15" s="15"/>
      <c r="FP15" s="15"/>
      <c r="FQ15" s="15"/>
      <c r="FR15" s="15"/>
      <c r="FS15" s="15"/>
      <c r="FT15" s="15"/>
      <c r="FU15" s="15"/>
      <c r="FV15" s="15"/>
      <c r="FW15" s="15"/>
      <c r="FX15" s="15"/>
      <c r="FY15" s="15"/>
      <c r="FZ15" s="15"/>
      <c r="GA15" s="15"/>
      <c r="GB15" s="15"/>
      <c r="GC15" s="15"/>
      <c r="GD15" s="15"/>
      <c r="GE15" s="15"/>
      <c r="GF15" s="15"/>
      <c r="GG15" s="15"/>
      <c r="GH15" s="15"/>
      <c r="GI15" s="15"/>
      <c r="GJ15" s="15"/>
      <c r="GK15" s="15"/>
      <c r="GL15" s="15"/>
      <c r="GM15" s="15"/>
      <c r="GN15" s="15"/>
      <c r="GO15" s="15"/>
      <c r="GP15" s="15"/>
      <c r="GQ15" s="15"/>
      <c r="GR15" s="15"/>
      <c r="GS15" s="15"/>
      <c r="GT15" s="15"/>
      <c r="GU15" s="15"/>
      <c r="GV15" s="15"/>
      <c r="GW15" s="15"/>
      <c r="GX15" s="15"/>
      <c r="GY15" s="15"/>
      <c r="GZ15" s="15"/>
      <c r="HA15" s="15"/>
      <c r="HB15" s="15"/>
      <c r="HC15" s="15"/>
      <c r="HD15" s="15"/>
      <c r="HE15" s="15"/>
      <c r="HF15" s="15"/>
      <c r="HG15" s="15"/>
      <c r="HH15" s="15"/>
      <c r="HI15" s="15"/>
      <c r="HJ15" s="15"/>
      <c r="HK15" s="15"/>
      <c r="HL15" s="15"/>
      <c r="HM15" s="15"/>
      <c r="HN15" s="15"/>
      <c r="HO15" s="15"/>
      <c r="HP15" s="15"/>
      <c r="HQ15" s="15"/>
      <c r="HR15" s="15"/>
      <c r="HS15" s="15"/>
      <c r="HT15" s="15"/>
      <c r="HU15" s="15"/>
    </row>
    <row r="16" spans="1:229" s="12" customFormat="1" ht="27" customHeight="1">
      <c r="A16" s="188"/>
      <c r="B16" s="189"/>
      <c r="C16" s="190"/>
      <c r="D16" s="190"/>
      <c r="E16" s="204" t="s">
        <v>123</v>
      </c>
      <c r="F16" s="204" t="s">
        <v>266</v>
      </c>
      <c r="G16" s="193"/>
      <c r="H16" s="165"/>
      <c r="I16" s="194"/>
      <c r="J16" s="194"/>
      <c r="K16" s="194"/>
      <c r="L16" s="194"/>
      <c r="M16" s="194"/>
      <c r="N16" s="194"/>
      <c r="O16" s="194"/>
      <c r="P16" s="194"/>
      <c r="Q16" s="194"/>
      <c r="R16" s="194"/>
      <c r="S16" s="194"/>
      <c r="T16" s="194"/>
      <c r="U16" s="194"/>
      <c r="V16" s="194"/>
      <c r="W16" s="194"/>
      <c r="X16" s="194"/>
      <c r="Y16" s="194"/>
      <c r="Z16" s="194"/>
      <c r="AA16" s="195"/>
      <c r="AB16" s="195"/>
      <c r="AC16" s="195"/>
      <c r="AD16" s="195"/>
      <c r="AE16" s="195"/>
      <c r="AF16" s="195"/>
      <c r="AG16" s="195"/>
      <c r="AH16" s="195"/>
      <c r="AI16" s="195"/>
      <c r="AJ16" s="195"/>
      <c r="AK16" s="195"/>
      <c r="AL16" s="195"/>
      <c r="AM16" s="195"/>
      <c r="AN16" s="195"/>
      <c r="AO16" s="195"/>
      <c r="AP16" s="195"/>
      <c r="AQ16" s="195"/>
      <c r="AR16" s="195"/>
      <c r="AS16" s="195"/>
      <c r="AT16" s="195"/>
      <c r="AU16" s="195"/>
      <c r="AV16" s="195"/>
      <c r="AW16" s="195"/>
      <c r="AX16" s="195"/>
      <c r="AY16" s="195"/>
      <c r="AZ16" s="195"/>
      <c r="BA16" s="195"/>
      <c r="BB16" s="195"/>
      <c r="BC16" s="195"/>
      <c r="BD16" s="195"/>
      <c r="BE16" s="195"/>
      <c r="BF16" s="195"/>
      <c r="BG16" s="195"/>
      <c r="BH16" s="195"/>
      <c r="BI16" s="195"/>
      <c r="BJ16" s="195"/>
      <c r="BK16" s="195"/>
      <c r="BL16" s="195"/>
      <c r="BM16" s="195"/>
      <c r="BN16" s="195"/>
      <c r="BO16" s="195"/>
      <c r="BP16" s="195"/>
      <c r="BQ16" s="195"/>
      <c r="BR16" s="195"/>
      <c r="BS16" s="195"/>
      <c r="BT16" s="195"/>
      <c r="BU16" s="195"/>
      <c r="BV16" s="195"/>
      <c r="BW16" s="195"/>
      <c r="BX16" s="195"/>
      <c r="BY16" s="195"/>
      <c r="BZ16" s="195"/>
      <c r="CA16" s="195"/>
      <c r="CB16" s="195"/>
      <c r="CC16" s="195"/>
      <c r="CD16" s="195"/>
      <c r="CE16" s="195"/>
      <c r="CF16" s="195"/>
      <c r="CG16" s="195"/>
      <c r="CH16" s="195"/>
      <c r="CI16" s="195"/>
      <c r="CJ16" s="195"/>
      <c r="CK16" s="195"/>
      <c r="CL16" s="195"/>
      <c r="CM16" s="195"/>
      <c r="CN16" s="195"/>
      <c r="CO16" s="195"/>
      <c r="CP16" s="195"/>
      <c r="CQ16" s="195"/>
      <c r="CR16" s="195"/>
      <c r="CS16" s="195"/>
      <c r="CT16" s="195"/>
      <c r="CU16" s="195"/>
      <c r="CV16" s="195"/>
      <c r="CW16" s="195"/>
      <c r="CX16" s="195"/>
      <c r="CY16" s="195"/>
      <c r="CZ16" s="195"/>
      <c r="DA16" s="195"/>
      <c r="DB16" s="195"/>
      <c r="DC16" s="195"/>
      <c r="DD16" s="195"/>
      <c r="DE16" s="195"/>
      <c r="DF16" s="195"/>
      <c r="DG16" s="195"/>
      <c r="DH16" s="195"/>
      <c r="DI16" s="195"/>
      <c r="DJ16" s="195"/>
      <c r="DK16" s="195"/>
      <c r="DL16" s="195"/>
      <c r="DM16" s="195"/>
      <c r="DN16" s="195"/>
      <c r="DO16" s="195"/>
      <c r="DP16" s="195"/>
      <c r="DQ16" s="195"/>
      <c r="DR16" s="195"/>
      <c r="DS16" s="195"/>
      <c r="DT16" s="195"/>
      <c r="DU16" s="195"/>
      <c r="DV16" s="195"/>
      <c r="DW16" s="195"/>
      <c r="DX16" s="195"/>
      <c r="DY16" s="195"/>
      <c r="DZ16" s="195"/>
      <c r="EA16" s="195"/>
      <c r="EB16" s="195"/>
      <c r="EC16" s="195"/>
      <c r="ED16" s="195"/>
      <c r="EE16" s="195"/>
      <c r="EF16" s="195"/>
      <c r="EG16" s="195"/>
      <c r="EH16" s="195"/>
      <c r="EI16" s="195"/>
      <c r="EJ16" s="195"/>
      <c r="EK16" s="195"/>
      <c r="EL16" s="195"/>
      <c r="EM16" s="195"/>
      <c r="EN16" s="195"/>
      <c r="EO16" s="195"/>
      <c r="EP16" s="195"/>
      <c r="EQ16" s="195"/>
      <c r="ER16" s="195"/>
      <c r="ES16" s="195"/>
      <c r="ET16" s="195"/>
      <c r="EU16" s="195"/>
      <c r="EV16" s="195"/>
      <c r="EW16" s="195"/>
      <c r="EX16" s="195"/>
      <c r="EY16" s="195"/>
      <c r="EZ16" s="195"/>
      <c r="FA16" s="195"/>
      <c r="FB16" s="195"/>
      <c r="FC16" s="195"/>
      <c r="FD16" s="195"/>
      <c r="FE16" s="195"/>
      <c r="FF16" s="195"/>
      <c r="FG16" s="195"/>
      <c r="FH16" s="195"/>
      <c r="FI16" s="195"/>
      <c r="FJ16" s="195"/>
      <c r="FK16" s="195"/>
      <c r="FL16" s="195"/>
      <c r="FM16" s="195"/>
      <c r="FN16" s="195"/>
      <c r="FO16" s="195"/>
      <c r="FP16" s="195"/>
      <c r="FQ16" s="195"/>
      <c r="FR16" s="195"/>
      <c r="FS16" s="195"/>
      <c r="FT16" s="195"/>
      <c r="FU16" s="195"/>
      <c r="FV16" s="195"/>
      <c r="FW16" s="195"/>
      <c r="FX16" s="195"/>
      <c r="FY16" s="195"/>
      <c r="FZ16" s="195"/>
      <c r="GA16" s="195"/>
      <c r="GB16" s="195"/>
      <c r="GC16" s="195"/>
      <c r="GD16" s="195"/>
      <c r="GE16" s="195"/>
      <c r="GF16" s="195"/>
      <c r="GG16" s="195"/>
      <c r="GH16" s="195"/>
      <c r="GI16" s="195"/>
      <c r="GJ16" s="195"/>
      <c r="GK16" s="195"/>
      <c r="GL16" s="195"/>
      <c r="GM16" s="195"/>
      <c r="GN16" s="195"/>
      <c r="GO16" s="195"/>
      <c r="GP16" s="195"/>
      <c r="GQ16" s="195"/>
      <c r="GR16" s="195"/>
      <c r="GS16" s="195"/>
      <c r="GT16" s="195"/>
      <c r="GU16" s="195"/>
      <c r="GV16" s="195"/>
      <c r="GW16" s="195"/>
      <c r="GX16" s="195"/>
      <c r="GY16" s="195"/>
      <c r="GZ16" s="195"/>
      <c r="HA16" s="195"/>
      <c r="HB16" s="195"/>
      <c r="HC16" s="195"/>
      <c r="HD16" s="195"/>
      <c r="HE16" s="195"/>
      <c r="HF16" s="195"/>
      <c r="HG16" s="195"/>
      <c r="HH16" s="195"/>
      <c r="HI16" s="195"/>
      <c r="HJ16" s="195"/>
      <c r="HK16" s="195"/>
      <c r="HL16" s="195"/>
      <c r="HM16" s="195"/>
      <c r="HN16" s="195"/>
      <c r="HO16" s="195"/>
      <c r="HP16" s="195"/>
      <c r="HQ16" s="195"/>
      <c r="HR16" s="195"/>
      <c r="HS16" s="195"/>
      <c r="HT16" s="195"/>
      <c r="HU16" s="195"/>
    </row>
    <row r="17" spans="1:229" s="12" customFormat="1" ht="27" customHeight="1">
      <c r="A17" s="188"/>
      <c r="B17" s="189"/>
      <c r="C17" s="190"/>
      <c r="D17" s="190"/>
      <c r="E17" s="204" t="s">
        <v>123</v>
      </c>
      <c r="F17" s="204" t="s">
        <v>267</v>
      </c>
      <c r="G17" s="193"/>
      <c r="H17" s="165"/>
      <c r="I17" s="194"/>
      <c r="J17" s="194"/>
      <c r="K17" s="194"/>
      <c r="L17" s="194"/>
      <c r="M17" s="194"/>
      <c r="N17" s="194"/>
      <c r="O17" s="194"/>
      <c r="P17" s="194"/>
      <c r="Q17" s="194"/>
      <c r="R17" s="194"/>
      <c r="S17" s="194"/>
      <c r="T17" s="194"/>
      <c r="U17" s="194"/>
      <c r="V17" s="194"/>
      <c r="W17" s="194"/>
      <c r="X17" s="194"/>
      <c r="Y17" s="194"/>
      <c r="Z17" s="194"/>
      <c r="AA17" s="195"/>
      <c r="AB17" s="195"/>
      <c r="AC17" s="195"/>
      <c r="AD17" s="195"/>
      <c r="AE17" s="195"/>
      <c r="AF17" s="195"/>
      <c r="AG17" s="195"/>
      <c r="AH17" s="195"/>
      <c r="AI17" s="195"/>
      <c r="AJ17" s="195"/>
      <c r="AK17" s="195"/>
      <c r="AL17" s="195"/>
      <c r="AM17" s="195"/>
      <c r="AN17" s="195"/>
      <c r="AO17" s="195"/>
      <c r="AP17" s="195"/>
      <c r="AQ17" s="195"/>
      <c r="AR17" s="195"/>
      <c r="AS17" s="195"/>
      <c r="AT17" s="195"/>
      <c r="AU17" s="195"/>
      <c r="AV17" s="195"/>
      <c r="AW17" s="195"/>
      <c r="AX17" s="195"/>
      <c r="AY17" s="195"/>
      <c r="AZ17" s="195"/>
      <c r="BA17" s="195"/>
      <c r="BB17" s="195"/>
      <c r="BC17" s="195"/>
      <c r="BD17" s="195"/>
      <c r="BE17" s="195"/>
      <c r="BF17" s="195"/>
      <c r="BG17" s="195"/>
      <c r="BH17" s="195"/>
      <c r="BI17" s="195"/>
      <c r="BJ17" s="195"/>
      <c r="BK17" s="195"/>
      <c r="BL17" s="195"/>
      <c r="BM17" s="195"/>
      <c r="BN17" s="195"/>
      <c r="BO17" s="195"/>
      <c r="BP17" s="195"/>
      <c r="BQ17" s="195"/>
      <c r="BR17" s="195"/>
      <c r="BS17" s="195"/>
      <c r="BT17" s="195"/>
      <c r="BU17" s="195"/>
      <c r="BV17" s="195"/>
      <c r="BW17" s="195"/>
      <c r="BX17" s="195"/>
      <c r="BY17" s="195"/>
      <c r="BZ17" s="195"/>
      <c r="CA17" s="195"/>
      <c r="CB17" s="195"/>
      <c r="CC17" s="195"/>
      <c r="CD17" s="195"/>
      <c r="CE17" s="195"/>
      <c r="CF17" s="195"/>
      <c r="CG17" s="195"/>
      <c r="CH17" s="195"/>
      <c r="CI17" s="195"/>
      <c r="CJ17" s="195"/>
      <c r="CK17" s="195"/>
      <c r="CL17" s="195"/>
      <c r="CM17" s="195"/>
      <c r="CN17" s="195"/>
      <c r="CO17" s="195"/>
      <c r="CP17" s="195"/>
      <c r="CQ17" s="195"/>
      <c r="CR17" s="195"/>
      <c r="CS17" s="195"/>
      <c r="CT17" s="195"/>
      <c r="CU17" s="195"/>
      <c r="CV17" s="195"/>
      <c r="CW17" s="195"/>
      <c r="CX17" s="195"/>
      <c r="CY17" s="195"/>
      <c r="CZ17" s="195"/>
      <c r="DA17" s="195"/>
      <c r="DB17" s="195"/>
      <c r="DC17" s="195"/>
      <c r="DD17" s="195"/>
      <c r="DE17" s="195"/>
      <c r="DF17" s="195"/>
      <c r="DG17" s="195"/>
      <c r="DH17" s="195"/>
      <c r="DI17" s="195"/>
      <c r="DJ17" s="195"/>
      <c r="DK17" s="195"/>
      <c r="DL17" s="195"/>
      <c r="DM17" s="195"/>
      <c r="DN17" s="195"/>
      <c r="DO17" s="195"/>
      <c r="DP17" s="195"/>
      <c r="DQ17" s="195"/>
      <c r="DR17" s="195"/>
      <c r="DS17" s="195"/>
      <c r="DT17" s="195"/>
      <c r="DU17" s="195"/>
      <c r="DV17" s="195"/>
      <c r="DW17" s="195"/>
      <c r="DX17" s="195"/>
      <c r="DY17" s="195"/>
      <c r="DZ17" s="195"/>
      <c r="EA17" s="195"/>
      <c r="EB17" s="195"/>
      <c r="EC17" s="195"/>
      <c r="ED17" s="195"/>
      <c r="EE17" s="195"/>
      <c r="EF17" s="195"/>
      <c r="EG17" s="195"/>
      <c r="EH17" s="195"/>
      <c r="EI17" s="195"/>
      <c r="EJ17" s="195"/>
      <c r="EK17" s="195"/>
      <c r="EL17" s="195"/>
      <c r="EM17" s="195"/>
      <c r="EN17" s="195"/>
      <c r="EO17" s="195"/>
      <c r="EP17" s="195"/>
      <c r="EQ17" s="195"/>
      <c r="ER17" s="195"/>
      <c r="ES17" s="195"/>
      <c r="ET17" s="195"/>
      <c r="EU17" s="195"/>
      <c r="EV17" s="195"/>
      <c r="EW17" s="195"/>
      <c r="EX17" s="195"/>
      <c r="EY17" s="195"/>
      <c r="EZ17" s="195"/>
      <c r="FA17" s="195"/>
      <c r="FB17" s="195"/>
      <c r="FC17" s="195"/>
      <c r="FD17" s="195"/>
      <c r="FE17" s="195"/>
      <c r="FF17" s="195"/>
      <c r="FG17" s="195"/>
      <c r="FH17" s="195"/>
      <c r="FI17" s="195"/>
      <c r="FJ17" s="195"/>
      <c r="FK17" s="195"/>
      <c r="FL17" s="195"/>
      <c r="FM17" s="195"/>
      <c r="FN17" s="195"/>
      <c r="FO17" s="195"/>
      <c r="FP17" s="195"/>
      <c r="FQ17" s="195"/>
      <c r="FR17" s="195"/>
      <c r="FS17" s="195"/>
      <c r="FT17" s="195"/>
      <c r="FU17" s="195"/>
      <c r="FV17" s="195"/>
      <c r="FW17" s="195"/>
      <c r="FX17" s="195"/>
      <c r="FY17" s="195"/>
      <c r="FZ17" s="195"/>
      <c r="GA17" s="195"/>
      <c r="GB17" s="195"/>
      <c r="GC17" s="195"/>
      <c r="GD17" s="195"/>
      <c r="GE17" s="195"/>
      <c r="GF17" s="195"/>
      <c r="GG17" s="195"/>
      <c r="GH17" s="195"/>
      <c r="GI17" s="195"/>
      <c r="GJ17" s="195"/>
      <c r="GK17" s="195"/>
      <c r="GL17" s="195"/>
      <c r="GM17" s="195"/>
      <c r="GN17" s="195"/>
      <c r="GO17" s="195"/>
      <c r="GP17" s="195"/>
      <c r="GQ17" s="195"/>
      <c r="GR17" s="195"/>
      <c r="GS17" s="195"/>
      <c r="GT17" s="195"/>
      <c r="GU17" s="195"/>
      <c r="GV17" s="195"/>
      <c r="GW17" s="195"/>
      <c r="GX17" s="195"/>
      <c r="GY17" s="195"/>
      <c r="GZ17" s="195"/>
      <c r="HA17" s="195"/>
      <c r="HB17" s="195"/>
      <c r="HC17" s="195"/>
      <c r="HD17" s="195"/>
      <c r="HE17" s="195"/>
      <c r="HF17" s="195"/>
      <c r="HG17" s="195"/>
      <c r="HH17" s="195"/>
      <c r="HI17" s="195"/>
      <c r="HJ17" s="195"/>
      <c r="HK17" s="195"/>
      <c r="HL17" s="195"/>
      <c r="HM17" s="195"/>
      <c r="HN17" s="195"/>
      <c r="HO17" s="195"/>
      <c r="HP17" s="195"/>
      <c r="HQ17" s="195"/>
      <c r="HR17" s="195"/>
      <c r="HS17" s="195"/>
      <c r="HT17" s="195"/>
      <c r="HU17" s="195"/>
    </row>
    <row r="18" spans="1:229" s="16" customFormat="1" ht="18" customHeight="1">
      <c r="A18" s="250"/>
      <c r="B18" s="18"/>
      <c r="C18" s="14"/>
      <c r="D18" s="14"/>
      <c r="E18" s="14"/>
      <c r="F18" s="19"/>
      <c r="G18" s="171"/>
      <c r="H18" s="126"/>
      <c r="I18" s="165"/>
      <c r="J18" s="126"/>
      <c r="K18" s="126"/>
      <c r="L18" s="126"/>
      <c r="M18" s="126"/>
      <c r="N18" s="126"/>
      <c r="O18" s="126"/>
      <c r="P18" s="126"/>
      <c r="Q18" s="126"/>
      <c r="R18" s="126"/>
      <c r="S18" s="126"/>
      <c r="T18" s="126"/>
      <c r="U18" s="126"/>
      <c r="V18" s="126"/>
      <c r="W18" s="126"/>
      <c r="X18" s="126"/>
      <c r="Y18" s="126"/>
      <c r="Z18" s="126"/>
      <c r="AA18" s="15"/>
      <c r="AB18" s="15"/>
      <c r="AC18" s="15"/>
      <c r="AD18" s="15"/>
      <c r="AE18" s="15"/>
      <c r="AF18" s="15"/>
      <c r="AG18" s="15"/>
      <c r="AH18" s="15"/>
      <c r="AI18" s="15"/>
      <c r="AJ18" s="15"/>
      <c r="AK18" s="15"/>
      <c r="AL18" s="15"/>
      <c r="AM18" s="15"/>
      <c r="AN18" s="15"/>
      <c r="AO18" s="15"/>
      <c r="AP18" s="15"/>
      <c r="AQ18" s="15"/>
      <c r="AR18" s="15"/>
      <c r="AS18" s="15"/>
      <c r="AT18" s="15"/>
      <c r="AU18" s="15"/>
      <c r="AV18" s="15"/>
      <c r="AW18" s="15"/>
      <c r="AX18" s="15"/>
      <c r="AY18" s="15"/>
      <c r="AZ18" s="15"/>
      <c r="BA18" s="15"/>
      <c r="BB18" s="15"/>
      <c r="BC18" s="15"/>
      <c r="BD18" s="15"/>
      <c r="BE18" s="15"/>
      <c r="BF18" s="15"/>
      <c r="BG18" s="15"/>
      <c r="BH18" s="15"/>
      <c r="BI18" s="15"/>
      <c r="BJ18" s="15"/>
      <c r="BK18" s="15"/>
      <c r="BL18" s="15"/>
      <c r="BM18" s="15"/>
      <c r="BN18" s="15"/>
      <c r="BO18" s="15"/>
      <c r="BP18" s="15"/>
      <c r="BQ18" s="15"/>
      <c r="BR18" s="15"/>
      <c r="BS18" s="15"/>
      <c r="BT18" s="15"/>
      <c r="BU18" s="15"/>
      <c r="BV18" s="15"/>
      <c r="BW18" s="15"/>
      <c r="BX18" s="15"/>
      <c r="BY18" s="15"/>
      <c r="BZ18" s="15"/>
      <c r="CA18" s="15"/>
      <c r="CB18" s="15"/>
      <c r="CC18" s="15"/>
      <c r="CD18" s="15"/>
      <c r="CE18" s="15"/>
      <c r="CF18" s="15"/>
      <c r="CG18" s="15"/>
      <c r="CH18" s="15"/>
      <c r="CI18" s="15"/>
      <c r="CJ18" s="15"/>
      <c r="CK18" s="15"/>
      <c r="CL18" s="15"/>
      <c r="CM18" s="15"/>
      <c r="CN18" s="15"/>
      <c r="CO18" s="15"/>
      <c r="CP18" s="15"/>
      <c r="CQ18" s="15"/>
      <c r="CR18" s="15"/>
      <c r="CS18" s="15"/>
      <c r="CT18" s="15"/>
      <c r="CU18" s="15"/>
      <c r="CV18" s="15"/>
      <c r="CW18" s="15"/>
      <c r="CX18" s="15"/>
      <c r="CY18" s="15"/>
      <c r="CZ18" s="15"/>
      <c r="DA18" s="15"/>
      <c r="DB18" s="15"/>
      <c r="DC18" s="15"/>
      <c r="DD18" s="15"/>
      <c r="DE18" s="15"/>
      <c r="DF18" s="15"/>
      <c r="DG18" s="15"/>
      <c r="DH18" s="15"/>
      <c r="DI18" s="15"/>
      <c r="DJ18" s="15"/>
      <c r="DK18" s="15"/>
      <c r="DL18" s="15"/>
      <c r="DM18" s="15"/>
      <c r="DN18" s="15"/>
      <c r="DO18" s="15"/>
      <c r="DP18" s="15"/>
      <c r="DQ18" s="15"/>
      <c r="DR18" s="15"/>
      <c r="DS18" s="15"/>
      <c r="DT18" s="15"/>
      <c r="DU18" s="15"/>
      <c r="DV18" s="15"/>
      <c r="DW18" s="15"/>
      <c r="DX18" s="15"/>
      <c r="DY18" s="15"/>
      <c r="DZ18" s="15"/>
      <c r="EA18" s="15"/>
      <c r="EB18" s="15"/>
      <c r="EC18" s="15"/>
      <c r="ED18" s="15"/>
      <c r="EE18" s="15"/>
      <c r="EF18" s="15"/>
      <c r="EG18" s="15"/>
      <c r="EH18" s="15"/>
      <c r="EI18" s="15"/>
      <c r="EJ18" s="15"/>
      <c r="EK18" s="15"/>
      <c r="EL18" s="15"/>
      <c r="EM18" s="15"/>
      <c r="EN18" s="15"/>
      <c r="EO18" s="15"/>
      <c r="EP18" s="15"/>
      <c r="EQ18" s="15"/>
      <c r="ER18" s="15"/>
      <c r="ES18" s="15"/>
      <c r="ET18" s="15"/>
      <c r="EU18" s="15"/>
      <c r="EV18" s="15"/>
      <c r="EW18" s="15"/>
      <c r="EX18" s="15"/>
      <c r="EY18" s="15"/>
      <c r="EZ18" s="15"/>
      <c r="FA18" s="15"/>
      <c r="FB18" s="15"/>
      <c r="FC18" s="15"/>
      <c r="FD18" s="15"/>
      <c r="FE18" s="15"/>
      <c r="FF18" s="15"/>
      <c r="FG18" s="15"/>
      <c r="FH18" s="15"/>
      <c r="FI18" s="15"/>
      <c r="FJ18" s="15"/>
      <c r="FK18" s="15"/>
      <c r="FL18" s="15"/>
      <c r="FM18" s="15"/>
      <c r="FN18" s="15"/>
      <c r="FO18" s="15"/>
      <c r="FP18" s="15"/>
      <c r="FQ18" s="15"/>
      <c r="FR18" s="15"/>
      <c r="FS18" s="15"/>
      <c r="FT18" s="15"/>
      <c r="FU18" s="15"/>
      <c r="FV18" s="15"/>
      <c r="FW18" s="15"/>
      <c r="FX18" s="15"/>
      <c r="FY18" s="15"/>
      <c r="FZ18" s="15"/>
      <c r="GA18" s="15"/>
      <c r="GB18" s="15"/>
      <c r="GC18" s="15"/>
      <c r="GD18" s="15"/>
      <c r="GE18" s="15"/>
      <c r="GF18" s="15"/>
      <c r="GG18" s="15"/>
      <c r="GH18" s="15"/>
      <c r="GI18" s="15"/>
      <c r="GJ18" s="15"/>
      <c r="GK18" s="15"/>
      <c r="GL18" s="15"/>
      <c r="GM18" s="15"/>
      <c r="GN18" s="15"/>
      <c r="GO18" s="15"/>
      <c r="GP18" s="15"/>
      <c r="GQ18" s="15"/>
      <c r="GR18" s="15"/>
      <c r="GS18" s="15"/>
      <c r="GT18" s="15"/>
      <c r="GU18" s="15"/>
      <c r="GV18" s="15"/>
      <c r="GW18" s="15"/>
      <c r="GX18" s="15"/>
      <c r="GY18" s="15"/>
      <c r="GZ18" s="15"/>
      <c r="HA18" s="15"/>
      <c r="HB18" s="15"/>
      <c r="HC18" s="15"/>
      <c r="HD18" s="15"/>
      <c r="HE18" s="15"/>
      <c r="HF18" s="15"/>
      <c r="HG18" s="15"/>
      <c r="HH18" s="15"/>
      <c r="HI18" s="15"/>
      <c r="HJ18" s="15"/>
      <c r="HK18" s="15"/>
      <c r="HL18" s="15"/>
      <c r="HM18" s="15"/>
      <c r="HN18" s="15"/>
      <c r="HO18" s="15"/>
      <c r="HP18" s="15"/>
      <c r="HQ18" s="15"/>
      <c r="HR18" s="15"/>
      <c r="HS18" s="15"/>
      <c r="HT18" s="15"/>
      <c r="HU18" s="15"/>
    </row>
    <row r="19" spans="1:229" s="16" customFormat="1" ht="18" customHeight="1">
      <c r="A19" s="250"/>
      <c r="B19" s="18"/>
      <c r="C19" s="14"/>
      <c r="D19" s="14"/>
      <c r="E19" s="14"/>
      <c r="F19" s="19"/>
      <c r="G19" s="171"/>
      <c r="H19" s="126"/>
      <c r="I19" s="165"/>
      <c r="J19" s="126"/>
      <c r="K19" s="126"/>
      <c r="L19" s="126"/>
      <c r="M19" s="126"/>
      <c r="N19" s="126"/>
      <c r="O19" s="126"/>
      <c r="P19" s="126"/>
      <c r="Q19" s="126"/>
      <c r="R19" s="126"/>
      <c r="S19" s="126"/>
      <c r="T19" s="126"/>
      <c r="U19" s="126"/>
      <c r="V19" s="126"/>
      <c r="W19" s="126"/>
      <c r="X19" s="126"/>
      <c r="Y19" s="126"/>
      <c r="Z19" s="126"/>
      <c r="AA19" s="15"/>
      <c r="AB19" s="15"/>
      <c r="AC19" s="15"/>
      <c r="AD19" s="15"/>
      <c r="AE19" s="15"/>
      <c r="AF19" s="15"/>
      <c r="AG19" s="15"/>
      <c r="AH19" s="15"/>
      <c r="AI19" s="15"/>
      <c r="AJ19" s="15"/>
      <c r="AK19" s="15"/>
      <c r="AL19" s="15"/>
      <c r="AM19" s="15"/>
      <c r="AN19" s="15"/>
      <c r="AO19" s="15"/>
      <c r="AP19" s="15"/>
      <c r="AQ19" s="15"/>
      <c r="AR19" s="15"/>
      <c r="AS19" s="15"/>
      <c r="AT19" s="15"/>
      <c r="AU19" s="15"/>
      <c r="AV19" s="15"/>
      <c r="AW19" s="15"/>
      <c r="AX19" s="15"/>
      <c r="AY19" s="15"/>
      <c r="AZ19" s="15"/>
      <c r="BA19" s="15"/>
      <c r="BB19" s="15"/>
      <c r="BC19" s="15"/>
      <c r="BD19" s="15"/>
      <c r="BE19" s="15"/>
      <c r="BF19" s="15"/>
      <c r="BG19" s="15"/>
      <c r="BH19" s="15"/>
      <c r="BI19" s="15"/>
      <c r="BJ19" s="15"/>
      <c r="BK19" s="15"/>
      <c r="BL19" s="15"/>
      <c r="BM19" s="15"/>
      <c r="BN19" s="15"/>
      <c r="BO19" s="15"/>
      <c r="BP19" s="15"/>
      <c r="BQ19" s="15"/>
      <c r="BR19" s="15"/>
      <c r="BS19" s="15"/>
      <c r="BT19" s="15"/>
      <c r="BU19" s="15"/>
      <c r="BV19" s="15"/>
      <c r="BW19" s="15"/>
      <c r="BX19" s="15"/>
      <c r="BY19" s="15"/>
      <c r="BZ19" s="15"/>
      <c r="CA19" s="15"/>
      <c r="CB19" s="15"/>
      <c r="CC19" s="15"/>
      <c r="CD19" s="15"/>
      <c r="CE19" s="15"/>
      <c r="CF19" s="15"/>
      <c r="CG19" s="15"/>
      <c r="CH19" s="15"/>
      <c r="CI19" s="15"/>
      <c r="CJ19" s="15"/>
      <c r="CK19" s="15"/>
      <c r="CL19" s="15"/>
      <c r="CM19" s="15"/>
      <c r="CN19" s="15"/>
      <c r="CO19" s="15"/>
      <c r="CP19" s="15"/>
      <c r="CQ19" s="15"/>
      <c r="CR19" s="15"/>
      <c r="CS19" s="15"/>
      <c r="CT19" s="15"/>
      <c r="CU19" s="15"/>
      <c r="CV19" s="15"/>
      <c r="CW19" s="15"/>
      <c r="CX19" s="15"/>
      <c r="CY19" s="15"/>
      <c r="CZ19" s="15"/>
      <c r="DA19" s="15"/>
      <c r="DB19" s="15"/>
      <c r="DC19" s="15"/>
      <c r="DD19" s="15"/>
      <c r="DE19" s="15"/>
      <c r="DF19" s="15"/>
      <c r="DG19" s="15"/>
      <c r="DH19" s="15"/>
      <c r="DI19" s="15"/>
      <c r="DJ19" s="15"/>
      <c r="DK19" s="15"/>
      <c r="DL19" s="15"/>
      <c r="DM19" s="15"/>
      <c r="DN19" s="15"/>
      <c r="DO19" s="15"/>
      <c r="DP19" s="15"/>
      <c r="DQ19" s="15"/>
      <c r="DR19" s="15"/>
      <c r="DS19" s="15"/>
      <c r="DT19" s="15"/>
      <c r="DU19" s="15"/>
      <c r="DV19" s="15"/>
      <c r="DW19" s="15"/>
      <c r="DX19" s="15"/>
      <c r="DY19" s="15"/>
      <c r="DZ19" s="15"/>
      <c r="EA19" s="15"/>
      <c r="EB19" s="15"/>
      <c r="EC19" s="15"/>
      <c r="ED19" s="15"/>
      <c r="EE19" s="15"/>
      <c r="EF19" s="15"/>
      <c r="EG19" s="15"/>
      <c r="EH19" s="15"/>
      <c r="EI19" s="15"/>
      <c r="EJ19" s="15"/>
      <c r="EK19" s="15"/>
      <c r="EL19" s="15"/>
      <c r="EM19" s="15"/>
      <c r="EN19" s="15"/>
      <c r="EO19" s="15"/>
      <c r="EP19" s="15"/>
      <c r="EQ19" s="15"/>
      <c r="ER19" s="15"/>
      <c r="ES19" s="15"/>
      <c r="ET19" s="15"/>
      <c r="EU19" s="15"/>
      <c r="EV19" s="15"/>
      <c r="EW19" s="15"/>
      <c r="EX19" s="15"/>
      <c r="EY19" s="15"/>
      <c r="EZ19" s="15"/>
      <c r="FA19" s="15"/>
      <c r="FB19" s="15"/>
      <c r="FC19" s="15"/>
      <c r="FD19" s="15"/>
      <c r="FE19" s="15"/>
      <c r="FF19" s="15"/>
      <c r="FG19" s="15"/>
      <c r="FH19" s="15"/>
      <c r="FI19" s="15"/>
      <c r="FJ19" s="15"/>
      <c r="FK19" s="15"/>
      <c r="FL19" s="15"/>
      <c r="FM19" s="15"/>
      <c r="FN19" s="15"/>
      <c r="FO19" s="15"/>
      <c r="FP19" s="15"/>
      <c r="FQ19" s="15"/>
      <c r="FR19" s="15"/>
      <c r="FS19" s="15"/>
      <c r="FT19" s="15"/>
      <c r="FU19" s="15"/>
      <c r="FV19" s="15"/>
      <c r="FW19" s="15"/>
      <c r="FX19" s="15"/>
      <c r="FY19" s="15"/>
      <c r="FZ19" s="15"/>
      <c r="GA19" s="15"/>
      <c r="GB19" s="15"/>
      <c r="GC19" s="15"/>
      <c r="GD19" s="15"/>
      <c r="GE19" s="15"/>
      <c r="GF19" s="15"/>
      <c r="GG19" s="15"/>
      <c r="GH19" s="15"/>
      <c r="GI19" s="15"/>
      <c r="GJ19" s="15"/>
      <c r="GK19" s="15"/>
      <c r="GL19" s="15"/>
      <c r="GM19" s="15"/>
      <c r="GN19" s="15"/>
      <c r="GO19" s="15"/>
      <c r="GP19" s="15"/>
      <c r="GQ19" s="15"/>
      <c r="GR19" s="15"/>
      <c r="GS19" s="15"/>
      <c r="GT19" s="15"/>
      <c r="GU19" s="15"/>
      <c r="GV19" s="15"/>
      <c r="GW19" s="15"/>
      <c r="GX19" s="15"/>
      <c r="GY19" s="15"/>
      <c r="GZ19" s="15"/>
      <c r="HA19" s="15"/>
      <c r="HB19" s="15"/>
      <c r="HC19" s="15"/>
      <c r="HD19" s="15"/>
      <c r="HE19" s="15"/>
      <c r="HF19" s="15"/>
      <c r="HG19" s="15"/>
      <c r="HH19" s="15"/>
      <c r="HI19" s="15"/>
      <c r="HJ19" s="15"/>
      <c r="HK19" s="15"/>
      <c r="HL19" s="15"/>
      <c r="HM19" s="15"/>
      <c r="HN19" s="15"/>
      <c r="HO19" s="15"/>
      <c r="HP19" s="15"/>
      <c r="HQ19" s="15"/>
      <c r="HR19" s="15"/>
      <c r="HS19" s="15"/>
      <c r="HT19" s="15"/>
      <c r="HU19" s="15"/>
    </row>
    <row r="20" spans="1:229" s="2" customFormat="1" ht="18" customHeight="1">
      <c r="A20" s="250"/>
      <c r="B20" s="3"/>
      <c r="C20" s="114" t="s">
        <v>126</v>
      </c>
      <c r="D20" s="115"/>
      <c r="E20" s="115"/>
      <c r="F20" s="116"/>
      <c r="G20" s="4"/>
      <c r="H20" s="242"/>
      <c r="I20" s="145"/>
      <c r="J20" s="242"/>
      <c r="K20" s="242"/>
      <c r="L20" s="242"/>
      <c r="M20" s="242"/>
      <c r="N20" s="242"/>
      <c r="O20" s="242"/>
      <c r="P20" s="242"/>
      <c r="Q20" s="242"/>
      <c r="R20" s="242"/>
      <c r="S20" s="242"/>
      <c r="T20" s="242"/>
      <c r="U20" s="242"/>
      <c r="V20" s="242"/>
      <c r="W20" s="242"/>
      <c r="X20" s="242"/>
      <c r="Y20" s="242"/>
      <c r="Z20" s="242"/>
      <c r="AA20" s="252"/>
      <c r="AB20" s="252"/>
      <c r="AC20" s="252"/>
      <c r="AD20" s="252"/>
      <c r="AE20" s="252"/>
      <c r="AF20" s="252"/>
      <c r="AG20" s="252"/>
      <c r="AH20" s="252"/>
      <c r="AI20" s="252"/>
      <c r="AJ20" s="252"/>
      <c r="AK20" s="252"/>
      <c r="AL20" s="252"/>
      <c r="AM20" s="252"/>
      <c r="AN20" s="252"/>
      <c r="AO20" s="252"/>
      <c r="AP20" s="252"/>
      <c r="AQ20" s="252"/>
      <c r="AR20" s="252"/>
      <c r="AS20" s="252"/>
      <c r="AT20" s="252"/>
      <c r="AU20" s="252"/>
      <c r="AV20" s="252"/>
      <c r="AW20" s="252"/>
      <c r="AX20" s="252"/>
      <c r="AY20" s="252"/>
      <c r="AZ20" s="252"/>
      <c r="BA20" s="252"/>
      <c r="BB20" s="252"/>
      <c r="BC20" s="252"/>
      <c r="BD20" s="252"/>
      <c r="BE20" s="252"/>
      <c r="BF20" s="252"/>
      <c r="BG20" s="252"/>
      <c r="BH20" s="252"/>
      <c r="BI20" s="252"/>
      <c r="BJ20" s="252"/>
      <c r="BK20" s="252"/>
      <c r="BL20" s="252"/>
      <c r="BM20" s="252"/>
      <c r="BN20" s="252"/>
      <c r="BO20" s="252"/>
      <c r="BP20" s="252"/>
      <c r="BQ20" s="252"/>
      <c r="BR20" s="252"/>
      <c r="BS20" s="252"/>
      <c r="BT20" s="252"/>
      <c r="BU20" s="252"/>
      <c r="BV20" s="252"/>
      <c r="BW20" s="252"/>
      <c r="BX20" s="252"/>
      <c r="BY20" s="252"/>
      <c r="BZ20" s="252"/>
      <c r="CA20" s="252"/>
      <c r="CB20" s="252"/>
      <c r="CC20" s="252"/>
      <c r="CD20" s="252"/>
      <c r="CE20" s="252"/>
      <c r="CF20" s="252"/>
      <c r="CG20" s="252"/>
      <c r="CH20" s="252"/>
      <c r="CI20" s="252"/>
      <c r="CJ20" s="252"/>
      <c r="CK20" s="252"/>
      <c r="CL20" s="252"/>
      <c r="CM20" s="252"/>
      <c r="CN20" s="252"/>
      <c r="CO20" s="252"/>
      <c r="CP20" s="252"/>
      <c r="CQ20" s="252"/>
      <c r="CR20" s="252"/>
      <c r="CS20" s="252"/>
      <c r="CT20" s="252"/>
      <c r="CU20" s="252"/>
      <c r="CV20" s="252"/>
      <c r="CW20" s="252"/>
      <c r="CX20" s="252"/>
      <c r="CY20" s="252"/>
      <c r="CZ20" s="252"/>
      <c r="DA20" s="252"/>
      <c r="DB20" s="252"/>
      <c r="DC20" s="252"/>
      <c r="DD20" s="252"/>
      <c r="DE20" s="252"/>
      <c r="DF20" s="252"/>
      <c r="DG20" s="252"/>
      <c r="DH20" s="252"/>
      <c r="DI20" s="252"/>
      <c r="DJ20" s="252"/>
      <c r="DK20" s="252"/>
      <c r="DL20" s="252"/>
      <c r="DM20" s="252"/>
      <c r="DN20" s="252"/>
      <c r="DO20" s="252"/>
      <c r="DP20" s="252"/>
      <c r="DQ20" s="252"/>
      <c r="DR20" s="252"/>
      <c r="DS20" s="252"/>
      <c r="DT20" s="252"/>
      <c r="DU20" s="252"/>
      <c r="DV20" s="252"/>
      <c r="DW20" s="252"/>
      <c r="DX20" s="252"/>
      <c r="DY20" s="252"/>
      <c r="DZ20" s="252"/>
      <c r="EA20" s="252"/>
      <c r="EB20" s="252"/>
      <c r="EC20" s="252"/>
      <c r="ED20" s="252"/>
      <c r="EE20" s="252"/>
      <c r="EF20" s="252"/>
      <c r="EG20" s="252"/>
      <c r="EH20" s="252"/>
      <c r="EI20" s="252"/>
      <c r="EJ20" s="252"/>
      <c r="EK20" s="252"/>
      <c r="EL20" s="252"/>
      <c r="EM20" s="252"/>
      <c r="EN20" s="252"/>
      <c r="EO20" s="252"/>
      <c r="EP20" s="252"/>
      <c r="EQ20" s="252"/>
      <c r="ER20" s="252"/>
      <c r="ES20" s="252"/>
      <c r="ET20" s="252"/>
      <c r="EU20" s="252"/>
      <c r="EV20" s="252"/>
      <c r="EW20" s="252"/>
      <c r="EX20" s="252"/>
      <c r="EY20" s="252"/>
      <c r="EZ20" s="252"/>
      <c r="FA20" s="252"/>
      <c r="FB20" s="252"/>
      <c r="FC20" s="252"/>
      <c r="FD20" s="252"/>
      <c r="FE20" s="252"/>
      <c r="FF20" s="252"/>
      <c r="FG20" s="252"/>
      <c r="FH20" s="252"/>
      <c r="FI20" s="252"/>
      <c r="FJ20" s="252"/>
      <c r="FK20" s="252"/>
      <c r="FL20" s="252"/>
      <c r="FM20" s="252"/>
      <c r="FN20" s="252"/>
      <c r="FO20" s="252"/>
      <c r="FP20" s="252"/>
      <c r="FQ20" s="252"/>
      <c r="FR20" s="252"/>
      <c r="FS20" s="252"/>
      <c r="FT20" s="252"/>
      <c r="FU20" s="252"/>
      <c r="FV20" s="252"/>
      <c r="FW20" s="252"/>
      <c r="FX20" s="252"/>
      <c r="FY20" s="252"/>
      <c r="FZ20" s="252"/>
      <c r="GA20" s="252"/>
      <c r="GB20" s="252"/>
      <c r="GC20" s="252"/>
      <c r="GD20" s="252"/>
      <c r="GE20" s="252"/>
      <c r="GF20" s="252"/>
      <c r="GG20" s="252"/>
      <c r="GH20" s="252"/>
      <c r="GI20" s="252"/>
      <c r="GJ20" s="252"/>
      <c r="GK20" s="252"/>
      <c r="GL20" s="252"/>
      <c r="GM20" s="252"/>
      <c r="GN20" s="252"/>
      <c r="GO20" s="252"/>
      <c r="GP20" s="252"/>
      <c r="GQ20" s="252"/>
      <c r="GR20" s="252"/>
      <c r="GS20" s="252"/>
      <c r="GT20" s="252"/>
      <c r="GU20" s="252"/>
      <c r="GV20" s="252"/>
      <c r="GW20" s="252"/>
      <c r="GX20" s="252"/>
      <c r="GY20" s="252"/>
      <c r="GZ20" s="252"/>
      <c r="HA20" s="252"/>
      <c r="HB20" s="252"/>
      <c r="HC20" s="252"/>
      <c r="HD20" s="252"/>
      <c r="HE20" s="252"/>
      <c r="HF20" s="252"/>
      <c r="HG20" s="252"/>
      <c r="HH20" s="252"/>
      <c r="HI20" s="252"/>
      <c r="HJ20" s="252"/>
      <c r="HK20" s="252"/>
      <c r="HL20" s="252"/>
      <c r="HM20" s="252"/>
      <c r="HN20" s="252"/>
      <c r="HO20" s="252"/>
      <c r="HP20" s="252"/>
      <c r="HQ20" s="252"/>
      <c r="HR20" s="252"/>
      <c r="HS20" s="252"/>
      <c r="HT20" s="252"/>
      <c r="HU20" s="252"/>
    </row>
    <row r="21" spans="1:229" s="15" customFormat="1" ht="18" customHeight="1">
      <c r="A21" s="250"/>
      <c r="B21" s="5"/>
      <c r="C21" s="6"/>
      <c r="D21" s="6"/>
      <c r="E21" s="6"/>
      <c r="F21" s="6"/>
      <c r="G21" s="7"/>
      <c r="H21" s="145"/>
      <c r="I21" s="205"/>
      <c r="J21" s="145"/>
      <c r="K21" s="145"/>
      <c r="L21" s="145"/>
      <c r="M21" s="145"/>
      <c r="N21" s="145"/>
      <c r="O21" s="145"/>
      <c r="P21" s="145"/>
      <c r="Q21" s="145"/>
      <c r="R21" s="145"/>
      <c r="S21" s="145"/>
      <c r="T21" s="145"/>
      <c r="U21" s="145"/>
      <c r="V21" s="145"/>
      <c r="W21" s="145"/>
      <c r="X21" s="145"/>
      <c r="Y21" s="145"/>
      <c r="Z21" s="145"/>
    </row>
    <row r="22" spans="1:229" s="207" customFormat="1" ht="18" customHeight="1">
      <c r="A22" s="250"/>
      <c r="B22" s="8"/>
      <c r="C22" s="197"/>
      <c r="D22" s="6"/>
      <c r="E22" s="226" t="s">
        <v>127</v>
      </c>
      <c r="F22" s="6"/>
      <c r="G22" s="169"/>
      <c r="H22" s="205"/>
      <c r="I22" s="242"/>
      <c r="J22" s="205"/>
      <c r="K22" s="205"/>
      <c r="L22" s="205"/>
      <c r="M22" s="205"/>
      <c r="N22" s="205"/>
      <c r="O22" s="205"/>
      <c r="P22" s="205"/>
      <c r="Q22" s="205"/>
      <c r="R22" s="205"/>
      <c r="S22" s="205"/>
      <c r="T22" s="205"/>
      <c r="U22" s="205"/>
      <c r="V22" s="205"/>
      <c r="W22" s="205"/>
      <c r="X22" s="205"/>
      <c r="Y22" s="205"/>
      <c r="Z22" s="205"/>
      <c r="AA22" s="206"/>
      <c r="AB22" s="206"/>
      <c r="AC22" s="206"/>
      <c r="AD22" s="206"/>
      <c r="AE22" s="206"/>
      <c r="AF22" s="206"/>
      <c r="AG22" s="206"/>
      <c r="AH22" s="206"/>
      <c r="AI22" s="206"/>
      <c r="AJ22" s="206"/>
      <c r="AK22" s="206"/>
      <c r="AL22" s="206"/>
      <c r="AM22" s="206"/>
      <c r="AN22" s="206"/>
      <c r="AO22" s="206"/>
      <c r="AP22" s="206"/>
      <c r="AQ22" s="206"/>
      <c r="AR22" s="206"/>
      <c r="AS22" s="206"/>
      <c r="AT22" s="206"/>
      <c r="AU22" s="206"/>
      <c r="AV22" s="206"/>
      <c r="AW22" s="206"/>
      <c r="AX22" s="206"/>
      <c r="AY22" s="206"/>
      <c r="AZ22" s="206"/>
      <c r="BA22" s="206"/>
      <c r="BB22" s="206"/>
      <c r="BC22" s="206"/>
      <c r="BD22" s="206"/>
      <c r="BE22" s="206"/>
      <c r="BF22" s="206"/>
      <c r="BG22" s="206"/>
      <c r="BH22" s="206"/>
      <c r="BI22" s="206"/>
      <c r="BJ22" s="206"/>
      <c r="BK22" s="206"/>
      <c r="BL22" s="206"/>
      <c r="BM22" s="206"/>
      <c r="BN22" s="206"/>
      <c r="BO22" s="206"/>
      <c r="BP22" s="206"/>
      <c r="BQ22" s="206"/>
      <c r="BR22" s="206"/>
      <c r="BS22" s="206"/>
      <c r="BT22" s="206"/>
      <c r="BU22" s="206"/>
      <c r="BV22" s="206"/>
      <c r="BW22" s="206"/>
      <c r="BX22" s="206"/>
      <c r="BY22" s="206"/>
      <c r="BZ22" s="206"/>
      <c r="CA22" s="206"/>
      <c r="CB22" s="206"/>
      <c r="CC22" s="206"/>
      <c r="CD22" s="206"/>
      <c r="CE22" s="206"/>
      <c r="CF22" s="206"/>
      <c r="CG22" s="206"/>
      <c r="CH22" s="206"/>
      <c r="CI22" s="206"/>
      <c r="CJ22" s="206"/>
      <c r="CK22" s="206"/>
      <c r="CL22" s="206"/>
      <c r="CM22" s="206"/>
      <c r="CN22" s="206"/>
      <c r="CO22" s="206"/>
      <c r="CP22" s="206"/>
      <c r="CQ22" s="206"/>
      <c r="CR22" s="206"/>
      <c r="CS22" s="206"/>
      <c r="CT22" s="206"/>
      <c r="CU22" s="206"/>
      <c r="CV22" s="206"/>
      <c r="CW22" s="206"/>
      <c r="CX22" s="206"/>
      <c r="CY22" s="206"/>
      <c r="CZ22" s="206"/>
      <c r="DA22" s="206"/>
      <c r="DB22" s="206"/>
      <c r="DC22" s="206"/>
      <c r="DD22" s="206"/>
      <c r="DE22" s="206"/>
      <c r="DF22" s="206"/>
      <c r="DG22" s="206"/>
      <c r="DH22" s="206"/>
      <c r="DI22" s="206"/>
      <c r="DJ22" s="206"/>
      <c r="DK22" s="206"/>
      <c r="DL22" s="206"/>
      <c r="DM22" s="206"/>
      <c r="DN22" s="206"/>
      <c r="DO22" s="206"/>
      <c r="DP22" s="206"/>
      <c r="DQ22" s="206"/>
      <c r="DR22" s="206"/>
      <c r="DS22" s="206"/>
      <c r="DT22" s="206"/>
      <c r="DU22" s="206"/>
      <c r="DV22" s="206"/>
      <c r="DW22" s="206"/>
      <c r="DX22" s="206"/>
      <c r="DY22" s="206"/>
      <c r="DZ22" s="206"/>
      <c r="EA22" s="206"/>
      <c r="EB22" s="206"/>
      <c r="EC22" s="206"/>
      <c r="ED22" s="206"/>
      <c r="EE22" s="206"/>
      <c r="EF22" s="206"/>
      <c r="EG22" s="206"/>
      <c r="EH22" s="206"/>
      <c r="EI22" s="206"/>
      <c r="EJ22" s="206"/>
      <c r="EK22" s="206"/>
      <c r="EL22" s="206"/>
      <c r="EM22" s="206"/>
      <c r="EN22" s="206"/>
      <c r="EO22" s="206"/>
      <c r="EP22" s="206"/>
      <c r="EQ22" s="206"/>
      <c r="ER22" s="206"/>
      <c r="ES22" s="206"/>
      <c r="ET22" s="206"/>
      <c r="EU22" s="206"/>
      <c r="EV22" s="206"/>
      <c r="EW22" s="206"/>
      <c r="EX22" s="206"/>
      <c r="EY22" s="206"/>
      <c r="EZ22" s="206"/>
      <c r="FA22" s="206"/>
      <c r="FB22" s="206"/>
      <c r="FC22" s="206"/>
      <c r="FD22" s="206"/>
      <c r="FE22" s="206"/>
      <c r="FF22" s="206"/>
      <c r="FG22" s="206"/>
      <c r="FH22" s="206"/>
      <c r="FI22" s="206"/>
      <c r="FJ22" s="206"/>
      <c r="FK22" s="206"/>
      <c r="FL22" s="206"/>
      <c r="FM22" s="206"/>
      <c r="FN22" s="206"/>
      <c r="FO22" s="206"/>
      <c r="FP22" s="206"/>
      <c r="FQ22" s="206"/>
      <c r="FR22" s="206"/>
      <c r="FS22" s="206"/>
      <c r="FT22" s="206"/>
      <c r="FU22" s="206"/>
      <c r="FV22" s="206"/>
      <c r="FW22" s="206"/>
      <c r="FX22" s="206"/>
      <c r="FY22" s="206"/>
      <c r="FZ22" s="206"/>
      <c r="GA22" s="206"/>
      <c r="GB22" s="206"/>
      <c r="GC22" s="206"/>
      <c r="GD22" s="206"/>
      <c r="GE22" s="206"/>
      <c r="GF22" s="206"/>
      <c r="GG22" s="206"/>
      <c r="GH22" s="206"/>
      <c r="GI22" s="206"/>
      <c r="GJ22" s="206"/>
      <c r="GK22" s="206"/>
      <c r="GL22" s="206"/>
      <c r="GM22" s="206"/>
      <c r="GN22" s="206"/>
      <c r="GO22" s="206"/>
      <c r="GP22" s="206"/>
      <c r="GQ22" s="206"/>
      <c r="GR22" s="206"/>
      <c r="GS22" s="206"/>
      <c r="GT22" s="206"/>
      <c r="GU22" s="206"/>
      <c r="GV22" s="206"/>
      <c r="GW22" s="206"/>
      <c r="GX22" s="206"/>
      <c r="GY22" s="206"/>
      <c r="GZ22" s="206"/>
      <c r="HA22" s="206"/>
      <c r="HB22" s="206"/>
      <c r="HC22" s="206"/>
      <c r="HD22" s="206"/>
      <c r="HE22" s="206"/>
      <c r="HF22" s="206"/>
      <c r="HG22" s="206"/>
      <c r="HH22" s="206"/>
      <c r="HI22" s="206"/>
      <c r="HJ22" s="206"/>
      <c r="HK22" s="206"/>
      <c r="HL22" s="206"/>
      <c r="HM22" s="206"/>
      <c r="HN22" s="206"/>
      <c r="HO22" s="206"/>
      <c r="HP22" s="206"/>
      <c r="HQ22" s="206"/>
      <c r="HR22" s="206"/>
      <c r="HS22" s="206"/>
      <c r="HT22" s="206"/>
      <c r="HU22" s="206"/>
    </row>
    <row r="23" spans="1:229" s="16" customFormat="1" ht="18" customHeight="1">
      <c r="A23" s="250"/>
      <c r="B23" s="13"/>
      <c r="C23" s="198"/>
      <c r="D23" s="6"/>
      <c r="E23" s="226" t="s">
        <v>128</v>
      </c>
      <c r="F23" s="6"/>
      <c r="G23" s="171"/>
      <c r="H23" s="126"/>
      <c r="I23" s="145"/>
      <c r="J23" s="126"/>
      <c r="K23" s="126"/>
      <c r="L23" s="126"/>
      <c r="M23" s="126"/>
      <c r="N23" s="126"/>
      <c r="O23" s="126"/>
      <c r="P23" s="126"/>
      <c r="Q23" s="126"/>
      <c r="R23" s="126"/>
      <c r="S23" s="126"/>
      <c r="T23" s="126"/>
      <c r="U23" s="126"/>
      <c r="V23" s="126"/>
      <c r="W23" s="126"/>
      <c r="X23" s="126"/>
      <c r="Y23" s="126"/>
      <c r="Z23" s="126"/>
      <c r="AA23" s="15"/>
      <c r="AB23" s="15"/>
      <c r="AC23" s="15"/>
      <c r="AD23" s="15"/>
      <c r="AE23" s="15"/>
      <c r="AF23" s="15"/>
      <c r="AG23" s="15"/>
      <c r="AH23" s="15"/>
      <c r="AI23" s="15"/>
      <c r="AJ23" s="15"/>
      <c r="AK23" s="15"/>
      <c r="AL23" s="15"/>
      <c r="AM23" s="15"/>
      <c r="AN23" s="15"/>
      <c r="AO23" s="15"/>
      <c r="AP23" s="15"/>
      <c r="AQ23" s="15"/>
      <c r="AR23" s="15"/>
      <c r="AS23" s="15"/>
      <c r="AT23" s="15"/>
      <c r="AU23" s="15"/>
      <c r="AV23" s="15"/>
      <c r="AW23" s="15"/>
      <c r="AX23" s="15"/>
      <c r="AY23" s="15"/>
      <c r="AZ23" s="15"/>
      <c r="BA23" s="15"/>
      <c r="BB23" s="15"/>
      <c r="BC23" s="15"/>
      <c r="BD23" s="15"/>
      <c r="BE23" s="15"/>
      <c r="BF23" s="15"/>
      <c r="BG23" s="15"/>
      <c r="BH23" s="15"/>
      <c r="BI23" s="15"/>
      <c r="BJ23" s="15"/>
      <c r="BK23" s="15"/>
      <c r="BL23" s="15"/>
      <c r="BM23" s="15"/>
      <c r="BN23" s="15"/>
      <c r="BO23" s="15"/>
      <c r="BP23" s="15"/>
      <c r="BQ23" s="15"/>
      <c r="BR23" s="15"/>
      <c r="BS23" s="15"/>
      <c r="BT23" s="15"/>
      <c r="BU23" s="15"/>
      <c r="BV23" s="15"/>
      <c r="BW23" s="15"/>
      <c r="BX23" s="15"/>
      <c r="BY23" s="15"/>
      <c r="BZ23" s="15"/>
      <c r="CA23" s="15"/>
      <c r="CB23" s="15"/>
      <c r="CC23" s="15"/>
      <c r="CD23" s="15"/>
      <c r="CE23" s="15"/>
      <c r="CF23" s="15"/>
      <c r="CG23" s="15"/>
      <c r="CH23" s="15"/>
      <c r="CI23" s="15"/>
      <c r="CJ23" s="15"/>
      <c r="CK23" s="15"/>
      <c r="CL23" s="15"/>
      <c r="CM23" s="15"/>
      <c r="CN23" s="15"/>
      <c r="CO23" s="15"/>
      <c r="CP23" s="15"/>
      <c r="CQ23" s="15"/>
      <c r="CR23" s="15"/>
      <c r="CS23" s="15"/>
      <c r="CT23" s="15"/>
      <c r="CU23" s="15"/>
      <c r="CV23" s="15"/>
      <c r="CW23" s="15"/>
      <c r="CX23" s="15"/>
      <c r="CY23" s="15"/>
      <c r="CZ23" s="15"/>
      <c r="DA23" s="15"/>
      <c r="DB23" s="15"/>
      <c r="DC23" s="15"/>
      <c r="DD23" s="15"/>
      <c r="DE23" s="15"/>
      <c r="DF23" s="15"/>
      <c r="DG23" s="15"/>
      <c r="DH23" s="15"/>
      <c r="DI23" s="15"/>
      <c r="DJ23" s="15"/>
      <c r="DK23" s="15"/>
      <c r="DL23" s="15"/>
      <c r="DM23" s="15"/>
      <c r="DN23" s="15"/>
      <c r="DO23" s="15"/>
      <c r="DP23" s="15"/>
      <c r="DQ23" s="15"/>
      <c r="DR23" s="15"/>
      <c r="DS23" s="15"/>
      <c r="DT23" s="15"/>
      <c r="DU23" s="15"/>
      <c r="DV23" s="15"/>
      <c r="DW23" s="15"/>
      <c r="DX23" s="15"/>
      <c r="DY23" s="15"/>
      <c r="DZ23" s="15"/>
      <c r="EA23" s="15"/>
      <c r="EB23" s="15"/>
      <c r="EC23" s="15"/>
      <c r="ED23" s="15"/>
      <c r="EE23" s="15"/>
      <c r="EF23" s="15"/>
      <c r="EG23" s="15"/>
      <c r="EH23" s="15"/>
      <c r="EI23" s="15"/>
      <c r="EJ23" s="15"/>
      <c r="EK23" s="15"/>
      <c r="EL23" s="15"/>
      <c r="EM23" s="15"/>
      <c r="EN23" s="15"/>
      <c r="EO23" s="15"/>
      <c r="EP23" s="15"/>
      <c r="EQ23" s="15"/>
      <c r="ER23" s="15"/>
      <c r="ES23" s="15"/>
      <c r="ET23" s="15"/>
      <c r="EU23" s="15"/>
      <c r="EV23" s="15"/>
      <c r="EW23" s="15"/>
      <c r="EX23" s="15"/>
      <c r="EY23" s="15"/>
      <c r="EZ23" s="15"/>
      <c r="FA23" s="15"/>
      <c r="FB23" s="15"/>
      <c r="FC23" s="15"/>
      <c r="FD23" s="15"/>
      <c r="FE23" s="15"/>
      <c r="FF23" s="15"/>
      <c r="FG23" s="15"/>
      <c r="FH23" s="15"/>
      <c r="FI23" s="15"/>
      <c r="FJ23" s="15"/>
      <c r="FK23" s="15"/>
      <c r="FL23" s="15"/>
      <c r="FM23" s="15"/>
      <c r="FN23" s="15"/>
      <c r="FO23" s="15"/>
      <c r="FP23" s="15"/>
      <c r="FQ23" s="15"/>
      <c r="FR23" s="15"/>
      <c r="FS23" s="15"/>
      <c r="FT23" s="15"/>
      <c r="FU23" s="15"/>
      <c r="FV23" s="15"/>
      <c r="FW23" s="15"/>
      <c r="FX23" s="15"/>
      <c r="FY23" s="15"/>
      <c r="FZ23" s="15"/>
      <c r="GA23" s="15"/>
      <c r="GB23" s="15"/>
      <c r="GC23" s="15"/>
      <c r="GD23" s="15"/>
      <c r="GE23" s="15"/>
      <c r="GF23" s="15"/>
      <c r="GG23" s="15"/>
      <c r="GH23" s="15"/>
      <c r="GI23" s="15"/>
      <c r="GJ23" s="15"/>
      <c r="GK23" s="15"/>
      <c r="GL23" s="15"/>
      <c r="GM23" s="15"/>
      <c r="GN23" s="15"/>
      <c r="GO23" s="15"/>
      <c r="GP23" s="15"/>
      <c r="GQ23" s="15"/>
      <c r="GR23" s="15"/>
      <c r="GS23" s="15"/>
      <c r="GT23" s="15"/>
      <c r="GU23" s="15"/>
      <c r="GV23" s="15"/>
      <c r="GW23" s="15"/>
      <c r="GX23" s="15"/>
      <c r="GY23" s="15"/>
      <c r="GZ23" s="15"/>
      <c r="HA23" s="15"/>
      <c r="HB23" s="15"/>
      <c r="HC23" s="15"/>
      <c r="HD23" s="15"/>
      <c r="HE23" s="15"/>
      <c r="HF23" s="15"/>
      <c r="HG23" s="15"/>
      <c r="HH23" s="15"/>
      <c r="HI23" s="15"/>
      <c r="HJ23" s="15"/>
      <c r="HK23" s="15"/>
      <c r="HL23" s="15"/>
      <c r="HM23" s="15"/>
      <c r="HN23" s="15"/>
      <c r="HO23" s="15"/>
      <c r="HP23" s="15"/>
      <c r="HQ23" s="15"/>
      <c r="HR23" s="15"/>
      <c r="HS23" s="15"/>
      <c r="HT23" s="15"/>
      <c r="HU23" s="15"/>
    </row>
    <row r="24" spans="1:229" s="16" customFormat="1" ht="18" customHeight="1">
      <c r="A24" s="250"/>
      <c r="B24" s="13"/>
      <c r="C24" s="227"/>
      <c r="D24" s="6"/>
      <c r="E24" s="226" t="s">
        <v>129</v>
      </c>
      <c r="F24" s="6"/>
      <c r="G24" s="171"/>
      <c r="H24" s="126"/>
      <c r="I24" s="145"/>
      <c r="J24" s="126"/>
      <c r="K24" s="126"/>
      <c r="L24" s="126"/>
      <c r="M24" s="126"/>
      <c r="N24" s="126"/>
      <c r="O24" s="126"/>
      <c r="P24" s="126"/>
      <c r="Q24" s="126"/>
      <c r="R24" s="126"/>
      <c r="S24" s="126"/>
      <c r="T24" s="126"/>
      <c r="U24" s="126"/>
      <c r="V24" s="126"/>
      <c r="W24" s="126"/>
      <c r="X24" s="126"/>
      <c r="Y24" s="126"/>
      <c r="Z24" s="126"/>
      <c r="AA24" s="15"/>
      <c r="AB24" s="15"/>
      <c r="AC24" s="15"/>
      <c r="AD24" s="15"/>
      <c r="AE24" s="15"/>
      <c r="AF24" s="15"/>
      <c r="AG24" s="15"/>
      <c r="AH24" s="15"/>
      <c r="AI24" s="15"/>
      <c r="AJ24" s="15"/>
      <c r="AK24" s="15"/>
      <c r="AL24" s="15"/>
      <c r="AM24" s="15"/>
      <c r="AN24" s="15"/>
      <c r="AO24" s="15"/>
      <c r="AP24" s="15"/>
      <c r="AQ24" s="15"/>
      <c r="AR24" s="15"/>
      <c r="AS24" s="15"/>
      <c r="AT24" s="15"/>
      <c r="AU24" s="15"/>
      <c r="AV24" s="15"/>
      <c r="AW24" s="15"/>
      <c r="AX24" s="15"/>
      <c r="AY24" s="15"/>
      <c r="AZ24" s="15"/>
      <c r="BA24" s="15"/>
      <c r="BB24" s="15"/>
      <c r="BC24" s="15"/>
      <c r="BD24" s="15"/>
      <c r="BE24" s="15"/>
      <c r="BF24" s="15"/>
      <c r="BG24" s="15"/>
      <c r="BH24" s="15"/>
      <c r="BI24" s="15"/>
      <c r="BJ24" s="15"/>
      <c r="BK24" s="15"/>
      <c r="BL24" s="15"/>
      <c r="BM24" s="15"/>
      <c r="BN24" s="15"/>
      <c r="BO24" s="15"/>
      <c r="BP24" s="15"/>
      <c r="BQ24" s="15"/>
      <c r="BR24" s="15"/>
      <c r="BS24" s="15"/>
      <c r="BT24" s="15"/>
      <c r="BU24" s="15"/>
      <c r="BV24" s="15"/>
      <c r="BW24" s="15"/>
      <c r="BX24" s="15"/>
      <c r="BY24" s="15"/>
      <c r="BZ24" s="15"/>
      <c r="CA24" s="15"/>
      <c r="CB24" s="15"/>
      <c r="CC24" s="15"/>
      <c r="CD24" s="15"/>
      <c r="CE24" s="15"/>
      <c r="CF24" s="15"/>
      <c r="CG24" s="15"/>
      <c r="CH24" s="15"/>
      <c r="CI24" s="15"/>
      <c r="CJ24" s="15"/>
      <c r="CK24" s="15"/>
      <c r="CL24" s="15"/>
      <c r="CM24" s="15"/>
      <c r="CN24" s="15"/>
      <c r="CO24" s="15"/>
      <c r="CP24" s="15"/>
      <c r="CQ24" s="15"/>
      <c r="CR24" s="15"/>
      <c r="CS24" s="15"/>
      <c r="CT24" s="15"/>
      <c r="CU24" s="15"/>
      <c r="CV24" s="15"/>
      <c r="CW24" s="15"/>
      <c r="CX24" s="15"/>
      <c r="CY24" s="15"/>
      <c r="CZ24" s="15"/>
      <c r="DA24" s="15"/>
      <c r="DB24" s="15"/>
      <c r="DC24" s="15"/>
      <c r="DD24" s="15"/>
      <c r="DE24" s="15"/>
      <c r="DF24" s="15"/>
      <c r="DG24" s="15"/>
      <c r="DH24" s="15"/>
      <c r="DI24" s="15"/>
      <c r="DJ24" s="15"/>
      <c r="DK24" s="15"/>
      <c r="DL24" s="15"/>
      <c r="DM24" s="15"/>
      <c r="DN24" s="15"/>
      <c r="DO24" s="15"/>
      <c r="DP24" s="15"/>
      <c r="DQ24" s="15"/>
      <c r="DR24" s="15"/>
      <c r="DS24" s="15"/>
      <c r="DT24" s="15"/>
      <c r="DU24" s="15"/>
      <c r="DV24" s="15"/>
      <c r="DW24" s="15"/>
      <c r="DX24" s="15"/>
      <c r="DY24" s="15"/>
      <c r="DZ24" s="15"/>
      <c r="EA24" s="15"/>
      <c r="EB24" s="15"/>
      <c r="EC24" s="15"/>
      <c r="ED24" s="15"/>
      <c r="EE24" s="15"/>
      <c r="EF24" s="15"/>
      <c r="EG24" s="15"/>
      <c r="EH24" s="15"/>
      <c r="EI24" s="15"/>
      <c r="EJ24" s="15"/>
      <c r="EK24" s="15"/>
      <c r="EL24" s="15"/>
      <c r="EM24" s="15"/>
      <c r="EN24" s="15"/>
      <c r="EO24" s="15"/>
      <c r="EP24" s="15"/>
      <c r="EQ24" s="15"/>
      <c r="ER24" s="15"/>
      <c r="ES24" s="15"/>
      <c r="ET24" s="15"/>
      <c r="EU24" s="15"/>
      <c r="EV24" s="15"/>
      <c r="EW24" s="15"/>
      <c r="EX24" s="15"/>
      <c r="EY24" s="15"/>
      <c r="EZ24" s="15"/>
      <c r="FA24" s="15"/>
      <c r="FB24" s="15"/>
      <c r="FC24" s="15"/>
      <c r="FD24" s="15"/>
      <c r="FE24" s="15"/>
      <c r="FF24" s="15"/>
      <c r="FG24" s="15"/>
      <c r="FH24" s="15"/>
      <c r="FI24" s="15"/>
      <c r="FJ24" s="15"/>
      <c r="FK24" s="15"/>
      <c r="FL24" s="15"/>
      <c r="FM24" s="15"/>
      <c r="FN24" s="15"/>
      <c r="FO24" s="15"/>
      <c r="FP24" s="15"/>
      <c r="FQ24" s="15"/>
      <c r="FR24" s="15"/>
      <c r="FS24" s="15"/>
      <c r="FT24" s="15"/>
      <c r="FU24" s="15"/>
      <c r="FV24" s="15"/>
      <c r="FW24" s="15"/>
      <c r="FX24" s="15"/>
      <c r="FY24" s="15"/>
      <c r="FZ24" s="15"/>
      <c r="GA24" s="15"/>
      <c r="GB24" s="15"/>
      <c r="GC24" s="15"/>
      <c r="GD24" s="15"/>
      <c r="GE24" s="15"/>
      <c r="GF24" s="15"/>
      <c r="GG24" s="15"/>
      <c r="GH24" s="15"/>
      <c r="GI24" s="15"/>
      <c r="GJ24" s="15"/>
      <c r="GK24" s="15"/>
      <c r="GL24" s="15"/>
      <c r="GM24" s="15"/>
      <c r="GN24" s="15"/>
      <c r="GO24" s="15"/>
      <c r="GP24" s="15"/>
      <c r="GQ24" s="15"/>
      <c r="GR24" s="15"/>
      <c r="GS24" s="15"/>
      <c r="GT24" s="15"/>
      <c r="GU24" s="15"/>
      <c r="GV24" s="15"/>
      <c r="GW24" s="15"/>
      <c r="GX24" s="15"/>
      <c r="GY24" s="15"/>
      <c r="GZ24" s="15"/>
      <c r="HA24" s="15"/>
      <c r="HB24" s="15"/>
      <c r="HC24" s="15"/>
      <c r="HD24" s="15"/>
      <c r="HE24" s="15"/>
      <c r="HF24" s="15"/>
      <c r="HG24" s="15"/>
      <c r="HH24" s="15"/>
      <c r="HI24" s="15"/>
      <c r="HJ24" s="15"/>
      <c r="HK24" s="15"/>
      <c r="HL24" s="15"/>
      <c r="HM24" s="15"/>
      <c r="HN24" s="15"/>
      <c r="HO24" s="15"/>
      <c r="HP24" s="15"/>
      <c r="HQ24" s="15"/>
      <c r="HR24" s="15"/>
      <c r="HS24" s="15"/>
      <c r="HT24" s="15"/>
      <c r="HU24" s="15"/>
    </row>
    <row r="25" spans="1:229" s="207" customFormat="1" ht="18" customHeight="1">
      <c r="A25" s="250"/>
      <c r="B25" s="8"/>
      <c r="C25" s="6"/>
      <c r="D25" s="6"/>
      <c r="E25" s="200"/>
      <c r="F25" s="6"/>
      <c r="G25" s="169"/>
      <c r="H25" s="205"/>
      <c r="I25" s="205"/>
      <c r="J25" s="205"/>
      <c r="K25" s="205"/>
      <c r="L25" s="205"/>
      <c r="M25" s="205"/>
      <c r="N25" s="205"/>
      <c r="O25" s="205"/>
      <c r="P25" s="205"/>
      <c r="Q25" s="205"/>
      <c r="R25" s="205"/>
      <c r="S25" s="205"/>
      <c r="T25" s="205"/>
      <c r="U25" s="205"/>
      <c r="V25" s="205"/>
      <c r="W25" s="205"/>
      <c r="X25" s="205"/>
      <c r="Y25" s="205"/>
      <c r="Z25" s="205"/>
      <c r="AA25" s="206"/>
      <c r="AB25" s="206"/>
      <c r="AC25" s="206"/>
      <c r="AD25" s="206"/>
      <c r="AE25" s="206"/>
      <c r="AF25" s="206"/>
      <c r="AG25" s="206"/>
      <c r="AH25" s="206"/>
      <c r="AI25" s="206"/>
      <c r="AJ25" s="206"/>
      <c r="AK25" s="206"/>
      <c r="AL25" s="206"/>
      <c r="AM25" s="206"/>
      <c r="AN25" s="206"/>
      <c r="AO25" s="206"/>
      <c r="AP25" s="206"/>
      <c r="AQ25" s="206"/>
      <c r="AR25" s="206"/>
      <c r="AS25" s="206"/>
      <c r="AT25" s="206"/>
      <c r="AU25" s="206"/>
      <c r="AV25" s="206"/>
      <c r="AW25" s="206"/>
      <c r="AX25" s="206"/>
      <c r="AY25" s="206"/>
      <c r="AZ25" s="206"/>
      <c r="BA25" s="206"/>
      <c r="BB25" s="206"/>
      <c r="BC25" s="206"/>
      <c r="BD25" s="206"/>
      <c r="BE25" s="206"/>
      <c r="BF25" s="206"/>
      <c r="BG25" s="206"/>
      <c r="BH25" s="206"/>
      <c r="BI25" s="206"/>
      <c r="BJ25" s="206"/>
      <c r="BK25" s="206"/>
      <c r="BL25" s="206"/>
      <c r="BM25" s="206"/>
      <c r="BN25" s="206"/>
      <c r="BO25" s="206"/>
      <c r="BP25" s="206"/>
      <c r="BQ25" s="206"/>
      <c r="BR25" s="206"/>
      <c r="BS25" s="206"/>
      <c r="BT25" s="206"/>
      <c r="BU25" s="206"/>
      <c r="BV25" s="206"/>
      <c r="BW25" s="206"/>
      <c r="BX25" s="206"/>
      <c r="BY25" s="206"/>
      <c r="BZ25" s="206"/>
      <c r="CA25" s="206"/>
      <c r="CB25" s="206"/>
      <c r="CC25" s="206"/>
      <c r="CD25" s="206"/>
      <c r="CE25" s="206"/>
      <c r="CF25" s="206"/>
      <c r="CG25" s="206"/>
      <c r="CH25" s="206"/>
      <c r="CI25" s="206"/>
      <c r="CJ25" s="206"/>
      <c r="CK25" s="206"/>
      <c r="CL25" s="206"/>
      <c r="CM25" s="206"/>
      <c r="CN25" s="206"/>
      <c r="CO25" s="206"/>
      <c r="CP25" s="206"/>
      <c r="CQ25" s="206"/>
      <c r="CR25" s="206"/>
      <c r="CS25" s="206"/>
      <c r="CT25" s="206"/>
      <c r="CU25" s="206"/>
      <c r="CV25" s="206"/>
      <c r="CW25" s="206"/>
      <c r="CX25" s="206"/>
      <c r="CY25" s="206"/>
      <c r="CZ25" s="206"/>
      <c r="DA25" s="206"/>
      <c r="DB25" s="206"/>
      <c r="DC25" s="206"/>
      <c r="DD25" s="206"/>
      <c r="DE25" s="206"/>
      <c r="DF25" s="206"/>
      <c r="DG25" s="206"/>
      <c r="DH25" s="206"/>
      <c r="DI25" s="206"/>
      <c r="DJ25" s="206"/>
      <c r="DK25" s="206"/>
      <c r="DL25" s="206"/>
      <c r="DM25" s="206"/>
      <c r="DN25" s="206"/>
      <c r="DO25" s="206"/>
      <c r="DP25" s="206"/>
      <c r="DQ25" s="206"/>
      <c r="DR25" s="206"/>
      <c r="DS25" s="206"/>
      <c r="DT25" s="206"/>
      <c r="DU25" s="206"/>
      <c r="DV25" s="206"/>
      <c r="DW25" s="206"/>
      <c r="DX25" s="206"/>
      <c r="DY25" s="206"/>
      <c r="DZ25" s="206"/>
      <c r="EA25" s="206"/>
      <c r="EB25" s="206"/>
      <c r="EC25" s="206"/>
      <c r="ED25" s="206"/>
      <c r="EE25" s="206"/>
      <c r="EF25" s="206"/>
      <c r="EG25" s="206"/>
      <c r="EH25" s="206"/>
      <c r="EI25" s="206"/>
      <c r="EJ25" s="206"/>
      <c r="EK25" s="206"/>
      <c r="EL25" s="206"/>
      <c r="EM25" s="206"/>
      <c r="EN25" s="206"/>
      <c r="EO25" s="206"/>
      <c r="EP25" s="206"/>
      <c r="EQ25" s="206"/>
      <c r="ER25" s="206"/>
      <c r="ES25" s="206"/>
      <c r="ET25" s="206"/>
      <c r="EU25" s="206"/>
      <c r="EV25" s="206"/>
      <c r="EW25" s="206"/>
      <c r="EX25" s="206"/>
      <c r="EY25" s="206"/>
      <c r="EZ25" s="206"/>
      <c r="FA25" s="206"/>
      <c r="FB25" s="206"/>
      <c r="FC25" s="206"/>
      <c r="FD25" s="206"/>
      <c r="FE25" s="206"/>
      <c r="FF25" s="206"/>
      <c r="FG25" s="206"/>
      <c r="FH25" s="206"/>
      <c r="FI25" s="206"/>
      <c r="FJ25" s="206"/>
      <c r="FK25" s="206"/>
      <c r="FL25" s="206"/>
      <c r="FM25" s="206"/>
      <c r="FN25" s="206"/>
      <c r="FO25" s="206"/>
      <c r="FP25" s="206"/>
      <c r="FQ25" s="206"/>
      <c r="FR25" s="206"/>
      <c r="FS25" s="206"/>
      <c r="FT25" s="206"/>
      <c r="FU25" s="206"/>
      <c r="FV25" s="206"/>
      <c r="FW25" s="206"/>
      <c r="FX25" s="206"/>
      <c r="FY25" s="206"/>
      <c r="FZ25" s="206"/>
      <c r="GA25" s="206"/>
      <c r="GB25" s="206"/>
      <c r="GC25" s="206"/>
      <c r="GD25" s="206"/>
      <c r="GE25" s="206"/>
      <c r="GF25" s="206"/>
      <c r="GG25" s="206"/>
      <c r="GH25" s="206"/>
      <c r="GI25" s="206"/>
      <c r="GJ25" s="206"/>
      <c r="GK25" s="206"/>
      <c r="GL25" s="206"/>
      <c r="GM25" s="206"/>
      <c r="GN25" s="206"/>
      <c r="GO25" s="206"/>
      <c r="GP25" s="206"/>
      <c r="GQ25" s="206"/>
      <c r="GR25" s="206"/>
      <c r="GS25" s="206"/>
      <c r="GT25" s="206"/>
      <c r="GU25" s="206"/>
      <c r="GV25" s="206"/>
      <c r="GW25" s="206"/>
      <c r="GX25" s="206"/>
      <c r="GY25" s="206"/>
      <c r="GZ25" s="206"/>
      <c r="HA25" s="206"/>
      <c r="HB25" s="206"/>
      <c r="HC25" s="206"/>
      <c r="HD25" s="206"/>
      <c r="HE25" s="206"/>
      <c r="HF25" s="206"/>
      <c r="HG25" s="206"/>
      <c r="HH25" s="206"/>
      <c r="HI25" s="206"/>
      <c r="HJ25" s="206"/>
      <c r="HK25" s="206"/>
      <c r="HL25" s="206"/>
      <c r="HM25" s="206"/>
      <c r="HN25" s="206"/>
      <c r="HO25" s="206"/>
      <c r="HP25" s="206"/>
      <c r="HQ25" s="206"/>
      <c r="HR25" s="206"/>
      <c r="HS25" s="206"/>
      <c r="HT25" s="206"/>
      <c r="HU25" s="206"/>
    </row>
    <row r="26" spans="1:229" s="12" customFormat="1" ht="18" customHeight="1">
      <c r="A26" s="250"/>
      <c r="B26" s="10"/>
      <c r="C26" s="199" t="s">
        <v>130</v>
      </c>
      <c r="D26" s="6"/>
      <c r="E26" s="200"/>
      <c r="F26" s="6"/>
      <c r="G26" s="170"/>
      <c r="H26" s="165"/>
      <c r="I26" s="205"/>
      <c r="J26" s="165"/>
      <c r="K26" s="165"/>
      <c r="L26" s="165"/>
      <c r="M26" s="165"/>
      <c r="N26" s="165"/>
      <c r="O26" s="165"/>
      <c r="P26" s="165"/>
      <c r="Q26" s="165"/>
      <c r="R26" s="165"/>
      <c r="S26" s="165"/>
      <c r="T26" s="165"/>
      <c r="U26" s="165"/>
      <c r="V26" s="165"/>
      <c r="W26" s="165"/>
      <c r="X26" s="165"/>
      <c r="Y26" s="165"/>
      <c r="Z26" s="165"/>
      <c r="AA26" s="11"/>
      <c r="AB26" s="11"/>
      <c r="AC26" s="11"/>
      <c r="AD26" s="11"/>
      <c r="AE26" s="11"/>
      <c r="AF26" s="11"/>
      <c r="AG26" s="11"/>
      <c r="AH26" s="11"/>
      <c r="AI26" s="11"/>
      <c r="AJ26" s="11"/>
      <c r="AK26" s="11"/>
      <c r="AL26" s="11"/>
      <c r="AM26" s="11"/>
      <c r="AN26" s="11"/>
      <c r="AO26" s="11"/>
      <c r="AP26" s="11"/>
      <c r="AQ26" s="11"/>
      <c r="AR26" s="11"/>
      <c r="AS26" s="11"/>
      <c r="AT26" s="11"/>
      <c r="AU26" s="11"/>
      <c r="AV26" s="11"/>
      <c r="AW26" s="11"/>
      <c r="AX26" s="11"/>
      <c r="AY26" s="11"/>
      <c r="AZ26" s="11"/>
      <c r="BA26" s="11"/>
      <c r="BB26" s="11"/>
      <c r="BC26" s="11"/>
      <c r="BD26" s="11"/>
      <c r="BE26" s="11"/>
      <c r="BF26" s="11"/>
      <c r="BG26" s="11"/>
      <c r="BH26" s="11"/>
      <c r="BI26" s="11"/>
      <c r="BJ26" s="11"/>
      <c r="BK26" s="11"/>
      <c r="BL26" s="11"/>
      <c r="BM26" s="11"/>
      <c r="BN26" s="11"/>
      <c r="BO26" s="11"/>
      <c r="BP26" s="11"/>
      <c r="BQ26" s="11"/>
      <c r="BR26" s="11"/>
      <c r="BS26" s="11"/>
      <c r="BT26" s="11"/>
      <c r="BU26" s="11"/>
      <c r="BV26" s="11"/>
      <c r="BW26" s="11"/>
      <c r="BX26" s="11"/>
      <c r="BY26" s="11"/>
      <c r="BZ26" s="11"/>
      <c r="CA26" s="11"/>
      <c r="CB26" s="11"/>
      <c r="CC26" s="11"/>
      <c r="CD26" s="11"/>
      <c r="CE26" s="11"/>
      <c r="CF26" s="11"/>
      <c r="CG26" s="11"/>
      <c r="CH26" s="11"/>
      <c r="CI26" s="11"/>
      <c r="CJ26" s="11"/>
      <c r="CK26" s="11"/>
      <c r="CL26" s="11"/>
      <c r="CM26" s="11"/>
      <c r="CN26" s="11"/>
      <c r="CO26" s="11"/>
      <c r="CP26" s="11"/>
      <c r="CQ26" s="11"/>
      <c r="CR26" s="11"/>
      <c r="CS26" s="11"/>
      <c r="CT26" s="11"/>
      <c r="CU26" s="11"/>
      <c r="CV26" s="11"/>
      <c r="CW26" s="11"/>
      <c r="CX26" s="11"/>
      <c r="CY26" s="11"/>
      <c r="CZ26" s="11"/>
      <c r="DA26" s="11"/>
      <c r="DB26" s="11"/>
      <c r="DC26" s="11"/>
      <c r="DD26" s="11"/>
      <c r="DE26" s="11"/>
      <c r="DF26" s="11"/>
      <c r="DG26" s="11"/>
      <c r="DH26" s="11"/>
      <c r="DI26" s="11"/>
      <c r="DJ26" s="11"/>
      <c r="DK26" s="11"/>
      <c r="DL26" s="11"/>
      <c r="DM26" s="11"/>
      <c r="DN26" s="11"/>
      <c r="DO26" s="11"/>
      <c r="DP26" s="11"/>
      <c r="DQ26" s="11"/>
      <c r="DR26" s="11"/>
      <c r="DS26" s="11"/>
      <c r="DT26" s="11"/>
      <c r="DU26" s="11"/>
      <c r="DV26" s="11"/>
      <c r="DW26" s="11"/>
      <c r="DX26" s="11"/>
      <c r="DY26" s="11"/>
      <c r="DZ26" s="11"/>
      <c r="EA26" s="11"/>
      <c r="EB26" s="11"/>
      <c r="EC26" s="11"/>
      <c r="ED26" s="11"/>
      <c r="EE26" s="11"/>
      <c r="EF26" s="11"/>
      <c r="EG26" s="11"/>
      <c r="EH26" s="11"/>
      <c r="EI26" s="11"/>
      <c r="EJ26" s="11"/>
      <c r="EK26" s="11"/>
      <c r="EL26" s="11"/>
      <c r="EM26" s="11"/>
      <c r="EN26" s="11"/>
      <c r="EO26" s="11"/>
      <c r="EP26" s="11"/>
      <c r="EQ26" s="11"/>
      <c r="ER26" s="11"/>
      <c r="ES26" s="11"/>
      <c r="ET26" s="11"/>
      <c r="EU26" s="11"/>
      <c r="EV26" s="11"/>
      <c r="EW26" s="11"/>
      <c r="EX26" s="11"/>
      <c r="EY26" s="11"/>
      <c r="EZ26" s="11"/>
      <c r="FA26" s="11"/>
      <c r="FB26" s="11"/>
      <c r="FC26" s="11"/>
      <c r="FD26" s="11"/>
      <c r="FE26" s="11"/>
      <c r="FF26" s="11"/>
      <c r="FG26" s="11"/>
      <c r="FH26" s="11"/>
      <c r="FI26" s="11"/>
      <c r="FJ26" s="11"/>
      <c r="FK26" s="11"/>
      <c r="FL26" s="11"/>
      <c r="FM26" s="11"/>
      <c r="FN26" s="11"/>
      <c r="FO26" s="11"/>
      <c r="FP26" s="11"/>
      <c r="FQ26" s="11"/>
      <c r="FR26" s="11"/>
      <c r="FS26" s="11"/>
      <c r="FT26" s="11"/>
      <c r="FU26" s="11"/>
      <c r="FV26" s="11"/>
      <c r="FW26" s="11"/>
      <c r="FX26" s="11"/>
      <c r="FY26" s="11"/>
      <c r="FZ26" s="11"/>
      <c r="GA26" s="11"/>
      <c r="GB26" s="11"/>
      <c r="GC26" s="11"/>
      <c r="GD26" s="11"/>
      <c r="GE26" s="11"/>
      <c r="GF26" s="11"/>
      <c r="GG26" s="11"/>
      <c r="GH26" s="11"/>
      <c r="GI26" s="11"/>
      <c r="GJ26" s="11"/>
      <c r="GK26" s="11"/>
      <c r="GL26" s="11"/>
      <c r="GM26" s="11"/>
      <c r="GN26" s="11"/>
      <c r="GO26" s="11"/>
      <c r="GP26" s="11"/>
      <c r="GQ26" s="11"/>
      <c r="GR26" s="11"/>
      <c r="GS26" s="11"/>
      <c r="GT26" s="11"/>
      <c r="GU26" s="11"/>
      <c r="GV26" s="11"/>
      <c r="GW26" s="11"/>
      <c r="GX26" s="11"/>
      <c r="GY26" s="11"/>
      <c r="GZ26" s="11"/>
      <c r="HA26" s="11"/>
      <c r="HB26" s="11"/>
      <c r="HC26" s="11"/>
      <c r="HD26" s="11"/>
      <c r="HE26" s="11"/>
      <c r="HF26" s="11"/>
      <c r="HG26" s="11"/>
      <c r="HH26" s="11"/>
      <c r="HI26" s="11"/>
      <c r="HJ26" s="11"/>
      <c r="HK26" s="11"/>
      <c r="HL26" s="11"/>
      <c r="HM26" s="11"/>
      <c r="HN26" s="11"/>
      <c r="HO26" s="11"/>
      <c r="HP26" s="11"/>
      <c r="HQ26" s="11"/>
      <c r="HR26" s="11"/>
      <c r="HS26" s="11"/>
      <c r="HT26" s="11"/>
      <c r="HU26" s="11"/>
    </row>
    <row r="27" spans="1:229" s="12" customFormat="1" ht="18" customHeight="1">
      <c r="A27" s="250"/>
      <c r="B27" s="10"/>
      <c r="C27" s="19"/>
      <c r="D27" s="19"/>
      <c r="E27" s="19"/>
      <c r="F27" s="19"/>
      <c r="G27" s="170"/>
      <c r="H27" s="165"/>
      <c r="I27" s="166"/>
      <c r="J27" s="165"/>
      <c r="K27" s="165"/>
      <c r="L27" s="165"/>
      <c r="M27" s="165"/>
      <c r="N27" s="165"/>
      <c r="O27" s="165"/>
      <c r="P27" s="165"/>
      <c r="Q27" s="165"/>
      <c r="R27" s="165"/>
      <c r="S27" s="165"/>
      <c r="T27" s="165"/>
      <c r="U27" s="165"/>
      <c r="V27" s="165"/>
      <c r="W27" s="165"/>
      <c r="X27" s="165"/>
      <c r="Y27" s="165"/>
      <c r="Z27" s="165"/>
      <c r="AA27" s="11"/>
      <c r="AB27" s="11"/>
      <c r="AC27" s="11"/>
      <c r="AD27" s="11"/>
      <c r="AE27" s="11"/>
      <c r="AF27" s="11"/>
      <c r="AG27" s="11"/>
      <c r="AH27" s="11"/>
      <c r="AI27" s="11"/>
      <c r="AJ27" s="11"/>
      <c r="AK27" s="11"/>
      <c r="AL27" s="11"/>
      <c r="AM27" s="11"/>
      <c r="AN27" s="11"/>
      <c r="AO27" s="11"/>
      <c r="AP27" s="11"/>
      <c r="AQ27" s="11"/>
      <c r="AR27" s="11"/>
      <c r="AS27" s="11"/>
      <c r="AT27" s="11"/>
      <c r="AU27" s="11"/>
      <c r="AV27" s="11"/>
      <c r="AW27" s="11"/>
      <c r="AX27" s="11"/>
      <c r="AY27" s="11"/>
      <c r="AZ27" s="11"/>
      <c r="BA27" s="11"/>
      <c r="BB27" s="11"/>
      <c r="BC27" s="11"/>
      <c r="BD27" s="11"/>
      <c r="BE27" s="11"/>
      <c r="BF27" s="11"/>
      <c r="BG27" s="11"/>
      <c r="BH27" s="11"/>
      <c r="BI27" s="11"/>
      <c r="BJ27" s="11"/>
      <c r="BK27" s="11"/>
      <c r="BL27" s="11"/>
      <c r="BM27" s="11"/>
      <c r="BN27" s="11"/>
      <c r="BO27" s="11"/>
      <c r="BP27" s="11"/>
      <c r="BQ27" s="11"/>
      <c r="BR27" s="11"/>
      <c r="BS27" s="11"/>
      <c r="BT27" s="11"/>
      <c r="BU27" s="11"/>
      <c r="BV27" s="11"/>
      <c r="BW27" s="11"/>
      <c r="BX27" s="11"/>
      <c r="BY27" s="11"/>
      <c r="BZ27" s="11"/>
      <c r="CA27" s="11"/>
      <c r="CB27" s="11"/>
      <c r="CC27" s="11"/>
      <c r="CD27" s="11"/>
      <c r="CE27" s="11"/>
      <c r="CF27" s="11"/>
      <c r="CG27" s="11"/>
      <c r="CH27" s="11"/>
      <c r="CI27" s="11"/>
      <c r="CJ27" s="11"/>
      <c r="CK27" s="11"/>
      <c r="CL27" s="11"/>
      <c r="CM27" s="11"/>
      <c r="CN27" s="11"/>
      <c r="CO27" s="11"/>
      <c r="CP27" s="11"/>
      <c r="CQ27" s="11"/>
      <c r="CR27" s="11"/>
      <c r="CS27" s="11"/>
      <c r="CT27" s="11"/>
      <c r="CU27" s="11"/>
      <c r="CV27" s="11"/>
      <c r="CW27" s="11"/>
      <c r="CX27" s="11"/>
      <c r="CY27" s="11"/>
      <c r="CZ27" s="11"/>
      <c r="DA27" s="11"/>
      <c r="DB27" s="11"/>
      <c r="DC27" s="11"/>
      <c r="DD27" s="11"/>
      <c r="DE27" s="11"/>
      <c r="DF27" s="11"/>
      <c r="DG27" s="11"/>
      <c r="DH27" s="11"/>
      <c r="DI27" s="11"/>
      <c r="DJ27" s="11"/>
      <c r="DK27" s="11"/>
      <c r="DL27" s="11"/>
      <c r="DM27" s="11"/>
      <c r="DN27" s="11"/>
      <c r="DO27" s="11"/>
      <c r="DP27" s="11"/>
      <c r="DQ27" s="11"/>
      <c r="DR27" s="11"/>
      <c r="DS27" s="11"/>
      <c r="DT27" s="11"/>
      <c r="DU27" s="11"/>
      <c r="DV27" s="11"/>
      <c r="DW27" s="11"/>
      <c r="DX27" s="11"/>
      <c r="DY27" s="11"/>
      <c r="DZ27" s="11"/>
      <c r="EA27" s="11"/>
      <c r="EB27" s="11"/>
      <c r="EC27" s="11"/>
      <c r="ED27" s="11"/>
      <c r="EE27" s="11"/>
      <c r="EF27" s="11"/>
      <c r="EG27" s="11"/>
      <c r="EH27" s="11"/>
      <c r="EI27" s="11"/>
      <c r="EJ27" s="11"/>
      <c r="EK27" s="11"/>
      <c r="EL27" s="11"/>
      <c r="EM27" s="11"/>
      <c r="EN27" s="11"/>
      <c r="EO27" s="11"/>
      <c r="EP27" s="11"/>
      <c r="EQ27" s="11"/>
      <c r="ER27" s="11"/>
      <c r="ES27" s="11"/>
      <c r="ET27" s="11"/>
      <c r="EU27" s="11"/>
      <c r="EV27" s="11"/>
      <c r="EW27" s="11"/>
      <c r="EX27" s="11"/>
      <c r="EY27" s="11"/>
      <c r="EZ27" s="11"/>
      <c r="FA27" s="11"/>
      <c r="FB27" s="11"/>
      <c r="FC27" s="11"/>
      <c r="FD27" s="11"/>
      <c r="FE27" s="11"/>
      <c r="FF27" s="11"/>
      <c r="FG27" s="11"/>
      <c r="FH27" s="11"/>
      <c r="FI27" s="11"/>
      <c r="FJ27" s="11"/>
      <c r="FK27" s="11"/>
      <c r="FL27" s="11"/>
      <c r="FM27" s="11"/>
      <c r="FN27" s="11"/>
      <c r="FO27" s="11"/>
      <c r="FP27" s="11"/>
      <c r="FQ27" s="11"/>
      <c r="FR27" s="11"/>
      <c r="FS27" s="11"/>
      <c r="FT27" s="11"/>
      <c r="FU27" s="11"/>
      <c r="FV27" s="11"/>
      <c r="FW27" s="11"/>
      <c r="FX27" s="11"/>
      <c r="FY27" s="11"/>
      <c r="FZ27" s="11"/>
      <c r="GA27" s="11"/>
      <c r="GB27" s="11"/>
      <c r="GC27" s="11"/>
      <c r="GD27" s="11"/>
      <c r="GE27" s="11"/>
      <c r="GF27" s="11"/>
      <c r="GG27" s="11"/>
      <c r="GH27" s="11"/>
      <c r="GI27" s="11"/>
      <c r="GJ27" s="11"/>
      <c r="GK27" s="11"/>
      <c r="GL27" s="11"/>
      <c r="GM27" s="11"/>
      <c r="GN27" s="11"/>
      <c r="GO27" s="11"/>
      <c r="GP27" s="11"/>
      <c r="GQ27" s="11"/>
      <c r="GR27" s="11"/>
      <c r="GS27" s="11"/>
      <c r="GT27" s="11"/>
      <c r="GU27" s="11"/>
      <c r="GV27" s="11"/>
      <c r="GW27" s="11"/>
      <c r="GX27" s="11"/>
      <c r="GY27" s="11"/>
      <c r="GZ27" s="11"/>
      <c r="HA27" s="11"/>
      <c r="HB27" s="11"/>
      <c r="HC27" s="11"/>
      <c r="HD27" s="11"/>
      <c r="HE27" s="11"/>
      <c r="HF27" s="11"/>
      <c r="HG27" s="11"/>
      <c r="HH27" s="11"/>
      <c r="HI27" s="11"/>
      <c r="HJ27" s="11"/>
      <c r="HK27" s="11"/>
      <c r="HL27" s="11"/>
      <c r="HM27" s="11"/>
      <c r="HN27" s="11"/>
      <c r="HO27" s="11"/>
      <c r="HP27" s="11"/>
      <c r="HQ27" s="11"/>
      <c r="HR27" s="11"/>
      <c r="HS27" s="11"/>
      <c r="HT27" s="11"/>
      <c r="HU27" s="11"/>
    </row>
    <row r="28" spans="1:229" s="12" customFormat="1" ht="18" customHeight="1">
      <c r="A28" s="250"/>
      <c r="B28" s="10"/>
      <c r="C28" s="201">
        <v>1</v>
      </c>
      <c r="D28" s="9" t="s">
        <v>373</v>
      </c>
      <c r="E28" s="202"/>
      <c r="F28" s="6"/>
      <c r="G28" s="170"/>
      <c r="H28" s="165"/>
      <c r="I28" s="165"/>
      <c r="J28" s="165"/>
      <c r="K28" s="165"/>
      <c r="L28" s="165"/>
      <c r="M28" s="165"/>
      <c r="N28" s="165"/>
      <c r="O28" s="165"/>
      <c r="P28" s="165"/>
      <c r="Q28" s="165"/>
      <c r="R28" s="165"/>
      <c r="S28" s="165"/>
      <c r="T28" s="165"/>
      <c r="U28" s="165"/>
      <c r="V28" s="165"/>
      <c r="W28" s="165"/>
      <c r="X28" s="165"/>
      <c r="Y28" s="165"/>
      <c r="Z28" s="165"/>
      <c r="AA28" s="11"/>
      <c r="AB28" s="11"/>
      <c r="AC28" s="11"/>
      <c r="AD28" s="11"/>
      <c r="AE28" s="11"/>
      <c r="AF28" s="11"/>
      <c r="AG28" s="11"/>
      <c r="AH28" s="11"/>
      <c r="AI28" s="11"/>
      <c r="AJ28" s="11"/>
      <c r="AK28" s="11"/>
      <c r="AL28" s="11"/>
      <c r="AM28" s="11"/>
      <c r="AN28" s="11"/>
      <c r="AO28" s="11"/>
      <c r="AP28" s="11"/>
      <c r="AQ28" s="11"/>
      <c r="AR28" s="11"/>
      <c r="AS28" s="11"/>
      <c r="AT28" s="11"/>
      <c r="AU28" s="11"/>
      <c r="AV28" s="11"/>
      <c r="AW28" s="11"/>
      <c r="AX28" s="11"/>
      <c r="AY28" s="11"/>
      <c r="AZ28" s="11"/>
      <c r="BA28" s="11"/>
      <c r="BB28" s="11"/>
      <c r="BC28" s="11"/>
      <c r="BD28" s="11"/>
      <c r="BE28" s="11"/>
      <c r="BF28" s="11"/>
      <c r="BG28" s="11"/>
      <c r="BH28" s="11"/>
      <c r="BI28" s="11"/>
      <c r="BJ28" s="11"/>
      <c r="BK28" s="11"/>
      <c r="BL28" s="11"/>
      <c r="BM28" s="11"/>
      <c r="BN28" s="11"/>
      <c r="BO28" s="11"/>
      <c r="BP28" s="11"/>
      <c r="BQ28" s="11"/>
      <c r="BR28" s="11"/>
      <c r="BS28" s="11"/>
      <c r="BT28" s="11"/>
      <c r="BU28" s="11"/>
      <c r="BV28" s="11"/>
      <c r="BW28" s="11"/>
      <c r="BX28" s="11"/>
      <c r="BY28" s="11"/>
      <c r="BZ28" s="11"/>
      <c r="CA28" s="11"/>
      <c r="CB28" s="11"/>
      <c r="CC28" s="11"/>
      <c r="CD28" s="11"/>
      <c r="CE28" s="11"/>
      <c r="CF28" s="11"/>
      <c r="CG28" s="11"/>
      <c r="CH28" s="11"/>
      <c r="CI28" s="11"/>
      <c r="CJ28" s="11"/>
      <c r="CK28" s="11"/>
      <c r="CL28" s="11"/>
      <c r="CM28" s="11"/>
      <c r="CN28" s="11"/>
      <c r="CO28" s="11"/>
      <c r="CP28" s="11"/>
      <c r="CQ28" s="11"/>
      <c r="CR28" s="11"/>
      <c r="CS28" s="11"/>
      <c r="CT28" s="11"/>
      <c r="CU28" s="11"/>
      <c r="CV28" s="11"/>
      <c r="CW28" s="11"/>
      <c r="CX28" s="11"/>
      <c r="CY28" s="11"/>
      <c r="CZ28" s="11"/>
      <c r="DA28" s="11"/>
      <c r="DB28" s="11"/>
      <c r="DC28" s="11"/>
      <c r="DD28" s="11"/>
      <c r="DE28" s="11"/>
      <c r="DF28" s="11"/>
      <c r="DG28" s="11"/>
      <c r="DH28" s="11"/>
      <c r="DI28" s="11"/>
      <c r="DJ28" s="11"/>
      <c r="DK28" s="11"/>
      <c r="DL28" s="11"/>
      <c r="DM28" s="11"/>
      <c r="DN28" s="11"/>
      <c r="DO28" s="11"/>
      <c r="DP28" s="11"/>
      <c r="DQ28" s="11"/>
      <c r="DR28" s="11"/>
      <c r="DS28" s="11"/>
      <c r="DT28" s="11"/>
      <c r="DU28" s="11"/>
      <c r="DV28" s="11"/>
      <c r="DW28" s="11"/>
      <c r="DX28" s="11"/>
      <c r="DY28" s="11"/>
      <c r="DZ28" s="11"/>
      <c r="EA28" s="11"/>
      <c r="EB28" s="11"/>
      <c r="EC28" s="11"/>
      <c r="ED28" s="11"/>
      <c r="EE28" s="11"/>
      <c r="EF28" s="11"/>
      <c r="EG28" s="11"/>
      <c r="EH28" s="11"/>
      <c r="EI28" s="11"/>
      <c r="EJ28" s="11"/>
      <c r="EK28" s="11"/>
      <c r="EL28" s="11"/>
      <c r="EM28" s="11"/>
      <c r="EN28" s="11"/>
      <c r="EO28" s="11"/>
      <c r="EP28" s="11"/>
      <c r="EQ28" s="11"/>
      <c r="ER28" s="11"/>
      <c r="ES28" s="11"/>
      <c r="ET28" s="11"/>
      <c r="EU28" s="11"/>
      <c r="EV28" s="11"/>
      <c r="EW28" s="11"/>
      <c r="EX28" s="11"/>
      <c r="EY28" s="11"/>
      <c r="EZ28" s="11"/>
      <c r="FA28" s="11"/>
      <c r="FB28" s="11"/>
      <c r="FC28" s="11"/>
      <c r="FD28" s="11"/>
      <c r="FE28" s="11"/>
      <c r="FF28" s="11"/>
      <c r="FG28" s="11"/>
      <c r="FH28" s="11"/>
      <c r="FI28" s="11"/>
      <c r="FJ28" s="11"/>
      <c r="FK28" s="11"/>
      <c r="FL28" s="11"/>
      <c r="FM28" s="11"/>
      <c r="FN28" s="11"/>
      <c r="FO28" s="11"/>
      <c r="FP28" s="11"/>
      <c r="FQ28" s="11"/>
      <c r="FR28" s="11"/>
      <c r="FS28" s="11"/>
      <c r="FT28" s="11"/>
      <c r="FU28" s="11"/>
      <c r="FV28" s="11"/>
      <c r="FW28" s="11"/>
      <c r="FX28" s="11"/>
      <c r="FY28" s="11"/>
      <c r="FZ28" s="11"/>
      <c r="GA28" s="11"/>
      <c r="GB28" s="11"/>
      <c r="GC28" s="11"/>
      <c r="GD28" s="11"/>
      <c r="GE28" s="11"/>
      <c r="GF28" s="11"/>
      <c r="GG28" s="11"/>
      <c r="GH28" s="11"/>
      <c r="GI28" s="11"/>
      <c r="GJ28" s="11"/>
      <c r="GK28" s="11"/>
      <c r="GL28" s="11"/>
      <c r="GM28" s="11"/>
      <c r="GN28" s="11"/>
      <c r="GO28" s="11"/>
      <c r="GP28" s="11"/>
      <c r="GQ28" s="11"/>
      <c r="GR28" s="11"/>
      <c r="GS28" s="11"/>
      <c r="GT28" s="11"/>
      <c r="GU28" s="11"/>
      <c r="GV28" s="11"/>
      <c r="GW28" s="11"/>
      <c r="GX28" s="11"/>
      <c r="GY28" s="11"/>
      <c r="GZ28" s="11"/>
      <c r="HA28" s="11"/>
      <c r="HB28" s="11"/>
      <c r="HC28" s="11"/>
      <c r="HD28" s="11"/>
      <c r="HE28" s="11"/>
      <c r="HF28" s="11"/>
      <c r="HG28" s="11"/>
      <c r="HH28" s="11"/>
      <c r="HI28" s="11"/>
      <c r="HJ28" s="11"/>
      <c r="HK28" s="11"/>
      <c r="HL28" s="11"/>
      <c r="HM28" s="11"/>
      <c r="HN28" s="11"/>
      <c r="HO28" s="11"/>
      <c r="HP28" s="11"/>
      <c r="HQ28" s="11"/>
      <c r="HR28" s="11"/>
      <c r="HS28" s="11"/>
      <c r="HT28" s="11"/>
      <c r="HU28" s="11"/>
    </row>
    <row r="29" spans="1:229" s="22" customFormat="1" ht="18" customHeight="1">
      <c r="A29" s="250"/>
      <c r="B29" s="20"/>
      <c r="C29" s="19"/>
      <c r="D29" s="19"/>
      <c r="E29" s="200"/>
      <c r="F29" s="6"/>
      <c r="G29" s="173"/>
      <c r="H29" s="166"/>
      <c r="I29" s="165"/>
      <c r="J29" s="166"/>
      <c r="K29" s="166"/>
      <c r="L29" s="166"/>
      <c r="M29" s="166"/>
      <c r="N29" s="166"/>
      <c r="O29" s="166"/>
      <c r="P29" s="166"/>
      <c r="Q29" s="166"/>
      <c r="R29" s="166"/>
      <c r="S29" s="166"/>
      <c r="T29" s="166"/>
      <c r="U29" s="166"/>
      <c r="V29" s="166"/>
      <c r="W29" s="166"/>
      <c r="X29" s="166"/>
      <c r="Y29" s="166"/>
      <c r="Z29" s="166"/>
      <c r="AA29" s="21"/>
      <c r="AB29" s="21"/>
      <c r="AC29" s="21"/>
      <c r="AD29" s="21"/>
      <c r="AE29" s="21"/>
      <c r="AF29" s="21"/>
      <c r="AG29" s="21"/>
      <c r="AH29" s="21"/>
      <c r="AI29" s="21"/>
      <c r="AJ29" s="21"/>
      <c r="AK29" s="21"/>
      <c r="AL29" s="21"/>
      <c r="AM29" s="21"/>
      <c r="AN29" s="21"/>
      <c r="AO29" s="21"/>
      <c r="AP29" s="21"/>
      <c r="AQ29" s="21"/>
      <c r="AR29" s="21"/>
      <c r="AS29" s="21"/>
      <c r="AT29" s="21"/>
      <c r="AU29" s="21"/>
      <c r="AV29" s="21"/>
      <c r="AW29" s="21"/>
      <c r="AX29" s="21"/>
      <c r="AY29" s="21"/>
      <c r="AZ29" s="21"/>
      <c r="BA29" s="21"/>
      <c r="BB29" s="21"/>
      <c r="BC29" s="21"/>
      <c r="BD29" s="21"/>
      <c r="BE29" s="21"/>
      <c r="BF29" s="21"/>
      <c r="BG29" s="21"/>
      <c r="BH29" s="21"/>
      <c r="BI29" s="21"/>
      <c r="BJ29" s="21"/>
      <c r="BK29" s="21"/>
      <c r="BL29" s="21"/>
      <c r="BM29" s="21"/>
      <c r="BN29" s="21"/>
      <c r="BO29" s="21"/>
      <c r="BP29" s="21"/>
      <c r="BQ29" s="21"/>
      <c r="BR29" s="21"/>
      <c r="BS29" s="21"/>
      <c r="BT29" s="21"/>
      <c r="BU29" s="21"/>
      <c r="BV29" s="21"/>
      <c r="BW29" s="21"/>
      <c r="BX29" s="21"/>
      <c r="BY29" s="21"/>
      <c r="BZ29" s="21"/>
      <c r="CA29" s="21"/>
      <c r="CB29" s="21"/>
      <c r="CC29" s="21"/>
      <c r="CD29" s="21"/>
      <c r="CE29" s="21"/>
      <c r="CF29" s="21"/>
      <c r="CG29" s="21"/>
      <c r="CH29" s="21"/>
      <c r="CI29" s="21"/>
      <c r="CJ29" s="21"/>
      <c r="CK29" s="21"/>
      <c r="CL29" s="21"/>
      <c r="CM29" s="21"/>
      <c r="CN29" s="21"/>
      <c r="CO29" s="21"/>
      <c r="CP29" s="21"/>
      <c r="CQ29" s="21"/>
      <c r="CR29" s="21"/>
      <c r="CS29" s="21"/>
      <c r="CT29" s="21"/>
      <c r="CU29" s="21"/>
      <c r="CV29" s="21"/>
      <c r="CW29" s="21"/>
      <c r="CX29" s="21"/>
      <c r="CY29" s="21"/>
      <c r="CZ29" s="21"/>
      <c r="DA29" s="21"/>
      <c r="DB29" s="21"/>
      <c r="DC29" s="21"/>
      <c r="DD29" s="21"/>
      <c r="DE29" s="21"/>
      <c r="DF29" s="21"/>
      <c r="DG29" s="21"/>
      <c r="DH29" s="21"/>
      <c r="DI29" s="21"/>
      <c r="DJ29" s="21"/>
      <c r="DK29" s="21"/>
      <c r="DL29" s="21"/>
      <c r="DM29" s="21"/>
      <c r="DN29" s="21"/>
      <c r="DO29" s="21"/>
      <c r="DP29" s="21"/>
      <c r="DQ29" s="21"/>
      <c r="DR29" s="21"/>
      <c r="DS29" s="21"/>
      <c r="DT29" s="21"/>
      <c r="DU29" s="21"/>
      <c r="DV29" s="21"/>
      <c r="DW29" s="21"/>
      <c r="DX29" s="21"/>
      <c r="DY29" s="21"/>
      <c r="DZ29" s="21"/>
      <c r="EA29" s="21"/>
      <c r="EB29" s="21"/>
      <c r="EC29" s="21"/>
      <c r="ED29" s="21"/>
      <c r="EE29" s="21"/>
      <c r="EF29" s="21"/>
      <c r="EG29" s="21"/>
      <c r="EH29" s="21"/>
      <c r="EI29" s="21"/>
      <c r="EJ29" s="21"/>
      <c r="EK29" s="21"/>
      <c r="EL29" s="21"/>
      <c r="EM29" s="21"/>
      <c r="EN29" s="21"/>
      <c r="EO29" s="21"/>
      <c r="EP29" s="21"/>
      <c r="EQ29" s="21"/>
      <c r="ER29" s="21"/>
      <c r="ES29" s="21"/>
      <c r="ET29" s="21"/>
      <c r="EU29" s="21"/>
      <c r="EV29" s="21"/>
      <c r="EW29" s="21"/>
      <c r="EX29" s="21"/>
      <c r="EY29" s="21"/>
      <c r="EZ29" s="21"/>
      <c r="FA29" s="21"/>
      <c r="FB29" s="21"/>
      <c r="FC29" s="21"/>
      <c r="FD29" s="21"/>
      <c r="FE29" s="21"/>
      <c r="FF29" s="21"/>
      <c r="FG29" s="21"/>
      <c r="FH29" s="21"/>
      <c r="FI29" s="21"/>
      <c r="FJ29" s="21"/>
      <c r="FK29" s="21"/>
      <c r="FL29" s="21"/>
      <c r="FM29" s="21"/>
      <c r="FN29" s="21"/>
      <c r="FO29" s="21"/>
      <c r="FP29" s="21"/>
      <c r="FQ29" s="21"/>
      <c r="FR29" s="21"/>
      <c r="FS29" s="21"/>
      <c r="FT29" s="21"/>
      <c r="FU29" s="21"/>
      <c r="FV29" s="21"/>
      <c r="FW29" s="21"/>
      <c r="FX29" s="21"/>
      <c r="FY29" s="21"/>
      <c r="FZ29" s="21"/>
      <c r="GA29" s="21"/>
      <c r="GB29" s="21"/>
      <c r="GC29" s="21"/>
      <c r="GD29" s="21"/>
      <c r="GE29" s="21"/>
      <c r="GF29" s="21"/>
      <c r="GG29" s="21"/>
      <c r="GH29" s="21"/>
      <c r="GI29" s="21"/>
      <c r="GJ29" s="21"/>
      <c r="GK29" s="21"/>
      <c r="GL29" s="21"/>
      <c r="GM29" s="21"/>
      <c r="GN29" s="21"/>
      <c r="GO29" s="21"/>
      <c r="GP29" s="21"/>
      <c r="GQ29" s="21"/>
      <c r="GR29" s="21"/>
      <c r="GS29" s="21"/>
      <c r="GT29" s="21"/>
      <c r="GU29" s="21"/>
      <c r="GV29" s="21"/>
      <c r="GW29" s="21"/>
      <c r="GX29" s="21"/>
      <c r="GY29" s="21"/>
      <c r="GZ29" s="21"/>
      <c r="HA29" s="21"/>
      <c r="HB29" s="21"/>
      <c r="HC29" s="21"/>
      <c r="HD29" s="21"/>
      <c r="HE29" s="21"/>
      <c r="HF29" s="21"/>
      <c r="HG29" s="21"/>
      <c r="HH29" s="21"/>
      <c r="HI29" s="21"/>
      <c r="HJ29" s="21"/>
      <c r="HK29" s="21"/>
      <c r="HL29" s="21"/>
      <c r="HM29" s="21"/>
      <c r="HN29" s="21"/>
      <c r="HO29" s="21"/>
      <c r="HP29" s="21"/>
      <c r="HQ29" s="21"/>
      <c r="HR29" s="21"/>
      <c r="HS29" s="21"/>
      <c r="HT29" s="21"/>
      <c r="HU29" s="21"/>
    </row>
    <row r="30" spans="1:229" s="12" customFormat="1" ht="18" customHeight="1">
      <c r="A30" s="250"/>
      <c r="B30" s="10"/>
      <c r="C30" s="201">
        <v>2</v>
      </c>
      <c r="D30" s="9" t="s">
        <v>131</v>
      </c>
      <c r="E30" s="202"/>
      <c r="F30" s="6"/>
      <c r="G30" s="170"/>
      <c r="H30" s="165"/>
      <c r="I30" s="165"/>
      <c r="J30" s="165"/>
      <c r="K30" s="165"/>
      <c r="L30" s="165"/>
      <c r="M30" s="165"/>
      <c r="N30" s="165"/>
      <c r="O30" s="165"/>
      <c r="P30" s="165"/>
      <c r="Q30" s="165"/>
      <c r="R30" s="165"/>
      <c r="S30" s="165"/>
      <c r="T30" s="165"/>
      <c r="U30" s="165"/>
      <c r="V30" s="165"/>
      <c r="W30" s="165"/>
      <c r="X30" s="165"/>
      <c r="Y30" s="165"/>
      <c r="Z30" s="165"/>
      <c r="AA30" s="11"/>
      <c r="AB30" s="11"/>
      <c r="AC30" s="11"/>
      <c r="AD30" s="11"/>
      <c r="AE30" s="11"/>
      <c r="AF30" s="11"/>
      <c r="AG30" s="11"/>
      <c r="AH30" s="11"/>
      <c r="AI30" s="11"/>
      <c r="AJ30" s="11"/>
      <c r="AK30" s="11"/>
      <c r="AL30" s="11"/>
      <c r="AM30" s="11"/>
      <c r="AN30" s="11"/>
      <c r="AO30" s="11"/>
      <c r="AP30" s="11"/>
      <c r="AQ30" s="11"/>
      <c r="AR30" s="11"/>
      <c r="AS30" s="11"/>
      <c r="AT30" s="11"/>
      <c r="AU30" s="11"/>
      <c r="AV30" s="11"/>
      <c r="AW30" s="11"/>
      <c r="AX30" s="11"/>
      <c r="AY30" s="11"/>
      <c r="AZ30" s="11"/>
      <c r="BA30" s="11"/>
      <c r="BB30" s="11"/>
      <c r="BC30" s="11"/>
      <c r="BD30" s="11"/>
      <c r="BE30" s="11"/>
      <c r="BF30" s="11"/>
      <c r="BG30" s="11"/>
      <c r="BH30" s="11"/>
      <c r="BI30" s="11"/>
      <c r="BJ30" s="11"/>
      <c r="BK30" s="11"/>
      <c r="BL30" s="11"/>
      <c r="BM30" s="11"/>
      <c r="BN30" s="11"/>
      <c r="BO30" s="11"/>
      <c r="BP30" s="11"/>
      <c r="BQ30" s="11"/>
      <c r="BR30" s="11"/>
      <c r="BS30" s="11"/>
      <c r="BT30" s="11"/>
      <c r="BU30" s="11"/>
      <c r="BV30" s="11"/>
      <c r="BW30" s="11"/>
      <c r="BX30" s="11"/>
      <c r="BY30" s="11"/>
      <c r="BZ30" s="11"/>
      <c r="CA30" s="11"/>
      <c r="CB30" s="11"/>
      <c r="CC30" s="11"/>
      <c r="CD30" s="11"/>
      <c r="CE30" s="11"/>
      <c r="CF30" s="11"/>
      <c r="CG30" s="11"/>
      <c r="CH30" s="11"/>
      <c r="CI30" s="11"/>
      <c r="CJ30" s="11"/>
      <c r="CK30" s="11"/>
      <c r="CL30" s="11"/>
      <c r="CM30" s="11"/>
      <c r="CN30" s="11"/>
      <c r="CO30" s="11"/>
      <c r="CP30" s="11"/>
      <c r="CQ30" s="11"/>
      <c r="CR30" s="11"/>
      <c r="CS30" s="11"/>
      <c r="CT30" s="11"/>
      <c r="CU30" s="11"/>
      <c r="CV30" s="11"/>
      <c r="CW30" s="11"/>
      <c r="CX30" s="11"/>
      <c r="CY30" s="11"/>
      <c r="CZ30" s="11"/>
      <c r="DA30" s="11"/>
      <c r="DB30" s="11"/>
      <c r="DC30" s="11"/>
      <c r="DD30" s="11"/>
      <c r="DE30" s="11"/>
      <c r="DF30" s="11"/>
      <c r="DG30" s="11"/>
      <c r="DH30" s="11"/>
      <c r="DI30" s="11"/>
      <c r="DJ30" s="11"/>
      <c r="DK30" s="11"/>
      <c r="DL30" s="11"/>
      <c r="DM30" s="11"/>
      <c r="DN30" s="11"/>
      <c r="DO30" s="11"/>
      <c r="DP30" s="11"/>
      <c r="DQ30" s="11"/>
      <c r="DR30" s="11"/>
      <c r="DS30" s="11"/>
      <c r="DT30" s="11"/>
      <c r="DU30" s="11"/>
      <c r="DV30" s="11"/>
      <c r="DW30" s="11"/>
      <c r="DX30" s="11"/>
      <c r="DY30" s="11"/>
      <c r="DZ30" s="11"/>
      <c r="EA30" s="11"/>
      <c r="EB30" s="11"/>
      <c r="EC30" s="11"/>
      <c r="ED30" s="11"/>
      <c r="EE30" s="11"/>
      <c r="EF30" s="11"/>
      <c r="EG30" s="11"/>
      <c r="EH30" s="11"/>
      <c r="EI30" s="11"/>
      <c r="EJ30" s="11"/>
      <c r="EK30" s="11"/>
      <c r="EL30" s="11"/>
      <c r="EM30" s="11"/>
      <c r="EN30" s="11"/>
      <c r="EO30" s="11"/>
      <c r="EP30" s="11"/>
      <c r="EQ30" s="11"/>
      <c r="ER30" s="11"/>
      <c r="ES30" s="11"/>
      <c r="ET30" s="11"/>
      <c r="EU30" s="11"/>
      <c r="EV30" s="11"/>
      <c r="EW30" s="11"/>
      <c r="EX30" s="11"/>
      <c r="EY30" s="11"/>
      <c r="EZ30" s="11"/>
      <c r="FA30" s="11"/>
      <c r="FB30" s="11"/>
      <c r="FC30" s="11"/>
      <c r="FD30" s="11"/>
      <c r="FE30" s="11"/>
      <c r="FF30" s="11"/>
      <c r="FG30" s="11"/>
      <c r="FH30" s="11"/>
      <c r="FI30" s="11"/>
      <c r="FJ30" s="11"/>
      <c r="FK30" s="11"/>
      <c r="FL30" s="11"/>
      <c r="FM30" s="11"/>
      <c r="FN30" s="11"/>
      <c r="FO30" s="11"/>
      <c r="FP30" s="11"/>
      <c r="FQ30" s="11"/>
      <c r="FR30" s="11"/>
      <c r="FS30" s="11"/>
      <c r="FT30" s="11"/>
      <c r="FU30" s="11"/>
      <c r="FV30" s="11"/>
      <c r="FW30" s="11"/>
      <c r="FX30" s="11"/>
      <c r="FY30" s="11"/>
      <c r="FZ30" s="11"/>
      <c r="GA30" s="11"/>
      <c r="GB30" s="11"/>
      <c r="GC30" s="11"/>
      <c r="GD30" s="11"/>
      <c r="GE30" s="11"/>
      <c r="GF30" s="11"/>
      <c r="GG30" s="11"/>
      <c r="GH30" s="11"/>
      <c r="GI30" s="11"/>
      <c r="GJ30" s="11"/>
      <c r="GK30" s="11"/>
      <c r="GL30" s="11"/>
      <c r="GM30" s="11"/>
      <c r="GN30" s="11"/>
      <c r="GO30" s="11"/>
      <c r="GP30" s="11"/>
      <c r="GQ30" s="11"/>
      <c r="GR30" s="11"/>
      <c r="GS30" s="11"/>
      <c r="GT30" s="11"/>
      <c r="GU30" s="11"/>
      <c r="GV30" s="11"/>
      <c r="GW30" s="11"/>
      <c r="GX30" s="11"/>
      <c r="GY30" s="11"/>
      <c r="GZ30" s="11"/>
      <c r="HA30" s="11"/>
      <c r="HB30" s="11"/>
      <c r="HC30" s="11"/>
      <c r="HD30" s="11"/>
      <c r="HE30" s="11"/>
      <c r="HF30" s="11"/>
      <c r="HG30" s="11"/>
      <c r="HH30" s="11"/>
      <c r="HI30" s="11"/>
      <c r="HJ30" s="11"/>
      <c r="HK30" s="11"/>
      <c r="HL30" s="11"/>
      <c r="HM30" s="11"/>
      <c r="HN30" s="11"/>
      <c r="HO30" s="11"/>
      <c r="HP30" s="11"/>
      <c r="HQ30" s="11"/>
      <c r="HR30" s="11"/>
      <c r="HS30" s="11"/>
      <c r="HT30" s="11"/>
      <c r="HU30" s="11"/>
    </row>
    <row r="31" spans="1:229" s="216" customFormat="1" ht="27" customHeight="1">
      <c r="A31" s="251"/>
      <c r="B31" s="209"/>
      <c r="C31" s="210"/>
      <c r="D31" s="211" t="s">
        <v>123</v>
      </c>
      <c r="E31" s="341" t="s">
        <v>269</v>
      </c>
      <c r="F31" s="341"/>
      <c r="G31" s="212"/>
      <c r="H31" s="213"/>
      <c r="I31" s="214"/>
      <c r="J31" s="213"/>
      <c r="K31" s="213"/>
      <c r="L31" s="213"/>
      <c r="M31" s="213"/>
      <c r="N31" s="213"/>
      <c r="O31" s="213"/>
      <c r="P31" s="213"/>
      <c r="Q31" s="213"/>
      <c r="R31" s="213"/>
      <c r="S31" s="213"/>
      <c r="T31" s="213"/>
      <c r="U31" s="213"/>
      <c r="V31" s="213"/>
      <c r="W31" s="213"/>
      <c r="X31" s="213"/>
      <c r="Y31" s="213"/>
      <c r="Z31" s="213"/>
      <c r="AA31" s="215"/>
      <c r="AB31" s="215"/>
      <c r="AC31" s="215"/>
      <c r="AD31" s="215"/>
      <c r="AE31" s="215"/>
      <c r="AF31" s="215"/>
      <c r="AG31" s="215"/>
      <c r="AH31" s="215"/>
      <c r="AI31" s="215"/>
      <c r="AJ31" s="215"/>
      <c r="AK31" s="215"/>
      <c r="AL31" s="215"/>
      <c r="AM31" s="215"/>
      <c r="AN31" s="215"/>
      <c r="AO31" s="215"/>
      <c r="AP31" s="215"/>
      <c r="AQ31" s="215"/>
      <c r="AR31" s="215"/>
      <c r="AS31" s="215"/>
      <c r="AT31" s="215"/>
      <c r="AU31" s="215"/>
      <c r="AV31" s="215"/>
      <c r="AW31" s="215"/>
      <c r="AX31" s="215"/>
      <c r="AY31" s="215"/>
      <c r="AZ31" s="215"/>
      <c r="BA31" s="215"/>
      <c r="BB31" s="215"/>
      <c r="BC31" s="215"/>
      <c r="BD31" s="215"/>
      <c r="BE31" s="215"/>
      <c r="BF31" s="215"/>
      <c r="BG31" s="215"/>
      <c r="BH31" s="215"/>
      <c r="BI31" s="215"/>
      <c r="BJ31" s="215"/>
      <c r="BK31" s="215"/>
      <c r="BL31" s="215"/>
      <c r="BM31" s="215"/>
      <c r="BN31" s="215"/>
      <c r="BO31" s="215"/>
      <c r="BP31" s="215"/>
      <c r="BQ31" s="215"/>
      <c r="BR31" s="215"/>
      <c r="BS31" s="215"/>
      <c r="BT31" s="215"/>
      <c r="BU31" s="215"/>
      <c r="BV31" s="215"/>
      <c r="BW31" s="215"/>
      <c r="BX31" s="215"/>
      <c r="BY31" s="215"/>
      <c r="BZ31" s="215"/>
      <c r="CA31" s="215"/>
      <c r="CB31" s="215"/>
      <c r="CC31" s="215"/>
      <c r="CD31" s="215"/>
      <c r="CE31" s="215"/>
      <c r="CF31" s="215"/>
      <c r="CG31" s="215"/>
      <c r="CH31" s="215"/>
      <c r="CI31" s="215"/>
      <c r="CJ31" s="215"/>
      <c r="CK31" s="215"/>
      <c r="CL31" s="215"/>
      <c r="CM31" s="215"/>
      <c r="CN31" s="215"/>
      <c r="CO31" s="215"/>
      <c r="CP31" s="215"/>
      <c r="CQ31" s="215"/>
      <c r="CR31" s="215"/>
      <c r="CS31" s="215"/>
      <c r="CT31" s="215"/>
      <c r="CU31" s="215"/>
      <c r="CV31" s="215"/>
      <c r="CW31" s="215"/>
      <c r="CX31" s="215"/>
      <c r="CY31" s="215"/>
      <c r="CZ31" s="215"/>
      <c r="DA31" s="215"/>
      <c r="DB31" s="215"/>
      <c r="DC31" s="215"/>
      <c r="DD31" s="215"/>
      <c r="DE31" s="215"/>
      <c r="DF31" s="215"/>
      <c r="DG31" s="215"/>
      <c r="DH31" s="215"/>
      <c r="DI31" s="215"/>
      <c r="DJ31" s="215"/>
      <c r="DK31" s="215"/>
      <c r="DL31" s="215"/>
      <c r="DM31" s="215"/>
      <c r="DN31" s="215"/>
      <c r="DO31" s="215"/>
      <c r="DP31" s="215"/>
      <c r="DQ31" s="215"/>
      <c r="DR31" s="215"/>
      <c r="DS31" s="215"/>
      <c r="DT31" s="215"/>
      <c r="DU31" s="215"/>
      <c r="DV31" s="215"/>
      <c r="DW31" s="215"/>
      <c r="DX31" s="215"/>
      <c r="DY31" s="215"/>
      <c r="DZ31" s="215"/>
      <c r="EA31" s="215"/>
      <c r="EB31" s="215"/>
      <c r="EC31" s="215"/>
      <c r="ED31" s="215"/>
      <c r="EE31" s="215"/>
      <c r="EF31" s="215"/>
      <c r="EG31" s="215"/>
      <c r="EH31" s="215"/>
      <c r="EI31" s="215"/>
      <c r="EJ31" s="215"/>
      <c r="EK31" s="215"/>
      <c r="EL31" s="215"/>
      <c r="EM31" s="215"/>
      <c r="EN31" s="215"/>
      <c r="EO31" s="215"/>
      <c r="EP31" s="215"/>
      <c r="EQ31" s="215"/>
      <c r="ER31" s="215"/>
      <c r="ES31" s="215"/>
      <c r="ET31" s="215"/>
      <c r="EU31" s="215"/>
      <c r="EV31" s="215"/>
      <c r="EW31" s="215"/>
      <c r="EX31" s="215"/>
      <c r="EY31" s="215"/>
      <c r="EZ31" s="215"/>
      <c r="FA31" s="215"/>
      <c r="FB31" s="215"/>
      <c r="FC31" s="215"/>
      <c r="FD31" s="215"/>
      <c r="FE31" s="215"/>
      <c r="FF31" s="215"/>
      <c r="FG31" s="215"/>
      <c r="FH31" s="215"/>
      <c r="FI31" s="215"/>
      <c r="FJ31" s="215"/>
      <c r="FK31" s="215"/>
      <c r="FL31" s="215"/>
      <c r="FM31" s="215"/>
      <c r="FN31" s="215"/>
      <c r="FO31" s="215"/>
      <c r="FP31" s="215"/>
      <c r="FQ31" s="215"/>
      <c r="FR31" s="215"/>
      <c r="FS31" s="215"/>
      <c r="FT31" s="215"/>
      <c r="FU31" s="215"/>
      <c r="FV31" s="215"/>
      <c r="FW31" s="215"/>
      <c r="FX31" s="215"/>
      <c r="FY31" s="215"/>
      <c r="FZ31" s="215"/>
      <c r="GA31" s="215"/>
      <c r="GB31" s="215"/>
      <c r="GC31" s="215"/>
      <c r="GD31" s="215"/>
      <c r="GE31" s="215"/>
      <c r="GF31" s="215"/>
      <c r="GG31" s="215"/>
      <c r="GH31" s="215"/>
      <c r="GI31" s="215"/>
      <c r="GJ31" s="215"/>
      <c r="GK31" s="215"/>
      <c r="GL31" s="215"/>
      <c r="GM31" s="215"/>
      <c r="GN31" s="215"/>
      <c r="GO31" s="215"/>
      <c r="GP31" s="215"/>
      <c r="GQ31" s="215"/>
      <c r="GR31" s="215"/>
      <c r="GS31" s="215"/>
      <c r="GT31" s="215"/>
      <c r="GU31" s="215"/>
      <c r="GV31" s="215"/>
      <c r="GW31" s="215"/>
      <c r="GX31" s="215"/>
      <c r="GY31" s="215"/>
      <c r="GZ31" s="215"/>
      <c r="HA31" s="215"/>
      <c r="HB31" s="215"/>
      <c r="HC31" s="215"/>
      <c r="HD31" s="215"/>
      <c r="HE31" s="215"/>
      <c r="HF31" s="215"/>
      <c r="HG31" s="215"/>
      <c r="HH31" s="215"/>
      <c r="HI31" s="215"/>
      <c r="HJ31" s="215"/>
      <c r="HK31" s="215"/>
      <c r="HL31" s="215"/>
      <c r="HM31" s="215"/>
      <c r="HN31" s="215"/>
      <c r="HO31" s="215"/>
      <c r="HP31" s="215"/>
      <c r="HQ31" s="215"/>
      <c r="HR31" s="215"/>
      <c r="HS31" s="215"/>
      <c r="HT31" s="215"/>
      <c r="HU31" s="215"/>
    </row>
    <row r="32" spans="1:229" s="220" customFormat="1" ht="27" customHeight="1">
      <c r="A32" s="251"/>
      <c r="B32" s="217"/>
      <c r="C32" s="208"/>
      <c r="D32" s="211" t="s">
        <v>123</v>
      </c>
      <c r="E32" s="341" t="s">
        <v>270</v>
      </c>
      <c r="F32" s="341"/>
      <c r="G32" s="218"/>
      <c r="H32" s="219"/>
      <c r="I32" s="219"/>
      <c r="J32" s="219"/>
      <c r="K32" s="219"/>
      <c r="L32" s="219"/>
      <c r="M32" s="219"/>
      <c r="N32" s="219"/>
      <c r="O32" s="219"/>
      <c r="P32" s="219"/>
      <c r="Q32" s="219"/>
      <c r="R32" s="219"/>
      <c r="S32" s="219"/>
      <c r="T32" s="219"/>
      <c r="U32" s="219"/>
      <c r="V32" s="219"/>
      <c r="W32" s="219"/>
      <c r="X32" s="219"/>
      <c r="Y32" s="219"/>
      <c r="Z32" s="219"/>
      <c r="AA32" s="92"/>
      <c r="AB32" s="92"/>
      <c r="AC32" s="92"/>
      <c r="AD32" s="92"/>
      <c r="AE32" s="92"/>
      <c r="AF32" s="92"/>
      <c r="AG32" s="92"/>
      <c r="AH32" s="92"/>
      <c r="AI32" s="92"/>
      <c r="AJ32" s="92"/>
      <c r="AK32" s="92"/>
      <c r="AL32" s="92"/>
      <c r="AM32" s="92"/>
      <c r="AN32" s="92"/>
      <c r="AO32" s="92"/>
      <c r="AP32" s="92"/>
      <c r="AQ32" s="92"/>
      <c r="AR32" s="92"/>
      <c r="AS32" s="92"/>
      <c r="AT32" s="92"/>
      <c r="AU32" s="92"/>
      <c r="AV32" s="92"/>
      <c r="AW32" s="92"/>
      <c r="AX32" s="92"/>
      <c r="AY32" s="92"/>
      <c r="AZ32" s="92"/>
      <c r="BA32" s="92"/>
      <c r="BB32" s="92"/>
      <c r="BC32" s="92"/>
      <c r="BD32" s="92"/>
      <c r="BE32" s="92"/>
      <c r="BF32" s="92"/>
      <c r="BG32" s="92"/>
      <c r="BH32" s="92"/>
      <c r="BI32" s="92"/>
      <c r="BJ32" s="92"/>
      <c r="BK32" s="92"/>
      <c r="BL32" s="92"/>
      <c r="BM32" s="92"/>
      <c r="BN32" s="92"/>
      <c r="BO32" s="92"/>
      <c r="BP32" s="92"/>
      <c r="BQ32" s="92"/>
      <c r="BR32" s="92"/>
      <c r="BS32" s="92"/>
      <c r="BT32" s="92"/>
      <c r="BU32" s="92"/>
      <c r="BV32" s="92"/>
      <c r="BW32" s="92"/>
      <c r="BX32" s="92"/>
      <c r="BY32" s="92"/>
      <c r="BZ32" s="92"/>
      <c r="CA32" s="92"/>
      <c r="CB32" s="92"/>
      <c r="CC32" s="92"/>
      <c r="CD32" s="92"/>
      <c r="CE32" s="92"/>
      <c r="CF32" s="92"/>
      <c r="CG32" s="92"/>
      <c r="CH32" s="92"/>
      <c r="CI32" s="92"/>
      <c r="CJ32" s="92"/>
      <c r="CK32" s="92"/>
      <c r="CL32" s="92"/>
      <c r="CM32" s="92"/>
      <c r="CN32" s="92"/>
      <c r="CO32" s="92"/>
      <c r="CP32" s="92"/>
      <c r="CQ32" s="92"/>
      <c r="CR32" s="92"/>
      <c r="CS32" s="92"/>
      <c r="CT32" s="92"/>
      <c r="CU32" s="92"/>
      <c r="CV32" s="92"/>
      <c r="CW32" s="92"/>
      <c r="CX32" s="92"/>
      <c r="CY32" s="92"/>
      <c r="CZ32" s="92"/>
      <c r="DA32" s="92"/>
      <c r="DB32" s="92"/>
      <c r="DC32" s="92"/>
      <c r="DD32" s="92"/>
      <c r="DE32" s="92"/>
      <c r="DF32" s="92"/>
      <c r="DG32" s="92"/>
      <c r="DH32" s="92"/>
      <c r="DI32" s="92"/>
      <c r="DJ32" s="92"/>
      <c r="DK32" s="92"/>
      <c r="DL32" s="92"/>
      <c r="DM32" s="92"/>
      <c r="DN32" s="92"/>
      <c r="DO32" s="92"/>
      <c r="DP32" s="92"/>
      <c r="DQ32" s="92"/>
      <c r="DR32" s="92"/>
      <c r="DS32" s="92"/>
      <c r="DT32" s="92"/>
      <c r="DU32" s="92"/>
      <c r="DV32" s="92"/>
      <c r="DW32" s="92"/>
      <c r="DX32" s="92"/>
      <c r="DY32" s="92"/>
      <c r="DZ32" s="92"/>
      <c r="EA32" s="92"/>
      <c r="EB32" s="92"/>
      <c r="EC32" s="92"/>
      <c r="ED32" s="92"/>
      <c r="EE32" s="92"/>
      <c r="EF32" s="92"/>
      <c r="EG32" s="92"/>
      <c r="EH32" s="92"/>
      <c r="EI32" s="92"/>
      <c r="EJ32" s="92"/>
      <c r="EK32" s="92"/>
      <c r="EL32" s="92"/>
      <c r="EM32" s="92"/>
      <c r="EN32" s="92"/>
      <c r="EO32" s="92"/>
      <c r="EP32" s="92"/>
      <c r="EQ32" s="92"/>
      <c r="ER32" s="92"/>
      <c r="ES32" s="92"/>
      <c r="ET32" s="92"/>
      <c r="EU32" s="92"/>
      <c r="EV32" s="92"/>
      <c r="EW32" s="92"/>
      <c r="EX32" s="92"/>
      <c r="EY32" s="92"/>
      <c r="EZ32" s="92"/>
      <c r="FA32" s="92"/>
      <c r="FB32" s="92"/>
      <c r="FC32" s="92"/>
      <c r="FD32" s="92"/>
      <c r="FE32" s="92"/>
      <c r="FF32" s="92"/>
      <c r="FG32" s="92"/>
      <c r="FH32" s="92"/>
      <c r="FI32" s="92"/>
      <c r="FJ32" s="92"/>
      <c r="FK32" s="92"/>
      <c r="FL32" s="92"/>
      <c r="FM32" s="92"/>
      <c r="FN32" s="92"/>
      <c r="FO32" s="92"/>
      <c r="FP32" s="92"/>
      <c r="FQ32" s="92"/>
      <c r="FR32" s="92"/>
      <c r="FS32" s="92"/>
      <c r="FT32" s="92"/>
      <c r="FU32" s="92"/>
      <c r="FV32" s="92"/>
      <c r="FW32" s="92"/>
      <c r="FX32" s="92"/>
      <c r="FY32" s="92"/>
      <c r="FZ32" s="92"/>
      <c r="GA32" s="92"/>
      <c r="GB32" s="92"/>
      <c r="GC32" s="92"/>
      <c r="GD32" s="92"/>
      <c r="GE32" s="92"/>
      <c r="GF32" s="92"/>
      <c r="GG32" s="92"/>
      <c r="GH32" s="92"/>
      <c r="GI32" s="92"/>
      <c r="GJ32" s="92"/>
      <c r="GK32" s="92"/>
      <c r="GL32" s="92"/>
      <c r="GM32" s="92"/>
      <c r="GN32" s="92"/>
      <c r="GO32" s="92"/>
      <c r="GP32" s="92"/>
      <c r="GQ32" s="92"/>
      <c r="GR32" s="92"/>
      <c r="GS32" s="92"/>
      <c r="GT32" s="92"/>
      <c r="GU32" s="92"/>
      <c r="GV32" s="92"/>
      <c r="GW32" s="92"/>
      <c r="GX32" s="92"/>
      <c r="GY32" s="92"/>
      <c r="GZ32" s="92"/>
      <c r="HA32" s="92"/>
      <c r="HB32" s="92"/>
      <c r="HC32" s="92"/>
      <c r="HD32" s="92"/>
      <c r="HE32" s="92"/>
      <c r="HF32" s="92"/>
      <c r="HG32" s="92"/>
      <c r="HH32" s="92"/>
      <c r="HI32" s="92"/>
      <c r="HJ32" s="92"/>
      <c r="HK32" s="92"/>
      <c r="HL32" s="92"/>
      <c r="HM32" s="92"/>
      <c r="HN32" s="92"/>
      <c r="HO32" s="92"/>
      <c r="HP32" s="92"/>
      <c r="HQ32" s="92"/>
      <c r="HR32" s="92"/>
      <c r="HS32" s="92"/>
      <c r="HT32" s="92"/>
      <c r="HU32" s="92"/>
    </row>
    <row r="33" spans="1:229" s="16" customFormat="1" ht="13.8">
      <c r="A33" s="250"/>
      <c r="B33" s="17"/>
      <c r="C33" s="19"/>
      <c r="D33" s="19"/>
      <c r="E33" s="221" t="s">
        <v>132</v>
      </c>
      <c r="F33" s="19"/>
      <c r="G33" s="172"/>
      <c r="H33" s="126"/>
      <c r="I33" s="126"/>
      <c r="J33" s="126"/>
      <c r="K33" s="126"/>
      <c r="L33" s="126"/>
      <c r="M33" s="126"/>
      <c r="N33" s="126"/>
      <c r="O33" s="126"/>
      <c r="P33" s="126"/>
      <c r="Q33" s="126"/>
      <c r="R33" s="126"/>
      <c r="S33" s="126"/>
      <c r="T33" s="126"/>
      <c r="U33" s="126"/>
      <c r="V33" s="126"/>
      <c r="W33" s="126"/>
      <c r="X33" s="126"/>
      <c r="Y33" s="126"/>
      <c r="Z33" s="126"/>
      <c r="AA33" s="15"/>
      <c r="AB33" s="15"/>
      <c r="AC33" s="15"/>
      <c r="AD33" s="15"/>
      <c r="AE33" s="15"/>
      <c r="AF33" s="15"/>
      <c r="AG33" s="15"/>
      <c r="AH33" s="15"/>
      <c r="AI33" s="15"/>
      <c r="AJ33" s="15"/>
      <c r="AK33" s="15"/>
      <c r="AL33" s="15"/>
      <c r="AM33" s="15"/>
      <c r="AN33" s="15"/>
      <c r="AO33" s="15"/>
      <c r="AP33" s="15"/>
      <c r="AQ33" s="15"/>
      <c r="AR33" s="15"/>
      <c r="AS33" s="15"/>
      <c r="AT33" s="15"/>
      <c r="AU33" s="15"/>
      <c r="AV33" s="15"/>
      <c r="AW33" s="15"/>
      <c r="AX33" s="15"/>
      <c r="AY33" s="15"/>
      <c r="AZ33" s="15"/>
      <c r="BA33" s="15"/>
      <c r="BB33" s="15"/>
      <c r="BC33" s="15"/>
      <c r="BD33" s="15"/>
      <c r="BE33" s="15"/>
      <c r="BF33" s="15"/>
      <c r="BG33" s="15"/>
      <c r="BH33" s="15"/>
      <c r="BI33" s="15"/>
      <c r="BJ33" s="15"/>
      <c r="BK33" s="15"/>
      <c r="BL33" s="15"/>
      <c r="BM33" s="15"/>
      <c r="BN33" s="15"/>
      <c r="BO33" s="15"/>
      <c r="BP33" s="15"/>
      <c r="BQ33" s="15"/>
      <c r="BR33" s="15"/>
      <c r="BS33" s="15"/>
      <c r="BT33" s="15"/>
      <c r="BU33" s="15"/>
      <c r="BV33" s="15"/>
      <c r="BW33" s="15"/>
      <c r="BX33" s="15"/>
      <c r="BY33" s="15"/>
      <c r="BZ33" s="15"/>
      <c r="CA33" s="15"/>
      <c r="CB33" s="15"/>
      <c r="CC33" s="15"/>
      <c r="CD33" s="15"/>
      <c r="CE33" s="15"/>
      <c r="CF33" s="15"/>
      <c r="CG33" s="15"/>
      <c r="CH33" s="15"/>
      <c r="CI33" s="15"/>
      <c r="CJ33" s="15"/>
      <c r="CK33" s="15"/>
      <c r="CL33" s="15"/>
      <c r="CM33" s="15"/>
      <c r="CN33" s="15"/>
      <c r="CO33" s="15"/>
      <c r="CP33" s="15"/>
      <c r="CQ33" s="15"/>
      <c r="CR33" s="15"/>
      <c r="CS33" s="15"/>
      <c r="CT33" s="15"/>
      <c r="CU33" s="15"/>
      <c r="CV33" s="15"/>
      <c r="CW33" s="15"/>
      <c r="CX33" s="15"/>
      <c r="CY33" s="15"/>
      <c r="CZ33" s="15"/>
      <c r="DA33" s="15"/>
      <c r="DB33" s="15"/>
      <c r="DC33" s="15"/>
      <c r="DD33" s="15"/>
      <c r="DE33" s="15"/>
      <c r="DF33" s="15"/>
      <c r="DG33" s="15"/>
      <c r="DH33" s="15"/>
      <c r="DI33" s="15"/>
      <c r="DJ33" s="15"/>
      <c r="DK33" s="15"/>
      <c r="DL33" s="15"/>
      <c r="DM33" s="15"/>
      <c r="DN33" s="15"/>
      <c r="DO33" s="15"/>
      <c r="DP33" s="15"/>
      <c r="DQ33" s="15"/>
      <c r="DR33" s="15"/>
      <c r="DS33" s="15"/>
      <c r="DT33" s="15"/>
      <c r="DU33" s="15"/>
      <c r="DV33" s="15"/>
      <c r="DW33" s="15"/>
      <c r="DX33" s="15"/>
      <c r="DY33" s="15"/>
      <c r="DZ33" s="15"/>
      <c r="EA33" s="15"/>
      <c r="EB33" s="15"/>
      <c r="EC33" s="15"/>
      <c r="ED33" s="15"/>
      <c r="EE33" s="15"/>
      <c r="EF33" s="15"/>
      <c r="EG33" s="15"/>
      <c r="EH33" s="15"/>
      <c r="EI33" s="15"/>
      <c r="EJ33" s="15"/>
      <c r="EK33" s="15"/>
      <c r="EL33" s="15"/>
      <c r="EM33" s="15"/>
      <c r="EN33" s="15"/>
      <c r="EO33" s="15"/>
      <c r="EP33" s="15"/>
      <c r="EQ33" s="15"/>
      <c r="ER33" s="15"/>
      <c r="ES33" s="15"/>
      <c r="ET33" s="15"/>
      <c r="EU33" s="15"/>
      <c r="EV33" s="15"/>
      <c r="EW33" s="15"/>
      <c r="EX33" s="15"/>
      <c r="EY33" s="15"/>
      <c r="EZ33" s="15"/>
      <c r="FA33" s="15"/>
      <c r="FB33" s="15"/>
      <c r="FC33" s="15"/>
      <c r="FD33" s="15"/>
      <c r="FE33" s="15"/>
      <c r="FF33" s="15"/>
      <c r="FG33" s="15"/>
      <c r="FH33" s="15"/>
      <c r="FI33" s="15"/>
      <c r="FJ33" s="15"/>
      <c r="FK33" s="15"/>
      <c r="FL33" s="15"/>
      <c r="FM33" s="15"/>
      <c r="FN33" s="15"/>
      <c r="FO33" s="15"/>
      <c r="FP33" s="15"/>
      <c r="FQ33" s="15"/>
      <c r="FR33" s="15"/>
      <c r="FS33" s="15"/>
      <c r="FT33" s="15"/>
      <c r="FU33" s="15"/>
      <c r="FV33" s="15"/>
      <c r="FW33" s="15"/>
      <c r="FX33" s="15"/>
      <c r="FY33" s="15"/>
      <c r="FZ33" s="15"/>
      <c r="GA33" s="15"/>
      <c r="GB33" s="15"/>
      <c r="GC33" s="15"/>
      <c r="GD33" s="15"/>
      <c r="GE33" s="15"/>
      <c r="GF33" s="15"/>
      <c r="GG33" s="15"/>
      <c r="GH33" s="15"/>
      <c r="GI33" s="15"/>
      <c r="GJ33" s="15"/>
      <c r="GK33" s="15"/>
      <c r="GL33" s="15"/>
      <c r="GM33" s="15"/>
      <c r="GN33" s="15"/>
      <c r="GO33" s="15"/>
      <c r="GP33" s="15"/>
      <c r="GQ33" s="15"/>
      <c r="GR33" s="15"/>
      <c r="GS33" s="15"/>
      <c r="GT33" s="15"/>
      <c r="GU33" s="15"/>
      <c r="GV33" s="15"/>
      <c r="GW33" s="15"/>
      <c r="GX33" s="15"/>
      <c r="GY33" s="15"/>
      <c r="GZ33" s="15"/>
      <c r="HA33" s="15"/>
      <c r="HB33" s="15"/>
      <c r="HC33" s="15"/>
      <c r="HD33" s="15"/>
      <c r="HE33" s="15"/>
      <c r="HF33" s="15"/>
      <c r="HG33" s="15"/>
      <c r="HH33" s="15"/>
      <c r="HI33" s="15"/>
      <c r="HJ33" s="15"/>
      <c r="HK33" s="15"/>
      <c r="HL33" s="15"/>
      <c r="HM33" s="15"/>
      <c r="HN33" s="15"/>
      <c r="HO33" s="15"/>
      <c r="HP33" s="15"/>
      <c r="HQ33" s="15"/>
      <c r="HR33" s="15"/>
      <c r="HS33" s="15"/>
      <c r="HT33" s="15"/>
      <c r="HU33" s="15"/>
    </row>
    <row r="34" spans="1:229" s="16" customFormat="1" ht="13.8">
      <c r="A34" s="250"/>
      <c r="B34" s="13"/>
      <c r="C34" s="19"/>
      <c r="D34" s="19"/>
      <c r="E34" s="211" t="s">
        <v>123</v>
      </c>
      <c r="F34" s="19" t="s">
        <v>133</v>
      </c>
      <c r="G34" s="171"/>
      <c r="H34" s="126"/>
      <c r="I34" s="126"/>
      <c r="J34" s="126"/>
      <c r="K34" s="126"/>
      <c r="L34" s="126"/>
      <c r="M34" s="126"/>
      <c r="N34" s="126"/>
      <c r="O34" s="126"/>
      <c r="P34" s="126"/>
      <c r="Q34" s="126"/>
      <c r="R34" s="126"/>
      <c r="S34" s="126"/>
      <c r="T34" s="126"/>
      <c r="U34" s="126"/>
      <c r="V34" s="126"/>
      <c r="W34" s="126"/>
      <c r="X34" s="126"/>
      <c r="Y34" s="126"/>
      <c r="Z34" s="126"/>
      <c r="AA34" s="15"/>
      <c r="AB34" s="15"/>
      <c r="AC34" s="15"/>
      <c r="AD34" s="15"/>
      <c r="AE34" s="15"/>
      <c r="AF34" s="15"/>
      <c r="AG34" s="15"/>
      <c r="AH34" s="15"/>
      <c r="AI34" s="15"/>
      <c r="AJ34" s="15"/>
      <c r="AK34" s="15"/>
      <c r="AL34" s="15"/>
      <c r="AM34" s="15"/>
      <c r="AN34" s="15"/>
      <c r="AO34" s="15"/>
      <c r="AP34" s="15"/>
      <c r="AQ34" s="15"/>
      <c r="AR34" s="15"/>
      <c r="AS34" s="15"/>
      <c r="AT34" s="15"/>
      <c r="AU34" s="15"/>
      <c r="AV34" s="15"/>
      <c r="AW34" s="15"/>
      <c r="AX34" s="15"/>
      <c r="AY34" s="15"/>
      <c r="AZ34" s="15"/>
      <c r="BA34" s="15"/>
      <c r="BB34" s="15"/>
      <c r="BC34" s="15"/>
      <c r="BD34" s="15"/>
      <c r="BE34" s="15"/>
      <c r="BF34" s="15"/>
      <c r="BG34" s="15"/>
      <c r="BH34" s="15"/>
      <c r="BI34" s="15"/>
      <c r="BJ34" s="15"/>
      <c r="BK34" s="15"/>
      <c r="BL34" s="15"/>
      <c r="BM34" s="15"/>
      <c r="BN34" s="15"/>
      <c r="BO34" s="15"/>
      <c r="BP34" s="15"/>
      <c r="BQ34" s="15"/>
      <c r="BR34" s="15"/>
      <c r="BS34" s="15"/>
      <c r="BT34" s="15"/>
      <c r="BU34" s="15"/>
      <c r="BV34" s="15"/>
      <c r="BW34" s="15"/>
      <c r="BX34" s="15"/>
      <c r="BY34" s="15"/>
      <c r="BZ34" s="15"/>
      <c r="CA34" s="15"/>
      <c r="CB34" s="15"/>
      <c r="CC34" s="15"/>
      <c r="CD34" s="15"/>
      <c r="CE34" s="15"/>
      <c r="CF34" s="15"/>
      <c r="CG34" s="15"/>
      <c r="CH34" s="15"/>
      <c r="CI34" s="15"/>
      <c r="CJ34" s="15"/>
      <c r="CK34" s="15"/>
      <c r="CL34" s="15"/>
      <c r="CM34" s="15"/>
      <c r="CN34" s="15"/>
      <c r="CO34" s="15"/>
      <c r="CP34" s="15"/>
      <c r="CQ34" s="15"/>
      <c r="CR34" s="15"/>
      <c r="CS34" s="15"/>
      <c r="CT34" s="15"/>
      <c r="CU34" s="15"/>
      <c r="CV34" s="15"/>
      <c r="CW34" s="15"/>
      <c r="CX34" s="15"/>
      <c r="CY34" s="15"/>
      <c r="CZ34" s="15"/>
      <c r="DA34" s="15"/>
      <c r="DB34" s="15"/>
      <c r="DC34" s="15"/>
      <c r="DD34" s="15"/>
      <c r="DE34" s="15"/>
      <c r="DF34" s="15"/>
      <c r="DG34" s="15"/>
      <c r="DH34" s="15"/>
      <c r="DI34" s="15"/>
      <c r="DJ34" s="15"/>
      <c r="DK34" s="15"/>
      <c r="DL34" s="15"/>
      <c r="DM34" s="15"/>
      <c r="DN34" s="15"/>
      <c r="DO34" s="15"/>
      <c r="DP34" s="15"/>
      <c r="DQ34" s="15"/>
      <c r="DR34" s="15"/>
      <c r="DS34" s="15"/>
      <c r="DT34" s="15"/>
      <c r="DU34" s="15"/>
      <c r="DV34" s="15"/>
      <c r="DW34" s="15"/>
      <c r="DX34" s="15"/>
      <c r="DY34" s="15"/>
      <c r="DZ34" s="15"/>
      <c r="EA34" s="15"/>
      <c r="EB34" s="15"/>
      <c r="EC34" s="15"/>
      <c r="ED34" s="15"/>
      <c r="EE34" s="15"/>
      <c r="EF34" s="15"/>
      <c r="EG34" s="15"/>
      <c r="EH34" s="15"/>
      <c r="EI34" s="15"/>
      <c r="EJ34" s="15"/>
      <c r="EK34" s="15"/>
      <c r="EL34" s="15"/>
      <c r="EM34" s="15"/>
      <c r="EN34" s="15"/>
      <c r="EO34" s="15"/>
      <c r="EP34" s="15"/>
      <c r="EQ34" s="15"/>
      <c r="ER34" s="15"/>
      <c r="ES34" s="15"/>
      <c r="ET34" s="15"/>
      <c r="EU34" s="15"/>
      <c r="EV34" s="15"/>
      <c r="EW34" s="15"/>
      <c r="EX34" s="15"/>
      <c r="EY34" s="15"/>
      <c r="EZ34" s="15"/>
      <c r="FA34" s="15"/>
      <c r="FB34" s="15"/>
      <c r="FC34" s="15"/>
      <c r="FD34" s="15"/>
      <c r="FE34" s="15"/>
      <c r="FF34" s="15"/>
      <c r="FG34" s="15"/>
      <c r="FH34" s="15"/>
      <c r="FI34" s="15"/>
      <c r="FJ34" s="15"/>
      <c r="FK34" s="15"/>
      <c r="FL34" s="15"/>
      <c r="FM34" s="15"/>
      <c r="FN34" s="15"/>
      <c r="FO34" s="15"/>
      <c r="FP34" s="15"/>
      <c r="FQ34" s="15"/>
      <c r="FR34" s="15"/>
      <c r="FS34" s="15"/>
      <c r="FT34" s="15"/>
      <c r="FU34" s="15"/>
      <c r="FV34" s="15"/>
      <c r="FW34" s="15"/>
      <c r="FX34" s="15"/>
      <c r="FY34" s="15"/>
      <c r="FZ34" s="15"/>
      <c r="GA34" s="15"/>
      <c r="GB34" s="15"/>
      <c r="GC34" s="15"/>
      <c r="GD34" s="15"/>
      <c r="GE34" s="15"/>
      <c r="GF34" s="15"/>
      <c r="GG34" s="15"/>
      <c r="GH34" s="15"/>
      <c r="GI34" s="15"/>
      <c r="GJ34" s="15"/>
      <c r="GK34" s="15"/>
      <c r="GL34" s="15"/>
      <c r="GM34" s="15"/>
      <c r="GN34" s="15"/>
      <c r="GO34" s="15"/>
      <c r="GP34" s="15"/>
      <c r="GQ34" s="15"/>
      <c r="GR34" s="15"/>
      <c r="GS34" s="15"/>
      <c r="GT34" s="15"/>
      <c r="GU34" s="15"/>
      <c r="GV34" s="15"/>
      <c r="GW34" s="15"/>
      <c r="GX34" s="15"/>
      <c r="GY34" s="15"/>
      <c r="GZ34" s="15"/>
      <c r="HA34" s="15"/>
      <c r="HB34" s="15"/>
      <c r="HC34" s="15"/>
      <c r="HD34" s="15"/>
      <c r="HE34" s="15"/>
      <c r="HF34" s="15"/>
      <c r="HG34" s="15"/>
      <c r="HH34" s="15"/>
      <c r="HI34" s="15"/>
      <c r="HJ34" s="15"/>
      <c r="HK34" s="15"/>
      <c r="HL34" s="15"/>
      <c r="HM34" s="15"/>
      <c r="HN34" s="15"/>
      <c r="HO34" s="15"/>
      <c r="HP34" s="15"/>
      <c r="HQ34" s="15"/>
      <c r="HR34" s="15"/>
      <c r="HS34" s="15"/>
      <c r="HT34" s="15"/>
      <c r="HU34" s="15"/>
    </row>
    <row r="35" spans="1:229" s="16" customFormat="1" ht="13.8">
      <c r="A35" s="250"/>
      <c r="B35" s="13"/>
      <c r="C35" s="19"/>
      <c r="D35" s="19"/>
      <c r="E35" s="211" t="s">
        <v>123</v>
      </c>
      <c r="F35" s="19" t="s">
        <v>363</v>
      </c>
      <c r="G35" s="171"/>
      <c r="H35" s="126"/>
      <c r="I35" s="126"/>
      <c r="J35" s="126"/>
      <c r="K35" s="126"/>
      <c r="L35" s="126"/>
      <c r="M35" s="126"/>
      <c r="N35" s="126"/>
      <c r="O35" s="126"/>
      <c r="P35" s="126"/>
      <c r="Q35" s="126"/>
      <c r="R35" s="126"/>
      <c r="S35" s="126"/>
      <c r="T35" s="126"/>
      <c r="U35" s="126"/>
      <c r="V35" s="126"/>
      <c r="W35" s="126"/>
      <c r="X35" s="126"/>
      <c r="Y35" s="126"/>
      <c r="Z35" s="126"/>
      <c r="AA35" s="15"/>
      <c r="AB35" s="15"/>
      <c r="AC35" s="15"/>
      <c r="AD35" s="15"/>
      <c r="AE35" s="15"/>
      <c r="AF35" s="15"/>
      <c r="AG35" s="15"/>
      <c r="AH35" s="15"/>
      <c r="AI35" s="15"/>
      <c r="AJ35" s="15"/>
      <c r="AK35" s="15"/>
      <c r="AL35" s="15"/>
      <c r="AM35" s="15"/>
      <c r="AN35" s="15"/>
      <c r="AO35" s="15"/>
      <c r="AP35" s="15"/>
      <c r="AQ35" s="15"/>
      <c r="AR35" s="15"/>
      <c r="AS35" s="15"/>
      <c r="AT35" s="15"/>
      <c r="AU35" s="15"/>
      <c r="AV35" s="15"/>
      <c r="AW35" s="15"/>
      <c r="AX35" s="15"/>
      <c r="AY35" s="15"/>
      <c r="AZ35" s="15"/>
      <c r="BA35" s="15"/>
      <c r="BB35" s="15"/>
      <c r="BC35" s="15"/>
      <c r="BD35" s="15"/>
      <c r="BE35" s="15"/>
      <c r="BF35" s="15"/>
      <c r="BG35" s="15"/>
      <c r="BH35" s="15"/>
      <c r="BI35" s="15"/>
      <c r="BJ35" s="15"/>
      <c r="BK35" s="15"/>
      <c r="BL35" s="15"/>
      <c r="BM35" s="15"/>
      <c r="BN35" s="15"/>
      <c r="BO35" s="15"/>
      <c r="BP35" s="15"/>
      <c r="BQ35" s="15"/>
      <c r="BR35" s="15"/>
      <c r="BS35" s="15"/>
      <c r="BT35" s="15"/>
      <c r="BU35" s="15"/>
      <c r="BV35" s="15"/>
      <c r="BW35" s="15"/>
      <c r="BX35" s="15"/>
      <c r="BY35" s="15"/>
      <c r="BZ35" s="15"/>
      <c r="CA35" s="15"/>
      <c r="CB35" s="15"/>
      <c r="CC35" s="15"/>
      <c r="CD35" s="15"/>
      <c r="CE35" s="15"/>
      <c r="CF35" s="15"/>
      <c r="CG35" s="15"/>
      <c r="CH35" s="15"/>
      <c r="CI35" s="15"/>
      <c r="CJ35" s="15"/>
      <c r="CK35" s="15"/>
      <c r="CL35" s="15"/>
      <c r="CM35" s="15"/>
      <c r="CN35" s="15"/>
      <c r="CO35" s="15"/>
      <c r="CP35" s="15"/>
      <c r="CQ35" s="15"/>
      <c r="CR35" s="15"/>
      <c r="CS35" s="15"/>
      <c r="CT35" s="15"/>
      <c r="CU35" s="15"/>
      <c r="CV35" s="15"/>
      <c r="CW35" s="15"/>
      <c r="CX35" s="15"/>
      <c r="CY35" s="15"/>
      <c r="CZ35" s="15"/>
      <c r="DA35" s="15"/>
      <c r="DB35" s="15"/>
      <c r="DC35" s="15"/>
      <c r="DD35" s="15"/>
      <c r="DE35" s="15"/>
      <c r="DF35" s="15"/>
      <c r="DG35" s="15"/>
      <c r="DH35" s="15"/>
      <c r="DI35" s="15"/>
      <c r="DJ35" s="15"/>
      <c r="DK35" s="15"/>
      <c r="DL35" s="15"/>
      <c r="DM35" s="15"/>
      <c r="DN35" s="15"/>
      <c r="DO35" s="15"/>
      <c r="DP35" s="15"/>
      <c r="DQ35" s="15"/>
      <c r="DR35" s="15"/>
      <c r="DS35" s="15"/>
      <c r="DT35" s="15"/>
      <c r="DU35" s="15"/>
      <c r="DV35" s="15"/>
      <c r="DW35" s="15"/>
      <c r="DX35" s="15"/>
      <c r="DY35" s="15"/>
      <c r="DZ35" s="15"/>
      <c r="EA35" s="15"/>
      <c r="EB35" s="15"/>
      <c r="EC35" s="15"/>
      <c r="ED35" s="15"/>
      <c r="EE35" s="15"/>
      <c r="EF35" s="15"/>
      <c r="EG35" s="15"/>
      <c r="EH35" s="15"/>
      <c r="EI35" s="15"/>
      <c r="EJ35" s="15"/>
      <c r="EK35" s="15"/>
      <c r="EL35" s="15"/>
      <c r="EM35" s="15"/>
      <c r="EN35" s="15"/>
      <c r="EO35" s="15"/>
      <c r="EP35" s="15"/>
      <c r="EQ35" s="15"/>
      <c r="ER35" s="15"/>
      <c r="ES35" s="15"/>
      <c r="ET35" s="15"/>
      <c r="EU35" s="15"/>
      <c r="EV35" s="15"/>
      <c r="EW35" s="15"/>
      <c r="EX35" s="15"/>
      <c r="EY35" s="15"/>
      <c r="EZ35" s="15"/>
      <c r="FA35" s="15"/>
      <c r="FB35" s="15"/>
      <c r="FC35" s="15"/>
      <c r="FD35" s="15"/>
      <c r="FE35" s="15"/>
      <c r="FF35" s="15"/>
      <c r="FG35" s="15"/>
      <c r="FH35" s="15"/>
      <c r="FI35" s="15"/>
      <c r="FJ35" s="15"/>
      <c r="FK35" s="15"/>
      <c r="FL35" s="15"/>
      <c r="FM35" s="15"/>
      <c r="FN35" s="15"/>
      <c r="FO35" s="15"/>
      <c r="FP35" s="15"/>
      <c r="FQ35" s="15"/>
      <c r="FR35" s="15"/>
      <c r="FS35" s="15"/>
      <c r="FT35" s="15"/>
      <c r="FU35" s="15"/>
      <c r="FV35" s="15"/>
      <c r="FW35" s="15"/>
      <c r="FX35" s="15"/>
      <c r="FY35" s="15"/>
      <c r="FZ35" s="15"/>
      <c r="GA35" s="15"/>
      <c r="GB35" s="15"/>
      <c r="GC35" s="15"/>
      <c r="GD35" s="15"/>
      <c r="GE35" s="15"/>
      <c r="GF35" s="15"/>
      <c r="GG35" s="15"/>
      <c r="GH35" s="15"/>
      <c r="GI35" s="15"/>
      <c r="GJ35" s="15"/>
      <c r="GK35" s="15"/>
      <c r="GL35" s="15"/>
      <c r="GM35" s="15"/>
      <c r="GN35" s="15"/>
      <c r="GO35" s="15"/>
      <c r="GP35" s="15"/>
      <c r="GQ35" s="15"/>
      <c r="GR35" s="15"/>
      <c r="GS35" s="15"/>
      <c r="GT35" s="15"/>
      <c r="GU35" s="15"/>
      <c r="GV35" s="15"/>
      <c r="GW35" s="15"/>
      <c r="GX35" s="15"/>
      <c r="GY35" s="15"/>
      <c r="GZ35" s="15"/>
      <c r="HA35" s="15"/>
      <c r="HB35" s="15"/>
      <c r="HC35" s="15"/>
      <c r="HD35" s="15"/>
      <c r="HE35" s="15"/>
      <c r="HF35" s="15"/>
      <c r="HG35" s="15"/>
      <c r="HH35" s="15"/>
      <c r="HI35" s="15"/>
      <c r="HJ35" s="15"/>
      <c r="HK35" s="15"/>
      <c r="HL35" s="15"/>
      <c r="HM35" s="15"/>
      <c r="HN35" s="15"/>
      <c r="HO35" s="15"/>
      <c r="HP35" s="15"/>
      <c r="HQ35" s="15"/>
      <c r="HR35" s="15"/>
      <c r="HS35" s="15"/>
      <c r="HT35" s="15"/>
      <c r="HU35" s="15"/>
    </row>
    <row r="36" spans="1:229" s="16" customFormat="1" ht="13.8">
      <c r="A36" s="250"/>
      <c r="B36" s="17"/>
      <c r="C36" s="19"/>
      <c r="D36" s="19"/>
      <c r="E36" s="221" t="s">
        <v>141</v>
      </c>
      <c r="F36" s="19"/>
      <c r="G36" s="172"/>
      <c r="H36" s="126"/>
      <c r="I36" s="126"/>
      <c r="J36" s="126"/>
      <c r="K36" s="126"/>
      <c r="L36" s="126"/>
      <c r="M36" s="126"/>
      <c r="N36" s="126"/>
      <c r="O36" s="126"/>
      <c r="P36" s="126"/>
      <c r="Q36" s="126"/>
      <c r="R36" s="126"/>
      <c r="S36" s="126"/>
      <c r="T36" s="126"/>
      <c r="U36" s="126"/>
      <c r="V36" s="126"/>
      <c r="W36" s="126"/>
      <c r="X36" s="126"/>
      <c r="Y36" s="126"/>
      <c r="Z36" s="126"/>
      <c r="AA36" s="15"/>
      <c r="AB36" s="15"/>
      <c r="AC36" s="15"/>
      <c r="AD36" s="15"/>
      <c r="AE36" s="15"/>
      <c r="AF36" s="15"/>
      <c r="AG36" s="15"/>
      <c r="AH36" s="15"/>
      <c r="AI36" s="15"/>
      <c r="AJ36" s="15"/>
      <c r="AK36" s="15"/>
      <c r="AL36" s="15"/>
      <c r="AM36" s="15"/>
      <c r="AN36" s="15"/>
      <c r="AO36" s="15"/>
      <c r="AP36" s="15"/>
      <c r="AQ36" s="15"/>
      <c r="AR36" s="15"/>
      <c r="AS36" s="15"/>
      <c r="AT36" s="15"/>
      <c r="AU36" s="15"/>
      <c r="AV36" s="15"/>
      <c r="AW36" s="15"/>
      <c r="AX36" s="15"/>
      <c r="AY36" s="15"/>
      <c r="AZ36" s="15"/>
      <c r="BA36" s="15"/>
      <c r="BB36" s="15"/>
      <c r="BC36" s="15"/>
      <c r="BD36" s="15"/>
      <c r="BE36" s="15"/>
      <c r="BF36" s="15"/>
      <c r="BG36" s="15"/>
      <c r="BH36" s="15"/>
      <c r="BI36" s="15"/>
      <c r="BJ36" s="15"/>
      <c r="BK36" s="15"/>
      <c r="BL36" s="15"/>
      <c r="BM36" s="15"/>
      <c r="BN36" s="15"/>
      <c r="BO36" s="15"/>
      <c r="BP36" s="15"/>
      <c r="BQ36" s="15"/>
      <c r="BR36" s="15"/>
      <c r="BS36" s="15"/>
      <c r="BT36" s="15"/>
      <c r="BU36" s="15"/>
      <c r="BV36" s="15"/>
      <c r="BW36" s="15"/>
      <c r="BX36" s="15"/>
      <c r="BY36" s="15"/>
      <c r="BZ36" s="15"/>
      <c r="CA36" s="15"/>
      <c r="CB36" s="15"/>
      <c r="CC36" s="15"/>
      <c r="CD36" s="15"/>
      <c r="CE36" s="15"/>
      <c r="CF36" s="15"/>
      <c r="CG36" s="15"/>
      <c r="CH36" s="15"/>
      <c r="CI36" s="15"/>
      <c r="CJ36" s="15"/>
      <c r="CK36" s="15"/>
      <c r="CL36" s="15"/>
      <c r="CM36" s="15"/>
      <c r="CN36" s="15"/>
      <c r="CO36" s="15"/>
      <c r="CP36" s="15"/>
      <c r="CQ36" s="15"/>
      <c r="CR36" s="15"/>
      <c r="CS36" s="15"/>
      <c r="CT36" s="15"/>
      <c r="CU36" s="15"/>
      <c r="CV36" s="15"/>
      <c r="CW36" s="15"/>
      <c r="CX36" s="15"/>
      <c r="CY36" s="15"/>
      <c r="CZ36" s="15"/>
      <c r="DA36" s="15"/>
      <c r="DB36" s="15"/>
      <c r="DC36" s="15"/>
      <c r="DD36" s="15"/>
      <c r="DE36" s="15"/>
      <c r="DF36" s="15"/>
      <c r="DG36" s="15"/>
      <c r="DH36" s="15"/>
      <c r="DI36" s="15"/>
      <c r="DJ36" s="15"/>
      <c r="DK36" s="15"/>
      <c r="DL36" s="15"/>
      <c r="DM36" s="15"/>
      <c r="DN36" s="15"/>
      <c r="DO36" s="15"/>
      <c r="DP36" s="15"/>
      <c r="DQ36" s="15"/>
      <c r="DR36" s="15"/>
      <c r="DS36" s="15"/>
      <c r="DT36" s="15"/>
      <c r="DU36" s="15"/>
      <c r="DV36" s="15"/>
      <c r="DW36" s="15"/>
      <c r="DX36" s="15"/>
      <c r="DY36" s="15"/>
      <c r="DZ36" s="15"/>
      <c r="EA36" s="15"/>
      <c r="EB36" s="15"/>
      <c r="EC36" s="15"/>
      <c r="ED36" s="15"/>
      <c r="EE36" s="15"/>
      <c r="EF36" s="15"/>
      <c r="EG36" s="15"/>
      <c r="EH36" s="15"/>
      <c r="EI36" s="15"/>
      <c r="EJ36" s="15"/>
      <c r="EK36" s="15"/>
      <c r="EL36" s="15"/>
      <c r="EM36" s="15"/>
      <c r="EN36" s="15"/>
      <c r="EO36" s="15"/>
      <c r="EP36" s="15"/>
      <c r="EQ36" s="15"/>
      <c r="ER36" s="15"/>
      <c r="ES36" s="15"/>
      <c r="ET36" s="15"/>
      <c r="EU36" s="15"/>
      <c r="EV36" s="15"/>
      <c r="EW36" s="15"/>
      <c r="EX36" s="15"/>
      <c r="EY36" s="15"/>
      <c r="EZ36" s="15"/>
      <c r="FA36" s="15"/>
      <c r="FB36" s="15"/>
      <c r="FC36" s="15"/>
      <c r="FD36" s="15"/>
      <c r="FE36" s="15"/>
      <c r="FF36" s="15"/>
      <c r="FG36" s="15"/>
      <c r="FH36" s="15"/>
      <c r="FI36" s="15"/>
      <c r="FJ36" s="15"/>
      <c r="FK36" s="15"/>
      <c r="FL36" s="15"/>
      <c r="FM36" s="15"/>
      <c r="FN36" s="15"/>
      <c r="FO36" s="15"/>
      <c r="FP36" s="15"/>
      <c r="FQ36" s="15"/>
      <c r="FR36" s="15"/>
      <c r="FS36" s="15"/>
      <c r="FT36" s="15"/>
      <c r="FU36" s="15"/>
      <c r="FV36" s="15"/>
      <c r="FW36" s="15"/>
      <c r="FX36" s="15"/>
      <c r="FY36" s="15"/>
      <c r="FZ36" s="15"/>
      <c r="GA36" s="15"/>
      <c r="GB36" s="15"/>
      <c r="GC36" s="15"/>
      <c r="GD36" s="15"/>
      <c r="GE36" s="15"/>
      <c r="GF36" s="15"/>
      <c r="GG36" s="15"/>
      <c r="GH36" s="15"/>
      <c r="GI36" s="15"/>
      <c r="GJ36" s="15"/>
      <c r="GK36" s="15"/>
      <c r="GL36" s="15"/>
      <c r="GM36" s="15"/>
      <c r="GN36" s="15"/>
      <c r="GO36" s="15"/>
      <c r="GP36" s="15"/>
      <c r="GQ36" s="15"/>
      <c r="GR36" s="15"/>
      <c r="GS36" s="15"/>
      <c r="GT36" s="15"/>
      <c r="GU36" s="15"/>
      <c r="GV36" s="15"/>
      <c r="GW36" s="15"/>
      <c r="GX36" s="15"/>
      <c r="GY36" s="15"/>
      <c r="GZ36" s="15"/>
      <c r="HA36" s="15"/>
      <c r="HB36" s="15"/>
      <c r="HC36" s="15"/>
      <c r="HD36" s="15"/>
      <c r="HE36" s="15"/>
      <c r="HF36" s="15"/>
      <c r="HG36" s="15"/>
      <c r="HH36" s="15"/>
      <c r="HI36" s="15"/>
      <c r="HJ36" s="15"/>
      <c r="HK36" s="15"/>
      <c r="HL36" s="15"/>
      <c r="HM36" s="15"/>
      <c r="HN36" s="15"/>
      <c r="HO36" s="15"/>
      <c r="HP36" s="15"/>
      <c r="HQ36" s="15"/>
      <c r="HR36" s="15"/>
      <c r="HS36" s="15"/>
      <c r="HT36" s="15"/>
      <c r="HU36" s="15"/>
    </row>
    <row r="37" spans="1:229" s="16" customFormat="1" ht="13.8">
      <c r="A37" s="250"/>
      <c r="B37" s="13"/>
      <c r="C37" s="19"/>
      <c r="D37" s="19"/>
      <c r="E37" s="211" t="s">
        <v>123</v>
      </c>
      <c r="F37" s="19" t="s">
        <v>364</v>
      </c>
      <c r="G37" s="171"/>
      <c r="H37" s="126"/>
      <c r="I37" s="126"/>
      <c r="J37" s="126"/>
      <c r="K37" s="126"/>
      <c r="L37" s="126"/>
      <c r="M37" s="126"/>
      <c r="N37" s="126"/>
      <c r="O37" s="126"/>
      <c r="P37" s="126"/>
      <c r="Q37" s="126"/>
      <c r="R37" s="126"/>
      <c r="S37" s="126"/>
      <c r="T37" s="126"/>
      <c r="U37" s="126"/>
      <c r="V37" s="126"/>
      <c r="W37" s="126"/>
      <c r="X37" s="126"/>
      <c r="Y37" s="126"/>
      <c r="Z37" s="126"/>
      <c r="AA37" s="15"/>
      <c r="AB37" s="15"/>
      <c r="AC37" s="15"/>
      <c r="AD37" s="15"/>
      <c r="AE37" s="15"/>
      <c r="AF37" s="15"/>
      <c r="AG37" s="15"/>
      <c r="AH37" s="15"/>
      <c r="AI37" s="15"/>
      <c r="AJ37" s="15"/>
      <c r="AK37" s="15"/>
      <c r="AL37" s="15"/>
      <c r="AM37" s="15"/>
      <c r="AN37" s="15"/>
      <c r="AO37" s="15"/>
      <c r="AP37" s="15"/>
      <c r="AQ37" s="15"/>
      <c r="AR37" s="15"/>
      <c r="AS37" s="15"/>
      <c r="AT37" s="15"/>
      <c r="AU37" s="15"/>
      <c r="AV37" s="15"/>
      <c r="AW37" s="15"/>
      <c r="AX37" s="15"/>
      <c r="AY37" s="15"/>
      <c r="AZ37" s="15"/>
      <c r="BA37" s="15"/>
      <c r="BB37" s="15"/>
      <c r="BC37" s="15"/>
      <c r="BD37" s="15"/>
      <c r="BE37" s="15"/>
      <c r="BF37" s="15"/>
      <c r="BG37" s="15"/>
      <c r="BH37" s="15"/>
      <c r="BI37" s="15"/>
      <c r="BJ37" s="15"/>
      <c r="BK37" s="15"/>
      <c r="BL37" s="15"/>
      <c r="BM37" s="15"/>
      <c r="BN37" s="15"/>
      <c r="BO37" s="15"/>
      <c r="BP37" s="15"/>
      <c r="BQ37" s="15"/>
      <c r="BR37" s="15"/>
      <c r="BS37" s="15"/>
      <c r="BT37" s="15"/>
      <c r="BU37" s="15"/>
      <c r="BV37" s="15"/>
      <c r="BW37" s="15"/>
      <c r="BX37" s="15"/>
      <c r="BY37" s="15"/>
      <c r="BZ37" s="15"/>
      <c r="CA37" s="15"/>
      <c r="CB37" s="15"/>
      <c r="CC37" s="15"/>
      <c r="CD37" s="15"/>
      <c r="CE37" s="15"/>
      <c r="CF37" s="15"/>
      <c r="CG37" s="15"/>
      <c r="CH37" s="15"/>
      <c r="CI37" s="15"/>
      <c r="CJ37" s="15"/>
      <c r="CK37" s="15"/>
      <c r="CL37" s="15"/>
      <c r="CM37" s="15"/>
      <c r="CN37" s="15"/>
      <c r="CO37" s="15"/>
      <c r="CP37" s="15"/>
      <c r="CQ37" s="15"/>
      <c r="CR37" s="15"/>
      <c r="CS37" s="15"/>
      <c r="CT37" s="15"/>
      <c r="CU37" s="15"/>
      <c r="CV37" s="15"/>
      <c r="CW37" s="15"/>
      <c r="CX37" s="15"/>
      <c r="CY37" s="15"/>
      <c r="CZ37" s="15"/>
      <c r="DA37" s="15"/>
      <c r="DB37" s="15"/>
      <c r="DC37" s="15"/>
      <c r="DD37" s="15"/>
      <c r="DE37" s="15"/>
      <c r="DF37" s="15"/>
      <c r="DG37" s="15"/>
      <c r="DH37" s="15"/>
      <c r="DI37" s="15"/>
      <c r="DJ37" s="15"/>
      <c r="DK37" s="15"/>
      <c r="DL37" s="15"/>
      <c r="DM37" s="15"/>
      <c r="DN37" s="15"/>
      <c r="DO37" s="15"/>
      <c r="DP37" s="15"/>
      <c r="DQ37" s="15"/>
      <c r="DR37" s="15"/>
      <c r="DS37" s="15"/>
      <c r="DT37" s="15"/>
      <c r="DU37" s="15"/>
      <c r="DV37" s="15"/>
      <c r="DW37" s="15"/>
      <c r="DX37" s="15"/>
      <c r="DY37" s="15"/>
      <c r="DZ37" s="15"/>
      <c r="EA37" s="15"/>
      <c r="EB37" s="15"/>
      <c r="EC37" s="15"/>
      <c r="ED37" s="15"/>
      <c r="EE37" s="15"/>
      <c r="EF37" s="15"/>
      <c r="EG37" s="15"/>
      <c r="EH37" s="15"/>
      <c r="EI37" s="15"/>
      <c r="EJ37" s="15"/>
      <c r="EK37" s="15"/>
      <c r="EL37" s="15"/>
      <c r="EM37" s="15"/>
      <c r="EN37" s="15"/>
      <c r="EO37" s="15"/>
      <c r="EP37" s="15"/>
      <c r="EQ37" s="15"/>
      <c r="ER37" s="15"/>
      <c r="ES37" s="15"/>
      <c r="ET37" s="15"/>
      <c r="EU37" s="15"/>
      <c r="EV37" s="15"/>
      <c r="EW37" s="15"/>
      <c r="EX37" s="15"/>
      <c r="EY37" s="15"/>
      <c r="EZ37" s="15"/>
      <c r="FA37" s="15"/>
      <c r="FB37" s="15"/>
      <c r="FC37" s="15"/>
      <c r="FD37" s="15"/>
      <c r="FE37" s="15"/>
      <c r="FF37" s="15"/>
      <c r="FG37" s="15"/>
      <c r="FH37" s="15"/>
      <c r="FI37" s="15"/>
      <c r="FJ37" s="15"/>
      <c r="FK37" s="15"/>
      <c r="FL37" s="15"/>
      <c r="FM37" s="15"/>
      <c r="FN37" s="15"/>
      <c r="FO37" s="15"/>
      <c r="FP37" s="15"/>
      <c r="FQ37" s="15"/>
      <c r="FR37" s="15"/>
      <c r="FS37" s="15"/>
      <c r="FT37" s="15"/>
      <c r="FU37" s="15"/>
      <c r="FV37" s="15"/>
      <c r="FW37" s="15"/>
      <c r="FX37" s="15"/>
      <c r="FY37" s="15"/>
      <c r="FZ37" s="15"/>
      <c r="GA37" s="15"/>
      <c r="GB37" s="15"/>
      <c r="GC37" s="15"/>
      <c r="GD37" s="15"/>
      <c r="GE37" s="15"/>
      <c r="GF37" s="15"/>
      <c r="GG37" s="15"/>
      <c r="GH37" s="15"/>
      <c r="GI37" s="15"/>
      <c r="GJ37" s="15"/>
      <c r="GK37" s="15"/>
      <c r="GL37" s="15"/>
      <c r="GM37" s="15"/>
      <c r="GN37" s="15"/>
      <c r="GO37" s="15"/>
      <c r="GP37" s="15"/>
      <c r="GQ37" s="15"/>
      <c r="GR37" s="15"/>
      <c r="GS37" s="15"/>
      <c r="GT37" s="15"/>
      <c r="GU37" s="15"/>
      <c r="GV37" s="15"/>
      <c r="GW37" s="15"/>
      <c r="GX37" s="15"/>
      <c r="GY37" s="15"/>
      <c r="GZ37" s="15"/>
      <c r="HA37" s="15"/>
      <c r="HB37" s="15"/>
      <c r="HC37" s="15"/>
      <c r="HD37" s="15"/>
      <c r="HE37" s="15"/>
      <c r="HF37" s="15"/>
      <c r="HG37" s="15"/>
      <c r="HH37" s="15"/>
      <c r="HI37" s="15"/>
      <c r="HJ37" s="15"/>
      <c r="HK37" s="15"/>
      <c r="HL37" s="15"/>
      <c r="HM37" s="15"/>
      <c r="HN37" s="15"/>
      <c r="HO37" s="15"/>
      <c r="HP37" s="15"/>
      <c r="HQ37" s="15"/>
      <c r="HR37" s="15"/>
      <c r="HS37" s="15"/>
      <c r="HT37" s="15"/>
      <c r="HU37" s="15"/>
    </row>
    <row r="38" spans="1:229" s="12" customFormat="1" ht="18" customHeight="1">
      <c r="A38" s="250"/>
      <c r="B38" s="10"/>
      <c r="C38" s="19"/>
      <c r="D38" s="19"/>
      <c r="E38" s="19"/>
      <c r="F38" s="19"/>
      <c r="G38" s="170"/>
      <c r="H38" s="165"/>
      <c r="I38" s="165"/>
      <c r="J38" s="165"/>
      <c r="K38" s="165"/>
      <c r="L38" s="165"/>
      <c r="M38" s="165"/>
      <c r="N38" s="165"/>
      <c r="O38" s="165"/>
      <c r="P38" s="165"/>
      <c r="Q38" s="165"/>
      <c r="R38" s="165"/>
      <c r="S38" s="165"/>
      <c r="T38" s="165"/>
      <c r="U38" s="165"/>
      <c r="V38" s="165"/>
      <c r="W38" s="165"/>
      <c r="X38" s="165"/>
      <c r="Y38" s="165"/>
      <c r="Z38" s="165"/>
      <c r="AA38" s="11"/>
      <c r="AB38" s="11"/>
      <c r="AC38" s="11"/>
      <c r="AD38" s="11"/>
      <c r="AE38" s="11"/>
      <c r="AF38" s="11"/>
      <c r="AG38" s="11"/>
      <c r="AH38" s="11"/>
      <c r="AI38" s="11"/>
      <c r="AJ38" s="11"/>
      <c r="AK38" s="11"/>
      <c r="AL38" s="11"/>
      <c r="AM38" s="11"/>
      <c r="AN38" s="11"/>
      <c r="AO38" s="11"/>
      <c r="AP38" s="11"/>
      <c r="AQ38" s="11"/>
      <c r="AR38" s="11"/>
      <c r="AS38" s="11"/>
      <c r="AT38" s="11"/>
      <c r="AU38" s="11"/>
      <c r="AV38" s="11"/>
      <c r="AW38" s="11"/>
      <c r="AX38" s="11"/>
      <c r="AY38" s="11"/>
      <c r="AZ38" s="11"/>
      <c r="BA38" s="11"/>
      <c r="BB38" s="11"/>
      <c r="BC38" s="11"/>
      <c r="BD38" s="11"/>
      <c r="BE38" s="11"/>
      <c r="BF38" s="11"/>
      <c r="BG38" s="11"/>
      <c r="BH38" s="11"/>
      <c r="BI38" s="11"/>
      <c r="BJ38" s="11"/>
      <c r="BK38" s="11"/>
      <c r="BL38" s="11"/>
      <c r="BM38" s="11"/>
      <c r="BN38" s="11"/>
      <c r="BO38" s="11"/>
      <c r="BP38" s="11"/>
      <c r="BQ38" s="11"/>
      <c r="BR38" s="11"/>
      <c r="BS38" s="11"/>
      <c r="BT38" s="11"/>
      <c r="BU38" s="11"/>
      <c r="BV38" s="11"/>
      <c r="BW38" s="11"/>
      <c r="BX38" s="11"/>
      <c r="BY38" s="11"/>
      <c r="BZ38" s="11"/>
      <c r="CA38" s="11"/>
      <c r="CB38" s="11"/>
      <c r="CC38" s="11"/>
      <c r="CD38" s="11"/>
      <c r="CE38" s="11"/>
      <c r="CF38" s="11"/>
      <c r="CG38" s="11"/>
      <c r="CH38" s="11"/>
      <c r="CI38" s="11"/>
      <c r="CJ38" s="11"/>
      <c r="CK38" s="11"/>
      <c r="CL38" s="11"/>
      <c r="CM38" s="11"/>
      <c r="CN38" s="11"/>
      <c r="CO38" s="11"/>
      <c r="CP38" s="11"/>
      <c r="CQ38" s="11"/>
      <c r="CR38" s="11"/>
      <c r="CS38" s="11"/>
      <c r="CT38" s="11"/>
      <c r="CU38" s="11"/>
      <c r="CV38" s="11"/>
      <c r="CW38" s="11"/>
      <c r="CX38" s="11"/>
      <c r="CY38" s="11"/>
      <c r="CZ38" s="11"/>
      <c r="DA38" s="11"/>
      <c r="DB38" s="11"/>
      <c r="DC38" s="11"/>
      <c r="DD38" s="11"/>
      <c r="DE38" s="11"/>
      <c r="DF38" s="11"/>
      <c r="DG38" s="11"/>
      <c r="DH38" s="11"/>
      <c r="DI38" s="11"/>
      <c r="DJ38" s="11"/>
      <c r="DK38" s="11"/>
      <c r="DL38" s="11"/>
      <c r="DM38" s="11"/>
      <c r="DN38" s="11"/>
      <c r="DO38" s="11"/>
      <c r="DP38" s="11"/>
      <c r="DQ38" s="11"/>
      <c r="DR38" s="11"/>
      <c r="DS38" s="11"/>
      <c r="DT38" s="11"/>
      <c r="DU38" s="11"/>
      <c r="DV38" s="11"/>
      <c r="DW38" s="11"/>
      <c r="DX38" s="11"/>
      <c r="DY38" s="11"/>
      <c r="DZ38" s="11"/>
      <c r="EA38" s="11"/>
      <c r="EB38" s="11"/>
      <c r="EC38" s="11"/>
      <c r="ED38" s="11"/>
      <c r="EE38" s="11"/>
      <c r="EF38" s="11"/>
      <c r="EG38" s="11"/>
      <c r="EH38" s="11"/>
      <c r="EI38" s="11"/>
      <c r="EJ38" s="11"/>
      <c r="EK38" s="11"/>
      <c r="EL38" s="11"/>
      <c r="EM38" s="11"/>
      <c r="EN38" s="11"/>
      <c r="EO38" s="11"/>
      <c r="EP38" s="11"/>
      <c r="EQ38" s="11"/>
      <c r="ER38" s="11"/>
      <c r="ES38" s="11"/>
      <c r="ET38" s="11"/>
      <c r="EU38" s="11"/>
      <c r="EV38" s="11"/>
      <c r="EW38" s="11"/>
      <c r="EX38" s="11"/>
      <c r="EY38" s="11"/>
      <c r="EZ38" s="11"/>
      <c r="FA38" s="11"/>
      <c r="FB38" s="11"/>
      <c r="FC38" s="11"/>
      <c r="FD38" s="11"/>
      <c r="FE38" s="11"/>
      <c r="FF38" s="11"/>
      <c r="FG38" s="11"/>
      <c r="FH38" s="11"/>
      <c r="FI38" s="11"/>
      <c r="FJ38" s="11"/>
      <c r="FK38" s="11"/>
      <c r="FL38" s="11"/>
      <c r="FM38" s="11"/>
      <c r="FN38" s="11"/>
      <c r="FO38" s="11"/>
      <c r="FP38" s="11"/>
      <c r="FQ38" s="11"/>
      <c r="FR38" s="11"/>
      <c r="FS38" s="11"/>
      <c r="FT38" s="11"/>
      <c r="FU38" s="11"/>
      <c r="FV38" s="11"/>
      <c r="FW38" s="11"/>
      <c r="FX38" s="11"/>
      <c r="FY38" s="11"/>
      <c r="FZ38" s="11"/>
      <c r="GA38" s="11"/>
      <c r="GB38" s="11"/>
      <c r="GC38" s="11"/>
      <c r="GD38" s="11"/>
      <c r="GE38" s="11"/>
      <c r="GF38" s="11"/>
      <c r="GG38" s="11"/>
      <c r="GH38" s="11"/>
      <c r="GI38" s="11"/>
      <c r="GJ38" s="11"/>
      <c r="GK38" s="11"/>
      <c r="GL38" s="11"/>
      <c r="GM38" s="11"/>
      <c r="GN38" s="11"/>
      <c r="GO38" s="11"/>
      <c r="GP38" s="11"/>
      <c r="GQ38" s="11"/>
      <c r="GR38" s="11"/>
      <c r="GS38" s="11"/>
      <c r="GT38" s="11"/>
      <c r="GU38" s="11"/>
      <c r="GV38" s="11"/>
      <c r="GW38" s="11"/>
      <c r="GX38" s="11"/>
      <c r="GY38" s="11"/>
      <c r="GZ38" s="11"/>
      <c r="HA38" s="11"/>
      <c r="HB38" s="11"/>
      <c r="HC38" s="11"/>
      <c r="HD38" s="11"/>
      <c r="HE38" s="11"/>
      <c r="HF38" s="11"/>
      <c r="HG38" s="11"/>
      <c r="HH38" s="11"/>
      <c r="HI38" s="11"/>
      <c r="HJ38" s="11"/>
      <c r="HK38" s="11"/>
      <c r="HL38" s="11"/>
      <c r="HM38" s="11"/>
      <c r="HN38" s="11"/>
      <c r="HO38" s="11"/>
      <c r="HP38" s="11"/>
      <c r="HQ38" s="11"/>
      <c r="HR38" s="11"/>
      <c r="HS38" s="11"/>
      <c r="HT38" s="11"/>
      <c r="HU38" s="11"/>
    </row>
    <row r="39" spans="1:229" s="12" customFormat="1" ht="18" customHeight="1">
      <c r="A39" s="250"/>
      <c r="B39" s="10"/>
      <c r="C39" s="201">
        <v>3</v>
      </c>
      <c r="D39" s="9" t="s">
        <v>134</v>
      </c>
      <c r="E39" s="202"/>
      <c r="F39" s="202"/>
      <c r="G39" s="170"/>
      <c r="H39" s="165"/>
      <c r="I39" s="165"/>
      <c r="J39" s="165"/>
      <c r="K39" s="165"/>
      <c r="L39" s="165"/>
      <c r="M39" s="165"/>
      <c r="N39" s="165"/>
      <c r="O39" s="165"/>
      <c r="P39" s="165"/>
      <c r="Q39" s="165"/>
      <c r="R39" s="165"/>
      <c r="S39" s="165"/>
      <c r="T39" s="165"/>
      <c r="U39" s="165"/>
      <c r="V39" s="165"/>
      <c r="W39" s="165"/>
      <c r="X39" s="165"/>
      <c r="Y39" s="165"/>
      <c r="Z39" s="165"/>
      <c r="AA39" s="11"/>
      <c r="AB39" s="11"/>
      <c r="AC39" s="11"/>
      <c r="AD39" s="11"/>
      <c r="AE39" s="11"/>
      <c r="AF39" s="11"/>
      <c r="AG39" s="11"/>
      <c r="AH39" s="11"/>
      <c r="AI39" s="11"/>
      <c r="AJ39" s="11"/>
      <c r="AK39" s="11"/>
      <c r="AL39" s="11"/>
      <c r="AM39" s="11"/>
      <c r="AN39" s="11"/>
      <c r="AO39" s="11"/>
      <c r="AP39" s="11"/>
      <c r="AQ39" s="11"/>
      <c r="AR39" s="11"/>
      <c r="AS39" s="11"/>
      <c r="AT39" s="11"/>
      <c r="AU39" s="11"/>
      <c r="AV39" s="11"/>
      <c r="AW39" s="11"/>
      <c r="AX39" s="11"/>
      <c r="AY39" s="11"/>
      <c r="AZ39" s="11"/>
      <c r="BA39" s="11"/>
      <c r="BB39" s="11"/>
      <c r="BC39" s="11"/>
      <c r="BD39" s="11"/>
      <c r="BE39" s="11"/>
      <c r="BF39" s="11"/>
      <c r="BG39" s="11"/>
      <c r="BH39" s="11"/>
      <c r="BI39" s="11"/>
      <c r="BJ39" s="11"/>
      <c r="BK39" s="11"/>
      <c r="BL39" s="11"/>
      <c r="BM39" s="11"/>
      <c r="BN39" s="11"/>
      <c r="BO39" s="11"/>
      <c r="BP39" s="11"/>
      <c r="BQ39" s="11"/>
      <c r="BR39" s="11"/>
      <c r="BS39" s="11"/>
      <c r="BT39" s="11"/>
      <c r="BU39" s="11"/>
      <c r="BV39" s="11"/>
      <c r="BW39" s="11"/>
      <c r="BX39" s="11"/>
      <c r="BY39" s="11"/>
      <c r="BZ39" s="11"/>
      <c r="CA39" s="11"/>
      <c r="CB39" s="11"/>
      <c r="CC39" s="11"/>
      <c r="CD39" s="11"/>
      <c r="CE39" s="11"/>
      <c r="CF39" s="11"/>
      <c r="CG39" s="11"/>
      <c r="CH39" s="11"/>
      <c r="CI39" s="11"/>
      <c r="CJ39" s="11"/>
      <c r="CK39" s="11"/>
      <c r="CL39" s="11"/>
      <c r="CM39" s="11"/>
      <c r="CN39" s="11"/>
      <c r="CO39" s="11"/>
      <c r="CP39" s="11"/>
      <c r="CQ39" s="11"/>
      <c r="CR39" s="11"/>
      <c r="CS39" s="11"/>
      <c r="CT39" s="11"/>
      <c r="CU39" s="11"/>
      <c r="CV39" s="11"/>
      <c r="CW39" s="11"/>
      <c r="CX39" s="11"/>
      <c r="CY39" s="11"/>
      <c r="CZ39" s="11"/>
      <c r="DA39" s="11"/>
      <c r="DB39" s="11"/>
      <c r="DC39" s="11"/>
      <c r="DD39" s="11"/>
      <c r="DE39" s="11"/>
      <c r="DF39" s="11"/>
      <c r="DG39" s="11"/>
      <c r="DH39" s="11"/>
      <c r="DI39" s="11"/>
      <c r="DJ39" s="11"/>
      <c r="DK39" s="11"/>
      <c r="DL39" s="11"/>
      <c r="DM39" s="11"/>
      <c r="DN39" s="11"/>
      <c r="DO39" s="11"/>
      <c r="DP39" s="11"/>
      <c r="DQ39" s="11"/>
      <c r="DR39" s="11"/>
      <c r="DS39" s="11"/>
      <c r="DT39" s="11"/>
      <c r="DU39" s="11"/>
      <c r="DV39" s="11"/>
      <c r="DW39" s="11"/>
      <c r="DX39" s="11"/>
      <c r="DY39" s="11"/>
      <c r="DZ39" s="11"/>
      <c r="EA39" s="11"/>
      <c r="EB39" s="11"/>
      <c r="EC39" s="11"/>
      <c r="ED39" s="11"/>
      <c r="EE39" s="11"/>
      <c r="EF39" s="11"/>
      <c r="EG39" s="11"/>
      <c r="EH39" s="11"/>
      <c r="EI39" s="11"/>
      <c r="EJ39" s="11"/>
      <c r="EK39" s="11"/>
      <c r="EL39" s="11"/>
      <c r="EM39" s="11"/>
      <c r="EN39" s="11"/>
      <c r="EO39" s="11"/>
      <c r="EP39" s="11"/>
      <c r="EQ39" s="11"/>
      <c r="ER39" s="11"/>
      <c r="ES39" s="11"/>
      <c r="ET39" s="11"/>
      <c r="EU39" s="11"/>
      <c r="EV39" s="11"/>
      <c r="EW39" s="11"/>
      <c r="EX39" s="11"/>
      <c r="EY39" s="11"/>
      <c r="EZ39" s="11"/>
      <c r="FA39" s="11"/>
      <c r="FB39" s="11"/>
      <c r="FC39" s="11"/>
      <c r="FD39" s="11"/>
      <c r="FE39" s="11"/>
      <c r="FF39" s="11"/>
      <c r="FG39" s="11"/>
      <c r="FH39" s="11"/>
      <c r="FI39" s="11"/>
      <c r="FJ39" s="11"/>
      <c r="FK39" s="11"/>
      <c r="FL39" s="11"/>
      <c r="FM39" s="11"/>
      <c r="FN39" s="11"/>
      <c r="FO39" s="11"/>
      <c r="FP39" s="11"/>
      <c r="FQ39" s="11"/>
      <c r="FR39" s="11"/>
      <c r="FS39" s="11"/>
      <c r="FT39" s="11"/>
      <c r="FU39" s="11"/>
      <c r="FV39" s="11"/>
      <c r="FW39" s="11"/>
      <c r="FX39" s="11"/>
      <c r="FY39" s="11"/>
      <c r="FZ39" s="11"/>
      <c r="GA39" s="11"/>
      <c r="GB39" s="11"/>
      <c r="GC39" s="11"/>
      <c r="GD39" s="11"/>
      <c r="GE39" s="11"/>
      <c r="GF39" s="11"/>
      <c r="GG39" s="11"/>
      <c r="GH39" s="11"/>
      <c r="GI39" s="11"/>
      <c r="GJ39" s="11"/>
      <c r="GK39" s="11"/>
      <c r="GL39" s="11"/>
      <c r="GM39" s="11"/>
      <c r="GN39" s="11"/>
      <c r="GO39" s="11"/>
      <c r="GP39" s="11"/>
      <c r="GQ39" s="11"/>
      <c r="GR39" s="11"/>
      <c r="GS39" s="11"/>
      <c r="GT39" s="11"/>
      <c r="GU39" s="11"/>
      <c r="GV39" s="11"/>
      <c r="GW39" s="11"/>
      <c r="GX39" s="11"/>
      <c r="GY39" s="11"/>
      <c r="GZ39" s="11"/>
      <c r="HA39" s="11"/>
      <c r="HB39" s="11"/>
      <c r="HC39" s="11"/>
      <c r="HD39" s="11"/>
      <c r="HE39" s="11"/>
      <c r="HF39" s="11"/>
      <c r="HG39" s="11"/>
      <c r="HH39" s="11"/>
      <c r="HI39" s="11"/>
      <c r="HJ39" s="11"/>
      <c r="HK39" s="11"/>
      <c r="HL39" s="11"/>
      <c r="HM39" s="11"/>
      <c r="HN39" s="11"/>
      <c r="HO39" s="11"/>
      <c r="HP39" s="11"/>
      <c r="HQ39" s="11"/>
      <c r="HR39" s="11"/>
      <c r="HS39" s="11"/>
      <c r="HT39" s="11"/>
      <c r="HU39" s="11"/>
    </row>
    <row r="40" spans="1:229" s="12" customFormat="1" ht="13.8">
      <c r="A40" s="250"/>
      <c r="B40" s="10"/>
      <c r="C40" s="19"/>
      <c r="D40" s="204" t="s">
        <v>123</v>
      </c>
      <c r="E40" s="337" t="s">
        <v>365</v>
      </c>
      <c r="F40" s="337"/>
      <c r="G40" s="170"/>
      <c r="H40" s="165"/>
      <c r="I40" s="165"/>
      <c r="J40" s="165"/>
      <c r="K40" s="165"/>
      <c r="L40" s="165"/>
      <c r="M40" s="165"/>
      <c r="N40" s="165"/>
      <c r="O40" s="165"/>
      <c r="P40" s="165"/>
      <c r="Q40" s="165"/>
      <c r="R40" s="165"/>
      <c r="S40" s="165"/>
      <c r="T40" s="165"/>
      <c r="U40" s="165"/>
      <c r="V40" s="165"/>
      <c r="W40" s="165"/>
      <c r="X40" s="165"/>
      <c r="Y40" s="165"/>
      <c r="Z40" s="165"/>
      <c r="AA40" s="11"/>
      <c r="AB40" s="11"/>
      <c r="AC40" s="11"/>
      <c r="AD40" s="11"/>
      <c r="AE40" s="11"/>
      <c r="AF40" s="11"/>
      <c r="AG40" s="11"/>
      <c r="AH40" s="11"/>
      <c r="AI40" s="11"/>
      <c r="AJ40" s="11"/>
      <c r="AK40" s="11"/>
      <c r="AL40" s="11"/>
      <c r="AM40" s="11"/>
      <c r="AN40" s="11"/>
      <c r="AO40" s="11"/>
      <c r="AP40" s="11"/>
      <c r="AQ40" s="11"/>
      <c r="AR40" s="11"/>
      <c r="AS40" s="11"/>
      <c r="AT40" s="11"/>
      <c r="AU40" s="11"/>
      <c r="AV40" s="11"/>
      <c r="AW40" s="11"/>
      <c r="AX40" s="11"/>
      <c r="AY40" s="11"/>
      <c r="AZ40" s="11"/>
      <c r="BA40" s="11"/>
      <c r="BB40" s="11"/>
      <c r="BC40" s="11"/>
      <c r="BD40" s="11"/>
      <c r="BE40" s="11"/>
      <c r="BF40" s="11"/>
      <c r="BG40" s="11"/>
      <c r="BH40" s="11"/>
      <c r="BI40" s="11"/>
      <c r="BJ40" s="11"/>
      <c r="BK40" s="11"/>
      <c r="BL40" s="11"/>
      <c r="BM40" s="11"/>
      <c r="BN40" s="11"/>
      <c r="BO40" s="11"/>
      <c r="BP40" s="11"/>
      <c r="BQ40" s="11"/>
      <c r="BR40" s="11"/>
      <c r="BS40" s="11"/>
      <c r="BT40" s="11"/>
      <c r="BU40" s="11"/>
      <c r="BV40" s="11"/>
      <c r="BW40" s="11"/>
      <c r="BX40" s="11"/>
      <c r="BY40" s="11"/>
      <c r="BZ40" s="11"/>
      <c r="CA40" s="11"/>
      <c r="CB40" s="11"/>
      <c r="CC40" s="11"/>
      <c r="CD40" s="11"/>
      <c r="CE40" s="11"/>
      <c r="CF40" s="11"/>
      <c r="CG40" s="11"/>
      <c r="CH40" s="11"/>
      <c r="CI40" s="11"/>
      <c r="CJ40" s="11"/>
      <c r="CK40" s="11"/>
      <c r="CL40" s="11"/>
      <c r="CM40" s="11"/>
      <c r="CN40" s="11"/>
      <c r="CO40" s="11"/>
      <c r="CP40" s="11"/>
      <c r="CQ40" s="11"/>
      <c r="CR40" s="11"/>
      <c r="CS40" s="11"/>
      <c r="CT40" s="11"/>
      <c r="CU40" s="11"/>
      <c r="CV40" s="11"/>
      <c r="CW40" s="11"/>
      <c r="CX40" s="11"/>
      <c r="CY40" s="11"/>
      <c r="CZ40" s="11"/>
      <c r="DA40" s="11"/>
      <c r="DB40" s="11"/>
      <c r="DC40" s="11"/>
      <c r="DD40" s="11"/>
      <c r="DE40" s="11"/>
      <c r="DF40" s="11"/>
      <c r="DG40" s="11"/>
      <c r="DH40" s="11"/>
      <c r="DI40" s="11"/>
      <c r="DJ40" s="11"/>
      <c r="DK40" s="11"/>
      <c r="DL40" s="11"/>
      <c r="DM40" s="11"/>
      <c r="DN40" s="11"/>
      <c r="DO40" s="11"/>
      <c r="DP40" s="11"/>
      <c r="DQ40" s="11"/>
      <c r="DR40" s="11"/>
      <c r="DS40" s="11"/>
      <c r="DT40" s="11"/>
      <c r="DU40" s="11"/>
      <c r="DV40" s="11"/>
      <c r="DW40" s="11"/>
      <c r="DX40" s="11"/>
      <c r="DY40" s="11"/>
      <c r="DZ40" s="11"/>
      <c r="EA40" s="11"/>
      <c r="EB40" s="11"/>
      <c r="EC40" s="11"/>
      <c r="ED40" s="11"/>
      <c r="EE40" s="11"/>
      <c r="EF40" s="11"/>
      <c r="EG40" s="11"/>
      <c r="EH40" s="11"/>
      <c r="EI40" s="11"/>
      <c r="EJ40" s="11"/>
      <c r="EK40" s="11"/>
      <c r="EL40" s="11"/>
      <c r="EM40" s="11"/>
      <c r="EN40" s="11"/>
      <c r="EO40" s="11"/>
      <c r="EP40" s="11"/>
      <c r="EQ40" s="11"/>
      <c r="ER40" s="11"/>
      <c r="ES40" s="11"/>
      <c r="ET40" s="11"/>
      <c r="EU40" s="11"/>
      <c r="EV40" s="11"/>
      <c r="EW40" s="11"/>
      <c r="EX40" s="11"/>
      <c r="EY40" s="11"/>
      <c r="EZ40" s="11"/>
      <c r="FA40" s="11"/>
      <c r="FB40" s="11"/>
      <c r="FC40" s="11"/>
      <c r="FD40" s="11"/>
      <c r="FE40" s="11"/>
      <c r="FF40" s="11"/>
      <c r="FG40" s="11"/>
      <c r="FH40" s="11"/>
      <c r="FI40" s="11"/>
      <c r="FJ40" s="11"/>
      <c r="FK40" s="11"/>
      <c r="FL40" s="11"/>
      <c r="FM40" s="11"/>
      <c r="FN40" s="11"/>
      <c r="FO40" s="11"/>
      <c r="FP40" s="11"/>
      <c r="FQ40" s="11"/>
      <c r="FR40" s="11"/>
      <c r="FS40" s="11"/>
      <c r="FT40" s="11"/>
      <c r="FU40" s="11"/>
      <c r="FV40" s="11"/>
      <c r="FW40" s="11"/>
      <c r="FX40" s="11"/>
      <c r="FY40" s="11"/>
      <c r="FZ40" s="11"/>
      <c r="GA40" s="11"/>
      <c r="GB40" s="11"/>
      <c r="GC40" s="11"/>
      <c r="GD40" s="11"/>
      <c r="GE40" s="11"/>
      <c r="GF40" s="11"/>
      <c r="GG40" s="11"/>
      <c r="GH40" s="11"/>
      <c r="GI40" s="11"/>
      <c r="GJ40" s="11"/>
      <c r="GK40" s="11"/>
      <c r="GL40" s="11"/>
      <c r="GM40" s="11"/>
      <c r="GN40" s="11"/>
      <c r="GO40" s="11"/>
      <c r="GP40" s="11"/>
      <c r="GQ40" s="11"/>
      <c r="GR40" s="11"/>
      <c r="GS40" s="11"/>
      <c r="GT40" s="11"/>
      <c r="GU40" s="11"/>
      <c r="GV40" s="11"/>
      <c r="GW40" s="11"/>
      <c r="GX40" s="11"/>
      <c r="GY40" s="11"/>
      <c r="GZ40" s="11"/>
      <c r="HA40" s="11"/>
      <c r="HB40" s="11"/>
      <c r="HC40" s="11"/>
      <c r="HD40" s="11"/>
      <c r="HE40" s="11"/>
      <c r="HF40" s="11"/>
      <c r="HG40" s="11"/>
      <c r="HH40" s="11"/>
      <c r="HI40" s="11"/>
      <c r="HJ40" s="11"/>
      <c r="HK40" s="11"/>
      <c r="HL40" s="11"/>
      <c r="HM40" s="11"/>
      <c r="HN40" s="11"/>
      <c r="HO40" s="11"/>
      <c r="HP40" s="11"/>
      <c r="HQ40" s="11"/>
      <c r="HR40" s="11"/>
      <c r="HS40" s="11"/>
      <c r="HT40" s="11"/>
      <c r="HU40" s="11"/>
    </row>
    <row r="41" spans="1:229" s="12" customFormat="1" ht="18" customHeight="1">
      <c r="A41" s="250"/>
      <c r="B41" s="10"/>
      <c r="C41" s="201"/>
      <c r="D41" s="9"/>
      <c r="E41" s="202"/>
      <c r="F41" s="202"/>
      <c r="G41" s="170"/>
      <c r="H41" s="165"/>
      <c r="I41" s="165"/>
      <c r="J41" s="165"/>
      <c r="K41" s="165"/>
      <c r="L41" s="165"/>
      <c r="M41" s="165"/>
      <c r="N41" s="165"/>
      <c r="O41" s="165"/>
      <c r="P41" s="165"/>
      <c r="Q41" s="165"/>
      <c r="R41" s="165"/>
      <c r="S41" s="165"/>
      <c r="T41" s="165"/>
      <c r="U41" s="165"/>
      <c r="V41" s="165"/>
      <c r="W41" s="165"/>
      <c r="X41" s="165"/>
      <c r="Y41" s="165"/>
      <c r="Z41" s="165"/>
      <c r="AA41" s="11"/>
      <c r="AB41" s="11"/>
      <c r="AC41" s="11"/>
      <c r="AD41" s="11"/>
      <c r="AE41" s="11"/>
      <c r="AF41" s="11"/>
      <c r="AG41" s="11"/>
      <c r="AH41" s="11"/>
      <c r="AI41" s="11"/>
      <c r="AJ41" s="11"/>
      <c r="AK41" s="11"/>
      <c r="AL41" s="11"/>
      <c r="AM41" s="11"/>
      <c r="AN41" s="11"/>
      <c r="AO41" s="11"/>
      <c r="AP41" s="11"/>
      <c r="AQ41" s="11"/>
      <c r="AR41" s="11"/>
      <c r="AS41" s="11"/>
      <c r="AT41" s="11"/>
      <c r="AU41" s="11"/>
      <c r="AV41" s="11"/>
      <c r="AW41" s="11"/>
      <c r="AX41" s="11"/>
      <c r="AY41" s="11"/>
      <c r="AZ41" s="11"/>
      <c r="BA41" s="11"/>
      <c r="BB41" s="11"/>
      <c r="BC41" s="11"/>
      <c r="BD41" s="11"/>
      <c r="BE41" s="11"/>
      <c r="BF41" s="11"/>
      <c r="BG41" s="11"/>
      <c r="BH41" s="11"/>
      <c r="BI41" s="11"/>
      <c r="BJ41" s="11"/>
      <c r="BK41" s="11"/>
      <c r="BL41" s="11"/>
      <c r="BM41" s="11"/>
      <c r="BN41" s="11"/>
      <c r="BO41" s="11"/>
      <c r="BP41" s="11"/>
      <c r="BQ41" s="11"/>
      <c r="BR41" s="11"/>
      <c r="BS41" s="11"/>
      <c r="BT41" s="11"/>
      <c r="BU41" s="11"/>
      <c r="BV41" s="11"/>
      <c r="BW41" s="11"/>
      <c r="BX41" s="11"/>
      <c r="BY41" s="11"/>
      <c r="BZ41" s="11"/>
      <c r="CA41" s="11"/>
      <c r="CB41" s="11"/>
      <c r="CC41" s="11"/>
      <c r="CD41" s="11"/>
      <c r="CE41" s="11"/>
      <c r="CF41" s="11"/>
      <c r="CG41" s="11"/>
      <c r="CH41" s="11"/>
      <c r="CI41" s="11"/>
      <c r="CJ41" s="11"/>
      <c r="CK41" s="11"/>
      <c r="CL41" s="11"/>
      <c r="CM41" s="11"/>
      <c r="CN41" s="11"/>
      <c r="CO41" s="11"/>
      <c r="CP41" s="11"/>
      <c r="CQ41" s="11"/>
      <c r="CR41" s="11"/>
      <c r="CS41" s="11"/>
      <c r="CT41" s="11"/>
      <c r="CU41" s="11"/>
      <c r="CV41" s="11"/>
      <c r="CW41" s="11"/>
      <c r="CX41" s="11"/>
      <c r="CY41" s="11"/>
      <c r="CZ41" s="11"/>
      <c r="DA41" s="11"/>
      <c r="DB41" s="11"/>
      <c r="DC41" s="11"/>
      <c r="DD41" s="11"/>
      <c r="DE41" s="11"/>
      <c r="DF41" s="11"/>
      <c r="DG41" s="11"/>
      <c r="DH41" s="11"/>
      <c r="DI41" s="11"/>
      <c r="DJ41" s="11"/>
      <c r="DK41" s="11"/>
      <c r="DL41" s="11"/>
      <c r="DM41" s="11"/>
      <c r="DN41" s="11"/>
      <c r="DO41" s="11"/>
      <c r="DP41" s="11"/>
      <c r="DQ41" s="11"/>
      <c r="DR41" s="11"/>
      <c r="DS41" s="11"/>
      <c r="DT41" s="11"/>
      <c r="DU41" s="11"/>
      <c r="DV41" s="11"/>
      <c r="DW41" s="11"/>
      <c r="DX41" s="11"/>
      <c r="DY41" s="11"/>
      <c r="DZ41" s="11"/>
      <c r="EA41" s="11"/>
      <c r="EB41" s="11"/>
      <c r="EC41" s="11"/>
      <c r="ED41" s="11"/>
      <c r="EE41" s="11"/>
      <c r="EF41" s="11"/>
      <c r="EG41" s="11"/>
      <c r="EH41" s="11"/>
      <c r="EI41" s="11"/>
      <c r="EJ41" s="11"/>
      <c r="EK41" s="11"/>
      <c r="EL41" s="11"/>
      <c r="EM41" s="11"/>
      <c r="EN41" s="11"/>
      <c r="EO41" s="11"/>
      <c r="EP41" s="11"/>
      <c r="EQ41" s="11"/>
      <c r="ER41" s="11"/>
      <c r="ES41" s="11"/>
      <c r="ET41" s="11"/>
      <c r="EU41" s="11"/>
      <c r="EV41" s="11"/>
      <c r="EW41" s="11"/>
      <c r="EX41" s="11"/>
      <c r="EY41" s="11"/>
      <c r="EZ41" s="11"/>
      <c r="FA41" s="11"/>
      <c r="FB41" s="11"/>
      <c r="FC41" s="11"/>
      <c r="FD41" s="11"/>
      <c r="FE41" s="11"/>
      <c r="FF41" s="11"/>
      <c r="FG41" s="11"/>
      <c r="FH41" s="11"/>
      <c r="FI41" s="11"/>
      <c r="FJ41" s="11"/>
      <c r="FK41" s="11"/>
      <c r="FL41" s="11"/>
      <c r="FM41" s="11"/>
      <c r="FN41" s="11"/>
      <c r="FO41" s="11"/>
      <c r="FP41" s="11"/>
      <c r="FQ41" s="11"/>
      <c r="FR41" s="11"/>
      <c r="FS41" s="11"/>
      <c r="FT41" s="11"/>
      <c r="FU41" s="11"/>
      <c r="FV41" s="11"/>
      <c r="FW41" s="11"/>
      <c r="FX41" s="11"/>
      <c r="FY41" s="11"/>
      <c r="FZ41" s="11"/>
      <c r="GA41" s="11"/>
      <c r="GB41" s="11"/>
      <c r="GC41" s="11"/>
      <c r="GD41" s="11"/>
      <c r="GE41" s="11"/>
      <c r="GF41" s="11"/>
      <c r="GG41" s="11"/>
      <c r="GH41" s="11"/>
      <c r="GI41" s="11"/>
      <c r="GJ41" s="11"/>
      <c r="GK41" s="11"/>
      <c r="GL41" s="11"/>
      <c r="GM41" s="11"/>
      <c r="GN41" s="11"/>
      <c r="GO41" s="11"/>
      <c r="GP41" s="11"/>
      <c r="GQ41" s="11"/>
      <c r="GR41" s="11"/>
      <c r="GS41" s="11"/>
      <c r="GT41" s="11"/>
      <c r="GU41" s="11"/>
      <c r="GV41" s="11"/>
      <c r="GW41" s="11"/>
      <c r="GX41" s="11"/>
      <c r="GY41" s="11"/>
      <c r="GZ41" s="11"/>
      <c r="HA41" s="11"/>
      <c r="HB41" s="11"/>
      <c r="HC41" s="11"/>
      <c r="HD41" s="11"/>
      <c r="HE41" s="11"/>
      <c r="HF41" s="11"/>
      <c r="HG41" s="11"/>
      <c r="HH41" s="11"/>
      <c r="HI41" s="11"/>
      <c r="HJ41" s="11"/>
      <c r="HK41" s="11"/>
      <c r="HL41" s="11"/>
      <c r="HM41" s="11"/>
      <c r="HN41" s="11"/>
      <c r="HO41" s="11"/>
      <c r="HP41" s="11"/>
      <c r="HQ41" s="11"/>
      <c r="HR41" s="11"/>
      <c r="HS41" s="11"/>
      <c r="HT41" s="11"/>
      <c r="HU41" s="11"/>
    </row>
    <row r="42" spans="1:229" s="12" customFormat="1" ht="18" customHeight="1">
      <c r="A42" s="250"/>
      <c r="B42" s="10"/>
      <c r="C42" s="201">
        <v>4</v>
      </c>
      <c r="D42" s="9" t="s">
        <v>135</v>
      </c>
      <c r="E42" s="19"/>
      <c r="F42" s="19"/>
      <c r="G42" s="170"/>
      <c r="H42" s="165"/>
      <c r="I42" s="165"/>
      <c r="J42" s="165"/>
      <c r="K42" s="165"/>
      <c r="L42" s="165"/>
      <c r="M42" s="165"/>
      <c r="N42" s="165"/>
      <c r="O42" s="165"/>
      <c r="P42" s="165"/>
      <c r="Q42" s="165"/>
      <c r="R42" s="165"/>
      <c r="S42" s="165"/>
      <c r="T42" s="165"/>
      <c r="U42" s="165"/>
      <c r="V42" s="165"/>
      <c r="W42" s="165"/>
      <c r="X42" s="165"/>
      <c r="Y42" s="165"/>
      <c r="Z42" s="165"/>
      <c r="AA42" s="11"/>
      <c r="AB42" s="11"/>
      <c r="AC42" s="11"/>
      <c r="AD42" s="11"/>
      <c r="AE42" s="11"/>
      <c r="AF42" s="11"/>
      <c r="AG42" s="11"/>
      <c r="AH42" s="11"/>
      <c r="AI42" s="11"/>
      <c r="AJ42" s="11"/>
      <c r="AK42" s="11"/>
      <c r="AL42" s="11"/>
      <c r="AM42" s="11"/>
      <c r="AN42" s="11"/>
      <c r="AO42" s="11"/>
      <c r="AP42" s="11"/>
      <c r="AQ42" s="11"/>
      <c r="AR42" s="11"/>
      <c r="AS42" s="11"/>
      <c r="AT42" s="11"/>
      <c r="AU42" s="11"/>
      <c r="AV42" s="11"/>
      <c r="AW42" s="11"/>
      <c r="AX42" s="11"/>
      <c r="AY42" s="11"/>
      <c r="AZ42" s="11"/>
      <c r="BA42" s="11"/>
      <c r="BB42" s="11"/>
      <c r="BC42" s="11"/>
      <c r="BD42" s="11"/>
      <c r="BE42" s="11"/>
      <c r="BF42" s="11"/>
      <c r="BG42" s="11"/>
      <c r="BH42" s="11"/>
      <c r="BI42" s="11"/>
      <c r="BJ42" s="11"/>
      <c r="BK42" s="11"/>
      <c r="BL42" s="11"/>
      <c r="BM42" s="11"/>
      <c r="BN42" s="11"/>
      <c r="BO42" s="11"/>
      <c r="BP42" s="11"/>
      <c r="BQ42" s="11"/>
      <c r="BR42" s="11"/>
      <c r="BS42" s="11"/>
      <c r="BT42" s="11"/>
      <c r="BU42" s="11"/>
      <c r="BV42" s="11"/>
      <c r="BW42" s="11"/>
      <c r="BX42" s="11"/>
      <c r="BY42" s="11"/>
      <c r="BZ42" s="11"/>
      <c r="CA42" s="11"/>
      <c r="CB42" s="11"/>
      <c r="CC42" s="11"/>
      <c r="CD42" s="11"/>
      <c r="CE42" s="11"/>
      <c r="CF42" s="11"/>
      <c r="CG42" s="11"/>
      <c r="CH42" s="11"/>
      <c r="CI42" s="11"/>
      <c r="CJ42" s="11"/>
      <c r="CK42" s="11"/>
      <c r="CL42" s="11"/>
      <c r="CM42" s="11"/>
      <c r="CN42" s="11"/>
      <c r="CO42" s="11"/>
      <c r="CP42" s="11"/>
      <c r="CQ42" s="11"/>
      <c r="CR42" s="11"/>
      <c r="CS42" s="11"/>
      <c r="CT42" s="11"/>
      <c r="CU42" s="11"/>
      <c r="CV42" s="11"/>
      <c r="CW42" s="11"/>
      <c r="CX42" s="11"/>
      <c r="CY42" s="11"/>
      <c r="CZ42" s="11"/>
      <c r="DA42" s="11"/>
      <c r="DB42" s="11"/>
      <c r="DC42" s="11"/>
      <c r="DD42" s="11"/>
      <c r="DE42" s="11"/>
      <c r="DF42" s="11"/>
      <c r="DG42" s="11"/>
      <c r="DH42" s="11"/>
      <c r="DI42" s="11"/>
      <c r="DJ42" s="11"/>
      <c r="DK42" s="11"/>
      <c r="DL42" s="11"/>
      <c r="DM42" s="11"/>
      <c r="DN42" s="11"/>
      <c r="DO42" s="11"/>
      <c r="DP42" s="11"/>
      <c r="DQ42" s="11"/>
      <c r="DR42" s="11"/>
      <c r="DS42" s="11"/>
      <c r="DT42" s="11"/>
      <c r="DU42" s="11"/>
      <c r="DV42" s="11"/>
      <c r="DW42" s="11"/>
      <c r="DX42" s="11"/>
      <c r="DY42" s="11"/>
      <c r="DZ42" s="11"/>
      <c r="EA42" s="11"/>
      <c r="EB42" s="11"/>
      <c r="EC42" s="11"/>
      <c r="ED42" s="11"/>
      <c r="EE42" s="11"/>
      <c r="EF42" s="11"/>
      <c r="EG42" s="11"/>
      <c r="EH42" s="11"/>
      <c r="EI42" s="11"/>
      <c r="EJ42" s="11"/>
      <c r="EK42" s="11"/>
      <c r="EL42" s="11"/>
      <c r="EM42" s="11"/>
      <c r="EN42" s="11"/>
      <c r="EO42" s="11"/>
      <c r="EP42" s="11"/>
      <c r="EQ42" s="11"/>
      <c r="ER42" s="11"/>
      <c r="ES42" s="11"/>
      <c r="ET42" s="11"/>
      <c r="EU42" s="11"/>
      <c r="EV42" s="11"/>
      <c r="EW42" s="11"/>
      <c r="EX42" s="11"/>
      <c r="EY42" s="11"/>
      <c r="EZ42" s="11"/>
      <c r="FA42" s="11"/>
      <c r="FB42" s="11"/>
      <c r="FC42" s="11"/>
      <c r="FD42" s="11"/>
      <c r="FE42" s="11"/>
      <c r="FF42" s="11"/>
      <c r="FG42" s="11"/>
      <c r="FH42" s="11"/>
      <c r="FI42" s="11"/>
      <c r="FJ42" s="11"/>
      <c r="FK42" s="11"/>
      <c r="FL42" s="11"/>
      <c r="FM42" s="11"/>
      <c r="FN42" s="11"/>
      <c r="FO42" s="11"/>
      <c r="FP42" s="11"/>
      <c r="FQ42" s="11"/>
      <c r="FR42" s="11"/>
      <c r="FS42" s="11"/>
      <c r="FT42" s="11"/>
      <c r="FU42" s="11"/>
      <c r="FV42" s="11"/>
      <c r="FW42" s="11"/>
      <c r="FX42" s="11"/>
      <c r="FY42" s="11"/>
      <c r="FZ42" s="11"/>
      <c r="GA42" s="11"/>
      <c r="GB42" s="11"/>
      <c r="GC42" s="11"/>
      <c r="GD42" s="11"/>
      <c r="GE42" s="11"/>
      <c r="GF42" s="11"/>
      <c r="GG42" s="11"/>
      <c r="GH42" s="11"/>
      <c r="GI42" s="11"/>
      <c r="GJ42" s="11"/>
      <c r="GK42" s="11"/>
      <c r="GL42" s="11"/>
      <c r="GM42" s="11"/>
      <c r="GN42" s="11"/>
      <c r="GO42" s="11"/>
      <c r="GP42" s="11"/>
      <c r="GQ42" s="11"/>
      <c r="GR42" s="11"/>
      <c r="GS42" s="11"/>
      <c r="GT42" s="11"/>
      <c r="GU42" s="11"/>
      <c r="GV42" s="11"/>
      <c r="GW42" s="11"/>
      <c r="GX42" s="11"/>
      <c r="GY42" s="11"/>
      <c r="GZ42" s="11"/>
      <c r="HA42" s="11"/>
      <c r="HB42" s="11"/>
      <c r="HC42" s="11"/>
      <c r="HD42" s="11"/>
      <c r="HE42" s="11"/>
      <c r="HF42" s="11"/>
      <c r="HG42" s="11"/>
      <c r="HH42" s="11"/>
      <c r="HI42" s="11"/>
      <c r="HJ42" s="11"/>
      <c r="HK42" s="11"/>
      <c r="HL42" s="11"/>
      <c r="HM42" s="11"/>
      <c r="HN42" s="11"/>
      <c r="HO42" s="11"/>
      <c r="HP42" s="11"/>
      <c r="HQ42" s="11"/>
      <c r="HR42" s="11"/>
      <c r="HS42" s="11"/>
      <c r="HT42" s="11"/>
      <c r="HU42" s="11"/>
    </row>
    <row r="43" spans="1:229" s="12" customFormat="1" ht="13.8" customHeight="1">
      <c r="A43" s="250"/>
      <c r="B43" s="10"/>
      <c r="C43" s="19"/>
      <c r="D43" s="204" t="s">
        <v>123</v>
      </c>
      <c r="E43" s="337" t="s">
        <v>365</v>
      </c>
      <c r="F43" s="337"/>
      <c r="G43" s="170"/>
      <c r="H43" s="165"/>
      <c r="I43" s="165"/>
      <c r="J43" s="165"/>
      <c r="K43" s="165"/>
      <c r="L43" s="165"/>
      <c r="M43" s="165"/>
      <c r="N43" s="165"/>
      <c r="O43" s="165"/>
      <c r="P43" s="165"/>
      <c r="Q43" s="165"/>
      <c r="R43" s="165"/>
      <c r="S43" s="165"/>
      <c r="T43" s="165"/>
      <c r="U43" s="165"/>
      <c r="V43" s="165"/>
      <c r="W43" s="165"/>
      <c r="X43" s="165"/>
      <c r="Y43" s="165"/>
      <c r="Z43" s="165"/>
      <c r="AA43" s="11"/>
      <c r="AB43" s="11"/>
      <c r="AC43" s="11"/>
      <c r="AD43" s="11"/>
      <c r="AE43" s="11"/>
      <c r="AF43" s="11"/>
      <c r="AG43" s="11"/>
      <c r="AH43" s="11"/>
      <c r="AI43" s="11"/>
      <c r="AJ43" s="11"/>
      <c r="AK43" s="11"/>
      <c r="AL43" s="11"/>
      <c r="AM43" s="11"/>
      <c r="AN43" s="11"/>
      <c r="AO43" s="11"/>
      <c r="AP43" s="11"/>
      <c r="AQ43" s="11"/>
      <c r="AR43" s="11"/>
      <c r="AS43" s="11"/>
      <c r="AT43" s="11"/>
      <c r="AU43" s="11"/>
      <c r="AV43" s="11"/>
      <c r="AW43" s="11"/>
      <c r="AX43" s="11"/>
      <c r="AY43" s="11"/>
      <c r="AZ43" s="11"/>
      <c r="BA43" s="11"/>
      <c r="BB43" s="11"/>
      <c r="BC43" s="11"/>
      <c r="BD43" s="11"/>
      <c r="BE43" s="11"/>
      <c r="BF43" s="11"/>
      <c r="BG43" s="11"/>
      <c r="BH43" s="11"/>
      <c r="BI43" s="11"/>
      <c r="BJ43" s="11"/>
      <c r="BK43" s="11"/>
      <c r="BL43" s="11"/>
      <c r="BM43" s="11"/>
      <c r="BN43" s="11"/>
      <c r="BO43" s="11"/>
      <c r="BP43" s="11"/>
      <c r="BQ43" s="11"/>
      <c r="BR43" s="11"/>
      <c r="BS43" s="11"/>
      <c r="BT43" s="11"/>
      <c r="BU43" s="11"/>
      <c r="BV43" s="11"/>
      <c r="BW43" s="11"/>
      <c r="BX43" s="11"/>
      <c r="BY43" s="11"/>
      <c r="BZ43" s="11"/>
      <c r="CA43" s="11"/>
      <c r="CB43" s="11"/>
      <c r="CC43" s="11"/>
      <c r="CD43" s="11"/>
      <c r="CE43" s="11"/>
      <c r="CF43" s="11"/>
      <c r="CG43" s="11"/>
      <c r="CH43" s="11"/>
      <c r="CI43" s="11"/>
      <c r="CJ43" s="11"/>
      <c r="CK43" s="11"/>
      <c r="CL43" s="11"/>
      <c r="CM43" s="11"/>
      <c r="CN43" s="11"/>
      <c r="CO43" s="11"/>
      <c r="CP43" s="11"/>
      <c r="CQ43" s="11"/>
      <c r="CR43" s="11"/>
      <c r="CS43" s="11"/>
      <c r="CT43" s="11"/>
      <c r="CU43" s="11"/>
      <c r="CV43" s="11"/>
      <c r="CW43" s="11"/>
      <c r="CX43" s="11"/>
      <c r="CY43" s="11"/>
      <c r="CZ43" s="11"/>
      <c r="DA43" s="11"/>
      <c r="DB43" s="11"/>
      <c r="DC43" s="11"/>
      <c r="DD43" s="11"/>
      <c r="DE43" s="11"/>
      <c r="DF43" s="11"/>
      <c r="DG43" s="11"/>
      <c r="DH43" s="11"/>
      <c r="DI43" s="11"/>
      <c r="DJ43" s="11"/>
      <c r="DK43" s="11"/>
      <c r="DL43" s="11"/>
      <c r="DM43" s="11"/>
      <c r="DN43" s="11"/>
      <c r="DO43" s="11"/>
      <c r="DP43" s="11"/>
      <c r="DQ43" s="11"/>
      <c r="DR43" s="11"/>
      <c r="DS43" s="11"/>
      <c r="DT43" s="11"/>
      <c r="DU43" s="11"/>
      <c r="DV43" s="11"/>
      <c r="DW43" s="11"/>
      <c r="DX43" s="11"/>
      <c r="DY43" s="11"/>
      <c r="DZ43" s="11"/>
      <c r="EA43" s="11"/>
      <c r="EB43" s="11"/>
      <c r="EC43" s="11"/>
      <c r="ED43" s="11"/>
      <c r="EE43" s="11"/>
      <c r="EF43" s="11"/>
      <c r="EG43" s="11"/>
      <c r="EH43" s="11"/>
      <c r="EI43" s="11"/>
      <c r="EJ43" s="11"/>
      <c r="EK43" s="11"/>
      <c r="EL43" s="11"/>
      <c r="EM43" s="11"/>
      <c r="EN43" s="11"/>
      <c r="EO43" s="11"/>
      <c r="EP43" s="11"/>
      <c r="EQ43" s="11"/>
      <c r="ER43" s="11"/>
      <c r="ES43" s="11"/>
      <c r="ET43" s="11"/>
      <c r="EU43" s="11"/>
      <c r="EV43" s="11"/>
      <c r="EW43" s="11"/>
      <c r="EX43" s="11"/>
      <c r="EY43" s="11"/>
      <c r="EZ43" s="11"/>
      <c r="FA43" s="11"/>
      <c r="FB43" s="11"/>
      <c r="FC43" s="11"/>
      <c r="FD43" s="11"/>
      <c r="FE43" s="11"/>
      <c r="FF43" s="11"/>
      <c r="FG43" s="11"/>
      <c r="FH43" s="11"/>
      <c r="FI43" s="11"/>
      <c r="FJ43" s="11"/>
      <c r="FK43" s="11"/>
      <c r="FL43" s="11"/>
      <c r="FM43" s="11"/>
      <c r="FN43" s="11"/>
      <c r="FO43" s="11"/>
      <c r="FP43" s="11"/>
      <c r="FQ43" s="11"/>
      <c r="FR43" s="11"/>
      <c r="FS43" s="11"/>
      <c r="FT43" s="11"/>
      <c r="FU43" s="11"/>
      <c r="FV43" s="11"/>
      <c r="FW43" s="11"/>
      <c r="FX43" s="11"/>
      <c r="FY43" s="11"/>
      <c r="FZ43" s="11"/>
      <c r="GA43" s="11"/>
      <c r="GB43" s="11"/>
      <c r="GC43" s="11"/>
      <c r="GD43" s="11"/>
      <c r="GE43" s="11"/>
      <c r="GF43" s="11"/>
      <c r="GG43" s="11"/>
      <c r="GH43" s="11"/>
      <c r="GI43" s="11"/>
      <c r="GJ43" s="11"/>
      <c r="GK43" s="11"/>
      <c r="GL43" s="11"/>
      <c r="GM43" s="11"/>
      <c r="GN43" s="11"/>
      <c r="GO43" s="11"/>
      <c r="GP43" s="11"/>
      <c r="GQ43" s="11"/>
      <c r="GR43" s="11"/>
      <c r="GS43" s="11"/>
      <c r="GT43" s="11"/>
      <c r="GU43" s="11"/>
      <c r="GV43" s="11"/>
      <c r="GW43" s="11"/>
      <c r="GX43" s="11"/>
      <c r="GY43" s="11"/>
      <c r="GZ43" s="11"/>
      <c r="HA43" s="11"/>
      <c r="HB43" s="11"/>
      <c r="HC43" s="11"/>
      <c r="HD43" s="11"/>
      <c r="HE43" s="11"/>
      <c r="HF43" s="11"/>
      <c r="HG43" s="11"/>
      <c r="HH43" s="11"/>
      <c r="HI43" s="11"/>
      <c r="HJ43" s="11"/>
      <c r="HK43" s="11"/>
      <c r="HL43" s="11"/>
      <c r="HM43" s="11"/>
      <c r="HN43" s="11"/>
      <c r="HO43" s="11"/>
      <c r="HP43" s="11"/>
      <c r="HQ43" s="11"/>
      <c r="HR43" s="11"/>
      <c r="HS43" s="11"/>
      <c r="HT43" s="11"/>
      <c r="HU43" s="11"/>
    </row>
    <row r="44" spans="1:229" s="12" customFormat="1" ht="18" customHeight="1">
      <c r="A44" s="250"/>
      <c r="B44" s="10"/>
      <c r="C44" s="19"/>
      <c r="D44" s="19"/>
      <c r="E44" s="19"/>
      <c r="F44" s="19"/>
      <c r="G44" s="170"/>
      <c r="H44" s="165"/>
      <c r="I44" s="165"/>
      <c r="J44" s="165"/>
      <c r="K44" s="165"/>
      <c r="L44" s="165"/>
      <c r="M44" s="165"/>
      <c r="N44" s="165"/>
      <c r="O44" s="165"/>
      <c r="P44" s="165"/>
      <c r="Q44" s="165"/>
      <c r="R44" s="165"/>
      <c r="S44" s="165"/>
      <c r="T44" s="165"/>
      <c r="U44" s="165"/>
      <c r="V44" s="165"/>
      <c r="W44" s="165"/>
      <c r="X44" s="165"/>
      <c r="Y44" s="165"/>
      <c r="Z44" s="165"/>
      <c r="AA44" s="11"/>
      <c r="AB44" s="11"/>
      <c r="AC44" s="11"/>
      <c r="AD44" s="11"/>
      <c r="AE44" s="11"/>
      <c r="AF44" s="11"/>
      <c r="AG44" s="11"/>
      <c r="AH44" s="11"/>
      <c r="AI44" s="11"/>
      <c r="AJ44" s="11"/>
      <c r="AK44" s="11"/>
      <c r="AL44" s="11"/>
      <c r="AM44" s="11"/>
      <c r="AN44" s="11"/>
      <c r="AO44" s="11"/>
      <c r="AP44" s="11"/>
      <c r="AQ44" s="11"/>
      <c r="AR44" s="11"/>
      <c r="AS44" s="11"/>
      <c r="AT44" s="11"/>
      <c r="AU44" s="11"/>
      <c r="AV44" s="11"/>
      <c r="AW44" s="11"/>
      <c r="AX44" s="11"/>
      <c r="AY44" s="11"/>
      <c r="AZ44" s="11"/>
      <c r="BA44" s="11"/>
      <c r="BB44" s="11"/>
      <c r="BC44" s="11"/>
      <c r="BD44" s="11"/>
      <c r="BE44" s="11"/>
      <c r="BF44" s="11"/>
      <c r="BG44" s="11"/>
      <c r="BH44" s="11"/>
      <c r="BI44" s="11"/>
      <c r="BJ44" s="11"/>
      <c r="BK44" s="11"/>
      <c r="BL44" s="11"/>
      <c r="BM44" s="11"/>
      <c r="BN44" s="11"/>
      <c r="BO44" s="11"/>
      <c r="BP44" s="11"/>
      <c r="BQ44" s="11"/>
      <c r="BR44" s="11"/>
      <c r="BS44" s="11"/>
      <c r="BT44" s="11"/>
      <c r="BU44" s="11"/>
      <c r="BV44" s="11"/>
      <c r="BW44" s="11"/>
      <c r="BX44" s="11"/>
      <c r="BY44" s="11"/>
      <c r="BZ44" s="11"/>
      <c r="CA44" s="11"/>
      <c r="CB44" s="11"/>
      <c r="CC44" s="11"/>
      <c r="CD44" s="11"/>
      <c r="CE44" s="11"/>
      <c r="CF44" s="11"/>
      <c r="CG44" s="11"/>
      <c r="CH44" s="11"/>
      <c r="CI44" s="11"/>
      <c r="CJ44" s="11"/>
      <c r="CK44" s="11"/>
      <c r="CL44" s="11"/>
      <c r="CM44" s="11"/>
      <c r="CN44" s="11"/>
      <c r="CO44" s="11"/>
      <c r="CP44" s="11"/>
      <c r="CQ44" s="11"/>
      <c r="CR44" s="11"/>
      <c r="CS44" s="11"/>
      <c r="CT44" s="11"/>
      <c r="CU44" s="11"/>
      <c r="CV44" s="11"/>
      <c r="CW44" s="11"/>
      <c r="CX44" s="11"/>
      <c r="CY44" s="11"/>
      <c r="CZ44" s="11"/>
      <c r="DA44" s="11"/>
      <c r="DB44" s="11"/>
      <c r="DC44" s="11"/>
      <c r="DD44" s="11"/>
      <c r="DE44" s="11"/>
      <c r="DF44" s="11"/>
      <c r="DG44" s="11"/>
      <c r="DH44" s="11"/>
      <c r="DI44" s="11"/>
      <c r="DJ44" s="11"/>
      <c r="DK44" s="11"/>
      <c r="DL44" s="11"/>
      <c r="DM44" s="11"/>
      <c r="DN44" s="11"/>
      <c r="DO44" s="11"/>
      <c r="DP44" s="11"/>
      <c r="DQ44" s="11"/>
      <c r="DR44" s="11"/>
      <c r="DS44" s="11"/>
      <c r="DT44" s="11"/>
      <c r="DU44" s="11"/>
      <c r="DV44" s="11"/>
      <c r="DW44" s="11"/>
      <c r="DX44" s="11"/>
      <c r="DY44" s="11"/>
      <c r="DZ44" s="11"/>
      <c r="EA44" s="11"/>
      <c r="EB44" s="11"/>
      <c r="EC44" s="11"/>
      <c r="ED44" s="11"/>
      <c r="EE44" s="11"/>
      <c r="EF44" s="11"/>
      <c r="EG44" s="11"/>
      <c r="EH44" s="11"/>
      <c r="EI44" s="11"/>
      <c r="EJ44" s="11"/>
      <c r="EK44" s="11"/>
      <c r="EL44" s="11"/>
      <c r="EM44" s="11"/>
      <c r="EN44" s="11"/>
      <c r="EO44" s="11"/>
      <c r="EP44" s="11"/>
      <c r="EQ44" s="11"/>
      <c r="ER44" s="11"/>
      <c r="ES44" s="11"/>
      <c r="ET44" s="11"/>
      <c r="EU44" s="11"/>
      <c r="EV44" s="11"/>
      <c r="EW44" s="11"/>
      <c r="EX44" s="11"/>
      <c r="EY44" s="11"/>
      <c r="EZ44" s="11"/>
      <c r="FA44" s="11"/>
      <c r="FB44" s="11"/>
      <c r="FC44" s="11"/>
      <c r="FD44" s="11"/>
      <c r="FE44" s="11"/>
      <c r="FF44" s="11"/>
      <c r="FG44" s="11"/>
      <c r="FH44" s="11"/>
      <c r="FI44" s="11"/>
      <c r="FJ44" s="11"/>
      <c r="FK44" s="11"/>
      <c r="FL44" s="11"/>
      <c r="FM44" s="11"/>
      <c r="FN44" s="11"/>
      <c r="FO44" s="11"/>
      <c r="FP44" s="11"/>
      <c r="FQ44" s="11"/>
      <c r="FR44" s="11"/>
      <c r="FS44" s="11"/>
      <c r="FT44" s="11"/>
      <c r="FU44" s="11"/>
      <c r="FV44" s="11"/>
      <c r="FW44" s="11"/>
      <c r="FX44" s="11"/>
      <c r="FY44" s="11"/>
      <c r="FZ44" s="11"/>
      <c r="GA44" s="11"/>
      <c r="GB44" s="11"/>
      <c r="GC44" s="11"/>
      <c r="GD44" s="11"/>
      <c r="GE44" s="11"/>
      <c r="GF44" s="11"/>
      <c r="GG44" s="11"/>
      <c r="GH44" s="11"/>
      <c r="GI44" s="11"/>
      <c r="GJ44" s="11"/>
      <c r="GK44" s="11"/>
      <c r="GL44" s="11"/>
      <c r="GM44" s="11"/>
      <c r="GN44" s="11"/>
      <c r="GO44" s="11"/>
      <c r="GP44" s="11"/>
      <c r="GQ44" s="11"/>
      <c r="GR44" s="11"/>
      <c r="GS44" s="11"/>
      <c r="GT44" s="11"/>
      <c r="GU44" s="11"/>
      <c r="GV44" s="11"/>
      <c r="GW44" s="11"/>
      <c r="GX44" s="11"/>
      <c r="GY44" s="11"/>
      <c r="GZ44" s="11"/>
      <c r="HA44" s="11"/>
      <c r="HB44" s="11"/>
      <c r="HC44" s="11"/>
      <c r="HD44" s="11"/>
      <c r="HE44" s="11"/>
      <c r="HF44" s="11"/>
      <c r="HG44" s="11"/>
      <c r="HH44" s="11"/>
      <c r="HI44" s="11"/>
      <c r="HJ44" s="11"/>
      <c r="HK44" s="11"/>
      <c r="HL44" s="11"/>
      <c r="HM44" s="11"/>
      <c r="HN44" s="11"/>
      <c r="HO44" s="11"/>
      <c r="HP44" s="11"/>
      <c r="HQ44" s="11"/>
      <c r="HR44" s="11"/>
      <c r="HS44" s="11"/>
      <c r="HT44" s="11"/>
      <c r="HU44" s="11"/>
    </row>
    <row r="45" spans="1:229" s="16" customFormat="1" ht="18" customHeight="1">
      <c r="A45" s="188"/>
      <c r="B45" s="189"/>
      <c r="C45" s="201">
        <v>5</v>
      </c>
      <c r="D45" s="9" t="s">
        <v>136</v>
      </c>
      <c r="E45" s="192"/>
      <c r="F45" s="192"/>
      <c r="G45" s="193"/>
      <c r="H45" s="194"/>
      <c r="I45" s="194"/>
      <c r="J45" s="194"/>
      <c r="K45" s="194"/>
      <c r="L45" s="194"/>
      <c r="M45" s="194"/>
      <c r="N45" s="194"/>
      <c r="O45" s="194"/>
      <c r="P45" s="194"/>
      <c r="Q45" s="194"/>
      <c r="R45" s="194"/>
      <c r="S45" s="194"/>
      <c r="T45" s="194"/>
      <c r="U45" s="194"/>
      <c r="V45" s="194"/>
      <c r="W45" s="194"/>
      <c r="X45" s="194"/>
      <c r="Y45" s="194"/>
      <c r="Z45" s="194"/>
      <c r="AA45" s="195"/>
      <c r="AB45" s="195"/>
      <c r="AC45" s="195"/>
      <c r="AD45" s="195"/>
      <c r="AE45" s="195"/>
      <c r="AF45" s="195"/>
      <c r="AG45" s="195"/>
      <c r="AH45" s="195"/>
      <c r="AI45" s="195"/>
      <c r="AJ45" s="195"/>
      <c r="AK45" s="195"/>
      <c r="AL45" s="195"/>
      <c r="AM45" s="195"/>
      <c r="AN45" s="195"/>
      <c r="AO45" s="195"/>
      <c r="AP45" s="195"/>
      <c r="AQ45" s="195"/>
      <c r="AR45" s="195"/>
      <c r="AS45" s="195"/>
      <c r="AT45" s="195"/>
      <c r="AU45" s="195"/>
      <c r="AV45" s="195"/>
      <c r="AW45" s="195"/>
      <c r="AX45" s="195"/>
      <c r="AY45" s="195"/>
      <c r="AZ45" s="195"/>
      <c r="BA45" s="195"/>
      <c r="BB45" s="195"/>
      <c r="BC45" s="195"/>
      <c r="BD45" s="195"/>
      <c r="BE45" s="195"/>
      <c r="BF45" s="195"/>
      <c r="BG45" s="195"/>
      <c r="BH45" s="195"/>
      <c r="BI45" s="195"/>
      <c r="BJ45" s="195"/>
      <c r="BK45" s="195"/>
      <c r="BL45" s="195"/>
      <c r="BM45" s="195"/>
      <c r="BN45" s="195"/>
      <c r="BO45" s="195"/>
      <c r="BP45" s="195"/>
      <c r="BQ45" s="195"/>
      <c r="BR45" s="195"/>
      <c r="BS45" s="195"/>
      <c r="BT45" s="195"/>
      <c r="BU45" s="195"/>
      <c r="BV45" s="195"/>
      <c r="BW45" s="195"/>
      <c r="BX45" s="195"/>
      <c r="BY45" s="195"/>
      <c r="BZ45" s="195"/>
      <c r="CA45" s="195"/>
      <c r="CB45" s="195"/>
      <c r="CC45" s="195"/>
      <c r="CD45" s="195"/>
      <c r="CE45" s="195"/>
      <c r="CF45" s="195"/>
      <c r="CG45" s="195"/>
      <c r="CH45" s="195"/>
      <c r="CI45" s="195"/>
      <c r="CJ45" s="195"/>
      <c r="CK45" s="195"/>
      <c r="CL45" s="195"/>
      <c r="CM45" s="195"/>
      <c r="CN45" s="195"/>
      <c r="CO45" s="195"/>
      <c r="CP45" s="195"/>
      <c r="CQ45" s="195"/>
      <c r="CR45" s="195"/>
      <c r="CS45" s="195"/>
      <c r="CT45" s="195"/>
      <c r="CU45" s="195"/>
      <c r="CV45" s="195"/>
      <c r="CW45" s="195"/>
      <c r="CX45" s="195"/>
      <c r="CY45" s="195"/>
      <c r="CZ45" s="195"/>
      <c r="DA45" s="195"/>
      <c r="DB45" s="195"/>
      <c r="DC45" s="195"/>
      <c r="DD45" s="195"/>
      <c r="DE45" s="195"/>
      <c r="DF45" s="195"/>
      <c r="DG45" s="195"/>
      <c r="DH45" s="195"/>
      <c r="DI45" s="195"/>
      <c r="DJ45" s="195"/>
      <c r="DK45" s="195"/>
      <c r="DL45" s="195"/>
      <c r="DM45" s="195"/>
      <c r="DN45" s="195"/>
      <c r="DO45" s="195"/>
      <c r="DP45" s="195"/>
      <c r="DQ45" s="195"/>
      <c r="DR45" s="195"/>
      <c r="DS45" s="195"/>
      <c r="DT45" s="195"/>
      <c r="DU45" s="195"/>
      <c r="DV45" s="195"/>
      <c r="DW45" s="195"/>
      <c r="DX45" s="195"/>
      <c r="DY45" s="195"/>
      <c r="DZ45" s="195"/>
      <c r="EA45" s="195"/>
      <c r="EB45" s="195"/>
      <c r="EC45" s="195"/>
      <c r="ED45" s="195"/>
      <c r="EE45" s="195"/>
      <c r="EF45" s="195"/>
      <c r="EG45" s="195"/>
      <c r="EH45" s="195"/>
      <c r="EI45" s="195"/>
      <c r="EJ45" s="195"/>
      <c r="EK45" s="195"/>
      <c r="EL45" s="195"/>
      <c r="EM45" s="195"/>
      <c r="EN45" s="195"/>
      <c r="EO45" s="195"/>
      <c r="EP45" s="195"/>
      <c r="EQ45" s="195"/>
      <c r="ER45" s="195"/>
      <c r="ES45" s="195"/>
      <c r="ET45" s="195"/>
      <c r="EU45" s="195"/>
      <c r="EV45" s="195"/>
      <c r="EW45" s="195"/>
      <c r="EX45" s="195"/>
      <c r="EY45" s="195"/>
      <c r="EZ45" s="195"/>
      <c r="FA45" s="195"/>
      <c r="FB45" s="195"/>
      <c r="FC45" s="195"/>
      <c r="FD45" s="195"/>
      <c r="FE45" s="195"/>
      <c r="FF45" s="195"/>
      <c r="FG45" s="195"/>
      <c r="FH45" s="195"/>
      <c r="FI45" s="195"/>
      <c r="FJ45" s="195"/>
      <c r="FK45" s="195"/>
      <c r="FL45" s="195"/>
      <c r="FM45" s="195"/>
      <c r="FN45" s="195"/>
      <c r="FO45" s="195"/>
      <c r="FP45" s="195"/>
      <c r="FQ45" s="195"/>
      <c r="FR45" s="195"/>
      <c r="FS45" s="195"/>
      <c r="FT45" s="195"/>
      <c r="FU45" s="195"/>
      <c r="FV45" s="195"/>
      <c r="FW45" s="195"/>
      <c r="FX45" s="195"/>
      <c r="FY45" s="195"/>
      <c r="FZ45" s="195"/>
      <c r="GA45" s="195"/>
      <c r="GB45" s="195"/>
      <c r="GC45" s="195"/>
      <c r="GD45" s="195"/>
      <c r="GE45" s="195"/>
      <c r="GF45" s="195"/>
      <c r="GG45" s="195"/>
      <c r="GH45" s="195"/>
      <c r="GI45" s="195"/>
      <c r="GJ45" s="195"/>
      <c r="GK45" s="195"/>
      <c r="GL45" s="195"/>
      <c r="GM45" s="195"/>
      <c r="GN45" s="195"/>
      <c r="GO45" s="195"/>
      <c r="GP45" s="195"/>
      <c r="GQ45" s="195"/>
      <c r="GR45" s="195"/>
      <c r="GS45" s="195"/>
      <c r="GT45" s="195"/>
      <c r="GU45" s="195"/>
      <c r="GV45" s="195"/>
      <c r="GW45" s="195"/>
      <c r="GX45" s="195"/>
      <c r="GY45" s="195"/>
      <c r="GZ45" s="195"/>
      <c r="HA45" s="195"/>
      <c r="HB45" s="195"/>
      <c r="HC45" s="195"/>
      <c r="HD45" s="195"/>
      <c r="HE45" s="195"/>
      <c r="HF45" s="195"/>
      <c r="HG45" s="195"/>
      <c r="HH45" s="195"/>
      <c r="HI45" s="195"/>
      <c r="HJ45" s="195"/>
      <c r="HK45" s="195"/>
      <c r="HL45" s="195"/>
      <c r="HM45" s="195"/>
      <c r="HN45" s="195"/>
      <c r="HO45" s="195"/>
      <c r="HP45" s="195"/>
      <c r="HQ45" s="195"/>
      <c r="HR45" s="195"/>
      <c r="HS45" s="195"/>
      <c r="HT45" s="195"/>
      <c r="HU45" s="195"/>
    </row>
    <row r="46" spans="1:229" s="12" customFormat="1" ht="13.8" customHeight="1">
      <c r="A46" s="250"/>
      <c r="B46" s="10"/>
      <c r="C46" s="19"/>
      <c r="D46" s="204" t="s">
        <v>123</v>
      </c>
      <c r="E46" s="337" t="s">
        <v>365</v>
      </c>
      <c r="F46" s="337"/>
      <c r="G46" s="170"/>
      <c r="H46" s="165"/>
      <c r="I46" s="165"/>
      <c r="J46" s="165"/>
      <c r="K46" s="165"/>
      <c r="L46" s="165"/>
      <c r="M46" s="165"/>
      <c r="N46" s="165"/>
      <c r="O46" s="165"/>
      <c r="P46" s="165"/>
      <c r="Q46" s="165"/>
      <c r="R46" s="165"/>
      <c r="S46" s="165"/>
      <c r="T46" s="165"/>
      <c r="U46" s="165"/>
      <c r="V46" s="165"/>
      <c r="W46" s="165"/>
      <c r="X46" s="165"/>
      <c r="Y46" s="165"/>
      <c r="Z46" s="165"/>
      <c r="AA46" s="11"/>
      <c r="AB46" s="11"/>
      <c r="AC46" s="11"/>
      <c r="AD46" s="11"/>
      <c r="AE46" s="11"/>
      <c r="AF46" s="11"/>
      <c r="AG46" s="11"/>
      <c r="AH46" s="11"/>
      <c r="AI46" s="11"/>
      <c r="AJ46" s="11"/>
      <c r="AK46" s="11"/>
      <c r="AL46" s="11"/>
      <c r="AM46" s="11"/>
      <c r="AN46" s="11"/>
      <c r="AO46" s="11"/>
      <c r="AP46" s="11"/>
      <c r="AQ46" s="11"/>
      <c r="AR46" s="11"/>
      <c r="AS46" s="11"/>
      <c r="AT46" s="11"/>
      <c r="AU46" s="11"/>
      <c r="AV46" s="11"/>
      <c r="AW46" s="11"/>
      <c r="AX46" s="11"/>
      <c r="AY46" s="11"/>
      <c r="AZ46" s="11"/>
      <c r="BA46" s="11"/>
      <c r="BB46" s="11"/>
      <c r="BC46" s="11"/>
      <c r="BD46" s="11"/>
      <c r="BE46" s="11"/>
      <c r="BF46" s="11"/>
      <c r="BG46" s="11"/>
      <c r="BH46" s="11"/>
      <c r="BI46" s="11"/>
      <c r="BJ46" s="11"/>
      <c r="BK46" s="11"/>
      <c r="BL46" s="11"/>
      <c r="BM46" s="11"/>
      <c r="BN46" s="11"/>
      <c r="BO46" s="11"/>
      <c r="BP46" s="11"/>
      <c r="BQ46" s="11"/>
      <c r="BR46" s="11"/>
      <c r="BS46" s="11"/>
      <c r="BT46" s="11"/>
      <c r="BU46" s="11"/>
      <c r="BV46" s="11"/>
      <c r="BW46" s="11"/>
      <c r="BX46" s="11"/>
      <c r="BY46" s="11"/>
      <c r="BZ46" s="11"/>
      <c r="CA46" s="11"/>
      <c r="CB46" s="11"/>
      <c r="CC46" s="11"/>
      <c r="CD46" s="11"/>
      <c r="CE46" s="11"/>
      <c r="CF46" s="11"/>
      <c r="CG46" s="11"/>
      <c r="CH46" s="11"/>
      <c r="CI46" s="11"/>
      <c r="CJ46" s="11"/>
      <c r="CK46" s="11"/>
      <c r="CL46" s="11"/>
      <c r="CM46" s="11"/>
      <c r="CN46" s="11"/>
      <c r="CO46" s="11"/>
      <c r="CP46" s="11"/>
      <c r="CQ46" s="11"/>
      <c r="CR46" s="11"/>
      <c r="CS46" s="11"/>
      <c r="CT46" s="11"/>
      <c r="CU46" s="11"/>
      <c r="CV46" s="11"/>
      <c r="CW46" s="11"/>
      <c r="CX46" s="11"/>
      <c r="CY46" s="11"/>
      <c r="CZ46" s="11"/>
      <c r="DA46" s="11"/>
      <c r="DB46" s="11"/>
      <c r="DC46" s="11"/>
      <c r="DD46" s="11"/>
      <c r="DE46" s="11"/>
      <c r="DF46" s="11"/>
      <c r="DG46" s="11"/>
      <c r="DH46" s="11"/>
      <c r="DI46" s="11"/>
      <c r="DJ46" s="11"/>
      <c r="DK46" s="11"/>
      <c r="DL46" s="11"/>
      <c r="DM46" s="11"/>
      <c r="DN46" s="11"/>
      <c r="DO46" s="11"/>
      <c r="DP46" s="11"/>
      <c r="DQ46" s="11"/>
      <c r="DR46" s="11"/>
      <c r="DS46" s="11"/>
      <c r="DT46" s="11"/>
      <c r="DU46" s="11"/>
      <c r="DV46" s="11"/>
      <c r="DW46" s="11"/>
      <c r="DX46" s="11"/>
      <c r="DY46" s="11"/>
      <c r="DZ46" s="11"/>
      <c r="EA46" s="11"/>
      <c r="EB46" s="11"/>
      <c r="EC46" s="11"/>
      <c r="ED46" s="11"/>
      <c r="EE46" s="11"/>
      <c r="EF46" s="11"/>
      <c r="EG46" s="11"/>
      <c r="EH46" s="11"/>
      <c r="EI46" s="11"/>
      <c r="EJ46" s="11"/>
      <c r="EK46" s="11"/>
      <c r="EL46" s="11"/>
      <c r="EM46" s="11"/>
      <c r="EN46" s="11"/>
      <c r="EO46" s="11"/>
      <c r="EP46" s="11"/>
      <c r="EQ46" s="11"/>
      <c r="ER46" s="11"/>
      <c r="ES46" s="11"/>
      <c r="ET46" s="11"/>
      <c r="EU46" s="11"/>
      <c r="EV46" s="11"/>
      <c r="EW46" s="11"/>
      <c r="EX46" s="11"/>
      <c r="EY46" s="11"/>
      <c r="EZ46" s="11"/>
      <c r="FA46" s="11"/>
      <c r="FB46" s="11"/>
      <c r="FC46" s="11"/>
      <c r="FD46" s="11"/>
      <c r="FE46" s="11"/>
      <c r="FF46" s="11"/>
      <c r="FG46" s="11"/>
      <c r="FH46" s="11"/>
      <c r="FI46" s="11"/>
      <c r="FJ46" s="11"/>
      <c r="FK46" s="11"/>
      <c r="FL46" s="11"/>
      <c r="FM46" s="11"/>
      <c r="FN46" s="11"/>
      <c r="FO46" s="11"/>
      <c r="FP46" s="11"/>
      <c r="FQ46" s="11"/>
      <c r="FR46" s="11"/>
      <c r="FS46" s="11"/>
      <c r="FT46" s="11"/>
      <c r="FU46" s="11"/>
      <c r="FV46" s="11"/>
      <c r="FW46" s="11"/>
      <c r="FX46" s="11"/>
      <c r="FY46" s="11"/>
      <c r="FZ46" s="11"/>
      <c r="GA46" s="11"/>
      <c r="GB46" s="11"/>
      <c r="GC46" s="11"/>
      <c r="GD46" s="11"/>
      <c r="GE46" s="11"/>
      <c r="GF46" s="11"/>
      <c r="GG46" s="11"/>
      <c r="GH46" s="11"/>
      <c r="GI46" s="11"/>
      <c r="GJ46" s="11"/>
      <c r="GK46" s="11"/>
      <c r="GL46" s="11"/>
      <c r="GM46" s="11"/>
      <c r="GN46" s="11"/>
      <c r="GO46" s="11"/>
      <c r="GP46" s="11"/>
      <c r="GQ46" s="11"/>
      <c r="GR46" s="11"/>
      <c r="GS46" s="11"/>
      <c r="GT46" s="11"/>
      <c r="GU46" s="11"/>
      <c r="GV46" s="11"/>
      <c r="GW46" s="11"/>
      <c r="GX46" s="11"/>
      <c r="GY46" s="11"/>
      <c r="GZ46" s="11"/>
      <c r="HA46" s="11"/>
      <c r="HB46" s="11"/>
      <c r="HC46" s="11"/>
      <c r="HD46" s="11"/>
      <c r="HE46" s="11"/>
      <c r="HF46" s="11"/>
      <c r="HG46" s="11"/>
      <c r="HH46" s="11"/>
      <c r="HI46" s="11"/>
      <c r="HJ46" s="11"/>
      <c r="HK46" s="11"/>
      <c r="HL46" s="11"/>
      <c r="HM46" s="11"/>
      <c r="HN46" s="11"/>
      <c r="HO46" s="11"/>
      <c r="HP46" s="11"/>
      <c r="HQ46" s="11"/>
      <c r="HR46" s="11"/>
      <c r="HS46" s="11"/>
      <c r="HT46" s="11"/>
      <c r="HU46" s="11"/>
    </row>
    <row r="47" spans="1:229" s="16" customFormat="1" ht="18" customHeight="1">
      <c r="A47" s="188"/>
      <c r="B47" s="189"/>
      <c r="C47" s="190"/>
      <c r="D47" s="190"/>
      <c r="E47" s="191"/>
      <c r="F47" s="192"/>
      <c r="G47" s="193"/>
      <c r="H47" s="194"/>
      <c r="I47" s="194"/>
      <c r="J47" s="194"/>
      <c r="K47" s="194"/>
      <c r="L47" s="194"/>
      <c r="M47" s="194"/>
      <c r="N47" s="194"/>
      <c r="O47" s="194"/>
      <c r="P47" s="194"/>
      <c r="Q47" s="194"/>
      <c r="R47" s="194"/>
      <c r="S47" s="194"/>
      <c r="T47" s="194"/>
      <c r="U47" s="194"/>
      <c r="V47" s="194"/>
      <c r="W47" s="194"/>
      <c r="X47" s="194"/>
      <c r="Y47" s="194"/>
      <c r="Z47" s="194"/>
      <c r="AA47" s="195"/>
      <c r="AB47" s="195"/>
      <c r="AC47" s="195"/>
      <c r="AD47" s="195"/>
      <c r="AE47" s="195"/>
      <c r="AF47" s="195"/>
      <c r="AG47" s="195"/>
      <c r="AH47" s="195"/>
      <c r="AI47" s="195"/>
      <c r="AJ47" s="195"/>
      <c r="AK47" s="195"/>
      <c r="AL47" s="195"/>
      <c r="AM47" s="195"/>
      <c r="AN47" s="195"/>
      <c r="AO47" s="195"/>
      <c r="AP47" s="195"/>
      <c r="AQ47" s="195"/>
      <c r="AR47" s="195"/>
      <c r="AS47" s="195"/>
      <c r="AT47" s="195"/>
      <c r="AU47" s="195"/>
      <c r="AV47" s="195"/>
      <c r="AW47" s="195"/>
      <c r="AX47" s="195"/>
      <c r="AY47" s="195"/>
      <c r="AZ47" s="195"/>
      <c r="BA47" s="195"/>
      <c r="BB47" s="195"/>
      <c r="BC47" s="195"/>
      <c r="BD47" s="195"/>
      <c r="BE47" s="195"/>
      <c r="BF47" s="195"/>
      <c r="BG47" s="195"/>
      <c r="BH47" s="195"/>
      <c r="BI47" s="195"/>
      <c r="BJ47" s="195"/>
      <c r="BK47" s="195"/>
      <c r="BL47" s="195"/>
      <c r="BM47" s="195"/>
      <c r="BN47" s="195"/>
      <c r="BO47" s="195"/>
      <c r="BP47" s="195"/>
      <c r="BQ47" s="195"/>
      <c r="BR47" s="195"/>
      <c r="BS47" s="195"/>
      <c r="BT47" s="195"/>
      <c r="BU47" s="195"/>
      <c r="BV47" s="195"/>
      <c r="BW47" s="195"/>
      <c r="BX47" s="195"/>
      <c r="BY47" s="195"/>
      <c r="BZ47" s="195"/>
      <c r="CA47" s="195"/>
      <c r="CB47" s="195"/>
      <c r="CC47" s="195"/>
      <c r="CD47" s="195"/>
      <c r="CE47" s="195"/>
      <c r="CF47" s="195"/>
      <c r="CG47" s="195"/>
      <c r="CH47" s="195"/>
      <c r="CI47" s="195"/>
      <c r="CJ47" s="195"/>
      <c r="CK47" s="195"/>
      <c r="CL47" s="195"/>
      <c r="CM47" s="195"/>
      <c r="CN47" s="195"/>
      <c r="CO47" s="195"/>
      <c r="CP47" s="195"/>
      <c r="CQ47" s="195"/>
      <c r="CR47" s="195"/>
      <c r="CS47" s="195"/>
      <c r="CT47" s="195"/>
      <c r="CU47" s="195"/>
      <c r="CV47" s="195"/>
      <c r="CW47" s="195"/>
      <c r="CX47" s="195"/>
      <c r="CY47" s="195"/>
      <c r="CZ47" s="195"/>
      <c r="DA47" s="195"/>
      <c r="DB47" s="195"/>
      <c r="DC47" s="195"/>
      <c r="DD47" s="195"/>
      <c r="DE47" s="195"/>
      <c r="DF47" s="195"/>
      <c r="DG47" s="195"/>
      <c r="DH47" s="195"/>
      <c r="DI47" s="195"/>
      <c r="DJ47" s="195"/>
      <c r="DK47" s="195"/>
      <c r="DL47" s="195"/>
      <c r="DM47" s="195"/>
      <c r="DN47" s="195"/>
      <c r="DO47" s="195"/>
      <c r="DP47" s="195"/>
      <c r="DQ47" s="195"/>
      <c r="DR47" s="195"/>
      <c r="DS47" s="195"/>
      <c r="DT47" s="195"/>
      <c r="DU47" s="195"/>
      <c r="DV47" s="195"/>
      <c r="DW47" s="195"/>
      <c r="DX47" s="195"/>
      <c r="DY47" s="195"/>
      <c r="DZ47" s="195"/>
      <c r="EA47" s="195"/>
      <c r="EB47" s="195"/>
      <c r="EC47" s="195"/>
      <c r="ED47" s="195"/>
      <c r="EE47" s="195"/>
      <c r="EF47" s="195"/>
      <c r="EG47" s="195"/>
      <c r="EH47" s="195"/>
      <c r="EI47" s="195"/>
      <c r="EJ47" s="195"/>
      <c r="EK47" s="195"/>
      <c r="EL47" s="195"/>
      <c r="EM47" s="195"/>
      <c r="EN47" s="195"/>
      <c r="EO47" s="195"/>
      <c r="EP47" s="195"/>
      <c r="EQ47" s="195"/>
      <c r="ER47" s="195"/>
      <c r="ES47" s="195"/>
      <c r="ET47" s="195"/>
      <c r="EU47" s="195"/>
      <c r="EV47" s="195"/>
      <c r="EW47" s="195"/>
      <c r="EX47" s="195"/>
      <c r="EY47" s="195"/>
      <c r="EZ47" s="195"/>
      <c r="FA47" s="195"/>
      <c r="FB47" s="195"/>
      <c r="FC47" s="195"/>
      <c r="FD47" s="195"/>
      <c r="FE47" s="195"/>
      <c r="FF47" s="195"/>
      <c r="FG47" s="195"/>
      <c r="FH47" s="195"/>
      <c r="FI47" s="195"/>
      <c r="FJ47" s="195"/>
      <c r="FK47" s="195"/>
      <c r="FL47" s="195"/>
      <c r="FM47" s="195"/>
      <c r="FN47" s="195"/>
      <c r="FO47" s="195"/>
      <c r="FP47" s="195"/>
      <c r="FQ47" s="195"/>
      <c r="FR47" s="195"/>
      <c r="FS47" s="195"/>
      <c r="FT47" s="195"/>
      <c r="FU47" s="195"/>
      <c r="FV47" s="195"/>
      <c r="FW47" s="195"/>
      <c r="FX47" s="195"/>
      <c r="FY47" s="195"/>
      <c r="FZ47" s="195"/>
      <c r="GA47" s="195"/>
      <c r="GB47" s="195"/>
      <c r="GC47" s="195"/>
      <c r="GD47" s="195"/>
      <c r="GE47" s="195"/>
      <c r="GF47" s="195"/>
      <c r="GG47" s="195"/>
      <c r="GH47" s="195"/>
      <c r="GI47" s="195"/>
      <c r="GJ47" s="195"/>
      <c r="GK47" s="195"/>
      <c r="GL47" s="195"/>
      <c r="GM47" s="195"/>
      <c r="GN47" s="195"/>
      <c r="GO47" s="195"/>
      <c r="GP47" s="195"/>
      <c r="GQ47" s="195"/>
      <c r="GR47" s="195"/>
      <c r="GS47" s="195"/>
      <c r="GT47" s="195"/>
      <c r="GU47" s="195"/>
      <c r="GV47" s="195"/>
      <c r="GW47" s="195"/>
      <c r="GX47" s="195"/>
      <c r="GY47" s="195"/>
      <c r="GZ47" s="195"/>
      <c r="HA47" s="195"/>
      <c r="HB47" s="195"/>
      <c r="HC47" s="195"/>
      <c r="HD47" s="195"/>
      <c r="HE47" s="195"/>
      <c r="HF47" s="195"/>
      <c r="HG47" s="195"/>
      <c r="HH47" s="195"/>
      <c r="HI47" s="195"/>
      <c r="HJ47" s="195"/>
      <c r="HK47" s="195"/>
      <c r="HL47" s="195"/>
      <c r="HM47" s="195"/>
      <c r="HN47" s="195"/>
      <c r="HO47" s="195"/>
      <c r="HP47" s="195"/>
      <c r="HQ47" s="195"/>
      <c r="HR47" s="195"/>
      <c r="HS47" s="195"/>
      <c r="HT47" s="195"/>
      <c r="HU47" s="195"/>
    </row>
    <row r="48" spans="1:229" s="16" customFormat="1" ht="18" customHeight="1">
      <c r="A48" s="188"/>
      <c r="B48" s="189"/>
      <c r="C48" s="201">
        <v>6</v>
      </c>
      <c r="D48" s="9" t="s">
        <v>137</v>
      </c>
      <c r="E48" s="192"/>
      <c r="F48" s="192"/>
      <c r="G48" s="193"/>
      <c r="H48" s="194"/>
      <c r="I48" s="194"/>
      <c r="J48" s="194"/>
      <c r="K48" s="194"/>
      <c r="L48" s="194"/>
      <c r="M48" s="194"/>
      <c r="N48" s="194"/>
      <c r="O48" s="194"/>
      <c r="P48" s="194"/>
      <c r="Q48" s="194"/>
      <c r="R48" s="194"/>
      <c r="S48" s="194"/>
      <c r="T48" s="194"/>
      <c r="U48" s="194"/>
      <c r="V48" s="194"/>
      <c r="W48" s="194"/>
      <c r="X48" s="194"/>
      <c r="Y48" s="194"/>
      <c r="Z48" s="194"/>
      <c r="AA48" s="195"/>
      <c r="AB48" s="195"/>
      <c r="AC48" s="195"/>
      <c r="AD48" s="195"/>
      <c r="AE48" s="195"/>
      <c r="AF48" s="195"/>
      <c r="AG48" s="195"/>
      <c r="AH48" s="195"/>
      <c r="AI48" s="195"/>
      <c r="AJ48" s="195"/>
      <c r="AK48" s="195"/>
      <c r="AL48" s="195"/>
      <c r="AM48" s="195"/>
      <c r="AN48" s="195"/>
      <c r="AO48" s="195"/>
      <c r="AP48" s="195"/>
      <c r="AQ48" s="195"/>
      <c r="AR48" s="195"/>
      <c r="AS48" s="195"/>
      <c r="AT48" s="195"/>
      <c r="AU48" s="195"/>
      <c r="AV48" s="195"/>
      <c r="AW48" s="195"/>
      <c r="AX48" s="195"/>
      <c r="AY48" s="195"/>
      <c r="AZ48" s="195"/>
      <c r="BA48" s="195"/>
      <c r="BB48" s="195"/>
      <c r="BC48" s="195"/>
      <c r="BD48" s="195"/>
      <c r="BE48" s="195"/>
      <c r="BF48" s="195"/>
      <c r="BG48" s="195"/>
      <c r="BH48" s="195"/>
      <c r="BI48" s="195"/>
      <c r="BJ48" s="195"/>
      <c r="BK48" s="195"/>
      <c r="BL48" s="195"/>
      <c r="BM48" s="195"/>
      <c r="BN48" s="195"/>
      <c r="BO48" s="195"/>
      <c r="BP48" s="195"/>
      <c r="BQ48" s="195"/>
      <c r="BR48" s="195"/>
      <c r="BS48" s="195"/>
      <c r="BT48" s="195"/>
      <c r="BU48" s="195"/>
      <c r="BV48" s="195"/>
      <c r="BW48" s="195"/>
      <c r="BX48" s="195"/>
      <c r="BY48" s="195"/>
      <c r="BZ48" s="195"/>
      <c r="CA48" s="195"/>
      <c r="CB48" s="195"/>
      <c r="CC48" s="195"/>
      <c r="CD48" s="195"/>
      <c r="CE48" s="195"/>
      <c r="CF48" s="195"/>
      <c r="CG48" s="195"/>
      <c r="CH48" s="195"/>
      <c r="CI48" s="195"/>
      <c r="CJ48" s="195"/>
      <c r="CK48" s="195"/>
      <c r="CL48" s="195"/>
      <c r="CM48" s="195"/>
      <c r="CN48" s="195"/>
      <c r="CO48" s="195"/>
      <c r="CP48" s="195"/>
      <c r="CQ48" s="195"/>
      <c r="CR48" s="195"/>
      <c r="CS48" s="195"/>
      <c r="CT48" s="195"/>
      <c r="CU48" s="195"/>
      <c r="CV48" s="195"/>
      <c r="CW48" s="195"/>
      <c r="CX48" s="195"/>
      <c r="CY48" s="195"/>
      <c r="CZ48" s="195"/>
      <c r="DA48" s="195"/>
      <c r="DB48" s="195"/>
      <c r="DC48" s="195"/>
      <c r="DD48" s="195"/>
      <c r="DE48" s="195"/>
      <c r="DF48" s="195"/>
      <c r="DG48" s="195"/>
      <c r="DH48" s="195"/>
      <c r="DI48" s="195"/>
      <c r="DJ48" s="195"/>
      <c r="DK48" s="195"/>
      <c r="DL48" s="195"/>
      <c r="DM48" s="195"/>
      <c r="DN48" s="195"/>
      <c r="DO48" s="195"/>
      <c r="DP48" s="195"/>
      <c r="DQ48" s="195"/>
      <c r="DR48" s="195"/>
      <c r="DS48" s="195"/>
      <c r="DT48" s="195"/>
      <c r="DU48" s="195"/>
      <c r="DV48" s="195"/>
      <c r="DW48" s="195"/>
      <c r="DX48" s="195"/>
      <c r="DY48" s="195"/>
      <c r="DZ48" s="195"/>
      <c r="EA48" s="195"/>
      <c r="EB48" s="195"/>
      <c r="EC48" s="195"/>
      <c r="ED48" s="195"/>
      <c r="EE48" s="195"/>
      <c r="EF48" s="195"/>
      <c r="EG48" s="195"/>
      <c r="EH48" s="195"/>
      <c r="EI48" s="195"/>
      <c r="EJ48" s="195"/>
      <c r="EK48" s="195"/>
      <c r="EL48" s="195"/>
      <c r="EM48" s="195"/>
      <c r="EN48" s="195"/>
      <c r="EO48" s="195"/>
      <c r="EP48" s="195"/>
      <c r="EQ48" s="195"/>
      <c r="ER48" s="195"/>
      <c r="ES48" s="195"/>
      <c r="ET48" s="195"/>
      <c r="EU48" s="195"/>
      <c r="EV48" s="195"/>
      <c r="EW48" s="195"/>
      <c r="EX48" s="195"/>
      <c r="EY48" s="195"/>
      <c r="EZ48" s="195"/>
      <c r="FA48" s="195"/>
      <c r="FB48" s="195"/>
      <c r="FC48" s="195"/>
      <c r="FD48" s="195"/>
      <c r="FE48" s="195"/>
      <c r="FF48" s="195"/>
      <c r="FG48" s="195"/>
      <c r="FH48" s="195"/>
      <c r="FI48" s="195"/>
      <c r="FJ48" s="195"/>
      <c r="FK48" s="195"/>
      <c r="FL48" s="195"/>
      <c r="FM48" s="195"/>
      <c r="FN48" s="195"/>
      <c r="FO48" s="195"/>
      <c r="FP48" s="195"/>
      <c r="FQ48" s="195"/>
      <c r="FR48" s="195"/>
      <c r="FS48" s="195"/>
      <c r="FT48" s="195"/>
      <c r="FU48" s="195"/>
      <c r="FV48" s="195"/>
      <c r="FW48" s="195"/>
      <c r="FX48" s="195"/>
      <c r="FY48" s="195"/>
      <c r="FZ48" s="195"/>
      <c r="GA48" s="195"/>
      <c r="GB48" s="195"/>
      <c r="GC48" s="195"/>
      <c r="GD48" s="195"/>
      <c r="GE48" s="195"/>
      <c r="GF48" s="195"/>
      <c r="GG48" s="195"/>
      <c r="GH48" s="195"/>
      <c r="GI48" s="195"/>
      <c r="GJ48" s="195"/>
      <c r="GK48" s="195"/>
      <c r="GL48" s="195"/>
      <c r="GM48" s="195"/>
      <c r="GN48" s="195"/>
      <c r="GO48" s="195"/>
      <c r="GP48" s="195"/>
      <c r="GQ48" s="195"/>
      <c r="GR48" s="195"/>
      <c r="GS48" s="195"/>
      <c r="GT48" s="195"/>
      <c r="GU48" s="195"/>
      <c r="GV48" s="195"/>
      <c r="GW48" s="195"/>
      <c r="GX48" s="195"/>
      <c r="GY48" s="195"/>
      <c r="GZ48" s="195"/>
      <c r="HA48" s="195"/>
      <c r="HB48" s="195"/>
      <c r="HC48" s="195"/>
      <c r="HD48" s="195"/>
      <c r="HE48" s="195"/>
      <c r="HF48" s="195"/>
      <c r="HG48" s="195"/>
      <c r="HH48" s="195"/>
      <c r="HI48" s="195"/>
      <c r="HJ48" s="195"/>
      <c r="HK48" s="195"/>
      <c r="HL48" s="195"/>
      <c r="HM48" s="195"/>
      <c r="HN48" s="195"/>
      <c r="HO48" s="195"/>
      <c r="HP48" s="195"/>
      <c r="HQ48" s="195"/>
      <c r="HR48" s="195"/>
      <c r="HS48" s="195"/>
      <c r="HT48" s="195"/>
      <c r="HU48" s="195"/>
    </row>
    <row r="49" spans="1:229" s="12" customFormat="1" ht="13.8">
      <c r="A49" s="250"/>
      <c r="B49" s="10"/>
      <c r="C49" s="19"/>
      <c r="D49" s="204" t="s">
        <v>123</v>
      </c>
      <c r="E49" s="337" t="s">
        <v>276</v>
      </c>
      <c r="F49" s="337"/>
      <c r="G49" s="170"/>
      <c r="H49" s="165"/>
      <c r="I49" s="165"/>
      <c r="J49" s="165"/>
      <c r="K49" s="165"/>
      <c r="L49" s="165"/>
      <c r="M49" s="165"/>
      <c r="N49" s="165"/>
      <c r="O49" s="165"/>
      <c r="P49" s="165"/>
      <c r="Q49" s="165"/>
      <c r="R49" s="165"/>
      <c r="S49" s="165"/>
      <c r="T49" s="165"/>
      <c r="U49" s="165"/>
      <c r="V49" s="165"/>
      <c r="W49" s="165"/>
      <c r="X49" s="165"/>
      <c r="Y49" s="165"/>
      <c r="Z49" s="165"/>
      <c r="AA49" s="11"/>
      <c r="AB49" s="11"/>
      <c r="AC49" s="11"/>
      <c r="AD49" s="11"/>
      <c r="AE49" s="11"/>
      <c r="AF49" s="11"/>
      <c r="AG49" s="11"/>
      <c r="AH49" s="11"/>
      <c r="AI49" s="11"/>
      <c r="AJ49" s="11"/>
      <c r="AK49" s="11"/>
      <c r="AL49" s="11"/>
      <c r="AM49" s="11"/>
      <c r="AN49" s="11"/>
      <c r="AO49" s="11"/>
      <c r="AP49" s="11"/>
      <c r="AQ49" s="11"/>
      <c r="AR49" s="11"/>
      <c r="AS49" s="11"/>
      <c r="AT49" s="11"/>
      <c r="AU49" s="11"/>
      <c r="AV49" s="11"/>
      <c r="AW49" s="11"/>
      <c r="AX49" s="11"/>
      <c r="AY49" s="11"/>
      <c r="AZ49" s="11"/>
      <c r="BA49" s="11"/>
      <c r="BB49" s="11"/>
      <c r="BC49" s="11"/>
      <c r="BD49" s="11"/>
      <c r="BE49" s="11"/>
      <c r="BF49" s="11"/>
      <c r="BG49" s="11"/>
      <c r="BH49" s="11"/>
      <c r="BI49" s="11"/>
      <c r="BJ49" s="11"/>
      <c r="BK49" s="11"/>
      <c r="BL49" s="11"/>
      <c r="BM49" s="11"/>
      <c r="BN49" s="11"/>
      <c r="BO49" s="11"/>
      <c r="BP49" s="11"/>
      <c r="BQ49" s="11"/>
      <c r="BR49" s="11"/>
      <c r="BS49" s="11"/>
      <c r="BT49" s="11"/>
      <c r="BU49" s="11"/>
      <c r="BV49" s="11"/>
      <c r="BW49" s="11"/>
      <c r="BX49" s="11"/>
      <c r="BY49" s="11"/>
      <c r="BZ49" s="11"/>
      <c r="CA49" s="11"/>
      <c r="CB49" s="11"/>
      <c r="CC49" s="11"/>
      <c r="CD49" s="11"/>
      <c r="CE49" s="11"/>
      <c r="CF49" s="11"/>
      <c r="CG49" s="11"/>
      <c r="CH49" s="11"/>
      <c r="CI49" s="11"/>
      <c r="CJ49" s="11"/>
      <c r="CK49" s="11"/>
      <c r="CL49" s="11"/>
      <c r="CM49" s="11"/>
      <c r="CN49" s="11"/>
      <c r="CO49" s="11"/>
      <c r="CP49" s="11"/>
      <c r="CQ49" s="11"/>
      <c r="CR49" s="11"/>
      <c r="CS49" s="11"/>
      <c r="CT49" s="11"/>
      <c r="CU49" s="11"/>
      <c r="CV49" s="11"/>
      <c r="CW49" s="11"/>
      <c r="CX49" s="11"/>
      <c r="CY49" s="11"/>
      <c r="CZ49" s="11"/>
      <c r="DA49" s="11"/>
      <c r="DB49" s="11"/>
      <c r="DC49" s="11"/>
      <c r="DD49" s="11"/>
      <c r="DE49" s="11"/>
      <c r="DF49" s="11"/>
      <c r="DG49" s="11"/>
      <c r="DH49" s="11"/>
      <c r="DI49" s="11"/>
      <c r="DJ49" s="11"/>
      <c r="DK49" s="11"/>
      <c r="DL49" s="11"/>
      <c r="DM49" s="11"/>
      <c r="DN49" s="11"/>
      <c r="DO49" s="11"/>
      <c r="DP49" s="11"/>
      <c r="DQ49" s="11"/>
      <c r="DR49" s="11"/>
      <c r="DS49" s="11"/>
      <c r="DT49" s="11"/>
      <c r="DU49" s="11"/>
      <c r="DV49" s="11"/>
      <c r="DW49" s="11"/>
      <c r="DX49" s="11"/>
      <c r="DY49" s="11"/>
      <c r="DZ49" s="11"/>
      <c r="EA49" s="11"/>
      <c r="EB49" s="11"/>
      <c r="EC49" s="11"/>
      <c r="ED49" s="11"/>
      <c r="EE49" s="11"/>
      <c r="EF49" s="11"/>
      <c r="EG49" s="11"/>
      <c r="EH49" s="11"/>
      <c r="EI49" s="11"/>
      <c r="EJ49" s="11"/>
      <c r="EK49" s="11"/>
      <c r="EL49" s="11"/>
      <c r="EM49" s="11"/>
      <c r="EN49" s="11"/>
      <c r="EO49" s="11"/>
      <c r="EP49" s="11"/>
      <c r="EQ49" s="11"/>
      <c r="ER49" s="11"/>
      <c r="ES49" s="11"/>
      <c r="ET49" s="11"/>
      <c r="EU49" s="11"/>
      <c r="EV49" s="11"/>
      <c r="EW49" s="11"/>
      <c r="EX49" s="11"/>
      <c r="EY49" s="11"/>
      <c r="EZ49" s="11"/>
      <c r="FA49" s="11"/>
      <c r="FB49" s="11"/>
      <c r="FC49" s="11"/>
      <c r="FD49" s="11"/>
      <c r="FE49" s="11"/>
      <c r="FF49" s="11"/>
      <c r="FG49" s="11"/>
      <c r="FH49" s="11"/>
      <c r="FI49" s="11"/>
      <c r="FJ49" s="11"/>
      <c r="FK49" s="11"/>
      <c r="FL49" s="11"/>
      <c r="FM49" s="11"/>
      <c r="FN49" s="11"/>
      <c r="FO49" s="11"/>
      <c r="FP49" s="11"/>
      <c r="FQ49" s="11"/>
      <c r="FR49" s="11"/>
      <c r="FS49" s="11"/>
      <c r="FT49" s="11"/>
      <c r="FU49" s="11"/>
      <c r="FV49" s="11"/>
      <c r="FW49" s="11"/>
      <c r="FX49" s="11"/>
      <c r="FY49" s="11"/>
      <c r="FZ49" s="11"/>
      <c r="GA49" s="11"/>
      <c r="GB49" s="11"/>
      <c r="GC49" s="11"/>
      <c r="GD49" s="11"/>
      <c r="GE49" s="11"/>
      <c r="GF49" s="11"/>
      <c r="GG49" s="11"/>
      <c r="GH49" s="11"/>
      <c r="GI49" s="11"/>
      <c r="GJ49" s="11"/>
      <c r="GK49" s="11"/>
      <c r="GL49" s="11"/>
      <c r="GM49" s="11"/>
      <c r="GN49" s="11"/>
      <c r="GO49" s="11"/>
      <c r="GP49" s="11"/>
      <c r="GQ49" s="11"/>
      <c r="GR49" s="11"/>
      <c r="GS49" s="11"/>
      <c r="GT49" s="11"/>
      <c r="GU49" s="11"/>
      <c r="GV49" s="11"/>
      <c r="GW49" s="11"/>
      <c r="GX49" s="11"/>
      <c r="GY49" s="11"/>
      <c r="GZ49" s="11"/>
      <c r="HA49" s="11"/>
      <c r="HB49" s="11"/>
      <c r="HC49" s="11"/>
      <c r="HD49" s="11"/>
      <c r="HE49" s="11"/>
      <c r="HF49" s="11"/>
      <c r="HG49" s="11"/>
      <c r="HH49" s="11"/>
      <c r="HI49" s="11"/>
      <c r="HJ49" s="11"/>
      <c r="HK49" s="11"/>
      <c r="HL49" s="11"/>
      <c r="HM49" s="11"/>
      <c r="HN49" s="11"/>
      <c r="HO49" s="11"/>
      <c r="HP49" s="11"/>
      <c r="HQ49" s="11"/>
      <c r="HR49" s="11"/>
      <c r="HS49" s="11"/>
      <c r="HT49" s="11"/>
      <c r="HU49" s="11"/>
    </row>
    <row r="50" spans="1:229" s="12" customFormat="1" ht="25.95" customHeight="1">
      <c r="A50" s="250"/>
      <c r="B50" s="10"/>
      <c r="C50" s="19"/>
      <c r="D50" s="204" t="s">
        <v>123</v>
      </c>
      <c r="E50" s="337" t="s">
        <v>277</v>
      </c>
      <c r="F50" s="337"/>
      <c r="G50" s="170"/>
      <c r="H50" s="165"/>
      <c r="I50" s="165"/>
      <c r="J50" s="165"/>
      <c r="K50" s="165"/>
      <c r="L50" s="165"/>
      <c r="M50" s="165"/>
      <c r="N50" s="165"/>
      <c r="O50" s="165"/>
      <c r="P50" s="165"/>
      <c r="Q50" s="165"/>
      <c r="R50" s="165"/>
      <c r="S50" s="165"/>
      <c r="T50" s="165"/>
      <c r="U50" s="165"/>
      <c r="V50" s="165"/>
      <c r="W50" s="165"/>
      <c r="X50" s="165"/>
      <c r="Y50" s="165"/>
      <c r="Z50" s="165"/>
      <c r="AA50" s="11"/>
      <c r="AB50" s="11"/>
      <c r="AC50" s="11"/>
      <c r="AD50" s="11"/>
      <c r="AE50" s="11"/>
      <c r="AF50" s="11"/>
      <c r="AG50" s="11"/>
      <c r="AH50" s="11"/>
      <c r="AI50" s="11"/>
      <c r="AJ50" s="11"/>
      <c r="AK50" s="11"/>
      <c r="AL50" s="11"/>
      <c r="AM50" s="11"/>
      <c r="AN50" s="11"/>
      <c r="AO50" s="11"/>
      <c r="AP50" s="11"/>
      <c r="AQ50" s="11"/>
      <c r="AR50" s="11"/>
      <c r="AS50" s="11"/>
      <c r="AT50" s="11"/>
      <c r="AU50" s="11"/>
      <c r="AV50" s="11"/>
      <c r="AW50" s="11"/>
      <c r="AX50" s="11"/>
      <c r="AY50" s="11"/>
      <c r="AZ50" s="11"/>
      <c r="BA50" s="11"/>
      <c r="BB50" s="11"/>
      <c r="BC50" s="11"/>
      <c r="BD50" s="11"/>
      <c r="BE50" s="11"/>
      <c r="BF50" s="11"/>
      <c r="BG50" s="11"/>
      <c r="BH50" s="11"/>
      <c r="BI50" s="11"/>
      <c r="BJ50" s="11"/>
      <c r="BK50" s="11"/>
      <c r="BL50" s="11"/>
      <c r="BM50" s="11"/>
      <c r="BN50" s="11"/>
      <c r="BO50" s="11"/>
      <c r="BP50" s="11"/>
      <c r="BQ50" s="11"/>
      <c r="BR50" s="11"/>
      <c r="BS50" s="11"/>
      <c r="BT50" s="11"/>
      <c r="BU50" s="11"/>
      <c r="BV50" s="11"/>
      <c r="BW50" s="11"/>
      <c r="BX50" s="11"/>
      <c r="BY50" s="11"/>
      <c r="BZ50" s="11"/>
      <c r="CA50" s="11"/>
      <c r="CB50" s="11"/>
      <c r="CC50" s="11"/>
      <c r="CD50" s="11"/>
      <c r="CE50" s="11"/>
      <c r="CF50" s="11"/>
      <c r="CG50" s="11"/>
      <c r="CH50" s="11"/>
      <c r="CI50" s="11"/>
      <c r="CJ50" s="11"/>
      <c r="CK50" s="11"/>
      <c r="CL50" s="11"/>
      <c r="CM50" s="11"/>
      <c r="CN50" s="11"/>
      <c r="CO50" s="11"/>
      <c r="CP50" s="11"/>
      <c r="CQ50" s="11"/>
      <c r="CR50" s="11"/>
      <c r="CS50" s="11"/>
      <c r="CT50" s="11"/>
      <c r="CU50" s="11"/>
      <c r="CV50" s="11"/>
      <c r="CW50" s="11"/>
      <c r="CX50" s="11"/>
      <c r="CY50" s="11"/>
      <c r="CZ50" s="11"/>
      <c r="DA50" s="11"/>
      <c r="DB50" s="11"/>
      <c r="DC50" s="11"/>
      <c r="DD50" s="11"/>
      <c r="DE50" s="11"/>
      <c r="DF50" s="11"/>
      <c r="DG50" s="11"/>
      <c r="DH50" s="11"/>
      <c r="DI50" s="11"/>
      <c r="DJ50" s="11"/>
      <c r="DK50" s="11"/>
      <c r="DL50" s="11"/>
      <c r="DM50" s="11"/>
      <c r="DN50" s="11"/>
      <c r="DO50" s="11"/>
      <c r="DP50" s="11"/>
      <c r="DQ50" s="11"/>
      <c r="DR50" s="11"/>
      <c r="DS50" s="11"/>
      <c r="DT50" s="11"/>
      <c r="DU50" s="11"/>
      <c r="DV50" s="11"/>
      <c r="DW50" s="11"/>
      <c r="DX50" s="11"/>
      <c r="DY50" s="11"/>
      <c r="DZ50" s="11"/>
      <c r="EA50" s="11"/>
      <c r="EB50" s="11"/>
      <c r="EC50" s="11"/>
      <c r="ED50" s="11"/>
      <c r="EE50" s="11"/>
      <c r="EF50" s="11"/>
      <c r="EG50" s="11"/>
      <c r="EH50" s="11"/>
      <c r="EI50" s="11"/>
      <c r="EJ50" s="11"/>
      <c r="EK50" s="11"/>
      <c r="EL50" s="11"/>
      <c r="EM50" s="11"/>
      <c r="EN50" s="11"/>
      <c r="EO50" s="11"/>
      <c r="EP50" s="11"/>
      <c r="EQ50" s="11"/>
      <c r="ER50" s="11"/>
      <c r="ES50" s="11"/>
      <c r="ET50" s="11"/>
      <c r="EU50" s="11"/>
      <c r="EV50" s="11"/>
      <c r="EW50" s="11"/>
      <c r="EX50" s="11"/>
      <c r="EY50" s="11"/>
      <c r="EZ50" s="11"/>
      <c r="FA50" s="11"/>
      <c r="FB50" s="11"/>
      <c r="FC50" s="11"/>
      <c r="FD50" s="11"/>
      <c r="FE50" s="11"/>
      <c r="FF50" s="11"/>
      <c r="FG50" s="11"/>
      <c r="FH50" s="11"/>
      <c r="FI50" s="11"/>
      <c r="FJ50" s="11"/>
      <c r="FK50" s="11"/>
      <c r="FL50" s="11"/>
      <c r="FM50" s="11"/>
      <c r="FN50" s="11"/>
      <c r="FO50" s="11"/>
      <c r="FP50" s="11"/>
      <c r="FQ50" s="11"/>
      <c r="FR50" s="11"/>
      <c r="FS50" s="11"/>
      <c r="FT50" s="11"/>
      <c r="FU50" s="11"/>
      <c r="FV50" s="11"/>
      <c r="FW50" s="11"/>
      <c r="FX50" s="11"/>
      <c r="FY50" s="11"/>
      <c r="FZ50" s="11"/>
      <c r="GA50" s="11"/>
      <c r="GB50" s="11"/>
      <c r="GC50" s="11"/>
      <c r="GD50" s="11"/>
      <c r="GE50" s="11"/>
      <c r="GF50" s="11"/>
      <c r="GG50" s="11"/>
      <c r="GH50" s="11"/>
      <c r="GI50" s="11"/>
      <c r="GJ50" s="11"/>
      <c r="GK50" s="11"/>
      <c r="GL50" s="11"/>
      <c r="GM50" s="11"/>
      <c r="GN50" s="11"/>
      <c r="GO50" s="11"/>
      <c r="GP50" s="11"/>
      <c r="GQ50" s="11"/>
      <c r="GR50" s="11"/>
      <c r="GS50" s="11"/>
      <c r="GT50" s="11"/>
      <c r="GU50" s="11"/>
      <c r="GV50" s="11"/>
      <c r="GW50" s="11"/>
      <c r="GX50" s="11"/>
      <c r="GY50" s="11"/>
      <c r="GZ50" s="11"/>
      <c r="HA50" s="11"/>
      <c r="HB50" s="11"/>
      <c r="HC50" s="11"/>
      <c r="HD50" s="11"/>
      <c r="HE50" s="11"/>
      <c r="HF50" s="11"/>
      <c r="HG50" s="11"/>
      <c r="HH50" s="11"/>
      <c r="HI50" s="11"/>
      <c r="HJ50" s="11"/>
      <c r="HK50" s="11"/>
      <c r="HL50" s="11"/>
      <c r="HM50" s="11"/>
      <c r="HN50" s="11"/>
      <c r="HO50" s="11"/>
      <c r="HP50" s="11"/>
      <c r="HQ50" s="11"/>
      <c r="HR50" s="11"/>
      <c r="HS50" s="11"/>
      <c r="HT50" s="11"/>
      <c r="HU50" s="11"/>
    </row>
    <row r="51" spans="1:229" s="12" customFormat="1" ht="13.8">
      <c r="A51" s="250"/>
      <c r="B51" s="10"/>
      <c r="C51" s="19"/>
      <c r="D51" s="204" t="s">
        <v>123</v>
      </c>
      <c r="E51" s="337" t="s">
        <v>275</v>
      </c>
      <c r="F51" s="337"/>
      <c r="G51" s="170"/>
      <c r="H51" s="165"/>
      <c r="I51" s="165"/>
      <c r="J51" s="165"/>
      <c r="K51" s="165"/>
      <c r="L51" s="165"/>
      <c r="M51" s="165"/>
      <c r="N51" s="165"/>
      <c r="O51" s="165"/>
      <c r="P51" s="165"/>
      <c r="Q51" s="165"/>
      <c r="R51" s="165"/>
      <c r="S51" s="165"/>
      <c r="T51" s="165"/>
      <c r="U51" s="165"/>
      <c r="V51" s="165"/>
      <c r="W51" s="165"/>
      <c r="X51" s="165"/>
      <c r="Y51" s="165"/>
      <c r="Z51" s="165"/>
      <c r="AA51" s="11"/>
      <c r="AB51" s="11"/>
      <c r="AC51" s="11"/>
      <c r="AD51" s="11"/>
      <c r="AE51" s="11"/>
      <c r="AF51" s="11"/>
      <c r="AG51" s="11"/>
      <c r="AH51" s="11"/>
      <c r="AI51" s="11"/>
      <c r="AJ51" s="11"/>
      <c r="AK51" s="11"/>
      <c r="AL51" s="11"/>
      <c r="AM51" s="11"/>
      <c r="AN51" s="11"/>
      <c r="AO51" s="11"/>
      <c r="AP51" s="11"/>
      <c r="AQ51" s="11"/>
      <c r="AR51" s="11"/>
      <c r="AS51" s="11"/>
      <c r="AT51" s="11"/>
      <c r="AU51" s="11"/>
      <c r="AV51" s="11"/>
      <c r="AW51" s="11"/>
      <c r="AX51" s="11"/>
      <c r="AY51" s="11"/>
      <c r="AZ51" s="11"/>
      <c r="BA51" s="11"/>
      <c r="BB51" s="11"/>
      <c r="BC51" s="11"/>
      <c r="BD51" s="11"/>
      <c r="BE51" s="11"/>
      <c r="BF51" s="11"/>
      <c r="BG51" s="11"/>
      <c r="BH51" s="11"/>
      <c r="BI51" s="11"/>
      <c r="BJ51" s="11"/>
      <c r="BK51" s="11"/>
      <c r="BL51" s="11"/>
      <c r="BM51" s="11"/>
      <c r="BN51" s="11"/>
      <c r="BO51" s="11"/>
      <c r="BP51" s="11"/>
      <c r="BQ51" s="11"/>
      <c r="BR51" s="11"/>
      <c r="BS51" s="11"/>
      <c r="BT51" s="11"/>
      <c r="BU51" s="11"/>
      <c r="BV51" s="11"/>
      <c r="BW51" s="11"/>
      <c r="BX51" s="11"/>
      <c r="BY51" s="11"/>
      <c r="BZ51" s="11"/>
      <c r="CA51" s="11"/>
      <c r="CB51" s="11"/>
      <c r="CC51" s="11"/>
      <c r="CD51" s="11"/>
      <c r="CE51" s="11"/>
      <c r="CF51" s="11"/>
      <c r="CG51" s="11"/>
      <c r="CH51" s="11"/>
      <c r="CI51" s="11"/>
      <c r="CJ51" s="11"/>
      <c r="CK51" s="11"/>
      <c r="CL51" s="11"/>
      <c r="CM51" s="11"/>
      <c r="CN51" s="11"/>
      <c r="CO51" s="11"/>
      <c r="CP51" s="11"/>
      <c r="CQ51" s="11"/>
      <c r="CR51" s="11"/>
      <c r="CS51" s="11"/>
      <c r="CT51" s="11"/>
      <c r="CU51" s="11"/>
      <c r="CV51" s="11"/>
      <c r="CW51" s="11"/>
      <c r="CX51" s="11"/>
      <c r="CY51" s="11"/>
      <c r="CZ51" s="11"/>
      <c r="DA51" s="11"/>
      <c r="DB51" s="11"/>
      <c r="DC51" s="11"/>
      <c r="DD51" s="11"/>
      <c r="DE51" s="11"/>
      <c r="DF51" s="11"/>
      <c r="DG51" s="11"/>
      <c r="DH51" s="11"/>
      <c r="DI51" s="11"/>
      <c r="DJ51" s="11"/>
      <c r="DK51" s="11"/>
      <c r="DL51" s="11"/>
      <c r="DM51" s="11"/>
      <c r="DN51" s="11"/>
      <c r="DO51" s="11"/>
      <c r="DP51" s="11"/>
      <c r="DQ51" s="11"/>
      <c r="DR51" s="11"/>
      <c r="DS51" s="11"/>
      <c r="DT51" s="11"/>
      <c r="DU51" s="11"/>
      <c r="DV51" s="11"/>
      <c r="DW51" s="11"/>
      <c r="DX51" s="11"/>
      <c r="DY51" s="11"/>
      <c r="DZ51" s="11"/>
      <c r="EA51" s="11"/>
      <c r="EB51" s="11"/>
      <c r="EC51" s="11"/>
      <c r="ED51" s="11"/>
      <c r="EE51" s="11"/>
      <c r="EF51" s="11"/>
      <c r="EG51" s="11"/>
      <c r="EH51" s="11"/>
      <c r="EI51" s="11"/>
      <c r="EJ51" s="11"/>
      <c r="EK51" s="11"/>
      <c r="EL51" s="11"/>
      <c r="EM51" s="11"/>
      <c r="EN51" s="11"/>
      <c r="EO51" s="11"/>
      <c r="EP51" s="11"/>
      <c r="EQ51" s="11"/>
      <c r="ER51" s="11"/>
      <c r="ES51" s="11"/>
      <c r="ET51" s="11"/>
      <c r="EU51" s="11"/>
      <c r="EV51" s="11"/>
      <c r="EW51" s="11"/>
      <c r="EX51" s="11"/>
      <c r="EY51" s="11"/>
      <c r="EZ51" s="11"/>
      <c r="FA51" s="11"/>
      <c r="FB51" s="11"/>
      <c r="FC51" s="11"/>
      <c r="FD51" s="11"/>
      <c r="FE51" s="11"/>
      <c r="FF51" s="11"/>
      <c r="FG51" s="11"/>
      <c r="FH51" s="11"/>
      <c r="FI51" s="11"/>
      <c r="FJ51" s="11"/>
      <c r="FK51" s="11"/>
      <c r="FL51" s="11"/>
      <c r="FM51" s="11"/>
      <c r="FN51" s="11"/>
      <c r="FO51" s="11"/>
      <c r="FP51" s="11"/>
      <c r="FQ51" s="11"/>
      <c r="FR51" s="11"/>
      <c r="FS51" s="11"/>
      <c r="FT51" s="11"/>
      <c r="FU51" s="11"/>
      <c r="FV51" s="11"/>
      <c r="FW51" s="11"/>
      <c r="FX51" s="11"/>
      <c r="FY51" s="11"/>
      <c r="FZ51" s="11"/>
      <c r="GA51" s="11"/>
      <c r="GB51" s="11"/>
      <c r="GC51" s="11"/>
      <c r="GD51" s="11"/>
      <c r="GE51" s="11"/>
      <c r="GF51" s="11"/>
      <c r="GG51" s="11"/>
      <c r="GH51" s="11"/>
      <c r="GI51" s="11"/>
      <c r="GJ51" s="11"/>
      <c r="GK51" s="11"/>
      <c r="GL51" s="11"/>
      <c r="GM51" s="11"/>
      <c r="GN51" s="11"/>
      <c r="GO51" s="11"/>
      <c r="GP51" s="11"/>
      <c r="GQ51" s="11"/>
      <c r="GR51" s="11"/>
      <c r="GS51" s="11"/>
      <c r="GT51" s="11"/>
      <c r="GU51" s="11"/>
      <c r="GV51" s="11"/>
      <c r="GW51" s="11"/>
      <c r="GX51" s="11"/>
      <c r="GY51" s="11"/>
      <c r="GZ51" s="11"/>
      <c r="HA51" s="11"/>
      <c r="HB51" s="11"/>
      <c r="HC51" s="11"/>
      <c r="HD51" s="11"/>
      <c r="HE51" s="11"/>
      <c r="HF51" s="11"/>
      <c r="HG51" s="11"/>
      <c r="HH51" s="11"/>
      <c r="HI51" s="11"/>
      <c r="HJ51" s="11"/>
      <c r="HK51" s="11"/>
      <c r="HL51" s="11"/>
      <c r="HM51" s="11"/>
      <c r="HN51" s="11"/>
      <c r="HO51" s="11"/>
      <c r="HP51" s="11"/>
      <c r="HQ51" s="11"/>
      <c r="HR51" s="11"/>
      <c r="HS51" s="11"/>
      <c r="HT51" s="11"/>
      <c r="HU51" s="11"/>
    </row>
    <row r="52" spans="1:229" s="12" customFormat="1" ht="26.4">
      <c r="A52" s="250"/>
      <c r="B52" s="10"/>
      <c r="C52" s="19"/>
      <c r="D52" s="204"/>
      <c r="E52" s="204" t="s">
        <v>123</v>
      </c>
      <c r="F52" s="272" t="s">
        <v>271</v>
      </c>
      <c r="G52" s="170"/>
      <c r="H52" s="165"/>
      <c r="I52" s="165"/>
      <c r="J52" s="165"/>
      <c r="K52" s="165"/>
      <c r="L52" s="165"/>
      <c r="M52" s="165"/>
      <c r="N52" s="165"/>
      <c r="O52" s="165"/>
      <c r="P52" s="165"/>
      <c r="Q52" s="165"/>
      <c r="R52" s="165"/>
      <c r="S52" s="165"/>
      <c r="T52" s="165"/>
      <c r="U52" s="165"/>
      <c r="V52" s="165"/>
      <c r="W52" s="165"/>
      <c r="X52" s="165"/>
      <c r="Y52" s="165"/>
      <c r="Z52" s="165"/>
      <c r="AA52" s="11"/>
      <c r="AB52" s="11"/>
      <c r="AC52" s="11"/>
      <c r="AD52" s="11"/>
      <c r="AE52" s="11"/>
      <c r="AF52" s="11"/>
      <c r="AG52" s="11"/>
      <c r="AH52" s="11"/>
      <c r="AI52" s="11"/>
      <c r="AJ52" s="11"/>
      <c r="AK52" s="11"/>
      <c r="AL52" s="11"/>
      <c r="AM52" s="11"/>
      <c r="AN52" s="11"/>
      <c r="AO52" s="11"/>
      <c r="AP52" s="11"/>
      <c r="AQ52" s="11"/>
      <c r="AR52" s="11"/>
      <c r="AS52" s="11"/>
      <c r="AT52" s="11"/>
      <c r="AU52" s="11"/>
      <c r="AV52" s="11"/>
      <c r="AW52" s="11"/>
      <c r="AX52" s="11"/>
      <c r="AY52" s="11"/>
      <c r="AZ52" s="11"/>
      <c r="BA52" s="11"/>
      <c r="BB52" s="11"/>
      <c r="BC52" s="11"/>
      <c r="BD52" s="11"/>
      <c r="BE52" s="11"/>
      <c r="BF52" s="11"/>
      <c r="BG52" s="11"/>
      <c r="BH52" s="11"/>
      <c r="BI52" s="11"/>
      <c r="BJ52" s="11"/>
      <c r="BK52" s="11"/>
      <c r="BL52" s="11"/>
      <c r="BM52" s="11"/>
      <c r="BN52" s="11"/>
      <c r="BO52" s="11"/>
      <c r="BP52" s="11"/>
      <c r="BQ52" s="11"/>
      <c r="BR52" s="11"/>
      <c r="BS52" s="11"/>
      <c r="BT52" s="11"/>
      <c r="BU52" s="11"/>
      <c r="BV52" s="11"/>
      <c r="BW52" s="11"/>
      <c r="BX52" s="11"/>
      <c r="BY52" s="11"/>
      <c r="BZ52" s="11"/>
      <c r="CA52" s="11"/>
      <c r="CB52" s="11"/>
      <c r="CC52" s="11"/>
      <c r="CD52" s="11"/>
      <c r="CE52" s="11"/>
      <c r="CF52" s="11"/>
      <c r="CG52" s="11"/>
      <c r="CH52" s="11"/>
      <c r="CI52" s="11"/>
      <c r="CJ52" s="11"/>
      <c r="CK52" s="11"/>
      <c r="CL52" s="11"/>
      <c r="CM52" s="11"/>
      <c r="CN52" s="11"/>
      <c r="CO52" s="11"/>
      <c r="CP52" s="11"/>
      <c r="CQ52" s="11"/>
      <c r="CR52" s="11"/>
      <c r="CS52" s="11"/>
      <c r="CT52" s="11"/>
      <c r="CU52" s="11"/>
      <c r="CV52" s="11"/>
      <c r="CW52" s="11"/>
      <c r="CX52" s="11"/>
      <c r="CY52" s="11"/>
      <c r="CZ52" s="11"/>
      <c r="DA52" s="11"/>
      <c r="DB52" s="11"/>
      <c r="DC52" s="11"/>
      <c r="DD52" s="11"/>
      <c r="DE52" s="11"/>
      <c r="DF52" s="11"/>
      <c r="DG52" s="11"/>
      <c r="DH52" s="11"/>
      <c r="DI52" s="11"/>
      <c r="DJ52" s="11"/>
      <c r="DK52" s="11"/>
      <c r="DL52" s="11"/>
      <c r="DM52" s="11"/>
      <c r="DN52" s="11"/>
      <c r="DO52" s="11"/>
      <c r="DP52" s="11"/>
      <c r="DQ52" s="11"/>
      <c r="DR52" s="11"/>
      <c r="DS52" s="11"/>
      <c r="DT52" s="11"/>
      <c r="DU52" s="11"/>
      <c r="DV52" s="11"/>
      <c r="DW52" s="11"/>
      <c r="DX52" s="11"/>
      <c r="DY52" s="11"/>
      <c r="DZ52" s="11"/>
      <c r="EA52" s="11"/>
      <c r="EB52" s="11"/>
      <c r="EC52" s="11"/>
      <c r="ED52" s="11"/>
      <c r="EE52" s="11"/>
      <c r="EF52" s="11"/>
      <c r="EG52" s="11"/>
      <c r="EH52" s="11"/>
      <c r="EI52" s="11"/>
      <c r="EJ52" s="11"/>
      <c r="EK52" s="11"/>
      <c r="EL52" s="11"/>
      <c r="EM52" s="11"/>
      <c r="EN52" s="11"/>
      <c r="EO52" s="11"/>
      <c r="EP52" s="11"/>
      <c r="EQ52" s="11"/>
      <c r="ER52" s="11"/>
      <c r="ES52" s="11"/>
      <c r="ET52" s="11"/>
      <c r="EU52" s="11"/>
      <c r="EV52" s="11"/>
      <c r="EW52" s="11"/>
      <c r="EX52" s="11"/>
      <c r="EY52" s="11"/>
      <c r="EZ52" s="11"/>
      <c r="FA52" s="11"/>
      <c r="FB52" s="11"/>
      <c r="FC52" s="11"/>
      <c r="FD52" s="11"/>
      <c r="FE52" s="11"/>
      <c r="FF52" s="11"/>
      <c r="FG52" s="11"/>
      <c r="FH52" s="11"/>
      <c r="FI52" s="11"/>
      <c r="FJ52" s="11"/>
      <c r="FK52" s="11"/>
      <c r="FL52" s="11"/>
      <c r="FM52" s="11"/>
      <c r="FN52" s="11"/>
      <c r="FO52" s="11"/>
      <c r="FP52" s="11"/>
      <c r="FQ52" s="11"/>
      <c r="FR52" s="11"/>
      <c r="FS52" s="11"/>
      <c r="FT52" s="11"/>
      <c r="FU52" s="11"/>
      <c r="FV52" s="11"/>
      <c r="FW52" s="11"/>
      <c r="FX52" s="11"/>
      <c r="FY52" s="11"/>
      <c r="FZ52" s="11"/>
      <c r="GA52" s="11"/>
      <c r="GB52" s="11"/>
      <c r="GC52" s="11"/>
      <c r="GD52" s="11"/>
      <c r="GE52" s="11"/>
      <c r="GF52" s="11"/>
      <c r="GG52" s="11"/>
      <c r="GH52" s="11"/>
      <c r="GI52" s="11"/>
      <c r="GJ52" s="11"/>
      <c r="GK52" s="11"/>
      <c r="GL52" s="11"/>
      <c r="GM52" s="11"/>
      <c r="GN52" s="11"/>
      <c r="GO52" s="11"/>
      <c r="GP52" s="11"/>
      <c r="GQ52" s="11"/>
      <c r="GR52" s="11"/>
      <c r="GS52" s="11"/>
      <c r="GT52" s="11"/>
      <c r="GU52" s="11"/>
      <c r="GV52" s="11"/>
      <c r="GW52" s="11"/>
      <c r="GX52" s="11"/>
      <c r="GY52" s="11"/>
      <c r="GZ52" s="11"/>
      <c r="HA52" s="11"/>
      <c r="HB52" s="11"/>
      <c r="HC52" s="11"/>
      <c r="HD52" s="11"/>
      <c r="HE52" s="11"/>
      <c r="HF52" s="11"/>
      <c r="HG52" s="11"/>
      <c r="HH52" s="11"/>
      <c r="HI52" s="11"/>
      <c r="HJ52" s="11"/>
      <c r="HK52" s="11"/>
      <c r="HL52" s="11"/>
      <c r="HM52" s="11"/>
      <c r="HN52" s="11"/>
      <c r="HO52" s="11"/>
      <c r="HP52" s="11"/>
      <c r="HQ52" s="11"/>
      <c r="HR52" s="11"/>
      <c r="HS52" s="11"/>
      <c r="HT52" s="11"/>
      <c r="HU52" s="11"/>
    </row>
    <row r="53" spans="1:229" s="12" customFormat="1" ht="26.4">
      <c r="A53" s="250"/>
      <c r="B53" s="10"/>
      <c r="C53" s="19"/>
      <c r="D53" s="204"/>
      <c r="E53" s="204" t="s">
        <v>123</v>
      </c>
      <c r="F53" s="272" t="s">
        <v>272</v>
      </c>
      <c r="G53" s="170"/>
      <c r="H53" s="165"/>
      <c r="I53" s="165"/>
      <c r="J53" s="165"/>
      <c r="K53" s="165"/>
      <c r="L53" s="165"/>
      <c r="M53" s="165"/>
      <c r="N53" s="165"/>
      <c r="O53" s="165"/>
      <c r="P53" s="165"/>
      <c r="Q53" s="165"/>
      <c r="R53" s="165"/>
      <c r="S53" s="165"/>
      <c r="T53" s="165"/>
      <c r="U53" s="165"/>
      <c r="V53" s="165"/>
      <c r="W53" s="165"/>
      <c r="X53" s="165"/>
      <c r="Y53" s="165"/>
      <c r="Z53" s="165"/>
      <c r="AA53" s="11"/>
      <c r="AB53" s="11"/>
      <c r="AC53" s="11"/>
      <c r="AD53" s="11"/>
      <c r="AE53" s="11"/>
      <c r="AF53" s="11"/>
      <c r="AG53" s="11"/>
      <c r="AH53" s="11"/>
      <c r="AI53" s="11"/>
      <c r="AJ53" s="11"/>
      <c r="AK53" s="11"/>
      <c r="AL53" s="11"/>
      <c r="AM53" s="11"/>
      <c r="AN53" s="11"/>
      <c r="AO53" s="11"/>
      <c r="AP53" s="11"/>
      <c r="AQ53" s="11"/>
      <c r="AR53" s="11"/>
      <c r="AS53" s="11"/>
      <c r="AT53" s="11"/>
      <c r="AU53" s="11"/>
      <c r="AV53" s="11"/>
      <c r="AW53" s="11"/>
      <c r="AX53" s="11"/>
      <c r="AY53" s="11"/>
      <c r="AZ53" s="11"/>
      <c r="BA53" s="11"/>
      <c r="BB53" s="11"/>
      <c r="BC53" s="11"/>
      <c r="BD53" s="11"/>
      <c r="BE53" s="11"/>
      <c r="BF53" s="11"/>
      <c r="BG53" s="11"/>
      <c r="BH53" s="11"/>
      <c r="BI53" s="11"/>
      <c r="BJ53" s="11"/>
      <c r="BK53" s="11"/>
      <c r="BL53" s="11"/>
      <c r="BM53" s="11"/>
      <c r="BN53" s="11"/>
      <c r="BO53" s="11"/>
      <c r="BP53" s="11"/>
      <c r="BQ53" s="11"/>
      <c r="BR53" s="11"/>
      <c r="BS53" s="11"/>
      <c r="BT53" s="11"/>
      <c r="BU53" s="11"/>
      <c r="BV53" s="11"/>
      <c r="BW53" s="11"/>
      <c r="BX53" s="11"/>
      <c r="BY53" s="11"/>
      <c r="BZ53" s="11"/>
      <c r="CA53" s="11"/>
      <c r="CB53" s="11"/>
      <c r="CC53" s="11"/>
      <c r="CD53" s="11"/>
      <c r="CE53" s="11"/>
      <c r="CF53" s="11"/>
      <c r="CG53" s="11"/>
      <c r="CH53" s="11"/>
      <c r="CI53" s="11"/>
      <c r="CJ53" s="11"/>
      <c r="CK53" s="11"/>
      <c r="CL53" s="11"/>
      <c r="CM53" s="11"/>
      <c r="CN53" s="11"/>
      <c r="CO53" s="11"/>
      <c r="CP53" s="11"/>
      <c r="CQ53" s="11"/>
      <c r="CR53" s="11"/>
      <c r="CS53" s="11"/>
      <c r="CT53" s="11"/>
      <c r="CU53" s="11"/>
      <c r="CV53" s="11"/>
      <c r="CW53" s="11"/>
      <c r="CX53" s="11"/>
      <c r="CY53" s="11"/>
      <c r="CZ53" s="11"/>
      <c r="DA53" s="11"/>
      <c r="DB53" s="11"/>
      <c r="DC53" s="11"/>
      <c r="DD53" s="11"/>
      <c r="DE53" s="11"/>
      <c r="DF53" s="11"/>
      <c r="DG53" s="11"/>
      <c r="DH53" s="11"/>
      <c r="DI53" s="11"/>
      <c r="DJ53" s="11"/>
      <c r="DK53" s="11"/>
      <c r="DL53" s="11"/>
      <c r="DM53" s="11"/>
      <c r="DN53" s="11"/>
      <c r="DO53" s="11"/>
      <c r="DP53" s="11"/>
      <c r="DQ53" s="11"/>
      <c r="DR53" s="11"/>
      <c r="DS53" s="11"/>
      <c r="DT53" s="11"/>
      <c r="DU53" s="11"/>
      <c r="DV53" s="11"/>
      <c r="DW53" s="11"/>
      <c r="DX53" s="11"/>
      <c r="DY53" s="11"/>
      <c r="DZ53" s="11"/>
      <c r="EA53" s="11"/>
      <c r="EB53" s="11"/>
      <c r="EC53" s="11"/>
      <c r="ED53" s="11"/>
      <c r="EE53" s="11"/>
      <c r="EF53" s="11"/>
      <c r="EG53" s="11"/>
      <c r="EH53" s="11"/>
      <c r="EI53" s="11"/>
      <c r="EJ53" s="11"/>
      <c r="EK53" s="11"/>
      <c r="EL53" s="11"/>
      <c r="EM53" s="11"/>
      <c r="EN53" s="11"/>
      <c r="EO53" s="11"/>
      <c r="EP53" s="11"/>
      <c r="EQ53" s="11"/>
      <c r="ER53" s="11"/>
      <c r="ES53" s="11"/>
      <c r="ET53" s="11"/>
      <c r="EU53" s="11"/>
      <c r="EV53" s="11"/>
      <c r="EW53" s="11"/>
      <c r="EX53" s="11"/>
      <c r="EY53" s="11"/>
      <c r="EZ53" s="11"/>
      <c r="FA53" s="11"/>
      <c r="FB53" s="11"/>
      <c r="FC53" s="11"/>
      <c r="FD53" s="11"/>
      <c r="FE53" s="11"/>
      <c r="FF53" s="11"/>
      <c r="FG53" s="11"/>
      <c r="FH53" s="11"/>
      <c r="FI53" s="11"/>
      <c r="FJ53" s="11"/>
      <c r="FK53" s="11"/>
      <c r="FL53" s="11"/>
      <c r="FM53" s="11"/>
      <c r="FN53" s="11"/>
      <c r="FO53" s="11"/>
      <c r="FP53" s="11"/>
      <c r="FQ53" s="11"/>
      <c r="FR53" s="11"/>
      <c r="FS53" s="11"/>
      <c r="FT53" s="11"/>
      <c r="FU53" s="11"/>
      <c r="FV53" s="11"/>
      <c r="FW53" s="11"/>
      <c r="FX53" s="11"/>
      <c r="FY53" s="11"/>
      <c r="FZ53" s="11"/>
      <c r="GA53" s="11"/>
      <c r="GB53" s="11"/>
      <c r="GC53" s="11"/>
      <c r="GD53" s="11"/>
      <c r="GE53" s="11"/>
      <c r="GF53" s="11"/>
      <c r="GG53" s="11"/>
      <c r="GH53" s="11"/>
      <c r="GI53" s="11"/>
      <c r="GJ53" s="11"/>
      <c r="GK53" s="11"/>
      <c r="GL53" s="11"/>
      <c r="GM53" s="11"/>
      <c r="GN53" s="11"/>
      <c r="GO53" s="11"/>
      <c r="GP53" s="11"/>
      <c r="GQ53" s="11"/>
      <c r="GR53" s="11"/>
      <c r="GS53" s="11"/>
      <c r="GT53" s="11"/>
      <c r="GU53" s="11"/>
      <c r="GV53" s="11"/>
      <c r="GW53" s="11"/>
      <c r="GX53" s="11"/>
      <c r="GY53" s="11"/>
      <c r="GZ53" s="11"/>
      <c r="HA53" s="11"/>
      <c r="HB53" s="11"/>
      <c r="HC53" s="11"/>
      <c r="HD53" s="11"/>
      <c r="HE53" s="11"/>
      <c r="HF53" s="11"/>
      <c r="HG53" s="11"/>
      <c r="HH53" s="11"/>
      <c r="HI53" s="11"/>
      <c r="HJ53" s="11"/>
      <c r="HK53" s="11"/>
      <c r="HL53" s="11"/>
      <c r="HM53" s="11"/>
      <c r="HN53" s="11"/>
      <c r="HO53" s="11"/>
      <c r="HP53" s="11"/>
      <c r="HQ53" s="11"/>
      <c r="HR53" s="11"/>
      <c r="HS53" s="11"/>
      <c r="HT53" s="11"/>
      <c r="HU53" s="11"/>
    </row>
    <row r="54" spans="1:229" s="12" customFormat="1" ht="26.4">
      <c r="A54" s="250"/>
      <c r="B54" s="10"/>
      <c r="C54" s="19"/>
      <c r="D54" s="204"/>
      <c r="E54" s="204" t="s">
        <v>123</v>
      </c>
      <c r="F54" s="272" t="s">
        <v>273</v>
      </c>
      <c r="G54" s="170"/>
      <c r="H54" s="165"/>
      <c r="I54" s="165"/>
      <c r="J54" s="165"/>
      <c r="K54" s="165"/>
      <c r="L54" s="165"/>
      <c r="M54" s="165"/>
      <c r="N54" s="165"/>
      <c r="O54" s="165"/>
      <c r="P54" s="165"/>
      <c r="Q54" s="165"/>
      <c r="R54" s="165"/>
      <c r="S54" s="165"/>
      <c r="T54" s="165"/>
      <c r="U54" s="165"/>
      <c r="V54" s="165"/>
      <c r="W54" s="165"/>
      <c r="X54" s="165"/>
      <c r="Y54" s="165"/>
      <c r="Z54" s="165"/>
      <c r="AA54" s="11"/>
      <c r="AB54" s="11"/>
      <c r="AC54" s="11"/>
      <c r="AD54" s="11"/>
      <c r="AE54" s="11"/>
      <c r="AF54" s="11"/>
      <c r="AG54" s="11"/>
      <c r="AH54" s="11"/>
      <c r="AI54" s="11"/>
      <c r="AJ54" s="11"/>
      <c r="AK54" s="11"/>
      <c r="AL54" s="11"/>
      <c r="AM54" s="11"/>
      <c r="AN54" s="11"/>
      <c r="AO54" s="11"/>
      <c r="AP54" s="11"/>
      <c r="AQ54" s="11"/>
      <c r="AR54" s="11"/>
      <c r="AS54" s="11"/>
      <c r="AT54" s="11"/>
      <c r="AU54" s="11"/>
      <c r="AV54" s="11"/>
      <c r="AW54" s="11"/>
      <c r="AX54" s="11"/>
      <c r="AY54" s="11"/>
      <c r="AZ54" s="11"/>
      <c r="BA54" s="11"/>
      <c r="BB54" s="11"/>
      <c r="BC54" s="11"/>
      <c r="BD54" s="11"/>
      <c r="BE54" s="11"/>
      <c r="BF54" s="11"/>
      <c r="BG54" s="11"/>
      <c r="BH54" s="11"/>
      <c r="BI54" s="11"/>
      <c r="BJ54" s="11"/>
      <c r="BK54" s="11"/>
      <c r="BL54" s="11"/>
      <c r="BM54" s="11"/>
      <c r="BN54" s="11"/>
      <c r="BO54" s="11"/>
      <c r="BP54" s="11"/>
      <c r="BQ54" s="11"/>
      <c r="BR54" s="11"/>
      <c r="BS54" s="11"/>
      <c r="BT54" s="11"/>
      <c r="BU54" s="11"/>
      <c r="BV54" s="11"/>
      <c r="BW54" s="11"/>
      <c r="BX54" s="11"/>
      <c r="BY54" s="11"/>
      <c r="BZ54" s="11"/>
      <c r="CA54" s="11"/>
      <c r="CB54" s="11"/>
      <c r="CC54" s="11"/>
      <c r="CD54" s="11"/>
      <c r="CE54" s="11"/>
      <c r="CF54" s="11"/>
      <c r="CG54" s="11"/>
      <c r="CH54" s="11"/>
      <c r="CI54" s="11"/>
      <c r="CJ54" s="11"/>
      <c r="CK54" s="11"/>
      <c r="CL54" s="11"/>
      <c r="CM54" s="11"/>
      <c r="CN54" s="11"/>
      <c r="CO54" s="11"/>
      <c r="CP54" s="11"/>
      <c r="CQ54" s="11"/>
      <c r="CR54" s="11"/>
      <c r="CS54" s="11"/>
      <c r="CT54" s="11"/>
      <c r="CU54" s="11"/>
      <c r="CV54" s="11"/>
      <c r="CW54" s="11"/>
      <c r="CX54" s="11"/>
      <c r="CY54" s="11"/>
      <c r="CZ54" s="11"/>
      <c r="DA54" s="11"/>
      <c r="DB54" s="11"/>
      <c r="DC54" s="11"/>
      <c r="DD54" s="11"/>
      <c r="DE54" s="11"/>
      <c r="DF54" s="11"/>
      <c r="DG54" s="11"/>
      <c r="DH54" s="11"/>
      <c r="DI54" s="11"/>
      <c r="DJ54" s="11"/>
      <c r="DK54" s="11"/>
      <c r="DL54" s="11"/>
      <c r="DM54" s="11"/>
      <c r="DN54" s="11"/>
      <c r="DO54" s="11"/>
      <c r="DP54" s="11"/>
      <c r="DQ54" s="11"/>
      <c r="DR54" s="11"/>
      <c r="DS54" s="11"/>
      <c r="DT54" s="11"/>
      <c r="DU54" s="11"/>
      <c r="DV54" s="11"/>
      <c r="DW54" s="11"/>
      <c r="DX54" s="11"/>
      <c r="DY54" s="11"/>
      <c r="DZ54" s="11"/>
      <c r="EA54" s="11"/>
      <c r="EB54" s="11"/>
      <c r="EC54" s="11"/>
      <c r="ED54" s="11"/>
      <c r="EE54" s="11"/>
      <c r="EF54" s="11"/>
      <c r="EG54" s="11"/>
      <c r="EH54" s="11"/>
      <c r="EI54" s="11"/>
      <c r="EJ54" s="11"/>
      <c r="EK54" s="11"/>
      <c r="EL54" s="11"/>
      <c r="EM54" s="11"/>
      <c r="EN54" s="11"/>
      <c r="EO54" s="11"/>
      <c r="EP54" s="11"/>
      <c r="EQ54" s="11"/>
      <c r="ER54" s="11"/>
      <c r="ES54" s="11"/>
      <c r="ET54" s="11"/>
      <c r="EU54" s="11"/>
      <c r="EV54" s="11"/>
      <c r="EW54" s="11"/>
      <c r="EX54" s="11"/>
      <c r="EY54" s="11"/>
      <c r="EZ54" s="11"/>
      <c r="FA54" s="11"/>
      <c r="FB54" s="11"/>
      <c r="FC54" s="11"/>
      <c r="FD54" s="11"/>
      <c r="FE54" s="11"/>
      <c r="FF54" s="11"/>
      <c r="FG54" s="11"/>
      <c r="FH54" s="11"/>
      <c r="FI54" s="11"/>
      <c r="FJ54" s="11"/>
      <c r="FK54" s="11"/>
      <c r="FL54" s="11"/>
      <c r="FM54" s="11"/>
      <c r="FN54" s="11"/>
      <c r="FO54" s="11"/>
      <c r="FP54" s="11"/>
      <c r="FQ54" s="11"/>
      <c r="FR54" s="11"/>
      <c r="FS54" s="11"/>
      <c r="FT54" s="11"/>
      <c r="FU54" s="11"/>
      <c r="FV54" s="11"/>
      <c r="FW54" s="11"/>
      <c r="FX54" s="11"/>
      <c r="FY54" s="11"/>
      <c r="FZ54" s="11"/>
      <c r="GA54" s="11"/>
      <c r="GB54" s="11"/>
      <c r="GC54" s="11"/>
      <c r="GD54" s="11"/>
      <c r="GE54" s="11"/>
      <c r="GF54" s="11"/>
      <c r="GG54" s="11"/>
      <c r="GH54" s="11"/>
      <c r="GI54" s="11"/>
      <c r="GJ54" s="11"/>
      <c r="GK54" s="11"/>
      <c r="GL54" s="11"/>
      <c r="GM54" s="11"/>
      <c r="GN54" s="11"/>
      <c r="GO54" s="11"/>
      <c r="GP54" s="11"/>
      <c r="GQ54" s="11"/>
      <c r="GR54" s="11"/>
      <c r="GS54" s="11"/>
      <c r="GT54" s="11"/>
      <c r="GU54" s="11"/>
      <c r="GV54" s="11"/>
      <c r="GW54" s="11"/>
      <c r="GX54" s="11"/>
      <c r="GY54" s="11"/>
      <c r="GZ54" s="11"/>
      <c r="HA54" s="11"/>
      <c r="HB54" s="11"/>
      <c r="HC54" s="11"/>
      <c r="HD54" s="11"/>
      <c r="HE54" s="11"/>
      <c r="HF54" s="11"/>
      <c r="HG54" s="11"/>
      <c r="HH54" s="11"/>
      <c r="HI54" s="11"/>
      <c r="HJ54" s="11"/>
      <c r="HK54" s="11"/>
      <c r="HL54" s="11"/>
      <c r="HM54" s="11"/>
      <c r="HN54" s="11"/>
      <c r="HO54" s="11"/>
      <c r="HP54" s="11"/>
      <c r="HQ54" s="11"/>
      <c r="HR54" s="11"/>
      <c r="HS54" s="11"/>
      <c r="HT54" s="11"/>
      <c r="HU54" s="11"/>
    </row>
    <row r="55" spans="1:229" s="12" customFormat="1" ht="39.6">
      <c r="A55" s="250"/>
      <c r="B55" s="10"/>
      <c r="C55" s="19"/>
      <c r="D55" s="204"/>
      <c r="E55" s="204" t="s">
        <v>123</v>
      </c>
      <c r="F55" s="272" t="s">
        <v>274</v>
      </c>
      <c r="G55" s="170"/>
      <c r="H55" s="165"/>
      <c r="I55" s="165"/>
      <c r="J55" s="165"/>
      <c r="K55" s="165"/>
      <c r="L55" s="165"/>
      <c r="M55" s="165"/>
      <c r="N55" s="165"/>
      <c r="O55" s="165"/>
      <c r="P55" s="165"/>
      <c r="Q55" s="165"/>
      <c r="R55" s="165"/>
      <c r="S55" s="165"/>
      <c r="T55" s="165"/>
      <c r="U55" s="165"/>
      <c r="V55" s="165"/>
      <c r="W55" s="165"/>
      <c r="X55" s="165"/>
      <c r="Y55" s="165"/>
      <c r="Z55" s="165"/>
      <c r="AA55" s="11"/>
      <c r="AB55" s="11"/>
      <c r="AC55" s="11"/>
      <c r="AD55" s="11"/>
      <c r="AE55" s="11"/>
      <c r="AF55" s="11"/>
      <c r="AG55" s="11"/>
      <c r="AH55" s="11"/>
      <c r="AI55" s="11"/>
      <c r="AJ55" s="11"/>
      <c r="AK55" s="11"/>
      <c r="AL55" s="11"/>
      <c r="AM55" s="11"/>
      <c r="AN55" s="11"/>
      <c r="AO55" s="11"/>
      <c r="AP55" s="11"/>
      <c r="AQ55" s="11"/>
      <c r="AR55" s="11"/>
      <c r="AS55" s="11"/>
      <c r="AT55" s="11"/>
      <c r="AU55" s="11"/>
      <c r="AV55" s="11"/>
      <c r="AW55" s="11"/>
      <c r="AX55" s="11"/>
      <c r="AY55" s="11"/>
      <c r="AZ55" s="11"/>
      <c r="BA55" s="11"/>
      <c r="BB55" s="11"/>
      <c r="BC55" s="11"/>
      <c r="BD55" s="11"/>
      <c r="BE55" s="11"/>
      <c r="BF55" s="11"/>
      <c r="BG55" s="11"/>
      <c r="BH55" s="11"/>
      <c r="BI55" s="11"/>
      <c r="BJ55" s="11"/>
      <c r="BK55" s="11"/>
      <c r="BL55" s="11"/>
      <c r="BM55" s="11"/>
      <c r="BN55" s="11"/>
      <c r="BO55" s="11"/>
      <c r="BP55" s="11"/>
      <c r="BQ55" s="11"/>
      <c r="BR55" s="11"/>
      <c r="BS55" s="11"/>
      <c r="BT55" s="11"/>
      <c r="BU55" s="11"/>
      <c r="BV55" s="11"/>
      <c r="BW55" s="11"/>
      <c r="BX55" s="11"/>
      <c r="BY55" s="11"/>
      <c r="BZ55" s="11"/>
      <c r="CA55" s="11"/>
      <c r="CB55" s="11"/>
      <c r="CC55" s="11"/>
      <c r="CD55" s="11"/>
      <c r="CE55" s="11"/>
      <c r="CF55" s="11"/>
      <c r="CG55" s="11"/>
      <c r="CH55" s="11"/>
      <c r="CI55" s="11"/>
      <c r="CJ55" s="11"/>
      <c r="CK55" s="11"/>
      <c r="CL55" s="11"/>
      <c r="CM55" s="11"/>
      <c r="CN55" s="11"/>
      <c r="CO55" s="11"/>
      <c r="CP55" s="11"/>
      <c r="CQ55" s="11"/>
      <c r="CR55" s="11"/>
      <c r="CS55" s="11"/>
      <c r="CT55" s="11"/>
      <c r="CU55" s="11"/>
      <c r="CV55" s="11"/>
      <c r="CW55" s="11"/>
      <c r="CX55" s="11"/>
      <c r="CY55" s="11"/>
      <c r="CZ55" s="11"/>
      <c r="DA55" s="11"/>
      <c r="DB55" s="11"/>
      <c r="DC55" s="11"/>
      <c r="DD55" s="11"/>
      <c r="DE55" s="11"/>
      <c r="DF55" s="11"/>
      <c r="DG55" s="11"/>
      <c r="DH55" s="11"/>
      <c r="DI55" s="11"/>
      <c r="DJ55" s="11"/>
      <c r="DK55" s="11"/>
      <c r="DL55" s="11"/>
      <c r="DM55" s="11"/>
      <c r="DN55" s="11"/>
      <c r="DO55" s="11"/>
      <c r="DP55" s="11"/>
      <c r="DQ55" s="11"/>
      <c r="DR55" s="11"/>
      <c r="DS55" s="11"/>
      <c r="DT55" s="11"/>
      <c r="DU55" s="11"/>
      <c r="DV55" s="11"/>
      <c r="DW55" s="11"/>
      <c r="DX55" s="11"/>
      <c r="DY55" s="11"/>
      <c r="DZ55" s="11"/>
      <c r="EA55" s="11"/>
      <c r="EB55" s="11"/>
      <c r="EC55" s="11"/>
      <c r="ED55" s="11"/>
      <c r="EE55" s="11"/>
      <c r="EF55" s="11"/>
      <c r="EG55" s="11"/>
      <c r="EH55" s="11"/>
      <c r="EI55" s="11"/>
      <c r="EJ55" s="11"/>
      <c r="EK55" s="11"/>
      <c r="EL55" s="11"/>
      <c r="EM55" s="11"/>
      <c r="EN55" s="11"/>
      <c r="EO55" s="11"/>
      <c r="EP55" s="11"/>
      <c r="EQ55" s="11"/>
      <c r="ER55" s="11"/>
      <c r="ES55" s="11"/>
      <c r="ET55" s="11"/>
      <c r="EU55" s="11"/>
      <c r="EV55" s="11"/>
      <c r="EW55" s="11"/>
      <c r="EX55" s="11"/>
      <c r="EY55" s="11"/>
      <c r="EZ55" s="11"/>
      <c r="FA55" s="11"/>
      <c r="FB55" s="11"/>
      <c r="FC55" s="11"/>
      <c r="FD55" s="11"/>
      <c r="FE55" s="11"/>
      <c r="FF55" s="11"/>
      <c r="FG55" s="11"/>
      <c r="FH55" s="11"/>
      <c r="FI55" s="11"/>
      <c r="FJ55" s="11"/>
      <c r="FK55" s="11"/>
      <c r="FL55" s="11"/>
      <c r="FM55" s="11"/>
      <c r="FN55" s="11"/>
      <c r="FO55" s="11"/>
      <c r="FP55" s="11"/>
      <c r="FQ55" s="11"/>
      <c r="FR55" s="11"/>
      <c r="FS55" s="11"/>
      <c r="FT55" s="11"/>
      <c r="FU55" s="11"/>
      <c r="FV55" s="11"/>
      <c r="FW55" s="11"/>
      <c r="FX55" s="11"/>
      <c r="FY55" s="11"/>
      <c r="FZ55" s="11"/>
      <c r="GA55" s="11"/>
      <c r="GB55" s="11"/>
      <c r="GC55" s="11"/>
      <c r="GD55" s="11"/>
      <c r="GE55" s="11"/>
      <c r="GF55" s="11"/>
      <c r="GG55" s="11"/>
      <c r="GH55" s="11"/>
      <c r="GI55" s="11"/>
      <c r="GJ55" s="11"/>
      <c r="GK55" s="11"/>
      <c r="GL55" s="11"/>
      <c r="GM55" s="11"/>
      <c r="GN55" s="11"/>
      <c r="GO55" s="11"/>
      <c r="GP55" s="11"/>
      <c r="GQ55" s="11"/>
      <c r="GR55" s="11"/>
      <c r="GS55" s="11"/>
      <c r="GT55" s="11"/>
      <c r="GU55" s="11"/>
      <c r="GV55" s="11"/>
      <c r="GW55" s="11"/>
      <c r="GX55" s="11"/>
      <c r="GY55" s="11"/>
      <c r="GZ55" s="11"/>
      <c r="HA55" s="11"/>
      <c r="HB55" s="11"/>
      <c r="HC55" s="11"/>
      <c r="HD55" s="11"/>
      <c r="HE55" s="11"/>
      <c r="HF55" s="11"/>
      <c r="HG55" s="11"/>
      <c r="HH55" s="11"/>
      <c r="HI55" s="11"/>
      <c r="HJ55" s="11"/>
      <c r="HK55" s="11"/>
      <c r="HL55" s="11"/>
      <c r="HM55" s="11"/>
      <c r="HN55" s="11"/>
      <c r="HO55" s="11"/>
      <c r="HP55" s="11"/>
      <c r="HQ55" s="11"/>
      <c r="HR55" s="11"/>
      <c r="HS55" s="11"/>
      <c r="HT55" s="11"/>
      <c r="HU55" s="11"/>
    </row>
    <row r="56" spans="1:229" s="12" customFormat="1" ht="40.049999999999997" customHeight="1">
      <c r="A56" s="250"/>
      <c r="B56" s="10"/>
      <c r="C56" s="19"/>
      <c r="D56" s="204" t="s">
        <v>123</v>
      </c>
      <c r="E56" s="337" t="s">
        <v>278</v>
      </c>
      <c r="F56" s="337"/>
      <c r="G56" s="170"/>
      <c r="H56" s="165"/>
      <c r="I56" s="165"/>
      <c r="J56" s="165"/>
      <c r="K56" s="165"/>
      <c r="L56" s="165"/>
      <c r="M56" s="165"/>
      <c r="N56" s="165"/>
      <c r="O56" s="165"/>
      <c r="P56" s="165"/>
      <c r="Q56" s="165"/>
      <c r="R56" s="165"/>
      <c r="S56" s="165"/>
      <c r="T56" s="165"/>
      <c r="U56" s="165"/>
      <c r="V56" s="165"/>
      <c r="W56" s="165"/>
      <c r="X56" s="165"/>
      <c r="Y56" s="165"/>
      <c r="Z56" s="165"/>
      <c r="AA56" s="11"/>
      <c r="AB56" s="11"/>
      <c r="AC56" s="11"/>
      <c r="AD56" s="11"/>
      <c r="AE56" s="11"/>
      <c r="AF56" s="11"/>
      <c r="AG56" s="11"/>
      <c r="AH56" s="11"/>
      <c r="AI56" s="11"/>
      <c r="AJ56" s="11"/>
      <c r="AK56" s="11"/>
      <c r="AL56" s="11"/>
      <c r="AM56" s="11"/>
      <c r="AN56" s="11"/>
      <c r="AO56" s="11"/>
      <c r="AP56" s="11"/>
      <c r="AQ56" s="11"/>
      <c r="AR56" s="11"/>
      <c r="AS56" s="11"/>
      <c r="AT56" s="11"/>
      <c r="AU56" s="11"/>
      <c r="AV56" s="11"/>
      <c r="AW56" s="11"/>
      <c r="AX56" s="11"/>
      <c r="AY56" s="11"/>
      <c r="AZ56" s="11"/>
      <c r="BA56" s="11"/>
      <c r="BB56" s="11"/>
      <c r="BC56" s="11"/>
      <c r="BD56" s="11"/>
      <c r="BE56" s="11"/>
      <c r="BF56" s="11"/>
      <c r="BG56" s="11"/>
      <c r="BH56" s="11"/>
      <c r="BI56" s="11"/>
      <c r="BJ56" s="11"/>
      <c r="BK56" s="11"/>
      <c r="BL56" s="11"/>
      <c r="BM56" s="11"/>
      <c r="BN56" s="11"/>
      <c r="BO56" s="11"/>
      <c r="BP56" s="11"/>
      <c r="BQ56" s="11"/>
      <c r="BR56" s="11"/>
      <c r="BS56" s="11"/>
      <c r="BT56" s="11"/>
      <c r="BU56" s="11"/>
      <c r="BV56" s="11"/>
      <c r="BW56" s="11"/>
      <c r="BX56" s="11"/>
      <c r="BY56" s="11"/>
      <c r="BZ56" s="11"/>
      <c r="CA56" s="11"/>
      <c r="CB56" s="11"/>
      <c r="CC56" s="11"/>
      <c r="CD56" s="11"/>
      <c r="CE56" s="11"/>
      <c r="CF56" s="11"/>
      <c r="CG56" s="11"/>
      <c r="CH56" s="11"/>
      <c r="CI56" s="11"/>
      <c r="CJ56" s="11"/>
      <c r="CK56" s="11"/>
      <c r="CL56" s="11"/>
      <c r="CM56" s="11"/>
      <c r="CN56" s="11"/>
      <c r="CO56" s="11"/>
      <c r="CP56" s="11"/>
      <c r="CQ56" s="11"/>
      <c r="CR56" s="11"/>
      <c r="CS56" s="11"/>
      <c r="CT56" s="11"/>
      <c r="CU56" s="11"/>
      <c r="CV56" s="11"/>
      <c r="CW56" s="11"/>
      <c r="CX56" s="11"/>
      <c r="CY56" s="11"/>
      <c r="CZ56" s="11"/>
      <c r="DA56" s="11"/>
      <c r="DB56" s="11"/>
      <c r="DC56" s="11"/>
      <c r="DD56" s="11"/>
      <c r="DE56" s="11"/>
      <c r="DF56" s="11"/>
      <c r="DG56" s="11"/>
      <c r="DH56" s="11"/>
      <c r="DI56" s="11"/>
      <c r="DJ56" s="11"/>
      <c r="DK56" s="11"/>
      <c r="DL56" s="11"/>
      <c r="DM56" s="11"/>
      <c r="DN56" s="11"/>
      <c r="DO56" s="11"/>
      <c r="DP56" s="11"/>
      <c r="DQ56" s="11"/>
      <c r="DR56" s="11"/>
      <c r="DS56" s="11"/>
      <c r="DT56" s="11"/>
      <c r="DU56" s="11"/>
      <c r="DV56" s="11"/>
      <c r="DW56" s="11"/>
      <c r="DX56" s="11"/>
      <c r="DY56" s="11"/>
      <c r="DZ56" s="11"/>
      <c r="EA56" s="11"/>
      <c r="EB56" s="11"/>
      <c r="EC56" s="11"/>
      <c r="ED56" s="11"/>
      <c r="EE56" s="11"/>
      <c r="EF56" s="11"/>
      <c r="EG56" s="11"/>
      <c r="EH56" s="11"/>
      <c r="EI56" s="11"/>
      <c r="EJ56" s="11"/>
      <c r="EK56" s="11"/>
      <c r="EL56" s="11"/>
      <c r="EM56" s="11"/>
      <c r="EN56" s="11"/>
      <c r="EO56" s="11"/>
      <c r="EP56" s="11"/>
      <c r="EQ56" s="11"/>
      <c r="ER56" s="11"/>
      <c r="ES56" s="11"/>
      <c r="ET56" s="11"/>
      <c r="EU56" s="11"/>
      <c r="EV56" s="11"/>
      <c r="EW56" s="11"/>
      <c r="EX56" s="11"/>
      <c r="EY56" s="11"/>
      <c r="EZ56" s="11"/>
      <c r="FA56" s="11"/>
      <c r="FB56" s="11"/>
      <c r="FC56" s="11"/>
      <c r="FD56" s="11"/>
      <c r="FE56" s="11"/>
      <c r="FF56" s="11"/>
      <c r="FG56" s="11"/>
      <c r="FH56" s="11"/>
      <c r="FI56" s="11"/>
      <c r="FJ56" s="11"/>
      <c r="FK56" s="11"/>
      <c r="FL56" s="11"/>
      <c r="FM56" s="11"/>
      <c r="FN56" s="11"/>
      <c r="FO56" s="11"/>
      <c r="FP56" s="11"/>
      <c r="FQ56" s="11"/>
      <c r="FR56" s="11"/>
      <c r="FS56" s="11"/>
      <c r="FT56" s="11"/>
      <c r="FU56" s="11"/>
      <c r="FV56" s="11"/>
      <c r="FW56" s="11"/>
      <c r="FX56" s="11"/>
      <c r="FY56" s="11"/>
      <c r="FZ56" s="11"/>
      <c r="GA56" s="11"/>
      <c r="GB56" s="11"/>
      <c r="GC56" s="11"/>
      <c r="GD56" s="11"/>
      <c r="GE56" s="11"/>
      <c r="GF56" s="11"/>
      <c r="GG56" s="11"/>
      <c r="GH56" s="11"/>
      <c r="GI56" s="11"/>
      <c r="GJ56" s="11"/>
      <c r="GK56" s="11"/>
      <c r="GL56" s="11"/>
      <c r="GM56" s="11"/>
      <c r="GN56" s="11"/>
      <c r="GO56" s="11"/>
      <c r="GP56" s="11"/>
      <c r="GQ56" s="11"/>
      <c r="GR56" s="11"/>
      <c r="GS56" s="11"/>
      <c r="GT56" s="11"/>
      <c r="GU56" s="11"/>
      <c r="GV56" s="11"/>
      <c r="GW56" s="11"/>
      <c r="GX56" s="11"/>
      <c r="GY56" s="11"/>
      <c r="GZ56" s="11"/>
      <c r="HA56" s="11"/>
      <c r="HB56" s="11"/>
      <c r="HC56" s="11"/>
      <c r="HD56" s="11"/>
      <c r="HE56" s="11"/>
      <c r="HF56" s="11"/>
      <c r="HG56" s="11"/>
      <c r="HH56" s="11"/>
      <c r="HI56" s="11"/>
      <c r="HJ56" s="11"/>
      <c r="HK56" s="11"/>
      <c r="HL56" s="11"/>
      <c r="HM56" s="11"/>
      <c r="HN56" s="11"/>
      <c r="HO56" s="11"/>
      <c r="HP56" s="11"/>
      <c r="HQ56" s="11"/>
      <c r="HR56" s="11"/>
      <c r="HS56" s="11"/>
      <c r="HT56" s="11"/>
      <c r="HU56" s="11"/>
    </row>
    <row r="57" spans="1:229" s="12" customFormat="1" ht="13.8">
      <c r="A57" s="250"/>
      <c r="B57" s="10"/>
      <c r="C57" s="19"/>
      <c r="D57" s="204" t="s">
        <v>123</v>
      </c>
      <c r="E57" s="342" t="s">
        <v>378</v>
      </c>
      <c r="F57" s="337"/>
      <c r="G57" s="170"/>
      <c r="H57" s="165"/>
      <c r="I57" s="165"/>
      <c r="J57" s="165"/>
      <c r="K57" s="165"/>
      <c r="L57" s="165"/>
      <c r="M57" s="165"/>
      <c r="N57" s="165"/>
      <c r="O57" s="165"/>
      <c r="P57" s="165"/>
      <c r="Q57" s="165"/>
      <c r="R57" s="165"/>
      <c r="S57" s="165"/>
      <c r="T57" s="165"/>
      <c r="U57" s="165"/>
      <c r="V57" s="165"/>
      <c r="W57" s="165"/>
      <c r="X57" s="165"/>
      <c r="Y57" s="165"/>
      <c r="Z57" s="165"/>
      <c r="AA57" s="11"/>
      <c r="AB57" s="11"/>
      <c r="AC57" s="11"/>
      <c r="AD57" s="11"/>
      <c r="AE57" s="11"/>
      <c r="AF57" s="11"/>
      <c r="AG57" s="11"/>
      <c r="AH57" s="11"/>
      <c r="AI57" s="11"/>
      <c r="AJ57" s="11"/>
      <c r="AK57" s="11"/>
      <c r="AL57" s="11"/>
      <c r="AM57" s="11"/>
      <c r="AN57" s="11"/>
      <c r="AO57" s="11"/>
      <c r="AP57" s="11"/>
      <c r="AQ57" s="11"/>
      <c r="AR57" s="11"/>
      <c r="AS57" s="11"/>
      <c r="AT57" s="11"/>
      <c r="AU57" s="11"/>
      <c r="AV57" s="11"/>
      <c r="AW57" s="11"/>
      <c r="AX57" s="11"/>
      <c r="AY57" s="11"/>
      <c r="AZ57" s="11"/>
      <c r="BA57" s="11"/>
      <c r="BB57" s="11"/>
      <c r="BC57" s="11"/>
      <c r="BD57" s="11"/>
      <c r="BE57" s="11"/>
      <c r="BF57" s="11"/>
      <c r="BG57" s="11"/>
      <c r="BH57" s="11"/>
      <c r="BI57" s="11"/>
      <c r="BJ57" s="11"/>
      <c r="BK57" s="11"/>
      <c r="BL57" s="11"/>
      <c r="BM57" s="11"/>
      <c r="BN57" s="11"/>
      <c r="BO57" s="11"/>
      <c r="BP57" s="11"/>
      <c r="BQ57" s="11"/>
      <c r="BR57" s="11"/>
      <c r="BS57" s="11"/>
      <c r="BT57" s="11"/>
      <c r="BU57" s="11"/>
      <c r="BV57" s="11"/>
      <c r="BW57" s="11"/>
      <c r="BX57" s="11"/>
      <c r="BY57" s="11"/>
      <c r="BZ57" s="11"/>
      <c r="CA57" s="11"/>
      <c r="CB57" s="11"/>
      <c r="CC57" s="11"/>
      <c r="CD57" s="11"/>
      <c r="CE57" s="11"/>
      <c r="CF57" s="11"/>
      <c r="CG57" s="11"/>
      <c r="CH57" s="11"/>
      <c r="CI57" s="11"/>
      <c r="CJ57" s="11"/>
      <c r="CK57" s="11"/>
      <c r="CL57" s="11"/>
      <c r="CM57" s="11"/>
      <c r="CN57" s="11"/>
      <c r="CO57" s="11"/>
      <c r="CP57" s="11"/>
      <c r="CQ57" s="11"/>
      <c r="CR57" s="11"/>
      <c r="CS57" s="11"/>
      <c r="CT57" s="11"/>
      <c r="CU57" s="11"/>
      <c r="CV57" s="11"/>
      <c r="CW57" s="11"/>
      <c r="CX57" s="11"/>
      <c r="CY57" s="11"/>
      <c r="CZ57" s="11"/>
      <c r="DA57" s="11"/>
      <c r="DB57" s="11"/>
      <c r="DC57" s="11"/>
      <c r="DD57" s="11"/>
      <c r="DE57" s="11"/>
      <c r="DF57" s="11"/>
      <c r="DG57" s="11"/>
      <c r="DH57" s="11"/>
      <c r="DI57" s="11"/>
      <c r="DJ57" s="11"/>
      <c r="DK57" s="11"/>
      <c r="DL57" s="11"/>
      <c r="DM57" s="11"/>
      <c r="DN57" s="11"/>
      <c r="DO57" s="11"/>
      <c r="DP57" s="11"/>
      <c r="DQ57" s="11"/>
      <c r="DR57" s="11"/>
      <c r="DS57" s="11"/>
      <c r="DT57" s="11"/>
      <c r="DU57" s="11"/>
      <c r="DV57" s="11"/>
      <c r="DW57" s="11"/>
      <c r="DX57" s="11"/>
      <c r="DY57" s="11"/>
      <c r="DZ57" s="11"/>
      <c r="EA57" s="11"/>
      <c r="EB57" s="11"/>
      <c r="EC57" s="11"/>
      <c r="ED57" s="11"/>
      <c r="EE57" s="11"/>
      <c r="EF57" s="11"/>
      <c r="EG57" s="11"/>
      <c r="EH57" s="11"/>
      <c r="EI57" s="11"/>
      <c r="EJ57" s="11"/>
      <c r="EK57" s="11"/>
      <c r="EL57" s="11"/>
      <c r="EM57" s="11"/>
      <c r="EN57" s="11"/>
      <c r="EO57" s="11"/>
      <c r="EP57" s="11"/>
      <c r="EQ57" s="11"/>
      <c r="ER57" s="11"/>
      <c r="ES57" s="11"/>
      <c r="ET57" s="11"/>
      <c r="EU57" s="11"/>
      <c r="EV57" s="11"/>
      <c r="EW57" s="11"/>
      <c r="EX57" s="11"/>
      <c r="EY57" s="11"/>
      <c r="EZ57" s="11"/>
      <c r="FA57" s="11"/>
      <c r="FB57" s="11"/>
      <c r="FC57" s="11"/>
      <c r="FD57" s="11"/>
      <c r="FE57" s="11"/>
      <c r="FF57" s="11"/>
      <c r="FG57" s="11"/>
      <c r="FH57" s="11"/>
      <c r="FI57" s="11"/>
      <c r="FJ57" s="11"/>
      <c r="FK57" s="11"/>
      <c r="FL57" s="11"/>
      <c r="FM57" s="11"/>
      <c r="FN57" s="11"/>
      <c r="FO57" s="11"/>
      <c r="FP57" s="11"/>
      <c r="FQ57" s="11"/>
      <c r="FR57" s="11"/>
      <c r="FS57" s="11"/>
      <c r="FT57" s="11"/>
      <c r="FU57" s="11"/>
      <c r="FV57" s="11"/>
      <c r="FW57" s="11"/>
      <c r="FX57" s="11"/>
      <c r="FY57" s="11"/>
      <c r="FZ57" s="11"/>
      <c r="GA57" s="11"/>
      <c r="GB57" s="11"/>
      <c r="GC57" s="11"/>
      <c r="GD57" s="11"/>
      <c r="GE57" s="11"/>
      <c r="GF57" s="11"/>
      <c r="GG57" s="11"/>
      <c r="GH57" s="11"/>
      <c r="GI57" s="11"/>
      <c r="GJ57" s="11"/>
      <c r="GK57" s="11"/>
      <c r="GL57" s="11"/>
      <c r="GM57" s="11"/>
      <c r="GN57" s="11"/>
      <c r="GO57" s="11"/>
      <c r="GP57" s="11"/>
      <c r="GQ57" s="11"/>
      <c r="GR57" s="11"/>
      <c r="GS57" s="11"/>
      <c r="GT57" s="11"/>
      <c r="GU57" s="11"/>
      <c r="GV57" s="11"/>
      <c r="GW57" s="11"/>
      <c r="GX57" s="11"/>
      <c r="GY57" s="11"/>
      <c r="GZ57" s="11"/>
      <c r="HA57" s="11"/>
      <c r="HB57" s="11"/>
      <c r="HC57" s="11"/>
      <c r="HD57" s="11"/>
      <c r="HE57" s="11"/>
      <c r="HF57" s="11"/>
      <c r="HG57" s="11"/>
      <c r="HH57" s="11"/>
      <c r="HI57" s="11"/>
      <c r="HJ57" s="11"/>
      <c r="HK57" s="11"/>
      <c r="HL57" s="11"/>
      <c r="HM57" s="11"/>
      <c r="HN57" s="11"/>
      <c r="HO57" s="11"/>
      <c r="HP57" s="11"/>
      <c r="HQ57" s="11"/>
      <c r="HR57" s="11"/>
      <c r="HS57" s="11"/>
      <c r="HT57" s="11"/>
      <c r="HU57" s="11"/>
    </row>
    <row r="58" spans="1:229" s="16" customFormat="1" ht="18" customHeight="1">
      <c r="A58" s="188"/>
      <c r="B58" s="189"/>
      <c r="C58" s="190"/>
      <c r="D58" s="190"/>
      <c r="E58" s="191"/>
      <c r="F58" s="192"/>
      <c r="G58" s="193"/>
      <c r="H58" s="194"/>
      <c r="I58" s="194"/>
      <c r="J58" s="194"/>
      <c r="K58" s="194"/>
      <c r="L58" s="194"/>
      <c r="M58" s="194"/>
      <c r="N58" s="194"/>
      <c r="O58" s="194"/>
      <c r="P58" s="194"/>
      <c r="Q58" s="194"/>
      <c r="R58" s="194"/>
      <c r="S58" s="194"/>
      <c r="T58" s="194"/>
      <c r="U58" s="194"/>
      <c r="V58" s="194"/>
      <c r="W58" s="194"/>
      <c r="X58" s="194"/>
      <c r="Y58" s="194"/>
      <c r="Z58" s="194"/>
      <c r="AA58" s="195"/>
      <c r="AB58" s="195"/>
      <c r="AC58" s="195"/>
      <c r="AD58" s="195"/>
      <c r="AE58" s="195"/>
      <c r="AF58" s="195"/>
      <c r="AG58" s="195"/>
      <c r="AH58" s="195"/>
      <c r="AI58" s="195"/>
      <c r="AJ58" s="195"/>
      <c r="AK58" s="195"/>
      <c r="AL58" s="195"/>
      <c r="AM58" s="195"/>
      <c r="AN58" s="195"/>
      <c r="AO58" s="195"/>
      <c r="AP58" s="195"/>
      <c r="AQ58" s="195"/>
      <c r="AR58" s="195"/>
      <c r="AS58" s="195"/>
      <c r="AT58" s="195"/>
      <c r="AU58" s="195"/>
      <c r="AV58" s="195"/>
      <c r="AW58" s="195"/>
      <c r="AX58" s="195"/>
      <c r="AY58" s="195"/>
      <c r="AZ58" s="195"/>
      <c r="BA58" s="195"/>
      <c r="BB58" s="195"/>
      <c r="BC58" s="195"/>
      <c r="BD58" s="195"/>
      <c r="BE58" s="195"/>
      <c r="BF58" s="195"/>
      <c r="BG58" s="195"/>
      <c r="BH58" s="195"/>
      <c r="BI58" s="195"/>
      <c r="BJ58" s="195"/>
      <c r="BK58" s="195"/>
      <c r="BL58" s="195"/>
      <c r="BM58" s="195"/>
      <c r="BN58" s="195"/>
      <c r="BO58" s="195"/>
      <c r="BP58" s="195"/>
      <c r="BQ58" s="195"/>
      <c r="BR58" s="195"/>
      <c r="BS58" s="195"/>
      <c r="BT58" s="195"/>
      <c r="BU58" s="195"/>
      <c r="BV58" s="195"/>
      <c r="BW58" s="195"/>
      <c r="BX58" s="195"/>
      <c r="BY58" s="195"/>
      <c r="BZ58" s="195"/>
      <c r="CA58" s="195"/>
      <c r="CB58" s="195"/>
      <c r="CC58" s="195"/>
      <c r="CD58" s="195"/>
      <c r="CE58" s="195"/>
      <c r="CF58" s="195"/>
      <c r="CG58" s="195"/>
      <c r="CH58" s="195"/>
      <c r="CI58" s="195"/>
      <c r="CJ58" s="195"/>
      <c r="CK58" s="195"/>
      <c r="CL58" s="195"/>
      <c r="CM58" s="195"/>
      <c r="CN58" s="195"/>
      <c r="CO58" s="195"/>
      <c r="CP58" s="195"/>
      <c r="CQ58" s="195"/>
      <c r="CR58" s="195"/>
      <c r="CS58" s="195"/>
      <c r="CT58" s="195"/>
      <c r="CU58" s="195"/>
      <c r="CV58" s="195"/>
      <c r="CW58" s="195"/>
      <c r="CX58" s="195"/>
      <c r="CY58" s="195"/>
      <c r="CZ58" s="195"/>
      <c r="DA58" s="195"/>
      <c r="DB58" s="195"/>
      <c r="DC58" s="195"/>
      <c r="DD58" s="195"/>
      <c r="DE58" s="195"/>
      <c r="DF58" s="195"/>
      <c r="DG58" s="195"/>
      <c r="DH58" s="195"/>
      <c r="DI58" s="195"/>
      <c r="DJ58" s="195"/>
      <c r="DK58" s="195"/>
      <c r="DL58" s="195"/>
      <c r="DM58" s="195"/>
      <c r="DN58" s="195"/>
      <c r="DO58" s="195"/>
      <c r="DP58" s="195"/>
      <c r="DQ58" s="195"/>
      <c r="DR58" s="195"/>
      <c r="DS58" s="195"/>
      <c r="DT58" s="195"/>
      <c r="DU58" s="195"/>
      <c r="DV58" s="195"/>
      <c r="DW58" s="195"/>
      <c r="DX58" s="195"/>
      <c r="DY58" s="195"/>
      <c r="DZ58" s="195"/>
      <c r="EA58" s="195"/>
      <c r="EB58" s="195"/>
      <c r="EC58" s="195"/>
      <c r="ED58" s="195"/>
      <c r="EE58" s="195"/>
      <c r="EF58" s="195"/>
      <c r="EG58" s="195"/>
      <c r="EH58" s="195"/>
      <c r="EI58" s="195"/>
      <c r="EJ58" s="195"/>
      <c r="EK58" s="195"/>
      <c r="EL58" s="195"/>
      <c r="EM58" s="195"/>
      <c r="EN58" s="195"/>
      <c r="EO58" s="195"/>
      <c r="EP58" s="195"/>
      <c r="EQ58" s="195"/>
      <c r="ER58" s="195"/>
      <c r="ES58" s="195"/>
      <c r="ET58" s="195"/>
      <c r="EU58" s="195"/>
      <c r="EV58" s="195"/>
      <c r="EW58" s="195"/>
      <c r="EX58" s="195"/>
      <c r="EY58" s="195"/>
      <c r="EZ58" s="195"/>
      <c r="FA58" s="195"/>
      <c r="FB58" s="195"/>
      <c r="FC58" s="195"/>
      <c r="FD58" s="195"/>
      <c r="FE58" s="195"/>
      <c r="FF58" s="195"/>
      <c r="FG58" s="195"/>
      <c r="FH58" s="195"/>
      <c r="FI58" s="195"/>
      <c r="FJ58" s="195"/>
      <c r="FK58" s="195"/>
      <c r="FL58" s="195"/>
      <c r="FM58" s="195"/>
      <c r="FN58" s="195"/>
      <c r="FO58" s="195"/>
      <c r="FP58" s="195"/>
      <c r="FQ58" s="195"/>
      <c r="FR58" s="195"/>
      <c r="FS58" s="195"/>
      <c r="FT58" s="195"/>
      <c r="FU58" s="195"/>
      <c r="FV58" s="195"/>
      <c r="FW58" s="195"/>
      <c r="FX58" s="195"/>
      <c r="FY58" s="195"/>
      <c r="FZ58" s="195"/>
      <c r="GA58" s="195"/>
      <c r="GB58" s="195"/>
      <c r="GC58" s="195"/>
      <c r="GD58" s="195"/>
      <c r="GE58" s="195"/>
      <c r="GF58" s="195"/>
      <c r="GG58" s="195"/>
      <c r="GH58" s="195"/>
      <c r="GI58" s="195"/>
      <c r="GJ58" s="195"/>
      <c r="GK58" s="195"/>
      <c r="GL58" s="195"/>
      <c r="GM58" s="195"/>
      <c r="GN58" s="195"/>
      <c r="GO58" s="195"/>
      <c r="GP58" s="195"/>
      <c r="GQ58" s="195"/>
      <c r="GR58" s="195"/>
      <c r="GS58" s="195"/>
      <c r="GT58" s="195"/>
      <c r="GU58" s="195"/>
      <c r="GV58" s="195"/>
      <c r="GW58" s="195"/>
      <c r="GX58" s="195"/>
      <c r="GY58" s="195"/>
      <c r="GZ58" s="195"/>
      <c r="HA58" s="195"/>
      <c r="HB58" s="195"/>
      <c r="HC58" s="195"/>
      <c r="HD58" s="195"/>
      <c r="HE58" s="195"/>
      <c r="HF58" s="195"/>
      <c r="HG58" s="195"/>
      <c r="HH58" s="195"/>
      <c r="HI58" s="195"/>
      <c r="HJ58" s="195"/>
      <c r="HK58" s="195"/>
      <c r="HL58" s="195"/>
      <c r="HM58" s="195"/>
      <c r="HN58" s="195"/>
      <c r="HO58" s="195"/>
      <c r="HP58" s="195"/>
      <c r="HQ58" s="195"/>
      <c r="HR58" s="195"/>
      <c r="HS58" s="195"/>
      <c r="HT58" s="195"/>
      <c r="HU58" s="195"/>
    </row>
    <row r="59" spans="1:229" s="16" customFormat="1" ht="18" customHeight="1">
      <c r="A59" s="188"/>
      <c r="B59" s="189"/>
      <c r="C59" s="201">
        <v>7</v>
      </c>
      <c r="D59" s="9" t="s">
        <v>138</v>
      </c>
      <c r="E59" s="192"/>
      <c r="F59" s="192"/>
      <c r="G59" s="193"/>
      <c r="H59" s="194"/>
      <c r="I59" s="194"/>
      <c r="J59" s="194"/>
      <c r="K59" s="194"/>
      <c r="L59" s="194"/>
      <c r="M59" s="194"/>
      <c r="N59" s="194"/>
      <c r="O59" s="194"/>
      <c r="P59" s="194"/>
      <c r="Q59" s="194"/>
      <c r="R59" s="194"/>
      <c r="S59" s="194"/>
      <c r="T59" s="194"/>
      <c r="U59" s="194"/>
      <c r="V59" s="194"/>
      <c r="W59" s="194"/>
      <c r="X59" s="194"/>
      <c r="Y59" s="194"/>
      <c r="Z59" s="194"/>
      <c r="AA59" s="195"/>
      <c r="AB59" s="195"/>
      <c r="AC59" s="195"/>
      <c r="AD59" s="195"/>
      <c r="AE59" s="195"/>
      <c r="AF59" s="195"/>
      <c r="AG59" s="195"/>
      <c r="AH59" s="195"/>
      <c r="AI59" s="195"/>
      <c r="AJ59" s="195"/>
      <c r="AK59" s="195"/>
      <c r="AL59" s="195"/>
      <c r="AM59" s="195"/>
      <c r="AN59" s="195"/>
      <c r="AO59" s="195"/>
      <c r="AP59" s="195"/>
      <c r="AQ59" s="195"/>
      <c r="AR59" s="195"/>
      <c r="AS59" s="195"/>
      <c r="AT59" s="195"/>
      <c r="AU59" s="195"/>
      <c r="AV59" s="195"/>
      <c r="AW59" s="195"/>
      <c r="AX59" s="195"/>
      <c r="AY59" s="195"/>
      <c r="AZ59" s="195"/>
      <c r="BA59" s="195"/>
      <c r="BB59" s="195"/>
      <c r="BC59" s="195"/>
      <c r="BD59" s="195"/>
      <c r="BE59" s="195"/>
      <c r="BF59" s="195"/>
      <c r="BG59" s="195"/>
      <c r="BH59" s="195"/>
      <c r="BI59" s="195"/>
      <c r="BJ59" s="195"/>
      <c r="BK59" s="195"/>
      <c r="BL59" s="195"/>
      <c r="BM59" s="195"/>
      <c r="BN59" s="195"/>
      <c r="BO59" s="195"/>
      <c r="BP59" s="195"/>
      <c r="BQ59" s="195"/>
      <c r="BR59" s="195"/>
      <c r="BS59" s="195"/>
      <c r="BT59" s="195"/>
      <c r="BU59" s="195"/>
      <c r="BV59" s="195"/>
      <c r="BW59" s="195"/>
      <c r="BX59" s="195"/>
      <c r="BY59" s="195"/>
      <c r="BZ59" s="195"/>
      <c r="CA59" s="195"/>
      <c r="CB59" s="195"/>
      <c r="CC59" s="195"/>
      <c r="CD59" s="195"/>
      <c r="CE59" s="195"/>
      <c r="CF59" s="195"/>
      <c r="CG59" s="195"/>
      <c r="CH59" s="195"/>
      <c r="CI59" s="195"/>
      <c r="CJ59" s="195"/>
      <c r="CK59" s="195"/>
      <c r="CL59" s="195"/>
      <c r="CM59" s="195"/>
      <c r="CN59" s="195"/>
      <c r="CO59" s="195"/>
      <c r="CP59" s="195"/>
      <c r="CQ59" s="195"/>
      <c r="CR59" s="195"/>
      <c r="CS59" s="195"/>
      <c r="CT59" s="195"/>
      <c r="CU59" s="195"/>
      <c r="CV59" s="195"/>
      <c r="CW59" s="195"/>
      <c r="CX59" s="195"/>
      <c r="CY59" s="195"/>
      <c r="CZ59" s="195"/>
      <c r="DA59" s="195"/>
      <c r="DB59" s="195"/>
      <c r="DC59" s="195"/>
      <c r="DD59" s="195"/>
      <c r="DE59" s="195"/>
      <c r="DF59" s="195"/>
      <c r="DG59" s="195"/>
      <c r="DH59" s="195"/>
      <c r="DI59" s="195"/>
      <c r="DJ59" s="195"/>
      <c r="DK59" s="195"/>
      <c r="DL59" s="195"/>
      <c r="DM59" s="195"/>
      <c r="DN59" s="195"/>
      <c r="DO59" s="195"/>
      <c r="DP59" s="195"/>
      <c r="DQ59" s="195"/>
      <c r="DR59" s="195"/>
      <c r="DS59" s="195"/>
      <c r="DT59" s="195"/>
      <c r="DU59" s="195"/>
      <c r="DV59" s="195"/>
      <c r="DW59" s="195"/>
      <c r="DX59" s="195"/>
      <c r="DY59" s="195"/>
      <c r="DZ59" s="195"/>
      <c r="EA59" s="195"/>
      <c r="EB59" s="195"/>
      <c r="EC59" s="195"/>
      <c r="ED59" s="195"/>
      <c r="EE59" s="195"/>
      <c r="EF59" s="195"/>
      <c r="EG59" s="195"/>
      <c r="EH59" s="195"/>
      <c r="EI59" s="195"/>
      <c r="EJ59" s="195"/>
      <c r="EK59" s="195"/>
      <c r="EL59" s="195"/>
      <c r="EM59" s="195"/>
      <c r="EN59" s="195"/>
      <c r="EO59" s="195"/>
      <c r="EP59" s="195"/>
      <c r="EQ59" s="195"/>
      <c r="ER59" s="195"/>
      <c r="ES59" s="195"/>
      <c r="ET59" s="195"/>
      <c r="EU59" s="195"/>
      <c r="EV59" s="195"/>
      <c r="EW59" s="195"/>
      <c r="EX59" s="195"/>
      <c r="EY59" s="195"/>
      <c r="EZ59" s="195"/>
      <c r="FA59" s="195"/>
      <c r="FB59" s="195"/>
      <c r="FC59" s="195"/>
      <c r="FD59" s="195"/>
      <c r="FE59" s="195"/>
      <c r="FF59" s="195"/>
      <c r="FG59" s="195"/>
      <c r="FH59" s="195"/>
      <c r="FI59" s="195"/>
      <c r="FJ59" s="195"/>
      <c r="FK59" s="195"/>
      <c r="FL59" s="195"/>
      <c r="FM59" s="195"/>
      <c r="FN59" s="195"/>
      <c r="FO59" s="195"/>
      <c r="FP59" s="195"/>
      <c r="FQ59" s="195"/>
      <c r="FR59" s="195"/>
      <c r="FS59" s="195"/>
      <c r="FT59" s="195"/>
      <c r="FU59" s="195"/>
      <c r="FV59" s="195"/>
      <c r="FW59" s="195"/>
      <c r="FX59" s="195"/>
      <c r="FY59" s="195"/>
      <c r="FZ59" s="195"/>
      <c r="GA59" s="195"/>
      <c r="GB59" s="195"/>
      <c r="GC59" s="195"/>
      <c r="GD59" s="195"/>
      <c r="GE59" s="195"/>
      <c r="GF59" s="195"/>
      <c r="GG59" s="195"/>
      <c r="GH59" s="195"/>
      <c r="GI59" s="195"/>
      <c r="GJ59" s="195"/>
      <c r="GK59" s="195"/>
      <c r="GL59" s="195"/>
      <c r="GM59" s="195"/>
      <c r="GN59" s="195"/>
      <c r="GO59" s="195"/>
      <c r="GP59" s="195"/>
      <c r="GQ59" s="195"/>
      <c r="GR59" s="195"/>
      <c r="GS59" s="195"/>
      <c r="GT59" s="195"/>
      <c r="GU59" s="195"/>
      <c r="GV59" s="195"/>
      <c r="GW59" s="195"/>
      <c r="GX59" s="195"/>
      <c r="GY59" s="195"/>
      <c r="GZ59" s="195"/>
      <c r="HA59" s="195"/>
      <c r="HB59" s="195"/>
      <c r="HC59" s="195"/>
      <c r="HD59" s="195"/>
      <c r="HE59" s="195"/>
      <c r="HF59" s="195"/>
      <c r="HG59" s="195"/>
      <c r="HH59" s="195"/>
      <c r="HI59" s="195"/>
      <c r="HJ59" s="195"/>
      <c r="HK59" s="195"/>
      <c r="HL59" s="195"/>
      <c r="HM59" s="195"/>
      <c r="HN59" s="195"/>
      <c r="HO59" s="195"/>
      <c r="HP59" s="195"/>
      <c r="HQ59" s="195"/>
      <c r="HR59" s="195"/>
      <c r="HS59" s="195"/>
      <c r="HT59" s="195"/>
      <c r="HU59" s="195"/>
    </row>
    <row r="60" spans="1:229" s="12" customFormat="1" ht="28.2" customHeight="1">
      <c r="A60" s="250"/>
      <c r="B60" s="10"/>
      <c r="C60" s="19"/>
      <c r="D60" s="204" t="s">
        <v>123</v>
      </c>
      <c r="E60" s="337" t="s">
        <v>279</v>
      </c>
      <c r="F60" s="337"/>
      <c r="G60" s="170"/>
      <c r="H60" s="165"/>
      <c r="I60" s="165"/>
      <c r="J60" s="165"/>
      <c r="K60" s="165"/>
      <c r="L60" s="165"/>
      <c r="M60" s="165"/>
      <c r="N60" s="165"/>
      <c r="O60" s="165"/>
      <c r="P60" s="165"/>
      <c r="Q60" s="165"/>
      <c r="R60" s="165"/>
      <c r="S60" s="165"/>
      <c r="T60" s="165"/>
      <c r="U60" s="165"/>
      <c r="V60" s="165"/>
      <c r="W60" s="165"/>
      <c r="X60" s="165"/>
      <c r="Y60" s="165"/>
      <c r="Z60" s="165"/>
      <c r="AA60" s="11"/>
      <c r="AB60" s="11"/>
      <c r="AC60" s="11"/>
      <c r="AD60" s="11"/>
      <c r="AE60" s="11"/>
      <c r="AF60" s="11"/>
      <c r="AG60" s="11"/>
      <c r="AH60" s="11"/>
      <c r="AI60" s="11"/>
      <c r="AJ60" s="11"/>
      <c r="AK60" s="11"/>
      <c r="AL60" s="11"/>
      <c r="AM60" s="11"/>
      <c r="AN60" s="11"/>
      <c r="AO60" s="11"/>
      <c r="AP60" s="11"/>
      <c r="AQ60" s="11"/>
      <c r="AR60" s="11"/>
      <c r="AS60" s="11"/>
      <c r="AT60" s="11"/>
      <c r="AU60" s="11"/>
      <c r="AV60" s="11"/>
      <c r="AW60" s="11"/>
      <c r="AX60" s="11"/>
      <c r="AY60" s="11"/>
      <c r="AZ60" s="11"/>
      <c r="BA60" s="11"/>
      <c r="BB60" s="11"/>
      <c r="BC60" s="11"/>
      <c r="BD60" s="11"/>
      <c r="BE60" s="11"/>
      <c r="BF60" s="11"/>
      <c r="BG60" s="11"/>
      <c r="BH60" s="11"/>
      <c r="BI60" s="11"/>
      <c r="BJ60" s="11"/>
      <c r="BK60" s="11"/>
      <c r="BL60" s="11"/>
      <c r="BM60" s="11"/>
      <c r="BN60" s="11"/>
      <c r="BO60" s="11"/>
      <c r="BP60" s="11"/>
      <c r="BQ60" s="11"/>
      <c r="BR60" s="11"/>
      <c r="BS60" s="11"/>
      <c r="BT60" s="11"/>
      <c r="BU60" s="11"/>
      <c r="BV60" s="11"/>
      <c r="BW60" s="11"/>
      <c r="BX60" s="11"/>
      <c r="BY60" s="11"/>
      <c r="BZ60" s="11"/>
      <c r="CA60" s="11"/>
      <c r="CB60" s="11"/>
      <c r="CC60" s="11"/>
      <c r="CD60" s="11"/>
      <c r="CE60" s="11"/>
      <c r="CF60" s="11"/>
      <c r="CG60" s="11"/>
      <c r="CH60" s="11"/>
      <c r="CI60" s="11"/>
      <c r="CJ60" s="11"/>
      <c r="CK60" s="11"/>
      <c r="CL60" s="11"/>
      <c r="CM60" s="11"/>
      <c r="CN60" s="11"/>
      <c r="CO60" s="11"/>
      <c r="CP60" s="11"/>
      <c r="CQ60" s="11"/>
      <c r="CR60" s="11"/>
      <c r="CS60" s="11"/>
      <c r="CT60" s="11"/>
      <c r="CU60" s="11"/>
      <c r="CV60" s="11"/>
      <c r="CW60" s="11"/>
      <c r="CX60" s="11"/>
      <c r="CY60" s="11"/>
      <c r="CZ60" s="11"/>
      <c r="DA60" s="11"/>
      <c r="DB60" s="11"/>
      <c r="DC60" s="11"/>
      <c r="DD60" s="11"/>
      <c r="DE60" s="11"/>
      <c r="DF60" s="11"/>
      <c r="DG60" s="11"/>
      <c r="DH60" s="11"/>
      <c r="DI60" s="11"/>
      <c r="DJ60" s="11"/>
      <c r="DK60" s="11"/>
      <c r="DL60" s="11"/>
      <c r="DM60" s="11"/>
      <c r="DN60" s="11"/>
      <c r="DO60" s="11"/>
      <c r="DP60" s="11"/>
      <c r="DQ60" s="11"/>
      <c r="DR60" s="11"/>
      <c r="DS60" s="11"/>
      <c r="DT60" s="11"/>
      <c r="DU60" s="11"/>
      <c r="DV60" s="11"/>
      <c r="DW60" s="11"/>
      <c r="DX60" s="11"/>
      <c r="DY60" s="11"/>
      <c r="DZ60" s="11"/>
      <c r="EA60" s="11"/>
      <c r="EB60" s="11"/>
      <c r="EC60" s="11"/>
      <c r="ED60" s="11"/>
      <c r="EE60" s="11"/>
      <c r="EF60" s="11"/>
      <c r="EG60" s="11"/>
      <c r="EH60" s="11"/>
      <c r="EI60" s="11"/>
      <c r="EJ60" s="11"/>
      <c r="EK60" s="11"/>
      <c r="EL60" s="11"/>
      <c r="EM60" s="11"/>
      <c r="EN60" s="11"/>
      <c r="EO60" s="11"/>
      <c r="EP60" s="11"/>
      <c r="EQ60" s="11"/>
      <c r="ER60" s="11"/>
      <c r="ES60" s="11"/>
      <c r="ET60" s="11"/>
      <c r="EU60" s="11"/>
      <c r="EV60" s="11"/>
      <c r="EW60" s="11"/>
      <c r="EX60" s="11"/>
      <c r="EY60" s="11"/>
      <c r="EZ60" s="11"/>
      <c r="FA60" s="11"/>
      <c r="FB60" s="11"/>
      <c r="FC60" s="11"/>
      <c r="FD60" s="11"/>
      <c r="FE60" s="11"/>
      <c r="FF60" s="11"/>
      <c r="FG60" s="11"/>
      <c r="FH60" s="11"/>
      <c r="FI60" s="11"/>
      <c r="FJ60" s="11"/>
      <c r="FK60" s="11"/>
      <c r="FL60" s="11"/>
      <c r="FM60" s="11"/>
      <c r="FN60" s="11"/>
      <c r="FO60" s="11"/>
      <c r="FP60" s="11"/>
      <c r="FQ60" s="11"/>
      <c r="FR60" s="11"/>
      <c r="FS60" s="11"/>
      <c r="FT60" s="11"/>
      <c r="FU60" s="11"/>
      <c r="FV60" s="11"/>
      <c r="FW60" s="11"/>
      <c r="FX60" s="11"/>
      <c r="FY60" s="11"/>
      <c r="FZ60" s="11"/>
      <c r="GA60" s="11"/>
      <c r="GB60" s="11"/>
      <c r="GC60" s="11"/>
      <c r="GD60" s="11"/>
      <c r="GE60" s="11"/>
      <c r="GF60" s="11"/>
      <c r="GG60" s="11"/>
      <c r="GH60" s="11"/>
      <c r="GI60" s="11"/>
      <c r="GJ60" s="11"/>
      <c r="GK60" s="11"/>
      <c r="GL60" s="11"/>
      <c r="GM60" s="11"/>
      <c r="GN60" s="11"/>
      <c r="GO60" s="11"/>
      <c r="GP60" s="11"/>
      <c r="GQ60" s="11"/>
      <c r="GR60" s="11"/>
      <c r="GS60" s="11"/>
      <c r="GT60" s="11"/>
      <c r="GU60" s="11"/>
      <c r="GV60" s="11"/>
      <c r="GW60" s="11"/>
      <c r="GX60" s="11"/>
      <c r="GY60" s="11"/>
      <c r="GZ60" s="11"/>
      <c r="HA60" s="11"/>
      <c r="HB60" s="11"/>
      <c r="HC60" s="11"/>
      <c r="HD60" s="11"/>
      <c r="HE60" s="11"/>
      <c r="HF60" s="11"/>
      <c r="HG60" s="11"/>
      <c r="HH60" s="11"/>
      <c r="HI60" s="11"/>
      <c r="HJ60" s="11"/>
      <c r="HK60" s="11"/>
      <c r="HL60" s="11"/>
      <c r="HM60" s="11"/>
      <c r="HN60" s="11"/>
      <c r="HO60" s="11"/>
      <c r="HP60" s="11"/>
      <c r="HQ60" s="11"/>
      <c r="HR60" s="11"/>
      <c r="HS60" s="11"/>
      <c r="HT60" s="11"/>
      <c r="HU60" s="11"/>
    </row>
    <row r="61" spans="1:229" s="12" customFormat="1" ht="28.2" customHeight="1">
      <c r="A61" s="250"/>
      <c r="B61" s="10"/>
      <c r="C61" s="19"/>
      <c r="D61" s="204" t="s">
        <v>123</v>
      </c>
      <c r="E61" s="337" t="s">
        <v>280</v>
      </c>
      <c r="F61" s="337"/>
      <c r="G61" s="170"/>
      <c r="H61" s="165"/>
      <c r="I61" s="165"/>
      <c r="J61" s="165"/>
      <c r="K61" s="165"/>
      <c r="L61" s="165"/>
      <c r="M61" s="165"/>
      <c r="N61" s="165"/>
      <c r="O61" s="165"/>
      <c r="P61" s="165"/>
      <c r="Q61" s="165"/>
      <c r="R61" s="165"/>
      <c r="S61" s="165"/>
      <c r="T61" s="165"/>
      <c r="U61" s="165"/>
      <c r="V61" s="165"/>
      <c r="W61" s="165"/>
      <c r="X61" s="165"/>
      <c r="Y61" s="165"/>
      <c r="Z61" s="165"/>
      <c r="AA61" s="11"/>
      <c r="AB61" s="11"/>
      <c r="AC61" s="11"/>
      <c r="AD61" s="11"/>
      <c r="AE61" s="11"/>
      <c r="AF61" s="11"/>
      <c r="AG61" s="11"/>
      <c r="AH61" s="11"/>
      <c r="AI61" s="11"/>
      <c r="AJ61" s="11"/>
      <c r="AK61" s="11"/>
      <c r="AL61" s="11"/>
      <c r="AM61" s="11"/>
      <c r="AN61" s="11"/>
      <c r="AO61" s="11"/>
      <c r="AP61" s="11"/>
      <c r="AQ61" s="11"/>
      <c r="AR61" s="11"/>
      <c r="AS61" s="11"/>
      <c r="AT61" s="11"/>
      <c r="AU61" s="11"/>
      <c r="AV61" s="11"/>
      <c r="AW61" s="11"/>
      <c r="AX61" s="11"/>
      <c r="AY61" s="11"/>
      <c r="AZ61" s="11"/>
      <c r="BA61" s="11"/>
      <c r="BB61" s="11"/>
      <c r="BC61" s="11"/>
      <c r="BD61" s="11"/>
      <c r="BE61" s="11"/>
      <c r="BF61" s="11"/>
      <c r="BG61" s="11"/>
      <c r="BH61" s="11"/>
      <c r="BI61" s="11"/>
      <c r="BJ61" s="11"/>
      <c r="BK61" s="11"/>
      <c r="BL61" s="11"/>
      <c r="BM61" s="11"/>
      <c r="BN61" s="11"/>
      <c r="BO61" s="11"/>
      <c r="BP61" s="11"/>
      <c r="BQ61" s="11"/>
      <c r="BR61" s="11"/>
      <c r="BS61" s="11"/>
      <c r="BT61" s="11"/>
      <c r="BU61" s="11"/>
      <c r="BV61" s="11"/>
      <c r="BW61" s="11"/>
      <c r="BX61" s="11"/>
      <c r="BY61" s="11"/>
      <c r="BZ61" s="11"/>
      <c r="CA61" s="11"/>
      <c r="CB61" s="11"/>
      <c r="CC61" s="11"/>
      <c r="CD61" s="11"/>
      <c r="CE61" s="11"/>
      <c r="CF61" s="11"/>
      <c r="CG61" s="11"/>
      <c r="CH61" s="11"/>
      <c r="CI61" s="11"/>
      <c r="CJ61" s="11"/>
      <c r="CK61" s="11"/>
      <c r="CL61" s="11"/>
      <c r="CM61" s="11"/>
      <c r="CN61" s="11"/>
      <c r="CO61" s="11"/>
      <c r="CP61" s="11"/>
      <c r="CQ61" s="11"/>
      <c r="CR61" s="11"/>
      <c r="CS61" s="11"/>
      <c r="CT61" s="11"/>
      <c r="CU61" s="11"/>
      <c r="CV61" s="11"/>
      <c r="CW61" s="11"/>
      <c r="CX61" s="11"/>
      <c r="CY61" s="11"/>
      <c r="CZ61" s="11"/>
      <c r="DA61" s="11"/>
      <c r="DB61" s="11"/>
      <c r="DC61" s="11"/>
      <c r="DD61" s="11"/>
      <c r="DE61" s="11"/>
      <c r="DF61" s="11"/>
      <c r="DG61" s="11"/>
      <c r="DH61" s="11"/>
      <c r="DI61" s="11"/>
      <c r="DJ61" s="11"/>
      <c r="DK61" s="11"/>
      <c r="DL61" s="11"/>
      <c r="DM61" s="11"/>
      <c r="DN61" s="11"/>
      <c r="DO61" s="11"/>
      <c r="DP61" s="11"/>
      <c r="DQ61" s="11"/>
      <c r="DR61" s="11"/>
      <c r="DS61" s="11"/>
      <c r="DT61" s="11"/>
      <c r="DU61" s="11"/>
      <c r="DV61" s="11"/>
      <c r="DW61" s="11"/>
      <c r="DX61" s="11"/>
      <c r="DY61" s="11"/>
      <c r="DZ61" s="11"/>
      <c r="EA61" s="11"/>
      <c r="EB61" s="11"/>
      <c r="EC61" s="11"/>
      <c r="ED61" s="11"/>
      <c r="EE61" s="11"/>
      <c r="EF61" s="11"/>
      <c r="EG61" s="11"/>
      <c r="EH61" s="11"/>
      <c r="EI61" s="11"/>
      <c r="EJ61" s="11"/>
      <c r="EK61" s="11"/>
      <c r="EL61" s="11"/>
      <c r="EM61" s="11"/>
      <c r="EN61" s="11"/>
      <c r="EO61" s="11"/>
      <c r="EP61" s="11"/>
      <c r="EQ61" s="11"/>
      <c r="ER61" s="11"/>
      <c r="ES61" s="11"/>
      <c r="ET61" s="11"/>
      <c r="EU61" s="11"/>
      <c r="EV61" s="11"/>
      <c r="EW61" s="11"/>
      <c r="EX61" s="11"/>
      <c r="EY61" s="11"/>
      <c r="EZ61" s="11"/>
      <c r="FA61" s="11"/>
      <c r="FB61" s="11"/>
      <c r="FC61" s="11"/>
      <c r="FD61" s="11"/>
      <c r="FE61" s="11"/>
      <c r="FF61" s="11"/>
      <c r="FG61" s="11"/>
      <c r="FH61" s="11"/>
      <c r="FI61" s="11"/>
      <c r="FJ61" s="11"/>
      <c r="FK61" s="11"/>
      <c r="FL61" s="11"/>
      <c r="FM61" s="11"/>
      <c r="FN61" s="11"/>
      <c r="FO61" s="11"/>
      <c r="FP61" s="11"/>
      <c r="FQ61" s="11"/>
      <c r="FR61" s="11"/>
      <c r="FS61" s="11"/>
      <c r="FT61" s="11"/>
      <c r="FU61" s="11"/>
      <c r="FV61" s="11"/>
      <c r="FW61" s="11"/>
      <c r="FX61" s="11"/>
      <c r="FY61" s="11"/>
      <c r="FZ61" s="11"/>
      <c r="GA61" s="11"/>
      <c r="GB61" s="11"/>
      <c r="GC61" s="11"/>
      <c r="GD61" s="11"/>
      <c r="GE61" s="11"/>
      <c r="GF61" s="11"/>
      <c r="GG61" s="11"/>
      <c r="GH61" s="11"/>
      <c r="GI61" s="11"/>
      <c r="GJ61" s="11"/>
      <c r="GK61" s="11"/>
      <c r="GL61" s="11"/>
      <c r="GM61" s="11"/>
      <c r="GN61" s="11"/>
      <c r="GO61" s="11"/>
      <c r="GP61" s="11"/>
      <c r="GQ61" s="11"/>
      <c r="GR61" s="11"/>
      <c r="GS61" s="11"/>
      <c r="GT61" s="11"/>
      <c r="GU61" s="11"/>
      <c r="GV61" s="11"/>
      <c r="GW61" s="11"/>
      <c r="GX61" s="11"/>
      <c r="GY61" s="11"/>
      <c r="GZ61" s="11"/>
      <c r="HA61" s="11"/>
      <c r="HB61" s="11"/>
      <c r="HC61" s="11"/>
      <c r="HD61" s="11"/>
      <c r="HE61" s="11"/>
      <c r="HF61" s="11"/>
      <c r="HG61" s="11"/>
      <c r="HH61" s="11"/>
      <c r="HI61" s="11"/>
      <c r="HJ61" s="11"/>
      <c r="HK61" s="11"/>
      <c r="HL61" s="11"/>
      <c r="HM61" s="11"/>
      <c r="HN61" s="11"/>
      <c r="HO61" s="11"/>
      <c r="HP61" s="11"/>
      <c r="HQ61" s="11"/>
      <c r="HR61" s="11"/>
      <c r="HS61" s="11"/>
      <c r="HT61" s="11"/>
      <c r="HU61" s="11"/>
    </row>
    <row r="62" spans="1:229" s="12" customFormat="1" ht="13.8">
      <c r="A62" s="250"/>
      <c r="B62" s="10"/>
      <c r="C62" s="19"/>
      <c r="D62" s="204" t="s">
        <v>123</v>
      </c>
      <c r="E62" s="337" t="s">
        <v>281</v>
      </c>
      <c r="F62" s="337"/>
      <c r="G62" s="170"/>
      <c r="H62" s="165"/>
      <c r="I62" s="165"/>
      <c r="J62" s="165"/>
      <c r="K62" s="165"/>
      <c r="L62" s="165"/>
      <c r="M62" s="165"/>
      <c r="N62" s="165"/>
      <c r="O62" s="165"/>
      <c r="P62" s="165"/>
      <c r="Q62" s="165"/>
      <c r="R62" s="165"/>
      <c r="S62" s="165"/>
      <c r="T62" s="165"/>
      <c r="U62" s="165"/>
      <c r="V62" s="165"/>
      <c r="W62" s="165"/>
      <c r="X62" s="165"/>
      <c r="Y62" s="165"/>
      <c r="Z62" s="165"/>
      <c r="AA62" s="11"/>
      <c r="AB62" s="11"/>
      <c r="AC62" s="11"/>
      <c r="AD62" s="11"/>
      <c r="AE62" s="11"/>
      <c r="AF62" s="11"/>
      <c r="AG62" s="11"/>
      <c r="AH62" s="11"/>
      <c r="AI62" s="11"/>
      <c r="AJ62" s="11"/>
      <c r="AK62" s="11"/>
      <c r="AL62" s="11"/>
      <c r="AM62" s="11"/>
      <c r="AN62" s="11"/>
      <c r="AO62" s="11"/>
      <c r="AP62" s="11"/>
      <c r="AQ62" s="11"/>
      <c r="AR62" s="11"/>
      <c r="AS62" s="11"/>
      <c r="AT62" s="11"/>
      <c r="AU62" s="11"/>
      <c r="AV62" s="11"/>
      <c r="AW62" s="11"/>
      <c r="AX62" s="11"/>
      <c r="AY62" s="11"/>
      <c r="AZ62" s="11"/>
      <c r="BA62" s="11"/>
      <c r="BB62" s="11"/>
      <c r="BC62" s="11"/>
      <c r="BD62" s="11"/>
      <c r="BE62" s="11"/>
      <c r="BF62" s="11"/>
      <c r="BG62" s="11"/>
      <c r="BH62" s="11"/>
      <c r="BI62" s="11"/>
      <c r="BJ62" s="11"/>
      <c r="BK62" s="11"/>
      <c r="BL62" s="11"/>
      <c r="BM62" s="11"/>
      <c r="BN62" s="11"/>
      <c r="BO62" s="11"/>
      <c r="BP62" s="11"/>
      <c r="BQ62" s="11"/>
      <c r="BR62" s="11"/>
      <c r="BS62" s="11"/>
      <c r="BT62" s="11"/>
      <c r="BU62" s="11"/>
      <c r="BV62" s="11"/>
      <c r="BW62" s="11"/>
      <c r="BX62" s="11"/>
      <c r="BY62" s="11"/>
      <c r="BZ62" s="11"/>
      <c r="CA62" s="11"/>
      <c r="CB62" s="11"/>
      <c r="CC62" s="11"/>
      <c r="CD62" s="11"/>
      <c r="CE62" s="11"/>
      <c r="CF62" s="11"/>
      <c r="CG62" s="11"/>
      <c r="CH62" s="11"/>
      <c r="CI62" s="11"/>
      <c r="CJ62" s="11"/>
      <c r="CK62" s="11"/>
      <c r="CL62" s="11"/>
      <c r="CM62" s="11"/>
      <c r="CN62" s="11"/>
      <c r="CO62" s="11"/>
      <c r="CP62" s="11"/>
      <c r="CQ62" s="11"/>
      <c r="CR62" s="11"/>
      <c r="CS62" s="11"/>
      <c r="CT62" s="11"/>
      <c r="CU62" s="11"/>
      <c r="CV62" s="11"/>
      <c r="CW62" s="11"/>
      <c r="CX62" s="11"/>
      <c r="CY62" s="11"/>
      <c r="CZ62" s="11"/>
      <c r="DA62" s="11"/>
      <c r="DB62" s="11"/>
      <c r="DC62" s="11"/>
      <c r="DD62" s="11"/>
      <c r="DE62" s="11"/>
      <c r="DF62" s="11"/>
      <c r="DG62" s="11"/>
      <c r="DH62" s="11"/>
      <c r="DI62" s="11"/>
      <c r="DJ62" s="11"/>
      <c r="DK62" s="11"/>
      <c r="DL62" s="11"/>
      <c r="DM62" s="11"/>
      <c r="DN62" s="11"/>
      <c r="DO62" s="11"/>
      <c r="DP62" s="11"/>
      <c r="DQ62" s="11"/>
      <c r="DR62" s="11"/>
      <c r="DS62" s="11"/>
      <c r="DT62" s="11"/>
      <c r="DU62" s="11"/>
      <c r="DV62" s="11"/>
      <c r="DW62" s="11"/>
      <c r="DX62" s="11"/>
      <c r="DY62" s="11"/>
      <c r="DZ62" s="11"/>
      <c r="EA62" s="11"/>
      <c r="EB62" s="11"/>
      <c r="EC62" s="11"/>
      <c r="ED62" s="11"/>
      <c r="EE62" s="11"/>
      <c r="EF62" s="11"/>
      <c r="EG62" s="11"/>
      <c r="EH62" s="11"/>
      <c r="EI62" s="11"/>
      <c r="EJ62" s="11"/>
      <c r="EK62" s="11"/>
      <c r="EL62" s="11"/>
      <c r="EM62" s="11"/>
      <c r="EN62" s="11"/>
      <c r="EO62" s="11"/>
      <c r="EP62" s="11"/>
      <c r="EQ62" s="11"/>
      <c r="ER62" s="11"/>
      <c r="ES62" s="11"/>
      <c r="ET62" s="11"/>
      <c r="EU62" s="11"/>
      <c r="EV62" s="11"/>
      <c r="EW62" s="11"/>
      <c r="EX62" s="11"/>
      <c r="EY62" s="11"/>
      <c r="EZ62" s="11"/>
      <c r="FA62" s="11"/>
      <c r="FB62" s="11"/>
      <c r="FC62" s="11"/>
      <c r="FD62" s="11"/>
      <c r="FE62" s="11"/>
      <c r="FF62" s="11"/>
      <c r="FG62" s="11"/>
      <c r="FH62" s="11"/>
      <c r="FI62" s="11"/>
      <c r="FJ62" s="11"/>
      <c r="FK62" s="11"/>
      <c r="FL62" s="11"/>
      <c r="FM62" s="11"/>
      <c r="FN62" s="11"/>
      <c r="FO62" s="11"/>
      <c r="FP62" s="11"/>
      <c r="FQ62" s="11"/>
      <c r="FR62" s="11"/>
      <c r="FS62" s="11"/>
      <c r="FT62" s="11"/>
      <c r="FU62" s="11"/>
      <c r="FV62" s="11"/>
      <c r="FW62" s="11"/>
      <c r="FX62" s="11"/>
      <c r="FY62" s="11"/>
      <c r="FZ62" s="11"/>
      <c r="GA62" s="11"/>
      <c r="GB62" s="11"/>
      <c r="GC62" s="11"/>
      <c r="GD62" s="11"/>
      <c r="GE62" s="11"/>
      <c r="GF62" s="11"/>
      <c r="GG62" s="11"/>
      <c r="GH62" s="11"/>
      <c r="GI62" s="11"/>
      <c r="GJ62" s="11"/>
      <c r="GK62" s="11"/>
      <c r="GL62" s="11"/>
      <c r="GM62" s="11"/>
      <c r="GN62" s="11"/>
      <c r="GO62" s="11"/>
      <c r="GP62" s="11"/>
      <c r="GQ62" s="11"/>
      <c r="GR62" s="11"/>
      <c r="GS62" s="11"/>
      <c r="GT62" s="11"/>
      <c r="GU62" s="11"/>
      <c r="GV62" s="11"/>
      <c r="GW62" s="11"/>
      <c r="GX62" s="11"/>
      <c r="GY62" s="11"/>
      <c r="GZ62" s="11"/>
      <c r="HA62" s="11"/>
      <c r="HB62" s="11"/>
      <c r="HC62" s="11"/>
      <c r="HD62" s="11"/>
      <c r="HE62" s="11"/>
      <c r="HF62" s="11"/>
      <c r="HG62" s="11"/>
      <c r="HH62" s="11"/>
      <c r="HI62" s="11"/>
      <c r="HJ62" s="11"/>
      <c r="HK62" s="11"/>
      <c r="HL62" s="11"/>
      <c r="HM62" s="11"/>
      <c r="HN62" s="11"/>
      <c r="HO62" s="11"/>
      <c r="HP62" s="11"/>
      <c r="HQ62" s="11"/>
      <c r="HR62" s="11"/>
      <c r="HS62" s="11"/>
      <c r="HT62" s="11"/>
      <c r="HU62" s="11"/>
    </row>
    <row r="63" spans="1:229" s="12" customFormat="1" ht="13.8">
      <c r="A63" s="250"/>
      <c r="B63" s="10"/>
      <c r="C63" s="19"/>
      <c r="D63" s="204"/>
      <c r="E63" s="204" t="s">
        <v>123</v>
      </c>
      <c r="F63" s="272" t="s">
        <v>287</v>
      </c>
      <c r="G63" s="170"/>
      <c r="H63" s="165"/>
      <c r="I63" s="165"/>
      <c r="J63" s="165"/>
      <c r="K63" s="165"/>
      <c r="L63" s="165"/>
      <c r="M63" s="165"/>
      <c r="N63" s="165"/>
      <c r="O63" s="165"/>
      <c r="P63" s="165"/>
      <c r="Q63" s="165"/>
      <c r="R63" s="165"/>
      <c r="S63" s="165"/>
      <c r="T63" s="165"/>
      <c r="U63" s="165"/>
      <c r="V63" s="165"/>
      <c r="W63" s="165"/>
      <c r="X63" s="165"/>
      <c r="Y63" s="165"/>
      <c r="Z63" s="165"/>
      <c r="AA63" s="11"/>
      <c r="AB63" s="11"/>
      <c r="AC63" s="11"/>
      <c r="AD63" s="11"/>
      <c r="AE63" s="11"/>
      <c r="AF63" s="11"/>
      <c r="AG63" s="11"/>
      <c r="AH63" s="11"/>
      <c r="AI63" s="11"/>
      <c r="AJ63" s="11"/>
      <c r="AK63" s="11"/>
      <c r="AL63" s="11"/>
      <c r="AM63" s="11"/>
      <c r="AN63" s="11"/>
      <c r="AO63" s="11"/>
      <c r="AP63" s="11"/>
      <c r="AQ63" s="11"/>
      <c r="AR63" s="11"/>
      <c r="AS63" s="11"/>
      <c r="AT63" s="11"/>
      <c r="AU63" s="11"/>
      <c r="AV63" s="11"/>
      <c r="AW63" s="11"/>
      <c r="AX63" s="11"/>
      <c r="AY63" s="11"/>
      <c r="AZ63" s="11"/>
      <c r="BA63" s="11"/>
      <c r="BB63" s="11"/>
      <c r="BC63" s="11"/>
      <c r="BD63" s="11"/>
      <c r="BE63" s="11"/>
      <c r="BF63" s="11"/>
      <c r="BG63" s="11"/>
      <c r="BH63" s="11"/>
      <c r="BI63" s="11"/>
      <c r="BJ63" s="11"/>
      <c r="BK63" s="11"/>
      <c r="BL63" s="11"/>
      <c r="BM63" s="11"/>
      <c r="BN63" s="11"/>
      <c r="BO63" s="11"/>
      <c r="BP63" s="11"/>
      <c r="BQ63" s="11"/>
      <c r="BR63" s="11"/>
      <c r="BS63" s="11"/>
      <c r="BT63" s="11"/>
      <c r="BU63" s="11"/>
      <c r="BV63" s="11"/>
      <c r="BW63" s="11"/>
      <c r="BX63" s="11"/>
      <c r="BY63" s="11"/>
      <c r="BZ63" s="11"/>
      <c r="CA63" s="11"/>
      <c r="CB63" s="11"/>
      <c r="CC63" s="11"/>
      <c r="CD63" s="11"/>
      <c r="CE63" s="11"/>
      <c r="CF63" s="11"/>
      <c r="CG63" s="11"/>
      <c r="CH63" s="11"/>
      <c r="CI63" s="11"/>
      <c r="CJ63" s="11"/>
      <c r="CK63" s="11"/>
      <c r="CL63" s="11"/>
      <c r="CM63" s="11"/>
      <c r="CN63" s="11"/>
      <c r="CO63" s="11"/>
      <c r="CP63" s="11"/>
      <c r="CQ63" s="11"/>
      <c r="CR63" s="11"/>
      <c r="CS63" s="11"/>
      <c r="CT63" s="11"/>
      <c r="CU63" s="11"/>
      <c r="CV63" s="11"/>
      <c r="CW63" s="11"/>
      <c r="CX63" s="11"/>
      <c r="CY63" s="11"/>
      <c r="CZ63" s="11"/>
      <c r="DA63" s="11"/>
      <c r="DB63" s="11"/>
      <c r="DC63" s="11"/>
      <c r="DD63" s="11"/>
      <c r="DE63" s="11"/>
      <c r="DF63" s="11"/>
      <c r="DG63" s="11"/>
      <c r="DH63" s="11"/>
      <c r="DI63" s="11"/>
      <c r="DJ63" s="11"/>
      <c r="DK63" s="11"/>
      <c r="DL63" s="11"/>
      <c r="DM63" s="11"/>
      <c r="DN63" s="11"/>
      <c r="DO63" s="11"/>
      <c r="DP63" s="11"/>
      <c r="DQ63" s="11"/>
      <c r="DR63" s="11"/>
      <c r="DS63" s="11"/>
      <c r="DT63" s="11"/>
      <c r="DU63" s="11"/>
      <c r="DV63" s="11"/>
      <c r="DW63" s="11"/>
      <c r="DX63" s="11"/>
      <c r="DY63" s="11"/>
      <c r="DZ63" s="11"/>
      <c r="EA63" s="11"/>
      <c r="EB63" s="11"/>
      <c r="EC63" s="11"/>
      <c r="ED63" s="11"/>
      <c r="EE63" s="11"/>
      <c r="EF63" s="11"/>
      <c r="EG63" s="11"/>
      <c r="EH63" s="11"/>
      <c r="EI63" s="11"/>
      <c r="EJ63" s="11"/>
      <c r="EK63" s="11"/>
      <c r="EL63" s="11"/>
      <c r="EM63" s="11"/>
      <c r="EN63" s="11"/>
      <c r="EO63" s="11"/>
      <c r="EP63" s="11"/>
      <c r="EQ63" s="11"/>
      <c r="ER63" s="11"/>
      <c r="ES63" s="11"/>
      <c r="ET63" s="11"/>
      <c r="EU63" s="11"/>
      <c r="EV63" s="11"/>
      <c r="EW63" s="11"/>
      <c r="EX63" s="11"/>
      <c r="EY63" s="11"/>
      <c r="EZ63" s="11"/>
      <c r="FA63" s="11"/>
      <c r="FB63" s="11"/>
      <c r="FC63" s="11"/>
      <c r="FD63" s="11"/>
      <c r="FE63" s="11"/>
      <c r="FF63" s="11"/>
      <c r="FG63" s="11"/>
      <c r="FH63" s="11"/>
      <c r="FI63" s="11"/>
      <c r="FJ63" s="11"/>
      <c r="FK63" s="11"/>
      <c r="FL63" s="11"/>
      <c r="FM63" s="11"/>
      <c r="FN63" s="11"/>
      <c r="FO63" s="11"/>
      <c r="FP63" s="11"/>
      <c r="FQ63" s="11"/>
      <c r="FR63" s="11"/>
      <c r="FS63" s="11"/>
      <c r="FT63" s="11"/>
      <c r="FU63" s="11"/>
      <c r="FV63" s="11"/>
      <c r="FW63" s="11"/>
      <c r="FX63" s="11"/>
      <c r="FY63" s="11"/>
      <c r="FZ63" s="11"/>
      <c r="GA63" s="11"/>
      <c r="GB63" s="11"/>
      <c r="GC63" s="11"/>
      <c r="GD63" s="11"/>
      <c r="GE63" s="11"/>
      <c r="GF63" s="11"/>
      <c r="GG63" s="11"/>
      <c r="GH63" s="11"/>
      <c r="GI63" s="11"/>
      <c r="GJ63" s="11"/>
      <c r="GK63" s="11"/>
      <c r="GL63" s="11"/>
      <c r="GM63" s="11"/>
      <c r="GN63" s="11"/>
      <c r="GO63" s="11"/>
      <c r="GP63" s="11"/>
      <c r="GQ63" s="11"/>
      <c r="GR63" s="11"/>
      <c r="GS63" s="11"/>
      <c r="GT63" s="11"/>
      <c r="GU63" s="11"/>
      <c r="GV63" s="11"/>
      <c r="GW63" s="11"/>
      <c r="GX63" s="11"/>
      <c r="GY63" s="11"/>
      <c r="GZ63" s="11"/>
      <c r="HA63" s="11"/>
      <c r="HB63" s="11"/>
      <c r="HC63" s="11"/>
      <c r="HD63" s="11"/>
      <c r="HE63" s="11"/>
      <c r="HF63" s="11"/>
      <c r="HG63" s="11"/>
      <c r="HH63" s="11"/>
      <c r="HI63" s="11"/>
      <c r="HJ63" s="11"/>
      <c r="HK63" s="11"/>
      <c r="HL63" s="11"/>
      <c r="HM63" s="11"/>
      <c r="HN63" s="11"/>
      <c r="HO63" s="11"/>
      <c r="HP63" s="11"/>
      <c r="HQ63" s="11"/>
      <c r="HR63" s="11"/>
      <c r="HS63" s="11"/>
      <c r="HT63" s="11"/>
      <c r="HU63" s="11"/>
    </row>
    <row r="64" spans="1:229" s="12" customFormat="1" ht="13.8">
      <c r="A64" s="250"/>
      <c r="B64" s="10"/>
      <c r="C64" s="19"/>
      <c r="D64" s="204"/>
      <c r="E64" s="204" t="s">
        <v>123</v>
      </c>
      <c r="F64" s="272" t="s">
        <v>288</v>
      </c>
      <c r="G64" s="170"/>
      <c r="H64" s="165"/>
      <c r="I64" s="165"/>
      <c r="J64" s="165"/>
      <c r="K64" s="165"/>
      <c r="L64" s="165"/>
      <c r="M64" s="165"/>
      <c r="N64" s="165"/>
      <c r="O64" s="165"/>
      <c r="P64" s="165"/>
      <c r="Q64" s="165"/>
      <c r="R64" s="165"/>
      <c r="S64" s="165"/>
      <c r="T64" s="165"/>
      <c r="U64" s="165"/>
      <c r="V64" s="165"/>
      <c r="W64" s="165"/>
      <c r="X64" s="165"/>
      <c r="Y64" s="165"/>
      <c r="Z64" s="165"/>
      <c r="AA64" s="11"/>
      <c r="AB64" s="11"/>
      <c r="AC64" s="11"/>
      <c r="AD64" s="11"/>
      <c r="AE64" s="11"/>
      <c r="AF64" s="11"/>
      <c r="AG64" s="11"/>
      <c r="AH64" s="11"/>
      <c r="AI64" s="11"/>
      <c r="AJ64" s="11"/>
      <c r="AK64" s="11"/>
      <c r="AL64" s="11"/>
      <c r="AM64" s="11"/>
      <c r="AN64" s="11"/>
      <c r="AO64" s="11"/>
      <c r="AP64" s="11"/>
      <c r="AQ64" s="11"/>
      <c r="AR64" s="11"/>
      <c r="AS64" s="11"/>
      <c r="AT64" s="11"/>
      <c r="AU64" s="11"/>
      <c r="AV64" s="11"/>
      <c r="AW64" s="11"/>
      <c r="AX64" s="11"/>
      <c r="AY64" s="11"/>
      <c r="AZ64" s="11"/>
      <c r="BA64" s="11"/>
      <c r="BB64" s="11"/>
      <c r="BC64" s="11"/>
      <c r="BD64" s="11"/>
      <c r="BE64" s="11"/>
      <c r="BF64" s="11"/>
      <c r="BG64" s="11"/>
      <c r="BH64" s="11"/>
      <c r="BI64" s="11"/>
      <c r="BJ64" s="11"/>
      <c r="BK64" s="11"/>
      <c r="BL64" s="11"/>
      <c r="BM64" s="11"/>
      <c r="BN64" s="11"/>
      <c r="BO64" s="11"/>
      <c r="BP64" s="11"/>
      <c r="BQ64" s="11"/>
      <c r="BR64" s="11"/>
      <c r="BS64" s="11"/>
      <c r="BT64" s="11"/>
      <c r="BU64" s="11"/>
      <c r="BV64" s="11"/>
      <c r="BW64" s="11"/>
      <c r="BX64" s="11"/>
      <c r="BY64" s="11"/>
      <c r="BZ64" s="11"/>
      <c r="CA64" s="11"/>
      <c r="CB64" s="11"/>
      <c r="CC64" s="11"/>
      <c r="CD64" s="11"/>
      <c r="CE64" s="11"/>
      <c r="CF64" s="11"/>
      <c r="CG64" s="11"/>
      <c r="CH64" s="11"/>
      <c r="CI64" s="11"/>
      <c r="CJ64" s="11"/>
      <c r="CK64" s="11"/>
      <c r="CL64" s="11"/>
      <c r="CM64" s="11"/>
      <c r="CN64" s="11"/>
      <c r="CO64" s="11"/>
      <c r="CP64" s="11"/>
      <c r="CQ64" s="11"/>
      <c r="CR64" s="11"/>
      <c r="CS64" s="11"/>
      <c r="CT64" s="11"/>
      <c r="CU64" s="11"/>
      <c r="CV64" s="11"/>
      <c r="CW64" s="11"/>
      <c r="CX64" s="11"/>
      <c r="CY64" s="11"/>
      <c r="CZ64" s="11"/>
      <c r="DA64" s="11"/>
      <c r="DB64" s="11"/>
      <c r="DC64" s="11"/>
      <c r="DD64" s="11"/>
      <c r="DE64" s="11"/>
      <c r="DF64" s="11"/>
      <c r="DG64" s="11"/>
      <c r="DH64" s="11"/>
      <c r="DI64" s="11"/>
      <c r="DJ64" s="11"/>
      <c r="DK64" s="11"/>
      <c r="DL64" s="11"/>
      <c r="DM64" s="11"/>
      <c r="DN64" s="11"/>
      <c r="DO64" s="11"/>
      <c r="DP64" s="11"/>
      <c r="DQ64" s="11"/>
      <c r="DR64" s="11"/>
      <c r="DS64" s="11"/>
      <c r="DT64" s="11"/>
      <c r="DU64" s="11"/>
      <c r="DV64" s="11"/>
      <c r="DW64" s="11"/>
      <c r="DX64" s="11"/>
      <c r="DY64" s="11"/>
      <c r="DZ64" s="11"/>
      <c r="EA64" s="11"/>
      <c r="EB64" s="11"/>
      <c r="EC64" s="11"/>
      <c r="ED64" s="11"/>
      <c r="EE64" s="11"/>
      <c r="EF64" s="11"/>
      <c r="EG64" s="11"/>
      <c r="EH64" s="11"/>
      <c r="EI64" s="11"/>
      <c r="EJ64" s="11"/>
      <c r="EK64" s="11"/>
      <c r="EL64" s="11"/>
      <c r="EM64" s="11"/>
      <c r="EN64" s="11"/>
      <c r="EO64" s="11"/>
      <c r="EP64" s="11"/>
      <c r="EQ64" s="11"/>
      <c r="ER64" s="11"/>
      <c r="ES64" s="11"/>
      <c r="ET64" s="11"/>
      <c r="EU64" s="11"/>
      <c r="EV64" s="11"/>
      <c r="EW64" s="11"/>
      <c r="EX64" s="11"/>
      <c r="EY64" s="11"/>
      <c r="EZ64" s="11"/>
      <c r="FA64" s="11"/>
      <c r="FB64" s="11"/>
      <c r="FC64" s="11"/>
      <c r="FD64" s="11"/>
      <c r="FE64" s="11"/>
      <c r="FF64" s="11"/>
      <c r="FG64" s="11"/>
      <c r="FH64" s="11"/>
      <c r="FI64" s="11"/>
      <c r="FJ64" s="11"/>
      <c r="FK64" s="11"/>
      <c r="FL64" s="11"/>
      <c r="FM64" s="11"/>
      <c r="FN64" s="11"/>
      <c r="FO64" s="11"/>
      <c r="FP64" s="11"/>
      <c r="FQ64" s="11"/>
      <c r="FR64" s="11"/>
      <c r="FS64" s="11"/>
      <c r="FT64" s="11"/>
      <c r="FU64" s="11"/>
      <c r="FV64" s="11"/>
      <c r="FW64" s="11"/>
      <c r="FX64" s="11"/>
      <c r="FY64" s="11"/>
      <c r="FZ64" s="11"/>
      <c r="GA64" s="11"/>
      <c r="GB64" s="11"/>
      <c r="GC64" s="11"/>
      <c r="GD64" s="11"/>
      <c r="GE64" s="11"/>
      <c r="GF64" s="11"/>
      <c r="GG64" s="11"/>
      <c r="GH64" s="11"/>
      <c r="GI64" s="11"/>
      <c r="GJ64" s="11"/>
      <c r="GK64" s="11"/>
      <c r="GL64" s="11"/>
      <c r="GM64" s="11"/>
      <c r="GN64" s="11"/>
      <c r="GO64" s="11"/>
      <c r="GP64" s="11"/>
      <c r="GQ64" s="11"/>
      <c r="GR64" s="11"/>
      <c r="GS64" s="11"/>
      <c r="GT64" s="11"/>
      <c r="GU64" s="11"/>
      <c r="GV64" s="11"/>
      <c r="GW64" s="11"/>
      <c r="GX64" s="11"/>
      <c r="GY64" s="11"/>
      <c r="GZ64" s="11"/>
      <c r="HA64" s="11"/>
      <c r="HB64" s="11"/>
      <c r="HC64" s="11"/>
      <c r="HD64" s="11"/>
      <c r="HE64" s="11"/>
      <c r="HF64" s="11"/>
      <c r="HG64" s="11"/>
      <c r="HH64" s="11"/>
      <c r="HI64" s="11"/>
      <c r="HJ64" s="11"/>
      <c r="HK64" s="11"/>
      <c r="HL64" s="11"/>
      <c r="HM64" s="11"/>
      <c r="HN64" s="11"/>
      <c r="HO64" s="11"/>
      <c r="HP64" s="11"/>
      <c r="HQ64" s="11"/>
      <c r="HR64" s="11"/>
      <c r="HS64" s="11"/>
      <c r="HT64" s="11"/>
      <c r="HU64" s="11"/>
    </row>
    <row r="65" spans="1:229" s="12" customFormat="1" ht="13.8">
      <c r="A65" s="250"/>
      <c r="B65" s="10"/>
      <c r="C65" s="19"/>
      <c r="D65" s="204"/>
      <c r="E65" s="204" t="s">
        <v>123</v>
      </c>
      <c r="F65" s="272" t="s">
        <v>289</v>
      </c>
      <c r="G65" s="170"/>
      <c r="H65" s="165"/>
      <c r="I65" s="165"/>
      <c r="J65" s="165"/>
      <c r="K65" s="165"/>
      <c r="L65" s="165"/>
      <c r="M65" s="165"/>
      <c r="N65" s="165"/>
      <c r="O65" s="165"/>
      <c r="P65" s="165"/>
      <c r="Q65" s="165"/>
      <c r="R65" s="165"/>
      <c r="S65" s="165"/>
      <c r="T65" s="165"/>
      <c r="U65" s="165"/>
      <c r="V65" s="165"/>
      <c r="W65" s="165"/>
      <c r="X65" s="165"/>
      <c r="Y65" s="165"/>
      <c r="Z65" s="165"/>
      <c r="AA65" s="11"/>
      <c r="AB65" s="11"/>
      <c r="AC65" s="11"/>
      <c r="AD65" s="11"/>
      <c r="AE65" s="11"/>
      <c r="AF65" s="11"/>
      <c r="AG65" s="11"/>
      <c r="AH65" s="11"/>
      <c r="AI65" s="11"/>
      <c r="AJ65" s="11"/>
      <c r="AK65" s="11"/>
      <c r="AL65" s="11"/>
      <c r="AM65" s="11"/>
      <c r="AN65" s="11"/>
      <c r="AO65" s="11"/>
      <c r="AP65" s="11"/>
      <c r="AQ65" s="11"/>
      <c r="AR65" s="11"/>
      <c r="AS65" s="11"/>
      <c r="AT65" s="11"/>
      <c r="AU65" s="11"/>
      <c r="AV65" s="11"/>
      <c r="AW65" s="11"/>
      <c r="AX65" s="11"/>
      <c r="AY65" s="11"/>
      <c r="AZ65" s="11"/>
      <c r="BA65" s="11"/>
      <c r="BB65" s="11"/>
      <c r="BC65" s="11"/>
      <c r="BD65" s="11"/>
      <c r="BE65" s="11"/>
      <c r="BF65" s="11"/>
      <c r="BG65" s="11"/>
      <c r="BH65" s="11"/>
      <c r="BI65" s="11"/>
      <c r="BJ65" s="11"/>
      <c r="BK65" s="11"/>
      <c r="BL65" s="11"/>
      <c r="BM65" s="11"/>
      <c r="BN65" s="11"/>
      <c r="BO65" s="11"/>
      <c r="BP65" s="11"/>
      <c r="BQ65" s="11"/>
      <c r="BR65" s="11"/>
      <c r="BS65" s="11"/>
      <c r="BT65" s="11"/>
      <c r="BU65" s="11"/>
      <c r="BV65" s="11"/>
      <c r="BW65" s="11"/>
      <c r="BX65" s="11"/>
      <c r="BY65" s="11"/>
      <c r="BZ65" s="11"/>
      <c r="CA65" s="11"/>
      <c r="CB65" s="11"/>
      <c r="CC65" s="11"/>
      <c r="CD65" s="11"/>
      <c r="CE65" s="11"/>
      <c r="CF65" s="11"/>
      <c r="CG65" s="11"/>
      <c r="CH65" s="11"/>
      <c r="CI65" s="11"/>
      <c r="CJ65" s="11"/>
      <c r="CK65" s="11"/>
      <c r="CL65" s="11"/>
      <c r="CM65" s="11"/>
      <c r="CN65" s="11"/>
      <c r="CO65" s="11"/>
      <c r="CP65" s="11"/>
      <c r="CQ65" s="11"/>
      <c r="CR65" s="11"/>
      <c r="CS65" s="11"/>
      <c r="CT65" s="11"/>
      <c r="CU65" s="11"/>
      <c r="CV65" s="11"/>
      <c r="CW65" s="11"/>
      <c r="CX65" s="11"/>
      <c r="CY65" s="11"/>
      <c r="CZ65" s="11"/>
      <c r="DA65" s="11"/>
      <c r="DB65" s="11"/>
      <c r="DC65" s="11"/>
      <c r="DD65" s="11"/>
      <c r="DE65" s="11"/>
      <c r="DF65" s="11"/>
      <c r="DG65" s="11"/>
      <c r="DH65" s="11"/>
      <c r="DI65" s="11"/>
      <c r="DJ65" s="11"/>
      <c r="DK65" s="11"/>
      <c r="DL65" s="11"/>
      <c r="DM65" s="11"/>
      <c r="DN65" s="11"/>
      <c r="DO65" s="11"/>
      <c r="DP65" s="11"/>
      <c r="DQ65" s="11"/>
      <c r="DR65" s="11"/>
      <c r="DS65" s="11"/>
      <c r="DT65" s="11"/>
      <c r="DU65" s="11"/>
      <c r="DV65" s="11"/>
      <c r="DW65" s="11"/>
      <c r="DX65" s="11"/>
      <c r="DY65" s="11"/>
      <c r="DZ65" s="11"/>
      <c r="EA65" s="11"/>
      <c r="EB65" s="11"/>
      <c r="EC65" s="11"/>
      <c r="ED65" s="11"/>
      <c r="EE65" s="11"/>
      <c r="EF65" s="11"/>
      <c r="EG65" s="11"/>
      <c r="EH65" s="11"/>
      <c r="EI65" s="11"/>
      <c r="EJ65" s="11"/>
      <c r="EK65" s="11"/>
      <c r="EL65" s="11"/>
      <c r="EM65" s="11"/>
      <c r="EN65" s="11"/>
      <c r="EO65" s="11"/>
      <c r="EP65" s="11"/>
      <c r="EQ65" s="11"/>
      <c r="ER65" s="11"/>
      <c r="ES65" s="11"/>
      <c r="ET65" s="11"/>
      <c r="EU65" s="11"/>
      <c r="EV65" s="11"/>
      <c r="EW65" s="11"/>
      <c r="EX65" s="11"/>
      <c r="EY65" s="11"/>
      <c r="EZ65" s="11"/>
      <c r="FA65" s="11"/>
      <c r="FB65" s="11"/>
      <c r="FC65" s="11"/>
      <c r="FD65" s="11"/>
      <c r="FE65" s="11"/>
      <c r="FF65" s="11"/>
      <c r="FG65" s="11"/>
      <c r="FH65" s="11"/>
      <c r="FI65" s="11"/>
      <c r="FJ65" s="11"/>
      <c r="FK65" s="11"/>
      <c r="FL65" s="11"/>
      <c r="FM65" s="11"/>
      <c r="FN65" s="11"/>
      <c r="FO65" s="11"/>
      <c r="FP65" s="11"/>
      <c r="FQ65" s="11"/>
      <c r="FR65" s="11"/>
      <c r="FS65" s="11"/>
      <c r="FT65" s="11"/>
      <c r="FU65" s="11"/>
      <c r="FV65" s="11"/>
      <c r="FW65" s="11"/>
      <c r="FX65" s="11"/>
      <c r="FY65" s="11"/>
      <c r="FZ65" s="11"/>
      <c r="GA65" s="11"/>
      <c r="GB65" s="11"/>
      <c r="GC65" s="11"/>
      <c r="GD65" s="11"/>
      <c r="GE65" s="11"/>
      <c r="GF65" s="11"/>
      <c r="GG65" s="11"/>
      <c r="GH65" s="11"/>
      <c r="GI65" s="11"/>
      <c r="GJ65" s="11"/>
      <c r="GK65" s="11"/>
      <c r="GL65" s="11"/>
      <c r="GM65" s="11"/>
      <c r="GN65" s="11"/>
      <c r="GO65" s="11"/>
      <c r="GP65" s="11"/>
      <c r="GQ65" s="11"/>
      <c r="GR65" s="11"/>
      <c r="GS65" s="11"/>
      <c r="GT65" s="11"/>
      <c r="GU65" s="11"/>
      <c r="GV65" s="11"/>
      <c r="GW65" s="11"/>
      <c r="GX65" s="11"/>
      <c r="GY65" s="11"/>
      <c r="GZ65" s="11"/>
      <c r="HA65" s="11"/>
      <c r="HB65" s="11"/>
      <c r="HC65" s="11"/>
      <c r="HD65" s="11"/>
      <c r="HE65" s="11"/>
      <c r="HF65" s="11"/>
      <c r="HG65" s="11"/>
      <c r="HH65" s="11"/>
      <c r="HI65" s="11"/>
      <c r="HJ65" s="11"/>
      <c r="HK65" s="11"/>
      <c r="HL65" s="11"/>
      <c r="HM65" s="11"/>
      <c r="HN65" s="11"/>
      <c r="HO65" s="11"/>
      <c r="HP65" s="11"/>
      <c r="HQ65" s="11"/>
      <c r="HR65" s="11"/>
      <c r="HS65" s="11"/>
      <c r="HT65" s="11"/>
      <c r="HU65" s="11"/>
    </row>
    <row r="66" spans="1:229" s="12" customFormat="1" ht="28.2" customHeight="1">
      <c r="A66" s="250"/>
      <c r="B66" s="10"/>
      <c r="C66" s="19"/>
      <c r="D66" s="204" t="s">
        <v>123</v>
      </c>
      <c r="E66" s="337" t="s">
        <v>282</v>
      </c>
      <c r="F66" s="337"/>
      <c r="G66" s="170"/>
      <c r="H66" s="165"/>
      <c r="I66" s="165"/>
      <c r="J66" s="165"/>
      <c r="K66" s="165"/>
      <c r="L66" s="165"/>
      <c r="M66" s="165"/>
      <c r="N66" s="165"/>
      <c r="O66" s="165"/>
      <c r="P66" s="165"/>
      <c r="Q66" s="165"/>
      <c r="R66" s="165"/>
      <c r="S66" s="165"/>
      <c r="T66" s="165"/>
      <c r="U66" s="165"/>
      <c r="V66" s="165"/>
      <c r="W66" s="165"/>
      <c r="X66" s="165"/>
      <c r="Y66" s="165"/>
      <c r="Z66" s="165"/>
      <c r="AA66" s="11"/>
      <c r="AB66" s="11"/>
      <c r="AC66" s="11"/>
      <c r="AD66" s="11"/>
      <c r="AE66" s="11"/>
      <c r="AF66" s="11"/>
      <c r="AG66" s="11"/>
      <c r="AH66" s="11"/>
      <c r="AI66" s="11"/>
      <c r="AJ66" s="11"/>
      <c r="AK66" s="11"/>
      <c r="AL66" s="11"/>
      <c r="AM66" s="11"/>
      <c r="AN66" s="11"/>
      <c r="AO66" s="11"/>
      <c r="AP66" s="11"/>
      <c r="AQ66" s="11"/>
      <c r="AR66" s="11"/>
      <c r="AS66" s="11"/>
      <c r="AT66" s="11"/>
      <c r="AU66" s="11"/>
      <c r="AV66" s="11"/>
      <c r="AW66" s="11"/>
      <c r="AX66" s="11"/>
      <c r="AY66" s="11"/>
      <c r="AZ66" s="11"/>
      <c r="BA66" s="11"/>
      <c r="BB66" s="11"/>
      <c r="BC66" s="11"/>
      <c r="BD66" s="11"/>
      <c r="BE66" s="11"/>
      <c r="BF66" s="11"/>
      <c r="BG66" s="11"/>
      <c r="BH66" s="11"/>
      <c r="BI66" s="11"/>
      <c r="BJ66" s="11"/>
      <c r="BK66" s="11"/>
      <c r="BL66" s="11"/>
      <c r="BM66" s="11"/>
      <c r="BN66" s="11"/>
      <c r="BO66" s="11"/>
      <c r="BP66" s="11"/>
      <c r="BQ66" s="11"/>
      <c r="BR66" s="11"/>
      <c r="BS66" s="11"/>
      <c r="BT66" s="11"/>
      <c r="BU66" s="11"/>
      <c r="BV66" s="11"/>
      <c r="BW66" s="11"/>
      <c r="BX66" s="11"/>
      <c r="BY66" s="11"/>
      <c r="BZ66" s="11"/>
      <c r="CA66" s="11"/>
      <c r="CB66" s="11"/>
      <c r="CC66" s="11"/>
      <c r="CD66" s="11"/>
      <c r="CE66" s="11"/>
      <c r="CF66" s="11"/>
      <c r="CG66" s="11"/>
      <c r="CH66" s="11"/>
      <c r="CI66" s="11"/>
      <c r="CJ66" s="11"/>
      <c r="CK66" s="11"/>
      <c r="CL66" s="11"/>
      <c r="CM66" s="11"/>
      <c r="CN66" s="11"/>
      <c r="CO66" s="11"/>
      <c r="CP66" s="11"/>
      <c r="CQ66" s="11"/>
      <c r="CR66" s="11"/>
      <c r="CS66" s="11"/>
      <c r="CT66" s="11"/>
      <c r="CU66" s="11"/>
      <c r="CV66" s="11"/>
      <c r="CW66" s="11"/>
      <c r="CX66" s="11"/>
      <c r="CY66" s="11"/>
      <c r="CZ66" s="11"/>
      <c r="DA66" s="11"/>
      <c r="DB66" s="11"/>
      <c r="DC66" s="11"/>
      <c r="DD66" s="11"/>
      <c r="DE66" s="11"/>
      <c r="DF66" s="11"/>
      <c r="DG66" s="11"/>
      <c r="DH66" s="11"/>
      <c r="DI66" s="11"/>
      <c r="DJ66" s="11"/>
      <c r="DK66" s="11"/>
      <c r="DL66" s="11"/>
      <c r="DM66" s="11"/>
      <c r="DN66" s="11"/>
      <c r="DO66" s="11"/>
      <c r="DP66" s="11"/>
      <c r="DQ66" s="11"/>
      <c r="DR66" s="11"/>
      <c r="DS66" s="11"/>
      <c r="DT66" s="11"/>
      <c r="DU66" s="11"/>
      <c r="DV66" s="11"/>
      <c r="DW66" s="11"/>
      <c r="DX66" s="11"/>
      <c r="DY66" s="11"/>
      <c r="DZ66" s="11"/>
      <c r="EA66" s="11"/>
      <c r="EB66" s="11"/>
      <c r="EC66" s="11"/>
      <c r="ED66" s="11"/>
      <c r="EE66" s="11"/>
      <c r="EF66" s="11"/>
      <c r="EG66" s="11"/>
      <c r="EH66" s="11"/>
      <c r="EI66" s="11"/>
      <c r="EJ66" s="11"/>
      <c r="EK66" s="11"/>
      <c r="EL66" s="11"/>
      <c r="EM66" s="11"/>
      <c r="EN66" s="11"/>
      <c r="EO66" s="11"/>
      <c r="EP66" s="11"/>
      <c r="EQ66" s="11"/>
      <c r="ER66" s="11"/>
      <c r="ES66" s="11"/>
      <c r="ET66" s="11"/>
      <c r="EU66" s="11"/>
      <c r="EV66" s="11"/>
      <c r="EW66" s="11"/>
      <c r="EX66" s="11"/>
      <c r="EY66" s="11"/>
      <c r="EZ66" s="11"/>
      <c r="FA66" s="11"/>
      <c r="FB66" s="11"/>
      <c r="FC66" s="11"/>
      <c r="FD66" s="11"/>
      <c r="FE66" s="11"/>
      <c r="FF66" s="11"/>
      <c r="FG66" s="11"/>
      <c r="FH66" s="11"/>
      <c r="FI66" s="11"/>
      <c r="FJ66" s="11"/>
      <c r="FK66" s="11"/>
      <c r="FL66" s="11"/>
      <c r="FM66" s="11"/>
      <c r="FN66" s="11"/>
      <c r="FO66" s="11"/>
      <c r="FP66" s="11"/>
      <c r="FQ66" s="11"/>
      <c r="FR66" s="11"/>
      <c r="FS66" s="11"/>
      <c r="FT66" s="11"/>
      <c r="FU66" s="11"/>
      <c r="FV66" s="11"/>
      <c r="FW66" s="11"/>
      <c r="FX66" s="11"/>
      <c r="FY66" s="11"/>
      <c r="FZ66" s="11"/>
      <c r="GA66" s="11"/>
      <c r="GB66" s="11"/>
      <c r="GC66" s="11"/>
      <c r="GD66" s="11"/>
      <c r="GE66" s="11"/>
      <c r="GF66" s="11"/>
      <c r="GG66" s="11"/>
      <c r="GH66" s="11"/>
      <c r="GI66" s="11"/>
      <c r="GJ66" s="11"/>
      <c r="GK66" s="11"/>
      <c r="GL66" s="11"/>
      <c r="GM66" s="11"/>
      <c r="GN66" s="11"/>
      <c r="GO66" s="11"/>
      <c r="GP66" s="11"/>
      <c r="GQ66" s="11"/>
      <c r="GR66" s="11"/>
      <c r="GS66" s="11"/>
      <c r="GT66" s="11"/>
      <c r="GU66" s="11"/>
      <c r="GV66" s="11"/>
      <c r="GW66" s="11"/>
      <c r="GX66" s="11"/>
      <c r="GY66" s="11"/>
      <c r="GZ66" s="11"/>
      <c r="HA66" s="11"/>
      <c r="HB66" s="11"/>
      <c r="HC66" s="11"/>
      <c r="HD66" s="11"/>
      <c r="HE66" s="11"/>
      <c r="HF66" s="11"/>
      <c r="HG66" s="11"/>
      <c r="HH66" s="11"/>
      <c r="HI66" s="11"/>
      <c r="HJ66" s="11"/>
      <c r="HK66" s="11"/>
      <c r="HL66" s="11"/>
      <c r="HM66" s="11"/>
      <c r="HN66" s="11"/>
      <c r="HO66" s="11"/>
      <c r="HP66" s="11"/>
      <c r="HQ66" s="11"/>
      <c r="HR66" s="11"/>
      <c r="HS66" s="11"/>
      <c r="HT66" s="11"/>
      <c r="HU66" s="11"/>
    </row>
    <row r="67" spans="1:229" s="12" customFormat="1" ht="13.8">
      <c r="A67" s="250"/>
      <c r="B67" s="10"/>
      <c r="C67" s="19"/>
      <c r="D67" s="204"/>
      <c r="E67" s="204" t="s">
        <v>123</v>
      </c>
      <c r="F67" s="272" t="s">
        <v>286</v>
      </c>
      <c r="G67" s="170"/>
      <c r="H67" s="165"/>
      <c r="I67" s="165"/>
      <c r="J67" s="165"/>
      <c r="K67" s="165"/>
      <c r="L67" s="165"/>
      <c r="M67" s="165"/>
      <c r="N67" s="165"/>
      <c r="O67" s="165"/>
      <c r="P67" s="165"/>
      <c r="Q67" s="165"/>
      <c r="R67" s="165"/>
      <c r="S67" s="165"/>
      <c r="T67" s="165"/>
      <c r="U67" s="165"/>
      <c r="V67" s="165"/>
      <c r="W67" s="165"/>
      <c r="X67" s="165"/>
      <c r="Y67" s="165"/>
      <c r="Z67" s="165"/>
      <c r="AA67" s="11"/>
      <c r="AB67" s="11"/>
      <c r="AC67" s="11"/>
      <c r="AD67" s="11"/>
      <c r="AE67" s="11"/>
      <c r="AF67" s="11"/>
      <c r="AG67" s="11"/>
      <c r="AH67" s="11"/>
      <c r="AI67" s="11"/>
      <c r="AJ67" s="11"/>
      <c r="AK67" s="11"/>
      <c r="AL67" s="11"/>
      <c r="AM67" s="11"/>
      <c r="AN67" s="11"/>
      <c r="AO67" s="11"/>
      <c r="AP67" s="11"/>
      <c r="AQ67" s="11"/>
      <c r="AR67" s="11"/>
      <c r="AS67" s="11"/>
      <c r="AT67" s="11"/>
      <c r="AU67" s="11"/>
      <c r="AV67" s="11"/>
      <c r="AW67" s="11"/>
      <c r="AX67" s="11"/>
      <c r="AY67" s="11"/>
      <c r="AZ67" s="11"/>
      <c r="BA67" s="11"/>
      <c r="BB67" s="11"/>
      <c r="BC67" s="11"/>
      <c r="BD67" s="11"/>
      <c r="BE67" s="11"/>
      <c r="BF67" s="11"/>
      <c r="BG67" s="11"/>
      <c r="BH67" s="11"/>
      <c r="BI67" s="11"/>
      <c r="BJ67" s="11"/>
      <c r="BK67" s="11"/>
      <c r="BL67" s="11"/>
      <c r="BM67" s="11"/>
      <c r="BN67" s="11"/>
      <c r="BO67" s="11"/>
      <c r="BP67" s="11"/>
      <c r="BQ67" s="11"/>
      <c r="BR67" s="11"/>
      <c r="BS67" s="11"/>
      <c r="BT67" s="11"/>
      <c r="BU67" s="11"/>
      <c r="BV67" s="11"/>
      <c r="BW67" s="11"/>
      <c r="BX67" s="11"/>
      <c r="BY67" s="11"/>
      <c r="BZ67" s="11"/>
      <c r="CA67" s="11"/>
      <c r="CB67" s="11"/>
      <c r="CC67" s="11"/>
      <c r="CD67" s="11"/>
      <c r="CE67" s="11"/>
      <c r="CF67" s="11"/>
      <c r="CG67" s="11"/>
      <c r="CH67" s="11"/>
      <c r="CI67" s="11"/>
      <c r="CJ67" s="11"/>
      <c r="CK67" s="11"/>
      <c r="CL67" s="11"/>
      <c r="CM67" s="11"/>
      <c r="CN67" s="11"/>
      <c r="CO67" s="11"/>
      <c r="CP67" s="11"/>
      <c r="CQ67" s="11"/>
      <c r="CR67" s="11"/>
      <c r="CS67" s="11"/>
      <c r="CT67" s="11"/>
      <c r="CU67" s="11"/>
      <c r="CV67" s="11"/>
      <c r="CW67" s="11"/>
      <c r="CX67" s="11"/>
      <c r="CY67" s="11"/>
      <c r="CZ67" s="11"/>
      <c r="DA67" s="11"/>
      <c r="DB67" s="11"/>
      <c r="DC67" s="11"/>
      <c r="DD67" s="11"/>
      <c r="DE67" s="11"/>
      <c r="DF67" s="11"/>
      <c r="DG67" s="11"/>
      <c r="DH67" s="11"/>
      <c r="DI67" s="11"/>
      <c r="DJ67" s="11"/>
      <c r="DK67" s="11"/>
      <c r="DL67" s="11"/>
      <c r="DM67" s="11"/>
      <c r="DN67" s="11"/>
      <c r="DO67" s="11"/>
      <c r="DP67" s="11"/>
      <c r="DQ67" s="11"/>
      <c r="DR67" s="11"/>
      <c r="DS67" s="11"/>
      <c r="DT67" s="11"/>
      <c r="DU67" s="11"/>
      <c r="DV67" s="11"/>
      <c r="DW67" s="11"/>
      <c r="DX67" s="11"/>
      <c r="DY67" s="11"/>
      <c r="DZ67" s="11"/>
      <c r="EA67" s="11"/>
      <c r="EB67" s="11"/>
      <c r="EC67" s="11"/>
      <c r="ED67" s="11"/>
      <c r="EE67" s="11"/>
      <c r="EF67" s="11"/>
      <c r="EG67" s="11"/>
      <c r="EH67" s="11"/>
      <c r="EI67" s="11"/>
      <c r="EJ67" s="11"/>
      <c r="EK67" s="11"/>
      <c r="EL67" s="11"/>
      <c r="EM67" s="11"/>
      <c r="EN67" s="11"/>
      <c r="EO67" s="11"/>
      <c r="EP67" s="11"/>
      <c r="EQ67" s="11"/>
      <c r="ER67" s="11"/>
      <c r="ES67" s="11"/>
      <c r="ET67" s="11"/>
      <c r="EU67" s="11"/>
      <c r="EV67" s="11"/>
      <c r="EW67" s="11"/>
      <c r="EX67" s="11"/>
      <c r="EY67" s="11"/>
      <c r="EZ67" s="11"/>
      <c r="FA67" s="11"/>
      <c r="FB67" s="11"/>
      <c r="FC67" s="11"/>
      <c r="FD67" s="11"/>
      <c r="FE67" s="11"/>
      <c r="FF67" s="11"/>
      <c r="FG67" s="11"/>
      <c r="FH67" s="11"/>
      <c r="FI67" s="11"/>
      <c r="FJ67" s="11"/>
      <c r="FK67" s="11"/>
      <c r="FL67" s="11"/>
      <c r="FM67" s="11"/>
      <c r="FN67" s="11"/>
      <c r="FO67" s="11"/>
      <c r="FP67" s="11"/>
      <c r="FQ67" s="11"/>
      <c r="FR67" s="11"/>
      <c r="FS67" s="11"/>
      <c r="FT67" s="11"/>
      <c r="FU67" s="11"/>
      <c r="FV67" s="11"/>
      <c r="FW67" s="11"/>
      <c r="FX67" s="11"/>
      <c r="FY67" s="11"/>
      <c r="FZ67" s="11"/>
      <c r="GA67" s="11"/>
      <c r="GB67" s="11"/>
      <c r="GC67" s="11"/>
      <c r="GD67" s="11"/>
      <c r="GE67" s="11"/>
      <c r="GF67" s="11"/>
      <c r="GG67" s="11"/>
      <c r="GH67" s="11"/>
      <c r="GI67" s="11"/>
      <c r="GJ67" s="11"/>
      <c r="GK67" s="11"/>
      <c r="GL67" s="11"/>
      <c r="GM67" s="11"/>
      <c r="GN67" s="11"/>
      <c r="GO67" s="11"/>
      <c r="GP67" s="11"/>
      <c r="GQ67" s="11"/>
      <c r="GR67" s="11"/>
      <c r="GS67" s="11"/>
      <c r="GT67" s="11"/>
      <c r="GU67" s="11"/>
      <c r="GV67" s="11"/>
      <c r="GW67" s="11"/>
      <c r="GX67" s="11"/>
      <c r="GY67" s="11"/>
      <c r="GZ67" s="11"/>
      <c r="HA67" s="11"/>
      <c r="HB67" s="11"/>
      <c r="HC67" s="11"/>
      <c r="HD67" s="11"/>
      <c r="HE67" s="11"/>
      <c r="HF67" s="11"/>
      <c r="HG67" s="11"/>
      <c r="HH67" s="11"/>
      <c r="HI67" s="11"/>
      <c r="HJ67" s="11"/>
      <c r="HK67" s="11"/>
      <c r="HL67" s="11"/>
      <c r="HM67" s="11"/>
      <c r="HN67" s="11"/>
      <c r="HO67" s="11"/>
      <c r="HP67" s="11"/>
      <c r="HQ67" s="11"/>
      <c r="HR67" s="11"/>
      <c r="HS67" s="11"/>
      <c r="HT67" s="11"/>
      <c r="HU67" s="11"/>
    </row>
    <row r="68" spans="1:229" s="12" customFormat="1" ht="26.4">
      <c r="A68" s="250"/>
      <c r="B68" s="10"/>
      <c r="C68" s="19"/>
      <c r="D68" s="204"/>
      <c r="E68" s="204" t="s">
        <v>123</v>
      </c>
      <c r="F68" s="272" t="s">
        <v>285</v>
      </c>
      <c r="G68" s="170"/>
      <c r="H68" s="165"/>
      <c r="I68" s="165"/>
      <c r="J68" s="165"/>
      <c r="K68" s="165"/>
      <c r="L68" s="165"/>
      <c r="M68" s="165"/>
      <c r="N68" s="165"/>
      <c r="O68" s="165"/>
      <c r="P68" s="165"/>
      <c r="Q68" s="165"/>
      <c r="R68" s="165"/>
      <c r="S68" s="165"/>
      <c r="T68" s="165"/>
      <c r="U68" s="165"/>
      <c r="V68" s="165"/>
      <c r="W68" s="165"/>
      <c r="X68" s="165"/>
      <c r="Y68" s="165"/>
      <c r="Z68" s="165"/>
      <c r="AA68" s="11"/>
      <c r="AB68" s="11"/>
      <c r="AC68" s="11"/>
      <c r="AD68" s="11"/>
      <c r="AE68" s="11"/>
      <c r="AF68" s="11"/>
      <c r="AG68" s="11"/>
      <c r="AH68" s="11"/>
      <c r="AI68" s="11"/>
      <c r="AJ68" s="11"/>
      <c r="AK68" s="11"/>
      <c r="AL68" s="11"/>
      <c r="AM68" s="11"/>
      <c r="AN68" s="11"/>
      <c r="AO68" s="11"/>
      <c r="AP68" s="11"/>
      <c r="AQ68" s="11"/>
      <c r="AR68" s="11"/>
      <c r="AS68" s="11"/>
      <c r="AT68" s="11"/>
      <c r="AU68" s="11"/>
      <c r="AV68" s="11"/>
      <c r="AW68" s="11"/>
      <c r="AX68" s="11"/>
      <c r="AY68" s="11"/>
      <c r="AZ68" s="11"/>
      <c r="BA68" s="11"/>
      <c r="BB68" s="11"/>
      <c r="BC68" s="11"/>
      <c r="BD68" s="11"/>
      <c r="BE68" s="11"/>
      <c r="BF68" s="11"/>
      <c r="BG68" s="11"/>
      <c r="BH68" s="11"/>
      <c r="BI68" s="11"/>
      <c r="BJ68" s="11"/>
      <c r="BK68" s="11"/>
      <c r="BL68" s="11"/>
      <c r="BM68" s="11"/>
      <c r="BN68" s="11"/>
      <c r="BO68" s="11"/>
      <c r="BP68" s="11"/>
      <c r="BQ68" s="11"/>
      <c r="BR68" s="11"/>
      <c r="BS68" s="11"/>
      <c r="BT68" s="11"/>
      <c r="BU68" s="11"/>
      <c r="BV68" s="11"/>
      <c r="BW68" s="11"/>
      <c r="BX68" s="11"/>
      <c r="BY68" s="11"/>
      <c r="BZ68" s="11"/>
      <c r="CA68" s="11"/>
      <c r="CB68" s="11"/>
      <c r="CC68" s="11"/>
      <c r="CD68" s="11"/>
      <c r="CE68" s="11"/>
      <c r="CF68" s="11"/>
      <c r="CG68" s="11"/>
      <c r="CH68" s="11"/>
      <c r="CI68" s="11"/>
      <c r="CJ68" s="11"/>
      <c r="CK68" s="11"/>
      <c r="CL68" s="11"/>
      <c r="CM68" s="11"/>
      <c r="CN68" s="11"/>
      <c r="CO68" s="11"/>
      <c r="CP68" s="11"/>
      <c r="CQ68" s="11"/>
      <c r="CR68" s="11"/>
      <c r="CS68" s="11"/>
      <c r="CT68" s="11"/>
      <c r="CU68" s="11"/>
      <c r="CV68" s="11"/>
      <c r="CW68" s="11"/>
      <c r="CX68" s="11"/>
      <c r="CY68" s="11"/>
      <c r="CZ68" s="11"/>
      <c r="DA68" s="11"/>
      <c r="DB68" s="11"/>
      <c r="DC68" s="11"/>
      <c r="DD68" s="11"/>
      <c r="DE68" s="11"/>
      <c r="DF68" s="11"/>
      <c r="DG68" s="11"/>
      <c r="DH68" s="11"/>
      <c r="DI68" s="11"/>
      <c r="DJ68" s="11"/>
      <c r="DK68" s="11"/>
      <c r="DL68" s="11"/>
      <c r="DM68" s="11"/>
      <c r="DN68" s="11"/>
      <c r="DO68" s="11"/>
      <c r="DP68" s="11"/>
      <c r="DQ68" s="11"/>
      <c r="DR68" s="11"/>
      <c r="DS68" s="11"/>
      <c r="DT68" s="11"/>
      <c r="DU68" s="11"/>
      <c r="DV68" s="11"/>
      <c r="DW68" s="11"/>
      <c r="DX68" s="11"/>
      <c r="DY68" s="11"/>
      <c r="DZ68" s="11"/>
      <c r="EA68" s="11"/>
      <c r="EB68" s="11"/>
      <c r="EC68" s="11"/>
      <c r="ED68" s="11"/>
      <c r="EE68" s="11"/>
      <c r="EF68" s="11"/>
      <c r="EG68" s="11"/>
      <c r="EH68" s="11"/>
      <c r="EI68" s="11"/>
      <c r="EJ68" s="11"/>
      <c r="EK68" s="11"/>
      <c r="EL68" s="11"/>
      <c r="EM68" s="11"/>
      <c r="EN68" s="11"/>
      <c r="EO68" s="11"/>
      <c r="EP68" s="11"/>
      <c r="EQ68" s="11"/>
      <c r="ER68" s="11"/>
      <c r="ES68" s="11"/>
      <c r="ET68" s="11"/>
      <c r="EU68" s="11"/>
      <c r="EV68" s="11"/>
      <c r="EW68" s="11"/>
      <c r="EX68" s="11"/>
      <c r="EY68" s="11"/>
      <c r="EZ68" s="11"/>
      <c r="FA68" s="11"/>
      <c r="FB68" s="11"/>
      <c r="FC68" s="11"/>
      <c r="FD68" s="11"/>
      <c r="FE68" s="11"/>
      <c r="FF68" s="11"/>
      <c r="FG68" s="11"/>
      <c r="FH68" s="11"/>
      <c r="FI68" s="11"/>
      <c r="FJ68" s="11"/>
      <c r="FK68" s="11"/>
      <c r="FL68" s="11"/>
      <c r="FM68" s="11"/>
      <c r="FN68" s="11"/>
      <c r="FO68" s="11"/>
      <c r="FP68" s="11"/>
      <c r="FQ68" s="11"/>
      <c r="FR68" s="11"/>
      <c r="FS68" s="11"/>
      <c r="FT68" s="11"/>
      <c r="FU68" s="11"/>
      <c r="FV68" s="11"/>
      <c r="FW68" s="11"/>
      <c r="FX68" s="11"/>
      <c r="FY68" s="11"/>
      <c r="FZ68" s="11"/>
      <c r="GA68" s="11"/>
      <c r="GB68" s="11"/>
      <c r="GC68" s="11"/>
      <c r="GD68" s="11"/>
      <c r="GE68" s="11"/>
      <c r="GF68" s="11"/>
      <c r="GG68" s="11"/>
      <c r="GH68" s="11"/>
      <c r="GI68" s="11"/>
      <c r="GJ68" s="11"/>
      <c r="GK68" s="11"/>
      <c r="GL68" s="11"/>
      <c r="GM68" s="11"/>
      <c r="GN68" s="11"/>
      <c r="GO68" s="11"/>
      <c r="GP68" s="11"/>
      <c r="GQ68" s="11"/>
      <c r="GR68" s="11"/>
      <c r="GS68" s="11"/>
      <c r="GT68" s="11"/>
      <c r="GU68" s="11"/>
      <c r="GV68" s="11"/>
      <c r="GW68" s="11"/>
      <c r="GX68" s="11"/>
      <c r="GY68" s="11"/>
      <c r="GZ68" s="11"/>
      <c r="HA68" s="11"/>
      <c r="HB68" s="11"/>
      <c r="HC68" s="11"/>
      <c r="HD68" s="11"/>
      <c r="HE68" s="11"/>
      <c r="HF68" s="11"/>
      <c r="HG68" s="11"/>
      <c r="HH68" s="11"/>
      <c r="HI68" s="11"/>
      <c r="HJ68" s="11"/>
      <c r="HK68" s="11"/>
      <c r="HL68" s="11"/>
      <c r="HM68" s="11"/>
      <c r="HN68" s="11"/>
      <c r="HO68" s="11"/>
      <c r="HP68" s="11"/>
      <c r="HQ68" s="11"/>
      <c r="HR68" s="11"/>
      <c r="HS68" s="11"/>
      <c r="HT68" s="11"/>
      <c r="HU68" s="11"/>
    </row>
    <row r="69" spans="1:229" s="12" customFormat="1" ht="13.8">
      <c r="A69" s="250"/>
      <c r="B69" s="10"/>
      <c r="C69" s="19"/>
      <c r="D69" s="204"/>
      <c r="E69" s="204" t="s">
        <v>123</v>
      </c>
      <c r="F69" s="272" t="s">
        <v>283</v>
      </c>
      <c r="G69" s="170"/>
      <c r="H69" s="165"/>
      <c r="I69" s="165"/>
      <c r="J69" s="165"/>
      <c r="K69" s="165"/>
      <c r="L69" s="165"/>
      <c r="M69" s="165"/>
      <c r="N69" s="165"/>
      <c r="O69" s="165"/>
      <c r="P69" s="165"/>
      <c r="Q69" s="165"/>
      <c r="R69" s="165"/>
      <c r="S69" s="165"/>
      <c r="T69" s="165"/>
      <c r="U69" s="165"/>
      <c r="V69" s="165"/>
      <c r="W69" s="165"/>
      <c r="X69" s="165"/>
      <c r="Y69" s="165"/>
      <c r="Z69" s="165"/>
      <c r="AA69" s="11"/>
      <c r="AB69" s="11"/>
      <c r="AC69" s="11"/>
      <c r="AD69" s="11"/>
      <c r="AE69" s="11"/>
      <c r="AF69" s="11"/>
      <c r="AG69" s="11"/>
      <c r="AH69" s="11"/>
      <c r="AI69" s="11"/>
      <c r="AJ69" s="11"/>
      <c r="AK69" s="11"/>
      <c r="AL69" s="11"/>
      <c r="AM69" s="11"/>
      <c r="AN69" s="11"/>
      <c r="AO69" s="11"/>
      <c r="AP69" s="11"/>
      <c r="AQ69" s="11"/>
      <c r="AR69" s="11"/>
      <c r="AS69" s="11"/>
      <c r="AT69" s="11"/>
      <c r="AU69" s="11"/>
      <c r="AV69" s="11"/>
      <c r="AW69" s="11"/>
      <c r="AX69" s="11"/>
      <c r="AY69" s="11"/>
      <c r="AZ69" s="11"/>
      <c r="BA69" s="11"/>
      <c r="BB69" s="11"/>
      <c r="BC69" s="11"/>
      <c r="BD69" s="11"/>
      <c r="BE69" s="11"/>
      <c r="BF69" s="11"/>
      <c r="BG69" s="11"/>
      <c r="BH69" s="11"/>
      <c r="BI69" s="11"/>
      <c r="BJ69" s="11"/>
      <c r="BK69" s="11"/>
      <c r="BL69" s="11"/>
      <c r="BM69" s="11"/>
      <c r="BN69" s="11"/>
      <c r="BO69" s="11"/>
      <c r="BP69" s="11"/>
      <c r="BQ69" s="11"/>
      <c r="BR69" s="11"/>
      <c r="BS69" s="11"/>
      <c r="BT69" s="11"/>
      <c r="BU69" s="11"/>
      <c r="BV69" s="11"/>
      <c r="BW69" s="11"/>
      <c r="BX69" s="11"/>
      <c r="BY69" s="11"/>
      <c r="BZ69" s="11"/>
      <c r="CA69" s="11"/>
      <c r="CB69" s="11"/>
      <c r="CC69" s="11"/>
      <c r="CD69" s="11"/>
      <c r="CE69" s="11"/>
      <c r="CF69" s="11"/>
      <c r="CG69" s="11"/>
      <c r="CH69" s="11"/>
      <c r="CI69" s="11"/>
      <c r="CJ69" s="11"/>
      <c r="CK69" s="11"/>
      <c r="CL69" s="11"/>
      <c r="CM69" s="11"/>
      <c r="CN69" s="11"/>
      <c r="CO69" s="11"/>
      <c r="CP69" s="11"/>
      <c r="CQ69" s="11"/>
      <c r="CR69" s="11"/>
      <c r="CS69" s="11"/>
      <c r="CT69" s="11"/>
      <c r="CU69" s="11"/>
      <c r="CV69" s="11"/>
      <c r="CW69" s="11"/>
      <c r="CX69" s="11"/>
      <c r="CY69" s="11"/>
      <c r="CZ69" s="11"/>
      <c r="DA69" s="11"/>
      <c r="DB69" s="11"/>
      <c r="DC69" s="11"/>
      <c r="DD69" s="11"/>
      <c r="DE69" s="11"/>
      <c r="DF69" s="11"/>
      <c r="DG69" s="11"/>
      <c r="DH69" s="11"/>
      <c r="DI69" s="11"/>
      <c r="DJ69" s="11"/>
      <c r="DK69" s="11"/>
      <c r="DL69" s="11"/>
      <c r="DM69" s="11"/>
      <c r="DN69" s="11"/>
      <c r="DO69" s="11"/>
      <c r="DP69" s="11"/>
      <c r="DQ69" s="11"/>
      <c r="DR69" s="11"/>
      <c r="DS69" s="11"/>
      <c r="DT69" s="11"/>
      <c r="DU69" s="11"/>
      <c r="DV69" s="11"/>
      <c r="DW69" s="11"/>
      <c r="DX69" s="11"/>
      <c r="DY69" s="11"/>
      <c r="DZ69" s="11"/>
      <c r="EA69" s="11"/>
      <c r="EB69" s="11"/>
      <c r="EC69" s="11"/>
      <c r="ED69" s="11"/>
      <c r="EE69" s="11"/>
      <c r="EF69" s="11"/>
      <c r="EG69" s="11"/>
      <c r="EH69" s="11"/>
      <c r="EI69" s="11"/>
      <c r="EJ69" s="11"/>
      <c r="EK69" s="11"/>
      <c r="EL69" s="11"/>
      <c r="EM69" s="11"/>
      <c r="EN69" s="11"/>
      <c r="EO69" s="11"/>
      <c r="EP69" s="11"/>
      <c r="EQ69" s="11"/>
      <c r="ER69" s="11"/>
      <c r="ES69" s="11"/>
      <c r="ET69" s="11"/>
      <c r="EU69" s="11"/>
      <c r="EV69" s="11"/>
      <c r="EW69" s="11"/>
      <c r="EX69" s="11"/>
      <c r="EY69" s="11"/>
      <c r="EZ69" s="11"/>
      <c r="FA69" s="11"/>
      <c r="FB69" s="11"/>
      <c r="FC69" s="11"/>
      <c r="FD69" s="11"/>
      <c r="FE69" s="11"/>
      <c r="FF69" s="11"/>
      <c r="FG69" s="11"/>
      <c r="FH69" s="11"/>
      <c r="FI69" s="11"/>
      <c r="FJ69" s="11"/>
      <c r="FK69" s="11"/>
      <c r="FL69" s="11"/>
      <c r="FM69" s="11"/>
      <c r="FN69" s="11"/>
      <c r="FO69" s="11"/>
      <c r="FP69" s="11"/>
      <c r="FQ69" s="11"/>
      <c r="FR69" s="11"/>
      <c r="FS69" s="11"/>
      <c r="FT69" s="11"/>
      <c r="FU69" s="11"/>
      <c r="FV69" s="11"/>
      <c r="FW69" s="11"/>
      <c r="FX69" s="11"/>
      <c r="FY69" s="11"/>
      <c r="FZ69" s="11"/>
      <c r="GA69" s="11"/>
      <c r="GB69" s="11"/>
      <c r="GC69" s="11"/>
      <c r="GD69" s="11"/>
      <c r="GE69" s="11"/>
      <c r="GF69" s="11"/>
      <c r="GG69" s="11"/>
      <c r="GH69" s="11"/>
      <c r="GI69" s="11"/>
      <c r="GJ69" s="11"/>
      <c r="GK69" s="11"/>
      <c r="GL69" s="11"/>
      <c r="GM69" s="11"/>
      <c r="GN69" s="11"/>
      <c r="GO69" s="11"/>
      <c r="GP69" s="11"/>
      <c r="GQ69" s="11"/>
      <c r="GR69" s="11"/>
      <c r="GS69" s="11"/>
      <c r="GT69" s="11"/>
      <c r="GU69" s="11"/>
      <c r="GV69" s="11"/>
      <c r="GW69" s="11"/>
      <c r="GX69" s="11"/>
      <c r="GY69" s="11"/>
      <c r="GZ69" s="11"/>
      <c r="HA69" s="11"/>
      <c r="HB69" s="11"/>
      <c r="HC69" s="11"/>
      <c r="HD69" s="11"/>
      <c r="HE69" s="11"/>
      <c r="HF69" s="11"/>
      <c r="HG69" s="11"/>
      <c r="HH69" s="11"/>
      <c r="HI69" s="11"/>
      <c r="HJ69" s="11"/>
      <c r="HK69" s="11"/>
      <c r="HL69" s="11"/>
      <c r="HM69" s="11"/>
      <c r="HN69" s="11"/>
      <c r="HO69" s="11"/>
      <c r="HP69" s="11"/>
      <c r="HQ69" s="11"/>
      <c r="HR69" s="11"/>
      <c r="HS69" s="11"/>
      <c r="HT69" s="11"/>
      <c r="HU69" s="11"/>
    </row>
    <row r="70" spans="1:229" s="12" customFormat="1" ht="13.8">
      <c r="A70" s="250"/>
      <c r="B70" s="10"/>
      <c r="C70" s="19"/>
      <c r="D70" s="204"/>
      <c r="E70" s="204" t="s">
        <v>123</v>
      </c>
      <c r="F70" s="272" t="s">
        <v>284</v>
      </c>
      <c r="G70" s="170"/>
      <c r="H70" s="165"/>
      <c r="I70" s="165"/>
      <c r="J70" s="165"/>
      <c r="K70" s="165"/>
      <c r="L70" s="165"/>
      <c r="M70" s="165"/>
      <c r="N70" s="165"/>
      <c r="O70" s="165"/>
      <c r="P70" s="165"/>
      <c r="Q70" s="165"/>
      <c r="R70" s="165"/>
      <c r="S70" s="165"/>
      <c r="T70" s="165"/>
      <c r="U70" s="165"/>
      <c r="V70" s="165"/>
      <c r="W70" s="165"/>
      <c r="X70" s="165"/>
      <c r="Y70" s="165"/>
      <c r="Z70" s="165"/>
      <c r="AA70" s="11"/>
      <c r="AB70" s="11"/>
      <c r="AC70" s="11"/>
      <c r="AD70" s="11"/>
      <c r="AE70" s="11"/>
      <c r="AF70" s="11"/>
      <c r="AG70" s="11"/>
      <c r="AH70" s="11"/>
      <c r="AI70" s="11"/>
      <c r="AJ70" s="11"/>
      <c r="AK70" s="11"/>
      <c r="AL70" s="11"/>
      <c r="AM70" s="11"/>
      <c r="AN70" s="11"/>
      <c r="AO70" s="11"/>
      <c r="AP70" s="11"/>
      <c r="AQ70" s="11"/>
      <c r="AR70" s="11"/>
      <c r="AS70" s="11"/>
      <c r="AT70" s="11"/>
      <c r="AU70" s="11"/>
      <c r="AV70" s="11"/>
      <c r="AW70" s="11"/>
      <c r="AX70" s="11"/>
      <c r="AY70" s="11"/>
      <c r="AZ70" s="11"/>
      <c r="BA70" s="11"/>
      <c r="BB70" s="11"/>
      <c r="BC70" s="11"/>
      <c r="BD70" s="11"/>
      <c r="BE70" s="11"/>
      <c r="BF70" s="11"/>
      <c r="BG70" s="11"/>
      <c r="BH70" s="11"/>
      <c r="BI70" s="11"/>
      <c r="BJ70" s="11"/>
      <c r="BK70" s="11"/>
      <c r="BL70" s="11"/>
      <c r="BM70" s="11"/>
      <c r="BN70" s="11"/>
      <c r="BO70" s="11"/>
      <c r="BP70" s="11"/>
      <c r="BQ70" s="11"/>
      <c r="BR70" s="11"/>
      <c r="BS70" s="11"/>
      <c r="BT70" s="11"/>
      <c r="BU70" s="11"/>
      <c r="BV70" s="11"/>
      <c r="BW70" s="11"/>
      <c r="BX70" s="11"/>
      <c r="BY70" s="11"/>
      <c r="BZ70" s="11"/>
      <c r="CA70" s="11"/>
      <c r="CB70" s="11"/>
      <c r="CC70" s="11"/>
      <c r="CD70" s="11"/>
      <c r="CE70" s="11"/>
      <c r="CF70" s="11"/>
      <c r="CG70" s="11"/>
      <c r="CH70" s="11"/>
      <c r="CI70" s="11"/>
      <c r="CJ70" s="11"/>
      <c r="CK70" s="11"/>
      <c r="CL70" s="11"/>
      <c r="CM70" s="11"/>
      <c r="CN70" s="11"/>
      <c r="CO70" s="11"/>
      <c r="CP70" s="11"/>
      <c r="CQ70" s="11"/>
      <c r="CR70" s="11"/>
      <c r="CS70" s="11"/>
      <c r="CT70" s="11"/>
      <c r="CU70" s="11"/>
      <c r="CV70" s="11"/>
      <c r="CW70" s="11"/>
      <c r="CX70" s="11"/>
      <c r="CY70" s="11"/>
      <c r="CZ70" s="11"/>
      <c r="DA70" s="11"/>
      <c r="DB70" s="11"/>
      <c r="DC70" s="11"/>
      <c r="DD70" s="11"/>
      <c r="DE70" s="11"/>
      <c r="DF70" s="11"/>
      <c r="DG70" s="11"/>
      <c r="DH70" s="11"/>
      <c r="DI70" s="11"/>
      <c r="DJ70" s="11"/>
      <c r="DK70" s="11"/>
      <c r="DL70" s="11"/>
      <c r="DM70" s="11"/>
      <c r="DN70" s="11"/>
      <c r="DO70" s="11"/>
      <c r="DP70" s="11"/>
      <c r="DQ70" s="11"/>
      <c r="DR70" s="11"/>
      <c r="DS70" s="11"/>
      <c r="DT70" s="11"/>
      <c r="DU70" s="11"/>
      <c r="DV70" s="11"/>
      <c r="DW70" s="11"/>
      <c r="DX70" s="11"/>
      <c r="DY70" s="11"/>
      <c r="DZ70" s="11"/>
      <c r="EA70" s="11"/>
      <c r="EB70" s="11"/>
      <c r="EC70" s="11"/>
      <c r="ED70" s="11"/>
      <c r="EE70" s="11"/>
      <c r="EF70" s="11"/>
      <c r="EG70" s="11"/>
      <c r="EH70" s="11"/>
      <c r="EI70" s="11"/>
      <c r="EJ70" s="11"/>
      <c r="EK70" s="11"/>
      <c r="EL70" s="11"/>
      <c r="EM70" s="11"/>
      <c r="EN70" s="11"/>
      <c r="EO70" s="11"/>
      <c r="EP70" s="11"/>
      <c r="EQ70" s="11"/>
      <c r="ER70" s="11"/>
      <c r="ES70" s="11"/>
      <c r="ET70" s="11"/>
      <c r="EU70" s="11"/>
      <c r="EV70" s="11"/>
      <c r="EW70" s="11"/>
      <c r="EX70" s="11"/>
      <c r="EY70" s="11"/>
      <c r="EZ70" s="11"/>
      <c r="FA70" s="11"/>
      <c r="FB70" s="11"/>
      <c r="FC70" s="11"/>
      <c r="FD70" s="11"/>
      <c r="FE70" s="11"/>
      <c r="FF70" s="11"/>
      <c r="FG70" s="11"/>
      <c r="FH70" s="11"/>
      <c r="FI70" s="11"/>
      <c r="FJ70" s="11"/>
      <c r="FK70" s="11"/>
      <c r="FL70" s="11"/>
      <c r="FM70" s="11"/>
      <c r="FN70" s="11"/>
      <c r="FO70" s="11"/>
      <c r="FP70" s="11"/>
      <c r="FQ70" s="11"/>
      <c r="FR70" s="11"/>
      <c r="FS70" s="11"/>
      <c r="FT70" s="11"/>
      <c r="FU70" s="11"/>
      <c r="FV70" s="11"/>
      <c r="FW70" s="11"/>
      <c r="FX70" s="11"/>
      <c r="FY70" s="11"/>
      <c r="FZ70" s="11"/>
      <c r="GA70" s="11"/>
      <c r="GB70" s="11"/>
      <c r="GC70" s="11"/>
      <c r="GD70" s="11"/>
      <c r="GE70" s="11"/>
      <c r="GF70" s="11"/>
      <c r="GG70" s="11"/>
      <c r="GH70" s="11"/>
      <c r="GI70" s="11"/>
      <c r="GJ70" s="11"/>
      <c r="GK70" s="11"/>
      <c r="GL70" s="11"/>
      <c r="GM70" s="11"/>
      <c r="GN70" s="11"/>
      <c r="GO70" s="11"/>
      <c r="GP70" s="11"/>
      <c r="GQ70" s="11"/>
      <c r="GR70" s="11"/>
      <c r="GS70" s="11"/>
      <c r="GT70" s="11"/>
      <c r="GU70" s="11"/>
      <c r="GV70" s="11"/>
      <c r="GW70" s="11"/>
      <c r="GX70" s="11"/>
      <c r="GY70" s="11"/>
      <c r="GZ70" s="11"/>
      <c r="HA70" s="11"/>
      <c r="HB70" s="11"/>
      <c r="HC70" s="11"/>
      <c r="HD70" s="11"/>
      <c r="HE70" s="11"/>
      <c r="HF70" s="11"/>
      <c r="HG70" s="11"/>
      <c r="HH70" s="11"/>
      <c r="HI70" s="11"/>
      <c r="HJ70" s="11"/>
      <c r="HK70" s="11"/>
      <c r="HL70" s="11"/>
      <c r="HM70" s="11"/>
      <c r="HN70" s="11"/>
      <c r="HO70" s="11"/>
      <c r="HP70" s="11"/>
      <c r="HQ70" s="11"/>
      <c r="HR70" s="11"/>
      <c r="HS70" s="11"/>
      <c r="HT70" s="11"/>
      <c r="HU70" s="11"/>
    </row>
    <row r="71" spans="1:229" s="16" customFormat="1" ht="18" customHeight="1">
      <c r="A71" s="188"/>
      <c r="B71" s="189"/>
      <c r="C71" s="190"/>
      <c r="D71" s="190"/>
      <c r="E71" s="191"/>
      <c r="F71" s="192"/>
      <c r="G71" s="193"/>
      <c r="H71" s="194"/>
      <c r="I71" s="194"/>
      <c r="J71" s="194"/>
      <c r="K71" s="194"/>
      <c r="L71" s="194"/>
      <c r="M71" s="194"/>
      <c r="N71" s="194"/>
      <c r="O71" s="194"/>
      <c r="P71" s="194"/>
      <c r="Q71" s="194"/>
      <c r="R71" s="194"/>
      <c r="S71" s="194"/>
      <c r="T71" s="194"/>
      <c r="U71" s="194"/>
      <c r="V71" s="194"/>
      <c r="W71" s="194"/>
      <c r="X71" s="194"/>
      <c r="Y71" s="194"/>
      <c r="Z71" s="194"/>
      <c r="AA71" s="195"/>
      <c r="AB71" s="195"/>
      <c r="AC71" s="195"/>
      <c r="AD71" s="195"/>
      <c r="AE71" s="195"/>
      <c r="AF71" s="195"/>
      <c r="AG71" s="195"/>
      <c r="AH71" s="195"/>
      <c r="AI71" s="195"/>
      <c r="AJ71" s="195"/>
      <c r="AK71" s="195"/>
      <c r="AL71" s="195"/>
      <c r="AM71" s="195"/>
      <c r="AN71" s="195"/>
      <c r="AO71" s="195"/>
      <c r="AP71" s="195"/>
      <c r="AQ71" s="195"/>
      <c r="AR71" s="195"/>
      <c r="AS71" s="195"/>
      <c r="AT71" s="195"/>
      <c r="AU71" s="195"/>
      <c r="AV71" s="195"/>
      <c r="AW71" s="195"/>
      <c r="AX71" s="195"/>
      <c r="AY71" s="195"/>
      <c r="AZ71" s="195"/>
      <c r="BA71" s="195"/>
      <c r="BB71" s="195"/>
      <c r="BC71" s="195"/>
      <c r="BD71" s="195"/>
      <c r="BE71" s="195"/>
      <c r="BF71" s="195"/>
      <c r="BG71" s="195"/>
      <c r="BH71" s="195"/>
      <c r="BI71" s="195"/>
      <c r="BJ71" s="195"/>
      <c r="BK71" s="195"/>
      <c r="BL71" s="195"/>
      <c r="BM71" s="195"/>
      <c r="BN71" s="195"/>
      <c r="BO71" s="195"/>
      <c r="BP71" s="195"/>
      <c r="BQ71" s="195"/>
      <c r="BR71" s="195"/>
      <c r="BS71" s="195"/>
      <c r="BT71" s="195"/>
      <c r="BU71" s="195"/>
      <c r="BV71" s="195"/>
      <c r="BW71" s="195"/>
      <c r="BX71" s="195"/>
      <c r="BY71" s="195"/>
      <c r="BZ71" s="195"/>
      <c r="CA71" s="195"/>
      <c r="CB71" s="195"/>
      <c r="CC71" s="195"/>
      <c r="CD71" s="195"/>
      <c r="CE71" s="195"/>
      <c r="CF71" s="195"/>
      <c r="CG71" s="195"/>
      <c r="CH71" s="195"/>
      <c r="CI71" s="195"/>
      <c r="CJ71" s="195"/>
      <c r="CK71" s="195"/>
      <c r="CL71" s="195"/>
      <c r="CM71" s="195"/>
      <c r="CN71" s="195"/>
      <c r="CO71" s="195"/>
      <c r="CP71" s="195"/>
      <c r="CQ71" s="195"/>
      <c r="CR71" s="195"/>
      <c r="CS71" s="195"/>
      <c r="CT71" s="195"/>
      <c r="CU71" s="195"/>
      <c r="CV71" s="195"/>
      <c r="CW71" s="195"/>
      <c r="CX71" s="195"/>
      <c r="CY71" s="195"/>
      <c r="CZ71" s="195"/>
      <c r="DA71" s="195"/>
      <c r="DB71" s="195"/>
      <c r="DC71" s="195"/>
      <c r="DD71" s="195"/>
      <c r="DE71" s="195"/>
      <c r="DF71" s="195"/>
      <c r="DG71" s="195"/>
      <c r="DH71" s="195"/>
      <c r="DI71" s="195"/>
      <c r="DJ71" s="195"/>
      <c r="DK71" s="195"/>
      <c r="DL71" s="195"/>
      <c r="DM71" s="195"/>
      <c r="DN71" s="195"/>
      <c r="DO71" s="195"/>
      <c r="DP71" s="195"/>
      <c r="DQ71" s="195"/>
      <c r="DR71" s="195"/>
      <c r="DS71" s="195"/>
      <c r="DT71" s="195"/>
      <c r="DU71" s="195"/>
      <c r="DV71" s="195"/>
      <c r="DW71" s="195"/>
      <c r="DX71" s="195"/>
      <c r="DY71" s="195"/>
      <c r="DZ71" s="195"/>
      <c r="EA71" s="195"/>
      <c r="EB71" s="195"/>
      <c r="EC71" s="195"/>
      <c r="ED71" s="195"/>
      <c r="EE71" s="195"/>
      <c r="EF71" s="195"/>
      <c r="EG71" s="195"/>
      <c r="EH71" s="195"/>
      <c r="EI71" s="195"/>
      <c r="EJ71" s="195"/>
      <c r="EK71" s="195"/>
      <c r="EL71" s="195"/>
      <c r="EM71" s="195"/>
      <c r="EN71" s="195"/>
      <c r="EO71" s="195"/>
      <c r="EP71" s="195"/>
      <c r="EQ71" s="195"/>
      <c r="ER71" s="195"/>
      <c r="ES71" s="195"/>
      <c r="ET71" s="195"/>
      <c r="EU71" s="195"/>
      <c r="EV71" s="195"/>
      <c r="EW71" s="195"/>
      <c r="EX71" s="195"/>
      <c r="EY71" s="195"/>
      <c r="EZ71" s="195"/>
      <c r="FA71" s="195"/>
      <c r="FB71" s="195"/>
      <c r="FC71" s="195"/>
      <c r="FD71" s="195"/>
      <c r="FE71" s="195"/>
      <c r="FF71" s="195"/>
      <c r="FG71" s="195"/>
      <c r="FH71" s="195"/>
      <c r="FI71" s="195"/>
      <c r="FJ71" s="195"/>
      <c r="FK71" s="195"/>
      <c r="FL71" s="195"/>
      <c r="FM71" s="195"/>
      <c r="FN71" s="195"/>
      <c r="FO71" s="195"/>
      <c r="FP71" s="195"/>
      <c r="FQ71" s="195"/>
      <c r="FR71" s="195"/>
      <c r="FS71" s="195"/>
      <c r="FT71" s="195"/>
      <c r="FU71" s="195"/>
      <c r="FV71" s="195"/>
      <c r="FW71" s="195"/>
      <c r="FX71" s="195"/>
      <c r="FY71" s="195"/>
      <c r="FZ71" s="195"/>
      <c r="GA71" s="195"/>
      <c r="GB71" s="195"/>
      <c r="GC71" s="195"/>
      <c r="GD71" s="195"/>
      <c r="GE71" s="195"/>
      <c r="GF71" s="195"/>
      <c r="GG71" s="195"/>
      <c r="GH71" s="195"/>
      <c r="GI71" s="195"/>
      <c r="GJ71" s="195"/>
      <c r="GK71" s="195"/>
      <c r="GL71" s="195"/>
      <c r="GM71" s="195"/>
      <c r="GN71" s="195"/>
      <c r="GO71" s="195"/>
      <c r="GP71" s="195"/>
      <c r="GQ71" s="195"/>
      <c r="GR71" s="195"/>
      <c r="GS71" s="195"/>
      <c r="GT71" s="195"/>
      <c r="GU71" s="195"/>
      <c r="GV71" s="195"/>
      <c r="GW71" s="195"/>
      <c r="GX71" s="195"/>
      <c r="GY71" s="195"/>
      <c r="GZ71" s="195"/>
      <c r="HA71" s="195"/>
      <c r="HB71" s="195"/>
      <c r="HC71" s="195"/>
      <c r="HD71" s="195"/>
      <c r="HE71" s="195"/>
      <c r="HF71" s="195"/>
      <c r="HG71" s="195"/>
      <c r="HH71" s="195"/>
      <c r="HI71" s="195"/>
      <c r="HJ71" s="195"/>
      <c r="HK71" s="195"/>
      <c r="HL71" s="195"/>
      <c r="HM71" s="195"/>
      <c r="HN71" s="195"/>
      <c r="HO71" s="195"/>
      <c r="HP71" s="195"/>
      <c r="HQ71" s="195"/>
      <c r="HR71" s="195"/>
      <c r="HS71" s="195"/>
      <c r="HT71" s="195"/>
      <c r="HU71" s="195"/>
    </row>
    <row r="72" spans="1:229" s="16" customFormat="1" ht="18" customHeight="1">
      <c r="A72" s="188"/>
      <c r="B72" s="189"/>
      <c r="C72" s="196" t="s">
        <v>139</v>
      </c>
      <c r="D72" s="190"/>
      <c r="E72" s="191"/>
      <c r="F72" s="192"/>
      <c r="G72" s="193"/>
      <c r="H72" s="194"/>
      <c r="I72" s="194"/>
      <c r="J72" s="194"/>
      <c r="K72" s="194"/>
      <c r="L72" s="194"/>
      <c r="M72" s="194"/>
      <c r="N72" s="194"/>
      <c r="O72" s="194"/>
      <c r="P72" s="194"/>
      <c r="Q72" s="194"/>
      <c r="R72" s="194"/>
      <c r="S72" s="194"/>
      <c r="T72" s="194"/>
      <c r="U72" s="194"/>
      <c r="V72" s="194"/>
      <c r="W72" s="194"/>
      <c r="X72" s="194"/>
      <c r="Y72" s="194"/>
      <c r="Z72" s="194"/>
      <c r="AA72" s="195"/>
      <c r="AB72" s="195"/>
      <c r="AC72" s="195"/>
      <c r="AD72" s="195"/>
      <c r="AE72" s="195"/>
      <c r="AF72" s="195"/>
      <c r="AG72" s="195"/>
      <c r="AH72" s="195"/>
      <c r="AI72" s="195"/>
      <c r="AJ72" s="195"/>
      <c r="AK72" s="195"/>
      <c r="AL72" s="195"/>
      <c r="AM72" s="195"/>
      <c r="AN72" s="195"/>
      <c r="AO72" s="195"/>
      <c r="AP72" s="195"/>
      <c r="AQ72" s="195"/>
      <c r="AR72" s="195"/>
      <c r="AS72" s="195"/>
      <c r="AT72" s="195"/>
      <c r="AU72" s="195"/>
      <c r="AV72" s="195"/>
      <c r="AW72" s="195"/>
      <c r="AX72" s="195"/>
      <c r="AY72" s="195"/>
      <c r="AZ72" s="195"/>
      <c r="BA72" s="195"/>
      <c r="BB72" s="195"/>
      <c r="BC72" s="195"/>
      <c r="BD72" s="195"/>
      <c r="BE72" s="195"/>
      <c r="BF72" s="195"/>
      <c r="BG72" s="195"/>
      <c r="BH72" s="195"/>
      <c r="BI72" s="195"/>
      <c r="BJ72" s="195"/>
      <c r="BK72" s="195"/>
      <c r="BL72" s="195"/>
      <c r="BM72" s="195"/>
      <c r="BN72" s="195"/>
      <c r="BO72" s="195"/>
      <c r="BP72" s="195"/>
      <c r="BQ72" s="195"/>
      <c r="BR72" s="195"/>
      <c r="BS72" s="195"/>
      <c r="BT72" s="195"/>
      <c r="BU72" s="195"/>
      <c r="BV72" s="195"/>
      <c r="BW72" s="195"/>
      <c r="BX72" s="195"/>
      <c r="BY72" s="195"/>
      <c r="BZ72" s="195"/>
      <c r="CA72" s="195"/>
      <c r="CB72" s="195"/>
      <c r="CC72" s="195"/>
      <c r="CD72" s="195"/>
      <c r="CE72" s="195"/>
      <c r="CF72" s="195"/>
      <c r="CG72" s="195"/>
      <c r="CH72" s="195"/>
      <c r="CI72" s="195"/>
      <c r="CJ72" s="195"/>
      <c r="CK72" s="195"/>
      <c r="CL72" s="195"/>
      <c r="CM72" s="195"/>
      <c r="CN72" s="195"/>
      <c r="CO72" s="195"/>
      <c r="CP72" s="195"/>
      <c r="CQ72" s="195"/>
      <c r="CR72" s="195"/>
      <c r="CS72" s="195"/>
      <c r="CT72" s="195"/>
      <c r="CU72" s="195"/>
      <c r="CV72" s="195"/>
      <c r="CW72" s="195"/>
      <c r="CX72" s="195"/>
      <c r="CY72" s="195"/>
      <c r="CZ72" s="195"/>
      <c r="DA72" s="195"/>
      <c r="DB72" s="195"/>
      <c r="DC72" s="195"/>
      <c r="DD72" s="195"/>
      <c r="DE72" s="195"/>
      <c r="DF72" s="195"/>
      <c r="DG72" s="195"/>
      <c r="DH72" s="195"/>
      <c r="DI72" s="195"/>
      <c r="DJ72" s="195"/>
      <c r="DK72" s="195"/>
      <c r="DL72" s="195"/>
      <c r="DM72" s="195"/>
      <c r="DN72" s="195"/>
      <c r="DO72" s="195"/>
      <c r="DP72" s="195"/>
      <c r="DQ72" s="195"/>
      <c r="DR72" s="195"/>
      <c r="DS72" s="195"/>
      <c r="DT72" s="195"/>
      <c r="DU72" s="195"/>
      <c r="DV72" s="195"/>
      <c r="DW72" s="195"/>
      <c r="DX72" s="195"/>
      <c r="DY72" s="195"/>
      <c r="DZ72" s="195"/>
      <c r="EA72" s="195"/>
      <c r="EB72" s="195"/>
      <c r="EC72" s="195"/>
      <c r="ED72" s="195"/>
      <c r="EE72" s="195"/>
      <c r="EF72" s="195"/>
      <c r="EG72" s="195"/>
      <c r="EH72" s="195"/>
      <c r="EI72" s="195"/>
      <c r="EJ72" s="195"/>
      <c r="EK72" s="195"/>
      <c r="EL72" s="195"/>
      <c r="EM72" s="195"/>
      <c r="EN72" s="195"/>
      <c r="EO72" s="195"/>
      <c r="EP72" s="195"/>
      <c r="EQ72" s="195"/>
      <c r="ER72" s="195"/>
      <c r="ES72" s="195"/>
      <c r="ET72" s="195"/>
      <c r="EU72" s="195"/>
      <c r="EV72" s="195"/>
      <c r="EW72" s="195"/>
      <c r="EX72" s="195"/>
      <c r="EY72" s="195"/>
      <c r="EZ72" s="195"/>
      <c r="FA72" s="195"/>
      <c r="FB72" s="195"/>
      <c r="FC72" s="195"/>
      <c r="FD72" s="195"/>
      <c r="FE72" s="195"/>
      <c r="FF72" s="195"/>
      <c r="FG72" s="195"/>
      <c r="FH72" s="195"/>
      <c r="FI72" s="195"/>
      <c r="FJ72" s="195"/>
      <c r="FK72" s="195"/>
      <c r="FL72" s="195"/>
      <c r="FM72" s="195"/>
      <c r="FN72" s="195"/>
      <c r="FO72" s="195"/>
      <c r="FP72" s="195"/>
      <c r="FQ72" s="195"/>
      <c r="FR72" s="195"/>
      <c r="FS72" s="195"/>
      <c r="FT72" s="195"/>
      <c r="FU72" s="195"/>
      <c r="FV72" s="195"/>
      <c r="FW72" s="195"/>
      <c r="FX72" s="195"/>
      <c r="FY72" s="195"/>
      <c r="FZ72" s="195"/>
      <c r="GA72" s="195"/>
      <c r="GB72" s="195"/>
      <c r="GC72" s="195"/>
      <c r="GD72" s="195"/>
      <c r="GE72" s="195"/>
      <c r="GF72" s="195"/>
      <c r="GG72" s="195"/>
      <c r="GH72" s="195"/>
      <c r="GI72" s="195"/>
      <c r="GJ72" s="195"/>
      <c r="GK72" s="195"/>
      <c r="GL72" s="195"/>
      <c r="GM72" s="195"/>
      <c r="GN72" s="195"/>
      <c r="GO72" s="195"/>
      <c r="GP72" s="195"/>
      <c r="GQ72" s="195"/>
      <c r="GR72" s="195"/>
      <c r="GS72" s="195"/>
      <c r="GT72" s="195"/>
      <c r="GU72" s="195"/>
      <c r="GV72" s="195"/>
      <c r="GW72" s="195"/>
      <c r="GX72" s="195"/>
      <c r="GY72" s="195"/>
      <c r="GZ72" s="195"/>
      <c r="HA72" s="195"/>
      <c r="HB72" s="195"/>
      <c r="HC72" s="195"/>
      <c r="HD72" s="195"/>
      <c r="HE72" s="195"/>
      <c r="HF72" s="195"/>
      <c r="HG72" s="195"/>
      <c r="HH72" s="195"/>
      <c r="HI72" s="195"/>
      <c r="HJ72" s="195"/>
      <c r="HK72" s="195"/>
      <c r="HL72" s="195"/>
      <c r="HM72" s="195"/>
      <c r="HN72" s="195"/>
      <c r="HO72" s="195"/>
      <c r="HP72" s="195"/>
      <c r="HQ72" s="195"/>
      <c r="HR72" s="195"/>
      <c r="HS72" s="195"/>
      <c r="HT72" s="195"/>
      <c r="HU72" s="195"/>
    </row>
    <row r="73" spans="1:229" s="12" customFormat="1" ht="18" customHeight="1">
      <c r="A73" s="250"/>
      <c r="B73" s="10"/>
      <c r="C73" s="19"/>
      <c r="D73" s="222" t="s">
        <v>140</v>
      </c>
      <c r="E73" s="208"/>
      <c r="F73" s="208"/>
      <c r="G73" s="170"/>
      <c r="H73" s="165"/>
      <c r="I73" s="165"/>
      <c r="J73" s="165"/>
      <c r="K73" s="165"/>
      <c r="L73" s="165"/>
      <c r="M73" s="165"/>
      <c r="N73" s="165"/>
      <c r="O73" s="165"/>
      <c r="P73" s="165"/>
      <c r="Q73" s="165"/>
      <c r="R73" s="165"/>
      <c r="S73" s="165"/>
      <c r="T73" s="165"/>
      <c r="U73" s="165"/>
      <c r="V73" s="165"/>
      <c r="W73" s="165"/>
      <c r="X73" s="165"/>
      <c r="Y73" s="165"/>
      <c r="Z73" s="165"/>
      <c r="AA73" s="11"/>
      <c r="AB73" s="11"/>
      <c r="AC73" s="11"/>
      <c r="AD73" s="11"/>
      <c r="AE73" s="11"/>
      <c r="AF73" s="11"/>
      <c r="AG73" s="11"/>
      <c r="AH73" s="11"/>
      <c r="AI73" s="11"/>
      <c r="AJ73" s="11"/>
      <c r="AK73" s="11"/>
      <c r="AL73" s="11"/>
      <c r="AM73" s="11"/>
      <c r="AN73" s="11"/>
      <c r="AO73" s="11"/>
      <c r="AP73" s="11"/>
      <c r="AQ73" s="11"/>
      <c r="AR73" s="11"/>
      <c r="AS73" s="11"/>
      <c r="AT73" s="11"/>
      <c r="AU73" s="11"/>
      <c r="AV73" s="11"/>
      <c r="AW73" s="11"/>
      <c r="AX73" s="11"/>
      <c r="AY73" s="11"/>
      <c r="AZ73" s="11"/>
      <c r="BA73" s="11"/>
      <c r="BB73" s="11"/>
      <c r="BC73" s="11"/>
      <c r="BD73" s="11"/>
      <c r="BE73" s="11"/>
      <c r="BF73" s="11"/>
      <c r="BG73" s="11"/>
      <c r="BH73" s="11"/>
      <c r="BI73" s="11"/>
      <c r="BJ73" s="11"/>
      <c r="BK73" s="11"/>
      <c r="BL73" s="11"/>
      <c r="BM73" s="11"/>
      <c r="BN73" s="11"/>
      <c r="BO73" s="11"/>
      <c r="BP73" s="11"/>
      <c r="BQ73" s="11"/>
      <c r="BR73" s="11"/>
      <c r="BS73" s="11"/>
      <c r="BT73" s="11"/>
      <c r="BU73" s="11"/>
      <c r="BV73" s="11"/>
      <c r="BW73" s="11"/>
      <c r="BX73" s="11"/>
      <c r="BY73" s="11"/>
      <c r="BZ73" s="11"/>
      <c r="CA73" s="11"/>
      <c r="CB73" s="11"/>
      <c r="CC73" s="11"/>
      <c r="CD73" s="11"/>
      <c r="CE73" s="11"/>
      <c r="CF73" s="11"/>
      <c r="CG73" s="11"/>
      <c r="CH73" s="11"/>
      <c r="CI73" s="11"/>
      <c r="CJ73" s="11"/>
      <c r="CK73" s="11"/>
      <c r="CL73" s="11"/>
      <c r="CM73" s="11"/>
      <c r="CN73" s="11"/>
      <c r="CO73" s="11"/>
      <c r="CP73" s="11"/>
      <c r="CQ73" s="11"/>
      <c r="CR73" s="11"/>
      <c r="CS73" s="11"/>
      <c r="CT73" s="11"/>
      <c r="CU73" s="11"/>
      <c r="CV73" s="11"/>
      <c r="CW73" s="11"/>
      <c r="CX73" s="11"/>
      <c r="CY73" s="11"/>
      <c r="CZ73" s="11"/>
      <c r="DA73" s="11"/>
      <c r="DB73" s="11"/>
      <c r="DC73" s="11"/>
      <c r="DD73" s="11"/>
      <c r="DE73" s="11"/>
      <c r="DF73" s="11"/>
      <c r="DG73" s="11"/>
      <c r="DH73" s="11"/>
      <c r="DI73" s="11"/>
      <c r="DJ73" s="11"/>
      <c r="DK73" s="11"/>
      <c r="DL73" s="11"/>
      <c r="DM73" s="11"/>
      <c r="DN73" s="11"/>
      <c r="DO73" s="11"/>
      <c r="DP73" s="11"/>
      <c r="DQ73" s="11"/>
      <c r="DR73" s="11"/>
      <c r="DS73" s="11"/>
      <c r="DT73" s="11"/>
      <c r="DU73" s="11"/>
      <c r="DV73" s="11"/>
      <c r="DW73" s="11"/>
      <c r="DX73" s="11"/>
      <c r="DY73" s="11"/>
      <c r="DZ73" s="11"/>
      <c r="EA73" s="11"/>
      <c r="EB73" s="11"/>
      <c r="EC73" s="11"/>
      <c r="ED73" s="11"/>
      <c r="EE73" s="11"/>
      <c r="EF73" s="11"/>
      <c r="EG73" s="11"/>
      <c r="EH73" s="11"/>
      <c r="EI73" s="11"/>
      <c r="EJ73" s="11"/>
      <c r="EK73" s="11"/>
      <c r="EL73" s="11"/>
      <c r="EM73" s="11"/>
      <c r="EN73" s="11"/>
      <c r="EO73" s="11"/>
      <c r="EP73" s="11"/>
      <c r="EQ73" s="11"/>
      <c r="ER73" s="11"/>
      <c r="ES73" s="11"/>
      <c r="ET73" s="11"/>
      <c r="EU73" s="11"/>
      <c r="EV73" s="11"/>
      <c r="EW73" s="11"/>
      <c r="EX73" s="11"/>
      <c r="EY73" s="11"/>
      <c r="EZ73" s="11"/>
      <c r="FA73" s="11"/>
      <c r="FB73" s="11"/>
      <c r="FC73" s="11"/>
      <c r="FD73" s="11"/>
      <c r="FE73" s="11"/>
      <c r="FF73" s="11"/>
      <c r="FG73" s="11"/>
      <c r="FH73" s="11"/>
      <c r="FI73" s="11"/>
      <c r="FJ73" s="11"/>
      <c r="FK73" s="11"/>
      <c r="FL73" s="11"/>
      <c r="FM73" s="11"/>
      <c r="FN73" s="11"/>
      <c r="FO73" s="11"/>
      <c r="FP73" s="11"/>
      <c r="FQ73" s="11"/>
      <c r="FR73" s="11"/>
      <c r="FS73" s="11"/>
      <c r="FT73" s="11"/>
      <c r="FU73" s="11"/>
      <c r="FV73" s="11"/>
      <c r="FW73" s="11"/>
      <c r="FX73" s="11"/>
      <c r="FY73" s="11"/>
      <c r="FZ73" s="11"/>
      <c r="GA73" s="11"/>
      <c r="GB73" s="11"/>
      <c r="GC73" s="11"/>
      <c r="GD73" s="11"/>
      <c r="GE73" s="11"/>
      <c r="GF73" s="11"/>
      <c r="GG73" s="11"/>
      <c r="GH73" s="11"/>
      <c r="GI73" s="11"/>
      <c r="GJ73" s="11"/>
      <c r="GK73" s="11"/>
      <c r="GL73" s="11"/>
      <c r="GM73" s="11"/>
      <c r="GN73" s="11"/>
      <c r="GO73" s="11"/>
      <c r="GP73" s="11"/>
      <c r="GQ73" s="11"/>
      <c r="GR73" s="11"/>
      <c r="GS73" s="11"/>
      <c r="GT73" s="11"/>
      <c r="GU73" s="11"/>
      <c r="GV73" s="11"/>
      <c r="GW73" s="11"/>
      <c r="GX73" s="11"/>
      <c r="GY73" s="11"/>
      <c r="GZ73" s="11"/>
      <c r="HA73" s="11"/>
      <c r="HB73" s="11"/>
      <c r="HC73" s="11"/>
      <c r="HD73" s="11"/>
      <c r="HE73" s="11"/>
      <c r="HF73" s="11"/>
      <c r="HG73" s="11"/>
      <c r="HH73" s="11"/>
      <c r="HI73" s="11"/>
      <c r="HJ73" s="11"/>
      <c r="HK73" s="11"/>
      <c r="HL73" s="11"/>
      <c r="HM73" s="11"/>
      <c r="HN73" s="11"/>
      <c r="HO73" s="11"/>
      <c r="HP73" s="11"/>
      <c r="HQ73" s="11"/>
      <c r="HR73" s="11"/>
      <c r="HS73" s="11"/>
      <c r="HT73" s="11"/>
      <c r="HU73" s="11"/>
    </row>
    <row r="74" spans="1:229" s="12" customFormat="1" ht="18" customHeight="1">
      <c r="A74" s="250"/>
      <c r="B74" s="10"/>
      <c r="C74" s="19"/>
      <c r="D74" s="204"/>
      <c r="E74" s="221" t="s">
        <v>141</v>
      </c>
      <c r="F74" s="19"/>
      <c r="G74" s="170"/>
      <c r="H74" s="165"/>
      <c r="I74" s="165"/>
      <c r="J74" s="165"/>
      <c r="K74" s="165"/>
      <c r="L74" s="165"/>
      <c r="M74" s="165"/>
      <c r="N74" s="165"/>
      <c r="O74" s="165"/>
      <c r="P74" s="165"/>
      <c r="Q74" s="165"/>
      <c r="R74" s="165"/>
      <c r="S74" s="165"/>
      <c r="T74" s="165"/>
      <c r="U74" s="165"/>
      <c r="V74" s="165"/>
      <c r="W74" s="165"/>
      <c r="X74" s="165"/>
      <c r="Y74" s="165"/>
      <c r="Z74" s="165"/>
      <c r="AA74" s="11"/>
      <c r="AB74" s="11"/>
      <c r="AC74" s="11"/>
      <c r="AD74" s="11"/>
      <c r="AE74" s="11"/>
      <c r="AF74" s="11"/>
      <c r="AG74" s="11"/>
      <c r="AH74" s="11"/>
      <c r="AI74" s="11"/>
      <c r="AJ74" s="11"/>
      <c r="AK74" s="11"/>
      <c r="AL74" s="11"/>
      <c r="AM74" s="11"/>
      <c r="AN74" s="11"/>
      <c r="AO74" s="11"/>
      <c r="AP74" s="11"/>
      <c r="AQ74" s="11"/>
      <c r="AR74" s="11"/>
      <c r="AS74" s="11"/>
      <c r="AT74" s="11"/>
      <c r="AU74" s="11"/>
      <c r="AV74" s="11"/>
      <c r="AW74" s="11"/>
      <c r="AX74" s="11"/>
      <c r="AY74" s="11"/>
      <c r="AZ74" s="11"/>
      <c r="BA74" s="11"/>
      <c r="BB74" s="11"/>
      <c r="BC74" s="11"/>
      <c r="BD74" s="11"/>
      <c r="BE74" s="11"/>
      <c r="BF74" s="11"/>
      <c r="BG74" s="11"/>
      <c r="BH74" s="11"/>
      <c r="BI74" s="11"/>
      <c r="BJ74" s="11"/>
      <c r="BK74" s="11"/>
      <c r="BL74" s="11"/>
      <c r="BM74" s="11"/>
      <c r="BN74" s="11"/>
      <c r="BO74" s="11"/>
      <c r="BP74" s="11"/>
      <c r="BQ74" s="11"/>
      <c r="BR74" s="11"/>
      <c r="BS74" s="11"/>
      <c r="BT74" s="11"/>
      <c r="BU74" s="11"/>
      <c r="BV74" s="11"/>
      <c r="BW74" s="11"/>
      <c r="BX74" s="11"/>
      <c r="BY74" s="11"/>
      <c r="BZ74" s="11"/>
      <c r="CA74" s="11"/>
      <c r="CB74" s="11"/>
      <c r="CC74" s="11"/>
      <c r="CD74" s="11"/>
      <c r="CE74" s="11"/>
      <c r="CF74" s="11"/>
      <c r="CG74" s="11"/>
      <c r="CH74" s="11"/>
      <c r="CI74" s="11"/>
      <c r="CJ74" s="11"/>
      <c r="CK74" s="11"/>
      <c r="CL74" s="11"/>
      <c r="CM74" s="11"/>
      <c r="CN74" s="11"/>
      <c r="CO74" s="11"/>
      <c r="CP74" s="11"/>
      <c r="CQ74" s="11"/>
      <c r="CR74" s="11"/>
      <c r="CS74" s="11"/>
      <c r="CT74" s="11"/>
      <c r="CU74" s="11"/>
      <c r="CV74" s="11"/>
      <c r="CW74" s="11"/>
      <c r="CX74" s="11"/>
      <c r="CY74" s="11"/>
      <c r="CZ74" s="11"/>
      <c r="DA74" s="11"/>
      <c r="DB74" s="11"/>
      <c r="DC74" s="11"/>
      <c r="DD74" s="11"/>
      <c r="DE74" s="11"/>
      <c r="DF74" s="11"/>
      <c r="DG74" s="11"/>
      <c r="DH74" s="11"/>
      <c r="DI74" s="11"/>
      <c r="DJ74" s="11"/>
      <c r="DK74" s="11"/>
      <c r="DL74" s="11"/>
      <c r="DM74" s="11"/>
      <c r="DN74" s="11"/>
      <c r="DO74" s="11"/>
      <c r="DP74" s="11"/>
      <c r="DQ74" s="11"/>
      <c r="DR74" s="11"/>
      <c r="DS74" s="11"/>
      <c r="DT74" s="11"/>
      <c r="DU74" s="11"/>
      <c r="DV74" s="11"/>
      <c r="DW74" s="11"/>
      <c r="DX74" s="11"/>
      <c r="DY74" s="11"/>
      <c r="DZ74" s="11"/>
      <c r="EA74" s="11"/>
      <c r="EB74" s="11"/>
      <c r="EC74" s="11"/>
      <c r="ED74" s="11"/>
      <c r="EE74" s="11"/>
      <c r="EF74" s="11"/>
      <c r="EG74" s="11"/>
      <c r="EH74" s="11"/>
      <c r="EI74" s="11"/>
      <c r="EJ74" s="11"/>
      <c r="EK74" s="11"/>
      <c r="EL74" s="11"/>
      <c r="EM74" s="11"/>
      <c r="EN74" s="11"/>
      <c r="EO74" s="11"/>
      <c r="EP74" s="11"/>
      <c r="EQ74" s="11"/>
      <c r="ER74" s="11"/>
      <c r="ES74" s="11"/>
      <c r="ET74" s="11"/>
      <c r="EU74" s="11"/>
      <c r="EV74" s="11"/>
      <c r="EW74" s="11"/>
      <c r="EX74" s="11"/>
      <c r="EY74" s="11"/>
      <c r="EZ74" s="11"/>
      <c r="FA74" s="11"/>
      <c r="FB74" s="11"/>
      <c r="FC74" s="11"/>
      <c r="FD74" s="11"/>
      <c r="FE74" s="11"/>
      <c r="FF74" s="11"/>
      <c r="FG74" s="11"/>
      <c r="FH74" s="11"/>
      <c r="FI74" s="11"/>
      <c r="FJ74" s="11"/>
      <c r="FK74" s="11"/>
      <c r="FL74" s="11"/>
      <c r="FM74" s="11"/>
      <c r="FN74" s="11"/>
      <c r="FO74" s="11"/>
      <c r="FP74" s="11"/>
      <c r="FQ74" s="11"/>
      <c r="FR74" s="11"/>
      <c r="FS74" s="11"/>
      <c r="FT74" s="11"/>
      <c r="FU74" s="11"/>
      <c r="FV74" s="11"/>
      <c r="FW74" s="11"/>
      <c r="FX74" s="11"/>
      <c r="FY74" s="11"/>
      <c r="FZ74" s="11"/>
      <c r="GA74" s="11"/>
      <c r="GB74" s="11"/>
      <c r="GC74" s="11"/>
      <c r="GD74" s="11"/>
      <c r="GE74" s="11"/>
      <c r="GF74" s="11"/>
      <c r="GG74" s="11"/>
      <c r="GH74" s="11"/>
      <c r="GI74" s="11"/>
      <c r="GJ74" s="11"/>
      <c r="GK74" s="11"/>
      <c r="GL74" s="11"/>
      <c r="GM74" s="11"/>
      <c r="GN74" s="11"/>
      <c r="GO74" s="11"/>
      <c r="GP74" s="11"/>
      <c r="GQ74" s="11"/>
      <c r="GR74" s="11"/>
      <c r="GS74" s="11"/>
      <c r="GT74" s="11"/>
      <c r="GU74" s="11"/>
      <c r="GV74" s="11"/>
      <c r="GW74" s="11"/>
      <c r="GX74" s="11"/>
      <c r="GY74" s="11"/>
      <c r="GZ74" s="11"/>
      <c r="HA74" s="11"/>
      <c r="HB74" s="11"/>
      <c r="HC74" s="11"/>
      <c r="HD74" s="11"/>
      <c r="HE74" s="11"/>
      <c r="HF74" s="11"/>
      <c r="HG74" s="11"/>
      <c r="HH74" s="11"/>
      <c r="HI74" s="11"/>
      <c r="HJ74" s="11"/>
      <c r="HK74" s="11"/>
      <c r="HL74" s="11"/>
      <c r="HM74" s="11"/>
      <c r="HN74" s="11"/>
      <c r="HO74" s="11"/>
      <c r="HP74" s="11"/>
      <c r="HQ74" s="11"/>
      <c r="HR74" s="11"/>
      <c r="HS74" s="11"/>
      <c r="HT74" s="11"/>
      <c r="HU74" s="11"/>
    </row>
    <row r="75" spans="1:229" s="16" customFormat="1" ht="26.4">
      <c r="A75" s="250"/>
      <c r="B75" s="13"/>
      <c r="C75" s="19"/>
      <c r="D75" s="19"/>
      <c r="E75" s="204" t="s">
        <v>123</v>
      </c>
      <c r="F75" s="204" t="s">
        <v>142</v>
      </c>
      <c r="G75" s="171"/>
      <c r="H75" s="126"/>
      <c r="I75" s="126"/>
      <c r="J75" s="126"/>
      <c r="K75" s="126"/>
      <c r="L75" s="126"/>
      <c r="M75" s="126"/>
      <c r="N75" s="126"/>
      <c r="O75" s="126"/>
      <c r="P75" s="126"/>
      <c r="Q75" s="126"/>
      <c r="R75" s="126"/>
      <c r="S75" s="126"/>
      <c r="T75" s="126"/>
      <c r="U75" s="126"/>
      <c r="V75" s="126"/>
      <c r="W75" s="126"/>
      <c r="X75" s="126"/>
      <c r="Y75" s="126"/>
      <c r="Z75" s="126"/>
      <c r="AA75" s="15"/>
      <c r="AB75" s="15"/>
      <c r="AC75" s="15"/>
      <c r="AD75" s="15"/>
      <c r="AE75" s="15"/>
      <c r="AF75" s="15"/>
      <c r="AG75" s="15"/>
      <c r="AH75" s="15"/>
      <c r="AI75" s="15"/>
      <c r="AJ75" s="15"/>
      <c r="AK75" s="15"/>
      <c r="AL75" s="15"/>
      <c r="AM75" s="15"/>
      <c r="AN75" s="15"/>
      <c r="AO75" s="15"/>
      <c r="AP75" s="15"/>
      <c r="AQ75" s="15"/>
      <c r="AR75" s="15"/>
      <c r="AS75" s="15"/>
      <c r="AT75" s="15"/>
      <c r="AU75" s="15"/>
      <c r="AV75" s="15"/>
      <c r="AW75" s="15"/>
      <c r="AX75" s="15"/>
      <c r="AY75" s="15"/>
      <c r="AZ75" s="15"/>
      <c r="BA75" s="15"/>
      <c r="BB75" s="15"/>
      <c r="BC75" s="15"/>
      <c r="BD75" s="15"/>
      <c r="BE75" s="15"/>
      <c r="BF75" s="15"/>
      <c r="BG75" s="15"/>
      <c r="BH75" s="15"/>
      <c r="BI75" s="15"/>
      <c r="BJ75" s="15"/>
      <c r="BK75" s="15"/>
      <c r="BL75" s="15"/>
      <c r="BM75" s="15"/>
      <c r="BN75" s="15"/>
      <c r="BO75" s="15"/>
      <c r="BP75" s="15"/>
      <c r="BQ75" s="15"/>
      <c r="BR75" s="15"/>
      <c r="BS75" s="15"/>
      <c r="BT75" s="15"/>
      <c r="BU75" s="15"/>
      <c r="BV75" s="15"/>
      <c r="BW75" s="15"/>
      <c r="BX75" s="15"/>
      <c r="BY75" s="15"/>
      <c r="BZ75" s="15"/>
      <c r="CA75" s="15"/>
      <c r="CB75" s="15"/>
      <c r="CC75" s="15"/>
      <c r="CD75" s="15"/>
      <c r="CE75" s="15"/>
      <c r="CF75" s="15"/>
      <c r="CG75" s="15"/>
      <c r="CH75" s="15"/>
      <c r="CI75" s="15"/>
      <c r="CJ75" s="15"/>
      <c r="CK75" s="15"/>
      <c r="CL75" s="15"/>
      <c r="CM75" s="15"/>
      <c r="CN75" s="15"/>
      <c r="CO75" s="15"/>
      <c r="CP75" s="15"/>
      <c r="CQ75" s="15"/>
      <c r="CR75" s="15"/>
      <c r="CS75" s="15"/>
      <c r="CT75" s="15"/>
      <c r="CU75" s="15"/>
      <c r="CV75" s="15"/>
      <c r="CW75" s="15"/>
      <c r="CX75" s="15"/>
      <c r="CY75" s="15"/>
      <c r="CZ75" s="15"/>
      <c r="DA75" s="15"/>
      <c r="DB75" s="15"/>
      <c r="DC75" s="15"/>
      <c r="DD75" s="15"/>
      <c r="DE75" s="15"/>
      <c r="DF75" s="15"/>
      <c r="DG75" s="15"/>
      <c r="DH75" s="15"/>
      <c r="DI75" s="15"/>
      <c r="DJ75" s="15"/>
      <c r="DK75" s="15"/>
      <c r="DL75" s="15"/>
      <c r="DM75" s="15"/>
      <c r="DN75" s="15"/>
      <c r="DO75" s="15"/>
      <c r="DP75" s="15"/>
      <c r="DQ75" s="15"/>
      <c r="DR75" s="15"/>
      <c r="DS75" s="15"/>
      <c r="DT75" s="15"/>
      <c r="DU75" s="15"/>
      <c r="DV75" s="15"/>
      <c r="DW75" s="15"/>
      <c r="DX75" s="15"/>
      <c r="DY75" s="15"/>
      <c r="DZ75" s="15"/>
      <c r="EA75" s="15"/>
      <c r="EB75" s="15"/>
      <c r="EC75" s="15"/>
      <c r="ED75" s="15"/>
      <c r="EE75" s="15"/>
      <c r="EF75" s="15"/>
      <c r="EG75" s="15"/>
      <c r="EH75" s="15"/>
      <c r="EI75" s="15"/>
      <c r="EJ75" s="15"/>
      <c r="EK75" s="15"/>
      <c r="EL75" s="15"/>
      <c r="EM75" s="15"/>
      <c r="EN75" s="15"/>
      <c r="EO75" s="15"/>
      <c r="EP75" s="15"/>
      <c r="EQ75" s="15"/>
      <c r="ER75" s="15"/>
      <c r="ES75" s="15"/>
      <c r="ET75" s="15"/>
      <c r="EU75" s="15"/>
      <c r="EV75" s="15"/>
      <c r="EW75" s="15"/>
      <c r="EX75" s="15"/>
      <c r="EY75" s="15"/>
      <c r="EZ75" s="15"/>
      <c r="FA75" s="15"/>
      <c r="FB75" s="15"/>
      <c r="FC75" s="15"/>
      <c r="FD75" s="15"/>
      <c r="FE75" s="15"/>
      <c r="FF75" s="15"/>
      <c r="FG75" s="15"/>
      <c r="FH75" s="15"/>
      <c r="FI75" s="15"/>
      <c r="FJ75" s="15"/>
      <c r="FK75" s="15"/>
      <c r="FL75" s="15"/>
      <c r="FM75" s="15"/>
      <c r="FN75" s="15"/>
      <c r="FO75" s="15"/>
      <c r="FP75" s="15"/>
      <c r="FQ75" s="15"/>
      <c r="FR75" s="15"/>
      <c r="FS75" s="15"/>
      <c r="FT75" s="15"/>
      <c r="FU75" s="15"/>
      <c r="FV75" s="15"/>
      <c r="FW75" s="15"/>
      <c r="FX75" s="15"/>
      <c r="FY75" s="15"/>
      <c r="FZ75" s="15"/>
      <c r="GA75" s="15"/>
      <c r="GB75" s="15"/>
      <c r="GC75" s="15"/>
      <c r="GD75" s="15"/>
      <c r="GE75" s="15"/>
      <c r="GF75" s="15"/>
      <c r="GG75" s="15"/>
      <c r="GH75" s="15"/>
      <c r="GI75" s="15"/>
      <c r="GJ75" s="15"/>
      <c r="GK75" s="15"/>
      <c r="GL75" s="15"/>
      <c r="GM75" s="15"/>
      <c r="GN75" s="15"/>
      <c r="GO75" s="15"/>
      <c r="GP75" s="15"/>
      <c r="GQ75" s="15"/>
      <c r="GR75" s="15"/>
      <c r="GS75" s="15"/>
      <c r="GT75" s="15"/>
      <c r="GU75" s="15"/>
      <c r="GV75" s="15"/>
      <c r="GW75" s="15"/>
      <c r="GX75" s="15"/>
      <c r="GY75" s="15"/>
      <c r="GZ75" s="15"/>
      <c r="HA75" s="15"/>
      <c r="HB75" s="15"/>
      <c r="HC75" s="15"/>
      <c r="HD75" s="15"/>
      <c r="HE75" s="15"/>
      <c r="HF75" s="15"/>
      <c r="HG75" s="15"/>
      <c r="HH75" s="15"/>
      <c r="HI75" s="15"/>
      <c r="HJ75" s="15"/>
      <c r="HK75" s="15"/>
      <c r="HL75" s="15"/>
      <c r="HM75" s="15"/>
      <c r="HN75" s="15"/>
      <c r="HO75" s="15"/>
      <c r="HP75" s="15"/>
      <c r="HQ75" s="15"/>
      <c r="HR75" s="15"/>
      <c r="HS75" s="15"/>
      <c r="HT75" s="15"/>
      <c r="HU75" s="15"/>
    </row>
    <row r="76" spans="1:229" s="22" customFormat="1" ht="13.8">
      <c r="A76" s="250"/>
      <c r="B76" s="20"/>
      <c r="C76" s="19"/>
      <c r="D76" s="19"/>
      <c r="E76" s="204" t="s">
        <v>123</v>
      </c>
      <c r="F76" s="224" t="s">
        <v>143</v>
      </c>
      <c r="G76" s="173"/>
      <c r="H76" s="166"/>
      <c r="I76" s="166"/>
      <c r="J76" s="166"/>
      <c r="K76" s="166"/>
      <c r="L76" s="166"/>
      <c r="M76" s="166"/>
      <c r="N76" s="166"/>
      <c r="O76" s="166"/>
      <c r="P76" s="166"/>
      <c r="Q76" s="166"/>
      <c r="R76" s="166"/>
      <c r="S76" s="166"/>
      <c r="T76" s="166"/>
      <c r="U76" s="166"/>
      <c r="V76" s="166"/>
      <c r="W76" s="166"/>
      <c r="X76" s="166"/>
      <c r="Y76" s="166"/>
      <c r="Z76" s="166"/>
      <c r="AA76" s="21"/>
      <c r="AB76" s="21"/>
      <c r="AC76" s="21"/>
      <c r="AD76" s="21"/>
      <c r="AE76" s="21"/>
      <c r="AF76" s="21"/>
      <c r="AG76" s="21"/>
      <c r="AH76" s="21"/>
      <c r="AI76" s="21"/>
      <c r="AJ76" s="21"/>
      <c r="AK76" s="21"/>
      <c r="AL76" s="21"/>
      <c r="AM76" s="21"/>
      <c r="AN76" s="21"/>
      <c r="AO76" s="21"/>
      <c r="AP76" s="21"/>
      <c r="AQ76" s="21"/>
      <c r="AR76" s="21"/>
      <c r="AS76" s="21"/>
      <c r="AT76" s="21"/>
      <c r="AU76" s="21"/>
      <c r="AV76" s="21"/>
      <c r="AW76" s="21"/>
      <c r="AX76" s="21"/>
      <c r="AY76" s="21"/>
      <c r="AZ76" s="21"/>
      <c r="BA76" s="21"/>
      <c r="BB76" s="21"/>
      <c r="BC76" s="21"/>
      <c r="BD76" s="21"/>
      <c r="BE76" s="21"/>
      <c r="BF76" s="21"/>
      <c r="BG76" s="21"/>
      <c r="BH76" s="21"/>
      <c r="BI76" s="21"/>
      <c r="BJ76" s="21"/>
      <c r="BK76" s="21"/>
      <c r="BL76" s="21"/>
      <c r="BM76" s="21"/>
      <c r="BN76" s="21"/>
      <c r="BO76" s="21"/>
      <c r="BP76" s="21"/>
      <c r="BQ76" s="21"/>
      <c r="BR76" s="21"/>
      <c r="BS76" s="21"/>
      <c r="BT76" s="21"/>
      <c r="BU76" s="21"/>
      <c r="BV76" s="21"/>
      <c r="BW76" s="21"/>
      <c r="BX76" s="21"/>
      <c r="BY76" s="21"/>
      <c r="BZ76" s="21"/>
      <c r="CA76" s="21"/>
      <c r="CB76" s="21"/>
      <c r="CC76" s="21"/>
      <c r="CD76" s="21"/>
      <c r="CE76" s="21"/>
      <c r="CF76" s="21"/>
      <c r="CG76" s="21"/>
      <c r="CH76" s="21"/>
      <c r="CI76" s="21"/>
      <c r="CJ76" s="21"/>
      <c r="CK76" s="21"/>
      <c r="CL76" s="21"/>
      <c r="CM76" s="21"/>
      <c r="CN76" s="21"/>
      <c r="CO76" s="21"/>
      <c r="CP76" s="21"/>
      <c r="CQ76" s="21"/>
      <c r="CR76" s="21"/>
      <c r="CS76" s="21"/>
      <c r="CT76" s="21"/>
      <c r="CU76" s="21"/>
      <c r="CV76" s="21"/>
      <c r="CW76" s="21"/>
      <c r="CX76" s="21"/>
      <c r="CY76" s="21"/>
      <c r="CZ76" s="21"/>
      <c r="DA76" s="21"/>
      <c r="DB76" s="21"/>
      <c r="DC76" s="21"/>
      <c r="DD76" s="21"/>
      <c r="DE76" s="21"/>
      <c r="DF76" s="21"/>
      <c r="DG76" s="21"/>
      <c r="DH76" s="21"/>
      <c r="DI76" s="21"/>
      <c r="DJ76" s="21"/>
      <c r="DK76" s="21"/>
      <c r="DL76" s="21"/>
      <c r="DM76" s="21"/>
      <c r="DN76" s="21"/>
      <c r="DO76" s="21"/>
      <c r="DP76" s="21"/>
      <c r="DQ76" s="21"/>
      <c r="DR76" s="21"/>
      <c r="DS76" s="21"/>
      <c r="DT76" s="21"/>
      <c r="DU76" s="21"/>
      <c r="DV76" s="21"/>
      <c r="DW76" s="21"/>
      <c r="DX76" s="21"/>
      <c r="DY76" s="21"/>
      <c r="DZ76" s="21"/>
      <c r="EA76" s="21"/>
      <c r="EB76" s="21"/>
      <c r="EC76" s="21"/>
      <c r="ED76" s="21"/>
      <c r="EE76" s="21"/>
      <c r="EF76" s="21"/>
      <c r="EG76" s="21"/>
      <c r="EH76" s="21"/>
      <c r="EI76" s="21"/>
      <c r="EJ76" s="21"/>
      <c r="EK76" s="21"/>
      <c r="EL76" s="21"/>
      <c r="EM76" s="21"/>
      <c r="EN76" s="21"/>
      <c r="EO76" s="21"/>
      <c r="EP76" s="21"/>
      <c r="EQ76" s="21"/>
      <c r="ER76" s="21"/>
      <c r="ES76" s="21"/>
      <c r="ET76" s="21"/>
      <c r="EU76" s="21"/>
      <c r="EV76" s="21"/>
      <c r="EW76" s="21"/>
      <c r="EX76" s="21"/>
      <c r="EY76" s="21"/>
      <c r="EZ76" s="21"/>
      <c r="FA76" s="21"/>
      <c r="FB76" s="21"/>
      <c r="FC76" s="21"/>
      <c r="FD76" s="21"/>
      <c r="FE76" s="21"/>
      <c r="FF76" s="21"/>
      <c r="FG76" s="21"/>
      <c r="FH76" s="21"/>
      <c r="FI76" s="21"/>
      <c r="FJ76" s="21"/>
      <c r="FK76" s="21"/>
      <c r="FL76" s="21"/>
      <c r="FM76" s="21"/>
      <c r="FN76" s="21"/>
      <c r="FO76" s="21"/>
      <c r="FP76" s="21"/>
      <c r="FQ76" s="21"/>
      <c r="FR76" s="21"/>
      <c r="FS76" s="21"/>
      <c r="FT76" s="21"/>
      <c r="FU76" s="21"/>
      <c r="FV76" s="21"/>
      <c r="FW76" s="21"/>
      <c r="FX76" s="21"/>
      <c r="FY76" s="21"/>
      <c r="FZ76" s="21"/>
      <c r="GA76" s="21"/>
      <c r="GB76" s="21"/>
      <c r="GC76" s="21"/>
      <c r="GD76" s="21"/>
      <c r="GE76" s="21"/>
      <c r="GF76" s="21"/>
      <c r="GG76" s="21"/>
      <c r="GH76" s="21"/>
      <c r="GI76" s="21"/>
      <c r="GJ76" s="21"/>
      <c r="GK76" s="21"/>
      <c r="GL76" s="21"/>
      <c r="GM76" s="21"/>
      <c r="GN76" s="21"/>
      <c r="GO76" s="21"/>
      <c r="GP76" s="21"/>
      <c r="GQ76" s="21"/>
      <c r="GR76" s="21"/>
      <c r="GS76" s="21"/>
      <c r="GT76" s="21"/>
      <c r="GU76" s="21"/>
      <c r="GV76" s="21"/>
      <c r="GW76" s="21"/>
      <c r="GX76" s="21"/>
      <c r="GY76" s="21"/>
      <c r="GZ76" s="21"/>
      <c r="HA76" s="21"/>
      <c r="HB76" s="21"/>
      <c r="HC76" s="21"/>
      <c r="HD76" s="21"/>
      <c r="HE76" s="21"/>
      <c r="HF76" s="21"/>
      <c r="HG76" s="21"/>
      <c r="HH76" s="21"/>
      <c r="HI76" s="21"/>
      <c r="HJ76" s="21"/>
      <c r="HK76" s="21"/>
      <c r="HL76" s="21"/>
      <c r="HM76" s="21"/>
      <c r="HN76" s="21"/>
      <c r="HO76" s="21"/>
      <c r="HP76" s="21"/>
      <c r="HQ76" s="21"/>
      <c r="HR76" s="21"/>
      <c r="HS76" s="21"/>
      <c r="HT76" s="21"/>
      <c r="HU76" s="21"/>
    </row>
    <row r="77" spans="1:229" s="12" customFormat="1" ht="18" customHeight="1">
      <c r="A77" s="250"/>
      <c r="B77" s="10"/>
      <c r="C77" s="19"/>
      <c r="D77" s="19"/>
      <c r="E77" s="221" t="s">
        <v>132</v>
      </c>
      <c r="F77" s="19"/>
      <c r="G77" s="170"/>
      <c r="H77" s="166"/>
      <c r="I77" s="165"/>
      <c r="J77" s="165"/>
      <c r="K77" s="165"/>
      <c r="L77" s="165"/>
      <c r="M77" s="165"/>
      <c r="N77" s="165"/>
      <c r="O77" s="165"/>
      <c r="P77" s="165"/>
      <c r="Q77" s="165"/>
      <c r="R77" s="165"/>
      <c r="S77" s="165"/>
      <c r="T77" s="165"/>
      <c r="U77" s="165"/>
      <c r="V77" s="165"/>
      <c r="W77" s="165"/>
      <c r="X77" s="165"/>
      <c r="Y77" s="165"/>
      <c r="Z77" s="165"/>
      <c r="AA77" s="11"/>
      <c r="AB77" s="11"/>
      <c r="AC77" s="11"/>
      <c r="AD77" s="11"/>
      <c r="AE77" s="11"/>
      <c r="AF77" s="11"/>
      <c r="AG77" s="11"/>
      <c r="AH77" s="11"/>
      <c r="AI77" s="11"/>
      <c r="AJ77" s="11"/>
      <c r="AK77" s="11"/>
      <c r="AL77" s="11"/>
      <c r="AM77" s="11"/>
      <c r="AN77" s="11"/>
      <c r="AO77" s="11"/>
      <c r="AP77" s="11"/>
      <c r="AQ77" s="11"/>
      <c r="AR77" s="11"/>
      <c r="AS77" s="11"/>
      <c r="AT77" s="11"/>
      <c r="AU77" s="11"/>
      <c r="AV77" s="11"/>
      <c r="AW77" s="11"/>
      <c r="AX77" s="11"/>
      <c r="AY77" s="11"/>
      <c r="AZ77" s="11"/>
      <c r="BA77" s="11"/>
      <c r="BB77" s="11"/>
      <c r="BC77" s="11"/>
      <c r="BD77" s="11"/>
      <c r="BE77" s="11"/>
      <c r="BF77" s="11"/>
      <c r="BG77" s="11"/>
      <c r="BH77" s="11"/>
      <c r="BI77" s="11"/>
      <c r="BJ77" s="11"/>
      <c r="BK77" s="11"/>
      <c r="BL77" s="11"/>
      <c r="BM77" s="11"/>
      <c r="BN77" s="11"/>
      <c r="BO77" s="11"/>
      <c r="BP77" s="11"/>
      <c r="BQ77" s="11"/>
      <c r="BR77" s="11"/>
      <c r="BS77" s="11"/>
      <c r="BT77" s="11"/>
      <c r="BU77" s="11"/>
      <c r="BV77" s="11"/>
      <c r="BW77" s="11"/>
      <c r="BX77" s="11"/>
      <c r="BY77" s="11"/>
      <c r="BZ77" s="11"/>
      <c r="CA77" s="11"/>
      <c r="CB77" s="11"/>
      <c r="CC77" s="11"/>
      <c r="CD77" s="11"/>
      <c r="CE77" s="11"/>
      <c r="CF77" s="11"/>
      <c r="CG77" s="11"/>
      <c r="CH77" s="11"/>
      <c r="CI77" s="11"/>
      <c r="CJ77" s="11"/>
      <c r="CK77" s="11"/>
      <c r="CL77" s="11"/>
      <c r="CM77" s="11"/>
      <c r="CN77" s="11"/>
      <c r="CO77" s="11"/>
      <c r="CP77" s="11"/>
      <c r="CQ77" s="11"/>
      <c r="CR77" s="11"/>
      <c r="CS77" s="11"/>
      <c r="CT77" s="11"/>
      <c r="CU77" s="11"/>
      <c r="CV77" s="11"/>
      <c r="CW77" s="11"/>
      <c r="CX77" s="11"/>
      <c r="CY77" s="11"/>
      <c r="CZ77" s="11"/>
      <c r="DA77" s="11"/>
      <c r="DB77" s="11"/>
      <c r="DC77" s="11"/>
      <c r="DD77" s="11"/>
      <c r="DE77" s="11"/>
      <c r="DF77" s="11"/>
      <c r="DG77" s="11"/>
      <c r="DH77" s="11"/>
      <c r="DI77" s="11"/>
      <c r="DJ77" s="11"/>
      <c r="DK77" s="11"/>
      <c r="DL77" s="11"/>
      <c r="DM77" s="11"/>
      <c r="DN77" s="11"/>
      <c r="DO77" s="11"/>
      <c r="DP77" s="11"/>
      <c r="DQ77" s="11"/>
      <c r="DR77" s="11"/>
      <c r="DS77" s="11"/>
      <c r="DT77" s="11"/>
      <c r="DU77" s="11"/>
      <c r="DV77" s="11"/>
      <c r="DW77" s="11"/>
      <c r="DX77" s="11"/>
      <c r="DY77" s="11"/>
      <c r="DZ77" s="11"/>
      <c r="EA77" s="11"/>
      <c r="EB77" s="11"/>
      <c r="EC77" s="11"/>
      <c r="ED77" s="11"/>
      <c r="EE77" s="11"/>
      <c r="EF77" s="11"/>
      <c r="EG77" s="11"/>
      <c r="EH77" s="11"/>
      <c r="EI77" s="11"/>
      <c r="EJ77" s="11"/>
      <c r="EK77" s="11"/>
      <c r="EL77" s="11"/>
      <c r="EM77" s="11"/>
      <c r="EN77" s="11"/>
      <c r="EO77" s="11"/>
      <c r="EP77" s="11"/>
      <c r="EQ77" s="11"/>
      <c r="ER77" s="11"/>
      <c r="ES77" s="11"/>
      <c r="ET77" s="11"/>
      <c r="EU77" s="11"/>
      <c r="EV77" s="11"/>
      <c r="EW77" s="11"/>
      <c r="EX77" s="11"/>
      <c r="EY77" s="11"/>
      <c r="EZ77" s="11"/>
      <c r="FA77" s="11"/>
      <c r="FB77" s="11"/>
      <c r="FC77" s="11"/>
      <c r="FD77" s="11"/>
      <c r="FE77" s="11"/>
      <c r="FF77" s="11"/>
      <c r="FG77" s="11"/>
      <c r="FH77" s="11"/>
      <c r="FI77" s="11"/>
      <c r="FJ77" s="11"/>
      <c r="FK77" s="11"/>
      <c r="FL77" s="11"/>
      <c r="FM77" s="11"/>
      <c r="FN77" s="11"/>
      <c r="FO77" s="11"/>
      <c r="FP77" s="11"/>
      <c r="FQ77" s="11"/>
      <c r="FR77" s="11"/>
      <c r="FS77" s="11"/>
      <c r="FT77" s="11"/>
      <c r="FU77" s="11"/>
      <c r="FV77" s="11"/>
      <c r="FW77" s="11"/>
      <c r="FX77" s="11"/>
      <c r="FY77" s="11"/>
      <c r="FZ77" s="11"/>
      <c r="GA77" s="11"/>
      <c r="GB77" s="11"/>
      <c r="GC77" s="11"/>
      <c r="GD77" s="11"/>
      <c r="GE77" s="11"/>
      <c r="GF77" s="11"/>
      <c r="GG77" s="11"/>
      <c r="GH77" s="11"/>
      <c r="GI77" s="11"/>
      <c r="GJ77" s="11"/>
      <c r="GK77" s="11"/>
      <c r="GL77" s="11"/>
      <c r="GM77" s="11"/>
      <c r="GN77" s="11"/>
      <c r="GO77" s="11"/>
      <c r="GP77" s="11"/>
      <c r="GQ77" s="11"/>
      <c r="GR77" s="11"/>
      <c r="GS77" s="11"/>
      <c r="GT77" s="11"/>
      <c r="GU77" s="11"/>
      <c r="GV77" s="11"/>
      <c r="GW77" s="11"/>
      <c r="GX77" s="11"/>
      <c r="GY77" s="11"/>
      <c r="GZ77" s="11"/>
      <c r="HA77" s="11"/>
      <c r="HB77" s="11"/>
      <c r="HC77" s="11"/>
      <c r="HD77" s="11"/>
      <c r="HE77" s="11"/>
      <c r="HF77" s="11"/>
      <c r="HG77" s="11"/>
      <c r="HH77" s="11"/>
      <c r="HI77" s="11"/>
      <c r="HJ77" s="11"/>
      <c r="HK77" s="11"/>
      <c r="HL77" s="11"/>
      <c r="HM77" s="11"/>
      <c r="HN77" s="11"/>
      <c r="HO77" s="11"/>
      <c r="HP77" s="11"/>
      <c r="HQ77" s="11"/>
      <c r="HR77" s="11"/>
      <c r="HS77" s="11"/>
      <c r="HT77" s="11"/>
      <c r="HU77" s="11"/>
    </row>
    <row r="78" spans="1:229" s="12" customFormat="1" ht="26.4">
      <c r="A78" s="250"/>
      <c r="B78" s="10"/>
      <c r="C78" s="19"/>
      <c r="D78" s="19"/>
      <c r="E78" s="204" t="s">
        <v>123</v>
      </c>
      <c r="F78" s="204" t="s">
        <v>144</v>
      </c>
      <c r="G78" s="170"/>
      <c r="H78" s="166"/>
      <c r="I78" s="165"/>
      <c r="J78" s="165"/>
      <c r="K78" s="165"/>
      <c r="L78" s="165"/>
      <c r="M78" s="165"/>
      <c r="N78" s="165"/>
      <c r="O78" s="165"/>
      <c r="P78" s="165"/>
      <c r="Q78" s="165"/>
      <c r="R78" s="165"/>
      <c r="S78" s="165"/>
      <c r="T78" s="165"/>
      <c r="U78" s="165"/>
      <c r="V78" s="165"/>
      <c r="W78" s="165"/>
      <c r="X78" s="165"/>
      <c r="Y78" s="165"/>
      <c r="Z78" s="165"/>
      <c r="AA78" s="11"/>
      <c r="AB78" s="11"/>
      <c r="AC78" s="11"/>
      <c r="AD78" s="11"/>
      <c r="AE78" s="11"/>
      <c r="AF78" s="11"/>
      <c r="AG78" s="11"/>
      <c r="AH78" s="11"/>
      <c r="AI78" s="11"/>
      <c r="AJ78" s="11"/>
      <c r="AK78" s="11"/>
      <c r="AL78" s="11"/>
      <c r="AM78" s="11"/>
      <c r="AN78" s="11"/>
      <c r="AO78" s="11"/>
      <c r="AP78" s="11"/>
      <c r="AQ78" s="11"/>
      <c r="AR78" s="11"/>
      <c r="AS78" s="11"/>
      <c r="AT78" s="11"/>
      <c r="AU78" s="11"/>
      <c r="AV78" s="11"/>
      <c r="AW78" s="11"/>
      <c r="AX78" s="11"/>
      <c r="AY78" s="11"/>
      <c r="AZ78" s="11"/>
      <c r="BA78" s="11"/>
      <c r="BB78" s="11"/>
      <c r="BC78" s="11"/>
      <c r="BD78" s="11"/>
      <c r="BE78" s="11"/>
      <c r="BF78" s="11"/>
      <c r="BG78" s="11"/>
      <c r="BH78" s="11"/>
      <c r="BI78" s="11"/>
      <c r="BJ78" s="11"/>
      <c r="BK78" s="11"/>
      <c r="BL78" s="11"/>
      <c r="BM78" s="11"/>
      <c r="BN78" s="11"/>
      <c r="BO78" s="11"/>
      <c r="BP78" s="11"/>
      <c r="BQ78" s="11"/>
      <c r="BR78" s="11"/>
      <c r="BS78" s="11"/>
      <c r="BT78" s="11"/>
      <c r="BU78" s="11"/>
      <c r="BV78" s="11"/>
      <c r="BW78" s="11"/>
      <c r="BX78" s="11"/>
      <c r="BY78" s="11"/>
      <c r="BZ78" s="11"/>
      <c r="CA78" s="11"/>
      <c r="CB78" s="11"/>
      <c r="CC78" s="11"/>
      <c r="CD78" s="11"/>
      <c r="CE78" s="11"/>
      <c r="CF78" s="11"/>
      <c r="CG78" s="11"/>
      <c r="CH78" s="11"/>
      <c r="CI78" s="11"/>
      <c r="CJ78" s="11"/>
      <c r="CK78" s="11"/>
      <c r="CL78" s="11"/>
      <c r="CM78" s="11"/>
      <c r="CN78" s="11"/>
      <c r="CO78" s="11"/>
      <c r="CP78" s="11"/>
      <c r="CQ78" s="11"/>
      <c r="CR78" s="11"/>
      <c r="CS78" s="11"/>
      <c r="CT78" s="11"/>
      <c r="CU78" s="11"/>
      <c r="CV78" s="11"/>
      <c r="CW78" s="11"/>
      <c r="CX78" s="11"/>
      <c r="CY78" s="11"/>
      <c r="CZ78" s="11"/>
      <c r="DA78" s="11"/>
      <c r="DB78" s="11"/>
      <c r="DC78" s="11"/>
      <c r="DD78" s="11"/>
      <c r="DE78" s="11"/>
      <c r="DF78" s="11"/>
      <c r="DG78" s="11"/>
      <c r="DH78" s="11"/>
      <c r="DI78" s="11"/>
      <c r="DJ78" s="11"/>
      <c r="DK78" s="11"/>
      <c r="DL78" s="11"/>
      <c r="DM78" s="11"/>
      <c r="DN78" s="11"/>
      <c r="DO78" s="11"/>
      <c r="DP78" s="11"/>
      <c r="DQ78" s="11"/>
      <c r="DR78" s="11"/>
      <c r="DS78" s="11"/>
      <c r="DT78" s="11"/>
      <c r="DU78" s="11"/>
      <c r="DV78" s="11"/>
      <c r="DW78" s="11"/>
      <c r="DX78" s="11"/>
      <c r="DY78" s="11"/>
      <c r="DZ78" s="11"/>
      <c r="EA78" s="11"/>
      <c r="EB78" s="11"/>
      <c r="EC78" s="11"/>
      <c r="ED78" s="11"/>
      <c r="EE78" s="11"/>
      <c r="EF78" s="11"/>
      <c r="EG78" s="11"/>
      <c r="EH78" s="11"/>
      <c r="EI78" s="11"/>
      <c r="EJ78" s="11"/>
      <c r="EK78" s="11"/>
      <c r="EL78" s="11"/>
      <c r="EM78" s="11"/>
      <c r="EN78" s="11"/>
      <c r="EO78" s="11"/>
      <c r="EP78" s="11"/>
      <c r="EQ78" s="11"/>
      <c r="ER78" s="11"/>
      <c r="ES78" s="11"/>
      <c r="ET78" s="11"/>
      <c r="EU78" s="11"/>
      <c r="EV78" s="11"/>
      <c r="EW78" s="11"/>
      <c r="EX78" s="11"/>
      <c r="EY78" s="11"/>
      <c r="EZ78" s="11"/>
      <c r="FA78" s="11"/>
      <c r="FB78" s="11"/>
      <c r="FC78" s="11"/>
      <c r="FD78" s="11"/>
      <c r="FE78" s="11"/>
      <c r="FF78" s="11"/>
      <c r="FG78" s="11"/>
      <c r="FH78" s="11"/>
      <c r="FI78" s="11"/>
      <c r="FJ78" s="11"/>
      <c r="FK78" s="11"/>
      <c r="FL78" s="11"/>
      <c r="FM78" s="11"/>
      <c r="FN78" s="11"/>
      <c r="FO78" s="11"/>
      <c r="FP78" s="11"/>
      <c r="FQ78" s="11"/>
      <c r="FR78" s="11"/>
      <c r="FS78" s="11"/>
      <c r="FT78" s="11"/>
      <c r="FU78" s="11"/>
      <c r="FV78" s="11"/>
      <c r="FW78" s="11"/>
      <c r="FX78" s="11"/>
      <c r="FY78" s="11"/>
      <c r="FZ78" s="11"/>
      <c r="GA78" s="11"/>
      <c r="GB78" s="11"/>
      <c r="GC78" s="11"/>
      <c r="GD78" s="11"/>
      <c r="GE78" s="11"/>
      <c r="GF78" s="11"/>
      <c r="GG78" s="11"/>
      <c r="GH78" s="11"/>
      <c r="GI78" s="11"/>
      <c r="GJ78" s="11"/>
      <c r="GK78" s="11"/>
      <c r="GL78" s="11"/>
      <c r="GM78" s="11"/>
      <c r="GN78" s="11"/>
      <c r="GO78" s="11"/>
      <c r="GP78" s="11"/>
      <c r="GQ78" s="11"/>
      <c r="GR78" s="11"/>
      <c r="GS78" s="11"/>
      <c r="GT78" s="11"/>
      <c r="GU78" s="11"/>
      <c r="GV78" s="11"/>
      <c r="GW78" s="11"/>
      <c r="GX78" s="11"/>
      <c r="GY78" s="11"/>
      <c r="GZ78" s="11"/>
      <c r="HA78" s="11"/>
      <c r="HB78" s="11"/>
      <c r="HC78" s="11"/>
      <c r="HD78" s="11"/>
      <c r="HE78" s="11"/>
      <c r="HF78" s="11"/>
      <c r="HG78" s="11"/>
      <c r="HH78" s="11"/>
      <c r="HI78" s="11"/>
      <c r="HJ78" s="11"/>
      <c r="HK78" s="11"/>
      <c r="HL78" s="11"/>
      <c r="HM78" s="11"/>
      <c r="HN78" s="11"/>
      <c r="HO78" s="11"/>
      <c r="HP78" s="11"/>
      <c r="HQ78" s="11"/>
      <c r="HR78" s="11"/>
      <c r="HS78" s="11"/>
      <c r="HT78" s="11"/>
      <c r="HU78" s="11"/>
    </row>
    <row r="79" spans="1:229" s="12" customFormat="1" ht="13.8">
      <c r="A79" s="250"/>
      <c r="B79" s="10"/>
      <c r="C79" s="19"/>
      <c r="D79" s="19"/>
      <c r="E79" s="204" t="s">
        <v>123</v>
      </c>
      <c r="F79" s="223" t="s">
        <v>367</v>
      </c>
      <c r="G79" s="170"/>
      <c r="H79" s="166"/>
      <c r="I79" s="165"/>
      <c r="J79" s="165"/>
      <c r="K79" s="165"/>
      <c r="L79" s="165"/>
      <c r="M79" s="165"/>
      <c r="N79" s="165"/>
      <c r="O79" s="165"/>
      <c r="P79" s="165"/>
      <c r="Q79" s="165"/>
      <c r="R79" s="165"/>
      <c r="S79" s="165"/>
      <c r="T79" s="165"/>
      <c r="U79" s="165"/>
      <c r="V79" s="165"/>
      <c r="W79" s="165"/>
      <c r="X79" s="165"/>
      <c r="Y79" s="165"/>
      <c r="Z79" s="165"/>
      <c r="AA79" s="11"/>
      <c r="AB79" s="11"/>
      <c r="AC79" s="11"/>
      <c r="AD79" s="11"/>
      <c r="AE79" s="11"/>
      <c r="AF79" s="11"/>
      <c r="AG79" s="11"/>
      <c r="AH79" s="11"/>
      <c r="AI79" s="11"/>
      <c r="AJ79" s="11"/>
      <c r="AK79" s="11"/>
      <c r="AL79" s="11"/>
      <c r="AM79" s="11"/>
      <c r="AN79" s="11"/>
      <c r="AO79" s="11"/>
      <c r="AP79" s="11"/>
      <c r="AQ79" s="11"/>
      <c r="AR79" s="11"/>
      <c r="AS79" s="11"/>
      <c r="AT79" s="11"/>
      <c r="AU79" s="11"/>
      <c r="AV79" s="11"/>
      <c r="AW79" s="11"/>
      <c r="AX79" s="11"/>
      <c r="AY79" s="11"/>
      <c r="AZ79" s="11"/>
      <c r="BA79" s="11"/>
      <c r="BB79" s="11"/>
      <c r="BC79" s="11"/>
      <c r="BD79" s="11"/>
      <c r="BE79" s="11"/>
      <c r="BF79" s="11"/>
      <c r="BG79" s="11"/>
      <c r="BH79" s="11"/>
      <c r="BI79" s="11"/>
      <c r="BJ79" s="11"/>
      <c r="BK79" s="11"/>
      <c r="BL79" s="11"/>
      <c r="BM79" s="11"/>
      <c r="BN79" s="11"/>
      <c r="BO79" s="11"/>
      <c r="BP79" s="11"/>
      <c r="BQ79" s="11"/>
      <c r="BR79" s="11"/>
      <c r="BS79" s="11"/>
      <c r="BT79" s="11"/>
      <c r="BU79" s="11"/>
      <c r="BV79" s="11"/>
      <c r="BW79" s="11"/>
      <c r="BX79" s="11"/>
      <c r="BY79" s="11"/>
      <c r="BZ79" s="11"/>
      <c r="CA79" s="11"/>
      <c r="CB79" s="11"/>
      <c r="CC79" s="11"/>
      <c r="CD79" s="11"/>
      <c r="CE79" s="11"/>
      <c r="CF79" s="11"/>
      <c r="CG79" s="11"/>
      <c r="CH79" s="11"/>
      <c r="CI79" s="11"/>
      <c r="CJ79" s="11"/>
      <c r="CK79" s="11"/>
      <c r="CL79" s="11"/>
      <c r="CM79" s="11"/>
      <c r="CN79" s="11"/>
      <c r="CO79" s="11"/>
      <c r="CP79" s="11"/>
      <c r="CQ79" s="11"/>
      <c r="CR79" s="11"/>
      <c r="CS79" s="11"/>
      <c r="CT79" s="11"/>
      <c r="CU79" s="11"/>
      <c r="CV79" s="11"/>
      <c r="CW79" s="11"/>
      <c r="CX79" s="11"/>
      <c r="CY79" s="11"/>
      <c r="CZ79" s="11"/>
      <c r="DA79" s="11"/>
      <c r="DB79" s="11"/>
      <c r="DC79" s="11"/>
      <c r="DD79" s="11"/>
      <c r="DE79" s="11"/>
      <c r="DF79" s="11"/>
      <c r="DG79" s="11"/>
      <c r="DH79" s="11"/>
      <c r="DI79" s="11"/>
      <c r="DJ79" s="11"/>
      <c r="DK79" s="11"/>
      <c r="DL79" s="11"/>
      <c r="DM79" s="11"/>
      <c r="DN79" s="11"/>
      <c r="DO79" s="11"/>
      <c r="DP79" s="11"/>
      <c r="DQ79" s="11"/>
      <c r="DR79" s="11"/>
      <c r="DS79" s="11"/>
      <c r="DT79" s="11"/>
      <c r="DU79" s="11"/>
      <c r="DV79" s="11"/>
      <c r="DW79" s="11"/>
      <c r="DX79" s="11"/>
      <c r="DY79" s="11"/>
      <c r="DZ79" s="11"/>
      <c r="EA79" s="11"/>
      <c r="EB79" s="11"/>
      <c r="EC79" s="11"/>
      <c r="ED79" s="11"/>
      <c r="EE79" s="11"/>
      <c r="EF79" s="11"/>
      <c r="EG79" s="11"/>
      <c r="EH79" s="11"/>
      <c r="EI79" s="11"/>
      <c r="EJ79" s="11"/>
      <c r="EK79" s="11"/>
      <c r="EL79" s="11"/>
      <c r="EM79" s="11"/>
      <c r="EN79" s="11"/>
      <c r="EO79" s="11"/>
      <c r="EP79" s="11"/>
      <c r="EQ79" s="11"/>
      <c r="ER79" s="11"/>
      <c r="ES79" s="11"/>
      <c r="ET79" s="11"/>
      <c r="EU79" s="11"/>
      <c r="EV79" s="11"/>
      <c r="EW79" s="11"/>
      <c r="EX79" s="11"/>
      <c r="EY79" s="11"/>
      <c r="EZ79" s="11"/>
      <c r="FA79" s="11"/>
      <c r="FB79" s="11"/>
      <c r="FC79" s="11"/>
      <c r="FD79" s="11"/>
      <c r="FE79" s="11"/>
      <c r="FF79" s="11"/>
      <c r="FG79" s="11"/>
      <c r="FH79" s="11"/>
      <c r="FI79" s="11"/>
      <c r="FJ79" s="11"/>
      <c r="FK79" s="11"/>
      <c r="FL79" s="11"/>
      <c r="FM79" s="11"/>
      <c r="FN79" s="11"/>
      <c r="FO79" s="11"/>
      <c r="FP79" s="11"/>
      <c r="FQ79" s="11"/>
      <c r="FR79" s="11"/>
      <c r="FS79" s="11"/>
      <c r="FT79" s="11"/>
      <c r="FU79" s="11"/>
      <c r="FV79" s="11"/>
      <c r="FW79" s="11"/>
      <c r="FX79" s="11"/>
      <c r="FY79" s="11"/>
      <c r="FZ79" s="11"/>
      <c r="GA79" s="11"/>
      <c r="GB79" s="11"/>
      <c r="GC79" s="11"/>
      <c r="GD79" s="11"/>
      <c r="GE79" s="11"/>
      <c r="GF79" s="11"/>
      <c r="GG79" s="11"/>
      <c r="GH79" s="11"/>
      <c r="GI79" s="11"/>
      <c r="GJ79" s="11"/>
      <c r="GK79" s="11"/>
      <c r="GL79" s="11"/>
      <c r="GM79" s="11"/>
      <c r="GN79" s="11"/>
      <c r="GO79" s="11"/>
      <c r="GP79" s="11"/>
      <c r="GQ79" s="11"/>
      <c r="GR79" s="11"/>
      <c r="GS79" s="11"/>
      <c r="GT79" s="11"/>
      <c r="GU79" s="11"/>
      <c r="GV79" s="11"/>
      <c r="GW79" s="11"/>
      <c r="GX79" s="11"/>
      <c r="GY79" s="11"/>
      <c r="GZ79" s="11"/>
      <c r="HA79" s="11"/>
      <c r="HB79" s="11"/>
      <c r="HC79" s="11"/>
      <c r="HD79" s="11"/>
      <c r="HE79" s="11"/>
      <c r="HF79" s="11"/>
      <c r="HG79" s="11"/>
      <c r="HH79" s="11"/>
      <c r="HI79" s="11"/>
      <c r="HJ79" s="11"/>
      <c r="HK79" s="11"/>
      <c r="HL79" s="11"/>
      <c r="HM79" s="11"/>
      <c r="HN79" s="11"/>
      <c r="HO79" s="11"/>
      <c r="HP79" s="11"/>
      <c r="HQ79" s="11"/>
      <c r="HR79" s="11"/>
      <c r="HS79" s="11"/>
      <c r="HT79" s="11"/>
      <c r="HU79" s="11"/>
    </row>
    <row r="80" spans="1:229" s="12" customFormat="1" ht="13.8">
      <c r="A80" s="250"/>
      <c r="B80" s="10"/>
      <c r="C80" s="19"/>
      <c r="D80" s="19"/>
      <c r="E80" s="204" t="s">
        <v>123</v>
      </c>
      <c r="F80" s="223" t="s">
        <v>368</v>
      </c>
      <c r="G80" s="170"/>
      <c r="H80" s="166"/>
      <c r="I80" s="165"/>
      <c r="J80" s="165"/>
      <c r="K80" s="165"/>
      <c r="L80" s="165"/>
      <c r="M80" s="165"/>
      <c r="N80" s="165"/>
      <c r="O80" s="165"/>
      <c r="P80" s="165"/>
      <c r="Q80" s="165"/>
      <c r="R80" s="165"/>
      <c r="S80" s="165"/>
      <c r="T80" s="165"/>
      <c r="U80" s="165"/>
      <c r="V80" s="165"/>
      <c r="W80" s="165"/>
      <c r="X80" s="165"/>
      <c r="Y80" s="165"/>
      <c r="Z80" s="165"/>
      <c r="AA80" s="11"/>
      <c r="AB80" s="11"/>
      <c r="AC80" s="11"/>
      <c r="AD80" s="11"/>
      <c r="AE80" s="11"/>
      <c r="AF80" s="11"/>
      <c r="AG80" s="11"/>
      <c r="AH80" s="11"/>
      <c r="AI80" s="11"/>
      <c r="AJ80" s="11"/>
      <c r="AK80" s="11"/>
      <c r="AL80" s="11"/>
      <c r="AM80" s="11"/>
      <c r="AN80" s="11"/>
      <c r="AO80" s="11"/>
      <c r="AP80" s="11"/>
      <c r="AQ80" s="11"/>
      <c r="AR80" s="11"/>
      <c r="AS80" s="11"/>
      <c r="AT80" s="11"/>
      <c r="AU80" s="11"/>
      <c r="AV80" s="11"/>
      <c r="AW80" s="11"/>
      <c r="AX80" s="11"/>
      <c r="AY80" s="11"/>
      <c r="AZ80" s="11"/>
      <c r="BA80" s="11"/>
      <c r="BB80" s="11"/>
      <c r="BC80" s="11"/>
      <c r="BD80" s="11"/>
      <c r="BE80" s="11"/>
      <c r="BF80" s="11"/>
      <c r="BG80" s="11"/>
      <c r="BH80" s="11"/>
      <c r="BI80" s="11"/>
      <c r="BJ80" s="11"/>
      <c r="BK80" s="11"/>
      <c r="BL80" s="11"/>
      <c r="BM80" s="11"/>
      <c r="BN80" s="11"/>
      <c r="BO80" s="11"/>
      <c r="BP80" s="11"/>
      <c r="BQ80" s="11"/>
      <c r="BR80" s="11"/>
      <c r="BS80" s="11"/>
      <c r="BT80" s="11"/>
      <c r="BU80" s="11"/>
      <c r="BV80" s="11"/>
      <c r="BW80" s="11"/>
      <c r="BX80" s="11"/>
      <c r="BY80" s="11"/>
      <c r="BZ80" s="11"/>
      <c r="CA80" s="11"/>
      <c r="CB80" s="11"/>
      <c r="CC80" s="11"/>
      <c r="CD80" s="11"/>
      <c r="CE80" s="11"/>
      <c r="CF80" s="11"/>
      <c r="CG80" s="11"/>
      <c r="CH80" s="11"/>
      <c r="CI80" s="11"/>
      <c r="CJ80" s="11"/>
      <c r="CK80" s="11"/>
      <c r="CL80" s="11"/>
      <c r="CM80" s="11"/>
      <c r="CN80" s="11"/>
      <c r="CO80" s="11"/>
      <c r="CP80" s="11"/>
      <c r="CQ80" s="11"/>
      <c r="CR80" s="11"/>
      <c r="CS80" s="11"/>
      <c r="CT80" s="11"/>
      <c r="CU80" s="11"/>
      <c r="CV80" s="11"/>
      <c r="CW80" s="11"/>
      <c r="CX80" s="11"/>
      <c r="CY80" s="11"/>
      <c r="CZ80" s="11"/>
      <c r="DA80" s="11"/>
      <c r="DB80" s="11"/>
      <c r="DC80" s="11"/>
      <c r="DD80" s="11"/>
      <c r="DE80" s="11"/>
      <c r="DF80" s="11"/>
      <c r="DG80" s="11"/>
      <c r="DH80" s="11"/>
      <c r="DI80" s="11"/>
      <c r="DJ80" s="11"/>
      <c r="DK80" s="11"/>
      <c r="DL80" s="11"/>
      <c r="DM80" s="11"/>
      <c r="DN80" s="11"/>
      <c r="DO80" s="11"/>
      <c r="DP80" s="11"/>
      <c r="DQ80" s="11"/>
      <c r="DR80" s="11"/>
      <c r="DS80" s="11"/>
      <c r="DT80" s="11"/>
      <c r="DU80" s="11"/>
      <c r="DV80" s="11"/>
      <c r="DW80" s="11"/>
      <c r="DX80" s="11"/>
      <c r="DY80" s="11"/>
      <c r="DZ80" s="11"/>
      <c r="EA80" s="11"/>
      <c r="EB80" s="11"/>
      <c r="EC80" s="11"/>
      <c r="ED80" s="11"/>
      <c r="EE80" s="11"/>
      <c r="EF80" s="11"/>
      <c r="EG80" s="11"/>
      <c r="EH80" s="11"/>
      <c r="EI80" s="11"/>
      <c r="EJ80" s="11"/>
      <c r="EK80" s="11"/>
      <c r="EL80" s="11"/>
      <c r="EM80" s="11"/>
      <c r="EN80" s="11"/>
      <c r="EO80" s="11"/>
      <c r="EP80" s="11"/>
      <c r="EQ80" s="11"/>
      <c r="ER80" s="11"/>
      <c r="ES80" s="11"/>
      <c r="ET80" s="11"/>
      <c r="EU80" s="11"/>
      <c r="EV80" s="11"/>
      <c r="EW80" s="11"/>
      <c r="EX80" s="11"/>
      <c r="EY80" s="11"/>
      <c r="EZ80" s="11"/>
      <c r="FA80" s="11"/>
      <c r="FB80" s="11"/>
      <c r="FC80" s="11"/>
      <c r="FD80" s="11"/>
      <c r="FE80" s="11"/>
      <c r="FF80" s="11"/>
      <c r="FG80" s="11"/>
      <c r="FH80" s="11"/>
      <c r="FI80" s="11"/>
      <c r="FJ80" s="11"/>
      <c r="FK80" s="11"/>
      <c r="FL80" s="11"/>
      <c r="FM80" s="11"/>
      <c r="FN80" s="11"/>
      <c r="FO80" s="11"/>
      <c r="FP80" s="11"/>
      <c r="FQ80" s="11"/>
      <c r="FR80" s="11"/>
      <c r="FS80" s="11"/>
      <c r="FT80" s="11"/>
      <c r="FU80" s="11"/>
      <c r="FV80" s="11"/>
      <c r="FW80" s="11"/>
      <c r="FX80" s="11"/>
      <c r="FY80" s="11"/>
      <c r="FZ80" s="11"/>
      <c r="GA80" s="11"/>
      <c r="GB80" s="11"/>
      <c r="GC80" s="11"/>
      <c r="GD80" s="11"/>
      <c r="GE80" s="11"/>
      <c r="GF80" s="11"/>
      <c r="GG80" s="11"/>
      <c r="GH80" s="11"/>
      <c r="GI80" s="11"/>
      <c r="GJ80" s="11"/>
      <c r="GK80" s="11"/>
      <c r="GL80" s="11"/>
      <c r="GM80" s="11"/>
      <c r="GN80" s="11"/>
      <c r="GO80" s="11"/>
      <c r="GP80" s="11"/>
      <c r="GQ80" s="11"/>
      <c r="GR80" s="11"/>
      <c r="GS80" s="11"/>
      <c r="GT80" s="11"/>
      <c r="GU80" s="11"/>
      <c r="GV80" s="11"/>
      <c r="GW80" s="11"/>
      <c r="GX80" s="11"/>
      <c r="GY80" s="11"/>
      <c r="GZ80" s="11"/>
      <c r="HA80" s="11"/>
      <c r="HB80" s="11"/>
      <c r="HC80" s="11"/>
      <c r="HD80" s="11"/>
      <c r="HE80" s="11"/>
      <c r="HF80" s="11"/>
      <c r="HG80" s="11"/>
      <c r="HH80" s="11"/>
      <c r="HI80" s="11"/>
      <c r="HJ80" s="11"/>
      <c r="HK80" s="11"/>
      <c r="HL80" s="11"/>
      <c r="HM80" s="11"/>
      <c r="HN80" s="11"/>
      <c r="HO80" s="11"/>
      <c r="HP80" s="11"/>
      <c r="HQ80" s="11"/>
      <c r="HR80" s="11"/>
      <c r="HS80" s="11"/>
      <c r="HT80" s="11"/>
      <c r="HU80" s="11"/>
    </row>
    <row r="81" spans="1:229" s="12" customFormat="1" ht="26.4">
      <c r="A81" s="250"/>
      <c r="B81" s="10"/>
      <c r="C81" s="19"/>
      <c r="D81" s="19"/>
      <c r="E81" s="204"/>
      <c r="F81" s="239" t="s">
        <v>366</v>
      </c>
      <c r="G81" s="170"/>
      <c r="H81" s="166"/>
      <c r="I81" s="165"/>
      <c r="J81" s="165"/>
      <c r="K81" s="165"/>
      <c r="L81" s="165"/>
      <c r="M81" s="165"/>
      <c r="N81" s="165"/>
      <c r="O81" s="165"/>
      <c r="P81" s="165"/>
      <c r="Q81" s="165"/>
      <c r="R81" s="165"/>
      <c r="S81" s="165"/>
      <c r="T81" s="165"/>
      <c r="U81" s="165"/>
      <c r="V81" s="165"/>
      <c r="W81" s="165"/>
      <c r="X81" s="165"/>
      <c r="Y81" s="165"/>
      <c r="Z81" s="165"/>
      <c r="AA81" s="11"/>
      <c r="AB81" s="11"/>
      <c r="AC81" s="11"/>
      <c r="AD81" s="11"/>
      <c r="AE81" s="11"/>
      <c r="AF81" s="11"/>
      <c r="AG81" s="11"/>
      <c r="AH81" s="11"/>
      <c r="AI81" s="11"/>
      <c r="AJ81" s="11"/>
      <c r="AK81" s="11"/>
      <c r="AL81" s="11"/>
      <c r="AM81" s="11"/>
      <c r="AN81" s="11"/>
      <c r="AO81" s="11"/>
      <c r="AP81" s="11"/>
      <c r="AQ81" s="11"/>
      <c r="AR81" s="11"/>
      <c r="AS81" s="11"/>
      <c r="AT81" s="11"/>
      <c r="AU81" s="11"/>
      <c r="AV81" s="11"/>
      <c r="AW81" s="11"/>
      <c r="AX81" s="11"/>
      <c r="AY81" s="11"/>
      <c r="AZ81" s="11"/>
      <c r="BA81" s="11"/>
      <c r="BB81" s="11"/>
      <c r="BC81" s="11"/>
      <c r="BD81" s="11"/>
      <c r="BE81" s="11"/>
      <c r="BF81" s="11"/>
      <c r="BG81" s="11"/>
      <c r="BH81" s="11"/>
      <c r="BI81" s="11"/>
      <c r="BJ81" s="11"/>
      <c r="BK81" s="11"/>
      <c r="BL81" s="11"/>
      <c r="BM81" s="11"/>
      <c r="BN81" s="11"/>
      <c r="BO81" s="11"/>
      <c r="BP81" s="11"/>
      <c r="BQ81" s="11"/>
      <c r="BR81" s="11"/>
      <c r="BS81" s="11"/>
      <c r="BT81" s="11"/>
      <c r="BU81" s="11"/>
      <c r="BV81" s="11"/>
      <c r="BW81" s="11"/>
      <c r="BX81" s="11"/>
      <c r="BY81" s="11"/>
      <c r="BZ81" s="11"/>
      <c r="CA81" s="11"/>
      <c r="CB81" s="11"/>
      <c r="CC81" s="11"/>
      <c r="CD81" s="11"/>
      <c r="CE81" s="11"/>
      <c r="CF81" s="11"/>
      <c r="CG81" s="11"/>
      <c r="CH81" s="11"/>
      <c r="CI81" s="11"/>
      <c r="CJ81" s="11"/>
      <c r="CK81" s="11"/>
      <c r="CL81" s="11"/>
      <c r="CM81" s="11"/>
      <c r="CN81" s="11"/>
      <c r="CO81" s="11"/>
      <c r="CP81" s="11"/>
      <c r="CQ81" s="11"/>
      <c r="CR81" s="11"/>
      <c r="CS81" s="11"/>
      <c r="CT81" s="11"/>
      <c r="CU81" s="11"/>
      <c r="CV81" s="11"/>
      <c r="CW81" s="11"/>
      <c r="CX81" s="11"/>
      <c r="CY81" s="11"/>
      <c r="CZ81" s="11"/>
      <c r="DA81" s="11"/>
      <c r="DB81" s="11"/>
      <c r="DC81" s="11"/>
      <c r="DD81" s="11"/>
      <c r="DE81" s="11"/>
      <c r="DF81" s="11"/>
      <c r="DG81" s="11"/>
      <c r="DH81" s="11"/>
      <c r="DI81" s="11"/>
      <c r="DJ81" s="11"/>
      <c r="DK81" s="11"/>
      <c r="DL81" s="11"/>
      <c r="DM81" s="11"/>
      <c r="DN81" s="11"/>
      <c r="DO81" s="11"/>
      <c r="DP81" s="11"/>
      <c r="DQ81" s="11"/>
      <c r="DR81" s="11"/>
      <c r="DS81" s="11"/>
      <c r="DT81" s="11"/>
      <c r="DU81" s="11"/>
      <c r="DV81" s="11"/>
      <c r="DW81" s="11"/>
      <c r="DX81" s="11"/>
      <c r="DY81" s="11"/>
      <c r="DZ81" s="11"/>
      <c r="EA81" s="11"/>
      <c r="EB81" s="11"/>
      <c r="EC81" s="11"/>
      <c r="ED81" s="11"/>
      <c r="EE81" s="11"/>
      <c r="EF81" s="11"/>
      <c r="EG81" s="11"/>
      <c r="EH81" s="11"/>
      <c r="EI81" s="11"/>
      <c r="EJ81" s="11"/>
      <c r="EK81" s="11"/>
      <c r="EL81" s="11"/>
      <c r="EM81" s="11"/>
      <c r="EN81" s="11"/>
      <c r="EO81" s="11"/>
      <c r="EP81" s="11"/>
      <c r="EQ81" s="11"/>
      <c r="ER81" s="11"/>
      <c r="ES81" s="11"/>
      <c r="ET81" s="11"/>
      <c r="EU81" s="11"/>
      <c r="EV81" s="11"/>
      <c r="EW81" s="11"/>
      <c r="EX81" s="11"/>
      <c r="EY81" s="11"/>
      <c r="EZ81" s="11"/>
      <c r="FA81" s="11"/>
      <c r="FB81" s="11"/>
      <c r="FC81" s="11"/>
      <c r="FD81" s="11"/>
      <c r="FE81" s="11"/>
      <c r="FF81" s="11"/>
      <c r="FG81" s="11"/>
      <c r="FH81" s="11"/>
      <c r="FI81" s="11"/>
      <c r="FJ81" s="11"/>
      <c r="FK81" s="11"/>
      <c r="FL81" s="11"/>
      <c r="FM81" s="11"/>
      <c r="FN81" s="11"/>
      <c r="FO81" s="11"/>
      <c r="FP81" s="11"/>
      <c r="FQ81" s="11"/>
      <c r="FR81" s="11"/>
      <c r="FS81" s="11"/>
      <c r="FT81" s="11"/>
      <c r="FU81" s="11"/>
      <c r="FV81" s="11"/>
      <c r="FW81" s="11"/>
      <c r="FX81" s="11"/>
      <c r="FY81" s="11"/>
      <c r="FZ81" s="11"/>
      <c r="GA81" s="11"/>
      <c r="GB81" s="11"/>
      <c r="GC81" s="11"/>
      <c r="GD81" s="11"/>
      <c r="GE81" s="11"/>
      <c r="GF81" s="11"/>
      <c r="GG81" s="11"/>
      <c r="GH81" s="11"/>
      <c r="GI81" s="11"/>
      <c r="GJ81" s="11"/>
      <c r="GK81" s="11"/>
      <c r="GL81" s="11"/>
      <c r="GM81" s="11"/>
      <c r="GN81" s="11"/>
      <c r="GO81" s="11"/>
      <c r="GP81" s="11"/>
      <c r="GQ81" s="11"/>
      <c r="GR81" s="11"/>
      <c r="GS81" s="11"/>
      <c r="GT81" s="11"/>
      <c r="GU81" s="11"/>
      <c r="GV81" s="11"/>
      <c r="GW81" s="11"/>
      <c r="GX81" s="11"/>
      <c r="GY81" s="11"/>
      <c r="GZ81" s="11"/>
      <c r="HA81" s="11"/>
      <c r="HB81" s="11"/>
      <c r="HC81" s="11"/>
      <c r="HD81" s="11"/>
      <c r="HE81" s="11"/>
      <c r="HF81" s="11"/>
      <c r="HG81" s="11"/>
      <c r="HH81" s="11"/>
      <c r="HI81" s="11"/>
      <c r="HJ81" s="11"/>
      <c r="HK81" s="11"/>
      <c r="HL81" s="11"/>
      <c r="HM81" s="11"/>
      <c r="HN81" s="11"/>
      <c r="HO81" s="11"/>
      <c r="HP81" s="11"/>
      <c r="HQ81" s="11"/>
      <c r="HR81" s="11"/>
      <c r="HS81" s="11"/>
      <c r="HT81" s="11"/>
      <c r="HU81" s="11"/>
    </row>
    <row r="82" spans="1:229" s="12" customFormat="1" ht="18" customHeight="1">
      <c r="A82" s="250"/>
      <c r="B82" s="10"/>
      <c r="C82" s="19"/>
      <c r="D82" s="222" t="s">
        <v>145</v>
      </c>
      <c r="E82" s="208"/>
      <c r="F82" s="208"/>
      <c r="G82" s="170"/>
      <c r="H82" s="165"/>
      <c r="I82" s="165"/>
      <c r="J82" s="165"/>
      <c r="K82" s="165"/>
      <c r="L82" s="165"/>
      <c r="M82" s="165"/>
      <c r="N82" s="165"/>
      <c r="O82" s="165"/>
      <c r="P82" s="165"/>
      <c r="Q82" s="165"/>
      <c r="R82" s="165"/>
      <c r="S82" s="165"/>
      <c r="T82" s="165"/>
      <c r="U82" s="165"/>
      <c r="V82" s="165"/>
      <c r="W82" s="165"/>
      <c r="X82" s="165"/>
      <c r="Y82" s="165"/>
      <c r="Z82" s="165"/>
      <c r="AA82" s="11"/>
      <c r="AB82" s="11"/>
      <c r="AC82" s="11"/>
      <c r="AD82" s="11"/>
      <c r="AE82" s="11"/>
      <c r="AF82" s="11"/>
      <c r="AG82" s="11"/>
      <c r="AH82" s="11"/>
      <c r="AI82" s="11"/>
      <c r="AJ82" s="11"/>
      <c r="AK82" s="11"/>
      <c r="AL82" s="11"/>
      <c r="AM82" s="11"/>
      <c r="AN82" s="11"/>
      <c r="AO82" s="11"/>
      <c r="AP82" s="11"/>
      <c r="AQ82" s="11"/>
      <c r="AR82" s="11"/>
      <c r="AS82" s="11"/>
      <c r="AT82" s="11"/>
      <c r="AU82" s="11"/>
      <c r="AV82" s="11"/>
      <c r="AW82" s="11"/>
      <c r="AX82" s="11"/>
      <c r="AY82" s="11"/>
      <c r="AZ82" s="11"/>
      <c r="BA82" s="11"/>
      <c r="BB82" s="11"/>
      <c r="BC82" s="11"/>
      <c r="BD82" s="11"/>
      <c r="BE82" s="11"/>
      <c r="BF82" s="11"/>
      <c r="BG82" s="11"/>
      <c r="BH82" s="11"/>
      <c r="BI82" s="11"/>
      <c r="BJ82" s="11"/>
      <c r="BK82" s="11"/>
      <c r="BL82" s="11"/>
      <c r="BM82" s="11"/>
      <c r="BN82" s="11"/>
      <c r="BO82" s="11"/>
      <c r="BP82" s="11"/>
      <c r="BQ82" s="11"/>
      <c r="BR82" s="11"/>
      <c r="BS82" s="11"/>
      <c r="BT82" s="11"/>
      <c r="BU82" s="11"/>
      <c r="BV82" s="11"/>
      <c r="BW82" s="11"/>
      <c r="BX82" s="11"/>
      <c r="BY82" s="11"/>
      <c r="BZ82" s="11"/>
      <c r="CA82" s="11"/>
      <c r="CB82" s="11"/>
      <c r="CC82" s="11"/>
      <c r="CD82" s="11"/>
      <c r="CE82" s="11"/>
      <c r="CF82" s="11"/>
      <c r="CG82" s="11"/>
      <c r="CH82" s="11"/>
      <c r="CI82" s="11"/>
      <c r="CJ82" s="11"/>
      <c r="CK82" s="11"/>
      <c r="CL82" s="11"/>
      <c r="CM82" s="11"/>
      <c r="CN82" s="11"/>
      <c r="CO82" s="11"/>
      <c r="CP82" s="11"/>
      <c r="CQ82" s="11"/>
      <c r="CR82" s="11"/>
      <c r="CS82" s="11"/>
      <c r="CT82" s="11"/>
      <c r="CU82" s="11"/>
      <c r="CV82" s="11"/>
      <c r="CW82" s="11"/>
      <c r="CX82" s="11"/>
      <c r="CY82" s="11"/>
      <c r="CZ82" s="11"/>
      <c r="DA82" s="11"/>
      <c r="DB82" s="11"/>
      <c r="DC82" s="11"/>
      <c r="DD82" s="11"/>
      <c r="DE82" s="11"/>
      <c r="DF82" s="11"/>
      <c r="DG82" s="11"/>
      <c r="DH82" s="11"/>
      <c r="DI82" s="11"/>
      <c r="DJ82" s="11"/>
      <c r="DK82" s="11"/>
      <c r="DL82" s="11"/>
      <c r="DM82" s="11"/>
      <c r="DN82" s="11"/>
      <c r="DO82" s="11"/>
      <c r="DP82" s="11"/>
      <c r="DQ82" s="11"/>
      <c r="DR82" s="11"/>
      <c r="DS82" s="11"/>
      <c r="DT82" s="11"/>
      <c r="DU82" s="11"/>
      <c r="DV82" s="11"/>
      <c r="DW82" s="11"/>
      <c r="DX82" s="11"/>
      <c r="DY82" s="11"/>
      <c r="DZ82" s="11"/>
      <c r="EA82" s="11"/>
      <c r="EB82" s="11"/>
      <c r="EC82" s="11"/>
      <c r="ED82" s="11"/>
      <c r="EE82" s="11"/>
      <c r="EF82" s="11"/>
      <c r="EG82" s="11"/>
      <c r="EH82" s="11"/>
      <c r="EI82" s="11"/>
      <c r="EJ82" s="11"/>
      <c r="EK82" s="11"/>
      <c r="EL82" s="11"/>
      <c r="EM82" s="11"/>
      <c r="EN82" s="11"/>
      <c r="EO82" s="11"/>
      <c r="EP82" s="11"/>
      <c r="EQ82" s="11"/>
      <c r="ER82" s="11"/>
      <c r="ES82" s="11"/>
      <c r="ET82" s="11"/>
      <c r="EU82" s="11"/>
      <c r="EV82" s="11"/>
      <c r="EW82" s="11"/>
      <c r="EX82" s="11"/>
      <c r="EY82" s="11"/>
      <c r="EZ82" s="11"/>
      <c r="FA82" s="11"/>
      <c r="FB82" s="11"/>
      <c r="FC82" s="11"/>
      <c r="FD82" s="11"/>
      <c r="FE82" s="11"/>
      <c r="FF82" s="11"/>
      <c r="FG82" s="11"/>
      <c r="FH82" s="11"/>
      <c r="FI82" s="11"/>
      <c r="FJ82" s="11"/>
      <c r="FK82" s="11"/>
      <c r="FL82" s="11"/>
      <c r="FM82" s="11"/>
      <c r="FN82" s="11"/>
      <c r="FO82" s="11"/>
      <c r="FP82" s="11"/>
      <c r="FQ82" s="11"/>
      <c r="FR82" s="11"/>
      <c r="FS82" s="11"/>
      <c r="FT82" s="11"/>
      <c r="FU82" s="11"/>
      <c r="FV82" s="11"/>
      <c r="FW82" s="11"/>
      <c r="FX82" s="11"/>
      <c r="FY82" s="11"/>
      <c r="FZ82" s="11"/>
      <c r="GA82" s="11"/>
      <c r="GB82" s="11"/>
      <c r="GC82" s="11"/>
      <c r="GD82" s="11"/>
      <c r="GE82" s="11"/>
      <c r="GF82" s="11"/>
      <c r="GG82" s="11"/>
      <c r="GH82" s="11"/>
      <c r="GI82" s="11"/>
      <c r="GJ82" s="11"/>
      <c r="GK82" s="11"/>
      <c r="GL82" s="11"/>
      <c r="GM82" s="11"/>
      <c r="GN82" s="11"/>
      <c r="GO82" s="11"/>
      <c r="GP82" s="11"/>
      <c r="GQ82" s="11"/>
      <c r="GR82" s="11"/>
      <c r="GS82" s="11"/>
      <c r="GT82" s="11"/>
      <c r="GU82" s="11"/>
      <c r="GV82" s="11"/>
      <c r="GW82" s="11"/>
      <c r="GX82" s="11"/>
      <c r="GY82" s="11"/>
      <c r="GZ82" s="11"/>
      <c r="HA82" s="11"/>
      <c r="HB82" s="11"/>
      <c r="HC82" s="11"/>
      <c r="HD82" s="11"/>
      <c r="HE82" s="11"/>
      <c r="HF82" s="11"/>
      <c r="HG82" s="11"/>
      <c r="HH82" s="11"/>
      <c r="HI82" s="11"/>
      <c r="HJ82" s="11"/>
      <c r="HK82" s="11"/>
      <c r="HL82" s="11"/>
      <c r="HM82" s="11"/>
      <c r="HN82" s="11"/>
      <c r="HO82" s="11"/>
      <c r="HP82" s="11"/>
      <c r="HQ82" s="11"/>
      <c r="HR82" s="11"/>
      <c r="HS82" s="11"/>
      <c r="HT82" s="11"/>
      <c r="HU82" s="11"/>
    </row>
    <row r="83" spans="1:229" s="12" customFormat="1" ht="18" customHeight="1">
      <c r="A83" s="250"/>
      <c r="B83" s="10"/>
      <c r="C83" s="19"/>
      <c r="D83" s="19"/>
      <c r="E83" s="221" t="s">
        <v>132</v>
      </c>
      <c r="F83" s="19"/>
      <c r="G83" s="170"/>
      <c r="H83" s="166"/>
      <c r="I83" s="165"/>
      <c r="J83" s="165"/>
      <c r="K83" s="165"/>
      <c r="L83" s="165"/>
      <c r="M83" s="165"/>
      <c r="N83" s="165"/>
      <c r="O83" s="165"/>
      <c r="P83" s="165"/>
      <c r="Q83" s="165"/>
      <c r="R83" s="165"/>
      <c r="S83" s="165"/>
      <c r="T83" s="165"/>
      <c r="U83" s="165"/>
      <c r="V83" s="165"/>
      <c r="W83" s="165"/>
      <c r="X83" s="165"/>
      <c r="Y83" s="165"/>
      <c r="Z83" s="165"/>
      <c r="AA83" s="11"/>
      <c r="AB83" s="11"/>
      <c r="AC83" s="11"/>
      <c r="AD83" s="11"/>
      <c r="AE83" s="11"/>
      <c r="AF83" s="11"/>
      <c r="AG83" s="11"/>
      <c r="AH83" s="11"/>
      <c r="AI83" s="11"/>
      <c r="AJ83" s="11"/>
      <c r="AK83" s="11"/>
      <c r="AL83" s="11"/>
      <c r="AM83" s="11"/>
      <c r="AN83" s="11"/>
      <c r="AO83" s="11"/>
      <c r="AP83" s="11"/>
      <c r="AQ83" s="11"/>
      <c r="AR83" s="11"/>
      <c r="AS83" s="11"/>
      <c r="AT83" s="11"/>
      <c r="AU83" s="11"/>
      <c r="AV83" s="11"/>
      <c r="AW83" s="11"/>
      <c r="AX83" s="11"/>
      <c r="AY83" s="11"/>
      <c r="AZ83" s="11"/>
      <c r="BA83" s="11"/>
      <c r="BB83" s="11"/>
      <c r="BC83" s="11"/>
      <c r="BD83" s="11"/>
      <c r="BE83" s="11"/>
      <c r="BF83" s="11"/>
      <c r="BG83" s="11"/>
      <c r="BH83" s="11"/>
      <c r="BI83" s="11"/>
      <c r="BJ83" s="11"/>
      <c r="BK83" s="11"/>
      <c r="BL83" s="11"/>
      <c r="BM83" s="11"/>
      <c r="BN83" s="11"/>
      <c r="BO83" s="11"/>
      <c r="BP83" s="11"/>
      <c r="BQ83" s="11"/>
      <c r="BR83" s="11"/>
      <c r="BS83" s="11"/>
      <c r="BT83" s="11"/>
      <c r="BU83" s="11"/>
      <c r="BV83" s="11"/>
      <c r="BW83" s="11"/>
      <c r="BX83" s="11"/>
      <c r="BY83" s="11"/>
      <c r="BZ83" s="11"/>
      <c r="CA83" s="11"/>
      <c r="CB83" s="11"/>
      <c r="CC83" s="11"/>
      <c r="CD83" s="11"/>
      <c r="CE83" s="11"/>
      <c r="CF83" s="11"/>
      <c r="CG83" s="11"/>
      <c r="CH83" s="11"/>
      <c r="CI83" s="11"/>
      <c r="CJ83" s="11"/>
      <c r="CK83" s="11"/>
      <c r="CL83" s="11"/>
      <c r="CM83" s="11"/>
      <c r="CN83" s="11"/>
      <c r="CO83" s="11"/>
      <c r="CP83" s="11"/>
      <c r="CQ83" s="11"/>
      <c r="CR83" s="11"/>
      <c r="CS83" s="11"/>
      <c r="CT83" s="11"/>
      <c r="CU83" s="11"/>
      <c r="CV83" s="11"/>
      <c r="CW83" s="11"/>
      <c r="CX83" s="11"/>
      <c r="CY83" s="11"/>
      <c r="CZ83" s="11"/>
      <c r="DA83" s="11"/>
      <c r="DB83" s="11"/>
      <c r="DC83" s="11"/>
      <c r="DD83" s="11"/>
      <c r="DE83" s="11"/>
      <c r="DF83" s="11"/>
      <c r="DG83" s="11"/>
      <c r="DH83" s="11"/>
      <c r="DI83" s="11"/>
      <c r="DJ83" s="11"/>
      <c r="DK83" s="11"/>
      <c r="DL83" s="11"/>
      <c r="DM83" s="11"/>
      <c r="DN83" s="11"/>
      <c r="DO83" s="11"/>
      <c r="DP83" s="11"/>
      <c r="DQ83" s="11"/>
      <c r="DR83" s="11"/>
      <c r="DS83" s="11"/>
      <c r="DT83" s="11"/>
      <c r="DU83" s="11"/>
      <c r="DV83" s="11"/>
      <c r="DW83" s="11"/>
      <c r="DX83" s="11"/>
      <c r="DY83" s="11"/>
      <c r="DZ83" s="11"/>
      <c r="EA83" s="11"/>
      <c r="EB83" s="11"/>
      <c r="EC83" s="11"/>
      <c r="ED83" s="11"/>
      <c r="EE83" s="11"/>
      <c r="EF83" s="11"/>
      <c r="EG83" s="11"/>
      <c r="EH83" s="11"/>
      <c r="EI83" s="11"/>
      <c r="EJ83" s="11"/>
      <c r="EK83" s="11"/>
      <c r="EL83" s="11"/>
      <c r="EM83" s="11"/>
      <c r="EN83" s="11"/>
      <c r="EO83" s="11"/>
      <c r="EP83" s="11"/>
      <c r="EQ83" s="11"/>
      <c r="ER83" s="11"/>
      <c r="ES83" s="11"/>
      <c r="ET83" s="11"/>
      <c r="EU83" s="11"/>
      <c r="EV83" s="11"/>
      <c r="EW83" s="11"/>
      <c r="EX83" s="11"/>
      <c r="EY83" s="11"/>
      <c r="EZ83" s="11"/>
      <c r="FA83" s="11"/>
      <c r="FB83" s="11"/>
      <c r="FC83" s="11"/>
      <c r="FD83" s="11"/>
      <c r="FE83" s="11"/>
      <c r="FF83" s="11"/>
      <c r="FG83" s="11"/>
      <c r="FH83" s="11"/>
      <c r="FI83" s="11"/>
      <c r="FJ83" s="11"/>
      <c r="FK83" s="11"/>
      <c r="FL83" s="11"/>
      <c r="FM83" s="11"/>
      <c r="FN83" s="11"/>
      <c r="FO83" s="11"/>
      <c r="FP83" s="11"/>
      <c r="FQ83" s="11"/>
      <c r="FR83" s="11"/>
      <c r="FS83" s="11"/>
      <c r="FT83" s="11"/>
      <c r="FU83" s="11"/>
      <c r="FV83" s="11"/>
      <c r="FW83" s="11"/>
      <c r="FX83" s="11"/>
      <c r="FY83" s="11"/>
      <c r="FZ83" s="11"/>
      <c r="GA83" s="11"/>
      <c r="GB83" s="11"/>
      <c r="GC83" s="11"/>
      <c r="GD83" s="11"/>
      <c r="GE83" s="11"/>
      <c r="GF83" s="11"/>
      <c r="GG83" s="11"/>
      <c r="GH83" s="11"/>
      <c r="GI83" s="11"/>
      <c r="GJ83" s="11"/>
      <c r="GK83" s="11"/>
      <c r="GL83" s="11"/>
      <c r="GM83" s="11"/>
      <c r="GN83" s="11"/>
      <c r="GO83" s="11"/>
      <c r="GP83" s="11"/>
      <c r="GQ83" s="11"/>
      <c r="GR83" s="11"/>
      <c r="GS83" s="11"/>
      <c r="GT83" s="11"/>
      <c r="GU83" s="11"/>
      <c r="GV83" s="11"/>
      <c r="GW83" s="11"/>
      <c r="GX83" s="11"/>
      <c r="GY83" s="11"/>
      <c r="GZ83" s="11"/>
      <c r="HA83" s="11"/>
      <c r="HB83" s="11"/>
      <c r="HC83" s="11"/>
      <c r="HD83" s="11"/>
      <c r="HE83" s="11"/>
      <c r="HF83" s="11"/>
      <c r="HG83" s="11"/>
      <c r="HH83" s="11"/>
      <c r="HI83" s="11"/>
      <c r="HJ83" s="11"/>
      <c r="HK83" s="11"/>
      <c r="HL83" s="11"/>
      <c r="HM83" s="11"/>
      <c r="HN83" s="11"/>
      <c r="HO83" s="11"/>
      <c r="HP83" s="11"/>
      <c r="HQ83" s="11"/>
      <c r="HR83" s="11"/>
      <c r="HS83" s="11"/>
      <c r="HT83" s="11"/>
      <c r="HU83" s="11"/>
    </row>
    <row r="84" spans="1:229" s="12" customFormat="1" ht="39.6">
      <c r="A84" s="250"/>
      <c r="B84" s="10"/>
      <c r="C84" s="19"/>
      <c r="D84" s="19"/>
      <c r="E84" s="204" t="s">
        <v>123</v>
      </c>
      <c r="F84" s="223" t="s">
        <v>369</v>
      </c>
      <c r="G84" s="170"/>
      <c r="H84" s="166"/>
      <c r="I84" s="165"/>
      <c r="J84" s="165"/>
      <c r="K84" s="165"/>
      <c r="L84" s="165"/>
      <c r="M84" s="165"/>
      <c r="N84" s="165"/>
      <c r="O84" s="165"/>
      <c r="P84" s="165"/>
      <c r="Q84" s="165"/>
      <c r="R84" s="165"/>
      <c r="S84" s="165"/>
      <c r="T84" s="165"/>
      <c r="U84" s="165"/>
      <c r="V84" s="165"/>
      <c r="W84" s="165"/>
      <c r="X84" s="165"/>
      <c r="Y84" s="165"/>
      <c r="Z84" s="165"/>
      <c r="AA84" s="11"/>
      <c r="AB84" s="11"/>
      <c r="AC84" s="11"/>
      <c r="AD84" s="11"/>
      <c r="AE84" s="11"/>
      <c r="AF84" s="11"/>
      <c r="AG84" s="11"/>
      <c r="AH84" s="11"/>
      <c r="AI84" s="11"/>
      <c r="AJ84" s="11"/>
      <c r="AK84" s="11"/>
      <c r="AL84" s="11"/>
      <c r="AM84" s="11"/>
      <c r="AN84" s="11"/>
      <c r="AO84" s="11"/>
      <c r="AP84" s="11"/>
      <c r="AQ84" s="11"/>
      <c r="AR84" s="11"/>
      <c r="AS84" s="11"/>
      <c r="AT84" s="11"/>
      <c r="AU84" s="11"/>
      <c r="AV84" s="11"/>
      <c r="AW84" s="11"/>
      <c r="AX84" s="11"/>
      <c r="AY84" s="11"/>
      <c r="AZ84" s="11"/>
      <c r="BA84" s="11"/>
      <c r="BB84" s="11"/>
      <c r="BC84" s="11"/>
      <c r="BD84" s="11"/>
      <c r="BE84" s="11"/>
      <c r="BF84" s="11"/>
      <c r="BG84" s="11"/>
      <c r="BH84" s="11"/>
      <c r="BI84" s="11"/>
      <c r="BJ84" s="11"/>
      <c r="BK84" s="11"/>
      <c r="BL84" s="11"/>
      <c r="BM84" s="11"/>
      <c r="BN84" s="11"/>
      <c r="BO84" s="11"/>
      <c r="BP84" s="11"/>
      <c r="BQ84" s="11"/>
      <c r="BR84" s="11"/>
      <c r="BS84" s="11"/>
      <c r="BT84" s="11"/>
      <c r="BU84" s="11"/>
      <c r="BV84" s="11"/>
      <c r="BW84" s="11"/>
      <c r="BX84" s="11"/>
      <c r="BY84" s="11"/>
      <c r="BZ84" s="11"/>
      <c r="CA84" s="11"/>
      <c r="CB84" s="11"/>
      <c r="CC84" s="11"/>
      <c r="CD84" s="11"/>
      <c r="CE84" s="11"/>
      <c r="CF84" s="11"/>
      <c r="CG84" s="11"/>
      <c r="CH84" s="11"/>
      <c r="CI84" s="11"/>
      <c r="CJ84" s="11"/>
      <c r="CK84" s="11"/>
      <c r="CL84" s="11"/>
      <c r="CM84" s="11"/>
      <c r="CN84" s="11"/>
      <c r="CO84" s="11"/>
      <c r="CP84" s="11"/>
      <c r="CQ84" s="11"/>
      <c r="CR84" s="11"/>
      <c r="CS84" s="11"/>
      <c r="CT84" s="11"/>
      <c r="CU84" s="11"/>
      <c r="CV84" s="11"/>
      <c r="CW84" s="11"/>
      <c r="CX84" s="11"/>
      <c r="CY84" s="11"/>
      <c r="CZ84" s="11"/>
      <c r="DA84" s="11"/>
      <c r="DB84" s="11"/>
      <c r="DC84" s="11"/>
      <c r="DD84" s="11"/>
      <c r="DE84" s="11"/>
      <c r="DF84" s="11"/>
      <c r="DG84" s="11"/>
      <c r="DH84" s="11"/>
      <c r="DI84" s="11"/>
      <c r="DJ84" s="11"/>
      <c r="DK84" s="11"/>
      <c r="DL84" s="11"/>
      <c r="DM84" s="11"/>
      <c r="DN84" s="11"/>
      <c r="DO84" s="11"/>
      <c r="DP84" s="11"/>
      <c r="DQ84" s="11"/>
      <c r="DR84" s="11"/>
      <c r="DS84" s="11"/>
      <c r="DT84" s="11"/>
      <c r="DU84" s="11"/>
      <c r="DV84" s="11"/>
      <c r="DW84" s="11"/>
      <c r="DX84" s="11"/>
      <c r="DY84" s="11"/>
      <c r="DZ84" s="11"/>
      <c r="EA84" s="11"/>
      <c r="EB84" s="11"/>
      <c r="EC84" s="11"/>
      <c r="ED84" s="11"/>
      <c r="EE84" s="11"/>
      <c r="EF84" s="11"/>
      <c r="EG84" s="11"/>
      <c r="EH84" s="11"/>
      <c r="EI84" s="11"/>
      <c r="EJ84" s="11"/>
      <c r="EK84" s="11"/>
      <c r="EL84" s="11"/>
      <c r="EM84" s="11"/>
      <c r="EN84" s="11"/>
      <c r="EO84" s="11"/>
      <c r="EP84" s="11"/>
      <c r="EQ84" s="11"/>
      <c r="ER84" s="11"/>
      <c r="ES84" s="11"/>
      <c r="ET84" s="11"/>
      <c r="EU84" s="11"/>
      <c r="EV84" s="11"/>
      <c r="EW84" s="11"/>
      <c r="EX84" s="11"/>
      <c r="EY84" s="11"/>
      <c r="EZ84" s="11"/>
      <c r="FA84" s="11"/>
      <c r="FB84" s="11"/>
      <c r="FC84" s="11"/>
      <c r="FD84" s="11"/>
      <c r="FE84" s="11"/>
      <c r="FF84" s="11"/>
      <c r="FG84" s="11"/>
      <c r="FH84" s="11"/>
      <c r="FI84" s="11"/>
      <c r="FJ84" s="11"/>
      <c r="FK84" s="11"/>
      <c r="FL84" s="11"/>
      <c r="FM84" s="11"/>
      <c r="FN84" s="11"/>
      <c r="FO84" s="11"/>
      <c r="FP84" s="11"/>
      <c r="FQ84" s="11"/>
      <c r="FR84" s="11"/>
      <c r="FS84" s="11"/>
      <c r="FT84" s="11"/>
      <c r="FU84" s="11"/>
      <c r="FV84" s="11"/>
      <c r="FW84" s="11"/>
      <c r="FX84" s="11"/>
      <c r="FY84" s="11"/>
      <c r="FZ84" s="11"/>
      <c r="GA84" s="11"/>
      <c r="GB84" s="11"/>
      <c r="GC84" s="11"/>
      <c r="GD84" s="11"/>
      <c r="GE84" s="11"/>
      <c r="GF84" s="11"/>
      <c r="GG84" s="11"/>
      <c r="GH84" s="11"/>
      <c r="GI84" s="11"/>
      <c r="GJ84" s="11"/>
      <c r="GK84" s="11"/>
      <c r="GL84" s="11"/>
      <c r="GM84" s="11"/>
      <c r="GN84" s="11"/>
      <c r="GO84" s="11"/>
      <c r="GP84" s="11"/>
      <c r="GQ84" s="11"/>
      <c r="GR84" s="11"/>
      <c r="GS84" s="11"/>
      <c r="GT84" s="11"/>
      <c r="GU84" s="11"/>
      <c r="GV84" s="11"/>
      <c r="GW84" s="11"/>
      <c r="GX84" s="11"/>
      <c r="GY84" s="11"/>
      <c r="GZ84" s="11"/>
      <c r="HA84" s="11"/>
      <c r="HB84" s="11"/>
      <c r="HC84" s="11"/>
      <c r="HD84" s="11"/>
      <c r="HE84" s="11"/>
      <c r="HF84" s="11"/>
      <c r="HG84" s="11"/>
      <c r="HH84" s="11"/>
      <c r="HI84" s="11"/>
      <c r="HJ84" s="11"/>
      <c r="HK84" s="11"/>
      <c r="HL84" s="11"/>
      <c r="HM84" s="11"/>
      <c r="HN84" s="11"/>
      <c r="HO84" s="11"/>
      <c r="HP84" s="11"/>
      <c r="HQ84" s="11"/>
      <c r="HR84" s="11"/>
      <c r="HS84" s="11"/>
      <c r="HT84" s="11"/>
      <c r="HU84" s="11"/>
    </row>
    <row r="85" spans="1:229" s="12" customFormat="1" ht="79.2">
      <c r="A85" s="188"/>
      <c r="B85" s="189"/>
      <c r="C85" s="190"/>
      <c r="D85" s="190"/>
      <c r="E85" s="204" t="s">
        <v>123</v>
      </c>
      <c r="F85" s="204" t="s">
        <v>370</v>
      </c>
      <c r="G85" s="193"/>
      <c r="H85" s="166"/>
      <c r="I85" s="194"/>
      <c r="J85" s="194"/>
      <c r="K85" s="194"/>
      <c r="L85" s="194"/>
      <c r="M85" s="194"/>
      <c r="N85" s="194"/>
      <c r="O85" s="194"/>
      <c r="P85" s="194"/>
      <c r="Q85" s="194"/>
      <c r="R85" s="194"/>
      <c r="S85" s="194"/>
      <c r="T85" s="194"/>
      <c r="U85" s="194"/>
      <c r="V85" s="194"/>
      <c r="W85" s="194"/>
      <c r="X85" s="194"/>
      <c r="Y85" s="194"/>
      <c r="Z85" s="194"/>
      <c r="AA85" s="195"/>
      <c r="AB85" s="195"/>
      <c r="AC85" s="195"/>
      <c r="AD85" s="195"/>
      <c r="AE85" s="195"/>
      <c r="AF85" s="195"/>
      <c r="AG85" s="195"/>
      <c r="AH85" s="195"/>
      <c r="AI85" s="195"/>
      <c r="AJ85" s="195"/>
      <c r="AK85" s="195"/>
      <c r="AL85" s="195"/>
      <c r="AM85" s="195"/>
      <c r="AN85" s="195"/>
      <c r="AO85" s="195"/>
      <c r="AP85" s="195"/>
      <c r="AQ85" s="195"/>
      <c r="AR85" s="195"/>
      <c r="AS85" s="195"/>
      <c r="AT85" s="195"/>
      <c r="AU85" s="195"/>
      <c r="AV85" s="195"/>
      <c r="AW85" s="195"/>
      <c r="AX85" s="195"/>
      <c r="AY85" s="195"/>
      <c r="AZ85" s="195"/>
      <c r="BA85" s="195"/>
      <c r="BB85" s="195"/>
      <c r="BC85" s="195"/>
      <c r="BD85" s="195"/>
      <c r="BE85" s="195"/>
      <c r="BF85" s="195"/>
      <c r="BG85" s="195"/>
      <c r="BH85" s="195"/>
      <c r="BI85" s="195"/>
      <c r="BJ85" s="195"/>
      <c r="BK85" s="195"/>
      <c r="BL85" s="195"/>
      <c r="BM85" s="195"/>
      <c r="BN85" s="195"/>
      <c r="BO85" s="195"/>
      <c r="BP85" s="195"/>
      <c r="BQ85" s="195"/>
      <c r="BR85" s="195"/>
      <c r="BS85" s="195"/>
      <c r="BT85" s="195"/>
      <c r="BU85" s="195"/>
      <c r="BV85" s="195"/>
      <c r="BW85" s="195"/>
      <c r="BX85" s="195"/>
      <c r="BY85" s="195"/>
      <c r="BZ85" s="195"/>
      <c r="CA85" s="195"/>
      <c r="CB85" s="195"/>
      <c r="CC85" s="195"/>
      <c r="CD85" s="195"/>
      <c r="CE85" s="195"/>
      <c r="CF85" s="195"/>
      <c r="CG85" s="195"/>
      <c r="CH85" s="195"/>
      <c r="CI85" s="195"/>
      <c r="CJ85" s="195"/>
      <c r="CK85" s="195"/>
      <c r="CL85" s="195"/>
      <c r="CM85" s="195"/>
      <c r="CN85" s="195"/>
      <c r="CO85" s="195"/>
      <c r="CP85" s="195"/>
      <c r="CQ85" s="195"/>
      <c r="CR85" s="195"/>
      <c r="CS85" s="195"/>
      <c r="CT85" s="195"/>
      <c r="CU85" s="195"/>
      <c r="CV85" s="195"/>
      <c r="CW85" s="195"/>
      <c r="CX85" s="195"/>
      <c r="CY85" s="195"/>
      <c r="CZ85" s="195"/>
      <c r="DA85" s="195"/>
      <c r="DB85" s="195"/>
      <c r="DC85" s="195"/>
      <c r="DD85" s="195"/>
      <c r="DE85" s="195"/>
      <c r="DF85" s="195"/>
      <c r="DG85" s="195"/>
      <c r="DH85" s="195"/>
      <c r="DI85" s="195"/>
      <c r="DJ85" s="195"/>
      <c r="DK85" s="195"/>
      <c r="DL85" s="195"/>
      <c r="DM85" s="195"/>
      <c r="DN85" s="195"/>
      <c r="DO85" s="195"/>
      <c r="DP85" s="195"/>
      <c r="DQ85" s="195"/>
      <c r="DR85" s="195"/>
      <c r="DS85" s="195"/>
      <c r="DT85" s="195"/>
      <c r="DU85" s="195"/>
      <c r="DV85" s="195"/>
      <c r="DW85" s="195"/>
      <c r="DX85" s="195"/>
      <c r="DY85" s="195"/>
      <c r="DZ85" s="195"/>
      <c r="EA85" s="195"/>
      <c r="EB85" s="195"/>
      <c r="EC85" s="195"/>
      <c r="ED85" s="195"/>
      <c r="EE85" s="195"/>
      <c r="EF85" s="195"/>
      <c r="EG85" s="195"/>
      <c r="EH85" s="195"/>
      <c r="EI85" s="195"/>
      <c r="EJ85" s="195"/>
      <c r="EK85" s="195"/>
      <c r="EL85" s="195"/>
      <c r="EM85" s="195"/>
      <c r="EN85" s="195"/>
      <c r="EO85" s="195"/>
      <c r="EP85" s="195"/>
      <c r="EQ85" s="195"/>
      <c r="ER85" s="195"/>
      <c r="ES85" s="195"/>
      <c r="ET85" s="195"/>
      <c r="EU85" s="195"/>
      <c r="EV85" s="195"/>
      <c r="EW85" s="195"/>
      <c r="EX85" s="195"/>
      <c r="EY85" s="195"/>
      <c r="EZ85" s="195"/>
      <c r="FA85" s="195"/>
      <c r="FB85" s="195"/>
      <c r="FC85" s="195"/>
      <c r="FD85" s="195"/>
      <c r="FE85" s="195"/>
      <c r="FF85" s="195"/>
      <c r="FG85" s="195"/>
      <c r="FH85" s="195"/>
      <c r="FI85" s="195"/>
      <c r="FJ85" s="195"/>
      <c r="FK85" s="195"/>
      <c r="FL85" s="195"/>
      <c r="FM85" s="195"/>
      <c r="FN85" s="195"/>
      <c r="FO85" s="195"/>
      <c r="FP85" s="195"/>
      <c r="FQ85" s="195"/>
      <c r="FR85" s="195"/>
      <c r="FS85" s="195"/>
      <c r="FT85" s="195"/>
      <c r="FU85" s="195"/>
      <c r="FV85" s="195"/>
      <c r="FW85" s="195"/>
      <c r="FX85" s="195"/>
      <c r="FY85" s="195"/>
      <c r="FZ85" s="195"/>
      <c r="GA85" s="195"/>
      <c r="GB85" s="195"/>
      <c r="GC85" s="195"/>
      <c r="GD85" s="195"/>
      <c r="GE85" s="195"/>
      <c r="GF85" s="195"/>
      <c r="GG85" s="195"/>
      <c r="GH85" s="195"/>
      <c r="GI85" s="195"/>
      <c r="GJ85" s="195"/>
      <c r="GK85" s="195"/>
      <c r="GL85" s="195"/>
      <c r="GM85" s="195"/>
      <c r="GN85" s="195"/>
      <c r="GO85" s="195"/>
      <c r="GP85" s="195"/>
      <c r="GQ85" s="195"/>
      <c r="GR85" s="195"/>
      <c r="GS85" s="195"/>
      <c r="GT85" s="195"/>
      <c r="GU85" s="195"/>
      <c r="GV85" s="195"/>
      <c r="GW85" s="195"/>
      <c r="GX85" s="195"/>
      <c r="GY85" s="195"/>
      <c r="GZ85" s="195"/>
      <c r="HA85" s="195"/>
      <c r="HB85" s="195"/>
      <c r="HC85" s="195"/>
      <c r="HD85" s="195"/>
      <c r="HE85" s="195"/>
      <c r="HF85" s="195"/>
      <c r="HG85" s="195"/>
      <c r="HH85" s="195"/>
      <c r="HI85" s="195"/>
      <c r="HJ85" s="195"/>
      <c r="HK85" s="195"/>
      <c r="HL85" s="195"/>
      <c r="HM85" s="195"/>
      <c r="HN85" s="195"/>
      <c r="HO85" s="195"/>
      <c r="HP85" s="195"/>
      <c r="HQ85" s="195"/>
      <c r="HR85" s="195"/>
      <c r="HS85" s="195"/>
      <c r="HT85" s="195"/>
      <c r="HU85" s="195"/>
    </row>
    <row r="86" spans="1:229" s="12" customFormat="1" ht="39.6">
      <c r="A86" s="250"/>
      <c r="B86" s="10"/>
      <c r="C86" s="19"/>
      <c r="D86" s="19"/>
      <c r="E86" s="204"/>
      <c r="F86" s="239" t="s">
        <v>375</v>
      </c>
      <c r="G86" s="170"/>
      <c r="H86" s="166"/>
      <c r="I86" s="165"/>
      <c r="J86" s="165"/>
      <c r="K86" s="165"/>
      <c r="L86" s="165"/>
      <c r="M86" s="165"/>
      <c r="N86" s="165"/>
      <c r="O86" s="165"/>
      <c r="P86" s="165"/>
      <c r="Q86" s="165"/>
      <c r="R86" s="165"/>
      <c r="S86" s="165"/>
      <c r="T86" s="165"/>
      <c r="U86" s="165"/>
      <c r="V86" s="165"/>
      <c r="W86" s="165"/>
      <c r="X86" s="165"/>
      <c r="Y86" s="165"/>
      <c r="Z86" s="165"/>
      <c r="AA86" s="11"/>
      <c r="AB86" s="11"/>
      <c r="AC86" s="11"/>
      <c r="AD86" s="11"/>
      <c r="AE86" s="11"/>
      <c r="AF86" s="11"/>
      <c r="AG86" s="11"/>
      <c r="AH86" s="11"/>
      <c r="AI86" s="11"/>
      <c r="AJ86" s="11"/>
      <c r="AK86" s="11"/>
      <c r="AL86" s="11"/>
      <c r="AM86" s="11"/>
      <c r="AN86" s="11"/>
      <c r="AO86" s="11"/>
      <c r="AP86" s="11"/>
      <c r="AQ86" s="11"/>
      <c r="AR86" s="11"/>
      <c r="AS86" s="11"/>
      <c r="AT86" s="11"/>
      <c r="AU86" s="11"/>
      <c r="AV86" s="11"/>
      <c r="AW86" s="11"/>
      <c r="AX86" s="11"/>
      <c r="AY86" s="11"/>
      <c r="AZ86" s="11"/>
      <c r="BA86" s="11"/>
      <c r="BB86" s="11"/>
      <c r="BC86" s="11"/>
      <c r="BD86" s="11"/>
      <c r="BE86" s="11"/>
      <c r="BF86" s="11"/>
      <c r="BG86" s="11"/>
      <c r="BH86" s="11"/>
      <c r="BI86" s="11"/>
      <c r="BJ86" s="11"/>
      <c r="BK86" s="11"/>
      <c r="BL86" s="11"/>
      <c r="BM86" s="11"/>
      <c r="BN86" s="11"/>
      <c r="BO86" s="11"/>
      <c r="BP86" s="11"/>
      <c r="BQ86" s="11"/>
      <c r="BR86" s="11"/>
      <c r="BS86" s="11"/>
      <c r="BT86" s="11"/>
      <c r="BU86" s="11"/>
      <c r="BV86" s="11"/>
      <c r="BW86" s="11"/>
      <c r="BX86" s="11"/>
      <c r="BY86" s="11"/>
      <c r="BZ86" s="11"/>
      <c r="CA86" s="11"/>
      <c r="CB86" s="11"/>
      <c r="CC86" s="11"/>
      <c r="CD86" s="11"/>
      <c r="CE86" s="11"/>
      <c r="CF86" s="11"/>
      <c r="CG86" s="11"/>
      <c r="CH86" s="11"/>
      <c r="CI86" s="11"/>
      <c r="CJ86" s="11"/>
      <c r="CK86" s="11"/>
      <c r="CL86" s="11"/>
      <c r="CM86" s="11"/>
      <c r="CN86" s="11"/>
      <c r="CO86" s="11"/>
      <c r="CP86" s="11"/>
      <c r="CQ86" s="11"/>
      <c r="CR86" s="11"/>
      <c r="CS86" s="11"/>
      <c r="CT86" s="11"/>
      <c r="CU86" s="11"/>
      <c r="CV86" s="11"/>
      <c r="CW86" s="11"/>
      <c r="CX86" s="11"/>
      <c r="CY86" s="11"/>
      <c r="CZ86" s="11"/>
      <c r="DA86" s="11"/>
      <c r="DB86" s="11"/>
      <c r="DC86" s="11"/>
      <c r="DD86" s="11"/>
      <c r="DE86" s="11"/>
      <c r="DF86" s="11"/>
      <c r="DG86" s="11"/>
      <c r="DH86" s="11"/>
      <c r="DI86" s="11"/>
      <c r="DJ86" s="11"/>
      <c r="DK86" s="11"/>
      <c r="DL86" s="11"/>
      <c r="DM86" s="11"/>
      <c r="DN86" s="11"/>
      <c r="DO86" s="11"/>
      <c r="DP86" s="11"/>
      <c r="DQ86" s="11"/>
      <c r="DR86" s="11"/>
      <c r="DS86" s="11"/>
      <c r="DT86" s="11"/>
      <c r="DU86" s="11"/>
      <c r="DV86" s="11"/>
      <c r="DW86" s="11"/>
      <c r="DX86" s="11"/>
      <c r="DY86" s="11"/>
      <c r="DZ86" s="11"/>
      <c r="EA86" s="11"/>
      <c r="EB86" s="11"/>
      <c r="EC86" s="11"/>
      <c r="ED86" s="11"/>
      <c r="EE86" s="11"/>
      <c r="EF86" s="11"/>
      <c r="EG86" s="11"/>
      <c r="EH86" s="11"/>
      <c r="EI86" s="11"/>
      <c r="EJ86" s="11"/>
      <c r="EK86" s="11"/>
      <c r="EL86" s="11"/>
      <c r="EM86" s="11"/>
      <c r="EN86" s="11"/>
      <c r="EO86" s="11"/>
      <c r="EP86" s="11"/>
      <c r="EQ86" s="11"/>
      <c r="ER86" s="11"/>
      <c r="ES86" s="11"/>
      <c r="ET86" s="11"/>
      <c r="EU86" s="11"/>
      <c r="EV86" s="11"/>
      <c r="EW86" s="11"/>
      <c r="EX86" s="11"/>
      <c r="EY86" s="11"/>
      <c r="EZ86" s="11"/>
      <c r="FA86" s="11"/>
      <c r="FB86" s="11"/>
      <c r="FC86" s="11"/>
      <c r="FD86" s="11"/>
      <c r="FE86" s="11"/>
      <c r="FF86" s="11"/>
      <c r="FG86" s="11"/>
      <c r="FH86" s="11"/>
      <c r="FI86" s="11"/>
      <c r="FJ86" s="11"/>
      <c r="FK86" s="11"/>
      <c r="FL86" s="11"/>
      <c r="FM86" s="11"/>
      <c r="FN86" s="11"/>
      <c r="FO86" s="11"/>
      <c r="FP86" s="11"/>
      <c r="FQ86" s="11"/>
      <c r="FR86" s="11"/>
      <c r="FS86" s="11"/>
      <c r="FT86" s="11"/>
      <c r="FU86" s="11"/>
      <c r="FV86" s="11"/>
      <c r="FW86" s="11"/>
      <c r="FX86" s="11"/>
      <c r="FY86" s="11"/>
      <c r="FZ86" s="11"/>
      <c r="GA86" s="11"/>
      <c r="GB86" s="11"/>
      <c r="GC86" s="11"/>
      <c r="GD86" s="11"/>
      <c r="GE86" s="11"/>
      <c r="GF86" s="11"/>
      <c r="GG86" s="11"/>
      <c r="GH86" s="11"/>
      <c r="GI86" s="11"/>
      <c r="GJ86" s="11"/>
      <c r="GK86" s="11"/>
      <c r="GL86" s="11"/>
      <c r="GM86" s="11"/>
      <c r="GN86" s="11"/>
      <c r="GO86" s="11"/>
      <c r="GP86" s="11"/>
      <c r="GQ86" s="11"/>
      <c r="GR86" s="11"/>
      <c r="GS86" s="11"/>
      <c r="GT86" s="11"/>
      <c r="GU86" s="11"/>
      <c r="GV86" s="11"/>
      <c r="GW86" s="11"/>
      <c r="GX86" s="11"/>
      <c r="GY86" s="11"/>
      <c r="GZ86" s="11"/>
      <c r="HA86" s="11"/>
      <c r="HB86" s="11"/>
      <c r="HC86" s="11"/>
      <c r="HD86" s="11"/>
      <c r="HE86" s="11"/>
      <c r="HF86" s="11"/>
      <c r="HG86" s="11"/>
      <c r="HH86" s="11"/>
      <c r="HI86" s="11"/>
      <c r="HJ86" s="11"/>
      <c r="HK86" s="11"/>
      <c r="HL86" s="11"/>
      <c r="HM86" s="11"/>
      <c r="HN86" s="11"/>
      <c r="HO86" s="11"/>
      <c r="HP86" s="11"/>
      <c r="HQ86" s="11"/>
      <c r="HR86" s="11"/>
      <c r="HS86" s="11"/>
      <c r="HT86" s="11"/>
      <c r="HU86" s="11"/>
    </row>
    <row r="87" spans="1:229" s="12" customFormat="1" ht="18" customHeight="1">
      <c r="A87" s="250"/>
      <c r="B87" s="10"/>
      <c r="C87" s="19"/>
      <c r="D87" s="222" t="s">
        <v>348</v>
      </c>
      <c r="E87" s="208"/>
      <c r="F87" s="208"/>
      <c r="G87" s="170"/>
      <c r="H87" s="165"/>
      <c r="I87" s="165"/>
      <c r="J87" s="165"/>
      <c r="K87" s="165"/>
      <c r="L87" s="165"/>
      <c r="M87" s="165"/>
      <c r="N87" s="165"/>
      <c r="O87" s="165"/>
      <c r="P87" s="165"/>
      <c r="Q87" s="165"/>
      <c r="R87" s="165"/>
      <c r="S87" s="165"/>
      <c r="T87" s="165"/>
      <c r="U87" s="165"/>
      <c r="V87" s="165"/>
      <c r="W87" s="165"/>
      <c r="X87" s="165"/>
      <c r="Y87" s="165"/>
      <c r="Z87" s="165"/>
      <c r="AA87" s="11"/>
      <c r="AB87" s="11"/>
      <c r="AC87" s="11"/>
      <c r="AD87" s="11"/>
      <c r="AE87" s="11"/>
      <c r="AF87" s="11"/>
      <c r="AG87" s="11"/>
      <c r="AH87" s="11"/>
      <c r="AI87" s="11"/>
      <c r="AJ87" s="11"/>
      <c r="AK87" s="11"/>
      <c r="AL87" s="11"/>
      <c r="AM87" s="11"/>
      <c r="AN87" s="11"/>
      <c r="AO87" s="11"/>
      <c r="AP87" s="11"/>
      <c r="AQ87" s="11"/>
      <c r="AR87" s="11"/>
      <c r="AS87" s="11"/>
      <c r="AT87" s="11"/>
      <c r="AU87" s="11"/>
      <c r="AV87" s="11"/>
      <c r="AW87" s="11"/>
      <c r="AX87" s="11"/>
      <c r="AY87" s="11"/>
      <c r="AZ87" s="11"/>
      <c r="BA87" s="11"/>
      <c r="BB87" s="11"/>
      <c r="BC87" s="11"/>
      <c r="BD87" s="11"/>
      <c r="BE87" s="11"/>
      <c r="BF87" s="11"/>
      <c r="BG87" s="11"/>
      <c r="BH87" s="11"/>
      <c r="BI87" s="11"/>
      <c r="BJ87" s="11"/>
      <c r="BK87" s="11"/>
      <c r="BL87" s="11"/>
      <c r="BM87" s="11"/>
      <c r="BN87" s="11"/>
      <c r="BO87" s="11"/>
      <c r="BP87" s="11"/>
      <c r="BQ87" s="11"/>
      <c r="BR87" s="11"/>
      <c r="BS87" s="11"/>
      <c r="BT87" s="11"/>
      <c r="BU87" s="11"/>
      <c r="BV87" s="11"/>
      <c r="BW87" s="11"/>
      <c r="BX87" s="11"/>
      <c r="BY87" s="11"/>
      <c r="BZ87" s="11"/>
      <c r="CA87" s="11"/>
      <c r="CB87" s="11"/>
      <c r="CC87" s="11"/>
      <c r="CD87" s="11"/>
      <c r="CE87" s="11"/>
      <c r="CF87" s="11"/>
      <c r="CG87" s="11"/>
      <c r="CH87" s="11"/>
      <c r="CI87" s="11"/>
      <c r="CJ87" s="11"/>
      <c r="CK87" s="11"/>
      <c r="CL87" s="11"/>
      <c r="CM87" s="11"/>
      <c r="CN87" s="11"/>
      <c r="CO87" s="11"/>
      <c r="CP87" s="11"/>
      <c r="CQ87" s="11"/>
      <c r="CR87" s="11"/>
      <c r="CS87" s="11"/>
      <c r="CT87" s="11"/>
      <c r="CU87" s="11"/>
      <c r="CV87" s="11"/>
      <c r="CW87" s="11"/>
      <c r="CX87" s="11"/>
      <c r="CY87" s="11"/>
      <c r="CZ87" s="11"/>
      <c r="DA87" s="11"/>
      <c r="DB87" s="11"/>
      <c r="DC87" s="11"/>
      <c r="DD87" s="11"/>
      <c r="DE87" s="11"/>
      <c r="DF87" s="11"/>
      <c r="DG87" s="11"/>
      <c r="DH87" s="11"/>
      <c r="DI87" s="11"/>
      <c r="DJ87" s="11"/>
      <c r="DK87" s="11"/>
      <c r="DL87" s="11"/>
      <c r="DM87" s="11"/>
      <c r="DN87" s="11"/>
      <c r="DO87" s="11"/>
      <c r="DP87" s="11"/>
      <c r="DQ87" s="11"/>
      <c r="DR87" s="11"/>
      <c r="DS87" s="11"/>
      <c r="DT87" s="11"/>
      <c r="DU87" s="11"/>
      <c r="DV87" s="11"/>
      <c r="DW87" s="11"/>
      <c r="DX87" s="11"/>
      <c r="DY87" s="11"/>
      <c r="DZ87" s="11"/>
      <c r="EA87" s="11"/>
      <c r="EB87" s="11"/>
      <c r="EC87" s="11"/>
      <c r="ED87" s="11"/>
      <c r="EE87" s="11"/>
      <c r="EF87" s="11"/>
      <c r="EG87" s="11"/>
      <c r="EH87" s="11"/>
      <c r="EI87" s="11"/>
      <c r="EJ87" s="11"/>
      <c r="EK87" s="11"/>
      <c r="EL87" s="11"/>
      <c r="EM87" s="11"/>
      <c r="EN87" s="11"/>
      <c r="EO87" s="11"/>
      <c r="EP87" s="11"/>
      <c r="EQ87" s="11"/>
      <c r="ER87" s="11"/>
      <c r="ES87" s="11"/>
      <c r="ET87" s="11"/>
      <c r="EU87" s="11"/>
      <c r="EV87" s="11"/>
      <c r="EW87" s="11"/>
      <c r="EX87" s="11"/>
      <c r="EY87" s="11"/>
      <c r="EZ87" s="11"/>
      <c r="FA87" s="11"/>
      <c r="FB87" s="11"/>
      <c r="FC87" s="11"/>
      <c r="FD87" s="11"/>
      <c r="FE87" s="11"/>
      <c r="FF87" s="11"/>
      <c r="FG87" s="11"/>
      <c r="FH87" s="11"/>
      <c r="FI87" s="11"/>
      <c r="FJ87" s="11"/>
      <c r="FK87" s="11"/>
      <c r="FL87" s="11"/>
      <c r="FM87" s="11"/>
      <c r="FN87" s="11"/>
      <c r="FO87" s="11"/>
      <c r="FP87" s="11"/>
      <c r="FQ87" s="11"/>
      <c r="FR87" s="11"/>
      <c r="FS87" s="11"/>
      <c r="FT87" s="11"/>
      <c r="FU87" s="11"/>
      <c r="FV87" s="11"/>
      <c r="FW87" s="11"/>
      <c r="FX87" s="11"/>
      <c r="FY87" s="11"/>
      <c r="FZ87" s="11"/>
      <c r="GA87" s="11"/>
      <c r="GB87" s="11"/>
      <c r="GC87" s="11"/>
      <c r="GD87" s="11"/>
      <c r="GE87" s="11"/>
      <c r="GF87" s="11"/>
      <c r="GG87" s="11"/>
      <c r="GH87" s="11"/>
      <c r="GI87" s="11"/>
      <c r="GJ87" s="11"/>
      <c r="GK87" s="11"/>
      <c r="GL87" s="11"/>
      <c r="GM87" s="11"/>
      <c r="GN87" s="11"/>
      <c r="GO87" s="11"/>
      <c r="GP87" s="11"/>
      <c r="GQ87" s="11"/>
      <c r="GR87" s="11"/>
      <c r="GS87" s="11"/>
      <c r="GT87" s="11"/>
      <c r="GU87" s="11"/>
      <c r="GV87" s="11"/>
      <c r="GW87" s="11"/>
      <c r="GX87" s="11"/>
      <c r="GY87" s="11"/>
      <c r="GZ87" s="11"/>
      <c r="HA87" s="11"/>
      <c r="HB87" s="11"/>
      <c r="HC87" s="11"/>
      <c r="HD87" s="11"/>
      <c r="HE87" s="11"/>
      <c r="HF87" s="11"/>
      <c r="HG87" s="11"/>
      <c r="HH87" s="11"/>
      <c r="HI87" s="11"/>
      <c r="HJ87" s="11"/>
      <c r="HK87" s="11"/>
      <c r="HL87" s="11"/>
      <c r="HM87" s="11"/>
      <c r="HN87" s="11"/>
      <c r="HO87" s="11"/>
      <c r="HP87" s="11"/>
      <c r="HQ87" s="11"/>
      <c r="HR87" s="11"/>
      <c r="HS87" s="11"/>
      <c r="HT87" s="11"/>
      <c r="HU87" s="11"/>
    </row>
    <row r="88" spans="1:229" s="12" customFormat="1" ht="18" customHeight="1">
      <c r="A88" s="250"/>
      <c r="B88" s="10"/>
      <c r="C88" s="19"/>
      <c r="D88" s="204"/>
      <c r="E88" s="221" t="s">
        <v>141</v>
      </c>
      <c r="F88" s="19"/>
      <c r="G88" s="170"/>
      <c r="H88" s="165"/>
      <c r="I88" s="165"/>
      <c r="J88" s="165"/>
      <c r="K88" s="165"/>
      <c r="L88" s="165"/>
      <c r="M88" s="165"/>
      <c r="N88" s="165"/>
      <c r="O88" s="165"/>
      <c r="P88" s="165"/>
      <c r="Q88" s="165"/>
      <c r="R88" s="165"/>
      <c r="S88" s="165"/>
      <c r="T88" s="165"/>
      <c r="U88" s="165"/>
      <c r="V88" s="165"/>
      <c r="W88" s="165"/>
      <c r="X88" s="165"/>
      <c r="Y88" s="165"/>
      <c r="Z88" s="165"/>
      <c r="AA88" s="11"/>
      <c r="AB88" s="11"/>
      <c r="AC88" s="11"/>
      <c r="AD88" s="11"/>
      <c r="AE88" s="11"/>
      <c r="AF88" s="11"/>
      <c r="AG88" s="11"/>
      <c r="AH88" s="11"/>
      <c r="AI88" s="11"/>
      <c r="AJ88" s="11"/>
      <c r="AK88" s="11"/>
      <c r="AL88" s="11"/>
      <c r="AM88" s="11"/>
      <c r="AN88" s="11"/>
      <c r="AO88" s="11"/>
      <c r="AP88" s="11"/>
      <c r="AQ88" s="11"/>
      <c r="AR88" s="11"/>
      <c r="AS88" s="11"/>
      <c r="AT88" s="11"/>
      <c r="AU88" s="11"/>
      <c r="AV88" s="11"/>
      <c r="AW88" s="11"/>
      <c r="AX88" s="11"/>
      <c r="AY88" s="11"/>
      <c r="AZ88" s="11"/>
      <c r="BA88" s="11"/>
      <c r="BB88" s="11"/>
      <c r="BC88" s="11"/>
      <c r="BD88" s="11"/>
      <c r="BE88" s="11"/>
      <c r="BF88" s="11"/>
      <c r="BG88" s="11"/>
      <c r="BH88" s="11"/>
      <c r="BI88" s="11"/>
      <c r="BJ88" s="11"/>
      <c r="BK88" s="11"/>
      <c r="BL88" s="11"/>
      <c r="BM88" s="11"/>
      <c r="BN88" s="11"/>
      <c r="BO88" s="11"/>
      <c r="BP88" s="11"/>
      <c r="BQ88" s="11"/>
      <c r="BR88" s="11"/>
      <c r="BS88" s="11"/>
      <c r="BT88" s="11"/>
      <c r="BU88" s="11"/>
      <c r="BV88" s="11"/>
      <c r="BW88" s="11"/>
      <c r="BX88" s="11"/>
      <c r="BY88" s="11"/>
      <c r="BZ88" s="11"/>
      <c r="CA88" s="11"/>
      <c r="CB88" s="11"/>
      <c r="CC88" s="11"/>
      <c r="CD88" s="11"/>
      <c r="CE88" s="11"/>
      <c r="CF88" s="11"/>
      <c r="CG88" s="11"/>
      <c r="CH88" s="11"/>
      <c r="CI88" s="11"/>
      <c r="CJ88" s="11"/>
      <c r="CK88" s="11"/>
      <c r="CL88" s="11"/>
      <c r="CM88" s="11"/>
      <c r="CN88" s="11"/>
      <c r="CO88" s="11"/>
      <c r="CP88" s="11"/>
      <c r="CQ88" s="11"/>
      <c r="CR88" s="11"/>
      <c r="CS88" s="11"/>
      <c r="CT88" s="11"/>
      <c r="CU88" s="11"/>
      <c r="CV88" s="11"/>
      <c r="CW88" s="11"/>
      <c r="CX88" s="11"/>
      <c r="CY88" s="11"/>
      <c r="CZ88" s="11"/>
      <c r="DA88" s="11"/>
      <c r="DB88" s="11"/>
      <c r="DC88" s="11"/>
      <c r="DD88" s="11"/>
      <c r="DE88" s="11"/>
      <c r="DF88" s="11"/>
      <c r="DG88" s="11"/>
      <c r="DH88" s="11"/>
      <c r="DI88" s="11"/>
      <c r="DJ88" s="11"/>
      <c r="DK88" s="11"/>
      <c r="DL88" s="11"/>
      <c r="DM88" s="11"/>
      <c r="DN88" s="11"/>
      <c r="DO88" s="11"/>
      <c r="DP88" s="11"/>
      <c r="DQ88" s="11"/>
      <c r="DR88" s="11"/>
      <c r="DS88" s="11"/>
      <c r="DT88" s="11"/>
      <c r="DU88" s="11"/>
      <c r="DV88" s="11"/>
      <c r="DW88" s="11"/>
      <c r="DX88" s="11"/>
      <c r="DY88" s="11"/>
      <c r="DZ88" s="11"/>
      <c r="EA88" s="11"/>
      <c r="EB88" s="11"/>
      <c r="EC88" s="11"/>
      <c r="ED88" s="11"/>
      <c r="EE88" s="11"/>
      <c r="EF88" s="11"/>
      <c r="EG88" s="11"/>
      <c r="EH88" s="11"/>
      <c r="EI88" s="11"/>
      <c r="EJ88" s="11"/>
      <c r="EK88" s="11"/>
      <c r="EL88" s="11"/>
      <c r="EM88" s="11"/>
      <c r="EN88" s="11"/>
      <c r="EO88" s="11"/>
      <c r="EP88" s="11"/>
      <c r="EQ88" s="11"/>
      <c r="ER88" s="11"/>
      <c r="ES88" s="11"/>
      <c r="ET88" s="11"/>
      <c r="EU88" s="11"/>
      <c r="EV88" s="11"/>
      <c r="EW88" s="11"/>
      <c r="EX88" s="11"/>
      <c r="EY88" s="11"/>
      <c r="EZ88" s="11"/>
      <c r="FA88" s="11"/>
      <c r="FB88" s="11"/>
      <c r="FC88" s="11"/>
      <c r="FD88" s="11"/>
      <c r="FE88" s="11"/>
      <c r="FF88" s="11"/>
      <c r="FG88" s="11"/>
      <c r="FH88" s="11"/>
      <c r="FI88" s="11"/>
      <c r="FJ88" s="11"/>
      <c r="FK88" s="11"/>
      <c r="FL88" s="11"/>
      <c r="FM88" s="11"/>
      <c r="FN88" s="11"/>
      <c r="FO88" s="11"/>
      <c r="FP88" s="11"/>
      <c r="FQ88" s="11"/>
      <c r="FR88" s="11"/>
      <c r="FS88" s="11"/>
      <c r="FT88" s="11"/>
      <c r="FU88" s="11"/>
      <c r="FV88" s="11"/>
      <c r="FW88" s="11"/>
      <c r="FX88" s="11"/>
      <c r="FY88" s="11"/>
      <c r="FZ88" s="11"/>
      <c r="GA88" s="11"/>
      <c r="GB88" s="11"/>
      <c r="GC88" s="11"/>
      <c r="GD88" s="11"/>
      <c r="GE88" s="11"/>
      <c r="GF88" s="11"/>
      <c r="GG88" s="11"/>
      <c r="GH88" s="11"/>
      <c r="GI88" s="11"/>
      <c r="GJ88" s="11"/>
      <c r="GK88" s="11"/>
      <c r="GL88" s="11"/>
      <c r="GM88" s="11"/>
      <c r="GN88" s="11"/>
      <c r="GO88" s="11"/>
      <c r="GP88" s="11"/>
      <c r="GQ88" s="11"/>
      <c r="GR88" s="11"/>
      <c r="GS88" s="11"/>
      <c r="GT88" s="11"/>
      <c r="GU88" s="11"/>
      <c r="GV88" s="11"/>
      <c r="GW88" s="11"/>
      <c r="GX88" s="11"/>
      <c r="GY88" s="11"/>
      <c r="GZ88" s="11"/>
      <c r="HA88" s="11"/>
      <c r="HB88" s="11"/>
      <c r="HC88" s="11"/>
      <c r="HD88" s="11"/>
      <c r="HE88" s="11"/>
      <c r="HF88" s="11"/>
      <c r="HG88" s="11"/>
      <c r="HH88" s="11"/>
      <c r="HI88" s="11"/>
      <c r="HJ88" s="11"/>
      <c r="HK88" s="11"/>
      <c r="HL88" s="11"/>
      <c r="HM88" s="11"/>
      <c r="HN88" s="11"/>
      <c r="HO88" s="11"/>
      <c r="HP88" s="11"/>
      <c r="HQ88" s="11"/>
      <c r="HR88" s="11"/>
      <c r="HS88" s="11"/>
      <c r="HT88" s="11"/>
      <c r="HU88" s="11"/>
    </row>
    <row r="89" spans="1:229" s="12" customFormat="1" ht="26.4">
      <c r="A89" s="250"/>
      <c r="B89" s="10"/>
      <c r="C89" s="19"/>
      <c r="D89" s="19"/>
      <c r="E89" s="204" t="s">
        <v>123</v>
      </c>
      <c r="F89" s="223" t="s">
        <v>374</v>
      </c>
      <c r="G89" s="170"/>
      <c r="H89" s="166"/>
      <c r="I89" s="165"/>
      <c r="J89" s="165"/>
      <c r="K89" s="165"/>
      <c r="L89" s="165"/>
      <c r="M89" s="165"/>
      <c r="N89" s="165"/>
      <c r="O89" s="165"/>
      <c r="P89" s="165"/>
      <c r="Q89" s="165"/>
      <c r="R89" s="165"/>
      <c r="S89" s="165"/>
      <c r="T89" s="165"/>
      <c r="U89" s="165"/>
      <c r="V89" s="165"/>
      <c r="W89" s="165"/>
      <c r="X89" s="165"/>
      <c r="Y89" s="165"/>
      <c r="Z89" s="165"/>
      <c r="AA89" s="11"/>
      <c r="AB89" s="11"/>
      <c r="AC89" s="11"/>
      <c r="AD89" s="11"/>
      <c r="AE89" s="11"/>
      <c r="AF89" s="11"/>
      <c r="AG89" s="11"/>
      <c r="AH89" s="11"/>
      <c r="AI89" s="11"/>
      <c r="AJ89" s="11"/>
      <c r="AK89" s="11"/>
      <c r="AL89" s="11"/>
      <c r="AM89" s="11"/>
      <c r="AN89" s="11"/>
      <c r="AO89" s="11"/>
      <c r="AP89" s="11"/>
      <c r="AQ89" s="11"/>
      <c r="AR89" s="11"/>
      <c r="AS89" s="11"/>
      <c r="AT89" s="11"/>
      <c r="AU89" s="11"/>
      <c r="AV89" s="11"/>
      <c r="AW89" s="11"/>
      <c r="AX89" s="11"/>
      <c r="AY89" s="11"/>
      <c r="AZ89" s="11"/>
      <c r="BA89" s="11"/>
      <c r="BB89" s="11"/>
      <c r="BC89" s="11"/>
      <c r="BD89" s="11"/>
      <c r="BE89" s="11"/>
      <c r="BF89" s="11"/>
      <c r="BG89" s="11"/>
      <c r="BH89" s="11"/>
      <c r="BI89" s="11"/>
      <c r="BJ89" s="11"/>
      <c r="BK89" s="11"/>
      <c r="BL89" s="11"/>
      <c r="BM89" s="11"/>
      <c r="BN89" s="11"/>
      <c r="BO89" s="11"/>
      <c r="BP89" s="11"/>
      <c r="BQ89" s="11"/>
      <c r="BR89" s="11"/>
      <c r="BS89" s="11"/>
      <c r="BT89" s="11"/>
      <c r="BU89" s="11"/>
      <c r="BV89" s="11"/>
      <c r="BW89" s="11"/>
      <c r="BX89" s="11"/>
      <c r="BY89" s="11"/>
      <c r="BZ89" s="11"/>
      <c r="CA89" s="11"/>
      <c r="CB89" s="11"/>
      <c r="CC89" s="11"/>
      <c r="CD89" s="11"/>
      <c r="CE89" s="11"/>
      <c r="CF89" s="11"/>
      <c r="CG89" s="11"/>
      <c r="CH89" s="11"/>
      <c r="CI89" s="11"/>
      <c r="CJ89" s="11"/>
      <c r="CK89" s="11"/>
      <c r="CL89" s="11"/>
      <c r="CM89" s="11"/>
      <c r="CN89" s="11"/>
      <c r="CO89" s="11"/>
      <c r="CP89" s="11"/>
      <c r="CQ89" s="11"/>
      <c r="CR89" s="11"/>
      <c r="CS89" s="11"/>
      <c r="CT89" s="11"/>
      <c r="CU89" s="11"/>
      <c r="CV89" s="11"/>
      <c r="CW89" s="11"/>
      <c r="CX89" s="11"/>
      <c r="CY89" s="11"/>
      <c r="CZ89" s="11"/>
      <c r="DA89" s="11"/>
      <c r="DB89" s="11"/>
      <c r="DC89" s="11"/>
      <c r="DD89" s="11"/>
      <c r="DE89" s="11"/>
      <c r="DF89" s="11"/>
      <c r="DG89" s="11"/>
      <c r="DH89" s="11"/>
      <c r="DI89" s="11"/>
      <c r="DJ89" s="11"/>
      <c r="DK89" s="11"/>
      <c r="DL89" s="11"/>
      <c r="DM89" s="11"/>
      <c r="DN89" s="11"/>
      <c r="DO89" s="11"/>
      <c r="DP89" s="11"/>
      <c r="DQ89" s="11"/>
      <c r="DR89" s="11"/>
      <c r="DS89" s="11"/>
      <c r="DT89" s="11"/>
      <c r="DU89" s="11"/>
      <c r="DV89" s="11"/>
      <c r="DW89" s="11"/>
      <c r="DX89" s="11"/>
      <c r="DY89" s="11"/>
      <c r="DZ89" s="11"/>
      <c r="EA89" s="11"/>
      <c r="EB89" s="11"/>
      <c r="EC89" s="11"/>
      <c r="ED89" s="11"/>
      <c r="EE89" s="11"/>
      <c r="EF89" s="11"/>
      <c r="EG89" s="11"/>
      <c r="EH89" s="11"/>
      <c r="EI89" s="11"/>
      <c r="EJ89" s="11"/>
      <c r="EK89" s="11"/>
      <c r="EL89" s="11"/>
      <c r="EM89" s="11"/>
      <c r="EN89" s="11"/>
      <c r="EO89" s="11"/>
      <c r="EP89" s="11"/>
      <c r="EQ89" s="11"/>
      <c r="ER89" s="11"/>
      <c r="ES89" s="11"/>
      <c r="ET89" s="11"/>
      <c r="EU89" s="11"/>
      <c r="EV89" s="11"/>
      <c r="EW89" s="11"/>
      <c r="EX89" s="11"/>
      <c r="EY89" s="11"/>
      <c r="EZ89" s="11"/>
      <c r="FA89" s="11"/>
      <c r="FB89" s="11"/>
      <c r="FC89" s="11"/>
      <c r="FD89" s="11"/>
      <c r="FE89" s="11"/>
      <c r="FF89" s="11"/>
      <c r="FG89" s="11"/>
      <c r="FH89" s="11"/>
      <c r="FI89" s="11"/>
      <c r="FJ89" s="11"/>
      <c r="FK89" s="11"/>
      <c r="FL89" s="11"/>
      <c r="FM89" s="11"/>
      <c r="FN89" s="11"/>
      <c r="FO89" s="11"/>
      <c r="FP89" s="11"/>
      <c r="FQ89" s="11"/>
      <c r="FR89" s="11"/>
      <c r="FS89" s="11"/>
      <c r="FT89" s="11"/>
      <c r="FU89" s="11"/>
      <c r="FV89" s="11"/>
      <c r="FW89" s="11"/>
      <c r="FX89" s="11"/>
      <c r="FY89" s="11"/>
      <c r="FZ89" s="11"/>
      <c r="GA89" s="11"/>
      <c r="GB89" s="11"/>
      <c r="GC89" s="11"/>
      <c r="GD89" s="11"/>
      <c r="GE89" s="11"/>
      <c r="GF89" s="11"/>
      <c r="GG89" s="11"/>
      <c r="GH89" s="11"/>
      <c r="GI89" s="11"/>
      <c r="GJ89" s="11"/>
      <c r="GK89" s="11"/>
      <c r="GL89" s="11"/>
      <c r="GM89" s="11"/>
      <c r="GN89" s="11"/>
      <c r="GO89" s="11"/>
      <c r="GP89" s="11"/>
      <c r="GQ89" s="11"/>
      <c r="GR89" s="11"/>
      <c r="GS89" s="11"/>
      <c r="GT89" s="11"/>
      <c r="GU89" s="11"/>
      <c r="GV89" s="11"/>
      <c r="GW89" s="11"/>
      <c r="GX89" s="11"/>
      <c r="GY89" s="11"/>
      <c r="GZ89" s="11"/>
      <c r="HA89" s="11"/>
      <c r="HB89" s="11"/>
      <c r="HC89" s="11"/>
      <c r="HD89" s="11"/>
      <c r="HE89" s="11"/>
      <c r="HF89" s="11"/>
      <c r="HG89" s="11"/>
      <c r="HH89" s="11"/>
      <c r="HI89" s="11"/>
      <c r="HJ89" s="11"/>
      <c r="HK89" s="11"/>
      <c r="HL89" s="11"/>
      <c r="HM89" s="11"/>
      <c r="HN89" s="11"/>
      <c r="HO89" s="11"/>
      <c r="HP89" s="11"/>
      <c r="HQ89" s="11"/>
      <c r="HR89" s="11"/>
      <c r="HS89" s="11"/>
      <c r="HT89" s="11"/>
      <c r="HU89" s="11"/>
    </row>
    <row r="90" spans="1:229" s="12" customFormat="1" ht="18" customHeight="1">
      <c r="A90" s="250"/>
      <c r="B90" s="10"/>
      <c r="C90" s="19"/>
      <c r="D90" s="19"/>
      <c r="E90" s="19"/>
      <c r="F90" s="19"/>
      <c r="G90" s="170"/>
      <c r="H90" s="165"/>
      <c r="I90" s="165"/>
      <c r="J90" s="165"/>
      <c r="K90" s="165"/>
      <c r="L90" s="165"/>
      <c r="M90" s="165"/>
      <c r="N90" s="165"/>
      <c r="O90" s="165"/>
      <c r="P90" s="165"/>
      <c r="Q90" s="165"/>
      <c r="R90" s="165"/>
      <c r="S90" s="165"/>
      <c r="T90" s="165"/>
      <c r="U90" s="165"/>
      <c r="V90" s="165"/>
      <c r="W90" s="165"/>
      <c r="X90" s="165"/>
      <c r="Y90" s="165"/>
      <c r="Z90" s="165"/>
      <c r="AA90" s="11"/>
      <c r="AB90" s="11"/>
      <c r="AC90" s="11"/>
      <c r="AD90" s="11"/>
      <c r="AE90" s="11"/>
      <c r="AF90" s="11"/>
      <c r="AG90" s="11"/>
      <c r="AH90" s="11"/>
      <c r="AI90" s="11"/>
      <c r="AJ90" s="11"/>
      <c r="AK90" s="11"/>
      <c r="AL90" s="11"/>
      <c r="AM90" s="11"/>
      <c r="AN90" s="11"/>
      <c r="AO90" s="11"/>
      <c r="AP90" s="11"/>
      <c r="AQ90" s="11"/>
      <c r="AR90" s="11"/>
      <c r="AS90" s="11"/>
      <c r="AT90" s="11"/>
      <c r="AU90" s="11"/>
      <c r="AV90" s="11"/>
      <c r="AW90" s="11"/>
      <c r="AX90" s="11"/>
      <c r="AY90" s="11"/>
      <c r="AZ90" s="11"/>
      <c r="BA90" s="11"/>
      <c r="BB90" s="11"/>
      <c r="BC90" s="11"/>
      <c r="BD90" s="11"/>
      <c r="BE90" s="11"/>
      <c r="BF90" s="11"/>
      <c r="BG90" s="11"/>
      <c r="BH90" s="11"/>
      <c r="BI90" s="11"/>
      <c r="BJ90" s="11"/>
      <c r="BK90" s="11"/>
      <c r="BL90" s="11"/>
      <c r="BM90" s="11"/>
      <c r="BN90" s="11"/>
      <c r="BO90" s="11"/>
      <c r="BP90" s="11"/>
      <c r="BQ90" s="11"/>
      <c r="BR90" s="11"/>
      <c r="BS90" s="11"/>
      <c r="BT90" s="11"/>
      <c r="BU90" s="11"/>
      <c r="BV90" s="11"/>
      <c r="BW90" s="11"/>
      <c r="BX90" s="11"/>
      <c r="BY90" s="11"/>
      <c r="BZ90" s="11"/>
      <c r="CA90" s="11"/>
      <c r="CB90" s="11"/>
      <c r="CC90" s="11"/>
      <c r="CD90" s="11"/>
      <c r="CE90" s="11"/>
      <c r="CF90" s="11"/>
      <c r="CG90" s="11"/>
      <c r="CH90" s="11"/>
      <c r="CI90" s="11"/>
      <c r="CJ90" s="11"/>
      <c r="CK90" s="11"/>
      <c r="CL90" s="11"/>
      <c r="CM90" s="11"/>
      <c r="CN90" s="11"/>
      <c r="CO90" s="11"/>
      <c r="CP90" s="11"/>
      <c r="CQ90" s="11"/>
      <c r="CR90" s="11"/>
      <c r="CS90" s="11"/>
      <c r="CT90" s="11"/>
      <c r="CU90" s="11"/>
      <c r="CV90" s="11"/>
      <c r="CW90" s="11"/>
      <c r="CX90" s="11"/>
      <c r="CY90" s="11"/>
      <c r="CZ90" s="11"/>
      <c r="DA90" s="11"/>
      <c r="DB90" s="11"/>
      <c r="DC90" s="11"/>
      <c r="DD90" s="11"/>
      <c r="DE90" s="11"/>
      <c r="DF90" s="11"/>
      <c r="DG90" s="11"/>
      <c r="DH90" s="11"/>
      <c r="DI90" s="11"/>
      <c r="DJ90" s="11"/>
      <c r="DK90" s="11"/>
      <c r="DL90" s="11"/>
      <c r="DM90" s="11"/>
      <c r="DN90" s="11"/>
      <c r="DO90" s="11"/>
      <c r="DP90" s="11"/>
      <c r="DQ90" s="11"/>
      <c r="DR90" s="11"/>
      <c r="DS90" s="11"/>
      <c r="DT90" s="11"/>
      <c r="DU90" s="11"/>
      <c r="DV90" s="11"/>
      <c r="DW90" s="11"/>
      <c r="DX90" s="11"/>
      <c r="DY90" s="11"/>
      <c r="DZ90" s="11"/>
      <c r="EA90" s="11"/>
      <c r="EB90" s="11"/>
      <c r="EC90" s="11"/>
      <c r="ED90" s="11"/>
      <c r="EE90" s="11"/>
      <c r="EF90" s="11"/>
      <c r="EG90" s="11"/>
      <c r="EH90" s="11"/>
      <c r="EI90" s="11"/>
      <c r="EJ90" s="11"/>
      <c r="EK90" s="11"/>
      <c r="EL90" s="11"/>
      <c r="EM90" s="11"/>
      <c r="EN90" s="11"/>
      <c r="EO90" s="11"/>
      <c r="EP90" s="11"/>
      <c r="EQ90" s="11"/>
      <c r="ER90" s="11"/>
      <c r="ES90" s="11"/>
      <c r="ET90" s="11"/>
      <c r="EU90" s="11"/>
      <c r="EV90" s="11"/>
      <c r="EW90" s="11"/>
      <c r="EX90" s="11"/>
      <c r="EY90" s="11"/>
      <c r="EZ90" s="11"/>
      <c r="FA90" s="11"/>
      <c r="FB90" s="11"/>
      <c r="FC90" s="11"/>
      <c r="FD90" s="11"/>
      <c r="FE90" s="11"/>
      <c r="FF90" s="11"/>
      <c r="FG90" s="11"/>
      <c r="FH90" s="11"/>
      <c r="FI90" s="11"/>
      <c r="FJ90" s="11"/>
      <c r="FK90" s="11"/>
      <c r="FL90" s="11"/>
      <c r="FM90" s="11"/>
      <c r="FN90" s="11"/>
      <c r="FO90" s="11"/>
      <c r="FP90" s="11"/>
      <c r="FQ90" s="11"/>
      <c r="FR90" s="11"/>
      <c r="FS90" s="11"/>
      <c r="FT90" s="11"/>
      <c r="FU90" s="11"/>
      <c r="FV90" s="11"/>
      <c r="FW90" s="11"/>
      <c r="FX90" s="11"/>
      <c r="FY90" s="11"/>
      <c r="FZ90" s="11"/>
      <c r="GA90" s="11"/>
      <c r="GB90" s="11"/>
      <c r="GC90" s="11"/>
      <c r="GD90" s="11"/>
      <c r="GE90" s="11"/>
      <c r="GF90" s="11"/>
      <c r="GG90" s="11"/>
      <c r="GH90" s="11"/>
      <c r="GI90" s="11"/>
      <c r="GJ90" s="11"/>
      <c r="GK90" s="11"/>
      <c r="GL90" s="11"/>
      <c r="GM90" s="11"/>
      <c r="GN90" s="11"/>
      <c r="GO90" s="11"/>
      <c r="GP90" s="11"/>
      <c r="GQ90" s="11"/>
      <c r="GR90" s="11"/>
      <c r="GS90" s="11"/>
      <c r="GT90" s="11"/>
      <c r="GU90" s="11"/>
      <c r="GV90" s="11"/>
      <c r="GW90" s="11"/>
      <c r="GX90" s="11"/>
      <c r="GY90" s="11"/>
      <c r="GZ90" s="11"/>
      <c r="HA90" s="11"/>
      <c r="HB90" s="11"/>
      <c r="HC90" s="11"/>
      <c r="HD90" s="11"/>
      <c r="HE90" s="11"/>
      <c r="HF90" s="11"/>
      <c r="HG90" s="11"/>
      <c r="HH90" s="11"/>
      <c r="HI90" s="11"/>
      <c r="HJ90" s="11"/>
      <c r="HK90" s="11"/>
      <c r="HL90" s="11"/>
      <c r="HM90" s="11"/>
      <c r="HN90" s="11"/>
      <c r="HO90" s="11"/>
      <c r="HP90" s="11"/>
      <c r="HQ90" s="11"/>
      <c r="HR90" s="11"/>
      <c r="HS90" s="11"/>
      <c r="HT90" s="11"/>
      <c r="HU90" s="11"/>
    </row>
    <row r="91" spans="1:229" ht="18" customHeight="1">
      <c r="A91" s="250"/>
      <c r="B91" s="256"/>
      <c r="C91" s="23"/>
      <c r="D91" s="23"/>
      <c r="E91" s="23"/>
      <c r="F91" s="24"/>
      <c r="G91" s="174"/>
      <c r="H91" s="167"/>
      <c r="I91" s="167"/>
      <c r="J91" s="167"/>
      <c r="K91" s="167"/>
      <c r="L91" s="167"/>
      <c r="M91" s="167"/>
      <c r="N91" s="167"/>
      <c r="O91" s="167"/>
      <c r="P91" s="167"/>
      <c r="Q91" s="167"/>
      <c r="R91" s="167"/>
      <c r="S91" s="167"/>
      <c r="T91" s="167"/>
      <c r="U91" s="167"/>
      <c r="V91" s="167"/>
      <c r="W91" s="167"/>
      <c r="X91" s="167"/>
      <c r="Y91" s="167"/>
      <c r="Z91" s="167"/>
      <c r="AA91" s="252"/>
      <c r="AB91" s="252"/>
      <c r="AC91" s="252"/>
      <c r="AD91" s="252"/>
      <c r="AE91" s="252"/>
      <c r="AF91" s="252"/>
      <c r="AG91" s="252"/>
      <c r="AH91" s="252"/>
      <c r="AI91" s="252"/>
      <c r="AJ91" s="252"/>
      <c r="AK91" s="252"/>
      <c r="AL91" s="252"/>
      <c r="AM91" s="252"/>
      <c r="AN91" s="252"/>
      <c r="AO91" s="252"/>
      <c r="AP91" s="252"/>
      <c r="AQ91" s="252"/>
      <c r="AR91" s="252"/>
      <c r="AS91" s="252"/>
      <c r="AT91" s="252"/>
      <c r="AU91" s="252"/>
      <c r="AV91" s="252"/>
      <c r="AW91" s="252"/>
      <c r="AX91" s="252"/>
      <c r="AY91" s="252"/>
      <c r="AZ91" s="252"/>
      <c r="BA91" s="252"/>
      <c r="BB91" s="252"/>
      <c r="BC91" s="252"/>
      <c r="BD91" s="252"/>
      <c r="BE91" s="252"/>
      <c r="BF91" s="252"/>
      <c r="BG91" s="252"/>
      <c r="BH91" s="252"/>
      <c r="BI91" s="252"/>
      <c r="BJ91" s="252"/>
      <c r="BK91" s="252"/>
      <c r="BL91" s="252"/>
      <c r="BM91" s="252"/>
      <c r="BN91" s="252"/>
      <c r="BO91" s="252"/>
      <c r="BP91" s="252"/>
      <c r="BQ91" s="252"/>
      <c r="BR91" s="252"/>
      <c r="BS91" s="252"/>
      <c r="BT91" s="252"/>
      <c r="BU91" s="252"/>
      <c r="BV91" s="252"/>
      <c r="BW91" s="252"/>
      <c r="BX91" s="252"/>
      <c r="BY91" s="252"/>
      <c r="BZ91" s="252"/>
      <c r="CA91" s="252"/>
      <c r="CB91" s="252"/>
      <c r="CC91" s="252"/>
      <c r="CD91" s="252"/>
      <c r="CE91" s="252"/>
      <c r="CF91" s="252"/>
      <c r="CG91" s="252"/>
      <c r="CH91" s="252"/>
      <c r="CI91" s="252"/>
      <c r="CJ91" s="252"/>
      <c r="CK91" s="252"/>
      <c r="CL91" s="252"/>
      <c r="CM91" s="252"/>
      <c r="CN91" s="252"/>
      <c r="CO91" s="252"/>
      <c r="CP91" s="252"/>
      <c r="CQ91" s="252"/>
      <c r="CR91" s="252"/>
      <c r="CS91" s="252"/>
      <c r="CT91" s="252"/>
      <c r="CU91" s="252"/>
      <c r="CV91" s="252"/>
      <c r="CW91" s="252"/>
      <c r="CX91" s="252"/>
      <c r="CY91" s="252"/>
      <c r="CZ91" s="252"/>
      <c r="DA91" s="252"/>
      <c r="DB91" s="252"/>
      <c r="DC91" s="252"/>
      <c r="DD91" s="252"/>
      <c r="DE91" s="252"/>
      <c r="DF91" s="252"/>
      <c r="DG91" s="252"/>
      <c r="DH91" s="252"/>
      <c r="DI91" s="252"/>
      <c r="DJ91" s="252"/>
      <c r="DK91" s="252"/>
      <c r="DL91" s="252"/>
      <c r="DM91" s="252"/>
      <c r="DN91" s="252"/>
      <c r="DO91" s="252"/>
      <c r="DP91" s="252"/>
      <c r="DQ91" s="252"/>
      <c r="DR91" s="252"/>
      <c r="DS91" s="252"/>
      <c r="DT91" s="252"/>
      <c r="DU91" s="252"/>
      <c r="DV91" s="252"/>
      <c r="DW91" s="252"/>
      <c r="DX91" s="252"/>
      <c r="DY91" s="252"/>
      <c r="DZ91" s="252"/>
      <c r="EA91" s="252"/>
      <c r="EB91" s="252"/>
      <c r="EC91" s="252"/>
      <c r="ED91" s="252"/>
      <c r="EE91" s="252"/>
      <c r="EF91" s="252"/>
      <c r="EG91" s="252"/>
      <c r="EH91" s="252"/>
      <c r="EI91" s="252"/>
      <c r="EJ91" s="252"/>
      <c r="EK91" s="252"/>
      <c r="EL91" s="252"/>
      <c r="EM91" s="252"/>
      <c r="EN91" s="252"/>
      <c r="EO91" s="252"/>
      <c r="EP91" s="252"/>
      <c r="EQ91" s="252"/>
      <c r="ER91" s="252"/>
      <c r="ES91" s="252"/>
      <c r="ET91" s="252"/>
      <c r="EU91" s="252"/>
      <c r="EV91" s="252"/>
      <c r="EW91" s="252"/>
      <c r="EX91" s="252"/>
      <c r="EY91" s="252"/>
      <c r="EZ91" s="252"/>
      <c r="FA91" s="252"/>
      <c r="FB91" s="252"/>
      <c r="FC91" s="252"/>
      <c r="FD91" s="252"/>
      <c r="FE91" s="252"/>
      <c r="FF91" s="252"/>
      <c r="FG91" s="252"/>
      <c r="FH91" s="252"/>
      <c r="FI91" s="252"/>
      <c r="FJ91" s="252"/>
      <c r="FK91" s="252"/>
      <c r="FL91" s="252"/>
      <c r="FM91" s="252"/>
      <c r="FN91" s="252"/>
      <c r="FO91" s="252"/>
      <c r="FP91" s="252"/>
      <c r="FQ91" s="252"/>
      <c r="FR91" s="252"/>
      <c r="FS91" s="252"/>
      <c r="FT91" s="252"/>
      <c r="FU91" s="252"/>
      <c r="FV91" s="252"/>
      <c r="FW91" s="252"/>
      <c r="FX91" s="252"/>
      <c r="FY91" s="252"/>
      <c r="FZ91" s="252"/>
      <c r="GA91" s="252"/>
      <c r="GB91" s="252"/>
      <c r="GC91" s="252"/>
      <c r="GD91" s="252"/>
      <c r="GE91" s="252"/>
      <c r="GF91" s="252"/>
      <c r="GG91" s="252"/>
      <c r="GH91" s="252"/>
      <c r="GI91" s="252"/>
      <c r="GJ91" s="252"/>
      <c r="GK91" s="252"/>
      <c r="GL91" s="252"/>
      <c r="GM91" s="252"/>
      <c r="GN91" s="252"/>
      <c r="GO91" s="252"/>
      <c r="GP91" s="252"/>
      <c r="GQ91" s="252"/>
      <c r="GR91" s="252"/>
      <c r="GS91" s="252"/>
      <c r="GT91" s="252"/>
      <c r="GU91" s="252"/>
      <c r="GV91" s="252"/>
      <c r="GW91" s="252"/>
      <c r="GX91" s="252"/>
      <c r="GY91" s="252"/>
      <c r="GZ91" s="252"/>
      <c r="HA91" s="252"/>
      <c r="HB91" s="252"/>
      <c r="HC91" s="252"/>
      <c r="HD91" s="252"/>
      <c r="HE91" s="252"/>
      <c r="HF91" s="252"/>
      <c r="HG91" s="252"/>
      <c r="HH91" s="252"/>
      <c r="HI91" s="252"/>
      <c r="HJ91" s="252"/>
      <c r="HK91" s="252"/>
      <c r="HL91" s="252"/>
      <c r="HM91" s="252"/>
      <c r="HN91" s="252"/>
      <c r="HO91" s="252"/>
      <c r="HP91" s="252"/>
      <c r="HQ91" s="252"/>
      <c r="HR91" s="252"/>
      <c r="HS91" s="252"/>
      <c r="HT91" s="252"/>
      <c r="HU91" s="252"/>
    </row>
    <row r="92" spans="1:229" ht="18" customHeight="1">
      <c r="A92" s="250"/>
      <c r="B92" s="167"/>
      <c r="C92" s="167"/>
      <c r="D92" s="167"/>
      <c r="E92" s="167"/>
      <c r="F92" s="168"/>
      <c r="G92" s="425" t="s">
        <v>385</v>
      </c>
      <c r="H92" s="167"/>
      <c r="I92" s="167"/>
      <c r="J92" s="167"/>
      <c r="K92" s="167"/>
      <c r="L92" s="167"/>
      <c r="M92" s="167"/>
      <c r="N92" s="167"/>
      <c r="O92" s="167"/>
      <c r="P92" s="167"/>
      <c r="Q92" s="167"/>
      <c r="R92" s="167"/>
      <c r="S92" s="167"/>
      <c r="T92" s="167"/>
      <c r="U92" s="167"/>
      <c r="V92" s="167"/>
      <c r="W92" s="167"/>
      <c r="X92" s="167"/>
      <c r="Y92" s="167"/>
      <c r="Z92" s="167"/>
      <c r="AA92" s="252"/>
      <c r="AB92" s="252"/>
      <c r="AC92" s="252"/>
      <c r="AD92" s="252"/>
      <c r="AE92" s="252"/>
      <c r="AF92" s="252"/>
      <c r="AG92" s="252"/>
      <c r="AH92" s="252"/>
      <c r="AI92" s="252"/>
      <c r="AJ92" s="252"/>
      <c r="AK92" s="252"/>
      <c r="AL92" s="252"/>
      <c r="AM92" s="252"/>
      <c r="AN92" s="252"/>
      <c r="AO92" s="252"/>
      <c r="AP92" s="252"/>
      <c r="AQ92" s="252"/>
      <c r="AR92" s="252"/>
      <c r="AS92" s="252"/>
      <c r="AT92" s="252"/>
      <c r="AU92" s="252"/>
      <c r="AV92" s="252"/>
      <c r="AW92" s="252"/>
      <c r="AX92" s="252"/>
      <c r="AY92" s="252"/>
      <c r="AZ92" s="252"/>
      <c r="BA92" s="252"/>
      <c r="BB92" s="252"/>
      <c r="BC92" s="252"/>
      <c r="BD92" s="252"/>
      <c r="BE92" s="252"/>
      <c r="BF92" s="252"/>
      <c r="BG92" s="252"/>
      <c r="BH92" s="252"/>
      <c r="BI92" s="252"/>
      <c r="BJ92" s="252"/>
      <c r="BK92" s="252"/>
      <c r="BL92" s="252"/>
      <c r="BM92" s="252"/>
      <c r="BN92" s="252"/>
      <c r="BO92" s="252"/>
      <c r="BP92" s="252"/>
      <c r="BQ92" s="252"/>
      <c r="BR92" s="252"/>
      <c r="BS92" s="252"/>
      <c r="BT92" s="252"/>
      <c r="BU92" s="252"/>
      <c r="BV92" s="252"/>
      <c r="BW92" s="252"/>
      <c r="BX92" s="252"/>
      <c r="BY92" s="252"/>
      <c r="BZ92" s="252"/>
      <c r="CA92" s="252"/>
      <c r="CB92" s="252"/>
      <c r="CC92" s="252"/>
      <c r="CD92" s="252"/>
      <c r="CE92" s="252"/>
      <c r="CF92" s="252"/>
      <c r="CG92" s="252"/>
      <c r="CH92" s="252"/>
      <c r="CI92" s="252"/>
      <c r="CJ92" s="252"/>
      <c r="CK92" s="252"/>
      <c r="CL92" s="252"/>
      <c r="CM92" s="252"/>
      <c r="CN92" s="252"/>
      <c r="CO92" s="252"/>
      <c r="CP92" s="252"/>
      <c r="CQ92" s="252"/>
      <c r="CR92" s="252"/>
      <c r="CS92" s="252"/>
      <c r="CT92" s="252"/>
      <c r="CU92" s="252"/>
      <c r="CV92" s="252"/>
      <c r="CW92" s="252"/>
      <c r="CX92" s="252"/>
      <c r="CY92" s="252"/>
      <c r="CZ92" s="252"/>
      <c r="DA92" s="252"/>
      <c r="DB92" s="252"/>
      <c r="DC92" s="252"/>
      <c r="DD92" s="252"/>
      <c r="DE92" s="252"/>
      <c r="DF92" s="252"/>
      <c r="DG92" s="252"/>
      <c r="DH92" s="252"/>
      <c r="DI92" s="252"/>
      <c r="DJ92" s="252"/>
      <c r="DK92" s="252"/>
      <c r="DL92" s="252"/>
      <c r="DM92" s="252"/>
      <c r="DN92" s="252"/>
      <c r="DO92" s="252"/>
      <c r="DP92" s="252"/>
      <c r="DQ92" s="252"/>
      <c r="DR92" s="252"/>
      <c r="DS92" s="252"/>
      <c r="DT92" s="252"/>
      <c r="DU92" s="252"/>
      <c r="DV92" s="252"/>
      <c r="DW92" s="252"/>
      <c r="DX92" s="252"/>
      <c r="DY92" s="252"/>
      <c r="DZ92" s="252"/>
      <c r="EA92" s="252"/>
      <c r="EB92" s="252"/>
      <c r="EC92" s="252"/>
      <c r="ED92" s="252"/>
      <c r="EE92" s="252"/>
      <c r="EF92" s="252"/>
      <c r="EG92" s="252"/>
      <c r="EH92" s="252"/>
      <c r="EI92" s="252"/>
      <c r="EJ92" s="252"/>
      <c r="EK92" s="252"/>
      <c r="EL92" s="252"/>
      <c r="EM92" s="252"/>
      <c r="EN92" s="252"/>
      <c r="EO92" s="252"/>
      <c r="EP92" s="252"/>
      <c r="EQ92" s="252"/>
      <c r="ER92" s="252"/>
      <c r="ES92" s="252"/>
      <c r="ET92" s="252"/>
      <c r="EU92" s="252"/>
      <c r="EV92" s="252"/>
      <c r="EW92" s="252"/>
      <c r="EX92" s="252"/>
      <c r="EY92" s="252"/>
      <c r="EZ92" s="252"/>
      <c r="FA92" s="252"/>
      <c r="FB92" s="252"/>
      <c r="FC92" s="252"/>
      <c r="FD92" s="252"/>
      <c r="FE92" s="252"/>
      <c r="FF92" s="252"/>
      <c r="FG92" s="252"/>
      <c r="FH92" s="252"/>
      <c r="FI92" s="252"/>
      <c r="FJ92" s="252"/>
      <c r="FK92" s="252"/>
      <c r="FL92" s="252"/>
      <c r="FM92" s="252"/>
      <c r="FN92" s="252"/>
      <c r="FO92" s="252"/>
      <c r="FP92" s="252"/>
      <c r="FQ92" s="252"/>
      <c r="FR92" s="252"/>
      <c r="FS92" s="252"/>
      <c r="FT92" s="252"/>
      <c r="FU92" s="252"/>
      <c r="FV92" s="252"/>
      <c r="FW92" s="252"/>
      <c r="FX92" s="252"/>
      <c r="FY92" s="252"/>
      <c r="FZ92" s="252"/>
      <c r="GA92" s="252"/>
      <c r="GB92" s="252"/>
      <c r="GC92" s="252"/>
      <c r="GD92" s="252"/>
      <c r="GE92" s="252"/>
      <c r="GF92" s="252"/>
      <c r="GG92" s="252"/>
      <c r="GH92" s="252"/>
      <c r="GI92" s="252"/>
      <c r="GJ92" s="252"/>
      <c r="GK92" s="252"/>
      <c r="GL92" s="252"/>
      <c r="GM92" s="252"/>
      <c r="GN92" s="252"/>
      <c r="GO92" s="252"/>
      <c r="GP92" s="252"/>
      <c r="GQ92" s="252"/>
      <c r="GR92" s="252"/>
      <c r="GS92" s="252"/>
      <c r="GT92" s="252"/>
      <c r="GU92" s="252"/>
      <c r="GV92" s="252"/>
      <c r="GW92" s="252"/>
      <c r="GX92" s="252"/>
      <c r="GY92" s="252"/>
      <c r="GZ92" s="252"/>
      <c r="HA92" s="252"/>
      <c r="HB92" s="252"/>
      <c r="HC92" s="252"/>
      <c r="HD92" s="252"/>
      <c r="HE92" s="252"/>
      <c r="HF92" s="252"/>
      <c r="HG92" s="252"/>
      <c r="HH92" s="252"/>
      <c r="HI92" s="252"/>
      <c r="HJ92" s="252"/>
      <c r="HK92" s="252"/>
      <c r="HL92" s="252"/>
      <c r="HM92" s="252"/>
      <c r="HN92" s="252"/>
      <c r="HO92" s="252"/>
      <c r="HP92" s="252"/>
      <c r="HQ92" s="252"/>
      <c r="HR92" s="252"/>
      <c r="HS92" s="252"/>
      <c r="HT92" s="252"/>
      <c r="HU92" s="252"/>
    </row>
    <row r="93" spans="1:229" ht="18" customHeight="1">
      <c r="A93" s="250"/>
      <c r="B93" s="167"/>
      <c r="C93" s="167"/>
      <c r="D93" s="167"/>
      <c r="E93" s="167"/>
      <c r="F93" s="168"/>
      <c r="G93" s="425" t="s">
        <v>386</v>
      </c>
      <c r="H93" s="167"/>
      <c r="I93" s="167"/>
      <c r="J93" s="167"/>
      <c r="K93" s="167"/>
      <c r="L93" s="167"/>
      <c r="M93" s="167"/>
      <c r="N93" s="167"/>
      <c r="O93" s="167"/>
      <c r="P93" s="167"/>
      <c r="Q93" s="167"/>
      <c r="R93" s="167"/>
      <c r="S93" s="167"/>
      <c r="T93" s="167"/>
      <c r="U93" s="167"/>
      <c r="V93" s="167"/>
      <c r="W93" s="167"/>
      <c r="X93" s="167"/>
      <c r="Y93" s="167"/>
      <c r="Z93" s="167"/>
      <c r="AA93" s="252"/>
      <c r="AB93" s="252"/>
      <c r="AC93" s="252"/>
      <c r="AD93" s="252"/>
      <c r="AE93" s="252"/>
      <c r="AF93" s="252"/>
      <c r="AG93" s="252"/>
      <c r="AH93" s="252"/>
      <c r="AI93" s="252"/>
      <c r="AJ93" s="252"/>
      <c r="AK93" s="252"/>
      <c r="AL93" s="252"/>
      <c r="AM93" s="252"/>
      <c r="AN93" s="252"/>
      <c r="AO93" s="252"/>
      <c r="AP93" s="252"/>
      <c r="AQ93" s="252"/>
      <c r="AR93" s="252"/>
      <c r="AS93" s="252"/>
      <c r="AT93" s="252"/>
      <c r="AU93" s="252"/>
      <c r="AV93" s="252"/>
      <c r="AW93" s="252"/>
      <c r="AX93" s="252"/>
      <c r="AY93" s="252"/>
      <c r="AZ93" s="252"/>
      <c r="BA93" s="252"/>
      <c r="BB93" s="252"/>
      <c r="BC93" s="252"/>
      <c r="BD93" s="252"/>
      <c r="BE93" s="252"/>
      <c r="BF93" s="252"/>
      <c r="BG93" s="252"/>
      <c r="BH93" s="252"/>
      <c r="BI93" s="252"/>
      <c r="BJ93" s="252"/>
      <c r="BK93" s="252"/>
      <c r="BL93" s="252"/>
      <c r="BM93" s="252"/>
      <c r="BN93" s="252"/>
      <c r="BO93" s="252"/>
      <c r="BP93" s="252"/>
      <c r="BQ93" s="252"/>
      <c r="BR93" s="252"/>
      <c r="BS93" s="252"/>
      <c r="BT93" s="252"/>
      <c r="BU93" s="252"/>
      <c r="BV93" s="252"/>
      <c r="BW93" s="252"/>
      <c r="BX93" s="252"/>
      <c r="BY93" s="252"/>
      <c r="BZ93" s="252"/>
      <c r="CA93" s="252"/>
      <c r="CB93" s="252"/>
      <c r="CC93" s="252"/>
      <c r="CD93" s="252"/>
      <c r="CE93" s="252"/>
      <c r="CF93" s="252"/>
      <c r="CG93" s="252"/>
      <c r="CH93" s="252"/>
      <c r="CI93" s="252"/>
      <c r="CJ93" s="252"/>
      <c r="CK93" s="252"/>
      <c r="CL93" s="252"/>
      <c r="CM93" s="252"/>
      <c r="CN93" s="252"/>
      <c r="CO93" s="252"/>
      <c r="CP93" s="252"/>
      <c r="CQ93" s="252"/>
      <c r="CR93" s="252"/>
      <c r="CS93" s="252"/>
      <c r="CT93" s="252"/>
      <c r="CU93" s="252"/>
      <c r="CV93" s="252"/>
      <c r="CW93" s="252"/>
      <c r="CX93" s="252"/>
      <c r="CY93" s="252"/>
      <c r="CZ93" s="252"/>
      <c r="DA93" s="252"/>
      <c r="DB93" s="252"/>
      <c r="DC93" s="252"/>
      <c r="DD93" s="252"/>
      <c r="DE93" s="252"/>
      <c r="DF93" s="252"/>
      <c r="DG93" s="252"/>
      <c r="DH93" s="252"/>
      <c r="DI93" s="252"/>
      <c r="DJ93" s="252"/>
      <c r="DK93" s="252"/>
      <c r="DL93" s="252"/>
      <c r="DM93" s="252"/>
      <c r="DN93" s="252"/>
      <c r="DO93" s="252"/>
      <c r="DP93" s="252"/>
      <c r="DQ93" s="252"/>
      <c r="DR93" s="252"/>
      <c r="DS93" s="252"/>
      <c r="DT93" s="252"/>
      <c r="DU93" s="252"/>
      <c r="DV93" s="252"/>
      <c r="DW93" s="252"/>
      <c r="DX93" s="252"/>
      <c r="DY93" s="252"/>
      <c r="DZ93" s="252"/>
      <c r="EA93" s="252"/>
      <c r="EB93" s="252"/>
      <c r="EC93" s="252"/>
      <c r="ED93" s="252"/>
      <c r="EE93" s="252"/>
      <c r="EF93" s="252"/>
      <c r="EG93" s="252"/>
      <c r="EH93" s="252"/>
      <c r="EI93" s="252"/>
      <c r="EJ93" s="252"/>
      <c r="EK93" s="252"/>
      <c r="EL93" s="252"/>
      <c r="EM93" s="252"/>
      <c r="EN93" s="252"/>
      <c r="EO93" s="252"/>
      <c r="EP93" s="252"/>
      <c r="EQ93" s="252"/>
      <c r="ER93" s="252"/>
      <c r="ES93" s="252"/>
      <c r="ET93" s="252"/>
      <c r="EU93" s="252"/>
      <c r="EV93" s="252"/>
      <c r="EW93" s="252"/>
      <c r="EX93" s="252"/>
      <c r="EY93" s="252"/>
      <c r="EZ93" s="252"/>
      <c r="FA93" s="252"/>
      <c r="FB93" s="252"/>
      <c r="FC93" s="252"/>
      <c r="FD93" s="252"/>
      <c r="FE93" s="252"/>
      <c r="FF93" s="252"/>
      <c r="FG93" s="252"/>
      <c r="FH93" s="252"/>
      <c r="FI93" s="252"/>
      <c r="FJ93" s="252"/>
      <c r="FK93" s="252"/>
      <c r="FL93" s="252"/>
      <c r="FM93" s="252"/>
      <c r="FN93" s="252"/>
      <c r="FO93" s="252"/>
      <c r="FP93" s="252"/>
      <c r="FQ93" s="252"/>
      <c r="FR93" s="252"/>
      <c r="FS93" s="252"/>
      <c r="FT93" s="252"/>
      <c r="FU93" s="252"/>
      <c r="FV93" s="252"/>
      <c r="FW93" s="252"/>
      <c r="FX93" s="252"/>
      <c r="FY93" s="252"/>
      <c r="FZ93" s="252"/>
      <c r="GA93" s="252"/>
      <c r="GB93" s="252"/>
      <c r="GC93" s="252"/>
      <c r="GD93" s="252"/>
      <c r="GE93" s="252"/>
      <c r="GF93" s="252"/>
      <c r="GG93" s="252"/>
      <c r="GH93" s="252"/>
      <c r="GI93" s="252"/>
      <c r="GJ93" s="252"/>
      <c r="GK93" s="252"/>
      <c r="GL93" s="252"/>
      <c r="GM93" s="252"/>
      <c r="GN93" s="252"/>
      <c r="GO93" s="252"/>
      <c r="GP93" s="252"/>
      <c r="GQ93" s="252"/>
      <c r="GR93" s="252"/>
      <c r="GS93" s="252"/>
      <c r="GT93" s="252"/>
      <c r="GU93" s="252"/>
      <c r="GV93" s="252"/>
      <c r="GW93" s="252"/>
      <c r="GX93" s="252"/>
      <c r="GY93" s="252"/>
      <c r="GZ93" s="252"/>
      <c r="HA93" s="252"/>
      <c r="HB93" s="252"/>
      <c r="HC93" s="252"/>
      <c r="HD93" s="252"/>
      <c r="HE93" s="252"/>
      <c r="HF93" s="252"/>
      <c r="HG93" s="252"/>
      <c r="HH93" s="252"/>
      <c r="HI93" s="252"/>
      <c r="HJ93" s="252"/>
      <c r="HK93" s="252"/>
      <c r="HL93" s="252"/>
      <c r="HM93" s="252"/>
      <c r="HN93" s="252"/>
      <c r="HO93" s="252"/>
      <c r="HP93" s="252"/>
      <c r="HQ93" s="252"/>
      <c r="HR93" s="252"/>
      <c r="HS93" s="252"/>
      <c r="HT93" s="252"/>
      <c r="HU93" s="252"/>
    </row>
    <row r="94" spans="1:229" ht="18" customHeight="1">
      <c r="A94" s="250"/>
      <c r="B94" s="167"/>
      <c r="C94" s="167"/>
      <c r="D94" s="167"/>
      <c r="E94" s="167"/>
      <c r="F94" s="168"/>
      <c r="G94" s="426" t="s">
        <v>387</v>
      </c>
      <c r="H94" s="167"/>
      <c r="I94" s="167"/>
      <c r="J94" s="167"/>
      <c r="K94" s="167"/>
      <c r="L94" s="167"/>
      <c r="M94" s="167"/>
      <c r="N94" s="167"/>
      <c r="O94" s="167"/>
      <c r="P94" s="167"/>
      <c r="Q94" s="167"/>
      <c r="R94" s="167"/>
      <c r="S94" s="167"/>
      <c r="T94" s="167"/>
      <c r="U94" s="167"/>
      <c r="V94" s="167"/>
      <c r="W94" s="167"/>
      <c r="X94" s="167"/>
      <c r="Y94" s="167"/>
      <c r="Z94" s="167"/>
      <c r="AA94" s="252"/>
      <c r="AB94" s="252"/>
      <c r="AC94" s="252"/>
      <c r="AD94" s="252"/>
      <c r="AE94" s="252"/>
      <c r="AF94" s="252"/>
      <c r="AG94" s="252"/>
      <c r="AH94" s="252"/>
      <c r="AI94" s="252"/>
      <c r="AJ94" s="252"/>
      <c r="AK94" s="252"/>
      <c r="AL94" s="252"/>
      <c r="AM94" s="252"/>
      <c r="AN94" s="252"/>
      <c r="AO94" s="252"/>
      <c r="AP94" s="252"/>
      <c r="AQ94" s="252"/>
      <c r="AR94" s="252"/>
      <c r="AS94" s="252"/>
      <c r="AT94" s="252"/>
      <c r="AU94" s="252"/>
      <c r="AV94" s="252"/>
      <c r="AW94" s="252"/>
      <c r="AX94" s="252"/>
      <c r="AY94" s="252"/>
      <c r="AZ94" s="252"/>
      <c r="BA94" s="252"/>
      <c r="BB94" s="252"/>
      <c r="BC94" s="252"/>
      <c r="BD94" s="252"/>
      <c r="BE94" s="252"/>
      <c r="BF94" s="252"/>
      <c r="BG94" s="252"/>
      <c r="BH94" s="252"/>
      <c r="BI94" s="252"/>
      <c r="BJ94" s="252"/>
      <c r="BK94" s="252"/>
      <c r="BL94" s="252"/>
      <c r="BM94" s="252"/>
      <c r="BN94" s="252"/>
      <c r="BO94" s="252"/>
      <c r="BP94" s="252"/>
      <c r="BQ94" s="252"/>
      <c r="BR94" s="252"/>
      <c r="BS94" s="252"/>
      <c r="BT94" s="252"/>
      <c r="BU94" s="252"/>
      <c r="BV94" s="252"/>
      <c r="BW94" s="252"/>
      <c r="BX94" s="252"/>
      <c r="BY94" s="252"/>
      <c r="BZ94" s="252"/>
      <c r="CA94" s="252"/>
      <c r="CB94" s="252"/>
      <c r="CC94" s="252"/>
      <c r="CD94" s="252"/>
      <c r="CE94" s="252"/>
      <c r="CF94" s="252"/>
      <c r="CG94" s="252"/>
      <c r="CH94" s="252"/>
      <c r="CI94" s="252"/>
      <c r="CJ94" s="252"/>
      <c r="CK94" s="252"/>
      <c r="CL94" s="252"/>
      <c r="CM94" s="252"/>
      <c r="CN94" s="252"/>
      <c r="CO94" s="252"/>
      <c r="CP94" s="252"/>
      <c r="CQ94" s="252"/>
      <c r="CR94" s="252"/>
      <c r="CS94" s="252"/>
      <c r="CT94" s="252"/>
      <c r="CU94" s="252"/>
      <c r="CV94" s="252"/>
      <c r="CW94" s="252"/>
      <c r="CX94" s="252"/>
      <c r="CY94" s="252"/>
      <c r="CZ94" s="252"/>
      <c r="DA94" s="252"/>
      <c r="DB94" s="252"/>
      <c r="DC94" s="252"/>
      <c r="DD94" s="252"/>
      <c r="DE94" s="252"/>
      <c r="DF94" s="252"/>
      <c r="DG94" s="252"/>
      <c r="DH94" s="252"/>
      <c r="DI94" s="252"/>
      <c r="DJ94" s="252"/>
      <c r="DK94" s="252"/>
      <c r="DL94" s="252"/>
      <c r="DM94" s="252"/>
      <c r="DN94" s="252"/>
      <c r="DO94" s="252"/>
      <c r="DP94" s="252"/>
      <c r="DQ94" s="252"/>
      <c r="DR94" s="252"/>
      <c r="DS94" s="252"/>
      <c r="DT94" s="252"/>
      <c r="DU94" s="252"/>
      <c r="DV94" s="252"/>
      <c r="DW94" s="252"/>
      <c r="DX94" s="252"/>
      <c r="DY94" s="252"/>
      <c r="DZ94" s="252"/>
      <c r="EA94" s="252"/>
      <c r="EB94" s="252"/>
      <c r="EC94" s="252"/>
      <c r="ED94" s="252"/>
      <c r="EE94" s="252"/>
      <c r="EF94" s="252"/>
      <c r="EG94" s="252"/>
      <c r="EH94" s="252"/>
      <c r="EI94" s="252"/>
      <c r="EJ94" s="252"/>
      <c r="EK94" s="252"/>
      <c r="EL94" s="252"/>
      <c r="EM94" s="252"/>
      <c r="EN94" s="252"/>
      <c r="EO94" s="252"/>
      <c r="EP94" s="252"/>
      <c r="EQ94" s="252"/>
      <c r="ER94" s="252"/>
      <c r="ES94" s="252"/>
      <c r="ET94" s="252"/>
      <c r="EU94" s="252"/>
      <c r="EV94" s="252"/>
      <c r="EW94" s="252"/>
      <c r="EX94" s="252"/>
      <c r="EY94" s="252"/>
      <c r="EZ94" s="252"/>
      <c r="FA94" s="252"/>
      <c r="FB94" s="252"/>
      <c r="FC94" s="252"/>
      <c r="FD94" s="252"/>
      <c r="FE94" s="252"/>
      <c r="FF94" s="252"/>
      <c r="FG94" s="252"/>
      <c r="FH94" s="252"/>
      <c r="FI94" s="252"/>
      <c r="FJ94" s="252"/>
      <c r="FK94" s="252"/>
      <c r="FL94" s="252"/>
      <c r="FM94" s="252"/>
      <c r="FN94" s="252"/>
      <c r="FO94" s="252"/>
      <c r="FP94" s="252"/>
      <c r="FQ94" s="252"/>
      <c r="FR94" s="252"/>
      <c r="FS94" s="252"/>
      <c r="FT94" s="252"/>
      <c r="FU94" s="252"/>
      <c r="FV94" s="252"/>
      <c r="FW94" s="252"/>
      <c r="FX94" s="252"/>
      <c r="FY94" s="252"/>
      <c r="FZ94" s="252"/>
      <c r="GA94" s="252"/>
      <c r="GB94" s="252"/>
      <c r="GC94" s="252"/>
      <c r="GD94" s="252"/>
      <c r="GE94" s="252"/>
      <c r="GF94" s="252"/>
      <c r="GG94" s="252"/>
      <c r="GH94" s="252"/>
      <c r="GI94" s="252"/>
      <c r="GJ94" s="252"/>
      <c r="GK94" s="252"/>
      <c r="GL94" s="252"/>
      <c r="GM94" s="252"/>
      <c r="GN94" s="252"/>
      <c r="GO94" s="252"/>
      <c r="GP94" s="252"/>
      <c r="GQ94" s="252"/>
      <c r="GR94" s="252"/>
      <c r="GS94" s="252"/>
      <c r="GT94" s="252"/>
      <c r="GU94" s="252"/>
      <c r="GV94" s="252"/>
      <c r="GW94" s="252"/>
      <c r="GX94" s="252"/>
      <c r="GY94" s="252"/>
      <c r="GZ94" s="252"/>
      <c r="HA94" s="252"/>
      <c r="HB94" s="252"/>
      <c r="HC94" s="252"/>
      <c r="HD94" s="252"/>
      <c r="HE94" s="252"/>
      <c r="HF94" s="252"/>
      <c r="HG94" s="252"/>
      <c r="HH94" s="252"/>
      <c r="HI94" s="252"/>
      <c r="HJ94" s="252"/>
      <c r="HK94" s="252"/>
      <c r="HL94" s="252"/>
      <c r="HM94" s="252"/>
      <c r="HN94" s="252"/>
      <c r="HO94" s="252"/>
      <c r="HP94" s="252"/>
      <c r="HQ94" s="252"/>
      <c r="HR94" s="252"/>
      <c r="HS94" s="252"/>
      <c r="HT94" s="252"/>
      <c r="HU94" s="252"/>
    </row>
    <row r="95" spans="1:229" ht="18" customHeight="1">
      <c r="A95" s="250"/>
      <c r="B95" s="167"/>
      <c r="C95" s="167"/>
      <c r="D95" s="167"/>
      <c r="E95" s="167"/>
      <c r="F95" s="168"/>
      <c r="G95" s="426" t="s">
        <v>388</v>
      </c>
      <c r="H95" s="167"/>
      <c r="I95" s="167"/>
      <c r="J95" s="167"/>
      <c r="K95" s="167"/>
      <c r="L95" s="167"/>
      <c r="M95" s="167"/>
      <c r="N95" s="167"/>
      <c r="O95" s="167"/>
      <c r="P95" s="167"/>
      <c r="Q95" s="167"/>
      <c r="R95" s="167"/>
      <c r="S95" s="167"/>
      <c r="T95" s="167"/>
      <c r="U95" s="167"/>
      <c r="V95" s="167"/>
      <c r="W95" s="167"/>
      <c r="X95" s="167"/>
      <c r="Y95" s="167"/>
      <c r="Z95" s="167"/>
      <c r="AA95" s="252"/>
      <c r="AB95" s="252"/>
      <c r="AC95" s="252"/>
      <c r="AD95" s="252"/>
      <c r="AE95" s="252"/>
      <c r="AF95" s="252"/>
      <c r="AG95" s="252"/>
      <c r="AH95" s="252"/>
      <c r="AI95" s="252"/>
      <c r="AJ95" s="252"/>
      <c r="AK95" s="252"/>
      <c r="AL95" s="252"/>
      <c r="AM95" s="252"/>
      <c r="AN95" s="252"/>
      <c r="AO95" s="252"/>
      <c r="AP95" s="252"/>
      <c r="AQ95" s="252"/>
      <c r="AR95" s="252"/>
      <c r="AS95" s="252"/>
      <c r="AT95" s="252"/>
      <c r="AU95" s="252"/>
      <c r="AV95" s="252"/>
      <c r="AW95" s="252"/>
      <c r="AX95" s="252"/>
      <c r="AY95" s="252"/>
      <c r="AZ95" s="252"/>
      <c r="BA95" s="252"/>
      <c r="BB95" s="252"/>
      <c r="BC95" s="252"/>
      <c r="BD95" s="252"/>
      <c r="BE95" s="252"/>
      <c r="BF95" s="252"/>
      <c r="BG95" s="252"/>
      <c r="BH95" s="252"/>
      <c r="BI95" s="252"/>
      <c r="BJ95" s="252"/>
      <c r="BK95" s="252"/>
      <c r="BL95" s="252"/>
      <c r="BM95" s="252"/>
      <c r="BN95" s="252"/>
      <c r="BO95" s="252"/>
      <c r="BP95" s="252"/>
      <c r="BQ95" s="252"/>
      <c r="BR95" s="252"/>
      <c r="BS95" s="252"/>
      <c r="BT95" s="252"/>
      <c r="BU95" s="252"/>
      <c r="BV95" s="252"/>
      <c r="BW95" s="252"/>
      <c r="BX95" s="252"/>
      <c r="BY95" s="252"/>
      <c r="BZ95" s="252"/>
      <c r="CA95" s="252"/>
      <c r="CB95" s="252"/>
      <c r="CC95" s="252"/>
      <c r="CD95" s="252"/>
      <c r="CE95" s="252"/>
      <c r="CF95" s="252"/>
      <c r="CG95" s="252"/>
      <c r="CH95" s="252"/>
      <c r="CI95" s="252"/>
      <c r="CJ95" s="252"/>
      <c r="CK95" s="252"/>
      <c r="CL95" s="252"/>
      <c r="CM95" s="252"/>
      <c r="CN95" s="252"/>
      <c r="CO95" s="252"/>
      <c r="CP95" s="252"/>
      <c r="CQ95" s="252"/>
      <c r="CR95" s="252"/>
      <c r="CS95" s="252"/>
      <c r="CT95" s="252"/>
      <c r="CU95" s="252"/>
      <c r="CV95" s="252"/>
      <c r="CW95" s="252"/>
      <c r="CX95" s="252"/>
      <c r="CY95" s="252"/>
      <c r="CZ95" s="252"/>
      <c r="DA95" s="252"/>
      <c r="DB95" s="252"/>
      <c r="DC95" s="252"/>
      <c r="DD95" s="252"/>
      <c r="DE95" s="252"/>
      <c r="DF95" s="252"/>
      <c r="DG95" s="252"/>
      <c r="DH95" s="252"/>
      <c r="DI95" s="252"/>
      <c r="DJ95" s="252"/>
      <c r="DK95" s="252"/>
      <c r="DL95" s="252"/>
      <c r="DM95" s="252"/>
      <c r="DN95" s="252"/>
      <c r="DO95" s="252"/>
      <c r="DP95" s="252"/>
      <c r="DQ95" s="252"/>
      <c r="DR95" s="252"/>
      <c r="DS95" s="252"/>
      <c r="DT95" s="252"/>
      <c r="DU95" s="252"/>
      <c r="DV95" s="252"/>
      <c r="DW95" s="252"/>
      <c r="DX95" s="252"/>
      <c r="DY95" s="252"/>
      <c r="DZ95" s="252"/>
      <c r="EA95" s="252"/>
      <c r="EB95" s="252"/>
      <c r="EC95" s="252"/>
      <c r="ED95" s="252"/>
      <c r="EE95" s="252"/>
      <c r="EF95" s="252"/>
      <c r="EG95" s="252"/>
      <c r="EH95" s="252"/>
      <c r="EI95" s="252"/>
      <c r="EJ95" s="252"/>
      <c r="EK95" s="252"/>
      <c r="EL95" s="252"/>
      <c r="EM95" s="252"/>
      <c r="EN95" s="252"/>
      <c r="EO95" s="252"/>
      <c r="EP95" s="252"/>
      <c r="EQ95" s="252"/>
      <c r="ER95" s="252"/>
      <c r="ES95" s="252"/>
      <c r="ET95" s="252"/>
      <c r="EU95" s="252"/>
      <c r="EV95" s="252"/>
      <c r="EW95" s="252"/>
      <c r="EX95" s="252"/>
      <c r="EY95" s="252"/>
      <c r="EZ95" s="252"/>
      <c r="FA95" s="252"/>
      <c r="FB95" s="252"/>
      <c r="FC95" s="252"/>
      <c r="FD95" s="252"/>
      <c r="FE95" s="252"/>
      <c r="FF95" s="252"/>
      <c r="FG95" s="252"/>
      <c r="FH95" s="252"/>
      <c r="FI95" s="252"/>
      <c r="FJ95" s="252"/>
      <c r="FK95" s="252"/>
      <c r="FL95" s="252"/>
      <c r="FM95" s="252"/>
      <c r="FN95" s="252"/>
      <c r="FO95" s="252"/>
      <c r="FP95" s="252"/>
      <c r="FQ95" s="252"/>
      <c r="FR95" s="252"/>
      <c r="FS95" s="252"/>
      <c r="FT95" s="252"/>
      <c r="FU95" s="252"/>
      <c r="FV95" s="252"/>
      <c r="FW95" s="252"/>
      <c r="FX95" s="252"/>
      <c r="FY95" s="252"/>
      <c r="FZ95" s="252"/>
      <c r="GA95" s="252"/>
      <c r="GB95" s="252"/>
      <c r="GC95" s="252"/>
      <c r="GD95" s="252"/>
      <c r="GE95" s="252"/>
      <c r="GF95" s="252"/>
      <c r="GG95" s="252"/>
      <c r="GH95" s="252"/>
      <c r="GI95" s="252"/>
      <c r="GJ95" s="252"/>
      <c r="GK95" s="252"/>
      <c r="GL95" s="252"/>
      <c r="GM95" s="252"/>
      <c r="GN95" s="252"/>
      <c r="GO95" s="252"/>
      <c r="GP95" s="252"/>
      <c r="GQ95" s="252"/>
      <c r="GR95" s="252"/>
      <c r="GS95" s="252"/>
      <c r="GT95" s="252"/>
      <c r="GU95" s="252"/>
      <c r="GV95" s="252"/>
      <c r="GW95" s="252"/>
      <c r="GX95" s="252"/>
      <c r="GY95" s="252"/>
      <c r="GZ95" s="252"/>
      <c r="HA95" s="252"/>
      <c r="HB95" s="252"/>
      <c r="HC95" s="252"/>
      <c r="HD95" s="252"/>
      <c r="HE95" s="252"/>
      <c r="HF95" s="252"/>
      <c r="HG95" s="252"/>
      <c r="HH95" s="252"/>
      <c r="HI95" s="252"/>
      <c r="HJ95" s="252"/>
      <c r="HK95" s="252"/>
      <c r="HL95" s="252"/>
      <c r="HM95" s="252"/>
      <c r="HN95" s="252"/>
      <c r="HO95" s="252"/>
      <c r="HP95" s="252"/>
      <c r="HQ95" s="252"/>
      <c r="HR95" s="252"/>
      <c r="HS95" s="252"/>
      <c r="HT95" s="252"/>
      <c r="HU95" s="252"/>
    </row>
    <row r="96" spans="1:229" ht="18" customHeight="1">
      <c r="A96" s="250"/>
      <c r="B96" s="167"/>
      <c r="C96" s="167"/>
      <c r="D96" s="167"/>
      <c r="E96" s="167"/>
      <c r="F96" s="168"/>
      <c r="G96" s="426" t="s">
        <v>389</v>
      </c>
      <c r="H96" s="167"/>
      <c r="I96" s="167"/>
      <c r="J96" s="167"/>
      <c r="K96" s="167"/>
      <c r="L96" s="167"/>
      <c r="M96" s="167"/>
      <c r="N96" s="167"/>
      <c r="O96" s="167"/>
      <c r="P96" s="167"/>
      <c r="Q96" s="167"/>
      <c r="R96" s="167"/>
      <c r="S96" s="167"/>
      <c r="T96" s="167"/>
      <c r="U96" s="167"/>
      <c r="V96" s="167"/>
      <c r="W96" s="167"/>
      <c r="X96" s="167"/>
      <c r="Y96" s="167"/>
      <c r="Z96" s="167"/>
      <c r="AA96" s="252"/>
      <c r="AB96" s="252"/>
      <c r="AC96" s="252"/>
      <c r="AD96" s="252"/>
      <c r="AE96" s="252"/>
      <c r="AF96" s="252"/>
      <c r="AG96" s="252"/>
      <c r="AH96" s="252"/>
      <c r="AI96" s="252"/>
      <c r="AJ96" s="252"/>
      <c r="AK96" s="252"/>
      <c r="AL96" s="252"/>
      <c r="AM96" s="252"/>
      <c r="AN96" s="252"/>
      <c r="AO96" s="252"/>
      <c r="AP96" s="252"/>
      <c r="AQ96" s="252"/>
      <c r="AR96" s="252"/>
      <c r="AS96" s="252"/>
      <c r="AT96" s="252"/>
      <c r="AU96" s="252"/>
      <c r="AV96" s="252"/>
      <c r="AW96" s="252"/>
      <c r="AX96" s="252"/>
      <c r="AY96" s="252"/>
      <c r="AZ96" s="252"/>
      <c r="BA96" s="252"/>
      <c r="BB96" s="252"/>
      <c r="BC96" s="252"/>
      <c r="BD96" s="252"/>
      <c r="BE96" s="252"/>
      <c r="BF96" s="252"/>
      <c r="BG96" s="252"/>
      <c r="BH96" s="252"/>
      <c r="BI96" s="252"/>
      <c r="BJ96" s="252"/>
      <c r="BK96" s="252"/>
      <c r="BL96" s="252"/>
      <c r="BM96" s="252"/>
      <c r="BN96" s="252"/>
      <c r="BO96" s="252"/>
      <c r="BP96" s="252"/>
      <c r="BQ96" s="252"/>
      <c r="BR96" s="252"/>
      <c r="BS96" s="252"/>
      <c r="BT96" s="252"/>
      <c r="BU96" s="252"/>
      <c r="BV96" s="252"/>
      <c r="BW96" s="252"/>
      <c r="BX96" s="252"/>
      <c r="BY96" s="252"/>
      <c r="BZ96" s="252"/>
      <c r="CA96" s="252"/>
      <c r="CB96" s="252"/>
      <c r="CC96" s="252"/>
      <c r="CD96" s="252"/>
      <c r="CE96" s="252"/>
      <c r="CF96" s="252"/>
      <c r="CG96" s="252"/>
      <c r="CH96" s="252"/>
      <c r="CI96" s="252"/>
      <c r="CJ96" s="252"/>
      <c r="CK96" s="252"/>
      <c r="CL96" s="252"/>
      <c r="CM96" s="252"/>
      <c r="CN96" s="252"/>
      <c r="CO96" s="252"/>
      <c r="CP96" s="252"/>
      <c r="CQ96" s="252"/>
      <c r="CR96" s="252"/>
      <c r="CS96" s="252"/>
      <c r="CT96" s="252"/>
      <c r="CU96" s="252"/>
      <c r="CV96" s="252"/>
      <c r="CW96" s="252"/>
      <c r="CX96" s="252"/>
      <c r="CY96" s="252"/>
      <c r="CZ96" s="252"/>
      <c r="DA96" s="252"/>
      <c r="DB96" s="252"/>
      <c r="DC96" s="252"/>
      <c r="DD96" s="252"/>
      <c r="DE96" s="252"/>
      <c r="DF96" s="252"/>
      <c r="DG96" s="252"/>
      <c r="DH96" s="252"/>
      <c r="DI96" s="252"/>
      <c r="DJ96" s="252"/>
      <c r="DK96" s="252"/>
      <c r="DL96" s="252"/>
      <c r="DM96" s="252"/>
      <c r="DN96" s="252"/>
      <c r="DO96" s="252"/>
      <c r="DP96" s="252"/>
      <c r="DQ96" s="252"/>
      <c r="DR96" s="252"/>
      <c r="DS96" s="252"/>
      <c r="DT96" s="252"/>
      <c r="DU96" s="252"/>
      <c r="DV96" s="252"/>
      <c r="DW96" s="252"/>
      <c r="DX96" s="252"/>
      <c r="DY96" s="252"/>
      <c r="DZ96" s="252"/>
      <c r="EA96" s="252"/>
      <c r="EB96" s="252"/>
      <c r="EC96" s="252"/>
      <c r="ED96" s="252"/>
      <c r="EE96" s="252"/>
      <c r="EF96" s="252"/>
      <c r="EG96" s="252"/>
      <c r="EH96" s="252"/>
      <c r="EI96" s="252"/>
      <c r="EJ96" s="252"/>
      <c r="EK96" s="252"/>
      <c r="EL96" s="252"/>
      <c r="EM96" s="252"/>
      <c r="EN96" s="252"/>
      <c r="EO96" s="252"/>
      <c r="EP96" s="252"/>
      <c r="EQ96" s="252"/>
      <c r="ER96" s="252"/>
      <c r="ES96" s="252"/>
      <c r="ET96" s="252"/>
      <c r="EU96" s="252"/>
      <c r="EV96" s="252"/>
      <c r="EW96" s="252"/>
      <c r="EX96" s="252"/>
      <c r="EY96" s="252"/>
      <c r="EZ96" s="252"/>
      <c r="FA96" s="252"/>
      <c r="FB96" s="252"/>
      <c r="FC96" s="252"/>
      <c r="FD96" s="252"/>
      <c r="FE96" s="252"/>
      <c r="FF96" s="252"/>
      <c r="FG96" s="252"/>
      <c r="FH96" s="252"/>
      <c r="FI96" s="252"/>
      <c r="FJ96" s="252"/>
      <c r="FK96" s="252"/>
      <c r="FL96" s="252"/>
      <c r="FM96" s="252"/>
      <c r="FN96" s="252"/>
      <c r="FO96" s="252"/>
      <c r="FP96" s="252"/>
      <c r="FQ96" s="252"/>
      <c r="FR96" s="252"/>
      <c r="FS96" s="252"/>
      <c r="FT96" s="252"/>
      <c r="FU96" s="252"/>
      <c r="FV96" s="252"/>
      <c r="FW96" s="252"/>
      <c r="FX96" s="252"/>
      <c r="FY96" s="252"/>
      <c r="FZ96" s="252"/>
      <c r="GA96" s="252"/>
      <c r="GB96" s="252"/>
      <c r="GC96" s="252"/>
      <c r="GD96" s="252"/>
      <c r="GE96" s="252"/>
      <c r="GF96" s="252"/>
      <c r="GG96" s="252"/>
      <c r="GH96" s="252"/>
      <c r="GI96" s="252"/>
      <c r="GJ96" s="252"/>
      <c r="GK96" s="252"/>
      <c r="GL96" s="252"/>
      <c r="GM96" s="252"/>
      <c r="GN96" s="252"/>
      <c r="GO96" s="252"/>
      <c r="GP96" s="252"/>
      <c r="GQ96" s="252"/>
      <c r="GR96" s="252"/>
      <c r="GS96" s="252"/>
      <c r="GT96" s="252"/>
      <c r="GU96" s="252"/>
      <c r="GV96" s="252"/>
      <c r="GW96" s="252"/>
      <c r="GX96" s="252"/>
      <c r="GY96" s="252"/>
      <c r="GZ96" s="252"/>
      <c r="HA96" s="252"/>
      <c r="HB96" s="252"/>
      <c r="HC96" s="252"/>
      <c r="HD96" s="252"/>
      <c r="HE96" s="252"/>
      <c r="HF96" s="252"/>
      <c r="HG96" s="252"/>
      <c r="HH96" s="252"/>
      <c r="HI96" s="252"/>
      <c r="HJ96" s="252"/>
      <c r="HK96" s="252"/>
      <c r="HL96" s="252"/>
      <c r="HM96" s="252"/>
      <c r="HN96" s="252"/>
      <c r="HO96" s="252"/>
      <c r="HP96" s="252"/>
      <c r="HQ96" s="252"/>
      <c r="HR96" s="252"/>
      <c r="HS96" s="252"/>
      <c r="HT96" s="252"/>
      <c r="HU96" s="252"/>
    </row>
    <row r="97" spans="1:229" ht="18" customHeight="1">
      <c r="A97" s="250"/>
      <c r="B97" s="167"/>
      <c r="C97" s="167"/>
      <c r="D97" s="167"/>
      <c r="E97" s="167"/>
      <c r="F97" s="168"/>
      <c r="G97" s="167"/>
      <c r="H97" s="167"/>
      <c r="I97" s="167"/>
      <c r="J97" s="167"/>
      <c r="K97" s="167"/>
      <c r="L97" s="167"/>
      <c r="M97" s="167"/>
      <c r="N97" s="167"/>
      <c r="O97" s="167"/>
      <c r="P97" s="167"/>
      <c r="Q97" s="167"/>
      <c r="R97" s="167"/>
      <c r="S97" s="167"/>
      <c r="T97" s="167"/>
      <c r="U97" s="167"/>
      <c r="V97" s="167"/>
      <c r="W97" s="167"/>
      <c r="X97" s="167"/>
      <c r="Y97" s="167"/>
      <c r="Z97" s="167"/>
      <c r="AA97" s="252"/>
      <c r="AB97" s="252"/>
      <c r="AC97" s="252"/>
      <c r="AD97" s="252"/>
      <c r="AE97" s="252"/>
      <c r="AF97" s="252"/>
      <c r="AG97" s="252"/>
      <c r="AH97" s="252"/>
      <c r="AI97" s="252"/>
      <c r="AJ97" s="252"/>
      <c r="AK97" s="252"/>
      <c r="AL97" s="252"/>
      <c r="AM97" s="252"/>
      <c r="AN97" s="252"/>
      <c r="AO97" s="252"/>
      <c r="AP97" s="252"/>
      <c r="AQ97" s="252"/>
      <c r="AR97" s="252"/>
      <c r="AS97" s="252"/>
      <c r="AT97" s="252"/>
      <c r="AU97" s="252"/>
      <c r="AV97" s="252"/>
      <c r="AW97" s="252"/>
      <c r="AX97" s="252"/>
      <c r="AY97" s="252"/>
      <c r="AZ97" s="252"/>
      <c r="BA97" s="252"/>
      <c r="BB97" s="252"/>
      <c r="BC97" s="252"/>
      <c r="BD97" s="252"/>
      <c r="BE97" s="252"/>
      <c r="BF97" s="252"/>
      <c r="BG97" s="252"/>
      <c r="BH97" s="252"/>
      <c r="BI97" s="252"/>
      <c r="BJ97" s="252"/>
      <c r="BK97" s="252"/>
      <c r="BL97" s="252"/>
      <c r="BM97" s="252"/>
      <c r="BN97" s="252"/>
      <c r="BO97" s="252"/>
      <c r="BP97" s="252"/>
      <c r="BQ97" s="252"/>
      <c r="BR97" s="252"/>
      <c r="BS97" s="252"/>
      <c r="BT97" s="252"/>
      <c r="BU97" s="252"/>
      <c r="BV97" s="252"/>
      <c r="BW97" s="252"/>
      <c r="BX97" s="252"/>
      <c r="BY97" s="252"/>
      <c r="BZ97" s="252"/>
      <c r="CA97" s="252"/>
      <c r="CB97" s="252"/>
      <c r="CC97" s="252"/>
      <c r="CD97" s="252"/>
      <c r="CE97" s="252"/>
      <c r="CF97" s="252"/>
      <c r="CG97" s="252"/>
      <c r="CH97" s="252"/>
      <c r="CI97" s="252"/>
      <c r="CJ97" s="252"/>
      <c r="CK97" s="252"/>
      <c r="CL97" s="252"/>
      <c r="CM97" s="252"/>
      <c r="CN97" s="252"/>
      <c r="CO97" s="252"/>
      <c r="CP97" s="252"/>
      <c r="CQ97" s="252"/>
      <c r="CR97" s="252"/>
      <c r="CS97" s="252"/>
      <c r="CT97" s="252"/>
      <c r="CU97" s="252"/>
      <c r="CV97" s="252"/>
      <c r="CW97" s="252"/>
      <c r="CX97" s="252"/>
      <c r="CY97" s="252"/>
      <c r="CZ97" s="252"/>
      <c r="DA97" s="252"/>
      <c r="DB97" s="252"/>
      <c r="DC97" s="252"/>
      <c r="DD97" s="252"/>
      <c r="DE97" s="252"/>
      <c r="DF97" s="252"/>
      <c r="DG97" s="252"/>
      <c r="DH97" s="252"/>
      <c r="DI97" s="252"/>
      <c r="DJ97" s="252"/>
      <c r="DK97" s="252"/>
      <c r="DL97" s="252"/>
      <c r="DM97" s="252"/>
      <c r="DN97" s="252"/>
      <c r="DO97" s="252"/>
      <c r="DP97" s="252"/>
      <c r="DQ97" s="252"/>
      <c r="DR97" s="252"/>
      <c r="DS97" s="252"/>
      <c r="DT97" s="252"/>
      <c r="DU97" s="252"/>
      <c r="DV97" s="252"/>
      <c r="DW97" s="252"/>
      <c r="DX97" s="252"/>
      <c r="DY97" s="252"/>
      <c r="DZ97" s="252"/>
      <c r="EA97" s="252"/>
      <c r="EB97" s="252"/>
      <c r="EC97" s="252"/>
      <c r="ED97" s="252"/>
      <c r="EE97" s="252"/>
      <c r="EF97" s="252"/>
      <c r="EG97" s="252"/>
      <c r="EH97" s="252"/>
      <c r="EI97" s="252"/>
      <c r="EJ97" s="252"/>
      <c r="EK97" s="252"/>
      <c r="EL97" s="252"/>
      <c r="EM97" s="252"/>
      <c r="EN97" s="252"/>
      <c r="EO97" s="252"/>
      <c r="EP97" s="252"/>
      <c r="EQ97" s="252"/>
      <c r="ER97" s="252"/>
      <c r="ES97" s="252"/>
      <c r="ET97" s="252"/>
      <c r="EU97" s="252"/>
      <c r="EV97" s="252"/>
      <c r="EW97" s="252"/>
      <c r="EX97" s="252"/>
      <c r="EY97" s="252"/>
      <c r="EZ97" s="252"/>
      <c r="FA97" s="252"/>
      <c r="FB97" s="252"/>
      <c r="FC97" s="252"/>
      <c r="FD97" s="252"/>
      <c r="FE97" s="252"/>
      <c r="FF97" s="252"/>
      <c r="FG97" s="252"/>
      <c r="FH97" s="252"/>
      <c r="FI97" s="252"/>
      <c r="FJ97" s="252"/>
      <c r="FK97" s="252"/>
      <c r="FL97" s="252"/>
      <c r="FM97" s="252"/>
      <c r="FN97" s="252"/>
      <c r="FO97" s="252"/>
      <c r="FP97" s="252"/>
      <c r="FQ97" s="252"/>
      <c r="FR97" s="252"/>
      <c r="FS97" s="252"/>
      <c r="FT97" s="252"/>
      <c r="FU97" s="252"/>
      <c r="FV97" s="252"/>
      <c r="FW97" s="252"/>
      <c r="FX97" s="252"/>
      <c r="FY97" s="252"/>
      <c r="FZ97" s="252"/>
      <c r="GA97" s="252"/>
      <c r="GB97" s="252"/>
      <c r="GC97" s="252"/>
      <c r="GD97" s="252"/>
      <c r="GE97" s="252"/>
      <c r="GF97" s="252"/>
      <c r="GG97" s="252"/>
      <c r="GH97" s="252"/>
      <c r="GI97" s="252"/>
      <c r="GJ97" s="252"/>
      <c r="GK97" s="252"/>
      <c r="GL97" s="252"/>
      <c r="GM97" s="252"/>
      <c r="GN97" s="252"/>
      <c r="GO97" s="252"/>
      <c r="GP97" s="252"/>
      <c r="GQ97" s="252"/>
      <c r="GR97" s="252"/>
      <c r="GS97" s="252"/>
      <c r="GT97" s="252"/>
      <c r="GU97" s="252"/>
      <c r="GV97" s="252"/>
      <c r="GW97" s="252"/>
      <c r="GX97" s="252"/>
      <c r="GY97" s="252"/>
      <c r="GZ97" s="252"/>
      <c r="HA97" s="252"/>
      <c r="HB97" s="252"/>
      <c r="HC97" s="252"/>
      <c r="HD97" s="252"/>
      <c r="HE97" s="252"/>
      <c r="HF97" s="252"/>
      <c r="HG97" s="252"/>
      <c r="HH97" s="252"/>
      <c r="HI97" s="252"/>
      <c r="HJ97" s="252"/>
      <c r="HK97" s="252"/>
      <c r="HL97" s="252"/>
      <c r="HM97" s="252"/>
      <c r="HN97" s="252"/>
      <c r="HO97" s="252"/>
      <c r="HP97" s="252"/>
      <c r="HQ97" s="252"/>
      <c r="HR97" s="252"/>
      <c r="HS97" s="252"/>
      <c r="HT97" s="252"/>
      <c r="HU97" s="252"/>
    </row>
    <row r="98" spans="1:229" ht="18" customHeight="1">
      <c r="A98" s="250"/>
      <c r="B98" s="167"/>
      <c r="C98" s="167"/>
      <c r="D98" s="167"/>
      <c r="E98" s="167"/>
      <c r="F98" s="168"/>
      <c r="G98" s="167"/>
      <c r="H98" s="167"/>
      <c r="I98" s="167"/>
      <c r="J98" s="167"/>
      <c r="K98" s="167"/>
      <c r="L98" s="167"/>
      <c r="M98" s="167"/>
      <c r="N98" s="167"/>
      <c r="O98" s="167"/>
      <c r="P98" s="167"/>
      <c r="Q98" s="167"/>
      <c r="R98" s="167"/>
      <c r="S98" s="167"/>
      <c r="T98" s="167"/>
      <c r="U98" s="167"/>
      <c r="V98" s="167"/>
      <c r="W98" s="167"/>
      <c r="X98" s="167"/>
      <c r="Y98" s="167"/>
      <c r="Z98" s="167"/>
      <c r="AA98" s="252"/>
      <c r="AB98" s="252"/>
      <c r="AC98" s="252"/>
      <c r="AD98" s="252"/>
      <c r="AE98" s="252"/>
      <c r="AF98" s="252"/>
      <c r="AG98" s="252"/>
      <c r="AH98" s="252"/>
      <c r="AI98" s="252"/>
      <c r="AJ98" s="252"/>
      <c r="AK98" s="252"/>
      <c r="AL98" s="252"/>
      <c r="AM98" s="252"/>
      <c r="AN98" s="252"/>
      <c r="AO98" s="252"/>
      <c r="AP98" s="252"/>
      <c r="AQ98" s="252"/>
      <c r="AR98" s="252"/>
      <c r="AS98" s="252"/>
      <c r="AT98" s="252"/>
      <c r="AU98" s="252"/>
      <c r="AV98" s="252"/>
      <c r="AW98" s="252"/>
      <c r="AX98" s="252"/>
      <c r="AY98" s="252"/>
      <c r="AZ98" s="252"/>
      <c r="BA98" s="252"/>
      <c r="BB98" s="252"/>
      <c r="BC98" s="252"/>
      <c r="BD98" s="252"/>
      <c r="BE98" s="252"/>
      <c r="BF98" s="252"/>
      <c r="BG98" s="252"/>
      <c r="BH98" s="252"/>
      <c r="BI98" s="252"/>
      <c r="BJ98" s="252"/>
      <c r="BK98" s="252"/>
      <c r="BL98" s="252"/>
      <c r="BM98" s="252"/>
      <c r="BN98" s="252"/>
      <c r="BO98" s="252"/>
      <c r="BP98" s="252"/>
      <c r="BQ98" s="252"/>
      <c r="BR98" s="252"/>
      <c r="BS98" s="252"/>
      <c r="BT98" s="252"/>
      <c r="BU98" s="252"/>
      <c r="BV98" s="252"/>
      <c r="BW98" s="252"/>
      <c r="BX98" s="252"/>
      <c r="BY98" s="252"/>
      <c r="BZ98" s="252"/>
      <c r="CA98" s="252"/>
      <c r="CB98" s="252"/>
      <c r="CC98" s="252"/>
      <c r="CD98" s="252"/>
      <c r="CE98" s="252"/>
      <c r="CF98" s="252"/>
      <c r="CG98" s="252"/>
      <c r="CH98" s="252"/>
      <c r="CI98" s="252"/>
      <c r="CJ98" s="252"/>
      <c r="CK98" s="252"/>
      <c r="CL98" s="252"/>
      <c r="CM98" s="252"/>
      <c r="CN98" s="252"/>
      <c r="CO98" s="252"/>
      <c r="CP98" s="252"/>
      <c r="CQ98" s="252"/>
      <c r="CR98" s="252"/>
      <c r="CS98" s="252"/>
      <c r="CT98" s="252"/>
      <c r="CU98" s="252"/>
      <c r="CV98" s="252"/>
      <c r="CW98" s="252"/>
      <c r="CX98" s="252"/>
      <c r="CY98" s="252"/>
      <c r="CZ98" s="252"/>
      <c r="DA98" s="252"/>
      <c r="DB98" s="252"/>
      <c r="DC98" s="252"/>
      <c r="DD98" s="252"/>
      <c r="DE98" s="252"/>
      <c r="DF98" s="252"/>
      <c r="DG98" s="252"/>
      <c r="DH98" s="252"/>
      <c r="DI98" s="252"/>
      <c r="DJ98" s="252"/>
      <c r="DK98" s="252"/>
      <c r="DL98" s="252"/>
      <c r="DM98" s="252"/>
      <c r="DN98" s="252"/>
      <c r="DO98" s="252"/>
      <c r="DP98" s="252"/>
      <c r="DQ98" s="252"/>
      <c r="DR98" s="252"/>
      <c r="DS98" s="252"/>
      <c r="DT98" s="252"/>
      <c r="DU98" s="252"/>
      <c r="DV98" s="252"/>
      <c r="DW98" s="252"/>
      <c r="DX98" s="252"/>
      <c r="DY98" s="252"/>
      <c r="DZ98" s="252"/>
      <c r="EA98" s="252"/>
      <c r="EB98" s="252"/>
      <c r="EC98" s="252"/>
      <c r="ED98" s="252"/>
      <c r="EE98" s="252"/>
      <c r="EF98" s="252"/>
      <c r="EG98" s="252"/>
      <c r="EH98" s="252"/>
      <c r="EI98" s="252"/>
      <c r="EJ98" s="252"/>
      <c r="EK98" s="252"/>
      <c r="EL98" s="252"/>
      <c r="EM98" s="252"/>
      <c r="EN98" s="252"/>
      <c r="EO98" s="252"/>
      <c r="EP98" s="252"/>
      <c r="EQ98" s="252"/>
      <c r="ER98" s="252"/>
      <c r="ES98" s="252"/>
      <c r="ET98" s="252"/>
      <c r="EU98" s="252"/>
      <c r="EV98" s="252"/>
      <c r="EW98" s="252"/>
      <c r="EX98" s="252"/>
      <c r="EY98" s="252"/>
      <c r="EZ98" s="252"/>
      <c r="FA98" s="252"/>
      <c r="FB98" s="252"/>
      <c r="FC98" s="252"/>
      <c r="FD98" s="252"/>
      <c r="FE98" s="252"/>
      <c r="FF98" s="252"/>
      <c r="FG98" s="252"/>
      <c r="FH98" s="252"/>
      <c r="FI98" s="252"/>
      <c r="FJ98" s="252"/>
      <c r="FK98" s="252"/>
      <c r="FL98" s="252"/>
      <c r="FM98" s="252"/>
      <c r="FN98" s="252"/>
      <c r="FO98" s="252"/>
      <c r="FP98" s="252"/>
      <c r="FQ98" s="252"/>
      <c r="FR98" s="252"/>
      <c r="FS98" s="252"/>
      <c r="FT98" s="252"/>
      <c r="FU98" s="252"/>
      <c r="FV98" s="252"/>
      <c r="FW98" s="252"/>
      <c r="FX98" s="252"/>
      <c r="FY98" s="252"/>
      <c r="FZ98" s="252"/>
      <c r="GA98" s="252"/>
      <c r="GB98" s="252"/>
      <c r="GC98" s="252"/>
      <c r="GD98" s="252"/>
      <c r="GE98" s="252"/>
      <c r="GF98" s="252"/>
      <c r="GG98" s="252"/>
      <c r="GH98" s="252"/>
      <c r="GI98" s="252"/>
      <c r="GJ98" s="252"/>
      <c r="GK98" s="252"/>
      <c r="GL98" s="252"/>
      <c r="GM98" s="252"/>
      <c r="GN98" s="252"/>
      <c r="GO98" s="252"/>
      <c r="GP98" s="252"/>
      <c r="GQ98" s="252"/>
      <c r="GR98" s="252"/>
      <c r="GS98" s="252"/>
      <c r="GT98" s="252"/>
      <c r="GU98" s="252"/>
      <c r="GV98" s="252"/>
      <c r="GW98" s="252"/>
      <c r="GX98" s="252"/>
      <c r="GY98" s="252"/>
      <c r="GZ98" s="252"/>
      <c r="HA98" s="252"/>
      <c r="HB98" s="252"/>
      <c r="HC98" s="252"/>
      <c r="HD98" s="252"/>
      <c r="HE98" s="252"/>
      <c r="HF98" s="252"/>
      <c r="HG98" s="252"/>
      <c r="HH98" s="252"/>
      <c r="HI98" s="252"/>
      <c r="HJ98" s="252"/>
      <c r="HK98" s="252"/>
      <c r="HL98" s="252"/>
      <c r="HM98" s="252"/>
      <c r="HN98" s="252"/>
      <c r="HO98" s="252"/>
      <c r="HP98" s="252"/>
      <c r="HQ98" s="252"/>
      <c r="HR98" s="252"/>
      <c r="HS98" s="252"/>
      <c r="HT98" s="252"/>
      <c r="HU98" s="252"/>
    </row>
    <row r="99" spans="1:229" ht="18" customHeight="1">
      <c r="A99" s="250"/>
      <c r="B99" s="167"/>
      <c r="C99" s="167"/>
      <c r="D99" s="167"/>
      <c r="E99" s="167"/>
      <c r="F99" s="168"/>
      <c r="G99" s="167"/>
      <c r="H99" s="167"/>
      <c r="I99" s="167"/>
      <c r="J99" s="167"/>
      <c r="K99" s="167"/>
      <c r="L99" s="167"/>
      <c r="M99" s="167"/>
      <c r="N99" s="167"/>
      <c r="O99" s="167"/>
      <c r="P99" s="167"/>
      <c r="Q99" s="167"/>
      <c r="R99" s="167"/>
      <c r="S99" s="167"/>
      <c r="T99" s="167"/>
      <c r="U99" s="167"/>
      <c r="V99" s="167"/>
      <c r="W99" s="167"/>
      <c r="X99" s="167"/>
      <c r="Y99" s="167"/>
      <c r="Z99" s="167"/>
      <c r="AA99" s="252"/>
      <c r="AB99" s="252"/>
      <c r="AC99" s="252"/>
      <c r="AD99" s="252"/>
      <c r="AE99" s="252"/>
      <c r="AF99" s="252"/>
      <c r="AG99" s="252"/>
      <c r="AH99" s="252"/>
      <c r="AI99" s="252"/>
      <c r="AJ99" s="252"/>
      <c r="AK99" s="252"/>
      <c r="AL99" s="252"/>
      <c r="AM99" s="252"/>
      <c r="AN99" s="252"/>
      <c r="AO99" s="252"/>
      <c r="AP99" s="252"/>
      <c r="AQ99" s="252"/>
      <c r="AR99" s="252"/>
      <c r="AS99" s="252"/>
      <c r="AT99" s="252"/>
      <c r="AU99" s="252"/>
      <c r="AV99" s="252"/>
      <c r="AW99" s="252"/>
      <c r="AX99" s="252"/>
      <c r="AY99" s="252"/>
      <c r="AZ99" s="252"/>
      <c r="BA99" s="252"/>
      <c r="BB99" s="252"/>
      <c r="BC99" s="252"/>
      <c r="BD99" s="252"/>
      <c r="BE99" s="252"/>
      <c r="BF99" s="252"/>
      <c r="BG99" s="252"/>
      <c r="BH99" s="252"/>
      <c r="BI99" s="252"/>
      <c r="BJ99" s="252"/>
      <c r="BK99" s="252"/>
      <c r="BL99" s="252"/>
      <c r="BM99" s="252"/>
      <c r="BN99" s="252"/>
      <c r="BO99" s="252"/>
      <c r="BP99" s="252"/>
      <c r="BQ99" s="252"/>
      <c r="BR99" s="252"/>
      <c r="BS99" s="252"/>
      <c r="BT99" s="252"/>
      <c r="BU99" s="252"/>
      <c r="BV99" s="252"/>
      <c r="BW99" s="252"/>
      <c r="BX99" s="252"/>
      <c r="BY99" s="252"/>
      <c r="BZ99" s="252"/>
      <c r="CA99" s="252"/>
      <c r="CB99" s="252"/>
      <c r="CC99" s="252"/>
      <c r="CD99" s="252"/>
      <c r="CE99" s="252"/>
      <c r="CF99" s="252"/>
      <c r="CG99" s="252"/>
      <c r="CH99" s="252"/>
      <c r="CI99" s="252"/>
      <c r="CJ99" s="252"/>
      <c r="CK99" s="252"/>
      <c r="CL99" s="252"/>
      <c r="CM99" s="252"/>
      <c r="CN99" s="252"/>
      <c r="CO99" s="252"/>
      <c r="CP99" s="252"/>
      <c r="CQ99" s="252"/>
      <c r="CR99" s="252"/>
      <c r="CS99" s="252"/>
      <c r="CT99" s="252"/>
      <c r="CU99" s="252"/>
      <c r="CV99" s="252"/>
      <c r="CW99" s="252"/>
      <c r="CX99" s="252"/>
      <c r="CY99" s="252"/>
      <c r="CZ99" s="252"/>
      <c r="DA99" s="252"/>
      <c r="DB99" s="252"/>
      <c r="DC99" s="252"/>
      <c r="DD99" s="252"/>
      <c r="DE99" s="252"/>
      <c r="DF99" s="252"/>
      <c r="DG99" s="252"/>
      <c r="DH99" s="252"/>
      <c r="DI99" s="252"/>
      <c r="DJ99" s="252"/>
      <c r="DK99" s="252"/>
      <c r="DL99" s="252"/>
      <c r="DM99" s="252"/>
      <c r="DN99" s="252"/>
      <c r="DO99" s="252"/>
      <c r="DP99" s="252"/>
      <c r="DQ99" s="252"/>
      <c r="DR99" s="252"/>
      <c r="DS99" s="252"/>
      <c r="DT99" s="252"/>
      <c r="DU99" s="252"/>
      <c r="DV99" s="252"/>
      <c r="DW99" s="252"/>
      <c r="DX99" s="252"/>
      <c r="DY99" s="252"/>
      <c r="DZ99" s="252"/>
      <c r="EA99" s="252"/>
      <c r="EB99" s="252"/>
      <c r="EC99" s="252"/>
      <c r="ED99" s="252"/>
      <c r="EE99" s="252"/>
      <c r="EF99" s="252"/>
      <c r="EG99" s="252"/>
      <c r="EH99" s="252"/>
      <c r="EI99" s="252"/>
      <c r="EJ99" s="252"/>
      <c r="EK99" s="252"/>
      <c r="EL99" s="252"/>
      <c r="EM99" s="252"/>
      <c r="EN99" s="252"/>
      <c r="EO99" s="252"/>
      <c r="EP99" s="252"/>
      <c r="EQ99" s="252"/>
      <c r="ER99" s="252"/>
      <c r="ES99" s="252"/>
      <c r="ET99" s="252"/>
      <c r="EU99" s="252"/>
      <c r="EV99" s="252"/>
      <c r="EW99" s="252"/>
      <c r="EX99" s="252"/>
      <c r="EY99" s="252"/>
      <c r="EZ99" s="252"/>
      <c r="FA99" s="252"/>
      <c r="FB99" s="252"/>
      <c r="FC99" s="252"/>
      <c r="FD99" s="252"/>
      <c r="FE99" s="252"/>
      <c r="FF99" s="252"/>
      <c r="FG99" s="252"/>
      <c r="FH99" s="252"/>
      <c r="FI99" s="252"/>
      <c r="FJ99" s="252"/>
      <c r="FK99" s="252"/>
      <c r="FL99" s="252"/>
      <c r="FM99" s="252"/>
      <c r="FN99" s="252"/>
      <c r="FO99" s="252"/>
      <c r="FP99" s="252"/>
      <c r="FQ99" s="252"/>
      <c r="FR99" s="252"/>
      <c r="FS99" s="252"/>
      <c r="FT99" s="252"/>
      <c r="FU99" s="252"/>
      <c r="FV99" s="252"/>
      <c r="FW99" s="252"/>
      <c r="FX99" s="252"/>
      <c r="FY99" s="252"/>
      <c r="FZ99" s="252"/>
      <c r="GA99" s="252"/>
      <c r="GB99" s="252"/>
      <c r="GC99" s="252"/>
      <c r="GD99" s="252"/>
      <c r="GE99" s="252"/>
      <c r="GF99" s="252"/>
      <c r="GG99" s="252"/>
      <c r="GH99" s="252"/>
      <c r="GI99" s="252"/>
      <c r="GJ99" s="252"/>
      <c r="GK99" s="252"/>
      <c r="GL99" s="252"/>
      <c r="GM99" s="252"/>
      <c r="GN99" s="252"/>
      <c r="GO99" s="252"/>
      <c r="GP99" s="252"/>
      <c r="GQ99" s="252"/>
      <c r="GR99" s="252"/>
      <c r="GS99" s="252"/>
      <c r="GT99" s="252"/>
      <c r="GU99" s="252"/>
      <c r="GV99" s="252"/>
      <c r="GW99" s="252"/>
      <c r="GX99" s="252"/>
      <c r="GY99" s="252"/>
      <c r="GZ99" s="252"/>
      <c r="HA99" s="252"/>
      <c r="HB99" s="252"/>
      <c r="HC99" s="252"/>
      <c r="HD99" s="252"/>
      <c r="HE99" s="252"/>
      <c r="HF99" s="252"/>
      <c r="HG99" s="252"/>
      <c r="HH99" s="252"/>
      <c r="HI99" s="252"/>
      <c r="HJ99" s="252"/>
      <c r="HK99" s="252"/>
      <c r="HL99" s="252"/>
      <c r="HM99" s="252"/>
      <c r="HN99" s="252"/>
      <c r="HO99" s="252"/>
      <c r="HP99" s="252"/>
      <c r="HQ99" s="252"/>
      <c r="HR99" s="252"/>
      <c r="HS99" s="252"/>
      <c r="HT99" s="252"/>
      <c r="HU99" s="252"/>
    </row>
    <row r="100" spans="1:229" ht="18" customHeight="1">
      <c r="A100" s="250"/>
      <c r="B100" s="167"/>
      <c r="C100" s="167"/>
      <c r="D100" s="167"/>
      <c r="E100" s="167"/>
      <c r="F100" s="168"/>
      <c r="G100" s="167"/>
      <c r="H100" s="167"/>
      <c r="I100" s="167"/>
      <c r="J100" s="167"/>
      <c r="K100" s="167"/>
      <c r="L100" s="167"/>
      <c r="M100" s="167"/>
      <c r="N100" s="167"/>
      <c r="O100" s="167"/>
      <c r="P100" s="167"/>
      <c r="Q100" s="167"/>
      <c r="R100" s="167"/>
      <c r="S100" s="167"/>
      <c r="T100" s="167"/>
      <c r="U100" s="167"/>
      <c r="V100" s="167"/>
      <c r="W100" s="167"/>
      <c r="X100" s="167"/>
      <c r="Y100" s="167"/>
      <c r="Z100" s="167"/>
      <c r="AA100" s="252"/>
      <c r="AB100" s="252"/>
      <c r="AC100" s="252"/>
      <c r="AD100" s="252"/>
      <c r="AE100" s="252"/>
      <c r="AF100" s="252"/>
      <c r="AG100" s="252"/>
      <c r="AH100" s="252"/>
      <c r="AI100" s="252"/>
      <c r="AJ100" s="252"/>
      <c r="AK100" s="252"/>
      <c r="AL100" s="252"/>
      <c r="AM100" s="252"/>
      <c r="AN100" s="252"/>
      <c r="AO100" s="252"/>
      <c r="AP100" s="252"/>
      <c r="AQ100" s="252"/>
      <c r="AR100" s="252"/>
      <c r="AS100" s="252"/>
      <c r="AT100" s="252"/>
      <c r="AU100" s="252"/>
      <c r="AV100" s="252"/>
      <c r="AW100" s="252"/>
      <c r="AX100" s="252"/>
      <c r="AY100" s="252"/>
      <c r="AZ100" s="252"/>
      <c r="BA100" s="252"/>
      <c r="BB100" s="252"/>
      <c r="BC100" s="252"/>
      <c r="BD100" s="252"/>
      <c r="BE100" s="252"/>
      <c r="BF100" s="252"/>
      <c r="BG100" s="252"/>
      <c r="BH100" s="252"/>
      <c r="BI100" s="252"/>
      <c r="BJ100" s="252"/>
      <c r="BK100" s="252"/>
      <c r="BL100" s="252"/>
      <c r="BM100" s="252"/>
      <c r="BN100" s="252"/>
      <c r="BO100" s="252"/>
      <c r="BP100" s="252"/>
      <c r="BQ100" s="252"/>
      <c r="BR100" s="252"/>
      <c r="BS100" s="252"/>
      <c r="BT100" s="252"/>
      <c r="BU100" s="252"/>
      <c r="BV100" s="252"/>
      <c r="BW100" s="252"/>
      <c r="BX100" s="252"/>
      <c r="BY100" s="252"/>
      <c r="BZ100" s="252"/>
      <c r="CA100" s="252"/>
      <c r="CB100" s="252"/>
      <c r="CC100" s="252"/>
      <c r="CD100" s="252"/>
      <c r="CE100" s="252"/>
      <c r="CF100" s="252"/>
      <c r="CG100" s="252"/>
      <c r="CH100" s="252"/>
      <c r="CI100" s="252"/>
      <c r="CJ100" s="252"/>
      <c r="CK100" s="252"/>
      <c r="CL100" s="252"/>
      <c r="CM100" s="252"/>
      <c r="CN100" s="252"/>
      <c r="CO100" s="252"/>
      <c r="CP100" s="252"/>
      <c r="CQ100" s="252"/>
      <c r="CR100" s="252"/>
      <c r="CS100" s="252"/>
      <c r="CT100" s="252"/>
      <c r="CU100" s="252"/>
      <c r="CV100" s="252"/>
      <c r="CW100" s="252"/>
      <c r="CX100" s="252"/>
      <c r="CY100" s="252"/>
      <c r="CZ100" s="252"/>
      <c r="DA100" s="252"/>
      <c r="DB100" s="252"/>
      <c r="DC100" s="252"/>
      <c r="DD100" s="252"/>
      <c r="DE100" s="252"/>
      <c r="DF100" s="252"/>
      <c r="DG100" s="252"/>
      <c r="DH100" s="252"/>
      <c r="DI100" s="252"/>
      <c r="DJ100" s="252"/>
      <c r="DK100" s="252"/>
      <c r="DL100" s="252"/>
      <c r="DM100" s="252"/>
      <c r="DN100" s="252"/>
      <c r="DO100" s="252"/>
      <c r="DP100" s="252"/>
      <c r="DQ100" s="252"/>
      <c r="DR100" s="252"/>
      <c r="DS100" s="252"/>
      <c r="DT100" s="252"/>
      <c r="DU100" s="252"/>
      <c r="DV100" s="252"/>
      <c r="DW100" s="252"/>
      <c r="DX100" s="252"/>
      <c r="DY100" s="252"/>
      <c r="DZ100" s="252"/>
      <c r="EA100" s="252"/>
      <c r="EB100" s="252"/>
      <c r="EC100" s="252"/>
      <c r="ED100" s="252"/>
      <c r="EE100" s="252"/>
      <c r="EF100" s="252"/>
      <c r="EG100" s="252"/>
      <c r="EH100" s="252"/>
      <c r="EI100" s="252"/>
      <c r="EJ100" s="252"/>
      <c r="EK100" s="252"/>
      <c r="EL100" s="252"/>
      <c r="EM100" s="252"/>
      <c r="EN100" s="252"/>
      <c r="EO100" s="252"/>
      <c r="EP100" s="252"/>
      <c r="EQ100" s="252"/>
      <c r="ER100" s="252"/>
      <c r="ES100" s="252"/>
      <c r="ET100" s="252"/>
      <c r="EU100" s="252"/>
      <c r="EV100" s="252"/>
      <c r="EW100" s="252"/>
      <c r="EX100" s="252"/>
      <c r="EY100" s="252"/>
      <c r="EZ100" s="252"/>
      <c r="FA100" s="252"/>
      <c r="FB100" s="252"/>
      <c r="FC100" s="252"/>
      <c r="FD100" s="252"/>
      <c r="FE100" s="252"/>
      <c r="FF100" s="252"/>
      <c r="FG100" s="252"/>
      <c r="FH100" s="252"/>
      <c r="FI100" s="252"/>
      <c r="FJ100" s="252"/>
      <c r="FK100" s="252"/>
      <c r="FL100" s="252"/>
      <c r="FM100" s="252"/>
      <c r="FN100" s="252"/>
      <c r="FO100" s="252"/>
      <c r="FP100" s="252"/>
      <c r="FQ100" s="252"/>
      <c r="FR100" s="252"/>
      <c r="FS100" s="252"/>
      <c r="FT100" s="252"/>
      <c r="FU100" s="252"/>
      <c r="FV100" s="252"/>
      <c r="FW100" s="252"/>
      <c r="FX100" s="252"/>
      <c r="FY100" s="252"/>
      <c r="FZ100" s="252"/>
      <c r="GA100" s="252"/>
      <c r="GB100" s="252"/>
      <c r="GC100" s="252"/>
      <c r="GD100" s="252"/>
      <c r="GE100" s="252"/>
      <c r="GF100" s="252"/>
      <c r="GG100" s="252"/>
      <c r="GH100" s="252"/>
      <c r="GI100" s="252"/>
      <c r="GJ100" s="252"/>
      <c r="GK100" s="252"/>
      <c r="GL100" s="252"/>
      <c r="GM100" s="252"/>
      <c r="GN100" s="252"/>
      <c r="GO100" s="252"/>
      <c r="GP100" s="252"/>
      <c r="GQ100" s="252"/>
      <c r="GR100" s="252"/>
      <c r="GS100" s="252"/>
      <c r="GT100" s="252"/>
      <c r="GU100" s="252"/>
      <c r="GV100" s="252"/>
      <c r="GW100" s="252"/>
      <c r="GX100" s="252"/>
      <c r="GY100" s="252"/>
      <c r="GZ100" s="252"/>
      <c r="HA100" s="252"/>
      <c r="HB100" s="252"/>
      <c r="HC100" s="252"/>
      <c r="HD100" s="252"/>
      <c r="HE100" s="252"/>
      <c r="HF100" s="252"/>
      <c r="HG100" s="252"/>
      <c r="HH100" s="252"/>
      <c r="HI100" s="252"/>
      <c r="HJ100" s="252"/>
      <c r="HK100" s="252"/>
      <c r="HL100" s="252"/>
      <c r="HM100" s="252"/>
      <c r="HN100" s="252"/>
      <c r="HO100" s="252"/>
      <c r="HP100" s="252"/>
      <c r="HQ100" s="252"/>
      <c r="HR100" s="252"/>
      <c r="HS100" s="252"/>
      <c r="HT100" s="252"/>
      <c r="HU100" s="252"/>
    </row>
    <row r="101" spans="1:229" ht="18" customHeight="1">
      <c r="A101" s="250"/>
      <c r="B101" s="167"/>
      <c r="C101" s="167"/>
      <c r="D101" s="167"/>
      <c r="E101" s="167"/>
      <c r="F101" s="168"/>
      <c r="G101" s="167"/>
      <c r="H101" s="167"/>
      <c r="I101" s="167"/>
      <c r="J101" s="167"/>
      <c r="K101" s="167"/>
      <c r="L101" s="167"/>
      <c r="M101" s="167"/>
      <c r="N101" s="167"/>
      <c r="O101" s="167"/>
      <c r="P101" s="167"/>
      <c r="Q101" s="167"/>
      <c r="R101" s="167"/>
      <c r="S101" s="167"/>
      <c r="T101" s="167"/>
      <c r="U101" s="167"/>
      <c r="V101" s="167"/>
      <c r="W101" s="167"/>
      <c r="X101" s="167"/>
      <c r="Y101" s="167"/>
      <c r="Z101" s="167"/>
      <c r="AA101" s="252"/>
      <c r="AB101" s="252"/>
      <c r="AC101" s="252"/>
      <c r="AD101" s="252"/>
      <c r="AE101" s="252"/>
      <c r="AF101" s="252"/>
      <c r="AG101" s="252"/>
      <c r="AH101" s="252"/>
      <c r="AI101" s="252"/>
      <c r="AJ101" s="252"/>
      <c r="AK101" s="252"/>
      <c r="AL101" s="252"/>
      <c r="AM101" s="252"/>
      <c r="AN101" s="252"/>
      <c r="AO101" s="252"/>
      <c r="AP101" s="252"/>
      <c r="AQ101" s="252"/>
      <c r="AR101" s="252"/>
      <c r="AS101" s="252"/>
      <c r="AT101" s="252"/>
      <c r="AU101" s="252"/>
      <c r="AV101" s="252"/>
      <c r="AW101" s="252"/>
      <c r="AX101" s="252"/>
      <c r="AY101" s="252"/>
      <c r="AZ101" s="252"/>
      <c r="BA101" s="252"/>
      <c r="BB101" s="252"/>
      <c r="BC101" s="252"/>
      <c r="BD101" s="252"/>
      <c r="BE101" s="252"/>
      <c r="BF101" s="252"/>
      <c r="BG101" s="252"/>
      <c r="BH101" s="252"/>
      <c r="BI101" s="252"/>
      <c r="BJ101" s="252"/>
      <c r="BK101" s="252"/>
      <c r="BL101" s="252"/>
      <c r="BM101" s="252"/>
      <c r="BN101" s="252"/>
      <c r="BO101" s="252"/>
      <c r="BP101" s="252"/>
      <c r="BQ101" s="252"/>
      <c r="BR101" s="252"/>
      <c r="BS101" s="252"/>
      <c r="BT101" s="252"/>
      <c r="BU101" s="252"/>
      <c r="BV101" s="252"/>
      <c r="BW101" s="252"/>
      <c r="BX101" s="252"/>
      <c r="BY101" s="252"/>
      <c r="BZ101" s="252"/>
      <c r="CA101" s="252"/>
      <c r="CB101" s="252"/>
      <c r="CC101" s="252"/>
      <c r="CD101" s="252"/>
      <c r="CE101" s="252"/>
      <c r="CF101" s="252"/>
      <c r="CG101" s="252"/>
      <c r="CH101" s="252"/>
      <c r="CI101" s="252"/>
      <c r="CJ101" s="252"/>
      <c r="CK101" s="252"/>
      <c r="CL101" s="252"/>
      <c r="CM101" s="252"/>
      <c r="CN101" s="252"/>
      <c r="CO101" s="252"/>
      <c r="CP101" s="252"/>
      <c r="CQ101" s="252"/>
      <c r="CR101" s="252"/>
      <c r="CS101" s="252"/>
      <c r="CT101" s="252"/>
      <c r="CU101" s="252"/>
      <c r="CV101" s="252"/>
      <c r="CW101" s="252"/>
      <c r="CX101" s="252"/>
      <c r="CY101" s="252"/>
      <c r="CZ101" s="252"/>
      <c r="DA101" s="252"/>
      <c r="DB101" s="252"/>
      <c r="DC101" s="252"/>
      <c r="DD101" s="252"/>
      <c r="DE101" s="252"/>
      <c r="DF101" s="252"/>
      <c r="DG101" s="252"/>
      <c r="DH101" s="252"/>
      <c r="DI101" s="252"/>
      <c r="DJ101" s="252"/>
      <c r="DK101" s="252"/>
      <c r="DL101" s="252"/>
      <c r="DM101" s="252"/>
      <c r="DN101" s="252"/>
      <c r="DO101" s="252"/>
      <c r="DP101" s="252"/>
      <c r="DQ101" s="252"/>
      <c r="DR101" s="252"/>
      <c r="DS101" s="252"/>
      <c r="DT101" s="252"/>
      <c r="DU101" s="252"/>
      <c r="DV101" s="252"/>
      <c r="DW101" s="252"/>
      <c r="DX101" s="252"/>
      <c r="DY101" s="252"/>
      <c r="DZ101" s="252"/>
      <c r="EA101" s="252"/>
      <c r="EB101" s="252"/>
      <c r="EC101" s="252"/>
      <c r="ED101" s="252"/>
      <c r="EE101" s="252"/>
      <c r="EF101" s="252"/>
      <c r="EG101" s="252"/>
      <c r="EH101" s="252"/>
      <c r="EI101" s="252"/>
      <c r="EJ101" s="252"/>
      <c r="EK101" s="252"/>
      <c r="EL101" s="252"/>
      <c r="EM101" s="252"/>
      <c r="EN101" s="252"/>
      <c r="EO101" s="252"/>
      <c r="EP101" s="252"/>
      <c r="EQ101" s="252"/>
      <c r="ER101" s="252"/>
      <c r="ES101" s="252"/>
      <c r="ET101" s="252"/>
      <c r="EU101" s="252"/>
      <c r="EV101" s="252"/>
      <c r="EW101" s="252"/>
      <c r="EX101" s="252"/>
      <c r="EY101" s="252"/>
      <c r="EZ101" s="252"/>
      <c r="FA101" s="252"/>
      <c r="FB101" s="252"/>
      <c r="FC101" s="252"/>
      <c r="FD101" s="252"/>
      <c r="FE101" s="252"/>
      <c r="FF101" s="252"/>
      <c r="FG101" s="252"/>
      <c r="FH101" s="252"/>
      <c r="FI101" s="252"/>
      <c r="FJ101" s="252"/>
      <c r="FK101" s="252"/>
      <c r="FL101" s="252"/>
      <c r="FM101" s="252"/>
      <c r="FN101" s="252"/>
      <c r="FO101" s="252"/>
      <c r="FP101" s="252"/>
      <c r="FQ101" s="252"/>
      <c r="FR101" s="252"/>
      <c r="FS101" s="252"/>
      <c r="FT101" s="252"/>
      <c r="FU101" s="252"/>
      <c r="FV101" s="252"/>
      <c r="FW101" s="252"/>
      <c r="FX101" s="252"/>
      <c r="FY101" s="252"/>
      <c r="FZ101" s="252"/>
      <c r="GA101" s="252"/>
      <c r="GB101" s="252"/>
      <c r="GC101" s="252"/>
      <c r="GD101" s="252"/>
      <c r="GE101" s="252"/>
      <c r="GF101" s="252"/>
      <c r="GG101" s="252"/>
      <c r="GH101" s="252"/>
      <c r="GI101" s="252"/>
      <c r="GJ101" s="252"/>
      <c r="GK101" s="252"/>
      <c r="GL101" s="252"/>
      <c r="GM101" s="252"/>
      <c r="GN101" s="252"/>
      <c r="GO101" s="252"/>
      <c r="GP101" s="252"/>
      <c r="GQ101" s="252"/>
      <c r="GR101" s="252"/>
      <c r="GS101" s="252"/>
      <c r="GT101" s="252"/>
      <c r="GU101" s="252"/>
      <c r="GV101" s="252"/>
      <c r="GW101" s="252"/>
      <c r="GX101" s="252"/>
      <c r="GY101" s="252"/>
      <c r="GZ101" s="252"/>
      <c r="HA101" s="252"/>
      <c r="HB101" s="252"/>
      <c r="HC101" s="252"/>
      <c r="HD101" s="252"/>
      <c r="HE101" s="252"/>
      <c r="HF101" s="252"/>
      <c r="HG101" s="252"/>
      <c r="HH101" s="252"/>
      <c r="HI101" s="252"/>
      <c r="HJ101" s="252"/>
      <c r="HK101" s="252"/>
      <c r="HL101" s="252"/>
      <c r="HM101" s="252"/>
      <c r="HN101" s="252"/>
      <c r="HO101" s="252"/>
      <c r="HP101" s="252"/>
      <c r="HQ101" s="252"/>
      <c r="HR101" s="252"/>
      <c r="HS101" s="252"/>
      <c r="HT101" s="252"/>
      <c r="HU101" s="252"/>
    </row>
    <row r="102" spans="1:229" ht="18" customHeight="1">
      <c r="A102" s="250"/>
      <c r="B102" s="167"/>
      <c r="C102" s="167"/>
      <c r="D102" s="167"/>
      <c r="E102" s="167"/>
      <c r="F102" s="168"/>
      <c r="G102" s="167"/>
      <c r="H102" s="167"/>
      <c r="I102" s="167"/>
      <c r="J102" s="167"/>
      <c r="K102" s="167"/>
      <c r="L102" s="167"/>
      <c r="M102" s="167"/>
      <c r="N102" s="167"/>
      <c r="O102" s="167"/>
      <c r="P102" s="167"/>
      <c r="Q102" s="167"/>
      <c r="R102" s="167"/>
      <c r="S102" s="167"/>
      <c r="T102" s="167"/>
      <c r="U102" s="167"/>
      <c r="V102" s="167"/>
      <c r="W102" s="167"/>
      <c r="X102" s="167"/>
      <c r="Y102" s="167"/>
      <c r="Z102" s="167"/>
      <c r="AA102" s="252"/>
      <c r="AB102" s="252"/>
      <c r="AC102" s="252"/>
      <c r="AD102" s="252"/>
      <c r="AE102" s="252"/>
      <c r="AF102" s="252"/>
      <c r="AG102" s="252"/>
      <c r="AH102" s="252"/>
      <c r="AI102" s="252"/>
      <c r="AJ102" s="252"/>
      <c r="AK102" s="252"/>
      <c r="AL102" s="252"/>
      <c r="AM102" s="252"/>
      <c r="AN102" s="252"/>
      <c r="AO102" s="252"/>
      <c r="AP102" s="252"/>
      <c r="AQ102" s="252"/>
      <c r="AR102" s="252"/>
      <c r="AS102" s="252"/>
      <c r="AT102" s="252"/>
      <c r="AU102" s="252"/>
      <c r="AV102" s="252"/>
      <c r="AW102" s="252"/>
      <c r="AX102" s="252"/>
      <c r="AY102" s="252"/>
      <c r="AZ102" s="252"/>
      <c r="BA102" s="252"/>
      <c r="BB102" s="252"/>
      <c r="BC102" s="252"/>
      <c r="BD102" s="252"/>
      <c r="BE102" s="252"/>
      <c r="BF102" s="252"/>
      <c r="BG102" s="252"/>
      <c r="BH102" s="252"/>
      <c r="BI102" s="252"/>
      <c r="BJ102" s="252"/>
      <c r="BK102" s="252"/>
      <c r="BL102" s="252"/>
      <c r="BM102" s="252"/>
      <c r="BN102" s="252"/>
      <c r="BO102" s="252"/>
      <c r="BP102" s="252"/>
      <c r="BQ102" s="252"/>
      <c r="BR102" s="252"/>
      <c r="BS102" s="252"/>
      <c r="BT102" s="252"/>
      <c r="BU102" s="252"/>
      <c r="BV102" s="252"/>
      <c r="BW102" s="252"/>
      <c r="BX102" s="252"/>
      <c r="BY102" s="252"/>
      <c r="BZ102" s="252"/>
      <c r="CA102" s="252"/>
      <c r="CB102" s="252"/>
      <c r="CC102" s="252"/>
      <c r="CD102" s="252"/>
      <c r="CE102" s="252"/>
      <c r="CF102" s="252"/>
      <c r="CG102" s="252"/>
      <c r="CH102" s="252"/>
      <c r="CI102" s="252"/>
      <c r="CJ102" s="252"/>
      <c r="CK102" s="252"/>
      <c r="CL102" s="252"/>
      <c r="CM102" s="252"/>
      <c r="CN102" s="252"/>
      <c r="CO102" s="252"/>
      <c r="CP102" s="252"/>
      <c r="CQ102" s="252"/>
      <c r="CR102" s="252"/>
      <c r="CS102" s="252"/>
      <c r="CT102" s="252"/>
      <c r="CU102" s="252"/>
      <c r="CV102" s="252"/>
      <c r="CW102" s="252"/>
      <c r="CX102" s="252"/>
      <c r="CY102" s="252"/>
      <c r="CZ102" s="252"/>
      <c r="DA102" s="252"/>
      <c r="DB102" s="252"/>
      <c r="DC102" s="252"/>
      <c r="DD102" s="252"/>
      <c r="DE102" s="252"/>
      <c r="DF102" s="252"/>
      <c r="DG102" s="252"/>
      <c r="DH102" s="252"/>
      <c r="DI102" s="252"/>
      <c r="DJ102" s="252"/>
      <c r="DK102" s="252"/>
      <c r="DL102" s="252"/>
      <c r="DM102" s="252"/>
      <c r="DN102" s="252"/>
      <c r="DO102" s="252"/>
      <c r="DP102" s="252"/>
      <c r="DQ102" s="252"/>
      <c r="DR102" s="252"/>
      <c r="DS102" s="252"/>
      <c r="DT102" s="252"/>
      <c r="DU102" s="252"/>
      <c r="DV102" s="252"/>
      <c r="DW102" s="252"/>
      <c r="DX102" s="252"/>
      <c r="DY102" s="252"/>
      <c r="DZ102" s="252"/>
      <c r="EA102" s="252"/>
      <c r="EB102" s="252"/>
      <c r="EC102" s="252"/>
      <c r="ED102" s="252"/>
      <c r="EE102" s="252"/>
      <c r="EF102" s="252"/>
      <c r="EG102" s="252"/>
      <c r="EH102" s="252"/>
      <c r="EI102" s="252"/>
      <c r="EJ102" s="252"/>
      <c r="EK102" s="252"/>
      <c r="EL102" s="252"/>
      <c r="EM102" s="252"/>
      <c r="EN102" s="252"/>
      <c r="EO102" s="252"/>
      <c r="EP102" s="252"/>
      <c r="EQ102" s="252"/>
      <c r="ER102" s="252"/>
      <c r="ES102" s="252"/>
      <c r="ET102" s="252"/>
      <c r="EU102" s="252"/>
      <c r="EV102" s="252"/>
      <c r="EW102" s="252"/>
      <c r="EX102" s="252"/>
      <c r="EY102" s="252"/>
      <c r="EZ102" s="252"/>
      <c r="FA102" s="252"/>
      <c r="FB102" s="252"/>
      <c r="FC102" s="252"/>
      <c r="FD102" s="252"/>
      <c r="FE102" s="252"/>
      <c r="FF102" s="252"/>
      <c r="FG102" s="252"/>
      <c r="FH102" s="252"/>
      <c r="FI102" s="252"/>
      <c r="FJ102" s="252"/>
      <c r="FK102" s="252"/>
      <c r="FL102" s="252"/>
      <c r="FM102" s="252"/>
      <c r="FN102" s="252"/>
      <c r="FO102" s="252"/>
      <c r="FP102" s="252"/>
      <c r="FQ102" s="252"/>
      <c r="FR102" s="252"/>
      <c r="FS102" s="252"/>
      <c r="FT102" s="252"/>
      <c r="FU102" s="252"/>
      <c r="FV102" s="252"/>
      <c r="FW102" s="252"/>
      <c r="FX102" s="252"/>
      <c r="FY102" s="252"/>
      <c r="FZ102" s="252"/>
      <c r="GA102" s="252"/>
      <c r="GB102" s="252"/>
      <c r="GC102" s="252"/>
      <c r="GD102" s="252"/>
      <c r="GE102" s="252"/>
      <c r="GF102" s="252"/>
      <c r="GG102" s="252"/>
      <c r="GH102" s="252"/>
      <c r="GI102" s="252"/>
      <c r="GJ102" s="252"/>
      <c r="GK102" s="252"/>
      <c r="GL102" s="252"/>
      <c r="GM102" s="252"/>
      <c r="GN102" s="252"/>
      <c r="GO102" s="252"/>
      <c r="GP102" s="252"/>
      <c r="GQ102" s="252"/>
      <c r="GR102" s="252"/>
      <c r="GS102" s="252"/>
      <c r="GT102" s="252"/>
      <c r="GU102" s="252"/>
      <c r="GV102" s="252"/>
      <c r="GW102" s="252"/>
      <c r="GX102" s="252"/>
      <c r="GY102" s="252"/>
      <c r="GZ102" s="252"/>
      <c r="HA102" s="252"/>
      <c r="HB102" s="252"/>
      <c r="HC102" s="252"/>
      <c r="HD102" s="252"/>
      <c r="HE102" s="252"/>
      <c r="HF102" s="252"/>
      <c r="HG102" s="252"/>
      <c r="HH102" s="252"/>
      <c r="HI102" s="252"/>
      <c r="HJ102" s="252"/>
      <c r="HK102" s="252"/>
      <c r="HL102" s="252"/>
      <c r="HM102" s="252"/>
      <c r="HN102" s="252"/>
      <c r="HO102" s="252"/>
      <c r="HP102" s="252"/>
      <c r="HQ102" s="252"/>
      <c r="HR102" s="252"/>
      <c r="HS102" s="252"/>
      <c r="HT102" s="252"/>
      <c r="HU102" s="252"/>
    </row>
    <row r="103" spans="1:229" ht="18" customHeight="1">
      <c r="A103" s="250"/>
      <c r="B103" s="167"/>
      <c r="C103" s="167"/>
      <c r="D103" s="167"/>
      <c r="E103" s="167"/>
      <c r="F103" s="168"/>
      <c r="G103" s="167"/>
      <c r="H103" s="167"/>
      <c r="I103" s="167"/>
      <c r="J103" s="167"/>
      <c r="K103" s="167"/>
      <c r="L103" s="167"/>
      <c r="M103" s="167"/>
      <c r="N103" s="167"/>
      <c r="O103" s="167"/>
      <c r="P103" s="167"/>
      <c r="Q103" s="167"/>
      <c r="R103" s="167"/>
      <c r="S103" s="167"/>
      <c r="T103" s="167"/>
      <c r="U103" s="167"/>
      <c r="V103" s="167"/>
      <c r="W103" s="167"/>
      <c r="X103" s="167"/>
      <c r="Y103" s="167"/>
      <c r="Z103" s="167"/>
    </row>
    <row r="104" spans="1:229" ht="18" customHeight="1">
      <c r="A104" s="250"/>
      <c r="B104" s="167"/>
      <c r="C104" s="167"/>
      <c r="D104" s="167"/>
      <c r="E104" s="167"/>
      <c r="F104" s="168"/>
      <c r="G104" s="167"/>
      <c r="H104" s="167"/>
      <c r="I104" s="167"/>
      <c r="J104" s="167"/>
      <c r="K104" s="167"/>
      <c r="L104" s="167"/>
      <c r="M104" s="167"/>
      <c r="N104" s="167"/>
      <c r="O104" s="167"/>
      <c r="P104" s="167"/>
      <c r="Q104" s="167"/>
      <c r="R104" s="167"/>
      <c r="S104" s="167"/>
      <c r="T104" s="167"/>
      <c r="U104" s="167"/>
      <c r="V104" s="167"/>
      <c r="W104" s="167"/>
      <c r="X104" s="167"/>
      <c r="Y104" s="167"/>
      <c r="Z104" s="167"/>
    </row>
    <row r="105" spans="1:229" ht="18" customHeight="1">
      <c r="A105" s="250"/>
      <c r="B105" s="167"/>
      <c r="C105" s="167"/>
      <c r="D105" s="167"/>
      <c r="E105" s="167"/>
      <c r="F105" s="168"/>
      <c r="G105" s="167"/>
      <c r="H105" s="167"/>
      <c r="I105" s="167"/>
      <c r="J105" s="167"/>
      <c r="K105" s="167"/>
      <c r="L105" s="167"/>
      <c r="M105" s="167"/>
      <c r="N105" s="167"/>
      <c r="O105" s="167"/>
      <c r="P105" s="167"/>
      <c r="Q105" s="167"/>
      <c r="R105" s="167"/>
      <c r="S105" s="167"/>
      <c r="T105" s="167"/>
      <c r="U105" s="167"/>
      <c r="V105" s="167"/>
      <c r="W105" s="167"/>
      <c r="X105" s="167"/>
      <c r="Y105" s="167"/>
      <c r="Z105" s="167"/>
    </row>
    <row r="106" spans="1:229" ht="18" customHeight="1">
      <c r="A106" s="250"/>
      <c r="B106" s="167"/>
      <c r="C106" s="167"/>
      <c r="D106" s="167"/>
      <c r="E106" s="167"/>
      <c r="F106" s="168"/>
      <c r="G106" s="167"/>
      <c r="H106" s="167"/>
      <c r="I106" s="167"/>
      <c r="J106" s="167"/>
      <c r="K106" s="167"/>
      <c r="L106" s="167"/>
      <c r="M106" s="167"/>
      <c r="N106" s="167"/>
      <c r="O106" s="167"/>
      <c r="P106" s="167"/>
      <c r="Q106" s="167"/>
      <c r="R106" s="167"/>
      <c r="S106" s="167"/>
      <c r="T106" s="167"/>
      <c r="U106" s="167"/>
      <c r="V106" s="167"/>
      <c r="W106" s="167"/>
      <c r="X106" s="167"/>
      <c r="Y106" s="167"/>
      <c r="Z106" s="167"/>
    </row>
    <row r="107" spans="1:229" ht="18" customHeight="1">
      <c r="A107" s="250"/>
      <c r="B107" s="167"/>
      <c r="C107" s="167"/>
      <c r="D107" s="167"/>
      <c r="E107" s="167"/>
      <c r="F107" s="168"/>
      <c r="G107" s="167"/>
      <c r="H107" s="167"/>
      <c r="I107" s="167"/>
      <c r="J107" s="167"/>
      <c r="K107" s="167"/>
      <c r="L107" s="167"/>
      <c r="M107" s="167"/>
      <c r="N107" s="167"/>
      <c r="O107" s="167"/>
      <c r="P107" s="167"/>
      <c r="Q107" s="167"/>
      <c r="R107" s="167"/>
      <c r="S107" s="167"/>
      <c r="T107" s="167"/>
      <c r="U107" s="167"/>
      <c r="V107" s="167"/>
      <c r="W107" s="167"/>
      <c r="X107" s="167"/>
      <c r="Y107" s="167"/>
      <c r="Z107" s="167"/>
    </row>
    <row r="108" spans="1:229" ht="18" customHeight="1">
      <c r="A108" s="250"/>
      <c r="B108" s="167"/>
      <c r="C108" s="167"/>
      <c r="D108" s="167"/>
      <c r="E108" s="167"/>
      <c r="F108" s="168"/>
      <c r="G108" s="167"/>
      <c r="H108" s="167"/>
      <c r="I108" s="167"/>
      <c r="J108" s="167"/>
      <c r="K108" s="167"/>
      <c r="L108" s="167"/>
      <c r="M108" s="167"/>
      <c r="N108" s="167"/>
      <c r="O108" s="167"/>
      <c r="P108" s="167"/>
      <c r="Q108" s="167"/>
      <c r="R108" s="167"/>
      <c r="S108" s="167"/>
      <c r="T108" s="167"/>
      <c r="U108" s="167"/>
      <c r="V108" s="167"/>
      <c r="W108" s="167"/>
      <c r="X108" s="167"/>
      <c r="Y108" s="167"/>
      <c r="Z108" s="167"/>
    </row>
    <row r="109" spans="1:229" ht="18" customHeight="1">
      <c r="A109" s="250"/>
      <c r="B109" s="167"/>
      <c r="C109" s="167"/>
      <c r="D109" s="167"/>
      <c r="E109" s="167"/>
      <c r="F109" s="168"/>
      <c r="G109" s="167"/>
      <c r="H109" s="167"/>
      <c r="I109" s="167"/>
      <c r="J109" s="167"/>
      <c r="K109" s="167"/>
      <c r="L109" s="167"/>
      <c r="M109" s="167"/>
      <c r="N109" s="167"/>
      <c r="O109" s="167"/>
      <c r="P109" s="167"/>
      <c r="Q109" s="167"/>
      <c r="R109" s="167"/>
      <c r="S109" s="167"/>
      <c r="T109" s="167"/>
      <c r="U109" s="167"/>
      <c r="V109" s="167"/>
      <c r="W109" s="167"/>
      <c r="X109" s="167"/>
      <c r="Y109" s="167"/>
      <c r="Z109" s="167"/>
    </row>
    <row r="110" spans="1:229" ht="18" customHeight="1">
      <c r="A110" s="250"/>
      <c r="B110" s="167"/>
      <c r="C110" s="167"/>
      <c r="D110" s="167"/>
      <c r="E110" s="167"/>
      <c r="F110" s="168"/>
      <c r="G110" s="167"/>
      <c r="H110" s="167"/>
      <c r="I110" s="167"/>
      <c r="J110" s="167"/>
      <c r="K110" s="167"/>
      <c r="L110" s="167"/>
      <c r="M110" s="167"/>
      <c r="N110" s="167"/>
      <c r="O110" s="167"/>
      <c r="P110" s="167"/>
      <c r="Q110" s="167"/>
      <c r="R110" s="167"/>
      <c r="S110" s="167"/>
      <c r="T110" s="167"/>
      <c r="U110" s="167"/>
      <c r="V110" s="167"/>
      <c r="W110" s="167"/>
      <c r="X110" s="167"/>
      <c r="Y110" s="167"/>
      <c r="Z110" s="167"/>
    </row>
    <row r="111" spans="1:229" ht="18" customHeight="1">
      <c r="A111" s="250"/>
      <c r="B111" s="167"/>
      <c r="C111" s="167"/>
      <c r="D111" s="167"/>
      <c r="E111" s="167"/>
      <c r="F111" s="168"/>
      <c r="G111" s="167"/>
      <c r="H111" s="167"/>
      <c r="I111" s="167"/>
      <c r="J111" s="167"/>
      <c r="K111" s="167"/>
      <c r="L111" s="167"/>
      <c r="M111" s="167"/>
      <c r="N111" s="167"/>
      <c r="O111" s="167"/>
      <c r="P111" s="167"/>
      <c r="Q111" s="167"/>
      <c r="R111" s="167"/>
      <c r="S111" s="167"/>
      <c r="T111" s="167"/>
      <c r="U111" s="167"/>
      <c r="V111" s="167"/>
      <c r="W111" s="167"/>
      <c r="X111" s="167"/>
      <c r="Y111" s="167"/>
      <c r="Z111" s="167"/>
    </row>
    <row r="112" spans="1:229" ht="18" customHeight="1">
      <c r="A112" s="250"/>
      <c r="B112" s="167"/>
      <c r="C112" s="167"/>
      <c r="D112" s="167"/>
      <c r="E112" s="167"/>
      <c r="F112" s="168"/>
      <c r="G112" s="167"/>
      <c r="H112" s="167"/>
      <c r="I112" s="167"/>
      <c r="J112" s="167"/>
      <c r="K112" s="167"/>
      <c r="L112" s="167"/>
      <c r="M112" s="167"/>
      <c r="N112" s="167"/>
      <c r="O112" s="167"/>
      <c r="P112" s="167"/>
      <c r="Q112" s="167"/>
      <c r="R112" s="167"/>
      <c r="S112" s="167"/>
      <c r="T112" s="167"/>
      <c r="U112" s="167"/>
      <c r="V112" s="167"/>
      <c r="W112" s="167"/>
      <c r="X112" s="167"/>
      <c r="Y112" s="167"/>
      <c r="Z112" s="167"/>
    </row>
    <row r="113" spans="1:26" ht="18" customHeight="1">
      <c r="A113" s="250"/>
      <c r="B113" s="167"/>
      <c r="C113" s="167"/>
      <c r="D113" s="167"/>
      <c r="E113" s="167"/>
      <c r="F113" s="168"/>
      <c r="G113" s="167"/>
      <c r="H113" s="167"/>
      <c r="I113" s="167"/>
      <c r="J113" s="167"/>
      <c r="K113" s="167"/>
      <c r="L113" s="167"/>
      <c r="M113" s="167"/>
      <c r="N113" s="167"/>
      <c r="O113" s="167"/>
      <c r="P113" s="167"/>
      <c r="Q113" s="167"/>
      <c r="R113" s="167"/>
      <c r="S113" s="167"/>
      <c r="T113" s="167"/>
      <c r="U113" s="167"/>
      <c r="V113" s="167"/>
      <c r="W113" s="167"/>
      <c r="X113" s="167"/>
      <c r="Y113" s="167"/>
      <c r="Z113" s="167"/>
    </row>
    <row r="114" spans="1:26" ht="18" customHeight="1">
      <c r="A114" s="250"/>
      <c r="B114" s="167"/>
      <c r="C114" s="167"/>
      <c r="D114" s="167"/>
      <c r="E114" s="167"/>
      <c r="F114" s="168"/>
      <c r="G114" s="167"/>
      <c r="H114" s="167"/>
      <c r="I114" s="167"/>
      <c r="J114" s="167"/>
      <c r="K114" s="167"/>
      <c r="L114" s="167"/>
      <c r="M114" s="167"/>
      <c r="N114" s="167"/>
      <c r="O114" s="167"/>
      <c r="P114" s="167"/>
      <c r="Q114" s="167"/>
      <c r="R114" s="167"/>
      <c r="S114" s="167"/>
      <c r="T114" s="167"/>
      <c r="U114" s="167"/>
      <c r="V114" s="167"/>
      <c r="W114" s="167"/>
      <c r="X114" s="167"/>
      <c r="Y114" s="167"/>
      <c r="Z114" s="167"/>
    </row>
    <row r="115" spans="1:26" ht="18" customHeight="1">
      <c r="A115" s="250"/>
      <c r="B115" s="167"/>
      <c r="C115" s="167"/>
      <c r="D115" s="167"/>
      <c r="E115" s="167"/>
      <c r="F115" s="168"/>
      <c r="G115" s="167"/>
      <c r="H115" s="167"/>
      <c r="I115" s="167"/>
      <c r="J115" s="167"/>
      <c r="K115" s="167"/>
      <c r="L115" s="167"/>
      <c r="M115" s="167"/>
      <c r="N115" s="167"/>
      <c r="O115" s="167"/>
      <c r="P115" s="167"/>
      <c r="Q115" s="167"/>
      <c r="R115" s="167"/>
      <c r="S115" s="167"/>
      <c r="T115" s="167"/>
      <c r="U115" s="167"/>
      <c r="V115" s="167"/>
      <c r="W115" s="167"/>
      <c r="X115" s="167"/>
      <c r="Y115" s="167"/>
      <c r="Z115" s="167"/>
    </row>
    <row r="116" spans="1:26" ht="18" customHeight="1">
      <c r="A116" s="250"/>
      <c r="B116" s="167"/>
      <c r="C116" s="167"/>
      <c r="D116" s="167"/>
      <c r="E116" s="167"/>
      <c r="F116" s="168"/>
      <c r="G116" s="167"/>
      <c r="H116" s="167"/>
      <c r="I116" s="167"/>
      <c r="J116" s="167"/>
      <c r="K116" s="167"/>
      <c r="L116" s="167"/>
      <c r="M116" s="167"/>
      <c r="N116" s="167"/>
      <c r="O116" s="167"/>
      <c r="P116" s="167"/>
      <c r="Q116" s="167"/>
      <c r="R116" s="167"/>
      <c r="S116" s="167"/>
      <c r="T116" s="167"/>
      <c r="U116" s="167"/>
      <c r="V116" s="167"/>
      <c r="W116" s="167"/>
      <c r="X116" s="167"/>
      <c r="Y116" s="167"/>
      <c r="Z116" s="167"/>
    </row>
    <row r="117" spans="1:26" ht="18" customHeight="1">
      <c r="A117" s="250"/>
      <c r="B117" s="167"/>
      <c r="C117" s="167"/>
      <c r="D117" s="167"/>
      <c r="E117" s="167"/>
      <c r="F117" s="168"/>
      <c r="G117" s="167"/>
      <c r="H117" s="167"/>
      <c r="I117" s="167"/>
      <c r="J117" s="167"/>
      <c r="K117" s="167"/>
      <c r="L117" s="167"/>
      <c r="M117" s="167"/>
      <c r="N117" s="167"/>
      <c r="O117" s="167"/>
      <c r="P117" s="167"/>
      <c r="Q117" s="167"/>
      <c r="R117" s="167"/>
      <c r="S117" s="167"/>
      <c r="T117" s="167"/>
      <c r="U117" s="167"/>
      <c r="V117" s="167"/>
      <c r="W117" s="167"/>
      <c r="X117" s="167"/>
      <c r="Y117" s="167"/>
      <c r="Z117" s="167"/>
    </row>
    <row r="118" spans="1:26" ht="18" customHeight="1">
      <c r="A118" s="250"/>
      <c r="B118" s="167"/>
      <c r="C118" s="167"/>
      <c r="D118" s="167"/>
      <c r="E118" s="167"/>
      <c r="F118" s="168"/>
      <c r="G118" s="167"/>
      <c r="H118" s="167"/>
      <c r="I118" s="167"/>
      <c r="J118" s="167"/>
      <c r="K118" s="167"/>
      <c r="L118" s="167"/>
      <c r="M118" s="167"/>
      <c r="N118" s="167"/>
      <c r="O118" s="167"/>
      <c r="P118" s="167"/>
      <c r="Q118" s="167"/>
      <c r="R118" s="167"/>
      <c r="S118" s="167"/>
      <c r="T118" s="167"/>
      <c r="U118" s="167"/>
      <c r="V118" s="167"/>
      <c r="W118" s="167"/>
      <c r="X118" s="167"/>
      <c r="Y118" s="167"/>
      <c r="Z118" s="167"/>
    </row>
    <row r="119" spans="1:26" ht="18" customHeight="1">
      <c r="A119" s="250"/>
      <c r="B119" s="167"/>
      <c r="C119" s="167"/>
      <c r="D119" s="167"/>
      <c r="E119" s="167"/>
      <c r="F119" s="168"/>
      <c r="G119" s="167"/>
      <c r="H119" s="167"/>
      <c r="I119" s="167"/>
      <c r="J119" s="167"/>
      <c r="K119" s="167"/>
      <c r="L119" s="167"/>
      <c r="M119" s="167"/>
      <c r="N119" s="167"/>
      <c r="O119" s="167"/>
      <c r="P119" s="167"/>
      <c r="Q119" s="167"/>
      <c r="R119" s="167"/>
      <c r="S119" s="167"/>
      <c r="T119" s="167"/>
      <c r="U119" s="167"/>
      <c r="V119" s="167"/>
      <c r="W119" s="167"/>
      <c r="X119" s="167"/>
      <c r="Y119" s="167"/>
      <c r="Z119" s="167"/>
    </row>
    <row r="120" spans="1:26" ht="18" customHeight="1">
      <c r="A120" s="250"/>
      <c r="B120" s="167"/>
      <c r="C120" s="167"/>
      <c r="D120" s="167"/>
      <c r="E120" s="167"/>
      <c r="F120" s="168"/>
      <c r="G120" s="167"/>
      <c r="H120" s="167"/>
      <c r="I120" s="167"/>
      <c r="J120" s="167"/>
      <c r="K120" s="167"/>
      <c r="L120" s="167"/>
      <c r="M120" s="167"/>
      <c r="N120" s="167"/>
      <c r="O120" s="167"/>
      <c r="P120" s="167"/>
      <c r="Q120" s="167"/>
      <c r="R120" s="167"/>
      <c r="S120" s="167"/>
      <c r="T120" s="167"/>
      <c r="U120" s="167"/>
      <c r="V120" s="167"/>
      <c r="W120" s="167"/>
      <c r="X120" s="167"/>
      <c r="Y120" s="167"/>
      <c r="Z120" s="167"/>
    </row>
    <row r="121" spans="1:26" ht="18" customHeight="1">
      <c r="A121" s="250"/>
      <c r="B121" s="167"/>
      <c r="C121" s="167"/>
      <c r="D121" s="167"/>
      <c r="E121" s="167"/>
      <c r="F121" s="168"/>
      <c r="G121" s="167"/>
      <c r="H121" s="167"/>
      <c r="I121" s="167"/>
      <c r="J121" s="167"/>
      <c r="K121" s="167"/>
      <c r="L121" s="167"/>
      <c r="M121" s="167"/>
      <c r="N121" s="167"/>
      <c r="O121" s="167"/>
      <c r="P121" s="167"/>
      <c r="Q121" s="167"/>
      <c r="R121" s="167"/>
      <c r="S121" s="167"/>
      <c r="T121" s="167"/>
      <c r="U121" s="167"/>
      <c r="V121" s="167"/>
      <c r="W121" s="167"/>
      <c r="X121" s="167"/>
      <c r="Y121" s="167"/>
      <c r="Z121" s="167"/>
    </row>
    <row r="122" spans="1:26" ht="18" customHeight="1">
      <c r="A122" s="250"/>
      <c r="B122" s="167"/>
      <c r="C122" s="167"/>
      <c r="D122" s="167"/>
      <c r="E122" s="167"/>
      <c r="F122" s="168"/>
      <c r="G122" s="167"/>
      <c r="H122" s="167"/>
      <c r="I122" s="167"/>
      <c r="J122" s="167"/>
      <c r="K122" s="167"/>
      <c r="L122" s="167"/>
      <c r="M122" s="167"/>
      <c r="N122" s="167"/>
      <c r="O122" s="167"/>
      <c r="P122" s="167"/>
      <c r="Q122" s="167"/>
      <c r="R122" s="167"/>
      <c r="S122" s="167"/>
      <c r="T122" s="167"/>
      <c r="U122" s="167"/>
      <c r="V122" s="167"/>
      <c r="W122" s="167"/>
      <c r="X122" s="167"/>
      <c r="Y122" s="167"/>
      <c r="Z122" s="167"/>
    </row>
    <row r="123" spans="1:26" ht="18" customHeight="1">
      <c r="A123" s="250"/>
      <c r="B123" s="167"/>
      <c r="C123" s="167"/>
      <c r="D123" s="167"/>
      <c r="E123" s="167"/>
      <c r="F123" s="168"/>
      <c r="G123" s="167"/>
      <c r="H123" s="167"/>
      <c r="I123" s="167"/>
      <c r="J123" s="167"/>
      <c r="K123" s="167"/>
      <c r="L123" s="167"/>
      <c r="M123" s="167"/>
      <c r="N123" s="167"/>
      <c r="O123" s="167"/>
      <c r="P123" s="167"/>
      <c r="Q123" s="167"/>
      <c r="R123" s="167"/>
      <c r="S123" s="167"/>
      <c r="T123" s="167"/>
      <c r="U123" s="167"/>
      <c r="V123" s="167"/>
      <c r="W123" s="167"/>
      <c r="X123" s="167"/>
      <c r="Y123" s="167"/>
      <c r="Z123" s="167"/>
    </row>
    <row r="124" spans="1:26" ht="18" customHeight="1">
      <c r="A124" s="250"/>
      <c r="B124" s="167"/>
      <c r="C124" s="167"/>
      <c r="D124" s="167"/>
      <c r="E124" s="167"/>
      <c r="F124" s="168"/>
      <c r="G124" s="167"/>
      <c r="H124" s="167"/>
      <c r="I124" s="167"/>
      <c r="J124" s="167"/>
      <c r="K124" s="167"/>
      <c r="L124" s="167"/>
      <c r="M124" s="167"/>
      <c r="N124" s="167"/>
      <c r="O124" s="167"/>
      <c r="P124" s="167"/>
      <c r="Q124" s="167"/>
      <c r="R124" s="167"/>
      <c r="S124" s="167"/>
      <c r="T124" s="167"/>
      <c r="U124" s="167"/>
      <c r="V124" s="167"/>
      <c r="W124" s="167"/>
      <c r="X124" s="167"/>
      <c r="Y124" s="167"/>
      <c r="Z124" s="167"/>
    </row>
    <row r="125" spans="1:26" ht="18" customHeight="1">
      <c r="A125" s="250"/>
      <c r="B125" s="167"/>
      <c r="C125" s="167"/>
      <c r="D125" s="167"/>
      <c r="E125" s="167"/>
      <c r="F125" s="168"/>
      <c r="G125" s="167"/>
      <c r="H125" s="167"/>
      <c r="I125" s="167"/>
      <c r="J125" s="167"/>
      <c r="K125" s="167"/>
      <c r="L125" s="167"/>
      <c r="M125" s="167"/>
      <c r="N125" s="167"/>
      <c r="O125" s="167"/>
      <c r="P125" s="167"/>
      <c r="Q125" s="167"/>
      <c r="R125" s="167"/>
      <c r="S125" s="167"/>
      <c r="T125" s="167"/>
      <c r="U125" s="167"/>
      <c r="V125" s="167"/>
      <c r="W125" s="167"/>
      <c r="X125" s="167"/>
      <c r="Y125" s="167"/>
      <c r="Z125" s="167"/>
    </row>
    <row r="126" spans="1:26" ht="18" customHeight="1">
      <c r="A126" s="250"/>
      <c r="B126" s="167"/>
      <c r="C126" s="167"/>
      <c r="D126" s="167"/>
      <c r="E126" s="167"/>
      <c r="F126" s="168"/>
      <c r="G126" s="167"/>
      <c r="H126" s="167"/>
      <c r="I126" s="167"/>
      <c r="J126" s="167"/>
      <c r="K126" s="167"/>
      <c r="L126" s="167"/>
      <c r="M126" s="167"/>
      <c r="N126" s="167"/>
      <c r="O126" s="167"/>
      <c r="P126" s="167"/>
      <c r="Q126" s="167"/>
      <c r="R126" s="167"/>
      <c r="S126" s="167"/>
      <c r="T126" s="167"/>
      <c r="U126" s="167"/>
      <c r="V126" s="167"/>
      <c r="W126" s="167"/>
      <c r="X126" s="167"/>
      <c r="Y126" s="167"/>
      <c r="Z126" s="167"/>
    </row>
    <row r="127" spans="1:26" ht="18" customHeight="1">
      <c r="A127" s="250"/>
      <c r="B127" s="167"/>
      <c r="C127" s="167"/>
      <c r="D127" s="167"/>
      <c r="E127" s="167"/>
      <c r="F127" s="168"/>
      <c r="G127" s="167"/>
      <c r="H127" s="167"/>
      <c r="I127" s="167"/>
      <c r="J127" s="167"/>
      <c r="K127" s="167"/>
      <c r="L127" s="167"/>
      <c r="M127" s="167"/>
      <c r="N127" s="167"/>
      <c r="O127" s="167"/>
      <c r="P127" s="167"/>
      <c r="Q127" s="167"/>
      <c r="R127" s="167"/>
      <c r="S127" s="167"/>
      <c r="T127" s="167"/>
      <c r="U127" s="167"/>
      <c r="V127" s="167"/>
      <c r="W127" s="167"/>
      <c r="X127" s="167"/>
      <c r="Y127" s="167"/>
      <c r="Z127" s="167"/>
    </row>
    <row r="128" spans="1:26" ht="18" customHeight="1">
      <c r="A128" s="250"/>
      <c r="B128" s="167"/>
      <c r="C128" s="167"/>
      <c r="D128" s="167"/>
      <c r="E128" s="167"/>
      <c r="F128" s="168"/>
      <c r="G128" s="167"/>
      <c r="H128" s="167"/>
      <c r="I128" s="167"/>
      <c r="J128" s="167"/>
      <c r="K128" s="167"/>
      <c r="L128" s="167"/>
      <c r="M128" s="167"/>
      <c r="N128" s="167"/>
      <c r="O128" s="167"/>
      <c r="P128" s="167"/>
      <c r="Q128" s="167"/>
      <c r="R128" s="167"/>
      <c r="S128" s="167"/>
      <c r="T128" s="167"/>
      <c r="U128" s="167"/>
      <c r="V128" s="167"/>
      <c r="W128" s="167"/>
      <c r="X128" s="167"/>
      <c r="Y128" s="167"/>
      <c r="Z128" s="167"/>
    </row>
    <row r="129" spans="1:26" ht="18" customHeight="1">
      <c r="A129" s="250"/>
      <c r="B129" s="167"/>
      <c r="C129" s="167"/>
      <c r="D129" s="167"/>
      <c r="E129" s="167"/>
      <c r="F129" s="168"/>
      <c r="G129" s="167"/>
      <c r="H129" s="167"/>
      <c r="I129" s="167"/>
      <c r="J129" s="167"/>
      <c r="K129" s="167"/>
      <c r="L129" s="167"/>
      <c r="M129" s="167"/>
      <c r="N129" s="167"/>
      <c r="O129" s="167"/>
      <c r="P129" s="167"/>
      <c r="Q129" s="167"/>
      <c r="R129" s="167"/>
      <c r="S129" s="167"/>
      <c r="T129" s="167"/>
      <c r="U129" s="167"/>
      <c r="V129" s="167"/>
      <c r="W129" s="167"/>
      <c r="X129" s="167"/>
      <c r="Y129" s="167"/>
      <c r="Z129" s="167"/>
    </row>
    <row r="130" spans="1:26" ht="18" customHeight="1">
      <c r="A130" s="250"/>
      <c r="B130" s="167"/>
      <c r="C130" s="167"/>
      <c r="D130" s="167"/>
      <c r="E130" s="167"/>
      <c r="F130" s="168"/>
      <c r="G130" s="167"/>
      <c r="H130" s="167"/>
      <c r="I130" s="167"/>
      <c r="J130" s="167"/>
      <c r="K130" s="167"/>
      <c r="L130" s="167"/>
      <c r="M130" s="167"/>
      <c r="N130" s="167"/>
      <c r="O130" s="167"/>
      <c r="P130" s="167"/>
      <c r="Q130" s="167"/>
      <c r="R130" s="167"/>
      <c r="S130" s="167"/>
      <c r="T130" s="167"/>
      <c r="U130" s="167"/>
      <c r="V130" s="167"/>
      <c r="W130" s="167"/>
      <c r="X130" s="167"/>
      <c r="Y130" s="167"/>
      <c r="Z130" s="167"/>
    </row>
    <row r="131" spans="1:26" ht="18" customHeight="1">
      <c r="A131" s="250"/>
      <c r="B131" s="167"/>
      <c r="C131" s="167"/>
      <c r="D131" s="167"/>
      <c r="E131" s="167"/>
      <c r="F131" s="168"/>
      <c r="G131" s="167"/>
      <c r="H131" s="167"/>
      <c r="I131" s="167"/>
      <c r="J131" s="167"/>
      <c r="K131" s="167"/>
      <c r="L131" s="167"/>
      <c r="M131" s="167"/>
      <c r="N131" s="167"/>
      <c r="O131" s="167"/>
      <c r="P131" s="167"/>
      <c r="Q131" s="167"/>
      <c r="R131" s="167"/>
      <c r="S131" s="167"/>
      <c r="T131" s="167"/>
      <c r="U131" s="167"/>
      <c r="V131" s="167"/>
      <c r="W131" s="167"/>
      <c r="X131" s="167"/>
      <c r="Y131" s="167"/>
      <c r="Z131" s="167"/>
    </row>
    <row r="132" spans="1:26" ht="18" customHeight="1">
      <c r="A132" s="250"/>
      <c r="B132" s="167"/>
      <c r="C132" s="167"/>
      <c r="D132" s="167"/>
      <c r="E132" s="167"/>
      <c r="F132" s="168"/>
      <c r="G132" s="167"/>
      <c r="H132" s="167"/>
      <c r="I132" s="167"/>
      <c r="J132" s="167"/>
      <c r="K132" s="167"/>
      <c r="L132" s="167"/>
      <c r="M132" s="167"/>
      <c r="N132" s="167"/>
      <c r="O132" s="167"/>
      <c r="P132" s="167"/>
      <c r="Q132" s="167"/>
      <c r="R132" s="167"/>
      <c r="S132" s="167"/>
      <c r="T132" s="167"/>
      <c r="U132" s="167"/>
      <c r="V132" s="167"/>
      <c r="W132" s="167"/>
      <c r="X132" s="167"/>
      <c r="Y132" s="167"/>
      <c r="Z132" s="167"/>
    </row>
    <row r="133" spans="1:26" ht="18" customHeight="1">
      <c r="A133" s="250"/>
      <c r="B133" s="167"/>
      <c r="C133" s="167"/>
      <c r="D133" s="167"/>
      <c r="E133" s="167"/>
      <c r="F133" s="168"/>
      <c r="G133" s="167"/>
      <c r="H133" s="167"/>
      <c r="I133" s="167"/>
      <c r="J133" s="167"/>
      <c r="K133" s="167"/>
      <c r="L133" s="167"/>
      <c r="M133" s="167"/>
      <c r="N133" s="167"/>
      <c r="O133" s="167"/>
      <c r="P133" s="167"/>
      <c r="Q133" s="167"/>
      <c r="R133" s="167"/>
      <c r="S133" s="167"/>
      <c r="T133" s="167"/>
      <c r="U133" s="167"/>
      <c r="V133" s="167"/>
      <c r="W133" s="167"/>
      <c r="X133" s="167"/>
      <c r="Y133" s="167"/>
      <c r="Z133" s="167"/>
    </row>
    <row r="134" spans="1:26" ht="18" customHeight="1">
      <c r="A134" s="250"/>
      <c r="B134" s="167"/>
      <c r="C134" s="167"/>
      <c r="D134" s="167"/>
      <c r="E134" s="167"/>
      <c r="F134" s="168"/>
      <c r="G134" s="167"/>
      <c r="H134" s="167"/>
      <c r="I134" s="167"/>
      <c r="J134" s="167"/>
      <c r="K134" s="167"/>
      <c r="L134" s="167"/>
      <c r="M134" s="167"/>
      <c r="N134" s="167"/>
      <c r="O134" s="167"/>
      <c r="P134" s="167"/>
      <c r="Q134" s="167"/>
      <c r="R134" s="167"/>
      <c r="S134" s="167"/>
      <c r="T134" s="167"/>
      <c r="U134" s="167"/>
      <c r="V134" s="167"/>
      <c r="W134" s="167"/>
      <c r="X134" s="167"/>
      <c r="Y134" s="167"/>
      <c r="Z134" s="167"/>
    </row>
    <row r="135" spans="1:26" ht="18" customHeight="1">
      <c r="A135" s="250"/>
      <c r="B135" s="167"/>
      <c r="C135" s="167"/>
      <c r="D135" s="167"/>
      <c r="E135" s="167"/>
      <c r="F135" s="168"/>
      <c r="G135" s="167"/>
      <c r="H135" s="167"/>
      <c r="I135" s="167"/>
      <c r="J135" s="167"/>
      <c r="K135" s="167"/>
      <c r="L135" s="167"/>
      <c r="M135" s="167"/>
      <c r="N135" s="167"/>
      <c r="O135" s="167"/>
      <c r="P135" s="167"/>
      <c r="Q135" s="167"/>
      <c r="R135" s="167"/>
      <c r="S135" s="167"/>
      <c r="T135" s="167"/>
      <c r="U135" s="167"/>
      <c r="V135" s="167"/>
      <c r="W135" s="167"/>
      <c r="X135" s="167"/>
      <c r="Y135" s="167"/>
      <c r="Z135" s="167"/>
    </row>
    <row r="136" spans="1:26" ht="18" customHeight="1">
      <c r="A136" s="250"/>
      <c r="B136" s="167"/>
      <c r="C136" s="167"/>
      <c r="D136" s="167"/>
      <c r="E136" s="167"/>
      <c r="F136" s="168"/>
      <c r="G136" s="167"/>
      <c r="H136" s="167"/>
      <c r="I136" s="167"/>
      <c r="J136" s="167"/>
      <c r="K136" s="167"/>
      <c r="L136" s="167"/>
      <c r="M136" s="167"/>
      <c r="N136" s="167"/>
      <c r="O136" s="167"/>
      <c r="P136" s="167"/>
      <c r="Q136" s="167"/>
      <c r="R136" s="167"/>
      <c r="S136" s="167"/>
      <c r="T136" s="167"/>
      <c r="U136" s="167"/>
      <c r="V136" s="167"/>
      <c r="W136" s="167"/>
      <c r="X136" s="167"/>
      <c r="Y136" s="167"/>
      <c r="Z136" s="167"/>
    </row>
    <row r="137" spans="1:26" ht="18" customHeight="1">
      <c r="A137" s="250"/>
      <c r="B137" s="167"/>
      <c r="C137" s="167"/>
      <c r="D137" s="167"/>
      <c r="E137" s="167"/>
      <c r="F137" s="168"/>
      <c r="G137" s="167"/>
      <c r="H137" s="167"/>
      <c r="I137" s="167"/>
      <c r="J137" s="167"/>
      <c r="K137" s="167"/>
      <c r="L137" s="167"/>
      <c r="M137" s="167"/>
      <c r="N137" s="167"/>
      <c r="O137" s="167"/>
      <c r="P137" s="167"/>
      <c r="Q137" s="167"/>
      <c r="R137" s="167"/>
      <c r="S137" s="167"/>
      <c r="T137" s="167"/>
      <c r="U137" s="167"/>
      <c r="V137" s="167"/>
      <c r="W137" s="167"/>
      <c r="X137" s="167"/>
      <c r="Y137" s="167"/>
      <c r="Z137" s="167"/>
    </row>
    <row r="138" spans="1:26" ht="18" customHeight="1">
      <c r="A138" s="250"/>
      <c r="B138" s="167"/>
      <c r="C138" s="167"/>
      <c r="D138" s="167"/>
      <c r="E138" s="167"/>
      <c r="F138" s="168"/>
      <c r="G138" s="167"/>
      <c r="H138" s="167"/>
      <c r="I138" s="167"/>
      <c r="J138" s="167"/>
      <c r="K138" s="167"/>
      <c r="L138" s="167"/>
      <c r="M138" s="167"/>
      <c r="N138" s="167"/>
      <c r="O138" s="167"/>
      <c r="P138" s="167"/>
      <c r="Q138" s="167"/>
      <c r="R138" s="167"/>
      <c r="S138" s="167"/>
      <c r="T138" s="167"/>
      <c r="U138" s="167"/>
      <c r="V138" s="167"/>
      <c r="W138" s="167"/>
      <c r="X138" s="167"/>
      <c r="Y138" s="167"/>
      <c r="Z138" s="167"/>
    </row>
    <row r="139" spans="1:26" ht="18" customHeight="1">
      <c r="A139" s="250"/>
      <c r="B139" s="167"/>
      <c r="C139" s="167"/>
      <c r="D139" s="167"/>
      <c r="E139" s="167"/>
      <c r="F139" s="168"/>
      <c r="G139" s="167"/>
      <c r="H139" s="167"/>
      <c r="I139" s="167"/>
      <c r="J139" s="167"/>
      <c r="K139" s="167"/>
      <c r="L139" s="167"/>
      <c r="M139" s="167"/>
      <c r="N139" s="167"/>
      <c r="O139" s="167"/>
      <c r="P139" s="167"/>
      <c r="Q139" s="167"/>
      <c r="R139" s="167"/>
      <c r="S139" s="167"/>
      <c r="T139" s="167"/>
      <c r="U139" s="167"/>
      <c r="V139" s="167"/>
      <c r="W139" s="167"/>
      <c r="X139" s="167"/>
      <c r="Y139" s="167"/>
      <c r="Z139" s="167"/>
    </row>
    <row r="140" spans="1:26" ht="18" customHeight="1">
      <c r="A140" s="250"/>
      <c r="B140" s="167"/>
      <c r="C140" s="167"/>
      <c r="D140" s="167"/>
      <c r="E140" s="167"/>
      <c r="F140" s="168"/>
      <c r="G140" s="167"/>
      <c r="H140" s="167"/>
      <c r="I140" s="167"/>
      <c r="J140" s="167"/>
      <c r="K140" s="167"/>
      <c r="L140" s="167"/>
      <c r="M140" s="167"/>
      <c r="N140" s="167"/>
      <c r="O140" s="167"/>
      <c r="P140" s="167"/>
      <c r="Q140" s="167"/>
      <c r="R140" s="167"/>
      <c r="S140" s="167"/>
      <c r="T140" s="167"/>
      <c r="U140" s="167"/>
      <c r="V140" s="167"/>
      <c r="W140" s="167"/>
      <c r="X140" s="167"/>
      <c r="Y140" s="167"/>
      <c r="Z140" s="167"/>
    </row>
    <row r="141" spans="1:26" ht="18" customHeight="1">
      <c r="A141" s="250"/>
      <c r="B141" s="167"/>
      <c r="C141" s="167"/>
      <c r="D141" s="167"/>
      <c r="E141" s="167"/>
      <c r="F141" s="168"/>
      <c r="G141" s="167"/>
      <c r="H141" s="167"/>
      <c r="I141" s="167"/>
      <c r="J141" s="167"/>
      <c r="K141" s="167"/>
      <c r="L141" s="167"/>
      <c r="M141" s="167"/>
      <c r="N141" s="167"/>
      <c r="O141" s="167"/>
      <c r="P141" s="167"/>
      <c r="Q141" s="167"/>
      <c r="R141" s="167"/>
      <c r="S141" s="167"/>
      <c r="T141" s="167"/>
      <c r="U141" s="167"/>
      <c r="V141" s="167"/>
      <c r="W141" s="167"/>
      <c r="X141" s="167"/>
      <c r="Y141" s="167"/>
      <c r="Z141" s="167"/>
    </row>
    <row r="142" spans="1:26" ht="18" customHeight="1">
      <c r="A142" s="250"/>
      <c r="B142" s="167"/>
      <c r="C142" s="167"/>
      <c r="D142" s="167"/>
      <c r="E142" s="167"/>
      <c r="F142" s="168"/>
      <c r="G142" s="167"/>
      <c r="H142" s="167"/>
      <c r="I142" s="167"/>
      <c r="J142" s="167"/>
      <c r="K142" s="167"/>
      <c r="L142" s="167"/>
      <c r="M142" s="167"/>
      <c r="N142" s="167"/>
      <c r="O142" s="167"/>
      <c r="P142" s="167"/>
      <c r="Q142" s="167"/>
      <c r="R142" s="167"/>
      <c r="S142" s="167"/>
      <c r="T142" s="167"/>
      <c r="U142" s="167"/>
      <c r="V142" s="167"/>
      <c r="W142" s="167"/>
      <c r="X142" s="167"/>
      <c r="Y142" s="167"/>
      <c r="Z142" s="167"/>
    </row>
    <row r="143" spans="1:26" ht="18" customHeight="1">
      <c r="A143" s="250"/>
      <c r="B143" s="167"/>
      <c r="C143" s="167"/>
      <c r="D143" s="167"/>
      <c r="E143" s="167"/>
      <c r="F143" s="168"/>
      <c r="G143" s="167"/>
      <c r="H143" s="167"/>
      <c r="I143" s="167"/>
      <c r="J143" s="167"/>
      <c r="K143" s="167"/>
      <c r="L143" s="167"/>
      <c r="M143" s="167"/>
      <c r="N143" s="167"/>
      <c r="O143" s="167"/>
      <c r="P143" s="167"/>
      <c r="Q143" s="167"/>
      <c r="R143" s="167"/>
      <c r="S143" s="167"/>
      <c r="T143" s="167"/>
      <c r="U143" s="167"/>
      <c r="V143" s="167"/>
      <c r="W143" s="167"/>
      <c r="X143" s="167"/>
      <c r="Y143" s="167"/>
      <c r="Z143" s="167"/>
    </row>
    <row r="144" spans="1:26" ht="18" customHeight="1">
      <c r="A144" s="250"/>
      <c r="B144" s="167"/>
      <c r="C144" s="167"/>
      <c r="D144" s="167"/>
      <c r="E144" s="167"/>
      <c r="F144" s="168"/>
      <c r="G144" s="167"/>
      <c r="H144" s="167"/>
      <c r="I144" s="167"/>
      <c r="J144" s="167"/>
      <c r="K144" s="167"/>
      <c r="L144" s="167"/>
      <c r="M144" s="167"/>
      <c r="N144" s="167"/>
      <c r="O144" s="167"/>
      <c r="P144" s="167"/>
      <c r="Q144" s="167"/>
      <c r="R144" s="167"/>
      <c r="S144" s="167"/>
      <c r="T144" s="167"/>
      <c r="U144" s="167"/>
      <c r="V144" s="167"/>
      <c r="W144" s="167"/>
      <c r="X144" s="167"/>
      <c r="Y144" s="167"/>
      <c r="Z144" s="167"/>
    </row>
    <row r="145" spans="1:26" ht="18" customHeight="1">
      <c r="A145" s="250"/>
      <c r="B145" s="167"/>
      <c r="C145" s="167"/>
      <c r="D145" s="167"/>
      <c r="E145" s="167"/>
      <c r="F145" s="168"/>
      <c r="G145" s="167"/>
      <c r="H145" s="167"/>
      <c r="I145" s="167"/>
      <c r="J145" s="167"/>
      <c r="K145" s="167"/>
      <c r="L145" s="167"/>
      <c r="M145" s="167"/>
      <c r="N145" s="167"/>
      <c r="O145" s="167"/>
      <c r="P145" s="167"/>
      <c r="Q145" s="167"/>
      <c r="R145" s="167"/>
      <c r="S145" s="167"/>
      <c r="T145" s="167"/>
      <c r="U145" s="167"/>
      <c r="V145" s="167"/>
      <c r="W145" s="167"/>
      <c r="X145" s="167"/>
      <c r="Y145" s="167"/>
      <c r="Z145" s="167"/>
    </row>
    <row r="146" spans="1:26" ht="18" customHeight="1">
      <c r="A146" s="250"/>
      <c r="B146" s="167"/>
      <c r="C146" s="167"/>
      <c r="D146" s="167"/>
      <c r="E146" s="167"/>
      <c r="F146" s="168"/>
      <c r="G146" s="167"/>
      <c r="H146" s="167"/>
      <c r="I146" s="167"/>
      <c r="J146" s="167"/>
      <c r="K146" s="167"/>
      <c r="L146" s="167"/>
      <c r="M146" s="167"/>
      <c r="N146" s="167"/>
      <c r="O146" s="167"/>
      <c r="P146" s="167"/>
      <c r="Q146" s="167"/>
      <c r="R146" s="167"/>
      <c r="S146" s="167"/>
      <c r="T146" s="167"/>
      <c r="U146" s="167"/>
      <c r="V146" s="167"/>
      <c r="W146" s="167"/>
      <c r="X146" s="167"/>
      <c r="Y146" s="167"/>
      <c r="Z146" s="167"/>
    </row>
    <row r="147" spans="1:26" ht="18" customHeight="1">
      <c r="A147" s="250"/>
      <c r="B147" s="167"/>
      <c r="C147" s="167"/>
      <c r="D147" s="167"/>
      <c r="E147" s="167"/>
      <c r="F147" s="168"/>
      <c r="G147" s="167"/>
      <c r="H147" s="167"/>
      <c r="I147" s="167"/>
      <c r="J147" s="167"/>
      <c r="K147" s="167"/>
      <c r="L147" s="167"/>
      <c r="M147" s="167"/>
      <c r="N147" s="167"/>
      <c r="O147" s="167"/>
      <c r="P147" s="167"/>
      <c r="Q147" s="167"/>
      <c r="R147" s="167"/>
      <c r="S147" s="167"/>
      <c r="T147" s="167"/>
      <c r="U147" s="167"/>
      <c r="V147" s="167"/>
      <c r="W147" s="167"/>
      <c r="X147" s="167"/>
      <c r="Y147" s="167"/>
      <c r="Z147" s="167"/>
    </row>
    <row r="148" spans="1:26" ht="18" customHeight="1">
      <c r="A148" s="250"/>
      <c r="B148" s="167"/>
      <c r="C148" s="167"/>
      <c r="D148" s="167"/>
      <c r="E148" s="167"/>
      <c r="F148" s="168"/>
      <c r="G148" s="167"/>
      <c r="H148" s="167"/>
      <c r="I148" s="167"/>
      <c r="J148" s="167"/>
      <c r="K148" s="167"/>
      <c r="L148" s="167"/>
      <c r="M148" s="167"/>
      <c r="N148" s="167"/>
      <c r="O148" s="167"/>
      <c r="P148" s="167"/>
      <c r="Q148" s="167"/>
      <c r="R148" s="167"/>
      <c r="S148" s="167"/>
      <c r="T148" s="167"/>
      <c r="U148" s="167"/>
      <c r="V148" s="167"/>
      <c r="W148" s="167"/>
      <c r="X148" s="167"/>
      <c r="Y148" s="167"/>
      <c r="Z148" s="167"/>
    </row>
    <row r="149" spans="1:26" ht="18" customHeight="1">
      <c r="A149" s="250"/>
      <c r="B149" s="167"/>
      <c r="C149" s="167"/>
      <c r="D149" s="167"/>
      <c r="E149" s="167"/>
      <c r="F149" s="168"/>
      <c r="G149" s="167"/>
      <c r="H149" s="167"/>
      <c r="I149" s="167"/>
      <c r="J149" s="167"/>
      <c r="K149" s="167"/>
      <c r="L149" s="167"/>
      <c r="M149" s="167"/>
      <c r="N149" s="167"/>
      <c r="O149" s="167"/>
      <c r="P149" s="167"/>
      <c r="Q149" s="167"/>
      <c r="R149" s="167"/>
      <c r="S149" s="167"/>
      <c r="T149" s="167"/>
      <c r="U149" s="167"/>
      <c r="V149" s="167"/>
      <c r="W149" s="167"/>
      <c r="X149" s="167"/>
      <c r="Y149" s="167"/>
      <c r="Z149" s="167"/>
    </row>
    <row r="150" spans="1:26" ht="18" customHeight="1">
      <c r="A150" s="250"/>
      <c r="B150" s="167"/>
      <c r="C150" s="167"/>
      <c r="D150" s="167"/>
      <c r="E150" s="167"/>
      <c r="F150" s="168"/>
      <c r="G150" s="167"/>
      <c r="H150" s="167"/>
      <c r="I150" s="167"/>
      <c r="J150" s="167"/>
      <c r="K150" s="167"/>
      <c r="L150" s="167"/>
      <c r="M150" s="167"/>
      <c r="N150" s="167"/>
      <c r="O150" s="167"/>
      <c r="P150" s="167"/>
      <c r="Q150" s="167"/>
      <c r="R150" s="167"/>
      <c r="S150" s="167"/>
      <c r="T150" s="167"/>
      <c r="U150" s="167"/>
      <c r="V150" s="167"/>
      <c r="W150" s="167"/>
      <c r="X150" s="167"/>
      <c r="Y150" s="167"/>
      <c r="Z150" s="167"/>
    </row>
    <row r="151" spans="1:26" ht="18" customHeight="1">
      <c r="A151" s="250"/>
      <c r="B151" s="167"/>
      <c r="C151" s="167"/>
      <c r="D151" s="167"/>
      <c r="E151" s="167"/>
      <c r="F151" s="168"/>
      <c r="G151" s="167"/>
      <c r="H151" s="167"/>
      <c r="I151" s="167"/>
      <c r="J151" s="167"/>
      <c r="K151" s="167"/>
      <c r="L151" s="167"/>
      <c r="M151" s="167"/>
      <c r="N151" s="167"/>
      <c r="O151" s="167"/>
      <c r="P151" s="167"/>
      <c r="Q151" s="167"/>
      <c r="R151" s="167"/>
      <c r="S151" s="167"/>
      <c r="T151" s="167"/>
      <c r="U151" s="167"/>
      <c r="V151" s="167"/>
      <c r="W151" s="167"/>
      <c r="X151" s="167"/>
      <c r="Y151" s="167"/>
      <c r="Z151" s="167"/>
    </row>
    <row r="152" spans="1:26" ht="18" customHeight="1">
      <c r="A152" s="250"/>
      <c r="B152" s="167"/>
      <c r="C152" s="167"/>
      <c r="D152" s="167"/>
      <c r="E152" s="167"/>
      <c r="F152" s="168"/>
      <c r="G152" s="167"/>
      <c r="H152" s="167"/>
      <c r="I152" s="167"/>
      <c r="J152" s="167"/>
      <c r="K152" s="167"/>
      <c r="L152" s="167"/>
      <c r="M152" s="167"/>
      <c r="N152" s="167"/>
      <c r="O152" s="167"/>
      <c r="P152" s="167"/>
      <c r="Q152" s="167"/>
      <c r="R152" s="167"/>
      <c r="S152" s="167"/>
      <c r="T152" s="167"/>
      <c r="U152" s="167"/>
      <c r="V152" s="167"/>
      <c r="W152" s="167"/>
      <c r="X152" s="167"/>
      <c r="Y152" s="167"/>
      <c r="Z152" s="167"/>
    </row>
    <row r="153" spans="1:26" ht="18" customHeight="1">
      <c r="A153" s="250"/>
      <c r="B153" s="167"/>
      <c r="C153" s="167"/>
      <c r="D153" s="167"/>
      <c r="E153" s="167"/>
      <c r="F153" s="168"/>
      <c r="G153" s="167"/>
      <c r="H153" s="167"/>
      <c r="I153" s="167"/>
      <c r="J153" s="167"/>
      <c r="K153" s="167"/>
      <c r="L153" s="167"/>
      <c r="M153" s="167"/>
      <c r="N153" s="167"/>
      <c r="O153" s="167"/>
      <c r="P153" s="167"/>
      <c r="Q153" s="167"/>
      <c r="R153" s="167"/>
      <c r="S153" s="167"/>
      <c r="T153" s="167"/>
      <c r="U153" s="167"/>
      <c r="V153" s="167"/>
      <c r="W153" s="167"/>
      <c r="X153" s="167"/>
      <c r="Y153" s="167"/>
      <c r="Z153" s="167"/>
    </row>
    <row r="154" spans="1:26" ht="18" customHeight="1">
      <c r="A154" s="250"/>
      <c r="B154" s="167"/>
      <c r="C154" s="167"/>
      <c r="D154" s="167"/>
      <c r="E154" s="167"/>
      <c r="F154" s="168"/>
      <c r="G154" s="167"/>
      <c r="H154" s="167"/>
      <c r="I154" s="167"/>
      <c r="J154" s="167"/>
      <c r="K154" s="167"/>
      <c r="L154" s="167"/>
      <c r="M154" s="167"/>
      <c r="N154" s="167"/>
      <c r="O154" s="167"/>
      <c r="P154" s="167"/>
      <c r="Q154" s="167"/>
      <c r="R154" s="167"/>
      <c r="S154" s="167"/>
      <c r="T154" s="167"/>
      <c r="U154" s="167"/>
      <c r="V154" s="167"/>
      <c r="W154" s="167"/>
      <c r="X154" s="167"/>
      <c r="Y154" s="167"/>
      <c r="Z154" s="167"/>
    </row>
    <row r="155" spans="1:26" ht="18" customHeight="1">
      <c r="A155" s="250"/>
      <c r="B155" s="167"/>
      <c r="C155" s="167"/>
      <c r="D155" s="167"/>
      <c r="E155" s="167"/>
      <c r="F155" s="168"/>
      <c r="G155" s="167"/>
      <c r="H155" s="167"/>
      <c r="I155" s="167"/>
      <c r="J155" s="167"/>
      <c r="K155" s="167"/>
      <c r="L155" s="167"/>
      <c r="M155" s="167"/>
      <c r="N155" s="167"/>
      <c r="O155" s="167"/>
      <c r="P155" s="167"/>
      <c r="Q155" s="167"/>
      <c r="R155" s="167"/>
      <c r="S155" s="167"/>
      <c r="T155" s="167"/>
      <c r="U155" s="167"/>
      <c r="V155" s="167"/>
      <c r="W155" s="167"/>
      <c r="X155" s="167"/>
      <c r="Y155" s="167"/>
      <c r="Z155" s="167"/>
    </row>
    <row r="156" spans="1:26" ht="18" customHeight="1">
      <c r="A156" s="250"/>
      <c r="B156" s="167"/>
      <c r="C156" s="167"/>
      <c r="D156" s="167"/>
      <c r="E156" s="167"/>
      <c r="F156" s="168"/>
      <c r="G156" s="167"/>
      <c r="H156" s="167"/>
      <c r="I156" s="167"/>
      <c r="J156" s="167"/>
      <c r="K156" s="167"/>
      <c r="L156" s="167"/>
      <c r="M156" s="167"/>
      <c r="N156" s="167"/>
      <c r="O156" s="167"/>
      <c r="P156" s="167"/>
      <c r="Q156" s="167"/>
      <c r="R156" s="167"/>
      <c r="S156" s="167"/>
      <c r="T156" s="167"/>
      <c r="U156" s="167"/>
      <c r="V156" s="167"/>
      <c r="W156" s="167"/>
      <c r="X156" s="167"/>
      <c r="Y156" s="167"/>
      <c r="Z156" s="167"/>
    </row>
    <row r="157" spans="1:26" ht="18" customHeight="1">
      <c r="A157" s="250"/>
      <c r="B157" s="167"/>
      <c r="C157" s="167"/>
      <c r="D157" s="167"/>
      <c r="E157" s="167"/>
      <c r="F157" s="168"/>
      <c r="G157" s="167"/>
      <c r="H157" s="167"/>
      <c r="I157" s="167"/>
      <c r="J157" s="167"/>
      <c r="K157" s="167"/>
      <c r="L157" s="167"/>
      <c r="M157" s="167"/>
      <c r="N157" s="167"/>
      <c r="O157" s="167"/>
      <c r="P157" s="167"/>
      <c r="Q157" s="167"/>
      <c r="R157" s="167"/>
      <c r="S157" s="167"/>
      <c r="T157" s="167"/>
      <c r="U157" s="167"/>
      <c r="V157" s="167"/>
      <c r="W157" s="167"/>
      <c r="X157" s="167"/>
      <c r="Y157" s="167"/>
      <c r="Z157" s="167"/>
    </row>
    <row r="158" spans="1:26" ht="18" customHeight="1">
      <c r="A158" s="250"/>
      <c r="B158" s="167"/>
      <c r="C158" s="167"/>
      <c r="D158" s="167"/>
      <c r="E158" s="167"/>
      <c r="F158" s="168"/>
      <c r="G158" s="167"/>
      <c r="H158" s="167"/>
      <c r="I158" s="167"/>
      <c r="J158" s="167"/>
      <c r="K158" s="167"/>
      <c r="L158" s="167"/>
      <c r="M158" s="167"/>
      <c r="N158" s="167"/>
      <c r="O158" s="167"/>
      <c r="P158" s="167"/>
      <c r="Q158" s="167"/>
      <c r="R158" s="167"/>
      <c r="S158" s="167"/>
      <c r="T158" s="167"/>
      <c r="U158" s="167"/>
      <c r="V158" s="167"/>
      <c r="W158" s="167"/>
      <c r="X158" s="167"/>
      <c r="Y158" s="167"/>
      <c r="Z158" s="167"/>
    </row>
    <row r="159" spans="1:26" ht="18" customHeight="1">
      <c r="A159" s="250"/>
      <c r="B159" s="167"/>
      <c r="C159" s="167"/>
      <c r="D159" s="167"/>
      <c r="E159" s="167"/>
      <c r="F159" s="168"/>
      <c r="G159" s="167"/>
      <c r="H159" s="167"/>
      <c r="I159" s="167"/>
      <c r="J159" s="167"/>
      <c r="K159" s="167"/>
      <c r="L159" s="167"/>
      <c r="M159" s="167"/>
      <c r="N159" s="167"/>
      <c r="O159" s="167"/>
      <c r="P159" s="167"/>
      <c r="Q159" s="167"/>
      <c r="R159" s="167"/>
      <c r="S159" s="167"/>
      <c r="T159" s="167"/>
      <c r="U159" s="167"/>
      <c r="V159" s="167"/>
      <c r="W159" s="167"/>
      <c r="X159" s="167"/>
      <c r="Y159" s="167"/>
      <c r="Z159" s="167"/>
    </row>
    <row r="160" spans="1:26" ht="18" customHeight="1">
      <c r="A160" s="250"/>
      <c r="B160" s="167"/>
      <c r="C160" s="167"/>
      <c r="D160" s="167"/>
      <c r="E160" s="167"/>
      <c r="F160" s="168"/>
      <c r="G160" s="167"/>
      <c r="H160" s="167"/>
      <c r="I160" s="167"/>
      <c r="J160" s="167"/>
      <c r="K160" s="167"/>
      <c r="L160" s="167"/>
      <c r="M160" s="167"/>
      <c r="N160" s="167"/>
      <c r="O160" s="167"/>
      <c r="P160" s="167"/>
      <c r="Q160" s="167"/>
      <c r="R160" s="167"/>
      <c r="S160" s="167"/>
      <c r="T160" s="167"/>
      <c r="U160" s="167"/>
      <c r="V160" s="167"/>
      <c r="W160" s="167"/>
      <c r="X160" s="167"/>
      <c r="Y160" s="167"/>
      <c r="Z160" s="167"/>
    </row>
    <row r="161" spans="1:26" ht="18" customHeight="1">
      <c r="A161" s="250"/>
      <c r="B161" s="167"/>
      <c r="C161" s="167"/>
      <c r="D161" s="167"/>
      <c r="E161" s="167"/>
      <c r="F161" s="168"/>
      <c r="G161" s="167"/>
      <c r="H161" s="167"/>
      <c r="I161" s="167"/>
      <c r="J161" s="167"/>
      <c r="K161" s="167"/>
      <c r="L161" s="167"/>
      <c r="M161" s="167"/>
      <c r="N161" s="167"/>
      <c r="O161" s="167"/>
      <c r="P161" s="167"/>
      <c r="Q161" s="167"/>
      <c r="R161" s="167"/>
      <c r="S161" s="167"/>
      <c r="T161" s="167"/>
      <c r="U161" s="167"/>
      <c r="V161" s="167"/>
      <c r="W161" s="167"/>
      <c r="X161" s="167"/>
      <c r="Y161" s="167"/>
      <c r="Z161" s="167"/>
    </row>
    <row r="162" spans="1:26" ht="18" customHeight="1">
      <c r="A162" s="250"/>
      <c r="B162" s="167"/>
      <c r="C162" s="167"/>
      <c r="D162" s="167"/>
      <c r="E162" s="167"/>
      <c r="F162" s="168"/>
      <c r="G162" s="167"/>
      <c r="H162" s="167"/>
      <c r="I162" s="167"/>
      <c r="J162" s="167"/>
      <c r="K162" s="167"/>
      <c r="L162" s="167"/>
      <c r="M162" s="167"/>
      <c r="N162" s="167"/>
      <c r="O162" s="167"/>
      <c r="P162" s="167"/>
      <c r="Q162" s="167"/>
      <c r="R162" s="167"/>
      <c r="S162" s="167"/>
      <c r="T162" s="167"/>
      <c r="U162" s="167"/>
      <c r="V162" s="167"/>
      <c r="W162" s="167"/>
      <c r="X162" s="167"/>
      <c r="Y162" s="167"/>
      <c r="Z162" s="167"/>
    </row>
    <row r="163" spans="1:26" ht="18" customHeight="1">
      <c r="A163" s="250"/>
      <c r="B163" s="167"/>
      <c r="C163" s="167"/>
      <c r="D163" s="167"/>
      <c r="E163" s="167"/>
      <c r="F163" s="168"/>
      <c r="G163" s="167"/>
      <c r="H163" s="167"/>
      <c r="I163" s="167"/>
      <c r="J163" s="167"/>
      <c r="K163" s="167"/>
      <c r="L163" s="167"/>
      <c r="M163" s="167"/>
      <c r="N163" s="167"/>
      <c r="O163" s="167"/>
      <c r="P163" s="167"/>
      <c r="Q163" s="167"/>
      <c r="R163" s="167"/>
      <c r="S163" s="167"/>
      <c r="T163" s="167"/>
      <c r="U163" s="167"/>
      <c r="V163" s="167"/>
      <c r="W163" s="167"/>
      <c r="X163" s="167"/>
      <c r="Y163" s="167"/>
      <c r="Z163" s="167"/>
    </row>
    <row r="164" spans="1:26" ht="18" customHeight="1">
      <c r="A164" s="250"/>
      <c r="B164" s="167"/>
      <c r="C164" s="167"/>
      <c r="D164" s="167"/>
      <c r="E164" s="167"/>
      <c r="F164" s="168"/>
      <c r="G164" s="167"/>
      <c r="H164" s="167"/>
      <c r="I164" s="167"/>
      <c r="J164" s="167"/>
      <c r="K164" s="167"/>
      <c r="L164" s="167"/>
      <c r="M164" s="167"/>
      <c r="N164" s="167"/>
      <c r="O164" s="167"/>
      <c r="P164" s="167"/>
      <c r="Q164" s="167"/>
      <c r="R164" s="167"/>
      <c r="S164" s="167"/>
      <c r="T164" s="167"/>
      <c r="U164" s="167"/>
      <c r="V164" s="167"/>
      <c r="W164" s="167"/>
      <c r="X164" s="167"/>
      <c r="Y164" s="167"/>
      <c r="Z164" s="167"/>
    </row>
    <row r="165" spans="1:26" ht="18" customHeight="1">
      <c r="A165" s="250"/>
      <c r="B165" s="167"/>
      <c r="C165" s="167"/>
      <c r="D165" s="167"/>
      <c r="E165" s="167"/>
      <c r="F165" s="168"/>
      <c r="G165" s="167"/>
      <c r="H165" s="167"/>
      <c r="I165" s="167"/>
      <c r="J165" s="167"/>
      <c r="K165" s="167"/>
      <c r="L165" s="167"/>
      <c r="M165" s="167"/>
      <c r="N165" s="167"/>
      <c r="O165" s="167"/>
      <c r="P165" s="167"/>
      <c r="Q165" s="167"/>
      <c r="R165" s="167"/>
      <c r="S165" s="167"/>
      <c r="T165" s="167"/>
      <c r="U165" s="167"/>
      <c r="V165" s="167"/>
      <c r="W165" s="167"/>
      <c r="X165" s="167"/>
      <c r="Y165" s="167"/>
      <c r="Z165" s="167"/>
    </row>
    <row r="166" spans="1:26" ht="18" customHeight="1">
      <c r="A166" s="250"/>
      <c r="B166" s="167"/>
      <c r="C166" s="167"/>
      <c r="D166" s="167"/>
      <c r="E166" s="167"/>
      <c r="F166" s="168"/>
      <c r="G166" s="167"/>
      <c r="H166" s="167"/>
      <c r="I166" s="167"/>
      <c r="J166" s="167"/>
      <c r="K166" s="167"/>
      <c r="L166" s="167"/>
      <c r="M166" s="167"/>
      <c r="N166" s="167"/>
      <c r="O166" s="167"/>
      <c r="P166" s="167"/>
      <c r="Q166" s="167"/>
      <c r="R166" s="167"/>
      <c r="S166" s="167"/>
      <c r="T166" s="167"/>
      <c r="U166" s="167"/>
      <c r="V166" s="167"/>
      <c r="W166" s="167"/>
      <c r="X166" s="167"/>
      <c r="Y166" s="167"/>
      <c r="Z166" s="167"/>
    </row>
    <row r="167" spans="1:26" ht="18" customHeight="1">
      <c r="A167" s="250"/>
      <c r="B167" s="167"/>
      <c r="C167" s="167"/>
      <c r="D167" s="167"/>
      <c r="E167" s="167"/>
      <c r="F167" s="168"/>
      <c r="G167" s="167"/>
      <c r="H167" s="167"/>
      <c r="I167" s="167"/>
      <c r="J167" s="167"/>
      <c r="K167" s="167"/>
      <c r="L167" s="167"/>
      <c r="M167" s="167"/>
      <c r="N167" s="167"/>
      <c r="O167" s="167"/>
      <c r="P167" s="167"/>
      <c r="Q167" s="167"/>
      <c r="R167" s="167"/>
      <c r="S167" s="167"/>
      <c r="T167" s="167"/>
      <c r="U167" s="167"/>
      <c r="V167" s="167"/>
      <c r="W167" s="167"/>
      <c r="X167" s="167"/>
      <c r="Y167" s="167"/>
      <c r="Z167" s="167"/>
    </row>
    <row r="168" spans="1:26" ht="18" customHeight="1">
      <c r="A168" s="250"/>
      <c r="B168" s="167"/>
      <c r="C168" s="167"/>
      <c r="D168" s="167"/>
      <c r="E168" s="167"/>
      <c r="F168" s="168"/>
      <c r="G168" s="167"/>
      <c r="H168" s="167"/>
      <c r="I168" s="167"/>
      <c r="J168" s="167"/>
      <c r="K168" s="167"/>
      <c r="L168" s="167"/>
      <c r="M168" s="167"/>
      <c r="N168" s="167"/>
      <c r="O168" s="167"/>
      <c r="P168" s="167"/>
      <c r="Q168" s="167"/>
      <c r="R168" s="167"/>
      <c r="S168" s="167"/>
      <c r="T168" s="167"/>
      <c r="U168" s="167"/>
      <c r="V168" s="167"/>
      <c r="W168" s="167"/>
      <c r="X168" s="167"/>
      <c r="Y168" s="167"/>
      <c r="Z168" s="167"/>
    </row>
    <row r="169" spans="1:26" ht="18" customHeight="1">
      <c r="A169" s="250"/>
      <c r="B169" s="167"/>
      <c r="C169" s="167"/>
      <c r="D169" s="167"/>
      <c r="E169" s="167"/>
      <c r="F169" s="168"/>
      <c r="G169" s="167"/>
      <c r="H169" s="167"/>
      <c r="I169" s="167"/>
      <c r="J169" s="167"/>
      <c r="K169" s="167"/>
      <c r="L169" s="167"/>
      <c r="M169" s="167"/>
      <c r="N169" s="167"/>
      <c r="O169" s="167"/>
      <c r="P169" s="167"/>
      <c r="Q169" s="167"/>
      <c r="R169" s="167"/>
      <c r="S169" s="167"/>
      <c r="T169" s="167"/>
      <c r="U169" s="167"/>
      <c r="V169" s="167"/>
      <c r="W169" s="167"/>
      <c r="X169" s="167"/>
      <c r="Y169" s="167"/>
      <c r="Z169" s="167"/>
    </row>
    <row r="170" spans="1:26" ht="18" customHeight="1">
      <c r="A170" s="250"/>
      <c r="B170" s="167"/>
      <c r="C170" s="167"/>
      <c r="D170" s="167"/>
      <c r="E170" s="167"/>
      <c r="F170" s="168"/>
      <c r="G170" s="167"/>
      <c r="H170" s="167"/>
      <c r="I170" s="167"/>
      <c r="J170" s="167"/>
      <c r="K170" s="167"/>
      <c r="L170" s="167"/>
      <c r="M170" s="167"/>
      <c r="N170" s="167"/>
      <c r="O170" s="167"/>
      <c r="P170" s="167"/>
      <c r="Q170" s="167"/>
      <c r="R170" s="167"/>
      <c r="S170" s="167"/>
      <c r="T170" s="167"/>
      <c r="U170" s="167"/>
      <c r="V170" s="167"/>
      <c r="W170" s="167"/>
      <c r="X170" s="167"/>
      <c r="Y170" s="167"/>
      <c r="Z170" s="167"/>
    </row>
    <row r="171" spans="1:26" ht="18" customHeight="1">
      <c r="A171" s="250"/>
      <c r="B171" s="167"/>
      <c r="C171" s="167"/>
      <c r="D171" s="167"/>
      <c r="E171" s="167"/>
      <c r="F171" s="168"/>
      <c r="G171" s="167"/>
      <c r="H171" s="167"/>
      <c r="I171" s="167"/>
      <c r="J171" s="167"/>
      <c r="K171" s="167"/>
      <c r="L171" s="167"/>
      <c r="M171" s="167"/>
      <c r="N171" s="167"/>
      <c r="O171" s="167"/>
      <c r="P171" s="167"/>
      <c r="Q171" s="167"/>
      <c r="R171" s="167"/>
      <c r="S171" s="167"/>
      <c r="T171" s="167"/>
      <c r="U171" s="167"/>
      <c r="V171" s="167"/>
      <c r="W171" s="167"/>
      <c r="X171" s="167"/>
      <c r="Y171" s="167"/>
      <c r="Z171" s="167"/>
    </row>
    <row r="172" spans="1:26" ht="18" customHeight="1">
      <c r="A172" s="250"/>
      <c r="B172" s="167"/>
      <c r="C172" s="167"/>
      <c r="D172" s="167"/>
      <c r="E172" s="167"/>
      <c r="F172" s="168"/>
      <c r="G172" s="167"/>
      <c r="H172" s="167"/>
      <c r="I172" s="167"/>
      <c r="J172" s="167"/>
      <c r="K172" s="167"/>
      <c r="L172" s="167"/>
      <c r="M172" s="167"/>
      <c r="N172" s="167"/>
      <c r="O172" s="167"/>
      <c r="P172" s="167"/>
      <c r="Q172" s="167"/>
      <c r="R172" s="167"/>
      <c r="S172" s="167"/>
      <c r="T172" s="167"/>
      <c r="U172" s="167"/>
      <c r="V172" s="167"/>
      <c r="W172" s="167"/>
      <c r="X172" s="167"/>
      <c r="Y172" s="167"/>
      <c r="Z172" s="167"/>
    </row>
    <row r="173" spans="1:26" ht="18" customHeight="1">
      <c r="A173" s="250"/>
      <c r="B173" s="167"/>
      <c r="C173" s="167"/>
      <c r="D173" s="167"/>
      <c r="E173" s="167"/>
      <c r="F173" s="168"/>
      <c r="G173" s="167"/>
      <c r="H173" s="167"/>
      <c r="I173" s="167"/>
      <c r="J173" s="167"/>
      <c r="K173" s="167"/>
      <c r="L173" s="167"/>
      <c r="M173" s="167"/>
      <c r="N173" s="167"/>
      <c r="O173" s="167"/>
      <c r="P173" s="167"/>
      <c r="Q173" s="167"/>
      <c r="R173" s="167"/>
      <c r="S173" s="167"/>
      <c r="T173" s="167"/>
      <c r="U173" s="167"/>
      <c r="V173" s="167"/>
      <c r="W173" s="167"/>
      <c r="X173" s="167"/>
      <c r="Y173" s="167"/>
      <c r="Z173" s="167"/>
    </row>
    <row r="174" spans="1:26" ht="18" customHeight="1">
      <c r="A174" s="250"/>
      <c r="B174" s="167"/>
      <c r="C174" s="167"/>
      <c r="D174" s="167"/>
      <c r="E174" s="167"/>
      <c r="F174" s="168"/>
      <c r="G174" s="167"/>
      <c r="H174" s="167"/>
      <c r="I174" s="167"/>
      <c r="J174" s="167"/>
      <c r="K174" s="167"/>
      <c r="L174" s="167"/>
      <c r="M174" s="167"/>
      <c r="N174" s="167"/>
      <c r="O174" s="167"/>
      <c r="P174" s="167"/>
      <c r="Q174" s="167"/>
      <c r="R174" s="167"/>
      <c r="S174" s="167"/>
      <c r="T174" s="167"/>
      <c r="U174" s="167"/>
      <c r="V174" s="167"/>
      <c r="W174" s="167"/>
      <c r="X174" s="167"/>
      <c r="Y174" s="167"/>
      <c r="Z174" s="167"/>
    </row>
    <row r="175" spans="1:26" ht="18" customHeight="1">
      <c r="A175" s="250"/>
      <c r="B175" s="167"/>
      <c r="C175" s="167"/>
      <c r="D175" s="167"/>
      <c r="E175" s="167"/>
      <c r="F175" s="168"/>
      <c r="G175" s="167"/>
      <c r="H175" s="167"/>
      <c r="I175" s="167"/>
      <c r="J175" s="167"/>
      <c r="K175" s="167"/>
      <c r="L175" s="167"/>
      <c r="M175" s="167"/>
      <c r="N175" s="167"/>
      <c r="O175" s="167"/>
      <c r="P175" s="167"/>
      <c r="Q175" s="167"/>
      <c r="R175" s="167"/>
      <c r="S175" s="167"/>
      <c r="T175" s="167"/>
      <c r="U175" s="167"/>
      <c r="V175" s="167"/>
      <c r="W175" s="167"/>
      <c r="X175" s="167"/>
      <c r="Y175" s="167"/>
      <c r="Z175" s="167"/>
    </row>
    <row r="176" spans="1:26" ht="18" customHeight="1">
      <c r="A176" s="250"/>
      <c r="B176" s="167"/>
      <c r="C176" s="167"/>
      <c r="D176" s="167"/>
      <c r="E176" s="167"/>
      <c r="F176" s="168"/>
      <c r="G176" s="167"/>
      <c r="H176" s="167"/>
      <c r="I176" s="167"/>
      <c r="J176" s="167"/>
      <c r="K176" s="167"/>
      <c r="L176" s="167"/>
      <c r="M176" s="167"/>
      <c r="N176" s="167"/>
      <c r="O176" s="167"/>
      <c r="P176" s="167"/>
      <c r="Q176" s="167"/>
      <c r="R176" s="167"/>
      <c r="S176" s="167"/>
      <c r="T176" s="167"/>
      <c r="U176" s="167"/>
      <c r="V176" s="167"/>
      <c r="W176" s="167"/>
      <c r="X176" s="167"/>
      <c r="Y176" s="167"/>
      <c r="Z176" s="167"/>
    </row>
    <row r="177" spans="1:26" ht="18" customHeight="1">
      <c r="A177" s="250"/>
      <c r="B177" s="167"/>
      <c r="C177" s="167"/>
      <c r="D177" s="167"/>
      <c r="E177" s="167"/>
      <c r="F177" s="168"/>
      <c r="G177" s="167"/>
      <c r="H177" s="167"/>
      <c r="I177" s="167"/>
      <c r="J177" s="167"/>
      <c r="K177" s="167"/>
      <c r="L177" s="167"/>
      <c r="M177" s="167"/>
      <c r="N177" s="167"/>
      <c r="O177" s="167"/>
      <c r="P177" s="167"/>
      <c r="Q177" s="167"/>
      <c r="R177" s="167"/>
      <c r="S177" s="167"/>
      <c r="T177" s="167"/>
      <c r="U177" s="167"/>
      <c r="V177" s="167"/>
      <c r="W177" s="167"/>
      <c r="X177" s="167"/>
      <c r="Y177" s="167"/>
      <c r="Z177" s="167"/>
    </row>
    <row r="178" spans="1:26" ht="18" customHeight="1">
      <c r="A178" s="250"/>
      <c r="B178" s="167"/>
      <c r="C178" s="167"/>
      <c r="D178" s="167"/>
      <c r="E178" s="167"/>
      <c r="F178" s="168"/>
      <c r="G178" s="167"/>
      <c r="H178" s="167"/>
      <c r="I178" s="167"/>
      <c r="J178" s="167"/>
      <c r="K178" s="167"/>
      <c r="L178" s="167"/>
      <c r="M178" s="167"/>
      <c r="N178" s="167"/>
      <c r="O178" s="167"/>
      <c r="P178" s="167"/>
      <c r="Q178" s="167"/>
      <c r="R178" s="167"/>
      <c r="S178" s="167"/>
      <c r="T178" s="167"/>
      <c r="U178" s="167"/>
      <c r="V178" s="167"/>
      <c r="W178" s="167"/>
      <c r="X178" s="167"/>
      <c r="Y178" s="167"/>
      <c r="Z178" s="167"/>
    </row>
    <row r="179" spans="1:26" ht="18" customHeight="1">
      <c r="A179" s="250"/>
      <c r="B179" s="167"/>
      <c r="C179" s="167"/>
      <c r="D179" s="167"/>
      <c r="E179" s="167"/>
      <c r="F179" s="168"/>
      <c r="G179" s="167"/>
      <c r="H179" s="167"/>
      <c r="I179" s="167"/>
      <c r="J179" s="167"/>
      <c r="K179" s="167"/>
      <c r="L179" s="167"/>
      <c r="M179" s="167"/>
      <c r="N179" s="167"/>
      <c r="O179" s="167"/>
      <c r="P179" s="167"/>
      <c r="Q179" s="167"/>
      <c r="R179" s="167"/>
      <c r="S179" s="167"/>
      <c r="T179" s="167"/>
      <c r="U179" s="167"/>
      <c r="V179" s="167"/>
      <c r="W179" s="167"/>
      <c r="X179" s="167"/>
      <c r="Y179" s="167"/>
      <c r="Z179" s="167"/>
    </row>
    <row r="180" spans="1:26" ht="18" customHeight="1">
      <c r="A180" s="250"/>
      <c r="B180" s="167"/>
      <c r="C180" s="167"/>
      <c r="D180" s="167"/>
      <c r="E180" s="167"/>
      <c r="F180" s="168"/>
      <c r="G180" s="167"/>
      <c r="H180" s="167"/>
      <c r="I180" s="167"/>
      <c r="J180" s="167"/>
      <c r="K180" s="167"/>
      <c r="L180" s="167"/>
      <c r="M180" s="167"/>
      <c r="N180" s="167"/>
      <c r="O180" s="167"/>
      <c r="P180" s="167"/>
      <c r="Q180" s="167"/>
      <c r="R180" s="167"/>
      <c r="S180" s="167"/>
      <c r="T180" s="167"/>
      <c r="U180" s="167"/>
      <c r="V180" s="167"/>
      <c r="W180" s="167"/>
      <c r="X180" s="167"/>
      <c r="Y180" s="167"/>
      <c r="Z180" s="167"/>
    </row>
    <row r="181" spans="1:26" ht="18" customHeight="1">
      <c r="A181" s="250"/>
      <c r="B181" s="167"/>
      <c r="C181" s="167"/>
      <c r="D181" s="167"/>
      <c r="E181" s="167"/>
      <c r="F181" s="168"/>
      <c r="G181" s="167"/>
      <c r="H181" s="167"/>
      <c r="I181" s="167"/>
      <c r="J181" s="167"/>
      <c r="K181" s="167"/>
      <c r="L181" s="167"/>
      <c r="M181" s="167"/>
      <c r="N181" s="167"/>
      <c r="O181" s="167"/>
      <c r="P181" s="167"/>
      <c r="Q181" s="167"/>
      <c r="R181" s="167"/>
      <c r="S181" s="167"/>
      <c r="T181" s="167"/>
      <c r="U181" s="167"/>
      <c r="V181" s="167"/>
      <c r="W181" s="167"/>
      <c r="X181" s="167"/>
      <c r="Y181" s="167"/>
      <c r="Z181" s="167"/>
    </row>
    <row r="182" spans="1:26" ht="18" customHeight="1">
      <c r="A182" s="250"/>
      <c r="B182" s="167"/>
      <c r="C182" s="167"/>
      <c r="D182" s="167"/>
      <c r="E182" s="167"/>
      <c r="F182" s="168"/>
      <c r="G182" s="167"/>
      <c r="H182" s="167"/>
      <c r="I182" s="167"/>
      <c r="J182" s="167"/>
      <c r="K182" s="167"/>
      <c r="L182" s="167"/>
      <c r="M182" s="167"/>
      <c r="N182" s="167"/>
      <c r="O182" s="167"/>
      <c r="P182" s="167"/>
      <c r="Q182" s="167"/>
      <c r="R182" s="167"/>
      <c r="S182" s="167"/>
      <c r="T182" s="167"/>
      <c r="U182" s="167"/>
      <c r="V182" s="167"/>
      <c r="W182" s="167"/>
      <c r="X182" s="167"/>
      <c r="Y182" s="167"/>
      <c r="Z182" s="167"/>
    </row>
    <row r="183" spans="1:26" ht="18" customHeight="1">
      <c r="A183" s="250"/>
      <c r="B183" s="167"/>
      <c r="C183" s="167"/>
      <c r="D183" s="167"/>
      <c r="E183" s="167"/>
      <c r="F183" s="168"/>
      <c r="G183" s="167"/>
      <c r="H183" s="167"/>
      <c r="I183" s="167"/>
      <c r="J183" s="167"/>
      <c r="K183" s="167"/>
      <c r="L183" s="167"/>
      <c r="M183" s="167"/>
      <c r="N183" s="167"/>
      <c r="O183" s="167"/>
      <c r="P183" s="167"/>
      <c r="Q183" s="167"/>
      <c r="R183" s="167"/>
      <c r="S183" s="167"/>
      <c r="T183" s="167"/>
      <c r="U183" s="167"/>
      <c r="V183" s="167"/>
      <c r="W183" s="167"/>
      <c r="X183" s="167"/>
      <c r="Y183" s="167"/>
      <c r="Z183" s="167"/>
    </row>
    <row r="184" spans="1:26" ht="18" customHeight="1">
      <c r="A184" s="250"/>
      <c r="B184" s="167"/>
      <c r="C184" s="167"/>
      <c r="D184" s="167"/>
      <c r="E184" s="167"/>
      <c r="F184" s="168"/>
      <c r="G184" s="167"/>
      <c r="H184" s="167"/>
      <c r="I184" s="167"/>
      <c r="J184" s="167"/>
      <c r="K184" s="167"/>
      <c r="L184" s="167"/>
      <c r="M184" s="167"/>
      <c r="N184" s="167"/>
      <c r="O184" s="167"/>
      <c r="P184" s="167"/>
      <c r="Q184" s="167"/>
      <c r="R184" s="167"/>
      <c r="S184" s="167"/>
      <c r="T184" s="167"/>
      <c r="U184" s="167"/>
      <c r="V184" s="167"/>
      <c r="W184" s="167"/>
      <c r="X184" s="167"/>
      <c r="Y184" s="167"/>
      <c r="Z184" s="167"/>
    </row>
    <row r="185" spans="1:26" ht="18" customHeight="1">
      <c r="A185" s="250"/>
      <c r="B185" s="167"/>
      <c r="C185" s="167"/>
      <c r="D185" s="167"/>
      <c r="E185" s="167"/>
      <c r="F185" s="168"/>
      <c r="G185" s="167"/>
      <c r="H185" s="167"/>
      <c r="I185" s="167"/>
      <c r="J185" s="167"/>
      <c r="K185" s="167"/>
      <c r="L185" s="167"/>
      <c r="M185" s="167"/>
      <c r="N185" s="167"/>
      <c r="O185" s="167"/>
      <c r="P185" s="167"/>
      <c r="Q185" s="167"/>
      <c r="R185" s="167"/>
      <c r="S185" s="167"/>
      <c r="T185" s="167"/>
      <c r="U185" s="167"/>
      <c r="V185" s="167"/>
      <c r="W185" s="167"/>
      <c r="X185" s="167"/>
      <c r="Y185" s="167"/>
      <c r="Z185" s="167"/>
    </row>
    <row r="186" spans="1:26" ht="18" customHeight="1">
      <c r="A186" s="250"/>
      <c r="B186" s="167"/>
      <c r="C186" s="167"/>
      <c r="D186" s="167"/>
      <c r="E186" s="167"/>
      <c r="F186" s="168"/>
      <c r="G186" s="167"/>
      <c r="H186" s="167"/>
      <c r="I186" s="167"/>
      <c r="J186" s="167"/>
      <c r="K186" s="167"/>
      <c r="L186" s="167"/>
      <c r="M186" s="167"/>
      <c r="N186" s="167"/>
      <c r="O186" s="167"/>
      <c r="P186" s="167"/>
      <c r="Q186" s="167"/>
      <c r="R186" s="167"/>
      <c r="S186" s="167"/>
      <c r="T186" s="167"/>
      <c r="U186" s="167"/>
      <c r="V186" s="167"/>
      <c r="W186" s="167"/>
      <c r="X186" s="167"/>
      <c r="Y186" s="167"/>
      <c r="Z186" s="167"/>
    </row>
    <row r="187" spans="1:26" ht="18" customHeight="1">
      <c r="A187" s="250"/>
      <c r="B187" s="167"/>
      <c r="C187" s="167"/>
      <c r="D187" s="167"/>
      <c r="E187" s="167"/>
      <c r="F187" s="168"/>
      <c r="G187" s="167"/>
      <c r="H187" s="167"/>
      <c r="I187" s="167"/>
      <c r="J187" s="167"/>
      <c r="K187" s="167"/>
      <c r="L187" s="167"/>
      <c r="M187" s="167"/>
      <c r="N187" s="167"/>
      <c r="O187" s="167"/>
      <c r="P187" s="167"/>
      <c r="Q187" s="167"/>
      <c r="R187" s="167"/>
      <c r="S187" s="167"/>
      <c r="T187" s="167"/>
      <c r="U187" s="167"/>
      <c r="V187" s="167"/>
      <c r="W187" s="167"/>
      <c r="X187" s="167"/>
      <c r="Y187" s="167"/>
      <c r="Z187" s="167"/>
    </row>
    <row r="188" spans="1:26" ht="18" customHeight="1">
      <c r="A188" s="250"/>
      <c r="B188" s="167"/>
      <c r="C188" s="167"/>
      <c r="D188" s="167"/>
      <c r="E188" s="167"/>
      <c r="F188" s="168"/>
      <c r="G188" s="167"/>
      <c r="H188" s="167"/>
      <c r="I188" s="167"/>
      <c r="J188" s="167"/>
      <c r="K188" s="167"/>
      <c r="L188" s="167"/>
      <c r="M188" s="167"/>
      <c r="N188" s="167"/>
      <c r="O188" s="167"/>
      <c r="P188" s="167"/>
      <c r="Q188" s="167"/>
      <c r="R188" s="167"/>
      <c r="S188" s="167"/>
      <c r="T188" s="167"/>
      <c r="U188" s="167"/>
      <c r="V188" s="167"/>
      <c r="W188" s="167"/>
      <c r="X188" s="167"/>
      <c r="Y188" s="167"/>
      <c r="Z188" s="167"/>
    </row>
    <row r="189" spans="1:26" ht="18" customHeight="1">
      <c r="A189" s="250"/>
      <c r="B189" s="167"/>
      <c r="C189" s="167"/>
      <c r="D189" s="167"/>
      <c r="E189" s="167"/>
      <c r="F189" s="168"/>
      <c r="G189" s="167"/>
      <c r="H189" s="167"/>
      <c r="I189" s="167"/>
      <c r="J189" s="167"/>
      <c r="K189" s="167"/>
      <c r="L189" s="167"/>
      <c r="M189" s="167"/>
      <c r="N189" s="167"/>
      <c r="O189" s="167"/>
      <c r="P189" s="167"/>
      <c r="Q189" s="167"/>
      <c r="R189" s="167"/>
      <c r="S189" s="167"/>
      <c r="T189" s="167"/>
      <c r="U189" s="167"/>
      <c r="V189" s="167"/>
      <c r="W189" s="167"/>
      <c r="X189" s="167"/>
      <c r="Y189" s="167"/>
      <c r="Z189" s="167"/>
    </row>
    <row r="190" spans="1:26" ht="18" customHeight="1">
      <c r="A190" s="250"/>
      <c r="B190" s="167"/>
      <c r="C190" s="167"/>
      <c r="D190" s="167"/>
      <c r="E190" s="167"/>
      <c r="F190" s="168"/>
      <c r="G190" s="167"/>
      <c r="H190" s="167"/>
      <c r="I190" s="167"/>
      <c r="J190" s="167"/>
      <c r="K190" s="167"/>
      <c r="L190" s="167"/>
      <c r="M190" s="167"/>
      <c r="N190" s="167"/>
      <c r="O190" s="167"/>
      <c r="P190" s="167"/>
      <c r="Q190" s="167"/>
      <c r="R190" s="167"/>
      <c r="S190" s="167"/>
      <c r="T190" s="167"/>
      <c r="U190" s="167"/>
      <c r="V190" s="167"/>
      <c r="W190" s="167"/>
      <c r="X190" s="167"/>
      <c r="Y190" s="167"/>
      <c r="Z190" s="167"/>
    </row>
    <row r="191" spans="1:26" ht="18" customHeight="1">
      <c r="A191" s="250"/>
      <c r="B191" s="167"/>
      <c r="C191" s="167"/>
      <c r="D191" s="167"/>
      <c r="E191" s="167"/>
      <c r="F191" s="168"/>
      <c r="G191" s="167"/>
      <c r="H191" s="167"/>
      <c r="I191" s="167"/>
      <c r="J191" s="167"/>
      <c r="K191" s="167"/>
      <c r="L191" s="167"/>
      <c r="M191" s="167"/>
      <c r="N191" s="167"/>
      <c r="O191" s="167"/>
      <c r="P191" s="167"/>
      <c r="Q191" s="167"/>
      <c r="R191" s="167"/>
      <c r="S191" s="167"/>
      <c r="T191" s="167"/>
      <c r="U191" s="167"/>
      <c r="V191" s="167"/>
      <c r="W191" s="167"/>
      <c r="X191" s="167"/>
      <c r="Y191" s="167"/>
      <c r="Z191" s="167"/>
    </row>
    <row r="192" spans="1:26" ht="18" customHeight="1">
      <c r="A192" s="250"/>
      <c r="B192" s="167"/>
      <c r="C192" s="167"/>
      <c r="D192" s="167"/>
      <c r="E192" s="167"/>
      <c r="F192" s="168"/>
      <c r="G192" s="167"/>
      <c r="H192" s="167"/>
      <c r="I192" s="167"/>
      <c r="J192" s="167"/>
      <c r="K192" s="167"/>
      <c r="L192" s="167"/>
      <c r="M192" s="167"/>
      <c r="N192" s="167"/>
      <c r="O192" s="167"/>
      <c r="P192" s="167"/>
      <c r="Q192" s="167"/>
      <c r="R192" s="167"/>
      <c r="S192" s="167"/>
      <c r="T192" s="167"/>
      <c r="U192" s="167"/>
      <c r="V192" s="167"/>
      <c r="W192" s="167"/>
      <c r="X192" s="167"/>
      <c r="Y192" s="167"/>
      <c r="Z192" s="167"/>
    </row>
    <row r="193" spans="1:26" ht="18" customHeight="1">
      <c r="A193" s="250"/>
      <c r="B193" s="167"/>
      <c r="C193" s="167"/>
      <c r="D193" s="167"/>
      <c r="E193" s="167"/>
      <c r="F193" s="168"/>
      <c r="G193" s="167"/>
      <c r="H193" s="167"/>
      <c r="I193" s="167"/>
      <c r="J193" s="167"/>
      <c r="K193" s="167"/>
      <c r="L193" s="167"/>
      <c r="M193" s="167"/>
      <c r="N193" s="167"/>
      <c r="O193" s="167"/>
      <c r="P193" s="167"/>
      <c r="Q193" s="167"/>
      <c r="R193" s="167"/>
      <c r="S193" s="167"/>
      <c r="T193" s="167"/>
      <c r="U193" s="167"/>
      <c r="V193" s="167"/>
      <c r="W193" s="167"/>
      <c r="X193" s="167"/>
      <c r="Y193" s="167"/>
      <c r="Z193" s="167"/>
    </row>
    <row r="194" spans="1:26" ht="18" customHeight="1">
      <c r="A194" s="250"/>
      <c r="B194" s="167"/>
      <c r="C194" s="167"/>
      <c r="D194" s="167"/>
      <c r="E194" s="167"/>
      <c r="F194" s="168"/>
      <c r="G194" s="167"/>
      <c r="H194" s="167"/>
      <c r="I194" s="167"/>
      <c r="J194" s="167"/>
      <c r="K194" s="167"/>
      <c r="L194" s="167"/>
      <c r="M194" s="167"/>
      <c r="N194" s="167"/>
      <c r="O194" s="167"/>
      <c r="P194" s="167"/>
      <c r="Q194" s="167"/>
      <c r="R194" s="167"/>
      <c r="S194" s="167"/>
      <c r="T194" s="167"/>
      <c r="U194" s="167"/>
      <c r="V194" s="167"/>
      <c r="W194" s="167"/>
      <c r="X194" s="167"/>
      <c r="Y194" s="167"/>
      <c r="Z194" s="167"/>
    </row>
    <row r="195" spans="1:26" ht="18" customHeight="1">
      <c r="A195" s="250"/>
      <c r="B195" s="167"/>
      <c r="C195" s="167"/>
      <c r="D195" s="167"/>
      <c r="E195" s="167"/>
      <c r="F195" s="168"/>
      <c r="G195" s="167"/>
      <c r="H195" s="167"/>
      <c r="I195" s="167"/>
      <c r="J195" s="167"/>
      <c r="K195" s="167"/>
      <c r="L195" s="167"/>
      <c r="M195" s="167"/>
      <c r="N195" s="167"/>
      <c r="O195" s="167"/>
      <c r="P195" s="167"/>
      <c r="Q195" s="167"/>
      <c r="R195" s="167"/>
      <c r="S195" s="167"/>
      <c r="T195" s="167"/>
      <c r="U195" s="167"/>
      <c r="V195" s="167"/>
      <c r="W195" s="167"/>
      <c r="X195" s="167"/>
      <c r="Y195" s="167"/>
      <c r="Z195" s="167"/>
    </row>
    <row r="196" spans="1:26" ht="18" customHeight="1">
      <c r="A196" s="250"/>
      <c r="B196" s="167"/>
      <c r="C196" s="167"/>
      <c r="D196" s="167"/>
      <c r="E196" s="167"/>
      <c r="F196" s="168"/>
      <c r="G196" s="167"/>
      <c r="H196" s="167"/>
      <c r="I196" s="167"/>
      <c r="J196" s="167"/>
      <c r="K196" s="167"/>
      <c r="L196" s="167"/>
      <c r="M196" s="167"/>
      <c r="N196" s="167"/>
      <c r="O196" s="167"/>
      <c r="P196" s="167"/>
      <c r="Q196" s="167"/>
      <c r="R196" s="167"/>
      <c r="S196" s="167"/>
      <c r="T196" s="167"/>
      <c r="U196" s="167"/>
      <c r="V196" s="167"/>
      <c r="W196" s="167"/>
      <c r="X196" s="167"/>
      <c r="Y196" s="167"/>
      <c r="Z196" s="167"/>
    </row>
    <row r="197" spans="1:26" ht="18" customHeight="1">
      <c r="A197" s="250"/>
      <c r="B197" s="167"/>
      <c r="C197" s="167"/>
      <c r="D197" s="167"/>
      <c r="E197" s="167"/>
      <c r="F197" s="168"/>
      <c r="G197" s="167"/>
      <c r="H197" s="167"/>
      <c r="I197" s="167"/>
      <c r="J197" s="167"/>
      <c r="K197" s="167"/>
      <c r="L197" s="167"/>
      <c r="M197" s="167"/>
      <c r="N197" s="167"/>
      <c r="O197" s="167"/>
      <c r="P197" s="167"/>
      <c r="Q197" s="167"/>
      <c r="R197" s="167"/>
      <c r="S197" s="167"/>
      <c r="T197" s="167"/>
      <c r="U197" s="167"/>
      <c r="V197" s="167"/>
      <c r="W197" s="167"/>
      <c r="X197" s="167"/>
      <c r="Y197" s="167"/>
      <c r="Z197" s="167"/>
    </row>
    <row r="198" spans="1:26" ht="18" customHeight="1">
      <c r="A198" s="250"/>
      <c r="B198" s="167"/>
      <c r="C198" s="167"/>
      <c r="D198" s="167"/>
      <c r="E198" s="167"/>
      <c r="F198" s="168"/>
      <c r="G198" s="167"/>
      <c r="H198" s="167"/>
      <c r="I198" s="167"/>
      <c r="J198" s="167"/>
      <c r="K198" s="167"/>
      <c r="L198" s="167"/>
      <c r="M198" s="167"/>
      <c r="N198" s="167"/>
      <c r="O198" s="167"/>
      <c r="P198" s="167"/>
      <c r="Q198" s="167"/>
      <c r="R198" s="167"/>
      <c r="S198" s="167"/>
      <c r="T198" s="167"/>
      <c r="U198" s="167"/>
      <c r="V198" s="167"/>
      <c r="W198" s="167"/>
      <c r="X198" s="167"/>
      <c r="Y198" s="167"/>
      <c r="Z198" s="167"/>
    </row>
    <row r="199" spans="1:26" ht="18" customHeight="1">
      <c r="A199" s="250"/>
      <c r="B199" s="167"/>
      <c r="C199" s="167"/>
      <c r="D199" s="167"/>
      <c r="E199" s="167"/>
      <c r="F199" s="168"/>
      <c r="G199" s="167"/>
      <c r="H199" s="167"/>
      <c r="I199" s="167"/>
      <c r="J199" s="167"/>
      <c r="K199" s="167"/>
      <c r="L199" s="167"/>
      <c r="M199" s="167"/>
      <c r="N199" s="167"/>
      <c r="O199" s="167"/>
      <c r="P199" s="167"/>
      <c r="Q199" s="167"/>
      <c r="R199" s="167"/>
      <c r="S199" s="167"/>
      <c r="T199" s="167"/>
      <c r="U199" s="167"/>
      <c r="V199" s="167"/>
      <c r="W199" s="167"/>
      <c r="X199" s="167"/>
      <c r="Y199" s="167"/>
      <c r="Z199" s="167"/>
    </row>
    <row r="200" spans="1:26" ht="18" customHeight="1">
      <c r="A200" s="250"/>
      <c r="B200" s="167"/>
      <c r="C200" s="167"/>
      <c r="D200" s="167"/>
      <c r="E200" s="167"/>
      <c r="F200" s="168"/>
      <c r="G200" s="167"/>
      <c r="H200" s="167"/>
      <c r="I200" s="167"/>
      <c r="J200" s="167"/>
      <c r="K200" s="167"/>
      <c r="L200" s="167"/>
      <c r="M200" s="167"/>
      <c r="N200" s="167"/>
      <c r="O200" s="167"/>
      <c r="P200" s="167"/>
      <c r="Q200" s="167"/>
      <c r="R200" s="167"/>
      <c r="S200" s="167"/>
      <c r="T200" s="167"/>
      <c r="U200" s="167"/>
      <c r="V200" s="167"/>
      <c r="W200" s="167"/>
      <c r="X200" s="167"/>
      <c r="Y200" s="167"/>
      <c r="Z200" s="167"/>
    </row>
    <row r="201" spans="1:26" ht="18" customHeight="1">
      <c r="A201" s="250"/>
      <c r="B201" s="167"/>
      <c r="C201" s="167"/>
      <c r="D201" s="167"/>
      <c r="E201" s="167"/>
      <c r="F201" s="168"/>
      <c r="G201" s="167"/>
      <c r="H201" s="167"/>
      <c r="I201" s="167"/>
      <c r="J201" s="167"/>
      <c r="K201" s="167"/>
      <c r="L201" s="167"/>
      <c r="M201" s="167"/>
      <c r="N201" s="167"/>
      <c r="O201" s="167"/>
      <c r="P201" s="167"/>
      <c r="Q201" s="167"/>
      <c r="R201" s="167"/>
      <c r="S201" s="167"/>
      <c r="T201" s="167"/>
      <c r="U201" s="167"/>
      <c r="V201" s="167"/>
      <c r="W201" s="167"/>
      <c r="X201" s="167"/>
      <c r="Y201" s="167"/>
      <c r="Z201" s="167"/>
    </row>
    <row r="202" spans="1:26" ht="18" customHeight="1">
      <c r="A202" s="250"/>
      <c r="B202" s="167"/>
      <c r="C202" s="167"/>
      <c r="D202" s="167"/>
      <c r="E202" s="167"/>
      <c r="F202" s="168"/>
      <c r="G202" s="167"/>
      <c r="H202" s="167"/>
      <c r="I202" s="167"/>
      <c r="J202" s="167"/>
      <c r="K202" s="167"/>
      <c r="L202" s="167"/>
      <c r="M202" s="167"/>
      <c r="N202" s="167"/>
      <c r="O202" s="167"/>
      <c r="P202" s="167"/>
      <c r="Q202" s="167"/>
      <c r="R202" s="167"/>
      <c r="S202" s="167"/>
      <c r="T202" s="167"/>
      <c r="U202" s="167"/>
      <c r="V202" s="167"/>
      <c r="W202" s="167"/>
      <c r="X202" s="167"/>
      <c r="Y202" s="167"/>
      <c r="Z202" s="167"/>
    </row>
    <row r="203" spans="1:26" ht="18" customHeight="1">
      <c r="A203" s="250"/>
      <c r="B203" s="167"/>
      <c r="C203" s="167"/>
      <c r="D203" s="167"/>
      <c r="E203" s="167"/>
      <c r="F203" s="168"/>
      <c r="G203" s="167"/>
      <c r="H203" s="167"/>
      <c r="I203" s="167"/>
      <c r="J203" s="167"/>
      <c r="K203" s="167"/>
      <c r="L203" s="167"/>
      <c r="M203" s="167"/>
      <c r="N203" s="167"/>
      <c r="O203" s="167"/>
      <c r="P203" s="167"/>
      <c r="Q203" s="167"/>
      <c r="R203" s="167"/>
      <c r="S203" s="167"/>
      <c r="T203" s="167"/>
      <c r="U203" s="167"/>
      <c r="V203" s="167"/>
      <c r="W203" s="167"/>
      <c r="X203" s="167"/>
      <c r="Y203" s="167"/>
      <c r="Z203" s="167"/>
    </row>
    <row r="204" spans="1:26" ht="18" customHeight="1">
      <c r="A204" s="250"/>
      <c r="B204" s="167"/>
      <c r="C204" s="167"/>
      <c r="D204" s="167"/>
      <c r="E204" s="167"/>
      <c r="F204" s="168"/>
      <c r="G204" s="167"/>
      <c r="H204" s="167"/>
      <c r="I204" s="167"/>
      <c r="J204" s="167"/>
      <c r="K204" s="167"/>
      <c r="L204" s="167"/>
      <c r="M204" s="167"/>
      <c r="N204" s="167"/>
      <c r="O204" s="167"/>
      <c r="P204" s="167"/>
      <c r="Q204" s="167"/>
      <c r="R204" s="167"/>
      <c r="S204" s="167"/>
      <c r="T204" s="167"/>
      <c r="U204" s="167"/>
      <c r="V204" s="167"/>
      <c r="W204" s="167"/>
      <c r="X204" s="167"/>
      <c r="Y204" s="167"/>
      <c r="Z204" s="167"/>
    </row>
    <row r="205" spans="1:26" ht="18" customHeight="1">
      <c r="A205" s="250"/>
      <c r="B205" s="167"/>
      <c r="C205" s="167"/>
      <c r="D205" s="167"/>
      <c r="E205" s="167"/>
      <c r="F205" s="168"/>
      <c r="G205" s="167"/>
      <c r="H205" s="167"/>
      <c r="I205" s="167"/>
      <c r="J205" s="167"/>
      <c r="K205" s="167"/>
      <c r="L205" s="167"/>
      <c r="M205" s="167"/>
      <c r="N205" s="167"/>
      <c r="O205" s="167"/>
      <c r="P205" s="167"/>
      <c r="Q205" s="167"/>
      <c r="R205" s="167"/>
      <c r="S205" s="167"/>
      <c r="T205" s="167"/>
      <c r="U205" s="167"/>
      <c r="V205" s="167"/>
      <c r="W205" s="167"/>
      <c r="X205" s="167"/>
      <c r="Y205" s="167"/>
      <c r="Z205" s="167"/>
    </row>
    <row r="206" spans="1:26" ht="18" customHeight="1">
      <c r="A206" s="250"/>
      <c r="B206" s="167"/>
      <c r="C206" s="167"/>
      <c r="D206" s="167"/>
      <c r="E206" s="167"/>
      <c r="F206" s="168"/>
      <c r="G206" s="167"/>
      <c r="H206" s="167"/>
      <c r="I206" s="167"/>
      <c r="J206" s="167"/>
      <c r="K206" s="167"/>
      <c r="L206" s="167"/>
      <c r="M206" s="167"/>
      <c r="N206" s="167"/>
      <c r="O206" s="167"/>
      <c r="P206" s="167"/>
      <c r="Q206" s="167"/>
      <c r="R206" s="167"/>
      <c r="S206" s="167"/>
      <c r="T206" s="167"/>
      <c r="U206" s="167"/>
      <c r="V206" s="167"/>
      <c r="W206" s="167"/>
      <c r="X206" s="167"/>
      <c r="Y206" s="167"/>
      <c r="Z206" s="167"/>
    </row>
    <row r="207" spans="1:26" ht="18" customHeight="1">
      <c r="A207" s="250"/>
      <c r="B207" s="167"/>
      <c r="C207" s="167"/>
      <c r="D207" s="167"/>
      <c r="E207" s="167"/>
      <c r="F207" s="168"/>
      <c r="G207" s="167"/>
      <c r="H207" s="167"/>
      <c r="I207" s="167"/>
      <c r="J207" s="167"/>
      <c r="K207" s="167"/>
      <c r="L207" s="167"/>
      <c r="M207" s="167"/>
      <c r="N207" s="167"/>
      <c r="O207" s="167"/>
      <c r="P207" s="167"/>
      <c r="Q207" s="167"/>
      <c r="R207" s="167"/>
      <c r="S207" s="167"/>
      <c r="T207" s="167"/>
      <c r="U207" s="167"/>
      <c r="V207" s="167"/>
      <c r="W207" s="167"/>
      <c r="X207" s="167"/>
      <c r="Y207" s="167"/>
      <c r="Z207" s="167"/>
    </row>
    <row r="208" spans="1:26" ht="18" customHeight="1">
      <c r="A208" s="250"/>
      <c r="B208" s="167"/>
      <c r="C208" s="167"/>
      <c r="D208" s="167"/>
      <c r="E208" s="167"/>
      <c r="F208" s="168"/>
      <c r="G208" s="167"/>
      <c r="H208" s="167"/>
      <c r="I208" s="167"/>
      <c r="J208" s="167"/>
      <c r="K208" s="167"/>
      <c r="L208" s="167"/>
      <c r="M208" s="167"/>
      <c r="N208" s="167"/>
      <c r="O208" s="167"/>
      <c r="P208" s="167"/>
      <c r="Q208" s="167"/>
      <c r="R208" s="167"/>
      <c r="S208" s="167"/>
      <c r="T208" s="167"/>
      <c r="U208" s="167"/>
      <c r="V208" s="167"/>
      <c r="W208" s="167"/>
      <c r="X208" s="167"/>
      <c r="Y208" s="167"/>
      <c r="Z208" s="167"/>
    </row>
    <row r="209" spans="1:26" ht="18" customHeight="1">
      <c r="A209" s="250"/>
      <c r="B209" s="167"/>
      <c r="C209" s="167"/>
      <c r="D209" s="167"/>
      <c r="E209" s="167"/>
      <c r="F209" s="168"/>
      <c r="G209" s="167"/>
      <c r="H209" s="167"/>
      <c r="I209" s="167"/>
      <c r="J209" s="167"/>
      <c r="K209" s="167"/>
      <c r="L209" s="167"/>
      <c r="M209" s="167"/>
      <c r="N209" s="167"/>
      <c r="O209" s="167"/>
      <c r="P209" s="167"/>
      <c r="Q209" s="167"/>
      <c r="R209" s="167"/>
      <c r="S209" s="167"/>
      <c r="T209" s="167"/>
      <c r="U209" s="167"/>
      <c r="V209" s="167"/>
      <c r="W209" s="167"/>
      <c r="X209" s="167"/>
      <c r="Y209" s="167"/>
      <c r="Z209" s="167"/>
    </row>
    <row r="210" spans="1:26" ht="18" customHeight="1">
      <c r="A210" s="250"/>
      <c r="B210" s="167"/>
      <c r="C210" s="167"/>
      <c r="D210" s="167"/>
      <c r="E210" s="167"/>
      <c r="F210" s="168"/>
      <c r="G210" s="167"/>
      <c r="H210" s="167"/>
      <c r="I210" s="167"/>
      <c r="J210" s="167"/>
      <c r="K210" s="167"/>
      <c r="L210" s="167"/>
      <c r="M210" s="167"/>
      <c r="N210" s="167"/>
      <c r="O210" s="167"/>
      <c r="P210" s="167"/>
      <c r="Q210" s="167"/>
      <c r="R210" s="167"/>
      <c r="S210" s="167"/>
      <c r="T210" s="167"/>
      <c r="U210" s="167"/>
      <c r="V210" s="167"/>
      <c r="W210" s="167"/>
      <c r="X210" s="167"/>
      <c r="Y210" s="167"/>
      <c r="Z210" s="167"/>
    </row>
    <row r="211" spans="1:26" ht="18" customHeight="1">
      <c r="A211" s="250"/>
      <c r="B211" s="167"/>
      <c r="C211" s="167"/>
      <c r="D211" s="167"/>
      <c r="E211" s="167"/>
      <c r="F211" s="168"/>
      <c r="G211" s="167"/>
      <c r="H211" s="167"/>
      <c r="I211" s="167"/>
      <c r="J211" s="167"/>
      <c r="K211" s="167"/>
      <c r="L211" s="167"/>
      <c r="M211" s="167"/>
      <c r="N211" s="167"/>
      <c r="O211" s="167"/>
      <c r="P211" s="167"/>
      <c r="Q211" s="167"/>
      <c r="R211" s="167"/>
      <c r="S211" s="167"/>
      <c r="T211" s="167"/>
      <c r="U211" s="167"/>
      <c r="V211" s="167"/>
      <c r="W211" s="167"/>
      <c r="X211" s="167"/>
      <c r="Y211" s="167"/>
      <c r="Z211" s="167"/>
    </row>
    <row r="212" spans="1:26" ht="18" customHeight="1">
      <c r="A212" s="250"/>
      <c r="B212" s="167"/>
      <c r="C212" s="167"/>
      <c r="D212" s="167"/>
      <c r="E212" s="167"/>
      <c r="F212" s="168"/>
      <c r="G212" s="167"/>
      <c r="H212" s="167"/>
      <c r="I212" s="167"/>
      <c r="J212" s="167"/>
      <c r="K212" s="167"/>
      <c r="L212" s="167"/>
      <c r="M212" s="167"/>
      <c r="N212" s="167"/>
      <c r="O212" s="167"/>
      <c r="P212" s="167"/>
      <c r="Q212" s="167"/>
      <c r="R212" s="167"/>
      <c r="S212" s="167"/>
      <c r="T212" s="167"/>
      <c r="U212" s="167"/>
      <c r="V212" s="167"/>
      <c r="W212" s="167"/>
      <c r="X212" s="167"/>
      <c r="Y212" s="167"/>
      <c r="Z212" s="167"/>
    </row>
    <row r="213" spans="1:26" ht="18" customHeight="1">
      <c r="A213" s="250"/>
      <c r="B213" s="167"/>
      <c r="C213" s="167"/>
      <c r="D213" s="167"/>
      <c r="E213" s="167"/>
      <c r="F213" s="168"/>
      <c r="G213" s="167"/>
      <c r="H213" s="167"/>
      <c r="I213" s="167"/>
      <c r="J213" s="167"/>
      <c r="K213" s="167"/>
      <c r="L213" s="167"/>
      <c r="M213" s="167"/>
      <c r="N213" s="167"/>
      <c r="O213" s="167"/>
      <c r="P213" s="167"/>
      <c r="Q213" s="167"/>
      <c r="R213" s="167"/>
      <c r="S213" s="167"/>
      <c r="T213" s="167"/>
      <c r="U213" s="167"/>
      <c r="V213" s="167"/>
      <c r="W213" s="167"/>
      <c r="X213" s="167"/>
      <c r="Y213" s="167"/>
      <c r="Z213" s="167"/>
    </row>
    <row r="214" spans="1:26" ht="18" customHeight="1">
      <c r="A214" s="250"/>
      <c r="B214" s="167"/>
      <c r="C214" s="167"/>
      <c r="D214" s="167"/>
      <c r="E214" s="167"/>
      <c r="F214" s="168"/>
      <c r="G214" s="167"/>
      <c r="H214" s="167"/>
      <c r="I214" s="167"/>
      <c r="J214" s="167"/>
      <c r="K214" s="167"/>
      <c r="L214" s="167"/>
      <c r="M214" s="167"/>
      <c r="N214" s="167"/>
      <c r="O214" s="167"/>
      <c r="P214" s="167"/>
      <c r="Q214" s="167"/>
      <c r="R214" s="167"/>
      <c r="S214" s="167"/>
      <c r="T214" s="167"/>
      <c r="U214" s="167"/>
      <c r="V214" s="167"/>
      <c r="W214" s="167"/>
      <c r="X214" s="167"/>
      <c r="Y214" s="167"/>
      <c r="Z214" s="167"/>
    </row>
    <row r="215" spans="1:26" ht="18" customHeight="1">
      <c r="A215" s="250"/>
      <c r="B215" s="167"/>
      <c r="C215" s="167"/>
      <c r="D215" s="167"/>
      <c r="E215" s="167"/>
      <c r="F215" s="168"/>
      <c r="G215" s="167"/>
      <c r="H215" s="167"/>
      <c r="I215" s="167"/>
      <c r="J215" s="167"/>
      <c r="K215" s="167"/>
      <c r="L215" s="167"/>
      <c r="M215" s="167"/>
      <c r="N215" s="167"/>
      <c r="O215" s="167"/>
      <c r="P215" s="167"/>
      <c r="Q215" s="167"/>
      <c r="R215" s="167"/>
      <c r="S215" s="167"/>
      <c r="T215" s="167"/>
      <c r="U215" s="167"/>
      <c r="V215" s="167"/>
      <c r="W215" s="167"/>
      <c r="X215" s="167"/>
      <c r="Y215" s="167"/>
      <c r="Z215" s="167"/>
    </row>
    <row r="216" spans="1:26" ht="18" customHeight="1">
      <c r="A216" s="250"/>
      <c r="B216" s="167"/>
      <c r="C216" s="167"/>
      <c r="D216" s="167"/>
      <c r="E216" s="167"/>
      <c r="F216" s="168"/>
      <c r="G216" s="167"/>
      <c r="H216" s="167"/>
      <c r="I216" s="167"/>
      <c r="J216" s="167"/>
      <c r="K216" s="167"/>
      <c r="L216" s="167"/>
      <c r="M216" s="167"/>
      <c r="N216" s="167"/>
      <c r="O216" s="167"/>
      <c r="P216" s="167"/>
      <c r="Q216" s="167"/>
      <c r="R216" s="167"/>
      <c r="S216" s="167"/>
      <c r="T216" s="167"/>
      <c r="U216" s="167"/>
      <c r="V216" s="167"/>
      <c r="W216" s="167"/>
      <c r="X216" s="167"/>
      <c r="Y216" s="167"/>
      <c r="Z216" s="167"/>
    </row>
    <row r="217" spans="1:26" ht="18" customHeight="1">
      <c r="A217" s="250"/>
      <c r="B217" s="167"/>
      <c r="C217" s="167"/>
      <c r="D217" s="167"/>
      <c r="E217" s="167"/>
      <c r="F217" s="168"/>
      <c r="G217" s="167"/>
      <c r="H217" s="167"/>
      <c r="I217" s="167"/>
      <c r="J217" s="167"/>
      <c r="K217" s="167"/>
      <c r="L217" s="167"/>
      <c r="M217" s="167"/>
      <c r="N217" s="167"/>
      <c r="O217" s="167"/>
      <c r="P217" s="167"/>
      <c r="Q217" s="167"/>
      <c r="R217" s="167"/>
      <c r="S217" s="167"/>
      <c r="T217" s="167"/>
      <c r="U217" s="167"/>
      <c r="V217" s="167"/>
      <c r="W217" s="167"/>
      <c r="X217" s="167"/>
      <c r="Y217" s="167"/>
      <c r="Z217" s="167"/>
    </row>
    <row r="218" spans="1:26" ht="18" customHeight="1">
      <c r="A218" s="250"/>
      <c r="B218" s="167"/>
      <c r="C218" s="167"/>
      <c r="D218" s="167"/>
      <c r="E218" s="167"/>
      <c r="F218" s="168"/>
      <c r="G218" s="167"/>
      <c r="H218" s="167"/>
      <c r="I218" s="167"/>
      <c r="J218" s="167"/>
      <c r="K218" s="167"/>
      <c r="L218" s="167"/>
      <c r="M218" s="167"/>
      <c r="N218" s="167"/>
      <c r="O218" s="167"/>
      <c r="P218" s="167"/>
      <c r="Q218" s="167"/>
      <c r="R218" s="167"/>
      <c r="S218" s="167"/>
      <c r="T218" s="167"/>
      <c r="U218" s="167"/>
      <c r="V218" s="167"/>
      <c r="W218" s="167"/>
      <c r="X218" s="167"/>
      <c r="Y218" s="167"/>
      <c r="Z218" s="167"/>
    </row>
    <row r="219" spans="1:26" ht="18" customHeight="1">
      <c r="A219" s="250"/>
      <c r="B219" s="167"/>
      <c r="C219" s="167"/>
      <c r="D219" s="167"/>
      <c r="E219" s="167"/>
      <c r="F219" s="168"/>
      <c r="G219" s="167"/>
      <c r="H219" s="167"/>
      <c r="I219" s="167"/>
      <c r="J219" s="167"/>
      <c r="K219" s="167"/>
      <c r="L219" s="167"/>
      <c r="M219" s="167"/>
      <c r="N219" s="167"/>
      <c r="O219" s="167"/>
      <c r="P219" s="167"/>
      <c r="Q219" s="167"/>
      <c r="R219" s="167"/>
      <c r="S219" s="167"/>
      <c r="T219" s="167"/>
      <c r="U219" s="167"/>
      <c r="V219" s="167"/>
      <c r="W219" s="167"/>
      <c r="X219" s="167"/>
      <c r="Y219" s="167"/>
      <c r="Z219" s="167"/>
    </row>
    <row r="220" spans="1:26" ht="18" customHeight="1">
      <c r="A220" s="250"/>
      <c r="B220" s="167"/>
      <c r="C220" s="167"/>
      <c r="D220" s="167"/>
      <c r="E220" s="167"/>
      <c r="F220" s="168"/>
      <c r="G220" s="167"/>
      <c r="H220" s="167"/>
      <c r="I220" s="167"/>
      <c r="J220" s="167"/>
      <c r="K220" s="167"/>
      <c r="L220" s="167"/>
      <c r="M220" s="167"/>
      <c r="N220" s="167"/>
      <c r="O220" s="167"/>
      <c r="P220" s="167"/>
      <c r="Q220" s="167"/>
      <c r="R220" s="167"/>
      <c r="S220" s="167"/>
      <c r="T220" s="167"/>
      <c r="U220" s="167"/>
      <c r="V220" s="167"/>
      <c r="W220" s="167"/>
      <c r="X220" s="167"/>
      <c r="Y220" s="167"/>
      <c r="Z220" s="167"/>
    </row>
    <row r="221" spans="1:26" ht="18" customHeight="1">
      <c r="A221" s="250"/>
      <c r="B221" s="167"/>
      <c r="C221" s="167"/>
      <c r="D221" s="167"/>
      <c r="E221" s="167"/>
      <c r="F221" s="168"/>
      <c r="G221" s="167"/>
      <c r="H221" s="167"/>
      <c r="I221" s="167"/>
      <c r="J221" s="167"/>
      <c r="K221" s="167"/>
      <c r="L221" s="167"/>
      <c r="M221" s="167"/>
      <c r="N221" s="167"/>
      <c r="O221" s="167"/>
      <c r="P221" s="167"/>
      <c r="Q221" s="167"/>
      <c r="R221" s="167"/>
      <c r="S221" s="167"/>
      <c r="T221" s="167"/>
      <c r="U221" s="167"/>
      <c r="V221" s="167"/>
      <c r="W221" s="167"/>
      <c r="X221" s="167"/>
      <c r="Y221" s="167"/>
      <c r="Z221" s="167"/>
    </row>
    <row r="222" spans="1:26" ht="18" customHeight="1">
      <c r="A222" s="250"/>
      <c r="B222" s="167"/>
      <c r="C222" s="167"/>
      <c r="D222" s="167"/>
      <c r="E222" s="167"/>
      <c r="F222" s="168"/>
      <c r="G222" s="167"/>
      <c r="H222" s="167"/>
      <c r="I222" s="167"/>
      <c r="J222" s="167"/>
      <c r="K222" s="167"/>
      <c r="L222" s="167"/>
      <c r="M222" s="167"/>
      <c r="N222" s="167"/>
      <c r="O222" s="167"/>
      <c r="P222" s="167"/>
      <c r="Q222" s="167"/>
      <c r="R222" s="167"/>
      <c r="S222" s="167"/>
      <c r="T222" s="167"/>
      <c r="U222" s="167"/>
      <c r="V222" s="167"/>
      <c r="W222" s="167"/>
      <c r="X222" s="167"/>
      <c r="Y222" s="167"/>
      <c r="Z222" s="167"/>
    </row>
    <row r="223" spans="1:26" ht="18" customHeight="1">
      <c r="A223" s="250"/>
      <c r="B223" s="167"/>
      <c r="C223" s="167"/>
      <c r="D223" s="167"/>
      <c r="E223" s="167"/>
      <c r="F223" s="168"/>
      <c r="G223" s="167"/>
      <c r="H223" s="167"/>
      <c r="I223" s="167"/>
      <c r="J223" s="167"/>
      <c r="K223" s="167"/>
      <c r="L223" s="167"/>
      <c r="M223" s="167"/>
      <c r="N223" s="167"/>
      <c r="O223" s="167"/>
      <c r="P223" s="167"/>
      <c r="Q223" s="167"/>
      <c r="R223" s="167"/>
      <c r="S223" s="167"/>
      <c r="T223" s="167"/>
      <c r="U223" s="167"/>
      <c r="V223" s="167"/>
      <c r="W223" s="167"/>
      <c r="X223" s="167"/>
      <c r="Y223" s="167"/>
      <c r="Z223" s="167"/>
    </row>
    <row r="224" spans="1:26" ht="18" customHeight="1">
      <c r="A224" s="250"/>
      <c r="B224" s="167"/>
      <c r="C224" s="167"/>
      <c r="D224" s="167"/>
      <c r="E224" s="167"/>
      <c r="F224" s="168"/>
      <c r="G224" s="167"/>
      <c r="H224" s="167"/>
      <c r="I224" s="167"/>
      <c r="J224" s="167"/>
      <c r="K224" s="167"/>
      <c r="L224" s="167"/>
      <c r="M224" s="167"/>
      <c r="N224" s="167"/>
      <c r="O224" s="167"/>
      <c r="P224" s="167"/>
      <c r="Q224" s="167"/>
      <c r="R224" s="167"/>
      <c r="S224" s="167"/>
      <c r="T224" s="167"/>
      <c r="U224" s="167"/>
      <c r="V224" s="167"/>
      <c r="W224" s="167"/>
      <c r="X224" s="167"/>
      <c r="Y224" s="167"/>
      <c r="Z224" s="167"/>
    </row>
    <row r="225" spans="1:26" ht="18" customHeight="1">
      <c r="A225" s="250"/>
      <c r="B225" s="167"/>
      <c r="C225" s="167"/>
      <c r="D225" s="167"/>
      <c r="E225" s="167"/>
      <c r="F225" s="168"/>
      <c r="G225" s="167"/>
      <c r="H225" s="167"/>
      <c r="I225" s="167"/>
      <c r="J225" s="167"/>
      <c r="K225" s="167"/>
      <c r="L225" s="167"/>
      <c r="M225" s="167"/>
      <c r="N225" s="167"/>
      <c r="O225" s="167"/>
      <c r="P225" s="167"/>
      <c r="Q225" s="167"/>
      <c r="R225" s="167"/>
      <c r="S225" s="167"/>
      <c r="T225" s="167"/>
      <c r="U225" s="167"/>
      <c r="V225" s="167"/>
      <c r="W225" s="167"/>
      <c r="X225" s="167"/>
      <c r="Y225" s="167"/>
      <c r="Z225" s="167"/>
    </row>
    <row r="226" spans="1:26" ht="18" customHeight="1">
      <c r="A226" s="250"/>
      <c r="B226" s="167"/>
      <c r="C226" s="167"/>
      <c r="D226" s="167"/>
      <c r="E226" s="167"/>
      <c r="F226" s="168"/>
      <c r="G226" s="167"/>
      <c r="H226" s="167"/>
      <c r="I226" s="167"/>
      <c r="J226" s="167"/>
      <c r="K226" s="167"/>
      <c r="L226" s="167"/>
      <c r="M226" s="167"/>
      <c r="N226" s="167"/>
      <c r="O226" s="167"/>
      <c r="P226" s="167"/>
      <c r="Q226" s="167"/>
      <c r="R226" s="167"/>
      <c r="S226" s="167"/>
      <c r="T226" s="167"/>
      <c r="U226" s="167"/>
      <c r="V226" s="167"/>
      <c r="W226" s="167"/>
      <c r="X226" s="167"/>
      <c r="Y226" s="167"/>
      <c r="Z226" s="167"/>
    </row>
    <row r="227" spans="1:26" ht="18" customHeight="1">
      <c r="A227" s="250"/>
      <c r="B227" s="167"/>
      <c r="C227" s="167"/>
      <c r="D227" s="167"/>
      <c r="E227" s="167"/>
      <c r="F227" s="168"/>
      <c r="G227" s="167"/>
      <c r="H227" s="167"/>
      <c r="I227" s="167"/>
      <c r="J227" s="167"/>
      <c r="K227" s="167"/>
      <c r="L227" s="167"/>
      <c r="M227" s="167"/>
      <c r="N227" s="167"/>
      <c r="O227" s="167"/>
      <c r="P227" s="167"/>
      <c r="Q227" s="167"/>
      <c r="R227" s="167"/>
      <c r="S227" s="167"/>
      <c r="T227" s="167"/>
      <c r="U227" s="167"/>
      <c r="V227" s="167"/>
      <c r="W227" s="167"/>
      <c r="X227" s="167"/>
      <c r="Y227" s="167"/>
      <c r="Z227" s="167"/>
    </row>
    <row r="228" spans="1:26" ht="18" customHeight="1">
      <c r="A228" s="250"/>
      <c r="B228" s="167"/>
      <c r="C228" s="167"/>
      <c r="D228" s="167"/>
      <c r="E228" s="167"/>
      <c r="F228" s="168"/>
      <c r="G228" s="167"/>
      <c r="H228" s="167"/>
      <c r="I228" s="167"/>
      <c r="J228" s="167"/>
      <c r="K228" s="167"/>
      <c r="L228" s="167"/>
      <c r="M228" s="167"/>
      <c r="N228" s="167"/>
      <c r="O228" s="167"/>
      <c r="P228" s="167"/>
      <c r="Q228" s="167"/>
      <c r="R228" s="167"/>
      <c r="S228" s="167"/>
      <c r="T228" s="167"/>
      <c r="U228" s="167"/>
      <c r="V228" s="167"/>
      <c r="W228" s="167"/>
      <c r="X228" s="167"/>
      <c r="Y228" s="167"/>
      <c r="Z228" s="167"/>
    </row>
    <row r="229" spans="1:26" ht="18" customHeight="1">
      <c r="A229" s="250"/>
      <c r="B229" s="167"/>
      <c r="C229" s="167"/>
      <c r="D229" s="167"/>
      <c r="E229" s="167"/>
      <c r="F229" s="168"/>
      <c r="G229" s="167"/>
      <c r="H229" s="167"/>
      <c r="I229" s="167"/>
      <c r="J229" s="167"/>
      <c r="K229" s="167"/>
      <c r="L229" s="167"/>
      <c r="M229" s="167"/>
      <c r="N229" s="167"/>
      <c r="O229" s="167"/>
      <c r="P229" s="167"/>
      <c r="Q229" s="167"/>
      <c r="R229" s="167"/>
      <c r="S229" s="167"/>
      <c r="T229" s="167"/>
      <c r="U229" s="167"/>
      <c r="V229" s="167"/>
      <c r="W229" s="167"/>
      <c r="X229" s="167"/>
      <c r="Y229" s="167"/>
      <c r="Z229" s="167"/>
    </row>
    <row r="230" spans="1:26" ht="18" customHeight="1">
      <c r="A230" s="250"/>
      <c r="B230" s="167"/>
      <c r="C230" s="167"/>
      <c r="D230" s="167"/>
      <c r="E230" s="167"/>
      <c r="F230" s="168"/>
      <c r="G230" s="167"/>
      <c r="H230" s="167"/>
      <c r="I230" s="167"/>
      <c r="J230" s="167"/>
      <c r="K230" s="167"/>
      <c r="L230" s="167"/>
      <c r="M230" s="167"/>
      <c r="N230" s="167"/>
      <c r="O230" s="167"/>
      <c r="P230" s="167"/>
      <c r="Q230" s="167"/>
      <c r="R230" s="167"/>
      <c r="S230" s="167"/>
      <c r="T230" s="167"/>
      <c r="U230" s="167"/>
      <c r="V230" s="167"/>
      <c r="W230" s="167"/>
      <c r="X230" s="167"/>
      <c r="Y230" s="167"/>
      <c r="Z230" s="167"/>
    </row>
    <row r="231" spans="1:26" ht="18" customHeight="1">
      <c r="A231" s="250"/>
      <c r="B231" s="167"/>
      <c r="C231" s="167"/>
      <c r="D231" s="167"/>
      <c r="E231" s="167"/>
      <c r="F231" s="168"/>
      <c r="G231" s="167"/>
      <c r="H231" s="167"/>
      <c r="I231" s="167"/>
      <c r="J231" s="167"/>
      <c r="K231" s="167"/>
      <c r="L231" s="167"/>
      <c r="M231" s="167"/>
      <c r="N231" s="167"/>
      <c r="O231" s="167"/>
      <c r="P231" s="167"/>
      <c r="Q231" s="167"/>
      <c r="R231" s="167"/>
      <c r="S231" s="167"/>
      <c r="T231" s="167"/>
      <c r="U231" s="167"/>
      <c r="V231" s="167"/>
      <c r="W231" s="167"/>
      <c r="X231" s="167"/>
      <c r="Y231" s="167"/>
      <c r="Z231" s="167"/>
    </row>
    <row r="232" spans="1:26" ht="18" customHeight="1">
      <c r="A232" s="250"/>
      <c r="B232" s="167"/>
      <c r="C232" s="167"/>
      <c r="D232" s="167"/>
      <c r="E232" s="167"/>
      <c r="F232" s="168"/>
      <c r="G232" s="167"/>
      <c r="H232" s="167"/>
      <c r="I232" s="167"/>
      <c r="J232" s="167"/>
      <c r="K232" s="167"/>
      <c r="L232" s="167"/>
      <c r="M232" s="167"/>
      <c r="N232" s="167"/>
      <c r="O232" s="167"/>
      <c r="P232" s="167"/>
      <c r="Q232" s="167"/>
      <c r="R232" s="167"/>
      <c r="S232" s="167"/>
      <c r="T232" s="167"/>
      <c r="U232" s="167"/>
      <c r="V232" s="167"/>
      <c r="W232" s="167"/>
      <c r="X232" s="167"/>
      <c r="Y232" s="167"/>
      <c r="Z232" s="167"/>
    </row>
    <row r="233" spans="1:26" ht="18" customHeight="1">
      <c r="A233" s="250"/>
      <c r="B233" s="167"/>
      <c r="C233" s="167"/>
      <c r="D233" s="167"/>
      <c r="E233" s="167"/>
      <c r="F233" s="168"/>
      <c r="G233" s="167"/>
      <c r="H233" s="167"/>
      <c r="I233" s="167"/>
      <c r="J233" s="167"/>
      <c r="K233" s="167"/>
      <c r="L233" s="167"/>
      <c r="M233" s="167"/>
      <c r="N233" s="167"/>
      <c r="O233" s="167"/>
      <c r="P233" s="167"/>
      <c r="Q233" s="167"/>
      <c r="R233" s="167"/>
      <c r="S233" s="167"/>
      <c r="T233" s="167"/>
      <c r="U233" s="167"/>
      <c r="V233" s="167"/>
      <c r="W233" s="167"/>
      <c r="X233" s="167"/>
      <c r="Y233" s="167"/>
      <c r="Z233" s="167"/>
    </row>
    <row r="234" spans="1:26" ht="18" customHeight="1">
      <c r="A234" s="250"/>
      <c r="B234" s="167"/>
      <c r="C234" s="167"/>
      <c r="D234" s="167"/>
      <c r="E234" s="167"/>
      <c r="F234" s="168"/>
      <c r="G234" s="167"/>
      <c r="H234" s="167"/>
      <c r="I234" s="167"/>
      <c r="J234" s="167"/>
      <c r="K234" s="167"/>
      <c r="L234" s="167"/>
      <c r="M234" s="167"/>
      <c r="N234" s="167"/>
      <c r="O234" s="167"/>
      <c r="P234" s="167"/>
      <c r="Q234" s="167"/>
      <c r="R234" s="167"/>
      <c r="S234" s="167"/>
      <c r="T234" s="167"/>
      <c r="U234" s="167"/>
      <c r="V234" s="167"/>
      <c r="W234" s="167"/>
      <c r="X234" s="167"/>
      <c r="Y234" s="167"/>
      <c r="Z234" s="167"/>
    </row>
    <row r="235" spans="1:26" ht="18" customHeight="1">
      <c r="A235" s="250"/>
      <c r="B235" s="167"/>
      <c r="C235" s="167"/>
      <c r="D235" s="167"/>
      <c r="E235" s="167"/>
      <c r="F235" s="168"/>
      <c r="G235" s="167"/>
      <c r="H235" s="167"/>
      <c r="I235" s="167"/>
      <c r="J235" s="167"/>
      <c r="K235" s="167"/>
      <c r="L235" s="167"/>
      <c r="M235" s="167"/>
      <c r="N235" s="167"/>
      <c r="O235" s="167"/>
      <c r="P235" s="167"/>
      <c r="Q235" s="167"/>
      <c r="R235" s="167"/>
      <c r="S235" s="167"/>
      <c r="T235" s="167"/>
      <c r="U235" s="167"/>
      <c r="V235" s="167"/>
      <c r="W235" s="167"/>
      <c r="X235" s="167"/>
      <c r="Y235" s="167"/>
      <c r="Z235" s="167"/>
    </row>
    <row r="236" spans="1:26" ht="18" customHeight="1">
      <c r="A236" s="250"/>
      <c r="B236" s="167"/>
      <c r="C236" s="167"/>
      <c r="D236" s="167"/>
      <c r="E236" s="167"/>
      <c r="F236" s="168"/>
      <c r="G236" s="167"/>
      <c r="H236" s="167"/>
      <c r="I236" s="167"/>
      <c r="J236" s="167"/>
      <c r="K236" s="167"/>
      <c r="L236" s="167"/>
      <c r="M236" s="167"/>
      <c r="N236" s="167"/>
      <c r="O236" s="167"/>
      <c r="P236" s="167"/>
      <c r="Q236" s="167"/>
      <c r="R236" s="167"/>
      <c r="S236" s="167"/>
      <c r="T236" s="167"/>
      <c r="U236" s="167"/>
      <c r="V236" s="167"/>
      <c r="W236" s="167"/>
      <c r="X236" s="167"/>
      <c r="Y236" s="167"/>
      <c r="Z236" s="167"/>
    </row>
    <row r="237" spans="1:26" ht="18" customHeight="1">
      <c r="A237" s="250"/>
      <c r="B237" s="167"/>
      <c r="C237" s="167"/>
      <c r="D237" s="167"/>
      <c r="E237" s="167"/>
      <c r="F237" s="168"/>
      <c r="G237" s="167"/>
      <c r="H237" s="167"/>
      <c r="I237" s="167"/>
      <c r="J237" s="167"/>
      <c r="K237" s="167"/>
      <c r="L237" s="167"/>
      <c r="M237" s="167"/>
      <c r="N237" s="167"/>
      <c r="O237" s="167"/>
      <c r="P237" s="167"/>
      <c r="Q237" s="167"/>
      <c r="R237" s="167"/>
      <c r="S237" s="167"/>
      <c r="T237" s="167"/>
      <c r="U237" s="167"/>
      <c r="V237" s="167"/>
      <c r="W237" s="167"/>
      <c r="X237" s="167"/>
      <c r="Y237" s="167"/>
      <c r="Z237" s="167"/>
    </row>
    <row r="238" spans="1:26" ht="18" customHeight="1">
      <c r="A238" s="250"/>
      <c r="B238" s="167"/>
      <c r="C238" s="167"/>
      <c r="D238" s="167"/>
      <c r="E238" s="167"/>
      <c r="F238" s="168"/>
      <c r="G238" s="167"/>
      <c r="H238" s="167"/>
      <c r="I238" s="167"/>
      <c r="J238" s="167"/>
      <c r="K238" s="167"/>
      <c r="L238" s="167"/>
      <c r="M238" s="167"/>
      <c r="N238" s="167"/>
      <c r="O238" s="167"/>
      <c r="P238" s="167"/>
      <c r="Q238" s="167"/>
      <c r="R238" s="167"/>
      <c r="S238" s="167"/>
      <c r="T238" s="167"/>
      <c r="U238" s="167"/>
      <c r="V238" s="167"/>
      <c r="W238" s="167"/>
      <c r="X238" s="167"/>
      <c r="Y238" s="167"/>
      <c r="Z238" s="167"/>
    </row>
    <row r="239" spans="1:26" ht="18" customHeight="1">
      <c r="A239" s="250"/>
      <c r="B239" s="167"/>
      <c r="C239" s="167"/>
      <c r="D239" s="167"/>
      <c r="E239" s="167"/>
      <c r="F239" s="168"/>
      <c r="G239" s="167"/>
      <c r="H239" s="167"/>
      <c r="I239" s="167"/>
      <c r="J239" s="167"/>
      <c r="K239" s="167"/>
      <c r="L239" s="167"/>
      <c r="M239" s="167"/>
      <c r="N239" s="167"/>
      <c r="O239" s="167"/>
      <c r="P239" s="167"/>
      <c r="Q239" s="167"/>
      <c r="R239" s="167"/>
      <c r="S239" s="167"/>
      <c r="T239" s="167"/>
      <c r="U239" s="167"/>
      <c r="V239" s="167"/>
      <c r="W239" s="167"/>
      <c r="X239" s="167"/>
      <c r="Y239" s="167"/>
      <c r="Z239" s="167"/>
    </row>
    <row r="240" spans="1:26" ht="18" customHeight="1">
      <c r="A240" s="250"/>
      <c r="B240" s="167"/>
      <c r="C240" s="167"/>
      <c r="D240" s="167"/>
      <c r="E240" s="167"/>
      <c r="F240" s="168"/>
      <c r="G240" s="167"/>
      <c r="H240" s="167"/>
      <c r="I240" s="167"/>
      <c r="J240" s="167"/>
      <c r="K240" s="167"/>
      <c r="L240" s="167"/>
      <c r="M240" s="167"/>
      <c r="N240" s="167"/>
      <c r="O240" s="167"/>
      <c r="P240" s="167"/>
      <c r="Q240" s="167"/>
      <c r="R240" s="167"/>
      <c r="S240" s="167"/>
      <c r="T240" s="167"/>
      <c r="U240" s="167"/>
      <c r="V240" s="167"/>
      <c r="W240" s="167"/>
      <c r="X240" s="167"/>
      <c r="Y240" s="167"/>
      <c r="Z240" s="167"/>
    </row>
    <row r="241" spans="1:26" ht="18" customHeight="1">
      <c r="A241" s="250"/>
      <c r="B241" s="167"/>
      <c r="C241" s="167"/>
      <c r="D241" s="167"/>
      <c r="E241" s="167"/>
      <c r="F241" s="168"/>
      <c r="G241" s="167"/>
      <c r="H241" s="167"/>
      <c r="I241" s="167"/>
      <c r="J241" s="167"/>
      <c r="K241" s="167"/>
      <c r="L241" s="167"/>
      <c r="M241" s="167"/>
      <c r="N241" s="167"/>
      <c r="O241" s="167"/>
      <c r="P241" s="167"/>
      <c r="Q241" s="167"/>
      <c r="R241" s="167"/>
      <c r="S241" s="167"/>
      <c r="T241" s="167"/>
      <c r="U241" s="167"/>
      <c r="V241" s="167"/>
      <c r="W241" s="167"/>
      <c r="X241" s="167"/>
      <c r="Y241" s="167"/>
      <c r="Z241" s="167"/>
    </row>
    <row r="242" spans="1:26" ht="18" customHeight="1">
      <c r="A242" s="250"/>
      <c r="B242" s="167"/>
      <c r="C242" s="167"/>
      <c r="D242" s="167"/>
      <c r="E242" s="167"/>
      <c r="F242" s="168"/>
      <c r="G242" s="167"/>
      <c r="H242" s="167"/>
      <c r="I242" s="167"/>
      <c r="J242" s="167"/>
      <c r="K242" s="167"/>
      <c r="L242" s="167"/>
      <c r="M242" s="167"/>
      <c r="N242" s="167"/>
      <c r="O242" s="167"/>
      <c r="P242" s="167"/>
      <c r="Q242" s="167"/>
      <c r="R242" s="167"/>
      <c r="S242" s="167"/>
      <c r="T242" s="167"/>
      <c r="U242" s="167"/>
      <c r="V242" s="167"/>
      <c r="W242" s="167"/>
      <c r="X242" s="167"/>
      <c r="Y242" s="167"/>
      <c r="Z242" s="167"/>
    </row>
    <row r="243" spans="1:26" ht="18" customHeight="1">
      <c r="A243" s="250"/>
      <c r="B243" s="167"/>
      <c r="C243" s="167"/>
      <c r="D243" s="167"/>
      <c r="E243" s="167"/>
      <c r="F243" s="168"/>
      <c r="G243" s="167"/>
      <c r="H243" s="167"/>
      <c r="I243" s="167"/>
      <c r="J243" s="167"/>
      <c r="K243" s="167"/>
      <c r="L243" s="167"/>
      <c r="M243" s="167"/>
      <c r="N243" s="167"/>
      <c r="O243" s="167"/>
      <c r="P243" s="167"/>
      <c r="Q243" s="167"/>
      <c r="R243" s="167"/>
      <c r="S243" s="167"/>
      <c r="T243" s="167"/>
      <c r="U243" s="167"/>
      <c r="V243" s="167"/>
      <c r="W243" s="167"/>
      <c r="X243" s="167"/>
      <c r="Y243" s="167"/>
      <c r="Z243" s="167"/>
    </row>
    <row r="244" spans="1:26" ht="18" customHeight="1">
      <c r="A244" s="250"/>
      <c r="B244" s="167"/>
      <c r="C244" s="167"/>
      <c r="D244" s="167"/>
      <c r="E244" s="167"/>
      <c r="F244" s="168"/>
      <c r="G244" s="167"/>
      <c r="H244" s="167"/>
      <c r="I244" s="167"/>
      <c r="J244" s="167"/>
      <c r="K244" s="167"/>
      <c r="L244" s="167"/>
      <c r="M244" s="167"/>
      <c r="N244" s="167"/>
      <c r="O244" s="167"/>
      <c r="P244" s="167"/>
      <c r="Q244" s="167"/>
      <c r="R244" s="167"/>
      <c r="S244" s="167"/>
      <c r="T244" s="167"/>
      <c r="U244" s="167"/>
      <c r="V244" s="167"/>
      <c r="W244" s="167"/>
      <c r="X244" s="167"/>
      <c r="Y244" s="167"/>
      <c r="Z244" s="167"/>
    </row>
    <row r="245" spans="1:26" ht="18" customHeight="1">
      <c r="A245" s="250"/>
      <c r="B245" s="167"/>
      <c r="C245" s="167"/>
      <c r="D245" s="167"/>
      <c r="E245" s="167"/>
      <c r="F245" s="168"/>
      <c r="G245" s="167"/>
      <c r="H245" s="167"/>
      <c r="I245" s="167"/>
      <c r="J245" s="167"/>
      <c r="K245" s="167"/>
      <c r="L245" s="167"/>
      <c r="M245" s="167"/>
      <c r="N245" s="167"/>
      <c r="O245" s="167"/>
      <c r="P245" s="167"/>
      <c r="Q245" s="167"/>
      <c r="R245" s="167"/>
      <c r="S245" s="167"/>
      <c r="T245" s="167"/>
      <c r="U245" s="167"/>
      <c r="V245" s="167"/>
      <c r="W245" s="167"/>
      <c r="X245" s="167"/>
      <c r="Y245" s="167"/>
      <c r="Z245" s="167"/>
    </row>
    <row r="246" spans="1:26" ht="18" customHeight="1">
      <c r="A246" s="250"/>
      <c r="B246" s="167"/>
      <c r="C246" s="167"/>
      <c r="D246" s="167"/>
      <c r="E246" s="167"/>
      <c r="F246" s="168"/>
      <c r="G246" s="167"/>
      <c r="H246" s="167"/>
      <c r="I246" s="167"/>
      <c r="J246" s="167"/>
      <c r="K246" s="167"/>
      <c r="L246" s="167"/>
      <c r="M246" s="167"/>
      <c r="N246" s="167"/>
      <c r="O246" s="167"/>
      <c r="P246" s="167"/>
      <c r="Q246" s="167"/>
      <c r="R246" s="167"/>
      <c r="S246" s="167"/>
      <c r="T246" s="167"/>
      <c r="U246" s="167"/>
      <c r="V246" s="167"/>
      <c r="W246" s="167"/>
      <c r="X246" s="167"/>
      <c r="Y246" s="167"/>
      <c r="Z246" s="167"/>
    </row>
    <row r="247" spans="1:26" ht="18" customHeight="1">
      <c r="A247" s="250"/>
      <c r="B247" s="167"/>
      <c r="C247" s="167"/>
      <c r="D247" s="167"/>
      <c r="E247" s="167"/>
      <c r="F247" s="168"/>
      <c r="G247" s="167"/>
      <c r="H247" s="167"/>
      <c r="I247" s="167"/>
      <c r="J247" s="167"/>
      <c r="K247" s="167"/>
      <c r="L247" s="167"/>
      <c r="M247" s="167"/>
      <c r="N247" s="167"/>
      <c r="O247" s="167"/>
      <c r="P247" s="167"/>
      <c r="Q247" s="167"/>
      <c r="R247" s="167"/>
      <c r="S247" s="167"/>
      <c r="T247" s="167"/>
      <c r="U247" s="167"/>
      <c r="V247" s="167"/>
      <c r="W247" s="167"/>
      <c r="X247" s="167"/>
      <c r="Y247" s="167"/>
      <c r="Z247" s="167"/>
    </row>
    <row r="248" spans="1:26" ht="18" customHeight="1">
      <c r="A248" s="250"/>
      <c r="B248" s="167"/>
      <c r="C248" s="167"/>
      <c r="D248" s="167"/>
      <c r="E248" s="167"/>
      <c r="F248" s="168"/>
      <c r="G248" s="167"/>
      <c r="H248" s="167"/>
      <c r="I248" s="167"/>
      <c r="J248" s="167"/>
      <c r="K248" s="167"/>
      <c r="L248" s="167"/>
      <c r="M248" s="167"/>
      <c r="N248" s="167"/>
      <c r="O248" s="167"/>
      <c r="P248" s="167"/>
      <c r="Q248" s="167"/>
      <c r="R248" s="167"/>
      <c r="S248" s="167"/>
      <c r="T248" s="167"/>
      <c r="U248" s="167"/>
      <c r="V248" s="167"/>
      <c r="W248" s="167"/>
      <c r="X248" s="167"/>
      <c r="Y248" s="167"/>
      <c r="Z248" s="167"/>
    </row>
    <row r="249" spans="1:26" ht="18" customHeight="1">
      <c r="A249" s="250"/>
      <c r="B249" s="167"/>
      <c r="C249" s="167"/>
      <c r="D249" s="167"/>
      <c r="E249" s="167"/>
      <c r="F249" s="168"/>
      <c r="G249" s="167"/>
      <c r="H249" s="167"/>
      <c r="I249" s="167"/>
      <c r="J249" s="167"/>
      <c r="K249" s="167"/>
      <c r="L249" s="167"/>
      <c r="M249" s="167"/>
      <c r="N249" s="167"/>
      <c r="O249" s="167"/>
      <c r="P249" s="167"/>
      <c r="Q249" s="167"/>
      <c r="R249" s="167"/>
      <c r="S249" s="167"/>
      <c r="T249" s="167"/>
      <c r="U249" s="167"/>
      <c r="V249" s="167"/>
      <c r="W249" s="167"/>
      <c r="X249" s="167"/>
      <c r="Y249" s="167"/>
      <c r="Z249" s="167"/>
    </row>
    <row r="250" spans="1:26" ht="18" customHeight="1">
      <c r="A250" s="250"/>
      <c r="B250" s="167"/>
      <c r="C250" s="167"/>
      <c r="D250" s="167"/>
      <c r="E250" s="167"/>
      <c r="F250" s="168"/>
      <c r="G250" s="167"/>
      <c r="H250" s="167"/>
      <c r="I250" s="167"/>
      <c r="J250" s="167"/>
      <c r="K250" s="167"/>
      <c r="L250" s="167"/>
      <c r="M250" s="167"/>
      <c r="N250" s="167"/>
      <c r="O250" s="167"/>
      <c r="P250" s="167"/>
      <c r="Q250" s="167"/>
      <c r="R250" s="167"/>
      <c r="S250" s="167"/>
      <c r="T250" s="167"/>
      <c r="U250" s="167"/>
      <c r="V250" s="167"/>
      <c r="W250" s="167"/>
      <c r="X250" s="167"/>
      <c r="Y250" s="167"/>
      <c r="Z250" s="167"/>
    </row>
    <row r="251" spans="1:26" ht="18" customHeight="1">
      <c r="A251" s="250"/>
      <c r="B251" s="167"/>
      <c r="C251" s="167"/>
      <c r="D251" s="167"/>
      <c r="E251" s="167"/>
      <c r="F251" s="168"/>
      <c r="G251" s="167"/>
      <c r="H251" s="167"/>
      <c r="I251" s="167"/>
      <c r="J251" s="167"/>
      <c r="K251" s="167"/>
      <c r="L251" s="167"/>
      <c r="M251" s="167"/>
      <c r="N251" s="167"/>
      <c r="O251" s="167"/>
      <c r="P251" s="167"/>
      <c r="Q251" s="167"/>
      <c r="R251" s="167"/>
      <c r="S251" s="167"/>
      <c r="T251" s="167"/>
      <c r="U251" s="167"/>
      <c r="V251" s="167"/>
      <c r="W251" s="167"/>
      <c r="X251" s="167"/>
      <c r="Y251" s="167"/>
      <c r="Z251" s="167"/>
    </row>
    <row r="252" spans="1:26" ht="18" customHeight="1">
      <c r="A252" s="250"/>
      <c r="B252" s="167"/>
      <c r="C252" s="167"/>
      <c r="D252" s="167"/>
      <c r="E252" s="167"/>
      <c r="F252" s="168"/>
      <c r="G252" s="167"/>
      <c r="H252" s="167"/>
      <c r="I252" s="167"/>
      <c r="J252" s="167"/>
      <c r="K252" s="167"/>
      <c r="L252" s="167"/>
      <c r="M252" s="167"/>
      <c r="N252" s="167"/>
      <c r="O252" s="167"/>
      <c r="P252" s="167"/>
      <c r="Q252" s="167"/>
      <c r="R252" s="167"/>
      <c r="S252" s="167"/>
      <c r="T252" s="167"/>
      <c r="U252" s="167"/>
      <c r="V252" s="167"/>
      <c r="W252" s="167"/>
      <c r="X252" s="167"/>
      <c r="Y252" s="167"/>
      <c r="Z252" s="167"/>
    </row>
    <row r="253" spans="1:26" ht="18" customHeight="1">
      <c r="A253" s="250"/>
      <c r="B253" s="167"/>
      <c r="C253" s="167"/>
      <c r="D253" s="167"/>
      <c r="E253" s="167"/>
      <c r="F253" s="168"/>
      <c r="G253" s="167"/>
      <c r="H253" s="167"/>
      <c r="I253" s="167"/>
      <c r="J253" s="167"/>
      <c r="K253" s="167"/>
      <c r="L253" s="167"/>
      <c r="M253" s="167"/>
      <c r="N253" s="167"/>
      <c r="O253" s="167"/>
      <c r="P253" s="167"/>
      <c r="Q253" s="167"/>
      <c r="R253" s="167"/>
      <c r="S253" s="167"/>
      <c r="T253" s="167"/>
      <c r="U253" s="167"/>
      <c r="V253" s="167"/>
      <c r="W253" s="167"/>
      <c r="X253" s="167"/>
      <c r="Y253" s="167"/>
      <c r="Z253" s="167"/>
    </row>
    <row r="254" spans="1:26" ht="18" customHeight="1">
      <c r="A254" s="250"/>
      <c r="B254" s="167"/>
      <c r="C254" s="167"/>
      <c r="D254" s="167"/>
      <c r="E254" s="167"/>
      <c r="F254" s="168"/>
      <c r="G254" s="167"/>
      <c r="H254" s="167"/>
      <c r="I254" s="167"/>
      <c r="J254" s="167"/>
      <c r="K254" s="167"/>
      <c r="L254" s="167"/>
      <c r="M254" s="167"/>
      <c r="N254" s="167"/>
      <c r="O254" s="167"/>
      <c r="P254" s="167"/>
      <c r="Q254" s="167"/>
      <c r="R254" s="167"/>
      <c r="S254" s="167"/>
      <c r="T254" s="167"/>
      <c r="U254" s="167"/>
      <c r="V254" s="167"/>
      <c r="W254" s="167"/>
      <c r="X254" s="167"/>
      <c r="Y254" s="167"/>
      <c r="Z254" s="167"/>
    </row>
    <row r="255" spans="1:26" ht="18" customHeight="1">
      <c r="A255" s="250"/>
      <c r="B255" s="167"/>
      <c r="C255" s="167"/>
      <c r="D255" s="167"/>
      <c r="E255" s="167"/>
      <c r="F255" s="168"/>
      <c r="G255" s="167"/>
      <c r="H255" s="167"/>
      <c r="I255" s="167"/>
      <c r="J255" s="167"/>
      <c r="K255" s="167"/>
      <c r="L255" s="167"/>
      <c r="M255" s="167"/>
      <c r="N255" s="167"/>
      <c r="O255" s="167"/>
      <c r="P255" s="167"/>
      <c r="Q255" s="167"/>
      <c r="R255" s="167"/>
      <c r="S255" s="167"/>
      <c r="T255" s="167"/>
      <c r="U255" s="167"/>
      <c r="V255" s="167"/>
      <c r="W255" s="167"/>
      <c r="X255" s="167"/>
      <c r="Y255" s="167"/>
      <c r="Z255" s="167"/>
    </row>
    <row r="256" spans="1:26" ht="18" customHeight="1">
      <c r="A256" s="250"/>
      <c r="B256" s="167"/>
      <c r="C256" s="167"/>
      <c r="D256" s="167"/>
      <c r="E256" s="167"/>
      <c r="F256" s="168"/>
      <c r="G256" s="167"/>
      <c r="H256" s="167"/>
      <c r="I256" s="167"/>
      <c r="J256" s="167"/>
      <c r="K256" s="167"/>
      <c r="L256" s="167"/>
      <c r="M256" s="167"/>
      <c r="N256" s="167"/>
      <c r="O256" s="167"/>
      <c r="P256" s="167"/>
      <c r="Q256" s="167"/>
      <c r="R256" s="167"/>
      <c r="S256" s="167"/>
      <c r="T256" s="167"/>
      <c r="U256" s="167"/>
      <c r="V256" s="167"/>
      <c r="W256" s="167"/>
      <c r="X256" s="167"/>
      <c r="Y256" s="167"/>
      <c r="Z256" s="167"/>
    </row>
    <row r="257" spans="1:26" ht="18" customHeight="1">
      <c r="A257" s="250"/>
      <c r="B257" s="167"/>
      <c r="C257" s="167"/>
      <c r="D257" s="167"/>
      <c r="E257" s="167"/>
      <c r="F257" s="168"/>
      <c r="G257" s="167"/>
      <c r="H257" s="167"/>
      <c r="I257" s="167"/>
      <c r="J257" s="167"/>
      <c r="K257" s="167"/>
      <c r="L257" s="167"/>
      <c r="M257" s="167"/>
      <c r="N257" s="167"/>
      <c r="O257" s="167"/>
      <c r="P257" s="167"/>
      <c r="Q257" s="167"/>
      <c r="R257" s="167"/>
      <c r="S257" s="167"/>
      <c r="T257" s="167"/>
      <c r="U257" s="167"/>
      <c r="V257" s="167"/>
      <c r="W257" s="167"/>
      <c r="X257" s="167"/>
      <c r="Y257" s="167"/>
      <c r="Z257" s="167"/>
    </row>
    <row r="258" spans="1:26" ht="18" customHeight="1">
      <c r="A258" s="250"/>
      <c r="B258" s="167"/>
      <c r="C258" s="167"/>
      <c r="D258" s="167"/>
      <c r="E258" s="167"/>
      <c r="F258" s="168"/>
      <c r="G258" s="167"/>
      <c r="H258" s="167"/>
      <c r="I258" s="167"/>
      <c r="J258" s="167"/>
      <c r="K258" s="167"/>
      <c r="L258" s="167"/>
      <c r="M258" s="167"/>
      <c r="N258" s="167"/>
      <c r="O258" s="167"/>
      <c r="P258" s="167"/>
      <c r="Q258" s="167"/>
      <c r="R258" s="167"/>
      <c r="S258" s="167"/>
      <c r="T258" s="167"/>
      <c r="U258" s="167"/>
      <c r="V258" s="167"/>
      <c r="W258" s="167"/>
      <c r="X258" s="167"/>
      <c r="Y258" s="167"/>
      <c r="Z258" s="167"/>
    </row>
    <row r="259" spans="1:26" ht="18" customHeight="1">
      <c r="A259" s="250"/>
      <c r="B259" s="167"/>
      <c r="C259" s="167"/>
      <c r="D259" s="167"/>
      <c r="E259" s="167"/>
      <c r="F259" s="168"/>
      <c r="G259" s="167"/>
      <c r="H259" s="167"/>
      <c r="I259" s="167"/>
      <c r="J259" s="167"/>
      <c r="K259" s="167"/>
      <c r="L259" s="167"/>
      <c r="M259" s="167"/>
      <c r="N259" s="167"/>
      <c r="O259" s="167"/>
      <c r="P259" s="167"/>
      <c r="Q259" s="167"/>
      <c r="R259" s="167"/>
      <c r="S259" s="167"/>
      <c r="T259" s="167"/>
      <c r="U259" s="167"/>
      <c r="V259" s="167"/>
      <c r="W259" s="167"/>
      <c r="X259" s="167"/>
      <c r="Y259" s="167"/>
      <c r="Z259" s="167"/>
    </row>
    <row r="260" spans="1:26" ht="18" customHeight="1">
      <c r="A260" s="250"/>
      <c r="B260" s="167"/>
      <c r="C260" s="167"/>
      <c r="D260" s="167"/>
      <c r="E260" s="167"/>
      <c r="F260" s="168"/>
      <c r="G260" s="167"/>
      <c r="H260" s="167"/>
      <c r="I260" s="167"/>
      <c r="J260" s="167"/>
      <c r="K260" s="167"/>
      <c r="L260" s="167"/>
      <c r="M260" s="167"/>
      <c r="N260" s="167"/>
      <c r="O260" s="167"/>
      <c r="P260" s="167"/>
      <c r="Q260" s="167"/>
      <c r="R260" s="167"/>
      <c r="S260" s="167"/>
      <c r="T260" s="167"/>
      <c r="U260" s="167"/>
      <c r="V260" s="167"/>
      <c r="W260" s="167"/>
      <c r="X260" s="167"/>
      <c r="Y260" s="167"/>
      <c r="Z260" s="167"/>
    </row>
    <row r="261" spans="1:26" ht="18" customHeight="1">
      <c r="A261" s="250"/>
      <c r="B261" s="167"/>
      <c r="C261" s="167"/>
      <c r="D261" s="167"/>
      <c r="E261" s="167"/>
      <c r="F261" s="168"/>
      <c r="G261" s="167"/>
      <c r="H261" s="167"/>
      <c r="I261" s="167"/>
      <c r="J261" s="167"/>
      <c r="K261" s="167"/>
      <c r="L261" s="167"/>
      <c r="M261" s="167"/>
      <c r="N261" s="167"/>
      <c r="O261" s="167"/>
      <c r="P261" s="167"/>
      <c r="Q261" s="167"/>
      <c r="R261" s="167"/>
      <c r="S261" s="167"/>
      <c r="T261" s="167"/>
      <c r="U261" s="167"/>
      <c r="V261" s="167"/>
      <c r="W261" s="167"/>
      <c r="X261" s="167"/>
      <c r="Y261" s="167"/>
      <c r="Z261" s="167"/>
    </row>
    <row r="262" spans="1:26" ht="18" customHeight="1">
      <c r="A262" s="250"/>
      <c r="B262" s="167"/>
      <c r="C262" s="167"/>
      <c r="D262" s="167"/>
      <c r="E262" s="167"/>
      <c r="F262" s="168"/>
      <c r="G262" s="167"/>
      <c r="H262" s="167"/>
      <c r="I262" s="167"/>
      <c r="J262" s="167"/>
      <c r="K262" s="167"/>
      <c r="L262" s="167"/>
      <c r="M262" s="167"/>
      <c r="N262" s="167"/>
      <c r="O262" s="167"/>
      <c r="P262" s="167"/>
      <c r="Q262" s="167"/>
      <c r="R262" s="167"/>
      <c r="S262" s="167"/>
      <c r="T262" s="167"/>
      <c r="U262" s="167"/>
      <c r="V262" s="167"/>
      <c r="W262" s="167"/>
      <c r="X262" s="167"/>
      <c r="Y262" s="167"/>
      <c r="Z262" s="167"/>
    </row>
    <row r="263" spans="1:26" ht="18" customHeight="1">
      <c r="A263" s="250"/>
      <c r="B263" s="167"/>
      <c r="C263" s="167"/>
      <c r="D263" s="167"/>
      <c r="E263" s="167"/>
      <c r="F263" s="168"/>
      <c r="G263" s="167"/>
      <c r="H263" s="167"/>
      <c r="I263" s="167"/>
      <c r="J263" s="167"/>
      <c r="K263" s="167"/>
      <c r="L263" s="167"/>
      <c r="M263" s="167"/>
      <c r="N263" s="167"/>
      <c r="O263" s="167"/>
      <c r="P263" s="167"/>
      <c r="Q263" s="167"/>
      <c r="R263" s="167"/>
      <c r="S263" s="167"/>
      <c r="T263" s="167"/>
      <c r="U263" s="167"/>
      <c r="V263" s="167"/>
      <c r="W263" s="167"/>
      <c r="X263" s="167"/>
      <c r="Y263" s="167"/>
      <c r="Z263" s="167"/>
    </row>
    <row r="264" spans="1:26" ht="18" customHeight="1">
      <c r="A264" s="250"/>
      <c r="B264" s="167"/>
      <c r="C264" s="167"/>
      <c r="D264" s="167"/>
      <c r="E264" s="167"/>
      <c r="F264" s="168"/>
      <c r="G264" s="167"/>
      <c r="H264" s="167"/>
      <c r="I264" s="167"/>
      <c r="J264" s="167"/>
      <c r="K264" s="167"/>
      <c r="L264" s="167"/>
      <c r="M264" s="167"/>
      <c r="N264" s="167"/>
      <c r="O264" s="167"/>
      <c r="P264" s="167"/>
      <c r="Q264" s="167"/>
      <c r="R264" s="167"/>
      <c r="S264" s="167"/>
      <c r="T264" s="167"/>
      <c r="U264" s="167"/>
      <c r="V264" s="167"/>
      <c r="W264" s="167"/>
      <c r="X264" s="167"/>
      <c r="Y264" s="167"/>
      <c r="Z264" s="167"/>
    </row>
    <row r="265" spans="1:26" ht="18" customHeight="1">
      <c r="A265" s="250"/>
      <c r="B265" s="167"/>
      <c r="C265" s="167"/>
      <c r="D265" s="167"/>
      <c r="E265" s="167"/>
      <c r="F265" s="168"/>
      <c r="G265" s="167"/>
      <c r="H265" s="167"/>
      <c r="I265" s="167"/>
      <c r="J265" s="167"/>
      <c r="K265" s="167"/>
      <c r="L265" s="167"/>
      <c r="M265" s="167"/>
      <c r="N265" s="167"/>
      <c r="O265" s="167"/>
      <c r="P265" s="167"/>
      <c r="Q265" s="167"/>
      <c r="R265" s="167"/>
      <c r="S265" s="167"/>
      <c r="T265" s="167"/>
      <c r="U265" s="167"/>
      <c r="V265" s="167"/>
      <c r="W265" s="167"/>
      <c r="X265" s="167"/>
      <c r="Y265" s="167"/>
      <c r="Z265" s="167"/>
    </row>
    <row r="266" spans="1:26" ht="18" customHeight="1">
      <c r="A266" s="250"/>
      <c r="B266" s="167"/>
      <c r="C266" s="167"/>
      <c r="D266" s="167"/>
      <c r="E266" s="167"/>
      <c r="F266" s="168"/>
      <c r="G266" s="167"/>
      <c r="H266" s="167"/>
      <c r="I266" s="167"/>
      <c r="J266" s="167"/>
      <c r="K266" s="167"/>
      <c r="L266" s="167"/>
      <c r="M266" s="167"/>
      <c r="N266" s="167"/>
      <c r="O266" s="167"/>
      <c r="P266" s="167"/>
      <c r="Q266" s="167"/>
      <c r="R266" s="167"/>
      <c r="S266" s="167"/>
      <c r="T266" s="167"/>
      <c r="U266" s="167"/>
      <c r="V266" s="167"/>
      <c r="W266" s="167"/>
      <c r="X266" s="167"/>
      <c r="Y266" s="167"/>
      <c r="Z266" s="167"/>
    </row>
    <row r="267" spans="1:26" ht="18" customHeight="1">
      <c r="A267" s="250"/>
      <c r="B267" s="167"/>
      <c r="C267" s="167"/>
      <c r="D267" s="167"/>
      <c r="E267" s="167"/>
      <c r="F267" s="168"/>
      <c r="G267" s="167"/>
      <c r="H267" s="167"/>
      <c r="I267" s="167"/>
      <c r="J267" s="167"/>
      <c r="K267" s="167"/>
      <c r="L267" s="167"/>
      <c r="M267" s="167"/>
      <c r="N267" s="167"/>
      <c r="O267" s="167"/>
      <c r="P267" s="167"/>
      <c r="Q267" s="167"/>
      <c r="R267" s="167"/>
      <c r="S267" s="167"/>
      <c r="T267" s="167"/>
      <c r="U267" s="167"/>
      <c r="V267" s="167"/>
      <c r="W267" s="167"/>
      <c r="X267" s="167"/>
      <c r="Y267" s="167"/>
      <c r="Z267" s="167"/>
    </row>
    <row r="268" spans="1:26" ht="18" customHeight="1">
      <c r="A268" s="250"/>
      <c r="B268" s="167"/>
      <c r="C268" s="167"/>
      <c r="D268" s="167"/>
      <c r="E268" s="167"/>
      <c r="F268" s="168"/>
      <c r="G268" s="167"/>
      <c r="H268" s="167"/>
      <c r="I268" s="167"/>
      <c r="J268" s="167"/>
      <c r="K268" s="167"/>
      <c r="L268" s="167"/>
      <c r="M268" s="167"/>
      <c r="N268" s="167"/>
      <c r="O268" s="167"/>
      <c r="P268" s="167"/>
      <c r="Q268" s="167"/>
      <c r="R268" s="167"/>
      <c r="S268" s="167"/>
      <c r="T268" s="167"/>
      <c r="U268" s="167"/>
      <c r="V268" s="167"/>
      <c r="W268" s="167"/>
      <c r="X268" s="167"/>
      <c r="Y268" s="167"/>
      <c r="Z268" s="167"/>
    </row>
    <row r="269" spans="1:26" ht="18" customHeight="1">
      <c r="A269" s="250"/>
      <c r="B269" s="167"/>
      <c r="C269" s="167"/>
      <c r="D269" s="167"/>
      <c r="E269" s="167"/>
      <c r="F269" s="168"/>
      <c r="G269" s="167"/>
      <c r="H269" s="167"/>
      <c r="I269" s="167"/>
      <c r="J269" s="167"/>
      <c r="K269" s="167"/>
      <c r="L269" s="167"/>
      <c r="M269" s="167"/>
      <c r="N269" s="167"/>
      <c r="O269" s="167"/>
      <c r="P269" s="167"/>
      <c r="Q269" s="167"/>
      <c r="R269" s="167"/>
      <c r="S269" s="167"/>
      <c r="T269" s="167"/>
      <c r="U269" s="167"/>
      <c r="V269" s="167"/>
      <c r="W269" s="167"/>
      <c r="X269" s="167"/>
      <c r="Y269" s="167"/>
      <c r="Z269" s="167"/>
    </row>
    <row r="270" spans="1:26" ht="18" customHeight="1">
      <c r="A270" s="250"/>
      <c r="B270" s="167"/>
      <c r="C270" s="167"/>
      <c r="D270" s="167"/>
      <c r="E270" s="167"/>
      <c r="F270" s="168"/>
      <c r="G270" s="167"/>
      <c r="H270" s="167"/>
      <c r="I270" s="167"/>
      <c r="J270" s="167"/>
      <c r="K270" s="167"/>
      <c r="L270" s="167"/>
      <c r="M270" s="167"/>
      <c r="N270" s="167"/>
      <c r="O270" s="167"/>
      <c r="P270" s="167"/>
      <c r="Q270" s="167"/>
      <c r="R270" s="167"/>
      <c r="S270" s="167"/>
      <c r="T270" s="167"/>
      <c r="U270" s="167"/>
      <c r="V270" s="167"/>
      <c r="W270" s="167"/>
      <c r="X270" s="167"/>
      <c r="Y270" s="167"/>
      <c r="Z270" s="167"/>
    </row>
    <row r="271" spans="1:26" ht="18" customHeight="1">
      <c r="A271" s="250"/>
      <c r="B271" s="167"/>
      <c r="C271" s="167"/>
      <c r="D271" s="167"/>
      <c r="E271" s="167"/>
      <c r="F271" s="168"/>
      <c r="G271" s="167"/>
      <c r="H271" s="167"/>
      <c r="I271" s="167"/>
      <c r="J271" s="167"/>
      <c r="K271" s="167"/>
      <c r="L271" s="167"/>
      <c r="M271" s="167"/>
      <c r="N271" s="167"/>
      <c r="O271" s="167"/>
      <c r="P271" s="167"/>
      <c r="Q271" s="167"/>
      <c r="R271" s="167"/>
      <c r="S271" s="167"/>
      <c r="T271" s="167"/>
      <c r="U271" s="167"/>
      <c r="V271" s="167"/>
      <c r="W271" s="167"/>
      <c r="X271" s="167"/>
      <c r="Y271" s="167"/>
      <c r="Z271" s="167"/>
    </row>
    <row r="272" spans="1:26" ht="18" customHeight="1">
      <c r="A272" s="250"/>
      <c r="B272" s="167"/>
      <c r="C272" s="167"/>
      <c r="D272" s="167"/>
      <c r="E272" s="167"/>
      <c r="F272" s="168"/>
      <c r="G272" s="167"/>
      <c r="H272" s="167"/>
      <c r="I272" s="167"/>
      <c r="J272" s="167"/>
      <c r="K272" s="167"/>
      <c r="L272" s="167"/>
      <c r="M272" s="167"/>
      <c r="N272" s="167"/>
      <c r="O272" s="167"/>
      <c r="P272" s="167"/>
      <c r="Q272" s="167"/>
      <c r="R272" s="167"/>
      <c r="S272" s="167"/>
      <c r="T272" s="167"/>
      <c r="U272" s="167"/>
      <c r="V272" s="167"/>
      <c r="W272" s="167"/>
      <c r="X272" s="167"/>
      <c r="Y272" s="167"/>
      <c r="Z272" s="167"/>
    </row>
    <row r="273" spans="1:26" ht="18" customHeight="1">
      <c r="A273" s="250"/>
      <c r="B273" s="167"/>
      <c r="C273" s="167"/>
      <c r="D273" s="167"/>
      <c r="E273" s="167"/>
      <c r="F273" s="168"/>
      <c r="G273" s="167"/>
      <c r="H273" s="167"/>
      <c r="I273" s="167"/>
      <c r="J273" s="167"/>
      <c r="K273" s="167"/>
      <c r="L273" s="167"/>
      <c r="M273" s="167"/>
      <c r="N273" s="167"/>
      <c r="O273" s="167"/>
      <c r="P273" s="167"/>
      <c r="Q273" s="167"/>
      <c r="R273" s="167"/>
      <c r="S273" s="167"/>
      <c r="T273" s="167"/>
      <c r="U273" s="167"/>
      <c r="V273" s="167"/>
      <c r="W273" s="167"/>
      <c r="X273" s="167"/>
      <c r="Y273" s="167"/>
      <c r="Z273" s="167"/>
    </row>
    <row r="274" spans="1:26" ht="18" customHeight="1">
      <c r="A274" s="250"/>
      <c r="B274" s="167"/>
      <c r="C274" s="167"/>
      <c r="D274" s="167"/>
      <c r="E274" s="167"/>
      <c r="F274" s="168"/>
      <c r="G274" s="167"/>
      <c r="H274" s="167"/>
      <c r="I274" s="167"/>
      <c r="J274" s="167"/>
      <c r="K274" s="167"/>
      <c r="L274" s="167"/>
      <c r="M274" s="167"/>
      <c r="N274" s="167"/>
      <c r="O274" s="167"/>
      <c r="P274" s="167"/>
      <c r="Q274" s="167"/>
      <c r="R274" s="167"/>
      <c r="S274" s="167"/>
      <c r="T274" s="167"/>
      <c r="U274" s="167"/>
      <c r="V274" s="167"/>
      <c r="W274" s="167"/>
      <c r="X274" s="167"/>
      <c r="Y274" s="167"/>
      <c r="Z274" s="167"/>
    </row>
    <row r="275" spans="1:26" ht="18" customHeight="1">
      <c r="A275" s="250"/>
      <c r="B275" s="167"/>
      <c r="C275" s="167"/>
      <c r="D275" s="167"/>
      <c r="E275" s="167"/>
      <c r="F275" s="168"/>
      <c r="G275" s="167"/>
      <c r="H275" s="167"/>
      <c r="I275" s="167"/>
      <c r="J275" s="167"/>
      <c r="K275" s="167"/>
      <c r="L275" s="167"/>
      <c r="M275" s="167"/>
      <c r="N275" s="167"/>
      <c r="O275" s="167"/>
      <c r="P275" s="167"/>
      <c r="Q275" s="167"/>
      <c r="R275" s="167"/>
      <c r="S275" s="167"/>
      <c r="T275" s="167"/>
      <c r="U275" s="167"/>
      <c r="V275" s="167"/>
      <c r="W275" s="167"/>
      <c r="X275" s="167"/>
      <c r="Y275" s="167"/>
      <c r="Z275" s="167"/>
    </row>
    <row r="276" spans="1:26" ht="18" customHeight="1">
      <c r="A276" s="250"/>
      <c r="B276" s="167"/>
      <c r="C276" s="167"/>
      <c r="D276" s="167"/>
      <c r="E276" s="167"/>
      <c r="F276" s="168"/>
      <c r="G276" s="167"/>
      <c r="H276" s="167"/>
      <c r="I276" s="167"/>
      <c r="J276" s="167"/>
      <c r="K276" s="167"/>
      <c r="L276" s="167"/>
      <c r="M276" s="167"/>
      <c r="N276" s="167"/>
      <c r="O276" s="167"/>
      <c r="P276" s="167"/>
      <c r="Q276" s="167"/>
      <c r="R276" s="167"/>
      <c r="S276" s="167"/>
      <c r="T276" s="167"/>
      <c r="U276" s="167"/>
      <c r="V276" s="167"/>
      <c r="W276" s="167"/>
      <c r="X276" s="167"/>
      <c r="Y276" s="167"/>
      <c r="Z276" s="167"/>
    </row>
    <row r="277" spans="1:26" ht="18" customHeight="1">
      <c r="A277" s="250"/>
      <c r="B277" s="167"/>
      <c r="C277" s="167"/>
      <c r="D277" s="167"/>
      <c r="E277" s="167"/>
      <c r="F277" s="168"/>
      <c r="G277" s="167"/>
      <c r="H277" s="167"/>
      <c r="I277" s="167"/>
      <c r="J277" s="167"/>
      <c r="K277" s="167"/>
      <c r="L277" s="167"/>
      <c r="M277" s="167"/>
      <c r="N277" s="167"/>
      <c r="O277" s="167"/>
      <c r="P277" s="167"/>
      <c r="Q277" s="167"/>
      <c r="R277" s="167"/>
      <c r="S277" s="167"/>
      <c r="T277" s="167"/>
      <c r="U277" s="167"/>
      <c r="V277" s="167"/>
      <c r="W277" s="167"/>
      <c r="X277" s="167"/>
      <c r="Y277" s="167"/>
      <c r="Z277" s="167"/>
    </row>
    <row r="278" spans="1:26" ht="18" customHeight="1">
      <c r="A278" s="250"/>
      <c r="B278" s="167"/>
      <c r="C278" s="167"/>
      <c r="D278" s="167"/>
      <c r="E278" s="167"/>
      <c r="F278" s="168"/>
      <c r="G278" s="167"/>
      <c r="H278" s="167"/>
      <c r="I278" s="167"/>
      <c r="J278" s="167"/>
      <c r="K278" s="167"/>
      <c r="L278" s="167"/>
      <c r="M278" s="167"/>
      <c r="N278" s="167"/>
      <c r="O278" s="167"/>
      <c r="P278" s="167"/>
      <c r="Q278" s="167"/>
      <c r="R278" s="167"/>
      <c r="S278" s="167"/>
      <c r="T278" s="167"/>
      <c r="U278" s="167"/>
      <c r="V278" s="167"/>
      <c r="W278" s="167"/>
      <c r="X278" s="167"/>
      <c r="Y278" s="167"/>
      <c r="Z278" s="167"/>
    </row>
    <row r="279" spans="1:26" ht="18" customHeight="1">
      <c r="A279" s="250"/>
      <c r="B279" s="167"/>
      <c r="C279" s="167"/>
      <c r="D279" s="167"/>
      <c r="E279" s="167"/>
      <c r="F279" s="168"/>
      <c r="G279" s="167"/>
      <c r="H279" s="167"/>
      <c r="I279" s="167"/>
      <c r="J279" s="167"/>
      <c r="K279" s="167"/>
      <c r="L279" s="167"/>
      <c r="M279" s="167"/>
      <c r="N279" s="167"/>
      <c r="O279" s="167"/>
      <c r="P279" s="167"/>
      <c r="Q279" s="167"/>
      <c r="R279" s="167"/>
      <c r="S279" s="167"/>
      <c r="T279" s="167"/>
      <c r="U279" s="167"/>
      <c r="V279" s="167"/>
      <c r="W279" s="167"/>
      <c r="X279" s="167"/>
      <c r="Y279" s="167"/>
      <c r="Z279" s="167"/>
    </row>
    <row r="280" spans="1:26" ht="18" customHeight="1">
      <c r="A280" s="250"/>
      <c r="B280" s="167"/>
      <c r="C280" s="167"/>
      <c r="D280" s="167"/>
      <c r="E280" s="167"/>
      <c r="F280" s="168"/>
      <c r="G280" s="167"/>
      <c r="H280" s="167"/>
      <c r="I280" s="167"/>
      <c r="J280" s="167"/>
      <c r="K280" s="167"/>
      <c r="L280" s="167"/>
      <c r="M280" s="167"/>
      <c r="N280" s="167"/>
      <c r="O280" s="167"/>
      <c r="P280" s="167"/>
      <c r="Q280" s="167"/>
      <c r="R280" s="167"/>
      <c r="S280" s="167"/>
      <c r="T280" s="167"/>
      <c r="U280" s="167"/>
      <c r="V280" s="167"/>
      <c r="W280" s="167"/>
      <c r="X280" s="167"/>
      <c r="Y280" s="167"/>
      <c r="Z280" s="167"/>
    </row>
    <row r="281" spans="1:26" ht="18" customHeight="1">
      <c r="A281" s="250"/>
      <c r="B281" s="167"/>
      <c r="C281" s="167"/>
      <c r="D281" s="167"/>
      <c r="E281" s="167"/>
      <c r="F281" s="168"/>
      <c r="G281" s="167"/>
      <c r="H281" s="167"/>
      <c r="I281" s="167"/>
      <c r="J281" s="167"/>
      <c r="K281" s="167"/>
      <c r="L281" s="167"/>
      <c r="M281" s="167"/>
      <c r="N281" s="167"/>
      <c r="O281" s="167"/>
      <c r="P281" s="167"/>
      <c r="Q281" s="167"/>
      <c r="R281" s="167"/>
      <c r="S281" s="167"/>
      <c r="T281" s="167"/>
      <c r="U281" s="167"/>
      <c r="V281" s="167"/>
      <c r="W281" s="167"/>
      <c r="X281" s="167"/>
      <c r="Y281" s="167"/>
      <c r="Z281" s="167"/>
    </row>
    <row r="282" spans="1:26" ht="18" customHeight="1">
      <c r="A282" s="250"/>
      <c r="B282" s="167"/>
      <c r="C282" s="167"/>
      <c r="D282" s="167"/>
      <c r="E282" s="167"/>
      <c r="F282" s="168"/>
      <c r="G282" s="167"/>
      <c r="H282" s="167"/>
      <c r="I282" s="167"/>
      <c r="J282" s="167"/>
      <c r="K282" s="167"/>
      <c r="L282" s="167"/>
      <c r="M282" s="167"/>
      <c r="N282" s="167"/>
      <c r="O282" s="167"/>
      <c r="P282" s="167"/>
      <c r="Q282" s="167"/>
      <c r="R282" s="167"/>
      <c r="S282" s="167"/>
      <c r="T282" s="167"/>
      <c r="U282" s="167"/>
      <c r="V282" s="167"/>
      <c r="W282" s="167"/>
      <c r="X282" s="167"/>
      <c r="Y282" s="167"/>
      <c r="Z282" s="167"/>
    </row>
    <row r="283" spans="1:26" ht="18" customHeight="1">
      <c r="A283" s="250"/>
      <c r="B283" s="167"/>
      <c r="C283" s="167"/>
      <c r="D283" s="167"/>
      <c r="E283" s="167"/>
      <c r="F283" s="168"/>
      <c r="G283" s="167"/>
      <c r="H283" s="167"/>
      <c r="I283" s="167"/>
      <c r="J283" s="167"/>
      <c r="K283" s="167"/>
      <c r="L283" s="167"/>
      <c r="M283" s="167"/>
      <c r="N283" s="167"/>
      <c r="O283" s="167"/>
      <c r="P283" s="167"/>
      <c r="Q283" s="167"/>
      <c r="R283" s="167"/>
      <c r="S283" s="167"/>
      <c r="T283" s="167"/>
      <c r="U283" s="167"/>
      <c r="V283" s="167"/>
      <c r="W283" s="167"/>
      <c r="X283" s="167"/>
      <c r="Y283" s="167"/>
      <c r="Z283" s="167"/>
    </row>
    <row r="284" spans="1:26" ht="18" customHeight="1">
      <c r="A284" s="250"/>
      <c r="B284" s="167"/>
      <c r="C284" s="167"/>
      <c r="D284" s="167"/>
      <c r="E284" s="167"/>
      <c r="F284" s="168"/>
      <c r="G284" s="167"/>
      <c r="H284" s="167"/>
      <c r="I284" s="167"/>
      <c r="J284" s="167"/>
      <c r="K284" s="167"/>
      <c r="L284" s="167"/>
      <c r="M284" s="167"/>
      <c r="N284" s="167"/>
      <c r="O284" s="167"/>
      <c r="P284" s="167"/>
      <c r="Q284" s="167"/>
      <c r="R284" s="167"/>
      <c r="S284" s="167"/>
      <c r="T284" s="167"/>
      <c r="U284" s="167"/>
      <c r="V284" s="167"/>
      <c r="W284" s="167"/>
      <c r="X284" s="167"/>
      <c r="Y284" s="167"/>
      <c r="Z284" s="167"/>
    </row>
    <row r="285" spans="1:26" ht="18" customHeight="1">
      <c r="A285" s="250"/>
      <c r="B285" s="167"/>
      <c r="C285" s="167"/>
      <c r="D285" s="167"/>
      <c r="E285" s="167"/>
      <c r="F285" s="168"/>
      <c r="G285" s="167"/>
      <c r="H285" s="167"/>
      <c r="I285" s="167"/>
      <c r="J285" s="167"/>
      <c r="K285" s="167"/>
      <c r="L285" s="167"/>
      <c r="M285" s="167"/>
      <c r="N285" s="167"/>
      <c r="O285" s="167"/>
      <c r="P285" s="167"/>
      <c r="Q285" s="167"/>
      <c r="R285" s="167"/>
      <c r="S285" s="167"/>
      <c r="T285" s="167"/>
      <c r="U285" s="167"/>
      <c r="V285" s="167"/>
      <c r="W285" s="167"/>
      <c r="X285" s="167"/>
      <c r="Y285" s="167"/>
      <c r="Z285" s="167"/>
    </row>
    <row r="286" spans="1:26" ht="18" customHeight="1">
      <c r="A286" s="250"/>
      <c r="B286" s="167"/>
      <c r="C286" s="167"/>
      <c r="D286" s="167"/>
      <c r="E286" s="167"/>
      <c r="F286" s="168"/>
      <c r="G286" s="167"/>
      <c r="H286" s="167"/>
      <c r="I286" s="167"/>
      <c r="J286" s="167"/>
      <c r="K286" s="167"/>
      <c r="L286" s="167"/>
      <c r="M286" s="167"/>
      <c r="N286" s="167"/>
      <c r="O286" s="167"/>
      <c r="P286" s="167"/>
      <c r="Q286" s="167"/>
      <c r="R286" s="167"/>
      <c r="S286" s="167"/>
      <c r="T286" s="167"/>
      <c r="U286" s="167"/>
      <c r="V286" s="167"/>
      <c r="W286" s="167"/>
      <c r="X286" s="167"/>
      <c r="Y286" s="167"/>
      <c r="Z286" s="167"/>
    </row>
    <row r="287" spans="1:26" ht="18" customHeight="1">
      <c r="A287" s="250"/>
      <c r="B287" s="167"/>
      <c r="C287" s="167"/>
      <c r="D287" s="167"/>
      <c r="E287" s="167"/>
      <c r="F287" s="168"/>
      <c r="G287" s="167"/>
      <c r="H287" s="167"/>
      <c r="I287" s="167"/>
      <c r="J287" s="167"/>
      <c r="K287" s="167"/>
      <c r="L287" s="167"/>
      <c r="M287" s="167"/>
      <c r="N287" s="167"/>
      <c r="O287" s="167"/>
      <c r="P287" s="167"/>
      <c r="Q287" s="167"/>
      <c r="R287" s="167"/>
      <c r="S287" s="167"/>
      <c r="T287" s="167"/>
      <c r="U287" s="167"/>
      <c r="V287" s="167"/>
      <c r="W287" s="167"/>
      <c r="X287" s="167"/>
      <c r="Y287" s="167"/>
      <c r="Z287" s="167"/>
    </row>
    <row r="288" spans="1:26" ht="18" customHeight="1">
      <c r="A288" s="250"/>
      <c r="B288" s="167"/>
      <c r="C288" s="167"/>
      <c r="D288" s="167"/>
      <c r="E288" s="167"/>
      <c r="F288" s="168"/>
      <c r="G288" s="167"/>
      <c r="H288" s="167"/>
      <c r="I288" s="167"/>
      <c r="J288" s="167"/>
      <c r="K288" s="167"/>
      <c r="L288" s="167"/>
      <c r="M288" s="167"/>
      <c r="N288" s="167"/>
      <c r="O288" s="167"/>
      <c r="P288" s="167"/>
      <c r="Q288" s="167"/>
      <c r="R288" s="167"/>
      <c r="S288" s="167"/>
      <c r="T288" s="167"/>
      <c r="U288" s="167"/>
      <c r="V288" s="167"/>
      <c r="W288" s="167"/>
      <c r="X288" s="167"/>
      <c r="Y288" s="167"/>
      <c r="Z288" s="167"/>
    </row>
    <row r="289" spans="1:26" ht="18" customHeight="1">
      <c r="A289" s="250"/>
      <c r="B289" s="167"/>
      <c r="C289" s="167"/>
      <c r="D289" s="167"/>
      <c r="E289" s="167"/>
      <c r="F289" s="168"/>
      <c r="G289" s="167"/>
      <c r="H289" s="167"/>
      <c r="I289" s="167"/>
      <c r="J289" s="167"/>
      <c r="K289" s="167"/>
      <c r="L289" s="167"/>
      <c r="M289" s="167"/>
      <c r="N289" s="167"/>
      <c r="O289" s="167"/>
      <c r="P289" s="167"/>
      <c r="Q289" s="167"/>
      <c r="R289" s="167"/>
      <c r="S289" s="167"/>
      <c r="T289" s="167"/>
      <c r="U289" s="167"/>
      <c r="V289" s="167"/>
      <c r="W289" s="167"/>
      <c r="X289" s="167"/>
      <c r="Y289" s="167"/>
      <c r="Z289" s="167"/>
    </row>
    <row r="290" spans="1:26" ht="18" customHeight="1">
      <c r="A290" s="250"/>
      <c r="B290" s="167"/>
      <c r="C290" s="167"/>
      <c r="D290" s="167"/>
      <c r="E290" s="167"/>
      <c r="F290" s="168"/>
      <c r="G290" s="167"/>
      <c r="H290" s="167"/>
      <c r="I290" s="167"/>
      <c r="J290" s="167"/>
      <c r="K290" s="167"/>
      <c r="L290" s="167"/>
      <c r="M290" s="167"/>
      <c r="N290" s="167"/>
      <c r="O290" s="167"/>
      <c r="P290" s="167"/>
      <c r="Q290" s="167"/>
      <c r="R290" s="167"/>
      <c r="S290" s="167"/>
      <c r="T290" s="167"/>
      <c r="U290" s="167"/>
      <c r="V290" s="167"/>
      <c r="W290" s="167"/>
      <c r="X290" s="167"/>
      <c r="Y290" s="167"/>
      <c r="Z290" s="167"/>
    </row>
    <row r="291" spans="1:26" ht="18" customHeight="1">
      <c r="A291" s="250"/>
      <c r="B291" s="167"/>
      <c r="C291" s="167"/>
      <c r="D291" s="167"/>
      <c r="E291" s="167"/>
      <c r="F291" s="168"/>
      <c r="G291" s="167"/>
      <c r="H291" s="167"/>
      <c r="I291" s="167"/>
      <c r="J291" s="167"/>
      <c r="K291" s="167"/>
      <c r="L291" s="167"/>
      <c r="M291" s="167"/>
      <c r="N291" s="167"/>
      <c r="O291" s="167"/>
      <c r="P291" s="167"/>
      <c r="Q291" s="167"/>
      <c r="R291" s="167"/>
      <c r="S291" s="167"/>
      <c r="T291" s="167"/>
      <c r="U291" s="167"/>
      <c r="V291" s="167"/>
      <c r="W291" s="167"/>
      <c r="X291" s="167"/>
      <c r="Y291" s="167"/>
      <c r="Z291" s="167"/>
    </row>
    <row r="292" spans="1:26" ht="18" customHeight="1">
      <c r="A292" s="250"/>
      <c r="B292" s="167"/>
      <c r="C292" s="167"/>
      <c r="D292" s="167"/>
      <c r="E292" s="167"/>
      <c r="F292" s="168"/>
      <c r="G292" s="167"/>
      <c r="H292" s="167"/>
      <c r="I292" s="167"/>
      <c r="J292" s="167"/>
      <c r="K292" s="167"/>
      <c r="L292" s="167"/>
      <c r="M292" s="167"/>
      <c r="N292" s="167"/>
      <c r="O292" s="167"/>
      <c r="P292" s="167"/>
      <c r="Q292" s="167"/>
      <c r="R292" s="167"/>
      <c r="S292" s="167"/>
      <c r="T292" s="167"/>
      <c r="U292" s="167"/>
      <c r="V292" s="167"/>
      <c r="W292" s="167"/>
      <c r="X292" s="167"/>
      <c r="Y292" s="167"/>
      <c r="Z292" s="167"/>
    </row>
    <row r="293" spans="1:26" ht="18" customHeight="1">
      <c r="A293" s="250"/>
      <c r="B293" s="167"/>
      <c r="C293" s="167"/>
      <c r="D293" s="167"/>
      <c r="E293" s="167"/>
      <c r="F293" s="168"/>
      <c r="G293" s="167"/>
      <c r="H293" s="167"/>
      <c r="I293" s="167"/>
      <c r="J293" s="167"/>
      <c r="K293" s="167"/>
      <c r="L293" s="167"/>
      <c r="M293" s="167"/>
      <c r="N293" s="167"/>
      <c r="O293" s="167"/>
      <c r="P293" s="167"/>
      <c r="Q293" s="167"/>
      <c r="R293" s="167"/>
      <c r="S293" s="167"/>
      <c r="T293" s="167"/>
      <c r="U293" s="167"/>
      <c r="V293" s="167"/>
      <c r="W293" s="167"/>
      <c r="X293" s="167"/>
      <c r="Y293" s="167"/>
      <c r="Z293" s="167"/>
    </row>
    <row r="294" spans="1:26" ht="18" customHeight="1">
      <c r="A294" s="250"/>
      <c r="B294" s="167"/>
      <c r="C294" s="167"/>
      <c r="D294" s="167"/>
      <c r="E294" s="167"/>
      <c r="F294" s="168"/>
      <c r="G294" s="167"/>
      <c r="H294" s="167"/>
      <c r="I294" s="167"/>
      <c r="J294" s="167"/>
      <c r="K294" s="167"/>
      <c r="L294" s="167"/>
      <c r="M294" s="167"/>
      <c r="N294" s="167"/>
      <c r="O294" s="167"/>
      <c r="P294" s="167"/>
      <c r="Q294" s="167"/>
      <c r="R294" s="167"/>
      <c r="S294" s="167"/>
      <c r="T294" s="167"/>
      <c r="U294" s="167"/>
      <c r="V294" s="167"/>
      <c r="W294" s="167"/>
      <c r="X294" s="167"/>
      <c r="Y294" s="167"/>
      <c r="Z294" s="167"/>
    </row>
    <row r="295" spans="1:26" ht="18" customHeight="1">
      <c r="A295" s="250"/>
      <c r="B295" s="167"/>
      <c r="C295" s="167"/>
      <c r="D295" s="167"/>
      <c r="E295" s="167"/>
      <c r="F295" s="168"/>
      <c r="G295" s="167"/>
      <c r="H295" s="167"/>
      <c r="I295" s="167"/>
      <c r="J295" s="167"/>
      <c r="K295" s="167"/>
      <c r="L295" s="167"/>
      <c r="M295" s="167"/>
      <c r="N295" s="167"/>
      <c r="O295" s="167"/>
      <c r="P295" s="167"/>
      <c r="Q295" s="167"/>
      <c r="R295" s="167"/>
      <c r="S295" s="167"/>
      <c r="T295" s="167"/>
      <c r="U295" s="167"/>
      <c r="V295" s="167"/>
      <c r="W295" s="167"/>
      <c r="X295" s="167"/>
      <c r="Y295" s="167"/>
      <c r="Z295" s="167"/>
    </row>
    <row r="296" spans="1:26" ht="18" customHeight="1">
      <c r="A296" s="250"/>
      <c r="B296" s="167"/>
      <c r="C296" s="167"/>
      <c r="D296" s="167"/>
      <c r="E296" s="167"/>
      <c r="F296" s="168"/>
      <c r="G296" s="167"/>
      <c r="H296" s="167"/>
      <c r="I296" s="167"/>
      <c r="J296" s="167"/>
      <c r="K296" s="167"/>
      <c r="L296" s="167"/>
      <c r="M296" s="167"/>
      <c r="N296" s="167"/>
      <c r="O296" s="167"/>
      <c r="P296" s="167"/>
      <c r="Q296" s="167"/>
      <c r="R296" s="167"/>
      <c r="S296" s="167"/>
      <c r="T296" s="167"/>
      <c r="U296" s="167"/>
      <c r="V296" s="167"/>
      <c r="W296" s="167"/>
      <c r="X296" s="167"/>
      <c r="Y296" s="167"/>
      <c r="Z296" s="167"/>
    </row>
    <row r="297" spans="1:26" ht="18" customHeight="1">
      <c r="A297" s="250"/>
      <c r="B297" s="167"/>
      <c r="C297" s="167"/>
      <c r="D297" s="167"/>
      <c r="E297" s="167"/>
      <c r="F297" s="168"/>
      <c r="G297" s="167"/>
      <c r="H297" s="167"/>
      <c r="I297" s="167"/>
      <c r="J297" s="167"/>
      <c r="K297" s="167"/>
      <c r="L297" s="167"/>
      <c r="M297" s="167"/>
      <c r="N297" s="167"/>
      <c r="O297" s="167"/>
      <c r="P297" s="167"/>
      <c r="Q297" s="167"/>
      <c r="R297" s="167"/>
      <c r="S297" s="167"/>
      <c r="T297" s="167"/>
      <c r="U297" s="167"/>
      <c r="V297" s="167"/>
      <c r="W297" s="167"/>
      <c r="X297" s="167"/>
      <c r="Y297" s="167"/>
      <c r="Z297" s="167"/>
    </row>
    <row r="298" spans="1:26" ht="18" customHeight="1">
      <c r="A298" s="250"/>
      <c r="B298" s="167"/>
      <c r="C298" s="167"/>
      <c r="D298" s="167"/>
      <c r="E298" s="167"/>
      <c r="F298" s="168"/>
      <c r="G298" s="167"/>
      <c r="H298" s="167"/>
      <c r="I298" s="167"/>
      <c r="J298" s="167"/>
      <c r="K298" s="167"/>
      <c r="L298" s="167"/>
      <c r="M298" s="167"/>
      <c r="N298" s="167"/>
      <c r="O298" s="167"/>
      <c r="P298" s="167"/>
      <c r="Q298" s="167"/>
      <c r="R298" s="167"/>
      <c r="S298" s="167"/>
      <c r="T298" s="167"/>
      <c r="U298" s="167"/>
      <c r="V298" s="167"/>
      <c r="W298" s="167"/>
      <c r="X298" s="167"/>
      <c r="Y298" s="167"/>
      <c r="Z298" s="167"/>
    </row>
    <row r="299" spans="1:26" ht="18" customHeight="1">
      <c r="A299" s="250"/>
      <c r="B299" s="167"/>
      <c r="C299" s="167"/>
      <c r="D299" s="167"/>
      <c r="E299" s="167"/>
      <c r="F299" s="168"/>
      <c r="G299" s="167"/>
      <c r="H299" s="167"/>
      <c r="I299" s="167"/>
      <c r="J299" s="167"/>
      <c r="K299" s="167"/>
      <c r="L299" s="167"/>
      <c r="M299" s="167"/>
      <c r="N299" s="167"/>
      <c r="O299" s="167"/>
      <c r="P299" s="167"/>
      <c r="Q299" s="167"/>
      <c r="R299" s="167"/>
      <c r="S299" s="167"/>
      <c r="T299" s="167"/>
      <c r="U299" s="167"/>
      <c r="V299" s="167"/>
      <c r="W299" s="167"/>
      <c r="X299" s="167"/>
      <c r="Y299" s="167"/>
      <c r="Z299" s="167"/>
    </row>
    <row r="300" spans="1:26" ht="18" customHeight="1">
      <c r="A300" s="250"/>
      <c r="B300" s="167"/>
      <c r="C300" s="167"/>
      <c r="D300" s="167"/>
      <c r="E300" s="167"/>
      <c r="F300" s="168"/>
      <c r="G300" s="167"/>
      <c r="H300" s="167"/>
      <c r="I300" s="167"/>
      <c r="J300" s="167"/>
      <c r="K300" s="167"/>
      <c r="L300" s="167"/>
      <c r="M300" s="167"/>
      <c r="N300" s="167"/>
      <c r="O300" s="167"/>
      <c r="P300" s="167"/>
      <c r="Q300" s="167"/>
      <c r="R300" s="167"/>
      <c r="S300" s="167"/>
      <c r="T300" s="167"/>
      <c r="U300" s="167"/>
      <c r="V300" s="167"/>
      <c r="W300" s="167"/>
      <c r="X300" s="167"/>
      <c r="Y300" s="167"/>
      <c r="Z300" s="167"/>
    </row>
    <row r="473" spans="1:1">
      <c r="A473" s="90"/>
    </row>
    <row r="474" spans="1:1">
      <c r="A474" s="90"/>
    </row>
    <row r="475" spans="1:1">
      <c r="A475" s="91"/>
    </row>
    <row r="476" spans="1:1">
      <c r="A476" s="91"/>
    </row>
    <row r="477" spans="1:1">
      <c r="A477" s="91"/>
    </row>
    <row r="478" spans="1:1">
      <c r="A478" s="90"/>
    </row>
    <row r="479" spans="1:1">
      <c r="A479" s="90"/>
    </row>
    <row r="480" spans="1:1">
      <c r="A480" s="90"/>
    </row>
    <row r="481" spans="1:1">
      <c r="A481" s="90"/>
    </row>
    <row r="482" spans="1:1">
      <c r="A482" s="90"/>
    </row>
    <row r="483" spans="1:1">
      <c r="A483" s="90"/>
    </row>
    <row r="484" spans="1:1">
      <c r="A484" s="90"/>
    </row>
    <row r="485" spans="1:1">
      <c r="A485" s="90"/>
    </row>
    <row r="486" spans="1:1">
      <c r="A486" s="90"/>
    </row>
    <row r="487" spans="1:1">
      <c r="A487" s="91"/>
    </row>
    <row r="488" spans="1:1">
      <c r="A488" s="91"/>
    </row>
    <row r="489" spans="1:1">
      <c r="A489" s="90"/>
    </row>
    <row r="490" spans="1:1">
      <c r="A490" s="90"/>
    </row>
    <row r="491" spans="1:1">
      <c r="A491" s="90"/>
    </row>
    <row r="492" spans="1:1">
      <c r="A492" s="90"/>
    </row>
    <row r="493" spans="1:1">
      <c r="A493" s="90"/>
    </row>
    <row r="494" spans="1:1">
      <c r="A494" s="90"/>
    </row>
    <row r="495" spans="1:1">
      <c r="A495" s="90"/>
    </row>
    <row r="496" spans="1:1">
      <c r="A496" s="90"/>
    </row>
    <row r="497" spans="1:1">
      <c r="A497" s="90"/>
    </row>
    <row r="498" spans="1:1">
      <c r="A498" s="90"/>
    </row>
    <row r="499" spans="1:1">
      <c r="A499" s="91"/>
    </row>
    <row r="500" spans="1:1">
      <c r="A500" s="91"/>
    </row>
    <row r="501" spans="1:1">
      <c r="A501" s="90"/>
    </row>
    <row r="502" spans="1:1">
      <c r="A502" s="90"/>
    </row>
    <row r="503" spans="1:1">
      <c r="A503" s="90"/>
    </row>
    <row r="504" spans="1:1">
      <c r="A504" s="90"/>
    </row>
    <row r="505" spans="1:1">
      <c r="A505" s="90"/>
    </row>
    <row r="506" spans="1:1">
      <c r="A506" s="90"/>
    </row>
    <row r="507" spans="1:1">
      <c r="A507" s="90"/>
    </row>
    <row r="508" spans="1:1">
      <c r="A508" s="90"/>
    </row>
  </sheetData>
  <sheetProtection algorithmName="SHA-512" hashValue="oBEgihQ2h2/Q8pvKZyBf1PJbWrPritRXqa1qssc5+04n8tbju6afgz2VQU0L32KIxY9fJY9nyDzGIq0tdrBC5w==" saltValue="Bb6TYkgMVwttconN3zrOGw==" spinCount="100000" sheet="1" objects="1" scenarios="1"/>
  <mergeCells count="20">
    <mergeCell ref="B2:G2"/>
    <mergeCell ref="E31:F31"/>
    <mergeCell ref="E32:F32"/>
    <mergeCell ref="E57:F57"/>
    <mergeCell ref="E14:F14"/>
    <mergeCell ref="E8:F8"/>
    <mergeCell ref="E11:F11"/>
    <mergeCell ref="E12:F12"/>
    <mergeCell ref="E13:F13"/>
    <mergeCell ref="E49:F49"/>
    <mergeCell ref="E50:F50"/>
    <mergeCell ref="E56:F56"/>
    <mergeCell ref="E46:F46"/>
    <mergeCell ref="E43:F43"/>
    <mergeCell ref="E40:F40"/>
    <mergeCell ref="E61:F61"/>
    <mergeCell ref="E62:F62"/>
    <mergeCell ref="E66:F66"/>
    <mergeCell ref="E60:F60"/>
    <mergeCell ref="E51:F51"/>
  </mergeCells>
  <dataValidations disablePrompts="1" count="1">
    <dataValidation type="list" allowBlank="1" showInputMessage="1" showErrorMessage="1" sqref="K29" xr:uid="{9A6C343B-FDCF-4E46-AC8B-55387A7CF9EF}">
      <formula1>"lb,kg"</formula1>
    </dataValidation>
  </dataValidations>
  <pageMargins left="0.7" right="0.7" top="0.75" bottom="0.75" header="0.3" footer="0.3"/>
  <pageSetup orientation="portrait" horizontalDpi="1200" verticalDpi="1200" r:id="rId1"/>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9FAA02-E300-413F-9145-F44CA6C99C99}">
  <sheetPr>
    <tabColor rgb="FF006570"/>
  </sheetPr>
  <dimension ref="A1:IB1566"/>
  <sheetViews>
    <sheetView showGridLines="0" zoomScaleNormal="100" workbookViewId="0">
      <selection activeCell="Q516" sqref="Q516"/>
    </sheetView>
  </sheetViews>
  <sheetFormatPr defaultColWidth="9" defaultRowHeight="15" customHeight="1" outlineLevelRow="2"/>
  <cols>
    <col min="1" max="1" width="4.19921875" style="88" customWidth="1"/>
    <col min="2" max="3" width="9.69921875" style="26" customWidth="1"/>
    <col min="4" max="5" width="18.69921875" style="26" customWidth="1"/>
    <col min="6" max="20" width="9.69921875" style="26" customWidth="1"/>
    <col min="21" max="24" width="9" style="26" customWidth="1"/>
    <col min="25" max="16384" width="9" style="26"/>
  </cols>
  <sheetData>
    <row r="1" spans="1:236" s="1" customFormat="1" ht="19.95" customHeight="1">
      <c r="A1" s="250"/>
      <c r="B1" s="242"/>
      <c r="C1" s="242"/>
      <c r="D1" s="242"/>
      <c r="E1" s="251"/>
      <c r="F1" s="242"/>
      <c r="G1" s="242"/>
      <c r="H1" s="242"/>
      <c r="I1" s="242"/>
      <c r="J1" s="242"/>
      <c r="K1" s="242"/>
      <c r="L1" s="242"/>
      <c r="M1" s="242"/>
      <c r="N1" s="242"/>
      <c r="O1" s="242"/>
      <c r="P1" s="242"/>
      <c r="Q1" s="242"/>
      <c r="R1" s="242"/>
      <c r="S1" s="242"/>
      <c r="T1" s="242"/>
      <c r="U1" s="242"/>
      <c r="V1" s="242"/>
      <c r="W1" s="242"/>
      <c r="X1" s="242"/>
      <c r="Y1" s="242"/>
      <c r="Z1" s="242"/>
      <c r="AA1" s="242"/>
      <c r="AB1" s="242"/>
      <c r="AC1" s="242"/>
      <c r="AD1" s="242"/>
      <c r="AE1" s="242"/>
      <c r="AF1" s="242"/>
      <c r="AG1" s="242"/>
      <c r="AH1" s="242"/>
      <c r="AI1" s="242"/>
      <c r="AJ1" s="242"/>
      <c r="AK1" s="242"/>
      <c r="AL1" s="242"/>
      <c r="AM1" s="242"/>
      <c r="AN1" s="242"/>
      <c r="AO1" s="242"/>
      <c r="AP1" s="242"/>
      <c r="AQ1" s="242"/>
      <c r="AR1" s="242"/>
      <c r="AS1" s="242"/>
      <c r="AT1" s="242"/>
      <c r="AU1" s="242"/>
      <c r="AV1" s="242"/>
      <c r="AW1" s="242"/>
      <c r="AX1" s="242"/>
      <c r="AY1" s="242"/>
      <c r="AZ1" s="242"/>
      <c r="BA1" s="252"/>
      <c r="BB1" s="252"/>
      <c r="BC1" s="252"/>
      <c r="BD1" s="252"/>
      <c r="BE1" s="252"/>
      <c r="BF1" s="252"/>
      <c r="BG1" s="252"/>
      <c r="BH1" s="252"/>
      <c r="BI1" s="252"/>
      <c r="BJ1" s="252"/>
      <c r="BK1" s="252"/>
      <c r="BL1" s="252"/>
      <c r="BM1" s="252"/>
      <c r="BN1" s="252"/>
      <c r="BO1" s="252"/>
      <c r="BP1" s="252"/>
      <c r="BQ1" s="252"/>
      <c r="BR1" s="252"/>
      <c r="BS1" s="252"/>
      <c r="BT1" s="252"/>
      <c r="BU1" s="252"/>
      <c r="BV1" s="252"/>
      <c r="BW1" s="252"/>
      <c r="BX1" s="252"/>
      <c r="BY1" s="252"/>
      <c r="BZ1" s="252"/>
      <c r="CA1" s="252"/>
      <c r="CB1" s="252"/>
      <c r="CC1" s="252"/>
      <c r="CD1" s="252"/>
      <c r="CE1" s="252"/>
      <c r="CF1" s="252"/>
      <c r="CG1" s="252"/>
      <c r="CH1" s="252"/>
      <c r="CI1" s="252"/>
      <c r="CJ1" s="252"/>
      <c r="CK1" s="252"/>
      <c r="CL1" s="252"/>
      <c r="CM1" s="252"/>
      <c r="CN1" s="252"/>
      <c r="CO1" s="252"/>
      <c r="CP1" s="252"/>
      <c r="CQ1" s="252"/>
      <c r="CR1" s="252"/>
      <c r="CS1" s="252"/>
      <c r="CT1" s="252"/>
      <c r="CU1" s="252"/>
      <c r="CV1" s="252"/>
      <c r="CW1" s="252"/>
      <c r="CX1" s="252"/>
      <c r="CY1" s="252"/>
      <c r="CZ1" s="252"/>
      <c r="DA1" s="252"/>
      <c r="DB1" s="252"/>
      <c r="DC1" s="252"/>
      <c r="DD1" s="252"/>
      <c r="DE1" s="252"/>
      <c r="DF1" s="252"/>
      <c r="DG1" s="252"/>
      <c r="DH1" s="252"/>
      <c r="DI1" s="252"/>
      <c r="DJ1" s="252"/>
      <c r="DK1" s="252"/>
      <c r="DL1" s="252"/>
      <c r="DM1" s="252"/>
      <c r="DN1" s="252"/>
      <c r="DO1" s="252"/>
      <c r="DP1" s="252"/>
      <c r="DQ1" s="252"/>
      <c r="DR1" s="252"/>
      <c r="DS1" s="252"/>
      <c r="DT1" s="252"/>
      <c r="DU1" s="252"/>
      <c r="DV1" s="252"/>
      <c r="DW1" s="252"/>
      <c r="DX1" s="252"/>
      <c r="DY1" s="252"/>
      <c r="DZ1" s="252"/>
      <c r="EA1" s="252"/>
      <c r="EB1" s="252"/>
      <c r="EC1" s="252"/>
      <c r="ED1" s="252"/>
      <c r="EE1" s="252"/>
      <c r="EF1" s="252"/>
      <c r="EG1" s="252"/>
      <c r="EH1" s="252"/>
      <c r="EI1" s="252"/>
      <c r="EJ1" s="252"/>
      <c r="EK1" s="252"/>
      <c r="EL1" s="252"/>
      <c r="EM1" s="252"/>
      <c r="EN1" s="252"/>
      <c r="EO1" s="252"/>
      <c r="EP1" s="252"/>
      <c r="EQ1" s="252"/>
      <c r="ER1" s="252"/>
      <c r="ES1" s="252"/>
      <c r="ET1" s="252"/>
      <c r="EU1" s="252"/>
      <c r="EV1" s="252"/>
      <c r="EW1" s="252"/>
      <c r="EX1" s="252"/>
      <c r="EY1" s="252"/>
      <c r="EZ1" s="252"/>
      <c r="FA1" s="252"/>
      <c r="FB1" s="252"/>
      <c r="FC1" s="252"/>
      <c r="FD1" s="252"/>
      <c r="FE1" s="252"/>
      <c r="FF1" s="252"/>
      <c r="FG1" s="252"/>
      <c r="FH1" s="252"/>
      <c r="FI1" s="252"/>
      <c r="FJ1" s="252"/>
      <c r="FK1" s="252"/>
      <c r="FL1" s="252"/>
      <c r="FM1" s="252"/>
      <c r="FN1" s="252"/>
      <c r="FO1" s="252"/>
      <c r="FP1" s="252"/>
      <c r="FQ1" s="252"/>
      <c r="FR1" s="252"/>
      <c r="FS1" s="252"/>
      <c r="FT1" s="252"/>
      <c r="FU1" s="252"/>
      <c r="FV1" s="252"/>
      <c r="FW1" s="252"/>
      <c r="FX1" s="252"/>
      <c r="FY1" s="252"/>
      <c r="FZ1" s="252"/>
      <c r="GA1" s="252"/>
      <c r="GB1" s="252"/>
      <c r="GC1" s="252"/>
      <c r="GD1" s="252"/>
      <c r="GE1" s="252"/>
      <c r="GF1" s="252"/>
      <c r="GG1" s="252"/>
      <c r="GH1" s="252"/>
      <c r="GI1" s="252"/>
      <c r="GJ1" s="252"/>
      <c r="GK1" s="252"/>
      <c r="GL1" s="252"/>
      <c r="GM1" s="252"/>
      <c r="GN1" s="252"/>
      <c r="GO1" s="252"/>
      <c r="GP1" s="252"/>
      <c r="GQ1" s="252"/>
      <c r="GR1" s="252"/>
      <c r="GS1" s="252"/>
      <c r="GT1" s="252"/>
      <c r="GU1" s="252"/>
      <c r="GV1" s="252"/>
      <c r="GW1" s="252"/>
      <c r="GX1" s="252"/>
      <c r="GY1" s="252"/>
      <c r="GZ1" s="252"/>
      <c r="HA1" s="252"/>
      <c r="HB1" s="252"/>
      <c r="HC1" s="252"/>
      <c r="HD1" s="252"/>
      <c r="HE1" s="252"/>
      <c r="HF1" s="252"/>
      <c r="HG1" s="252"/>
      <c r="HH1" s="252"/>
      <c r="HI1" s="252"/>
      <c r="HJ1" s="252"/>
      <c r="HK1" s="252"/>
      <c r="HL1" s="252"/>
      <c r="HM1" s="252"/>
      <c r="HN1" s="252"/>
      <c r="HO1" s="252"/>
      <c r="HP1" s="252"/>
      <c r="HQ1" s="252"/>
      <c r="HR1" s="252"/>
      <c r="HS1" s="252"/>
      <c r="HT1" s="252"/>
      <c r="HU1" s="252"/>
      <c r="HV1" s="252"/>
      <c r="HW1" s="252"/>
      <c r="HX1" s="252"/>
      <c r="HY1" s="252"/>
      <c r="HZ1" s="252"/>
      <c r="IA1" s="252"/>
      <c r="IB1" s="252"/>
    </row>
    <row r="2" spans="1:236" ht="94.95" customHeight="1">
      <c r="A2" s="250"/>
      <c r="B2" s="338" t="s">
        <v>380</v>
      </c>
      <c r="C2" s="339"/>
      <c r="D2" s="339"/>
      <c r="E2" s="339"/>
      <c r="F2" s="339"/>
      <c r="G2" s="339"/>
      <c r="H2" s="339"/>
      <c r="I2" s="339"/>
      <c r="J2" s="339"/>
      <c r="K2" s="340"/>
      <c r="L2" s="242"/>
      <c r="M2" s="242"/>
      <c r="N2" s="242"/>
      <c r="O2" s="242"/>
      <c r="P2" s="242"/>
      <c r="Q2" s="242"/>
      <c r="R2" s="242"/>
      <c r="S2" s="242"/>
      <c r="T2" s="241"/>
      <c r="U2" s="241"/>
      <c r="V2" s="241"/>
      <c r="W2" s="241"/>
      <c r="X2" s="241"/>
      <c r="Y2" s="241"/>
      <c r="Z2" s="241"/>
      <c r="AA2" s="241"/>
      <c r="AB2" s="241"/>
      <c r="AC2" s="241"/>
      <c r="AD2" s="241"/>
      <c r="AE2" s="241"/>
      <c r="AF2" s="241"/>
      <c r="AG2" s="241"/>
      <c r="AH2" s="241"/>
      <c r="AI2" s="241"/>
      <c r="AJ2" s="241"/>
      <c r="AK2" s="241"/>
      <c r="AL2" s="241"/>
      <c r="AM2" s="241"/>
      <c r="AN2" s="241"/>
      <c r="AO2" s="241"/>
      <c r="AP2" s="241"/>
      <c r="AQ2" s="241"/>
      <c r="AR2" s="241"/>
      <c r="AS2" s="241"/>
      <c r="AT2" s="241"/>
      <c r="AU2" s="241"/>
      <c r="AV2" s="241"/>
      <c r="AW2" s="241"/>
      <c r="AX2" s="241"/>
      <c r="AY2" s="241"/>
      <c r="AZ2" s="241"/>
      <c r="BA2" s="244"/>
      <c r="BB2" s="244"/>
      <c r="BC2" s="244"/>
      <c r="BD2" s="244"/>
      <c r="BE2" s="244"/>
      <c r="BF2" s="244"/>
      <c r="BG2" s="244"/>
      <c r="BH2" s="244"/>
      <c r="BI2" s="244"/>
      <c r="BJ2" s="244"/>
      <c r="BK2" s="244"/>
      <c r="BL2" s="244"/>
      <c r="BM2" s="244"/>
      <c r="BN2" s="244"/>
      <c r="BO2" s="244"/>
      <c r="BP2" s="244"/>
      <c r="BQ2" s="244"/>
      <c r="BR2" s="244"/>
      <c r="BS2" s="244"/>
      <c r="BT2" s="244"/>
      <c r="BU2" s="244"/>
      <c r="BV2" s="244"/>
      <c r="BW2" s="244"/>
      <c r="BX2" s="244"/>
      <c r="BY2" s="244"/>
      <c r="BZ2" s="244"/>
      <c r="CA2" s="244"/>
      <c r="CB2" s="244"/>
      <c r="CC2" s="244"/>
      <c r="CD2" s="244"/>
      <c r="CE2" s="244"/>
      <c r="CF2" s="244"/>
      <c r="CG2" s="244"/>
      <c r="CH2" s="244"/>
      <c r="CI2" s="244"/>
      <c r="CJ2" s="244"/>
      <c r="CK2" s="244"/>
      <c r="CL2" s="244"/>
      <c r="CM2" s="244"/>
      <c r="CN2" s="244"/>
      <c r="CO2" s="244"/>
      <c r="CP2" s="244"/>
      <c r="CQ2" s="244"/>
      <c r="CR2" s="244"/>
      <c r="CS2" s="244"/>
      <c r="CT2" s="244"/>
      <c r="CU2" s="244"/>
      <c r="CV2" s="244"/>
      <c r="CW2" s="244"/>
      <c r="CX2" s="244"/>
      <c r="CY2" s="244"/>
      <c r="CZ2" s="244"/>
      <c r="DA2" s="244"/>
      <c r="DB2" s="244"/>
      <c r="DC2" s="244"/>
      <c r="DD2" s="244"/>
      <c r="DE2" s="244"/>
      <c r="DF2" s="244"/>
      <c r="DG2" s="244"/>
      <c r="DH2" s="244"/>
      <c r="DI2" s="244"/>
      <c r="DJ2" s="244"/>
      <c r="DK2" s="244"/>
      <c r="DL2" s="244"/>
      <c r="DM2" s="244"/>
      <c r="DN2" s="244"/>
      <c r="DO2" s="244"/>
      <c r="DP2" s="244"/>
      <c r="DQ2" s="244"/>
      <c r="DR2" s="244"/>
      <c r="DS2" s="244"/>
      <c r="DT2" s="244"/>
      <c r="DU2" s="244"/>
      <c r="DV2" s="244"/>
      <c r="DW2" s="244"/>
      <c r="DX2" s="244"/>
      <c r="DY2" s="244"/>
      <c r="DZ2" s="244"/>
      <c r="EA2" s="244"/>
      <c r="EB2" s="244"/>
      <c r="EC2" s="244"/>
      <c r="ED2" s="244"/>
      <c r="EE2" s="244"/>
      <c r="EF2" s="244"/>
      <c r="EG2" s="244"/>
      <c r="EH2" s="244"/>
      <c r="EI2" s="244"/>
      <c r="EJ2" s="244"/>
      <c r="EK2" s="244"/>
      <c r="EL2" s="244"/>
      <c r="EM2" s="244"/>
      <c r="EN2" s="244"/>
      <c r="EO2" s="244"/>
      <c r="EP2" s="244"/>
      <c r="EQ2" s="244"/>
      <c r="ER2" s="244"/>
      <c r="ES2" s="244"/>
      <c r="ET2" s="244"/>
      <c r="EU2" s="244"/>
      <c r="EV2" s="244"/>
      <c r="EW2" s="244"/>
      <c r="EX2" s="244"/>
      <c r="EY2" s="244"/>
      <c r="EZ2" s="244"/>
      <c r="FA2" s="244"/>
      <c r="FB2" s="244"/>
      <c r="FC2" s="244"/>
      <c r="FD2" s="244"/>
      <c r="FE2" s="244"/>
      <c r="FF2" s="244"/>
      <c r="FG2" s="244"/>
      <c r="FH2" s="244"/>
      <c r="FI2" s="244"/>
      <c r="FJ2" s="244"/>
      <c r="FK2" s="244"/>
      <c r="FL2" s="244"/>
      <c r="FM2" s="244"/>
      <c r="FN2" s="244"/>
      <c r="FO2" s="244"/>
      <c r="FP2" s="244"/>
      <c r="FQ2" s="244"/>
      <c r="FR2" s="244"/>
      <c r="FS2" s="244"/>
      <c r="FT2" s="244"/>
      <c r="FU2" s="244"/>
      <c r="FV2" s="244"/>
      <c r="FW2" s="244"/>
      <c r="FX2" s="244"/>
      <c r="FY2" s="244"/>
      <c r="FZ2" s="244"/>
      <c r="GA2" s="244"/>
      <c r="GB2" s="244"/>
      <c r="GC2" s="244"/>
      <c r="GD2" s="244"/>
      <c r="GE2" s="244"/>
      <c r="GF2" s="244"/>
      <c r="GG2" s="244"/>
      <c r="GH2" s="244"/>
      <c r="GI2" s="244"/>
      <c r="GJ2" s="244"/>
      <c r="GK2" s="244"/>
      <c r="GL2" s="244"/>
      <c r="GM2" s="244"/>
      <c r="GN2" s="244"/>
      <c r="GO2" s="244"/>
      <c r="GP2" s="244"/>
      <c r="GQ2" s="244"/>
      <c r="GR2" s="244"/>
      <c r="GS2" s="244"/>
      <c r="GT2" s="244"/>
      <c r="GU2" s="244"/>
      <c r="GV2" s="244"/>
      <c r="GW2" s="244"/>
      <c r="GX2" s="244"/>
      <c r="GY2" s="244"/>
      <c r="GZ2" s="244"/>
      <c r="HA2" s="244"/>
      <c r="HB2" s="244"/>
      <c r="HC2" s="244"/>
      <c r="HD2" s="244"/>
      <c r="HE2" s="244"/>
      <c r="HF2" s="244"/>
      <c r="HG2" s="244"/>
      <c r="HH2" s="244"/>
      <c r="HI2" s="244"/>
      <c r="HJ2" s="244"/>
      <c r="HK2" s="244"/>
      <c r="HL2" s="244"/>
      <c r="HM2" s="244"/>
      <c r="HN2" s="244"/>
      <c r="HO2" s="244"/>
      <c r="HP2" s="244"/>
      <c r="HQ2" s="244"/>
      <c r="HR2" s="244"/>
      <c r="HS2" s="244"/>
      <c r="HT2" s="244"/>
      <c r="HU2" s="244"/>
      <c r="HV2" s="244"/>
      <c r="HW2" s="244"/>
      <c r="HX2" s="244"/>
      <c r="HY2" s="244"/>
      <c r="HZ2" s="244"/>
      <c r="IA2" s="244"/>
      <c r="IB2" s="244"/>
    </row>
    <row r="3" spans="1:236" ht="18" customHeight="1">
      <c r="A3" s="250"/>
      <c r="B3" s="241"/>
      <c r="C3" s="241"/>
      <c r="D3" s="241"/>
      <c r="E3" s="241"/>
      <c r="F3" s="241"/>
      <c r="G3" s="241"/>
      <c r="H3" s="241"/>
      <c r="I3" s="241"/>
      <c r="J3" s="241"/>
      <c r="K3" s="241"/>
      <c r="L3" s="242"/>
      <c r="M3" s="242"/>
      <c r="N3" s="242"/>
      <c r="O3" s="242"/>
      <c r="P3" s="242"/>
      <c r="Q3" s="242"/>
      <c r="R3" s="242"/>
      <c r="S3" s="242"/>
      <c r="T3" s="242"/>
      <c r="U3" s="241"/>
      <c r="V3" s="241"/>
      <c r="W3" s="241"/>
      <c r="X3" s="241"/>
      <c r="Y3" s="241"/>
      <c r="Z3" s="241"/>
      <c r="AA3" s="241"/>
      <c r="AB3" s="241"/>
      <c r="AC3" s="241"/>
      <c r="AD3" s="241"/>
      <c r="AE3" s="241"/>
      <c r="AF3" s="241"/>
      <c r="AG3" s="241"/>
      <c r="AH3" s="241"/>
      <c r="AI3" s="241"/>
      <c r="AJ3" s="241"/>
      <c r="AK3" s="241"/>
      <c r="AL3" s="241"/>
      <c r="AM3" s="241"/>
      <c r="AN3" s="241"/>
      <c r="AO3" s="241"/>
      <c r="AP3" s="241"/>
      <c r="AQ3" s="241"/>
      <c r="AR3" s="241"/>
      <c r="AS3" s="241"/>
      <c r="AT3" s="241"/>
      <c r="AU3" s="241"/>
      <c r="AV3" s="241"/>
      <c r="AW3" s="241"/>
      <c r="AX3" s="241"/>
      <c r="AY3" s="241"/>
      <c r="AZ3" s="241"/>
      <c r="BA3" s="244"/>
      <c r="BB3" s="244"/>
      <c r="BC3" s="244"/>
      <c r="BD3" s="244"/>
      <c r="BE3" s="244"/>
      <c r="BF3" s="244"/>
      <c r="BG3" s="244"/>
      <c r="BH3" s="244"/>
      <c r="BI3" s="244"/>
      <c r="BJ3" s="244"/>
      <c r="BK3" s="244"/>
      <c r="BL3" s="244"/>
      <c r="BM3" s="244"/>
      <c r="BN3" s="244"/>
      <c r="BO3" s="244"/>
      <c r="BP3" s="244"/>
      <c r="BQ3" s="244"/>
      <c r="BR3" s="244"/>
      <c r="BS3" s="244"/>
      <c r="BT3" s="244"/>
      <c r="BU3" s="244"/>
      <c r="BV3" s="244"/>
      <c r="BW3" s="244"/>
      <c r="BX3" s="244"/>
      <c r="BY3" s="244"/>
      <c r="BZ3" s="244"/>
      <c r="CA3" s="244"/>
      <c r="CB3" s="244"/>
      <c r="CC3" s="244"/>
      <c r="CD3" s="244"/>
      <c r="CE3" s="244"/>
      <c r="CF3" s="244"/>
      <c r="CG3" s="244"/>
      <c r="CH3" s="244"/>
      <c r="CI3" s="244"/>
      <c r="CJ3" s="244"/>
      <c r="CK3" s="244"/>
      <c r="CL3" s="244"/>
      <c r="CM3" s="244"/>
      <c r="CN3" s="244"/>
      <c r="CO3" s="244"/>
      <c r="CP3" s="244"/>
      <c r="CQ3" s="244"/>
      <c r="CR3" s="244"/>
      <c r="CS3" s="244"/>
      <c r="CT3" s="244"/>
      <c r="CU3" s="244"/>
      <c r="CV3" s="244"/>
      <c r="CW3" s="244"/>
      <c r="CX3" s="244"/>
      <c r="CY3" s="244"/>
      <c r="CZ3" s="244"/>
      <c r="DA3" s="244"/>
      <c r="DB3" s="244"/>
      <c r="DC3" s="244"/>
      <c r="DD3" s="244"/>
      <c r="DE3" s="244"/>
      <c r="DF3" s="244"/>
      <c r="DG3" s="244"/>
      <c r="DH3" s="244"/>
      <c r="DI3" s="244"/>
      <c r="DJ3" s="244"/>
      <c r="DK3" s="244"/>
      <c r="DL3" s="244"/>
      <c r="DM3" s="244"/>
      <c r="DN3" s="244"/>
      <c r="DO3" s="244"/>
      <c r="DP3" s="244"/>
      <c r="DQ3" s="244"/>
      <c r="DR3" s="244"/>
      <c r="DS3" s="244"/>
      <c r="DT3" s="244"/>
      <c r="DU3" s="244"/>
      <c r="DV3" s="244"/>
      <c r="DW3" s="244"/>
      <c r="DX3" s="244"/>
      <c r="DY3" s="244"/>
      <c r="DZ3" s="244"/>
      <c r="EA3" s="244"/>
      <c r="EB3" s="244"/>
      <c r="EC3" s="244"/>
      <c r="ED3" s="244"/>
      <c r="EE3" s="244"/>
      <c r="EF3" s="244"/>
      <c r="EG3" s="244"/>
      <c r="EH3" s="244"/>
      <c r="EI3" s="244"/>
      <c r="EJ3" s="244"/>
      <c r="EK3" s="244"/>
      <c r="EL3" s="244"/>
      <c r="EM3" s="244"/>
      <c r="EN3" s="244"/>
      <c r="EO3" s="244"/>
      <c r="EP3" s="244"/>
      <c r="EQ3" s="244"/>
      <c r="ER3" s="244"/>
      <c r="ES3" s="244"/>
      <c r="ET3" s="244"/>
      <c r="EU3" s="244"/>
      <c r="EV3" s="244"/>
      <c r="EW3" s="244"/>
      <c r="EX3" s="244"/>
      <c r="EY3" s="244"/>
      <c r="EZ3" s="244"/>
      <c r="FA3" s="244"/>
      <c r="FB3" s="244"/>
      <c r="FC3" s="244"/>
      <c r="FD3" s="244"/>
      <c r="FE3" s="244"/>
      <c r="FF3" s="244"/>
      <c r="FG3" s="244"/>
      <c r="FH3" s="244"/>
      <c r="FI3" s="244"/>
      <c r="FJ3" s="244"/>
      <c r="FK3" s="244"/>
      <c r="FL3" s="244"/>
      <c r="FM3" s="244"/>
      <c r="FN3" s="244"/>
      <c r="FO3" s="244"/>
      <c r="FP3" s="244"/>
      <c r="FQ3" s="244"/>
      <c r="FR3" s="244"/>
      <c r="FS3" s="244"/>
      <c r="FT3" s="244"/>
      <c r="FU3" s="244"/>
      <c r="FV3" s="244"/>
      <c r="FW3" s="244"/>
      <c r="FX3" s="244"/>
      <c r="FY3" s="244"/>
      <c r="FZ3" s="244"/>
      <c r="GA3" s="244"/>
      <c r="GB3" s="244"/>
      <c r="GC3" s="244"/>
      <c r="GD3" s="244"/>
      <c r="GE3" s="244"/>
      <c r="GF3" s="244"/>
      <c r="GG3" s="244"/>
      <c r="GH3" s="244"/>
      <c r="GI3" s="244"/>
      <c r="GJ3" s="244"/>
      <c r="GK3" s="244"/>
      <c r="GL3" s="244"/>
      <c r="GM3" s="244"/>
      <c r="GN3" s="244"/>
      <c r="GO3" s="244"/>
      <c r="GP3" s="244"/>
      <c r="GQ3" s="244"/>
      <c r="GR3" s="244"/>
      <c r="GS3" s="244"/>
      <c r="GT3" s="244"/>
      <c r="GU3" s="244"/>
      <c r="GV3" s="244"/>
      <c r="GW3" s="244"/>
      <c r="GX3" s="244"/>
      <c r="GY3" s="244"/>
      <c r="GZ3" s="244"/>
      <c r="HA3" s="244"/>
      <c r="HB3" s="244"/>
      <c r="HC3" s="244"/>
      <c r="HD3" s="244"/>
      <c r="HE3" s="244"/>
      <c r="HF3" s="244"/>
      <c r="HG3" s="244"/>
      <c r="HH3" s="244"/>
      <c r="HI3" s="244"/>
      <c r="HJ3" s="244"/>
      <c r="HK3" s="244"/>
      <c r="HL3" s="244"/>
      <c r="HM3" s="244"/>
      <c r="HN3" s="244"/>
      <c r="HO3" s="244"/>
      <c r="HP3" s="244"/>
      <c r="HQ3" s="244"/>
      <c r="HR3" s="244"/>
      <c r="HS3" s="244"/>
      <c r="HT3" s="244"/>
      <c r="HU3" s="244"/>
      <c r="HV3" s="244"/>
      <c r="HW3" s="244"/>
      <c r="HX3" s="244"/>
      <c r="HY3" s="244"/>
      <c r="HZ3" s="244"/>
      <c r="IA3" s="244"/>
      <c r="IB3" s="244"/>
    </row>
    <row r="4" spans="1:236" ht="18" customHeight="1">
      <c r="A4" s="250"/>
      <c r="B4" s="142" t="s">
        <v>146</v>
      </c>
      <c r="C4" s="156"/>
      <c r="D4" s="143"/>
      <c r="E4" s="143"/>
      <c r="F4" s="143"/>
      <c r="G4" s="143"/>
      <c r="H4" s="143"/>
      <c r="I4" s="143"/>
      <c r="J4" s="143"/>
      <c r="K4" s="144"/>
      <c r="L4" s="241"/>
      <c r="M4" s="241"/>
      <c r="N4" s="241"/>
      <c r="O4" s="241"/>
      <c r="P4" s="241"/>
      <c r="Q4" s="241"/>
      <c r="R4" s="241"/>
      <c r="S4" s="241"/>
      <c r="T4" s="241"/>
      <c r="U4" s="241"/>
      <c r="V4" s="241"/>
      <c r="W4" s="241"/>
      <c r="X4" s="241"/>
      <c r="Y4" s="241"/>
      <c r="Z4" s="241"/>
      <c r="AA4" s="241"/>
      <c r="AB4" s="241"/>
      <c r="AC4" s="241"/>
      <c r="AD4" s="241"/>
      <c r="AE4" s="241"/>
      <c r="AF4" s="241"/>
      <c r="AG4" s="241"/>
      <c r="AH4" s="241"/>
      <c r="AI4" s="241"/>
      <c r="AJ4" s="241"/>
      <c r="AK4" s="241"/>
      <c r="AL4" s="241"/>
      <c r="AM4" s="241"/>
      <c r="AN4" s="241"/>
      <c r="AO4" s="241"/>
      <c r="AP4" s="241"/>
      <c r="AQ4" s="241"/>
      <c r="AR4" s="241"/>
      <c r="AS4" s="241"/>
      <c r="AT4" s="241"/>
      <c r="AU4" s="241"/>
      <c r="AV4" s="241"/>
      <c r="AW4" s="241"/>
      <c r="AX4" s="241"/>
      <c r="AY4" s="241"/>
      <c r="AZ4" s="241"/>
      <c r="BA4" s="244"/>
      <c r="BB4" s="244"/>
      <c r="BC4" s="244"/>
      <c r="BD4" s="244"/>
      <c r="BE4" s="244"/>
      <c r="BF4" s="244"/>
      <c r="BG4" s="244"/>
      <c r="BH4" s="244"/>
      <c r="BI4" s="244"/>
      <c r="BJ4" s="244"/>
      <c r="BK4" s="244"/>
      <c r="BL4" s="244"/>
      <c r="BM4" s="244"/>
      <c r="BN4" s="244"/>
      <c r="BO4" s="244"/>
      <c r="BP4" s="244"/>
      <c r="BQ4" s="244"/>
      <c r="BR4" s="244"/>
      <c r="BS4" s="244"/>
      <c r="BT4" s="244"/>
      <c r="BU4" s="244"/>
      <c r="BV4" s="244"/>
      <c r="BW4" s="244"/>
      <c r="BX4" s="244"/>
      <c r="BY4" s="244"/>
      <c r="BZ4" s="244"/>
      <c r="CA4" s="244"/>
      <c r="CB4" s="244"/>
      <c r="CC4" s="244"/>
      <c r="CD4" s="244"/>
      <c r="CE4" s="244"/>
      <c r="CF4" s="244"/>
      <c r="CG4" s="244"/>
      <c r="CH4" s="244"/>
      <c r="CI4" s="244"/>
      <c r="CJ4" s="244"/>
      <c r="CK4" s="244"/>
      <c r="CL4" s="244"/>
      <c r="CM4" s="244"/>
      <c r="CN4" s="244"/>
      <c r="CO4" s="244"/>
      <c r="CP4" s="244"/>
      <c r="CQ4" s="244"/>
      <c r="CR4" s="244"/>
      <c r="CS4" s="244"/>
      <c r="CT4" s="244"/>
      <c r="CU4" s="244"/>
      <c r="CV4" s="244"/>
      <c r="CW4" s="244"/>
      <c r="CX4" s="244"/>
      <c r="CY4" s="244"/>
      <c r="CZ4" s="244"/>
      <c r="DA4" s="244"/>
      <c r="DB4" s="244"/>
      <c r="DC4" s="244"/>
      <c r="DD4" s="244"/>
      <c r="DE4" s="244"/>
      <c r="DF4" s="244"/>
      <c r="DG4" s="244"/>
      <c r="DH4" s="244"/>
      <c r="DI4" s="244"/>
      <c r="DJ4" s="244"/>
      <c r="DK4" s="244"/>
      <c r="DL4" s="244"/>
      <c r="DM4" s="244"/>
      <c r="DN4" s="244"/>
      <c r="DO4" s="244"/>
      <c r="DP4" s="244"/>
      <c r="DQ4" s="244"/>
      <c r="DR4" s="244"/>
      <c r="DS4" s="244"/>
      <c r="DT4" s="244"/>
      <c r="DU4" s="244"/>
      <c r="DV4" s="244"/>
      <c r="DW4" s="244"/>
      <c r="DX4" s="244"/>
      <c r="DY4" s="244"/>
      <c r="DZ4" s="244"/>
      <c r="EA4" s="244"/>
      <c r="EB4" s="244"/>
      <c r="EC4" s="244"/>
      <c r="ED4" s="244"/>
      <c r="EE4" s="244"/>
      <c r="EF4" s="244"/>
      <c r="EG4" s="244"/>
      <c r="EH4" s="244"/>
      <c r="EI4" s="244"/>
      <c r="EJ4" s="244"/>
      <c r="EK4" s="244"/>
      <c r="EL4" s="244"/>
      <c r="EM4" s="244"/>
      <c r="EN4" s="244"/>
      <c r="EO4" s="244"/>
      <c r="EP4" s="244"/>
      <c r="EQ4" s="244"/>
      <c r="ER4" s="244"/>
      <c r="ES4" s="244"/>
      <c r="ET4" s="244"/>
      <c r="EU4" s="244"/>
      <c r="EV4" s="244"/>
      <c r="EW4" s="244"/>
      <c r="EX4" s="244"/>
      <c r="EY4" s="244"/>
      <c r="EZ4" s="244"/>
      <c r="FA4" s="244"/>
      <c r="FB4" s="244"/>
      <c r="FC4" s="244"/>
      <c r="FD4" s="244"/>
      <c r="FE4" s="244"/>
      <c r="FF4" s="244"/>
      <c r="FG4" s="244"/>
      <c r="FH4" s="244"/>
      <c r="FI4" s="244"/>
      <c r="FJ4" s="244"/>
      <c r="FK4" s="244"/>
      <c r="FL4" s="244"/>
      <c r="FM4" s="244"/>
      <c r="FN4" s="244"/>
      <c r="FO4" s="244"/>
      <c r="FP4" s="244"/>
      <c r="FQ4" s="244"/>
      <c r="FR4" s="244"/>
      <c r="FS4" s="244"/>
      <c r="FT4" s="244"/>
      <c r="FU4" s="244"/>
      <c r="FV4" s="244"/>
      <c r="FW4" s="244"/>
      <c r="FX4" s="244"/>
      <c r="FY4" s="244"/>
      <c r="FZ4" s="244"/>
      <c r="GA4" s="244"/>
      <c r="GB4" s="244"/>
      <c r="GC4" s="244"/>
      <c r="GD4" s="244"/>
      <c r="GE4" s="244"/>
      <c r="GF4" s="244"/>
      <c r="GG4" s="244"/>
      <c r="GH4" s="244"/>
      <c r="GI4" s="244"/>
      <c r="GJ4" s="244"/>
      <c r="GK4" s="244"/>
      <c r="GL4" s="244"/>
      <c r="GM4" s="244"/>
      <c r="GN4" s="244"/>
      <c r="GO4" s="244"/>
      <c r="GP4" s="244"/>
      <c r="GQ4" s="244"/>
      <c r="GR4" s="244"/>
      <c r="GS4" s="244"/>
      <c r="GT4" s="244"/>
      <c r="GU4" s="244"/>
      <c r="GV4" s="244"/>
      <c r="GW4" s="244"/>
      <c r="GX4" s="244"/>
      <c r="GY4" s="244"/>
      <c r="GZ4" s="244"/>
      <c r="HA4" s="244"/>
      <c r="HB4" s="244"/>
      <c r="HC4" s="244"/>
      <c r="HD4" s="244"/>
      <c r="HE4" s="244"/>
      <c r="HF4" s="244"/>
      <c r="HG4" s="244"/>
      <c r="HH4" s="244"/>
      <c r="HI4" s="244"/>
      <c r="HJ4" s="244"/>
      <c r="HK4" s="244"/>
      <c r="HL4" s="244"/>
      <c r="HM4" s="244"/>
      <c r="HN4" s="244"/>
      <c r="HO4" s="244"/>
      <c r="HP4" s="244"/>
      <c r="HQ4" s="244"/>
      <c r="HR4" s="244"/>
      <c r="HS4" s="244"/>
      <c r="HT4" s="244"/>
      <c r="HU4" s="244"/>
      <c r="HV4" s="244"/>
      <c r="HW4" s="244"/>
      <c r="HX4" s="244"/>
      <c r="HY4" s="244"/>
      <c r="HZ4" s="244"/>
      <c r="IA4" s="244"/>
      <c r="IB4" s="244"/>
    </row>
    <row r="5" spans="1:236" ht="18" customHeight="1">
      <c r="A5" s="250"/>
      <c r="B5" s="241"/>
      <c r="C5" s="241"/>
      <c r="D5" s="241"/>
      <c r="E5" s="241"/>
      <c r="F5" s="241"/>
      <c r="G5" s="241"/>
      <c r="H5" s="241"/>
      <c r="I5" s="241"/>
      <c r="J5" s="241"/>
      <c r="K5" s="241"/>
      <c r="L5" s="242"/>
      <c r="M5" s="242"/>
      <c r="N5" s="242"/>
      <c r="O5" s="242"/>
      <c r="P5" s="242"/>
      <c r="Q5" s="242"/>
      <c r="R5" s="242"/>
      <c r="S5" s="242"/>
      <c r="T5" s="241"/>
      <c r="U5" s="241"/>
      <c r="V5" s="241"/>
      <c r="W5" s="241"/>
      <c r="X5" s="241"/>
      <c r="Y5" s="241"/>
      <c r="Z5" s="241"/>
      <c r="AA5" s="241"/>
      <c r="AB5" s="241"/>
      <c r="AC5" s="241"/>
      <c r="AD5" s="241"/>
      <c r="AE5" s="241"/>
      <c r="AF5" s="241"/>
      <c r="AG5" s="241"/>
      <c r="AH5" s="241"/>
      <c r="AI5" s="241"/>
      <c r="AJ5" s="241"/>
      <c r="AK5" s="241"/>
      <c r="AL5" s="241"/>
      <c r="AM5" s="241"/>
      <c r="AN5" s="241"/>
      <c r="AO5" s="241"/>
      <c r="AP5" s="241"/>
      <c r="AQ5" s="241"/>
      <c r="AR5" s="241"/>
      <c r="AS5" s="241"/>
      <c r="AT5" s="241"/>
      <c r="AU5" s="241"/>
      <c r="AV5" s="241"/>
      <c r="AW5" s="241"/>
      <c r="AX5" s="241"/>
      <c r="AY5" s="241"/>
      <c r="AZ5" s="241"/>
      <c r="BA5" s="244"/>
      <c r="BB5" s="244"/>
      <c r="BC5" s="244"/>
      <c r="BD5" s="244"/>
      <c r="BE5" s="244"/>
      <c r="BF5" s="244"/>
      <c r="BG5" s="244"/>
      <c r="BH5" s="244"/>
      <c r="BI5" s="244"/>
      <c r="BJ5" s="244"/>
      <c r="BK5" s="244"/>
      <c r="BL5" s="244"/>
      <c r="BM5" s="244"/>
      <c r="BN5" s="244"/>
      <c r="BO5" s="244"/>
      <c r="BP5" s="244"/>
      <c r="BQ5" s="244"/>
      <c r="BR5" s="244"/>
      <c r="BS5" s="244"/>
      <c r="BT5" s="244"/>
      <c r="BU5" s="244"/>
      <c r="BV5" s="244"/>
      <c r="BW5" s="244"/>
      <c r="BX5" s="244"/>
      <c r="BY5" s="244"/>
      <c r="BZ5" s="244"/>
      <c r="CA5" s="244"/>
      <c r="CB5" s="244"/>
      <c r="CC5" s="244"/>
      <c r="CD5" s="244"/>
      <c r="CE5" s="244"/>
      <c r="CF5" s="244"/>
      <c r="CG5" s="244"/>
      <c r="CH5" s="244"/>
      <c r="CI5" s="244"/>
      <c r="CJ5" s="244"/>
      <c r="CK5" s="244"/>
      <c r="CL5" s="244"/>
      <c r="CM5" s="244"/>
      <c r="CN5" s="244"/>
      <c r="CO5" s="244"/>
      <c r="CP5" s="244"/>
      <c r="CQ5" s="244"/>
      <c r="CR5" s="244"/>
      <c r="CS5" s="244"/>
      <c r="CT5" s="244"/>
      <c r="CU5" s="244"/>
      <c r="CV5" s="244"/>
      <c r="CW5" s="244"/>
      <c r="CX5" s="244"/>
      <c r="CY5" s="244"/>
      <c r="CZ5" s="244"/>
      <c r="DA5" s="244"/>
      <c r="DB5" s="244"/>
      <c r="DC5" s="244"/>
      <c r="DD5" s="244"/>
      <c r="DE5" s="244"/>
      <c r="DF5" s="244"/>
      <c r="DG5" s="244"/>
      <c r="DH5" s="244"/>
      <c r="DI5" s="244"/>
      <c r="DJ5" s="244"/>
      <c r="DK5" s="244"/>
      <c r="DL5" s="244"/>
      <c r="DM5" s="244"/>
      <c r="DN5" s="244"/>
      <c r="DO5" s="244"/>
      <c r="DP5" s="244"/>
      <c r="DQ5" s="244"/>
      <c r="DR5" s="244"/>
      <c r="DS5" s="244"/>
      <c r="DT5" s="244"/>
      <c r="DU5" s="244"/>
      <c r="DV5" s="244"/>
      <c r="DW5" s="244"/>
      <c r="DX5" s="244"/>
      <c r="DY5" s="244"/>
      <c r="DZ5" s="244"/>
      <c r="EA5" s="244"/>
      <c r="EB5" s="244"/>
      <c r="EC5" s="244"/>
      <c r="ED5" s="244"/>
      <c r="EE5" s="244"/>
      <c r="EF5" s="244"/>
      <c r="EG5" s="244"/>
      <c r="EH5" s="244"/>
      <c r="EI5" s="244"/>
      <c r="EJ5" s="244"/>
      <c r="EK5" s="244"/>
      <c r="EL5" s="244"/>
      <c r="EM5" s="244"/>
      <c r="EN5" s="244"/>
      <c r="EO5" s="244"/>
      <c r="EP5" s="244"/>
      <c r="EQ5" s="244"/>
      <c r="ER5" s="244"/>
      <c r="ES5" s="244"/>
      <c r="ET5" s="244"/>
      <c r="EU5" s="244"/>
      <c r="EV5" s="244"/>
      <c r="EW5" s="244"/>
      <c r="EX5" s="244"/>
      <c r="EY5" s="244"/>
      <c r="EZ5" s="244"/>
      <c r="FA5" s="244"/>
      <c r="FB5" s="244"/>
      <c r="FC5" s="244"/>
      <c r="FD5" s="244"/>
      <c r="FE5" s="244"/>
      <c r="FF5" s="244"/>
      <c r="FG5" s="244"/>
      <c r="FH5" s="244"/>
      <c r="FI5" s="244"/>
      <c r="FJ5" s="244"/>
      <c r="FK5" s="244"/>
      <c r="FL5" s="244"/>
      <c r="FM5" s="244"/>
      <c r="FN5" s="244"/>
      <c r="FO5" s="244"/>
      <c r="FP5" s="244"/>
      <c r="FQ5" s="244"/>
      <c r="FR5" s="244"/>
      <c r="FS5" s="244"/>
      <c r="FT5" s="244"/>
      <c r="FU5" s="244"/>
      <c r="FV5" s="244"/>
      <c r="FW5" s="244"/>
      <c r="FX5" s="244"/>
      <c r="FY5" s="244"/>
      <c r="FZ5" s="244"/>
      <c r="GA5" s="244"/>
      <c r="GB5" s="244"/>
      <c r="GC5" s="244"/>
      <c r="GD5" s="244"/>
      <c r="GE5" s="244"/>
      <c r="GF5" s="244"/>
      <c r="GG5" s="244"/>
      <c r="GH5" s="244"/>
      <c r="GI5" s="244"/>
      <c r="GJ5" s="244"/>
      <c r="GK5" s="244"/>
      <c r="GL5" s="244"/>
      <c r="GM5" s="244"/>
      <c r="GN5" s="244"/>
      <c r="GO5" s="244"/>
      <c r="GP5" s="244"/>
      <c r="GQ5" s="244"/>
      <c r="GR5" s="244"/>
      <c r="GS5" s="244"/>
      <c r="GT5" s="244"/>
      <c r="GU5" s="244"/>
      <c r="GV5" s="244"/>
      <c r="GW5" s="244"/>
      <c r="GX5" s="244"/>
      <c r="GY5" s="244"/>
      <c r="GZ5" s="244"/>
      <c r="HA5" s="244"/>
      <c r="HB5" s="244"/>
      <c r="HC5" s="244"/>
      <c r="HD5" s="244"/>
      <c r="HE5" s="244"/>
      <c r="HF5" s="244"/>
      <c r="HG5" s="244"/>
      <c r="HH5" s="244"/>
      <c r="HI5" s="244"/>
      <c r="HJ5" s="244"/>
      <c r="HK5" s="244"/>
      <c r="HL5" s="244"/>
      <c r="HM5" s="244"/>
      <c r="HN5" s="244"/>
      <c r="HO5" s="244"/>
      <c r="HP5" s="244"/>
      <c r="HQ5" s="244"/>
      <c r="HR5" s="244"/>
      <c r="HS5" s="244"/>
      <c r="HT5" s="244"/>
      <c r="HU5" s="244"/>
      <c r="HV5" s="244"/>
      <c r="HW5" s="244"/>
      <c r="HX5" s="244"/>
      <c r="HY5" s="244"/>
      <c r="HZ5" s="244"/>
      <c r="IA5" s="244"/>
      <c r="IB5" s="244"/>
    </row>
    <row r="6" spans="1:236" ht="18" customHeight="1">
      <c r="A6" s="250"/>
      <c r="B6" s="180" t="s">
        <v>147</v>
      </c>
      <c r="C6" s="185"/>
      <c r="D6" s="177"/>
      <c r="E6" s="178"/>
      <c r="F6" s="178"/>
      <c r="G6" s="369"/>
      <c r="H6" s="369"/>
      <c r="I6" s="369"/>
      <c r="J6" s="369"/>
      <c r="K6" s="369"/>
      <c r="L6" s="242"/>
      <c r="M6" s="242"/>
      <c r="N6" s="242"/>
      <c r="O6" s="242"/>
      <c r="P6" s="242"/>
      <c r="Q6" s="242"/>
      <c r="R6" s="242"/>
      <c r="S6" s="241"/>
      <c r="T6" s="241"/>
      <c r="U6" s="241"/>
      <c r="V6" s="241"/>
      <c r="W6" s="241"/>
      <c r="X6" s="241"/>
      <c r="Y6" s="241"/>
      <c r="Z6" s="241"/>
      <c r="AA6" s="241"/>
      <c r="AB6" s="241"/>
      <c r="AC6" s="241"/>
      <c r="AD6" s="241"/>
      <c r="AE6" s="241"/>
      <c r="AF6" s="241"/>
      <c r="AG6" s="241"/>
      <c r="AH6" s="241"/>
      <c r="AI6" s="241"/>
      <c r="AJ6" s="241"/>
      <c r="AK6" s="241"/>
      <c r="AL6" s="241"/>
      <c r="AM6" s="241"/>
      <c r="AN6" s="241"/>
      <c r="AO6" s="241"/>
      <c r="AP6" s="241"/>
      <c r="AQ6" s="241"/>
      <c r="AR6" s="241"/>
      <c r="AS6" s="241"/>
      <c r="AT6" s="241"/>
      <c r="AU6" s="241"/>
      <c r="AV6" s="241"/>
      <c r="AW6" s="241"/>
      <c r="AX6" s="241"/>
      <c r="AY6" s="241"/>
      <c r="AZ6" s="241"/>
      <c r="BA6" s="244"/>
      <c r="BB6" s="244"/>
      <c r="BC6" s="244"/>
      <c r="BD6" s="244"/>
      <c r="BE6" s="244"/>
      <c r="BF6" s="244"/>
      <c r="BG6" s="244"/>
      <c r="BH6" s="244"/>
      <c r="BI6" s="244"/>
      <c r="BJ6" s="244"/>
      <c r="BK6" s="244"/>
      <c r="BL6" s="244"/>
      <c r="BM6" s="244"/>
      <c r="BN6" s="244"/>
      <c r="BO6" s="244"/>
      <c r="BP6" s="244"/>
      <c r="BQ6" s="244"/>
      <c r="BR6" s="244"/>
      <c r="BS6" s="244"/>
      <c r="BT6" s="244"/>
      <c r="BU6" s="244"/>
      <c r="BV6" s="244"/>
      <c r="BW6" s="244"/>
      <c r="BX6" s="244"/>
      <c r="BY6" s="244"/>
      <c r="BZ6" s="244"/>
      <c r="CA6" s="244"/>
      <c r="CB6" s="244"/>
      <c r="CC6" s="244"/>
      <c r="CD6" s="244"/>
      <c r="CE6" s="244"/>
      <c r="CF6" s="244"/>
      <c r="CG6" s="244"/>
      <c r="CH6" s="244"/>
      <c r="CI6" s="244"/>
      <c r="CJ6" s="244"/>
      <c r="CK6" s="244"/>
      <c r="CL6" s="244"/>
      <c r="CM6" s="244"/>
      <c r="CN6" s="244"/>
      <c r="CO6" s="244"/>
      <c r="CP6" s="244"/>
      <c r="CQ6" s="244"/>
      <c r="CR6" s="244"/>
      <c r="CS6" s="244"/>
      <c r="CT6" s="244"/>
      <c r="CU6" s="244"/>
      <c r="CV6" s="244"/>
      <c r="CW6" s="244"/>
      <c r="CX6" s="244"/>
      <c r="CY6" s="244"/>
      <c r="CZ6" s="244"/>
      <c r="DA6" s="244"/>
      <c r="DB6" s="244"/>
      <c r="DC6" s="244"/>
      <c r="DD6" s="244"/>
      <c r="DE6" s="244"/>
      <c r="DF6" s="244"/>
      <c r="DG6" s="244"/>
      <c r="DH6" s="244"/>
      <c r="DI6" s="244"/>
      <c r="DJ6" s="244"/>
      <c r="DK6" s="244"/>
      <c r="DL6" s="244"/>
      <c r="DM6" s="244"/>
      <c r="DN6" s="244"/>
      <c r="DO6" s="244"/>
      <c r="DP6" s="244"/>
      <c r="DQ6" s="244"/>
      <c r="DR6" s="244"/>
      <c r="DS6" s="244"/>
      <c r="DT6" s="244"/>
      <c r="DU6" s="244"/>
      <c r="DV6" s="244"/>
      <c r="DW6" s="244"/>
      <c r="DX6" s="244"/>
      <c r="DY6" s="244"/>
      <c r="DZ6" s="244"/>
      <c r="EA6" s="244"/>
      <c r="EB6" s="244"/>
      <c r="EC6" s="244"/>
      <c r="ED6" s="244"/>
      <c r="EE6" s="244"/>
      <c r="EF6" s="244"/>
      <c r="EG6" s="244"/>
      <c r="EH6" s="244"/>
      <c r="EI6" s="244"/>
      <c r="EJ6" s="244"/>
      <c r="EK6" s="244"/>
      <c r="EL6" s="244"/>
      <c r="EM6" s="244"/>
      <c r="EN6" s="244"/>
      <c r="EO6" s="244"/>
      <c r="EP6" s="244"/>
      <c r="EQ6" s="244"/>
      <c r="ER6" s="244"/>
      <c r="ES6" s="244"/>
      <c r="ET6" s="244"/>
      <c r="EU6" s="244"/>
      <c r="EV6" s="244"/>
      <c r="EW6" s="244"/>
      <c r="EX6" s="244"/>
      <c r="EY6" s="244"/>
      <c r="EZ6" s="244"/>
      <c r="FA6" s="244"/>
      <c r="FB6" s="244"/>
      <c r="FC6" s="244"/>
      <c r="FD6" s="244"/>
      <c r="FE6" s="244"/>
      <c r="FF6" s="244"/>
      <c r="FG6" s="244"/>
      <c r="FH6" s="244"/>
      <c r="FI6" s="244"/>
      <c r="FJ6" s="244"/>
      <c r="FK6" s="244"/>
      <c r="FL6" s="244"/>
      <c r="FM6" s="244"/>
      <c r="FN6" s="244"/>
      <c r="FO6" s="244"/>
      <c r="FP6" s="244"/>
      <c r="FQ6" s="244"/>
      <c r="FR6" s="244"/>
      <c r="FS6" s="244"/>
      <c r="FT6" s="244"/>
      <c r="FU6" s="244"/>
      <c r="FV6" s="244"/>
      <c r="FW6" s="244"/>
      <c r="FX6" s="244"/>
      <c r="FY6" s="244"/>
      <c r="FZ6" s="244"/>
      <c r="GA6" s="244"/>
      <c r="GB6" s="244"/>
      <c r="GC6" s="244"/>
      <c r="GD6" s="244"/>
      <c r="GE6" s="244"/>
      <c r="GF6" s="244"/>
      <c r="GG6" s="244"/>
      <c r="GH6" s="244"/>
      <c r="GI6" s="244"/>
      <c r="GJ6" s="244"/>
      <c r="GK6" s="244"/>
      <c r="GL6" s="244"/>
      <c r="GM6" s="244"/>
      <c r="GN6" s="244"/>
      <c r="GO6" s="244"/>
      <c r="GP6" s="244"/>
      <c r="GQ6" s="244"/>
      <c r="GR6" s="244"/>
      <c r="GS6" s="244"/>
      <c r="GT6" s="244"/>
      <c r="GU6" s="244"/>
      <c r="GV6" s="244"/>
      <c r="GW6" s="244"/>
      <c r="GX6" s="244"/>
      <c r="GY6" s="244"/>
      <c r="GZ6" s="244"/>
      <c r="HA6" s="244"/>
      <c r="HB6" s="244"/>
      <c r="HC6" s="244"/>
      <c r="HD6" s="244"/>
      <c r="HE6" s="244"/>
      <c r="HF6" s="244"/>
      <c r="HG6" s="244"/>
      <c r="HH6" s="244"/>
      <c r="HI6" s="244"/>
      <c r="HJ6" s="244"/>
      <c r="HK6" s="244"/>
      <c r="HL6" s="244"/>
      <c r="HM6" s="244"/>
      <c r="HN6" s="244"/>
      <c r="HO6" s="244"/>
      <c r="HP6" s="244"/>
      <c r="HQ6" s="244"/>
      <c r="HR6" s="244"/>
      <c r="HS6" s="244"/>
      <c r="HT6" s="244"/>
      <c r="HU6" s="244"/>
      <c r="HV6" s="244"/>
      <c r="HW6" s="244"/>
      <c r="HX6" s="244"/>
      <c r="HY6" s="244"/>
      <c r="HZ6" s="244"/>
      <c r="IA6" s="244"/>
      <c r="IB6" s="244"/>
    </row>
    <row r="7" spans="1:236" ht="18" customHeight="1">
      <c r="A7" s="250"/>
      <c r="B7" s="181"/>
      <c r="C7" s="181"/>
      <c r="D7" s="241"/>
      <c r="E7" s="241"/>
      <c r="F7" s="241"/>
      <c r="G7" s="241"/>
      <c r="H7" s="241"/>
      <c r="I7" s="242"/>
      <c r="J7" s="242"/>
      <c r="K7" s="242"/>
      <c r="L7" s="242"/>
      <c r="M7" s="242"/>
      <c r="N7" s="242"/>
      <c r="O7" s="242"/>
      <c r="P7" s="242"/>
      <c r="Q7" s="242"/>
      <c r="R7" s="242"/>
      <c r="S7" s="241"/>
      <c r="T7" s="241"/>
      <c r="U7" s="241"/>
      <c r="V7" s="241"/>
      <c r="W7" s="241"/>
      <c r="X7" s="241"/>
      <c r="Y7" s="241"/>
      <c r="Z7" s="241"/>
      <c r="AA7" s="241"/>
      <c r="AB7" s="241"/>
      <c r="AC7" s="241"/>
      <c r="AD7" s="241"/>
      <c r="AE7" s="241"/>
      <c r="AF7" s="241"/>
      <c r="AG7" s="241"/>
      <c r="AH7" s="241"/>
      <c r="AI7" s="241"/>
      <c r="AJ7" s="241"/>
      <c r="AK7" s="241"/>
      <c r="AL7" s="241"/>
      <c r="AM7" s="241"/>
      <c r="AN7" s="241"/>
      <c r="AO7" s="241"/>
      <c r="AP7" s="241"/>
      <c r="AQ7" s="241"/>
      <c r="AR7" s="241"/>
      <c r="AS7" s="241"/>
      <c r="AT7" s="241"/>
      <c r="AU7" s="241"/>
      <c r="AV7" s="241"/>
      <c r="AW7" s="241"/>
      <c r="AX7" s="241"/>
      <c r="AY7" s="241"/>
      <c r="AZ7" s="241"/>
      <c r="BA7" s="244"/>
      <c r="BB7" s="244"/>
      <c r="BC7" s="244"/>
      <c r="BD7" s="244"/>
      <c r="BE7" s="244"/>
      <c r="BF7" s="244"/>
      <c r="BG7" s="244"/>
      <c r="BH7" s="244"/>
      <c r="BI7" s="244"/>
      <c r="BJ7" s="244"/>
      <c r="BK7" s="244"/>
      <c r="BL7" s="244"/>
      <c r="BM7" s="244"/>
      <c r="BN7" s="244"/>
      <c r="BO7" s="244"/>
      <c r="BP7" s="244"/>
      <c r="BQ7" s="244"/>
      <c r="BR7" s="244"/>
      <c r="BS7" s="244"/>
      <c r="BT7" s="244"/>
      <c r="BU7" s="244"/>
      <c r="BV7" s="244"/>
      <c r="BW7" s="244"/>
      <c r="BX7" s="244"/>
      <c r="BY7" s="244"/>
      <c r="BZ7" s="244"/>
      <c r="CA7" s="244"/>
      <c r="CB7" s="244"/>
      <c r="CC7" s="244"/>
      <c r="CD7" s="244"/>
      <c r="CE7" s="244"/>
      <c r="CF7" s="244"/>
      <c r="CG7" s="244"/>
      <c r="CH7" s="244"/>
      <c r="CI7" s="244"/>
      <c r="CJ7" s="244"/>
      <c r="CK7" s="244"/>
      <c r="CL7" s="244"/>
      <c r="CM7" s="244"/>
      <c r="CN7" s="244"/>
      <c r="CO7" s="244"/>
      <c r="CP7" s="244"/>
      <c r="CQ7" s="244"/>
      <c r="CR7" s="244"/>
      <c r="CS7" s="244"/>
      <c r="CT7" s="244"/>
      <c r="CU7" s="244"/>
      <c r="CV7" s="244"/>
      <c r="CW7" s="244"/>
      <c r="CX7" s="244"/>
      <c r="CY7" s="244"/>
      <c r="CZ7" s="244"/>
      <c r="DA7" s="244"/>
      <c r="DB7" s="244"/>
      <c r="DC7" s="244"/>
      <c r="DD7" s="244"/>
      <c r="DE7" s="244"/>
      <c r="DF7" s="244"/>
      <c r="DG7" s="244"/>
      <c r="DH7" s="244"/>
      <c r="DI7" s="244"/>
      <c r="DJ7" s="244"/>
      <c r="DK7" s="244"/>
      <c r="DL7" s="244"/>
      <c r="DM7" s="244"/>
      <c r="DN7" s="244"/>
      <c r="DO7" s="244"/>
      <c r="DP7" s="244"/>
      <c r="DQ7" s="244"/>
      <c r="DR7" s="244"/>
      <c r="DS7" s="244"/>
      <c r="DT7" s="244"/>
      <c r="DU7" s="244"/>
      <c r="DV7" s="244"/>
      <c r="DW7" s="244"/>
      <c r="DX7" s="244"/>
      <c r="DY7" s="244"/>
      <c r="DZ7" s="244"/>
      <c r="EA7" s="244"/>
      <c r="EB7" s="244"/>
      <c r="EC7" s="244"/>
      <c r="ED7" s="244"/>
      <c r="EE7" s="244"/>
      <c r="EF7" s="244"/>
      <c r="EG7" s="244"/>
      <c r="EH7" s="244"/>
      <c r="EI7" s="244"/>
      <c r="EJ7" s="244"/>
      <c r="EK7" s="244"/>
      <c r="EL7" s="244"/>
      <c r="EM7" s="244"/>
      <c r="EN7" s="244"/>
      <c r="EO7" s="244"/>
      <c r="EP7" s="244"/>
      <c r="EQ7" s="244"/>
      <c r="ER7" s="244"/>
      <c r="ES7" s="244"/>
      <c r="ET7" s="244"/>
      <c r="EU7" s="244"/>
      <c r="EV7" s="244"/>
      <c r="EW7" s="244"/>
      <c r="EX7" s="244"/>
      <c r="EY7" s="244"/>
      <c r="EZ7" s="244"/>
      <c r="FA7" s="244"/>
      <c r="FB7" s="244"/>
      <c r="FC7" s="244"/>
      <c r="FD7" s="244"/>
      <c r="FE7" s="244"/>
      <c r="FF7" s="244"/>
      <c r="FG7" s="244"/>
      <c r="FH7" s="244"/>
      <c r="FI7" s="244"/>
      <c r="FJ7" s="244"/>
      <c r="FK7" s="244"/>
      <c r="FL7" s="244"/>
      <c r="FM7" s="244"/>
      <c r="FN7" s="244"/>
      <c r="FO7" s="244"/>
      <c r="FP7" s="244"/>
      <c r="FQ7" s="244"/>
      <c r="FR7" s="244"/>
      <c r="FS7" s="244"/>
      <c r="FT7" s="244"/>
      <c r="FU7" s="244"/>
      <c r="FV7" s="244"/>
      <c r="FW7" s="244"/>
      <c r="FX7" s="244"/>
      <c r="FY7" s="244"/>
      <c r="FZ7" s="244"/>
      <c r="GA7" s="244"/>
      <c r="GB7" s="244"/>
      <c r="GC7" s="244"/>
      <c r="GD7" s="244"/>
      <c r="GE7" s="244"/>
      <c r="GF7" s="244"/>
      <c r="GG7" s="244"/>
      <c r="GH7" s="244"/>
      <c r="GI7" s="244"/>
      <c r="GJ7" s="244"/>
      <c r="GK7" s="244"/>
      <c r="GL7" s="244"/>
      <c r="GM7" s="244"/>
      <c r="GN7" s="244"/>
      <c r="GO7" s="244"/>
      <c r="GP7" s="244"/>
      <c r="GQ7" s="244"/>
      <c r="GR7" s="244"/>
      <c r="GS7" s="244"/>
      <c r="GT7" s="244"/>
      <c r="GU7" s="244"/>
      <c r="GV7" s="244"/>
      <c r="GW7" s="244"/>
      <c r="GX7" s="244"/>
      <c r="GY7" s="244"/>
      <c r="GZ7" s="244"/>
      <c r="HA7" s="244"/>
      <c r="HB7" s="244"/>
      <c r="HC7" s="244"/>
      <c r="HD7" s="244"/>
      <c r="HE7" s="244"/>
      <c r="HF7" s="244"/>
      <c r="HG7" s="244"/>
      <c r="HH7" s="244"/>
      <c r="HI7" s="244"/>
      <c r="HJ7" s="244"/>
      <c r="HK7" s="244"/>
      <c r="HL7" s="244"/>
      <c r="HM7" s="244"/>
      <c r="HN7" s="244"/>
      <c r="HO7" s="244"/>
      <c r="HP7" s="244"/>
      <c r="HQ7" s="244"/>
      <c r="HR7" s="244"/>
      <c r="HS7" s="244"/>
      <c r="HT7" s="244"/>
      <c r="HU7" s="244"/>
      <c r="HV7" s="244"/>
      <c r="HW7" s="244"/>
      <c r="HX7" s="244"/>
      <c r="HY7" s="244"/>
      <c r="HZ7" s="244"/>
      <c r="IA7" s="244"/>
      <c r="IB7" s="244"/>
    </row>
    <row r="8" spans="1:236" ht="18" customHeight="1">
      <c r="A8" s="250"/>
      <c r="B8" s="180" t="s">
        <v>149</v>
      </c>
      <c r="C8" s="185"/>
      <c r="D8" s="179"/>
      <c r="E8" s="178"/>
      <c r="F8" s="178"/>
      <c r="G8" s="369"/>
      <c r="H8" s="369"/>
      <c r="I8" s="369"/>
      <c r="J8" s="369"/>
      <c r="K8" s="369"/>
      <c r="L8" s="242"/>
      <c r="M8" s="242"/>
      <c r="N8" s="242"/>
      <c r="O8" s="242"/>
      <c r="P8" s="242"/>
      <c r="Q8" s="242"/>
      <c r="R8" s="242"/>
      <c r="S8" s="241"/>
      <c r="T8" s="241"/>
      <c r="U8" s="241"/>
      <c r="V8" s="241"/>
      <c r="W8" s="241"/>
      <c r="X8" s="241"/>
      <c r="Y8" s="241"/>
      <c r="Z8" s="241"/>
      <c r="AA8" s="241"/>
      <c r="AB8" s="241"/>
      <c r="AC8" s="241"/>
      <c r="AD8" s="241"/>
      <c r="AE8" s="241"/>
      <c r="AF8" s="241"/>
      <c r="AG8" s="241"/>
      <c r="AH8" s="241"/>
      <c r="AI8" s="241"/>
      <c r="AJ8" s="241"/>
      <c r="AK8" s="241"/>
      <c r="AL8" s="241"/>
      <c r="AM8" s="241"/>
      <c r="AN8" s="241"/>
      <c r="AO8" s="241"/>
      <c r="AP8" s="241"/>
      <c r="AQ8" s="241"/>
      <c r="AR8" s="241"/>
      <c r="AS8" s="241"/>
      <c r="AT8" s="241"/>
      <c r="AU8" s="241"/>
      <c r="AV8" s="241"/>
      <c r="AW8" s="241"/>
      <c r="AX8" s="241"/>
      <c r="AY8" s="241"/>
      <c r="AZ8" s="241"/>
      <c r="BA8" s="244"/>
      <c r="BB8" s="244"/>
      <c r="BC8" s="244"/>
      <c r="BD8" s="244"/>
      <c r="BE8" s="244"/>
      <c r="BF8" s="244"/>
      <c r="BG8" s="244"/>
      <c r="BH8" s="244"/>
      <c r="BI8" s="244"/>
      <c r="BJ8" s="244"/>
      <c r="BK8" s="244"/>
      <c r="BL8" s="244"/>
      <c r="BM8" s="244"/>
      <c r="BN8" s="244"/>
      <c r="BO8" s="244"/>
      <c r="BP8" s="244"/>
      <c r="BQ8" s="244"/>
      <c r="BR8" s="244"/>
      <c r="BS8" s="244"/>
      <c r="BT8" s="244"/>
      <c r="BU8" s="244"/>
      <c r="BV8" s="244"/>
      <c r="BW8" s="244"/>
      <c r="BX8" s="244"/>
      <c r="BY8" s="244"/>
      <c r="BZ8" s="244"/>
      <c r="CA8" s="244"/>
      <c r="CB8" s="244"/>
      <c r="CC8" s="244"/>
      <c r="CD8" s="244"/>
      <c r="CE8" s="244"/>
      <c r="CF8" s="244"/>
      <c r="CG8" s="244"/>
      <c r="CH8" s="244"/>
      <c r="CI8" s="244"/>
      <c r="CJ8" s="244"/>
      <c r="CK8" s="244"/>
      <c r="CL8" s="244"/>
      <c r="CM8" s="244"/>
      <c r="CN8" s="244"/>
      <c r="CO8" s="244"/>
      <c r="CP8" s="244"/>
      <c r="CQ8" s="244"/>
      <c r="CR8" s="244"/>
      <c r="CS8" s="244"/>
      <c r="CT8" s="244"/>
      <c r="CU8" s="244"/>
      <c r="CV8" s="244"/>
      <c r="CW8" s="244"/>
      <c r="CX8" s="244"/>
      <c r="CY8" s="244"/>
      <c r="CZ8" s="244"/>
      <c r="DA8" s="244"/>
      <c r="DB8" s="244"/>
      <c r="DC8" s="244"/>
      <c r="DD8" s="244"/>
      <c r="DE8" s="244"/>
      <c r="DF8" s="244"/>
      <c r="DG8" s="244"/>
      <c r="DH8" s="244"/>
      <c r="DI8" s="244"/>
      <c r="DJ8" s="244"/>
      <c r="DK8" s="244"/>
      <c r="DL8" s="244"/>
      <c r="DM8" s="244"/>
      <c r="DN8" s="244"/>
      <c r="DO8" s="244"/>
      <c r="DP8" s="244"/>
      <c r="DQ8" s="244"/>
      <c r="DR8" s="244"/>
      <c r="DS8" s="244"/>
      <c r="DT8" s="244"/>
      <c r="DU8" s="244"/>
      <c r="DV8" s="244"/>
      <c r="DW8" s="244"/>
      <c r="DX8" s="244"/>
      <c r="DY8" s="244"/>
      <c r="DZ8" s="244"/>
      <c r="EA8" s="244"/>
      <c r="EB8" s="244"/>
      <c r="EC8" s="244"/>
      <c r="ED8" s="244"/>
      <c r="EE8" s="244"/>
      <c r="EF8" s="244"/>
      <c r="EG8" s="244"/>
      <c r="EH8" s="244"/>
      <c r="EI8" s="244"/>
      <c r="EJ8" s="244"/>
      <c r="EK8" s="244"/>
      <c r="EL8" s="244"/>
      <c r="EM8" s="244"/>
      <c r="EN8" s="244"/>
      <c r="EO8" s="244"/>
      <c r="EP8" s="244"/>
      <c r="EQ8" s="244"/>
      <c r="ER8" s="244"/>
      <c r="ES8" s="244"/>
      <c r="ET8" s="244"/>
      <c r="EU8" s="244"/>
      <c r="EV8" s="244"/>
      <c r="EW8" s="244"/>
      <c r="EX8" s="244"/>
      <c r="EY8" s="244"/>
      <c r="EZ8" s="244"/>
      <c r="FA8" s="244"/>
      <c r="FB8" s="244"/>
      <c r="FC8" s="244"/>
      <c r="FD8" s="244"/>
      <c r="FE8" s="244"/>
      <c r="FF8" s="244"/>
      <c r="FG8" s="244"/>
      <c r="FH8" s="244"/>
      <c r="FI8" s="244"/>
      <c r="FJ8" s="244"/>
      <c r="FK8" s="244"/>
      <c r="FL8" s="244"/>
      <c r="FM8" s="244"/>
      <c r="FN8" s="244"/>
      <c r="FO8" s="244"/>
      <c r="FP8" s="244"/>
      <c r="FQ8" s="244"/>
      <c r="FR8" s="244"/>
      <c r="FS8" s="244"/>
      <c r="FT8" s="244"/>
      <c r="FU8" s="244"/>
      <c r="FV8" s="244"/>
      <c r="FW8" s="244"/>
      <c r="FX8" s="244"/>
      <c r="FY8" s="244"/>
      <c r="FZ8" s="244"/>
      <c r="GA8" s="244"/>
      <c r="GB8" s="244"/>
      <c r="GC8" s="244"/>
      <c r="GD8" s="244"/>
      <c r="GE8" s="244"/>
      <c r="GF8" s="244"/>
      <c r="GG8" s="244"/>
      <c r="GH8" s="244"/>
      <c r="GI8" s="244"/>
      <c r="GJ8" s="244"/>
      <c r="GK8" s="244"/>
      <c r="GL8" s="244"/>
      <c r="GM8" s="244"/>
      <c r="GN8" s="244"/>
      <c r="GO8" s="244"/>
      <c r="GP8" s="244"/>
      <c r="GQ8" s="244"/>
      <c r="GR8" s="244"/>
      <c r="GS8" s="244"/>
      <c r="GT8" s="244"/>
      <c r="GU8" s="244"/>
      <c r="GV8" s="244"/>
      <c r="GW8" s="244"/>
      <c r="GX8" s="244"/>
      <c r="GY8" s="244"/>
      <c r="GZ8" s="244"/>
      <c r="HA8" s="244"/>
      <c r="HB8" s="244"/>
      <c r="HC8" s="244"/>
      <c r="HD8" s="244"/>
      <c r="HE8" s="244"/>
      <c r="HF8" s="244"/>
      <c r="HG8" s="244"/>
      <c r="HH8" s="244"/>
      <c r="HI8" s="244"/>
      <c r="HJ8" s="244"/>
      <c r="HK8" s="244"/>
      <c r="HL8" s="244"/>
      <c r="HM8" s="244"/>
      <c r="HN8" s="244"/>
      <c r="HO8" s="244"/>
      <c r="HP8" s="244"/>
      <c r="HQ8" s="244"/>
      <c r="HR8" s="244"/>
      <c r="HS8" s="244"/>
      <c r="HT8" s="244"/>
      <c r="HU8" s="244"/>
      <c r="HV8" s="244"/>
      <c r="HW8" s="244"/>
      <c r="HX8" s="244"/>
      <c r="HY8" s="244"/>
      <c r="HZ8" s="244"/>
      <c r="IA8" s="244"/>
      <c r="IB8" s="244"/>
    </row>
    <row r="9" spans="1:236" ht="18" customHeight="1">
      <c r="A9" s="250"/>
      <c r="B9" s="181"/>
      <c r="C9" s="181"/>
      <c r="D9" s="241"/>
      <c r="E9" s="241"/>
      <c r="F9" s="241"/>
      <c r="G9" s="241"/>
      <c r="H9" s="241"/>
      <c r="I9" s="242"/>
      <c r="J9" s="242"/>
      <c r="K9" s="242"/>
      <c r="L9" s="242"/>
      <c r="M9" s="242"/>
      <c r="N9" s="242"/>
      <c r="O9" s="242"/>
      <c r="P9" s="242"/>
      <c r="Q9" s="242"/>
      <c r="R9" s="242"/>
      <c r="S9" s="241"/>
      <c r="T9" s="241"/>
      <c r="U9" s="241"/>
      <c r="V9" s="241"/>
      <c r="W9" s="241"/>
      <c r="X9" s="241"/>
      <c r="Y9" s="241"/>
      <c r="Z9" s="241"/>
      <c r="AA9" s="241"/>
      <c r="AB9" s="241"/>
      <c r="AC9" s="241"/>
      <c r="AD9" s="241"/>
      <c r="AE9" s="241"/>
      <c r="AF9" s="241"/>
      <c r="AG9" s="241"/>
      <c r="AH9" s="241"/>
      <c r="AI9" s="241"/>
      <c r="AJ9" s="241"/>
      <c r="AK9" s="241"/>
      <c r="AL9" s="241"/>
      <c r="AM9" s="241"/>
      <c r="AN9" s="241"/>
      <c r="AO9" s="241"/>
      <c r="AP9" s="241"/>
      <c r="AQ9" s="241"/>
      <c r="AR9" s="241"/>
      <c r="AS9" s="241"/>
      <c r="AT9" s="241"/>
      <c r="AU9" s="241"/>
      <c r="AV9" s="241"/>
      <c r="AW9" s="241"/>
      <c r="AX9" s="241"/>
      <c r="AY9" s="241"/>
      <c r="AZ9" s="241"/>
      <c r="BA9" s="244"/>
      <c r="BB9" s="244"/>
      <c r="BC9" s="244"/>
      <c r="BD9" s="244"/>
      <c r="BE9" s="244"/>
      <c r="BF9" s="244"/>
      <c r="BG9" s="244"/>
      <c r="BH9" s="244"/>
      <c r="BI9" s="244"/>
      <c r="BJ9" s="244"/>
      <c r="BK9" s="244"/>
      <c r="BL9" s="244"/>
      <c r="BM9" s="244"/>
      <c r="BN9" s="244"/>
      <c r="BO9" s="244"/>
      <c r="BP9" s="244"/>
      <c r="BQ9" s="244"/>
      <c r="BR9" s="244"/>
      <c r="BS9" s="244"/>
      <c r="BT9" s="244"/>
      <c r="BU9" s="244"/>
      <c r="BV9" s="244"/>
      <c r="BW9" s="244"/>
      <c r="BX9" s="244"/>
      <c r="BY9" s="244"/>
      <c r="BZ9" s="244"/>
      <c r="CA9" s="244"/>
      <c r="CB9" s="244"/>
      <c r="CC9" s="244"/>
      <c r="CD9" s="244"/>
      <c r="CE9" s="244"/>
      <c r="CF9" s="244"/>
      <c r="CG9" s="244"/>
      <c r="CH9" s="244"/>
      <c r="CI9" s="244"/>
      <c r="CJ9" s="244"/>
      <c r="CK9" s="244"/>
      <c r="CL9" s="244"/>
      <c r="CM9" s="244"/>
      <c r="CN9" s="244"/>
      <c r="CO9" s="244"/>
      <c r="CP9" s="244"/>
      <c r="CQ9" s="244"/>
      <c r="CR9" s="244"/>
      <c r="CS9" s="244"/>
      <c r="CT9" s="244"/>
      <c r="CU9" s="244"/>
      <c r="CV9" s="244"/>
      <c r="CW9" s="244"/>
      <c r="CX9" s="244"/>
      <c r="CY9" s="244"/>
      <c r="CZ9" s="244"/>
      <c r="DA9" s="244"/>
      <c r="DB9" s="244"/>
      <c r="DC9" s="244"/>
      <c r="DD9" s="244"/>
      <c r="DE9" s="244"/>
      <c r="DF9" s="244"/>
      <c r="DG9" s="244"/>
      <c r="DH9" s="244"/>
      <c r="DI9" s="244"/>
      <c r="DJ9" s="244"/>
      <c r="DK9" s="244"/>
      <c r="DL9" s="244"/>
      <c r="DM9" s="244"/>
      <c r="DN9" s="244"/>
      <c r="DO9" s="244"/>
      <c r="DP9" s="244"/>
      <c r="DQ9" s="244"/>
      <c r="DR9" s="244"/>
      <c r="DS9" s="244"/>
      <c r="DT9" s="244"/>
      <c r="DU9" s="244"/>
      <c r="DV9" s="244"/>
      <c r="DW9" s="244"/>
      <c r="DX9" s="244"/>
      <c r="DY9" s="244"/>
      <c r="DZ9" s="244"/>
      <c r="EA9" s="244"/>
      <c r="EB9" s="244"/>
      <c r="EC9" s="244"/>
      <c r="ED9" s="244"/>
      <c r="EE9" s="244"/>
      <c r="EF9" s="244"/>
      <c r="EG9" s="244"/>
      <c r="EH9" s="244"/>
      <c r="EI9" s="244"/>
      <c r="EJ9" s="244"/>
      <c r="EK9" s="244"/>
      <c r="EL9" s="244"/>
      <c r="EM9" s="244"/>
      <c r="EN9" s="244"/>
      <c r="EO9" s="244"/>
      <c r="EP9" s="244"/>
      <c r="EQ9" s="244"/>
      <c r="ER9" s="244"/>
      <c r="ES9" s="244"/>
      <c r="ET9" s="244"/>
      <c r="EU9" s="244"/>
      <c r="EV9" s="244"/>
      <c r="EW9" s="244"/>
      <c r="EX9" s="244"/>
      <c r="EY9" s="244"/>
      <c r="EZ9" s="244"/>
      <c r="FA9" s="244"/>
      <c r="FB9" s="244"/>
      <c r="FC9" s="244"/>
      <c r="FD9" s="244"/>
      <c r="FE9" s="244"/>
      <c r="FF9" s="244"/>
      <c r="FG9" s="244"/>
      <c r="FH9" s="244"/>
      <c r="FI9" s="244"/>
      <c r="FJ9" s="244"/>
      <c r="FK9" s="244"/>
      <c r="FL9" s="244"/>
      <c r="FM9" s="244"/>
      <c r="FN9" s="244"/>
      <c r="FO9" s="244"/>
      <c r="FP9" s="244"/>
      <c r="FQ9" s="244"/>
      <c r="FR9" s="244"/>
      <c r="FS9" s="244"/>
      <c r="FT9" s="244"/>
      <c r="FU9" s="244"/>
      <c r="FV9" s="244"/>
      <c r="FW9" s="244"/>
      <c r="FX9" s="244"/>
      <c r="FY9" s="244"/>
      <c r="FZ9" s="244"/>
      <c r="GA9" s="244"/>
      <c r="GB9" s="244"/>
      <c r="GC9" s="244"/>
      <c r="GD9" s="244"/>
      <c r="GE9" s="244"/>
      <c r="GF9" s="244"/>
      <c r="GG9" s="244"/>
      <c r="GH9" s="244"/>
      <c r="GI9" s="244"/>
      <c r="GJ9" s="244"/>
      <c r="GK9" s="244"/>
      <c r="GL9" s="244"/>
      <c r="GM9" s="244"/>
      <c r="GN9" s="244"/>
      <c r="GO9" s="244"/>
      <c r="GP9" s="244"/>
      <c r="GQ9" s="244"/>
      <c r="GR9" s="244"/>
      <c r="GS9" s="244"/>
      <c r="GT9" s="244"/>
      <c r="GU9" s="244"/>
      <c r="GV9" s="244"/>
      <c r="GW9" s="244"/>
      <c r="GX9" s="244"/>
      <c r="GY9" s="244"/>
      <c r="GZ9" s="244"/>
      <c r="HA9" s="244"/>
      <c r="HB9" s="244"/>
      <c r="HC9" s="244"/>
      <c r="HD9" s="244"/>
      <c r="HE9" s="244"/>
      <c r="HF9" s="244"/>
      <c r="HG9" s="244"/>
      <c r="HH9" s="244"/>
      <c r="HI9" s="244"/>
      <c r="HJ9" s="244"/>
      <c r="HK9" s="244"/>
      <c r="HL9" s="244"/>
      <c r="HM9" s="244"/>
      <c r="HN9" s="244"/>
      <c r="HO9" s="244"/>
      <c r="HP9" s="244"/>
      <c r="HQ9" s="244"/>
      <c r="HR9" s="244"/>
      <c r="HS9" s="244"/>
      <c r="HT9" s="244"/>
      <c r="HU9" s="244"/>
      <c r="HV9" s="244"/>
      <c r="HW9" s="244"/>
      <c r="HX9" s="244"/>
      <c r="HY9" s="244"/>
      <c r="HZ9" s="244"/>
      <c r="IA9" s="244"/>
      <c r="IB9" s="244"/>
    </row>
    <row r="10" spans="1:236" ht="18" customHeight="1">
      <c r="A10" s="250"/>
      <c r="B10" s="241"/>
      <c r="C10" s="241"/>
      <c r="D10" s="241"/>
      <c r="E10" s="241"/>
      <c r="F10" s="241"/>
      <c r="G10" s="241"/>
      <c r="H10" s="241"/>
      <c r="I10" s="241"/>
      <c r="J10" s="241"/>
      <c r="K10" s="242"/>
      <c r="L10" s="242"/>
      <c r="M10" s="242"/>
      <c r="N10" s="242"/>
      <c r="O10" s="242"/>
      <c r="P10" s="242"/>
      <c r="Q10" s="242"/>
      <c r="R10" s="242"/>
      <c r="S10" s="242"/>
      <c r="T10" s="241"/>
      <c r="U10" s="241"/>
      <c r="V10" s="241"/>
      <c r="W10" s="241"/>
      <c r="X10" s="241"/>
      <c r="Y10" s="241"/>
      <c r="Z10" s="241"/>
      <c r="AA10" s="241"/>
      <c r="AB10" s="241"/>
      <c r="AC10" s="241"/>
      <c r="AD10" s="241"/>
      <c r="AE10" s="241"/>
      <c r="AF10" s="241"/>
      <c r="AG10" s="241"/>
      <c r="AH10" s="241"/>
      <c r="AI10" s="241"/>
      <c r="AJ10" s="241"/>
      <c r="AK10" s="241"/>
      <c r="AL10" s="241"/>
      <c r="AM10" s="241"/>
      <c r="AN10" s="241"/>
      <c r="AO10" s="241"/>
      <c r="AP10" s="241"/>
      <c r="AQ10" s="241"/>
      <c r="AR10" s="241"/>
      <c r="AS10" s="241"/>
      <c r="AT10" s="241"/>
      <c r="AU10" s="241"/>
      <c r="AV10" s="241"/>
      <c r="AW10" s="241"/>
      <c r="AX10" s="241"/>
      <c r="AY10" s="241"/>
      <c r="AZ10" s="241"/>
      <c r="BA10" s="244"/>
      <c r="BB10" s="244"/>
      <c r="BC10" s="244"/>
      <c r="BD10" s="244"/>
      <c r="BE10" s="244"/>
      <c r="BF10" s="244"/>
      <c r="BG10" s="244"/>
      <c r="BH10" s="244"/>
      <c r="BI10" s="244"/>
      <c r="BJ10" s="244"/>
      <c r="BK10" s="244"/>
      <c r="BL10" s="244"/>
      <c r="BM10" s="244"/>
      <c r="BN10" s="244"/>
      <c r="BO10" s="244"/>
      <c r="BP10" s="244"/>
      <c r="BQ10" s="244"/>
      <c r="BR10" s="244"/>
      <c r="BS10" s="244"/>
      <c r="BT10" s="244"/>
      <c r="BU10" s="244"/>
      <c r="BV10" s="244"/>
      <c r="BW10" s="244"/>
      <c r="BX10" s="244"/>
      <c r="BY10" s="244"/>
      <c r="BZ10" s="244"/>
      <c r="CA10" s="244"/>
      <c r="CB10" s="244"/>
      <c r="CC10" s="244"/>
      <c r="CD10" s="244"/>
      <c r="CE10" s="244"/>
      <c r="CF10" s="244"/>
      <c r="CG10" s="244"/>
      <c r="CH10" s="244"/>
      <c r="CI10" s="244"/>
      <c r="CJ10" s="244"/>
      <c r="CK10" s="244"/>
      <c r="CL10" s="244"/>
      <c r="CM10" s="244"/>
      <c r="CN10" s="244"/>
      <c r="CO10" s="244"/>
      <c r="CP10" s="244"/>
      <c r="CQ10" s="244"/>
      <c r="CR10" s="244"/>
      <c r="CS10" s="244"/>
      <c r="CT10" s="244"/>
      <c r="CU10" s="244"/>
      <c r="CV10" s="244"/>
      <c r="CW10" s="244"/>
      <c r="CX10" s="244"/>
      <c r="CY10" s="244"/>
      <c r="CZ10" s="244"/>
      <c r="DA10" s="244"/>
      <c r="DB10" s="244"/>
      <c r="DC10" s="244"/>
      <c r="DD10" s="244"/>
      <c r="DE10" s="244"/>
      <c r="DF10" s="244"/>
      <c r="DG10" s="244"/>
      <c r="DH10" s="244"/>
      <c r="DI10" s="244"/>
      <c r="DJ10" s="244"/>
      <c r="DK10" s="244"/>
      <c r="DL10" s="244"/>
      <c r="DM10" s="244"/>
      <c r="DN10" s="244"/>
      <c r="DO10" s="244"/>
      <c r="DP10" s="244"/>
      <c r="DQ10" s="244"/>
      <c r="DR10" s="244"/>
      <c r="DS10" s="244"/>
      <c r="DT10" s="244"/>
      <c r="DU10" s="244"/>
      <c r="DV10" s="244"/>
      <c r="DW10" s="244"/>
      <c r="DX10" s="244"/>
      <c r="DY10" s="244"/>
      <c r="DZ10" s="244"/>
      <c r="EA10" s="244"/>
      <c r="EB10" s="244"/>
      <c r="EC10" s="244"/>
      <c r="ED10" s="244"/>
      <c r="EE10" s="244"/>
      <c r="EF10" s="244"/>
      <c r="EG10" s="244"/>
      <c r="EH10" s="244"/>
      <c r="EI10" s="244"/>
      <c r="EJ10" s="244"/>
      <c r="EK10" s="244"/>
      <c r="EL10" s="244"/>
      <c r="EM10" s="244"/>
      <c r="EN10" s="244"/>
      <c r="EO10" s="244"/>
      <c r="EP10" s="244"/>
      <c r="EQ10" s="244"/>
      <c r="ER10" s="244"/>
      <c r="ES10" s="244"/>
      <c r="ET10" s="244"/>
      <c r="EU10" s="244"/>
      <c r="EV10" s="244"/>
      <c r="EW10" s="244"/>
      <c r="EX10" s="244"/>
      <c r="EY10" s="244"/>
      <c r="EZ10" s="244"/>
      <c r="FA10" s="244"/>
      <c r="FB10" s="244"/>
      <c r="FC10" s="244"/>
      <c r="FD10" s="244"/>
      <c r="FE10" s="244"/>
      <c r="FF10" s="244"/>
      <c r="FG10" s="244"/>
      <c r="FH10" s="244"/>
      <c r="FI10" s="244"/>
      <c r="FJ10" s="244"/>
      <c r="FK10" s="244"/>
      <c r="FL10" s="244"/>
      <c r="FM10" s="244"/>
      <c r="FN10" s="244"/>
      <c r="FO10" s="244"/>
      <c r="FP10" s="244"/>
      <c r="FQ10" s="244"/>
      <c r="FR10" s="244"/>
      <c r="FS10" s="244"/>
      <c r="FT10" s="244"/>
      <c r="FU10" s="244"/>
      <c r="FV10" s="244"/>
      <c r="FW10" s="244"/>
      <c r="FX10" s="244"/>
      <c r="FY10" s="244"/>
      <c r="FZ10" s="244"/>
      <c r="GA10" s="244"/>
      <c r="GB10" s="244"/>
      <c r="GC10" s="244"/>
      <c r="GD10" s="244"/>
      <c r="GE10" s="244"/>
      <c r="GF10" s="244"/>
      <c r="GG10" s="244"/>
      <c r="GH10" s="244"/>
      <c r="GI10" s="244"/>
      <c r="GJ10" s="244"/>
      <c r="GK10" s="244"/>
      <c r="GL10" s="244"/>
      <c r="GM10" s="244"/>
      <c r="GN10" s="244"/>
      <c r="GO10" s="244"/>
      <c r="GP10" s="244"/>
      <c r="GQ10" s="244"/>
      <c r="GR10" s="244"/>
      <c r="GS10" s="244"/>
      <c r="GT10" s="244"/>
      <c r="GU10" s="244"/>
      <c r="GV10" s="244"/>
      <c r="GW10" s="244"/>
      <c r="GX10" s="244"/>
      <c r="GY10" s="244"/>
      <c r="GZ10" s="244"/>
      <c r="HA10" s="244"/>
      <c r="HB10" s="244"/>
      <c r="HC10" s="244"/>
      <c r="HD10" s="244"/>
      <c r="HE10" s="244"/>
      <c r="HF10" s="244"/>
      <c r="HG10" s="244"/>
      <c r="HH10" s="244"/>
      <c r="HI10" s="244"/>
      <c r="HJ10" s="244"/>
      <c r="HK10" s="244"/>
      <c r="HL10" s="244"/>
      <c r="HM10" s="244"/>
      <c r="HN10" s="244"/>
      <c r="HO10" s="244"/>
      <c r="HP10" s="244"/>
      <c r="HQ10" s="244"/>
      <c r="HR10" s="244"/>
      <c r="HS10" s="244"/>
      <c r="HT10" s="244"/>
      <c r="HU10" s="244"/>
      <c r="HV10" s="244"/>
      <c r="HW10" s="244"/>
      <c r="HX10" s="244"/>
      <c r="HY10" s="244"/>
      <c r="HZ10" s="244"/>
      <c r="IA10" s="244"/>
      <c r="IB10" s="244"/>
    </row>
    <row r="11" spans="1:236" ht="18" customHeight="1">
      <c r="A11" s="250"/>
      <c r="B11" s="142" t="s">
        <v>151</v>
      </c>
      <c r="C11" s="156"/>
      <c r="D11" s="143"/>
      <c r="E11" s="143"/>
      <c r="F11" s="143"/>
      <c r="G11" s="143"/>
      <c r="H11" s="143"/>
      <c r="I11" s="143"/>
      <c r="J11" s="143"/>
      <c r="K11" s="144"/>
      <c r="L11" s="241"/>
      <c r="M11" s="241"/>
      <c r="N11" s="241"/>
      <c r="O11" s="241"/>
      <c r="P11" s="241"/>
      <c r="Q11" s="241"/>
      <c r="R11" s="241"/>
      <c r="S11" s="241"/>
      <c r="T11" s="241"/>
      <c r="U11" s="241"/>
      <c r="V11" s="241"/>
      <c r="W11" s="241"/>
      <c r="X11" s="241"/>
      <c r="Y11" s="241"/>
      <c r="Z11" s="241"/>
      <c r="AA11" s="241"/>
      <c r="AB11" s="241"/>
      <c r="AC11" s="241"/>
      <c r="AD11" s="241"/>
      <c r="AE11" s="241"/>
      <c r="AF11" s="241"/>
      <c r="AG11" s="241"/>
      <c r="AH11" s="241"/>
      <c r="AI11" s="241"/>
      <c r="AJ11" s="241"/>
      <c r="AK11" s="241"/>
      <c r="AL11" s="241"/>
      <c r="AM11" s="241"/>
      <c r="AN11" s="241"/>
      <c r="AO11" s="241"/>
      <c r="AP11" s="241"/>
      <c r="AQ11" s="241"/>
      <c r="AR11" s="241"/>
      <c r="AS11" s="241"/>
      <c r="AT11" s="241"/>
      <c r="AU11" s="241"/>
      <c r="AV11" s="241"/>
      <c r="AW11" s="241"/>
      <c r="AX11" s="241"/>
      <c r="AY11" s="241"/>
      <c r="AZ11" s="241"/>
      <c r="BA11" s="244"/>
      <c r="BB11" s="244"/>
      <c r="BC11" s="244"/>
      <c r="BD11" s="244"/>
      <c r="BE11" s="244"/>
      <c r="BF11" s="244"/>
      <c r="BG11" s="244"/>
      <c r="BH11" s="244"/>
      <c r="BI11" s="244"/>
      <c r="BJ11" s="244"/>
      <c r="BK11" s="244"/>
      <c r="BL11" s="244"/>
      <c r="BM11" s="244"/>
      <c r="BN11" s="244"/>
      <c r="BO11" s="244"/>
      <c r="BP11" s="244"/>
      <c r="BQ11" s="244"/>
      <c r="BR11" s="244"/>
      <c r="BS11" s="244"/>
      <c r="BT11" s="244"/>
      <c r="BU11" s="244"/>
      <c r="BV11" s="244"/>
      <c r="BW11" s="244"/>
      <c r="BX11" s="244"/>
      <c r="BY11" s="244"/>
      <c r="BZ11" s="244"/>
      <c r="CA11" s="244"/>
      <c r="CB11" s="244"/>
      <c r="CC11" s="244"/>
      <c r="CD11" s="244"/>
      <c r="CE11" s="244"/>
      <c r="CF11" s="244"/>
      <c r="CG11" s="244"/>
      <c r="CH11" s="244"/>
      <c r="CI11" s="244"/>
      <c r="CJ11" s="244"/>
      <c r="CK11" s="244"/>
      <c r="CL11" s="244"/>
      <c r="CM11" s="244"/>
      <c r="CN11" s="244"/>
      <c r="CO11" s="244"/>
      <c r="CP11" s="244"/>
      <c r="CQ11" s="244"/>
      <c r="CR11" s="244"/>
      <c r="CS11" s="244"/>
      <c r="CT11" s="244"/>
      <c r="CU11" s="244"/>
      <c r="CV11" s="244"/>
      <c r="CW11" s="244"/>
      <c r="CX11" s="244"/>
      <c r="CY11" s="244"/>
      <c r="CZ11" s="244"/>
      <c r="DA11" s="244"/>
      <c r="DB11" s="244"/>
      <c r="DC11" s="244"/>
      <c r="DD11" s="244"/>
      <c r="DE11" s="244"/>
      <c r="DF11" s="244"/>
      <c r="DG11" s="244"/>
      <c r="DH11" s="244"/>
      <c r="DI11" s="244"/>
      <c r="DJ11" s="244"/>
      <c r="DK11" s="244"/>
      <c r="DL11" s="244"/>
      <c r="DM11" s="244"/>
      <c r="DN11" s="244"/>
      <c r="DO11" s="244"/>
      <c r="DP11" s="244"/>
      <c r="DQ11" s="244"/>
      <c r="DR11" s="244"/>
      <c r="DS11" s="244"/>
      <c r="DT11" s="244"/>
      <c r="DU11" s="244"/>
      <c r="DV11" s="244"/>
      <c r="DW11" s="244"/>
      <c r="DX11" s="244"/>
      <c r="DY11" s="244"/>
      <c r="DZ11" s="244"/>
      <c r="EA11" s="244"/>
      <c r="EB11" s="244"/>
      <c r="EC11" s="244"/>
      <c r="ED11" s="244"/>
      <c r="EE11" s="244"/>
      <c r="EF11" s="244"/>
      <c r="EG11" s="244"/>
      <c r="EH11" s="244"/>
      <c r="EI11" s="244"/>
      <c r="EJ11" s="244"/>
      <c r="EK11" s="244"/>
      <c r="EL11" s="244"/>
      <c r="EM11" s="244"/>
      <c r="EN11" s="244"/>
      <c r="EO11" s="244"/>
      <c r="EP11" s="244"/>
      <c r="EQ11" s="244"/>
      <c r="ER11" s="244"/>
      <c r="ES11" s="244"/>
      <c r="ET11" s="244"/>
      <c r="EU11" s="244"/>
      <c r="EV11" s="244"/>
      <c r="EW11" s="244"/>
      <c r="EX11" s="244"/>
      <c r="EY11" s="244"/>
      <c r="EZ11" s="244"/>
      <c r="FA11" s="244"/>
      <c r="FB11" s="244"/>
      <c r="FC11" s="244"/>
      <c r="FD11" s="244"/>
      <c r="FE11" s="244"/>
      <c r="FF11" s="244"/>
      <c r="FG11" s="244"/>
      <c r="FH11" s="244"/>
      <c r="FI11" s="244"/>
      <c r="FJ11" s="244"/>
      <c r="FK11" s="244"/>
      <c r="FL11" s="244"/>
      <c r="FM11" s="244"/>
      <c r="FN11" s="244"/>
      <c r="FO11" s="244"/>
      <c r="FP11" s="244"/>
      <c r="FQ11" s="244"/>
      <c r="FR11" s="244"/>
      <c r="FS11" s="244"/>
      <c r="FT11" s="244"/>
      <c r="FU11" s="244"/>
      <c r="FV11" s="244"/>
      <c r="FW11" s="244"/>
      <c r="FX11" s="244"/>
      <c r="FY11" s="244"/>
      <c r="FZ11" s="244"/>
      <c r="GA11" s="244"/>
      <c r="GB11" s="244"/>
      <c r="GC11" s="244"/>
      <c r="GD11" s="244"/>
      <c r="GE11" s="244"/>
      <c r="GF11" s="244"/>
      <c r="GG11" s="244"/>
      <c r="GH11" s="244"/>
      <c r="GI11" s="244"/>
      <c r="GJ11" s="244"/>
      <c r="GK11" s="244"/>
      <c r="GL11" s="244"/>
      <c r="GM11" s="244"/>
      <c r="GN11" s="244"/>
      <c r="GO11" s="244"/>
      <c r="GP11" s="244"/>
      <c r="GQ11" s="244"/>
      <c r="GR11" s="244"/>
      <c r="GS11" s="244"/>
      <c r="GT11" s="244"/>
      <c r="GU11" s="244"/>
      <c r="GV11" s="244"/>
      <c r="GW11" s="244"/>
      <c r="GX11" s="244"/>
      <c r="GY11" s="244"/>
      <c r="GZ11" s="244"/>
      <c r="HA11" s="244"/>
      <c r="HB11" s="244"/>
      <c r="HC11" s="244"/>
      <c r="HD11" s="244"/>
      <c r="HE11" s="244"/>
      <c r="HF11" s="244"/>
      <c r="HG11" s="244"/>
      <c r="HH11" s="244"/>
      <c r="HI11" s="244"/>
      <c r="HJ11" s="244"/>
      <c r="HK11" s="244"/>
      <c r="HL11" s="244"/>
      <c r="HM11" s="244"/>
      <c r="HN11" s="244"/>
      <c r="HO11" s="244"/>
      <c r="HP11" s="244"/>
      <c r="HQ11" s="244"/>
      <c r="HR11" s="244"/>
      <c r="HS11" s="244"/>
      <c r="HT11" s="244"/>
      <c r="HU11" s="244"/>
      <c r="HV11" s="244"/>
      <c r="HW11" s="244"/>
      <c r="HX11" s="244"/>
      <c r="HY11" s="244"/>
      <c r="HZ11" s="244"/>
      <c r="IA11" s="244"/>
      <c r="IB11" s="244"/>
    </row>
    <row r="12" spans="1:236" ht="18" customHeight="1">
      <c r="A12" s="250"/>
      <c r="B12" s="241"/>
      <c r="C12" s="241"/>
      <c r="D12" s="241"/>
      <c r="E12" s="241"/>
      <c r="F12" s="241"/>
      <c r="G12" s="241"/>
      <c r="H12" s="241"/>
      <c r="I12" s="241"/>
      <c r="J12" s="241"/>
      <c r="K12" s="242"/>
      <c r="L12" s="242"/>
      <c r="M12" s="242"/>
      <c r="N12" s="242"/>
      <c r="O12" s="242"/>
      <c r="P12" s="242"/>
      <c r="Q12" s="242"/>
      <c r="R12" s="242"/>
      <c r="S12" s="242"/>
      <c r="T12" s="241"/>
      <c r="U12" s="241"/>
      <c r="V12" s="241"/>
      <c r="W12" s="241"/>
      <c r="X12" s="241"/>
      <c r="Y12" s="241"/>
      <c r="Z12" s="241"/>
      <c r="AA12" s="241"/>
      <c r="AB12" s="241"/>
      <c r="AC12" s="241"/>
      <c r="AD12" s="241"/>
      <c r="AE12" s="241"/>
      <c r="AF12" s="241"/>
      <c r="AG12" s="241"/>
      <c r="AH12" s="241"/>
      <c r="AI12" s="241"/>
      <c r="AJ12" s="241"/>
      <c r="AK12" s="241"/>
      <c r="AL12" s="241"/>
      <c r="AM12" s="241"/>
      <c r="AN12" s="241"/>
      <c r="AO12" s="241"/>
      <c r="AP12" s="241"/>
      <c r="AQ12" s="241"/>
      <c r="AR12" s="241"/>
      <c r="AS12" s="241"/>
      <c r="AT12" s="241"/>
      <c r="AU12" s="241"/>
      <c r="AV12" s="241"/>
      <c r="AW12" s="241"/>
      <c r="AX12" s="241"/>
      <c r="AY12" s="241"/>
      <c r="AZ12" s="241"/>
      <c r="BA12" s="244"/>
      <c r="BB12" s="244"/>
      <c r="BC12" s="244"/>
      <c r="BD12" s="244"/>
      <c r="BE12" s="244"/>
      <c r="BF12" s="244"/>
      <c r="BG12" s="244"/>
      <c r="BH12" s="244"/>
      <c r="BI12" s="244"/>
      <c r="BJ12" s="244"/>
      <c r="BK12" s="244"/>
      <c r="BL12" s="244"/>
      <c r="BM12" s="244"/>
      <c r="BN12" s="244"/>
      <c r="BO12" s="244"/>
      <c r="BP12" s="244"/>
      <c r="BQ12" s="244"/>
      <c r="BR12" s="244"/>
      <c r="BS12" s="244"/>
      <c r="BT12" s="244"/>
      <c r="BU12" s="244"/>
      <c r="BV12" s="244"/>
      <c r="BW12" s="244"/>
      <c r="BX12" s="244"/>
      <c r="BY12" s="244"/>
      <c r="BZ12" s="244"/>
      <c r="CA12" s="244"/>
      <c r="CB12" s="244"/>
      <c r="CC12" s="244"/>
      <c r="CD12" s="244"/>
      <c r="CE12" s="244"/>
      <c r="CF12" s="244"/>
      <c r="CG12" s="244"/>
      <c r="CH12" s="244"/>
      <c r="CI12" s="244"/>
      <c r="CJ12" s="244"/>
      <c r="CK12" s="244"/>
      <c r="CL12" s="244"/>
      <c r="CM12" s="244"/>
      <c r="CN12" s="244"/>
      <c r="CO12" s="244"/>
      <c r="CP12" s="244"/>
      <c r="CQ12" s="244"/>
      <c r="CR12" s="244"/>
      <c r="CS12" s="244"/>
      <c r="CT12" s="244"/>
      <c r="CU12" s="244"/>
      <c r="CV12" s="244"/>
      <c r="CW12" s="244"/>
      <c r="CX12" s="244"/>
      <c r="CY12" s="244"/>
      <c r="CZ12" s="244"/>
      <c r="DA12" s="244"/>
      <c r="DB12" s="244"/>
      <c r="DC12" s="244"/>
      <c r="DD12" s="244"/>
      <c r="DE12" s="244"/>
      <c r="DF12" s="244"/>
      <c r="DG12" s="244"/>
      <c r="DH12" s="244"/>
      <c r="DI12" s="244"/>
      <c r="DJ12" s="244"/>
      <c r="DK12" s="244"/>
      <c r="DL12" s="244"/>
      <c r="DM12" s="244"/>
      <c r="DN12" s="244"/>
      <c r="DO12" s="244"/>
      <c r="DP12" s="244"/>
      <c r="DQ12" s="244"/>
      <c r="DR12" s="244"/>
      <c r="DS12" s="244"/>
      <c r="DT12" s="244"/>
      <c r="DU12" s="244"/>
      <c r="DV12" s="244"/>
      <c r="DW12" s="244"/>
      <c r="DX12" s="244"/>
      <c r="DY12" s="244"/>
      <c r="DZ12" s="244"/>
      <c r="EA12" s="244"/>
      <c r="EB12" s="244"/>
      <c r="EC12" s="244"/>
      <c r="ED12" s="244"/>
      <c r="EE12" s="244"/>
      <c r="EF12" s="244"/>
      <c r="EG12" s="244"/>
      <c r="EH12" s="244"/>
      <c r="EI12" s="244"/>
      <c r="EJ12" s="244"/>
      <c r="EK12" s="244"/>
      <c r="EL12" s="244"/>
      <c r="EM12" s="244"/>
      <c r="EN12" s="244"/>
      <c r="EO12" s="244"/>
      <c r="EP12" s="244"/>
      <c r="EQ12" s="244"/>
      <c r="ER12" s="244"/>
      <c r="ES12" s="244"/>
      <c r="ET12" s="244"/>
      <c r="EU12" s="244"/>
      <c r="EV12" s="244"/>
      <c r="EW12" s="244"/>
      <c r="EX12" s="244"/>
      <c r="EY12" s="244"/>
      <c r="EZ12" s="244"/>
      <c r="FA12" s="244"/>
      <c r="FB12" s="244"/>
      <c r="FC12" s="244"/>
      <c r="FD12" s="244"/>
      <c r="FE12" s="244"/>
      <c r="FF12" s="244"/>
      <c r="FG12" s="244"/>
      <c r="FH12" s="244"/>
      <c r="FI12" s="244"/>
      <c r="FJ12" s="244"/>
      <c r="FK12" s="244"/>
      <c r="FL12" s="244"/>
      <c r="FM12" s="244"/>
      <c r="FN12" s="244"/>
      <c r="FO12" s="244"/>
      <c r="FP12" s="244"/>
      <c r="FQ12" s="244"/>
      <c r="FR12" s="244"/>
      <c r="FS12" s="244"/>
      <c r="FT12" s="244"/>
      <c r="FU12" s="244"/>
      <c r="FV12" s="244"/>
      <c r="FW12" s="244"/>
      <c r="FX12" s="244"/>
      <c r="FY12" s="244"/>
      <c r="FZ12" s="244"/>
      <c r="GA12" s="244"/>
      <c r="GB12" s="244"/>
      <c r="GC12" s="244"/>
      <c r="GD12" s="244"/>
      <c r="GE12" s="244"/>
      <c r="GF12" s="244"/>
      <c r="GG12" s="244"/>
      <c r="GH12" s="244"/>
      <c r="GI12" s="244"/>
      <c r="GJ12" s="244"/>
      <c r="GK12" s="244"/>
      <c r="GL12" s="244"/>
      <c r="GM12" s="244"/>
      <c r="GN12" s="244"/>
      <c r="GO12" s="244"/>
      <c r="GP12" s="244"/>
      <c r="GQ12" s="244"/>
      <c r="GR12" s="244"/>
      <c r="GS12" s="244"/>
      <c r="GT12" s="244"/>
      <c r="GU12" s="244"/>
      <c r="GV12" s="244"/>
      <c r="GW12" s="244"/>
      <c r="GX12" s="244"/>
      <c r="GY12" s="244"/>
      <c r="GZ12" s="244"/>
      <c r="HA12" s="244"/>
      <c r="HB12" s="244"/>
      <c r="HC12" s="244"/>
      <c r="HD12" s="244"/>
      <c r="HE12" s="244"/>
      <c r="HF12" s="244"/>
      <c r="HG12" s="244"/>
      <c r="HH12" s="244"/>
      <c r="HI12" s="244"/>
      <c r="HJ12" s="244"/>
      <c r="HK12" s="244"/>
      <c r="HL12" s="244"/>
      <c r="HM12" s="244"/>
      <c r="HN12" s="244"/>
      <c r="HO12" s="244"/>
      <c r="HP12" s="244"/>
      <c r="HQ12" s="244"/>
      <c r="HR12" s="244"/>
      <c r="HS12" s="244"/>
      <c r="HT12" s="244"/>
      <c r="HU12" s="244"/>
      <c r="HV12" s="244"/>
      <c r="HW12" s="244"/>
      <c r="HX12" s="244"/>
      <c r="HY12" s="244"/>
      <c r="HZ12" s="244"/>
      <c r="IA12" s="244"/>
      <c r="IB12" s="244"/>
    </row>
    <row r="13" spans="1:236" s="71" customFormat="1" ht="18" customHeight="1">
      <c r="A13" s="250"/>
      <c r="B13" s="237" t="s">
        <v>152</v>
      </c>
      <c r="C13" s="235"/>
      <c r="D13" s="235"/>
      <c r="E13" s="235"/>
      <c r="F13" s="235"/>
      <c r="G13" s="235"/>
      <c r="H13" s="235"/>
      <c r="I13" s="235"/>
      <c r="J13" s="235"/>
      <c r="K13" s="236"/>
      <c r="L13" s="242"/>
      <c r="M13" s="242"/>
      <c r="N13" s="242"/>
      <c r="O13" s="242"/>
      <c r="P13" s="242"/>
      <c r="Q13" s="242"/>
      <c r="R13" s="242"/>
      <c r="S13" s="241"/>
      <c r="T13" s="241"/>
      <c r="U13" s="241"/>
      <c r="V13" s="241"/>
      <c r="W13" s="241"/>
      <c r="X13" s="241"/>
      <c r="Y13" s="241"/>
      <c r="Z13" s="241"/>
      <c r="AA13" s="241"/>
      <c r="AB13" s="241"/>
      <c r="AC13" s="241"/>
      <c r="AD13" s="241"/>
      <c r="AE13" s="241"/>
      <c r="AF13" s="241"/>
      <c r="AG13" s="241"/>
      <c r="AH13" s="241"/>
      <c r="AI13" s="241"/>
      <c r="AJ13" s="241"/>
      <c r="AK13" s="241"/>
      <c r="AL13" s="241"/>
      <c r="AM13" s="241"/>
      <c r="AN13" s="241"/>
      <c r="AO13" s="241"/>
      <c r="AP13" s="241"/>
      <c r="AQ13" s="241"/>
      <c r="AR13" s="241"/>
      <c r="AS13" s="241"/>
      <c r="AT13" s="241"/>
      <c r="AU13" s="241"/>
      <c r="AV13" s="241"/>
      <c r="AW13" s="241"/>
      <c r="AX13" s="241"/>
      <c r="AY13" s="241"/>
      <c r="AZ13" s="241"/>
      <c r="BA13" s="25"/>
      <c r="BB13" s="25"/>
      <c r="BC13" s="25"/>
      <c r="BD13" s="25"/>
      <c r="BE13" s="25"/>
      <c r="BF13" s="25"/>
      <c r="BG13" s="25"/>
      <c r="BH13" s="25"/>
      <c r="BI13" s="25"/>
      <c r="BJ13" s="25"/>
      <c r="BK13" s="25"/>
      <c r="BL13" s="25"/>
      <c r="BM13" s="25"/>
      <c r="BN13" s="25"/>
      <c r="BO13" s="25"/>
      <c r="BP13" s="25"/>
      <c r="BQ13" s="25"/>
      <c r="BR13" s="25"/>
      <c r="BS13" s="25"/>
      <c r="BT13" s="25"/>
      <c r="BU13" s="25"/>
      <c r="BV13" s="25"/>
      <c r="BW13" s="25"/>
      <c r="BX13" s="25"/>
      <c r="BY13" s="25"/>
      <c r="BZ13" s="25"/>
      <c r="CA13" s="25"/>
      <c r="CB13" s="25"/>
      <c r="CC13" s="25"/>
      <c r="CD13" s="25"/>
      <c r="CE13" s="25"/>
      <c r="CF13" s="25"/>
      <c r="CG13" s="25"/>
      <c r="CH13" s="25"/>
      <c r="CI13" s="25"/>
      <c r="CJ13" s="25"/>
      <c r="CK13" s="25"/>
      <c r="CL13" s="25"/>
      <c r="CM13" s="25"/>
      <c r="CN13" s="25"/>
      <c r="CO13" s="25"/>
      <c r="CP13" s="25"/>
      <c r="CQ13" s="25"/>
      <c r="CR13" s="25"/>
      <c r="CS13" s="25"/>
      <c r="CT13" s="25"/>
      <c r="CU13" s="25"/>
      <c r="CV13" s="25"/>
      <c r="CW13" s="25"/>
      <c r="CX13" s="25"/>
      <c r="CY13" s="25"/>
      <c r="CZ13" s="25"/>
      <c r="DA13" s="25"/>
      <c r="DB13" s="25"/>
      <c r="DC13" s="25"/>
      <c r="DD13" s="25"/>
      <c r="DE13" s="25"/>
      <c r="DF13" s="25"/>
      <c r="DG13" s="25"/>
      <c r="DH13" s="25"/>
      <c r="DI13" s="25"/>
      <c r="DJ13" s="25"/>
      <c r="DK13" s="25"/>
      <c r="DL13" s="25"/>
      <c r="DM13" s="25"/>
      <c r="DN13" s="25"/>
      <c r="DO13" s="25"/>
      <c r="DP13" s="25"/>
      <c r="DQ13" s="25"/>
      <c r="DR13" s="25"/>
      <c r="DS13" s="25"/>
      <c r="DT13" s="25"/>
      <c r="DU13" s="25"/>
      <c r="DV13" s="25"/>
      <c r="DW13" s="25"/>
      <c r="DX13" s="25"/>
      <c r="DY13" s="25"/>
      <c r="DZ13" s="25"/>
      <c r="EA13" s="25"/>
      <c r="EB13" s="25"/>
      <c r="EC13" s="25"/>
      <c r="ED13" s="25"/>
      <c r="EE13" s="25"/>
      <c r="EF13" s="25"/>
      <c r="EG13" s="25"/>
      <c r="EH13" s="25"/>
      <c r="EI13" s="25"/>
      <c r="EJ13" s="25"/>
      <c r="EK13" s="25"/>
      <c r="EL13" s="25"/>
      <c r="EM13" s="25"/>
      <c r="EN13" s="25"/>
      <c r="EO13" s="25"/>
      <c r="EP13" s="25"/>
      <c r="EQ13" s="25"/>
      <c r="ER13" s="25"/>
      <c r="ES13" s="25"/>
      <c r="ET13" s="25"/>
      <c r="EU13" s="25"/>
      <c r="EV13" s="25"/>
      <c r="EW13" s="25"/>
      <c r="EX13" s="25"/>
      <c r="EY13" s="25"/>
      <c r="EZ13" s="25"/>
      <c r="FA13" s="25"/>
      <c r="FB13" s="25"/>
      <c r="FC13" s="25"/>
      <c r="FD13" s="25"/>
      <c r="FE13" s="25"/>
      <c r="FF13" s="25"/>
      <c r="FG13" s="25"/>
      <c r="FH13" s="25"/>
      <c r="FI13" s="25"/>
      <c r="FJ13" s="25"/>
      <c r="FK13" s="25"/>
      <c r="FL13" s="25"/>
      <c r="FM13" s="25"/>
      <c r="FN13" s="25"/>
      <c r="FO13" s="25"/>
      <c r="FP13" s="25"/>
      <c r="FQ13" s="25"/>
      <c r="FR13" s="25"/>
      <c r="FS13" s="25"/>
      <c r="FT13" s="25"/>
      <c r="FU13" s="25"/>
      <c r="FV13" s="25"/>
      <c r="FW13" s="25"/>
      <c r="FX13" s="25"/>
      <c r="FY13" s="25"/>
      <c r="FZ13" s="25"/>
      <c r="GA13" s="25"/>
      <c r="GB13" s="25"/>
      <c r="GC13" s="25"/>
      <c r="GD13" s="25"/>
      <c r="GE13" s="25"/>
      <c r="GF13" s="25"/>
      <c r="GG13" s="25"/>
      <c r="GH13" s="25"/>
      <c r="GI13" s="25"/>
      <c r="GJ13" s="25"/>
      <c r="GK13" s="25"/>
      <c r="GL13" s="25"/>
      <c r="GM13" s="25"/>
      <c r="GN13" s="25"/>
      <c r="GO13" s="25"/>
      <c r="GP13" s="25"/>
      <c r="GQ13" s="25"/>
      <c r="GR13" s="25"/>
      <c r="GS13" s="25"/>
      <c r="GT13" s="25"/>
      <c r="GU13" s="25"/>
      <c r="GV13" s="25"/>
      <c r="GW13" s="25"/>
      <c r="GX13" s="25"/>
      <c r="GY13" s="25"/>
      <c r="GZ13" s="25"/>
      <c r="HA13" s="25"/>
      <c r="HB13" s="25"/>
      <c r="HC13" s="25"/>
      <c r="HD13" s="25"/>
      <c r="HE13" s="25"/>
      <c r="HF13" s="25"/>
      <c r="HG13" s="25"/>
      <c r="HH13" s="25"/>
      <c r="HI13" s="25"/>
      <c r="HJ13" s="25"/>
      <c r="HK13" s="25"/>
      <c r="HL13" s="25"/>
      <c r="HM13" s="25"/>
      <c r="HN13" s="25"/>
      <c r="HO13" s="25"/>
      <c r="HP13" s="25"/>
      <c r="HQ13" s="25"/>
      <c r="HR13" s="25"/>
      <c r="HS13" s="25"/>
      <c r="HT13" s="25"/>
      <c r="HU13" s="25"/>
      <c r="HV13" s="25"/>
      <c r="HW13" s="25"/>
      <c r="HX13" s="25"/>
      <c r="HY13" s="25"/>
      <c r="HZ13" s="25"/>
      <c r="IA13" s="25"/>
      <c r="IB13" s="25"/>
    </row>
    <row r="14" spans="1:236" s="71" customFormat="1" ht="39.6">
      <c r="A14" s="250"/>
      <c r="B14" s="362" t="s">
        <v>153</v>
      </c>
      <c r="C14" s="362"/>
      <c r="D14" s="273" t="s">
        <v>292</v>
      </c>
      <c r="E14" s="273" t="s">
        <v>294</v>
      </c>
      <c r="F14" s="364" t="s">
        <v>293</v>
      </c>
      <c r="G14" s="364"/>
      <c r="H14" s="375" t="s">
        <v>295</v>
      </c>
      <c r="I14" s="376"/>
      <c r="J14" s="375" t="s">
        <v>296</v>
      </c>
      <c r="K14" s="376"/>
      <c r="L14" s="242"/>
      <c r="M14" s="242"/>
      <c r="N14" s="242"/>
      <c r="O14" s="242"/>
      <c r="P14" s="242"/>
      <c r="Q14" s="242"/>
      <c r="R14" s="242"/>
      <c r="S14" s="241"/>
      <c r="T14" s="241"/>
      <c r="U14" s="241"/>
      <c r="V14" s="241"/>
      <c r="W14" s="241"/>
      <c r="X14" s="241"/>
      <c r="Y14" s="241"/>
      <c r="Z14" s="241"/>
      <c r="AA14" s="241"/>
      <c r="AB14" s="241"/>
      <c r="AC14" s="241"/>
      <c r="AD14" s="241"/>
      <c r="AE14" s="241"/>
      <c r="AF14" s="241"/>
      <c r="AG14" s="241"/>
      <c r="AH14" s="241"/>
      <c r="AI14" s="241"/>
      <c r="AJ14" s="241"/>
      <c r="AK14" s="241"/>
      <c r="AL14" s="241"/>
      <c r="AM14" s="241"/>
      <c r="AN14" s="241"/>
      <c r="AO14" s="241"/>
      <c r="AP14" s="241"/>
      <c r="AQ14" s="241"/>
      <c r="AR14" s="241"/>
      <c r="AS14" s="241"/>
      <c r="AT14" s="241"/>
      <c r="AU14" s="241"/>
      <c r="AV14" s="241"/>
      <c r="AW14" s="241"/>
      <c r="AX14" s="241"/>
      <c r="AY14" s="241"/>
      <c r="AZ14" s="241"/>
      <c r="BA14" s="25"/>
      <c r="BB14" s="25"/>
      <c r="BC14" s="25"/>
      <c r="BD14" s="25"/>
      <c r="BE14" s="25"/>
      <c r="BF14" s="25"/>
      <c r="BG14" s="25"/>
      <c r="BH14" s="25"/>
      <c r="BI14" s="25"/>
      <c r="BJ14" s="25"/>
      <c r="BK14" s="25"/>
      <c r="BL14" s="25"/>
      <c r="BM14" s="25"/>
      <c r="BN14" s="25"/>
      <c r="BO14" s="25"/>
      <c r="BP14" s="25"/>
      <c r="BQ14" s="25"/>
      <c r="BR14" s="25"/>
      <c r="BS14" s="25"/>
      <c r="BT14" s="25"/>
      <c r="BU14" s="25"/>
      <c r="BV14" s="25"/>
      <c r="BW14" s="25"/>
      <c r="BX14" s="25"/>
      <c r="BY14" s="25"/>
      <c r="BZ14" s="25"/>
      <c r="CA14" s="25"/>
      <c r="CB14" s="25"/>
      <c r="CC14" s="25"/>
      <c r="CD14" s="25"/>
      <c r="CE14" s="25"/>
      <c r="CF14" s="25"/>
      <c r="CG14" s="25"/>
      <c r="CH14" s="25"/>
      <c r="CI14" s="25"/>
      <c r="CJ14" s="25"/>
      <c r="CK14" s="25"/>
      <c r="CL14" s="25"/>
      <c r="CM14" s="25"/>
      <c r="CN14" s="25"/>
      <c r="CO14" s="25"/>
      <c r="CP14" s="25"/>
      <c r="CQ14" s="25"/>
      <c r="CR14" s="25"/>
      <c r="CS14" s="25"/>
      <c r="CT14" s="25"/>
      <c r="CU14" s="25"/>
      <c r="CV14" s="25"/>
      <c r="CW14" s="25"/>
      <c r="CX14" s="25"/>
      <c r="CY14" s="25"/>
      <c r="CZ14" s="25"/>
      <c r="DA14" s="25"/>
      <c r="DB14" s="25"/>
      <c r="DC14" s="25"/>
      <c r="DD14" s="25"/>
      <c r="DE14" s="25"/>
      <c r="DF14" s="25"/>
      <c r="DG14" s="25"/>
      <c r="DH14" s="25"/>
      <c r="DI14" s="25"/>
      <c r="DJ14" s="25"/>
      <c r="DK14" s="25"/>
      <c r="DL14" s="25"/>
      <c r="DM14" s="25"/>
      <c r="DN14" s="25"/>
      <c r="DO14" s="25"/>
      <c r="DP14" s="25"/>
      <c r="DQ14" s="25"/>
      <c r="DR14" s="25"/>
      <c r="DS14" s="25"/>
      <c r="DT14" s="25"/>
      <c r="DU14" s="25"/>
      <c r="DV14" s="25"/>
      <c r="DW14" s="25"/>
      <c r="DX14" s="25"/>
      <c r="DY14" s="25"/>
      <c r="DZ14" s="25"/>
      <c r="EA14" s="25"/>
      <c r="EB14" s="25"/>
      <c r="EC14" s="25"/>
      <c r="ED14" s="25"/>
      <c r="EE14" s="25"/>
      <c r="EF14" s="25"/>
      <c r="EG14" s="25"/>
      <c r="EH14" s="25"/>
      <c r="EI14" s="25"/>
      <c r="EJ14" s="25"/>
      <c r="EK14" s="25"/>
      <c r="EL14" s="25"/>
      <c r="EM14" s="25"/>
      <c r="EN14" s="25"/>
      <c r="EO14" s="25"/>
      <c r="EP14" s="25"/>
      <c r="EQ14" s="25"/>
      <c r="ER14" s="25"/>
      <c r="ES14" s="25"/>
      <c r="ET14" s="25"/>
      <c r="EU14" s="25"/>
      <c r="EV14" s="25"/>
      <c r="EW14" s="25"/>
      <c r="EX14" s="25"/>
      <c r="EY14" s="25"/>
      <c r="EZ14" s="25"/>
      <c r="FA14" s="25"/>
      <c r="FB14" s="25"/>
      <c r="FC14" s="25"/>
      <c r="FD14" s="25"/>
      <c r="FE14" s="25"/>
      <c r="FF14" s="25"/>
      <c r="FG14" s="25"/>
      <c r="FH14" s="25"/>
      <c r="FI14" s="25"/>
      <c r="FJ14" s="25"/>
      <c r="FK14" s="25"/>
      <c r="FL14" s="25"/>
      <c r="FM14" s="25"/>
      <c r="FN14" s="25"/>
      <c r="FO14" s="25"/>
      <c r="FP14" s="25"/>
      <c r="FQ14" s="25"/>
      <c r="FR14" s="25"/>
      <c r="FS14" s="25"/>
      <c r="FT14" s="25"/>
      <c r="FU14" s="25"/>
      <c r="FV14" s="25"/>
      <c r="FW14" s="25"/>
      <c r="FX14" s="25"/>
      <c r="FY14" s="25"/>
      <c r="FZ14" s="25"/>
      <c r="GA14" s="25"/>
      <c r="GB14" s="25"/>
      <c r="GC14" s="25"/>
      <c r="GD14" s="25"/>
      <c r="GE14" s="25"/>
      <c r="GF14" s="25"/>
      <c r="GG14" s="25"/>
      <c r="GH14" s="25"/>
      <c r="GI14" s="25"/>
      <c r="GJ14" s="25"/>
      <c r="GK14" s="25"/>
      <c r="GL14" s="25"/>
      <c r="GM14" s="25"/>
      <c r="GN14" s="25"/>
      <c r="GO14" s="25"/>
      <c r="GP14" s="25"/>
      <c r="GQ14" s="25"/>
      <c r="GR14" s="25"/>
      <c r="GS14" s="25"/>
      <c r="GT14" s="25"/>
      <c r="GU14" s="25"/>
      <c r="GV14" s="25"/>
      <c r="GW14" s="25"/>
      <c r="GX14" s="25"/>
      <c r="GY14" s="25"/>
      <c r="GZ14" s="25"/>
      <c r="HA14" s="25"/>
      <c r="HB14" s="25"/>
      <c r="HC14" s="25"/>
      <c r="HD14" s="25"/>
      <c r="HE14" s="25"/>
      <c r="HF14" s="25"/>
      <c r="HG14" s="25"/>
      <c r="HH14" s="25"/>
      <c r="HI14" s="25"/>
      <c r="HJ14" s="25"/>
      <c r="HK14" s="25"/>
      <c r="HL14" s="25"/>
      <c r="HM14" s="25"/>
      <c r="HN14" s="25"/>
      <c r="HO14" s="25"/>
      <c r="HP14" s="25"/>
      <c r="HQ14" s="25"/>
      <c r="HR14" s="25"/>
      <c r="HS14" s="25"/>
      <c r="HT14" s="25"/>
      <c r="HU14" s="25"/>
      <c r="HV14" s="25"/>
      <c r="HW14" s="25"/>
      <c r="HX14" s="25"/>
      <c r="HY14" s="25"/>
      <c r="HZ14" s="25"/>
      <c r="IA14" s="25"/>
      <c r="IB14" s="25"/>
    </row>
    <row r="15" spans="1:236" s="71" customFormat="1" ht="18" customHeight="1">
      <c r="A15" s="250"/>
      <c r="B15" s="363" t="str">
        <f>IF(inputs_units&lt;&gt;"",INDEX(data_genunitsval,MATCH(inputs_units,data_genunits,0)),"")</f>
        <v/>
      </c>
      <c r="C15" s="363"/>
      <c r="D15" s="230"/>
      <c r="E15" s="230"/>
      <c r="F15" s="365"/>
      <c r="G15" s="365"/>
      <c r="H15" s="373">
        <f>logic_bdffwuasam</f>
        <v>0</v>
      </c>
      <c r="I15" s="374"/>
      <c r="J15" s="377">
        <f>logic_bdffwuasprc</f>
        <v>0</v>
      </c>
      <c r="K15" s="378"/>
      <c r="L15" s="242"/>
      <c r="M15" s="242"/>
      <c r="N15" s="242"/>
      <c r="O15" s="242"/>
      <c r="P15" s="242"/>
      <c r="Q15" s="242"/>
      <c r="R15" s="242"/>
      <c r="S15" s="241"/>
      <c r="T15" s="241"/>
      <c r="U15" s="241"/>
      <c r="V15" s="241"/>
      <c r="W15" s="241"/>
      <c r="X15" s="241"/>
      <c r="Y15" s="241"/>
      <c r="Z15" s="241"/>
      <c r="AA15" s="241"/>
      <c r="AB15" s="241"/>
      <c r="AC15" s="241"/>
      <c r="AD15" s="241"/>
      <c r="AE15" s="241"/>
      <c r="AF15" s="241"/>
      <c r="AG15" s="241"/>
      <c r="AH15" s="241"/>
      <c r="AI15" s="241"/>
      <c r="AJ15" s="241"/>
      <c r="AK15" s="241"/>
      <c r="AL15" s="241"/>
      <c r="AM15" s="241"/>
      <c r="AN15" s="241"/>
      <c r="AO15" s="241"/>
      <c r="AP15" s="241"/>
      <c r="AQ15" s="241"/>
      <c r="AR15" s="241"/>
      <c r="AS15" s="241"/>
      <c r="AT15" s="241"/>
      <c r="AU15" s="241"/>
      <c r="AV15" s="241"/>
      <c r="AW15" s="241"/>
      <c r="AX15" s="241"/>
      <c r="AY15" s="241"/>
      <c r="AZ15" s="241"/>
      <c r="BA15" s="25"/>
      <c r="BB15" s="25"/>
      <c r="BC15" s="25"/>
      <c r="BD15" s="25"/>
      <c r="BE15" s="25"/>
      <c r="BF15" s="25"/>
      <c r="BG15" s="25"/>
      <c r="BH15" s="25"/>
      <c r="BI15" s="25"/>
      <c r="BJ15" s="25"/>
      <c r="BK15" s="25"/>
      <c r="BL15" s="25"/>
      <c r="BM15" s="25"/>
      <c r="BN15" s="25"/>
      <c r="BO15" s="25"/>
      <c r="BP15" s="25"/>
      <c r="BQ15" s="25"/>
      <c r="BR15" s="25"/>
      <c r="BS15" s="25"/>
      <c r="BT15" s="25"/>
      <c r="BU15" s="25"/>
      <c r="BV15" s="25"/>
      <c r="BW15" s="25"/>
      <c r="BX15" s="25"/>
      <c r="BY15" s="25"/>
      <c r="BZ15" s="25"/>
      <c r="CA15" s="25"/>
      <c r="CB15" s="25"/>
      <c r="CC15" s="25"/>
      <c r="CD15" s="25"/>
      <c r="CE15" s="25"/>
      <c r="CF15" s="25"/>
      <c r="CG15" s="25"/>
      <c r="CH15" s="25"/>
      <c r="CI15" s="25"/>
      <c r="CJ15" s="25"/>
      <c r="CK15" s="25"/>
      <c r="CL15" s="25"/>
      <c r="CM15" s="25"/>
      <c r="CN15" s="25"/>
      <c r="CO15" s="25"/>
      <c r="CP15" s="25"/>
      <c r="CQ15" s="25"/>
      <c r="CR15" s="25"/>
      <c r="CS15" s="25"/>
      <c r="CT15" s="25"/>
      <c r="CU15" s="25"/>
      <c r="CV15" s="25"/>
      <c r="CW15" s="25"/>
      <c r="CX15" s="25"/>
      <c r="CY15" s="25"/>
      <c r="CZ15" s="25"/>
      <c r="DA15" s="25"/>
      <c r="DB15" s="25"/>
      <c r="DC15" s="25"/>
      <c r="DD15" s="25"/>
      <c r="DE15" s="25"/>
      <c r="DF15" s="25"/>
      <c r="DG15" s="25"/>
      <c r="DH15" s="25"/>
      <c r="DI15" s="25"/>
      <c r="DJ15" s="25"/>
      <c r="DK15" s="25"/>
      <c r="DL15" s="25"/>
      <c r="DM15" s="25"/>
      <c r="DN15" s="25"/>
      <c r="DO15" s="25"/>
      <c r="DP15" s="25"/>
      <c r="DQ15" s="25"/>
      <c r="DR15" s="25"/>
      <c r="DS15" s="25"/>
      <c r="DT15" s="25"/>
      <c r="DU15" s="25"/>
      <c r="DV15" s="25"/>
      <c r="DW15" s="25"/>
      <c r="DX15" s="25"/>
      <c r="DY15" s="25"/>
      <c r="DZ15" s="25"/>
      <c r="EA15" s="25"/>
      <c r="EB15" s="25"/>
      <c r="EC15" s="25"/>
      <c r="ED15" s="25"/>
      <c r="EE15" s="25"/>
      <c r="EF15" s="25"/>
      <c r="EG15" s="25"/>
      <c r="EH15" s="25"/>
      <c r="EI15" s="25"/>
      <c r="EJ15" s="25"/>
      <c r="EK15" s="25"/>
      <c r="EL15" s="25"/>
      <c r="EM15" s="25"/>
      <c r="EN15" s="25"/>
      <c r="EO15" s="25"/>
      <c r="EP15" s="25"/>
      <c r="EQ15" s="25"/>
      <c r="ER15" s="25"/>
      <c r="ES15" s="25"/>
      <c r="ET15" s="25"/>
      <c r="EU15" s="25"/>
      <c r="EV15" s="25"/>
      <c r="EW15" s="25"/>
      <c r="EX15" s="25"/>
      <c r="EY15" s="25"/>
      <c r="EZ15" s="25"/>
      <c r="FA15" s="25"/>
      <c r="FB15" s="25"/>
      <c r="FC15" s="25"/>
      <c r="FD15" s="25"/>
      <c r="FE15" s="25"/>
      <c r="FF15" s="25"/>
      <c r="FG15" s="25"/>
      <c r="FH15" s="25"/>
      <c r="FI15" s="25"/>
      <c r="FJ15" s="25"/>
      <c r="FK15" s="25"/>
      <c r="FL15" s="25"/>
      <c r="FM15" s="25"/>
      <c r="FN15" s="25"/>
      <c r="FO15" s="25"/>
      <c r="FP15" s="25"/>
      <c r="FQ15" s="25"/>
      <c r="FR15" s="25"/>
      <c r="FS15" s="25"/>
      <c r="FT15" s="25"/>
      <c r="FU15" s="25"/>
      <c r="FV15" s="25"/>
      <c r="FW15" s="25"/>
      <c r="FX15" s="25"/>
      <c r="FY15" s="25"/>
      <c r="FZ15" s="25"/>
      <c r="GA15" s="25"/>
      <c r="GB15" s="25"/>
      <c r="GC15" s="25"/>
      <c r="GD15" s="25"/>
      <c r="GE15" s="25"/>
      <c r="GF15" s="25"/>
      <c r="GG15" s="25"/>
      <c r="GH15" s="25"/>
      <c r="GI15" s="25"/>
      <c r="GJ15" s="25"/>
      <c r="GK15" s="25"/>
      <c r="GL15" s="25"/>
      <c r="GM15" s="25"/>
      <c r="GN15" s="25"/>
      <c r="GO15" s="25"/>
      <c r="GP15" s="25"/>
      <c r="GQ15" s="25"/>
      <c r="GR15" s="25"/>
      <c r="GS15" s="25"/>
      <c r="GT15" s="25"/>
      <c r="GU15" s="25"/>
      <c r="GV15" s="25"/>
      <c r="GW15" s="25"/>
      <c r="GX15" s="25"/>
      <c r="GY15" s="25"/>
      <c r="GZ15" s="25"/>
      <c r="HA15" s="25"/>
      <c r="HB15" s="25"/>
      <c r="HC15" s="25"/>
      <c r="HD15" s="25"/>
      <c r="HE15" s="25"/>
      <c r="HF15" s="25"/>
      <c r="HG15" s="25"/>
      <c r="HH15" s="25"/>
      <c r="HI15" s="25"/>
      <c r="HJ15" s="25"/>
      <c r="HK15" s="25"/>
      <c r="HL15" s="25"/>
      <c r="HM15" s="25"/>
      <c r="HN15" s="25"/>
      <c r="HO15" s="25"/>
      <c r="HP15" s="25"/>
      <c r="HQ15" s="25"/>
      <c r="HR15" s="25"/>
      <c r="HS15" s="25"/>
      <c r="HT15" s="25"/>
      <c r="HU15" s="25"/>
      <c r="HV15" s="25"/>
      <c r="HW15" s="25"/>
      <c r="HX15" s="25"/>
      <c r="HY15" s="25"/>
      <c r="HZ15" s="25"/>
      <c r="IA15" s="25"/>
      <c r="IB15" s="25"/>
    </row>
    <row r="16" spans="1:236" ht="18" customHeight="1">
      <c r="A16" s="250"/>
      <c r="B16" s="241"/>
      <c r="C16" s="241"/>
      <c r="D16" s="241"/>
      <c r="E16" s="241"/>
      <c r="F16" s="241"/>
      <c r="G16" s="241"/>
      <c r="H16" s="241"/>
      <c r="I16" s="241"/>
      <c r="J16" s="241"/>
      <c r="K16" s="241"/>
      <c r="L16" s="242"/>
      <c r="M16" s="242"/>
      <c r="N16" s="242"/>
      <c r="O16" s="242"/>
      <c r="P16" s="242"/>
      <c r="Q16" s="242"/>
      <c r="R16" s="242"/>
      <c r="S16" s="241"/>
      <c r="T16" s="241"/>
      <c r="U16" s="241"/>
      <c r="V16" s="241"/>
      <c r="W16" s="241"/>
      <c r="X16" s="241"/>
      <c r="Y16" s="241"/>
      <c r="Z16" s="241"/>
      <c r="AA16" s="241"/>
      <c r="AB16" s="241"/>
      <c r="AC16" s="241"/>
      <c r="AD16" s="241"/>
      <c r="AE16" s="241"/>
      <c r="AF16" s="241"/>
      <c r="AG16" s="241"/>
      <c r="AH16" s="241"/>
      <c r="AI16" s="241"/>
      <c r="AJ16" s="241"/>
      <c r="AK16" s="241"/>
      <c r="AL16" s="241"/>
      <c r="AM16" s="241"/>
      <c r="AN16" s="241"/>
      <c r="AO16" s="241"/>
      <c r="AP16" s="241"/>
      <c r="AQ16" s="241"/>
      <c r="AR16" s="241"/>
      <c r="AS16" s="241"/>
      <c r="AT16" s="241"/>
      <c r="AU16" s="241"/>
      <c r="AV16" s="241"/>
      <c r="AW16" s="241"/>
      <c r="AX16" s="241"/>
      <c r="AY16" s="241"/>
      <c r="AZ16" s="241"/>
      <c r="BA16" s="244"/>
      <c r="BB16" s="244"/>
      <c r="BC16" s="244"/>
      <c r="BD16" s="244"/>
      <c r="BE16" s="244"/>
      <c r="BF16" s="244"/>
      <c r="BG16" s="244"/>
      <c r="BH16" s="244"/>
      <c r="BI16" s="244"/>
      <c r="BJ16" s="244"/>
      <c r="BK16" s="244"/>
      <c r="BL16" s="244"/>
      <c r="BM16" s="244"/>
      <c r="BN16" s="244"/>
      <c r="BO16" s="244"/>
      <c r="BP16" s="244"/>
      <c r="BQ16" s="244"/>
      <c r="BR16" s="244"/>
      <c r="BS16" s="244"/>
      <c r="BT16" s="244"/>
      <c r="BU16" s="244"/>
      <c r="BV16" s="244"/>
      <c r="BW16" s="244"/>
      <c r="BX16" s="244"/>
      <c r="BY16" s="244"/>
      <c r="BZ16" s="244"/>
      <c r="CA16" s="244"/>
      <c r="CB16" s="244"/>
      <c r="CC16" s="244"/>
      <c r="CD16" s="244"/>
      <c r="CE16" s="244"/>
      <c r="CF16" s="244"/>
      <c r="CG16" s="244"/>
      <c r="CH16" s="244"/>
      <c r="CI16" s="244"/>
      <c r="CJ16" s="244"/>
      <c r="CK16" s="244"/>
      <c r="CL16" s="244"/>
      <c r="CM16" s="244"/>
      <c r="CN16" s="244"/>
      <c r="CO16" s="244"/>
      <c r="CP16" s="244"/>
      <c r="CQ16" s="244"/>
      <c r="CR16" s="244"/>
      <c r="CS16" s="244"/>
      <c r="CT16" s="244"/>
      <c r="CU16" s="244"/>
      <c r="CV16" s="244"/>
      <c r="CW16" s="244"/>
      <c r="CX16" s="244"/>
      <c r="CY16" s="244"/>
      <c r="CZ16" s="244"/>
      <c r="DA16" s="244"/>
      <c r="DB16" s="244"/>
      <c r="DC16" s="244"/>
      <c r="DD16" s="244"/>
      <c r="DE16" s="244"/>
      <c r="DF16" s="244"/>
      <c r="DG16" s="244"/>
      <c r="DH16" s="244"/>
      <c r="DI16" s="244"/>
      <c r="DJ16" s="244"/>
      <c r="DK16" s="244"/>
      <c r="DL16" s="244"/>
      <c r="DM16" s="244"/>
      <c r="DN16" s="244"/>
      <c r="DO16" s="244"/>
      <c r="DP16" s="244"/>
      <c r="DQ16" s="244"/>
      <c r="DR16" s="244"/>
      <c r="DS16" s="244"/>
      <c r="DT16" s="244"/>
      <c r="DU16" s="244"/>
      <c r="DV16" s="244"/>
      <c r="DW16" s="244"/>
      <c r="DX16" s="244"/>
      <c r="DY16" s="244"/>
      <c r="DZ16" s="244"/>
      <c r="EA16" s="244"/>
      <c r="EB16" s="244"/>
      <c r="EC16" s="244"/>
      <c r="ED16" s="244"/>
      <c r="EE16" s="244"/>
      <c r="EF16" s="244"/>
      <c r="EG16" s="244"/>
      <c r="EH16" s="244"/>
      <c r="EI16" s="244"/>
      <c r="EJ16" s="244"/>
      <c r="EK16" s="244"/>
      <c r="EL16" s="244"/>
      <c r="EM16" s="244"/>
      <c r="EN16" s="244"/>
      <c r="EO16" s="244"/>
      <c r="EP16" s="244"/>
      <c r="EQ16" s="244"/>
      <c r="ER16" s="244"/>
      <c r="ES16" s="244"/>
      <c r="ET16" s="244"/>
      <c r="EU16" s="244"/>
      <c r="EV16" s="244"/>
      <c r="EW16" s="244"/>
      <c r="EX16" s="244"/>
      <c r="EY16" s="244"/>
      <c r="EZ16" s="244"/>
      <c r="FA16" s="244"/>
      <c r="FB16" s="244"/>
      <c r="FC16" s="244"/>
      <c r="FD16" s="244"/>
      <c r="FE16" s="244"/>
      <c r="FF16" s="244"/>
      <c r="FG16" s="244"/>
      <c r="FH16" s="244"/>
      <c r="FI16" s="244"/>
      <c r="FJ16" s="244"/>
      <c r="FK16" s="244"/>
      <c r="FL16" s="244"/>
      <c r="FM16" s="244"/>
      <c r="FN16" s="244"/>
      <c r="FO16" s="244"/>
      <c r="FP16" s="244"/>
      <c r="FQ16" s="244"/>
      <c r="FR16" s="244"/>
      <c r="FS16" s="244"/>
      <c r="FT16" s="244"/>
      <c r="FU16" s="244"/>
      <c r="FV16" s="244"/>
      <c r="FW16" s="244"/>
      <c r="FX16" s="244"/>
      <c r="FY16" s="244"/>
      <c r="FZ16" s="244"/>
      <c r="GA16" s="244"/>
      <c r="GB16" s="244"/>
      <c r="GC16" s="244"/>
      <c r="GD16" s="244"/>
      <c r="GE16" s="244"/>
      <c r="GF16" s="244"/>
      <c r="GG16" s="244"/>
      <c r="GH16" s="244"/>
      <c r="GI16" s="244"/>
      <c r="GJ16" s="244"/>
      <c r="GK16" s="244"/>
      <c r="GL16" s="244"/>
      <c r="GM16" s="244"/>
      <c r="GN16" s="244"/>
      <c r="GO16" s="244"/>
      <c r="GP16" s="244"/>
      <c r="GQ16" s="244"/>
      <c r="GR16" s="244"/>
      <c r="GS16" s="244"/>
      <c r="GT16" s="244"/>
      <c r="GU16" s="244"/>
      <c r="GV16" s="244"/>
      <c r="GW16" s="244"/>
      <c r="GX16" s="244"/>
      <c r="GY16" s="244"/>
      <c r="GZ16" s="244"/>
      <c r="HA16" s="244"/>
      <c r="HB16" s="244"/>
      <c r="HC16" s="244"/>
      <c r="HD16" s="244"/>
      <c r="HE16" s="244"/>
      <c r="HF16" s="244"/>
      <c r="HG16" s="244"/>
      <c r="HH16" s="244"/>
      <c r="HI16" s="244"/>
      <c r="HJ16" s="244"/>
      <c r="HK16" s="244"/>
      <c r="HL16" s="244"/>
      <c r="HM16" s="244"/>
      <c r="HN16" s="244"/>
      <c r="HO16" s="244"/>
      <c r="HP16" s="244"/>
      <c r="HQ16" s="244"/>
      <c r="HR16" s="244"/>
      <c r="HS16" s="244"/>
      <c r="HT16" s="244"/>
      <c r="HU16" s="244"/>
      <c r="HV16" s="244"/>
      <c r="HW16" s="244"/>
      <c r="HX16" s="244"/>
      <c r="HY16" s="244"/>
      <c r="HZ16" s="244"/>
      <c r="IA16" s="244"/>
      <c r="IB16" s="244"/>
    </row>
    <row r="17" spans="1:52" s="71" customFormat="1" ht="18" customHeight="1">
      <c r="A17" s="250"/>
      <c r="B17" s="237" t="s">
        <v>154</v>
      </c>
      <c r="C17" s="235"/>
      <c r="D17" s="235"/>
      <c r="E17" s="235"/>
      <c r="F17" s="235"/>
      <c r="G17" s="235"/>
      <c r="H17" s="235"/>
      <c r="I17" s="235"/>
      <c r="J17" s="235"/>
      <c r="K17" s="236"/>
      <c r="L17" s="242"/>
      <c r="M17" s="242"/>
      <c r="N17" s="242"/>
      <c r="O17" s="242"/>
      <c r="P17" s="242"/>
      <c r="Q17" s="242"/>
      <c r="R17" s="242"/>
      <c r="S17" s="241"/>
      <c r="T17" s="241"/>
      <c r="U17" s="241"/>
      <c r="V17" s="241"/>
      <c r="W17" s="241"/>
      <c r="X17" s="241"/>
      <c r="Y17" s="241"/>
      <c r="Z17" s="241"/>
      <c r="AA17" s="241"/>
      <c r="AB17" s="241"/>
      <c r="AC17" s="241"/>
      <c r="AD17" s="241"/>
      <c r="AE17" s="241"/>
      <c r="AF17" s="241"/>
      <c r="AG17" s="241"/>
      <c r="AH17" s="241"/>
      <c r="AI17" s="241"/>
      <c r="AJ17" s="241"/>
      <c r="AK17" s="241"/>
      <c r="AL17" s="241"/>
      <c r="AM17" s="241"/>
      <c r="AN17" s="241"/>
      <c r="AO17" s="241"/>
      <c r="AP17" s="241"/>
      <c r="AQ17" s="241"/>
      <c r="AR17" s="241"/>
      <c r="AS17" s="241"/>
      <c r="AT17" s="241"/>
      <c r="AU17" s="241"/>
      <c r="AV17" s="241"/>
      <c r="AW17" s="241"/>
      <c r="AX17" s="241"/>
      <c r="AY17" s="241"/>
      <c r="AZ17" s="241"/>
    </row>
    <row r="18" spans="1:52" s="71" customFormat="1" ht="39.6">
      <c r="A18" s="250"/>
      <c r="B18" s="362" t="s">
        <v>153</v>
      </c>
      <c r="C18" s="362"/>
      <c r="D18" s="273" t="s">
        <v>292</v>
      </c>
      <c r="E18" s="273" t="s">
        <v>294</v>
      </c>
      <c r="F18" s="364" t="s">
        <v>293</v>
      </c>
      <c r="G18" s="364"/>
      <c r="H18" s="375" t="s">
        <v>295</v>
      </c>
      <c r="I18" s="376"/>
      <c r="J18" s="375" t="s">
        <v>296</v>
      </c>
      <c r="K18" s="376"/>
      <c r="L18" s="242"/>
      <c r="M18" s="242"/>
      <c r="N18" s="242"/>
      <c r="O18" s="242"/>
      <c r="P18" s="242"/>
      <c r="Q18" s="242"/>
      <c r="R18" s="242"/>
      <c r="S18" s="241"/>
      <c r="T18" s="241"/>
      <c r="U18" s="241"/>
      <c r="V18" s="241"/>
      <c r="W18" s="241"/>
      <c r="X18" s="241"/>
      <c r="Y18" s="241"/>
      <c r="Z18" s="241"/>
      <c r="AA18" s="241"/>
      <c r="AB18" s="241"/>
      <c r="AC18" s="241"/>
      <c r="AD18" s="241"/>
      <c r="AE18" s="241"/>
      <c r="AF18" s="241"/>
      <c r="AG18" s="241"/>
      <c r="AH18" s="241"/>
      <c r="AI18" s="241"/>
      <c r="AJ18" s="241"/>
      <c r="AK18" s="241"/>
      <c r="AL18" s="241"/>
      <c r="AM18" s="241"/>
      <c r="AN18" s="241"/>
      <c r="AO18" s="241"/>
      <c r="AP18" s="241"/>
      <c r="AQ18" s="241"/>
      <c r="AR18" s="241"/>
      <c r="AS18" s="241"/>
      <c r="AT18" s="241"/>
      <c r="AU18" s="241"/>
      <c r="AV18" s="241"/>
      <c r="AW18" s="241"/>
      <c r="AX18" s="241"/>
      <c r="AY18" s="241"/>
      <c r="AZ18" s="241"/>
    </row>
    <row r="19" spans="1:52" s="71" customFormat="1" ht="18" customHeight="1">
      <c r="A19" s="250"/>
      <c r="B19" s="363" t="str">
        <f>IF(inputs_units&lt;&gt;"",INDEX(data_genunitsval,MATCH(inputs_units,data_genunits,0)),"")</f>
        <v/>
      </c>
      <c r="C19" s="363"/>
      <c r="D19" s="230"/>
      <c r="E19" s="230"/>
      <c r="F19" s="365"/>
      <c r="G19" s="365"/>
      <c r="H19" s="373">
        <f>logic_bdoutwuasam</f>
        <v>0</v>
      </c>
      <c r="I19" s="374"/>
      <c r="J19" s="377">
        <f>logic_bdoutwuasprc</f>
        <v>0</v>
      </c>
      <c r="K19" s="378"/>
      <c r="L19" s="242"/>
      <c r="M19" s="242"/>
      <c r="N19" s="242"/>
      <c r="O19" s="242"/>
      <c r="P19" s="242"/>
      <c r="Q19" s="242"/>
      <c r="R19" s="242"/>
      <c r="S19" s="241"/>
      <c r="T19" s="241"/>
      <c r="U19" s="241"/>
      <c r="V19" s="241"/>
      <c r="W19" s="241"/>
      <c r="X19" s="241"/>
      <c r="Y19" s="241"/>
      <c r="Z19" s="241"/>
      <c r="AA19" s="241"/>
      <c r="AB19" s="241"/>
      <c r="AC19" s="241"/>
      <c r="AD19" s="241"/>
      <c r="AE19" s="241"/>
      <c r="AF19" s="241"/>
      <c r="AG19" s="241"/>
      <c r="AH19" s="241"/>
      <c r="AI19" s="241"/>
      <c r="AJ19" s="241"/>
      <c r="AK19" s="241"/>
      <c r="AL19" s="241"/>
      <c r="AM19" s="241"/>
      <c r="AN19" s="241"/>
      <c r="AO19" s="241"/>
      <c r="AP19" s="241"/>
      <c r="AQ19" s="241"/>
      <c r="AR19" s="241"/>
      <c r="AS19" s="241"/>
      <c r="AT19" s="241"/>
      <c r="AU19" s="241"/>
      <c r="AV19" s="241"/>
      <c r="AW19" s="241"/>
      <c r="AX19" s="241"/>
      <c r="AY19" s="241"/>
      <c r="AZ19" s="241"/>
    </row>
    <row r="20" spans="1:52" ht="18" customHeight="1">
      <c r="A20" s="250"/>
      <c r="B20" s="241"/>
      <c r="C20" s="241"/>
      <c r="D20" s="241"/>
      <c r="E20" s="241"/>
      <c r="F20" s="241"/>
      <c r="G20" s="241"/>
      <c r="H20" s="241"/>
      <c r="I20" s="241"/>
      <c r="J20" s="242"/>
      <c r="K20" s="242"/>
      <c r="L20" s="242"/>
      <c r="M20" s="242"/>
      <c r="N20" s="242"/>
      <c r="O20" s="242"/>
      <c r="P20" s="242"/>
      <c r="Q20" s="242"/>
      <c r="R20" s="242"/>
      <c r="S20" s="242"/>
      <c r="T20" s="241"/>
      <c r="U20" s="241"/>
      <c r="V20" s="241"/>
      <c r="W20" s="241"/>
      <c r="X20" s="241"/>
      <c r="Y20" s="241"/>
      <c r="Z20" s="241"/>
      <c r="AA20" s="241"/>
      <c r="AB20" s="241"/>
      <c r="AC20" s="241"/>
      <c r="AD20" s="241"/>
      <c r="AE20" s="241"/>
      <c r="AF20" s="241"/>
      <c r="AG20" s="241"/>
      <c r="AH20" s="241"/>
      <c r="AI20" s="241"/>
      <c r="AJ20" s="241"/>
      <c r="AK20" s="241"/>
      <c r="AL20" s="241"/>
      <c r="AM20" s="241"/>
      <c r="AN20" s="241"/>
      <c r="AO20" s="241"/>
      <c r="AP20" s="241"/>
      <c r="AQ20" s="241"/>
      <c r="AR20" s="241"/>
      <c r="AS20" s="241"/>
      <c r="AT20" s="241"/>
      <c r="AU20" s="241"/>
      <c r="AV20" s="241"/>
      <c r="AW20" s="241"/>
      <c r="AX20" s="241"/>
      <c r="AY20" s="241"/>
      <c r="AZ20" s="241"/>
    </row>
    <row r="21" spans="1:52" ht="18" customHeight="1">
      <c r="A21" s="250"/>
      <c r="B21" s="241"/>
      <c r="C21" s="241"/>
      <c r="D21" s="241"/>
      <c r="E21" s="241"/>
      <c r="F21" s="241"/>
      <c r="G21" s="241"/>
      <c r="H21" s="241"/>
      <c r="I21" s="241"/>
      <c r="J21" s="241"/>
      <c r="K21" s="242"/>
      <c r="L21" s="242"/>
      <c r="M21" s="242"/>
      <c r="N21" s="242"/>
      <c r="O21" s="242"/>
      <c r="P21" s="242"/>
      <c r="Q21" s="242"/>
      <c r="R21" s="242"/>
      <c r="S21" s="242"/>
      <c r="T21" s="241"/>
      <c r="U21" s="241"/>
      <c r="V21" s="241"/>
      <c r="W21" s="241"/>
      <c r="X21" s="241"/>
      <c r="Y21" s="241"/>
      <c r="Z21" s="241"/>
      <c r="AA21" s="241"/>
      <c r="AB21" s="241"/>
      <c r="AC21" s="241"/>
      <c r="AD21" s="241"/>
      <c r="AE21" s="241"/>
      <c r="AF21" s="241"/>
      <c r="AG21" s="241"/>
      <c r="AH21" s="241"/>
      <c r="AI21" s="241"/>
      <c r="AJ21" s="241"/>
      <c r="AK21" s="241"/>
      <c r="AL21" s="241"/>
      <c r="AM21" s="241"/>
      <c r="AN21" s="241"/>
      <c r="AO21" s="241"/>
      <c r="AP21" s="241"/>
      <c r="AQ21" s="241"/>
      <c r="AR21" s="241"/>
      <c r="AS21" s="241"/>
      <c r="AT21" s="241"/>
      <c r="AU21" s="241"/>
      <c r="AV21" s="241"/>
      <c r="AW21" s="241"/>
      <c r="AX21" s="241"/>
      <c r="AY21" s="241"/>
      <c r="AZ21" s="241"/>
    </row>
    <row r="22" spans="1:52" ht="18" customHeight="1">
      <c r="A22" s="250"/>
      <c r="B22" s="142" t="s">
        <v>155</v>
      </c>
      <c r="C22" s="156"/>
      <c r="D22" s="143"/>
      <c r="E22" s="143"/>
      <c r="F22" s="143"/>
      <c r="G22" s="143"/>
      <c r="H22" s="143"/>
      <c r="I22" s="143"/>
      <c r="J22" s="143"/>
      <c r="K22" s="143"/>
      <c r="L22" s="143"/>
      <c r="M22" s="143"/>
      <c r="N22" s="143"/>
      <c r="O22" s="143"/>
      <c r="P22" s="143"/>
      <c r="Q22" s="143"/>
      <c r="R22" s="143"/>
      <c r="S22" s="143"/>
      <c r="T22" s="144"/>
      <c r="U22" s="241"/>
      <c r="V22" s="241"/>
      <c r="W22" s="241"/>
      <c r="X22" s="241"/>
      <c r="Y22" s="241"/>
      <c r="Z22" s="241"/>
      <c r="AA22" s="241"/>
      <c r="AB22" s="241"/>
      <c r="AC22" s="241"/>
      <c r="AD22" s="241"/>
      <c r="AE22" s="241"/>
      <c r="AF22" s="241"/>
      <c r="AG22" s="241"/>
      <c r="AH22" s="241"/>
      <c r="AI22" s="241"/>
      <c r="AJ22" s="241"/>
      <c r="AK22" s="241"/>
      <c r="AL22" s="241"/>
      <c r="AM22" s="241"/>
      <c r="AN22" s="241"/>
      <c r="AO22" s="241"/>
      <c r="AP22" s="241"/>
      <c r="AQ22" s="241"/>
      <c r="AR22" s="241"/>
      <c r="AS22" s="241"/>
      <c r="AT22" s="241"/>
      <c r="AU22" s="241"/>
      <c r="AV22" s="241"/>
      <c r="AW22" s="241"/>
      <c r="AX22" s="241"/>
      <c r="AY22" s="241"/>
      <c r="AZ22" s="241"/>
    </row>
    <row r="23" spans="1:52" ht="18" customHeight="1">
      <c r="A23" s="232"/>
      <c r="B23" s="232"/>
      <c r="C23" s="232"/>
      <c r="D23" s="232"/>
      <c r="E23" s="232"/>
      <c r="F23" s="232"/>
      <c r="G23" s="232"/>
      <c r="H23" s="232"/>
      <c r="I23" s="232"/>
      <c r="J23" s="232"/>
      <c r="K23" s="232"/>
      <c r="L23" s="232"/>
      <c r="M23" s="232"/>
      <c r="N23" s="232"/>
      <c r="O23" s="232"/>
      <c r="P23" s="232"/>
      <c r="Q23" s="232"/>
      <c r="R23" s="232"/>
      <c r="S23" s="242"/>
      <c r="T23" s="241"/>
      <c r="U23" s="241"/>
      <c r="V23" s="241"/>
      <c r="W23" s="241"/>
      <c r="X23" s="241"/>
      <c r="Y23" s="241"/>
      <c r="Z23" s="241"/>
      <c r="AA23" s="241"/>
      <c r="AB23" s="241"/>
      <c r="AC23" s="241"/>
      <c r="AD23" s="241"/>
      <c r="AE23" s="241"/>
      <c r="AF23" s="241"/>
      <c r="AG23" s="241"/>
      <c r="AH23" s="241"/>
      <c r="AI23" s="241"/>
      <c r="AJ23" s="241"/>
      <c r="AK23" s="241"/>
      <c r="AL23" s="241"/>
      <c r="AM23" s="241"/>
      <c r="AN23" s="241"/>
      <c r="AO23" s="241"/>
      <c r="AP23" s="241"/>
      <c r="AQ23" s="241"/>
      <c r="AR23" s="241"/>
      <c r="AS23" s="241"/>
      <c r="AT23" s="241"/>
      <c r="AU23" s="241"/>
      <c r="AV23" s="241"/>
      <c r="AW23" s="241"/>
      <c r="AX23" s="241"/>
      <c r="AY23" s="241"/>
      <c r="AZ23" s="241"/>
    </row>
    <row r="24" spans="1:52" s="244" customFormat="1" ht="17.399999999999999" customHeight="1">
      <c r="A24" s="175"/>
      <c r="B24" s="240" t="s">
        <v>156</v>
      </c>
      <c r="C24" s="241"/>
      <c r="D24" s="241"/>
      <c r="E24" s="241"/>
      <c r="F24" s="241"/>
      <c r="G24" s="242"/>
      <c r="H24" s="242"/>
      <c r="I24" s="242"/>
      <c r="J24" s="242"/>
      <c r="K24" s="242"/>
      <c r="L24" s="242"/>
      <c r="M24" s="242"/>
      <c r="N24" s="242"/>
      <c r="O24" s="243"/>
      <c r="P24" s="243"/>
      <c r="Q24" s="243"/>
      <c r="R24" s="243"/>
      <c r="S24" s="243"/>
      <c r="T24" s="243"/>
      <c r="U24" s="241"/>
      <c r="V24" s="243"/>
      <c r="W24" s="243"/>
      <c r="X24" s="243"/>
      <c r="Y24" s="243"/>
      <c r="Z24" s="243"/>
      <c r="AA24" s="243"/>
      <c r="AB24" s="243"/>
      <c r="AC24" s="243"/>
      <c r="AD24" s="243"/>
      <c r="AE24" s="243"/>
      <c r="AF24" s="243"/>
      <c r="AG24" s="243"/>
      <c r="AH24" s="243"/>
      <c r="AI24" s="243"/>
      <c r="AJ24" s="243"/>
      <c r="AK24" s="243"/>
      <c r="AL24" s="243"/>
      <c r="AM24" s="243"/>
      <c r="AN24" s="243"/>
      <c r="AO24" s="243"/>
      <c r="AP24" s="243"/>
      <c r="AQ24" s="243"/>
      <c r="AR24" s="243"/>
      <c r="AS24" s="243"/>
      <c r="AT24" s="243"/>
      <c r="AU24" s="243"/>
      <c r="AV24" s="243"/>
      <c r="AW24" s="243"/>
      <c r="AX24" s="243"/>
      <c r="AY24" s="243"/>
      <c r="AZ24" s="243"/>
    </row>
    <row r="25" spans="1:52" s="71" customFormat="1" ht="18" customHeight="1">
      <c r="A25" s="250"/>
      <c r="B25" s="152" t="s">
        <v>157</v>
      </c>
      <c r="C25" s="153"/>
      <c r="D25" s="153"/>
      <c r="E25" s="153"/>
      <c r="F25" s="153"/>
      <c r="G25" s="186"/>
      <c r="H25" s="152" t="s">
        <v>158</v>
      </c>
      <c r="I25" s="234"/>
      <c r="J25" s="234"/>
      <c r="K25" s="234"/>
      <c r="L25" s="234"/>
      <c r="M25" s="234"/>
      <c r="N25" s="234"/>
      <c r="O25" s="152" t="s">
        <v>348</v>
      </c>
      <c r="P25" s="234"/>
      <c r="Q25" s="234"/>
      <c r="R25" s="234"/>
      <c r="S25" s="234"/>
      <c r="T25" s="186"/>
      <c r="U25" s="241"/>
      <c r="V25" s="241"/>
      <c r="W25" s="241"/>
      <c r="X25" s="241"/>
      <c r="Y25" s="241"/>
      <c r="Z25" s="241"/>
      <c r="AA25" s="241"/>
      <c r="AB25" s="241"/>
      <c r="AC25" s="241"/>
      <c r="AD25" s="241"/>
      <c r="AE25" s="241"/>
      <c r="AF25" s="241"/>
      <c r="AG25" s="241"/>
      <c r="AH25" s="241"/>
      <c r="AI25" s="241"/>
      <c r="AJ25" s="241"/>
      <c r="AK25" s="241"/>
      <c r="AL25" s="241"/>
      <c r="AM25" s="241"/>
      <c r="AN25" s="241"/>
      <c r="AO25" s="241"/>
      <c r="AP25" s="241"/>
      <c r="AQ25" s="241"/>
      <c r="AR25" s="241"/>
      <c r="AS25" s="241"/>
      <c r="AT25" s="241"/>
      <c r="AU25" s="241"/>
      <c r="AV25" s="241"/>
      <c r="AW25" s="241"/>
      <c r="AX25" s="241"/>
      <c r="AY25" s="241"/>
      <c r="AZ25" s="241"/>
    </row>
    <row r="26" spans="1:52" s="71" customFormat="1" ht="18" customHeight="1">
      <c r="A26" s="288" t="s">
        <v>159</v>
      </c>
      <c r="B26" s="366" t="s">
        <v>160</v>
      </c>
      <c r="C26" s="366" t="s">
        <v>161</v>
      </c>
      <c r="D26" s="381" t="s">
        <v>162</v>
      </c>
      <c r="E26" s="382"/>
      <c r="F26" s="366" t="s">
        <v>315</v>
      </c>
      <c r="G26" s="366" t="s">
        <v>349</v>
      </c>
      <c r="H26" s="357" t="s">
        <v>318</v>
      </c>
      <c r="I26" s="358"/>
      <c r="J26" s="359"/>
      <c r="K26" s="370" t="s">
        <v>347</v>
      </c>
      <c r="L26" s="371"/>
      <c r="M26" s="371"/>
      <c r="N26" s="372"/>
      <c r="O26" s="348" t="str">
        <f>CONCATENATE("Annual Water Use Baseline
(",(IF(inputs_units&lt;&gt;"",INDEX(data_genunitsvol,MATCH(inputs_units,data_genunits,0)),"unit")),")")</f>
        <v>Annual Water Use Baseline
(unit)</v>
      </c>
      <c r="P26" s="348" t="str">
        <f>CONCATENATE("Annual Water Use Design w/o Alt. Water
(",(IF(inputs_units&lt;&gt;"",INDEX(data_genunitsvol,MATCH(inputs_units,data_genunits,0)),"unit")),")")</f>
        <v>Annual Water Use Design w/o Alt. Water
(unit)</v>
      </c>
      <c r="Q26" s="346" t="str">
        <f>CONCATENATE("Annual Alternative Water Use
(",(IF(inputs_units&lt;&gt;"",INDEX(data_genunitsvol,MATCH(inputs_units,data_genunits,0)),"unit")),")")</f>
        <v>Annual Alternative Water Use
(unit)</v>
      </c>
      <c r="R26" s="348" t="str">
        <f>CONCATENATE("Annual Water Use Design
(",(IF(inputs_units&lt;&gt;"",INDEX(data_genunitsvol,MATCH(inputs_units,data_genunits,0)),"unit")),")")</f>
        <v>Annual Water Use Design
(unit)</v>
      </c>
      <c r="S26" s="348" t="str">
        <f>CONCATENATE("Annual Water Use Savings 
(",(IF(inputs_units&lt;&gt;"",INDEX(data_genunitsvol,MATCH(inputs_units,data_genunits,0)),"unit")),")")</f>
        <v>Annual Water Use Savings 
(unit)</v>
      </c>
      <c r="T26" s="348" t="s">
        <v>360</v>
      </c>
      <c r="U26" s="241"/>
      <c r="V26" s="241"/>
      <c r="W26" s="241"/>
      <c r="X26" s="241"/>
      <c r="Y26" s="241"/>
      <c r="Z26" s="241"/>
      <c r="AA26" s="241"/>
      <c r="AB26" s="241"/>
      <c r="AC26" s="241"/>
      <c r="AD26" s="241"/>
      <c r="AE26" s="241"/>
      <c r="AF26" s="241"/>
      <c r="AG26" s="241"/>
      <c r="AH26" s="241"/>
      <c r="AI26" s="241"/>
      <c r="AJ26" s="241"/>
      <c r="AK26" s="241"/>
      <c r="AL26" s="241"/>
      <c r="AM26" s="241"/>
      <c r="AN26" s="241"/>
      <c r="AO26" s="241"/>
      <c r="AP26" s="241"/>
      <c r="AQ26" s="241"/>
      <c r="AR26" s="241"/>
      <c r="AS26" s="241"/>
      <c r="AT26" s="241"/>
      <c r="AU26" s="241"/>
      <c r="AV26" s="241"/>
      <c r="AW26" s="241"/>
      <c r="AX26" s="241"/>
      <c r="AY26" s="241"/>
      <c r="AZ26" s="241"/>
    </row>
    <row r="27" spans="1:52" s="71" customFormat="1" ht="18" customHeight="1">
      <c r="A27" s="288"/>
      <c r="B27" s="367"/>
      <c r="C27" s="367"/>
      <c r="D27" s="383"/>
      <c r="E27" s="384"/>
      <c r="F27" s="367"/>
      <c r="G27" s="367"/>
      <c r="H27" s="348" t="s">
        <v>346</v>
      </c>
      <c r="I27" s="351" t="s">
        <v>153</v>
      </c>
      <c r="J27" s="352"/>
      <c r="K27" s="348" t="s">
        <v>163</v>
      </c>
      <c r="L27" s="348" t="s">
        <v>164</v>
      </c>
      <c r="M27" s="351" t="s">
        <v>153</v>
      </c>
      <c r="N27" s="352"/>
      <c r="O27" s="349"/>
      <c r="P27" s="349"/>
      <c r="Q27" s="347"/>
      <c r="R27" s="349"/>
      <c r="S27" s="349"/>
      <c r="T27" s="349"/>
      <c r="U27" s="241"/>
      <c r="V27" s="241"/>
      <c r="W27" s="241"/>
      <c r="X27" s="241"/>
      <c r="Y27" s="241"/>
      <c r="Z27" s="241"/>
      <c r="AA27" s="241"/>
      <c r="AB27" s="241"/>
      <c r="AC27" s="241"/>
      <c r="AD27" s="241"/>
      <c r="AE27" s="241"/>
      <c r="AF27" s="241"/>
      <c r="AG27" s="241"/>
      <c r="AH27" s="241"/>
      <c r="AI27" s="241"/>
      <c r="AJ27" s="241"/>
      <c r="AK27" s="241"/>
      <c r="AL27" s="241"/>
      <c r="AM27" s="241"/>
      <c r="AN27" s="241"/>
      <c r="AO27" s="241"/>
      <c r="AP27" s="241"/>
      <c r="AQ27" s="241"/>
      <c r="AR27" s="241"/>
      <c r="AS27" s="241"/>
      <c r="AT27" s="241"/>
      <c r="AU27" s="241"/>
      <c r="AV27" s="241"/>
      <c r="AW27" s="241"/>
      <c r="AX27" s="241"/>
      <c r="AY27" s="241"/>
      <c r="AZ27" s="241"/>
    </row>
    <row r="28" spans="1:52" s="71" customFormat="1" ht="18" customHeight="1">
      <c r="A28" s="288"/>
      <c r="B28" s="368"/>
      <c r="C28" s="368"/>
      <c r="D28" s="385"/>
      <c r="E28" s="386"/>
      <c r="F28" s="368"/>
      <c r="G28" s="368"/>
      <c r="H28" s="350"/>
      <c r="I28" s="353"/>
      <c r="J28" s="354"/>
      <c r="K28" s="350"/>
      <c r="L28" s="350"/>
      <c r="M28" s="353"/>
      <c r="N28" s="354"/>
      <c r="O28" s="350"/>
      <c r="P28" s="350"/>
      <c r="Q28" s="301" t="s">
        <v>298</v>
      </c>
      <c r="R28" s="350"/>
      <c r="S28" s="350"/>
      <c r="T28" s="350"/>
      <c r="U28" s="241"/>
      <c r="V28" s="241"/>
      <c r="W28" s="241"/>
      <c r="X28" s="241"/>
      <c r="Y28" s="241"/>
      <c r="Z28" s="241"/>
      <c r="AA28" s="241"/>
      <c r="AB28" s="241"/>
      <c r="AC28" s="241"/>
      <c r="AD28" s="241"/>
      <c r="AE28" s="241"/>
      <c r="AF28" s="241"/>
      <c r="AG28" s="241"/>
      <c r="AH28" s="241"/>
      <c r="AI28" s="241"/>
      <c r="AJ28" s="241"/>
      <c r="AK28" s="241"/>
      <c r="AL28" s="241"/>
      <c r="AM28" s="241"/>
      <c r="AN28" s="241"/>
      <c r="AO28" s="241"/>
      <c r="AP28" s="241"/>
      <c r="AQ28" s="241"/>
      <c r="AR28" s="241"/>
      <c r="AS28" s="241"/>
      <c r="AT28" s="241"/>
      <c r="AU28" s="241"/>
      <c r="AV28" s="241"/>
      <c r="AW28" s="241"/>
      <c r="AX28" s="241"/>
      <c r="AY28" s="241"/>
      <c r="AZ28" s="241"/>
    </row>
    <row r="29" spans="1:52" s="71" customFormat="1" ht="18" customHeight="1">
      <c r="A29" s="288">
        <v>1</v>
      </c>
      <c r="B29" s="97"/>
      <c r="C29" s="296"/>
      <c r="D29" s="360"/>
      <c r="E29" s="361"/>
      <c r="F29" s="298"/>
      <c r="G29" s="298"/>
      <c r="H29" s="86"/>
      <c r="I29" s="344" t="str">
        <f t="shared" ref="I29:I58" si="0">INDEX(logic_dumuapp,MATCH($A29,logic_appno,0))</f>
        <v/>
      </c>
      <c r="J29" s="345"/>
      <c r="K29" s="86"/>
      <c r="L29" s="86"/>
      <c r="M29" s="344" t="str">
        <f t="shared" ref="M29:M58" si="1">INDEX(logic_wuruapp,MATCH($A29,logic_appno,0))</f>
        <v/>
      </c>
      <c r="N29" s="345"/>
      <c r="O29" s="225" t="str">
        <f t="shared" ref="O29:O58" si="2">INDEX(logic_appawub,MATCH($A29,logic_appno,0))</f>
        <v/>
      </c>
      <c r="P29" s="225" t="str">
        <f t="shared" ref="P29:P58" si="3">INDEX(logic_appawudwoaw,MATCH($A29,logic_appno,0))</f>
        <v/>
      </c>
      <c r="Q29" s="330"/>
      <c r="R29" s="225" t="str">
        <f t="shared" ref="R29:R58" si="4">INDEX(logic_appawud,MATCH($A29,logic_appno,0))</f>
        <v/>
      </c>
      <c r="S29" s="225" t="str">
        <f t="shared" ref="S29:S58" si="5">INDEX(logic_appawusa,MATCH($A29,logic_appno,0))</f>
        <v/>
      </c>
      <c r="T29" s="231" t="str">
        <f t="shared" ref="T29:T58" si="6">INDEX(logic_appawusp,MATCH($A29,logic_appno,0))</f>
        <v/>
      </c>
      <c r="U29" s="241"/>
      <c r="V29" s="241"/>
      <c r="W29" s="241"/>
      <c r="X29" s="241"/>
      <c r="Y29" s="241"/>
      <c r="Z29" s="241"/>
      <c r="AA29" s="241"/>
      <c r="AB29" s="241"/>
      <c r="AC29" s="241"/>
      <c r="AD29" s="241"/>
      <c r="AE29" s="241"/>
      <c r="AF29" s="241"/>
      <c r="AG29" s="241"/>
      <c r="AH29" s="241"/>
      <c r="AI29" s="241"/>
      <c r="AJ29" s="241"/>
      <c r="AK29" s="241"/>
      <c r="AL29" s="241"/>
      <c r="AM29" s="241"/>
      <c r="AN29" s="241"/>
      <c r="AO29" s="241"/>
      <c r="AP29" s="241"/>
      <c r="AQ29" s="241"/>
      <c r="AR29" s="241"/>
      <c r="AS29" s="241"/>
      <c r="AT29" s="241"/>
      <c r="AU29" s="241"/>
      <c r="AV29" s="241"/>
      <c r="AW29" s="241"/>
      <c r="AX29" s="241"/>
      <c r="AY29" s="241"/>
      <c r="AZ29" s="241"/>
    </row>
    <row r="30" spans="1:52" s="71" customFormat="1" ht="18" customHeight="1">
      <c r="A30" s="288">
        <v>2</v>
      </c>
      <c r="B30" s="97"/>
      <c r="C30" s="296"/>
      <c r="D30" s="360"/>
      <c r="E30" s="361"/>
      <c r="F30" s="298"/>
      <c r="G30" s="298"/>
      <c r="H30" s="86"/>
      <c r="I30" s="344" t="str">
        <f t="shared" si="0"/>
        <v/>
      </c>
      <c r="J30" s="345"/>
      <c r="K30" s="86"/>
      <c r="L30" s="86"/>
      <c r="M30" s="344" t="str">
        <f t="shared" si="1"/>
        <v/>
      </c>
      <c r="N30" s="345"/>
      <c r="O30" s="225" t="str">
        <f t="shared" si="2"/>
        <v/>
      </c>
      <c r="P30" s="225" t="str">
        <f t="shared" si="3"/>
        <v/>
      </c>
      <c r="Q30" s="330"/>
      <c r="R30" s="225" t="str">
        <f t="shared" si="4"/>
        <v/>
      </c>
      <c r="S30" s="225" t="str">
        <f t="shared" si="5"/>
        <v/>
      </c>
      <c r="T30" s="231" t="str">
        <f t="shared" si="6"/>
        <v/>
      </c>
      <c r="U30" s="241"/>
      <c r="V30" s="241"/>
      <c r="W30" s="241"/>
      <c r="X30" s="241"/>
      <c r="Y30" s="241"/>
      <c r="Z30" s="241"/>
      <c r="AA30" s="241"/>
      <c r="AB30" s="241"/>
      <c r="AC30" s="241"/>
      <c r="AD30" s="241"/>
      <c r="AE30" s="241"/>
      <c r="AF30" s="241"/>
      <c r="AG30" s="241"/>
      <c r="AH30" s="241"/>
      <c r="AI30" s="241"/>
      <c r="AJ30" s="241"/>
      <c r="AK30" s="241"/>
      <c r="AL30" s="241"/>
      <c r="AM30" s="241"/>
      <c r="AN30" s="241"/>
      <c r="AO30" s="241"/>
      <c r="AP30" s="241"/>
      <c r="AQ30" s="241"/>
      <c r="AR30" s="241"/>
      <c r="AS30" s="241"/>
      <c r="AT30" s="241"/>
      <c r="AU30" s="241"/>
      <c r="AV30" s="241"/>
      <c r="AW30" s="241"/>
      <c r="AX30" s="241"/>
      <c r="AY30" s="241"/>
      <c r="AZ30" s="241"/>
    </row>
    <row r="31" spans="1:52" s="71" customFormat="1" ht="18" customHeight="1">
      <c r="A31" s="288">
        <v>3</v>
      </c>
      <c r="B31" s="97"/>
      <c r="C31" s="296"/>
      <c r="D31" s="360"/>
      <c r="E31" s="361"/>
      <c r="F31" s="298"/>
      <c r="G31" s="298"/>
      <c r="H31" s="86"/>
      <c r="I31" s="344" t="str">
        <f t="shared" si="0"/>
        <v/>
      </c>
      <c r="J31" s="345"/>
      <c r="K31" s="86"/>
      <c r="L31" s="86"/>
      <c r="M31" s="344" t="str">
        <f t="shared" si="1"/>
        <v/>
      </c>
      <c r="N31" s="345"/>
      <c r="O31" s="225" t="str">
        <f t="shared" si="2"/>
        <v/>
      </c>
      <c r="P31" s="225" t="str">
        <f t="shared" si="3"/>
        <v/>
      </c>
      <c r="Q31" s="330"/>
      <c r="R31" s="225" t="str">
        <f t="shared" si="4"/>
        <v/>
      </c>
      <c r="S31" s="225" t="str">
        <f t="shared" si="5"/>
        <v/>
      </c>
      <c r="T31" s="231" t="str">
        <f t="shared" si="6"/>
        <v/>
      </c>
      <c r="U31" s="241"/>
      <c r="V31" s="241"/>
      <c r="W31" s="241"/>
      <c r="X31" s="241"/>
      <c r="Y31" s="241"/>
      <c r="Z31" s="241"/>
      <c r="AA31" s="241"/>
      <c r="AB31" s="241"/>
      <c r="AC31" s="241"/>
      <c r="AD31" s="241"/>
      <c r="AE31" s="241"/>
      <c r="AF31" s="241"/>
      <c r="AG31" s="241"/>
      <c r="AH31" s="241"/>
      <c r="AI31" s="241"/>
      <c r="AJ31" s="241"/>
      <c r="AK31" s="241"/>
      <c r="AL31" s="241"/>
      <c r="AM31" s="241"/>
      <c r="AN31" s="241"/>
      <c r="AO31" s="241"/>
      <c r="AP31" s="241"/>
      <c r="AQ31" s="241"/>
      <c r="AR31" s="241"/>
      <c r="AS31" s="241"/>
      <c r="AT31" s="241"/>
      <c r="AU31" s="241"/>
      <c r="AV31" s="241"/>
      <c r="AW31" s="241"/>
      <c r="AX31" s="241"/>
      <c r="AY31" s="241"/>
      <c r="AZ31" s="241"/>
    </row>
    <row r="32" spans="1:52" s="71" customFormat="1" ht="18" customHeight="1">
      <c r="A32" s="288">
        <v>4</v>
      </c>
      <c r="B32" s="97"/>
      <c r="C32" s="296"/>
      <c r="D32" s="360"/>
      <c r="E32" s="361"/>
      <c r="F32" s="298"/>
      <c r="G32" s="298"/>
      <c r="H32" s="86"/>
      <c r="I32" s="344" t="str">
        <f t="shared" si="0"/>
        <v/>
      </c>
      <c r="J32" s="345"/>
      <c r="K32" s="86"/>
      <c r="L32" s="86"/>
      <c r="M32" s="344" t="str">
        <f t="shared" si="1"/>
        <v/>
      </c>
      <c r="N32" s="345"/>
      <c r="O32" s="225" t="str">
        <f t="shared" si="2"/>
        <v/>
      </c>
      <c r="P32" s="225" t="str">
        <f t="shared" si="3"/>
        <v/>
      </c>
      <c r="Q32" s="330"/>
      <c r="R32" s="225" t="str">
        <f t="shared" si="4"/>
        <v/>
      </c>
      <c r="S32" s="225" t="str">
        <f t="shared" si="5"/>
        <v/>
      </c>
      <c r="T32" s="231" t="str">
        <f t="shared" si="6"/>
        <v/>
      </c>
      <c r="U32" s="241"/>
      <c r="V32" s="241"/>
      <c r="W32" s="241"/>
      <c r="X32" s="241"/>
      <c r="Y32" s="241"/>
      <c r="Z32" s="241"/>
      <c r="AA32" s="241"/>
      <c r="AB32" s="241"/>
      <c r="AC32" s="241"/>
      <c r="AD32" s="241"/>
      <c r="AE32" s="241"/>
      <c r="AF32" s="241"/>
      <c r="AG32" s="241"/>
      <c r="AH32" s="241"/>
      <c r="AI32" s="241"/>
      <c r="AJ32" s="241"/>
      <c r="AK32" s="241"/>
      <c r="AL32" s="241"/>
      <c r="AM32" s="241"/>
      <c r="AN32" s="241"/>
      <c r="AO32" s="241"/>
      <c r="AP32" s="241"/>
      <c r="AQ32" s="241"/>
      <c r="AR32" s="241"/>
      <c r="AS32" s="241"/>
      <c r="AT32" s="241"/>
      <c r="AU32" s="241"/>
      <c r="AV32" s="241"/>
      <c r="AW32" s="241"/>
      <c r="AX32" s="241"/>
      <c r="AY32" s="241"/>
      <c r="AZ32" s="241"/>
    </row>
    <row r="33" spans="1:52" s="71" customFormat="1" ht="18" customHeight="1">
      <c r="A33" s="288">
        <v>5</v>
      </c>
      <c r="B33" s="97"/>
      <c r="C33" s="296"/>
      <c r="D33" s="360"/>
      <c r="E33" s="361"/>
      <c r="F33" s="298"/>
      <c r="G33" s="298"/>
      <c r="H33" s="86"/>
      <c r="I33" s="344" t="str">
        <f t="shared" si="0"/>
        <v/>
      </c>
      <c r="J33" s="345"/>
      <c r="K33" s="86"/>
      <c r="L33" s="86"/>
      <c r="M33" s="344" t="str">
        <f t="shared" si="1"/>
        <v/>
      </c>
      <c r="N33" s="345"/>
      <c r="O33" s="225" t="str">
        <f t="shared" si="2"/>
        <v/>
      </c>
      <c r="P33" s="225" t="str">
        <f t="shared" si="3"/>
        <v/>
      </c>
      <c r="Q33" s="330"/>
      <c r="R33" s="225" t="str">
        <f t="shared" si="4"/>
        <v/>
      </c>
      <c r="S33" s="225" t="str">
        <f t="shared" si="5"/>
        <v/>
      </c>
      <c r="T33" s="231" t="str">
        <f t="shared" si="6"/>
        <v/>
      </c>
      <c r="U33" s="241"/>
      <c r="V33" s="241"/>
      <c r="W33" s="241"/>
      <c r="X33" s="241"/>
      <c r="Y33" s="241"/>
      <c r="Z33" s="241"/>
      <c r="AA33" s="241"/>
      <c r="AB33" s="241"/>
      <c r="AC33" s="241"/>
      <c r="AD33" s="241"/>
      <c r="AE33" s="241"/>
      <c r="AF33" s="241"/>
      <c r="AG33" s="241"/>
      <c r="AH33" s="241"/>
      <c r="AI33" s="241"/>
      <c r="AJ33" s="241"/>
      <c r="AK33" s="241"/>
      <c r="AL33" s="241"/>
      <c r="AM33" s="241"/>
      <c r="AN33" s="241"/>
      <c r="AO33" s="241"/>
      <c r="AP33" s="241"/>
      <c r="AQ33" s="241"/>
      <c r="AR33" s="241"/>
      <c r="AS33" s="241"/>
      <c r="AT33" s="241"/>
      <c r="AU33" s="241"/>
      <c r="AV33" s="241"/>
      <c r="AW33" s="241"/>
      <c r="AX33" s="241"/>
      <c r="AY33" s="241"/>
      <c r="AZ33" s="241"/>
    </row>
    <row r="34" spans="1:52" s="71" customFormat="1" ht="18" customHeight="1">
      <c r="A34" s="288">
        <v>6</v>
      </c>
      <c r="B34" s="97"/>
      <c r="C34" s="296"/>
      <c r="D34" s="360"/>
      <c r="E34" s="361"/>
      <c r="F34" s="298"/>
      <c r="G34" s="298"/>
      <c r="H34" s="86"/>
      <c r="I34" s="344" t="str">
        <f t="shared" si="0"/>
        <v/>
      </c>
      <c r="J34" s="345"/>
      <c r="K34" s="86"/>
      <c r="L34" s="86"/>
      <c r="M34" s="344" t="str">
        <f t="shared" si="1"/>
        <v/>
      </c>
      <c r="N34" s="345"/>
      <c r="O34" s="225" t="str">
        <f t="shared" si="2"/>
        <v/>
      </c>
      <c r="P34" s="225" t="str">
        <f t="shared" si="3"/>
        <v/>
      </c>
      <c r="Q34" s="330"/>
      <c r="R34" s="225" t="str">
        <f t="shared" si="4"/>
        <v/>
      </c>
      <c r="S34" s="225" t="str">
        <f t="shared" si="5"/>
        <v/>
      </c>
      <c r="T34" s="231" t="str">
        <f t="shared" si="6"/>
        <v/>
      </c>
      <c r="U34" s="241"/>
      <c r="V34" s="241"/>
      <c r="W34" s="241"/>
      <c r="X34" s="241"/>
      <c r="Y34" s="241"/>
      <c r="Z34" s="241"/>
      <c r="AA34" s="241"/>
      <c r="AB34" s="241"/>
      <c r="AC34" s="241"/>
      <c r="AD34" s="241"/>
      <c r="AE34" s="241"/>
      <c r="AF34" s="241"/>
      <c r="AG34" s="241"/>
      <c r="AH34" s="241"/>
      <c r="AI34" s="241"/>
      <c r="AJ34" s="241"/>
      <c r="AK34" s="241"/>
      <c r="AL34" s="241"/>
      <c r="AM34" s="241"/>
      <c r="AN34" s="241"/>
      <c r="AO34" s="241"/>
      <c r="AP34" s="241"/>
      <c r="AQ34" s="241"/>
      <c r="AR34" s="241"/>
      <c r="AS34" s="241"/>
      <c r="AT34" s="241"/>
      <c r="AU34" s="241"/>
      <c r="AV34" s="241"/>
      <c r="AW34" s="241"/>
      <c r="AX34" s="241"/>
      <c r="AY34" s="241"/>
      <c r="AZ34" s="241"/>
    </row>
    <row r="35" spans="1:52" s="71" customFormat="1" ht="18" customHeight="1">
      <c r="A35" s="288">
        <v>7</v>
      </c>
      <c r="B35" s="97"/>
      <c r="C35" s="296"/>
      <c r="D35" s="360"/>
      <c r="E35" s="361"/>
      <c r="F35" s="298"/>
      <c r="G35" s="298"/>
      <c r="H35" s="86"/>
      <c r="I35" s="344" t="str">
        <f t="shared" si="0"/>
        <v/>
      </c>
      <c r="J35" s="345"/>
      <c r="K35" s="86"/>
      <c r="L35" s="86"/>
      <c r="M35" s="344" t="str">
        <f t="shared" si="1"/>
        <v/>
      </c>
      <c r="N35" s="345"/>
      <c r="O35" s="225" t="str">
        <f t="shared" si="2"/>
        <v/>
      </c>
      <c r="P35" s="225" t="str">
        <f t="shared" si="3"/>
        <v/>
      </c>
      <c r="Q35" s="330"/>
      <c r="R35" s="225" t="str">
        <f t="shared" si="4"/>
        <v/>
      </c>
      <c r="S35" s="225" t="str">
        <f t="shared" si="5"/>
        <v/>
      </c>
      <c r="T35" s="231" t="str">
        <f t="shared" si="6"/>
        <v/>
      </c>
      <c r="U35" s="241"/>
      <c r="V35" s="241"/>
      <c r="W35" s="241"/>
      <c r="X35" s="241"/>
      <c r="Y35" s="241"/>
      <c r="Z35" s="241"/>
      <c r="AA35" s="241"/>
      <c r="AB35" s="241"/>
      <c r="AC35" s="241"/>
      <c r="AD35" s="241"/>
      <c r="AE35" s="241"/>
      <c r="AF35" s="241"/>
      <c r="AG35" s="241"/>
      <c r="AH35" s="241"/>
      <c r="AI35" s="241"/>
      <c r="AJ35" s="241"/>
      <c r="AK35" s="241"/>
      <c r="AL35" s="241"/>
      <c r="AM35" s="241"/>
      <c r="AN35" s="241"/>
      <c r="AO35" s="241"/>
      <c r="AP35" s="241"/>
      <c r="AQ35" s="241"/>
      <c r="AR35" s="241"/>
      <c r="AS35" s="241"/>
      <c r="AT35" s="241"/>
      <c r="AU35" s="241"/>
      <c r="AV35" s="241"/>
      <c r="AW35" s="241"/>
      <c r="AX35" s="241"/>
      <c r="AY35" s="241"/>
      <c r="AZ35" s="241"/>
    </row>
    <row r="36" spans="1:52" s="71" customFormat="1" ht="18" customHeight="1">
      <c r="A36" s="288">
        <v>8</v>
      </c>
      <c r="B36" s="97"/>
      <c r="C36" s="296"/>
      <c r="D36" s="360"/>
      <c r="E36" s="361"/>
      <c r="F36" s="298"/>
      <c r="G36" s="298"/>
      <c r="H36" s="86"/>
      <c r="I36" s="344" t="str">
        <f t="shared" si="0"/>
        <v/>
      </c>
      <c r="J36" s="345"/>
      <c r="K36" s="86"/>
      <c r="L36" s="86"/>
      <c r="M36" s="344" t="str">
        <f t="shared" si="1"/>
        <v/>
      </c>
      <c r="N36" s="345"/>
      <c r="O36" s="225" t="str">
        <f t="shared" si="2"/>
        <v/>
      </c>
      <c r="P36" s="225" t="str">
        <f t="shared" si="3"/>
        <v/>
      </c>
      <c r="Q36" s="330"/>
      <c r="R36" s="225" t="str">
        <f t="shared" si="4"/>
        <v/>
      </c>
      <c r="S36" s="225" t="str">
        <f t="shared" si="5"/>
        <v/>
      </c>
      <c r="T36" s="231" t="str">
        <f t="shared" si="6"/>
        <v/>
      </c>
      <c r="U36" s="241"/>
      <c r="V36" s="241"/>
      <c r="W36" s="241"/>
      <c r="X36" s="241"/>
      <c r="Y36" s="241"/>
      <c r="Z36" s="241"/>
      <c r="AA36" s="241"/>
      <c r="AB36" s="241"/>
      <c r="AC36" s="241"/>
      <c r="AD36" s="241"/>
      <c r="AE36" s="241"/>
      <c r="AF36" s="241"/>
      <c r="AG36" s="241"/>
      <c r="AH36" s="241"/>
      <c r="AI36" s="241"/>
      <c r="AJ36" s="241"/>
      <c r="AK36" s="241"/>
      <c r="AL36" s="241"/>
      <c r="AM36" s="241"/>
      <c r="AN36" s="241"/>
      <c r="AO36" s="241"/>
      <c r="AP36" s="241"/>
      <c r="AQ36" s="241"/>
      <c r="AR36" s="241"/>
      <c r="AS36" s="241"/>
      <c r="AT36" s="241"/>
      <c r="AU36" s="241"/>
      <c r="AV36" s="241"/>
      <c r="AW36" s="241"/>
      <c r="AX36" s="241"/>
      <c r="AY36" s="241"/>
      <c r="AZ36" s="241"/>
    </row>
    <row r="37" spans="1:52" s="71" customFormat="1" ht="18" customHeight="1">
      <c r="A37" s="288">
        <v>9</v>
      </c>
      <c r="B37" s="97"/>
      <c r="C37" s="296"/>
      <c r="D37" s="360"/>
      <c r="E37" s="361"/>
      <c r="F37" s="298"/>
      <c r="G37" s="298"/>
      <c r="H37" s="86"/>
      <c r="I37" s="344" t="str">
        <f t="shared" si="0"/>
        <v/>
      </c>
      <c r="J37" s="345"/>
      <c r="K37" s="86"/>
      <c r="L37" s="86"/>
      <c r="M37" s="344" t="str">
        <f t="shared" si="1"/>
        <v/>
      </c>
      <c r="N37" s="345"/>
      <c r="O37" s="225" t="str">
        <f t="shared" si="2"/>
        <v/>
      </c>
      <c r="P37" s="225" t="str">
        <f t="shared" si="3"/>
        <v/>
      </c>
      <c r="Q37" s="330"/>
      <c r="R37" s="225" t="str">
        <f t="shared" si="4"/>
        <v/>
      </c>
      <c r="S37" s="225" t="str">
        <f t="shared" si="5"/>
        <v/>
      </c>
      <c r="T37" s="231" t="str">
        <f t="shared" si="6"/>
        <v/>
      </c>
      <c r="U37" s="241"/>
      <c r="V37" s="241"/>
      <c r="W37" s="241"/>
      <c r="X37" s="241"/>
      <c r="Y37" s="241"/>
      <c r="Z37" s="241"/>
      <c r="AA37" s="241"/>
      <c r="AB37" s="241"/>
      <c r="AC37" s="241"/>
      <c r="AD37" s="241"/>
      <c r="AE37" s="241"/>
      <c r="AF37" s="241"/>
      <c r="AG37" s="241"/>
      <c r="AH37" s="241"/>
      <c r="AI37" s="241"/>
      <c r="AJ37" s="241"/>
      <c r="AK37" s="241"/>
      <c r="AL37" s="241"/>
      <c r="AM37" s="241"/>
      <c r="AN37" s="241"/>
      <c r="AO37" s="241"/>
      <c r="AP37" s="241"/>
      <c r="AQ37" s="241"/>
      <c r="AR37" s="241"/>
      <c r="AS37" s="241"/>
      <c r="AT37" s="241"/>
      <c r="AU37" s="241"/>
      <c r="AV37" s="241"/>
      <c r="AW37" s="241"/>
      <c r="AX37" s="241"/>
      <c r="AY37" s="241"/>
      <c r="AZ37" s="241"/>
    </row>
    <row r="38" spans="1:52" s="71" customFormat="1" ht="18" customHeight="1">
      <c r="A38" s="288">
        <v>10</v>
      </c>
      <c r="B38" s="97"/>
      <c r="C38" s="296"/>
      <c r="D38" s="360"/>
      <c r="E38" s="361"/>
      <c r="F38" s="298"/>
      <c r="G38" s="298"/>
      <c r="H38" s="86"/>
      <c r="I38" s="344" t="str">
        <f t="shared" si="0"/>
        <v/>
      </c>
      <c r="J38" s="345"/>
      <c r="K38" s="86"/>
      <c r="L38" s="86"/>
      <c r="M38" s="344" t="str">
        <f t="shared" si="1"/>
        <v/>
      </c>
      <c r="N38" s="345"/>
      <c r="O38" s="225" t="str">
        <f t="shared" si="2"/>
        <v/>
      </c>
      <c r="P38" s="225" t="str">
        <f t="shared" si="3"/>
        <v/>
      </c>
      <c r="Q38" s="330"/>
      <c r="R38" s="225" t="str">
        <f t="shared" si="4"/>
        <v/>
      </c>
      <c r="S38" s="225" t="str">
        <f t="shared" si="5"/>
        <v/>
      </c>
      <c r="T38" s="231" t="str">
        <f t="shared" si="6"/>
        <v/>
      </c>
      <c r="U38" s="176" t="s">
        <v>165</v>
      </c>
      <c r="V38" s="241"/>
      <c r="W38" s="241"/>
      <c r="X38" s="241"/>
      <c r="Y38" s="241"/>
      <c r="Z38" s="241"/>
      <c r="AA38" s="241"/>
      <c r="AB38" s="241"/>
      <c r="AC38" s="241"/>
      <c r="AD38" s="241"/>
      <c r="AE38" s="241"/>
      <c r="AF38" s="241"/>
      <c r="AG38" s="241"/>
      <c r="AH38" s="241"/>
      <c r="AI38" s="241"/>
      <c r="AJ38" s="241"/>
      <c r="AK38" s="241"/>
      <c r="AL38" s="241"/>
      <c r="AM38" s="241"/>
      <c r="AN38" s="241"/>
      <c r="AO38" s="241"/>
      <c r="AP38" s="241"/>
      <c r="AQ38" s="241"/>
      <c r="AR38" s="241"/>
      <c r="AS38" s="241"/>
      <c r="AT38" s="241"/>
      <c r="AU38" s="241"/>
      <c r="AV38" s="241"/>
      <c r="AW38" s="241"/>
      <c r="AX38" s="241"/>
      <c r="AY38" s="241"/>
      <c r="AZ38" s="241"/>
    </row>
    <row r="39" spans="1:52" s="71" customFormat="1" ht="18" hidden="1" customHeight="1" outlineLevel="1">
      <c r="A39" s="288">
        <v>11</v>
      </c>
      <c r="B39" s="97"/>
      <c r="C39" s="296"/>
      <c r="D39" s="360"/>
      <c r="E39" s="361"/>
      <c r="F39" s="298"/>
      <c r="G39" s="298"/>
      <c r="H39" s="86"/>
      <c r="I39" s="344" t="str">
        <f t="shared" si="0"/>
        <v/>
      </c>
      <c r="J39" s="345"/>
      <c r="K39" s="86"/>
      <c r="L39" s="86"/>
      <c r="M39" s="344" t="str">
        <f t="shared" si="1"/>
        <v/>
      </c>
      <c r="N39" s="345"/>
      <c r="O39" s="225" t="str">
        <f t="shared" si="2"/>
        <v/>
      </c>
      <c r="P39" s="225" t="str">
        <f t="shared" si="3"/>
        <v/>
      </c>
      <c r="Q39" s="330"/>
      <c r="R39" s="225" t="str">
        <f t="shared" si="4"/>
        <v/>
      </c>
      <c r="S39" s="225" t="str">
        <f t="shared" si="5"/>
        <v/>
      </c>
      <c r="T39" s="231" t="str">
        <f t="shared" si="6"/>
        <v/>
      </c>
      <c r="U39" s="176"/>
      <c r="V39" s="241"/>
      <c r="W39" s="241"/>
      <c r="X39" s="241"/>
      <c r="Y39" s="241"/>
      <c r="Z39" s="241"/>
      <c r="AA39" s="241"/>
      <c r="AB39" s="241"/>
      <c r="AC39" s="241"/>
      <c r="AD39" s="241"/>
      <c r="AE39" s="241"/>
      <c r="AF39" s="241"/>
      <c r="AG39" s="241"/>
      <c r="AH39" s="241"/>
      <c r="AI39" s="241"/>
      <c r="AJ39" s="241"/>
      <c r="AK39" s="241"/>
      <c r="AL39" s="241"/>
      <c r="AM39" s="241"/>
      <c r="AN39" s="241"/>
      <c r="AO39" s="241"/>
      <c r="AP39" s="241"/>
      <c r="AQ39" s="241"/>
      <c r="AR39" s="241"/>
      <c r="AS39" s="241"/>
      <c r="AT39" s="241"/>
      <c r="AU39" s="241"/>
      <c r="AV39" s="241"/>
      <c r="AW39" s="241"/>
      <c r="AX39" s="241"/>
      <c r="AY39" s="241"/>
      <c r="AZ39" s="241"/>
    </row>
    <row r="40" spans="1:52" s="71" customFormat="1" ht="18" hidden="1" customHeight="1" outlineLevel="1">
      <c r="A40" s="288">
        <v>12</v>
      </c>
      <c r="B40" s="97"/>
      <c r="C40" s="296"/>
      <c r="D40" s="360"/>
      <c r="E40" s="361"/>
      <c r="F40" s="298"/>
      <c r="G40" s="298"/>
      <c r="H40" s="86"/>
      <c r="I40" s="344" t="str">
        <f t="shared" si="0"/>
        <v/>
      </c>
      <c r="J40" s="345"/>
      <c r="K40" s="86"/>
      <c r="L40" s="86"/>
      <c r="M40" s="344" t="str">
        <f t="shared" si="1"/>
        <v/>
      </c>
      <c r="N40" s="345"/>
      <c r="O40" s="225" t="str">
        <f t="shared" si="2"/>
        <v/>
      </c>
      <c r="P40" s="225" t="str">
        <f t="shared" si="3"/>
        <v/>
      </c>
      <c r="Q40" s="330"/>
      <c r="R40" s="225" t="str">
        <f t="shared" si="4"/>
        <v/>
      </c>
      <c r="S40" s="225" t="str">
        <f t="shared" si="5"/>
        <v/>
      </c>
      <c r="T40" s="231" t="str">
        <f t="shared" si="6"/>
        <v/>
      </c>
      <c r="U40" s="176"/>
      <c r="V40" s="241"/>
      <c r="W40" s="241"/>
      <c r="X40" s="241"/>
      <c r="Y40" s="241"/>
      <c r="Z40" s="241"/>
      <c r="AA40" s="241"/>
      <c r="AB40" s="241"/>
      <c r="AC40" s="241"/>
      <c r="AD40" s="241"/>
      <c r="AE40" s="241"/>
      <c r="AF40" s="241"/>
      <c r="AG40" s="241"/>
      <c r="AH40" s="241"/>
      <c r="AI40" s="241"/>
      <c r="AJ40" s="241"/>
      <c r="AK40" s="241"/>
      <c r="AL40" s="241"/>
      <c r="AM40" s="241"/>
      <c r="AN40" s="241"/>
      <c r="AO40" s="241"/>
      <c r="AP40" s="241"/>
      <c r="AQ40" s="241"/>
      <c r="AR40" s="241"/>
      <c r="AS40" s="241"/>
      <c r="AT40" s="241"/>
      <c r="AU40" s="241"/>
      <c r="AV40" s="241"/>
      <c r="AW40" s="241"/>
      <c r="AX40" s="241"/>
      <c r="AY40" s="241"/>
      <c r="AZ40" s="241"/>
    </row>
    <row r="41" spans="1:52" s="71" customFormat="1" ht="18" hidden="1" customHeight="1" outlineLevel="1">
      <c r="A41" s="288">
        <v>13</v>
      </c>
      <c r="B41" s="97"/>
      <c r="C41" s="296"/>
      <c r="D41" s="360"/>
      <c r="E41" s="361"/>
      <c r="F41" s="298"/>
      <c r="G41" s="298"/>
      <c r="H41" s="86"/>
      <c r="I41" s="344" t="str">
        <f t="shared" si="0"/>
        <v/>
      </c>
      <c r="J41" s="345"/>
      <c r="K41" s="86"/>
      <c r="L41" s="86"/>
      <c r="M41" s="344" t="str">
        <f t="shared" si="1"/>
        <v/>
      </c>
      <c r="N41" s="345"/>
      <c r="O41" s="225" t="str">
        <f t="shared" si="2"/>
        <v/>
      </c>
      <c r="P41" s="225" t="str">
        <f t="shared" si="3"/>
        <v/>
      </c>
      <c r="Q41" s="330"/>
      <c r="R41" s="225" t="str">
        <f t="shared" si="4"/>
        <v/>
      </c>
      <c r="S41" s="225" t="str">
        <f t="shared" si="5"/>
        <v/>
      </c>
      <c r="T41" s="231" t="str">
        <f t="shared" si="6"/>
        <v/>
      </c>
      <c r="U41" s="176"/>
      <c r="V41" s="241"/>
      <c r="W41" s="241"/>
      <c r="X41" s="241"/>
      <c r="Y41" s="241"/>
      <c r="Z41" s="241"/>
      <c r="AA41" s="241"/>
      <c r="AB41" s="241"/>
      <c r="AC41" s="241"/>
      <c r="AD41" s="241"/>
      <c r="AE41" s="241"/>
      <c r="AF41" s="241"/>
      <c r="AG41" s="241"/>
      <c r="AH41" s="241"/>
      <c r="AI41" s="241"/>
      <c r="AJ41" s="241"/>
      <c r="AK41" s="241"/>
      <c r="AL41" s="241"/>
      <c r="AM41" s="241"/>
      <c r="AN41" s="241"/>
      <c r="AO41" s="241"/>
      <c r="AP41" s="241"/>
      <c r="AQ41" s="241"/>
      <c r="AR41" s="241"/>
      <c r="AS41" s="241"/>
      <c r="AT41" s="241"/>
      <c r="AU41" s="241"/>
      <c r="AV41" s="241"/>
      <c r="AW41" s="241"/>
      <c r="AX41" s="241"/>
      <c r="AY41" s="241"/>
      <c r="AZ41" s="241"/>
    </row>
    <row r="42" spans="1:52" s="71" customFormat="1" ht="18" hidden="1" customHeight="1" outlineLevel="1">
      <c r="A42" s="288">
        <v>14</v>
      </c>
      <c r="B42" s="97"/>
      <c r="C42" s="296"/>
      <c r="D42" s="360"/>
      <c r="E42" s="361"/>
      <c r="F42" s="298"/>
      <c r="G42" s="298"/>
      <c r="H42" s="86"/>
      <c r="I42" s="344" t="str">
        <f t="shared" si="0"/>
        <v/>
      </c>
      <c r="J42" s="345"/>
      <c r="K42" s="86"/>
      <c r="L42" s="86"/>
      <c r="M42" s="344" t="str">
        <f t="shared" si="1"/>
        <v/>
      </c>
      <c r="N42" s="345"/>
      <c r="O42" s="225" t="str">
        <f t="shared" si="2"/>
        <v/>
      </c>
      <c r="P42" s="225" t="str">
        <f t="shared" si="3"/>
        <v/>
      </c>
      <c r="Q42" s="330"/>
      <c r="R42" s="225" t="str">
        <f t="shared" si="4"/>
        <v/>
      </c>
      <c r="S42" s="225" t="str">
        <f t="shared" si="5"/>
        <v/>
      </c>
      <c r="T42" s="231" t="str">
        <f t="shared" si="6"/>
        <v/>
      </c>
      <c r="U42" s="176"/>
      <c r="V42" s="241"/>
      <c r="W42" s="241"/>
      <c r="X42" s="241"/>
      <c r="Y42" s="241"/>
      <c r="Z42" s="241"/>
      <c r="AA42" s="241"/>
      <c r="AB42" s="241"/>
      <c r="AC42" s="241"/>
      <c r="AD42" s="241"/>
      <c r="AE42" s="241"/>
      <c r="AF42" s="241"/>
      <c r="AG42" s="241"/>
      <c r="AH42" s="241"/>
      <c r="AI42" s="241"/>
      <c r="AJ42" s="241"/>
      <c r="AK42" s="241"/>
      <c r="AL42" s="241"/>
      <c r="AM42" s="241"/>
      <c r="AN42" s="241"/>
      <c r="AO42" s="241"/>
      <c r="AP42" s="241"/>
      <c r="AQ42" s="241"/>
      <c r="AR42" s="241"/>
      <c r="AS42" s="241"/>
      <c r="AT42" s="241"/>
      <c r="AU42" s="241"/>
      <c r="AV42" s="241"/>
      <c r="AW42" s="241"/>
      <c r="AX42" s="241"/>
      <c r="AY42" s="241"/>
      <c r="AZ42" s="241"/>
    </row>
    <row r="43" spans="1:52" s="71" customFormat="1" ht="18" hidden="1" customHeight="1" outlineLevel="1">
      <c r="A43" s="288">
        <v>15</v>
      </c>
      <c r="B43" s="97"/>
      <c r="C43" s="296"/>
      <c r="D43" s="360"/>
      <c r="E43" s="361"/>
      <c r="F43" s="298"/>
      <c r="G43" s="298"/>
      <c r="H43" s="86"/>
      <c r="I43" s="344" t="str">
        <f t="shared" si="0"/>
        <v/>
      </c>
      <c r="J43" s="345"/>
      <c r="K43" s="86"/>
      <c r="L43" s="86"/>
      <c r="M43" s="344" t="str">
        <f t="shared" si="1"/>
        <v/>
      </c>
      <c r="N43" s="345"/>
      <c r="O43" s="225" t="str">
        <f t="shared" si="2"/>
        <v/>
      </c>
      <c r="P43" s="225" t="str">
        <f t="shared" si="3"/>
        <v/>
      </c>
      <c r="Q43" s="330"/>
      <c r="R43" s="225" t="str">
        <f t="shared" si="4"/>
        <v/>
      </c>
      <c r="S43" s="225" t="str">
        <f t="shared" si="5"/>
        <v/>
      </c>
      <c r="T43" s="231" t="str">
        <f t="shared" si="6"/>
        <v/>
      </c>
      <c r="U43" s="176"/>
      <c r="V43" s="241"/>
      <c r="W43" s="241"/>
      <c r="X43" s="241"/>
      <c r="Y43" s="241"/>
      <c r="Z43" s="241"/>
      <c r="AA43" s="241"/>
      <c r="AB43" s="241"/>
      <c r="AC43" s="241"/>
      <c r="AD43" s="241"/>
      <c r="AE43" s="241"/>
      <c r="AF43" s="241"/>
      <c r="AG43" s="241"/>
      <c r="AH43" s="241"/>
      <c r="AI43" s="241"/>
      <c r="AJ43" s="241"/>
      <c r="AK43" s="241"/>
      <c r="AL43" s="241"/>
      <c r="AM43" s="241"/>
      <c r="AN43" s="241"/>
      <c r="AO43" s="241"/>
      <c r="AP43" s="241"/>
      <c r="AQ43" s="241"/>
      <c r="AR43" s="241"/>
      <c r="AS43" s="241"/>
      <c r="AT43" s="241"/>
      <c r="AU43" s="241"/>
      <c r="AV43" s="241"/>
      <c r="AW43" s="241"/>
      <c r="AX43" s="241"/>
      <c r="AY43" s="241"/>
      <c r="AZ43" s="241"/>
    </row>
    <row r="44" spans="1:52" s="71" customFormat="1" ht="18" hidden="1" customHeight="1" outlineLevel="1">
      <c r="A44" s="288">
        <v>16</v>
      </c>
      <c r="B44" s="97"/>
      <c r="C44" s="296"/>
      <c r="D44" s="360"/>
      <c r="E44" s="361"/>
      <c r="F44" s="298"/>
      <c r="G44" s="298"/>
      <c r="H44" s="86"/>
      <c r="I44" s="344" t="str">
        <f t="shared" si="0"/>
        <v/>
      </c>
      <c r="J44" s="345"/>
      <c r="K44" s="86"/>
      <c r="L44" s="86"/>
      <c r="M44" s="344" t="str">
        <f t="shared" si="1"/>
        <v/>
      </c>
      <c r="N44" s="345"/>
      <c r="O44" s="225" t="str">
        <f t="shared" si="2"/>
        <v/>
      </c>
      <c r="P44" s="225" t="str">
        <f t="shared" si="3"/>
        <v/>
      </c>
      <c r="Q44" s="330"/>
      <c r="R44" s="225" t="str">
        <f t="shared" si="4"/>
        <v/>
      </c>
      <c r="S44" s="225" t="str">
        <f t="shared" si="5"/>
        <v/>
      </c>
      <c r="T44" s="231" t="str">
        <f t="shared" si="6"/>
        <v/>
      </c>
      <c r="U44" s="176"/>
      <c r="V44" s="241"/>
      <c r="W44" s="241"/>
      <c r="X44" s="241"/>
      <c r="Y44" s="241"/>
      <c r="Z44" s="241"/>
      <c r="AA44" s="241"/>
      <c r="AB44" s="241"/>
      <c r="AC44" s="241"/>
      <c r="AD44" s="241"/>
      <c r="AE44" s="241"/>
      <c r="AF44" s="241"/>
      <c r="AG44" s="241"/>
      <c r="AH44" s="241"/>
      <c r="AI44" s="241"/>
      <c r="AJ44" s="241"/>
      <c r="AK44" s="241"/>
      <c r="AL44" s="241"/>
      <c r="AM44" s="241"/>
      <c r="AN44" s="241"/>
      <c r="AO44" s="241"/>
      <c r="AP44" s="241"/>
      <c r="AQ44" s="241"/>
      <c r="AR44" s="241"/>
      <c r="AS44" s="241"/>
      <c r="AT44" s="241"/>
      <c r="AU44" s="241"/>
      <c r="AV44" s="241"/>
      <c r="AW44" s="241"/>
      <c r="AX44" s="241"/>
      <c r="AY44" s="241"/>
      <c r="AZ44" s="241"/>
    </row>
    <row r="45" spans="1:52" s="71" customFormat="1" ht="18" hidden="1" customHeight="1" outlineLevel="1">
      <c r="A45" s="288">
        <v>17</v>
      </c>
      <c r="B45" s="97"/>
      <c r="C45" s="296"/>
      <c r="D45" s="360"/>
      <c r="E45" s="361"/>
      <c r="F45" s="298"/>
      <c r="G45" s="298"/>
      <c r="H45" s="86"/>
      <c r="I45" s="344" t="str">
        <f t="shared" si="0"/>
        <v/>
      </c>
      <c r="J45" s="345"/>
      <c r="K45" s="86"/>
      <c r="L45" s="86"/>
      <c r="M45" s="344" t="str">
        <f t="shared" si="1"/>
        <v/>
      </c>
      <c r="N45" s="345"/>
      <c r="O45" s="225" t="str">
        <f t="shared" si="2"/>
        <v/>
      </c>
      <c r="P45" s="225" t="str">
        <f t="shared" si="3"/>
        <v/>
      </c>
      <c r="Q45" s="330"/>
      <c r="R45" s="225" t="str">
        <f t="shared" si="4"/>
        <v/>
      </c>
      <c r="S45" s="225" t="str">
        <f t="shared" si="5"/>
        <v/>
      </c>
      <c r="T45" s="231" t="str">
        <f t="shared" si="6"/>
        <v/>
      </c>
      <c r="U45" s="176"/>
      <c r="V45" s="241"/>
      <c r="W45" s="241"/>
      <c r="X45" s="241"/>
      <c r="Y45" s="241"/>
      <c r="Z45" s="241"/>
      <c r="AA45" s="241"/>
      <c r="AB45" s="241"/>
      <c r="AC45" s="241"/>
      <c r="AD45" s="241"/>
      <c r="AE45" s="241"/>
      <c r="AF45" s="241"/>
      <c r="AG45" s="241"/>
      <c r="AH45" s="241"/>
      <c r="AI45" s="241"/>
      <c r="AJ45" s="241"/>
      <c r="AK45" s="241"/>
      <c r="AL45" s="241"/>
      <c r="AM45" s="241"/>
      <c r="AN45" s="241"/>
      <c r="AO45" s="241"/>
      <c r="AP45" s="241"/>
      <c r="AQ45" s="241"/>
      <c r="AR45" s="241"/>
      <c r="AS45" s="241"/>
      <c r="AT45" s="241"/>
      <c r="AU45" s="241"/>
      <c r="AV45" s="241"/>
      <c r="AW45" s="241"/>
      <c r="AX45" s="241"/>
      <c r="AY45" s="241"/>
      <c r="AZ45" s="241"/>
    </row>
    <row r="46" spans="1:52" s="71" customFormat="1" ht="18" hidden="1" customHeight="1" outlineLevel="1">
      <c r="A46" s="288">
        <v>18</v>
      </c>
      <c r="B46" s="97"/>
      <c r="C46" s="296"/>
      <c r="D46" s="360"/>
      <c r="E46" s="361"/>
      <c r="F46" s="298"/>
      <c r="G46" s="298"/>
      <c r="H46" s="86"/>
      <c r="I46" s="344" t="str">
        <f t="shared" si="0"/>
        <v/>
      </c>
      <c r="J46" s="345"/>
      <c r="K46" s="86"/>
      <c r="L46" s="86"/>
      <c r="M46" s="344" t="str">
        <f t="shared" si="1"/>
        <v/>
      </c>
      <c r="N46" s="345"/>
      <c r="O46" s="225" t="str">
        <f t="shared" si="2"/>
        <v/>
      </c>
      <c r="P46" s="225" t="str">
        <f t="shared" si="3"/>
        <v/>
      </c>
      <c r="Q46" s="330"/>
      <c r="R46" s="225" t="str">
        <f t="shared" si="4"/>
        <v/>
      </c>
      <c r="S46" s="225" t="str">
        <f t="shared" si="5"/>
        <v/>
      </c>
      <c r="T46" s="231" t="str">
        <f t="shared" si="6"/>
        <v/>
      </c>
      <c r="U46" s="176"/>
      <c r="V46" s="241"/>
      <c r="W46" s="241"/>
      <c r="X46" s="241"/>
      <c r="Y46" s="241"/>
      <c r="Z46" s="241"/>
      <c r="AA46" s="241"/>
      <c r="AB46" s="241"/>
      <c r="AC46" s="241"/>
      <c r="AD46" s="241"/>
      <c r="AE46" s="241"/>
      <c r="AF46" s="241"/>
      <c r="AG46" s="241"/>
      <c r="AH46" s="241"/>
      <c r="AI46" s="241"/>
      <c r="AJ46" s="241"/>
      <c r="AK46" s="241"/>
      <c r="AL46" s="241"/>
      <c r="AM46" s="241"/>
      <c r="AN46" s="241"/>
      <c r="AO46" s="241"/>
      <c r="AP46" s="241"/>
      <c r="AQ46" s="241"/>
      <c r="AR46" s="241"/>
      <c r="AS46" s="241"/>
      <c r="AT46" s="241"/>
      <c r="AU46" s="241"/>
      <c r="AV46" s="241"/>
      <c r="AW46" s="241"/>
      <c r="AX46" s="241"/>
      <c r="AY46" s="241"/>
      <c r="AZ46" s="241"/>
    </row>
    <row r="47" spans="1:52" s="71" customFormat="1" ht="18" hidden="1" customHeight="1" outlineLevel="1">
      <c r="A47" s="288">
        <v>19</v>
      </c>
      <c r="B47" s="97"/>
      <c r="C47" s="296"/>
      <c r="D47" s="360"/>
      <c r="E47" s="361"/>
      <c r="F47" s="298"/>
      <c r="G47" s="298"/>
      <c r="H47" s="86"/>
      <c r="I47" s="344" t="str">
        <f t="shared" si="0"/>
        <v/>
      </c>
      <c r="J47" s="345"/>
      <c r="K47" s="86"/>
      <c r="L47" s="86"/>
      <c r="M47" s="344" t="str">
        <f t="shared" si="1"/>
        <v/>
      </c>
      <c r="N47" s="345"/>
      <c r="O47" s="225" t="str">
        <f t="shared" si="2"/>
        <v/>
      </c>
      <c r="P47" s="225" t="str">
        <f t="shared" si="3"/>
        <v/>
      </c>
      <c r="Q47" s="330"/>
      <c r="R47" s="225" t="str">
        <f t="shared" si="4"/>
        <v/>
      </c>
      <c r="S47" s="225" t="str">
        <f t="shared" si="5"/>
        <v/>
      </c>
      <c r="T47" s="231" t="str">
        <f t="shared" si="6"/>
        <v/>
      </c>
      <c r="U47" s="176"/>
      <c r="V47" s="241"/>
      <c r="W47" s="241"/>
      <c r="X47" s="241"/>
      <c r="Y47" s="241"/>
      <c r="Z47" s="241"/>
      <c r="AA47" s="241"/>
      <c r="AB47" s="241"/>
      <c r="AC47" s="241"/>
      <c r="AD47" s="241"/>
      <c r="AE47" s="241"/>
      <c r="AF47" s="241"/>
      <c r="AG47" s="241"/>
      <c r="AH47" s="241"/>
      <c r="AI47" s="241"/>
      <c r="AJ47" s="241"/>
      <c r="AK47" s="241"/>
      <c r="AL47" s="241"/>
      <c r="AM47" s="241"/>
      <c r="AN47" s="241"/>
      <c r="AO47" s="241"/>
      <c r="AP47" s="241"/>
      <c r="AQ47" s="241"/>
      <c r="AR47" s="241"/>
      <c r="AS47" s="241"/>
      <c r="AT47" s="241"/>
      <c r="AU47" s="241"/>
      <c r="AV47" s="241"/>
      <c r="AW47" s="241"/>
      <c r="AX47" s="241"/>
      <c r="AY47" s="241"/>
      <c r="AZ47" s="241"/>
    </row>
    <row r="48" spans="1:52" s="71" customFormat="1" ht="18" hidden="1" customHeight="1" outlineLevel="1">
      <c r="A48" s="288">
        <v>20</v>
      </c>
      <c r="B48" s="97"/>
      <c r="C48" s="296"/>
      <c r="D48" s="360"/>
      <c r="E48" s="361"/>
      <c r="F48" s="298"/>
      <c r="G48" s="298"/>
      <c r="H48" s="86"/>
      <c r="I48" s="344" t="str">
        <f t="shared" si="0"/>
        <v/>
      </c>
      <c r="J48" s="345"/>
      <c r="K48" s="86"/>
      <c r="L48" s="86"/>
      <c r="M48" s="344" t="str">
        <f t="shared" si="1"/>
        <v/>
      </c>
      <c r="N48" s="345"/>
      <c r="O48" s="225" t="str">
        <f t="shared" si="2"/>
        <v/>
      </c>
      <c r="P48" s="225" t="str">
        <f t="shared" si="3"/>
        <v/>
      </c>
      <c r="Q48" s="330"/>
      <c r="R48" s="225" t="str">
        <f t="shared" si="4"/>
        <v/>
      </c>
      <c r="S48" s="225" t="str">
        <f t="shared" si="5"/>
        <v/>
      </c>
      <c r="T48" s="231" t="str">
        <f t="shared" si="6"/>
        <v/>
      </c>
      <c r="U48" s="176"/>
      <c r="V48" s="241"/>
      <c r="W48" s="241"/>
      <c r="X48" s="241"/>
      <c r="Y48" s="241"/>
      <c r="Z48" s="241"/>
      <c r="AA48" s="241"/>
      <c r="AB48" s="241"/>
      <c r="AC48" s="241"/>
      <c r="AD48" s="241"/>
      <c r="AE48" s="241"/>
      <c r="AF48" s="241"/>
      <c r="AG48" s="241"/>
      <c r="AH48" s="241"/>
      <c r="AI48" s="241"/>
      <c r="AJ48" s="241"/>
      <c r="AK48" s="241"/>
      <c r="AL48" s="241"/>
      <c r="AM48" s="241"/>
      <c r="AN48" s="241"/>
      <c r="AO48" s="241"/>
      <c r="AP48" s="241"/>
      <c r="AQ48" s="241"/>
      <c r="AR48" s="241"/>
      <c r="AS48" s="241"/>
      <c r="AT48" s="241"/>
      <c r="AU48" s="241"/>
      <c r="AV48" s="241"/>
      <c r="AW48" s="241"/>
      <c r="AX48" s="241"/>
      <c r="AY48" s="241"/>
      <c r="AZ48" s="241"/>
    </row>
    <row r="49" spans="1:52" s="71" customFormat="1" ht="18" hidden="1" customHeight="1" outlineLevel="1">
      <c r="A49" s="288">
        <v>21</v>
      </c>
      <c r="B49" s="97"/>
      <c r="C49" s="296"/>
      <c r="D49" s="360"/>
      <c r="E49" s="361"/>
      <c r="F49" s="298"/>
      <c r="G49" s="298"/>
      <c r="H49" s="86"/>
      <c r="I49" s="344" t="str">
        <f t="shared" si="0"/>
        <v/>
      </c>
      <c r="J49" s="345"/>
      <c r="K49" s="86"/>
      <c r="L49" s="86"/>
      <c r="M49" s="344" t="str">
        <f t="shared" si="1"/>
        <v/>
      </c>
      <c r="N49" s="345"/>
      <c r="O49" s="225" t="str">
        <f t="shared" si="2"/>
        <v/>
      </c>
      <c r="P49" s="225" t="str">
        <f t="shared" si="3"/>
        <v/>
      </c>
      <c r="Q49" s="330"/>
      <c r="R49" s="225" t="str">
        <f t="shared" si="4"/>
        <v/>
      </c>
      <c r="S49" s="225" t="str">
        <f t="shared" si="5"/>
        <v/>
      </c>
      <c r="T49" s="231" t="str">
        <f t="shared" si="6"/>
        <v/>
      </c>
      <c r="U49" s="176"/>
      <c r="V49" s="241"/>
      <c r="W49" s="241"/>
      <c r="X49" s="241"/>
      <c r="Y49" s="241"/>
      <c r="Z49" s="241"/>
      <c r="AA49" s="241"/>
      <c r="AB49" s="241"/>
      <c r="AC49" s="241"/>
      <c r="AD49" s="241"/>
      <c r="AE49" s="241"/>
      <c r="AF49" s="241"/>
      <c r="AG49" s="241"/>
      <c r="AH49" s="241"/>
      <c r="AI49" s="241"/>
      <c r="AJ49" s="241"/>
      <c r="AK49" s="241"/>
      <c r="AL49" s="241"/>
      <c r="AM49" s="241"/>
      <c r="AN49" s="241"/>
      <c r="AO49" s="241"/>
      <c r="AP49" s="241"/>
      <c r="AQ49" s="241"/>
      <c r="AR49" s="241"/>
      <c r="AS49" s="241"/>
      <c r="AT49" s="241"/>
      <c r="AU49" s="241"/>
      <c r="AV49" s="241"/>
      <c r="AW49" s="241"/>
      <c r="AX49" s="241"/>
      <c r="AY49" s="241"/>
      <c r="AZ49" s="241"/>
    </row>
    <row r="50" spans="1:52" s="71" customFormat="1" ht="18" hidden="1" customHeight="1" outlineLevel="1">
      <c r="A50" s="288">
        <v>22</v>
      </c>
      <c r="B50" s="97"/>
      <c r="C50" s="296"/>
      <c r="D50" s="360"/>
      <c r="E50" s="361"/>
      <c r="F50" s="298"/>
      <c r="G50" s="298"/>
      <c r="H50" s="86"/>
      <c r="I50" s="344" t="str">
        <f t="shared" si="0"/>
        <v/>
      </c>
      <c r="J50" s="345"/>
      <c r="K50" s="86"/>
      <c r="L50" s="86"/>
      <c r="M50" s="344" t="str">
        <f t="shared" si="1"/>
        <v/>
      </c>
      <c r="N50" s="345"/>
      <c r="O50" s="225" t="str">
        <f t="shared" si="2"/>
        <v/>
      </c>
      <c r="P50" s="225" t="str">
        <f t="shared" si="3"/>
        <v/>
      </c>
      <c r="Q50" s="330"/>
      <c r="R50" s="225" t="str">
        <f t="shared" si="4"/>
        <v/>
      </c>
      <c r="S50" s="225" t="str">
        <f t="shared" si="5"/>
        <v/>
      </c>
      <c r="T50" s="231" t="str">
        <f t="shared" si="6"/>
        <v/>
      </c>
      <c r="U50" s="176"/>
      <c r="V50" s="241"/>
      <c r="W50" s="241"/>
      <c r="X50" s="241"/>
      <c r="Y50" s="241"/>
      <c r="Z50" s="241"/>
      <c r="AA50" s="241"/>
      <c r="AB50" s="241"/>
      <c r="AC50" s="241"/>
      <c r="AD50" s="241"/>
      <c r="AE50" s="241"/>
      <c r="AF50" s="241"/>
      <c r="AG50" s="241"/>
      <c r="AH50" s="241"/>
      <c r="AI50" s="241"/>
      <c r="AJ50" s="241"/>
      <c r="AK50" s="241"/>
      <c r="AL50" s="241"/>
      <c r="AM50" s="241"/>
      <c r="AN50" s="241"/>
      <c r="AO50" s="241"/>
      <c r="AP50" s="241"/>
      <c r="AQ50" s="241"/>
      <c r="AR50" s="241"/>
      <c r="AS50" s="241"/>
      <c r="AT50" s="241"/>
      <c r="AU50" s="241"/>
      <c r="AV50" s="241"/>
      <c r="AW50" s="241"/>
      <c r="AX50" s="241"/>
      <c r="AY50" s="241"/>
      <c r="AZ50" s="241"/>
    </row>
    <row r="51" spans="1:52" s="71" customFormat="1" ht="18" hidden="1" customHeight="1" outlineLevel="1">
      <c r="A51" s="288">
        <v>23</v>
      </c>
      <c r="B51" s="97"/>
      <c r="C51" s="296"/>
      <c r="D51" s="360"/>
      <c r="E51" s="361"/>
      <c r="F51" s="298"/>
      <c r="G51" s="298"/>
      <c r="H51" s="86"/>
      <c r="I51" s="344" t="str">
        <f t="shared" si="0"/>
        <v/>
      </c>
      <c r="J51" s="345"/>
      <c r="K51" s="86"/>
      <c r="L51" s="86"/>
      <c r="M51" s="344" t="str">
        <f t="shared" si="1"/>
        <v/>
      </c>
      <c r="N51" s="345"/>
      <c r="O51" s="225" t="str">
        <f t="shared" si="2"/>
        <v/>
      </c>
      <c r="P51" s="225" t="str">
        <f t="shared" si="3"/>
        <v/>
      </c>
      <c r="Q51" s="330"/>
      <c r="R51" s="225" t="str">
        <f t="shared" si="4"/>
        <v/>
      </c>
      <c r="S51" s="225" t="str">
        <f t="shared" si="5"/>
        <v/>
      </c>
      <c r="T51" s="231" t="str">
        <f t="shared" si="6"/>
        <v/>
      </c>
      <c r="U51" s="176"/>
      <c r="V51" s="241"/>
      <c r="W51" s="241"/>
      <c r="X51" s="241"/>
      <c r="Y51" s="241"/>
      <c r="Z51" s="241"/>
      <c r="AA51" s="241"/>
      <c r="AB51" s="241"/>
      <c r="AC51" s="241"/>
      <c r="AD51" s="241"/>
      <c r="AE51" s="241"/>
      <c r="AF51" s="241"/>
      <c r="AG51" s="241"/>
      <c r="AH51" s="241"/>
      <c r="AI51" s="241"/>
      <c r="AJ51" s="241"/>
      <c r="AK51" s="241"/>
      <c r="AL51" s="241"/>
      <c r="AM51" s="241"/>
      <c r="AN51" s="241"/>
      <c r="AO51" s="241"/>
      <c r="AP51" s="241"/>
      <c r="AQ51" s="241"/>
      <c r="AR51" s="241"/>
      <c r="AS51" s="241"/>
      <c r="AT51" s="241"/>
      <c r="AU51" s="241"/>
      <c r="AV51" s="241"/>
      <c r="AW51" s="241"/>
      <c r="AX51" s="241"/>
      <c r="AY51" s="241"/>
      <c r="AZ51" s="241"/>
    </row>
    <row r="52" spans="1:52" s="71" customFormat="1" ht="18" hidden="1" customHeight="1" outlineLevel="1">
      <c r="A52" s="288">
        <v>24</v>
      </c>
      <c r="B52" s="97"/>
      <c r="C52" s="296"/>
      <c r="D52" s="360"/>
      <c r="E52" s="361"/>
      <c r="F52" s="298"/>
      <c r="G52" s="298"/>
      <c r="H52" s="86"/>
      <c r="I52" s="344" t="str">
        <f t="shared" si="0"/>
        <v/>
      </c>
      <c r="J52" s="345"/>
      <c r="K52" s="86"/>
      <c r="L52" s="86"/>
      <c r="M52" s="344" t="str">
        <f t="shared" si="1"/>
        <v/>
      </c>
      <c r="N52" s="345"/>
      <c r="O52" s="225" t="str">
        <f t="shared" si="2"/>
        <v/>
      </c>
      <c r="P52" s="225" t="str">
        <f t="shared" si="3"/>
        <v/>
      </c>
      <c r="Q52" s="330"/>
      <c r="R52" s="225" t="str">
        <f t="shared" si="4"/>
        <v/>
      </c>
      <c r="S52" s="225" t="str">
        <f t="shared" si="5"/>
        <v/>
      </c>
      <c r="T52" s="231" t="str">
        <f t="shared" si="6"/>
        <v/>
      </c>
      <c r="U52" s="176"/>
      <c r="V52" s="241"/>
      <c r="W52" s="241"/>
      <c r="X52" s="241"/>
      <c r="Y52" s="241"/>
      <c r="Z52" s="241"/>
      <c r="AA52" s="241"/>
      <c r="AB52" s="241"/>
      <c r="AC52" s="241"/>
      <c r="AD52" s="241"/>
      <c r="AE52" s="241"/>
      <c r="AF52" s="241"/>
      <c r="AG52" s="241"/>
      <c r="AH52" s="241"/>
      <c r="AI52" s="241"/>
      <c r="AJ52" s="241"/>
      <c r="AK52" s="241"/>
      <c r="AL52" s="241"/>
      <c r="AM52" s="241"/>
      <c r="AN52" s="241"/>
      <c r="AO52" s="241"/>
      <c r="AP52" s="241"/>
      <c r="AQ52" s="241"/>
      <c r="AR52" s="241"/>
      <c r="AS52" s="241"/>
      <c r="AT52" s="241"/>
      <c r="AU52" s="241"/>
      <c r="AV52" s="241"/>
      <c r="AW52" s="241"/>
      <c r="AX52" s="241"/>
      <c r="AY52" s="241"/>
      <c r="AZ52" s="241"/>
    </row>
    <row r="53" spans="1:52" s="71" customFormat="1" ht="18" hidden="1" customHeight="1" outlineLevel="1">
      <c r="A53" s="288">
        <v>25</v>
      </c>
      <c r="B53" s="97"/>
      <c r="C53" s="296"/>
      <c r="D53" s="360"/>
      <c r="E53" s="361"/>
      <c r="F53" s="298"/>
      <c r="G53" s="298"/>
      <c r="H53" s="86"/>
      <c r="I53" s="344" t="str">
        <f t="shared" si="0"/>
        <v/>
      </c>
      <c r="J53" s="345"/>
      <c r="K53" s="86"/>
      <c r="L53" s="86"/>
      <c r="M53" s="344" t="str">
        <f t="shared" si="1"/>
        <v/>
      </c>
      <c r="N53" s="345"/>
      <c r="O53" s="225" t="str">
        <f t="shared" si="2"/>
        <v/>
      </c>
      <c r="P53" s="225" t="str">
        <f t="shared" si="3"/>
        <v/>
      </c>
      <c r="Q53" s="330"/>
      <c r="R53" s="225" t="str">
        <f t="shared" si="4"/>
        <v/>
      </c>
      <c r="S53" s="225" t="str">
        <f t="shared" si="5"/>
        <v/>
      </c>
      <c r="T53" s="231" t="str">
        <f t="shared" si="6"/>
        <v/>
      </c>
      <c r="U53" s="176"/>
      <c r="V53" s="241"/>
      <c r="W53" s="241"/>
      <c r="X53" s="241"/>
      <c r="Y53" s="241"/>
      <c r="Z53" s="241"/>
      <c r="AA53" s="241"/>
      <c r="AB53" s="241"/>
      <c r="AC53" s="241"/>
      <c r="AD53" s="241"/>
      <c r="AE53" s="241"/>
      <c r="AF53" s="241"/>
      <c r="AG53" s="241"/>
      <c r="AH53" s="241"/>
      <c r="AI53" s="241"/>
      <c r="AJ53" s="241"/>
      <c r="AK53" s="241"/>
      <c r="AL53" s="241"/>
      <c r="AM53" s="241"/>
      <c r="AN53" s="241"/>
      <c r="AO53" s="241"/>
      <c r="AP53" s="241"/>
      <c r="AQ53" s="241"/>
      <c r="AR53" s="241"/>
      <c r="AS53" s="241"/>
      <c r="AT53" s="241"/>
      <c r="AU53" s="241"/>
      <c r="AV53" s="241"/>
      <c r="AW53" s="241"/>
      <c r="AX53" s="241"/>
      <c r="AY53" s="241"/>
      <c r="AZ53" s="241"/>
    </row>
    <row r="54" spans="1:52" s="71" customFormat="1" ht="18" hidden="1" customHeight="1" outlineLevel="1">
      <c r="A54" s="288">
        <v>26</v>
      </c>
      <c r="B54" s="97"/>
      <c r="C54" s="296"/>
      <c r="D54" s="360"/>
      <c r="E54" s="361"/>
      <c r="F54" s="298"/>
      <c r="G54" s="298"/>
      <c r="H54" s="86"/>
      <c r="I54" s="344" t="str">
        <f t="shared" si="0"/>
        <v/>
      </c>
      <c r="J54" s="345"/>
      <c r="K54" s="86"/>
      <c r="L54" s="86"/>
      <c r="M54" s="344" t="str">
        <f t="shared" si="1"/>
        <v/>
      </c>
      <c r="N54" s="345"/>
      <c r="O54" s="225" t="str">
        <f t="shared" si="2"/>
        <v/>
      </c>
      <c r="P54" s="225" t="str">
        <f t="shared" si="3"/>
        <v/>
      </c>
      <c r="Q54" s="330"/>
      <c r="R54" s="225" t="str">
        <f t="shared" si="4"/>
        <v/>
      </c>
      <c r="S54" s="225" t="str">
        <f t="shared" si="5"/>
        <v/>
      </c>
      <c r="T54" s="231" t="str">
        <f t="shared" si="6"/>
        <v/>
      </c>
      <c r="U54" s="176"/>
      <c r="V54" s="241"/>
      <c r="W54" s="241"/>
      <c r="X54" s="241"/>
      <c r="Y54" s="241"/>
      <c r="Z54" s="241"/>
      <c r="AA54" s="241"/>
      <c r="AB54" s="241"/>
      <c r="AC54" s="241"/>
      <c r="AD54" s="241"/>
      <c r="AE54" s="241"/>
      <c r="AF54" s="241"/>
      <c r="AG54" s="241"/>
      <c r="AH54" s="241"/>
      <c r="AI54" s="241"/>
      <c r="AJ54" s="241"/>
      <c r="AK54" s="241"/>
      <c r="AL54" s="241"/>
      <c r="AM54" s="241"/>
      <c r="AN54" s="241"/>
      <c r="AO54" s="241"/>
      <c r="AP54" s="241"/>
      <c r="AQ54" s="241"/>
      <c r="AR54" s="241"/>
      <c r="AS54" s="241"/>
      <c r="AT54" s="241"/>
      <c r="AU54" s="241"/>
      <c r="AV54" s="241"/>
      <c r="AW54" s="241"/>
      <c r="AX54" s="241"/>
      <c r="AY54" s="241"/>
      <c r="AZ54" s="241"/>
    </row>
    <row r="55" spans="1:52" s="71" customFormat="1" ht="18" hidden="1" customHeight="1" outlineLevel="1">
      <c r="A55" s="288">
        <v>27</v>
      </c>
      <c r="B55" s="97"/>
      <c r="C55" s="296"/>
      <c r="D55" s="360"/>
      <c r="E55" s="361"/>
      <c r="F55" s="298"/>
      <c r="G55" s="298"/>
      <c r="H55" s="86"/>
      <c r="I55" s="344" t="str">
        <f t="shared" si="0"/>
        <v/>
      </c>
      <c r="J55" s="345"/>
      <c r="K55" s="86"/>
      <c r="L55" s="86"/>
      <c r="M55" s="344" t="str">
        <f t="shared" si="1"/>
        <v/>
      </c>
      <c r="N55" s="345"/>
      <c r="O55" s="225" t="str">
        <f t="shared" si="2"/>
        <v/>
      </c>
      <c r="P55" s="225" t="str">
        <f t="shared" si="3"/>
        <v/>
      </c>
      <c r="Q55" s="330"/>
      <c r="R55" s="225" t="str">
        <f t="shared" si="4"/>
        <v/>
      </c>
      <c r="S55" s="225" t="str">
        <f t="shared" si="5"/>
        <v/>
      </c>
      <c r="T55" s="231" t="str">
        <f t="shared" si="6"/>
        <v/>
      </c>
      <c r="U55" s="176"/>
      <c r="V55" s="241"/>
      <c r="W55" s="241"/>
      <c r="X55" s="241"/>
      <c r="Y55" s="241"/>
      <c r="Z55" s="241"/>
      <c r="AA55" s="241"/>
      <c r="AB55" s="241"/>
      <c r="AC55" s="241"/>
      <c r="AD55" s="241"/>
      <c r="AE55" s="241"/>
      <c r="AF55" s="241"/>
      <c r="AG55" s="241"/>
      <c r="AH55" s="241"/>
      <c r="AI55" s="241"/>
      <c r="AJ55" s="241"/>
      <c r="AK55" s="241"/>
      <c r="AL55" s="241"/>
      <c r="AM55" s="241"/>
      <c r="AN55" s="241"/>
      <c r="AO55" s="241"/>
      <c r="AP55" s="241"/>
      <c r="AQ55" s="241"/>
      <c r="AR55" s="241"/>
      <c r="AS55" s="241"/>
      <c r="AT55" s="241"/>
      <c r="AU55" s="241"/>
      <c r="AV55" s="241"/>
      <c r="AW55" s="241"/>
      <c r="AX55" s="241"/>
      <c r="AY55" s="241"/>
      <c r="AZ55" s="241"/>
    </row>
    <row r="56" spans="1:52" s="71" customFormat="1" ht="18" hidden="1" customHeight="1" outlineLevel="1">
      <c r="A56" s="288">
        <v>28</v>
      </c>
      <c r="B56" s="97"/>
      <c r="C56" s="296"/>
      <c r="D56" s="360"/>
      <c r="E56" s="361"/>
      <c r="F56" s="298"/>
      <c r="G56" s="298"/>
      <c r="H56" s="86"/>
      <c r="I56" s="344" t="str">
        <f t="shared" si="0"/>
        <v/>
      </c>
      <c r="J56" s="345"/>
      <c r="K56" s="86"/>
      <c r="L56" s="86"/>
      <c r="M56" s="344" t="str">
        <f t="shared" si="1"/>
        <v/>
      </c>
      <c r="N56" s="345"/>
      <c r="O56" s="225" t="str">
        <f t="shared" si="2"/>
        <v/>
      </c>
      <c r="P56" s="225" t="str">
        <f t="shared" si="3"/>
        <v/>
      </c>
      <c r="Q56" s="330"/>
      <c r="R56" s="225" t="str">
        <f t="shared" si="4"/>
        <v/>
      </c>
      <c r="S56" s="225" t="str">
        <f t="shared" si="5"/>
        <v/>
      </c>
      <c r="T56" s="231" t="str">
        <f t="shared" si="6"/>
        <v/>
      </c>
      <c r="U56" s="176"/>
      <c r="V56" s="241"/>
      <c r="W56" s="241"/>
      <c r="X56" s="241"/>
      <c r="Y56" s="241"/>
      <c r="Z56" s="241"/>
      <c r="AA56" s="241"/>
      <c r="AB56" s="241"/>
      <c r="AC56" s="241"/>
      <c r="AD56" s="241"/>
      <c r="AE56" s="241"/>
      <c r="AF56" s="241"/>
      <c r="AG56" s="241"/>
      <c r="AH56" s="241"/>
      <c r="AI56" s="241"/>
      <c r="AJ56" s="241"/>
      <c r="AK56" s="241"/>
      <c r="AL56" s="241"/>
      <c r="AM56" s="241"/>
      <c r="AN56" s="241"/>
      <c r="AO56" s="241"/>
      <c r="AP56" s="241"/>
      <c r="AQ56" s="241"/>
      <c r="AR56" s="241"/>
      <c r="AS56" s="241"/>
      <c r="AT56" s="241"/>
      <c r="AU56" s="241"/>
      <c r="AV56" s="241"/>
      <c r="AW56" s="241"/>
      <c r="AX56" s="241"/>
      <c r="AY56" s="241"/>
      <c r="AZ56" s="241"/>
    </row>
    <row r="57" spans="1:52" s="71" customFormat="1" ht="18" hidden="1" customHeight="1" outlineLevel="1">
      <c r="A57" s="288">
        <v>29</v>
      </c>
      <c r="B57" s="97"/>
      <c r="C57" s="296"/>
      <c r="D57" s="360"/>
      <c r="E57" s="361"/>
      <c r="F57" s="298"/>
      <c r="G57" s="298"/>
      <c r="H57" s="86"/>
      <c r="I57" s="344" t="str">
        <f t="shared" si="0"/>
        <v/>
      </c>
      <c r="J57" s="345"/>
      <c r="K57" s="86"/>
      <c r="L57" s="86"/>
      <c r="M57" s="344" t="str">
        <f t="shared" si="1"/>
        <v/>
      </c>
      <c r="N57" s="345"/>
      <c r="O57" s="225" t="str">
        <f t="shared" si="2"/>
        <v/>
      </c>
      <c r="P57" s="225" t="str">
        <f t="shared" si="3"/>
        <v/>
      </c>
      <c r="Q57" s="330"/>
      <c r="R57" s="225" t="str">
        <f t="shared" si="4"/>
        <v/>
      </c>
      <c r="S57" s="225" t="str">
        <f t="shared" si="5"/>
        <v/>
      </c>
      <c r="T57" s="231" t="str">
        <f t="shared" si="6"/>
        <v/>
      </c>
      <c r="U57" s="176"/>
      <c r="V57" s="241"/>
      <c r="W57" s="241"/>
      <c r="X57" s="241"/>
      <c r="Y57" s="241"/>
      <c r="Z57" s="241"/>
      <c r="AA57" s="241"/>
      <c r="AB57" s="241"/>
      <c r="AC57" s="241"/>
      <c r="AD57" s="241"/>
      <c r="AE57" s="241"/>
      <c r="AF57" s="241"/>
      <c r="AG57" s="241"/>
      <c r="AH57" s="241"/>
      <c r="AI57" s="241"/>
      <c r="AJ57" s="241"/>
      <c r="AK57" s="241"/>
      <c r="AL57" s="241"/>
      <c r="AM57" s="241"/>
      <c r="AN57" s="241"/>
      <c r="AO57" s="241"/>
      <c r="AP57" s="241"/>
      <c r="AQ57" s="241"/>
      <c r="AR57" s="241"/>
      <c r="AS57" s="241"/>
      <c r="AT57" s="241"/>
      <c r="AU57" s="241"/>
      <c r="AV57" s="241"/>
      <c r="AW57" s="241"/>
      <c r="AX57" s="241"/>
      <c r="AY57" s="241"/>
      <c r="AZ57" s="241"/>
    </row>
    <row r="58" spans="1:52" s="71" customFormat="1" ht="18" hidden="1" customHeight="1" outlineLevel="1">
      <c r="A58" s="288">
        <v>30</v>
      </c>
      <c r="B58" s="97"/>
      <c r="C58" s="296"/>
      <c r="D58" s="360"/>
      <c r="E58" s="361"/>
      <c r="F58" s="298"/>
      <c r="G58" s="298"/>
      <c r="H58" s="86"/>
      <c r="I58" s="344" t="str">
        <f t="shared" si="0"/>
        <v/>
      </c>
      <c r="J58" s="345"/>
      <c r="K58" s="86"/>
      <c r="L58" s="86"/>
      <c r="M58" s="344" t="str">
        <f t="shared" si="1"/>
        <v/>
      </c>
      <c r="N58" s="345"/>
      <c r="O58" s="225" t="str">
        <f t="shared" si="2"/>
        <v/>
      </c>
      <c r="P58" s="225" t="str">
        <f t="shared" si="3"/>
        <v/>
      </c>
      <c r="Q58" s="330"/>
      <c r="R58" s="225" t="str">
        <f t="shared" si="4"/>
        <v/>
      </c>
      <c r="S58" s="225" t="str">
        <f t="shared" si="5"/>
        <v/>
      </c>
      <c r="T58" s="231" t="str">
        <f t="shared" si="6"/>
        <v/>
      </c>
      <c r="U58" s="176"/>
      <c r="V58" s="241"/>
      <c r="W58" s="241"/>
      <c r="X58" s="241"/>
      <c r="Y58" s="241"/>
      <c r="Z58" s="241"/>
      <c r="AA58" s="241"/>
      <c r="AB58" s="241"/>
      <c r="AC58" s="241"/>
      <c r="AD58" s="241"/>
      <c r="AE58" s="241"/>
      <c r="AF58" s="241"/>
      <c r="AG58" s="241"/>
      <c r="AH58" s="241"/>
      <c r="AI58" s="241"/>
      <c r="AJ58" s="241"/>
      <c r="AK58" s="241"/>
      <c r="AL58" s="241"/>
      <c r="AM58" s="241"/>
      <c r="AN58" s="241"/>
      <c r="AO58" s="241"/>
      <c r="AP58" s="241"/>
      <c r="AQ58" s="241"/>
      <c r="AR58" s="241"/>
      <c r="AS58" s="241"/>
      <c r="AT58" s="241"/>
      <c r="AU58" s="241"/>
      <c r="AV58" s="241"/>
      <c r="AW58" s="241"/>
      <c r="AX58" s="241"/>
      <c r="AY58" s="241"/>
      <c r="AZ58" s="241"/>
    </row>
    <row r="59" spans="1:52" s="71" customFormat="1" ht="18" hidden="1" customHeight="1" outlineLevel="1">
      <c r="A59" s="288">
        <v>31</v>
      </c>
      <c r="B59" s="97"/>
      <c r="C59" s="296"/>
      <c r="D59" s="360"/>
      <c r="E59" s="361"/>
      <c r="F59" s="298"/>
      <c r="G59" s="298"/>
      <c r="H59" s="86"/>
      <c r="I59" s="344" t="str">
        <f t="shared" ref="I59:I78" si="7">INDEX(logic_dumuapp,MATCH($A59,logic_appno,0))</f>
        <v/>
      </c>
      <c r="J59" s="345"/>
      <c r="K59" s="86"/>
      <c r="L59" s="86"/>
      <c r="M59" s="344" t="str">
        <f t="shared" ref="M59:M78" si="8">INDEX(logic_wuruapp,MATCH($A59,logic_appno,0))</f>
        <v/>
      </c>
      <c r="N59" s="345"/>
      <c r="O59" s="225" t="str">
        <f t="shared" ref="O59:O78" si="9">INDEX(logic_appawub,MATCH($A59,logic_appno,0))</f>
        <v/>
      </c>
      <c r="P59" s="225" t="str">
        <f t="shared" ref="P59:P78" si="10">INDEX(logic_appawudwoaw,MATCH($A59,logic_appno,0))</f>
        <v/>
      </c>
      <c r="Q59" s="330"/>
      <c r="R59" s="225" t="str">
        <f t="shared" ref="R59:R78" si="11">INDEX(logic_appawud,MATCH($A59,logic_appno,0))</f>
        <v/>
      </c>
      <c r="S59" s="225" t="str">
        <f t="shared" ref="S59:S78" si="12">INDEX(logic_appawusa,MATCH($A59,logic_appno,0))</f>
        <v/>
      </c>
      <c r="T59" s="231" t="str">
        <f t="shared" ref="T59:T78" si="13">INDEX(logic_appawusp,MATCH($A59,logic_appno,0))</f>
        <v/>
      </c>
      <c r="U59" s="176" t="s">
        <v>165</v>
      </c>
      <c r="V59" s="241"/>
      <c r="W59" s="241"/>
      <c r="X59" s="241"/>
      <c r="Y59" s="241"/>
      <c r="Z59" s="241"/>
      <c r="AA59" s="241"/>
      <c r="AB59" s="241"/>
      <c r="AC59" s="241"/>
      <c r="AD59" s="241"/>
      <c r="AE59" s="241"/>
      <c r="AF59" s="241"/>
      <c r="AG59" s="241"/>
      <c r="AH59" s="241"/>
      <c r="AI59" s="241"/>
      <c r="AJ59" s="241"/>
      <c r="AK59" s="241"/>
      <c r="AL59" s="241"/>
      <c r="AM59" s="241"/>
      <c r="AN59" s="241"/>
      <c r="AO59" s="241"/>
      <c r="AP59" s="241"/>
      <c r="AQ59" s="241"/>
      <c r="AR59" s="241"/>
      <c r="AS59" s="241"/>
      <c r="AT59" s="241"/>
      <c r="AU59" s="241"/>
      <c r="AV59" s="241"/>
      <c r="AW59" s="241"/>
      <c r="AX59" s="241"/>
      <c r="AY59" s="241"/>
      <c r="AZ59" s="241"/>
    </row>
    <row r="60" spans="1:52" s="71" customFormat="1" ht="18" hidden="1" customHeight="1" outlineLevel="2">
      <c r="A60" s="288">
        <v>32</v>
      </c>
      <c r="B60" s="97"/>
      <c r="C60" s="296"/>
      <c r="D60" s="360"/>
      <c r="E60" s="361"/>
      <c r="F60" s="298"/>
      <c r="G60" s="298"/>
      <c r="H60" s="86"/>
      <c r="I60" s="344" t="str">
        <f t="shared" si="7"/>
        <v/>
      </c>
      <c r="J60" s="345"/>
      <c r="K60" s="86"/>
      <c r="L60" s="86"/>
      <c r="M60" s="344" t="str">
        <f t="shared" si="8"/>
        <v/>
      </c>
      <c r="N60" s="345"/>
      <c r="O60" s="225" t="str">
        <f t="shared" si="9"/>
        <v/>
      </c>
      <c r="P60" s="225" t="str">
        <f t="shared" si="10"/>
        <v/>
      </c>
      <c r="Q60" s="330"/>
      <c r="R60" s="225" t="str">
        <f t="shared" si="11"/>
        <v/>
      </c>
      <c r="S60" s="225" t="str">
        <f t="shared" si="12"/>
        <v/>
      </c>
      <c r="T60" s="231" t="str">
        <f t="shared" si="13"/>
        <v/>
      </c>
      <c r="U60" s="176"/>
      <c r="V60" s="241"/>
      <c r="W60" s="241"/>
      <c r="X60" s="241"/>
      <c r="Y60" s="241"/>
      <c r="Z60" s="241"/>
      <c r="AA60" s="241"/>
      <c r="AB60" s="241"/>
      <c r="AC60" s="241"/>
      <c r="AD60" s="241"/>
      <c r="AE60" s="241"/>
      <c r="AF60" s="241"/>
      <c r="AG60" s="241"/>
      <c r="AH60" s="241"/>
      <c r="AI60" s="241"/>
      <c r="AJ60" s="241"/>
      <c r="AK60" s="241"/>
      <c r="AL60" s="241"/>
      <c r="AM60" s="241"/>
      <c r="AN60" s="241"/>
      <c r="AO60" s="241"/>
      <c r="AP60" s="241"/>
      <c r="AQ60" s="241"/>
      <c r="AR60" s="241"/>
      <c r="AS60" s="241"/>
      <c r="AT60" s="241"/>
      <c r="AU60" s="241"/>
      <c r="AV60" s="241"/>
      <c r="AW60" s="241"/>
      <c r="AX60" s="241"/>
      <c r="AY60" s="241"/>
      <c r="AZ60" s="241"/>
    </row>
    <row r="61" spans="1:52" s="71" customFormat="1" ht="18" hidden="1" customHeight="1" outlineLevel="2">
      <c r="A61" s="288">
        <v>33</v>
      </c>
      <c r="B61" s="97"/>
      <c r="C61" s="296"/>
      <c r="D61" s="360"/>
      <c r="E61" s="361"/>
      <c r="F61" s="298"/>
      <c r="G61" s="298"/>
      <c r="H61" s="86"/>
      <c r="I61" s="344" t="str">
        <f t="shared" si="7"/>
        <v/>
      </c>
      <c r="J61" s="345"/>
      <c r="K61" s="86"/>
      <c r="L61" s="86"/>
      <c r="M61" s="344" t="str">
        <f t="shared" si="8"/>
        <v/>
      </c>
      <c r="N61" s="345"/>
      <c r="O61" s="225" t="str">
        <f t="shared" si="9"/>
        <v/>
      </c>
      <c r="P61" s="225" t="str">
        <f t="shared" si="10"/>
        <v/>
      </c>
      <c r="Q61" s="330"/>
      <c r="R61" s="225" t="str">
        <f t="shared" si="11"/>
        <v/>
      </c>
      <c r="S61" s="225" t="str">
        <f t="shared" si="12"/>
        <v/>
      </c>
      <c r="T61" s="231" t="str">
        <f t="shared" si="13"/>
        <v/>
      </c>
      <c r="U61" s="176"/>
      <c r="V61" s="241"/>
      <c r="W61" s="241"/>
      <c r="X61" s="241"/>
      <c r="Y61" s="241"/>
      <c r="Z61" s="241"/>
      <c r="AA61" s="241"/>
      <c r="AB61" s="241"/>
      <c r="AC61" s="241"/>
      <c r="AD61" s="241"/>
      <c r="AE61" s="241"/>
      <c r="AF61" s="241"/>
      <c r="AG61" s="241"/>
      <c r="AH61" s="241"/>
      <c r="AI61" s="241"/>
      <c r="AJ61" s="241"/>
      <c r="AK61" s="241"/>
      <c r="AL61" s="241"/>
      <c r="AM61" s="241"/>
      <c r="AN61" s="241"/>
      <c r="AO61" s="241"/>
      <c r="AP61" s="241"/>
      <c r="AQ61" s="241"/>
      <c r="AR61" s="241"/>
      <c r="AS61" s="241"/>
      <c r="AT61" s="241"/>
      <c r="AU61" s="241"/>
      <c r="AV61" s="241"/>
      <c r="AW61" s="241"/>
      <c r="AX61" s="241"/>
      <c r="AY61" s="241"/>
      <c r="AZ61" s="241"/>
    </row>
    <row r="62" spans="1:52" s="71" customFormat="1" ht="18" hidden="1" customHeight="1" outlineLevel="2">
      <c r="A62" s="288">
        <v>34</v>
      </c>
      <c r="B62" s="97"/>
      <c r="C62" s="296"/>
      <c r="D62" s="360"/>
      <c r="E62" s="361"/>
      <c r="F62" s="298"/>
      <c r="G62" s="298"/>
      <c r="H62" s="86"/>
      <c r="I62" s="344" t="str">
        <f t="shared" si="7"/>
        <v/>
      </c>
      <c r="J62" s="345"/>
      <c r="K62" s="86"/>
      <c r="L62" s="86"/>
      <c r="M62" s="344" t="str">
        <f t="shared" si="8"/>
        <v/>
      </c>
      <c r="N62" s="345"/>
      <c r="O62" s="225" t="str">
        <f t="shared" si="9"/>
        <v/>
      </c>
      <c r="P62" s="225" t="str">
        <f t="shared" si="10"/>
        <v/>
      </c>
      <c r="Q62" s="330"/>
      <c r="R62" s="225" t="str">
        <f t="shared" si="11"/>
        <v/>
      </c>
      <c r="S62" s="225" t="str">
        <f t="shared" si="12"/>
        <v/>
      </c>
      <c r="T62" s="231" t="str">
        <f t="shared" si="13"/>
        <v/>
      </c>
      <c r="U62" s="176"/>
      <c r="V62" s="241"/>
      <c r="W62" s="241"/>
      <c r="X62" s="241"/>
      <c r="Y62" s="241"/>
      <c r="Z62" s="241"/>
      <c r="AA62" s="241"/>
      <c r="AB62" s="241"/>
      <c r="AC62" s="241"/>
      <c r="AD62" s="241"/>
      <c r="AE62" s="241"/>
      <c r="AF62" s="241"/>
      <c r="AG62" s="241"/>
      <c r="AH62" s="241"/>
      <c r="AI62" s="241"/>
      <c r="AJ62" s="241"/>
      <c r="AK62" s="241"/>
      <c r="AL62" s="241"/>
      <c r="AM62" s="241"/>
      <c r="AN62" s="241"/>
      <c r="AO62" s="241"/>
      <c r="AP62" s="241"/>
      <c r="AQ62" s="241"/>
      <c r="AR62" s="241"/>
      <c r="AS62" s="241"/>
      <c r="AT62" s="241"/>
      <c r="AU62" s="241"/>
      <c r="AV62" s="241"/>
      <c r="AW62" s="241"/>
      <c r="AX62" s="241"/>
      <c r="AY62" s="241"/>
      <c r="AZ62" s="241"/>
    </row>
    <row r="63" spans="1:52" s="71" customFormat="1" ht="18" hidden="1" customHeight="1" outlineLevel="2">
      <c r="A63" s="288">
        <v>35</v>
      </c>
      <c r="B63" s="97"/>
      <c r="C63" s="296"/>
      <c r="D63" s="360"/>
      <c r="E63" s="361"/>
      <c r="F63" s="298"/>
      <c r="G63" s="298"/>
      <c r="H63" s="86"/>
      <c r="I63" s="344" t="str">
        <f t="shared" si="7"/>
        <v/>
      </c>
      <c r="J63" s="345"/>
      <c r="K63" s="86"/>
      <c r="L63" s="86"/>
      <c r="M63" s="344" t="str">
        <f t="shared" si="8"/>
        <v/>
      </c>
      <c r="N63" s="345"/>
      <c r="O63" s="225" t="str">
        <f t="shared" si="9"/>
        <v/>
      </c>
      <c r="P63" s="225" t="str">
        <f t="shared" si="10"/>
        <v/>
      </c>
      <c r="Q63" s="330"/>
      <c r="R63" s="225" t="str">
        <f t="shared" si="11"/>
        <v/>
      </c>
      <c r="S63" s="225" t="str">
        <f t="shared" si="12"/>
        <v/>
      </c>
      <c r="T63" s="231" t="str">
        <f t="shared" si="13"/>
        <v/>
      </c>
      <c r="U63" s="176"/>
      <c r="V63" s="241"/>
      <c r="W63" s="241"/>
      <c r="X63" s="241"/>
      <c r="Y63" s="241"/>
      <c r="Z63" s="241"/>
      <c r="AA63" s="241"/>
      <c r="AB63" s="241"/>
      <c r="AC63" s="241"/>
      <c r="AD63" s="241"/>
      <c r="AE63" s="241"/>
      <c r="AF63" s="241"/>
      <c r="AG63" s="241"/>
      <c r="AH63" s="241"/>
      <c r="AI63" s="241"/>
      <c r="AJ63" s="241"/>
      <c r="AK63" s="241"/>
      <c r="AL63" s="241"/>
      <c r="AM63" s="241"/>
      <c r="AN63" s="241"/>
      <c r="AO63" s="241"/>
      <c r="AP63" s="241"/>
      <c r="AQ63" s="241"/>
      <c r="AR63" s="241"/>
      <c r="AS63" s="241"/>
      <c r="AT63" s="241"/>
      <c r="AU63" s="241"/>
      <c r="AV63" s="241"/>
      <c r="AW63" s="241"/>
      <c r="AX63" s="241"/>
      <c r="AY63" s="241"/>
      <c r="AZ63" s="241"/>
    </row>
    <row r="64" spans="1:52" s="71" customFormat="1" ht="18" hidden="1" customHeight="1" outlineLevel="2">
      <c r="A64" s="288">
        <v>36</v>
      </c>
      <c r="B64" s="97"/>
      <c r="C64" s="296"/>
      <c r="D64" s="360"/>
      <c r="E64" s="361"/>
      <c r="F64" s="298"/>
      <c r="G64" s="298"/>
      <c r="H64" s="86"/>
      <c r="I64" s="344" t="str">
        <f t="shared" si="7"/>
        <v/>
      </c>
      <c r="J64" s="345"/>
      <c r="K64" s="86"/>
      <c r="L64" s="86"/>
      <c r="M64" s="344" t="str">
        <f t="shared" si="8"/>
        <v/>
      </c>
      <c r="N64" s="345"/>
      <c r="O64" s="225" t="str">
        <f t="shared" si="9"/>
        <v/>
      </c>
      <c r="P64" s="225" t="str">
        <f t="shared" si="10"/>
        <v/>
      </c>
      <c r="Q64" s="330"/>
      <c r="R64" s="225" t="str">
        <f t="shared" si="11"/>
        <v/>
      </c>
      <c r="S64" s="225" t="str">
        <f t="shared" si="12"/>
        <v/>
      </c>
      <c r="T64" s="231" t="str">
        <f t="shared" si="13"/>
        <v/>
      </c>
      <c r="U64" s="176"/>
      <c r="V64" s="241"/>
      <c r="W64" s="241"/>
      <c r="X64" s="241"/>
      <c r="Y64" s="241"/>
      <c r="Z64" s="241"/>
      <c r="AA64" s="241"/>
      <c r="AB64" s="241"/>
      <c r="AC64" s="241"/>
      <c r="AD64" s="241"/>
      <c r="AE64" s="241"/>
      <c r="AF64" s="241"/>
      <c r="AG64" s="241"/>
      <c r="AH64" s="241"/>
      <c r="AI64" s="241"/>
      <c r="AJ64" s="241"/>
      <c r="AK64" s="241"/>
      <c r="AL64" s="241"/>
      <c r="AM64" s="241"/>
      <c r="AN64" s="241"/>
      <c r="AO64" s="241"/>
      <c r="AP64" s="241"/>
      <c r="AQ64" s="241"/>
      <c r="AR64" s="241"/>
      <c r="AS64" s="241"/>
      <c r="AT64" s="241"/>
      <c r="AU64" s="241"/>
      <c r="AV64" s="241"/>
      <c r="AW64" s="241"/>
      <c r="AX64" s="241"/>
      <c r="AY64" s="241"/>
      <c r="AZ64" s="241"/>
    </row>
    <row r="65" spans="1:52" s="71" customFormat="1" ht="18" hidden="1" customHeight="1" outlineLevel="2">
      <c r="A65" s="288">
        <v>37</v>
      </c>
      <c r="B65" s="97"/>
      <c r="C65" s="296"/>
      <c r="D65" s="360"/>
      <c r="E65" s="361"/>
      <c r="F65" s="298"/>
      <c r="G65" s="298"/>
      <c r="H65" s="86"/>
      <c r="I65" s="344" t="str">
        <f t="shared" si="7"/>
        <v/>
      </c>
      <c r="J65" s="345"/>
      <c r="K65" s="86"/>
      <c r="L65" s="86"/>
      <c r="M65" s="344" t="str">
        <f t="shared" si="8"/>
        <v/>
      </c>
      <c r="N65" s="345"/>
      <c r="O65" s="225" t="str">
        <f t="shared" si="9"/>
        <v/>
      </c>
      <c r="P65" s="225" t="str">
        <f t="shared" si="10"/>
        <v/>
      </c>
      <c r="Q65" s="330"/>
      <c r="R65" s="225" t="str">
        <f t="shared" si="11"/>
        <v/>
      </c>
      <c r="S65" s="225" t="str">
        <f t="shared" si="12"/>
        <v/>
      </c>
      <c r="T65" s="231" t="str">
        <f t="shared" si="13"/>
        <v/>
      </c>
      <c r="U65" s="176"/>
      <c r="V65" s="241"/>
      <c r="W65" s="241"/>
      <c r="X65" s="241"/>
      <c r="Y65" s="241"/>
      <c r="Z65" s="241"/>
      <c r="AA65" s="241"/>
      <c r="AB65" s="241"/>
      <c r="AC65" s="241"/>
      <c r="AD65" s="241"/>
      <c r="AE65" s="241"/>
      <c r="AF65" s="241"/>
      <c r="AG65" s="241"/>
      <c r="AH65" s="241"/>
      <c r="AI65" s="241"/>
      <c r="AJ65" s="241"/>
      <c r="AK65" s="241"/>
      <c r="AL65" s="241"/>
      <c r="AM65" s="241"/>
      <c r="AN65" s="241"/>
      <c r="AO65" s="241"/>
      <c r="AP65" s="241"/>
      <c r="AQ65" s="241"/>
      <c r="AR65" s="241"/>
      <c r="AS65" s="241"/>
      <c r="AT65" s="241"/>
      <c r="AU65" s="241"/>
      <c r="AV65" s="241"/>
      <c r="AW65" s="241"/>
      <c r="AX65" s="241"/>
      <c r="AY65" s="241"/>
      <c r="AZ65" s="241"/>
    </row>
    <row r="66" spans="1:52" s="71" customFormat="1" ht="18" hidden="1" customHeight="1" outlineLevel="2">
      <c r="A66" s="288">
        <v>38</v>
      </c>
      <c r="B66" s="97"/>
      <c r="C66" s="296"/>
      <c r="D66" s="360"/>
      <c r="E66" s="361"/>
      <c r="F66" s="298"/>
      <c r="G66" s="298"/>
      <c r="H66" s="86"/>
      <c r="I66" s="344" t="str">
        <f t="shared" si="7"/>
        <v/>
      </c>
      <c r="J66" s="345"/>
      <c r="K66" s="86"/>
      <c r="L66" s="86"/>
      <c r="M66" s="344" t="str">
        <f t="shared" si="8"/>
        <v/>
      </c>
      <c r="N66" s="345"/>
      <c r="O66" s="225" t="str">
        <f t="shared" si="9"/>
        <v/>
      </c>
      <c r="P66" s="225" t="str">
        <f t="shared" si="10"/>
        <v/>
      </c>
      <c r="Q66" s="330"/>
      <c r="R66" s="225" t="str">
        <f t="shared" si="11"/>
        <v/>
      </c>
      <c r="S66" s="225" t="str">
        <f t="shared" si="12"/>
        <v/>
      </c>
      <c r="T66" s="231" t="str">
        <f t="shared" si="13"/>
        <v/>
      </c>
      <c r="U66" s="176"/>
      <c r="V66" s="241"/>
      <c r="W66" s="241"/>
      <c r="X66" s="241"/>
      <c r="Y66" s="241"/>
      <c r="Z66" s="241"/>
      <c r="AA66" s="241"/>
      <c r="AB66" s="241"/>
      <c r="AC66" s="241"/>
      <c r="AD66" s="241"/>
      <c r="AE66" s="241"/>
      <c r="AF66" s="241"/>
      <c r="AG66" s="241"/>
      <c r="AH66" s="241"/>
      <c r="AI66" s="241"/>
      <c r="AJ66" s="241"/>
      <c r="AK66" s="241"/>
      <c r="AL66" s="241"/>
      <c r="AM66" s="241"/>
      <c r="AN66" s="241"/>
      <c r="AO66" s="241"/>
      <c r="AP66" s="241"/>
      <c r="AQ66" s="241"/>
      <c r="AR66" s="241"/>
      <c r="AS66" s="241"/>
      <c r="AT66" s="241"/>
      <c r="AU66" s="241"/>
      <c r="AV66" s="241"/>
      <c r="AW66" s="241"/>
      <c r="AX66" s="241"/>
      <c r="AY66" s="241"/>
      <c r="AZ66" s="241"/>
    </row>
    <row r="67" spans="1:52" s="71" customFormat="1" ht="18" hidden="1" customHeight="1" outlineLevel="2">
      <c r="A67" s="288">
        <v>39</v>
      </c>
      <c r="B67" s="97"/>
      <c r="C67" s="296"/>
      <c r="D67" s="360"/>
      <c r="E67" s="361"/>
      <c r="F67" s="298"/>
      <c r="G67" s="298"/>
      <c r="H67" s="86"/>
      <c r="I67" s="344" t="str">
        <f t="shared" si="7"/>
        <v/>
      </c>
      <c r="J67" s="345"/>
      <c r="K67" s="86"/>
      <c r="L67" s="86"/>
      <c r="M67" s="344" t="str">
        <f t="shared" si="8"/>
        <v/>
      </c>
      <c r="N67" s="345"/>
      <c r="O67" s="225" t="str">
        <f t="shared" si="9"/>
        <v/>
      </c>
      <c r="P67" s="225" t="str">
        <f t="shared" si="10"/>
        <v/>
      </c>
      <c r="Q67" s="330"/>
      <c r="R67" s="225" t="str">
        <f t="shared" si="11"/>
        <v/>
      </c>
      <c r="S67" s="225" t="str">
        <f t="shared" si="12"/>
        <v/>
      </c>
      <c r="T67" s="231" t="str">
        <f t="shared" si="13"/>
        <v/>
      </c>
      <c r="U67" s="176"/>
      <c r="V67" s="241"/>
      <c r="W67" s="241"/>
      <c r="X67" s="241"/>
      <c r="Y67" s="241"/>
      <c r="Z67" s="241"/>
      <c r="AA67" s="241"/>
      <c r="AB67" s="241"/>
      <c r="AC67" s="241"/>
      <c r="AD67" s="241"/>
      <c r="AE67" s="241"/>
      <c r="AF67" s="241"/>
      <c r="AG67" s="241"/>
      <c r="AH67" s="241"/>
      <c r="AI67" s="241"/>
      <c r="AJ67" s="241"/>
      <c r="AK67" s="241"/>
      <c r="AL67" s="241"/>
      <c r="AM67" s="241"/>
      <c r="AN67" s="241"/>
      <c r="AO67" s="241"/>
      <c r="AP67" s="241"/>
      <c r="AQ67" s="241"/>
      <c r="AR67" s="241"/>
      <c r="AS67" s="241"/>
      <c r="AT67" s="241"/>
      <c r="AU67" s="241"/>
      <c r="AV67" s="241"/>
      <c r="AW67" s="241"/>
      <c r="AX67" s="241"/>
      <c r="AY67" s="241"/>
      <c r="AZ67" s="241"/>
    </row>
    <row r="68" spans="1:52" s="71" customFormat="1" ht="18" hidden="1" customHeight="1" outlineLevel="2">
      <c r="A68" s="288">
        <v>40</v>
      </c>
      <c r="B68" s="97"/>
      <c r="C68" s="296"/>
      <c r="D68" s="360"/>
      <c r="E68" s="361"/>
      <c r="F68" s="298"/>
      <c r="G68" s="298"/>
      <c r="H68" s="86"/>
      <c r="I68" s="344" t="str">
        <f t="shared" si="7"/>
        <v/>
      </c>
      <c r="J68" s="345"/>
      <c r="K68" s="86"/>
      <c r="L68" s="86"/>
      <c r="M68" s="344" t="str">
        <f t="shared" si="8"/>
        <v/>
      </c>
      <c r="N68" s="345"/>
      <c r="O68" s="225" t="str">
        <f t="shared" si="9"/>
        <v/>
      </c>
      <c r="P68" s="225" t="str">
        <f t="shared" si="10"/>
        <v/>
      </c>
      <c r="Q68" s="330"/>
      <c r="R68" s="225" t="str">
        <f t="shared" si="11"/>
        <v/>
      </c>
      <c r="S68" s="225" t="str">
        <f t="shared" si="12"/>
        <v/>
      </c>
      <c r="T68" s="231" t="str">
        <f t="shared" si="13"/>
        <v/>
      </c>
      <c r="U68" s="176"/>
      <c r="V68" s="241"/>
      <c r="W68" s="241"/>
      <c r="X68" s="241"/>
      <c r="Y68" s="241"/>
      <c r="Z68" s="241"/>
      <c r="AA68" s="241"/>
      <c r="AB68" s="241"/>
      <c r="AC68" s="241"/>
      <c r="AD68" s="241"/>
      <c r="AE68" s="241"/>
      <c r="AF68" s="241"/>
      <c r="AG68" s="241"/>
      <c r="AH68" s="241"/>
      <c r="AI68" s="241"/>
      <c r="AJ68" s="241"/>
      <c r="AK68" s="241"/>
      <c r="AL68" s="241"/>
      <c r="AM68" s="241"/>
      <c r="AN68" s="241"/>
      <c r="AO68" s="241"/>
      <c r="AP68" s="241"/>
      <c r="AQ68" s="241"/>
      <c r="AR68" s="241"/>
      <c r="AS68" s="241"/>
      <c r="AT68" s="241"/>
      <c r="AU68" s="241"/>
      <c r="AV68" s="241"/>
      <c r="AW68" s="241"/>
      <c r="AX68" s="241"/>
      <c r="AY68" s="241"/>
      <c r="AZ68" s="241"/>
    </row>
    <row r="69" spans="1:52" s="71" customFormat="1" ht="18" hidden="1" customHeight="1" outlineLevel="2">
      <c r="A69" s="288">
        <v>41</v>
      </c>
      <c r="B69" s="97"/>
      <c r="C69" s="296"/>
      <c r="D69" s="360"/>
      <c r="E69" s="361"/>
      <c r="F69" s="298"/>
      <c r="G69" s="298"/>
      <c r="H69" s="86"/>
      <c r="I69" s="344" t="str">
        <f t="shared" si="7"/>
        <v/>
      </c>
      <c r="J69" s="345"/>
      <c r="K69" s="86"/>
      <c r="L69" s="86"/>
      <c r="M69" s="344" t="str">
        <f t="shared" si="8"/>
        <v/>
      </c>
      <c r="N69" s="345"/>
      <c r="O69" s="225" t="str">
        <f t="shared" si="9"/>
        <v/>
      </c>
      <c r="P69" s="225" t="str">
        <f t="shared" si="10"/>
        <v/>
      </c>
      <c r="Q69" s="330"/>
      <c r="R69" s="225" t="str">
        <f t="shared" si="11"/>
        <v/>
      </c>
      <c r="S69" s="225" t="str">
        <f t="shared" si="12"/>
        <v/>
      </c>
      <c r="T69" s="231" t="str">
        <f t="shared" si="13"/>
        <v/>
      </c>
      <c r="U69" s="176"/>
      <c r="V69" s="241"/>
      <c r="W69" s="241"/>
      <c r="X69" s="241"/>
      <c r="Y69" s="241"/>
      <c r="Z69" s="241"/>
      <c r="AA69" s="241"/>
      <c r="AB69" s="241"/>
      <c r="AC69" s="241"/>
      <c r="AD69" s="241"/>
      <c r="AE69" s="241"/>
      <c r="AF69" s="241"/>
      <c r="AG69" s="241"/>
      <c r="AH69" s="241"/>
      <c r="AI69" s="241"/>
      <c r="AJ69" s="241"/>
      <c r="AK69" s="241"/>
      <c r="AL69" s="241"/>
      <c r="AM69" s="241"/>
      <c r="AN69" s="241"/>
      <c r="AO69" s="241"/>
      <c r="AP69" s="241"/>
      <c r="AQ69" s="241"/>
      <c r="AR69" s="241"/>
      <c r="AS69" s="241"/>
      <c r="AT69" s="241"/>
      <c r="AU69" s="241"/>
      <c r="AV69" s="241"/>
      <c r="AW69" s="241"/>
      <c r="AX69" s="241"/>
      <c r="AY69" s="241"/>
      <c r="AZ69" s="241"/>
    </row>
    <row r="70" spans="1:52" s="71" customFormat="1" ht="18" hidden="1" customHeight="1" outlineLevel="2">
      <c r="A70" s="288">
        <v>42</v>
      </c>
      <c r="B70" s="97"/>
      <c r="C70" s="296"/>
      <c r="D70" s="360"/>
      <c r="E70" s="361"/>
      <c r="F70" s="298"/>
      <c r="G70" s="298"/>
      <c r="H70" s="86"/>
      <c r="I70" s="344" t="str">
        <f t="shared" si="7"/>
        <v/>
      </c>
      <c r="J70" s="345"/>
      <c r="K70" s="86"/>
      <c r="L70" s="86"/>
      <c r="M70" s="344" t="str">
        <f t="shared" si="8"/>
        <v/>
      </c>
      <c r="N70" s="345"/>
      <c r="O70" s="225" t="str">
        <f t="shared" si="9"/>
        <v/>
      </c>
      <c r="P70" s="225" t="str">
        <f t="shared" si="10"/>
        <v/>
      </c>
      <c r="Q70" s="330"/>
      <c r="R70" s="225" t="str">
        <f t="shared" si="11"/>
        <v/>
      </c>
      <c r="S70" s="225" t="str">
        <f t="shared" si="12"/>
        <v/>
      </c>
      <c r="T70" s="231" t="str">
        <f t="shared" si="13"/>
        <v/>
      </c>
      <c r="U70" s="176"/>
      <c r="V70" s="241"/>
      <c r="W70" s="241"/>
      <c r="X70" s="241"/>
      <c r="Y70" s="241"/>
      <c r="Z70" s="241"/>
      <c r="AA70" s="241"/>
      <c r="AB70" s="241"/>
      <c r="AC70" s="241"/>
      <c r="AD70" s="241"/>
      <c r="AE70" s="241"/>
      <c r="AF70" s="241"/>
      <c r="AG70" s="241"/>
      <c r="AH70" s="241"/>
      <c r="AI70" s="241"/>
      <c r="AJ70" s="241"/>
      <c r="AK70" s="241"/>
      <c r="AL70" s="241"/>
      <c r="AM70" s="241"/>
      <c r="AN70" s="241"/>
      <c r="AO70" s="241"/>
      <c r="AP70" s="241"/>
      <c r="AQ70" s="241"/>
      <c r="AR70" s="241"/>
      <c r="AS70" s="241"/>
      <c r="AT70" s="241"/>
      <c r="AU70" s="241"/>
      <c r="AV70" s="241"/>
      <c r="AW70" s="241"/>
      <c r="AX70" s="241"/>
      <c r="AY70" s="241"/>
      <c r="AZ70" s="241"/>
    </row>
    <row r="71" spans="1:52" s="71" customFormat="1" ht="18" hidden="1" customHeight="1" outlineLevel="2">
      <c r="A71" s="288">
        <v>43</v>
      </c>
      <c r="B71" s="97"/>
      <c r="C71" s="296"/>
      <c r="D71" s="360"/>
      <c r="E71" s="361"/>
      <c r="F71" s="298"/>
      <c r="G71" s="298"/>
      <c r="H71" s="86"/>
      <c r="I71" s="344" t="str">
        <f t="shared" si="7"/>
        <v/>
      </c>
      <c r="J71" s="345"/>
      <c r="K71" s="86"/>
      <c r="L71" s="86"/>
      <c r="M71" s="344" t="str">
        <f t="shared" si="8"/>
        <v/>
      </c>
      <c r="N71" s="345"/>
      <c r="O71" s="225" t="str">
        <f t="shared" si="9"/>
        <v/>
      </c>
      <c r="P71" s="225" t="str">
        <f t="shared" si="10"/>
        <v/>
      </c>
      <c r="Q71" s="330"/>
      <c r="R71" s="225" t="str">
        <f t="shared" si="11"/>
        <v/>
      </c>
      <c r="S71" s="225" t="str">
        <f t="shared" si="12"/>
        <v/>
      </c>
      <c r="T71" s="231" t="str">
        <f t="shared" si="13"/>
        <v/>
      </c>
      <c r="U71" s="176"/>
      <c r="V71" s="241"/>
      <c r="W71" s="241"/>
      <c r="X71" s="241"/>
      <c r="Y71" s="241"/>
      <c r="Z71" s="241"/>
      <c r="AA71" s="241"/>
      <c r="AB71" s="241"/>
      <c r="AC71" s="241"/>
      <c r="AD71" s="241"/>
      <c r="AE71" s="241"/>
      <c r="AF71" s="241"/>
      <c r="AG71" s="241"/>
      <c r="AH71" s="241"/>
      <c r="AI71" s="241"/>
      <c r="AJ71" s="241"/>
      <c r="AK71" s="241"/>
      <c r="AL71" s="241"/>
      <c r="AM71" s="241"/>
      <c r="AN71" s="241"/>
      <c r="AO71" s="241"/>
      <c r="AP71" s="241"/>
      <c r="AQ71" s="241"/>
      <c r="AR71" s="241"/>
      <c r="AS71" s="241"/>
      <c r="AT71" s="241"/>
      <c r="AU71" s="241"/>
      <c r="AV71" s="241"/>
      <c r="AW71" s="241"/>
      <c r="AX71" s="241"/>
      <c r="AY71" s="241"/>
      <c r="AZ71" s="241"/>
    </row>
    <row r="72" spans="1:52" s="71" customFormat="1" ht="18" hidden="1" customHeight="1" outlineLevel="2">
      <c r="A72" s="288">
        <v>44</v>
      </c>
      <c r="B72" s="97"/>
      <c r="C72" s="296"/>
      <c r="D72" s="360"/>
      <c r="E72" s="361"/>
      <c r="F72" s="298"/>
      <c r="G72" s="298"/>
      <c r="H72" s="86"/>
      <c r="I72" s="344" t="str">
        <f t="shared" si="7"/>
        <v/>
      </c>
      <c r="J72" s="345"/>
      <c r="K72" s="86"/>
      <c r="L72" s="86"/>
      <c r="M72" s="344" t="str">
        <f t="shared" si="8"/>
        <v/>
      </c>
      <c r="N72" s="345"/>
      <c r="O72" s="225" t="str">
        <f t="shared" si="9"/>
        <v/>
      </c>
      <c r="P72" s="225" t="str">
        <f t="shared" si="10"/>
        <v/>
      </c>
      <c r="Q72" s="330"/>
      <c r="R72" s="225" t="str">
        <f t="shared" si="11"/>
        <v/>
      </c>
      <c r="S72" s="225" t="str">
        <f t="shared" si="12"/>
        <v/>
      </c>
      <c r="T72" s="231" t="str">
        <f t="shared" si="13"/>
        <v/>
      </c>
      <c r="U72" s="176"/>
      <c r="V72" s="241"/>
      <c r="W72" s="241"/>
      <c r="X72" s="241"/>
      <c r="Y72" s="241"/>
      <c r="Z72" s="241"/>
      <c r="AA72" s="241"/>
      <c r="AB72" s="241"/>
      <c r="AC72" s="241"/>
      <c r="AD72" s="241"/>
      <c r="AE72" s="241"/>
      <c r="AF72" s="241"/>
      <c r="AG72" s="241"/>
      <c r="AH72" s="241"/>
      <c r="AI72" s="241"/>
      <c r="AJ72" s="241"/>
      <c r="AK72" s="241"/>
      <c r="AL72" s="241"/>
      <c r="AM72" s="241"/>
      <c r="AN72" s="241"/>
      <c r="AO72" s="241"/>
      <c r="AP72" s="241"/>
      <c r="AQ72" s="241"/>
      <c r="AR72" s="241"/>
      <c r="AS72" s="241"/>
      <c r="AT72" s="241"/>
      <c r="AU72" s="241"/>
      <c r="AV72" s="241"/>
      <c r="AW72" s="241"/>
      <c r="AX72" s="241"/>
      <c r="AY72" s="241"/>
      <c r="AZ72" s="241"/>
    </row>
    <row r="73" spans="1:52" s="71" customFormat="1" ht="18" hidden="1" customHeight="1" outlineLevel="2">
      <c r="A73" s="288">
        <v>45</v>
      </c>
      <c r="B73" s="97"/>
      <c r="C73" s="296"/>
      <c r="D73" s="360"/>
      <c r="E73" s="361"/>
      <c r="F73" s="298"/>
      <c r="G73" s="298"/>
      <c r="H73" s="86"/>
      <c r="I73" s="344" t="str">
        <f t="shared" si="7"/>
        <v/>
      </c>
      <c r="J73" s="345"/>
      <c r="K73" s="86"/>
      <c r="L73" s="86"/>
      <c r="M73" s="344" t="str">
        <f t="shared" si="8"/>
        <v/>
      </c>
      <c r="N73" s="345"/>
      <c r="O73" s="225" t="str">
        <f t="shared" si="9"/>
        <v/>
      </c>
      <c r="P73" s="225" t="str">
        <f t="shared" si="10"/>
        <v/>
      </c>
      <c r="Q73" s="330"/>
      <c r="R73" s="225" t="str">
        <f t="shared" si="11"/>
        <v/>
      </c>
      <c r="S73" s="225" t="str">
        <f t="shared" si="12"/>
        <v/>
      </c>
      <c r="T73" s="231" t="str">
        <f t="shared" si="13"/>
        <v/>
      </c>
      <c r="U73" s="176"/>
      <c r="V73" s="241"/>
      <c r="W73" s="241"/>
      <c r="X73" s="241"/>
      <c r="Y73" s="241"/>
      <c r="Z73" s="241"/>
      <c r="AA73" s="241"/>
      <c r="AB73" s="241"/>
      <c r="AC73" s="241"/>
      <c r="AD73" s="241"/>
      <c r="AE73" s="241"/>
      <c r="AF73" s="241"/>
      <c r="AG73" s="241"/>
      <c r="AH73" s="241"/>
      <c r="AI73" s="241"/>
      <c r="AJ73" s="241"/>
      <c r="AK73" s="241"/>
      <c r="AL73" s="241"/>
      <c r="AM73" s="241"/>
      <c r="AN73" s="241"/>
      <c r="AO73" s="241"/>
      <c r="AP73" s="241"/>
      <c r="AQ73" s="241"/>
      <c r="AR73" s="241"/>
      <c r="AS73" s="241"/>
      <c r="AT73" s="241"/>
      <c r="AU73" s="241"/>
      <c r="AV73" s="241"/>
      <c r="AW73" s="241"/>
      <c r="AX73" s="241"/>
      <c r="AY73" s="241"/>
      <c r="AZ73" s="241"/>
    </row>
    <row r="74" spans="1:52" s="71" customFormat="1" ht="18" hidden="1" customHeight="1" outlineLevel="2">
      <c r="A74" s="288">
        <v>46</v>
      </c>
      <c r="B74" s="97"/>
      <c r="C74" s="296"/>
      <c r="D74" s="360"/>
      <c r="E74" s="361"/>
      <c r="F74" s="298"/>
      <c r="G74" s="298"/>
      <c r="H74" s="86"/>
      <c r="I74" s="344" t="str">
        <f t="shared" si="7"/>
        <v/>
      </c>
      <c r="J74" s="345"/>
      <c r="K74" s="86"/>
      <c r="L74" s="86"/>
      <c r="M74" s="344" t="str">
        <f t="shared" si="8"/>
        <v/>
      </c>
      <c r="N74" s="345"/>
      <c r="O74" s="225" t="str">
        <f t="shared" si="9"/>
        <v/>
      </c>
      <c r="P74" s="225" t="str">
        <f t="shared" si="10"/>
        <v/>
      </c>
      <c r="Q74" s="330"/>
      <c r="R74" s="225" t="str">
        <f t="shared" si="11"/>
        <v/>
      </c>
      <c r="S74" s="225" t="str">
        <f t="shared" si="12"/>
        <v/>
      </c>
      <c r="T74" s="231" t="str">
        <f t="shared" si="13"/>
        <v/>
      </c>
      <c r="U74" s="176"/>
      <c r="V74" s="241"/>
      <c r="W74" s="241"/>
      <c r="X74" s="241"/>
      <c r="Y74" s="241"/>
      <c r="Z74" s="241"/>
      <c r="AA74" s="241"/>
      <c r="AB74" s="241"/>
      <c r="AC74" s="241"/>
      <c r="AD74" s="241"/>
      <c r="AE74" s="241"/>
      <c r="AF74" s="241"/>
      <c r="AG74" s="241"/>
      <c r="AH74" s="241"/>
      <c r="AI74" s="241"/>
      <c r="AJ74" s="241"/>
      <c r="AK74" s="241"/>
      <c r="AL74" s="241"/>
      <c r="AM74" s="241"/>
      <c r="AN74" s="241"/>
      <c r="AO74" s="241"/>
      <c r="AP74" s="241"/>
      <c r="AQ74" s="241"/>
      <c r="AR74" s="241"/>
      <c r="AS74" s="241"/>
      <c r="AT74" s="241"/>
      <c r="AU74" s="241"/>
      <c r="AV74" s="241"/>
      <c r="AW74" s="241"/>
      <c r="AX74" s="241"/>
      <c r="AY74" s="241"/>
      <c r="AZ74" s="241"/>
    </row>
    <row r="75" spans="1:52" s="71" customFormat="1" ht="18" hidden="1" customHeight="1" outlineLevel="2">
      <c r="A75" s="288">
        <v>47</v>
      </c>
      <c r="B75" s="97"/>
      <c r="C75" s="296"/>
      <c r="D75" s="360"/>
      <c r="E75" s="361"/>
      <c r="F75" s="298"/>
      <c r="G75" s="298"/>
      <c r="H75" s="86"/>
      <c r="I75" s="344" t="str">
        <f t="shared" si="7"/>
        <v/>
      </c>
      <c r="J75" s="345"/>
      <c r="K75" s="86"/>
      <c r="L75" s="86"/>
      <c r="M75" s="344" t="str">
        <f t="shared" si="8"/>
        <v/>
      </c>
      <c r="N75" s="345"/>
      <c r="O75" s="225" t="str">
        <f t="shared" si="9"/>
        <v/>
      </c>
      <c r="P75" s="225" t="str">
        <f t="shared" si="10"/>
        <v/>
      </c>
      <c r="Q75" s="330"/>
      <c r="R75" s="225" t="str">
        <f t="shared" si="11"/>
        <v/>
      </c>
      <c r="S75" s="225" t="str">
        <f t="shared" si="12"/>
        <v/>
      </c>
      <c r="T75" s="231" t="str">
        <f t="shared" si="13"/>
        <v/>
      </c>
      <c r="U75" s="176"/>
      <c r="V75" s="241"/>
      <c r="W75" s="241"/>
      <c r="X75" s="241"/>
      <c r="Y75" s="241"/>
      <c r="Z75" s="241"/>
      <c r="AA75" s="241"/>
      <c r="AB75" s="241"/>
      <c r="AC75" s="241"/>
      <c r="AD75" s="241"/>
      <c r="AE75" s="241"/>
      <c r="AF75" s="241"/>
      <c r="AG75" s="241"/>
      <c r="AH75" s="241"/>
      <c r="AI75" s="241"/>
      <c r="AJ75" s="241"/>
      <c r="AK75" s="241"/>
      <c r="AL75" s="241"/>
      <c r="AM75" s="241"/>
      <c r="AN75" s="241"/>
      <c r="AO75" s="241"/>
      <c r="AP75" s="241"/>
      <c r="AQ75" s="241"/>
      <c r="AR75" s="241"/>
      <c r="AS75" s="241"/>
      <c r="AT75" s="241"/>
      <c r="AU75" s="241"/>
      <c r="AV75" s="241"/>
      <c r="AW75" s="241"/>
      <c r="AX75" s="241"/>
      <c r="AY75" s="241"/>
      <c r="AZ75" s="241"/>
    </row>
    <row r="76" spans="1:52" s="71" customFormat="1" ht="18" hidden="1" customHeight="1" outlineLevel="2">
      <c r="A76" s="288">
        <v>48</v>
      </c>
      <c r="B76" s="97"/>
      <c r="C76" s="296"/>
      <c r="D76" s="360"/>
      <c r="E76" s="361"/>
      <c r="F76" s="298"/>
      <c r="G76" s="298"/>
      <c r="H76" s="86"/>
      <c r="I76" s="344" t="str">
        <f t="shared" si="7"/>
        <v/>
      </c>
      <c r="J76" s="345"/>
      <c r="K76" s="86"/>
      <c r="L76" s="86"/>
      <c r="M76" s="344" t="str">
        <f t="shared" si="8"/>
        <v/>
      </c>
      <c r="N76" s="345"/>
      <c r="O76" s="225" t="str">
        <f t="shared" si="9"/>
        <v/>
      </c>
      <c r="P76" s="225" t="str">
        <f t="shared" si="10"/>
        <v/>
      </c>
      <c r="Q76" s="330"/>
      <c r="R76" s="225" t="str">
        <f t="shared" si="11"/>
        <v/>
      </c>
      <c r="S76" s="225" t="str">
        <f t="shared" si="12"/>
        <v/>
      </c>
      <c r="T76" s="231" t="str">
        <f t="shared" si="13"/>
        <v/>
      </c>
      <c r="U76" s="176"/>
      <c r="V76" s="241"/>
      <c r="W76" s="241"/>
      <c r="X76" s="241"/>
      <c r="Y76" s="241"/>
      <c r="Z76" s="241"/>
      <c r="AA76" s="241"/>
      <c r="AB76" s="241"/>
      <c r="AC76" s="241"/>
      <c r="AD76" s="241"/>
      <c r="AE76" s="241"/>
      <c r="AF76" s="241"/>
      <c r="AG76" s="241"/>
      <c r="AH76" s="241"/>
      <c r="AI76" s="241"/>
      <c r="AJ76" s="241"/>
      <c r="AK76" s="241"/>
      <c r="AL76" s="241"/>
      <c r="AM76" s="241"/>
      <c r="AN76" s="241"/>
      <c r="AO76" s="241"/>
      <c r="AP76" s="241"/>
      <c r="AQ76" s="241"/>
      <c r="AR76" s="241"/>
      <c r="AS76" s="241"/>
      <c r="AT76" s="241"/>
      <c r="AU76" s="241"/>
      <c r="AV76" s="241"/>
      <c r="AW76" s="241"/>
      <c r="AX76" s="241"/>
      <c r="AY76" s="241"/>
      <c r="AZ76" s="241"/>
    </row>
    <row r="77" spans="1:52" s="71" customFormat="1" ht="18" hidden="1" customHeight="1" outlineLevel="2">
      <c r="A77" s="288">
        <v>49</v>
      </c>
      <c r="B77" s="97"/>
      <c r="C77" s="296"/>
      <c r="D77" s="360"/>
      <c r="E77" s="361"/>
      <c r="F77" s="298"/>
      <c r="G77" s="298"/>
      <c r="H77" s="86"/>
      <c r="I77" s="344" t="str">
        <f t="shared" si="7"/>
        <v/>
      </c>
      <c r="J77" s="345"/>
      <c r="K77" s="86"/>
      <c r="L77" s="86"/>
      <c r="M77" s="344" t="str">
        <f t="shared" si="8"/>
        <v/>
      </c>
      <c r="N77" s="345"/>
      <c r="O77" s="225" t="str">
        <f t="shared" si="9"/>
        <v/>
      </c>
      <c r="P77" s="225" t="str">
        <f t="shared" si="10"/>
        <v/>
      </c>
      <c r="Q77" s="330"/>
      <c r="R77" s="225" t="str">
        <f t="shared" si="11"/>
        <v/>
      </c>
      <c r="S77" s="225" t="str">
        <f t="shared" si="12"/>
        <v/>
      </c>
      <c r="T77" s="231" t="str">
        <f t="shared" si="13"/>
        <v/>
      </c>
      <c r="U77" s="176"/>
      <c r="V77" s="241"/>
      <c r="W77" s="241"/>
      <c r="X77" s="241"/>
      <c r="Y77" s="241"/>
      <c r="Z77" s="241"/>
      <c r="AA77" s="241"/>
      <c r="AB77" s="241"/>
      <c r="AC77" s="241"/>
      <c r="AD77" s="241"/>
      <c r="AE77" s="241"/>
      <c r="AF77" s="241"/>
      <c r="AG77" s="241"/>
      <c r="AH77" s="241"/>
      <c r="AI77" s="241"/>
      <c r="AJ77" s="241"/>
      <c r="AK77" s="241"/>
      <c r="AL77" s="241"/>
      <c r="AM77" s="241"/>
      <c r="AN77" s="241"/>
      <c r="AO77" s="241"/>
      <c r="AP77" s="241"/>
      <c r="AQ77" s="241"/>
      <c r="AR77" s="241"/>
      <c r="AS77" s="241"/>
      <c r="AT77" s="241"/>
      <c r="AU77" s="241"/>
      <c r="AV77" s="241"/>
      <c r="AW77" s="241"/>
      <c r="AX77" s="241"/>
      <c r="AY77" s="241"/>
      <c r="AZ77" s="241"/>
    </row>
    <row r="78" spans="1:52" s="71" customFormat="1" ht="18" hidden="1" customHeight="1" outlineLevel="2">
      <c r="A78" s="288">
        <v>50</v>
      </c>
      <c r="B78" s="97"/>
      <c r="C78" s="296"/>
      <c r="D78" s="360"/>
      <c r="E78" s="361"/>
      <c r="F78" s="298"/>
      <c r="G78" s="298"/>
      <c r="H78" s="86"/>
      <c r="I78" s="344" t="str">
        <f t="shared" si="7"/>
        <v/>
      </c>
      <c r="J78" s="345"/>
      <c r="K78" s="86"/>
      <c r="L78" s="86"/>
      <c r="M78" s="344" t="str">
        <f t="shared" si="8"/>
        <v/>
      </c>
      <c r="N78" s="345"/>
      <c r="O78" s="225" t="str">
        <f t="shared" si="9"/>
        <v/>
      </c>
      <c r="P78" s="225" t="str">
        <f t="shared" si="10"/>
        <v/>
      </c>
      <c r="Q78" s="330"/>
      <c r="R78" s="225" t="str">
        <f t="shared" si="11"/>
        <v/>
      </c>
      <c r="S78" s="225" t="str">
        <f t="shared" si="12"/>
        <v/>
      </c>
      <c r="T78" s="231" t="str">
        <f t="shared" si="13"/>
        <v/>
      </c>
      <c r="U78" s="176"/>
      <c r="V78" s="241"/>
      <c r="W78" s="241"/>
      <c r="X78" s="241"/>
      <c r="Y78" s="241"/>
      <c r="Z78" s="241"/>
      <c r="AA78" s="241"/>
      <c r="AB78" s="241"/>
      <c r="AC78" s="241"/>
      <c r="AD78" s="241"/>
      <c r="AE78" s="241"/>
      <c r="AF78" s="241"/>
      <c r="AG78" s="241"/>
      <c r="AH78" s="241"/>
      <c r="AI78" s="241"/>
      <c r="AJ78" s="241"/>
      <c r="AK78" s="241"/>
      <c r="AL78" s="241"/>
      <c r="AM78" s="241"/>
      <c r="AN78" s="241"/>
      <c r="AO78" s="241"/>
      <c r="AP78" s="241"/>
      <c r="AQ78" s="241"/>
      <c r="AR78" s="241"/>
      <c r="AS78" s="241"/>
      <c r="AT78" s="241"/>
      <c r="AU78" s="241"/>
      <c r="AV78" s="241"/>
      <c r="AW78" s="241"/>
      <c r="AX78" s="241"/>
      <c r="AY78" s="241"/>
      <c r="AZ78" s="241"/>
    </row>
    <row r="79" spans="1:52" s="71" customFormat="1" ht="18" hidden="1" customHeight="1" outlineLevel="1" collapsed="1">
      <c r="A79" s="288">
        <v>51</v>
      </c>
      <c r="B79" s="97"/>
      <c r="C79" s="296"/>
      <c r="D79" s="360"/>
      <c r="E79" s="361"/>
      <c r="F79" s="298"/>
      <c r="G79" s="298"/>
      <c r="H79" s="86"/>
      <c r="I79" s="344" t="str">
        <f t="shared" ref="I79:I98" si="14">INDEX(logic_dumuapp,MATCH($A79,logic_appno,0))</f>
        <v/>
      </c>
      <c r="J79" s="345"/>
      <c r="K79" s="86"/>
      <c r="L79" s="86"/>
      <c r="M79" s="344" t="str">
        <f t="shared" ref="M79:M98" si="15">INDEX(logic_wuruapp,MATCH($A79,logic_appno,0))</f>
        <v/>
      </c>
      <c r="N79" s="345"/>
      <c r="O79" s="225" t="str">
        <f t="shared" ref="O79:O98" si="16">INDEX(logic_appawub,MATCH($A79,logic_appno,0))</f>
        <v/>
      </c>
      <c r="P79" s="225" t="str">
        <f t="shared" ref="P79:P98" si="17">INDEX(logic_appawudwoaw,MATCH($A79,logic_appno,0))</f>
        <v/>
      </c>
      <c r="Q79" s="330"/>
      <c r="R79" s="225" t="str">
        <f t="shared" ref="R79:R98" si="18">INDEX(logic_appawud,MATCH($A79,logic_appno,0))</f>
        <v/>
      </c>
      <c r="S79" s="225" t="str">
        <f t="shared" ref="S79:S98" si="19">INDEX(logic_appawusa,MATCH($A79,logic_appno,0))</f>
        <v/>
      </c>
      <c r="T79" s="231" t="str">
        <f t="shared" ref="T79:T98" si="20">INDEX(logic_appawusp,MATCH($A79,logic_appno,0))</f>
        <v/>
      </c>
      <c r="U79" s="176" t="s">
        <v>165</v>
      </c>
      <c r="V79" s="241"/>
      <c r="W79" s="241"/>
      <c r="X79" s="241"/>
      <c r="Y79" s="241"/>
      <c r="Z79" s="241"/>
      <c r="AA79" s="241"/>
      <c r="AB79" s="241"/>
      <c r="AC79" s="241"/>
      <c r="AD79" s="241"/>
      <c r="AE79" s="241"/>
      <c r="AF79" s="241"/>
      <c r="AG79" s="241"/>
      <c r="AH79" s="241"/>
      <c r="AI79" s="241"/>
      <c r="AJ79" s="241"/>
      <c r="AK79" s="241"/>
      <c r="AL79" s="241"/>
      <c r="AM79" s="241"/>
      <c r="AN79" s="241"/>
      <c r="AO79" s="241"/>
      <c r="AP79" s="241"/>
      <c r="AQ79" s="241"/>
      <c r="AR79" s="241"/>
      <c r="AS79" s="241"/>
      <c r="AT79" s="241"/>
      <c r="AU79" s="241"/>
      <c r="AV79" s="241"/>
      <c r="AW79" s="241"/>
      <c r="AX79" s="241"/>
      <c r="AY79" s="241"/>
      <c r="AZ79" s="241"/>
    </row>
    <row r="80" spans="1:52" s="71" customFormat="1" ht="18" hidden="1" customHeight="1" outlineLevel="2">
      <c r="A80" s="288">
        <v>52</v>
      </c>
      <c r="B80" s="97"/>
      <c r="C80" s="296"/>
      <c r="D80" s="360"/>
      <c r="E80" s="361"/>
      <c r="F80" s="298"/>
      <c r="G80" s="298"/>
      <c r="H80" s="86"/>
      <c r="I80" s="344" t="str">
        <f t="shared" si="14"/>
        <v/>
      </c>
      <c r="J80" s="345"/>
      <c r="K80" s="86"/>
      <c r="L80" s="86"/>
      <c r="M80" s="344" t="str">
        <f t="shared" si="15"/>
        <v/>
      </c>
      <c r="N80" s="345"/>
      <c r="O80" s="225" t="str">
        <f t="shared" si="16"/>
        <v/>
      </c>
      <c r="P80" s="225" t="str">
        <f t="shared" si="17"/>
        <v/>
      </c>
      <c r="Q80" s="330"/>
      <c r="R80" s="225" t="str">
        <f t="shared" si="18"/>
        <v/>
      </c>
      <c r="S80" s="225" t="str">
        <f t="shared" si="19"/>
        <v/>
      </c>
      <c r="T80" s="231" t="str">
        <f t="shared" si="20"/>
        <v/>
      </c>
      <c r="U80" s="176"/>
      <c r="V80" s="241"/>
      <c r="W80" s="241"/>
      <c r="X80" s="241"/>
      <c r="Y80" s="241"/>
      <c r="Z80" s="241"/>
      <c r="AA80" s="241"/>
      <c r="AB80" s="241"/>
      <c r="AC80" s="241"/>
      <c r="AD80" s="241"/>
      <c r="AE80" s="241"/>
      <c r="AF80" s="241"/>
      <c r="AG80" s="241"/>
      <c r="AH80" s="241"/>
      <c r="AI80" s="241"/>
      <c r="AJ80" s="241"/>
      <c r="AK80" s="241"/>
      <c r="AL80" s="241"/>
      <c r="AM80" s="241"/>
      <c r="AN80" s="241"/>
      <c r="AO80" s="241"/>
      <c r="AP80" s="241"/>
      <c r="AQ80" s="241"/>
      <c r="AR80" s="241"/>
      <c r="AS80" s="241"/>
      <c r="AT80" s="241"/>
      <c r="AU80" s="241"/>
      <c r="AV80" s="241"/>
      <c r="AW80" s="241"/>
      <c r="AX80" s="241"/>
      <c r="AY80" s="241"/>
      <c r="AZ80" s="241"/>
    </row>
    <row r="81" spans="1:52" s="71" customFormat="1" ht="18" hidden="1" customHeight="1" outlineLevel="2">
      <c r="A81" s="288">
        <v>53</v>
      </c>
      <c r="B81" s="97"/>
      <c r="C81" s="296"/>
      <c r="D81" s="360"/>
      <c r="E81" s="361"/>
      <c r="F81" s="298"/>
      <c r="G81" s="298"/>
      <c r="H81" s="86"/>
      <c r="I81" s="344" t="str">
        <f t="shared" si="14"/>
        <v/>
      </c>
      <c r="J81" s="345"/>
      <c r="K81" s="86"/>
      <c r="L81" s="86"/>
      <c r="M81" s="344" t="str">
        <f t="shared" si="15"/>
        <v/>
      </c>
      <c r="N81" s="345"/>
      <c r="O81" s="225" t="str">
        <f t="shared" si="16"/>
        <v/>
      </c>
      <c r="P81" s="225" t="str">
        <f t="shared" si="17"/>
        <v/>
      </c>
      <c r="Q81" s="330"/>
      <c r="R81" s="225" t="str">
        <f t="shared" si="18"/>
        <v/>
      </c>
      <c r="S81" s="225" t="str">
        <f t="shared" si="19"/>
        <v/>
      </c>
      <c r="T81" s="231" t="str">
        <f t="shared" si="20"/>
        <v/>
      </c>
      <c r="U81" s="176"/>
      <c r="V81" s="241"/>
      <c r="W81" s="241"/>
      <c r="X81" s="241"/>
      <c r="Y81" s="241"/>
      <c r="Z81" s="241"/>
      <c r="AA81" s="241"/>
      <c r="AB81" s="241"/>
      <c r="AC81" s="241"/>
      <c r="AD81" s="241"/>
      <c r="AE81" s="241"/>
      <c r="AF81" s="241"/>
      <c r="AG81" s="241"/>
      <c r="AH81" s="241"/>
      <c r="AI81" s="241"/>
      <c r="AJ81" s="241"/>
      <c r="AK81" s="241"/>
      <c r="AL81" s="241"/>
      <c r="AM81" s="241"/>
      <c r="AN81" s="241"/>
      <c r="AO81" s="241"/>
      <c r="AP81" s="241"/>
      <c r="AQ81" s="241"/>
      <c r="AR81" s="241"/>
      <c r="AS81" s="241"/>
      <c r="AT81" s="241"/>
      <c r="AU81" s="241"/>
      <c r="AV81" s="241"/>
      <c r="AW81" s="241"/>
      <c r="AX81" s="241"/>
      <c r="AY81" s="241"/>
      <c r="AZ81" s="241"/>
    </row>
    <row r="82" spans="1:52" s="71" customFormat="1" ht="18" hidden="1" customHeight="1" outlineLevel="2">
      <c r="A82" s="288">
        <v>54</v>
      </c>
      <c r="B82" s="97"/>
      <c r="C82" s="296"/>
      <c r="D82" s="360"/>
      <c r="E82" s="361"/>
      <c r="F82" s="298"/>
      <c r="G82" s="298"/>
      <c r="H82" s="86"/>
      <c r="I82" s="344" t="str">
        <f t="shared" si="14"/>
        <v/>
      </c>
      <c r="J82" s="345"/>
      <c r="K82" s="86"/>
      <c r="L82" s="86"/>
      <c r="M82" s="344" t="str">
        <f t="shared" si="15"/>
        <v/>
      </c>
      <c r="N82" s="345"/>
      <c r="O82" s="225" t="str">
        <f t="shared" si="16"/>
        <v/>
      </c>
      <c r="P82" s="225" t="str">
        <f t="shared" si="17"/>
        <v/>
      </c>
      <c r="Q82" s="330"/>
      <c r="R82" s="225" t="str">
        <f t="shared" si="18"/>
        <v/>
      </c>
      <c r="S82" s="225" t="str">
        <f t="shared" si="19"/>
        <v/>
      </c>
      <c r="T82" s="231" t="str">
        <f t="shared" si="20"/>
        <v/>
      </c>
      <c r="U82" s="176"/>
      <c r="V82" s="241"/>
      <c r="W82" s="241"/>
      <c r="X82" s="241"/>
      <c r="Y82" s="241"/>
      <c r="Z82" s="241"/>
      <c r="AA82" s="241"/>
      <c r="AB82" s="241"/>
      <c r="AC82" s="241"/>
      <c r="AD82" s="241"/>
      <c r="AE82" s="241"/>
      <c r="AF82" s="241"/>
      <c r="AG82" s="241"/>
      <c r="AH82" s="241"/>
      <c r="AI82" s="241"/>
      <c r="AJ82" s="241"/>
      <c r="AK82" s="241"/>
      <c r="AL82" s="241"/>
      <c r="AM82" s="241"/>
      <c r="AN82" s="241"/>
      <c r="AO82" s="241"/>
      <c r="AP82" s="241"/>
      <c r="AQ82" s="241"/>
      <c r="AR82" s="241"/>
      <c r="AS82" s="241"/>
      <c r="AT82" s="241"/>
      <c r="AU82" s="241"/>
      <c r="AV82" s="241"/>
      <c r="AW82" s="241"/>
      <c r="AX82" s="241"/>
      <c r="AY82" s="241"/>
      <c r="AZ82" s="241"/>
    </row>
    <row r="83" spans="1:52" s="71" customFormat="1" ht="18" hidden="1" customHeight="1" outlineLevel="2">
      <c r="A83" s="288">
        <v>55</v>
      </c>
      <c r="B83" s="97"/>
      <c r="C83" s="296"/>
      <c r="D83" s="360"/>
      <c r="E83" s="361"/>
      <c r="F83" s="298"/>
      <c r="G83" s="298"/>
      <c r="H83" s="86"/>
      <c r="I83" s="344" t="str">
        <f t="shared" si="14"/>
        <v/>
      </c>
      <c r="J83" s="345"/>
      <c r="K83" s="86"/>
      <c r="L83" s="86"/>
      <c r="M83" s="344" t="str">
        <f t="shared" si="15"/>
        <v/>
      </c>
      <c r="N83" s="345"/>
      <c r="O83" s="225" t="str">
        <f t="shared" si="16"/>
        <v/>
      </c>
      <c r="P83" s="225" t="str">
        <f t="shared" si="17"/>
        <v/>
      </c>
      <c r="Q83" s="330"/>
      <c r="R83" s="225" t="str">
        <f t="shared" si="18"/>
        <v/>
      </c>
      <c r="S83" s="225" t="str">
        <f t="shared" si="19"/>
        <v/>
      </c>
      <c r="T83" s="231" t="str">
        <f t="shared" si="20"/>
        <v/>
      </c>
      <c r="U83" s="176"/>
      <c r="V83" s="241"/>
      <c r="W83" s="241"/>
      <c r="X83" s="241"/>
      <c r="Y83" s="241"/>
      <c r="Z83" s="241"/>
      <c r="AA83" s="241"/>
      <c r="AB83" s="241"/>
      <c r="AC83" s="241"/>
      <c r="AD83" s="241"/>
      <c r="AE83" s="241"/>
      <c r="AF83" s="241"/>
      <c r="AG83" s="241"/>
      <c r="AH83" s="241"/>
      <c r="AI83" s="241"/>
      <c r="AJ83" s="241"/>
      <c r="AK83" s="241"/>
      <c r="AL83" s="241"/>
      <c r="AM83" s="241"/>
      <c r="AN83" s="241"/>
      <c r="AO83" s="241"/>
      <c r="AP83" s="241"/>
      <c r="AQ83" s="241"/>
      <c r="AR83" s="241"/>
      <c r="AS83" s="241"/>
      <c r="AT83" s="241"/>
      <c r="AU83" s="241"/>
      <c r="AV83" s="241"/>
      <c r="AW83" s="241"/>
      <c r="AX83" s="241"/>
      <c r="AY83" s="241"/>
      <c r="AZ83" s="241"/>
    </row>
    <row r="84" spans="1:52" s="71" customFormat="1" ht="18" hidden="1" customHeight="1" outlineLevel="2">
      <c r="A84" s="288">
        <v>56</v>
      </c>
      <c r="B84" s="97"/>
      <c r="C84" s="296"/>
      <c r="D84" s="360"/>
      <c r="E84" s="361"/>
      <c r="F84" s="298"/>
      <c r="G84" s="298"/>
      <c r="H84" s="86"/>
      <c r="I84" s="344" t="str">
        <f t="shared" si="14"/>
        <v/>
      </c>
      <c r="J84" s="345"/>
      <c r="K84" s="86"/>
      <c r="L84" s="86"/>
      <c r="M84" s="344" t="str">
        <f t="shared" si="15"/>
        <v/>
      </c>
      <c r="N84" s="345"/>
      <c r="O84" s="225" t="str">
        <f t="shared" si="16"/>
        <v/>
      </c>
      <c r="P84" s="225" t="str">
        <f t="shared" si="17"/>
        <v/>
      </c>
      <c r="Q84" s="330"/>
      <c r="R84" s="225" t="str">
        <f t="shared" si="18"/>
        <v/>
      </c>
      <c r="S84" s="225" t="str">
        <f t="shared" si="19"/>
        <v/>
      </c>
      <c r="T84" s="231" t="str">
        <f t="shared" si="20"/>
        <v/>
      </c>
      <c r="U84" s="176"/>
      <c r="V84" s="241"/>
      <c r="W84" s="241"/>
      <c r="X84" s="241"/>
      <c r="Y84" s="241"/>
      <c r="Z84" s="241"/>
      <c r="AA84" s="241"/>
      <c r="AB84" s="241"/>
      <c r="AC84" s="241"/>
      <c r="AD84" s="241"/>
      <c r="AE84" s="241"/>
      <c r="AF84" s="241"/>
      <c r="AG84" s="241"/>
      <c r="AH84" s="241"/>
      <c r="AI84" s="241"/>
      <c r="AJ84" s="241"/>
      <c r="AK84" s="241"/>
      <c r="AL84" s="241"/>
      <c r="AM84" s="241"/>
      <c r="AN84" s="241"/>
      <c r="AO84" s="241"/>
      <c r="AP84" s="241"/>
      <c r="AQ84" s="241"/>
      <c r="AR84" s="241"/>
      <c r="AS84" s="241"/>
      <c r="AT84" s="241"/>
      <c r="AU84" s="241"/>
      <c r="AV84" s="241"/>
      <c r="AW84" s="241"/>
      <c r="AX84" s="241"/>
      <c r="AY84" s="241"/>
      <c r="AZ84" s="241"/>
    </row>
    <row r="85" spans="1:52" s="71" customFormat="1" ht="18" hidden="1" customHeight="1" outlineLevel="2">
      <c r="A85" s="288">
        <v>57</v>
      </c>
      <c r="B85" s="97"/>
      <c r="C85" s="296"/>
      <c r="D85" s="360"/>
      <c r="E85" s="361"/>
      <c r="F85" s="298"/>
      <c r="G85" s="298"/>
      <c r="H85" s="86"/>
      <c r="I85" s="344" t="str">
        <f t="shared" si="14"/>
        <v/>
      </c>
      <c r="J85" s="345"/>
      <c r="K85" s="86"/>
      <c r="L85" s="86"/>
      <c r="M85" s="344" t="str">
        <f t="shared" si="15"/>
        <v/>
      </c>
      <c r="N85" s="345"/>
      <c r="O85" s="225" t="str">
        <f t="shared" si="16"/>
        <v/>
      </c>
      <c r="P85" s="225" t="str">
        <f t="shared" si="17"/>
        <v/>
      </c>
      <c r="Q85" s="330"/>
      <c r="R85" s="225" t="str">
        <f t="shared" si="18"/>
        <v/>
      </c>
      <c r="S85" s="225" t="str">
        <f t="shared" si="19"/>
        <v/>
      </c>
      <c r="T85" s="231" t="str">
        <f t="shared" si="20"/>
        <v/>
      </c>
      <c r="U85" s="176"/>
      <c r="V85" s="241"/>
      <c r="W85" s="241"/>
      <c r="X85" s="241"/>
      <c r="Y85" s="241"/>
      <c r="Z85" s="241"/>
      <c r="AA85" s="241"/>
      <c r="AB85" s="241"/>
      <c r="AC85" s="241"/>
      <c r="AD85" s="241"/>
      <c r="AE85" s="241"/>
      <c r="AF85" s="241"/>
      <c r="AG85" s="241"/>
      <c r="AH85" s="241"/>
      <c r="AI85" s="241"/>
      <c r="AJ85" s="241"/>
      <c r="AK85" s="241"/>
      <c r="AL85" s="241"/>
      <c r="AM85" s="241"/>
      <c r="AN85" s="241"/>
      <c r="AO85" s="241"/>
      <c r="AP85" s="241"/>
      <c r="AQ85" s="241"/>
      <c r="AR85" s="241"/>
      <c r="AS85" s="241"/>
      <c r="AT85" s="241"/>
      <c r="AU85" s="241"/>
      <c r="AV85" s="241"/>
      <c r="AW85" s="241"/>
      <c r="AX85" s="241"/>
      <c r="AY85" s="241"/>
      <c r="AZ85" s="241"/>
    </row>
    <row r="86" spans="1:52" s="71" customFormat="1" ht="18" hidden="1" customHeight="1" outlineLevel="2">
      <c r="A86" s="288">
        <v>58</v>
      </c>
      <c r="B86" s="97"/>
      <c r="C86" s="296"/>
      <c r="D86" s="360"/>
      <c r="E86" s="361"/>
      <c r="F86" s="298"/>
      <c r="G86" s="298"/>
      <c r="H86" s="86"/>
      <c r="I86" s="344" t="str">
        <f t="shared" si="14"/>
        <v/>
      </c>
      <c r="J86" s="345"/>
      <c r="K86" s="86"/>
      <c r="L86" s="86"/>
      <c r="M86" s="344" t="str">
        <f t="shared" si="15"/>
        <v/>
      </c>
      <c r="N86" s="345"/>
      <c r="O86" s="225" t="str">
        <f t="shared" si="16"/>
        <v/>
      </c>
      <c r="P86" s="225" t="str">
        <f t="shared" si="17"/>
        <v/>
      </c>
      <c r="Q86" s="330"/>
      <c r="R86" s="225" t="str">
        <f t="shared" si="18"/>
        <v/>
      </c>
      <c r="S86" s="225" t="str">
        <f t="shared" si="19"/>
        <v/>
      </c>
      <c r="T86" s="231" t="str">
        <f t="shared" si="20"/>
        <v/>
      </c>
      <c r="U86" s="176"/>
      <c r="V86" s="241"/>
      <c r="W86" s="241"/>
      <c r="X86" s="241"/>
      <c r="Y86" s="241"/>
      <c r="Z86" s="241"/>
      <c r="AA86" s="241"/>
      <c r="AB86" s="241"/>
      <c r="AC86" s="241"/>
      <c r="AD86" s="241"/>
      <c r="AE86" s="241"/>
      <c r="AF86" s="241"/>
      <c r="AG86" s="241"/>
      <c r="AH86" s="241"/>
      <c r="AI86" s="241"/>
      <c r="AJ86" s="241"/>
      <c r="AK86" s="241"/>
      <c r="AL86" s="241"/>
      <c r="AM86" s="241"/>
      <c r="AN86" s="241"/>
      <c r="AO86" s="241"/>
      <c r="AP86" s="241"/>
      <c r="AQ86" s="241"/>
      <c r="AR86" s="241"/>
      <c r="AS86" s="241"/>
      <c r="AT86" s="241"/>
      <c r="AU86" s="241"/>
      <c r="AV86" s="241"/>
      <c r="AW86" s="241"/>
      <c r="AX86" s="241"/>
      <c r="AY86" s="241"/>
      <c r="AZ86" s="241"/>
    </row>
    <row r="87" spans="1:52" s="71" customFormat="1" ht="18" hidden="1" customHeight="1" outlineLevel="2">
      <c r="A87" s="288">
        <v>59</v>
      </c>
      <c r="B87" s="97"/>
      <c r="C87" s="296"/>
      <c r="D87" s="360"/>
      <c r="E87" s="361"/>
      <c r="F87" s="298"/>
      <c r="G87" s="298"/>
      <c r="H87" s="86"/>
      <c r="I87" s="344" t="str">
        <f t="shared" si="14"/>
        <v/>
      </c>
      <c r="J87" s="345"/>
      <c r="K87" s="86"/>
      <c r="L87" s="86"/>
      <c r="M87" s="344" t="str">
        <f t="shared" si="15"/>
        <v/>
      </c>
      <c r="N87" s="345"/>
      <c r="O87" s="225" t="str">
        <f t="shared" si="16"/>
        <v/>
      </c>
      <c r="P87" s="225" t="str">
        <f t="shared" si="17"/>
        <v/>
      </c>
      <c r="Q87" s="330"/>
      <c r="R87" s="225" t="str">
        <f t="shared" si="18"/>
        <v/>
      </c>
      <c r="S87" s="225" t="str">
        <f t="shared" si="19"/>
        <v/>
      </c>
      <c r="T87" s="231" t="str">
        <f t="shared" si="20"/>
        <v/>
      </c>
      <c r="U87" s="176"/>
      <c r="V87" s="241"/>
      <c r="W87" s="241"/>
      <c r="X87" s="241"/>
      <c r="Y87" s="241"/>
      <c r="Z87" s="241"/>
      <c r="AA87" s="241"/>
      <c r="AB87" s="241"/>
      <c r="AC87" s="241"/>
      <c r="AD87" s="241"/>
      <c r="AE87" s="241"/>
      <c r="AF87" s="241"/>
      <c r="AG87" s="241"/>
      <c r="AH87" s="241"/>
      <c r="AI87" s="241"/>
      <c r="AJ87" s="241"/>
      <c r="AK87" s="241"/>
      <c r="AL87" s="241"/>
      <c r="AM87" s="241"/>
      <c r="AN87" s="241"/>
      <c r="AO87" s="241"/>
      <c r="AP87" s="241"/>
      <c r="AQ87" s="241"/>
      <c r="AR87" s="241"/>
      <c r="AS87" s="241"/>
      <c r="AT87" s="241"/>
      <c r="AU87" s="241"/>
      <c r="AV87" s="241"/>
      <c r="AW87" s="241"/>
      <c r="AX87" s="241"/>
      <c r="AY87" s="241"/>
      <c r="AZ87" s="241"/>
    </row>
    <row r="88" spans="1:52" s="71" customFormat="1" ht="18" hidden="1" customHeight="1" outlineLevel="2">
      <c r="A88" s="288">
        <v>60</v>
      </c>
      <c r="B88" s="97"/>
      <c r="C88" s="296"/>
      <c r="D88" s="360"/>
      <c r="E88" s="361"/>
      <c r="F88" s="298"/>
      <c r="G88" s="298"/>
      <c r="H88" s="86"/>
      <c r="I88" s="344" t="str">
        <f t="shared" si="14"/>
        <v/>
      </c>
      <c r="J88" s="345"/>
      <c r="K88" s="86"/>
      <c r="L88" s="86"/>
      <c r="M88" s="344" t="str">
        <f t="shared" si="15"/>
        <v/>
      </c>
      <c r="N88" s="345"/>
      <c r="O88" s="225" t="str">
        <f t="shared" si="16"/>
        <v/>
      </c>
      <c r="P88" s="225" t="str">
        <f t="shared" si="17"/>
        <v/>
      </c>
      <c r="Q88" s="330"/>
      <c r="R88" s="225" t="str">
        <f t="shared" si="18"/>
        <v/>
      </c>
      <c r="S88" s="225" t="str">
        <f t="shared" si="19"/>
        <v/>
      </c>
      <c r="T88" s="231" t="str">
        <f t="shared" si="20"/>
        <v/>
      </c>
      <c r="U88" s="176"/>
      <c r="V88" s="241"/>
      <c r="W88" s="241"/>
      <c r="X88" s="241"/>
      <c r="Y88" s="241"/>
      <c r="Z88" s="241"/>
      <c r="AA88" s="241"/>
      <c r="AB88" s="241"/>
      <c r="AC88" s="241"/>
      <c r="AD88" s="241"/>
      <c r="AE88" s="241"/>
      <c r="AF88" s="241"/>
      <c r="AG88" s="241"/>
      <c r="AH88" s="241"/>
      <c r="AI88" s="241"/>
      <c r="AJ88" s="241"/>
      <c r="AK88" s="241"/>
      <c r="AL88" s="241"/>
      <c r="AM88" s="241"/>
      <c r="AN88" s="241"/>
      <c r="AO88" s="241"/>
      <c r="AP88" s="241"/>
      <c r="AQ88" s="241"/>
      <c r="AR88" s="241"/>
      <c r="AS88" s="241"/>
      <c r="AT88" s="241"/>
      <c r="AU88" s="241"/>
      <c r="AV88" s="241"/>
      <c r="AW88" s="241"/>
      <c r="AX88" s="241"/>
      <c r="AY88" s="241"/>
      <c r="AZ88" s="241"/>
    </row>
    <row r="89" spans="1:52" s="71" customFormat="1" ht="18" hidden="1" customHeight="1" outlineLevel="2">
      <c r="A89" s="288">
        <v>61</v>
      </c>
      <c r="B89" s="97"/>
      <c r="C89" s="296"/>
      <c r="D89" s="360"/>
      <c r="E89" s="361"/>
      <c r="F89" s="298"/>
      <c r="G89" s="298"/>
      <c r="H89" s="86"/>
      <c r="I89" s="344" t="str">
        <f t="shared" si="14"/>
        <v/>
      </c>
      <c r="J89" s="345"/>
      <c r="K89" s="86"/>
      <c r="L89" s="86"/>
      <c r="M89" s="344" t="str">
        <f t="shared" si="15"/>
        <v/>
      </c>
      <c r="N89" s="345"/>
      <c r="O89" s="225" t="str">
        <f t="shared" si="16"/>
        <v/>
      </c>
      <c r="P89" s="225" t="str">
        <f t="shared" si="17"/>
        <v/>
      </c>
      <c r="Q89" s="330"/>
      <c r="R89" s="225" t="str">
        <f t="shared" si="18"/>
        <v/>
      </c>
      <c r="S89" s="225" t="str">
        <f t="shared" si="19"/>
        <v/>
      </c>
      <c r="T89" s="231" t="str">
        <f t="shared" si="20"/>
        <v/>
      </c>
      <c r="U89" s="176"/>
      <c r="V89" s="241"/>
      <c r="W89" s="241"/>
      <c r="X89" s="241"/>
      <c r="Y89" s="241"/>
      <c r="Z89" s="241"/>
      <c r="AA89" s="241"/>
      <c r="AB89" s="241"/>
      <c r="AC89" s="241"/>
      <c r="AD89" s="241"/>
      <c r="AE89" s="241"/>
      <c r="AF89" s="241"/>
      <c r="AG89" s="241"/>
      <c r="AH89" s="241"/>
      <c r="AI89" s="241"/>
      <c r="AJ89" s="241"/>
      <c r="AK89" s="241"/>
      <c r="AL89" s="241"/>
      <c r="AM89" s="241"/>
      <c r="AN89" s="241"/>
      <c r="AO89" s="241"/>
      <c r="AP89" s="241"/>
      <c r="AQ89" s="241"/>
      <c r="AR89" s="241"/>
      <c r="AS89" s="241"/>
      <c r="AT89" s="241"/>
      <c r="AU89" s="241"/>
      <c r="AV89" s="241"/>
      <c r="AW89" s="241"/>
      <c r="AX89" s="241"/>
      <c r="AY89" s="241"/>
      <c r="AZ89" s="241"/>
    </row>
    <row r="90" spans="1:52" s="71" customFormat="1" ht="18" hidden="1" customHeight="1" outlineLevel="2">
      <c r="A90" s="288">
        <v>62</v>
      </c>
      <c r="B90" s="97"/>
      <c r="C90" s="296"/>
      <c r="D90" s="360"/>
      <c r="E90" s="361"/>
      <c r="F90" s="298"/>
      <c r="G90" s="298"/>
      <c r="H90" s="86"/>
      <c r="I90" s="344" t="str">
        <f t="shared" si="14"/>
        <v/>
      </c>
      <c r="J90" s="345"/>
      <c r="K90" s="86"/>
      <c r="L90" s="86"/>
      <c r="M90" s="344" t="str">
        <f t="shared" si="15"/>
        <v/>
      </c>
      <c r="N90" s="345"/>
      <c r="O90" s="225" t="str">
        <f t="shared" si="16"/>
        <v/>
      </c>
      <c r="P90" s="225" t="str">
        <f t="shared" si="17"/>
        <v/>
      </c>
      <c r="Q90" s="330"/>
      <c r="R90" s="225" t="str">
        <f t="shared" si="18"/>
        <v/>
      </c>
      <c r="S90" s="225" t="str">
        <f t="shared" si="19"/>
        <v/>
      </c>
      <c r="T90" s="231" t="str">
        <f t="shared" si="20"/>
        <v/>
      </c>
      <c r="U90" s="176"/>
      <c r="V90" s="241"/>
      <c r="W90" s="241"/>
      <c r="X90" s="241"/>
      <c r="Y90" s="241"/>
      <c r="Z90" s="241"/>
      <c r="AA90" s="241"/>
      <c r="AB90" s="241"/>
      <c r="AC90" s="241"/>
      <c r="AD90" s="241"/>
      <c r="AE90" s="241"/>
      <c r="AF90" s="241"/>
      <c r="AG90" s="241"/>
      <c r="AH90" s="241"/>
      <c r="AI90" s="241"/>
      <c r="AJ90" s="241"/>
      <c r="AK90" s="241"/>
      <c r="AL90" s="241"/>
      <c r="AM90" s="241"/>
      <c r="AN90" s="241"/>
      <c r="AO90" s="241"/>
      <c r="AP90" s="241"/>
      <c r="AQ90" s="241"/>
      <c r="AR90" s="241"/>
      <c r="AS90" s="241"/>
      <c r="AT90" s="241"/>
      <c r="AU90" s="241"/>
      <c r="AV90" s="241"/>
      <c r="AW90" s="241"/>
      <c r="AX90" s="241"/>
      <c r="AY90" s="241"/>
      <c r="AZ90" s="241"/>
    </row>
    <row r="91" spans="1:52" s="71" customFormat="1" ht="18" hidden="1" customHeight="1" outlineLevel="2">
      <c r="A91" s="288">
        <v>63</v>
      </c>
      <c r="B91" s="97"/>
      <c r="C91" s="296"/>
      <c r="D91" s="360"/>
      <c r="E91" s="361"/>
      <c r="F91" s="298"/>
      <c r="G91" s="298"/>
      <c r="H91" s="86"/>
      <c r="I91" s="344" t="str">
        <f t="shared" si="14"/>
        <v/>
      </c>
      <c r="J91" s="345"/>
      <c r="K91" s="86"/>
      <c r="L91" s="86"/>
      <c r="M91" s="344" t="str">
        <f t="shared" si="15"/>
        <v/>
      </c>
      <c r="N91" s="345"/>
      <c r="O91" s="225" t="str">
        <f t="shared" si="16"/>
        <v/>
      </c>
      <c r="P91" s="225" t="str">
        <f t="shared" si="17"/>
        <v/>
      </c>
      <c r="Q91" s="330"/>
      <c r="R91" s="225" t="str">
        <f t="shared" si="18"/>
        <v/>
      </c>
      <c r="S91" s="225" t="str">
        <f t="shared" si="19"/>
        <v/>
      </c>
      <c r="T91" s="231" t="str">
        <f t="shared" si="20"/>
        <v/>
      </c>
      <c r="U91" s="176"/>
      <c r="V91" s="241"/>
      <c r="W91" s="241"/>
      <c r="X91" s="241"/>
      <c r="Y91" s="241"/>
      <c r="Z91" s="241"/>
      <c r="AA91" s="241"/>
      <c r="AB91" s="241"/>
      <c r="AC91" s="241"/>
      <c r="AD91" s="241"/>
      <c r="AE91" s="241"/>
      <c r="AF91" s="241"/>
      <c r="AG91" s="241"/>
      <c r="AH91" s="241"/>
      <c r="AI91" s="241"/>
      <c r="AJ91" s="241"/>
      <c r="AK91" s="241"/>
      <c r="AL91" s="241"/>
      <c r="AM91" s="241"/>
      <c r="AN91" s="241"/>
      <c r="AO91" s="241"/>
      <c r="AP91" s="241"/>
      <c r="AQ91" s="241"/>
      <c r="AR91" s="241"/>
      <c r="AS91" s="241"/>
      <c r="AT91" s="241"/>
      <c r="AU91" s="241"/>
      <c r="AV91" s="241"/>
      <c r="AW91" s="241"/>
      <c r="AX91" s="241"/>
      <c r="AY91" s="241"/>
      <c r="AZ91" s="241"/>
    </row>
    <row r="92" spans="1:52" s="71" customFormat="1" ht="18" hidden="1" customHeight="1" outlineLevel="2">
      <c r="A92" s="288">
        <v>64</v>
      </c>
      <c r="B92" s="97"/>
      <c r="C92" s="296"/>
      <c r="D92" s="360"/>
      <c r="E92" s="361"/>
      <c r="F92" s="298"/>
      <c r="G92" s="298"/>
      <c r="H92" s="86"/>
      <c r="I92" s="344" t="str">
        <f t="shared" si="14"/>
        <v/>
      </c>
      <c r="J92" s="345"/>
      <c r="K92" s="86"/>
      <c r="L92" s="86"/>
      <c r="M92" s="344" t="str">
        <f t="shared" si="15"/>
        <v/>
      </c>
      <c r="N92" s="345"/>
      <c r="O92" s="225" t="str">
        <f t="shared" si="16"/>
        <v/>
      </c>
      <c r="P92" s="225" t="str">
        <f t="shared" si="17"/>
        <v/>
      </c>
      <c r="Q92" s="330"/>
      <c r="R92" s="225" t="str">
        <f t="shared" si="18"/>
        <v/>
      </c>
      <c r="S92" s="225" t="str">
        <f t="shared" si="19"/>
        <v/>
      </c>
      <c r="T92" s="231" t="str">
        <f t="shared" si="20"/>
        <v/>
      </c>
      <c r="U92" s="176"/>
      <c r="V92" s="241"/>
      <c r="W92" s="241"/>
      <c r="X92" s="241"/>
      <c r="Y92" s="241"/>
      <c r="Z92" s="241"/>
      <c r="AA92" s="241"/>
      <c r="AB92" s="241"/>
      <c r="AC92" s="241"/>
      <c r="AD92" s="241"/>
      <c r="AE92" s="241"/>
      <c r="AF92" s="241"/>
      <c r="AG92" s="241"/>
      <c r="AH92" s="241"/>
      <c r="AI92" s="241"/>
      <c r="AJ92" s="241"/>
      <c r="AK92" s="241"/>
      <c r="AL92" s="241"/>
      <c r="AM92" s="241"/>
      <c r="AN92" s="241"/>
      <c r="AO92" s="241"/>
      <c r="AP92" s="241"/>
      <c r="AQ92" s="241"/>
      <c r="AR92" s="241"/>
      <c r="AS92" s="241"/>
      <c r="AT92" s="241"/>
      <c r="AU92" s="241"/>
      <c r="AV92" s="241"/>
      <c r="AW92" s="241"/>
      <c r="AX92" s="241"/>
      <c r="AY92" s="241"/>
      <c r="AZ92" s="241"/>
    </row>
    <row r="93" spans="1:52" s="71" customFormat="1" ht="18" hidden="1" customHeight="1" outlineLevel="2">
      <c r="A93" s="288">
        <v>65</v>
      </c>
      <c r="B93" s="97"/>
      <c r="C93" s="296"/>
      <c r="D93" s="360"/>
      <c r="E93" s="361"/>
      <c r="F93" s="298"/>
      <c r="G93" s="298"/>
      <c r="H93" s="86"/>
      <c r="I93" s="344" t="str">
        <f t="shared" si="14"/>
        <v/>
      </c>
      <c r="J93" s="345"/>
      <c r="K93" s="86"/>
      <c r="L93" s="86"/>
      <c r="M93" s="344" t="str">
        <f t="shared" si="15"/>
        <v/>
      </c>
      <c r="N93" s="345"/>
      <c r="O93" s="225" t="str">
        <f t="shared" si="16"/>
        <v/>
      </c>
      <c r="P93" s="225" t="str">
        <f t="shared" si="17"/>
        <v/>
      </c>
      <c r="Q93" s="330"/>
      <c r="R93" s="225" t="str">
        <f t="shared" si="18"/>
        <v/>
      </c>
      <c r="S93" s="225" t="str">
        <f t="shared" si="19"/>
        <v/>
      </c>
      <c r="T93" s="231" t="str">
        <f t="shared" si="20"/>
        <v/>
      </c>
      <c r="U93" s="176"/>
      <c r="V93" s="241"/>
      <c r="W93" s="241"/>
      <c r="X93" s="241"/>
      <c r="Y93" s="241"/>
      <c r="Z93" s="241"/>
      <c r="AA93" s="241"/>
      <c r="AB93" s="241"/>
      <c r="AC93" s="241"/>
      <c r="AD93" s="241"/>
      <c r="AE93" s="241"/>
      <c r="AF93" s="241"/>
      <c r="AG93" s="241"/>
      <c r="AH93" s="241"/>
      <c r="AI93" s="241"/>
      <c r="AJ93" s="241"/>
      <c r="AK93" s="241"/>
      <c r="AL93" s="241"/>
      <c r="AM93" s="241"/>
      <c r="AN93" s="241"/>
      <c r="AO93" s="241"/>
      <c r="AP93" s="241"/>
      <c r="AQ93" s="241"/>
      <c r="AR93" s="241"/>
      <c r="AS93" s="241"/>
      <c r="AT93" s="241"/>
      <c r="AU93" s="241"/>
      <c r="AV93" s="241"/>
      <c r="AW93" s="241"/>
      <c r="AX93" s="241"/>
      <c r="AY93" s="241"/>
      <c r="AZ93" s="241"/>
    </row>
    <row r="94" spans="1:52" s="71" customFormat="1" ht="18" hidden="1" customHeight="1" outlineLevel="2">
      <c r="A94" s="288">
        <v>66</v>
      </c>
      <c r="B94" s="97"/>
      <c r="C94" s="296"/>
      <c r="D94" s="360"/>
      <c r="E94" s="361"/>
      <c r="F94" s="298"/>
      <c r="G94" s="298"/>
      <c r="H94" s="86"/>
      <c r="I94" s="344" t="str">
        <f t="shared" si="14"/>
        <v/>
      </c>
      <c r="J94" s="345"/>
      <c r="K94" s="86"/>
      <c r="L94" s="86"/>
      <c r="M94" s="344" t="str">
        <f t="shared" si="15"/>
        <v/>
      </c>
      <c r="N94" s="345"/>
      <c r="O94" s="225" t="str">
        <f t="shared" si="16"/>
        <v/>
      </c>
      <c r="P94" s="225" t="str">
        <f t="shared" si="17"/>
        <v/>
      </c>
      <c r="Q94" s="330"/>
      <c r="R94" s="225" t="str">
        <f t="shared" si="18"/>
        <v/>
      </c>
      <c r="S94" s="225" t="str">
        <f t="shared" si="19"/>
        <v/>
      </c>
      <c r="T94" s="231" t="str">
        <f t="shared" si="20"/>
        <v/>
      </c>
      <c r="U94" s="176"/>
      <c r="V94" s="241"/>
      <c r="W94" s="241"/>
      <c r="X94" s="241"/>
      <c r="Y94" s="241"/>
      <c r="Z94" s="241"/>
      <c r="AA94" s="241"/>
      <c r="AB94" s="241"/>
      <c r="AC94" s="241"/>
      <c r="AD94" s="241"/>
      <c r="AE94" s="241"/>
      <c r="AF94" s="241"/>
      <c r="AG94" s="241"/>
      <c r="AH94" s="241"/>
      <c r="AI94" s="241"/>
      <c r="AJ94" s="241"/>
      <c r="AK94" s="241"/>
      <c r="AL94" s="241"/>
      <c r="AM94" s="241"/>
      <c r="AN94" s="241"/>
      <c r="AO94" s="241"/>
      <c r="AP94" s="241"/>
      <c r="AQ94" s="241"/>
      <c r="AR94" s="241"/>
      <c r="AS94" s="241"/>
      <c r="AT94" s="241"/>
      <c r="AU94" s="241"/>
      <c r="AV94" s="241"/>
      <c r="AW94" s="241"/>
      <c r="AX94" s="241"/>
      <c r="AY94" s="241"/>
      <c r="AZ94" s="241"/>
    </row>
    <row r="95" spans="1:52" s="71" customFormat="1" ht="18" hidden="1" customHeight="1" outlineLevel="2">
      <c r="A95" s="288">
        <v>67</v>
      </c>
      <c r="B95" s="97"/>
      <c r="C95" s="296"/>
      <c r="D95" s="360"/>
      <c r="E95" s="361"/>
      <c r="F95" s="298"/>
      <c r="G95" s="298"/>
      <c r="H95" s="86"/>
      <c r="I95" s="344" t="str">
        <f t="shared" si="14"/>
        <v/>
      </c>
      <c r="J95" s="345"/>
      <c r="K95" s="86"/>
      <c r="L95" s="86"/>
      <c r="M95" s="344" t="str">
        <f t="shared" si="15"/>
        <v/>
      </c>
      <c r="N95" s="345"/>
      <c r="O95" s="225" t="str">
        <f t="shared" si="16"/>
        <v/>
      </c>
      <c r="P95" s="225" t="str">
        <f t="shared" si="17"/>
        <v/>
      </c>
      <c r="Q95" s="330"/>
      <c r="R95" s="225" t="str">
        <f t="shared" si="18"/>
        <v/>
      </c>
      <c r="S95" s="225" t="str">
        <f t="shared" si="19"/>
        <v/>
      </c>
      <c r="T95" s="231" t="str">
        <f t="shared" si="20"/>
        <v/>
      </c>
      <c r="U95" s="176"/>
      <c r="V95" s="241"/>
      <c r="W95" s="241"/>
      <c r="X95" s="241"/>
      <c r="Y95" s="241"/>
      <c r="Z95" s="241"/>
      <c r="AA95" s="241"/>
      <c r="AB95" s="241"/>
      <c r="AC95" s="241"/>
      <c r="AD95" s="241"/>
      <c r="AE95" s="241"/>
      <c r="AF95" s="241"/>
      <c r="AG95" s="241"/>
      <c r="AH95" s="241"/>
      <c r="AI95" s="241"/>
      <c r="AJ95" s="241"/>
      <c r="AK95" s="241"/>
      <c r="AL95" s="241"/>
      <c r="AM95" s="241"/>
      <c r="AN95" s="241"/>
      <c r="AO95" s="241"/>
      <c r="AP95" s="241"/>
      <c r="AQ95" s="241"/>
      <c r="AR95" s="241"/>
      <c r="AS95" s="241"/>
      <c r="AT95" s="241"/>
      <c r="AU95" s="241"/>
      <c r="AV95" s="241"/>
      <c r="AW95" s="241"/>
      <c r="AX95" s="241"/>
      <c r="AY95" s="241"/>
      <c r="AZ95" s="241"/>
    </row>
    <row r="96" spans="1:52" s="71" customFormat="1" ht="18" hidden="1" customHeight="1" outlineLevel="2">
      <c r="A96" s="288">
        <v>68</v>
      </c>
      <c r="B96" s="97"/>
      <c r="C96" s="296"/>
      <c r="D96" s="360"/>
      <c r="E96" s="361"/>
      <c r="F96" s="298"/>
      <c r="G96" s="298"/>
      <c r="H96" s="86"/>
      <c r="I96" s="344" t="str">
        <f t="shared" si="14"/>
        <v/>
      </c>
      <c r="J96" s="345"/>
      <c r="K96" s="86"/>
      <c r="L96" s="86"/>
      <c r="M96" s="344" t="str">
        <f t="shared" si="15"/>
        <v/>
      </c>
      <c r="N96" s="345"/>
      <c r="O96" s="225" t="str">
        <f t="shared" si="16"/>
        <v/>
      </c>
      <c r="P96" s="225" t="str">
        <f t="shared" si="17"/>
        <v/>
      </c>
      <c r="Q96" s="330"/>
      <c r="R96" s="225" t="str">
        <f t="shared" si="18"/>
        <v/>
      </c>
      <c r="S96" s="225" t="str">
        <f t="shared" si="19"/>
        <v/>
      </c>
      <c r="T96" s="231" t="str">
        <f t="shared" si="20"/>
        <v/>
      </c>
      <c r="U96" s="176"/>
      <c r="V96" s="241"/>
      <c r="W96" s="241"/>
      <c r="X96" s="241"/>
      <c r="Y96" s="241"/>
      <c r="Z96" s="241"/>
      <c r="AA96" s="241"/>
      <c r="AB96" s="241"/>
      <c r="AC96" s="241"/>
      <c r="AD96" s="241"/>
      <c r="AE96" s="241"/>
      <c r="AF96" s="241"/>
      <c r="AG96" s="241"/>
      <c r="AH96" s="241"/>
      <c r="AI96" s="241"/>
      <c r="AJ96" s="241"/>
      <c r="AK96" s="241"/>
      <c r="AL96" s="241"/>
      <c r="AM96" s="241"/>
      <c r="AN96" s="241"/>
      <c r="AO96" s="241"/>
      <c r="AP96" s="241"/>
      <c r="AQ96" s="241"/>
      <c r="AR96" s="241"/>
      <c r="AS96" s="241"/>
      <c r="AT96" s="241"/>
      <c r="AU96" s="241"/>
      <c r="AV96" s="241"/>
      <c r="AW96" s="241"/>
      <c r="AX96" s="241"/>
      <c r="AY96" s="241"/>
      <c r="AZ96" s="241"/>
    </row>
    <row r="97" spans="1:52" s="71" customFormat="1" ht="18" hidden="1" customHeight="1" outlineLevel="2">
      <c r="A97" s="288">
        <v>69</v>
      </c>
      <c r="B97" s="97"/>
      <c r="C97" s="296"/>
      <c r="D97" s="360"/>
      <c r="E97" s="361"/>
      <c r="F97" s="298"/>
      <c r="G97" s="298"/>
      <c r="H97" s="86"/>
      <c r="I97" s="344" t="str">
        <f t="shared" si="14"/>
        <v/>
      </c>
      <c r="J97" s="345"/>
      <c r="K97" s="86"/>
      <c r="L97" s="86"/>
      <c r="M97" s="344" t="str">
        <f t="shared" si="15"/>
        <v/>
      </c>
      <c r="N97" s="345"/>
      <c r="O97" s="225" t="str">
        <f t="shared" si="16"/>
        <v/>
      </c>
      <c r="P97" s="225" t="str">
        <f t="shared" si="17"/>
        <v/>
      </c>
      <c r="Q97" s="330"/>
      <c r="R97" s="225" t="str">
        <f t="shared" si="18"/>
        <v/>
      </c>
      <c r="S97" s="225" t="str">
        <f t="shared" si="19"/>
        <v/>
      </c>
      <c r="T97" s="231" t="str">
        <f t="shared" si="20"/>
        <v/>
      </c>
      <c r="U97" s="176"/>
      <c r="V97" s="241"/>
      <c r="W97" s="241"/>
      <c r="X97" s="241"/>
      <c r="Y97" s="241"/>
      <c r="Z97" s="241"/>
      <c r="AA97" s="241"/>
      <c r="AB97" s="241"/>
      <c r="AC97" s="241"/>
      <c r="AD97" s="241"/>
      <c r="AE97" s="241"/>
      <c r="AF97" s="241"/>
      <c r="AG97" s="241"/>
      <c r="AH97" s="241"/>
      <c r="AI97" s="241"/>
      <c r="AJ97" s="241"/>
      <c r="AK97" s="241"/>
      <c r="AL97" s="241"/>
      <c r="AM97" s="241"/>
      <c r="AN97" s="241"/>
      <c r="AO97" s="241"/>
      <c r="AP97" s="241"/>
      <c r="AQ97" s="241"/>
      <c r="AR97" s="241"/>
      <c r="AS97" s="241"/>
      <c r="AT97" s="241"/>
      <c r="AU97" s="241"/>
      <c r="AV97" s="241"/>
      <c r="AW97" s="241"/>
      <c r="AX97" s="241"/>
      <c r="AY97" s="241"/>
      <c r="AZ97" s="241"/>
    </row>
    <row r="98" spans="1:52" s="71" customFormat="1" ht="18" hidden="1" customHeight="1" outlineLevel="2">
      <c r="A98" s="288">
        <v>70</v>
      </c>
      <c r="B98" s="97"/>
      <c r="C98" s="296"/>
      <c r="D98" s="360"/>
      <c r="E98" s="361"/>
      <c r="F98" s="298"/>
      <c r="G98" s="298"/>
      <c r="H98" s="86"/>
      <c r="I98" s="344" t="str">
        <f t="shared" si="14"/>
        <v/>
      </c>
      <c r="J98" s="345"/>
      <c r="K98" s="86"/>
      <c r="L98" s="86"/>
      <c r="M98" s="344" t="str">
        <f t="shared" si="15"/>
        <v/>
      </c>
      <c r="N98" s="345"/>
      <c r="O98" s="225" t="str">
        <f t="shared" si="16"/>
        <v/>
      </c>
      <c r="P98" s="225" t="str">
        <f t="shared" si="17"/>
        <v/>
      </c>
      <c r="Q98" s="330"/>
      <c r="R98" s="225" t="str">
        <f t="shared" si="18"/>
        <v/>
      </c>
      <c r="S98" s="225" t="str">
        <f t="shared" si="19"/>
        <v/>
      </c>
      <c r="T98" s="231" t="str">
        <f t="shared" si="20"/>
        <v/>
      </c>
      <c r="U98" s="176"/>
      <c r="V98" s="241"/>
      <c r="W98" s="241"/>
      <c r="X98" s="241"/>
      <c r="Y98" s="241"/>
      <c r="Z98" s="241"/>
      <c r="AA98" s="241"/>
      <c r="AB98" s="241"/>
      <c r="AC98" s="241"/>
      <c r="AD98" s="241"/>
      <c r="AE98" s="241"/>
      <c r="AF98" s="241"/>
      <c r="AG98" s="241"/>
      <c r="AH98" s="241"/>
      <c r="AI98" s="241"/>
      <c r="AJ98" s="241"/>
      <c r="AK98" s="241"/>
      <c r="AL98" s="241"/>
      <c r="AM98" s="241"/>
      <c r="AN98" s="241"/>
      <c r="AO98" s="241"/>
      <c r="AP98" s="241"/>
      <c r="AQ98" s="241"/>
      <c r="AR98" s="241"/>
      <c r="AS98" s="241"/>
      <c r="AT98" s="241"/>
      <c r="AU98" s="241"/>
      <c r="AV98" s="241"/>
      <c r="AW98" s="241"/>
      <c r="AX98" s="241"/>
      <c r="AY98" s="241"/>
      <c r="AZ98" s="241"/>
    </row>
    <row r="99" spans="1:52" s="71" customFormat="1" ht="18" hidden="1" customHeight="1" outlineLevel="1" collapsed="1">
      <c r="A99" s="288">
        <v>71</v>
      </c>
      <c r="B99" s="97"/>
      <c r="C99" s="296"/>
      <c r="D99" s="360"/>
      <c r="E99" s="361"/>
      <c r="F99" s="298"/>
      <c r="G99" s="298"/>
      <c r="H99" s="86"/>
      <c r="I99" s="344" t="str">
        <f t="shared" ref="I99:I118" si="21">INDEX(logic_dumuapp,MATCH($A99,logic_appno,0))</f>
        <v/>
      </c>
      <c r="J99" s="345"/>
      <c r="K99" s="86"/>
      <c r="L99" s="86"/>
      <c r="M99" s="344" t="str">
        <f t="shared" ref="M99:M118" si="22">INDEX(logic_wuruapp,MATCH($A99,logic_appno,0))</f>
        <v/>
      </c>
      <c r="N99" s="345"/>
      <c r="O99" s="225" t="str">
        <f t="shared" ref="O99:O118" si="23">INDEX(logic_appawub,MATCH($A99,logic_appno,0))</f>
        <v/>
      </c>
      <c r="P99" s="225" t="str">
        <f t="shared" ref="P99:P118" si="24">INDEX(logic_appawudwoaw,MATCH($A99,logic_appno,0))</f>
        <v/>
      </c>
      <c r="Q99" s="330"/>
      <c r="R99" s="225" t="str">
        <f t="shared" ref="R99:R118" si="25">INDEX(logic_appawud,MATCH($A99,logic_appno,0))</f>
        <v/>
      </c>
      <c r="S99" s="225" t="str">
        <f t="shared" ref="S99:S118" si="26">INDEX(logic_appawusa,MATCH($A99,logic_appno,0))</f>
        <v/>
      </c>
      <c r="T99" s="231" t="str">
        <f t="shared" ref="T99:T118" si="27">INDEX(logic_appawusp,MATCH($A99,logic_appno,0))</f>
        <v/>
      </c>
      <c r="U99" s="176" t="s">
        <v>165</v>
      </c>
      <c r="V99" s="241"/>
      <c r="W99" s="241"/>
      <c r="X99" s="241"/>
      <c r="Y99" s="241"/>
      <c r="Z99" s="241"/>
      <c r="AA99" s="241"/>
      <c r="AB99" s="241"/>
      <c r="AC99" s="241"/>
      <c r="AD99" s="241"/>
      <c r="AE99" s="241"/>
      <c r="AF99" s="241"/>
      <c r="AG99" s="241"/>
      <c r="AH99" s="241"/>
      <c r="AI99" s="241"/>
      <c r="AJ99" s="241"/>
      <c r="AK99" s="241"/>
      <c r="AL99" s="241"/>
      <c r="AM99" s="241"/>
      <c r="AN99" s="241"/>
      <c r="AO99" s="241"/>
      <c r="AP99" s="241"/>
      <c r="AQ99" s="241"/>
      <c r="AR99" s="241"/>
      <c r="AS99" s="241"/>
      <c r="AT99" s="241"/>
      <c r="AU99" s="241"/>
      <c r="AV99" s="241"/>
      <c r="AW99" s="241"/>
      <c r="AX99" s="241"/>
      <c r="AY99" s="241"/>
      <c r="AZ99" s="241"/>
    </row>
    <row r="100" spans="1:52" s="71" customFormat="1" ht="18" hidden="1" customHeight="1" outlineLevel="2">
      <c r="A100" s="288">
        <v>72</v>
      </c>
      <c r="B100" s="97"/>
      <c r="C100" s="296"/>
      <c r="D100" s="360"/>
      <c r="E100" s="361"/>
      <c r="F100" s="298"/>
      <c r="G100" s="298"/>
      <c r="H100" s="86"/>
      <c r="I100" s="344" t="str">
        <f t="shared" si="21"/>
        <v/>
      </c>
      <c r="J100" s="345"/>
      <c r="K100" s="86"/>
      <c r="L100" s="86"/>
      <c r="M100" s="344" t="str">
        <f t="shared" si="22"/>
        <v/>
      </c>
      <c r="N100" s="345"/>
      <c r="O100" s="225" t="str">
        <f t="shared" si="23"/>
        <v/>
      </c>
      <c r="P100" s="225" t="str">
        <f t="shared" si="24"/>
        <v/>
      </c>
      <c r="Q100" s="330"/>
      <c r="R100" s="225" t="str">
        <f t="shared" si="25"/>
        <v/>
      </c>
      <c r="S100" s="225" t="str">
        <f t="shared" si="26"/>
        <v/>
      </c>
      <c r="T100" s="231" t="str">
        <f t="shared" si="27"/>
        <v/>
      </c>
      <c r="U100" s="176"/>
      <c r="V100" s="241"/>
      <c r="W100" s="241"/>
      <c r="X100" s="241"/>
      <c r="Y100" s="241"/>
      <c r="Z100" s="241"/>
      <c r="AA100" s="241"/>
      <c r="AB100" s="241"/>
      <c r="AC100" s="241"/>
      <c r="AD100" s="241"/>
      <c r="AE100" s="241"/>
      <c r="AF100" s="241"/>
      <c r="AG100" s="241"/>
      <c r="AH100" s="241"/>
      <c r="AI100" s="241"/>
      <c r="AJ100" s="241"/>
      <c r="AK100" s="241"/>
      <c r="AL100" s="241"/>
      <c r="AM100" s="241"/>
      <c r="AN100" s="241"/>
      <c r="AO100" s="241"/>
      <c r="AP100" s="241"/>
      <c r="AQ100" s="241"/>
      <c r="AR100" s="241"/>
      <c r="AS100" s="241"/>
      <c r="AT100" s="241"/>
      <c r="AU100" s="241"/>
      <c r="AV100" s="241"/>
      <c r="AW100" s="241"/>
      <c r="AX100" s="241"/>
      <c r="AY100" s="241"/>
      <c r="AZ100" s="241"/>
    </row>
    <row r="101" spans="1:52" s="71" customFormat="1" ht="18" hidden="1" customHeight="1" outlineLevel="2">
      <c r="A101" s="288">
        <v>73</v>
      </c>
      <c r="B101" s="97"/>
      <c r="C101" s="296"/>
      <c r="D101" s="360"/>
      <c r="E101" s="361"/>
      <c r="F101" s="298"/>
      <c r="G101" s="298"/>
      <c r="H101" s="86"/>
      <c r="I101" s="344" t="str">
        <f t="shared" si="21"/>
        <v/>
      </c>
      <c r="J101" s="345"/>
      <c r="K101" s="86"/>
      <c r="L101" s="86"/>
      <c r="M101" s="344" t="str">
        <f t="shared" si="22"/>
        <v/>
      </c>
      <c r="N101" s="345"/>
      <c r="O101" s="225" t="str">
        <f t="shared" si="23"/>
        <v/>
      </c>
      <c r="P101" s="225" t="str">
        <f t="shared" si="24"/>
        <v/>
      </c>
      <c r="Q101" s="330"/>
      <c r="R101" s="225" t="str">
        <f t="shared" si="25"/>
        <v/>
      </c>
      <c r="S101" s="225" t="str">
        <f t="shared" si="26"/>
        <v/>
      </c>
      <c r="T101" s="231" t="str">
        <f t="shared" si="27"/>
        <v/>
      </c>
      <c r="U101" s="176"/>
      <c r="V101" s="241"/>
      <c r="W101" s="241"/>
      <c r="X101" s="241"/>
      <c r="Y101" s="241"/>
      <c r="Z101" s="241"/>
      <c r="AA101" s="241"/>
      <c r="AB101" s="241"/>
      <c r="AC101" s="241"/>
      <c r="AD101" s="241"/>
      <c r="AE101" s="241"/>
      <c r="AF101" s="241"/>
      <c r="AG101" s="241"/>
      <c r="AH101" s="241"/>
      <c r="AI101" s="241"/>
      <c r="AJ101" s="241"/>
      <c r="AK101" s="241"/>
      <c r="AL101" s="241"/>
      <c r="AM101" s="241"/>
      <c r="AN101" s="241"/>
      <c r="AO101" s="241"/>
      <c r="AP101" s="241"/>
      <c r="AQ101" s="241"/>
      <c r="AR101" s="241"/>
      <c r="AS101" s="241"/>
      <c r="AT101" s="241"/>
      <c r="AU101" s="241"/>
      <c r="AV101" s="241"/>
      <c r="AW101" s="241"/>
      <c r="AX101" s="241"/>
      <c r="AY101" s="241"/>
      <c r="AZ101" s="241"/>
    </row>
    <row r="102" spans="1:52" s="71" customFormat="1" ht="18" hidden="1" customHeight="1" outlineLevel="2">
      <c r="A102" s="288">
        <v>74</v>
      </c>
      <c r="B102" s="97"/>
      <c r="C102" s="296"/>
      <c r="D102" s="360"/>
      <c r="E102" s="361"/>
      <c r="F102" s="298"/>
      <c r="G102" s="298"/>
      <c r="H102" s="86"/>
      <c r="I102" s="344" t="str">
        <f t="shared" si="21"/>
        <v/>
      </c>
      <c r="J102" s="345"/>
      <c r="K102" s="86"/>
      <c r="L102" s="86"/>
      <c r="M102" s="344" t="str">
        <f t="shared" si="22"/>
        <v/>
      </c>
      <c r="N102" s="345"/>
      <c r="O102" s="225" t="str">
        <f t="shared" si="23"/>
        <v/>
      </c>
      <c r="P102" s="225" t="str">
        <f t="shared" si="24"/>
        <v/>
      </c>
      <c r="Q102" s="330"/>
      <c r="R102" s="225" t="str">
        <f t="shared" si="25"/>
        <v/>
      </c>
      <c r="S102" s="225" t="str">
        <f t="shared" si="26"/>
        <v/>
      </c>
      <c r="T102" s="231" t="str">
        <f t="shared" si="27"/>
        <v/>
      </c>
      <c r="U102" s="176"/>
      <c r="V102" s="241"/>
      <c r="W102" s="241"/>
      <c r="X102" s="241"/>
      <c r="Y102" s="241"/>
      <c r="Z102" s="241"/>
      <c r="AA102" s="241"/>
      <c r="AB102" s="241"/>
      <c r="AC102" s="241"/>
      <c r="AD102" s="241"/>
      <c r="AE102" s="241"/>
      <c r="AF102" s="241"/>
      <c r="AG102" s="241"/>
      <c r="AH102" s="241"/>
      <c r="AI102" s="241"/>
      <c r="AJ102" s="241"/>
      <c r="AK102" s="241"/>
      <c r="AL102" s="241"/>
      <c r="AM102" s="241"/>
      <c r="AN102" s="241"/>
      <c r="AO102" s="241"/>
      <c r="AP102" s="241"/>
      <c r="AQ102" s="241"/>
      <c r="AR102" s="241"/>
      <c r="AS102" s="241"/>
      <c r="AT102" s="241"/>
      <c r="AU102" s="241"/>
      <c r="AV102" s="241"/>
      <c r="AW102" s="241"/>
      <c r="AX102" s="241"/>
      <c r="AY102" s="241"/>
      <c r="AZ102" s="241"/>
    </row>
    <row r="103" spans="1:52" s="71" customFormat="1" ht="18" hidden="1" customHeight="1" outlineLevel="2">
      <c r="A103" s="288">
        <v>75</v>
      </c>
      <c r="B103" s="97"/>
      <c r="C103" s="296"/>
      <c r="D103" s="360"/>
      <c r="E103" s="361"/>
      <c r="F103" s="298"/>
      <c r="G103" s="298"/>
      <c r="H103" s="86"/>
      <c r="I103" s="344" t="str">
        <f t="shared" si="21"/>
        <v/>
      </c>
      <c r="J103" s="345"/>
      <c r="K103" s="86"/>
      <c r="L103" s="86"/>
      <c r="M103" s="344" t="str">
        <f t="shared" si="22"/>
        <v/>
      </c>
      <c r="N103" s="345"/>
      <c r="O103" s="225" t="str">
        <f t="shared" si="23"/>
        <v/>
      </c>
      <c r="P103" s="225" t="str">
        <f t="shared" si="24"/>
        <v/>
      </c>
      <c r="Q103" s="330"/>
      <c r="R103" s="225" t="str">
        <f t="shared" si="25"/>
        <v/>
      </c>
      <c r="S103" s="225" t="str">
        <f t="shared" si="26"/>
        <v/>
      </c>
      <c r="T103" s="231" t="str">
        <f t="shared" si="27"/>
        <v/>
      </c>
      <c r="U103" s="176"/>
      <c r="V103" s="241"/>
      <c r="W103" s="241"/>
      <c r="X103" s="241"/>
      <c r="Y103" s="241"/>
      <c r="Z103" s="241"/>
      <c r="AA103" s="241"/>
      <c r="AB103" s="241"/>
      <c r="AC103" s="241"/>
      <c r="AD103" s="241"/>
      <c r="AE103" s="241"/>
      <c r="AF103" s="241"/>
      <c r="AG103" s="241"/>
      <c r="AH103" s="241"/>
      <c r="AI103" s="241"/>
      <c r="AJ103" s="241"/>
      <c r="AK103" s="241"/>
      <c r="AL103" s="241"/>
      <c r="AM103" s="241"/>
      <c r="AN103" s="241"/>
      <c r="AO103" s="241"/>
      <c r="AP103" s="241"/>
      <c r="AQ103" s="241"/>
      <c r="AR103" s="241"/>
      <c r="AS103" s="241"/>
      <c r="AT103" s="241"/>
      <c r="AU103" s="241"/>
      <c r="AV103" s="241"/>
      <c r="AW103" s="241"/>
      <c r="AX103" s="241"/>
      <c r="AY103" s="241"/>
      <c r="AZ103" s="241"/>
    </row>
    <row r="104" spans="1:52" s="71" customFormat="1" ht="18" hidden="1" customHeight="1" outlineLevel="2">
      <c r="A104" s="288">
        <v>76</v>
      </c>
      <c r="B104" s="97"/>
      <c r="C104" s="296"/>
      <c r="D104" s="360"/>
      <c r="E104" s="361"/>
      <c r="F104" s="298"/>
      <c r="G104" s="298"/>
      <c r="H104" s="86"/>
      <c r="I104" s="344" t="str">
        <f t="shared" si="21"/>
        <v/>
      </c>
      <c r="J104" s="345"/>
      <c r="K104" s="86"/>
      <c r="L104" s="86"/>
      <c r="M104" s="344" t="str">
        <f t="shared" si="22"/>
        <v/>
      </c>
      <c r="N104" s="345"/>
      <c r="O104" s="225" t="str">
        <f t="shared" si="23"/>
        <v/>
      </c>
      <c r="P104" s="225" t="str">
        <f t="shared" si="24"/>
        <v/>
      </c>
      <c r="Q104" s="330"/>
      <c r="R104" s="225" t="str">
        <f t="shared" si="25"/>
        <v/>
      </c>
      <c r="S104" s="225" t="str">
        <f t="shared" si="26"/>
        <v/>
      </c>
      <c r="T104" s="231" t="str">
        <f t="shared" si="27"/>
        <v/>
      </c>
      <c r="U104" s="176"/>
      <c r="V104" s="241"/>
      <c r="W104" s="241"/>
      <c r="X104" s="241"/>
      <c r="Y104" s="241"/>
      <c r="Z104" s="241"/>
      <c r="AA104" s="241"/>
      <c r="AB104" s="241"/>
      <c r="AC104" s="241"/>
      <c r="AD104" s="241"/>
      <c r="AE104" s="241"/>
      <c r="AF104" s="241"/>
      <c r="AG104" s="241"/>
      <c r="AH104" s="241"/>
      <c r="AI104" s="241"/>
      <c r="AJ104" s="241"/>
      <c r="AK104" s="241"/>
      <c r="AL104" s="241"/>
      <c r="AM104" s="241"/>
      <c r="AN104" s="241"/>
      <c r="AO104" s="241"/>
      <c r="AP104" s="241"/>
      <c r="AQ104" s="241"/>
      <c r="AR104" s="241"/>
      <c r="AS104" s="241"/>
      <c r="AT104" s="241"/>
      <c r="AU104" s="241"/>
      <c r="AV104" s="241"/>
      <c r="AW104" s="241"/>
      <c r="AX104" s="241"/>
      <c r="AY104" s="241"/>
      <c r="AZ104" s="241"/>
    </row>
    <row r="105" spans="1:52" s="71" customFormat="1" ht="18" hidden="1" customHeight="1" outlineLevel="2">
      <c r="A105" s="288">
        <v>77</v>
      </c>
      <c r="B105" s="97"/>
      <c r="C105" s="296"/>
      <c r="D105" s="360"/>
      <c r="E105" s="361"/>
      <c r="F105" s="298"/>
      <c r="G105" s="298"/>
      <c r="H105" s="86"/>
      <c r="I105" s="344" t="str">
        <f t="shared" si="21"/>
        <v/>
      </c>
      <c r="J105" s="345"/>
      <c r="K105" s="86"/>
      <c r="L105" s="86"/>
      <c r="M105" s="344" t="str">
        <f t="shared" si="22"/>
        <v/>
      </c>
      <c r="N105" s="345"/>
      <c r="O105" s="225" t="str">
        <f t="shared" si="23"/>
        <v/>
      </c>
      <c r="P105" s="225" t="str">
        <f t="shared" si="24"/>
        <v/>
      </c>
      <c r="Q105" s="330"/>
      <c r="R105" s="225" t="str">
        <f t="shared" si="25"/>
        <v/>
      </c>
      <c r="S105" s="225" t="str">
        <f t="shared" si="26"/>
        <v/>
      </c>
      <c r="T105" s="231" t="str">
        <f t="shared" si="27"/>
        <v/>
      </c>
      <c r="U105" s="176"/>
      <c r="V105" s="241"/>
      <c r="W105" s="241"/>
      <c r="X105" s="241"/>
      <c r="Y105" s="241"/>
      <c r="Z105" s="241"/>
      <c r="AA105" s="241"/>
      <c r="AB105" s="241"/>
      <c r="AC105" s="241"/>
      <c r="AD105" s="241"/>
      <c r="AE105" s="241"/>
      <c r="AF105" s="241"/>
      <c r="AG105" s="241"/>
      <c r="AH105" s="241"/>
      <c r="AI105" s="241"/>
      <c r="AJ105" s="241"/>
      <c r="AK105" s="241"/>
      <c r="AL105" s="241"/>
      <c r="AM105" s="241"/>
      <c r="AN105" s="241"/>
      <c r="AO105" s="241"/>
      <c r="AP105" s="241"/>
      <c r="AQ105" s="241"/>
      <c r="AR105" s="241"/>
      <c r="AS105" s="241"/>
      <c r="AT105" s="241"/>
      <c r="AU105" s="241"/>
      <c r="AV105" s="241"/>
      <c r="AW105" s="241"/>
      <c r="AX105" s="241"/>
      <c r="AY105" s="241"/>
      <c r="AZ105" s="241"/>
    </row>
    <row r="106" spans="1:52" s="71" customFormat="1" ht="18" hidden="1" customHeight="1" outlineLevel="2">
      <c r="A106" s="288">
        <v>78</v>
      </c>
      <c r="B106" s="97"/>
      <c r="C106" s="296"/>
      <c r="D106" s="360"/>
      <c r="E106" s="361"/>
      <c r="F106" s="298"/>
      <c r="G106" s="298"/>
      <c r="H106" s="86"/>
      <c r="I106" s="344" t="str">
        <f t="shared" si="21"/>
        <v/>
      </c>
      <c r="J106" s="345"/>
      <c r="K106" s="86"/>
      <c r="L106" s="86"/>
      <c r="M106" s="344" t="str">
        <f t="shared" si="22"/>
        <v/>
      </c>
      <c r="N106" s="345"/>
      <c r="O106" s="225" t="str">
        <f t="shared" si="23"/>
        <v/>
      </c>
      <c r="P106" s="225" t="str">
        <f t="shared" si="24"/>
        <v/>
      </c>
      <c r="Q106" s="330"/>
      <c r="R106" s="225" t="str">
        <f t="shared" si="25"/>
        <v/>
      </c>
      <c r="S106" s="225" t="str">
        <f t="shared" si="26"/>
        <v/>
      </c>
      <c r="T106" s="231" t="str">
        <f t="shared" si="27"/>
        <v/>
      </c>
      <c r="U106" s="176"/>
      <c r="V106" s="241"/>
      <c r="W106" s="241"/>
      <c r="X106" s="241"/>
      <c r="Y106" s="241"/>
      <c r="Z106" s="241"/>
      <c r="AA106" s="241"/>
      <c r="AB106" s="241"/>
      <c r="AC106" s="241"/>
      <c r="AD106" s="241"/>
      <c r="AE106" s="241"/>
      <c r="AF106" s="241"/>
      <c r="AG106" s="241"/>
      <c r="AH106" s="241"/>
      <c r="AI106" s="241"/>
      <c r="AJ106" s="241"/>
      <c r="AK106" s="241"/>
      <c r="AL106" s="241"/>
      <c r="AM106" s="241"/>
      <c r="AN106" s="241"/>
      <c r="AO106" s="241"/>
      <c r="AP106" s="241"/>
      <c r="AQ106" s="241"/>
      <c r="AR106" s="241"/>
      <c r="AS106" s="241"/>
      <c r="AT106" s="241"/>
      <c r="AU106" s="241"/>
      <c r="AV106" s="241"/>
      <c r="AW106" s="241"/>
      <c r="AX106" s="241"/>
      <c r="AY106" s="241"/>
      <c r="AZ106" s="241"/>
    </row>
    <row r="107" spans="1:52" s="71" customFormat="1" ht="18" hidden="1" customHeight="1" outlineLevel="2">
      <c r="A107" s="288">
        <v>79</v>
      </c>
      <c r="B107" s="97"/>
      <c r="C107" s="296"/>
      <c r="D107" s="360"/>
      <c r="E107" s="361"/>
      <c r="F107" s="298"/>
      <c r="G107" s="298"/>
      <c r="H107" s="86"/>
      <c r="I107" s="344" t="str">
        <f t="shared" si="21"/>
        <v/>
      </c>
      <c r="J107" s="345"/>
      <c r="K107" s="86"/>
      <c r="L107" s="86"/>
      <c r="M107" s="344" t="str">
        <f t="shared" si="22"/>
        <v/>
      </c>
      <c r="N107" s="345"/>
      <c r="O107" s="225" t="str">
        <f t="shared" si="23"/>
        <v/>
      </c>
      <c r="P107" s="225" t="str">
        <f t="shared" si="24"/>
        <v/>
      </c>
      <c r="Q107" s="330"/>
      <c r="R107" s="225" t="str">
        <f t="shared" si="25"/>
        <v/>
      </c>
      <c r="S107" s="225" t="str">
        <f t="shared" si="26"/>
        <v/>
      </c>
      <c r="T107" s="231" t="str">
        <f t="shared" si="27"/>
        <v/>
      </c>
      <c r="U107" s="176"/>
      <c r="V107" s="241"/>
      <c r="W107" s="241"/>
      <c r="X107" s="241"/>
      <c r="Y107" s="241"/>
      <c r="Z107" s="241"/>
      <c r="AA107" s="241"/>
      <c r="AB107" s="241"/>
      <c r="AC107" s="241"/>
      <c r="AD107" s="241"/>
      <c r="AE107" s="241"/>
      <c r="AF107" s="241"/>
      <c r="AG107" s="241"/>
      <c r="AH107" s="241"/>
      <c r="AI107" s="241"/>
      <c r="AJ107" s="241"/>
      <c r="AK107" s="241"/>
      <c r="AL107" s="241"/>
      <c r="AM107" s="241"/>
      <c r="AN107" s="241"/>
      <c r="AO107" s="241"/>
      <c r="AP107" s="241"/>
      <c r="AQ107" s="241"/>
      <c r="AR107" s="241"/>
      <c r="AS107" s="241"/>
      <c r="AT107" s="241"/>
      <c r="AU107" s="241"/>
      <c r="AV107" s="241"/>
      <c r="AW107" s="241"/>
      <c r="AX107" s="241"/>
      <c r="AY107" s="241"/>
      <c r="AZ107" s="241"/>
    </row>
    <row r="108" spans="1:52" s="71" customFormat="1" ht="18" hidden="1" customHeight="1" outlineLevel="2">
      <c r="A108" s="288">
        <v>80</v>
      </c>
      <c r="B108" s="97"/>
      <c r="C108" s="296"/>
      <c r="D108" s="360"/>
      <c r="E108" s="361"/>
      <c r="F108" s="298"/>
      <c r="G108" s="298"/>
      <c r="H108" s="86"/>
      <c r="I108" s="344" t="str">
        <f t="shared" si="21"/>
        <v/>
      </c>
      <c r="J108" s="345"/>
      <c r="K108" s="86"/>
      <c r="L108" s="86"/>
      <c r="M108" s="344" t="str">
        <f t="shared" si="22"/>
        <v/>
      </c>
      <c r="N108" s="345"/>
      <c r="O108" s="225" t="str">
        <f t="shared" si="23"/>
        <v/>
      </c>
      <c r="P108" s="225" t="str">
        <f t="shared" si="24"/>
        <v/>
      </c>
      <c r="Q108" s="330"/>
      <c r="R108" s="225" t="str">
        <f t="shared" si="25"/>
        <v/>
      </c>
      <c r="S108" s="225" t="str">
        <f t="shared" si="26"/>
        <v/>
      </c>
      <c r="T108" s="231" t="str">
        <f t="shared" si="27"/>
        <v/>
      </c>
      <c r="U108" s="176"/>
      <c r="V108" s="241"/>
      <c r="W108" s="241"/>
      <c r="X108" s="241"/>
      <c r="Y108" s="241"/>
      <c r="Z108" s="241"/>
      <c r="AA108" s="241"/>
      <c r="AB108" s="241"/>
      <c r="AC108" s="241"/>
      <c r="AD108" s="241"/>
      <c r="AE108" s="241"/>
      <c r="AF108" s="241"/>
      <c r="AG108" s="241"/>
      <c r="AH108" s="241"/>
      <c r="AI108" s="241"/>
      <c r="AJ108" s="241"/>
      <c r="AK108" s="241"/>
      <c r="AL108" s="241"/>
      <c r="AM108" s="241"/>
      <c r="AN108" s="241"/>
      <c r="AO108" s="241"/>
      <c r="AP108" s="241"/>
      <c r="AQ108" s="241"/>
      <c r="AR108" s="241"/>
      <c r="AS108" s="241"/>
      <c r="AT108" s="241"/>
      <c r="AU108" s="241"/>
      <c r="AV108" s="241"/>
      <c r="AW108" s="241"/>
      <c r="AX108" s="241"/>
      <c r="AY108" s="241"/>
      <c r="AZ108" s="241"/>
    </row>
    <row r="109" spans="1:52" s="71" customFormat="1" ht="18" hidden="1" customHeight="1" outlineLevel="2">
      <c r="A109" s="288">
        <v>81</v>
      </c>
      <c r="B109" s="97"/>
      <c r="C109" s="296"/>
      <c r="D109" s="360"/>
      <c r="E109" s="361"/>
      <c r="F109" s="298"/>
      <c r="G109" s="298"/>
      <c r="H109" s="86"/>
      <c r="I109" s="344" t="str">
        <f t="shared" si="21"/>
        <v/>
      </c>
      <c r="J109" s="345"/>
      <c r="K109" s="86"/>
      <c r="L109" s="86"/>
      <c r="M109" s="344" t="str">
        <f t="shared" si="22"/>
        <v/>
      </c>
      <c r="N109" s="345"/>
      <c r="O109" s="225" t="str">
        <f t="shared" si="23"/>
        <v/>
      </c>
      <c r="P109" s="225" t="str">
        <f t="shared" si="24"/>
        <v/>
      </c>
      <c r="Q109" s="330"/>
      <c r="R109" s="225" t="str">
        <f t="shared" si="25"/>
        <v/>
      </c>
      <c r="S109" s="225" t="str">
        <f t="shared" si="26"/>
        <v/>
      </c>
      <c r="T109" s="231" t="str">
        <f t="shared" si="27"/>
        <v/>
      </c>
      <c r="U109" s="176"/>
      <c r="V109" s="241"/>
      <c r="W109" s="241"/>
      <c r="X109" s="241"/>
      <c r="Y109" s="241"/>
      <c r="Z109" s="241"/>
      <c r="AA109" s="241"/>
      <c r="AB109" s="241"/>
      <c r="AC109" s="241"/>
      <c r="AD109" s="241"/>
      <c r="AE109" s="241"/>
      <c r="AF109" s="241"/>
      <c r="AG109" s="241"/>
      <c r="AH109" s="241"/>
      <c r="AI109" s="241"/>
      <c r="AJ109" s="241"/>
      <c r="AK109" s="241"/>
      <c r="AL109" s="241"/>
      <c r="AM109" s="241"/>
      <c r="AN109" s="241"/>
      <c r="AO109" s="241"/>
      <c r="AP109" s="241"/>
      <c r="AQ109" s="241"/>
      <c r="AR109" s="241"/>
      <c r="AS109" s="241"/>
      <c r="AT109" s="241"/>
      <c r="AU109" s="241"/>
      <c r="AV109" s="241"/>
      <c r="AW109" s="241"/>
      <c r="AX109" s="241"/>
      <c r="AY109" s="241"/>
      <c r="AZ109" s="241"/>
    </row>
    <row r="110" spans="1:52" s="71" customFormat="1" ht="18" hidden="1" customHeight="1" outlineLevel="2">
      <c r="A110" s="288">
        <v>82</v>
      </c>
      <c r="B110" s="97"/>
      <c r="C110" s="296"/>
      <c r="D110" s="360"/>
      <c r="E110" s="361"/>
      <c r="F110" s="298"/>
      <c r="G110" s="298"/>
      <c r="H110" s="86"/>
      <c r="I110" s="344" t="str">
        <f t="shared" si="21"/>
        <v/>
      </c>
      <c r="J110" s="345"/>
      <c r="K110" s="86"/>
      <c r="L110" s="86"/>
      <c r="M110" s="344" t="str">
        <f t="shared" si="22"/>
        <v/>
      </c>
      <c r="N110" s="345"/>
      <c r="O110" s="225" t="str">
        <f t="shared" si="23"/>
        <v/>
      </c>
      <c r="P110" s="225" t="str">
        <f t="shared" si="24"/>
        <v/>
      </c>
      <c r="Q110" s="330"/>
      <c r="R110" s="225" t="str">
        <f t="shared" si="25"/>
        <v/>
      </c>
      <c r="S110" s="225" t="str">
        <f t="shared" si="26"/>
        <v/>
      </c>
      <c r="T110" s="231" t="str">
        <f t="shared" si="27"/>
        <v/>
      </c>
      <c r="U110" s="176"/>
      <c r="V110" s="241"/>
      <c r="W110" s="241"/>
      <c r="X110" s="241"/>
      <c r="Y110" s="241"/>
      <c r="Z110" s="241"/>
      <c r="AA110" s="241"/>
      <c r="AB110" s="241"/>
      <c r="AC110" s="241"/>
      <c r="AD110" s="241"/>
      <c r="AE110" s="241"/>
      <c r="AF110" s="241"/>
      <c r="AG110" s="241"/>
      <c r="AH110" s="241"/>
      <c r="AI110" s="241"/>
      <c r="AJ110" s="241"/>
      <c r="AK110" s="241"/>
      <c r="AL110" s="241"/>
      <c r="AM110" s="241"/>
      <c r="AN110" s="241"/>
      <c r="AO110" s="241"/>
      <c r="AP110" s="241"/>
      <c r="AQ110" s="241"/>
      <c r="AR110" s="241"/>
      <c r="AS110" s="241"/>
      <c r="AT110" s="241"/>
      <c r="AU110" s="241"/>
      <c r="AV110" s="241"/>
      <c r="AW110" s="241"/>
      <c r="AX110" s="241"/>
      <c r="AY110" s="241"/>
      <c r="AZ110" s="241"/>
    </row>
    <row r="111" spans="1:52" s="71" customFormat="1" ht="18" hidden="1" customHeight="1" outlineLevel="2">
      <c r="A111" s="288">
        <v>83</v>
      </c>
      <c r="B111" s="97"/>
      <c r="C111" s="296"/>
      <c r="D111" s="360"/>
      <c r="E111" s="361"/>
      <c r="F111" s="298"/>
      <c r="G111" s="298"/>
      <c r="H111" s="86"/>
      <c r="I111" s="344" t="str">
        <f t="shared" si="21"/>
        <v/>
      </c>
      <c r="J111" s="345"/>
      <c r="K111" s="86"/>
      <c r="L111" s="86"/>
      <c r="M111" s="344" t="str">
        <f t="shared" si="22"/>
        <v/>
      </c>
      <c r="N111" s="345"/>
      <c r="O111" s="225" t="str">
        <f t="shared" si="23"/>
        <v/>
      </c>
      <c r="P111" s="225" t="str">
        <f t="shared" si="24"/>
        <v/>
      </c>
      <c r="Q111" s="330"/>
      <c r="R111" s="225" t="str">
        <f t="shared" si="25"/>
        <v/>
      </c>
      <c r="S111" s="225" t="str">
        <f t="shared" si="26"/>
        <v/>
      </c>
      <c r="T111" s="231" t="str">
        <f t="shared" si="27"/>
        <v/>
      </c>
      <c r="U111" s="176"/>
      <c r="V111" s="241"/>
      <c r="W111" s="241"/>
      <c r="X111" s="241"/>
      <c r="Y111" s="241"/>
      <c r="Z111" s="241"/>
      <c r="AA111" s="241"/>
      <c r="AB111" s="241"/>
      <c r="AC111" s="241"/>
      <c r="AD111" s="241"/>
      <c r="AE111" s="241"/>
      <c r="AF111" s="241"/>
      <c r="AG111" s="241"/>
      <c r="AH111" s="241"/>
      <c r="AI111" s="241"/>
      <c r="AJ111" s="241"/>
      <c r="AK111" s="241"/>
      <c r="AL111" s="241"/>
      <c r="AM111" s="241"/>
      <c r="AN111" s="241"/>
      <c r="AO111" s="241"/>
      <c r="AP111" s="241"/>
      <c r="AQ111" s="241"/>
      <c r="AR111" s="241"/>
      <c r="AS111" s="241"/>
      <c r="AT111" s="241"/>
      <c r="AU111" s="241"/>
      <c r="AV111" s="241"/>
      <c r="AW111" s="241"/>
      <c r="AX111" s="241"/>
      <c r="AY111" s="241"/>
      <c r="AZ111" s="241"/>
    </row>
    <row r="112" spans="1:52" s="71" customFormat="1" ht="18" hidden="1" customHeight="1" outlineLevel="2">
      <c r="A112" s="288">
        <v>84</v>
      </c>
      <c r="B112" s="97"/>
      <c r="C112" s="296"/>
      <c r="D112" s="360"/>
      <c r="E112" s="361"/>
      <c r="F112" s="298"/>
      <c r="G112" s="298"/>
      <c r="H112" s="86"/>
      <c r="I112" s="344" t="str">
        <f t="shared" si="21"/>
        <v/>
      </c>
      <c r="J112" s="345"/>
      <c r="K112" s="86"/>
      <c r="L112" s="86"/>
      <c r="M112" s="344" t="str">
        <f t="shared" si="22"/>
        <v/>
      </c>
      <c r="N112" s="345"/>
      <c r="O112" s="225" t="str">
        <f t="shared" si="23"/>
        <v/>
      </c>
      <c r="P112" s="225" t="str">
        <f t="shared" si="24"/>
        <v/>
      </c>
      <c r="Q112" s="330"/>
      <c r="R112" s="225" t="str">
        <f t="shared" si="25"/>
        <v/>
      </c>
      <c r="S112" s="225" t="str">
        <f t="shared" si="26"/>
        <v/>
      </c>
      <c r="T112" s="231" t="str">
        <f t="shared" si="27"/>
        <v/>
      </c>
      <c r="U112" s="176"/>
      <c r="V112" s="241"/>
      <c r="W112" s="241"/>
      <c r="X112" s="241"/>
      <c r="Y112" s="241"/>
      <c r="Z112" s="241"/>
      <c r="AA112" s="241"/>
      <c r="AB112" s="241"/>
      <c r="AC112" s="241"/>
      <c r="AD112" s="241"/>
      <c r="AE112" s="241"/>
      <c r="AF112" s="241"/>
      <c r="AG112" s="241"/>
      <c r="AH112" s="241"/>
      <c r="AI112" s="241"/>
      <c r="AJ112" s="241"/>
      <c r="AK112" s="241"/>
      <c r="AL112" s="241"/>
      <c r="AM112" s="241"/>
      <c r="AN112" s="241"/>
      <c r="AO112" s="241"/>
      <c r="AP112" s="241"/>
      <c r="AQ112" s="241"/>
      <c r="AR112" s="241"/>
      <c r="AS112" s="241"/>
      <c r="AT112" s="241"/>
      <c r="AU112" s="241"/>
      <c r="AV112" s="241"/>
      <c r="AW112" s="241"/>
      <c r="AX112" s="241"/>
      <c r="AY112" s="241"/>
      <c r="AZ112" s="241"/>
    </row>
    <row r="113" spans="1:52" s="71" customFormat="1" ht="18" hidden="1" customHeight="1" outlineLevel="2">
      <c r="A113" s="288">
        <v>85</v>
      </c>
      <c r="B113" s="97"/>
      <c r="C113" s="296"/>
      <c r="D113" s="360"/>
      <c r="E113" s="361"/>
      <c r="F113" s="298"/>
      <c r="G113" s="298"/>
      <c r="H113" s="86"/>
      <c r="I113" s="344" t="str">
        <f t="shared" si="21"/>
        <v/>
      </c>
      <c r="J113" s="345"/>
      <c r="K113" s="86"/>
      <c r="L113" s="86"/>
      <c r="M113" s="344" t="str">
        <f t="shared" si="22"/>
        <v/>
      </c>
      <c r="N113" s="345"/>
      <c r="O113" s="225" t="str">
        <f t="shared" si="23"/>
        <v/>
      </c>
      <c r="P113" s="225" t="str">
        <f t="shared" si="24"/>
        <v/>
      </c>
      <c r="Q113" s="330"/>
      <c r="R113" s="225" t="str">
        <f t="shared" si="25"/>
        <v/>
      </c>
      <c r="S113" s="225" t="str">
        <f t="shared" si="26"/>
        <v/>
      </c>
      <c r="T113" s="231" t="str">
        <f t="shared" si="27"/>
        <v/>
      </c>
      <c r="U113" s="176"/>
      <c r="V113" s="241"/>
      <c r="W113" s="241"/>
      <c r="X113" s="241"/>
      <c r="Y113" s="241"/>
      <c r="Z113" s="241"/>
      <c r="AA113" s="241"/>
      <c r="AB113" s="241"/>
      <c r="AC113" s="241"/>
      <c r="AD113" s="241"/>
      <c r="AE113" s="241"/>
      <c r="AF113" s="241"/>
      <c r="AG113" s="241"/>
      <c r="AH113" s="241"/>
      <c r="AI113" s="241"/>
      <c r="AJ113" s="241"/>
      <c r="AK113" s="241"/>
      <c r="AL113" s="241"/>
      <c r="AM113" s="241"/>
      <c r="AN113" s="241"/>
      <c r="AO113" s="241"/>
      <c r="AP113" s="241"/>
      <c r="AQ113" s="241"/>
      <c r="AR113" s="241"/>
      <c r="AS113" s="241"/>
      <c r="AT113" s="241"/>
      <c r="AU113" s="241"/>
      <c r="AV113" s="241"/>
      <c r="AW113" s="241"/>
      <c r="AX113" s="241"/>
      <c r="AY113" s="241"/>
      <c r="AZ113" s="241"/>
    </row>
    <row r="114" spans="1:52" s="71" customFormat="1" ht="18" hidden="1" customHeight="1" outlineLevel="2">
      <c r="A114" s="288">
        <v>86</v>
      </c>
      <c r="B114" s="97"/>
      <c r="C114" s="296"/>
      <c r="D114" s="360"/>
      <c r="E114" s="361"/>
      <c r="F114" s="298"/>
      <c r="G114" s="298"/>
      <c r="H114" s="86"/>
      <c r="I114" s="344" t="str">
        <f t="shared" si="21"/>
        <v/>
      </c>
      <c r="J114" s="345"/>
      <c r="K114" s="86"/>
      <c r="L114" s="86"/>
      <c r="M114" s="344" t="str">
        <f t="shared" si="22"/>
        <v/>
      </c>
      <c r="N114" s="345"/>
      <c r="O114" s="225" t="str">
        <f t="shared" si="23"/>
        <v/>
      </c>
      <c r="P114" s="225" t="str">
        <f t="shared" si="24"/>
        <v/>
      </c>
      <c r="Q114" s="330"/>
      <c r="R114" s="225" t="str">
        <f t="shared" si="25"/>
        <v/>
      </c>
      <c r="S114" s="225" t="str">
        <f t="shared" si="26"/>
        <v/>
      </c>
      <c r="T114" s="231" t="str">
        <f t="shared" si="27"/>
        <v/>
      </c>
      <c r="U114" s="176"/>
      <c r="V114" s="241"/>
      <c r="W114" s="241"/>
      <c r="X114" s="241"/>
      <c r="Y114" s="241"/>
      <c r="Z114" s="241"/>
      <c r="AA114" s="241"/>
      <c r="AB114" s="241"/>
      <c r="AC114" s="241"/>
      <c r="AD114" s="241"/>
      <c r="AE114" s="241"/>
      <c r="AF114" s="241"/>
      <c r="AG114" s="241"/>
      <c r="AH114" s="241"/>
      <c r="AI114" s="241"/>
      <c r="AJ114" s="241"/>
      <c r="AK114" s="241"/>
      <c r="AL114" s="241"/>
      <c r="AM114" s="241"/>
      <c r="AN114" s="241"/>
      <c r="AO114" s="241"/>
      <c r="AP114" s="241"/>
      <c r="AQ114" s="241"/>
      <c r="AR114" s="241"/>
      <c r="AS114" s="241"/>
      <c r="AT114" s="241"/>
      <c r="AU114" s="241"/>
      <c r="AV114" s="241"/>
      <c r="AW114" s="241"/>
      <c r="AX114" s="241"/>
      <c r="AY114" s="241"/>
      <c r="AZ114" s="241"/>
    </row>
    <row r="115" spans="1:52" s="71" customFormat="1" ht="18" hidden="1" customHeight="1" outlineLevel="2">
      <c r="A115" s="288">
        <v>87</v>
      </c>
      <c r="B115" s="97"/>
      <c r="C115" s="296"/>
      <c r="D115" s="360"/>
      <c r="E115" s="361"/>
      <c r="F115" s="298"/>
      <c r="G115" s="298"/>
      <c r="H115" s="86"/>
      <c r="I115" s="344" t="str">
        <f t="shared" si="21"/>
        <v/>
      </c>
      <c r="J115" s="345"/>
      <c r="K115" s="86"/>
      <c r="L115" s="86"/>
      <c r="M115" s="344" t="str">
        <f t="shared" si="22"/>
        <v/>
      </c>
      <c r="N115" s="345"/>
      <c r="O115" s="225" t="str">
        <f t="shared" si="23"/>
        <v/>
      </c>
      <c r="P115" s="225" t="str">
        <f t="shared" si="24"/>
        <v/>
      </c>
      <c r="Q115" s="330"/>
      <c r="R115" s="225" t="str">
        <f t="shared" si="25"/>
        <v/>
      </c>
      <c r="S115" s="225" t="str">
        <f t="shared" si="26"/>
        <v/>
      </c>
      <c r="T115" s="231" t="str">
        <f t="shared" si="27"/>
        <v/>
      </c>
      <c r="U115" s="176"/>
      <c r="V115" s="241"/>
      <c r="W115" s="241"/>
      <c r="X115" s="241"/>
      <c r="Y115" s="241"/>
      <c r="Z115" s="241"/>
      <c r="AA115" s="241"/>
      <c r="AB115" s="241"/>
      <c r="AC115" s="241"/>
      <c r="AD115" s="241"/>
      <c r="AE115" s="241"/>
      <c r="AF115" s="241"/>
      <c r="AG115" s="241"/>
      <c r="AH115" s="241"/>
      <c r="AI115" s="241"/>
      <c r="AJ115" s="241"/>
      <c r="AK115" s="241"/>
      <c r="AL115" s="241"/>
      <c r="AM115" s="241"/>
      <c r="AN115" s="241"/>
      <c r="AO115" s="241"/>
      <c r="AP115" s="241"/>
      <c r="AQ115" s="241"/>
      <c r="AR115" s="241"/>
      <c r="AS115" s="241"/>
      <c r="AT115" s="241"/>
      <c r="AU115" s="241"/>
      <c r="AV115" s="241"/>
      <c r="AW115" s="241"/>
      <c r="AX115" s="241"/>
      <c r="AY115" s="241"/>
      <c r="AZ115" s="241"/>
    </row>
    <row r="116" spans="1:52" s="71" customFormat="1" ht="18" hidden="1" customHeight="1" outlineLevel="2">
      <c r="A116" s="288">
        <v>88</v>
      </c>
      <c r="B116" s="97"/>
      <c r="C116" s="296"/>
      <c r="D116" s="360"/>
      <c r="E116" s="361"/>
      <c r="F116" s="298"/>
      <c r="G116" s="298"/>
      <c r="H116" s="86"/>
      <c r="I116" s="344" t="str">
        <f t="shared" si="21"/>
        <v/>
      </c>
      <c r="J116" s="345"/>
      <c r="K116" s="86"/>
      <c r="L116" s="86"/>
      <c r="M116" s="344" t="str">
        <f t="shared" si="22"/>
        <v/>
      </c>
      <c r="N116" s="345"/>
      <c r="O116" s="225" t="str">
        <f t="shared" si="23"/>
        <v/>
      </c>
      <c r="P116" s="225" t="str">
        <f t="shared" si="24"/>
        <v/>
      </c>
      <c r="Q116" s="330"/>
      <c r="R116" s="225" t="str">
        <f t="shared" si="25"/>
        <v/>
      </c>
      <c r="S116" s="225" t="str">
        <f t="shared" si="26"/>
        <v/>
      </c>
      <c r="T116" s="231" t="str">
        <f t="shared" si="27"/>
        <v/>
      </c>
      <c r="U116" s="176"/>
      <c r="V116" s="241"/>
      <c r="W116" s="241"/>
      <c r="X116" s="241"/>
      <c r="Y116" s="241"/>
      <c r="Z116" s="241"/>
      <c r="AA116" s="241"/>
      <c r="AB116" s="241"/>
      <c r="AC116" s="241"/>
      <c r="AD116" s="241"/>
      <c r="AE116" s="241"/>
      <c r="AF116" s="241"/>
      <c r="AG116" s="241"/>
      <c r="AH116" s="241"/>
      <c r="AI116" s="241"/>
      <c r="AJ116" s="241"/>
      <c r="AK116" s="241"/>
      <c r="AL116" s="241"/>
      <c r="AM116" s="241"/>
      <c r="AN116" s="241"/>
      <c r="AO116" s="241"/>
      <c r="AP116" s="241"/>
      <c r="AQ116" s="241"/>
      <c r="AR116" s="241"/>
      <c r="AS116" s="241"/>
      <c r="AT116" s="241"/>
      <c r="AU116" s="241"/>
      <c r="AV116" s="241"/>
      <c r="AW116" s="241"/>
      <c r="AX116" s="241"/>
      <c r="AY116" s="241"/>
      <c r="AZ116" s="241"/>
    </row>
    <row r="117" spans="1:52" s="71" customFormat="1" ht="18" hidden="1" customHeight="1" outlineLevel="2">
      <c r="A117" s="288">
        <v>89</v>
      </c>
      <c r="B117" s="97"/>
      <c r="C117" s="296"/>
      <c r="D117" s="360"/>
      <c r="E117" s="361"/>
      <c r="F117" s="298"/>
      <c r="G117" s="298"/>
      <c r="H117" s="86"/>
      <c r="I117" s="344" t="str">
        <f t="shared" si="21"/>
        <v/>
      </c>
      <c r="J117" s="345"/>
      <c r="K117" s="86"/>
      <c r="L117" s="86"/>
      <c r="M117" s="344" t="str">
        <f t="shared" si="22"/>
        <v/>
      </c>
      <c r="N117" s="345"/>
      <c r="O117" s="225" t="str">
        <f t="shared" si="23"/>
        <v/>
      </c>
      <c r="P117" s="225" t="str">
        <f t="shared" si="24"/>
        <v/>
      </c>
      <c r="Q117" s="330"/>
      <c r="R117" s="225" t="str">
        <f t="shared" si="25"/>
        <v/>
      </c>
      <c r="S117" s="225" t="str">
        <f t="shared" si="26"/>
        <v/>
      </c>
      <c r="T117" s="231" t="str">
        <f t="shared" si="27"/>
        <v/>
      </c>
      <c r="U117" s="176"/>
      <c r="V117" s="241"/>
      <c r="W117" s="241"/>
      <c r="X117" s="241"/>
      <c r="Y117" s="241"/>
      <c r="Z117" s="241"/>
      <c r="AA117" s="241"/>
      <c r="AB117" s="241"/>
      <c r="AC117" s="241"/>
      <c r="AD117" s="241"/>
      <c r="AE117" s="241"/>
      <c r="AF117" s="241"/>
      <c r="AG117" s="241"/>
      <c r="AH117" s="241"/>
      <c r="AI117" s="241"/>
      <c r="AJ117" s="241"/>
      <c r="AK117" s="241"/>
      <c r="AL117" s="241"/>
      <c r="AM117" s="241"/>
      <c r="AN117" s="241"/>
      <c r="AO117" s="241"/>
      <c r="AP117" s="241"/>
      <c r="AQ117" s="241"/>
      <c r="AR117" s="241"/>
      <c r="AS117" s="241"/>
      <c r="AT117" s="241"/>
      <c r="AU117" s="241"/>
      <c r="AV117" s="241"/>
      <c r="AW117" s="241"/>
      <c r="AX117" s="241"/>
      <c r="AY117" s="241"/>
      <c r="AZ117" s="241"/>
    </row>
    <row r="118" spans="1:52" s="71" customFormat="1" ht="18" hidden="1" customHeight="1" outlineLevel="2">
      <c r="A118" s="288">
        <v>90</v>
      </c>
      <c r="B118" s="97"/>
      <c r="C118" s="296"/>
      <c r="D118" s="360"/>
      <c r="E118" s="361"/>
      <c r="F118" s="298"/>
      <c r="G118" s="298"/>
      <c r="H118" s="86"/>
      <c r="I118" s="344" t="str">
        <f t="shared" si="21"/>
        <v/>
      </c>
      <c r="J118" s="345"/>
      <c r="K118" s="86"/>
      <c r="L118" s="86"/>
      <c r="M118" s="344" t="str">
        <f t="shared" si="22"/>
        <v/>
      </c>
      <c r="N118" s="345"/>
      <c r="O118" s="225" t="str">
        <f t="shared" si="23"/>
        <v/>
      </c>
      <c r="P118" s="225" t="str">
        <f t="shared" si="24"/>
        <v/>
      </c>
      <c r="Q118" s="330"/>
      <c r="R118" s="225" t="str">
        <f t="shared" si="25"/>
        <v/>
      </c>
      <c r="S118" s="225" t="str">
        <f t="shared" si="26"/>
        <v/>
      </c>
      <c r="T118" s="231" t="str">
        <f t="shared" si="27"/>
        <v/>
      </c>
      <c r="U118" s="176"/>
      <c r="V118" s="241"/>
      <c r="W118" s="241"/>
      <c r="X118" s="241"/>
      <c r="Y118" s="241"/>
      <c r="Z118" s="241"/>
      <c r="AA118" s="241"/>
      <c r="AB118" s="241"/>
      <c r="AC118" s="241"/>
      <c r="AD118" s="241"/>
      <c r="AE118" s="241"/>
      <c r="AF118" s="241"/>
      <c r="AG118" s="241"/>
      <c r="AH118" s="241"/>
      <c r="AI118" s="241"/>
      <c r="AJ118" s="241"/>
      <c r="AK118" s="241"/>
      <c r="AL118" s="241"/>
      <c r="AM118" s="241"/>
      <c r="AN118" s="241"/>
      <c r="AO118" s="241"/>
      <c r="AP118" s="241"/>
      <c r="AQ118" s="241"/>
      <c r="AR118" s="241"/>
      <c r="AS118" s="241"/>
      <c r="AT118" s="241"/>
      <c r="AU118" s="241"/>
      <c r="AV118" s="241"/>
      <c r="AW118" s="241"/>
      <c r="AX118" s="241"/>
      <c r="AY118" s="241"/>
      <c r="AZ118" s="241"/>
    </row>
    <row r="119" spans="1:52" s="71" customFormat="1" ht="18" hidden="1" customHeight="1" outlineLevel="1" collapsed="1">
      <c r="A119" s="288">
        <v>91</v>
      </c>
      <c r="B119" s="97"/>
      <c r="C119" s="296"/>
      <c r="D119" s="360"/>
      <c r="E119" s="361"/>
      <c r="F119" s="298"/>
      <c r="G119" s="298"/>
      <c r="H119" s="86"/>
      <c r="I119" s="344" t="str">
        <f t="shared" ref="I119:I138" si="28">INDEX(logic_dumuapp,MATCH($A119,logic_appno,0))</f>
        <v/>
      </c>
      <c r="J119" s="345"/>
      <c r="K119" s="86"/>
      <c r="L119" s="86"/>
      <c r="M119" s="344" t="str">
        <f t="shared" ref="M119:M138" si="29">INDEX(logic_wuruapp,MATCH($A119,logic_appno,0))</f>
        <v/>
      </c>
      <c r="N119" s="345"/>
      <c r="O119" s="225" t="str">
        <f t="shared" ref="O119:O138" si="30">INDEX(logic_appawub,MATCH($A119,logic_appno,0))</f>
        <v/>
      </c>
      <c r="P119" s="225" t="str">
        <f t="shared" ref="P119:P138" si="31">INDEX(logic_appawudwoaw,MATCH($A119,logic_appno,0))</f>
        <v/>
      </c>
      <c r="Q119" s="330"/>
      <c r="R119" s="225" t="str">
        <f t="shared" ref="R119:R138" si="32">INDEX(logic_appawud,MATCH($A119,logic_appno,0))</f>
        <v/>
      </c>
      <c r="S119" s="225" t="str">
        <f t="shared" ref="S119:S138" si="33">INDEX(logic_appawusa,MATCH($A119,logic_appno,0))</f>
        <v/>
      </c>
      <c r="T119" s="231" t="str">
        <f t="shared" ref="T119:T138" si="34">INDEX(logic_appawusp,MATCH($A119,logic_appno,0))</f>
        <v/>
      </c>
      <c r="U119" s="176" t="s">
        <v>165</v>
      </c>
      <c r="V119" s="241"/>
      <c r="W119" s="241"/>
      <c r="X119" s="241"/>
      <c r="Y119" s="241"/>
      <c r="Z119" s="241"/>
      <c r="AA119" s="241"/>
      <c r="AB119" s="241"/>
      <c r="AC119" s="241"/>
      <c r="AD119" s="241"/>
      <c r="AE119" s="241"/>
      <c r="AF119" s="241"/>
      <c r="AG119" s="241"/>
      <c r="AH119" s="241"/>
      <c r="AI119" s="241"/>
      <c r="AJ119" s="241"/>
      <c r="AK119" s="241"/>
      <c r="AL119" s="241"/>
      <c r="AM119" s="241"/>
      <c r="AN119" s="241"/>
      <c r="AO119" s="241"/>
      <c r="AP119" s="241"/>
      <c r="AQ119" s="241"/>
      <c r="AR119" s="241"/>
      <c r="AS119" s="241"/>
      <c r="AT119" s="241"/>
      <c r="AU119" s="241"/>
      <c r="AV119" s="241"/>
      <c r="AW119" s="241"/>
      <c r="AX119" s="241"/>
      <c r="AY119" s="241"/>
      <c r="AZ119" s="241"/>
    </row>
    <row r="120" spans="1:52" s="71" customFormat="1" ht="18" hidden="1" customHeight="1" outlineLevel="2">
      <c r="A120" s="288">
        <v>92</v>
      </c>
      <c r="B120" s="97"/>
      <c r="C120" s="296"/>
      <c r="D120" s="360"/>
      <c r="E120" s="361"/>
      <c r="F120" s="298"/>
      <c r="G120" s="298"/>
      <c r="H120" s="86"/>
      <c r="I120" s="344" t="str">
        <f t="shared" si="28"/>
        <v/>
      </c>
      <c r="J120" s="345"/>
      <c r="K120" s="86"/>
      <c r="L120" s="86"/>
      <c r="M120" s="344" t="str">
        <f t="shared" si="29"/>
        <v/>
      </c>
      <c r="N120" s="345"/>
      <c r="O120" s="225" t="str">
        <f t="shared" si="30"/>
        <v/>
      </c>
      <c r="P120" s="225" t="str">
        <f t="shared" si="31"/>
        <v/>
      </c>
      <c r="Q120" s="330"/>
      <c r="R120" s="225" t="str">
        <f t="shared" si="32"/>
        <v/>
      </c>
      <c r="S120" s="225" t="str">
        <f t="shared" si="33"/>
        <v/>
      </c>
      <c r="T120" s="231" t="str">
        <f t="shared" si="34"/>
        <v/>
      </c>
      <c r="U120" s="176"/>
      <c r="V120" s="241"/>
      <c r="W120" s="241"/>
      <c r="X120" s="241"/>
      <c r="Y120" s="241"/>
      <c r="Z120" s="241"/>
      <c r="AA120" s="241"/>
      <c r="AB120" s="241"/>
      <c r="AC120" s="241"/>
      <c r="AD120" s="241"/>
      <c r="AE120" s="241"/>
      <c r="AF120" s="241"/>
      <c r="AG120" s="241"/>
      <c r="AH120" s="241"/>
      <c r="AI120" s="241"/>
      <c r="AJ120" s="241"/>
      <c r="AK120" s="241"/>
      <c r="AL120" s="241"/>
      <c r="AM120" s="241"/>
      <c r="AN120" s="241"/>
      <c r="AO120" s="241"/>
      <c r="AP120" s="241"/>
      <c r="AQ120" s="241"/>
      <c r="AR120" s="241"/>
      <c r="AS120" s="241"/>
      <c r="AT120" s="241"/>
      <c r="AU120" s="241"/>
      <c r="AV120" s="241"/>
      <c r="AW120" s="241"/>
      <c r="AX120" s="241"/>
      <c r="AY120" s="241"/>
      <c r="AZ120" s="241"/>
    </row>
    <row r="121" spans="1:52" s="71" customFormat="1" ht="18" hidden="1" customHeight="1" outlineLevel="2">
      <c r="A121" s="288">
        <v>93</v>
      </c>
      <c r="B121" s="97"/>
      <c r="C121" s="296"/>
      <c r="D121" s="360"/>
      <c r="E121" s="361"/>
      <c r="F121" s="298"/>
      <c r="G121" s="298"/>
      <c r="H121" s="86"/>
      <c r="I121" s="344" t="str">
        <f t="shared" si="28"/>
        <v/>
      </c>
      <c r="J121" s="345"/>
      <c r="K121" s="86"/>
      <c r="L121" s="86"/>
      <c r="M121" s="344" t="str">
        <f t="shared" si="29"/>
        <v/>
      </c>
      <c r="N121" s="345"/>
      <c r="O121" s="225" t="str">
        <f t="shared" si="30"/>
        <v/>
      </c>
      <c r="P121" s="225" t="str">
        <f t="shared" si="31"/>
        <v/>
      </c>
      <c r="Q121" s="330"/>
      <c r="R121" s="225" t="str">
        <f t="shared" si="32"/>
        <v/>
      </c>
      <c r="S121" s="225" t="str">
        <f t="shared" si="33"/>
        <v/>
      </c>
      <c r="T121" s="231" t="str">
        <f t="shared" si="34"/>
        <v/>
      </c>
      <c r="U121" s="176"/>
      <c r="V121" s="241"/>
      <c r="W121" s="241"/>
      <c r="X121" s="241"/>
      <c r="Y121" s="241"/>
      <c r="Z121" s="241"/>
      <c r="AA121" s="241"/>
      <c r="AB121" s="241"/>
      <c r="AC121" s="241"/>
      <c r="AD121" s="241"/>
      <c r="AE121" s="241"/>
      <c r="AF121" s="241"/>
      <c r="AG121" s="241"/>
      <c r="AH121" s="241"/>
      <c r="AI121" s="241"/>
      <c r="AJ121" s="241"/>
      <c r="AK121" s="241"/>
      <c r="AL121" s="241"/>
      <c r="AM121" s="241"/>
      <c r="AN121" s="241"/>
      <c r="AO121" s="241"/>
      <c r="AP121" s="241"/>
      <c r="AQ121" s="241"/>
      <c r="AR121" s="241"/>
      <c r="AS121" s="241"/>
      <c r="AT121" s="241"/>
      <c r="AU121" s="241"/>
      <c r="AV121" s="241"/>
      <c r="AW121" s="241"/>
      <c r="AX121" s="241"/>
      <c r="AY121" s="241"/>
      <c r="AZ121" s="241"/>
    </row>
    <row r="122" spans="1:52" s="71" customFormat="1" ht="18" hidden="1" customHeight="1" outlineLevel="2">
      <c r="A122" s="288">
        <v>94</v>
      </c>
      <c r="B122" s="97"/>
      <c r="C122" s="296"/>
      <c r="D122" s="360"/>
      <c r="E122" s="361"/>
      <c r="F122" s="298"/>
      <c r="G122" s="298"/>
      <c r="H122" s="86"/>
      <c r="I122" s="344" t="str">
        <f t="shared" si="28"/>
        <v/>
      </c>
      <c r="J122" s="345"/>
      <c r="K122" s="86"/>
      <c r="L122" s="86"/>
      <c r="M122" s="344" t="str">
        <f t="shared" si="29"/>
        <v/>
      </c>
      <c r="N122" s="345"/>
      <c r="O122" s="225" t="str">
        <f t="shared" si="30"/>
        <v/>
      </c>
      <c r="P122" s="225" t="str">
        <f t="shared" si="31"/>
        <v/>
      </c>
      <c r="Q122" s="330"/>
      <c r="R122" s="225" t="str">
        <f t="shared" si="32"/>
        <v/>
      </c>
      <c r="S122" s="225" t="str">
        <f t="shared" si="33"/>
        <v/>
      </c>
      <c r="T122" s="231" t="str">
        <f t="shared" si="34"/>
        <v/>
      </c>
      <c r="U122" s="176"/>
      <c r="V122" s="241"/>
      <c r="W122" s="241"/>
      <c r="X122" s="241"/>
      <c r="Y122" s="241"/>
      <c r="Z122" s="241"/>
      <c r="AA122" s="241"/>
      <c r="AB122" s="241"/>
      <c r="AC122" s="241"/>
      <c r="AD122" s="241"/>
      <c r="AE122" s="241"/>
      <c r="AF122" s="241"/>
      <c r="AG122" s="241"/>
      <c r="AH122" s="241"/>
      <c r="AI122" s="241"/>
      <c r="AJ122" s="241"/>
      <c r="AK122" s="241"/>
      <c r="AL122" s="241"/>
      <c r="AM122" s="241"/>
      <c r="AN122" s="241"/>
      <c r="AO122" s="241"/>
      <c r="AP122" s="241"/>
      <c r="AQ122" s="241"/>
      <c r="AR122" s="241"/>
      <c r="AS122" s="241"/>
      <c r="AT122" s="241"/>
      <c r="AU122" s="241"/>
      <c r="AV122" s="241"/>
      <c r="AW122" s="241"/>
      <c r="AX122" s="241"/>
      <c r="AY122" s="241"/>
      <c r="AZ122" s="241"/>
    </row>
    <row r="123" spans="1:52" s="71" customFormat="1" ht="18" hidden="1" customHeight="1" outlineLevel="2">
      <c r="A123" s="288">
        <v>95</v>
      </c>
      <c r="B123" s="97"/>
      <c r="C123" s="296"/>
      <c r="D123" s="360"/>
      <c r="E123" s="361"/>
      <c r="F123" s="298"/>
      <c r="G123" s="298"/>
      <c r="H123" s="86"/>
      <c r="I123" s="344" t="str">
        <f t="shared" si="28"/>
        <v/>
      </c>
      <c r="J123" s="345"/>
      <c r="K123" s="86"/>
      <c r="L123" s="86"/>
      <c r="M123" s="344" t="str">
        <f t="shared" si="29"/>
        <v/>
      </c>
      <c r="N123" s="345"/>
      <c r="O123" s="225" t="str">
        <f t="shared" si="30"/>
        <v/>
      </c>
      <c r="P123" s="225" t="str">
        <f t="shared" si="31"/>
        <v/>
      </c>
      <c r="Q123" s="330"/>
      <c r="R123" s="225" t="str">
        <f t="shared" si="32"/>
        <v/>
      </c>
      <c r="S123" s="225" t="str">
        <f t="shared" si="33"/>
        <v/>
      </c>
      <c r="T123" s="231" t="str">
        <f t="shared" si="34"/>
        <v/>
      </c>
      <c r="U123" s="176"/>
      <c r="V123" s="241"/>
      <c r="W123" s="241"/>
      <c r="X123" s="241"/>
      <c r="Y123" s="241"/>
      <c r="Z123" s="241"/>
      <c r="AA123" s="241"/>
      <c r="AB123" s="241"/>
      <c r="AC123" s="241"/>
      <c r="AD123" s="241"/>
      <c r="AE123" s="241"/>
      <c r="AF123" s="241"/>
      <c r="AG123" s="241"/>
      <c r="AH123" s="241"/>
      <c r="AI123" s="241"/>
      <c r="AJ123" s="241"/>
      <c r="AK123" s="241"/>
      <c r="AL123" s="241"/>
      <c r="AM123" s="241"/>
      <c r="AN123" s="241"/>
      <c r="AO123" s="241"/>
      <c r="AP123" s="241"/>
      <c r="AQ123" s="241"/>
      <c r="AR123" s="241"/>
      <c r="AS123" s="241"/>
      <c r="AT123" s="241"/>
      <c r="AU123" s="241"/>
      <c r="AV123" s="241"/>
      <c r="AW123" s="241"/>
      <c r="AX123" s="241"/>
      <c r="AY123" s="241"/>
      <c r="AZ123" s="241"/>
    </row>
    <row r="124" spans="1:52" s="71" customFormat="1" ht="18" hidden="1" customHeight="1" outlineLevel="2">
      <c r="A124" s="288">
        <v>96</v>
      </c>
      <c r="B124" s="97"/>
      <c r="C124" s="296"/>
      <c r="D124" s="360"/>
      <c r="E124" s="361"/>
      <c r="F124" s="298"/>
      <c r="G124" s="298"/>
      <c r="H124" s="86"/>
      <c r="I124" s="344" t="str">
        <f t="shared" si="28"/>
        <v/>
      </c>
      <c r="J124" s="345"/>
      <c r="K124" s="86"/>
      <c r="L124" s="86"/>
      <c r="M124" s="344" t="str">
        <f t="shared" si="29"/>
        <v/>
      </c>
      <c r="N124" s="345"/>
      <c r="O124" s="225" t="str">
        <f t="shared" si="30"/>
        <v/>
      </c>
      <c r="P124" s="225" t="str">
        <f t="shared" si="31"/>
        <v/>
      </c>
      <c r="Q124" s="330"/>
      <c r="R124" s="225" t="str">
        <f t="shared" si="32"/>
        <v/>
      </c>
      <c r="S124" s="225" t="str">
        <f t="shared" si="33"/>
        <v/>
      </c>
      <c r="T124" s="231" t="str">
        <f t="shared" si="34"/>
        <v/>
      </c>
      <c r="U124" s="176"/>
      <c r="V124" s="241"/>
      <c r="W124" s="241"/>
      <c r="X124" s="241"/>
      <c r="Y124" s="241"/>
      <c r="Z124" s="241"/>
      <c r="AA124" s="241"/>
      <c r="AB124" s="241"/>
      <c r="AC124" s="241"/>
      <c r="AD124" s="241"/>
      <c r="AE124" s="241"/>
      <c r="AF124" s="241"/>
      <c r="AG124" s="241"/>
      <c r="AH124" s="241"/>
      <c r="AI124" s="241"/>
      <c r="AJ124" s="241"/>
      <c r="AK124" s="241"/>
      <c r="AL124" s="241"/>
      <c r="AM124" s="241"/>
      <c r="AN124" s="241"/>
      <c r="AO124" s="241"/>
      <c r="AP124" s="241"/>
      <c r="AQ124" s="241"/>
      <c r="AR124" s="241"/>
      <c r="AS124" s="241"/>
      <c r="AT124" s="241"/>
      <c r="AU124" s="241"/>
      <c r="AV124" s="241"/>
      <c r="AW124" s="241"/>
      <c r="AX124" s="241"/>
      <c r="AY124" s="241"/>
      <c r="AZ124" s="241"/>
    </row>
    <row r="125" spans="1:52" s="71" customFormat="1" ht="18" hidden="1" customHeight="1" outlineLevel="2">
      <c r="A125" s="288">
        <v>97</v>
      </c>
      <c r="B125" s="97"/>
      <c r="C125" s="296"/>
      <c r="D125" s="360"/>
      <c r="E125" s="361"/>
      <c r="F125" s="298"/>
      <c r="G125" s="298"/>
      <c r="H125" s="86"/>
      <c r="I125" s="344" t="str">
        <f t="shared" si="28"/>
        <v/>
      </c>
      <c r="J125" s="345"/>
      <c r="K125" s="86"/>
      <c r="L125" s="86"/>
      <c r="M125" s="344" t="str">
        <f t="shared" si="29"/>
        <v/>
      </c>
      <c r="N125" s="345"/>
      <c r="O125" s="225" t="str">
        <f t="shared" si="30"/>
        <v/>
      </c>
      <c r="P125" s="225" t="str">
        <f t="shared" si="31"/>
        <v/>
      </c>
      <c r="Q125" s="330"/>
      <c r="R125" s="225" t="str">
        <f t="shared" si="32"/>
        <v/>
      </c>
      <c r="S125" s="225" t="str">
        <f t="shared" si="33"/>
        <v/>
      </c>
      <c r="T125" s="231" t="str">
        <f t="shared" si="34"/>
        <v/>
      </c>
      <c r="U125" s="176"/>
      <c r="V125" s="241"/>
      <c r="W125" s="241"/>
      <c r="X125" s="241"/>
      <c r="Y125" s="241"/>
      <c r="Z125" s="241"/>
      <c r="AA125" s="241"/>
      <c r="AB125" s="241"/>
      <c r="AC125" s="241"/>
      <c r="AD125" s="241"/>
      <c r="AE125" s="241"/>
      <c r="AF125" s="241"/>
      <c r="AG125" s="241"/>
      <c r="AH125" s="241"/>
      <c r="AI125" s="241"/>
      <c r="AJ125" s="241"/>
      <c r="AK125" s="241"/>
      <c r="AL125" s="241"/>
      <c r="AM125" s="241"/>
      <c r="AN125" s="241"/>
      <c r="AO125" s="241"/>
      <c r="AP125" s="241"/>
      <c r="AQ125" s="241"/>
      <c r="AR125" s="241"/>
      <c r="AS125" s="241"/>
      <c r="AT125" s="241"/>
      <c r="AU125" s="241"/>
      <c r="AV125" s="241"/>
      <c r="AW125" s="241"/>
      <c r="AX125" s="241"/>
      <c r="AY125" s="241"/>
      <c r="AZ125" s="241"/>
    </row>
    <row r="126" spans="1:52" s="71" customFormat="1" ht="18" hidden="1" customHeight="1" outlineLevel="2">
      <c r="A126" s="288">
        <v>98</v>
      </c>
      <c r="B126" s="97"/>
      <c r="C126" s="296"/>
      <c r="D126" s="360"/>
      <c r="E126" s="361"/>
      <c r="F126" s="298"/>
      <c r="G126" s="298"/>
      <c r="H126" s="86"/>
      <c r="I126" s="344" t="str">
        <f t="shared" si="28"/>
        <v/>
      </c>
      <c r="J126" s="345"/>
      <c r="K126" s="86"/>
      <c r="L126" s="86"/>
      <c r="M126" s="344" t="str">
        <f t="shared" si="29"/>
        <v/>
      </c>
      <c r="N126" s="345"/>
      <c r="O126" s="225" t="str">
        <f t="shared" si="30"/>
        <v/>
      </c>
      <c r="P126" s="225" t="str">
        <f t="shared" si="31"/>
        <v/>
      </c>
      <c r="Q126" s="330"/>
      <c r="R126" s="225" t="str">
        <f t="shared" si="32"/>
        <v/>
      </c>
      <c r="S126" s="225" t="str">
        <f t="shared" si="33"/>
        <v/>
      </c>
      <c r="T126" s="231" t="str">
        <f t="shared" si="34"/>
        <v/>
      </c>
      <c r="U126" s="176"/>
      <c r="V126" s="241"/>
      <c r="W126" s="241"/>
      <c r="X126" s="241"/>
      <c r="Y126" s="241"/>
      <c r="Z126" s="241"/>
      <c r="AA126" s="241"/>
      <c r="AB126" s="241"/>
      <c r="AC126" s="241"/>
      <c r="AD126" s="241"/>
      <c r="AE126" s="241"/>
      <c r="AF126" s="241"/>
      <c r="AG126" s="241"/>
      <c r="AH126" s="241"/>
      <c r="AI126" s="241"/>
      <c r="AJ126" s="241"/>
      <c r="AK126" s="241"/>
      <c r="AL126" s="241"/>
      <c r="AM126" s="241"/>
      <c r="AN126" s="241"/>
      <c r="AO126" s="241"/>
      <c r="AP126" s="241"/>
      <c r="AQ126" s="241"/>
      <c r="AR126" s="241"/>
      <c r="AS126" s="241"/>
      <c r="AT126" s="241"/>
      <c r="AU126" s="241"/>
      <c r="AV126" s="241"/>
      <c r="AW126" s="241"/>
      <c r="AX126" s="241"/>
      <c r="AY126" s="241"/>
      <c r="AZ126" s="241"/>
    </row>
    <row r="127" spans="1:52" s="71" customFormat="1" ht="18" hidden="1" customHeight="1" outlineLevel="2">
      <c r="A127" s="288">
        <v>99</v>
      </c>
      <c r="B127" s="97"/>
      <c r="C127" s="296"/>
      <c r="D127" s="360"/>
      <c r="E127" s="361"/>
      <c r="F127" s="298"/>
      <c r="G127" s="298"/>
      <c r="H127" s="86"/>
      <c r="I127" s="344" t="str">
        <f t="shared" si="28"/>
        <v/>
      </c>
      <c r="J127" s="345"/>
      <c r="K127" s="86"/>
      <c r="L127" s="86"/>
      <c r="M127" s="344" t="str">
        <f t="shared" si="29"/>
        <v/>
      </c>
      <c r="N127" s="345"/>
      <c r="O127" s="225" t="str">
        <f t="shared" si="30"/>
        <v/>
      </c>
      <c r="P127" s="225" t="str">
        <f t="shared" si="31"/>
        <v/>
      </c>
      <c r="Q127" s="330"/>
      <c r="R127" s="225" t="str">
        <f t="shared" si="32"/>
        <v/>
      </c>
      <c r="S127" s="225" t="str">
        <f t="shared" si="33"/>
        <v/>
      </c>
      <c r="T127" s="231" t="str">
        <f t="shared" si="34"/>
        <v/>
      </c>
      <c r="U127" s="176"/>
      <c r="V127" s="241"/>
      <c r="W127" s="241"/>
      <c r="X127" s="241"/>
      <c r="Y127" s="241"/>
      <c r="Z127" s="241"/>
      <c r="AA127" s="241"/>
      <c r="AB127" s="241"/>
      <c r="AC127" s="241"/>
      <c r="AD127" s="241"/>
      <c r="AE127" s="241"/>
      <c r="AF127" s="241"/>
      <c r="AG127" s="241"/>
      <c r="AH127" s="241"/>
      <c r="AI127" s="241"/>
      <c r="AJ127" s="241"/>
      <c r="AK127" s="241"/>
      <c r="AL127" s="241"/>
      <c r="AM127" s="241"/>
      <c r="AN127" s="241"/>
      <c r="AO127" s="241"/>
      <c r="AP127" s="241"/>
      <c r="AQ127" s="241"/>
      <c r="AR127" s="241"/>
      <c r="AS127" s="241"/>
      <c r="AT127" s="241"/>
      <c r="AU127" s="241"/>
      <c r="AV127" s="241"/>
      <c r="AW127" s="241"/>
      <c r="AX127" s="241"/>
      <c r="AY127" s="241"/>
      <c r="AZ127" s="241"/>
    </row>
    <row r="128" spans="1:52" s="71" customFormat="1" ht="18" hidden="1" customHeight="1" outlineLevel="2">
      <c r="A128" s="288">
        <v>100</v>
      </c>
      <c r="B128" s="97"/>
      <c r="C128" s="296"/>
      <c r="D128" s="360"/>
      <c r="E128" s="361"/>
      <c r="F128" s="298"/>
      <c r="G128" s="298"/>
      <c r="H128" s="86"/>
      <c r="I128" s="344" t="str">
        <f t="shared" si="28"/>
        <v/>
      </c>
      <c r="J128" s="345"/>
      <c r="K128" s="86"/>
      <c r="L128" s="86"/>
      <c r="M128" s="344" t="str">
        <f t="shared" si="29"/>
        <v/>
      </c>
      <c r="N128" s="345"/>
      <c r="O128" s="225" t="str">
        <f t="shared" si="30"/>
        <v/>
      </c>
      <c r="P128" s="225" t="str">
        <f t="shared" si="31"/>
        <v/>
      </c>
      <c r="Q128" s="330"/>
      <c r="R128" s="225" t="str">
        <f t="shared" si="32"/>
        <v/>
      </c>
      <c r="S128" s="225" t="str">
        <f t="shared" si="33"/>
        <v/>
      </c>
      <c r="T128" s="231" t="str">
        <f t="shared" si="34"/>
        <v/>
      </c>
      <c r="U128" s="176"/>
      <c r="V128" s="241"/>
      <c r="W128" s="241"/>
      <c r="X128" s="241"/>
      <c r="Y128" s="241"/>
      <c r="Z128" s="241"/>
      <c r="AA128" s="241"/>
      <c r="AB128" s="241"/>
      <c r="AC128" s="241"/>
      <c r="AD128" s="241"/>
      <c r="AE128" s="241"/>
      <c r="AF128" s="241"/>
      <c r="AG128" s="241"/>
      <c r="AH128" s="241"/>
      <c r="AI128" s="241"/>
      <c r="AJ128" s="241"/>
      <c r="AK128" s="241"/>
      <c r="AL128" s="241"/>
      <c r="AM128" s="241"/>
      <c r="AN128" s="241"/>
      <c r="AO128" s="241"/>
      <c r="AP128" s="241"/>
      <c r="AQ128" s="241"/>
      <c r="AR128" s="241"/>
      <c r="AS128" s="241"/>
      <c r="AT128" s="241"/>
      <c r="AU128" s="241"/>
      <c r="AV128" s="241"/>
      <c r="AW128" s="241"/>
      <c r="AX128" s="241"/>
      <c r="AY128" s="241"/>
      <c r="AZ128" s="241"/>
    </row>
    <row r="129" spans="1:52" s="71" customFormat="1" ht="18" hidden="1" customHeight="1" outlineLevel="2">
      <c r="A129" s="288">
        <v>101</v>
      </c>
      <c r="B129" s="97"/>
      <c r="C129" s="296"/>
      <c r="D129" s="360"/>
      <c r="E129" s="361"/>
      <c r="F129" s="298"/>
      <c r="G129" s="298"/>
      <c r="H129" s="86"/>
      <c r="I129" s="344" t="str">
        <f t="shared" si="28"/>
        <v/>
      </c>
      <c r="J129" s="345"/>
      <c r="K129" s="86"/>
      <c r="L129" s="86"/>
      <c r="M129" s="344" t="str">
        <f t="shared" si="29"/>
        <v/>
      </c>
      <c r="N129" s="345"/>
      <c r="O129" s="225" t="str">
        <f t="shared" si="30"/>
        <v/>
      </c>
      <c r="P129" s="225" t="str">
        <f t="shared" si="31"/>
        <v/>
      </c>
      <c r="Q129" s="330"/>
      <c r="R129" s="225" t="str">
        <f t="shared" si="32"/>
        <v/>
      </c>
      <c r="S129" s="225" t="str">
        <f t="shared" si="33"/>
        <v/>
      </c>
      <c r="T129" s="231" t="str">
        <f t="shared" si="34"/>
        <v/>
      </c>
      <c r="U129" s="176"/>
      <c r="V129" s="241"/>
      <c r="W129" s="241"/>
      <c r="X129" s="241"/>
      <c r="Y129" s="241"/>
      <c r="Z129" s="241"/>
      <c r="AA129" s="241"/>
      <c r="AB129" s="241"/>
      <c r="AC129" s="241"/>
      <c r="AD129" s="241"/>
      <c r="AE129" s="241"/>
      <c r="AF129" s="241"/>
      <c r="AG129" s="241"/>
      <c r="AH129" s="241"/>
      <c r="AI129" s="241"/>
      <c r="AJ129" s="241"/>
      <c r="AK129" s="241"/>
      <c r="AL129" s="241"/>
      <c r="AM129" s="241"/>
      <c r="AN129" s="241"/>
      <c r="AO129" s="241"/>
      <c r="AP129" s="241"/>
      <c r="AQ129" s="241"/>
      <c r="AR129" s="241"/>
      <c r="AS129" s="241"/>
      <c r="AT129" s="241"/>
      <c r="AU129" s="241"/>
      <c r="AV129" s="241"/>
      <c r="AW129" s="241"/>
      <c r="AX129" s="241"/>
      <c r="AY129" s="241"/>
      <c r="AZ129" s="241"/>
    </row>
    <row r="130" spans="1:52" s="71" customFormat="1" ht="18" hidden="1" customHeight="1" outlineLevel="2">
      <c r="A130" s="288">
        <v>102</v>
      </c>
      <c r="B130" s="97"/>
      <c r="C130" s="296"/>
      <c r="D130" s="360"/>
      <c r="E130" s="361"/>
      <c r="F130" s="298"/>
      <c r="G130" s="298"/>
      <c r="H130" s="86"/>
      <c r="I130" s="344" t="str">
        <f t="shared" si="28"/>
        <v/>
      </c>
      <c r="J130" s="345"/>
      <c r="K130" s="86"/>
      <c r="L130" s="86"/>
      <c r="M130" s="344" t="str">
        <f t="shared" si="29"/>
        <v/>
      </c>
      <c r="N130" s="345"/>
      <c r="O130" s="225" t="str">
        <f t="shared" si="30"/>
        <v/>
      </c>
      <c r="P130" s="225" t="str">
        <f t="shared" si="31"/>
        <v/>
      </c>
      <c r="Q130" s="330"/>
      <c r="R130" s="225" t="str">
        <f t="shared" si="32"/>
        <v/>
      </c>
      <c r="S130" s="225" t="str">
        <f t="shared" si="33"/>
        <v/>
      </c>
      <c r="T130" s="231" t="str">
        <f t="shared" si="34"/>
        <v/>
      </c>
      <c r="U130" s="176"/>
      <c r="V130" s="241"/>
      <c r="W130" s="241"/>
      <c r="X130" s="241"/>
      <c r="Y130" s="241"/>
      <c r="Z130" s="241"/>
      <c r="AA130" s="241"/>
      <c r="AB130" s="241"/>
      <c r="AC130" s="241"/>
      <c r="AD130" s="241"/>
      <c r="AE130" s="241"/>
      <c r="AF130" s="241"/>
      <c r="AG130" s="241"/>
      <c r="AH130" s="241"/>
      <c r="AI130" s="241"/>
      <c r="AJ130" s="241"/>
      <c r="AK130" s="241"/>
      <c r="AL130" s="241"/>
      <c r="AM130" s="241"/>
      <c r="AN130" s="241"/>
      <c r="AO130" s="241"/>
      <c r="AP130" s="241"/>
      <c r="AQ130" s="241"/>
      <c r="AR130" s="241"/>
      <c r="AS130" s="241"/>
      <c r="AT130" s="241"/>
      <c r="AU130" s="241"/>
      <c r="AV130" s="241"/>
      <c r="AW130" s="241"/>
      <c r="AX130" s="241"/>
      <c r="AY130" s="241"/>
      <c r="AZ130" s="241"/>
    </row>
    <row r="131" spans="1:52" s="71" customFormat="1" ht="18" hidden="1" customHeight="1" outlineLevel="2">
      <c r="A131" s="288">
        <v>103</v>
      </c>
      <c r="B131" s="97"/>
      <c r="C131" s="296"/>
      <c r="D131" s="360"/>
      <c r="E131" s="361"/>
      <c r="F131" s="298"/>
      <c r="G131" s="298"/>
      <c r="H131" s="86"/>
      <c r="I131" s="344" t="str">
        <f t="shared" si="28"/>
        <v/>
      </c>
      <c r="J131" s="345"/>
      <c r="K131" s="86"/>
      <c r="L131" s="86"/>
      <c r="M131" s="344" t="str">
        <f t="shared" si="29"/>
        <v/>
      </c>
      <c r="N131" s="345"/>
      <c r="O131" s="225" t="str">
        <f t="shared" si="30"/>
        <v/>
      </c>
      <c r="P131" s="225" t="str">
        <f t="shared" si="31"/>
        <v/>
      </c>
      <c r="Q131" s="330"/>
      <c r="R131" s="225" t="str">
        <f t="shared" si="32"/>
        <v/>
      </c>
      <c r="S131" s="225" t="str">
        <f t="shared" si="33"/>
        <v/>
      </c>
      <c r="T131" s="231" t="str">
        <f t="shared" si="34"/>
        <v/>
      </c>
      <c r="U131" s="176"/>
      <c r="V131" s="241"/>
      <c r="W131" s="241"/>
      <c r="X131" s="241"/>
      <c r="Y131" s="241"/>
      <c r="Z131" s="241"/>
      <c r="AA131" s="241"/>
      <c r="AB131" s="241"/>
      <c r="AC131" s="241"/>
      <c r="AD131" s="241"/>
      <c r="AE131" s="241"/>
      <c r="AF131" s="241"/>
      <c r="AG131" s="241"/>
      <c r="AH131" s="241"/>
      <c r="AI131" s="241"/>
      <c r="AJ131" s="241"/>
      <c r="AK131" s="241"/>
      <c r="AL131" s="241"/>
      <c r="AM131" s="241"/>
      <c r="AN131" s="241"/>
      <c r="AO131" s="241"/>
      <c r="AP131" s="241"/>
      <c r="AQ131" s="241"/>
      <c r="AR131" s="241"/>
      <c r="AS131" s="241"/>
      <c r="AT131" s="241"/>
      <c r="AU131" s="241"/>
      <c r="AV131" s="241"/>
      <c r="AW131" s="241"/>
      <c r="AX131" s="241"/>
      <c r="AY131" s="241"/>
      <c r="AZ131" s="241"/>
    </row>
    <row r="132" spans="1:52" s="71" customFormat="1" ht="18" hidden="1" customHeight="1" outlineLevel="2">
      <c r="A132" s="288">
        <v>104</v>
      </c>
      <c r="B132" s="97"/>
      <c r="C132" s="296"/>
      <c r="D132" s="360"/>
      <c r="E132" s="361"/>
      <c r="F132" s="298"/>
      <c r="G132" s="298"/>
      <c r="H132" s="86"/>
      <c r="I132" s="344" t="str">
        <f t="shared" si="28"/>
        <v/>
      </c>
      <c r="J132" s="345"/>
      <c r="K132" s="86"/>
      <c r="L132" s="86"/>
      <c r="M132" s="344" t="str">
        <f t="shared" si="29"/>
        <v/>
      </c>
      <c r="N132" s="345"/>
      <c r="O132" s="225" t="str">
        <f t="shared" si="30"/>
        <v/>
      </c>
      <c r="P132" s="225" t="str">
        <f t="shared" si="31"/>
        <v/>
      </c>
      <c r="Q132" s="330"/>
      <c r="R132" s="225" t="str">
        <f t="shared" si="32"/>
        <v/>
      </c>
      <c r="S132" s="225" t="str">
        <f t="shared" si="33"/>
        <v/>
      </c>
      <c r="T132" s="231" t="str">
        <f t="shared" si="34"/>
        <v/>
      </c>
      <c r="U132" s="176"/>
      <c r="V132" s="241"/>
      <c r="W132" s="241"/>
      <c r="X132" s="241"/>
      <c r="Y132" s="241"/>
      <c r="Z132" s="241"/>
      <c r="AA132" s="241"/>
      <c r="AB132" s="241"/>
      <c r="AC132" s="241"/>
      <c r="AD132" s="241"/>
      <c r="AE132" s="241"/>
      <c r="AF132" s="241"/>
      <c r="AG132" s="241"/>
      <c r="AH132" s="241"/>
      <c r="AI132" s="241"/>
      <c r="AJ132" s="241"/>
      <c r="AK132" s="241"/>
      <c r="AL132" s="241"/>
      <c r="AM132" s="241"/>
      <c r="AN132" s="241"/>
      <c r="AO132" s="241"/>
      <c r="AP132" s="241"/>
      <c r="AQ132" s="241"/>
      <c r="AR132" s="241"/>
      <c r="AS132" s="241"/>
      <c r="AT132" s="241"/>
      <c r="AU132" s="241"/>
      <c r="AV132" s="241"/>
      <c r="AW132" s="241"/>
      <c r="AX132" s="241"/>
      <c r="AY132" s="241"/>
      <c r="AZ132" s="241"/>
    </row>
    <row r="133" spans="1:52" s="71" customFormat="1" ht="18" hidden="1" customHeight="1" outlineLevel="2">
      <c r="A133" s="288">
        <v>105</v>
      </c>
      <c r="B133" s="97"/>
      <c r="C133" s="296"/>
      <c r="D133" s="360"/>
      <c r="E133" s="361"/>
      <c r="F133" s="298"/>
      <c r="G133" s="298"/>
      <c r="H133" s="86"/>
      <c r="I133" s="344" t="str">
        <f t="shared" si="28"/>
        <v/>
      </c>
      <c r="J133" s="345"/>
      <c r="K133" s="86"/>
      <c r="L133" s="86"/>
      <c r="M133" s="344" t="str">
        <f t="shared" si="29"/>
        <v/>
      </c>
      <c r="N133" s="345"/>
      <c r="O133" s="225" t="str">
        <f t="shared" si="30"/>
        <v/>
      </c>
      <c r="P133" s="225" t="str">
        <f t="shared" si="31"/>
        <v/>
      </c>
      <c r="Q133" s="330"/>
      <c r="R133" s="225" t="str">
        <f t="shared" si="32"/>
        <v/>
      </c>
      <c r="S133" s="225" t="str">
        <f t="shared" si="33"/>
        <v/>
      </c>
      <c r="T133" s="231" t="str">
        <f t="shared" si="34"/>
        <v/>
      </c>
      <c r="U133" s="176"/>
      <c r="V133" s="241"/>
      <c r="W133" s="241"/>
      <c r="X133" s="241"/>
      <c r="Y133" s="241"/>
      <c r="Z133" s="241"/>
      <c r="AA133" s="241"/>
      <c r="AB133" s="241"/>
      <c r="AC133" s="241"/>
      <c r="AD133" s="241"/>
      <c r="AE133" s="241"/>
      <c r="AF133" s="241"/>
      <c r="AG133" s="241"/>
      <c r="AH133" s="241"/>
      <c r="AI133" s="241"/>
      <c r="AJ133" s="241"/>
      <c r="AK133" s="241"/>
      <c r="AL133" s="241"/>
      <c r="AM133" s="241"/>
      <c r="AN133" s="241"/>
      <c r="AO133" s="241"/>
      <c r="AP133" s="241"/>
      <c r="AQ133" s="241"/>
      <c r="AR133" s="241"/>
      <c r="AS133" s="241"/>
      <c r="AT133" s="241"/>
      <c r="AU133" s="241"/>
      <c r="AV133" s="241"/>
      <c r="AW133" s="241"/>
      <c r="AX133" s="241"/>
      <c r="AY133" s="241"/>
      <c r="AZ133" s="241"/>
    </row>
    <row r="134" spans="1:52" s="71" customFormat="1" ht="18" hidden="1" customHeight="1" outlineLevel="2">
      <c r="A134" s="288">
        <v>106</v>
      </c>
      <c r="B134" s="97"/>
      <c r="C134" s="296"/>
      <c r="D134" s="360"/>
      <c r="E134" s="361"/>
      <c r="F134" s="298"/>
      <c r="G134" s="298"/>
      <c r="H134" s="86"/>
      <c r="I134" s="344" t="str">
        <f t="shared" si="28"/>
        <v/>
      </c>
      <c r="J134" s="345"/>
      <c r="K134" s="86"/>
      <c r="L134" s="86"/>
      <c r="M134" s="344" t="str">
        <f t="shared" si="29"/>
        <v/>
      </c>
      <c r="N134" s="345"/>
      <c r="O134" s="225" t="str">
        <f t="shared" si="30"/>
        <v/>
      </c>
      <c r="P134" s="225" t="str">
        <f t="shared" si="31"/>
        <v/>
      </c>
      <c r="Q134" s="330"/>
      <c r="R134" s="225" t="str">
        <f t="shared" si="32"/>
        <v/>
      </c>
      <c r="S134" s="225" t="str">
        <f t="shared" si="33"/>
        <v/>
      </c>
      <c r="T134" s="231" t="str">
        <f t="shared" si="34"/>
        <v/>
      </c>
      <c r="U134" s="176"/>
      <c r="V134" s="241"/>
      <c r="W134" s="241"/>
      <c r="X134" s="241"/>
      <c r="Y134" s="241"/>
      <c r="Z134" s="241"/>
      <c r="AA134" s="241"/>
      <c r="AB134" s="241"/>
      <c r="AC134" s="241"/>
      <c r="AD134" s="241"/>
      <c r="AE134" s="241"/>
      <c r="AF134" s="241"/>
      <c r="AG134" s="241"/>
      <c r="AH134" s="241"/>
      <c r="AI134" s="241"/>
      <c r="AJ134" s="241"/>
      <c r="AK134" s="241"/>
      <c r="AL134" s="241"/>
      <c r="AM134" s="241"/>
      <c r="AN134" s="241"/>
      <c r="AO134" s="241"/>
      <c r="AP134" s="241"/>
      <c r="AQ134" s="241"/>
      <c r="AR134" s="241"/>
      <c r="AS134" s="241"/>
      <c r="AT134" s="241"/>
      <c r="AU134" s="241"/>
      <c r="AV134" s="241"/>
      <c r="AW134" s="241"/>
      <c r="AX134" s="241"/>
      <c r="AY134" s="241"/>
      <c r="AZ134" s="241"/>
    </row>
    <row r="135" spans="1:52" s="71" customFormat="1" ht="18" hidden="1" customHeight="1" outlineLevel="2">
      <c r="A135" s="288">
        <v>107</v>
      </c>
      <c r="B135" s="97"/>
      <c r="C135" s="296"/>
      <c r="D135" s="360"/>
      <c r="E135" s="361"/>
      <c r="F135" s="298"/>
      <c r="G135" s="298"/>
      <c r="H135" s="86"/>
      <c r="I135" s="344" t="str">
        <f t="shared" si="28"/>
        <v/>
      </c>
      <c r="J135" s="345"/>
      <c r="K135" s="86"/>
      <c r="L135" s="86"/>
      <c r="M135" s="344" t="str">
        <f t="shared" si="29"/>
        <v/>
      </c>
      <c r="N135" s="345"/>
      <c r="O135" s="225" t="str">
        <f t="shared" si="30"/>
        <v/>
      </c>
      <c r="P135" s="225" t="str">
        <f t="shared" si="31"/>
        <v/>
      </c>
      <c r="Q135" s="330"/>
      <c r="R135" s="225" t="str">
        <f t="shared" si="32"/>
        <v/>
      </c>
      <c r="S135" s="225" t="str">
        <f t="shared" si="33"/>
        <v/>
      </c>
      <c r="T135" s="231" t="str">
        <f t="shared" si="34"/>
        <v/>
      </c>
      <c r="U135" s="176"/>
      <c r="V135" s="241"/>
      <c r="W135" s="241"/>
      <c r="X135" s="241"/>
      <c r="Y135" s="241"/>
      <c r="Z135" s="241"/>
      <c r="AA135" s="241"/>
      <c r="AB135" s="241"/>
      <c r="AC135" s="241"/>
      <c r="AD135" s="241"/>
      <c r="AE135" s="241"/>
      <c r="AF135" s="241"/>
      <c r="AG135" s="241"/>
      <c r="AH135" s="241"/>
      <c r="AI135" s="241"/>
      <c r="AJ135" s="241"/>
      <c r="AK135" s="241"/>
      <c r="AL135" s="241"/>
      <c r="AM135" s="241"/>
      <c r="AN135" s="241"/>
      <c r="AO135" s="241"/>
      <c r="AP135" s="241"/>
      <c r="AQ135" s="241"/>
      <c r="AR135" s="241"/>
      <c r="AS135" s="241"/>
      <c r="AT135" s="241"/>
      <c r="AU135" s="241"/>
      <c r="AV135" s="241"/>
      <c r="AW135" s="241"/>
      <c r="AX135" s="241"/>
      <c r="AY135" s="241"/>
      <c r="AZ135" s="241"/>
    </row>
    <row r="136" spans="1:52" s="71" customFormat="1" ht="18" hidden="1" customHeight="1" outlineLevel="2">
      <c r="A136" s="288">
        <v>108</v>
      </c>
      <c r="B136" s="97"/>
      <c r="C136" s="296"/>
      <c r="D136" s="360"/>
      <c r="E136" s="361"/>
      <c r="F136" s="298"/>
      <c r="G136" s="298"/>
      <c r="H136" s="86"/>
      <c r="I136" s="344" t="str">
        <f t="shared" si="28"/>
        <v/>
      </c>
      <c r="J136" s="345"/>
      <c r="K136" s="86"/>
      <c r="L136" s="86"/>
      <c r="M136" s="344" t="str">
        <f t="shared" si="29"/>
        <v/>
      </c>
      <c r="N136" s="345"/>
      <c r="O136" s="225" t="str">
        <f t="shared" si="30"/>
        <v/>
      </c>
      <c r="P136" s="225" t="str">
        <f t="shared" si="31"/>
        <v/>
      </c>
      <c r="Q136" s="330"/>
      <c r="R136" s="225" t="str">
        <f t="shared" si="32"/>
        <v/>
      </c>
      <c r="S136" s="225" t="str">
        <f t="shared" si="33"/>
        <v/>
      </c>
      <c r="T136" s="231" t="str">
        <f t="shared" si="34"/>
        <v/>
      </c>
      <c r="U136" s="176"/>
      <c r="V136" s="241"/>
      <c r="W136" s="241"/>
      <c r="X136" s="241"/>
      <c r="Y136" s="241"/>
      <c r="Z136" s="241"/>
      <c r="AA136" s="241"/>
      <c r="AB136" s="241"/>
      <c r="AC136" s="241"/>
      <c r="AD136" s="241"/>
      <c r="AE136" s="241"/>
      <c r="AF136" s="241"/>
      <c r="AG136" s="241"/>
      <c r="AH136" s="241"/>
      <c r="AI136" s="241"/>
      <c r="AJ136" s="241"/>
      <c r="AK136" s="241"/>
      <c r="AL136" s="241"/>
      <c r="AM136" s="241"/>
      <c r="AN136" s="241"/>
      <c r="AO136" s="241"/>
      <c r="AP136" s="241"/>
      <c r="AQ136" s="241"/>
      <c r="AR136" s="241"/>
      <c r="AS136" s="241"/>
      <c r="AT136" s="241"/>
      <c r="AU136" s="241"/>
      <c r="AV136" s="241"/>
      <c r="AW136" s="241"/>
      <c r="AX136" s="241"/>
      <c r="AY136" s="241"/>
      <c r="AZ136" s="241"/>
    </row>
    <row r="137" spans="1:52" s="71" customFormat="1" ht="18" hidden="1" customHeight="1" outlineLevel="2">
      <c r="A137" s="288">
        <v>109</v>
      </c>
      <c r="B137" s="97"/>
      <c r="C137" s="296"/>
      <c r="D137" s="360"/>
      <c r="E137" s="361"/>
      <c r="F137" s="298"/>
      <c r="G137" s="298"/>
      <c r="H137" s="86"/>
      <c r="I137" s="344" t="str">
        <f t="shared" si="28"/>
        <v/>
      </c>
      <c r="J137" s="345"/>
      <c r="K137" s="86"/>
      <c r="L137" s="86"/>
      <c r="M137" s="344" t="str">
        <f t="shared" si="29"/>
        <v/>
      </c>
      <c r="N137" s="345"/>
      <c r="O137" s="225" t="str">
        <f t="shared" si="30"/>
        <v/>
      </c>
      <c r="P137" s="225" t="str">
        <f t="shared" si="31"/>
        <v/>
      </c>
      <c r="Q137" s="330"/>
      <c r="R137" s="225" t="str">
        <f t="shared" si="32"/>
        <v/>
      </c>
      <c r="S137" s="225" t="str">
        <f t="shared" si="33"/>
        <v/>
      </c>
      <c r="T137" s="231" t="str">
        <f t="shared" si="34"/>
        <v/>
      </c>
      <c r="U137" s="176"/>
      <c r="V137" s="241"/>
      <c r="W137" s="241"/>
      <c r="X137" s="241"/>
      <c r="Y137" s="241"/>
      <c r="Z137" s="241"/>
      <c r="AA137" s="241"/>
      <c r="AB137" s="241"/>
      <c r="AC137" s="241"/>
      <c r="AD137" s="241"/>
      <c r="AE137" s="241"/>
      <c r="AF137" s="241"/>
      <c r="AG137" s="241"/>
      <c r="AH137" s="241"/>
      <c r="AI137" s="241"/>
      <c r="AJ137" s="241"/>
      <c r="AK137" s="241"/>
      <c r="AL137" s="241"/>
      <c r="AM137" s="241"/>
      <c r="AN137" s="241"/>
      <c r="AO137" s="241"/>
      <c r="AP137" s="241"/>
      <c r="AQ137" s="241"/>
      <c r="AR137" s="241"/>
      <c r="AS137" s="241"/>
      <c r="AT137" s="241"/>
      <c r="AU137" s="241"/>
      <c r="AV137" s="241"/>
      <c r="AW137" s="241"/>
      <c r="AX137" s="241"/>
      <c r="AY137" s="241"/>
      <c r="AZ137" s="241"/>
    </row>
    <row r="138" spans="1:52" s="71" customFormat="1" ht="18" hidden="1" customHeight="1" outlineLevel="2">
      <c r="A138" s="288">
        <v>110</v>
      </c>
      <c r="B138" s="97"/>
      <c r="C138" s="296"/>
      <c r="D138" s="360"/>
      <c r="E138" s="361"/>
      <c r="F138" s="298"/>
      <c r="G138" s="298"/>
      <c r="H138" s="86"/>
      <c r="I138" s="344" t="str">
        <f t="shared" si="28"/>
        <v/>
      </c>
      <c r="J138" s="345"/>
      <c r="K138" s="86"/>
      <c r="L138" s="86"/>
      <c r="M138" s="344" t="str">
        <f t="shared" si="29"/>
        <v/>
      </c>
      <c r="N138" s="345"/>
      <c r="O138" s="225" t="str">
        <f t="shared" si="30"/>
        <v/>
      </c>
      <c r="P138" s="225" t="str">
        <f t="shared" si="31"/>
        <v/>
      </c>
      <c r="Q138" s="330"/>
      <c r="R138" s="225" t="str">
        <f t="shared" si="32"/>
        <v/>
      </c>
      <c r="S138" s="225" t="str">
        <f t="shared" si="33"/>
        <v/>
      </c>
      <c r="T138" s="231" t="str">
        <f t="shared" si="34"/>
        <v/>
      </c>
      <c r="U138" s="176"/>
      <c r="V138" s="241"/>
      <c r="W138" s="241"/>
      <c r="X138" s="241"/>
      <c r="Y138" s="241"/>
      <c r="Z138" s="241"/>
      <c r="AA138" s="241"/>
      <c r="AB138" s="241"/>
      <c r="AC138" s="241"/>
      <c r="AD138" s="241"/>
      <c r="AE138" s="241"/>
      <c r="AF138" s="241"/>
      <c r="AG138" s="241"/>
      <c r="AH138" s="241"/>
      <c r="AI138" s="241"/>
      <c r="AJ138" s="241"/>
      <c r="AK138" s="241"/>
      <c r="AL138" s="241"/>
      <c r="AM138" s="241"/>
      <c r="AN138" s="241"/>
      <c r="AO138" s="241"/>
      <c r="AP138" s="241"/>
      <c r="AQ138" s="241"/>
      <c r="AR138" s="241"/>
      <c r="AS138" s="241"/>
      <c r="AT138" s="241"/>
      <c r="AU138" s="241"/>
      <c r="AV138" s="241"/>
      <c r="AW138" s="241"/>
      <c r="AX138" s="241"/>
      <c r="AY138" s="241"/>
      <c r="AZ138" s="241"/>
    </row>
    <row r="139" spans="1:52" s="71" customFormat="1" ht="15" hidden="1" customHeight="1" outlineLevel="1" collapsed="1">
      <c r="A139" s="288"/>
      <c r="B139" s="293"/>
      <c r="C139" s="297"/>
      <c r="D139" s="294"/>
      <c r="E139" s="294"/>
      <c r="F139" s="299"/>
      <c r="G139" s="297"/>
      <c r="H139" s="294"/>
      <c r="I139" s="294"/>
      <c r="J139" s="299"/>
      <c r="K139" s="299"/>
      <c r="L139" s="297"/>
      <c r="M139" s="294"/>
      <c r="N139" s="294"/>
      <c r="O139" s="299"/>
      <c r="P139" s="300"/>
      <c r="Q139" s="294"/>
      <c r="R139" s="300"/>
      <c r="S139" s="300"/>
      <c r="T139" s="308"/>
      <c r="U139" s="176"/>
      <c r="V139" s="241"/>
      <c r="W139" s="241"/>
      <c r="X139" s="241"/>
      <c r="Y139" s="241"/>
      <c r="Z139" s="241"/>
      <c r="AA139" s="241"/>
      <c r="AB139" s="241"/>
      <c r="AC139" s="241"/>
      <c r="AD139" s="241"/>
      <c r="AE139" s="241"/>
      <c r="AF139" s="241"/>
      <c r="AG139" s="241"/>
      <c r="AH139" s="241"/>
      <c r="AI139" s="241"/>
      <c r="AJ139" s="241"/>
      <c r="AK139" s="241"/>
      <c r="AL139" s="241"/>
      <c r="AM139" s="241"/>
      <c r="AN139" s="241"/>
      <c r="AO139" s="241"/>
      <c r="AP139" s="241"/>
      <c r="AQ139" s="241"/>
      <c r="AR139" s="241"/>
      <c r="AS139" s="241"/>
      <c r="AT139" s="241"/>
      <c r="AU139" s="241"/>
      <c r="AV139" s="241"/>
      <c r="AW139" s="241"/>
      <c r="AX139" s="241"/>
      <c r="AY139" s="241"/>
      <c r="AZ139" s="241"/>
    </row>
    <row r="140" spans="1:52" ht="18" customHeight="1" collapsed="1">
      <c r="A140" s="288"/>
      <c r="B140" s="152" t="str">
        <f>CONCATENATE("Total Annual Appliance Water Use | Water Use Savings (", IF(inputs_units&lt;&gt;"", INDEX(data_genunitsval, MATCH(inputs_units, data_genunits, 0)), "unit"), ")")</f>
        <v>Total Annual Appliance Water Use | Water Use Savings (unit)</v>
      </c>
      <c r="C140" s="153"/>
      <c r="D140" s="153"/>
      <c r="E140" s="257"/>
      <c r="F140" s="300"/>
      <c r="G140" s="300"/>
      <c r="H140" s="300"/>
      <c r="I140" s="300"/>
      <c r="J140" s="300"/>
      <c r="K140" s="300"/>
      <c r="L140" s="300"/>
      <c r="M140" s="300"/>
      <c r="N140" s="300"/>
      <c r="O140" s="309">
        <f>logic_sumappawub</f>
        <v>0</v>
      </c>
      <c r="P140" s="309">
        <f>logic_sumappawudwoaw</f>
        <v>0</v>
      </c>
      <c r="Q140" s="309">
        <f>logic_sumappawuawa</f>
        <v>0</v>
      </c>
      <c r="R140" s="309">
        <f>logic_sumappawud</f>
        <v>0</v>
      </c>
      <c r="S140" s="309">
        <f>logic_sumappawusa</f>
        <v>0</v>
      </c>
      <c r="T140" s="231">
        <f>logic_sumappawusp</f>
        <v>0</v>
      </c>
      <c r="U140" s="176"/>
      <c r="V140" s="241"/>
      <c r="W140" s="241"/>
      <c r="X140" s="241"/>
      <c r="Y140" s="241"/>
      <c r="Z140" s="241"/>
      <c r="AA140" s="241"/>
      <c r="AB140" s="241"/>
      <c r="AC140" s="241"/>
      <c r="AD140" s="241"/>
      <c r="AE140" s="241"/>
      <c r="AF140" s="241"/>
      <c r="AG140" s="241"/>
      <c r="AH140" s="241"/>
      <c r="AI140" s="241"/>
      <c r="AJ140" s="241"/>
      <c r="AK140" s="241"/>
      <c r="AL140" s="241"/>
      <c r="AM140" s="241"/>
      <c r="AN140" s="241"/>
      <c r="AO140" s="241"/>
      <c r="AP140" s="241"/>
      <c r="AQ140" s="241"/>
      <c r="AR140" s="241"/>
      <c r="AS140" s="241"/>
      <c r="AT140" s="241"/>
      <c r="AU140" s="241"/>
      <c r="AV140" s="241"/>
      <c r="AW140" s="241"/>
      <c r="AX140" s="241"/>
      <c r="AY140" s="241"/>
      <c r="AZ140" s="241"/>
    </row>
    <row r="141" spans="1:52" ht="18" customHeight="1">
      <c r="A141" s="175"/>
      <c r="B141" s="250"/>
      <c r="C141" s="250"/>
      <c r="D141" s="250"/>
      <c r="E141" s="250"/>
      <c r="F141" s="250"/>
      <c r="G141" s="250"/>
      <c r="H141" s="250"/>
      <c r="I141" s="250"/>
      <c r="J141" s="250"/>
      <c r="K141" s="250"/>
      <c r="L141" s="250"/>
      <c r="M141" s="250"/>
      <c r="N141" s="250"/>
      <c r="O141" s="250"/>
      <c r="P141" s="250"/>
      <c r="Q141" s="250"/>
      <c r="R141" s="250"/>
      <c r="S141" s="250"/>
      <c r="T141" s="242"/>
      <c r="U141" s="241"/>
      <c r="V141" s="241"/>
      <c r="W141" s="241"/>
      <c r="X141" s="241"/>
      <c r="Y141" s="241"/>
      <c r="Z141" s="241"/>
      <c r="AA141" s="241"/>
      <c r="AB141" s="241"/>
      <c r="AC141" s="241"/>
      <c r="AD141" s="241"/>
      <c r="AE141" s="241"/>
      <c r="AF141" s="241"/>
      <c r="AG141" s="241"/>
      <c r="AH141" s="241"/>
      <c r="AI141" s="241"/>
      <c r="AJ141" s="241"/>
      <c r="AK141" s="241"/>
      <c r="AL141" s="241"/>
      <c r="AM141" s="241"/>
      <c r="AN141" s="241"/>
      <c r="AO141" s="241"/>
      <c r="AP141" s="241"/>
      <c r="AQ141" s="241"/>
      <c r="AR141" s="241"/>
      <c r="AS141" s="241"/>
      <c r="AT141" s="241"/>
      <c r="AU141" s="241"/>
      <c r="AV141" s="241"/>
      <c r="AW141" s="241"/>
      <c r="AX141" s="241"/>
      <c r="AY141" s="241"/>
      <c r="AZ141" s="241"/>
    </row>
    <row r="142" spans="1:52" ht="18" customHeight="1">
      <c r="A142" s="175"/>
      <c r="B142" s="250"/>
      <c r="C142" s="250"/>
      <c r="D142" s="250"/>
      <c r="E142" s="250"/>
      <c r="F142" s="250"/>
      <c r="G142" s="250"/>
      <c r="H142" s="250"/>
      <c r="I142" s="250"/>
      <c r="J142" s="250"/>
      <c r="K142" s="250"/>
      <c r="L142" s="250"/>
      <c r="M142" s="250"/>
      <c r="N142" s="250"/>
      <c r="O142" s="250"/>
      <c r="P142" s="250"/>
      <c r="Q142" s="250"/>
      <c r="R142" s="250"/>
      <c r="S142" s="250"/>
      <c r="T142" s="242"/>
      <c r="U142" s="241"/>
      <c r="V142" s="241"/>
      <c r="W142" s="241"/>
      <c r="X142" s="241"/>
      <c r="Y142" s="241"/>
      <c r="Z142" s="241"/>
      <c r="AA142" s="241"/>
      <c r="AB142" s="241"/>
      <c r="AC142" s="241"/>
      <c r="AD142" s="241"/>
      <c r="AE142" s="241"/>
      <c r="AF142" s="241"/>
      <c r="AG142" s="241"/>
      <c r="AH142" s="241"/>
      <c r="AI142" s="241"/>
      <c r="AJ142" s="241"/>
      <c r="AK142" s="241"/>
      <c r="AL142" s="241"/>
      <c r="AM142" s="241"/>
      <c r="AN142" s="241"/>
      <c r="AO142" s="241"/>
      <c r="AP142" s="241"/>
      <c r="AQ142" s="241"/>
      <c r="AR142" s="241"/>
      <c r="AS142" s="241"/>
      <c r="AT142" s="241"/>
      <c r="AU142" s="241"/>
      <c r="AV142" s="241"/>
      <c r="AW142" s="241"/>
      <c r="AX142" s="241"/>
      <c r="AY142" s="241"/>
      <c r="AZ142" s="241"/>
    </row>
    <row r="143" spans="1:52" ht="18" customHeight="1">
      <c r="A143" s="175"/>
      <c r="B143" s="142" t="s">
        <v>166</v>
      </c>
      <c r="C143" s="156"/>
      <c r="D143" s="143"/>
      <c r="E143" s="143"/>
      <c r="F143" s="143"/>
      <c r="G143" s="143"/>
      <c r="H143" s="143"/>
      <c r="I143" s="143"/>
      <c r="J143" s="143"/>
      <c r="K143" s="143"/>
      <c r="L143" s="143"/>
      <c r="M143" s="143"/>
      <c r="N143" s="143"/>
      <c r="O143" s="143"/>
      <c r="P143" s="143"/>
      <c r="Q143" s="143"/>
      <c r="R143" s="143"/>
      <c r="S143" s="143"/>
      <c r="T143" s="144"/>
      <c r="U143" s="241"/>
      <c r="V143" s="241"/>
      <c r="W143" s="241"/>
      <c r="X143" s="241"/>
      <c r="Y143" s="241"/>
      <c r="Z143" s="241"/>
      <c r="AA143" s="241"/>
      <c r="AB143" s="241"/>
      <c r="AC143" s="241"/>
      <c r="AD143" s="241"/>
      <c r="AE143" s="241"/>
      <c r="AF143" s="241"/>
      <c r="AG143" s="241"/>
      <c r="AH143" s="241"/>
      <c r="AI143" s="241"/>
      <c r="AJ143" s="241"/>
      <c r="AK143" s="241"/>
      <c r="AL143" s="241"/>
      <c r="AM143" s="241"/>
      <c r="AN143" s="241"/>
      <c r="AO143" s="241"/>
      <c r="AP143" s="241"/>
      <c r="AQ143" s="241"/>
      <c r="AR143" s="241"/>
      <c r="AS143" s="241"/>
      <c r="AT143" s="241"/>
      <c r="AU143" s="241"/>
      <c r="AV143" s="241"/>
      <c r="AW143" s="241"/>
      <c r="AX143" s="241"/>
      <c r="AY143" s="241"/>
      <c r="AZ143" s="241"/>
    </row>
    <row r="144" spans="1:52" ht="18" customHeight="1">
      <c r="A144" s="232"/>
      <c r="B144" s="232"/>
      <c r="C144" s="232"/>
      <c r="D144" s="232"/>
      <c r="E144" s="232"/>
      <c r="F144" s="232"/>
      <c r="G144" s="243"/>
      <c r="H144" s="243"/>
      <c r="I144" s="243"/>
      <c r="J144" s="243"/>
      <c r="K144" s="243"/>
      <c r="L144" s="243"/>
      <c r="M144" s="243"/>
      <c r="N144" s="243"/>
      <c r="O144" s="243"/>
      <c r="P144" s="243"/>
      <c r="Q144" s="232"/>
      <c r="R144" s="232"/>
      <c r="S144" s="242"/>
      <c r="T144" s="241"/>
      <c r="U144" s="241"/>
      <c r="V144" s="241"/>
      <c r="W144" s="241"/>
      <c r="X144" s="241"/>
      <c r="Y144" s="241"/>
      <c r="Z144" s="241"/>
      <c r="AA144" s="241"/>
      <c r="AB144" s="241"/>
      <c r="AC144" s="241"/>
      <c r="AD144" s="241"/>
      <c r="AE144" s="241"/>
      <c r="AF144" s="241"/>
      <c r="AG144" s="241"/>
      <c r="AH144" s="241"/>
      <c r="AI144" s="241"/>
      <c r="AJ144" s="241"/>
      <c r="AK144" s="241"/>
      <c r="AL144" s="241"/>
      <c r="AM144" s="241"/>
      <c r="AN144" s="241"/>
      <c r="AO144" s="241"/>
      <c r="AP144" s="241"/>
      <c r="AQ144" s="241"/>
      <c r="AR144" s="241"/>
      <c r="AS144" s="241"/>
      <c r="AT144" s="241"/>
      <c r="AU144" s="241"/>
      <c r="AV144" s="241"/>
      <c r="AW144" s="241"/>
      <c r="AX144" s="241"/>
      <c r="AY144" s="241"/>
      <c r="AZ144" s="241"/>
    </row>
    <row r="145" spans="1:52" s="244" customFormat="1" ht="17.399999999999999" customHeight="1">
      <c r="A145" s="175"/>
      <c r="B145" s="240" t="s">
        <v>156</v>
      </c>
      <c r="C145" s="241"/>
      <c r="D145" s="241"/>
      <c r="E145" s="241"/>
      <c r="F145" s="241"/>
      <c r="G145" s="243"/>
      <c r="H145" s="243"/>
      <c r="I145" s="243"/>
      <c r="J145" s="243"/>
      <c r="K145" s="243"/>
      <c r="L145" s="243"/>
      <c r="M145" s="243"/>
      <c r="N145" s="243"/>
      <c r="O145" s="243"/>
      <c r="P145" s="243"/>
      <c r="Q145" s="243"/>
      <c r="R145" s="243"/>
      <c r="S145" s="243"/>
      <c r="T145" s="243"/>
      <c r="U145" s="241"/>
      <c r="V145" s="243"/>
      <c r="W145" s="243"/>
      <c r="X145" s="243"/>
      <c r="Y145" s="243"/>
      <c r="Z145" s="243"/>
      <c r="AA145" s="243"/>
      <c r="AB145" s="243"/>
      <c r="AC145" s="243"/>
      <c r="AD145" s="243"/>
      <c r="AE145" s="243"/>
      <c r="AF145" s="243"/>
      <c r="AG145" s="243"/>
      <c r="AH145" s="243"/>
      <c r="AI145" s="243"/>
      <c r="AJ145" s="243"/>
      <c r="AK145" s="243"/>
      <c r="AL145" s="243"/>
      <c r="AM145" s="243"/>
      <c r="AN145" s="243"/>
      <c r="AO145" s="243"/>
      <c r="AP145" s="243"/>
      <c r="AQ145" s="243"/>
      <c r="AR145" s="243"/>
      <c r="AS145" s="243"/>
      <c r="AT145" s="243"/>
      <c r="AU145" s="243"/>
      <c r="AV145" s="243"/>
      <c r="AW145" s="243"/>
      <c r="AX145" s="243"/>
      <c r="AY145" s="243"/>
      <c r="AZ145" s="243"/>
    </row>
    <row r="146" spans="1:52" s="71" customFormat="1" ht="18" customHeight="1">
      <c r="A146" s="250"/>
      <c r="B146" s="152" t="s">
        <v>157</v>
      </c>
      <c r="C146" s="153"/>
      <c r="D146" s="153"/>
      <c r="E146" s="153"/>
      <c r="F146" s="153"/>
      <c r="G146" s="186"/>
      <c r="H146" s="152" t="s">
        <v>158</v>
      </c>
      <c r="I146" s="234"/>
      <c r="J146" s="234"/>
      <c r="K146" s="234"/>
      <c r="L146" s="234"/>
      <c r="M146" s="234"/>
      <c r="N146" s="234"/>
      <c r="O146" s="152" t="s">
        <v>348</v>
      </c>
      <c r="P146" s="234"/>
      <c r="Q146" s="234"/>
      <c r="R146" s="234"/>
      <c r="S146" s="234"/>
      <c r="T146" s="186"/>
      <c r="U146" s="241"/>
      <c r="V146" s="241"/>
      <c r="W146" s="241"/>
      <c r="X146" s="241"/>
      <c r="Y146" s="241"/>
      <c r="Z146" s="241"/>
      <c r="AA146" s="241"/>
      <c r="AB146" s="241"/>
      <c r="AC146" s="241"/>
      <c r="AD146" s="241"/>
      <c r="AE146" s="241"/>
      <c r="AF146" s="241"/>
      <c r="AG146" s="241"/>
      <c r="AH146" s="241"/>
      <c r="AI146" s="241"/>
      <c r="AJ146" s="241"/>
      <c r="AK146" s="241"/>
      <c r="AL146" s="241"/>
      <c r="AM146" s="241"/>
      <c r="AN146" s="241"/>
      <c r="AO146" s="241"/>
      <c r="AP146" s="241"/>
      <c r="AQ146" s="241"/>
      <c r="AR146" s="241"/>
      <c r="AS146" s="241"/>
      <c r="AT146" s="241"/>
      <c r="AU146" s="241"/>
      <c r="AV146" s="241"/>
      <c r="AW146" s="241"/>
      <c r="AX146" s="241"/>
      <c r="AY146" s="241"/>
      <c r="AZ146" s="241"/>
    </row>
    <row r="147" spans="1:52" s="71" customFormat="1" ht="18" customHeight="1">
      <c r="A147" s="288" t="s">
        <v>159</v>
      </c>
      <c r="B147" s="366" t="s">
        <v>160</v>
      </c>
      <c r="C147" s="366" t="s">
        <v>161</v>
      </c>
      <c r="D147" s="381" t="s">
        <v>162</v>
      </c>
      <c r="E147" s="382"/>
      <c r="F147" s="366" t="s">
        <v>315</v>
      </c>
      <c r="G147" s="366" t="s">
        <v>349</v>
      </c>
      <c r="H147" s="357" t="s">
        <v>318</v>
      </c>
      <c r="I147" s="358"/>
      <c r="J147" s="359"/>
      <c r="K147" s="370" t="s">
        <v>347</v>
      </c>
      <c r="L147" s="371"/>
      <c r="M147" s="371"/>
      <c r="N147" s="372"/>
      <c r="O147" s="348" t="str">
        <f>CONCATENATE("Annual Water Use Baseline
(",(IF(inputs_units&lt;&gt;"",INDEX(data_genunitsvol,MATCH(inputs_units,data_genunits,0)),"unit")),")")</f>
        <v>Annual Water Use Baseline
(unit)</v>
      </c>
      <c r="P147" s="348" t="str">
        <f>CONCATENATE("Annual Water Use Design w/o Alt. Water
(",(IF(inputs_units&lt;&gt;"",INDEX(data_genunitsvol,MATCH(inputs_units,data_genunits,0)),"unit")),")")</f>
        <v>Annual Water Use Design w/o Alt. Water
(unit)</v>
      </c>
      <c r="Q147" s="346" t="str">
        <f>CONCATENATE("Annual Alternative Water Use
(",(IF(inputs_units&lt;&gt;"",INDEX(data_genunitsvol,MATCH(inputs_units,data_genunits,0)),"unit")),")")</f>
        <v>Annual Alternative Water Use
(unit)</v>
      </c>
      <c r="R147" s="348" t="str">
        <f>CONCATENATE("Annual Water Use Design
(",(IF(inputs_units&lt;&gt;"",INDEX(data_genunitsvol,MATCH(inputs_units,data_genunits,0)),"unit")),")")</f>
        <v>Annual Water Use Design
(unit)</v>
      </c>
      <c r="S147" s="348" t="str">
        <f>CONCATENATE("Annual Water Use Savings 
(",(IF(inputs_units&lt;&gt;"",INDEX(data_genunitsvol,MATCH(inputs_units,data_genunits,0)),"unit")),")")</f>
        <v>Annual Water Use Savings 
(unit)</v>
      </c>
      <c r="T147" s="348" t="s">
        <v>360</v>
      </c>
      <c r="U147" s="241"/>
      <c r="V147" s="241"/>
      <c r="W147" s="241"/>
      <c r="X147" s="241"/>
      <c r="Y147" s="241"/>
      <c r="Z147" s="241"/>
      <c r="AA147" s="241"/>
      <c r="AB147" s="241"/>
      <c r="AC147" s="241"/>
      <c r="AD147" s="241"/>
      <c r="AE147" s="241"/>
      <c r="AF147" s="241"/>
      <c r="AG147" s="241"/>
      <c r="AH147" s="241"/>
      <c r="AI147" s="241"/>
      <c r="AJ147" s="241"/>
      <c r="AK147" s="241"/>
      <c r="AL147" s="241"/>
      <c r="AM147" s="241"/>
      <c r="AN147" s="241"/>
      <c r="AO147" s="241"/>
      <c r="AP147" s="241"/>
      <c r="AQ147" s="241"/>
      <c r="AR147" s="241"/>
      <c r="AS147" s="241"/>
      <c r="AT147" s="241"/>
      <c r="AU147" s="241"/>
      <c r="AV147" s="241"/>
      <c r="AW147" s="241"/>
      <c r="AX147" s="241"/>
      <c r="AY147" s="241"/>
      <c r="AZ147" s="241"/>
    </row>
    <row r="148" spans="1:52" s="71" customFormat="1" ht="18" customHeight="1">
      <c r="A148" s="288"/>
      <c r="B148" s="367"/>
      <c r="C148" s="367"/>
      <c r="D148" s="383"/>
      <c r="E148" s="384"/>
      <c r="F148" s="367"/>
      <c r="G148" s="367"/>
      <c r="H148" s="348" t="s">
        <v>346</v>
      </c>
      <c r="I148" s="351" t="s">
        <v>153</v>
      </c>
      <c r="J148" s="352"/>
      <c r="K148" s="348" t="s">
        <v>163</v>
      </c>
      <c r="L148" s="348" t="s">
        <v>164</v>
      </c>
      <c r="M148" s="351" t="s">
        <v>153</v>
      </c>
      <c r="N148" s="352"/>
      <c r="O148" s="349"/>
      <c r="P148" s="349"/>
      <c r="Q148" s="347"/>
      <c r="R148" s="349"/>
      <c r="S148" s="349"/>
      <c r="T148" s="349"/>
      <c r="U148" s="241"/>
      <c r="V148" s="241"/>
      <c r="W148" s="241"/>
      <c r="X148" s="241"/>
      <c r="Y148" s="241"/>
      <c r="Z148" s="241"/>
      <c r="AA148" s="241"/>
      <c r="AB148" s="241"/>
      <c r="AC148" s="241"/>
      <c r="AD148" s="241"/>
      <c r="AE148" s="241"/>
      <c r="AF148" s="241"/>
      <c r="AG148" s="241"/>
      <c r="AH148" s="241"/>
      <c r="AI148" s="241"/>
      <c r="AJ148" s="241"/>
      <c r="AK148" s="241"/>
      <c r="AL148" s="241"/>
      <c r="AM148" s="241"/>
      <c r="AN148" s="241"/>
      <c r="AO148" s="241"/>
      <c r="AP148" s="241"/>
      <c r="AQ148" s="241"/>
      <c r="AR148" s="241"/>
      <c r="AS148" s="241"/>
      <c r="AT148" s="241"/>
      <c r="AU148" s="241"/>
      <c r="AV148" s="241"/>
      <c r="AW148" s="241"/>
      <c r="AX148" s="241"/>
      <c r="AY148" s="241"/>
      <c r="AZ148" s="241"/>
    </row>
    <row r="149" spans="1:52" s="71" customFormat="1" ht="18" customHeight="1">
      <c r="A149" s="288"/>
      <c r="B149" s="368"/>
      <c r="C149" s="368"/>
      <c r="D149" s="385"/>
      <c r="E149" s="386"/>
      <c r="F149" s="368"/>
      <c r="G149" s="368"/>
      <c r="H149" s="350"/>
      <c r="I149" s="353"/>
      <c r="J149" s="354"/>
      <c r="K149" s="350"/>
      <c r="L149" s="350"/>
      <c r="M149" s="353"/>
      <c r="N149" s="354"/>
      <c r="O149" s="350"/>
      <c r="P149" s="350"/>
      <c r="Q149" s="301" t="s">
        <v>298</v>
      </c>
      <c r="R149" s="350"/>
      <c r="S149" s="350"/>
      <c r="T149" s="350"/>
      <c r="U149" s="241"/>
      <c r="V149" s="241"/>
      <c r="W149" s="241"/>
      <c r="X149" s="241"/>
      <c r="Y149" s="241"/>
      <c r="Z149" s="241"/>
      <c r="AA149" s="241"/>
      <c r="AB149" s="241"/>
      <c r="AC149" s="241"/>
      <c r="AD149" s="241"/>
      <c r="AE149" s="241"/>
      <c r="AF149" s="241"/>
      <c r="AG149" s="241"/>
      <c r="AH149" s="241"/>
      <c r="AI149" s="241"/>
      <c r="AJ149" s="241"/>
      <c r="AK149" s="241"/>
      <c r="AL149" s="241"/>
      <c r="AM149" s="241"/>
      <c r="AN149" s="241"/>
      <c r="AO149" s="241"/>
      <c r="AP149" s="241"/>
      <c r="AQ149" s="241"/>
      <c r="AR149" s="241"/>
      <c r="AS149" s="241"/>
      <c r="AT149" s="241"/>
      <c r="AU149" s="241"/>
      <c r="AV149" s="241"/>
      <c r="AW149" s="241"/>
      <c r="AX149" s="241"/>
      <c r="AY149" s="241"/>
      <c r="AZ149" s="241"/>
    </row>
    <row r="150" spans="1:52" s="71" customFormat="1" ht="18" customHeight="1">
      <c r="A150" s="288">
        <v>1</v>
      </c>
      <c r="B150" s="97"/>
      <c r="C150" s="296"/>
      <c r="D150" s="360"/>
      <c r="E150" s="361"/>
      <c r="F150" s="298"/>
      <c r="G150" s="298"/>
      <c r="H150" s="86"/>
      <c r="I150" s="344" t="str">
        <f t="shared" ref="I150:I179" si="35">INDEX(logic_dumukitch,MATCH($A150,logic_kitchno,0))</f>
        <v/>
      </c>
      <c r="J150" s="345"/>
      <c r="K150" s="86"/>
      <c r="L150" s="86"/>
      <c r="M150" s="344" t="str">
        <f t="shared" ref="M150:M179" si="36">INDEX(logic_wurukitch,MATCH($A150,logic_kitchno,0))</f>
        <v/>
      </c>
      <c r="N150" s="345"/>
      <c r="O150" s="225" t="str">
        <f t="shared" ref="O150:O179" si="37">INDEX(logic_kitchawub,MATCH($A150,logic_kitchno,0))</f>
        <v/>
      </c>
      <c r="P150" s="225" t="str">
        <f t="shared" ref="P150:P179" si="38">INDEX(logic_kitchawudwoaw,MATCH($A150,logic_kitchno,0))</f>
        <v/>
      </c>
      <c r="Q150" s="284"/>
      <c r="R150" s="225" t="str">
        <f t="shared" ref="R150:R179" si="39">INDEX(logic_kitchawud,MATCH($A150,logic_kitchno,0))</f>
        <v/>
      </c>
      <c r="S150" s="225" t="str">
        <f t="shared" ref="S150:S179" si="40">INDEX(logic_kitchawusa,MATCH($A150,logic_kitchno,0))</f>
        <v/>
      </c>
      <c r="T150" s="231" t="str">
        <f t="shared" ref="T150:T179" si="41">INDEX(logic_kitchawusp,MATCH($A150,logic_kitchno,0))</f>
        <v/>
      </c>
      <c r="U150" s="241"/>
      <c r="V150" s="241"/>
      <c r="W150" s="241"/>
      <c r="X150" s="241"/>
      <c r="Y150" s="241"/>
      <c r="Z150" s="241"/>
      <c r="AA150" s="241"/>
      <c r="AB150" s="241"/>
      <c r="AC150" s="241"/>
      <c r="AD150" s="241"/>
      <c r="AE150" s="241"/>
      <c r="AF150" s="241"/>
      <c r="AG150" s="241"/>
      <c r="AH150" s="241"/>
      <c r="AI150" s="241"/>
      <c r="AJ150" s="241"/>
      <c r="AK150" s="241"/>
      <c r="AL150" s="241"/>
      <c r="AM150" s="241"/>
      <c r="AN150" s="241"/>
      <c r="AO150" s="241"/>
      <c r="AP150" s="241"/>
      <c r="AQ150" s="241"/>
      <c r="AR150" s="241"/>
      <c r="AS150" s="241"/>
      <c r="AT150" s="241"/>
      <c r="AU150" s="241"/>
      <c r="AV150" s="241"/>
      <c r="AW150" s="241"/>
      <c r="AX150" s="241"/>
      <c r="AY150" s="241"/>
      <c r="AZ150" s="241"/>
    </row>
    <row r="151" spans="1:52" s="71" customFormat="1" ht="18" customHeight="1">
      <c r="A151" s="288">
        <v>2</v>
      </c>
      <c r="B151" s="97"/>
      <c r="C151" s="296"/>
      <c r="D151" s="360"/>
      <c r="E151" s="361"/>
      <c r="F151" s="298"/>
      <c r="G151" s="298"/>
      <c r="H151" s="86"/>
      <c r="I151" s="344" t="str">
        <f t="shared" si="35"/>
        <v/>
      </c>
      <c r="J151" s="345"/>
      <c r="K151" s="86"/>
      <c r="L151" s="86"/>
      <c r="M151" s="344" t="str">
        <f t="shared" si="36"/>
        <v/>
      </c>
      <c r="N151" s="345"/>
      <c r="O151" s="225" t="str">
        <f t="shared" si="37"/>
        <v/>
      </c>
      <c r="P151" s="225" t="str">
        <f t="shared" si="38"/>
        <v/>
      </c>
      <c r="Q151" s="284"/>
      <c r="R151" s="225" t="str">
        <f t="shared" si="39"/>
        <v/>
      </c>
      <c r="S151" s="225" t="str">
        <f t="shared" si="40"/>
        <v/>
      </c>
      <c r="T151" s="231" t="str">
        <f t="shared" si="41"/>
        <v/>
      </c>
      <c r="U151" s="241"/>
      <c r="V151" s="241"/>
      <c r="W151" s="241"/>
      <c r="X151" s="241"/>
      <c r="Y151" s="241"/>
      <c r="Z151" s="241"/>
      <c r="AA151" s="241"/>
      <c r="AB151" s="241"/>
      <c r="AC151" s="241"/>
      <c r="AD151" s="241"/>
      <c r="AE151" s="241"/>
      <c r="AF151" s="241"/>
      <c r="AG151" s="241"/>
      <c r="AH151" s="241"/>
      <c r="AI151" s="241"/>
      <c r="AJ151" s="241"/>
      <c r="AK151" s="241"/>
      <c r="AL151" s="241"/>
      <c r="AM151" s="241"/>
      <c r="AN151" s="241"/>
      <c r="AO151" s="241"/>
      <c r="AP151" s="241"/>
      <c r="AQ151" s="241"/>
      <c r="AR151" s="241"/>
      <c r="AS151" s="241"/>
      <c r="AT151" s="241"/>
      <c r="AU151" s="241"/>
      <c r="AV151" s="241"/>
      <c r="AW151" s="241"/>
      <c r="AX151" s="241"/>
      <c r="AY151" s="241"/>
      <c r="AZ151" s="241"/>
    </row>
    <row r="152" spans="1:52" s="71" customFormat="1" ht="18" customHeight="1">
      <c r="A152" s="288">
        <v>3</v>
      </c>
      <c r="B152" s="97"/>
      <c r="C152" s="296"/>
      <c r="D152" s="360"/>
      <c r="E152" s="361"/>
      <c r="F152" s="298"/>
      <c r="G152" s="298"/>
      <c r="H152" s="86"/>
      <c r="I152" s="344" t="str">
        <f t="shared" si="35"/>
        <v/>
      </c>
      <c r="J152" s="345"/>
      <c r="K152" s="86"/>
      <c r="L152" s="86"/>
      <c r="M152" s="344" t="str">
        <f t="shared" si="36"/>
        <v/>
      </c>
      <c r="N152" s="345"/>
      <c r="O152" s="225" t="str">
        <f t="shared" si="37"/>
        <v/>
      </c>
      <c r="P152" s="225" t="str">
        <f t="shared" si="38"/>
        <v/>
      </c>
      <c r="Q152" s="284"/>
      <c r="R152" s="225" t="str">
        <f t="shared" si="39"/>
        <v/>
      </c>
      <c r="S152" s="225" t="str">
        <f t="shared" si="40"/>
        <v/>
      </c>
      <c r="T152" s="231" t="str">
        <f t="shared" si="41"/>
        <v/>
      </c>
      <c r="U152" s="241"/>
      <c r="V152" s="241"/>
      <c r="W152" s="241"/>
      <c r="X152" s="241"/>
      <c r="Y152" s="241"/>
      <c r="Z152" s="241"/>
      <c r="AA152" s="241"/>
      <c r="AB152" s="241"/>
      <c r="AC152" s="241"/>
      <c r="AD152" s="241"/>
      <c r="AE152" s="241"/>
      <c r="AF152" s="241"/>
      <c r="AG152" s="241"/>
      <c r="AH152" s="241"/>
      <c r="AI152" s="241"/>
      <c r="AJ152" s="241"/>
      <c r="AK152" s="241"/>
      <c r="AL152" s="241"/>
      <c r="AM152" s="241"/>
      <c r="AN152" s="241"/>
      <c r="AO152" s="241"/>
      <c r="AP152" s="241"/>
      <c r="AQ152" s="241"/>
      <c r="AR152" s="241"/>
      <c r="AS152" s="241"/>
      <c r="AT152" s="241"/>
      <c r="AU152" s="241"/>
      <c r="AV152" s="241"/>
      <c r="AW152" s="241"/>
      <c r="AX152" s="241"/>
      <c r="AY152" s="241"/>
      <c r="AZ152" s="241"/>
    </row>
    <row r="153" spans="1:52" s="71" customFormat="1" ht="18" customHeight="1">
      <c r="A153" s="288">
        <v>4</v>
      </c>
      <c r="B153" s="97"/>
      <c r="C153" s="296"/>
      <c r="D153" s="360"/>
      <c r="E153" s="361"/>
      <c r="F153" s="298"/>
      <c r="G153" s="298"/>
      <c r="H153" s="86"/>
      <c r="I153" s="344" t="str">
        <f t="shared" si="35"/>
        <v/>
      </c>
      <c r="J153" s="345"/>
      <c r="K153" s="86"/>
      <c r="L153" s="86"/>
      <c r="M153" s="344" t="str">
        <f t="shared" si="36"/>
        <v/>
      </c>
      <c r="N153" s="345"/>
      <c r="O153" s="225" t="str">
        <f t="shared" si="37"/>
        <v/>
      </c>
      <c r="P153" s="225" t="str">
        <f t="shared" si="38"/>
        <v/>
      </c>
      <c r="Q153" s="284"/>
      <c r="R153" s="225" t="str">
        <f t="shared" si="39"/>
        <v/>
      </c>
      <c r="S153" s="225" t="str">
        <f t="shared" si="40"/>
        <v/>
      </c>
      <c r="T153" s="231" t="str">
        <f t="shared" si="41"/>
        <v/>
      </c>
      <c r="U153" s="241"/>
      <c r="V153" s="241"/>
      <c r="W153" s="241"/>
      <c r="X153" s="241"/>
      <c r="Y153" s="241"/>
      <c r="Z153" s="241"/>
      <c r="AA153" s="241"/>
      <c r="AB153" s="241"/>
      <c r="AC153" s="241"/>
      <c r="AD153" s="241"/>
      <c r="AE153" s="241"/>
      <c r="AF153" s="241"/>
      <c r="AG153" s="241"/>
      <c r="AH153" s="241"/>
      <c r="AI153" s="241"/>
      <c r="AJ153" s="241"/>
      <c r="AK153" s="241"/>
      <c r="AL153" s="241"/>
      <c r="AM153" s="241"/>
      <c r="AN153" s="241"/>
      <c r="AO153" s="241"/>
      <c r="AP153" s="241"/>
      <c r="AQ153" s="241"/>
      <c r="AR153" s="241"/>
      <c r="AS153" s="241"/>
      <c r="AT153" s="241"/>
      <c r="AU153" s="241"/>
      <c r="AV153" s="241"/>
      <c r="AW153" s="241"/>
      <c r="AX153" s="241"/>
      <c r="AY153" s="241"/>
      <c r="AZ153" s="241"/>
    </row>
    <row r="154" spans="1:52" s="71" customFormat="1" ht="18" customHeight="1">
      <c r="A154" s="288">
        <v>5</v>
      </c>
      <c r="B154" s="97"/>
      <c r="C154" s="296"/>
      <c r="D154" s="360"/>
      <c r="E154" s="361"/>
      <c r="F154" s="298"/>
      <c r="G154" s="298"/>
      <c r="H154" s="86"/>
      <c r="I154" s="344" t="str">
        <f t="shared" si="35"/>
        <v/>
      </c>
      <c r="J154" s="345"/>
      <c r="K154" s="86"/>
      <c r="L154" s="86"/>
      <c r="M154" s="344" t="str">
        <f t="shared" si="36"/>
        <v/>
      </c>
      <c r="N154" s="345"/>
      <c r="O154" s="225" t="str">
        <f t="shared" si="37"/>
        <v/>
      </c>
      <c r="P154" s="225" t="str">
        <f t="shared" si="38"/>
        <v/>
      </c>
      <c r="Q154" s="284"/>
      <c r="R154" s="225" t="str">
        <f t="shared" si="39"/>
        <v/>
      </c>
      <c r="S154" s="225" t="str">
        <f t="shared" si="40"/>
        <v/>
      </c>
      <c r="T154" s="231" t="str">
        <f t="shared" si="41"/>
        <v/>
      </c>
      <c r="U154" s="241"/>
      <c r="V154" s="241"/>
      <c r="W154" s="241"/>
      <c r="X154" s="241"/>
      <c r="Y154" s="241"/>
      <c r="Z154" s="241"/>
      <c r="AA154" s="241"/>
      <c r="AB154" s="241"/>
      <c r="AC154" s="241"/>
      <c r="AD154" s="241"/>
      <c r="AE154" s="241"/>
      <c r="AF154" s="241"/>
      <c r="AG154" s="241"/>
      <c r="AH154" s="241"/>
      <c r="AI154" s="241"/>
      <c r="AJ154" s="241"/>
      <c r="AK154" s="241"/>
      <c r="AL154" s="241"/>
      <c r="AM154" s="241"/>
      <c r="AN154" s="241"/>
      <c r="AO154" s="241"/>
      <c r="AP154" s="241"/>
      <c r="AQ154" s="241"/>
      <c r="AR154" s="241"/>
      <c r="AS154" s="241"/>
      <c r="AT154" s="241"/>
      <c r="AU154" s="241"/>
      <c r="AV154" s="241"/>
      <c r="AW154" s="241"/>
      <c r="AX154" s="241"/>
      <c r="AY154" s="241"/>
      <c r="AZ154" s="241"/>
    </row>
    <row r="155" spans="1:52" s="71" customFormat="1" ht="18" customHeight="1">
      <c r="A155" s="288">
        <v>6</v>
      </c>
      <c r="B155" s="97"/>
      <c r="C155" s="296"/>
      <c r="D155" s="360"/>
      <c r="E155" s="361"/>
      <c r="F155" s="298"/>
      <c r="G155" s="298"/>
      <c r="H155" s="86"/>
      <c r="I155" s="344" t="str">
        <f t="shared" si="35"/>
        <v/>
      </c>
      <c r="J155" s="345"/>
      <c r="K155" s="86"/>
      <c r="L155" s="86"/>
      <c r="M155" s="344" t="str">
        <f t="shared" si="36"/>
        <v/>
      </c>
      <c r="N155" s="345"/>
      <c r="O155" s="225" t="str">
        <f t="shared" si="37"/>
        <v/>
      </c>
      <c r="P155" s="225" t="str">
        <f t="shared" si="38"/>
        <v/>
      </c>
      <c r="Q155" s="284"/>
      <c r="R155" s="225" t="str">
        <f t="shared" si="39"/>
        <v/>
      </c>
      <c r="S155" s="225" t="str">
        <f t="shared" si="40"/>
        <v/>
      </c>
      <c r="T155" s="231" t="str">
        <f t="shared" si="41"/>
        <v/>
      </c>
      <c r="U155" s="241"/>
      <c r="V155" s="241"/>
      <c r="W155" s="241"/>
      <c r="X155" s="241"/>
      <c r="Y155" s="241"/>
      <c r="Z155" s="241"/>
      <c r="AA155" s="241"/>
      <c r="AB155" s="241"/>
      <c r="AC155" s="241"/>
      <c r="AD155" s="241"/>
      <c r="AE155" s="241"/>
      <c r="AF155" s="241"/>
      <c r="AG155" s="241"/>
      <c r="AH155" s="241"/>
      <c r="AI155" s="241"/>
      <c r="AJ155" s="241"/>
      <c r="AK155" s="241"/>
      <c r="AL155" s="241"/>
      <c r="AM155" s="241"/>
      <c r="AN155" s="241"/>
      <c r="AO155" s="241"/>
      <c r="AP155" s="241"/>
      <c r="AQ155" s="241"/>
      <c r="AR155" s="241"/>
      <c r="AS155" s="241"/>
      <c r="AT155" s="241"/>
      <c r="AU155" s="241"/>
      <c r="AV155" s="241"/>
      <c r="AW155" s="241"/>
      <c r="AX155" s="241"/>
      <c r="AY155" s="241"/>
      <c r="AZ155" s="241"/>
    </row>
    <row r="156" spans="1:52" s="71" customFormat="1" ht="18" customHeight="1">
      <c r="A156" s="288">
        <v>7</v>
      </c>
      <c r="B156" s="97"/>
      <c r="C156" s="296"/>
      <c r="D156" s="360"/>
      <c r="E156" s="361"/>
      <c r="F156" s="298"/>
      <c r="G156" s="298"/>
      <c r="H156" s="86"/>
      <c r="I156" s="344" t="str">
        <f t="shared" si="35"/>
        <v/>
      </c>
      <c r="J156" s="345"/>
      <c r="K156" s="86"/>
      <c r="L156" s="86"/>
      <c r="M156" s="344" t="str">
        <f t="shared" si="36"/>
        <v/>
      </c>
      <c r="N156" s="345"/>
      <c r="O156" s="225" t="str">
        <f t="shared" si="37"/>
        <v/>
      </c>
      <c r="P156" s="225" t="str">
        <f t="shared" si="38"/>
        <v/>
      </c>
      <c r="Q156" s="284"/>
      <c r="R156" s="225" t="str">
        <f t="shared" si="39"/>
        <v/>
      </c>
      <c r="S156" s="225" t="str">
        <f t="shared" si="40"/>
        <v/>
      </c>
      <c r="T156" s="231" t="str">
        <f t="shared" si="41"/>
        <v/>
      </c>
      <c r="U156" s="241"/>
      <c r="V156" s="241"/>
      <c r="W156" s="241"/>
      <c r="X156" s="241"/>
      <c r="Y156" s="241"/>
      <c r="Z156" s="241"/>
      <c r="AA156" s="241"/>
      <c r="AB156" s="241"/>
      <c r="AC156" s="241"/>
      <c r="AD156" s="241"/>
      <c r="AE156" s="241"/>
      <c r="AF156" s="241"/>
      <c r="AG156" s="241"/>
      <c r="AH156" s="241"/>
      <c r="AI156" s="241"/>
      <c r="AJ156" s="241"/>
      <c r="AK156" s="241"/>
      <c r="AL156" s="241"/>
      <c r="AM156" s="241"/>
      <c r="AN156" s="241"/>
      <c r="AO156" s="241"/>
      <c r="AP156" s="241"/>
      <c r="AQ156" s="241"/>
      <c r="AR156" s="241"/>
      <c r="AS156" s="241"/>
      <c r="AT156" s="241"/>
      <c r="AU156" s="241"/>
      <c r="AV156" s="241"/>
      <c r="AW156" s="241"/>
      <c r="AX156" s="241"/>
      <c r="AY156" s="241"/>
      <c r="AZ156" s="241"/>
    </row>
    <row r="157" spans="1:52" s="71" customFormat="1" ht="18" customHeight="1">
      <c r="A157" s="288">
        <v>8</v>
      </c>
      <c r="B157" s="97"/>
      <c r="C157" s="296"/>
      <c r="D157" s="360"/>
      <c r="E157" s="361"/>
      <c r="F157" s="298"/>
      <c r="G157" s="298"/>
      <c r="H157" s="86"/>
      <c r="I157" s="344" t="str">
        <f t="shared" si="35"/>
        <v/>
      </c>
      <c r="J157" s="345"/>
      <c r="K157" s="86"/>
      <c r="L157" s="86"/>
      <c r="M157" s="344" t="str">
        <f t="shared" si="36"/>
        <v/>
      </c>
      <c r="N157" s="345"/>
      <c r="O157" s="225" t="str">
        <f t="shared" si="37"/>
        <v/>
      </c>
      <c r="P157" s="225" t="str">
        <f t="shared" si="38"/>
        <v/>
      </c>
      <c r="Q157" s="284"/>
      <c r="R157" s="225" t="str">
        <f t="shared" si="39"/>
        <v/>
      </c>
      <c r="S157" s="225" t="str">
        <f t="shared" si="40"/>
        <v/>
      </c>
      <c r="T157" s="231" t="str">
        <f t="shared" si="41"/>
        <v/>
      </c>
      <c r="U157" s="241"/>
      <c r="V157" s="241"/>
      <c r="W157" s="241"/>
      <c r="X157" s="241"/>
      <c r="Y157" s="241"/>
      <c r="Z157" s="241"/>
      <c r="AA157" s="241"/>
      <c r="AB157" s="241"/>
      <c r="AC157" s="241"/>
      <c r="AD157" s="241"/>
      <c r="AE157" s="241"/>
      <c r="AF157" s="241"/>
      <c r="AG157" s="241"/>
      <c r="AH157" s="241"/>
      <c r="AI157" s="241"/>
      <c r="AJ157" s="241"/>
      <c r="AK157" s="241"/>
      <c r="AL157" s="241"/>
      <c r="AM157" s="241"/>
      <c r="AN157" s="241"/>
      <c r="AO157" s="241"/>
      <c r="AP157" s="241"/>
      <c r="AQ157" s="241"/>
      <c r="AR157" s="241"/>
      <c r="AS157" s="241"/>
      <c r="AT157" s="241"/>
      <c r="AU157" s="241"/>
      <c r="AV157" s="241"/>
      <c r="AW157" s="241"/>
      <c r="AX157" s="241"/>
      <c r="AY157" s="241"/>
      <c r="AZ157" s="241"/>
    </row>
    <row r="158" spans="1:52" s="71" customFormat="1" ht="18" customHeight="1">
      <c r="A158" s="288">
        <v>9</v>
      </c>
      <c r="B158" s="97"/>
      <c r="C158" s="296"/>
      <c r="D158" s="360"/>
      <c r="E158" s="361"/>
      <c r="F158" s="298"/>
      <c r="G158" s="298"/>
      <c r="H158" s="86"/>
      <c r="I158" s="344" t="str">
        <f t="shared" si="35"/>
        <v/>
      </c>
      <c r="J158" s="345"/>
      <c r="K158" s="86"/>
      <c r="L158" s="86"/>
      <c r="M158" s="344" t="str">
        <f t="shared" si="36"/>
        <v/>
      </c>
      <c r="N158" s="345"/>
      <c r="O158" s="225" t="str">
        <f t="shared" si="37"/>
        <v/>
      </c>
      <c r="P158" s="225" t="str">
        <f t="shared" si="38"/>
        <v/>
      </c>
      <c r="Q158" s="284"/>
      <c r="R158" s="225" t="str">
        <f t="shared" si="39"/>
        <v/>
      </c>
      <c r="S158" s="225" t="str">
        <f t="shared" si="40"/>
        <v/>
      </c>
      <c r="T158" s="231" t="str">
        <f t="shared" si="41"/>
        <v/>
      </c>
      <c r="U158" s="241"/>
      <c r="V158" s="241"/>
      <c r="W158" s="241"/>
      <c r="X158" s="241"/>
      <c r="Y158" s="241"/>
      <c r="Z158" s="241"/>
      <c r="AA158" s="241"/>
      <c r="AB158" s="241"/>
      <c r="AC158" s="241"/>
      <c r="AD158" s="241"/>
      <c r="AE158" s="241"/>
      <c r="AF158" s="241"/>
      <c r="AG158" s="241"/>
      <c r="AH158" s="241"/>
      <c r="AI158" s="241"/>
      <c r="AJ158" s="241"/>
      <c r="AK158" s="241"/>
      <c r="AL158" s="241"/>
      <c r="AM158" s="241"/>
      <c r="AN158" s="241"/>
      <c r="AO158" s="241"/>
      <c r="AP158" s="241"/>
      <c r="AQ158" s="241"/>
      <c r="AR158" s="241"/>
      <c r="AS158" s="241"/>
      <c r="AT158" s="241"/>
      <c r="AU158" s="241"/>
      <c r="AV158" s="241"/>
      <c r="AW158" s="241"/>
      <c r="AX158" s="241"/>
      <c r="AY158" s="241"/>
      <c r="AZ158" s="241"/>
    </row>
    <row r="159" spans="1:52" s="71" customFormat="1" ht="18" customHeight="1">
      <c r="A159" s="288">
        <v>10</v>
      </c>
      <c r="B159" s="97"/>
      <c r="C159" s="296"/>
      <c r="D159" s="360"/>
      <c r="E159" s="361"/>
      <c r="F159" s="298"/>
      <c r="G159" s="298"/>
      <c r="H159" s="86"/>
      <c r="I159" s="344" t="str">
        <f t="shared" si="35"/>
        <v/>
      </c>
      <c r="J159" s="345"/>
      <c r="K159" s="86"/>
      <c r="L159" s="86"/>
      <c r="M159" s="344" t="str">
        <f t="shared" si="36"/>
        <v/>
      </c>
      <c r="N159" s="345"/>
      <c r="O159" s="225" t="str">
        <f t="shared" si="37"/>
        <v/>
      </c>
      <c r="P159" s="225" t="str">
        <f t="shared" si="38"/>
        <v/>
      </c>
      <c r="Q159" s="284"/>
      <c r="R159" s="225" t="str">
        <f t="shared" si="39"/>
        <v/>
      </c>
      <c r="S159" s="225" t="str">
        <f t="shared" si="40"/>
        <v/>
      </c>
      <c r="T159" s="231" t="str">
        <f t="shared" si="41"/>
        <v/>
      </c>
      <c r="U159" s="176" t="s">
        <v>165</v>
      </c>
      <c r="V159" s="241"/>
      <c r="W159" s="241"/>
      <c r="X159" s="241"/>
      <c r="Y159" s="241"/>
      <c r="Z159" s="241"/>
      <c r="AA159" s="241"/>
      <c r="AB159" s="241"/>
      <c r="AC159" s="241"/>
      <c r="AD159" s="241"/>
      <c r="AE159" s="241"/>
      <c r="AF159" s="241"/>
      <c r="AG159" s="241"/>
      <c r="AH159" s="241"/>
      <c r="AI159" s="241"/>
      <c r="AJ159" s="241"/>
      <c r="AK159" s="241"/>
      <c r="AL159" s="241"/>
      <c r="AM159" s="241"/>
      <c r="AN159" s="241"/>
      <c r="AO159" s="241"/>
      <c r="AP159" s="241"/>
      <c r="AQ159" s="241"/>
      <c r="AR159" s="241"/>
      <c r="AS159" s="241"/>
      <c r="AT159" s="241"/>
      <c r="AU159" s="241"/>
      <c r="AV159" s="241"/>
      <c r="AW159" s="241"/>
      <c r="AX159" s="241"/>
      <c r="AY159" s="241"/>
      <c r="AZ159" s="241"/>
    </row>
    <row r="160" spans="1:52" s="71" customFormat="1" ht="18" customHeight="1" outlineLevel="1">
      <c r="A160" s="288">
        <v>11</v>
      </c>
      <c r="B160" s="97"/>
      <c r="C160" s="296"/>
      <c r="D160" s="360"/>
      <c r="E160" s="361"/>
      <c r="F160" s="298"/>
      <c r="G160" s="298"/>
      <c r="H160" s="86"/>
      <c r="I160" s="344" t="str">
        <f t="shared" si="35"/>
        <v/>
      </c>
      <c r="J160" s="345"/>
      <c r="K160" s="86"/>
      <c r="L160" s="86"/>
      <c r="M160" s="344" t="str">
        <f t="shared" si="36"/>
        <v/>
      </c>
      <c r="N160" s="345"/>
      <c r="O160" s="225" t="str">
        <f t="shared" si="37"/>
        <v/>
      </c>
      <c r="P160" s="225" t="str">
        <f t="shared" si="38"/>
        <v/>
      </c>
      <c r="Q160" s="284"/>
      <c r="R160" s="225" t="str">
        <f t="shared" si="39"/>
        <v/>
      </c>
      <c r="S160" s="225" t="str">
        <f t="shared" si="40"/>
        <v/>
      </c>
      <c r="T160" s="231" t="str">
        <f t="shared" si="41"/>
        <v/>
      </c>
      <c r="U160" s="241"/>
      <c r="V160" s="241"/>
      <c r="W160" s="241"/>
      <c r="X160" s="241"/>
      <c r="Y160" s="241"/>
      <c r="Z160" s="241"/>
      <c r="AA160" s="241"/>
      <c r="AB160" s="241"/>
      <c r="AC160" s="241"/>
      <c r="AD160" s="241"/>
      <c r="AE160" s="241"/>
      <c r="AF160" s="241"/>
      <c r="AG160" s="241"/>
      <c r="AH160" s="241"/>
      <c r="AI160" s="241"/>
      <c r="AJ160" s="241"/>
      <c r="AK160" s="241"/>
      <c r="AL160" s="241"/>
      <c r="AM160" s="241"/>
      <c r="AN160" s="241"/>
      <c r="AO160" s="241"/>
      <c r="AP160" s="241"/>
      <c r="AQ160" s="241"/>
      <c r="AR160" s="241"/>
      <c r="AS160" s="241"/>
      <c r="AT160" s="241"/>
      <c r="AU160" s="241"/>
      <c r="AV160" s="241"/>
      <c r="AW160" s="241"/>
      <c r="AX160" s="241"/>
      <c r="AY160" s="241"/>
      <c r="AZ160" s="241"/>
    </row>
    <row r="161" spans="1:52" s="71" customFormat="1" ht="18" customHeight="1" outlineLevel="1">
      <c r="A161" s="288">
        <v>12</v>
      </c>
      <c r="B161" s="97"/>
      <c r="C161" s="296"/>
      <c r="D161" s="360"/>
      <c r="E161" s="361"/>
      <c r="F161" s="298"/>
      <c r="G161" s="298"/>
      <c r="H161" s="86"/>
      <c r="I161" s="344" t="str">
        <f t="shared" si="35"/>
        <v/>
      </c>
      <c r="J161" s="345"/>
      <c r="K161" s="86"/>
      <c r="L161" s="86"/>
      <c r="M161" s="344" t="str">
        <f t="shared" si="36"/>
        <v/>
      </c>
      <c r="N161" s="345"/>
      <c r="O161" s="225" t="str">
        <f t="shared" si="37"/>
        <v/>
      </c>
      <c r="P161" s="225" t="str">
        <f t="shared" si="38"/>
        <v/>
      </c>
      <c r="Q161" s="284"/>
      <c r="R161" s="225" t="str">
        <f t="shared" si="39"/>
        <v/>
      </c>
      <c r="S161" s="225" t="str">
        <f t="shared" si="40"/>
        <v/>
      </c>
      <c r="T161" s="231" t="str">
        <f t="shared" si="41"/>
        <v/>
      </c>
      <c r="U161" s="241"/>
      <c r="V161" s="241"/>
      <c r="W161" s="241"/>
      <c r="X161" s="241"/>
      <c r="Y161" s="241"/>
      <c r="Z161" s="241"/>
      <c r="AA161" s="241"/>
      <c r="AB161" s="241"/>
      <c r="AC161" s="241"/>
      <c r="AD161" s="241"/>
      <c r="AE161" s="241"/>
      <c r="AF161" s="241"/>
      <c r="AG161" s="241"/>
      <c r="AH161" s="241"/>
      <c r="AI161" s="241"/>
      <c r="AJ161" s="241"/>
      <c r="AK161" s="241"/>
      <c r="AL161" s="241"/>
      <c r="AM161" s="241"/>
      <c r="AN161" s="241"/>
      <c r="AO161" s="241"/>
      <c r="AP161" s="241"/>
      <c r="AQ161" s="241"/>
      <c r="AR161" s="241"/>
      <c r="AS161" s="241"/>
      <c r="AT161" s="241"/>
      <c r="AU161" s="241"/>
      <c r="AV161" s="241"/>
      <c r="AW161" s="241"/>
      <c r="AX161" s="241"/>
      <c r="AY161" s="241"/>
      <c r="AZ161" s="241"/>
    </row>
    <row r="162" spans="1:52" s="71" customFormat="1" ht="18" customHeight="1" outlineLevel="1">
      <c r="A162" s="288">
        <v>13</v>
      </c>
      <c r="B162" s="97"/>
      <c r="C162" s="296"/>
      <c r="D162" s="360"/>
      <c r="E162" s="361"/>
      <c r="F162" s="298"/>
      <c r="G162" s="298"/>
      <c r="H162" s="86"/>
      <c r="I162" s="344" t="str">
        <f t="shared" si="35"/>
        <v/>
      </c>
      <c r="J162" s="345"/>
      <c r="K162" s="86"/>
      <c r="L162" s="86"/>
      <c r="M162" s="344" t="str">
        <f t="shared" si="36"/>
        <v/>
      </c>
      <c r="N162" s="345"/>
      <c r="O162" s="225" t="str">
        <f t="shared" si="37"/>
        <v/>
      </c>
      <c r="P162" s="225" t="str">
        <f t="shared" si="38"/>
        <v/>
      </c>
      <c r="Q162" s="284"/>
      <c r="R162" s="225" t="str">
        <f t="shared" si="39"/>
        <v/>
      </c>
      <c r="S162" s="225" t="str">
        <f t="shared" si="40"/>
        <v/>
      </c>
      <c r="T162" s="231" t="str">
        <f t="shared" si="41"/>
        <v/>
      </c>
      <c r="U162" s="241"/>
      <c r="V162" s="241"/>
      <c r="W162" s="241"/>
      <c r="X162" s="241"/>
      <c r="Y162" s="241"/>
      <c r="Z162" s="241"/>
      <c r="AA162" s="241"/>
      <c r="AB162" s="241"/>
      <c r="AC162" s="241"/>
      <c r="AD162" s="241"/>
      <c r="AE162" s="241"/>
      <c r="AF162" s="241"/>
      <c r="AG162" s="241"/>
      <c r="AH162" s="241"/>
      <c r="AI162" s="241"/>
      <c r="AJ162" s="241"/>
      <c r="AK162" s="241"/>
      <c r="AL162" s="241"/>
      <c r="AM162" s="241"/>
      <c r="AN162" s="241"/>
      <c r="AO162" s="241"/>
      <c r="AP162" s="241"/>
      <c r="AQ162" s="241"/>
      <c r="AR162" s="241"/>
      <c r="AS162" s="241"/>
      <c r="AT162" s="241"/>
      <c r="AU162" s="241"/>
      <c r="AV162" s="241"/>
      <c r="AW162" s="241"/>
      <c r="AX162" s="241"/>
      <c r="AY162" s="241"/>
      <c r="AZ162" s="241"/>
    </row>
    <row r="163" spans="1:52" s="71" customFormat="1" ht="18" customHeight="1" outlineLevel="1">
      <c r="A163" s="288">
        <v>14</v>
      </c>
      <c r="B163" s="97"/>
      <c r="C163" s="296"/>
      <c r="D163" s="360"/>
      <c r="E163" s="361"/>
      <c r="F163" s="298"/>
      <c r="G163" s="298"/>
      <c r="H163" s="86"/>
      <c r="I163" s="344" t="str">
        <f t="shared" si="35"/>
        <v/>
      </c>
      <c r="J163" s="345"/>
      <c r="K163" s="86"/>
      <c r="L163" s="86"/>
      <c r="M163" s="344" t="str">
        <f t="shared" si="36"/>
        <v/>
      </c>
      <c r="N163" s="345"/>
      <c r="O163" s="225" t="str">
        <f t="shared" si="37"/>
        <v/>
      </c>
      <c r="P163" s="225" t="str">
        <f t="shared" si="38"/>
        <v/>
      </c>
      <c r="Q163" s="284"/>
      <c r="R163" s="225" t="str">
        <f t="shared" si="39"/>
        <v/>
      </c>
      <c r="S163" s="225" t="str">
        <f t="shared" si="40"/>
        <v/>
      </c>
      <c r="T163" s="231" t="str">
        <f t="shared" si="41"/>
        <v/>
      </c>
      <c r="U163" s="241"/>
      <c r="V163" s="241"/>
      <c r="W163" s="241"/>
      <c r="X163" s="241"/>
      <c r="Y163" s="241"/>
      <c r="Z163" s="241"/>
      <c r="AA163" s="241"/>
      <c r="AB163" s="241"/>
      <c r="AC163" s="241"/>
      <c r="AD163" s="241"/>
      <c r="AE163" s="241"/>
      <c r="AF163" s="241"/>
      <c r="AG163" s="241"/>
      <c r="AH163" s="241"/>
      <c r="AI163" s="241"/>
      <c r="AJ163" s="241"/>
      <c r="AK163" s="241"/>
      <c r="AL163" s="241"/>
      <c r="AM163" s="241"/>
      <c r="AN163" s="241"/>
      <c r="AO163" s="241"/>
      <c r="AP163" s="241"/>
      <c r="AQ163" s="241"/>
      <c r="AR163" s="241"/>
      <c r="AS163" s="241"/>
      <c r="AT163" s="241"/>
      <c r="AU163" s="241"/>
      <c r="AV163" s="241"/>
      <c r="AW163" s="241"/>
      <c r="AX163" s="241"/>
      <c r="AY163" s="241"/>
      <c r="AZ163" s="241"/>
    </row>
    <row r="164" spans="1:52" s="71" customFormat="1" ht="18" customHeight="1" outlineLevel="1">
      <c r="A164" s="288">
        <v>15</v>
      </c>
      <c r="B164" s="97"/>
      <c r="C164" s="296"/>
      <c r="D164" s="360"/>
      <c r="E164" s="361"/>
      <c r="F164" s="298"/>
      <c r="G164" s="298"/>
      <c r="H164" s="86"/>
      <c r="I164" s="344" t="str">
        <f t="shared" si="35"/>
        <v/>
      </c>
      <c r="J164" s="345"/>
      <c r="K164" s="86"/>
      <c r="L164" s="86"/>
      <c r="M164" s="344" t="str">
        <f t="shared" si="36"/>
        <v/>
      </c>
      <c r="N164" s="345"/>
      <c r="O164" s="225" t="str">
        <f t="shared" si="37"/>
        <v/>
      </c>
      <c r="P164" s="225" t="str">
        <f t="shared" si="38"/>
        <v/>
      </c>
      <c r="Q164" s="284"/>
      <c r="R164" s="225" t="str">
        <f t="shared" si="39"/>
        <v/>
      </c>
      <c r="S164" s="225" t="str">
        <f t="shared" si="40"/>
        <v/>
      </c>
      <c r="T164" s="231" t="str">
        <f t="shared" si="41"/>
        <v/>
      </c>
      <c r="U164" s="241"/>
      <c r="V164" s="241"/>
      <c r="W164" s="241"/>
      <c r="X164" s="241"/>
      <c r="Y164" s="241"/>
      <c r="Z164" s="241"/>
      <c r="AA164" s="241"/>
      <c r="AB164" s="241"/>
      <c r="AC164" s="241"/>
      <c r="AD164" s="241"/>
      <c r="AE164" s="241"/>
      <c r="AF164" s="241"/>
      <c r="AG164" s="241"/>
      <c r="AH164" s="241"/>
      <c r="AI164" s="241"/>
      <c r="AJ164" s="241"/>
      <c r="AK164" s="241"/>
      <c r="AL164" s="241"/>
      <c r="AM164" s="241"/>
      <c r="AN164" s="241"/>
      <c r="AO164" s="241"/>
      <c r="AP164" s="241"/>
      <c r="AQ164" s="241"/>
      <c r="AR164" s="241"/>
      <c r="AS164" s="241"/>
      <c r="AT164" s="241"/>
      <c r="AU164" s="241"/>
      <c r="AV164" s="241"/>
      <c r="AW164" s="241"/>
      <c r="AX164" s="241"/>
      <c r="AY164" s="241"/>
      <c r="AZ164" s="241"/>
    </row>
    <row r="165" spans="1:52" s="71" customFormat="1" ht="18" customHeight="1" outlineLevel="1">
      <c r="A165" s="288">
        <v>16</v>
      </c>
      <c r="B165" s="97"/>
      <c r="C165" s="296"/>
      <c r="D165" s="360"/>
      <c r="E165" s="361"/>
      <c r="F165" s="298"/>
      <c r="G165" s="298"/>
      <c r="H165" s="86"/>
      <c r="I165" s="344" t="str">
        <f t="shared" si="35"/>
        <v/>
      </c>
      <c r="J165" s="345"/>
      <c r="K165" s="86"/>
      <c r="L165" s="86"/>
      <c r="M165" s="344" t="str">
        <f t="shared" si="36"/>
        <v/>
      </c>
      <c r="N165" s="345"/>
      <c r="O165" s="225" t="str">
        <f t="shared" si="37"/>
        <v/>
      </c>
      <c r="P165" s="225" t="str">
        <f t="shared" si="38"/>
        <v/>
      </c>
      <c r="Q165" s="284"/>
      <c r="R165" s="225" t="str">
        <f t="shared" si="39"/>
        <v/>
      </c>
      <c r="S165" s="225" t="str">
        <f t="shared" si="40"/>
        <v/>
      </c>
      <c r="T165" s="231" t="str">
        <f t="shared" si="41"/>
        <v/>
      </c>
      <c r="U165" s="241"/>
      <c r="V165" s="241"/>
      <c r="W165" s="241"/>
      <c r="X165" s="241"/>
      <c r="Y165" s="241"/>
      <c r="Z165" s="241"/>
      <c r="AA165" s="241"/>
      <c r="AB165" s="241"/>
      <c r="AC165" s="241"/>
      <c r="AD165" s="241"/>
      <c r="AE165" s="241"/>
      <c r="AF165" s="241"/>
      <c r="AG165" s="241"/>
      <c r="AH165" s="241"/>
      <c r="AI165" s="241"/>
      <c r="AJ165" s="241"/>
      <c r="AK165" s="241"/>
      <c r="AL165" s="241"/>
      <c r="AM165" s="241"/>
      <c r="AN165" s="241"/>
      <c r="AO165" s="241"/>
      <c r="AP165" s="241"/>
      <c r="AQ165" s="241"/>
      <c r="AR165" s="241"/>
      <c r="AS165" s="241"/>
      <c r="AT165" s="241"/>
      <c r="AU165" s="241"/>
      <c r="AV165" s="241"/>
      <c r="AW165" s="241"/>
      <c r="AX165" s="241"/>
      <c r="AY165" s="241"/>
      <c r="AZ165" s="241"/>
    </row>
    <row r="166" spans="1:52" s="71" customFormat="1" ht="18" customHeight="1" outlineLevel="1">
      <c r="A166" s="288">
        <v>17</v>
      </c>
      <c r="B166" s="97"/>
      <c r="C166" s="296"/>
      <c r="D166" s="360"/>
      <c r="E166" s="361"/>
      <c r="F166" s="298"/>
      <c r="G166" s="298"/>
      <c r="H166" s="86"/>
      <c r="I166" s="344" t="str">
        <f t="shared" si="35"/>
        <v/>
      </c>
      <c r="J166" s="345"/>
      <c r="K166" s="86"/>
      <c r="L166" s="86"/>
      <c r="M166" s="344" t="str">
        <f t="shared" si="36"/>
        <v/>
      </c>
      <c r="N166" s="345"/>
      <c r="O166" s="225" t="str">
        <f t="shared" si="37"/>
        <v/>
      </c>
      <c r="P166" s="225" t="str">
        <f t="shared" si="38"/>
        <v/>
      </c>
      <c r="Q166" s="284"/>
      <c r="R166" s="225" t="str">
        <f t="shared" si="39"/>
        <v/>
      </c>
      <c r="S166" s="225" t="str">
        <f t="shared" si="40"/>
        <v/>
      </c>
      <c r="T166" s="231" t="str">
        <f t="shared" si="41"/>
        <v/>
      </c>
      <c r="U166" s="241"/>
      <c r="V166" s="241"/>
      <c r="W166" s="241"/>
      <c r="X166" s="241"/>
      <c r="Y166" s="241"/>
      <c r="Z166" s="241"/>
      <c r="AA166" s="241"/>
      <c r="AB166" s="241"/>
      <c r="AC166" s="241"/>
      <c r="AD166" s="241"/>
      <c r="AE166" s="241"/>
      <c r="AF166" s="241"/>
      <c r="AG166" s="241"/>
      <c r="AH166" s="241"/>
      <c r="AI166" s="241"/>
      <c r="AJ166" s="241"/>
      <c r="AK166" s="241"/>
      <c r="AL166" s="241"/>
      <c r="AM166" s="241"/>
      <c r="AN166" s="241"/>
      <c r="AO166" s="241"/>
      <c r="AP166" s="241"/>
      <c r="AQ166" s="241"/>
      <c r="AR166" s="241"/>
      <c r="AS166" s="241"/>
      <c r="AT166" s="241"/>
      <c r="AU166" s="241"/>
      <c r="AV166" s="241"/>
      <c r="AW166" s="241"/>
      <c r="AX166" s="241"/>
      <c r="AY166" s="241"/>
      <c r="AZ166" s="241"/>
    </row>
    <row r="167" spans="1:52" s="71" customFormat="1" ht="18" customHeight="1" outlineLevel="1">
      <c r="A167" s="288">
        <v>18</v>
      </c>
      <c r="B167" s="97"/>
      <c r="C167" s="296"/>
      <c r="D167" s="360"/>
      <c r="E167" s="361"/>
      <c r="F167" s="298"/>
      <c r="G167" s="298"/>
      <c r="H167" s="86"/>
      <c r="I167" s="344" t="str">
        <f t="shared" si="35"/>
        <v/>
      </c>
      <c r="J167" s="345"/>
      <c r="K167" s="86"/>
      <c r="L167" s="86"/>
      <c r="M167" s="344" t="str">
        <f t="shared" si="36"/>
        <v/>
      </c>
      <c r="N167" s="345"/>
      <c r="O167" s="225" t="str">
        <f t="shared" si="37"/>
        <v/>
      </c>
      <c r="P167" s="225" t="str">
        <f t="shared" si="38"/>
        <v/>
      </c>
      <c r="Q167" s="284"/>
      <c r="R167" s="225" t="str">
        <f t="shared" si="39"/>
        <v/>
      </c>
      <c r="S167" s="225" t="str">
        <f t="shared" si="40"/>
        <v/>
      </c>
      <c r="T167" s="231" t="str">
        <f t="shared" si="41"/>
        <v/>
      </c>
      <c r="U167" s="241"/>
      <c r="V167" s="241"/>
      <c r="W167" s="241"/>
      <c r="X167" s="241"/>
      <c r="Y167" s="241"/>
      <c r="Z167" s="241"/>
      <c r="AA167" s="241"/>
      <c r="AB167" s="241"/>
      <c r="AC167" s="241"/>
      <c r="AD167" s="241"/>
      <c r="AE167" s="241"/>
      <c r="AF167" s="241"/>
      <c r="AG167" s="241"/>
      <c r="AH167" s="241"/>
      <c r="AI167" s="241"/>
      <c r="AJ167" s="241"/>
      <c r="AK167" s="241"/>
      <c r="AL167" s="241"/>
      <c r="AM167" s="241"/>
      <c r="AN167" s="241"/>
      <c r="AO167" s="241"/>
      <c r="AP167" s="241"/>
      <c r="AQ167" s="241"/>
      <c r="AR167" s="241"/>
      <c r="AS167" s="241"/>
      <c r="AT167" s="241"/>
      <c r="AU167" s="241"/>
      <c r="AV167" s="241"/>
      <c r="AW167" s="241"/>
      <c r="AX167" s="241"/>
      <c r="AY167" s="241"/>
      <c r="AZ167" s="241"/>
    </row>
    <row r="168" spans="1:52" s="71" customFormat="1" ht="18" customHeight="1" outlineLevel="1">
      <c r="A168" s="288">
        <v>19</v>
      </c>
      <c r="B168" s="97"/>
      <c r="C168" s="296"/>
      <c r="D168" s="360"/>
      <c r="E168" s="361"/>
      <c r="F168" s="298"/>
      <c r="G168" s="298"/>
      <c r="H168" s="86"/>
      <c r="I168" s="344" t="str">
        <f t="shared" si="35"/>
        <v/>
      </c>
      <c r="J168" s="345"/>
      <c r="K168" s="86"/>
      <c r="L168" s="86"/>
      <c r="M168" s="344" t="str">
        <f t="shared" si="36"/>
        <v/>
      </c>
      <c r="N168" s="345"/>
      <c r="O168" s="225" t="str">
        <f t="shared" si="37"/>
        <v/>
      </c>
      <c r="P168" s="225" t="str">
        <f t="shared" si="38"/>
        <v/>
      </c>
      <c r="Q168" s="284"/>
      <c r="R168" s="225" t="str">
        <f t="shared" si="39"/>
        <v/>
      </c>
      <c r="S168" s="225" t="str">
        <f t="shared" si="40"/>
        <v/>
      </c>
      <c r="T168" s="231" t="str">
        <f t="shared" si="41"/>
        <v/>
      </c>
      <c r="U168" s="241"/>
      <c r="V168" s="241"/>
      <c r="W168" s="241"/>
      <c r="X168" s="241"/>
      <c r="Y168" s="241"/>
      <c r="Z168" s="241"/>
      <c r="AA168" s="241"/>
      <c r="AB168" s="241"/>
      <c r="AC168" s="241"/>
      <c r="AD168" s="241"/>
      <c r="AE168" s="241"/>
      <c r="AF168" s="241"/>
      <c r="AG168" s="241"/>
      <c r="AH168" s="241"/>
      <c r="AI168" s="241"/>
      <c r="AJ168" s="241"/>
      <c r="AK168" s="241"/>
      <c r="AL168" s="241"/>
      <c r="AM168" s="241"/>
      <c r="AN168" s="241"/>
      <c r="AO168" s="241"/>
      <c r="AP168" s="241"/>
      <c r="AQ168" s="241"/>
      <c r="AR168" s="241"/>
      <c r="AS168" s="241"/>
      <c r="AT168" s="241"/>
      <c r="AU168" s="241"/>
      <c r="AV168" s="241"/>
      <c r="AW168" s="241"/>
      <c r="AX168" s="241"/>
      <c r="AY168" s="241"/>
      <c r="AZ168" s="241"/>
    </row>
    <row r="169" spans="1:52" s="71" customFormat="1" ht="18" customHeight="1" outlineLevel="1">
      <c r="A169" s="288">
        <v>20</v>
      </c>
      <c r="B169" s="97"/>
      <c r="C169" s="296"/>
      <c r="D169" s="360"/>
      <c r="E169" s="361"/>
      <c r="F169" s="298"/>
      <c r="G169" s="298"/>
      <c r="H169" s="86"/>
      <c r="I169" s="344" t="str">
        <f t="shared" si="35"/>
        <v/>
      </c>
      <c r="J169" s="345"/>
      <c r="K169" s="86"/>
      <c r="L169" s="86"/>
      <c r="M169" s="344" t="str">
        <f t="shared" si="36"/>
        <v/>
      </c>
      <c r="N169" s="345"/>
      <c r="O169" s="225" t="str">
        <f t="shared" si="37"/>
        <v/>
      </c>
      <c r="P169" s="225" t="str">
        <f t="shared" si="38"/>
        <v/>
      </c>
      <c r="Q169" s="284"/>
      <c r="R169" s="225" t="str">
        <f t="shared" si="39"/>
        <v/>
      </c>
      <c r="S169" s="225" t="str">
        <f t="shared" si="40"/>
        <v/>
      </c>
      <c r="T169" s="231" t="str">
        <f t="shared" si="41"/>
        <v/>
      </c>
      <c r="U169" s="241"/>
      <c r="V169" s="241"/>
      <c r="W169" s="241"/>
      <c r="X169" s="241"/>
      <c r="Y169" s="241"/>
      <c r="Z169" s="241"/>
      <c r="AA169" s="241"/>
      <c r="AB169" s="241"/>
      <c r="AC169" s="241"/>
      <c r="AD169" s="241"/>
      <c r="AE169" s="241"/>
      <c r="AF169" s="241"/>
      <c r="AG169" s="241"/>
      <c r="AH169" s="241"/>
      <c r="AI169" s="241"/>
      <c r="AJ169" s="241"/>
      <c r="AK169" s="241"/>
      <c r="AL169" s="241"/>
      <c r="AM169" s="241"/>
      <c r="AN169" s="241"/>
      <c r="AO169" s="241"/>
      <c r="AP169" s="241"/>
      <c r="AQ169" s="241"/>
      <c r="AR169" s="241"/>
      <c r="AS169" s="241"/>
      <c r="AT169" s="241"/>
      <c r="AU169" s="241"/>
      <c r="AV169" s="241"/>
      <c r="AW169" s="241"/>
      <c r="AX169" s="241"/>
      <c r="AY169" s="241"/>
      <c r="AZ169" s="241"/>
    </row>
    <row r="170" spans="1:52" s="71" customFormat="1" ht="18" customHeight="1" outlineLevel="1">
      <c r="A170" s="288">
        <v>21</v>
      </c>
      <c r="B170" s="97"/>
      <c r="C170" s="296"/>
      <c r="D170" s="360"/>
      <c r="E170" s="361"/>
      <c r="F170" s="298"/>
      <c r="G170" s="298"/>
      <c r="H170" s="86"/>
      <c r="I170" s="344" t="str">
        <f t="shared" si="35"/>
        <v/>
      </c>
      <c r="J170" s="345"/>
      <c r="K170" s="86"/>
      <c r="L170" s="86"/>
      <c r="M170" s="344" t="str">
        <f t="shared" si="36"/>
        <v/>
      </c>
      <c r="N170" s="345"/>
      <c r="O170" s="225" t="str">
        <f t="shared" si="37"/>
        <v/>
      </c>
      <c r="P170" s="225" t="str">
        <f t="shared" si="38"/>
        <v/>
      </c>
      <c r="Q170" s="284"/>
      <c r="R170" s="225" t="str">
        <f t="shared" si="39"/>
        <v/>
      </c>
      <c r="S170" s="225" t="str">
        <f t="shared" si="40"/>
        <v/>
      </c>
      <c r="T170" s="231" t="str">
        <f t="shared" si="41"/>
        <v/>
      </c>
      <c r="U170" s="241"/>
      <c r="V170" s="241"/>
      <c r="W170" s="241"/>
      <c r="X170" s="241"/>
      <c r="Y170" s="241"/>
      <c r="Z170" s="241"/>
      <c r="AA170" s="241"/>
      <c r="AB170" s="241"/>
      <c r="AC170" s="241"/>
      <c r="AD170" s="241"/>
      <c r="AE170" s="241"/>
      <c r="AF170" s="241"/>
      <c r="AG170" s="241"/>
      <c r="AH170" s="241"/>
      <c r="AI170" s="241"/>
      <c r="AJ170" s="241"/>
      <c r="AK170" s="241"/>
      <c r="AL170" s="241"/>
      <c r="AM170" s="241"/>
      <c r="AN170" s="241"/>
      <c r="AO170" s="241"/>
      <c r="AP170" s="241"/>
      <c r="AQ170" s="241"/>
      <c r="AR170" s="241"/>
      <c r="AS170" s="241"/>
      <c r="AT170" s="241"/>
      <c r="AU170" s="241"/>
      <c r="AV170" s="241"/>
      <c r="AW170" s="241"/>
      <c r="AX170" s="241"/>
      <c r="AY170" s="241"/>
      <c r="AZ170" s="241"/>
    </row>
    <row r="171" spans="1:52" s="71" customFormat="1" ht="18" customHeight="1" outlineLevel="1">
      <c r="A171" s="288">
        <v>22</v>
      </c>
      <c r="B171" s="97"/>
      <c r="C171" s="296"/>
      <c r="D171" s="360"/>
      <c r="E171" s="361"/>
      <c r="F171" s="298"/>
      <c r="G171" s="298"/>
      <c r="H171" s="86"/>
      <c r="I171" s="344" t="str">
        <f t="shared" si="35"/>
        <v/>
      </c>
      <c r="J171" s="345"/>
      <c r="K171" s="86"/>
      <c r="L171" s="86"/>
      <c r="M171" s="344" t="str">
        <f t="shared" si="36"/>
        <v/>
      </c>
      <c r="N171" s="345"/>
      <c r="O171" s="225" t="str">
        <f t="shared" si="37"/>
        <v/>
      </c>
      <c r="P171" s="225" t="str">
        <f t="shared" si="38"/>
        <v/>
      </c>
      <c r="Q171" s="284"/>
      <c r="R171" s="225" t="str">
        <f t="shared" si="39"/>
        <v/>
      </c>
      <c r="S171" s="225" t="str">
        <f t="shared" si="40"/>
        <v/>
      </c>
      <c r="T171" s="231" t="str">
        <f t="shared" si="41"/>
        <v/>
      </c>
      <c r="U171" s="241"/>
      <c r="V171" s="241"/>
      <c r="W171" s="241"/>
      <c r="X171" s="241"/>
      <c r="Y171" s="241"/>
      <c r="Z171" s="241"/>
      <c r="AA171" s="241"/>
      <c r="AB171" s="241"/>
      <c r="AC171" s="241"/>
      <c r="AD171" s="241"/>
      <c r="AE171" s="241"/>
      <c r="AF171" s="241"/>
      <c r="AG171" s="241"/>
      <c r="AH171" s="241"/>
      <c r="AI171" s="241"/>
      <c r="AJ171" s="241"/>
      <c r="AK171" s="241"/>
      <c r="AL171" s="241"/>
      <c r="AM171" s="241"/>
      <c r="AN171" s="241"/>
      <c r="AO171" s="241"/>
      <c r="AP171" s="241"/>
      <c r="AQ171" s="241"/>
      <c r="AR171" s="241"/>
      <c r="AS171" s="241"/>
      <c r="AT171" s="241"/>
      <c r="AU171" s="241"/>
      <c r="AV171" s="241"/>
      <c r="AW171" s="241"/>
      <c r="AX171" s="241"/>
      <c r="AY171" s="241"/>
      <c r="AZ171" s="241"/>
    </row>
    <row r="172" spans="1:52" s="71" customFormat="1" ht="18" customHeight="1" outlineLevel="1">
      <c r="A172" s="288">
        <v>23</v>
      </c>
      <c r="B172" s="97"/>
      <c r="C172" s="296"/>
      <c r="D172" s="360"/>
      <c r="E172" s="361"/>
      <c r="F172" s="298"/>
      <c r="G172" s="298"/>
      <c r="H172" s="86"/>
      <c r="I172" s="344" t="str">
        <f t="shared" si="35"/>
        <v/>
      </c>
      <c r="J172" s="345"/>
      <c r="K172" s="86"/>
      <c r="L172" s="86"/>
      <c r="M172" s="344" t="str">
        <f t="shared" si="36"/>
        <v/>
      </c>
      <c r="N172" s="345"/>
      <c r="O172" s="225" t="str">
        <f t="shared" si="37"/>
        <v/>
      </c>
      <c r="P172" s="225" t="str">
        <f t="shared" si="38"/>
        <v/>
      </c>
      <c r="Q172" s="284"/>
      <c r="R172" s="225" t="str">
        <f t="shared" si="39"/>
        <v/>
      </c>
      <c r="S172" s="225" t="str">
        <f t="shared" si="40"/>
        <v/>
      </c>
      <c r="T172" s="231" t="str">
        <f t="shared" si="41"/>
        <v/>
      </c>
      <c r="U172" s="241"/>
      <c r="V172" s="241"/>
      <c r="W172" s="241"/>
      <c r="X172" s="241"/>
      <c r="Y172" s="241"/>
      <c r="Z172" s="241"/>
      <c r="AA172" s="241"/>
      <c r="AB172" s="241"/>
      <c r="AC172" s="241"/>
      <c r="AD172" s="241"/>
      <c r="AE172" s="241"/>
      <c r="AF172" s="241"/>
      <c r="AG172" s="241"/>
      <c r="AH172" s="241"/>
      <c r="AI172" s="241"/>
      <c r="AJ172" s="241"/>
      <c r="AK172" s="241"/>
      <c r="AL172" s="241"/>
      <c r="AM172" s="241"/>
      <c r="AN172" s="241"/>
      <c r="AO172" s="241"/>
      <c r="AP172" s="241"/>
      <c r="AQ172" s="241"/>
      <c r="AR172" s="241"/>
      <c r="AS172" s="241"/>
      <c r="AT172" s="241"/>
      <c r="AU172" s="241"/>
      <c r="AV172" s="241"/>
      <c r="AW172" s="241"/>
      <c r="AX172" s="241"/>
      <c r="AY172" s="241"/>
      <c r="AZ172" s="241"/>
    </row>
    <row r="173" spans="1:52" s="71" customFormat="1" ht="18" customHeight="1" outlineLevel="1">
      <c r="A173" s="288">
        <v>24</v>
      </c>
      <c r="B173" s="97"/>
      <c r="C173" s="296"/>
      <c r="D173" s="360"/>
      <c r="E173" s="361"/>
      <c r="F173" s="298"/>
      <c r="G173" s="298"/>
      <c r="H173" s="86"/>
      <c r="I173" s="344" t="str">
        <f t="shared" si="35"/>
        <v/>
      </c>
      <c r="J173" s="345"/>
      <c r="K173" s="86"/>
      <c r="L173" s="86"/>
      <c r="M173" s="344" t="str">
        <f t="shared" si="36"/>
        <v/>
      </c>
      <c r="N173" s="345"/>
      <c r="O173" s="225" t="str">
        <f t="shared" si="37"/>
        <v/>
      </c>
      <c r="P173" s="225" t="str">
        <f t="shared" si="38"/>
        <v/>
      </c>
      <c r="Q173" s="284"/>
      <c r="R173" s="225" t="str">
        <f t="shared" si="39"/>
        <v/>
      </c>
      <c r="S173" s="225" t="str">
        <f t="shared" si="40"/>
        <v/>
      </c>
      <c r="T173" s="231" t="str">
        <f t="shared" si="41"/>
        <v/>
      </c>
      <c r="U173" s="241"/>
      <c r="V173" s="241"/>
      <c r="W173" s="241"/>
      <c r="X173" s="241"/>
      <c r="Y173" s="241"/>
      <c r="Z173" s="241"/>
      <c r="AA173" s="241"/>
      <c r="AB173" s="241"/>
      <c r="AC173" s="241"/>
      <c r="AD173" s="241"/>
      <c r="AE173" s="241"/>
      <c r="AF173" s="241"/>
      <c r="AG173" s="241"/>
      <c r="AH173" s="241"/>
      <c r="AI173" s="241"/>
      <c r="AJ173" s="241"/>
      <c r="AK173" s="241"/>
      <c r="AL173" s="241"/>
      <c r="AM173" s="241"/>
      <c r="AN173" s="241"/>
      <c r="AO173" s="241"/>
      <c r="AP173" s="241"/>
      <c r="AQ173" s="241"/>
      <c r="AR173" s="241"/>
      <c r="AS173" s="241"/>
      <c r="AT173" s="241"/>
      <c r="AU173" s="241"/>
      <c r="AV173" s="241"/>
      <c r="AW173" s="241"/>
      <c r="AX173" s="241"/>
      <c r="AY173" s="241"/>
      <c r="AZ173" s="241"/>
    </row>
    <row r="174" spans="1:52" s="71" customFormat="1" ht="18" customHeight="1" outlineLevel="1">
      <c r="A174" s="288">
        <v>25</v>
      </c>
      <c r="B174" s="97"/>
      <c r="C174" s="296"/>
      <c r="D174" s="360"/>
      <c r="E174" s="361"/>
      <c r="F174" s="298"/>
      <c r="G174" s="298"/>
      <c r="H174" s="86"/>
      <c r="I174" s="344" t="str">
        <f t="shared" si="35"/>
        <v/>
      </c>
      <c r="J174" s="345"/>
      <c r="K174" s="86"/>
      <c r="L174" s="86"/>
      <c r="M174" s="344" t="str">
        <f t="shared" si="36"/>
        <v/>
      </c>
      <c r="N174" s="345"/>
      <c r="O174" s="225" t="str">
        <f t="shared" si="37"/>
        <v/>
      </c>
      <c r="P174" s="225" t="str">
        <f t="shared" si="38"/>
        <v/>
      </c>
      <c r="Q174" s="284"/>
      <c r="R174" s="225" t="str">
        <f t="shared" si="39"/>
        <v/>
      </c>
      <c r="S174" s="225" t="str">
        <f t="shared" si="40"/>
        <v/>
      </c>
      <c r="T174" s="231" t="str">
        <f t="shared" si="41"/>
        <v/>
      </c>
      <c r="U174" s="241"/>
      <c r="V174" s="241"/>
      <c r="W174" s="241"/>
      <c r="X174" s="241"/>
      <c r="Y174" s="241"/>
      <c r="Z174" s="241"/>
      <c r="AA174" s="241"/>
      <c r="AB174" s="241"/>
      <c r="AC174" s="241"/>
      <c r="AD174" s="241"/>
      <c r="AE174" s="241"/>
      <c r="AF174" s="241"/>
      <c r="AG174" s="241"/>
      <c r="AH174" s="241"/>
      <c r="AI174" s="241"/>
      <c r="AJ174" s="241"/>
      <c r="AK174" s="241"/>
      <c r="AL174" s="241"/>
      <c r="AM174" s="241"/>
      <c r="AN174" s="241"/>
      <c r="AO174" s="241"/>
      <c r="AP174" s="241"/>
      <c r="AQ174" s="241"/>
      <c r="AR174" s="241"/>
      <c r="AS174" s="241"/>
      <c r="AT174" s="241"/>
      <c r="AU174" s="241"/>
      <c r="AV174" s="241"/>
      <c r="AW174" s="241"/>
      <c r="AX174" s="241"/>
      <c r="AY174" s="241"/>
      <c r="AZ174" s="241"/>
    </row>
    <row r="175" spans="1:52" s="71" customFormat="1" ht="18" customHeight="1" outlineLevel="1">
      <c r="A175" s="288">
        <v>26</v>
      </c>
      <c r="B175" s="97"/>
      <c r="C175" s="296"/>
      <c r="D175" s="360"/>
      <c r="E175" s="361"/>
      <c r="F175" s="298"/>
      <c r="G175" s="298"/>
      <c r="H175" s="86"/>
      <c r="I175" s="344" t="str">
        <f t="shared" si="35"/>
        <v/>
      </c>
      <c r="J175" s="345"/>
      <c r="K175" s="86"/>
      <c r="L175" s="86"/>
      <c r="M175" s="344" t="str">
        <f t="shared" si="36"/>
        <v/>
      </c>
      <c r="N175" s="345"/>
      <c r="O175" s="225" t="str">
        <f t="shared" si="37"/>
        <v/>
      </c>
      <c r="P175" s="225" t="str">
        <f t="shared" si="38"/>
        <v/>
      </c>
      <c r="Q175" s="284"/>
      <c r="R175" s="225" t="str">
        <f t="shared" si="39"/>
        <v/>
      </c>
      <c r="S175" s="225" t="str">
        <f t="shared" si="40"/>
        <v/>
      </c>
      <c r="T175" s="231" t="str">
        <f t="shared" si="41"/>
        <v/>
      </c>
      <c r="U175" s="241"/>
      <c r="V175" s="241"/>
      <c r="W175" s="241"/>
      <c r="X175" s="241"/>
      <c r="Y175" s="241"/>
      <c r="Z175" s="241"/>
      <c r="AA175" s="241"/>
      <c r="AB175" s="241"/>
      <c r="AC175" s="241"/>
      <c r="AD175" s="241"/>
      <c r="AE175" s="241"/>
      <c r="AF175" s="241"/>
      <c r="AG175" s="241"/>
      <c r="AH175" s="241"/>
      <c r="AI175" s="241"/>
      <c r="AJ175" s="241"/>
      <c r="AK175" s="241"/>
      <c r="AL175" s="241"/>
      <c r="AM175" s="241"/>
      <c r="AN175" s="241"/>
      <c r="AO175" s="241"/>
      <c r="AP175" s="241"/>
      <c r="AQ175" s="241"/>
      <c r="AR175" s="241"/>
      <c r="AS175" s="241"/>
      <c r="AT175" s="241"/>
      <c r="AU175" s="241"/>
      <c r="AV175" s="241"/>
      <c r="AW175" s="241"/>
      <c r="AX175" s="241"/>
      <c r="AY175" s="241"/>
      <c r="AZ175" s="241"/>
    </row>
    <row r="176" spans="1:52" s="71" customFormat="1" ht="18" customHeight="1" outlineLevel="1">
      <c r="A176" s="288">
        <v>27</v>
      </c>
      <c r="B176" s="97"/>
      <c r="C176" s="296"/>
      <c r="D176" s="360"/>
      <c r="E176" s="361"/>
      <c r="F176" s="298"/>
      <c r="G176" s="298"/>
      <c r="H176" s="86"/>
      <c r="I176" s="344" t="str">
        <f t="shared" si="35"/>
        <v/>
      </c>
      <c r="J176" s="345"/>
      <c r="K176" s="86"/>
      <c r="L176" s="86"/>
      <c r="M176" s="344" t="str">
        <f t="shared" si="36"/>
        <v/>
      </c>
      <c r="N176" s="345"/>
      <c r="O176" s="225" t="str">
        <f t="shared" si="37"/>
        <v/>
      </c>
      <c r="P176" s="225" t="str">
        <f t="shared" si="38"/>
        <v/>
      </c>
      <c r="Q176" s="284"/>
      <c r="R176" s="225" t="str">
        <f t="shared" si="39"/>
        <v/>
      </c>
      <c r="S176" s="225" t="str">
        <f t="shared" si="40"/>
        <v/>
      </c>
      <c r="T176" s="231" t="str">
        <f t="shared" si="41"/>
        <v/>
      </c>
      <c r="U176" s="241"/>
      <c r="V176" s="241"/>
      <c r="W176" s="241"/>
      <c r="X176" s="241"/>
      <c r="Y176" s="241"/>
      <c r="Z176" s="241"/>
      <c r="AA176" s="241"/>
      <c r="AB176" s="241"/>
      <c r="AC176" s="241"/>
      <c r="AD176" s="241"/>
      <c r="AE176" s="241"/>
      <c r="AF176" s="241"/>
      <c r="AG176" s="241"/>
      <c r="AH176" s="241"/>
      <c r="AI176" s="241"/>
      <c r="AJ176" s="241"/>
      <c r="AK176" s="241"/>
      <c r="AL176" s="241"/>
      <c r="AM176" s="241"/>
      <c r="AN176" s="241"/>
      <c r="AO176" s="241"/>
      <c r="AP176" s="241"/>
      <c r="AQ176" s="241"/>
      <c r="AR176" s="241"/>
      <c r="AS176" s="241"/>
      <c r="AT176" s="241"/>
      <c r="AU176" s="241"/>
      <c r="AV176" s="241"/>
      <c r="AW176" s="241"/>
      <c r="AX176" s="241"/>
      <c r="AY176" s="241"/>
      <c r="AZ176" s="241"/>
    </row>
    <row r="177" spans="1:52" s="71" customFormat="1" ht="18" customHeight="1" outlineLevel="1">
      <c r="A177" s="288">
        <v>28</v>
      </c>
      <c r="B177" s="97"/>
      <c r="C177" s="296"/>
      <c r="D177" s="360"/>
      <c r="E177" s="361"/>
      <c r="F177" s="298"/>
      <c r="G177" s="298"/>
      <c r="H177" s="86"/>
      <c r="I177" s="344" t="str">
        <f t="shared" si="35"/>
        <v/>
      </c>
      <c r="J177" s="345"/>
      <c r="K177" s="86"/>
      <c r="L177" s="86"/>
      <c r="M177" s="344" t="str">
        <f t="shared" si="36"/>
        <v/>
      </c>
      <c r="N177" s="345"/>
      <c r="O177" s="225" t="str">
        <f t="shared" si="37"/>
        <v/>
      </c>
      <c r="P177" s="225" t="str">
        <f t="shared" si="38"/>
        <v/>
      </c>
      <c r="Q177" s="284"/>
      <c r="R177" s="225" t="str">
        <f t="shared" si="39"/>
        <v/>
      </c>
      <c r="S177" s="225" t="str">
        <f t="shared" si="40"/>
        <v/>
      </c>
      <c r="T177" s="231" t="str">
        <f t="shared" si="41"/>
        <v/>
      </c>
      <c r="U177" s="241"/>
      <c r="V177" s="241"/>
      <c r="W177" s="241"/>
      <c r="X177" s="241"/>
      <c r="Y177" s="241"/>
      <c r="Z177" s="241"/>
      <c r="AA177" s="241"/>
      <c r="AB177" s="241"/>
      <c r="AC177" s="241"/>
      <c r="AD177" s="241"/>
      <c r="AE177" s="241"/>
      <c r="AF177" s="241"/>
      <c r="AG177" s="241"/>
      <c r="AH177" s="241"/>
      <c r="AI177" s="241"/>
      <c r="AJ177" s="241"/>
      <c r="AK177" s="241"/>
      <c r="AL177" s="241"/>
      <c r="AM177" s="241"/>
      <c r="AN177" s="241"/>
      <c r="AO177" s="241"/>
      <c r="AP177" s="241"/>
      <c r="AQ177" s="241"/>
      <c r="AR177" s="241"/>
      <c r="AS177" s="241"/>
      <c r="AT177" s="241"/>
      <c r="AU177" s="241"/>
      <c r="AV177" s="241"/>
      <c r="AW177" s="241"/>
      <c r="AX177" s="241"/>
      <c r="AY177" s="241"/>
      <c r="AZ177" s="241"/>
    </row>
    <row r="178" spans="1:52" s="71" customFormat="1" ht="18" customHeight="1" outlineLevel="1">
      <c r="A178" s="288">
        <v>29</v>
      </c>
      <c r="B178" s="97"/>
      <c r="C178" s="296"/>
      <c r="D178" s="360"/>
      <c r="E178" s="361"/>
      <c r="F178" s="298"/>
      <c r="G178" s="298"/>
      <c r="H178" s="86"/>
      <c r="I178" s="344" t="str">
        <f t="shared" si="35"/>
        <v/>
      </c>
      <c r="J178" s="345"/>
      <c r="K178" s="86"/>
      <c r="L178" s="86"/>
      <c r="M178" s="344" t="str">
        <f t="shared" si="36"/>
        <v/>
      </c>
      <c r="N178" s="345"/>
      <c r="O178" s="225" t="str">
        <f t="shared" si="37"/>
        <v/>
      </c>
      <c r="P178" s="225" t="str">
        <f t="shared" si="38"/>
        <v/>
      </c>
      <c r="Q178" s="284"/>
      <c r="R178" s="225" t="str">
        <f t="shared" si="39"/>
        <v/>
      </c>
      <c r="S178" s="225" t="str">
        <f t="shared" si="40"/>
        <v/>
      </c>
      <c r="T178" s="231" t="str">
        <f t="shared" si="41"/>
        <v/>
      </c>
      <c r="U178" s="241"/>
      <c r="V178" s="241"/>
      <c r="W178" s="241"/>
      <c r="X178" s="241"/>
      <c r="Y178" s="241"/>
      <c r="Z178" s="241"/>
      <c r="AA178" s="241"/>
      <c r="AB178" s="241"/>
      <c r="AC178" s="241"/>
      <c r="AD178" s="241"/>
      <c r="AE178" s="241"/>
      <c r="AF178" s="241"/>
      <c r="AG178" s="241"/>
      <c r="AH178" s="241"/>
      <c r="AI178" s="241"/>
      <c r="AJ178" s="241"/>
      <c r="AK178" s="241"/>
      <c r="AL178" s="241"/>
      <c r="AM178" s="241"/>
      <c r="AN178" s="241"/>
      <c r="AO178" s="241"/>
      <c r="AP178" s="241"/>
      <c r="AQ178" s="241"/>
      <c r="AR178" s="241"/>
      <c r="AS178" s="241"/>
      <c r="AT178" s="241"/>
      <c r="AU178" s="241"/>
      <c r="AV178" s="241"/>
      <c r="AW178" s="241"/>
      <c r="AX178" s="241"/>
      <c r="AY178" s="241"/>
      <c r="AZ178" s="241"/>
    </row>
    <row r="179" spans="1:52" s="71" customFormat="1" ht="18" customHeight="1" outlineLevel="1">
      <c r="A179" s="288">
        <v>30</v>
      </c>
      <c r="B179" s="97"/>
      <c r="C179" s="296"/>
      <c r="D179" s="360"/>
      <c r="E179" s="361"/>
      <c r="F179" s="298"/>
      <c r="G179" s="298"/>
      <c r="H179" s="86"/>
      <c r="I179" s="344" t="str">
        <f t="shared" si="35"/>
        <v/>
      </c>
      <c r="J179" s="345"/>
      <c r="K179" s="86"/>
      <c r="L179" s="86"/>
      <c r="M179" s="344" t="str">
        <f t="shared" si="36"/>
        <v/>
      </c>
      <c r="N179" s="345"/>
      <c r="O179" s="225" t="str">
        <f t="shared" si="37"/>
        <v/>
      </c>
      <c r="P179" s="225" t="str">
        <f t="shared" si="38"/>
        <v/>
      </c>
      <c r="Q179" s="284"/>
      <c r="R179" s="225" t="str">
        <f t="shared" si="39"/>
        <v/>
      </c>
      <c r="S179" s="225" t="str">
        <f t="shared" si="40"/>
        <v/>
      </c>
      <c r="T179" s="231" t="str">
        <f t="shared" si="41"/>
        <v/>
      </c>
      <c r="U179" s="241"/>
      <c r="V179" s="241"/>
      <c r="W179" s="241"/>
      <c r="X179" s="241"/>
      <c r="Y179" s="241"/>
      <c r="Z179" s="241"/>
      <c r="AA179" s="241"/>
      <c r="AB179" s="241"/>
      <c r="AC179" s="241"/>
      <c r="AD179" s="241"/>
      <c r="AE179" s="241"/>
      <c r="AF179" s="241"/>
      <c r="AG179" s="241"/>
      <c r="AH179" s="241"/>
      <c r="AI179" s="241"/>
      <c r="AJ179" s="241"/>
      <c r="AK179" s="241"/>
      <c r="AL179" s="241"/>
      <c r="AM179" s="241"/>
      <c r="AN179" s="241"/>
      <c r="AO179" s="241"/>
      <c r="AP179" s="241"/>
      <c r="AQ179" s="241"/>
      <c r="AR179" s="241"/>
      <c r="AS179" s="241"/>
      <c r="AT179" s="241"/>
      <c r="AU179" s="241"/>
      <c r="AV179" s="241"/>
      <c r="AW179" s="241"/>
      <c r="AX179" s="241"/>
      <c r="AY179" s="241"/>
      <c r="AZ179" s="241"/>
    </row>
    <row r="180" spans="1:52" s="71" customFormat="1" ht="18" customHeight="1" outlineLevel="1">
      <c r="A180" s="288">
        <v>31</v>
      </c>
      <c r="B180" s="97"/>
      <c r="C180" s="296"/>
      <c r="D180" s="360"/>
      <c r="E180" s="361"/>
      <c r="F180" s="298"/>
      <c r="G180" s="298"/>
      <c r="H180" s="86"/>
      <c r="I180" s="344" t="str">
        <f t="shared" ref="I180:I199" si="42">INDEX(logic_dumukitch,MATCH($A180,logic_kitchno,0))</f>
        <v/>
      </c>
      <c r="J180" s="345"/>
      <c r="K180" s="86"/>
      <c r="L180" s="86"/>
      <c r="M180" s="344" t="str">
        <f t="shared" ref="M180:M199" si="43">INDEX(logic_wurukitch,MATCH($A180,logic_kitchno,0))</f>
        <v/>
      </c>
      <c r="N180" s="345"/>
      <c r="O180" s="225" t="str">
        <f t="shared" ref="O180:O199" si="44">INDEX(logic_kitchawub,MATCH($A180,logic_kitchno,0))</f>
        <v/>
      </c>
      <c r="P180" s="225" t="str">
        <f t="shared" ref="P180:P199" si="45">INDEX(logic_kitchawudwoaw,MATCH($A180,logic_kitchno,0))</f>
        <v/>
      </c>
      <c r="Q180" s="284"/>
      <c r="R180" s="225" t="str">
        <f t="shared" ref="R180:R199" si="46">INDEX(logic_kitchawud,MATCH($A180,logic_kitchno,0))</f>
        <v/>
      </c>
      <c r="S180" s="225" t="str">
        <f t="shared" ref="S180:S199" si="47">INDEX(logic_kitchawusa,MATCH($A180,logic_kitchno,0))</f>
        <v/>
      </c>
      <c r="T180" s="231" t="str">
        <f t="shared" ref="T180:T199" si="48">INDEX(logic_kitchawusp,MATCH($A180,logic_kitchno,0))</f>
        <v/>
      </c>
      <c r="U180" s="176" t="s">
        <v>165</v>
      </c>
      <c r="V180" s="241"/>
      <c r="W180" s="241"/>
      <c r="X180" s="241"/>
      <c r="Y180" s="241"/>
      <c r="Z180" s="241"/>
      <c r="AA180" s="241"/>
      <c r="AB180" s="241"/>
      <c r="AC180" s="241"/>
      <c r="AD180" s="241"/>
      <c r="AE180" s="241"/>
      <c r="AF180" s="241"/>
      <c r="AG180" s="241"/>
      <c r="AH180" s="241"/>
      <c r="AI180" s="241"/>
      <c r="AJ180" s="241"/>
      <c r="AK180" s="241"/>
      <c r="AL180" s="241"/>
      <c r="AM180" s="241"/>
      <c r="AN180" s="241"/>
      <c r="AO180" s="241"/>
      <c r="AP180" s="241"/>
      <c r="AQ180" s="241"/>
      <c r="AR180" s="241"/>
      <c r="AS180" s="241"/>
      <c r="AT180" s="241"/>
      <c r="AU180" s="241"/>
      <c r="AV180" s="241"/>
      <c r="AW180" s="241"/>
      <c r="AX180" s="241"/>
      <c r="AY180" s="241"/>
      <c r="AZ180" s="241"/>
    </row>
    <row r="181" spans="1:52" s="71" customFormat="1" ht="18" hidden="1" customHeight="1" outlineLevel="2">
      <c r="A181" s="288">
        <v>32</v>
      </c>
      <c r="B181" s="97"/>
      <c r="C181" s="296"/>
      <c r="D181" s="360"/>
      <c r="E181" s="361"/>
      <c r="F181" s="298"/>
      <c r="G181" s="298"/>
      <c r="H181" s="86"/>
      <c r="I181" s="344" t="str">
        <f t="shared" si="42"/>
        <v/>
      </c>
      <c r="J181" s="345"/>
      <c r="K181" s="86"/>
      <c r="L181" s="86"/>
      <c r="M181" s="344" t="str">
        <f t="shared" si="43"/>
        <v/>
      </c>
      <c r="N181" s="345"/>
      <c r="O181" s="225" t="str">
        <f t="shared" si="44"/>
        <v/>
      </c>
      <c r="P181" s="225" t="str">
        <f t="shared" si="45"/>
        <v/>
      </c>
      <c r="Q181" s="284"/>
      <c r="R181" s="225" t="str">
        <f t="shared" si="46"/>
        <v/>
      </c>
      <c r="S181" s="225" t="str">
        <f t="shared" si="47"/>
        <v/>
      </c>
      <c r="T181" s="231" t="str">
        <f t="shared" si="48"/>
        <v/>
      </c>
      <c r="U181" s="241"/>
      <c r="V181" s="241"/>
      <c r="W181" s="241"/>
      <c r="X181" s="241"/>
      <c r="Y181" s="241"/>
      <c r="Z181" s="241"/>
      <c r="AA181" s="241"/>
      <c r="AB181" s="241"/>
      <c r="AC181" s="241"/>
      <c r="AD181" s="241"/>
      <c r="AE181" s="241"/>
      <c r="AF181" s="241"/>
      <c r="AG181" s="241"/>
      <c r="AH181" s="241"/>
      <c r="AI181" s="241"/>
      <c r="AJ181" s="241"/>
      <c r="AK181" s="241"/>
      <c r="AL181" s="241"/>
      <c r="AM181" s="241"/>
      <c r="AN181" s="241"/>
      <c r="AO181" s="241"/>
      <c r="AP181" s="241"/>
      <c r="AQ181" s="241"/>
      <c r="AR181" s="241"/>
      <c r="AS181" s="241"/>
      <c r="AT181" s="241"/>
      <c r="AU181" s="241"/>
      <c r="AV181" s="241"/>
      <c r="AW181" s="241"/>
      <c r="AX181" s="241"/>
      <c r="AY181" s="241"/>
      <c r="AZ181" s="241"/>
    </row>
    <row r="182" spans="1:52" s="71" customFormat="1" ht="18" hidden="1" customHeight="1" outlineLevel="2">
      <c r="A182" s="288">
        <v>33</v>
      </c>
      <c r="B182" s="97"/>
      <c r="C182" s="296"/>
      <c r="D182" s="360"/>
      <c r="E182" s="361"/>
      <c r="F182" s="298"/>
      <c r="G182" s="298"/>
      <c r="H182" s="86"/>
      <c r="I182" s="344" t="str">
        <f t="shared" si="42"/>
        <v/>
      </c>
      <c r="J182" s="345"/>
      <c r="K182" s="86"/>
      <c r="L182" s="86"/>
      <c r="M182" s="344" t="str">
        <f t="shared" si="43"/>
        <v/>
      </c>
      <c r="N182" s="345"/>
      <c r="O182" s="225" t="str">
        <f t="shared" si="44"/>
        <v/>
      </c>
      <c r="P182" s="225" t="str">
        <f t="shared" si="45"/>
        <v/>
      </c>
      <c r="Q182" s="284"/>
      <c r="R182" s="225" t="str">
        <f t="shared" si="46"/>
        <v/>
      </c>
      <c r="S182" s="225" t="str">
        <f t="shared" si="47"/>
        <v/>
      </c>
      <c r="T182" s="231" t="str">
        <f t="shared" si="48"/>
        <v/>
      </c>
      <c r="U182" s="241"/>
      <c r="V182" s="241"/>
      <c r="W182" s="241"/>
      <c r="X182" s="241"/>
      <c r="Y182" s="241"/>
      <c r="Z182" s="241"/>
      <c r="AA182" s="241"/>
      <c r="AB182" s="241"/>
      <c r="AC182" s="241"/>
      <c r="AD182" s="241"/>
      <c r="AE182" s="241"/>
      <c r="AF182" s="241"/>
      <c r="AG182" s="241"/>
      <c r="AH182" s="241"/>
      <c r="AI182" s="241"/>
      <c r="AJ182" s="241"/>
      <c r="AK182" s="241"/>
      <c r="AL182" s="241"/>
      <c r="AM182" s="241"/>
      <c r="AN182" s="241"/>
      <c r="AO182" s="241"/>
      <c r="AP182" s="241"/>
      <c r="AQ182" s="241"/>
      <c r="AR182" s="241"/>
      <c r="AS182" s="241"/>
      <c r="AT182" s="241"/>
      <c r="AU182" s="241"/>
      <c r="AV182" s="241"/>
      <c r="AW182" s="241"/>
      <c r="AX182" s="241"/>
      <c r="AY182" s="241"/>
      <c r="AZ182" s="241"/>
    </row>
    <row r="183" spans="1:52" s="71" customFormat="1" ht="18" hidden="1" customHeight="1" outlineLevel="2">
      <c r="A183" s="288">
        <v>34</v>
      </c>
      <c r="B183" s="97"/>
      <c r="C183" s="296"/>
      <c r="D183" s="360"/>
      <c r="E183" s="361"/>
      <c r="F183" s="298"/>
      <c r="G183" s="298"/>
      <c r="H183" s="86"/>
      <c r="I183" s="344" t="str">
        <f t="shared" si="42"/>
        <v/>
      </c>
      <c r="J183" s="345"/>
      <c r="K183" s="86"/>
      <c r="L183" s="86"/>
      <c r="M183" s="344" t="str">
        <f t="shared" si="43"/>
        <v/>
      </c>
      <c r="N183" s="345"/>
      <c r="O183" s="225" t="str">
        <f t="shared" si="44"/>
        <v/>
      </c>
      <c r="P183" s="225" t="str">
        <f t="shared" si="45"/>
        <v/>
      </c>
      <c r="Q183" s="284"/>
      <c r="R183" s="225" t="str">
        <f t="shared" si="46"/>
        <v/>
      </c>
      <c r="S183" s="225" t="str">
        <f t="shared" si="47"/>
        <v/>
      </c>
      <c r="T183" s="231" t="str">
        <f t="shared" si="48"/>
        <v/>
      </c>
      <c r="U183" s="241"/>
      <c r="V183" s="241"/>
      <c r="W183" s="241"/>
      <c r="X183" s="241"/>
      <c r="Y183" s="241"/>
      <c r="Z183" s="241"/>
      <c r="AA183" s="241"/>
      <c r="AB183" s="241"/>
      <c r="AC183" s="241"/>
      <c r="AD183" s="241"/>
      <c r="AE183" s="241"/>
      <c r="AF183" s="241"/>
      <c r="AG183" s="241"/>
      <c r="AH183" s="241"/>
      <c r="AI183" s="241"/>
      <c r="AJ183" s="241"/>
      <c r="AK183" s="241"/>
      <c r="AL183" s="241"/>
      <c r="AM183" s="241"/>
      <c r="AN183" s="241"/>
      <c r="AO183" s="241"/>
      <c r="AP183" s="241"/>
      <c r="AQ183" s="241"/>
      <c r="AR183" s="241"/>
      <c r="AS183" s="241"/>
      <c r="AT183" s="241"/>
      <c r="AU183" s="241"/>
      <c r="AV183" s="241"/>
      <c r="AW183" s="241"/>
      <c r="AX183" s="241"/>
      <c r="AY183" s="241"/>
      <c r="AZ183" s="241"/>
    </row>
    <row r="184" spans="1:52" s="71" customFormat="1" ht="18" hidden="1" customHeight="1" outlineLevel="2">
      <c r="A184" s="288">
        <v>35</v>
      </c>
      <c r="B184" s="97"/>
      <c r="C184" s="296"/>
      <c r="D184" s="360"/>
      <c r="E184" s="361"/>
      <c r="F184" s="298"/>
      <c r="G184" s="298"/>
      <c r="H184" s="86"/>
      <c r="I184" s="344" t="str">
        <f t="shared" si="42"/>
        <v/>
      </c>
      <c r="J184" s="345"/>
      <c r="K184" s="86"/>
      <c r="L184" s="86"/>
      <c r="M184" s="344" t="str">
        <f t="shared" si="43"/>
        <v/>
      </c>
      <c r="N184" s="345"/>
      <c r="O184" s="225" t="str">
        <f t="shared" si="44"/>
        <v/>
      </c>
      <c r="P184" s="225" t="str">
        <f t="shared" si="45"/>
        <v/>
      </c>
      <c r="Q184" s="284"/>
      <c r="R184" s="225" t="str">
        <f t="shared" si="46"/>
        <v/>
      </c>
      <c r="S184" s="225" t="str">
        <f t="shared" si="47"/>
        <v/>
      </c>
      <c r="T184" s="231" t="str">
        <f t="shared" si="48"/>
        <v/>
      </c>
      <c r="U184" s="241"/>
      <c r="V184" s="241"/>
      <c r="W184" s="241"/>
      <c r="X184" s="241"/>
      <c r="Y184" s="241"/>
      <c r="Z184" s="241"/>
      <c r="AA184" s="241"/>
      <c r="AB184" s="241"/>
      <c r="AC184" s="241"/>
      <c r="AD184" s="241"/>
      <c r="AE184" s="241"/>
      <c r="AF184" s="241"/>
      <c r="AG184" s="241"/>
      <c r="AH184" s="241"/>
      <c r="AI184" s="241"/>
      <c r="AJ184" s="241"/>
      <c r="AK184" s="241"/>
      <c r="AL184" s="241"/>
      <c r="AM184" s="241"/>
      <c r="AN184" s="241"/>
      <c r="AO184" s="241"/>
      <c r="AP184" s="241"/>
      <c r="AQ184" s="241"/>
      <c r="AR184" s="241"/>
      <c r="AS184" s="241"/>
      <c r="AT184" s="241"/>
      <c r="AU184" s="241"/>
      <c r="AV184" s="241"/>
      <c r="AW184" s="241"/>
      <c r="AX184" s="241"/>
      <c r="AY184" s="241"/>
      <c r="AZ184" s="241"/>
    </row>
    <row r="185" spans="1:52" s="71" customFormat="1" ht="18" hidden="1" customHeight="1" outlineLevel="2">
      <c r="A185" s="288">
        <v>36</v>
      </c>
      <c r="B185" s="97"/>
      <c r="C185" s="296"/>
      <c r="D185" s="360"/>
      <c r="E185" s="361"/>
      <c r="F185" s="298"/>
      <c r="G185" s="298"/>
      <c r="H185" s="86"/>
      <c r="I185" s="344" t="str">
        <f t="shared" si="42"/>
        <v/>
      </c>
      <c r="J185" s="345"/>
      <c r="K185" s="86"/>
      <c r="L185" s="86"/>
      <c r="M185" s="344" t="str">
        <f t="shared" si="43"/>
        <v/>
      </c>
      <c r="N185" s="345"/>
      <c r="O185" s="225" t="str">
        <f t="shared" si="44"/>
        <v/>
      </c>
      <c r="P185" s="225" t="str">
        <f t="shared" si="45"/>
        <v/>
      </c>
      <c r="Q185" s="284"/>
      <c r="R185" s="225" t="str">
        <f t="shared" si="46"/>
        <v/>
      </c>
      <c r="S185" s="225" t="str">
        <f t="shared" si="47"/>
        <v/>
      </c>
      <c r="T185" s="231" t="str">
        <f t="shared" si="48"/>
        <v/>
      </c>
      <c r="U185" s="241"/>
      <c r="V185" s="241"/>
      <c r="W185" s="241"/>
      <c r="X185" s="241"/>
      <c r="Y185" s="241"/>
      <c r="Z185" s="241"/>
      <c r="AA185" s="241"/>
      <c r="AB185" s="241"/>
      <c r="AC185" s="241"/>
      <c r="AD185" s="241"/>
      <c r="AE185" s="241"/>
      <c r="AF185" s="241"/>
      <c r="AG185" s="241"/>
      <c r="AH185" s="241"/>
      <c r="AI185" s="241"/>
      <c r="AJ185" s="241"/>
      <c r="AK185" s="241"/>
      <c r="AL185" s="241"/>
      <c r="AM185" s="241"/>
      <c r="AN185" s="241"/>
      <c r="AO185" s="241"/>
      <c r="AP185" s="241"/>
      <c r="AQ185" s="241"/>
      <c r="AR185" s="241"/>
      <c r="AS185" s="241"/>
      <c r="AT185" s="241"/>
      <c r="AU185" s="241"/>
      <c r="AV185" s="241"/>
      <c r="AW185" s="241"/>
      <c r="AX185" s="241"/>
      <c r="AY185" s="241"/>
      <c r="AZ185" s="241"/>
    </row>
    <row r="186" spans="1:52" s="71" customFormat="1" ht="18" hidden="1" customHeight="1" outlineLevel="2">
      <c r="A186" s="288">
        <v>37</v>
      </c>
      <c r="B186" s="97"/>
      <c r="C186" s="296"/>
      <c r="D186" s="360"/>
      <c r="E186" s="361"/>
      <c r="F186" s="298"/>
      <c r="G186" s="298"/>
      <c r="H186" s="86"/>
      <c r="I186" s="344" t="str">
        <f t="shared" si="42"/>
        <v/>
      </c>
      <c r="J186" s="345"/>
      <c r="K186" s="86"/>
      <c r="L186" s="86"/>
      <c r="M186" s="344" t="str">
        <f t="shared" si="43"/>
        <v/>
      </c>
      <c r="N186" s="345"/>
      <c r="O186" s="225" t="str">
        <f t="shared" si="44"/>
        <v/>
      </c>
      <c r="P186" s="225" t="str">
        <f t="shared" si="45"/>
        <v/>
      </c>
      <c r="Q186" s="284"/>
      <c r="R186" s="225" t="str">
        <f t="shared" si="46"/>
        <v/>
      </c>
      <c r="S186" s="225" t="str">
        <f t="shared" si="47"/>
        <v/>
      </c>
      <c r="T186" s="231" t="str">
        <f t="shared" si="48"/>
        <v/>
      </c>
      <c r="U186" s="241"/>
      <c r="V186" s="241"/>
      <c r="W186" s="241"/>
      <c r="X186" s="241"/>
      <c r="Y186" s="241"/>
      <c r="Z186" s="241"/>
      <c r="AA186" s="241"/>
      <c r="AB186" s="241"/>
      <c r="AC186" s="241"/>
      <c r="AD186" s="241"/>
      <c r="AE186" s="241"/>
      <c r="AF186" s="241"/>
      <c r="AG186" s="241"/>
      <c r="AH186" s="241"/>
      <c r="AI186" s="241"/>
      <c r="AJ186" s="241"/>
      <c r="AK186" s="241"/>
      <c r="AL186" s="241"/>
      <c r="AM186" s="241"/>
      <c r="AN186" s="241"/>
      <c r="AO186" s="241"/>
      <c r="AP186" s="241"/>
      <c r="AQ186" s="241"/>
      <c r="AR186" s="241"/>
      <c r="AS186" s="241"/>
      <c r="AT186" s="241"/>
      <c r="AU186" s="241"/>
      <c r="AV186" s="241"/>
      <c r="AW186" s="241"/>
      <c r="AX186" s="241"/>
      <c r="AY186" s="241"/>
      <c r="AZ186" s="241"/>
    </row>
    <row r="187" spans="1:52" s="71" customFormat="1" ht="18" hidden="1" customHeight="1" outlineLevel="2">
      <c r="A187" s="288">
        <v>38</v>
      </c>
      <c r="B187" s="97"/>
      <c r="C187" s="296"/>
      <c r="D187" s="360"/>
      <c r="E187" s="361"/>
      <c r="F187" s="298"/>
      <c r="G187" s="298"/>
      <c r="H187" s="86"/>
      <c r="I187" s="344" t="str">
        <f t="shared" si="42"/>
        <v/>
      </c>
      <c r="J187" s="345"/>
      <c r="K187" s="86"/>
      <c r="L187" s="86"/>
      <c r="M187" s="344" t="str">
        <f t="shared" si="43"/>
        <v/>
      </c>
      <c r="N187" s="345"/>
      <c r="O187" s="225" t="str">
        <f t="shared" si="44"/>
        <v/>
      </c>
      <c r="P187" s="225" t="str">
        <f t="shared" si="45"/>
        <v/>
      </c>
      <c r="Q187" s="284"/>
      <c r="R187" s="225" t="str">
        <f t="shared" si="46"/>
        <v/>
      </c>
      <c r="S187" s="225" t="str">
        <f t="shared" si="47"/>
        <v/>
      </c>
      <c r="T187" s="231" t="str">
        <f t="shared" si="48"/>
        <v/>
      </c>
      <c r="U187" s="241"/>
      <c r="V187" s="241"/>
      <c r="W187" s="241"/>
      <c r="X187" s="241"/>
      <c r="Y187" s="241"/>
      <c r="Z187" s="241"/>
      <c r="AA187" s="241"/>
      <c r="AB187" s="241"/>
      <c r="AC187" s="241"/>
      <c r="AD187" s="241"/>
      <c r="AE187" s="241"/>
      <c r="AF187" s="241"/>
      <c r="AG187" s="241"/>
      <c r="AH187" s="241"/>
      <c r="AI187" s="241"/>
      <c r="AJ187" s="241"/>
      <c r="AK187" s="241"/>
      <c r="AL187" s="241"/>
      <c r="AM187" s="241"/>
      <c r="AN187" s="241"/>
      <c r="AO187" s="241"/>
      <c r="AP187" s="241"/>
      <c r="AQ187" s="241"/>
      <c r="AR187" s="241"/>
      <c r="AS187" s="241"/>
      <c r="AT187" s="241"/>
      <c r="AU187" s="241"/>
      <c r="AV187" s="241"/>
      <c r="AW187" s="241"/>
      <c r="AX187" s="241"/>
      <c r="AY187" s="241"/>
      <c r="AZ187" s="241"/>
    </row>
    <row r="188" spans="1:52" s="71" customFormat="1" ht="18" hidden="1" customHeight="1" outlineLevel="2">
      <c r="A188" s="288">
        <v>39</v>
      </c>
      <c r="B188" s="97"/>
      <c r="C188" s="296"/>
      <c r="D188" s="360"/>
      <c r="E188" s="361"/>
      <c r="F188" s="298"/>
      <c r="G188" s="298"/>
      <c r="H188" s="86"/>
      <c r="I188" s="344" t="str">
        <f t="shared" si="42"/>
        <v/>
      </c>
      <c r="J188" s="345"/>
      <c r="K188" s="86"/>
      <c r="L188" s="86"/>
      <c r="M188" s="344" t="str">
        <f t="shared" si="43"/>
        <v/>
      </c>
      <c r="N188" s="345"/>
      <c r="O188" s="225" t="str">
        <f t="shared" si="44"/>
        <v/>
      </c>
      <c r="P188" s="225" t="str">
        <f t="shared" si="45"/>
        <v/>
      </c>
      <c r="Q188" s="284"/>
      <c r="R188" s="225" t="str">
        <f t="shared" si="46"/>
        <v/>
      </c>
      <c r="S188" s="225" t="str">
        <f t="shared" si="47"/>
        <v/>
      </c>
      <c r="T188" s="231" t="str">
        <f t="shared" si="48"/>
        <v/>
      </c>
      <c r="U188" s="241"/>
      <c r="V188" s="241"/>
      <c r="W188" s="241"/>
      <c r="X188" s="241"/>
      <c r="Y188" s="241"/>
      <c r="Z188" s="241"/>
      <c r="AA188" s="241"/>
      <c r="AB188" s="241"/>
      <c r="AC188" s="241"/>
      <c r="AD188" s="241"/>
      <c r="AE188" s="241"/>
      <c r="AF188" s="241"/>
      <c r="AG188" s="241"/>
      <c r="AH188" s="241"/>
      <c r="AI188" s="241"/>
      <c r="AJ188" s="241"/>
      <c r="AK188" s="241"/>
      <c r="AL188" s="241"/>
      <c r="AM188" s="241"/>
      <c r="AN188" s="241"/>
      <c r="AO188" s="241"/>
      <c r="AP188" s="241"/>
      <c r="AQ188" s="241"/>
      <c r="AR188" s="241"/>
      <c r="AS188" s="241"/>
      <c r="AT188" s="241"/>
      <c r="AU188" s="241"/>
      <c r="AV188" s="241"/>
      <c r="AW188" s="241"/>
      <c r="AX188" s="241"/>
      <c r="AY188" s="241"/>
      <c r="AZ188" s="241"/>
    </row>
    <row r="189" spans="1:52" s="71" customFormat="1" ht="18" hidden="1" customHeight="1" outlineLevel="2">
      <c r="A189" s="288">
        <v>40</v>
      </c>
      <c r="B189" s="97"/>
      <c r="C189" s="296"/>
      <c r="D189" s="360"/>
      <c r="E189" s="361"/>
      <c r="F189" s="298"/>
      <c r="G189" s="298"/>
      <c r="H189" s="86"/>
      <c r="I189" s="344" t="str">
        <f t="shared" si="42"/>
        <v/>
      </c>
      <c r="J189" s="345"/>
      <c r="K189" s="86"/>
      <c r="L189" s="86"/>
      <c r="M189" s="344" t="str">
        <f t="shared" si="43"/>
        <v/>
      </c>
      <c r="N189" s="345"/>
      <c r="O189" s="225" t="str">
        <f t="shared" si="44"/>
        <v/>
      </c>
      <c r="P189" s="225" t="str">
        <f t="shared" si="45"/>
        <v/>
      </c>
      <c r="Q189" s="284"/>
      <c r="R189" s="225" t="str">
        <f t="shared" si="46"/>
        <v/>
      </c>
      <c r="S189" s="225" t="str">
        <f t="shared" si="47"/>
        <v/>
      </c>
      <c r="T189" s="231" t="str">
        <f t="shared" si="48"/>
        <v/>
      </c>
      <c r="U189" s="241"/>
      <c r="V189" s="241"/>
      <c r="W189" s="241"/>
      <c r="X189" s="241"/>
      <c r="Y189" s="241"/>
      <c r="Z189" s="241"/>
      <c r="AA189" s="241"/>
      <c r="AB189" s="241"/>
      <c r="AC189" s="241"/>
      <c r="AD189" s="241"/>
      <c r="AE189" s="241"/>
      <c r="AF189" s="241"/>
      <c r="AG189" s="241"/>
      <c r="AH189" s="241"/>
      <c r="AI189" s="241"/>
      <c r="AJ189" s="241"/>
      <c r="AK189" s="241"/>
      <c r="AL189" s="241"/>
      <c r="AM189" s="241"/>
      <c r="AN189" s="241"/>
      <c r="AO189" s="241"/>
      <c r="AP189" s="241"/>
      <c r="AQ189" s="241"/>
      <c r="AR189" s="241"/>
      <c r="AS189" s="241"/>
      <c r="AT189" s="241"/>
      <c r="AU189" s="241"/>
      <c r="AV189" s="241"/>
      <c r="AW189" s="241"/>
      <c r="AX189" s="241"/>
      <c r="AY189" s="241"/>
      <c r="AZ189" s="241"/>
    </row>
    <row r="190" spans="1:52" s="71" customFormat="1" ht="18" hidden="1" customHeight="1" outlineLevel="2">
      <c r="A190" s="288">
        <v>41</v>
      </c>
      <c r="B190" s="97"/>
      <c r="C190" s="296"/>
      <c r="D190" s="360"/>
      <c r="E190" s="361"/>
      <c r="F190" s="298"/>
      <c r="G190" s="298"/>
      <c r="H190" s="86"/>
      <c r="I190" s="344" t="str">
        <f t="shared" si="42"/>
        <v/>
      </c>
      <c r="J190" s="345"/>
      <c r="K190" s="86"/>
      <c r="L190" s="86"/>
      <c r="M190" s="344" t="str">
        <f t="shared" si="43"/>
        <v/>
      </c>
      <c r="N190" s="345"/>
      <c r="O190" s="225" t="str">
        <f t="shared" si="44"/>
        <v/>
      </c>
      <c r="P190" s="225" t="str">
        <f t="shared" si="45"/>
        <v/>
      </c>
      <c r="Q190" s="284"/>
      <c r="R190" s="225" t="str">
        <f t="shared" si="46"/>
        <v/>
      </c>
      <c r="S190" s="225" t="str">
        <f t="shared" si="47"/>
        <v/>
      </c>
      <c r="T190" s="231" t="str">
        <f t="shared" si="48"/>
        <v/>
      </c>
      <c r="U190" s="241"/>
      <c r="V190" s="241"/>
      <c r="W190" s="241"/>
      <c r="X190" s="241"/>
      <c r="Y190" s="241"/>
      <c r="Z190" s="241"/>
      <c r="AA190" s="241"/>
      <c r="AB190" s="241"/>
      <c r="AC190" s="241"/>
      <c r="AD190" s="241"/>
      <c r="AE190" s="241"/>
      <c r="AF190" s="241"/>
      <c r="AG190" s="241"/>
      <c r="AH190" s="241"/>
      <c r="AI190" s="241"/>
      <c r="AJ190" s="241"/>
      <c r="AK190" s="241"/>
      <c r="AL190" s="241"/>
      <c r="AM190" s="241"/>
      <c r="AN190" s="241"/>
      <c r="AO190" s="241"/>
      <c r="AP190" s="241"/>
      <c r="AQ190" s="241"/>
      <c r="AR190" s="241"/>
      <c r="AS190" s="241"/>
      <c r="AT190" s="241"/>
      <c r="AU190" s="241"/>
      <c r="AV190" s="241"/>
      <c r="AW190" s="241"/>
      <c r="AX190" s="241"/>
      <c r="AY190" s="241"/>
      <c r="AZ190" s="241"/>
    </row>
    <row r="191" spans="1:52" s="71" customFormat="1" ht="18" hidden="1" customHeight="1" outlineLevel="2">
      <c r="A191" s="288">
        <v>42</v>
      </c>
      <c r="B191" s="97"/>
      <c r="C191" s="296"/>
      <c r="D191" s="360"/>
      <c r="E191" s="361"/>
      <c r="F191" s="298"/>
      <c r="G191" s="298"/>
      <c r="H191" s="86"/>
      <c r="I191" s="344" t="str">
        <f t="shared" si="42"/>
        <v/>
      </c>
      <c r="J191" s="345"/>
      <c r="K191" s="86"/>
      <c r="L191" s="86"/>
      <c r="M191" s="344" t="str">
        <f t="shared" si="43"/>
        <v/>
      </c>
      <c r="N191" s="345"/>
      <c r="O191" s="225" t="str">
        <f t="shared" si="44"/>
        <v/>
      </c>
      <c r="P191" s="225" t="str">
        <f t="shared" si="45"/>
        <v/>
      </c>
      <c r="Q191" s="284"/>
      <c r="R191" s="225" t="str">
        <f t="shared" si="46"/>
        <v/>
      </c>
      <c r="S191" s="225" t="str">
        <f t="shared" si="47"/>
        <v/>
      </c>
      <c r="T191" s="231" t="str">
        <f t="shared" si="48"/>
        <v/>
      </c>
      <c r="U191" s="241"/>
      <c r="V191" s="241"/>
      <c r="W191" s="241"/>
      <c r="X191" s="241"/>
      <c r="Y191" s="241"/>
      <c r="Z191" s="241"/>
      <c r="AA191" s="241"/>
      <c r="AB191" s="241"/>
      <c r="AC191" s="241"/>
      <c r="AD191" s="241"/>
      <c r="AE191" s="241"/>
      <c r="AF191" s="241"/>
      <c r="AG191" s="241"/>
      <c r="AH191" s="241"/>
      <c r="AI191" s="241"/>
      <c r="AJ191" s="241"/>
      <c r="AK191" s="241"/>
      <c r="AL191" s="241"/>
      <c r="AM191" s="241"/>
      <c r="AN191" s="241"/>
      <c r="AO191" s="241"/>
      <c r="AP191" s="241"/>
      <c r="AQ191" s="241"/>
      <c r="AR191" s="241"/>
      <c r="AS191" s="241"/>
      <c r="AT191" s="241"/>
      <c r="AU191" s="241"/>
      <c r="AV191" s="241"/>
      <c r="AW191" s="241"/>
      <c r="AX191" s="241"/>
      <c r="AY191" s="241"/>
      <c r="AZ191" s="241"/>
    </row>
    <row r="192" spans="1:52" s="71" customFormat="1" ht="18" hidden="1" customHeight="1" outlineLevel="2">
      <c r="A192" s="288">
        <v>43</v>
      </c>
      <c r="B192" s="97"/>
      <c r="C192" s="296"/>
      <c r="D192" s="360"/>
      <c r="E192" s="361"/>
      <c r="F192" s="298"/>
      <c r="G192" s="298"/>
      <c r="H192" s="86"/>
      <c r="I192" s="344" t="str">
        <f t="shared" si="42"/>
        <v/>
      </c>
      <c r="J192" s="345"/>
      <c r="K192" s="86"/>
      <c r="L192" s="86"/>
      <c r="M192" s="344" t="str">
        <f t="shared" si="43"/>
        <v/>
      </c>
      <c r="N192" s="345"/>
      <c r="O192" s="225" t="str">
        <f t="shared" si="44"/>
        <v/>
      </c>
      <c r="P192" s="225" t="str">
        <f t="shared" si="45"/>
        <v/>
      </c>
      <c r="Q192" s="284"/>
      <c r="R192" s="225" t="str">
        <f t="shared" si="46"/>
        <v/>
      </c>
      <c r="S192" s="225" t="str">
        <f t="shared" si="47"/>
        <v/>
      </c>
      <c r="T192" s="231" t="str">
        <f t="shared" si="48"/>
        <v/>
      </c>
      <c r="U192" s="241"/>
      <c r="V192" s="241"/>
      <c r="W192" s="241"/>
      <c r="X192" s="241"/>
      <c r="Y192" s="241"/>
      <c r="Z192" s="241"/>
      <c r="AA192" s="241"/>
      <c r="AB192" s="241"/>
      <c r="AC192" s="241"/>
      <c r="AD192" s="241"/>
      <c r="AE192" s="241"/>
      <c r="AF192" s="241"/>
      <c r="AG192" s="241"/>
      <c r="AH192" s="241"/>
      <c r="AI192" s="241"/>
      <c r="AJ192" s="241"/>
      <c r="AK192" s="241"/>
      <c r="AL192" s="241"/>
      <c r="AM192" s="241"/>
      <c r="AN192" s="241"/>
      <c r="AO192" s="241"/>
      <c r="AP192" s="241"/>
      <c r="AQ192" s="241"/>
      <c r="AR192" s="241"/>
      <c r="AS192" s="241"/>
      <c r="AT192" s="241"/>
      <c r="AU192" s="241"/>
      <c r="AV192" s="241"/>
      <c r="AW192" s="241"/>
      <c r="AX192" s="241"/>
      <c r="AY192" s="241"/>
      <c r="AZ192" s="241"/>
    </row>
    <row r="193" spans="1:52" s="71" customFormat="1" ht="18" hidden="1" customHeight="1" outlineLevel="2">
      <c r="A193" s="288">
        <v>44</v>
      </c>
      <c r="B193" s="97"/>
      <c r="C193" s="296"/>
      <c r="D193" s="360"/>
      <c r="E193" s="361"/>
      <c r="F193" s="298"/>
      <c r="G193" s="298"/>
      <c r="H193" s="86"/>
      <c r="I193" s="344" t="str">
        <f t="shared" si="42"/>
        <v/>
      </c>
      <c r="J193" s="345"/>
      <c r="K193" s="86"/>
      <c r="L193" s="86"/>
      <c r="M193" s="344" t="str">
        <f t="shared" si="43"/>
        <v/>
      </c>
      <c r="N193" s="345"/>
      <c r="O193" s="225" t="str">
        <f t="shared" si="44"/>
        <v/>
      </c>
      <c r="P193" s="225" t="str">
        <f t="shared" si="45"/>
        <v/>
      </c>
      <c r="Q193" s="284"/>
      <c r="R193" s="225" t="str">
        <f t="shared" si="46"/>
        <v/>
      </c>
      <c r="S193" s="225" t="str">
        <f t="shared" si="47"/>
        <v/>
      </c>
      <c r="T193" s="231" t="str">
        <f t="shared" si="48"/>
        <v/>
      </c>
      <c r="U193" s="241"/>
      <c r="V193" s="241"/>
      <c r="W193" s="241"/>
      <c r="X193" s="241"/>
      <c r="Y193" s="241"/>
      <c r="Z193" s="241"/>
      <c r="AA193" s="241"/>
      <c r="AB193" s="241"/>
      <c r="AC193" s="241"/>
      <c r="AD193" s="241"/>
      <c r="AE193" s="241"/>
      <c r="AF193" s="241"/>
      <c r="AG193" s="241"/>
      <c r="AH193" s="241"/>
      <c r="AI193" s="241"/>
      <c r="AJ193" s="241"/>
      <c r="AK193" s="241"/>
      <c r="AL193" s="241"/>
      <c r="AM193" s="241"/>
      <c r="AN193" s="241"/>
      <c r="AO193" s="241"/>
      <c r="AP193" s="241"/>
      <c r="AQ193" s="241"/>
      <c r="AR193" s="241"/>
      <c r="AS193" s="241"/>
      <c r="AT193" s="241"/>
      <c r="AU193" s="241"/>
      <c r="AV193" s="241"/>
      <c r="AW193" s="241"/>
      <c r="AX193" s="241"/>
      <c r="AY193" s="241"/>
      <c r="AZ193" s="241"/>
    </row>
    <row r="194" spans="1:52" s="71" customFormat="1" ht="18" hidden="1" customHeight="1" outlineLevel="2">
      <c r="A194" s="288">
        <v>45</v>
      </c>
      <c r="B194" s="97"/>
      <c r="C194" s="296"/>
      <c r="D194" s="360"/>
      <c r="E194" s="361"/>
      <c r="F194" s="298"/>
      <c r="G194" s="298"/>
      <c r="H194" s="86"/>
      <c r="I194" s="344" t="str">
        <f t="shared" si="42"/>
        <v/>
      </c>
      <c r="J194" s="345"/>
      <c r="K194" s="86"/>
      <c r="L194" s="86"/>
      <c r="M194" s="344" t="str">
        <f t="shared" si="43"/>
        <v/>
      </c>
      <c r="N194" s="345"/>
      <c r="O194" s="225" t="str">
        <f t="shared" si="44"/>
        <v/>
      </c>
      <c r="P194" s="225" t="str">
        <f t="shared" si="45"/>
        <v/>
      </c>
      <c r="Q194" s="284"/>
      <c r="R194" s="225" t="str">
        <f t="shared" si="46"/>
        <v/>
      </c>
      <c r="S194" s="225" t="str">
        <f t="shared" si="47"/>
        <v/>
      </c>
      <c r="T194" s="231" t="str">
        <f t="shared" si="48"/>
        <v/>
      </c>
      <c r="U194" s="241"/>
      <c r="V194" s="241"/>
      <c r="W194" s="241"/>
      <c r="X194" s="241"/>
      <c r="Y194" s="241"/>
      <c r="Z194" s="241"/>
      <c r="AA194" s="241"/>
      <c r="AB194" s="241"/>
      <c r="AC194" s="241"/>
      <c r="AD194" s="241"/>
      <c r="AE194" s="241"/>
      <c r="AF194" s="241"/>
      <c r="AG194" s="241"/>
      <c r="AH194" s="241"/>
      <c r="AI194" s="241"/>
      <c r="AJ194" s="241"/>
      <c r="AK194" s="241"/>
      <c r="AL194" s="241"/>
      <c r="AM194" s="241"/>
      <c r="AN194" s="241"/>
      <c r="AO194" s="241"/>
      <c r="AP194" s="241"/>
      <c r="AQ194" s="241"/>
      <c r="AR194" s="241"/>
      <c r="AS194" s="241"/>
      <c r="AT194" s="241"/>
      <c r="AU194" s="241"/>
      <c r="AV194" s="241"/>
      <c r="AW194" s="241"/>
      <c r="AX194" s="241"/>
      <c r="AY194" s="241"/>
      <c r="AZ194" s="241"/>
    </row>
    <row r="195" spans="1:52" s="71" customFormat="1" ht="18" hidden="1" customHeight="1" outlineLevel="2">
      <c r="A195" s="288">
        <v>46</v>
      </c>
      <c r="B195" s="97"/>
      <c r="C195" s="296"/>
      <c r="D195" s="360"/>
      <c r="E195" s="361"/>
      <c r="F195" s="298"/>
      <c r="G195" s="298"/>
      <c r="H195" s="86"/>
      <c r="I195" s="344" t="str">
        <f t="shared" si="42"/>
        <v/>
      </c>
      <c r="J195" s="345"/>
      <c r="K195" s="86"/>
      <c r="L195" s="86"/>
      <c r="M195" s="344" t="str">
        <f t="shared" si="43"/>
        <v/>
      </c>
      <c r="N195" s="345"/>
      <c r="O195" s="225" t="str">
        <f t="shared" si="44"/>
        <v/>
      </c>
      <c r="P195" s="225" t="str">
        <f t="shared" si="45"/>
        <v/>
      </c>
      <c r="Q195" s="284"/>
      <c r="R195" s="225" t="str">
        <f t="shared" si="46"/>
        <v/>
      </c>
      <c r="S195" s="225" t="str">
        <f t="shared" si="47"/>
        <v/>
      </c>
      <c r="T195" s="231" t="str">
        <f t="shared" si="48"/>
        <v/>
      </c>
      <c r="U195" s="241"/>
      <c r="V195" s="241"/>
      <c r="W195" s="241"/>
      <c r="X195" s="241"/>
      <c r="Y195" s="241"/>
      <c r="Z195" s="241"/>
      <c r="AA195" s="241"/>
      <c r="AB195" s="241"/>
      <c r="AC195" s="241"/>
      <c r="AD195" s="241"/>
      <c r="AE195" s="241"/>
      <c r="AF195" s="241"/>
      <c r="AG195" s="241"/>
      <c r="AH195" s="241"/>
      <c r="AI195" s="241"/>
      <c r="AJ195" s="241"/>
      <c r="AK195" s="241"/>
      <c r="AL195" s="241"/>
      <c r="AM195" s="241"/>
      <c r="AN195" s="241"/>
      <c r="AO195" s="241"/>
      <c r="AP195" s="241"/>
      <c r="AQ195" s="241"/>
      <c r="AR195" s="241"/>
      <c r="AS195" s="241"/>
      <c r="AT195" s="241"/>
      <c r="AU195" s="241"/>
      <c r="AV195" s="241"/>
      <c r="AW195" s="241"/>
      <c r="AX195" s="241"/>
      <c r="AY195" s="241"/>
      <c r="AZ195" s="241"/>
    </row>
    <row r="196" spans="1:52" s="71" customFormat="1" ht="18" hidden="1" customHeight="1" outlineLevel="2">
      <c r="A196" s="288">
        <v>47</v>
      </c>
      <c r="B196" s="97"/>
      <c r="C196" s="296"/>
      <c r="D196" s="360"/>
      <c r="E196" s="361"/>
      <c r="F196" s="298"/>
      <c r="G196" s="298"/>
      <c r="H196" s="86"/>
      <c r="I196" s="344" t="str">
        <f t="shared" si="42"/>
        <v/>
      </c>
      <c r="J196" s="345"/>
      <c r="K196" s="86"/>
      <c r="L196" s="86"/>
      <c r="M196" s="344" t="str">
        <f t="shared" si="43"/>
        <v/>
      </c>
      <c r="N196" s="345"/>
      <c r="O196" s="225" t="str">
        <f t="shared" si="44"/>
        <v/>
      </c>
      <c r="P196" s="225" t="str">
        <f t="shared" si="45"/>
        <v/>
      </c>
      <c r="Q196" s="284"/>
      <c r="R196" s="225" t="str">
        <f t="shared" si="46"/>
        <v/>
      </c>
      <c r="S196" s="225" t="str">
        <f t="shared" si="47"/>
        <v/>
      </c>
      <c r="T196" s="231" t="str">
        <f t="shared" si="48"/>
        <v/>
      </c>
      <c r="U196" s="241"/>
      <c r="V196" s="241"/>
      <c r="W196" s="241"/>
      <c r="X196" s="241"/>
      <c r="Y196" s="241"/>
      <c r="Z196" s="241"/>
      <c r="AA196" s="241"/>
      <c r="AB196" s="241"/>
      <c r="AC196" s="241"/>
      <c r="AD196" s="241"/>
      <c r="AE196" s="241"/>
      <c r="AF196" s="241"/>
      <c r="AG196" s="241"/>
      <c r="AH196" s="241"/>
      <c r="AI196" s="241"/>
      <c r="AJ196" s="241"/>
      <c r="AK196" s="241"/>
      <c r="AL196" s="241"/>
      <c r="AM196" s="241"/>
      <c r="AN196" s="241"/>
      <c r="AO196" s="241"/>
      <c r="AP196" s="241"/>
      <c r="AQ196" s="241"/>
      <c r="AR196" s="241"/>
      <c r="AS196" s="241"/>
      <c r="AT196" s="241"/>
      <c r="AU196" s="241"/>
      <c r="AV196" s="241"/>
      <c r="AW196" s="241"/>
      <c r="AX196" s="241"/>
      <c r="AY196" s="241"/>
      <c r="AZ196" s="241"/>
    </row>
    <row r="197" spans="1:52" s="71" customFormat="1" ht="18" hidden="1" customHeight="1" outlineLevel="2">
      <c r="A197" s="288">
        <v>48</v>
      </c>
      <c r="B197" s="97"/>
      <c r="C197" s="296"/>
      <c r="D197" s="360"/>
      <c r="E197" s="361"/>
      <c r="F197" s="298"/>
      <c r="G197" s="298"/>
      <c r="H197" s="86"/>
      <c r="I197" s="344" t="str">
        <f t="shared" si="42"/>
        <v/>
      </c>
      <c r="J197" s="345"/>
      <c r="K197" s="86"/>
      <c r="L197" s="86"/>
      <c r="M197" s="344" t="str">
        <f t="shared" si="43"/>
        <v/>
      </c>
      <c r="N197" s="345"/>
      <c r="O197" s="225" t="str">
        <f t="shared" si="44"/>
        <v/>
      </c>
      <c r="P197" s="225" t="str">
        <f t="shared" si="45"/>
        <v/>
      </c>
      <c r="Q197" s="284"/>
      <c r="R197" s="225" t="str">
        <f t="shared" si="46"/>
        <v/>
      </c>
      <c r="S197" s="225" t="str">
        <f t="shared" si="47"/>
        <v/>
      </c>
      <c r="T197" s="231" t="str">
        <f t="shared" si="48"/>
        <v/>
      </c>
      <c r="U197" s="241"/>
      <c r="V197" s="241"/>
      <c r="W197" s="241"/>
      <c r="X197" s="241"/>
      <c r="Y197" s="241"/>
      <c r="Z197" s="241"/>
      <c r="AA197" s="241"/>
      <c r="AB197" s="241"/>
      <c r="AC197" s="241"/>
      <c r="AD197" s="241"/>
      <c r="AE197" s="241"/>
      <c r="AF197" s="241"/>
      <c r="AG197" s="241"/>
      <c r="AH197" s="241"/>
      <c r="AI197" s="241"/>
      <c r="AJ197" s="241"/>
      <c r="AK197" s="241"/>
      <c r="AL197" s="241"/>
      <c r="AM197" s="241"/>
      <c r="AN197" s="241"/>
      <c r="AO197" s="241"/>
      <c r="AP197" s="241"/>
      <c r="AQ197" s="241"/>
      <c r="AR197" s="241"/>
      <c r="AS197" s="241"/>
      <c r="AT197" s="241"/>
      <c r="AU197" s="241"/>
      <c r="AV197" s="241"/>
      <c r="AW197" s="241"/>
      <c r="AX197" s="241"/>
      <c r="AY197" s="241"/>
      <c r="AZ197" s="241"/>
    </row>
    <row r="198" spans="1:52" s="71" customFormat="1" ht="18" hidden="1" customHeight="1" outlineLevel="2">
      <c r="A198" s="288">
        <v>49</v>
      </c>
      <c r="B198" s="97"/>
      <c r="C198" s="296"/>
      <c r="D198" s="360"/>
      <c r="E198" s="361"/>
      <c r="F198" s="298"/>
      <c r="G198" s="298"/>
      <c r="H198" s="86"/>
      <c r="I198" s="344" t="str">
        <f t="shared" si="42"/>
        <v/>
      </c>
      <c r="J198" s="345"/>
      <c r="K198" s="86"/>
      <c r="L198" s="86"/>
      <c r="M198" s="344" t="str">
        <f t="shared" si="43"/>
        <v/>
      </c>
      <c r="N198" s="345"/>
      <c r="O198" s="225" t="str">
        <f t="shared" si="44"/>
        <v/>
      </c>
      <c r="P198" s="225" t="str">
        <f t="shared" si="45"/>
        <v/>
      </c>
      <c r="Q198" s="284"/>
      <c r="R198" s="225" t="str">
        <f t="shared" si="46"/>
        <v/>
      </c>
      <c r="S198" s="225" t="str">
        <f t="shared" si="47"/>
        <v/>
      </c>
      <c r="T198" s="231" t="str">
        <f t="shared" si="48"/>
        <v/>
      </c>
      <c r="U198" s="241"/>
      <c r="V198" s="241"/>
      <c r="W198" s="241"/>
      <c r="X198" s="241"/>
      <c r="Y198" s="241"/>
      <c r="Z198" s="241"/>
      <c r="AA198" s="241"/>
      <c r="AB198" s="241"/>
      <c r="AC198" s="241"/>
      <c r="AD198" s="241"/>
      <c r="AE198" s="241"/>
      <c r="AF198" s="241"/>
      <c r="AG198" s="241"/>
      <c r="AH198" s="241"/>
      <c r="AI198" s="241"/>
      <c r="AJ198" s="241"/>
      <c r="AK198" s="241"/>
      <c r="AL198" s="241"/>
      <c r="AM198" s="241"/>
      <c r="AN198" s="241"/>
      <c r="AO198" s="241"/>
      <c r="AP198" s="241"/>
      <c r="AQ198" s="241"/>
      <c r="AR198" s="241"/>
      <c r="AS198" s="241"/>
      <c r="AT198" s="241"/>
      <c r="AU198" s="241"/>
      <c r="AV198" s="241"/>
      <c r="AW198" s="241"/>
      <c r="AX198" s="241"/>
      <c r="AY198" s="241"/>
      <c r="AZ198" s="241"/>
    </row>
    <row r="199" spans="1:52" s="71" customFormat="1" ht="18" hidden="1" customHeight="1" outlineLevel="2">
      <c r="A199" s="288">
        <v>50</v>
      </c>
      <c r="B199" s="97"/>
      <c r="C199" s="296"/>
      <c r="D199" s="360"/>
      <c r="E199" s="361"/>
      <c r="F199" s="298"/>
      <c r="G199" s="298"/>
      <c r="H199" s="86"/>
      <c r="I199" s="344" t="str">
        <f t="shared" si="42"/>
        <v/>
      </c>
      <c r="J199" s="345"/>
      <c r="K199" s="86"/>
      <c r="L199" s="86"/>
      <c r="M199" s="344" t="str">
        <f t="shared" si="43"/>
        <v/>
      </c>
      <c r="N199" s="345"/>
      <c r="O199" s="225" t="str">
        <f t="shared" si="44"/>
        <v/>
      </c>
      <c r="P199" s="225" t="str">
        <f t="shared" si="45"/>
        <v/>
      </c>
      <c r="Q199" s="284"/>
      <c r="R199" s="225" t="str">
        <f t="shared" si="46"/>
        <v/>
      </c>
      <c r="S199" s="225" t="str">
        <f t="shared" si="47"/>
        <v/>
      </c>
      <c r="T199" s="231" t="str">
        <f t="shared" si="48"/>
        <v/>
      </c>
      <c r="U199" s="241"/>
      <c r="V199" s="241"/>
      <c r="W199" s="241"/>
      <c r="X199" s="241"/>
      <c r="Y199" s="241"/>
      <c r="Z199" s="241"/>
      <c r="AA199" s="241"/>
      <c r="AB199" s="241"/>
      <c r="AC199" s="241"/>
      <c r="AD199" s="241"/>
      <c r="AE199" s="241"/>
      <c r="AF199" s="241"/>
      <c r="AG199" s="241"/>
      <c r="AH199" s="241"/>
      <c r="AI199" s="241"/>
      <c r="AJ199" s="241"/>
      <c r="AK199" s="241"/>
      <c r="AL199" s="241"/>
      <c r="AM199" s="241"/>
      <c r="AN199" s="241"/>
      <c r="AO199" s="241"/>
      <c r="AP199" s="241"/>
      <c r="AQ199" s="241"/>
      <c r="AR199" s="241"/>
      <c r="AS199" s="241"/>
      <c r="AT199" s="241"/>
      <c r="AU199" s="241"/>
      <c r="AV199" s="241"/>
      <c r="AW199" s="241"/>
      <c r="AX199" s="241"/>
      <c r="AY199" s="241"/>
      <c r="AZ199" s="241"/>
    </row>
    <row r="200" spans="1:52" s="71" customFormat="1" ht="18" customHeight="1" outlineLevel="1" collapsed="1">
      <c r="A200" s="288">
        <v>51</v>
      </c>
      <c r="B200" s="97"/>
      <c r="C200" s="296"/>
      <c r="D200" s="360"/>
      <c r="E200" s="361"/>
      <c r="F200" s="298"/>
      <c r="G200" s="298"/>
      <c r="H200" s="86"/>
      <c r="I200" s="344" t="str">
        <f t="shared" ref="I200:I219" si="49">INDEX(logic_dumukitch,MATCH($A200,logic_kitchno,0))</f>
        <v/>
      </c>
      <c r="J200" s="345"/>
      <c r="K200" s="86"/>
      <c r="L200" s="86"/>
      <c r="M200" s="344" t="str">
        <f t="shared" ref="M200:M219" si="50">INDEX(logic_wurukitch,MATCH($A200,logic_kitchno,0))</f>
        <v/>
      </c>
      <c r="N200" s="345"/>
      <c r="O200" s="225" t="str">
        <f t="shared" ref="O200:O219" si="51">INDEX(logic_kitchawub,MATCH($A200,logic_kitchno,0))</f>
        <v/>
      </c>
      <c r="P200" s="225" t="str">
        <f t="shared" ref="P200:P219" si="52">INDEX(logic_kitchawudwoaw,MATCH($A200,logic_kitchno,0))</f>
        <v/>
      </c>
      <c r="Q200" s="284"/>
      <c r="R200" s="225" t="str">
        <f t="shared" ref="R200:R219" si="53">INDEX(logic_kitchawud,MATCH($A200,logic_kitchno,0))</f>
        <v/>
      </c>
      <c r="S200" s="225" t="str">
        <f t="shared" ref="S200:S219" si="54">INDEX(logic_kitchawusa,MATCH($A200,logic_kitchno,0))</f>
        <v/>
      </c>
      <c r="T200" s="231" t="str">
        <f t="shared" ref="T200:T219" si="55">INDEX(logic_kitchawusp,MATCH($A200,logic_kitchno,0))</f>
        <v/>
      </c>
      <c r="U200" s="176" t="s">
        <v>165</v>
      </c>
      <c r="V200" s="241"/>
      <c r="W200" s="241"/>
      <c r="X200" s="241"/>
      <c r="Y200" s="241"/>
      <c r="Z200" s="241"/>
      <c r="AA200" s="241"/>
      <c r="AB200" s="241"/>
      <c r="AC200" s="241"/>
      <c r="AD200" s="241"/>
      <c r="AE200" s="241"/>
      <c r="AF200" s="241"/>
      <c r="AG200" s="241"/>
      <c r="AH200" s="241"/>
      <c r="AI200" s="241"/>
      <c r="AJ200" s="241"/>
      <c r="AK200" s="241"/>
      <c r="AL200" s="241"/>
      <c r="AM200" s="241"/>
      <c r="AN200" s="241"/>
      <c r="AO200" s="241"/>
      <c r="AP200" s="241"/>
      <c r="AQ200" s="241"/>
      <c r="AR200" s="241"/>
      <c r="AS200" s="241"/>
      <c r="AT200" s="241"/>
      <c r="AU200" s="241"/>
      <c r="AV200" s="241"/>
      <c r="AW200" s="241"/>
      <c r="AX200" s="241"/>
      <c r="AY200" s="241"/>
      <c r="AZ200" s="241"/>
    </row>
    <row r="201" spans="1:52" s="71" customFormat="1" ht="18" hidden="1" customHeight="1" outlineLevel="2">
      <c r="A201" s="288">
        <v>52</v>
      </c>
      <c r="B201" s="97"/>
      <c r="C201" s="296"/>
      <c r="D201" s="360"/>
      <c r="E201" s="361"/>
      <c r="F201" s="298"/>
      <c r="G201" s="298"/>
      <c r="H201" s="86"/>
      <c r="I201" s="344" t="str">
        <f t="shared" si="49"/>
        <v/>
      </c>
      <c r="J201" s="345"/>
      <c r="K201" s="86"/>
      <c r="L201" s="86"/>
      <c r="M201" s="344" t="str">
        <f t="shared" si="50"/>
        <v/>
      </c>
      <c r="N201" s="345"/>
      <c r="O201" s="225" t="str">
        <f t="shared" si="51"/>
        <v/>
      </c>
      <c r="P201" s="225" t="str">
        <f t="shared" si="52"/>
        <v/>
      </c>
      <c r="Q201" s="284"/>
      <c r="R201" s="225" t="str">
        <f t="shared" si="53"/>
        <v/>
      </c>
      <c r="S201" s="225" t="str">
        <f t="shared" si="54"/>
        <v/>
      </c>
      <c r="T201" s="231" t="str">
        <f t="shared" si="55"/>
        <v/>
      </c>
      <c r="U201" s="241"/>
      <c r="V201" s="241"/>
      <c r="W201" s="241"/>
      <c r="X201" s="241"/>
      <c r="Y201" s="241"/>
      <c r="Z201" s="241"/>
      <c r="AA201" s="241"/>
      <c r="AB201" s="241"/>
      <c r="AC201" s="241"/>
      <c r="AD201" s="241"/>
      <c r="AE201" s="241"/>
      <c r="AF201" s="241"/>
      <c r="AG201" s="241"/>
      <c r="AH201" s="241"/>
      <c r="AI201" s="241"/>
      <c r="AJ201" s="241"/>
      <c r="AK201" s="241"/>
      <c r="AL201" s="241"/>
      <c r="AM201" s="241"/>
      <c r="AN201" s="241"/>
      <c r="AO201" s="241"/>
      <c r="AP201" s="241"/>
      <c r="AQ201" s="241"/>
      <c r="AR201" s="241"/>
      <c r="AS201" s="241"/>
      <c r="AT201" s="241"/>
      <c r="AU201" s="241"/>
      <c r="AV201" s="241"/>
      <c r="AW201" s="241"/>
      <c r="AX201" s="241"/>
      <c r="AY201" s="241"/>
      <c r="AZ201" s="241"/>
    </row>
    <row r="202" spans="1:52" s="71" customFormat="1" ht="18" hidden="1" customHeight="1" outlineLevel="2">
      <c r="A202" s="288">
        <v>53</v>
      </c>
      <c r="B202" s="97"/>
      <c r="C202" s="296"/>
      <c r="D202" s="360"/>
      <c r="E202" s="361"/>
      <c r="F202" s="298"/>
      <c r="G202" s="298"/>
      <c r="H202" s="86"/>
      <c r="I202" s="344" t="str">
        <f t="shared" si="49"/>
        <v/>
      </c>
      <c r="J202" s="345"/>
      <c r="K202" s="86"/>
      <c r="L202" s="86"/>
      <c r="M202" s="344" t="str">
        <f t="shared" si="50"/>
        <v/>
      </c>
      <c r="N202" s="345"/>
      <c r="O202" s="225" t="str">
        <f t="shared" si="51"/>
        <v/>
      </c>
      <c r="P202" s="225" t="str">
        <f t="shared" si="52"/>
        <v/>
      </c>
      <c r="Q202" s="284"/>
      <c r="R202" s="225" t="str">
        <f t="shared" si="53"/>
        <v/>
      </c>
      <c r="S202" s="225" t="str">
        <f t="shared" si="54"/>
        <v/>
      </c>
      <c r="T202" s="231" t="str">
        <f t="shared" si="55"/>
        <v/>
      </c>
      <c r="U202" s="241"/>
      <c r="V202" s="241"/>
      <c r="W202" s="241"/>
      <c r="X202" s="241"/>
      <c r="Y202" s="241"/>
      <c r="Z202" s="241"/>
      <c r="AA202" s="241"/>
      <c r="AB202" s="241"/>
      <c r="AC202" s="241"/>
      <c r="AD202" s="241"/>
      <c r="AE202" s="241"/>
      <c r="AF202" s="241"/>
      <c r="AG202" s="241"/>
      <c r="AH202" s="241"/>
      <c r="AI202" s="241"/>
      <c r="AJ202" s="241"/>
      <c r="AK202" s="241"/>
      <c r="AL202" s="241"/>
      <c r="AM202" s="241"/>
      <c r="AN202" s="241"/>
      <c r="AO202" s="241"/>
      <c r="AP202" s="241"/>
      <c r="AQ202" s="241"/>
      <c r="AR202" s="241"/>
      <c r="AS202" s="241"/>
      <c r="AT202" s="241"/>
      <c r="AU202" s="241"/>
      <c r="AV202" s="241"/>
      <c r="AW202" s="241"/>
      <c r="AX202" s="241"/>
      <c r="AY202" s="241"/>
      <c r="AZ202" s="241"/>
    </row>
    <row r="203" spans="1:52" s="71" customFormat="1" ht="18" hidden="1" customHeight="1" outlineLevel="2">
      <c r="A203" s="288">
        <v>54</v>
      </c>
      <c r="B203" s="97"/>
      <c r="C203" s="296"/>
      <c r="D203" s="360"/>
      <c r="E203" s="361"/>
      <c r="F203" s="298"/>
      <c r="G203" s="298"/>
      <c r="H203" s="86"/>
      <c r="I203" s="344" t="str">
        <f t="shared" si="49"/>
        <v/>
      </c>
      <c r="J203" s="345"/>
      <c r="K203" s="86"/>
      <c r="L203" s="86"/>
      <c r="M203" s="344" t="str">
        <f t="shared" si="50"/>
        <v/>
      </c>
      <c r="N203" s="345"/>
      <c r="O203" s="225" t="str">
        <f t="shared" si="51"/>
        <v/>
      </c>
      <c r="P203" s="225" t="str">
        <f t="shared" si="52"/>
        <v/>
      </c>
      <c r="Q203" s="284"/>
      <c r="R203" s="225" t="str">
        <f t="shared" si="53"/>
        <v/>
      </c>
      <c r="S203" s="225" t="str">
        <f t="shared" si="54"/>
        <v/>
      </c>
      <c r="T203" s="231" t="str">
        <f t="shared" si="55"/>
        <v/>
      </c>
      <c r="U203" s="241"/>
      <c r="V203" s="241"/>
      <c r="W203" s="241"/>
      <c r="X203" s="241"/>
      <c r="Y203" s="241"/>
      <c r="Z203" s="241"/>
      <c r="AA203" s="241"/>
      <c r="AB203" s="241"/>
      <c r="AC203" s="241"/>
      <c r="AD203" s="241"/>
      <c r="AE203" s="241"/>
      <c r="AF203" s="241"/>
      <c r="AG203" s="241"/>
      <c r="AH203" s="241"/>
      <c r="AI203" s="241"/>
      <c r="AJ203" s="241"/>
      <c r="AK203" s="241"/>
      <c r="AL203" s="241"/>
      <c r="AM203" s="241"/>
      <c r="AN203" s="241"/>
      <c r="AO203" s="241"/>
      <c r="AP203" s="241"/>
      <c r="AQ203" s="241"/>
      <c r="AR203" s="241"/>
      <c r="AS203" s="241"/>
      <c r="AT203" s="241"/>
      <c r="AU203" s="241"/>
      <c r="AV203" s="241"/>
      <c r="AW203" s="241"/>
      <c r="AX203" s="241"/>
      <c r="AY203" s="241"/>
      <c r="AZ203" s="241"/>
    </row>
    <row r="204" spans="1:52" s="71" customFormat="1" ht="18" hidden="1" customHeight="1" outlineLevel="2">
      <c r="A204" s="288">
        <v>55</v>
      </c>
      <c r="B204" s="97"/>
      <c r="C204" s="296"/>
      <c r="D204" s="360"/>
      <c r="E204" s="361"/>
      <c r="F204" s="298"/>
      <c r="G204" s="298"/>
      <c r="H204" s="86"/>
      <c r="I204" s="344" t="str">
        <f t="shared" si="49"/>
        <v/>
      </c>
      <c r="J204" s="345"/>
      <c r="K204" s="86"/>
      <c r="L204" s="86"/>
      <c r="M204" s="344" t="str">
        <f t="shared" si="50"/>
        <v/>
      </c>
      <c r="N204" s="345"/>
      <c r="O204" s="225" t="str">
        <f t="shared" si="51"/>
        <v/>
      </c>
      <c r="P204" s="225" t="str">
        <f t="shared" si="52"/>
        <v/>
      </c>
      <c r="Q204" s="284"/>
      <c r="R204" s="225" t="str">
        <f t="shared" si="53"/>
        <v/>
      </c>
      <c r="S204" s="225" t="str">
        <f t="shared" si="54"/>
        <v/>
      </c>
      <c r="T204" s="231" t="str">
        <f t="shared" si="55"/>
        <v/>
      </c>
      <c r="U204" s="241"/>
      <c r="V204" s="241"/>
      <c r="W204" s="241"/>
      <c r="X204" s="241"/>
      <c r="Y204" s="241"/>
      <c r="Z204" s="241"/>
      <c r="AA204" s="241"/>
      <c r="AB204" s="241"/>
      <c r="AC204" s="241"/>
      <c r="AD204" s="241"/>
      <c r="AE204" s="241"/>
      <c r="AF204" s="241"/>
      <c r="AG204" s="241"/>
      <c r="AH204" s="241"/>
      <c r="AI204" s="241"/>
      <c r="AJ204" s="241"/>
      <c r="AK204" s="241"/>
      <c r="AL204" s="241"/>
      <c r="AM204" s="241"/>
      <c r="AN204" s="241"/>
      <c r="AO204" s="241"/>
      <c r="AP204" s="241"/>
      <c r="AQ204" s="241"/>
      <c r="AR204" s="241"/>
      <c r="AS204" s="241"/>
      <c r="AT204" s="241"/>
      <c r="AU204" s="241"/>
      <c r="AV204" s="241"/>
      <c r="AW204" s="241"/>
      <c r="AX204" s="241"/>
      <c r="AY204" s="241"/>
      <c r="AZ204" s="241"/>
    </row>
    <row r="205" spans="1:52" s="71" customFormat="1" ht="18" hidden="1" customHeight="1" outlineLevel="2">
      <c r="A205" s="288">
        <v>56</v>
      </c>
      <c r="B205" s="97"/>
      <c r="C205" s="296"/>
      <c r="D205" s="360"/>
      <c r="E205" s="361"/>
      <c r="F205" s="298"/>
      <c r="G205" s="298"/>
      <c r="H205" s="86"/>
      <c r="I205" s="344" t="str">
        <f t="shared" si="49"/>
        <v/>
      </c>
      <c r="J205" s="345"/>
      <c r="K205" s="86"/>
      <c r="L205" s="86"/>
      <c r="M205" s="344" t="str">
        <f t="shared" si="50"/>
        <v/>
      </c>
      <c r="N205" s="345"/>
      <c r="O205" s="225" t="str">
        <f t="shared" si="51"/>
        <v/>
      </c>
      <c r="P205" s="225" t="str">
        <f t="shared" si="52"/>
        <v/>
      </c>
      <c r="Q205" s="284"/>
      <c r="R205" s="225" t="str">
        <f t="shared" si="53"/>
        <v/>
      </c>
      <c r="S205" s="225" t="str">
        <f t="shared" si="54"/>
        <v/>
      </c>
      <c r="T205" s="231" t="str">
        <f t="shared" si="55"/>
        <v/>
      </c>
      <c r="U205" s="241"/>
      <c r="V205" s="241"/>
      <c r="W205" s="241"/>
      <c r="X205" s="241"/>
      <c r="Y205" s="241"/>
      <c r="Z205" s="241"/>
      <c r="AA205" s="241"/>
      <c r="AB205" s="241"/>
      <c r="AC205" s="241"/>
      <c r="AD205" s="241"/>
      <c r="AE205" s="241"/>
      <c r="AF205" s="241"/>
      <c r="AG205" s="241"/>
      <c r="AH205" s="241"/>
      <c r="AI205" s="241"/>
      <c r="AJ205" s="241"/>
      <c r="AK205" s="241"/>
      <c r="AL205" s="241"/>
      <c r="AM205" s="241"/>
      <c r="AN205" s="241"/>
      <c r="AO205" s="241"/>
      <c r="AP205" s="241"/>
      <c r="AQ205" s="241"/>
      <c r="AR205" s="241"/>
      <c r="AS205" s="241"/>
      <c r="AT205" s="241"/>
      <c r="AU205" s="241"/>
      <c r="AV205" s="241"/>
      <c r="AW205" s="241"/>
      <c r="AX205" s="241"/>
      <c r="AY205" s="241"/>
      <c r="AZ205" s="241"/>
    </row>
    <row r="206" spans="1:52" s="71" customFormat="1" ht="18" hidden="1" customHeight="1" outlineLevel="2">
      <c r="A206" s="288">
        <v>57</v>
      </c>
      <c r="B206" s="97"/>
      <c r="C206" s="296"/>
      <c r="D206" s="360"/>
      <c r="E206" s="361"/>
      <c r="F206" s="298"/>
      <c r="G206" s="298"/>
      <c r="H206" s="86"/>
      <c r="I206" s="344" t="str">
        <f t="shared" si="49"/>
        <v/>
      </c>
      <c r="J206" s="345"/>
      <c r="K206" s="86"/>
      <c r="L206" s="86"/>
      <c r="M206" s="344" t="str">
        <f t="shared" si="50"/>
        <v/>
      </c>
      <c r="N206" s="345"/>
      <c r="O206" s="225" t="str">
        <f t="shared" si="51"/>
        <v/>
      </c>
      <c r="P206" s="225" t="str">
        <f t="shared" si="52"/>
        <v/>
      </c>
      <c r="Q206" s="284"/>
      <c r="R206" s="225" t="str">
        <f t="shared" si="53"/>
        <v/>
      </c>
      <c r="S206" s="225" t="str">
        <f t="shared" si="54"/>
        <v/>
      </c>
      <c r="T206" s="231" t="str">
        <f t="shared" si="55"/>
        <v/>
      </c>
      <c r="U206" s="241"/>
      <c r="V206" s="241"/>
      <c r="W206" s="241"/>
      <c r="X206" s="241"/>
      <c r="Y206" s="241"/>
      <c r="Z206" s="241"/>
      <c r="AA206" s="241"/>
      <c r="AB206" s="241"/>
      <c r="AC206" s="241"/>
      <c r="AD206" s="241"/>
      <c r="AE206" s="241"/>
      <c r="AF206" s="241"/>
      <c r="AG206" s="241"/>
      <c r="AH206" s="241"/>
      <c r="AI206" s="241"/>
      <c r="AJ206" s="241"/>
      <c r="AK206" s="241"/>
      <c r="AL206" s="241"/>
      <c r="AM206" s="241"/>
      <c r="AN206" s="241"/>
      <c r="AO206" s="241"/>
      <c r="AP206" s="241"/>
      <c r="AQ206" s="241"/>
      <c r="AR206" s="241"/>
      <c r="AS206" s="241"/>
      <c r="AT206" s="241"/>
      <c r="AU206" s="241"/>
      <c r="AV206" s="241"/>
      <c r="AW206" s="241"/>
      <c r="AX206" s="241"/>
      <c r="AY206" s="241"/>
      <c r="AZ206" s="241"/>
    </row>
    <row r="207" spans="1:52" s="71" customFormat="1" ht="18" hidden="1" customHeight="1" outlineLevel="2">
      <c r="A207" s="288">
        <v>58</v>
      </c>
      <c r="B207" s="97"/>
      <c r="C207" s="296"/>
      <c r="D207" s="360"/>
      <c r="E207" s="361"/>
      <c r="F207" s="298"/>
      <c r="G207" s="298"/>
      <c r="H207" s="86"/>
      <c r="I207" s="344" t="str">
        <f t="shared" si="49"/>
        <v/>
      </c>
      <c r="J207" s="345"/>
      <c r="K207" s="86"/>
      <c r="L207" s="86"/>
      <c r="M207" s="344" t="str">
        <f t="shared" si="50"/>
        <v/>
      </c>
      <c r="N207" s="345"/>
      <c r="O207" s="225" t="str">
        <f t="shared" si="51"/>
        <v/>
      </c>
      <c r="P207" s="225" t="str">
        <f t="shared" si="52"/>
        <v/>
      </c>
      <c r="Q207" s="284"/>
      <c r="R207" s="225" t="str">
        <f t="shared" si="53"/>
        <v/>
      </c>
      <c r="S207" s="225" t="str">
        <f t="shared" si="54"/>
        <v/>
      </c>
      <c r="T207" s="231" t="str">
        <f t="shared" si="55"/>
        <v/>
      </c>
      <c r="U207" s="241"/>
      <c r="V207" s="241"/>
      <c r="W207" s="241"/>
      <c r="X207" s="241"/>
      <c r="Y207" s="241"/>
      <c r="Z207" s="241"/>
      <c r="AA207" s="241"/>
      <c r="AB207" s="241"/>
      <c r="AC207" s="241"/>
      <c r="AD207" s="241"/>
      <c r="AE207" s="241"/>
      <c r="AF207" s="241"/>
      <c r="AG207" s="241"/>
      <c r="AH207" s="241"/>
      <c r="AI207" s="241"/>
      <c r="AJ207" s="241"/>
      <c r="AK207" s="241"/>
      <c r="AL207" s="241"/>
      <c r="AM207" s="241"/>
      <c r="AN207" s="241"/>
      <c r="AO207" s="241"/>
      <c r="AP207" s="241"/>
      <c r="AQ207" s="241"/>
      <c r="AR207" s="241"/>
      <c r="AS207" s="241"/>
      <c r="AT207" s="241"/>
      <c r="AU207" s="241"/>
      <c r="AV207" s="241"/>
      <c r="AW207" s="241"/>
      <c r="AX207" s="241"/>
      <c r="AY207" s="241"/>
      <c r="AZ207" s="241"/>
    </row>
    <row r="208" spans="1:52" s="71" customFormat="1" ht="18" hidden="1" customHeight="1" outlineLevel="2">
      <c r="A208" s="288">
        <v>59</v>
      </c>
      <c r="B208" s="97"/>
      <c r="C208" s="296"/>
      <c r="D208" s="360"/>
      <c r="E208" s="361"/>
      <c r="F208" s="298"/>
      <c r="G208" s="298"/>
      <c r="H208" s="86"/>
      <c r="I208" s="344" t="str">
        <f t="shared" si="49"/>
        <v/>
      </c>
      <c r="J208" s="345"/>
      <c r="K208" s="86"/>
      <c r="L208" s="86"/>
      <c r="M208" s="344" t="str">
        <f t="shared" si="50"/>
        <v/>
      </c>
      <c r="N208" s="345"/>
      <c r="O208" s="225" t="str">
        <f t="shared" si="51"/>
        <v/>
      </c>
      <c r="P208" s="225" t="str">
        <f t="shared" si="52"/>
        <v/>
      </c>
      <c r="Q208" s="284"/>
      <c r="R208" s="225" t="str">
        <f t="shared" si="53"/>
        <v/>
      </c>
      <c r="S208" s="225" t="str">
        <f t="shared" si="54"/>
        <v/>
      </c>
      <c r="T208" s="231" t="str">
        <f t="shared" si="55"/>
        <v/>
      </c>
      <c r="U208" s="241"/>
      <c r="V208" s="241"/>
      <c r="W208" s="241"/>
      <c r="X208" s="241"/>
      <c r="Y208" s="241"/>
      <c r="Z208" s="241"/>
      <c r="AA208" s="241"/>
      <c r="AB208" s="241"/>
      <c r="AC208" s="241"/>
      <c r="AD208" s="241"/>
      <c r="AE208" s="241"/>
      <c r="AF208" s="241"/>
      <c r="AG208" s="241"/>
      <c r="AH208" s="241"/>
      <c r="AI208" s="241"/>
      <c r="AJ208" s="241"/>
      <c r="AK208" s="241"/>
      <c r="AL208" s="241"/>
      <c r="AM208" s="241"/>
      <c r="AN208" s="241"/>
      <c r="AO208" s="241"/>
      <c r="AP208" s="241"/>
      <c r="AQ208" s="241"/>
      <c r="AR208" s="241"/>
      <c r="AS208" s="241"/>
      <c r="AT208" s="241"/>
      <c r="AU208" s="241"/>
      <c r="AV208" s="241"/>
      <c r="AW208" s="241"/>
      <c r="AX208" s="241"/>
      <c r="AY208" s="241"/>
      <c r="AZ208" s="241"/>
    </row>
    <row r="209" spans="1:52" s="71" customFormat="1" ht="18" hidden="1" customHeight="1" outlineLevel="2">
      <c r="A209" s="288">
        <v>60</v>
      </c>
      <c r="B209" s="97"/>
      <c r="C209" s="296"/>
      <c r="D209" s="360"/>
      <c r="E209" s="361"/>
      <c r="F209" s="298"/>
      <c r="G209" s="298"/>
      <c r="H209" s="86"/>
      <c r="I209" s="344" t="str">
        <f t="shared" si="49"/>
        <v/>
      </c>
      <c r="J209" s="345"/>
      <c r="K209" s="86"/>
      <c r="L209" s="86"/>
      <c r="M209" s="344" t="str">
        <f t="shared" si="50"/>
        <v/>
      </c>
      <c r="N209" s="345"/>
      <c r="O209" s="225" t="str">
        <f t="shared" si="51"/>
        <v/>
      </c>
      <c r="P209" s="225" t="str">
        <f t="shared" si="52"/>
        <v/>
      </c>
      <c r="Q209" s="284"/>
      <c r="R209" s="225" t="str">
        <f t="shared" si="53"/>
        <v/>
      </c>
      <c r="S209" s="225" t="str">
        <f t="shared" si="54"/>
        <v/>
      </c>
      <c r="T209" s="231" t="str">
        <f t="shared" si="55"/>
        <v/>
      </c>
      <c r="U209" s="241"/>
      <c r="V209" s="241"/>
      <c r="W209" s="241"/>
      <c r="X209" s="241"/>
      <c r="Y209" s="241"/>
      <c r="Z209" s="241"/>
      <c r="AA209" s="241"/>
      <c r="AB209" s="241"/>
      <c r="AC209" s="241"/>
      <c r="AD209" s="241"/>
      <c r="AE209" s="241"/>
      <c r="AF209" s="241"/>
      <c r="AG209" s="241"/>
      <c r="AH209" s="241"/>
      <c r="AI209" s="241"/>
      <c r="AJ209" s="241"/>
      <c r="AK209" s="241"/>
      <c r="AL209" s="241"/>
      <c r="AM209" s="241"/>
      <c r="AN209" s="241"/>
      <c r="AO209" s="241"/>
      <c r="AP209" s="241"/>
      <c r="AQ209" s="241"/>
      <c r="AR209" s="241"/>
      <c r="AS209" s="241"/>
      <c r="AT209" s="241"/>
      <c r="AU209" s="241"/>
      <c r="AV209" s="241"/>
      <c r="AW209" s="241"/>
      <c r="AX209" s="241"/>
      <c r="AY209" s="241"/>
      <c r="AZ209" s="241"/>
    </row>
    <row r="210" spans="1:52" s="71" customFormat="1" ht="18" hidden="1" customHeight="1" outlineLevel="2">
      <c r="A210" s="288">
        <v>61</v>
      </c>
      <c r="B210" s="97"/>
      <c r="C210" s="296"/>
      <c r="D210" s="360"/>
      <c r="E210" s="361"/>
      <c r="F210" s="298"/>
      <c r="G210" s="298"/>
      <c r="H210" s="86"/>
      <c r="I210" s="344" t="str">
        <f t="shared" si="49"/>
        <v/>
      </c>
      <c r="J210" s="345"/>
      <c r="K210" s="86"/>
      <c r="L210" s="86"/>
      <c r="M210" s="344" t="str">
        <f t="shared" si="50"/>
        <v/>
      </c>
      <c r="N210" s="345"/>
      <c r="O210" s="225" t="str">
        <f t="shared" si="51"/>
        <v/>
      </c>
      <c r="P210" s="225" t="str">
        <f t="shared" si="52"/>
        <v/>
      </c>
      <c r="Q210" s="284"/>
      <c r="R210" s="225" t="str">
        <f t="shared" si="53"/>
        <v/>
      </c>
      <c r="S210" s="225" t="str">
        <f t="shared" si="54"/>
        <v/>
      </c>
      <c r="T210" s="231" t="str">
        <f t="shared" si="55"/>
        <v/>
      </c>
      <c r="U210" s="241"/>
      <c r="V210" s="241"/>
      <c r="W210" s="241"/>
      <c r="X210" s="241"/>
      <c r="Y210" s="241"/>
      <c r="Z210" s="241"/>
      <c r="AA210" s="241"/>
      <c r="AB210" s="241"/>
      <c r="AC210" s="241"/>
      <c r="AD210" s="241"/>
      <c r="AE210" s="241"/>
      <c r="AF210" s="241"/>
      <c r="AG210" s="241"/>
      <c r="AH210" s="241"/>
      <c r="AI210" s="241"/>
      <c r="AJ210" s="241"/>
      <c r="AK210" s="241"/>
      <c r="AL210" s="241"/>
      <c r="AM210" s="241"/>
      <c r="AN210" s="241"/>
      <c r="AO210" s="241"/>
      <c r="AP210" s="241"/>
      <c r="AQ210" s="241"/>
      <c r="AR210" s="241"/>
      <c r="AS210" s="241"/>
      <c r="AT210" s="241"/>
      <c r="AU210" s="241"/>
      <c r="AV210" s="241"/>
      <c r="AW210" s="241"/>
      <c r="AX210" s="241"/>
      <c r="AY210" s="241"/>
      <c r="AZ210" s="241"/>
    </row>
    <row r="211" spans="1:52" s="71" customFormat="1" ht="18" hidden="1" customHeight="1" outlineLevel="2">
      <c r="A211" s="288">
        <v>62</v>
      </c>
      <c r="B211" s="97"/>
      <c r="C211" s="296"/>
      <c r="D211" s="360"/>
      <c r="E211" s="361"/>
      <c r="F211" s="298"/>
      <c r="G211" s="298"/>
      <c r="H211" s="86"/>
      <c r="I211" s="344" t="str">
        <f t="shared" si="49"/>
        <v/>
      </c>
      <c r="J211" s="345"/>
      <c r="K211" s="86"/>
      <c r="L211" s="86"/>
      <c r="M211" s="344" t="str">
        <f t="shared" si="50"/>
        <v/>
      </c>
      <c r="N211" s="345"/>
      <c r="O211" s="225" t="str">
        <f t="shared" si="51"/>
        <v/>
      </c>
      <c r="P211" s="225" t="str">
        <f t="shared" si="52"/>
        <v/>
      </c>
      <c r="Q211" s="284"/>
      <c r="R211" s="225" t="str">
        <f t="shared" si="53"/>
        <v/>
      </c>
      <c r="S211" s="225" t="str">
        <f t="shared" si="54"/>
        <v/>
      </c>
      <c r="T211" s="231" t="str">
        <f t="shared" si="55"/>
        <v/>
      </c>
      <c r="U211" s="241"/>
      <c r="V211" s="241"/>
      <c r="W211" s="241"/>
      <c r="X211" s="241"/>
      <c r="Y211" s="241"/>
      <c r="Z211" s="241"/>
      <c r="AA211" s="241"/>
      <c r="AB211" s="241"/>
      <c r="AC211" s="241"/>
      <c r="AD211" s="241"/>
      <c r="AE211" s="241"/>
      <c r="AF211" s="241"/>
      <c r="AG211" s="241"/>
      <c r="AH211" s="241"/>
      <c r="AI211" s="241"/>
      <c r="AJ211" s="241"/>
      <c r="AK211" s="241"/>
      <c r="AL211" s="241"/>
      <c r="AM211" s="241"/>
      <c r="AN211" s="241"/>
      <c r="AO211" s="241"/>
      <c r="AP211" s="241"/>
      <c r="AQ211" s="241"/>
      <c r="AR211" s="241"/>
      <c r="AS211" s="241"/>
      <c r="AT211" s="241"/>
      <c r="AU211" s="241"/>
      <c r="AV211" s="241"/>
      <c r="AW211" s="241"/>
      <c r="AX211" s="241"/>
      <c r="AY211" s="241"/>
      <c r="AZ211" s="241"/>
    </row>
    <row r="212" spans="1:52" s="71" customFormat="1" ht="18" hidden="1" customHeight="1" outlineLevel="2">
      <c r="A212" s="288">
        <v>63</v>
      </c>
      <c r="B212" s="97"/>
      <c r="C212" s="296"/>
      <c r="D212" s="360"/>
      <c r="E212" s="361"/>
      <c r="F212" s="298"/>
      <c r="G212" s="298"/>
      <c r="H212" s="86"/>
      <c r="I212" s="344" t="str">
        <f t="shared" si="49"/>
        <v/>
      </c>
      <c r="J212" s="345"/>
      <c r="K212" s="86"/>
      <c r="L212" s="86"/>
      <c r="M212" s="344" t="str">
        <f t="shared" si="50"/>
        <v/>
      </c>
      <c r="N212" s="345"/>
      <c r="O212" s="225" t="str">
        <f t="shared" si="51"/>
        <v/>
      </c>
      <c r="P212" s="225" t="str">
        <f t="shared" si="52"/>
        <v/>
      </c>
      <c r="Q212" s="284"/>
      <c r="R212" s="225" t="str">
        <f t="shared" si="53"/>
        <v/>
      </c>
      <c r="S212" s="225" t="str">
        <f t="shared" si="54"/>
        <v/>
      </c>
      <c r="T212" s="231" t="str">
        <f t="shared" si="55"/>
        <v/>
      </c>
      <c r="U212" s="241"/>
      <c r="V212" s="241"/>
      <c r="W212" s="241"/>
      <c r="X212" s="241"/>
      <c r="Y212" s="241"/>
      <c r="Z212" s="241"/>
      <c r="AA212" s="241"/>
      <c r="AB212" s="241"/>
      <c r="AC212" s="241"/>
      <c r="AD212" s="241"/>
      <c r="AE212" s="241"/>
      <c r="AF212" s="241"/>
      <c r="AG212" s="241"/>
      <c r="AH212" s="241"/>
      <c r="AI212" s="241"/>
      <c r="AJ212" s="241"/>
      <c r="AK212" s="241"/>
      <c r="AL212" s="241"/>
      <c r="AM212" s="241"/>
      <c r="AN212" s="241"/>
      <c r="AO212" s="241"/>
      <c r="AP212" s="241"/>
      <c r="AQ212" s="241"/>
      <c r="AR212" s="241"/>
      <c r="AS212" s="241"/>
      <c r="AT212" s="241"/>
      <c r="AU212" s="241"/>
      <c r="AV212" s="241"/>
      <c r="AW212" s="241"/>
      <c r="AX212" s="241"/>
      <c r="AY212" s="241"/>
      <c r="AZ212" s="241"/>
    </row>
    <row r="213" spans="1:52" s="71" customFormat="1" ht="18" hidden="1" customHeight="1" outlineLevel="2">
      <c r="A213" s="288">
        <v>64</v>
      </c>
      <c r="B213" s="97"/>
      <c r="C213" s="296"/>
      <c r="D213" s="360"/>
      <c r="E213" s="361"/>
      <c r="F213" s="298"/>
      <c r="G213" s="298"/>
      <c r="H213" s="86"/>
      <c r="I213" s="344" t="str">
        <f t="shared" si="49"/>
        <v/>
      </c>
      <c r="J213" s="345"/>
      <c r="K213" s="86"/>
      <c r="L213" s="86"/>
      <c r="M213" s="344" t="str">
        <f t="shared" si="50"/>
        <v/>
      </c>
      <c r="N213" s="345"/>
      <c r="O213" s="225" t="str">
        <f t="shared" si="51"/>
        <v/>
      </c>
      <c r="P213" s="225" t="str">
        <f t="shared" si="52"/>
        <v/>
      </c>
      <c r="Q213" s="284"/>
      <c r="R213" s="225" t="str">
        <f t="shared" si="53"/>
        <v/>
      </c>
      <c r="S213" s="225" t="str">
        <f t="shared" si="54"/>
        <v/>
      </c>
      <c r="T213" s="231" t="str">
        <f t="shared" si="55"/>
        <v/>
      </c>
      <c r="U213" s="241"/>
      <c r="V213" s="241"/>
      <c r="W213" s="241"/>
      <c r="X213" s="241"/>
      <c r="Y213" s="241"/>
      <c r="Z213" s="241"/>
      <c r="AA213" s="241"/>
      <c r="AB213" s="241"/>
      <c r="AC213" s="241"/>
      <c r="AD213" s="241"/>
      <c r="AE213" s="241"/>
      <c r="AF213" s="241"/>
      <c r="AG213" s="241"/>
      <c r="AH213" s="241"/>
      <c r="AI213" s="241"/>
      <c r="AJ213" s="241"/>
      <c r="AK213" s="241"/>
      <c r="AL213" s="241"/>
      <c r="AM213" s="241"/>
      <c r="AN213" s="241"/>
      <c r="AO213" s="241"/>
      <c r="AP213" s="241"/>
      <c r="AQ213" s="241"/>
      <c r="AR213" s="241"/>
      <c r="AS213" s="241"/>
      <c r="AT213" s="241"/>
      <c r="AU213" s="241"/>
      <c r="AV213" s="241"/>
      <c r="AW213" s="241"/>
      <c r="AX213" s="241"/>
      <c r="AY213" s="241"/>
      <c r="AZ213" s="241"/>
    </row>
    <row r="214" spans="1:52" s="71" customFormat="1" ht="18" hidden="1" customHeight="1" outlineLevel="2">
      <c r="A214" s="288">
        <v>65</v>
      </c>
      <c r="B214" s="97"/>
      <c r="C214" s="296"/>
      <c r="D214" s="360"/>
      <c r="E214" s="361"/>
      <c r="F214" s="298"/>
      <c r="G214" s="298"/>
      <c r="H214" s="86"/>
      <c r="I214" s="344" t="str">
        <f t="shared" si="49"/>
        <v/>
      </c>
      <c r="J214" s="345"/>
      <c r="K214" s="86"/>
      <c r="L214" s="86"/>
      <c r="M214" s="344" t="str">
        <f t="shared" si="50"/>
        <v/>
      </c>
      <c r="N214" s="345"/>
      <c r="O214" s="225" t="str">
        <f t="shared" si="51"/>
        <v/>
      </c>
      <c r="P214" s="225" t="str">
        <f t="shared" si="52"/>
        <v/>
      </c>
      <c r="Q214" s="284"/>
      <c r="R214" s="225" t="str">
        <f t="shared" si="53"/>
        <v/>
      </c>
      <c r="S214" s="225" t="str">
        <f t="shared" si="54"/>
        <v/>
      </c>
      <c r="T214" s="231" t="str">
        <f t="shared" si="55"/>
        <v/>
      </c>
      <c r="U214" s="241"/>
      <c r="V214" s="241"/>
      <c r="W214" s="241"/>
      <c r="X214" s="241"/>
      <c r="Y214" s="241"/>
      <c r="Z214" s="241"/>
      <c r="AA214" s="241"/>
      <c r="AB214" s="241"/>
      <c r="AC214" s="241"/>
      <c r="AD214" s="241"/>
      <c r="AE214" s="241"/>
      <c r="AF214" s="241"/>
      <c r="AG214" s="241"/>
      <c r="AH214" s="241"/>
      <c r="AI214" s="241"/>
      <c r="AJ214" s="241"/>
      <c r="AK214" s="241"/>
      <c r="AL214" s="241"/>
      <c r="AM214" s="241"/>
      <c r="AN214" s="241"/>
      <c r="AO214" s="241"/>
      <c r="AP214" s="241"/>
      <c r="AQ214" s="241"/>
      <c r="AR214" s="241"/>
      <c r="AS214" s="241"/>
      <c r="AT214" s="241"/>
      <c r="AU214" s="241"/>
      <c r="AV214" s="241"/>
      <c r="AW214" s="241"/>
      <c r="AX214" s="241"/>
      <c r="AY214" s="241"/>
      <c r="AZ214" s="241"/>
    </row>
    <row r="215" spans="1:52" s="71" customFormat="1" ht="18" hidden="1" customHeight="1" outlineLevel="2">
      <c r="A215" s="288">
        <v>66</v>
      </c>
      <c r="B215" s="97"/>
      <c r="C215" s="296"/>
      <c r="D215" s="360"/>
      <c r="E215" s="361"/>
      <c r="F215" s="298"/>
      <c r="G215" s="298"/>
      <c r="H215" s="86"/>
      <c r="I215" s="344" t="str">
        <f t="shared" si="49"/>
        <v/>
      </c>
      <c r="J215" s="345"/>
      <c r="K215" s="86"/>
      <c r="L215" s="86"/>
      <c r="M215" s="344" t="str">
        <f t="shared" si="50"/>
        <v/>
      </c>
      <c r="N215" s="345"/>
      <c r="O215" s="225" t="str">
        <f t="shared" si="51"/>
        <v/>
      </c>
      <c r="P215" s="225" t="str">
        <f t="shared" si="52"/>
        <v/>
      </c>
      <c r="Q215" s="284"/>
      <c r="R215" s="225" t="str">
        <f t="shared" si="53"/>
        <v/>
      </c>
      <c r="S215" s="225" t="str">
        <f t="shared" si="54"/>
        <v/>
      </c>
      <c r="T215" s="231" t="str">
        <f t="shared" si="55"/>
        <v/>
      </c>
      <c r="U215" s="241"/>
      <c r="V215" s="241"/>
      <c r="W215" s="241"/>
      <c r="X215" s="241"/>
      <c r="Y215" s="241"/>
      <c r="Z215" s="241"/>
      <c r="AA215" s="241"/>
      <c r="AB215" s="241"/>
      <c r="AC215" s="241"/>
      <c r="AD215" s="241"/>
      <c r="AE215" s="241"/>
      <c r="AF215" s="241"/>
      <c r="AG215" s="241"/>
      <c r="AH215" s="241"/>
      <c r="AI215" s="241"/>
      <c r="AJ215" s="241"/>
      <c r="AK215" s="241"/>
      <c r="AL215" s="241"/>
      <c r="AM215" s="241"/>
      <c r="AN215" s="241"/>
      <c r="AO215" s="241"/>
      <c r="AP215" s="241"/>
      <c r="AQ215" s="241"/>
      <c r="AR215" s="241"/>
      <c r="AS215" s="241"/>
      <c r="AT215" s="241"/>
      <c r="AU215" s="241"/>
      <c r="AV215" s="241"/>
      <c r="AW215" s="241"/>
      <c r="AX215" s="241"/>
      <c r="AY215" s="241"/>
      <c r="AZ215" s="241"/>
    </row>
    <row r="216" spans="1:52" s="71" customFormat="1" ht="18" hidden="1" customHeight="1" outlineLevel="2">
      <c r="A216" s="288">
        <v>67</v>
      </c>
      <c r="B216" s="97"/>
      <c r="C216" s="296"/>
      <c r="D216" s="360"/>
      <c r="E216" s="361"/>
      <c r="F216" s="298"/>
      <c r="G216" s="298"/>
      <c r="H216" s="86"/>
      <c r="I216" s="344" t="str">
        <f t="shared" si="49"/>
        <v/>
      </c>
      <c r="J216" s="345"/>
      <c r="K216" s="86"/>
      <c r="L216" s="86"/>
      <c r="M216" s="344" t="str">
        <f t="shared" si="50"/>
        <v/>
      </c>
      <c r="N216" s="345"/>
      <c r="O216" s="225" t="str">
        <f t="shared" si="51"/>
        <v/>
      </c>
      <c r="P216" s="225" t="str">
        <f t="shared" si="52"/>
        <v/>
      </c>
      <c r="Q216" s="284"/>
      <c r="R216" s="225" t="str">
        <f t="shared" si="53"/>
        <v/>
      </c>
      <c r="S216" s="225" t="str">
        <f t="shared" si="54"/>
        <v/>
      </c>
      <c r="T216" s="231" t="str">
        <f t="shared" si="55"/>
        <v/>
      </c>
      <c r="U216" s="241"/>
      <c r="V216" s="241"/>
      <c r="W216" s="241"/>
      <c r="X216" s="241"/>
      <c r="Y216" s="241"/>
      <c r="Z216" s="241"/>
      <c r="AA216" s="241"/>
      <c r="AB216" s="241"/>
      <c r="AC216" s="241"/>
      <c r="AD216" s="241"/>
      <c r="AE216" s="241"/>
      <c r="AF216" s="241"/>
      <c r="AG216" s="241"/>
      <c r="AH216" s="241"/>
      <c r="AI216" s="241"/>
      <c r="AJ216" s="241"/>
      <c r="AK216" s="241"/>
      <c r="AL216" s="241"/>
      <c r="AM216" s="241"/>
      <c r="AN216" s="241"/>
      <c r="AO216" s="241"/>
      <c r="AP216" s="241"/>
      <c r="AQ216" s="241"/>
      <c r="AR216" s="241"/>
      <c r="AS216" s="241"/>
      <c r="AT216" s="241"/>
      <c r="AU216" s="241"/>
      <c r="AV216" s="241"/>
      <c r="AW216" s="241"/>
      <c r="AX216" s="241"/>
      <c r="AY216" s="241"/>
      <c r="AZ216" s="241"/>
    </row>
    <row r="217" spans="1:52" s="71" customFormat="1" ht="18" hidden="1" customHeight="1" outlineLevel="2">
      <c r="A217" s="288">
        <v>68</v>
      </c>
      <c r="B217" s="97"/>
      <c r="C217" s="296"/>
      <c r="D217" s="360"/>
      <c r="E217" s="361"/>
      <c r="F217" s="298"/>
      <c r="G217" s="298"/>
      <c r="H217" s="86"/>
      <c r="I217" s="344" t="str">
        <f t="shared" si="49"/>
        <v/>
      </c>
      <c r="J217" s="345"/>
      <c r="K217" s="86"/>
      <c r="L217" s="86"/>
      <c r="M217" s="344" t="str">
        <f t="shared" si="50"/>
        <v/>
      </c>
      <c r="N217" s="345"/>
      <c r="O217" s="225" t="str">
        <f t="shared" si="51"/>
        <v/>
      </c>
      <c r="P217" s="225" t="str">
        <f t="shared" si="52"/>
        <v/>
      </c>
      <c r="Q217" s="284"/>
      <c r="R217" s="225" t="str">
        <f t="shared" si="53"/>
        <v/>
      </c>
      <c r="S217" s="225" t="str">
        <f t="shared" si="54"/>
        <v/>
      </c>
      <c r="T217" s="231" t="str">
        <f t="shared" si="55"/>
        <v/>
      </c>
      <c r="U217" s="241"/>
      <c r="V217" s="241"/>
      <c r="W217" s="241"/>
      <c r="X217" s="241"/>
      <c r="Y217" s="241"/>
      <c r="Z217" s="241"/>
      <c r="AA217" s="241"/>
      <c r="AB217" s="241"/>
      <c r="AC217" s="241"/>
      <c r="AD217" s="241"/>
      <c r="AE217" s="241"/>
      <c r="AF217" s="241"/>
      <c r="AG217" s="241"/>
      <c r="AH217" s="241"/>
      <c r="AI217" s="241"/>
      <c r="AJ217" s="241"/>
      <c r="AK217" s="241"/>
      <c r="AL217" s="241"/>
      <c r="AM217" s="241"/>
      <c r="AN217" s="241"/>
      <c r="AO217" s="241"/>
      <c r="AP217" s="241"/>
      <c r="AQ217" s="241"/>
      <c r="AR217" s="241"/>
      <c r="AS217" s="241"/>
      <c r="AT217" s="241"/>
      <c r="AU217" s="241"/>
      <c r="AV217" s="241"/>
      <c r="AW217" s="241"/>
      <c r="AX217" s="241"/>
      <c r="AY217" s="241"/>
      <c r="AZ217" s="241"/>
    </row>
    <row r="218" spans="1:52" s="71" customFormat="1" ht="18" hidden="1" customHeight="1" outlineLevel="2">
      <c r="A218" s="288">
        <v>69</v>
      </c>
      <c r="B218" s="97"/>
      <c r="C218" s="296"/>
      <c r="D218" s="360"/>
      <c r="E218" s="361"/>
      <c r="F218" s="298"/>
      <c r="G218" s="298"/>
      <c r="H218" s="86"/>
      <c r="I218" s="344" t="str">
        <f t="shared" si="49"/>
        <v/>
      </c>
      <c r="J218" s="345"/>
      <c r="K218" s="86"/>
      <c r="L218" s="86"/>
      <c r="M218" s="344" t="str">
        <f t="shared" si="50"/>
        <v/>
      </c>
      <c r="N218" s="345"/>
      <c r="O218" s="225" t="str">
        <f t="shared" si="51"/>
        <v/>
      </c>
      <c r="P218" s="225" t="str">
        <f t="shared" si="52"/>
        <v/>
      </c>
      <c r="Q218" s="284"/>
      <c r="R218" s="225" t="str">
        <f t="shared" si="53"/>
        <v/>
      </c>
      <c r="S218" s="225" t="str">
        <f t="shared" si="54"/>
        <v/>
      </c>
      <c r="T218" s="231" t="str">
        <f t="shared" si="55"/>
        <v/>
      </c>
      <c r="U218" s="241"/>
      <c r="V218" s="241"/>
      <c r="W218" s="241"/>
      <c r="X218" s="241"/>
      <c r="Y218" s="241"/>
      <c r="Z218" s="241"/>
      <c r="AA218" s="241"/>
      <c r="AB218" s="241"/>
      <c r="AC218" s="241"/>
      <c r="AD218" s="241"/>
      <c r="AE218" s="241"/>
      <c r="AF218" s="241"/>
      <c r="AG218" s="241"/>
      <c r="AH218" s="241"/>
      <c r="AI218" s="241"/>
      <c r="AJ218" s="241"/>
      <c r="AK218" s="241"/>
      <c r="AL218" s="241"/>
      <c r="AM218" s="241"/>
      <c r="AN218" s="241"/>
      <c r="AO218" s="241"/>
      <c r="AP218" s="241"/>
      <c r="AQ218" s="241"/>
      <c r="AR218" s="241"/>
      <c r="AS218" s="241"/>
      <c r="AT218" s="241"/>
      <c r="AU218" s="241"/>
      <c r="AV218" s="241"/>
      <c r="AW218" s="241"/>
      <c r="AX218" s="241"/>
      <c r="AY218" s="241"/>
      <c r="AZ218" s="241"/>
    </row>
    <row r="219" spans="1:52" s="71" customFormat="1" ht="18" hidden="1" customHeight="1" outlineLevel="2">
      <c r="A219" s="288">
        <v>70</v>
      </c>
      <c r="B219" s="97"/>
      <c r="C219" s="296"/>
      <c r="D219" s="360"/>
      <c r="E219" s="361"/>
      <c r="F219" s="298"/>
      <c r="G219" s="298"/>
      <c r="H219" s="86"/>
      <c r="I219" s="344" t="str">
        <f t="shared" si="49"/>
        <v/>
      </c>
      <c r="J219" s="345"/>
      <c r="K219" s="86"/>
      <c r="L219" s="86"/>
      <c r="M219" s="344" t="str">
        <f t="shared" si="50"/>
        <v/>
      </c>
      <c r="N219" s="345"/>
      <c r="O219" s="225" t="str">
        <f t="shared" si="51"/>
        <v/>
      </c>
      <c r="P219" s="225" t="str">
        <f t="shared" si="52"/>
        <v/>
      </c>
      <c r="Q219" s="284"/>
      <c r="R219" s="225" t="str">
        <f t="shared" si="53"/>
        <v/>
      </c>
      <c r="S219" s="225" t="str">
        <f t="shared" si="54"/>
        <v/>
      </c>
      <c r="T219" s="231" t="str">
        <f t="shared" si="55"/>
        <v/>
      </c>
      <c r="U219" s="241"/>
      <c r="V219" s="241"/>
      <c r="W219" s="241"/>
      <c r="X219" s="241"/>
      <c r="Y219" s="241"/>
      <c r="Z219" s="241"/>
      <c r="AA219" s="241"/>
      <c r="AB219" s="241"/>
      <c r="AC219" s="241"/>
      <c r="AD219" s="241"/>
      <c r="AE219" s="241"/>
      <c r="AF219" s="241"/>
      <c r="AG219" s="241"/>
      <c r="AH219" s="241"/>
      <c r="AI219" s="241"/>
      <c r="AJ219" s="241"/>
      <c r="AK219" s="241"/>
      <c r="AL219" s="241"/>
      <c r="AM219" s="241"/>
      <c r="AN219" s="241"/>
      <c r="AO219" s="241"/>
      <c r="AP219" s="241"/>
      <c r="AQ219" s="241"/>
      <c r="AR219" s="241"/>
      <c r="AS219" s="241"/>
      <c r="AT219" s="241"/>
      <c r="AU219" s="241"/>
      <c r="AV219" s="241"/>
      <c r="AW219" s="241"/>
      <c r="AX219" s="241"/>
      <c r="AY219" s="241"/>
      <c r="AZ219" s="241"/>
    </row>
    <row r="220" spans="1:52" s="71" customFormat="1" ht="18" customHeight="1" outlineLevel="1" collapsed="1">
      <c r="A220" s="288">
        <v>71</v>
      </c>
      <c r="B220" s="97"/>
      <c r="C220" s="296"/>
      <c r="D220" s="360"/>
      <c r="E220" s="361"/>
      <c r="F220" s="298"/>
      <c r="G220" s="298"/>
      <c r="H220" s="86"/>
      <c r="I220" s="344" t="str">
        <f t="shared" ref="I220:I239" si="56">INDEX(logic_dumukitch,MATCH($A220,logic_kitchno,0))</f>
        <v/>
      </c>
      <c r="J220" s="345"/>
      <c r="K220" s="86"/>
      <c r="L220" s="86"/>
      <c r="M220" s="344" t="str">
        <f t="shared" ref="M220:M239" si="57">INDEX(logic_wurukitch,MATCH($A220,logic_kitchno,0))</f>
        <v/>
      </c>
      <c r="N220" s="345"/>
      <c r="O220" s="225" t="str">
        <f t="shared" ref="O220:O239" si="58">INDEX(logic_kitchawub,MATCH($A220,logic_kitchno,0))</f>
        <v/>
      </c>
      <c r="P220" s="225" t="str">
        <f t="shared" ref="P220:P239" si="59">INDEX(logic_kitchawudwoaw,MATCH($A220,logic_kitchno,0))</f>
        <v/>
      </c>
      <c r="Q220" s="284"/>
      <c r="R220" s="225" t="str">
        <f t="shared" ref="R220:R239" si="60">INDEX(logic_kitchawud,MATCH($A220,logic_kitchno,0))</f>
        <v/>
      </c>
      <c r="S220" s="225" t="str">
        <f t="shared" ref="S220:S239" si="61">INDEX(logic_kitchawusa,MATCH($A220,logic_kitchno,0))</f>
        <v/>
      </c>
      <c r="T220" s="231" t="str">
        <f t="shared" ref="T220:T239" si="62">INDEX(logic_kitchawusp,MATCH($A220,logic_kitchno,0))</f>
        <v/>
      </c>
      <c r="U220" s="176" t="s">
        <v>165</v>
      </c>
      <c r="V220" s="241"/>
      <c r="W220" s="241"/>
      <c r="X220" s="241"/>
      <c r="Y220" s="241"/>
      <c r="Z220" s="241"/>
      <c r="AA220" s="241"/>
      <c r="AB220" s="241"/>
      <c r="AC220" s="241"/>
      <c r="AD220" s="241"/>
      <c r="AE220" s="241"/>
      <c r="AF220" s="241"/>
      <c r="AG220" s="241"/>
      <c r="AH220" s="241"/>
      <c r="AI220" s="241"/>
      <c r="AJ220" s="241"/>
      <c r="AK220" s="241"/>
      <c r="AL220" s="241"/>
      <c r="AM220" s="241"/>
      <c r="AN220" s="241"/>
      <c r="AO220" s="241"/>
      <c r="AP220" s="241"/>
      <c r="AQ220" s="241"/>
      <c r="AR220" s="241"/>
      <c r="AS220" s="241"/>
      <c r="AT220" s="241"/>
      <c r="AU220" s="241"/>
      <c r="AV220" s="241"/>
      <c r="AW220" s="241"/>
      <c r="AX220" s="241"/>
      <c r="AY220" s="241"/>
      <c r="AZ220" s="241"/>
    </row>
    <row r="221" spans="1:52" s="71" customFormat="1" ht="18" hidden="1" customHeight="1" outlineLevel="2">
      <c r="A221" s="288">
        <v>72</v>
      </c>
      <c r="B221" s="97"/>
      <c r="C221" s="296"/>
      <c r="D221" s="360"/>
      <c r="E221" s="361"/>
      <c r="F221" s="298"/>
      <c r="G221" s="298"/>
      <c r="H221" s="86"/>
      <c r="I221" s="344" t="str">
        <f t="shared" si="56"/>
        <v/>
      </c>
      <c r="J221" s="345"/>
      <c r="K221" s="86"/>
      <c r="L221" s="86"/>
      <c r="M221" s="344" t="str">
        <f t="shared" si="57"/>
        <v/>
      </c>
      <c r="N221" s="345"/>
      <c r="O221" s="225" t="str">
        <f t="shared" si="58"/>
        <v/>
      </c>
      <c r="P221" s="225" t="str">
        <f t="shared" si="59"/>
        <v/>
      </c>
      <c r="Q221" s="284"/>
      <c r="R221" s="225" t="str">
        <f t="shared" si="60"/>
        <v/>
      </c>
      <c r="S221" s="225" t="str">
        <f t="shared" si="61"/>
        <v/>
      </c>
      <c r="T221" s="231" t="str">
        <f t="shared" si="62"/>
        <v/>
      </c>
      <c r="U221" s="241"/>
      <c r="V221" s="241"/>
      <c r="W221" s="241"/>
      <c r="X221" s="241"/>
      <c r="Y221" s="241"/>
      <c r="Z221" s="241"/>
      <c r="AA221" s="241"/>
      <c r="AB221" s="241"/>
      <c r="AC221" s="241"/>
      <c r="AD221" s="241"/>
      <c r="AE221" s="241"/>
      <c r="AF221" s="241"/>
      <c r="AG221" s="241"/>
      <c r="AH221" s="241"/>
      <c r="AI221" s="241"/>
      <c r="AJ221" s="241"/>
      <c r="AK221" s="241"/>
      <c r="AL221" s="241"/>
      <c r="AM221" s="241"/>
      <c r="AN221" s="241"/>
      <c r="AO221" s="241"/>
      <c r="AP221" s="241"/>
      <c r="AQ221" s="241"/>
      <c r="AR221" s="241"/>
      <c r="AS221" s="241"/>
      <c r="AT221" s="241"/>
      <c r="AU221" s="241"/>
      <c r="AV221" s="241"/>
      <c r="AW221" s="241"/>
      <c r="AX221" s="241"/>
      <c r="AY221" s="241"/>
      <c r="AZ221" s="241"/>
    </row>
    <row r="222" spans="1:52" s="71" customFormat="1" ht="18" hidden="1" customHeight="1" outlineLevel="2">
      <c r="A222" s="288">
        <v>73</v>
      </c>
      <c r="B222" s="97"/>
      <c r="C222" s="296"/>
      <c r="D222" s="360"/>
      <c r="E222" s="361"/>
      <c r="F222" s="298"/>
      <c r="G222" s="298"/>
      <c r="H222" s="86"/>
      <c r="I222" s="344" t="str">
        <f t="shared" si="56"/>
        <v/>
      </c>
      <c r="J222" s="345"/>
      <c r="K222" s="86"/>
      <c r="L222" s="86"/>
      <c r="M222" s="344" t="str">
        <f t="shared" si="57"/>
        <v/>
      </c>
      <c r="N222" s="345"/>
      <c r="O222" s="225" t="str">
        <f t="shared" si="58"/>
        <v/>
      </c>
      <c r="P222" s="225" t="str">
        <f t="shared" si="59"/>
        <v/>
      </c>
      <c r="Q222" s="284"/>
      <c r="R222" s="225" t="str">
        <f t="shared" si="60"/>
        <v/>
      </c>
      <c r="S222" s="225" t="str">
        <f t="shared" si="61"/>
        <v/>
      </c>
      <c r="T222" s="231" t="str">
        <f t="shared" si="62"/>
        <v/>
      </c>
      <c r="U222" s="241"/>
      <c r="V222" s="241"/>
      <c r="W222" s="241"/>
      <c r="X222" s="241"/>
      <c r="Y222" s="241"/>
      <c r="Z222" s="241"/>
      <c r="AA222" s="241"/>
      <c r="AB222" s="241"/>
      <c r="AC222" s="241"/>
      <c r="AD222" s="241"/>
      <c r="AE222" s="241"/>
      <c r="AF222" s="241"/>
      <c r="AG222" s="241"/>
      <c r="AH222" s="241"/>
      <c r="AI222" s="241"/>
      <c r="AJ222" s="241"/>
      <c r="AK222" s="241"/>
      <c r="AL222" s="241"/>
      <c r="AM222" s="241"/>
      <c r="AN222" s="241"/>
      <c r="AO222" s="241"/>
      <c r="AP222" s="241"/>
      <c r="AQ222" s="241"/>
      <c r="AR222" s="241"/>
      <c r="AS222" s="241"/>
      <c r="AT222" s="241"/>
      <c r="AU222" s="241"/>
      <c r="AV222" s="241"/>
      <c r="AW222" s="241"/>
      <c r="AX222" s="241"/>
      <c r="AY222" s="241"/>
      <c r="AZ222" s="241"/>
    </row>
    <row r="223" spans="1:52" s="71" customFormat="1" ht="18" hidden="1" customHeight="1" outlineLevel="2">
      <c r="A223" s="288">
        <v>74</v>
      </c>
      <c r="B223" s="97"/>
      <c r="C223" s="296"/>
      <c r="D223" s="360"/>
      <c r="E223" s="361"/>
      <c r="F223" s="298"/>
      <c r="G223" s="298"/>
      <c r="H223" s="86"/>
      <c r="I223" s="344" t="str">
        <f t="shared" si="56"/>
        <v/>
      </c>
      <c r="J223" s="345"/>
      <c r="K223" s="86"/>
      <c r="L223" s="86"/>
      <c r="M223" s="344" t="str">
        <f t="shared" si="57"/>
        <v/>
      </c>
      <c r="N223" s="345"/>
      <c r="O223" s="225" t="str">
        <f t="shared" si="58"/>
        <v/>
      </c>
      <c r="P223" s="225" t="str">
        <f t="shared" si="59"/>
        <v/>
      </c>
      <c r="Q223" s="284"/>
      <c r="R223" s="225" t="str">
        <f t="shared" si="60"/>
        <v/>
      </c>
      <c r="S223" s="225" t="str">
        <f t="shared" si="61"/>
        <v/>
      </c>
      <c r="T223" s="231" t="str">
        <f t="shared" si="62"/>
        <v/>
      </c>
      <c r="U223" s="241"/>
      <c r="V223" s="241"/>
      <c r="W223" s="241"/>
      <c r="X223" s="241"/>
      <c r="Y223" s="241"/>
      <c r="Z223" s="241"/>
      <c r="AA223" s="241"/>
      <c r="AB223" s="241"/>
      <c r="AC223" s="241"/>
      <c r="AD223" s="241"/>
      <c r="AE223" s="241"/>
      <c r="AF223" s="241"/>
      <c r="AG223" s="241"/>
      <c r="AH223" s="241"/>
      <c r="AI223" s="241"/>
      <c r="AJ223" s="241"/>
      <c r="AK223" s="241"/>
      <c r="AL223" s="241"/>
      <c r="AM223" s="241"/>
      <c r="AN223" s="241"/>
      <c r="AO223" s="241"/>
      <c r="AP223" s="241"/>
      <c r="AQ223" s="241"/>
      <c r="AR223" s="241"/>
      <c r="AS223" s="241"/>
      <c r="AT223" s="241"/>
      <c r="AU223" s="241"/>
      <c r="AV223" s="241"/>
      <c r="AW223" s="241"/>
      <c r="AX223" s="241"/>
      <c r="AY223" s="241"/>
      <c r="AZ223" s="241"/>
    </row>
    <row r="224" spans="1:52" s="71" customFormat="1" ht="18" hidden="1" customHeight="1" outlineLevel="2">
      <c r="A224" s="288">
        <v>75</v>
      </c>
      <c r="B224" s="97"/>
      <c r="C224" s="296"/>
      <c r="D224" s="360"/>
      <c r="E224" s="361"/>
      <c r="F224" s="298"/>
      <c r="G224" s="298"/>
      <c r="H224" s="86"/>
      <c r="I224" s="344" t="str">
        <f t="shared" si="56"/>
        <v/>
      </c>
      <c r="J224" s="345"/>
      <c r="K224" s="86"/>
      <c r="L224" s="86"/>
      <c r="M224" s="344" t="str">
        <f t="shared" si="57"/>
        <v/>
      </c>
      <c r="N224" s="345"/>
      <c r="O224" s="225" t="str">
        <f t="shared" si="58"/>
        <v/>
      </c>
      <c r="P224" s="225" t="str">
        <f t="shared" si="59"/>
        <v/>
      </c>
      <c r="Q224" s="284"/>
      <c r="R224" s="225" t="str">
        <f t="shared" si="60"/>
        <v/>
      </c>
      <c r="S224" s="225" t="str">
        <f t="shared" si="61"/>
        <v/>
      </c>
      <c r="T224" s="231" t="str">
        <f t="shared" si="62"/>
        <v/>
      </c>
      <c r="U224" s="241"/>
      <c r="V224" s="241"/>
      <c r="W224" s="241"/>
      <c r="X224" s="241"/>
      <c r="Y224" s="241"/>
      <c r="Z224" s="241"/>
      <c r="AA224" s="241"/>
      <c r="AB224" s="241"/>
      <c r="AC224" s="241"/>
      <c r="AD224" s="241"/>
      <c r="AE224" s="241"/>
      <c r="AF224" s="241"/>
      <c r="AG224" s="241"/>
      <c r="AH224" s="241"/>
      <c r="AI224" s="241"/>
      <c r="AJ224" s="241"/>
      <c r="AK224" s="241"/>
      <c r="AL224" s="241"/>
      <c r="AM224" s="241"/>
      <c r="AN224" s="241"/>
      <c r="AO224" s="241"/>
      <c r="AP224" s="241"/>
      <c r="AQ224" s="241"/>
      <c r="AR224" s="241"/>
      <c r="AS224" s="241"/>
      <c r="AT224" s="241"/>
      <c r="AU224" s="241"/>
      <c r="AV224" s="241"/>
      <c r="AW224" s="241"/>
      <c r="AX224" s="241"/>
      <c r="AY224" s="241"/>
      <c r="AZ224" s="241"/>
    </row>
    <row r="225" spans="1:52" s="71" customFormat="1" ht="18" hidden="1" customHeight="1" outlineLevel="2">
      <c r="A225" s="288">
        <v>76</v>
      </c>
      <c r="B225" s="97"/>
      <c r="C225" s="296"/>
      <c r="D225" s="360"/>
      <c r="E225" s="361"/>
      <c r="F225" s="298"/>
      <c r="G225" s="298"/>
      <c r="H225" s="86"/>
      <c r="I225" s="344" t="str">
        <f t="shared" si="56"/>
        <v/>
      </c>
      <c r="J225" s="345"/>
      <c r="K225" s="86"/>
      <c r="L225" s="86"/>
      <c r="M225" s="344" t="str">
        <f t="shared" si="57"/>
        <v/>
      </c>
      <c r="N225" s="345"/>
      <c r="O225" s="225" t="str">
        <f t="shared" si="58"/>
        <v/>
      </c>
      <c r="P225" s="225" t="str">
        <f t="shared" si="59"/>
        <v/>
      </c>
      <c r="Q225" s="284"/>
      <c r="R225" s="225" t="str">
        <f t="shared" si="60"/>
        <v/>
      </c>
      <c r="S225" s="225" t="str">
        <f t="shared" si="61"/>
        <v/>
      </c>
      <c r="T225" s="231" t="str">
        <f t="shared" si="62"/>
        <v/>
      </c>
      <c r="U225" s="241"/>
      <c r="V225" s="241"/>
      <c r="W225" s="241"/>
      <c r="X225" s="241"/>
      <c r="Y225" s="241"/>
      <c r="Z225" s="241"/>
      <c r="AA225" s="241"/>
      <c r="AB225" s="241"/>
      <c r="AC225" s="241"/>
      <c r="AD225" s="241"/>
      <c r="AE225" s="241"/>
      <c r="AF225" s="241"/>
      <c r="AG225" s="241"/>
      <c r="AH225" s="241"/>
      <c r="AI225" s="241"/>
      <c r="AJ225" s="241"/>
      <c r="AK225" s="241"/>
      <c r="AL225" s="241"/>
      <c r="AM225" s="241"/>
      <c r="AN225" s="241"/>
      <c r="AO225" s="241"/>
      <c r="AP225" s="241"/>
      <c r="AQ225" s="241"/>
      <c r="AR225" s="241"/>
      <c r="AS225" s="241"/>
      <c r="AT225" s="241"/>
      <c r="AU225" s="241"/>
      <c r="AV225" s="241"/>
      <c r="AW225" s="241"/>
      <c r="AX225" s="241"/>
      <c r="AY225" s="241"/>
      <c r="AZ225" s="241"/>
    </row>
    <row r="226" spans="1:52" s="71" customFormat="1" ht="18" hidden="1" customHeight="1" outlineLevel="2">
      <c r="A226" s="288">
        <v>77</v>
      </c>
      <c r="B226" s="97"/>
      <c r="C226" s="296"/>
      <c r="D226" s="360"/>
      <c r="E226" s="361"/>
      <c r="F226" s="298"/>
      <c r="G226" s="298"/>
      <c r="H226" s="86"/>
      <c r="I226" s="344" t="str">
        <f t="shared" si="56"/>
        <v/>
      </c>
      <c r="J226" s="345"/>
      <c r="K226" s="86"/>
      <c r="L226" s="86"/>
      <c r="M226" s="344" t="str">
        <f t="shared" si="57"/>
        <v/>
      </c>
      <c r="N226" s="345"/>
      <c r="O226" s="225" t="str">
        <f t="shared" si="58"/>
        <v/>
      </c>
      <c r="P226" s="225" t="str">
        <f t="shared" si="59"/>
        <v/>
      </c>
      <c r="Q226" s="284"/>
      <c r="R226" s="225" t="str">
        <f t="shared" si="60"/>
        <v/>
      </c>
      <c r="S226" s="225" t="str">
        <f t="shared" si="61"/>
        <v/>
      </c>
      <c r="T226" s="231" t="str">
        <f t="shared" si="62"/>
        <v/>
      </c>
      <c r="U226" s="241"/>
      <c r="V226" s="241"/>
      <c r="W226" s="241"/>
      <c r="X226" s="241"/>
      <c r="Y226" s="241"/>
      <c r="Z226" s="241"/>
      <c r="AA226" s="241"/>
      <c r="AB226" s="241"/>
      <c r="AC226" s="241"/>
      <c r="AD226" s="241"/>
      <c r="AE226" s="241"/>
      <c r="AF226" s="241"/>
      <c r="AG226" s="241"/>
      <c r="AH226" s="241"/>
      <c r="AI226" s="241"/>
      <c r="AJ226" s="241"/>
      <c r="AK226" s="241"/>
      <c r="AL226" s="241"/>
      <c r="AM226" s="241"/>
      <c r="AN226" s="241"/>
      <c r="AO226" s="241"/>
      <c r="AP226" s="241"/>
      <c r="AQ226" s="241"/>
      <c r="AR226" s="241"/>
      <c r="AS226" s="241"/>
      <c r="AT226" s="241"/>
      <c r="AU226" s="241"/>
      <c r="AV226" s="241"/>
      <c r="AW226" s="241"/>
      <c r="AX226" s="241"/>
      <c r="AY226" s="241"/>
      <c r="AZ226" s="241"/>
    </row>
    <row r="227" spans="1:52" s="71" customFormat="1" ht="18" hidden="1" customHeight="1" outlineLevel="2">
      <c r="A227" s="288">
        <v>78</v>
      </c>
      <c r="B227" s="97"/>
      <c r="C227" s="296"/>
      <c r="D227" s="360"/>
      <c r="E227" s="361"/>
      <c r="F227" s="298"/>
      <c r="G227" s="298"/>
      <c r="H227" s="86"/>
      <c r="I227" s="344" t="str">
        <f t="shared" si="56"/>
        <v/>
      </c>
      <c r="J227" s="345"/>
      <c r="K227" s="86"/>
      <c r="L227" s="86"/>
      <c r="M227" s="344" t="str">
        <f t="shared" si="57"/>
        <v/>
      </c>
      <c r="N227" s="345"/>
      <c r="O227" s="225" t="str">
        <f t="shared" si="58"/>
        <v/>
      </c>
      <c r="P227" s="225" t="str">
        <f t="shared" si="59"/>
        <v/>
      </c>
      <c r="Q227" s="284"/>
      <c r="R227" s="225" t="str">
        <f t="shared" si="60"/>
        <v/>
      </c>
      <c r="S227" s="225" t="str">
        <f t="shared" si="61"/>
        <v/>
      </c>
      <c r="T227" s="231" t="str">
        <f t="shared" si="62"/>
        <v/>
      </c>
      <c r="U227" s="241"/>
      <c r="V227" s="241"/>
      <c r="W227" s="241"/>
      <c r="X227" s="241"/>
      <c r="Y227" s="241"/>
      <c r="Z227" s="241"/>
      <c r="AA227" s="241"/>
      <c r="AB227" s="241"/>
      <c r="AC227" s="241"/>
      <c r="AD227" s="241"/>
      <c r="AE227" s="241"/>
      <c r="AF227" s="241"/>
      <c r="AG227" s="241"/>
      <c r="AH227" s="241"/>
      <c r="AI227" s="241"/>
      <c r="AJ227" s="241"/>
      <c r="AK227" s="241"/>
      <c r="AL227" s="241"/>
      <c r="AM227" s="241"/>
      <c r="AN227" s="241"/>
      <c r="AO227" s="241"/>
      <c r="AP227" s="241"/>
      <c r="AQ227" s="241"/>
      <c r="AR227" s="241"/>
      <c r="AS227" s="241"/>
      <c r="AT227" s="241"/>
      <c r="AU227" s="241"/>
      <c r="AV227" s="241"/>
      <c r="AW227" s="241"/>
      <c r="AX227" s="241"/>
      <c r="AY227" s="241"/>
      <c r="AZ227" s="241"/>
    </row>
    <row r="228" spans="1:52" s="71" customFormat="1" ht="18" hidden="1" customHeight="1" outlineLevel="2">
      <c r="A228" s="288">
        <v>79</v>
      </c>
      <c r="B228" s="97"/>
      <c r="C228" s="296"/>
      <c r="D228" s="360"/>
      <c r="E228" s="361"/>
      <c r="F228" s="298"/>
      <c r="G228" s="298"/>
      <c r="H228" s="86"/>
      <c r="I228" s="344" t="str">
        <f t="shared" si="56"/>
        <v/>
      </c>
      <c r="J228" s="345"/>
      <c r="K228" s="86"/>
      <c r="L228" s="86"/>
      <c r="M228" s="344" t="str">
        <f t="shared" si="57"/>
        <v/>
      </c>
      <c r="N228" s="345"/>
      <c r="O228" s="225" t="str">
        <f t="shared" si="58"/>
        <v/>
      </c>
      <c r="P228" s="225" t="str">
        <f t="shared" si="59"/>
        <v/>
      </c>
      <c r="Q228" s="284"/>
      <c r="R228" s="225" t="str">
        <f t="shared" si="60"/>
        <v/>
      </c>
      <c r="S228" s="225" t="str">
        <f t="shared" si="61"/>
        <v/>
      </c>
      <c r="T228" s="231" t="str">
        <f t="shared" si="62"/>
        <v/>
      </c>
      <c r="U228" s="241"/>
      <c r="V228" s="241"/>
      <c r="W228" s="241"/>
      <c r="X228" s="241"/>
      <c r="Y228" s="241"/>
      <c r="Z228" s="241"/>
      <c r="AA228" s="241"/>
      <c r="AB228" s="241"/>
      <c r="AC228" s="241"/>
      <c r="AD228" s="241"/>
      <c r="AE228" s="241"/>
      <c r="AF228" s="241"/>
      <c r="AG228" s="241"/>
      <c r="AH228" s="241"/>
      <c r="AI228" s="241"/>
      <c r="AJ228" s="241"/>
      <c r="AK228" s="241"/>
      <c r="AL228" s="241"/>
      <c r="AM228" s="241"/>
      <c r="AN228" s="241"/>
      <c r="AO228" s="241"/>
      <c r="AP228" s="241"/>
      <c r="AQ228" s="241"/>
      <c r="AR228" s="241"/>
      <c r="AS228" s="241"/>
      <c r="AT228" s="241"/>
      <c r="AU228" s="241"/>
      <c r="AV228" s="241"/>
      <c r="AW228" s="241"/>
      <c r="AX228" s="241"/>
      <c r="AY228" s="241"/>
      <c r="AZ228" s="241"/>
    </row>
    <row r="229" spans="1:52" s="71" customFormat="1" ht="18" hidden="1" customHeight="1" outlineLevel="2">
      <c r="A229" s="288">
        <v>80</v>
      </c>
      <c r="B229" s="97"/>
      <c r="C229" s="296"/>
      <c r="D229" s="360"/>
      <c r="E229" s="361"/>
      <c r="F229" s="298"/>
      <c r="G229" s="298"/>
      <c r="H229" s="86"/>
      <c r="I229" s="344" t="str">
        <f t="shared" si="56"/>
        <v/>
      </c>
      <c r="J229" s="345"/>
      <c r="K229" s="86"/>
      <c r="L229" s="86"/>
      <c r="M229" s="344" t="str">
        <f t="shared" si="57"/>
        <v/>
      </c>
      <c r="N229" s="345"/>
      <c r="O229" s="225" t="str">
        <f t="shared" si="58"/>
        <v/>
      </c>
      <c r="P229" s="225" t="str">
        <f t="shared" si="59"/>
        <v/>
      </c>
      <c r="Q229" s="284"/>
      <c r="R229" s="225" t="str">
        <f t="shared" si="60"/>
        <v/>
      </c>
      <c r="S229" s="225" t="str">
        <f t="shared" si="61"/>
        <v/>
      </c>
      <c r="T229" s="231" t="str">
        <f t="shared" si="62"/>
        <v/>
      </c>
      <c r="U229" s="241"/>
      <c r="V229" s="241"/>
      <c r="W229" s="241"/>
      <c r="X229" s="241"/>
      <c r="Y229" s="241"/>
      <c r="Z229" s="241"/>
      <c r="AA229" s="241"/>
      <c r="AB229" s="241"/>
      <c r="AC229" s="241"/>
      <c r="AD229" s="241"/>
      <c r="AE229" s="241"/>
      <c r="AF229" s="241"/>
      <c r="AG229" s="241"/>
      <c r="AH229" s="241"/>
      <c r="AI229" s="241"/>
      <c r="AJ229" s="241"/>
      <c r="AK229" s="241"/>
      <c r="AL229" s="241"/>
      <c r="AM229" s="241"/>
      <c r="AN229" s="241"/>
      <c r="AO229" s="241"/>
      <c r="AP229" s="241"/>
      <c r="AQ229" s="241"/>
      <c r="AR229" s="241"/>
      <c r="AS229" s="241"/>
      <c r="AT229" s="241"/>
      <c r="AU229" s="241"/>
      <c r="AV229" s="241"/>
      <c r="AW229" s="241"/>
      <c r="AX229" s="241"/>
      <c r="AY229" s="241"/>
      <c r="AZ229" s="241"/>
    </row>
    <row r="230" spans="1:52" s="71" customFormat="1" ht="18" hidden="1" customHeight="1" outlineLevel="2">
      <c r="A230" s="288">
        <v>81</v>
      </c>
      <c r="B230" s="97"/>
      <c r="C230" s="296"/>
      <c r="D230" s="360"/>
      <c r="E230" s="361"/>
      <c r="F230" s="298"/>
      <c r="G230" s="298"/>
      <c r="H230" s="86"/>
      <c r="I230" s="344" t="str">
        <f t="shared" si="56"/>
        <v/>
      </c>
      <c r="J230" s="345"/>
      <c r="K230" s="86"/>
      <c r="L230" s="86"/>
      <c r="M230" s="344" t="str">
        <f t="shared" si="57"/>
        <v/>
      </c>
      <c r="N230" s="345"/>
      <c r="O230" s="225" t="str">
        <f t="shared" si="58"/>
        <v/>
      </c>
      <c r="P230" s="225" t="str">
        <f t="shared" si="59"/>
        <v/>
      </c>
      <c r="Q230" s="284"/>
      <c r="R230" s="225" t="str">
        <f t="shared" si="60"/>
        <v/>
      </c>
      <c r="S230" s="225" t="str">
        <f t="shared" si="61"/>
        <v/>
      </c>
      <c r="T230" s="231" t="str">
        <f t="shared" si="62"/>
        <v/>
      </c>
      <c r="U230" s="241"/>
      <c r="V230" s="241"/>
      <c r="W230" s="241"/>
      <c r="X230" s="241"/>
      <c r="Y230" s="241"/>
      <c r="Z230" s="241"/>
      <c r="AA230" s="241"/>
      <c r="AB230" s="241"/>
      <c r="AC230" s="241"/>
      <c r="AD230" s="241"/>
      <c r="AE230" s="241"/>
      <c r="AF230" s="241"/>
      <c r="AG230" s="241"/>
      <c r="AH230" s="241"/>
      <c r="AI230" s="241"/>
      <c r="AJ230" s="241"/>
      <c r="AK230" s="241"/>
      <c r="AL230" s="241"/>
      <c r="AM230" s="241"/>
      <c r="AN230" s="241"/>
      <c r="AO230" s="241"/>
      <c r="AP230" s="241"/>
      <c r="AQ230" s="241"/>
      <c r="AR230" s="241"/>
      <c r="AS230" s="241"/>
      <c r="AT230" s="241"/>
      <c r="AU230" s="241"/>
      <c r="AV230" s="241"/>
      <c r="AW230" s="241"/>
      <c r="AX230" s="241"/>
      <c r="AY230" s="241"/>
      <c r="AZ230" s="241"/>
    </row>
    <row r="231" spans="1:52" s="71" customFormat="1" ht="18" hidden="1" customHeight="1" outlineLevel="2">
      <c r="A231" s="288">
        <v>82</v>
      </c>
      <c r="B231" s="97"/>
      <c r="C231" s="296"/>
      <c r="D231" s="360"/>
      <c r="E231" s="361"/>
      <c r="F231" s="298"/>
      <c r="G231" s="298"/>
      <c r="H231" s="86"/>
      <c r="I231" s="344" t="str">
        <f t="shared" si="56"/>
        <v/>
      </c>
      <c r="J231" s="345"/>
      <c r="K231" s="86"/>
      <c r="L231" s="86"/>
      <c r="M231" s="344" t="str">
        <f t="shared" si="57"/>
        <v/>
      </c>
      <c r="N231" s="345"/>
      <c r="O231" s="225" t="str">
        <f t="shared" si="58"/>
        <v/>
      </c>
      <c r="P231" s="225" t="str">
        <f t="shared" si="59"/>
        <v/>
      </c>
      <c r="Q231" s="284"/>
      <c r="R231" s="225" t="str">
        <f t="shared" si="60"/>
        <v/>
      </c>
      <c r="S231" s="225" t="str">
        <f t="shared" si="61"/>
        <v/>
      </c>
      <c r="T231" s="231" t="str">
        <f t="shared" si="62"/>
        <v/>
      </c>
      <c r="U231" s="241"/>
      <c r="V231" s="241"/>
      <c r="W231" s="241"/>
      <c r="X231" s="241"/>
      <c r="Y231" s="241"/>
      <c r="Z231" s="241"/>
      <c r="AA231" s="241"/>
      <c r="AB231" s="241"/>
      <c r="AC231" s="241"/>
      <c r="AD231" s="241"/>
      <c r="AE231" s="241"/>
      <c r="AF231" s="241"/>
      <c r="AG231" s="241"/>
      <c r="AH231" s="241"/>
      <c r="AI231" s="241"/>
      <c r="AJ231" s="241"/>
      <c r="AK231" s="241"/>
      <c r="AL231" s="241"/>
      <c r="AM231" s="241"/>
      <c r="AN231" s="241"/>
      <c r="AO231" s="241"/>
      <c r="AP231" s="241"/>
      <c r="AQ231" s="241"/>
      <c r="AR231" s="241"/>
      <c r="AS231" s="241"/>
      <c r="AT231" s="241"/>
      <c r="AU231" s="241"/>
      <c r="AV231" s="241"/>
      <c r="AW231" s="241"/>
      <c r="AX231" s="241"/>
      <c r="AY231" s="241"/>
      <c r="AZ231" s="241"/>
    </row>
    <row r="232" spans="1:52" s="71" customFormat="1" ht="18" hidden="1" customHeight="1" outlineLevel="2">
      <c r="A232" s="288">
        <v>83</v>
      </c>
      <c r="B232" s="97"/>
      <c r="C232" s="296"/>
      <c r="D232" s="360"/>
      <c r="E232" s="361"/>
      <c r="F232" s="298"/>
      <c r="G232" s="298"/>
      <c r="H232" s="86"/>
      <c r="I232" s="344" t="str">
        <f t="shared" si="56"/>
        <v/>
      </c>
      <c r="J232" s="345"/>
      <c r="K232" s="86"/>
      <c r="L232" s="86"/>
      <c r="M232" s="344" t="str">
        <f t="shared" si="57"/>
        <v/>
      </c>
      <c r="N232" s="345"/>
      <c r="O232" s="225" t="str">
        <f t="shared" si="58"/>
        <v/>
      </c>
      <c r="P232" s="225" t="str">
        <f t="shared" si="59"/>
        <v/>
      </c>
      <c r="Q232" s="284"/>
      <c r="R232" s="225" t="str">
        <f t="shared" si="60"/>
        <v/>
      </c>
      <c r="S232" s="225" t="str">
        <f t="shared" si="61"/>
        <v/>
      </c>
      <c r="T232" s="231" t="str">
        <f t="shared" si="62"/>
        <v/>
      </c>
      <c r="U232" s="241"/>
      <c r="V232" s="241"/>
      <c r="W232" s="241"/>
      <c r="X232" s="241"/>
      <c r="Y232" s="241"/>
      <c r="Z232" s="241"/>
      <c r="AA232" s="241"/>
      <c r="AB232" s="241"/>
      <c r="AC232" s="241"/>
      <c r="AD232" s="241"/>
      <c r="AE232" s="241"/>
      <c r="AF232" s="241"/>
      <c r="AG232" s="241"/>
      <c r="AH232" s="241"/>
      <c r="AI232" s="241"/>
      <c r="AJ232" s="241"/>
      <c r="AK232" s="241"/>
      <c r="AL232" s="241"/>
      <c r="AM232" s="241"/>
      <c r="AN232" s="241"/>
      <c r="AO232" s="241"/>
      <c r="AP232" s="241"/>
      <c r="AQ232" s="241"/>
      <c r="AR232" s="241"/>
      <c r="AS232" s="241"/>
      <c r="AT232" s="241"/>
      <c r="AU232" s="241"/>
      <c r="AV232" s="241"/>
      <c r="AW232" s="241"/>
      <c r="AX232" s="241"/>
      <c r="AY232" s="241"/>
      <c r="AZ232" s="241"/>
    </row>
    <row r="233" spans="1:52" s="71" customFormat="1" ht="18" hidden="1" customHeight="1" outlineLevel="2">
      <c r="A233" s="288">
        <v>84</v>
      </c>
      <c r="B233" s="97"/>
      <c r="C233" s="296"/>
      <c r="D233" s="360"/>
      <c r="E233" s="361"/>
      <c r="F233" s="298"/>
      <c r="G233" s="298"/>
      <c r="H233" s="86"/>
      <c r="I233" s="344" t="str">
        <f t="shared" si="56"/>
        <v/>
      </c>
      <c r="J233" s="345"/>
      <c r="K233" s="86"/>
      <c r="L233" s="86"/>
      <c r="M233" s="344" t="str">
        <f t="shared" si="57"/>
        <v/>
      </c>
      <c r="N233" s="345"/>
      <c r="O233" s="225" t="str">
        <f t="shared" si="58"/>
        <v/>
      </c>
      <c r="P233" s="225" t="str">
        <f t="shared" si="59"/>
        <v/>
      </c>
      <c r="Q233" s="284"/>
      <c r="R233" s="225" t="str">
        <f t="shared" si="60"/>
        <v/>
      </c>
      <c r="S233" s="225" t="str">
        <f t="shared" si="61"/>
        <v/>
      </c>
      <c r="T233" s="231" t="str">
        <f t="shared" si="62"/>
        <v/>
      </c>
      <c r="U233" s="241"/>
      <c r="V233" s="241"/>
      <c r="W233" s="241"/>
      <c r="X233" s="241"/>
      <c r="Y233" s="241"/>
      <c r="Z233" s="241"/>
      <c r="AA233" s="241"/>
      <c r="AB233" s="241"/>
      <c r="AC233" s="241"/>
      <c r="AD233" s="241"/>
      <c r="AE233" s="241"/>
      <c r="AF233" s="241"/>
      <c r="AG233" s="241"/>
      <c r="AH233" s="241"/>
      <c r="AI233" s="241"/>
      <c r="AJ233" s="241"/>
      <c r="AK233" s="241"/>
      <c r="AL233" s="241"/>
      <c r="AM233" s="241"/>
      <c r="AN233" s="241"/>
      <c r="AO233" s="241"/>
      <c r="AP233" s="241"/>
      <c r="AQ233" s="241"/>
      <c r="AR233" s="241"/>
      <c r="AS233" s="241"/>
      <c r="AT233" s="241"/>
      <c r="AU233" s="241"/>
      <c r="AV233" s="241"/>
      <c r="AW233" s="241"/>
      <c r="AX233" s="241"/>
      <c r="AY233" s="241"/>
      <c r="AZ233" s="241"/>
    </row>
    <row r="234" spans="1:52" s="71" customFormat="1" ht="18" hidden="1" customHeight="1" outlineLevel="2">
      <c r="A234" s="288">
        <v>85</v>
      </c>
      <c r="B234" s="97"/>
      <c r="C234" s="296"/>
      <c r="D234" s="360"/>
      <c r="E234" s="361"/>
      <c r="F234" s="298"/>
      <c r="G234" s="298"/>
      <c r="H234" s="86"/>
      <c r="I234" s="344" t="str">
        <f t="shared" si="56"/>
        <v/>
      </c>
      <c r="J234" s="345"/>
      <c r="K234" s="86"/>
      <c r="L234" s="86"/>
      <c r="M234" s="344" t="str">
        <f t="shared" si="57"/>
        <v/>
      </c>
      <c r="N234" s="345"/>
      <c r="O234" s="225" t="str">
        <f t="shared" si="58"/>
        <v/>
      </c>
      <c r="P234" s="225" t="str">
        <f t="shared" si="59"/>
        <v/>
      </c>
      <c r="Q234" s="284"/>
      <c r="R234" s="225" t="str">
        <f t="shared" si="60"/>
        <v/>
      </c>
      <c r="S234" s="225" t="str">
        <f t="shared" si="61"/>
        <v/>
      </c>
      <c r="T234" s="231" t="str">
        <f t="shared" si="62"/>
        <v/>
      </c>
      <c r="U234" s="241"/>
      <c r="V234" s="241"/>
      <c r="W234" s="241"/>
      <c r="X234" s="241"/>
      <c r="Y234" s="241"/>
      <c r="Z234" s="241"/>
      <c r="AA234" s="241"/>
      <c r="AB234" s="241"/>
      <c r="AC234" s="241"/>
      <c r="AD234" s="241"/>
      <c r="AE234" s="241"/>
      <c r="AF234" s="241"/>
      <c r="AG234" s="241"/>
      <c r="AH234" s="241"/>
      <c r="AI234" s="241"/>
      <c r="AJ234" s="241"/>
      <c r="AK234" s="241"/>
      <c r="AL234" s="241"/>
      <c r="AM234" s="241"/>
      <c r="AN234" s="241"/>
      <c r="AO234" s="241"/>
      <c r="AP234" s="241"/>
      <c r="AQ234" s="241"/>
      <c r="AR234" s="241"/>
      <c r="AS234" s="241"/>
      <c r="AT234" s="241"/>
      <c r="AU234" s="241"/>
      <c r="AV234" s="241"/>
      <c r="AW234" s="241"/>
      <c r="AX234" s="241"/>
      <c r="AY234" s="241"/>
      <c r="AZ234" s="241"/>
    </row>
    <row r="235" spans="1:52" s="71" customFormat="1" ht="18" hidden="1" customHeight="1" outlineLevel="2">
      <c r="A235" s="288">
        <v>86</v>
      </c>
      <c r="B235" s="97"/>
      <c r="C235" s="296"/>
      <c r="D235" s="360"/>
      <c r="E235" s="361"/>
      <c r="F235" s="298"/>
      <c r="G235" s="298"/>
      <c r="H235" s="86"/>
      <c r="I235" s="344" t="str">
        <f t="shared" si="56"/>
        <v/>
      </c>
      <c r="J235" s="345"/>
      <c r="K235" s="86"/>
      <c r="L235" s="86"/>
      <c r="M235" s="344" t="str">
        <f t="shared" si="57"/>
        <v/>
      </c>
      <c r="N235" s="345"/>
      <c r="O235" s="225" t="str">
        <f t="shared" si="58"/>
        <v/>
      </c>
      <c r="P235" s="225" t="str">
        <f t="shared" si="59"/>
        <v/>
      </c>
      <c r="Q235" s="284"/>
      <c r="R235" s="225" t="str">
        <f t="shared" si="60"/>
        <v/>
      </c>
      <c r="S235" s="225" t="str">
        <f t="shared" si="61"/>
        <v/>
      </c>
      <c r="T235" s="231" t="str">
        <f t="shared" si="62"/>
        <v/>
      </c>
      <c r="U235" s="241"/>
      <c r="V235" s="241"/>
      <c r="W235" s="241"/>
      <c r="X235" s="241"/>
      <c r="Y235" s="241"/>
      <c r="Z235" s="241"/>
      <c r="AA235" s="241"/>
      <c r="AB235" s="241"/>
      <c r="AC235" s="241"/>
      <c r="AD235" s="241"/>
      <c r="AE235" s="241"/>
      <c r="AF235" s="241"/>
      <c r="AG235" s="241"/>
      <c r="AH235" s="241"/>
      <c r="AI235" s="241"/>
      <c r="AJ235" s="241"/>
      <c r="AK235" s="241"/>
      <c r="AL235" s="241"/>
      <c r="AM235" s="241"/>
      <c r="AN235" s="241"/>
      <c r="AO235" s="241"/>
      <c r="AP235" s="241"/>
      <c r="AQ235" s="241"/>
      <c r="AR235" s="241"/>
      <c r="AS235" s="241"/>
      <c r="AT235" s="241"/>
      <c r="AU235" s="241"/>
      <c r="AV235" s="241"/>
      <c r="AW235" s="241"/>
      <c r="AX235" s="241"/>
      <c r="AY235" s="241"/>
      <c r="AZ235" s="241"/>
    </row>
    <row r="236" spans="1:52" s="71" customFormat="1" ht="18" hidden="1" customHeight="1" outlineLevel="2">
      <c r="A236" s="288">
        <v>87</v>
      </c>
      <c r="B236" s="97"/>
      <c r="C236" s="296"/>
      <c r="D236" s="360"/>
      <c r="E236" s="361"/>
      <c r="F236" s="298"/>
      <c r="G236" s="298"/>
      <c r="H236" s="86"/>
      <c r="I236" s="344" t="str">
        <f t="shared" si="56"/>
        <v/>
      </c>
      <c r="J236" s="345"/>
      <c r="K236" s="86"/>
      <c r="L236" s="86"/>
      <c r="M236" s="344" t="str">
        <f t="shared" si="57"/>
        <v/>
      </c>
      <c r="N236" s="345"/>
      <c r="O236" s="225" t="str">
        <f t="shared" si="58"/>
        <v/>
      </c>
      <c r="P236" s="225" t="str">
        <f t="shared" si="59"/>
        <v/>
      </c>
      <c r="Q236" s="284"/>
      <c r="R236" s="225" t="str">
        <f t="shared" si="60"/>
        <v/>
      </c>
      <c r="S236" s="225" t="str">
        <f t="shared" si="61"/>
        <v/>
      </c>
      <c r="T236" s="231" t="str">
        <f t="shared" si="62"/>
        <v/>
      </c>
      <c r="U236" s="241"/>
      <c r="V236" s="241"/>
      <c r="W236" s="241"/>
      <c r="X236" s="241"/>
      <c r="Y236" s="241"/>
      <c r="Z236" s="241"/>
      <c r="AA236" s="241"/>
      <c r="AB236" s="241"/>
      <c r="AC236" s="241"/>
      <c r="AD236" s="241"/>
      <c r="AE236" s="241"/>
      <c r="AF236" s="241"/>
      <c r="AG236" s="241"/>
      <c r="AH236" s="241"/>
      <c r="AI236" s="241"/>
      <c r="AJ236" s="241"/>
      <c r="AK236" s="241"/>
      <c r="AL236" s="241"/>
      <c r="AM236" s="241"/>
      <c r="AN236" s="241"/>
      <c r="AO236" s="241"/>
      <c r="AP236" s="241"/>
      <c r="AQ236" s="241"/>
      <c r="AR236" s="241"/>
      <c r="AS236" s="241"/>
      <c r="AT236" s="241"/>
      <c r="AU236" s="241"/>
      <c r="AV236" s="241"/>
      <c r="AW236" s="241"/>
      <c r="AX236" s="241"/>
      <c r="AY236" s="241"/>
      <c r="AZ236" s="241"/>
    </row>
    <row r="237" spans="1:52" s="71" customFormat="1" ht="18" hidden="1" customHeight="1" outlineLevel="2">
      <c r="A237" s="288">
        <v>88</v>
      </c>
      <c r="B237" s="97"/>
      <c r="C237" s="296"/>
      <c r="D237" s="360"/>
      <c r="E237" s="361"/>
      <c r="F237" s="298"/>
      <c r="G237" s="298"/>
      <c r="H237" s="86"/>
      <c r="I237" s="344" t="str">
        <f t="shared" si="56"/>
        <v/>
      </c>
      <c r="J237" s="345"/>
      <c r="K237" s="86"/>
      <c r="L237" s="86"/>
      <c r="M237" s="344" t="str">
        <f t="shared" si="57"/>
        <v/>
      </c>
      <c r="N237" s="345"/>
      <c r="O237" s="225" t="str">
        <f t="shared" si="58"/>
        <v/>
      </c>
      <c r="P237" s="225" t="str">
        <f t="shared" si="59"/>
        <v/>
      </c>
      <c r="Q237" s="284"/>
      <c r="R237" s="225" t="str">
        <f t="shared" si="60"/>
        <v/>
      </c>
      <c r="S237" s="225" t="str">
        <f t="shared" si="61"/>
        <v/>
      </c>
      <c r="T237" s="231" t="str">
        <f t="shared" si="62"/>
        <v/>
      </c>
      <c r="U237" s="241"/>
      <c r="V237" s="241"/>
      <c r="W237" s="241"/>
      <c r="X237" s="241"/>
      <c r="Y237" s="241"/>
      <c r="Z237" s="241"/>
      <c r="AA237" s="241"/>
      <c r="AB237" s="241"/>
      <c r="AC237" s="241"/>
      <c r="AD237" s="241"/>
      <c r="AE237" s="241"/>
      <c r="AF237" s="241"/>
      <c r="AG237" s="241"/>
      <c r="AH237" s="241"/>
      <c r="AI237" s="241"/>
      <c r="AJ237" s="241"/>
      <c r="AK237" s="241"/>
      <c r="AL237" s="241"/>
      <c r="AM237" s="241"/>
      <c r="AN237" s="241"/>
      <c r="AO237" s="241"/>
      <c r="AP237" s="241"/>
      <c r="AQ237" s="241"/>
      <c r="AR237" s="241"/>
      <c r="AS237" s="241"/>
      <c r="AT237" s="241"/>
      <c r="AU237" s="241"/>
      <c r="AV237" s="241"/>
      <c r="AW237" s="241"/>
      <c r="AX237" s="241"/>
      <c r="AY237" s="241"/>
      <c r="AZ237" s="241"/>
    </row>
    <row r="238" spans="1:52" s="71" customFormat="1" ht="18" hidden="1" customHeight="1" outlineLevel="2">
      <c r="A238" s="288">
        <v>89</v>
      </c>
      <c r="B238" s="97"/>
      <c r="C238" s="296"/>
      <c r="D238" s="360"/>
      <c r="E238" s="361"/>
      <c r="F238" s="298"/>
      <c r="G238" s="298"/>
      <c r="H238" s="86"/>
      <c r="I238" s="344" t="str">
        <f t="shared" si="56"/>
        <v/>
      </c>
      <c r="J238" s="345"/>
      <c r="K238" s="86"/>
      <c r="L238" s="86"/>
      <c r="M238" s="344" t="str">
        <f t="shared" si="57"/>
        <v/>
      </c>
      <c r="N238" s="345"/>
      <c r="O238" s="225" t="str">
        <f t="shared" si="58"/>
        <v/>
      </c>
      <c r="P238" s="225" t="str">
        <f t="shared" si="59"/>
        <v/>
      </c>
      <c r="Q238" s="284"/>
      <c r="R238" s="225" t="str">
        <f t="shared" si="60"/>
        <v/>
      </c>
      <c r="S238" s="225" t="str">
        <f t="shared" si="61"/>
        <v/>
      </c>
      <c r="T238" s="231" t="str">
        <f t="shared" si="62"/>
        <v/>
      </c>
      <c r="U238" s="241"/>
      <c r="V238" s="241"/>
      <c r="W238" s="241"/>
      <c r="X238" s="241"/>
      <c r="Y238" s="241"/>
      <c r="Z238" s="241"/>
      <c r="AA238" s="241"/>
      <c r="AB238" s="241"/>
      <c r="AC238" s="241"/>
      <c r="AD238" s="241"/>
      <c r="AE238" s="241"/>
      <c r="AF238" s="241"/>
      <c r="AG238" s="241"/>
      <c r="AH238" s="241"/>
      <c r="AI238" s="241"/>
      <c r="AJ238" s="241"/>
      <c r="AK238" s="241"/>
      <c r="AL238" s="241"/>
      <c r="AM238" s="241"/>
      <c r="AN238" s="241"/>
      <c r="AO238" s="241"/>
      <c r="AP238" s="241"/>
      <c r="AQ238" s="241"/>
      <c r="AR238" s="241"/>
      <c r="AS238" s="241"/>
      <c r="AT238" s="241"/>
      <c r="AU238" s="241"/>
      <c r="AV238" s="241"/>
      <c r="AW238" s="241"/>
      <c r="AX238" s="241"/>
      <c r="AY238" s="241"/>
      <c r="AZ238" s="241"/>
    </row>
    <row r="239" spans="1:52" s="71" customFormat="1" ht="18" hidden="1" customHeight="1" outlineLevel="2">
      <c r="A239" s="288">
        <v>90</v>
      </c>
      <c r="B239" s="97"/>
      <c r="C239" s="296"/>
      <c r="D239" s="360"/>
      <c r="E239" s="361"/>
      <c r="F239" s="298"/>
      <c r="G239" s="298"/>
      <c r="H239" s="86"/>
      <c r="I239" s="344" t="str">
        <f t="shared" si="56"/>
        <v/>
      </c>
      <c r="J239" s="345"/>
      <c r="K239" s="86"/>
      <c r="L239" s="86"/>
      <c r="M239" s="344" t="str">
        <f t="shared" si="57"/>
        <v/>
      </c>
      <c r="N239" s="345"/>
      <c r="O239" s="225" t="str">
        <f t="shared" si="58"/>
        <v/>
      </c>
      <c r="P239" s="225" t="str">
        <f t="shared" si="59"/>
        <v/>
      </c>
      <c r="Q239" s="284"/>
      <c r="R239" s="225" t="str">
        <f t="shared" si="60"/>
        <v/>
      </c>
      <c r="S239" s="225" t="str">
        <f t="shared" si="61"/>
        <v/>
      </c>
      <c r="T239" s="231" t="str">
        <f t="shared" si="62"/>
        <v/>
      </c>
      <c r="U239" s="241"/>
      <c r="V239" s="241"/>
      <c r="W239" s="241"/>
      <c r="X239" s="241"/>
      <c r="Y239" s="241"/>
      <c r="Z239" s="241"/>
      <c r="AA239" s="241"/>
      <c r="AB239" s="241"/>
      <c r="AC239" s="241"/>
      <c r="AD239" s="241"/>
      <c r="AE239" s="241"/>
      <c r="AF239" s="241"/>
      <c r="AG239" s="241"/>
      <c r="AH239" s="241"/>
      <c r="AI239" s="241"/>
      <c r="AJ239" s="241"/>
      <c r="AK239" s="241"/>
      <c r="AL239" s="241"/>
      <c r="AM239" s="241"/>
      <c r="AN239" s="241"/>
      <c r="AO239" s="241"/>
      <c r="AP239" s="241"/>
      <c r="AQ239" s="241"/>
      <c r="AR239" s="241"/>
      <c r="AS239" s="241"/>
      <c r="AT239" s="241"/>
      <c r="AU239" s="241"/>
      <c r="AV239" s="241"/>
      <c r="AW239" s="241"/>
      <c r="AX239" s="241"/>
      <c r="AY239" s="241"/>
      <c r="AZ239" s="241"/>
    </row>
    <row r="240" spans="1:52" s="71" customFormat="1" ht="18" customHeight="1" outlineLevel="1" collapsed="1">
      <c r="A240" s="288">
        <v>91</v>
      </c>
      <c r="B240" s="97"/>
      <c r="C240" s="296"/>
      <c r="D240" s="360"/>
      <c r="E240" s="361"/>
      <c r="F240" s="298"/>
      <c r="G240" s="298"/>
      <c r="H240" s="86"/>
      <c r="I240" s="344" t="str">
        <f t="shared" ref="I240:I259" si="63">INDEX(logic_dumukitch,MATCH($A240,logic_kitchno,0))</f>
        <v/>
      </c>
      <c r="J240" s="345"/>
      <c r="K240" s="86"/>
      <c r="L240" s="86"/>
      <c r="M240" s="344" t="str">
        <f t="shared" ref="M240:M259" si="64">INDEX(logic_wurukitch,MATCH($A240,logic_kitchno,0))</f>
        <v/>
      </c>
      <c r="N240" s="345"/>
      <c r="O240" s="225" t="str">
        <f t="shared" ref="O240:O259" si="65">INDEX(logic_kitchawub,MATCH($A240,logic_kitchno,0))</f>
        <v/>
      </c>
      <c r="P240" s="225" t="str">
        <f t="shared" ref="P240:P259" si="66">INDEX(logic_kitchawudwoaw,MATCH($A240,logic_kitchno,0))</f>
        <v/>
      </c>
      <c r="Q240" s="284"/>
      <c r="R240" s="225" t="str">
        <f t="shared" ref="R240:R259" si="67">INDEX(logic_kitchawud,MATCH($A240,logic_kitchno,0))</f>
        <v/>
      </c>
      <c r="S240" s="225" t="str">
        <f t="shared" ref="S240:S259" si="68">INDEX(logic_kitchawusa,MATCH($A240,logic_kitchno,0))</f>
        <v/>
      </c>
      <c r="T240" s="231" t="str">
        <f t="shared" ref="T240:T259" si="69">INDEX(logic_kitchawusp,MATCH($A240,logic_kitchno,0))</f>
        <v/>
      </c>
      <c r="U240" s="176" t="s">
        <v>165</v>
      </c>
      <c r="V240" s="241"/>
      <c r="W240" s="241"/>
      <c r="X240" s="241"/>
      <c r="Y240" s="241"/>
      <c r="Z240" s="241"/>
      <c r="AA240" s="241"/>
      <c r="AB240" s="241"/>
      <c r="AC240" s="241"/>
      <c r="AD240" s="241"/>
      <c r="AE240" s="241"/>
      <c r="AF240" s="241"/>
      <c r="AG240" s="241"/>
      <c r="AH240" s="241"/>
      <c r="AI240" s="241"/>
      <c r="AJ240" s="241"/>
      <c r="AK240" s="241"/>
      <c r="AL240" s="241"/>
      <c r="AM240" s="241"/>
      <c r="AN240" s="241"/>
      <c r="AO240" s="241"/>
      <c r="AP240" s="241"/>
      <c r="AQ240" s="241"/>
      <c r="AR240" s="241"/>
      <c r="AS240" s="241"/>
      <c r="AT240" s="241"/>
      <c r="AU240" s="241"/>
      <c r="AV240" s="241"/>
      <c r="AW240" s="241"/>
      <c r="AX240" s="241"/>
      <c r="AY240" s="241"/>
      <c r="AZ240" s="241"/>
    </row>
    <row r="241" spans="1:52" s="71" customFormat="1" ht="18" hidden="1" customHeight="1" outlineLevel="2">
      <c r="A241" s="288">
        <v>92</v>
      </c>
      <c r="B241" s="97"/>
      <c r="C241" s="296"/>
      <c r="D241" s="360"/>
      <c r="E241" s="361"/>
      <c r="F241" s="298"/>
      <c r="G241" s="298"/>
      <c r="H241" s="86"/>
      <c r="I241" s="344" t="str">
        <f t="shared" si="63"/>
        <v/>
      </c>
      <c r="J241" s="345"/>
      <c r="K241" s="86"/>
      <c r="L241" s="86"/>
      <c r="M241" s="344" t="str">
        <f t="shared" si="64"/>
        <v/>
      </c>
      <c r="N241" s="345"/>
      <c r="O241" s="225" t="str">
        <f t="shared" si="65"/>
        <v/>
      </c>
      <c r="P241" s="225" t="str">
        <f t="shared" si="66"/>
        <v/>
      </c>
      <c r="Q241" s="284"/>
      <c r="R241" s="225" t="str">
        <f t="shared" si="67"/>
        <v/>
      </c>
      <c r="S241" s="225" t="str">
        <f t="shared" si="68"/>
        <v/>
      </c>
      <c r="T241" s="231" t="str">
        <f t="shared" si="69"/>
        <v/>
      </c>
      <c r="U241" s="241"/>
      <c r="V241" s="241"/>
      <c r="W241" s="241"/>
      <c r="X241" s="241"/>
      <c r="Y241" s="241"/>
      <c r="Z241" s="241"/>
      <c r="AA241" s="241"/>
      <c r="AB241" s="241"/>
      <c r="AC241" s="241"/>
      <c r="AD241" s="241"/>
      <c r="AE241" s="241"/>
      <c r="AF241" s="241"/>
      <c r="AG241" s="241"/>
      <c r="AH241" s="241"/>
      <c r="AI241" s="241"/>
      <c r="AJ241" s="241"/>
      <c r="AK241" s="241"/>
      <c r="AL241" s="241"/>
      <c r="AM241" s="241"/>
      <c r="AN241" s="241"/>
      <c r="AO241" s="241"/>
      <c r="AP241" s="241"/>
      <c r="AQ241" s="241"/>
      <c r="AR241" s="241"/>
      <c r="AS241" s="241"/>
      <c r="AT241" s="241"/>
      <c r="AU241" s="241"/>
      <c r="AV241" s="241"/>
      <c r="AW241" s="241"/>
      <c r="AX241" s="241"/>
      <c r="AY241" s="241"/>
      <c r="AZ241" s="241"/>
    </row>
    <row r="242" spans="1:52" s="71" customFormat="1" ht="18" hidden="1" customHeight="1" outlineLevel="2">
      <c r="A242" s="288">
        <v>93</v>
      </c>
      <c r="B242" s="97"/>
      <c r="C242" s="296"/>
      <c r="D242" s="360"/>
      <c r="E242" s="361"/>
      <c r="F242" s="298"/>
      <c r="G242" s="298"/>
      <c r="H242" s="86"/>
      <c r="I242" s="344" t="str">
        <f t="shared" si="63"/>
        <v/>
      </c>
      <c r="J242" s="345"/>
      <c r="K242" s="86"/>
      <c r="L242" s="86"/>
      <c r="M242" s="344" t="str">
        <f t="shared" si="64"/>
        <v/>
      </c>
      <c r="N242" s="345"/>
      <c r="O242" s="225" t="str">
        <f t="shared" si="65"/>
        <v/>
      </c>
      <c r="P242" s="225" t="str">
        <f t="shared" si="66"/>
        <v/>
      </c>
      <c r="Q242" s="284"/>
      <c r="R242" s="225" t="str">
        <f t="shared" si="67"/>
        <v/>
      </c>
      <c r="S242" s="225" t="str">
        <f t="shared" si="68"/>
        <v/>
      </c>
      <c r="T242" s="231" t="str">
        <f t="shared" si="69"/>
        <v/>
      </c>
      <c r="U242" s="241"/>
      <c r="V242" s="241"/>
      <c r="W242" s="241"/>
      <c r="X242" s="241"/>
      <c r="Y242" s="241"/>
      <c r="Z242" s="241"/>
      <c r="AA242" s="241"/>
      <c r="AB242" s="241"/>
      <c r="AC242" s="241"/>
      <c r="AD242" s="241"/>
      <c r="AE242" s="241"/>
      <c r="AF242" s="241"/>
      <c r="AG242" s="241"/>
      <c r="AH242" s="241"/>
      <c r="AI242" s="241"/>
      <c r="AJ242" s="241"/>
      <c r="AK242" s="241"/>
      <c r="AL242" s="241"/>
      <c r="AM242" s="241"/>
      <c r="AN242" s="241"/>
      <c r="AO242" s="241"/>
      <c r="AP242" s="241"/>
      <c r="AQ242" s="241"/>
      <c r="AR242" s="241"/>
      <c r="AS242" s="241"/>
      <c r="AT242" s="241"/>
      <c r="AU242" s="241"/>
      <c r="AV242" s="241"/>
      <c r="AW242" s="241"/>
      <c r="AX242" s="241"/>
      <c r="AY242" s="241"/>
      <c r="AZ242" s="241"/>
    </row>
    <row r="243" spans="1:52" s="71" customFormat="1" ht="18" hidden="1" customHeight="1" outlineLevel="2">
      <c r="A243" s="288">
        <v>94</v>
      </c>
      <c r="B243" s="97"/>
      <c r="C243" s="296"/>
      <c r="D243" s="360"/>
      <c r="E243" s="361"/>
      <c r="F243" s="298"/>
      <c r="G243" s="298"/>
      <c r="H243" s="86"/>
      <c r="I243" s="344" t="str">
        <f t="shared" si="63"/>
        <v/>
      </c>
      <c r="J243" s="345"/>
      <c r="K243" s="86"/>
      <c r="L243" s="86"/>
      <c r="M243" s="344" t="str">
        <f t="shared" si="64"/>
        <v/>
      </c>
      <c r="N243" s="345"/>
      <c r="O243" s="225" t="str">
        <f t="shared" si="65"/>
        <v/>
      </c>
      <c r="P243" s="225" t="str">
        <f t="shared" si="66"/>
        <v/>
      </c>
      <c r="Q243" s="284"/>
      <c r="R243" s="225" t="str">
        <f t="shared" si="67"/>
        <v/>
      </c>
      <c r="S243" s="225" t="str">
        <f t="shared" si="68"/>
        <v/>
      </c>
      <c r="T243" s="231" t="str">
        <f t="shared" si="69"/>
        <v/>
      </c>
      <c r="U243" s="241"/>
      <c r="V243" s="241"/>
      <c r="W243" s="241"/>
      <c r="X243" s="241"/>
      <c r="Y243" s="241"/>
      <c r="Z243" s="241"/>
      <c r="AA243" s="241"/>
      <c r="AB243" s="241"/>
      <c r="AC243" s="241"/>
      <c r="AD243" s="241"/>
      <c r="AE243" s="241"/>
      <c r="AF243" s="241"/>
      <c r="AG243" s="241"/>
      <c r="AH243" s="241"/>
      <c r="AI243" s="241"/>
      <c r="AJ243" s="241"/>
      <c r="AK243" s="241"/>
      <c r="AL243" s="241"/>
      <c r="AM243" s="241"/>
      <c r="AN243" s="241"/>
      <c r="AO243" s="241"/>
      <c r="AP243" s="241"/>
      <c r="AQ243" s="241"/>
      <c r="AR243" s="241"/>
      <c r="AS243" s="241"/>
      <c r="AT243" s="241"/>
      <c r="AU243" s="241"/>
      <c r="AV243" s="241"/>
      <c r="AW243" s="241"/>
      <c r="AX243" s="241"/>
      <c r="AY243" s="241"/>
      <c r="AZ243" s="241"/>
    </row>
    <row r="244" spans="1:52" s="71" customFormat="1" ht="18" hidden="1" customHeight="1" outlineLevel="2">
      <c r="A244" s="288">
        <v>95</v>
      </c>
      <c r="B244" s="97"/>
      <c r="C244" s="296"/>
      <c r="D244" s="360"/>
      <c r="E244" s="361"/>
      <c r="F244" s="298"/>
      <c r="G244" s="298"/>
      <c r="H244" s="86"/>
      <c r="I244" s="344" t="str">
        <f t="shared" si="63"/>
        <v/>
      </c>
      <c r="J244" s="345"/>
      <c r="K244" s="86"/>
      <c r="L244" s="86"/>
      <c r="M244" s="344" t="str">
        <f t="shared" si="64"/>
        <v/>
      </c>
      <c r="N244" s="345"/>
      <c r="O244" s="225" t="str">
        <f t="shared" si="65"/>
        <v/>
      </c>
      <c r="P244" s="225" t="str">
        <f t="shared" si="66"/>
        <v/>
      </c>
      <c r="Q244" s="284"/>
      <c r="R244" s="225" t="str">
        <f t="shared" si="67"/>
        <v/>
      </c>
      <c r="S244" s="225" t="str">
        <f t="shared" si="68"/>
        <v/>
      </c>
      <c r="T244" s="231" t="str">
        <f t="shared" si="69"/>
        <v/>
      </c>
      <c r="U244" s="241"/>
      <c r="V244" s="241"/>
      <c r="W244" s="241"/>
      <c r="X244" s="241"/>
      <c r="Y244" s="241"/>
      <c r="Z244" s="241"/>
      <c r="AA244" s="241"/>
      <c r="AB244" s="241"/>
      <c r="AC244" s="241"/>
      <c r="AD244" s="241"/>
      <c r="AE244" s="241"/>
      <c r="AF244" s="241"/>
      <c r="AG244" s="241"/>
      <c r="AH244" s="241"/>
      <c r="AI244" s="241"/>
      <c r="AJ244" s="241"/>
      <c r="AK244" s="241"/>
      <c r="AL244" s="241"/>
      <c r="AM244" s="241"/>
      <c r="AN244" s="241"/>
      <c r="AO244" s="241"/>
      <c r="AP244" s="241"/>
      <c r="AQ244" s="241"/>
      <c r="AR244" s="241"/>
      <c r="AS244" s="241"/>
      <c r="AT244" s="241"/>
      <c r="AU244" s="241"/>
      <c r="AV244" s="241"/>
      <c r="AW244" s="241"/>
      <c r="AX244" s="241"/>
      <c r="AY244" s="241"/>
      <c r="AZ244" s="241"/>
    </row>
    <row r="245" spans="1:52" s="71" customFormat="1" ht="18" hidden="1" customHeight="1" outlineLevel="2">
      <c r="A245" s="288">
        <v>96</v>
      </c>
      <c r="B245" s="97"/>
      <c r="C245" s="296"/>
      <c r="D245" s="360"/>
      <c r="E245" s="361"/>
      <c r="F245" s="298"/>
      <c r="G245" s="298"/>
      <c r="H245" s="86"/>
      <c r="I245" s="344" t="str">
        <f t="shared" si="63"/>
        <v/>
      </c>
      <c r="J245" s="345"/>
      <c r="K245" s="86"/>
      <c r="L245" s="86"/>
      <c r="M245" s="344" t="str">
        <f t="shared" si="64"/>
        <v/>
      </c>
      <c r="N245" s="345"/>
      <c r="O245" s="225" t="str">
        <f t="shared" si="65"/>
        <v/>
      </c>
      <c r="P245" s="225" t="str">
        <f t="shared" si="66"/>
        <v/>
      </c>
      <c r="Q245" s="284"/>
      <c r="R245" s="225" t="str">
        <f t="shared" si="67"/>
        <v/>
      </c>
      <c r="S245" s="225" t="str">
        <f t="shared" si="68"/>
        <v/>
      </c>
      <c r="T245" s="231" t="str">
        <f t="shared" si="69"/>
        <v/>
      </c>
      <c r="U245" s="241"/>
      <c r="V245" s="241"/>
      <c r="W245" s="241"/>
      <c r="X245" s="241"/>
      <c r="Y245" s="241"/>
      <c r="Z245" s="241"/>
      <c r="AA245" s="241"/>
      <c r="AB245" s="241"/>
      <c r="AC245" s="241"/>
      <c r="AD245" s="241"/>
      <c r="AE245" s="241"/>
      <c r="AF245" s="241"/>
      <c r="AG245" s="241"/>
      <c r="AH245" s="241"/>
      <c r="AI245" s="241"/>
      <c r="AJ245" s="241"/>
      <c r="AK245" s="241"/>
      <c r="AL245" s="241"/>
      <c r="AM245" s="241"/>
      <c r="AN245" s="241"/>
      <c r="AO245" s="241"/>
      <c r="AP245" s="241"/>
      <c r="AQ245" s="241"/>
      <c r="AR245" s="241"/>
      <c r="AS245" s="241"/>
      <c r="AT245" s="241"/>
      <c r="AU245" s="241"/>
      <c r="AV245" s="241"/>
      <c r="AW245" s="241"/>
      <c r="AX245" s="241"/>
      <c r="AY245" s="241"/>
      <c r="AZ245" s="241"/>
    </row>
    <row r="246" spans="1:52" s="71" customFormat="1" ht="18" hidden="1" customHeight="1" outlineLevel="2">
      <c r="A246" s="288">
        <v>97</v>
      </c>
      <c r="B246" s="97"/>
      <c r="C246" s="296"/>
      <c r="D246" s="360"/>
      <c r="E246" s="361"/>
      <c r="F246" s="298"/>
      <c r="G246" s="298"/>
      <c r="H246" s="86"/>
      <c r="I246" s="344" t="str">
        <f t="shared" si="63"/>
        <v/>
      </c>
      <c r="J246" s="345"/>
      <c r="K246" s="86"/>
      <c r="L246" s="86"/>
      <c r="M246" s="344" t="str">
        <f t="shared" si="64"/>
        <v/>
      </c>
      <c r="N246" s="345"/>
      <c r="O246" s="225" t="str">
        <f t="shared" si="65"/>
        <v/>
      </c>
      <c r="P246" s="225" t="str">
        <f t="shared" si="66"/>
        <v/>
      </c>
      <c r="Q246" s="284"/>
      <c r="R246" s="225" t="str">
        <f t="shared" si="67"/>
        <v/>
      </c>
      <c r="S246" s="225" t="str">
        <f t="shared" si="68"/>
        <v/>
      </c>
      <c r="T246" s="231" t="str">
        <f t="shared" si="69"/>
        <v/>
      </c>
      <c r="U246" s="241"/>
      <c r="V246" s="241"/>
      <c r="W246" s="241"/>
      <c r="X246" s="241"/>
      <c r="Y246" s="241"/>
      <c r="Z246" s="241"/>
      <c r="AA246" s="241"/>
      <c r="AB246" s="241"/>
      <c r="AC246" s="241"/>
      <c r="AD246" s="241"/>
      <c r="AE246" s="241"/>
      <c r="AF246" s="241"/>
      <c r="AG246" s="241"/>
      <c r="AH246" s="241"/>
      <c r="AI246" s="241"/>
      <c r="AJ246" s="241"/>
      <c r="AK246" s="241"/>
      <c r="AL246" s="241"/>
      <c r="AM246" s="241"/>
      <c r="AN246" s="241"/>
      <c r="AO246" s="241"/>
      <c r="AP246" s="241"/>
      <c r="AQ246" s="241"/>
      <c r="AR246" s="241"/>
      <c r="AS246" s="241"/>
      <c r="AT246" s="241"/>
      <c r="AU246" s="241"/>
      <c r="AV246" s="241"/>
      <c r="AW246" s="241"/>
      <c r="AX246" s="241"/>
      <c r="AY246" s="241"/>
      <c r="AZ246" s="241"/>
    </row>
    <row r="247" spans="1:52" s="71" customFormat="1" ht="18" hidden="1" customHeight="1" outlineLevel="2">
      <c r="A247" s="288">
        <v>98</v>
      </c>
      <c r="B247" s="97"/>
      <c r="C247" s="296"/>
      <c r="D247" s="360"/>
      <c r="E247" s="361"/>
      <c r="F247" s="298"/>
      <c r="G247" s="298"/>
      <c r="H247" s="86"/>
      <c r="I247" s="344" t="str">
        <f t="shared" si="63"/>
        <v/>
      </c>
      <c r="J247" s="345"/>
      <c r="K247" s="86"/>
      <c r="L247" s="86"/>
      <c r="M247" s="344" t="str">
        <f t="shared" si="64"/>
        <v/>
      </c>
      <c r="N247" s="345"/>
      <c r="O247" s="225" t="str">
        <f t="shared" si="65"/>
        <v/>
      </c>
      <c r="P247" s="225" t="str">
        <f t="shared" si="66"/>
        <v/>
      </c>
      <c r="Q247" s="284"/>
      <c r="R247" s="225" t="str">
        <f t="shared" si="67"/>
        <v/>
      </c>
      <c r="S247" s="225" t="str">
        <f t="shared" si="68"/>
        <v/>
      </c>
      <c r="T247" s="231" t="str">
        <f t="shared" si="69"/>
        <v/>
      </c>
      <c r="U247" s="241"/>
      <c r="V247" s="241"/>
      <c r="W247" s="241"/>
      <c r="X247" s="241"/>
      <c r="Y247" s="241"/>
      <c r="Z247" s="241"/>
      <c r="AA247" s="241"/>
      <c r="AB247" s="241"/>
      <c r="AC247" s="241"/>
      <c r="AD247" s="241"/>
      <c r="AE247" s="241"/>
      <c r="AF247" s="241"/>
      <c r="AG247" s="241"/>
      <c r="AH247" s="241"/>
      <c r="AI247" s="241"/>
      <c r="AJ247" s="241"/>
      <c r="AK247" s="241"/>
      <c r="AL247" s="241"/>
      <c r="AM247" s="241"/>
      <c r="AN247" s="241"/>
      <c r="AO247" s="241"/>
      <c r="AP247" s="241"/>
      <c r="AQ247" s="241"/>
      <c r="AR247" s="241"/>
      <c r="AS247" s="241"/>
      <c r="AT247" s="241"/>
      <c r="AU247" s="241"/>
      <c r="AV247" s="241"/>
      <c r="AW247" s="241"/>
      <c r="AX247" s="241"/>
      <c r="AY247" s="241"/>
      <c r="AZ247" s="241"/>
    </row>
    <row r="248" spans="1:52" s="71" customFormat="1" ht="18" hidden="1" customHeight="1" outlineLevel="2">
      <c r="A248" s="288">
        <v>99</v>
      </c>
      <c r="B248" s="97"/>
      <c r="C248" s="296"/>
      <c r="D248" s="360"/>
      <c r="E248" s="361"/>
      <c r="F248" s="298"/>
      <c r="G248" s="298"/>
      <c r="H248" s="86"/>
      <c r="I248" s="344" t="str">
        <f t="shared" si="63"/>
        <v/>
      </c>
      <c r="J248" s="345"/>
      <c r="K248" s="86"/>
      <c r="L248" s="86"/>
      <c r="M248" s="344" t="str">
        <f t="shared" si="64"/>
        <v/>
      </c>
      <c r="N248" s="345"/>
      <c r="O248" s="225" t="str">
        <f t="shared" si="65"/>
        <v/>
      </c>
      <c r="P248" s="225" t="str">
        <f t="shared" si="66"/>
        <v/>
      </c>
      <c r="Q248" s="284"/>
      <c r="R248" s="225" t="str">
        <f t="shared" si="67"/>
        <v/>
      </c>
      <c r="S248" s="225" t="str">
        <f t="shared" si="68"/>
        <v/>
      </c>
      <c r="T248" s="231" t="str">
        <f t="shared" si="69"/>
        <v/>
      </c>
      <c r="U248" s="241"/>
      <c r="V248" s="241"/>
      <c r="W248" s="241"/>
      <c r="X248" s="241"/>
      <c r="Y248" s="241"/>
      <c r="Z248" s="241"/>
      <c r="AA248" s="241"/>
      <c r="AB248" s="241"/>
      <c r="AC248" s="241"/>
      <c r="AD248" s="241"/>
      <c r="AE248" s="241"/>
      <c r="AF248" s="241"/>
      <c r="AG248" s="241"/>
      <c r="AH248" s="241"/>
      <c r="AI248" s="241"/>
      <c r="AJ248" s="241"/>
      <c r="AK248" s="241"/>
      <c r="AL248" s="241"/>
      <c r="AM248" s="241"/>
      <c r="AN248" s="241"/>
      <c r="AO248" s="241"/>
      <c r="AP248" s="241"/>
      <c r="AQ248" s="241"/>
      <c r="AR248" s="241"/>
      <c r="AS248" s="241"/>
      <c r="AT248" s="241"/>
      <c r="AU248" s="241"/>
      <c r="AV248" s="241"/>
      <c r="AW248" s="241"/>
      <c r="AX248" s="241"/>
      <c r="AY248" s="241"/>
      <c r="AZ248" s="241"/>
    </row>
    <row r="249" spans="1:52" s="71" customFormat="1" ht="18" hidden="1" customHeight="1" outlineLevel="2">
      <c r="A249" s="288">
        <v>100</v>
      </c>
      <c r="B249" s="97"/>
      <c r="C249" s="296"/>
      <c r="D249" s="360"/>
      <c r="E249" s="361"/>
      <c r="F249" s="298"/>
      <c r="G249" s="298"/>
      <c r="H249" s="86"/>
      <c r="I249" s="344" t="str">
        <f t="shared" si="63"/>
        <v/>
      </c>
      <c r="J249" s="345"/>
      <c r="K249" s="86"/>
      <c r="L249" s="86"/>
      <c r="M249" s="344" t="str">
        <f t="shared" si="64"/>
        <v/>
      </c>
      <c r="N249" s="345"/>
      <c r="O249" s="225" t="str">
        <f t="shared" si="65"/>
        <v/>
      </c>
      <c r="P249" s="225" t="str">
        <f t="shared" si="66"/>
        <v/>
      </c>
      <c r="Q249" s="284"/>
      <c r="R249" s="225" t="str">
        <f t="shared" si="67"/>
        <v/>
      </c>
      <c r="S249" s="225" t="str">
        <f t="shared" si="68"/>
        <v/>
      </c>
      <c r="T249" s="231" t="str">
        <f t="shared" si="69"/>
        <v/>
      </c>
      <c r="U249" s="241"/>
      <c r="V249" s="241"/>
      <c r="W249" s="241"/>
      <c r="X249" s="241"/>
      <c r="Y249" s="241"/>
      <c r="Z249" s="241"/>
      <c r="AA249" s="241"/>
      <c r="AB249" s="241"/>
      <c r="AC249" s="241"/>
      <c r="AD249" s="241"/>
      <c r="AE249" s="241"/>
      <c r="AF249" s="241"/>
      <c r="AG249" s="241"/>
      <c r="AH249" s="241"/>
      <c r="AI249" s="241"/>
      <c r="AJ249" s="241"/>
      <c r="AK249" s="241"/>
      <c r="AL249" s="241"/>
      <c r="AM249" s="241"/>
      <c r="AN249" s="241"/>
      <c r="AO249" s="241"/>
      <c r="AP249" s="241"/>
      <c r="AQ249" s="241"/>
      <c r="AR249" s="241"/>
      <c r="AS249" s="241"/>
      <c r="AT249" s="241"/>
      <c r="AU249" s="241"/>
      <c r="AV249" s="241"/>
      <c r="AW249" s="241"/>
      <c r="AX249" s="241"/>
      <c r="AY249" s="241"/>
      <c r="AZ249" s="241"/>
    </row>
    <row r="250" spans="1:52" s="71" customFormat="1" ht="18" hidden="1" customHeight="1" outlineLevel="2">
      <c r="A250" s="288">
        <v>101</v>
      </c>
      <c r="B250" s="97"/>
      <c r="C250" s="296"/>
      <c r="D250" s="360"/>
      <c r="E250" s="361"/>
      <c r="F250" s="298"/>
      <c r="G250" s="298"/>
      <c r="H250" s="86"/>
      <c r="I250" s="344" t="str">
        <f t="shared" si="63"/>
        <v/>
      </c>
      <c r="J250" s="345"/>
      <c r="K250" s="86"/>
      <c r="L250" s="86"/>
      <c r="M250" s="344" t="str">
        <f t="shared" si="64"/>
        <v/>
      </c>
      <c r="N250" s="345"/>
      <c r="O250" s="225" t="str">
        <f t="shared" si="65"/>
        <v/>
      </c>
      <c r="P250" s="225" t="str">
        <f t="shared" si="66"/>
        <v/>
      </c>
      <c r="Q250" s="284"/>
      <c r="R250" s="225" t="str">
        <f t="shared" si="67"/>
        <v/>
      </c>
      <c r="S250" s="225" t="str">
        <f t="shared" si="68"/>
        <v/>
      </c>
      <c r="T250" s="231" t="str">
        <f t="shared" si="69"/>
        <v/>
      </c>
      <c r="U250" s="241"/>
      <c r="V250" s="241"/>
      <c r="W250" s="241"/>
      <c r="X250" s="241"/>
      <c r="Y250" s="241"/>
      <c r="Z250" s="241"/>
      <c r="AA250" s="241"/>
      <c r="AB250" s="241"/>
      <c r="AC250" s="241"/>
      <c r="AD250" s="241"/>
      <c r="AE250" s="241"/>
      <c r="AF250" s="241"/>
      <c r="AG250" s="241"/>
      <c r="AH250" s="241"/>
      <c r="AI250" s="241"/>
      <c r="AJ250" s="241"/>
      <c r="AK250" s="241"/>
      <c r="AL250" s="241"/>
      <c r="AM250" s="241"/>
      <c r="AN250" s="241"/>
      <c r="AO250" s="241"/>
      <c r="AP250" s="241"/>
      <c r="AQ250" s="241"/>
      <c r="AR250" s="241"/>
      <c r="AS250" s="241"/>
      <c r="AT250" s="241"/>
      <c r="AU250" s="241"/>
      <c r="AV250" s="241"/>
      <c r="AW250" s="241"/>
      <c r="AX250" s="241"/>
      <c r="AY250" s="241"/>
      <c r="AZ250" s="241"/>
    </row>
    <row r="251" spans="1:52" s="71" customFormat="1" ht="18" hidden="1" customHeight="1" outlineLevel="2">
      <c r="A251" s="288">
        <v>102</v>
      </c>
      <c r="B251" s="97"/>
      <c r="C251" s="296"/>
      <c r="D251" s="360"/>
      <c r="E251" s="361"/>
      <c r="F251" s="298"/>
      <c r="G251" s="298"/>
      <c r="H251" s="86"/>
      <c r="I251" s="344" t="str">
        <f t="shared" si="63"/>
        <v/>
      </c>
      <c r="J251" s="345"/>
      <c r="K251" s="86"/>
      <c r="L251" s="86"/>
      <c r="M251" s="344" t="str">
        <f t="shared" si="64"/>
        <v/>
      </c>
      <c r="N251" s="345"/>
      <c r="O251" s="225" t="str">
        <f t="shared" si="65"/>
        <v/>
      </c>
      <c r="P251" s="225" t="str">
        <f t="shared" si="66"/>
        <v/>
      </c>
      <c r="Q251" s="284"/>
      <c r="R251" s="225" t="str">
        <f t="shared" si="67"/>
        <v/>
      </c>
      <c r="S251" s="225" t="str">
        <f t="shared" si="68"/>
        <v/>
      </c>
      <c r="T251" s="231" t="str">
        <f t="shared" si="69"/>
        <v/>
      </c>
      <c r="U251" s="241"/>
      <c r="V251" s="241"/>
      <c r="W251" s="241"/>
      <c r="X251" s="241"/>
      <c r="Y251" s="241"/>
      <c r="Z251" s="241"/>
      <c r="AA251" s="241"/>
      <c r="AB251" s="241"/>
      <c r="AC251" s="241"/>
      <c r="AD251" s="241"/>
      <c r="AE251" s="241"/>
      <c r="AF251" s="241"/>
      <c r="AG251" s="241"/>
      <c r="AH251" s="241"/>
      <c r="AI251" s="241"/>
      <c r="AJ251" s="241"/>
      <c r="AK251" s="241"/>
      <c r="AL251" s="241"/>
      <c r="AM251" s="241"/>
      <c r="AN251" s="241"/>
      <c r="AO251" s="241"/>
      <c r="AP251" s="241"/>
      <c r="AQ251" s="241"/>
      <c r="AR251" s="241"/>
      <c r="AS251" s="241"/>
      <c r="AT251" s="241"/>
      <c r="AU251" s="241"/>
      <c r="AV251" s="241"/>
      <c r="AW251" s="241"/>
      <c r="AX251" s="241"/>
      <c r="AY251" s="241"/>
      <c r="AZ251" s="241"/>
    </row>
    <row r="252" spans="1:52" s="71" customFormat="1" ht="18" hidden="1" customHeight="1" outlineLevel="2">
      <c r="A252" s="288">
        <v>103</v>
      </c>
      <c r="B252" s="97"/>
      <c r="C252" s="296"/>
      <c r="D252" s="360"/>
      <c r="E252" s="361"/>
      <c r="F252" s="298"/>
      <c r="G252" s="298"/>
      <c r="H252" s="86"/>
      <c r="I252" s="344" t="str">
        <f t="shared" si="63"/>
        <v/>
      </c>
      <c r="J252" s="345"/>
      <c r="K252" s="86"/>
      <c r="L252" s="86"/>
      <c r="M252" s="344" t="str">
        <f t="shared" si="64"/>
        <v/>
      </c>
      <c r="N252" s="345"/>
      <c r="O252" s="225" t="str">
        <f t="shared" si="65"/>
        <v/>
      </c>
      <c r="P252" s="225" t="str">
        <f t="shared" si="66"/>
        <v/>
      </c>
      <c r="Q252" s="284"/>
      <c r="R252" s="225" t="str">
        <f t="shared" si="67"/>
        <v/>
      </c>
      <c r="S252" s="225" t="str">
        <f t="shared" si="68"/>
        <v/>
      </c>
      <c r="T252" s="231" t="str">
        <f t="shared" si="69"/>
        <v/>
      </c>
      <c r="U252" s="241"/>
      <c r="V252" s="241"/>
      <c r="W252" s="241"/>
      <c r="X252" s="241"/>
      <c r="Y252" s="241"/>
      <c r="Z252" s="241"/>
      <c r="AA252" s="241"/>
      <c r="AB252" s="241"/>
      <c r="AC252" s="241"/>
      <c r="AD252" s="241"/>
      <c r="AE252" s="241"/>
      <c r="AF252" s="241"/>
      <c r="AG252" s="241"/>
      <c r="AH252" s="241"/>
      <c r="AI252" s="241"/>
      <c r="AJ252" s="241"/>
      <c r="AK252" s="241"/>
      <c r="AL252" s="241"/>
      <c r="AM252" s="241"/>
      <c r="AN252" s="241"/>
      <c r="AO252" s="241"/>
      <c r="AP252" s="241"/>
      <c r="AQ252" s="241"/>
      <c r="AR252" s="241"/>
      <c r="AS252" s="241"/>
      <c r="AT252" s="241"/>
      <c r="AU252" s="241"/>
      <c r="AV252" s="241"/>
      <c r="AW252" s="241"/>
      <c r="AX252" s="241"/>
      <c r="AY252" s="241"/>
      <c r="AZ252" s="241"/>
    </row>
    <row r="253" spans="1:52" s="71" customFormat="1" ht="18" hidden="1" customHeight="1" outlineLevel="2">
      <c r="A253" s="288">
        <v>104</v>
      </c>
      <c r="B253" s="97"/>
      <c r="C253" s="296"/>
      <c r="D253" s="360"/>
      <c r="E253" s="361"/>
      <c r="F253" s="298"/>
      <c r="G253" s="298"/>
      <c r="H253" s="86"/>
      <c r="I253" s="344" t="str">
        <f t="shared" si="63"/>
        <v/>
      </c>
      <c r="J253" s="345"/>
      <c r="K253" s="86"/>
      <c r="L253" s="86"/>
      <c r="M253" s="344" t="str">
        <f t="shared" si="64"/>
        <v/>
      </c>
      <c r="N253" s="345"/>
      <c r="O253" s="225" t="str">
        <f t="shared" si="65"/>
        <v/>
      </c>
      <c r="P253" s="225" t="str">
        <f t="shared" si="66"/>
        <v/>
      </c>
      <c r="Q253" s="284"/>
      <c r="R253" s="225" t="str">
        <f t="shared" si="67"/>
        <v/>
      </c>
      <c r="S253" s="225" t="str">
        <f t="shared" si="68"/>
        <v/>
      </c>
      <c r="T253" s="231" t="str">
        <f t="shared" si="69"/>
        <v/>
      </c>
      <c r="U253" s="241"/>
      <c r="V253" s="241"/>
      <c r="W253" s="241"/>
      <c r="X253" s="241"/>
      <c r="Y253" s="241"/>
      <c r="Z253" s="241"/>
      <c r="AA253" s="241"/>
      <c r="AB253" s="241"/>
      <c r="AC253" s="241"/>
      <c r="AD253" s="241"/>
      <c r="AE253" s="241"/>
      <c r="AF253" s="241"/>
      <c r="AG253" s="241"/>
      <c r="AH253" s="241"/>
      <c r="AI253" s="241"/>
      <c r="AJ253" s="241"/>
      <c r="AK253" s="241"/>
      <c r="AL253" s="241"/>
      <c r="AM253" s="241"/>
      <c r="AN253" s="241"/>
      <c r="AO253" s="241"/>
      <c r="AP253" s="241"/>
      <c r="AQ253" s="241"/>
      <c r="AR253" s="241"/>
      <c r="AS253" s="241"/>
      <c r="AT253" s="241"/>
      <c r="AU253" s="241"/>
      <c r="AV253" s="241"/>
      <c r="AW253" s="241"/>
      <c r="AX253" s="241"/>
      <c r="AY253" s="241"/>
      <c r="AZ253" s="241"/>
    </row>
    <row r="254" spans="1:52" s="71" customFormat="1" ht="18" hidden="1" customHeight="1" outlineLevel="2">
      <c r="A254" s="288">
        <v>105</v>
      </c>
      <c r="B254" s="97"/>
      <c r="C254" s="296"/>
      <c r="D254" s="360"/>
      <c r="E254" s="361"/>
      <c r="F254" s="298"/>
      <c r="G254" s="298"/>
      <c r="H254" s="86"/>
      <c r="I254" s="344" t="str">
        <f t="shared" si="63"/>
        <v/>
      </c>
      <c r="J254" s="345"/>
      <c r="K254" s="86"/>
      <c r="L254" s="86"/>
      <c r="M254" s="344" t="str">
        <f t="shared" si="64"/>
        <v/>
      </c>
      <c r="N254" s="345"/>
      <c r="O254" s="225" t="str">
        <f t="shared" si="65"/>
        <v/>
      </c>
      <c r="P254" s="225" t="str">
        <f t="shared" si="66"/>
        <v/>
      </c>
      <c r="Q254" s="284"/>
      <c r="R254" s="225" t="str">
        <f t="shared" si="67"/>
        <v/>
      </c>
      <c r="S254" s="225" t="str">
        <f t="shared" si="68"/>
        <v/>
      </c>
      <c r="T254" s="231" t="str">
        <f t="shared" si="69"/>
        <v/>
      </c>
      <c r="U254" s="241"/>
      <c r="V254" s="241"/>
      <c r="W254" s="241"/>
      <c r="X254" s="241"/>
      <c r="Y254" s="241"/>
      <c r="Z254" s="241"/>
      <c r="AA254" s="241"/>
      <c r="AB254" s="241"/>
      <c r="AC254" s="241"/>
      <c r="AD254" s="241"/>
      <c r="AE254" s="241"/>
      <c r="AF254" s="241"/>
      <c r="AG254" s="241"/>
      <c r="AH254" s="241"/>
      <c r="AI254" s="241"/>
      <c r="AJ254" s="241"/>
      <c r="AK254" s="241"/>
      <c r="AL254" s="241"/>
      <c r="AM254" s="241"/>
      <c r="AN254" s="241"/>
      <c r="AO254" s="241"/>
      <c r="AP254" s="241"/>
      <c r="AQ254" s="241"/>
      <c r="AR254" s="241"/>
      <c r="AS254" s="241"/>
      <c r="AT254" s="241"/>
      <c r="AU254" s="241"/>
      <c r="AV254" s="241"/>
      <c r="AW254" s="241"/>
      <c r="AX254" s="241"/>
      <c r="AY254" s="241"/>
      <c r="AZ254" s="241"/>
    </row>
    <row r="255" spans="1:52" s="71" customFormat="1" ht="18" hidden="1" customHeight="1" outlineLevel="2">
      <c r="A255" s="288">
        <v>106</v>
      </c>
      <c r="B255" s="97"/>
      <c r="C255" s="296"/>
      <c r="D255" s="360"/>
      <c r="E255" s="361"/>
      <c r="F255" s="298"/>
      <c r="G255" s="298"/>
      <c r="H255" s="86"/>
      <c r="I255" s="344" t="str">
        <f t="shared" si="63"/>
        <v/>
      </c>
      <c r="J255" s="345"/>
      <c r="K255" s="86"/>
      <c r="L255" s="86"/>
      <c r="M255" s="344" t="str">
        <f t="shared" si="64"/>
        <v/>
      </c>
      <c r="N255" s="345"/>
      <c r="O255" s="225" t="str">
        <f t="shared" si="65"/>
        <v/>
      </c>
      <c r="P255" s="225" t="str">
        <f t="shared" si="66"/>
        <v/>
      </c>
      <c r="Q255" s="284"/>
      <c r="R255" s="225" t="str">
        <f t="shared" si="67"/>
        <v/>
      </c>
      <c r="S255" s="225" t="str">
        <f t="shared" si="68"/>
        <v/>
      </c>
      <c r="T255" s="231" t="str">
        <f t="shared" si="69"/>
        <v/>
      </c>
      <c r="U255" s="241"/>
      <c r="V255" s="241"/>
      <c r="W255" s="241"/>
      <c r="X255" s="241"/>
      <c r="Y255" s="241"/>
      <c r="Z255" s="241"/>
      <c r="AA255" s="241"/>
      <c r="AB255" s="241"/>
      <c r="AC255" s="241"/>
      <c r="AD255" s="241"/>
      <c r="AE255" s="241"/>
      <c r="AF255" s="241"/>
      <c r="AG255" s="241"/>
      <c r="AH255" s="241"/>
      <c r="AI255" s="241"/>
      <c r="AJ255" s="241"/>
      <c r="AK255" s="241"/>
      <c r="AL255" s="241"/>
      <c r="AM255" s="241"/>
      <c r="AN255" s="241"/>
      <c r="AO255" s="241"/>
      <c r="AP255" s="241"/>
      <c r="AQ255" s="241"/>
      <c r="AR255" s="241"/>
      <c r="AS255" s="241"/>
      <c r="AT255" s="241"/>
      <c r="AU255" s="241"/>
      <c r="AV255" s="241"/>
      <c r="AW255" s="241"/>
      <c r="AX255" s="241"/>
      <c r="AY255" s="241"/>
      <c r="AZ255" s="241"/>
    </row>
    <row r="256" spans="1:52" s="71" customFormat="1" ht="18" hidden="1" customHeight="1" outlineLevel="2">
      <c r="A256" s="288">
        <v>107</v>
      </c>
      <c r="B256" s="97"/>
      <c r="C256" s="296"/>
      <c r="D256" s="360"/>
      <c r="E256" s="361"/>
      <c r="F256" s="298"/>
      <c r="G256" s="298"/>
      <c r="H256" s="86"/>
      <c r="I256" s="344" t="str">
        <f t="shared" si="63"/>
        <v/>
      </c>
      <c r="J256" s="345"/>
      <c r="K256" s="86"/>
      <c r="L256" s="86"/>
      <c r="M256" s="344" t="str">
        <f t="shared" si="64"/>
        <v/>
      </c>
      <c r="N256" s="345"/>
      <c r="O256" s="225" t="str">
        <f t="shared" si="65"/>
        <v/>
      </c>
      <c r="P256" s="225" t="str">
        <f t="shared" si="66"/>
        <v/>
      </c>
      <c r="Q256" s="284"/>
      <c r="R256" s="225" t="str">
        <f t="shared" si="67"/>
        <v/>
      </c>
      <c r="S256" s="225" t="str">
        <f t="shared" si="68"/>
        <v/>
      </c>
      <c r="T256" s="231" t="str">
        <f t="shared" si="69"/>
        <v/>
      </c>
      <c r="U256" s="241"/>
      <c r="V256" s="241"/>
      <c r="W256" s="241"/>
      <c r="X256" s="241"/>
      <c r="Y256" s="241"/>
      <c r="Z256" s="241"/>
      <c r="AA256" s="241"/>
      <c r="AB256" s="241"/>
      <c r="AC256" s="241"/>
      <c r="AD256" s="241"/>
      <c r="AE256" s="241"/>
      <c r="AF256" s="241"/>
      <c r="AG256" s="241"/>
      <c r="AH256" s="241"/>
      <c r="AI256" s="241"/>
      <c r="AJ256" s="241"/>
      <c r="AK256" s="241"/>
      <c r="AL256" s="241"/>
      <c r="AM256" s="241"/>
      <c r="AN256" s="241"/>
      <c r="AO256" s="241"/>
      <c r="AP256" s="241"/>
      <c r="AQ256" s="241"/>
      <c r="AR256" s="241"/>
      <c r="AS256" s="241"/>
      <c r="AT256" s="241"/>
      <c r="AU256" s="241"/>
      <c r="AV256" s="241"/>
      <c r="AW256" s="241"/>
      <c r="AX256" s="241"/>
      <c r="AY256" s="241"/>
      <c r="AZ256" s="241"/>
    </row>
    <row r="257" spans="1:52" s="71" customFormat="1" ht="18" hidden="1" customHeight="1" outlineLevel="2">
      <c r="A257" s="288">
        <v>108</v>
      </c>
      <c r="B257" s="97"/>
      <c r="C257" s="296"/>
      <c r="D257" s="360"/>
      <c r="E257" s="361"/>
      <c r="F257" s="298"/>
      <c r="G257" s="298"/>
      <c r="H257" s="86"/>
      <c r="I257" s="344" t="str">
        <f t="shared" si="63"/>
        <v/>
      </c>
      <c r="J257" s="345"/>
      <c r="K257" s="86"/>
      <c r="L257" s="86"/>
      <c r="M257" s="344" t="str">
        <f t="shared" si="64"/>
        <v/>
      </c>
      <c r="N257" s="345"/>
      <c r="O257" s="225" t="str">
        <f t="shared" si="65"/>
        <v/>
      </c>
      <c r="P257" s="225" t="str">
        <f t="shared" si="66"/>
        <v/>
      </c>
      <c r="Q257" s="284"/>
      <c r="R257" s="225" t="str">
        <f t="shared" si="67"/>
        <v/>
      </c>
      <c r="S257" s="225" t="str">
        <f t="shared" si="68"/>
        <v/>
      </c>
      <c r="T257" s="231" t="str">
        <f t="shared" si="69"/>
        <v/>
      </c>
      <c r="U257" s="241"/>
      <c r="V257" s="241"/>
      <c r="W257" s="241"/>
      <c r="X257" s="241"/>
      <c r="Y257" s="241"/>
      <c r="Z257" s="241"/>
      <c r="AA257" s="241"/>
      <c r="AB257" s="241"/>
      <c r="AC257" s="241"/>
      <c r="AD257" s="241"/>
      <c r="AE257" s="241"/>
      <c r="AF257" s="241"/>
      <c r="AG257" s="241"/>
      <c r="AH257" s="241"/>
      <c r="AI257" s="241"/>
      <c r="AJ257" s="241"/>
      <c r="AK257" s="241"/>
      <c r="AL257" s="241"/>
      <c r="AM257" s="241"/>
      <c r="AN257" s="241"/>
      <c r="AO257" s="241"/>
      <c r="AP257" s="241"/>
      <c r="AQ257" s="241"/>
      <c r="AR257" s="241"/>
      <c r="AS257" s="241"/>
      <c r="AT257" s="241"/>
      <c r="AU257" s="241"/>
      <c r="AV257" s="241"/>
      <c r="AW257" s="241"/>
      <c r="AX257" s="241"/>
      <c r="AY257" s="241"/>
      <c r="AZ257" s="241"/>
    </row>
    <row r="258" spans="1:52" s="71" customFormat="1" ht="18" hidden="1" customHeight="1" outlineLevel="2">
      <c r="A258" s="288">
        <v>109</v>
      </c>
      <c r="B258" s="97"/>
      <c r="C258" s="296"/>
      <c r="D258" s="360"/>
      <c r="E258" s="361"/>
      <c r="F258" s="298"/>
      <c r="G258" s="298"/>
      <c r="H258" s="86"/>
      <c r="I258" s="344" t="str">
        <f t="shared" si="63"/>
        <v/>
      </c>
      <c r="J258" s="345"/>
      <c r="K258" s="86"/>
      <c r="L258" s="86"/>
      <c r="M258" s="344" t="str">
        <f t="shared" si="64"/>
        <v/>
      </c>
      <c r="N258" s="345"/>
      <c r="O258" s="225" t="str">
        <f t="shared" si="65"/>
        <v/>
      </c>
      <c r="P258" s="225" t="str">
        <f t="shared" si="66"/>
        <v/>
      </c>
      <c r="Q258" s="284"/>
      <c r="R258" s="225" t="str">
        <f t="shared" si="67"/>
        <v/>
      </c>
      <c r="S258" s="225" t="str">
        <f t="shared" si="68"/>
        <v/>
      </c>
      <c r="T258" s="231" t="str">
        <f t="shared" si="69"/>
        <v/>
      </c>
      <c r="U258" s="241"/>
      <c r="V258" s="241"/>
      <c r="W258" s="241"/>
      <c r="X258" s="241"/>
      <c r="Y258" s="241"/>
      <c r="Z258" s="241"/>
      <c r="AA258" s="241"/>
      <c r="AB258" s="241"/>
      <c r="AC258" s="241"/>
      <c r="AD258" s="241"/>
      <c r="AE258" s="241"/>
      <c r="AF258" s="241"/>
      <c r="AG258" s="241"/>
      <c r="AH258" s="241"/>
      <c r="AI258" s="241"/>
      <c r="AJ258" s="241"/>
      <c r="AK258" s="241"/>
      <c r="AL258" s="241"/>
      <c r="AM258" s="241"/>
      <c r="AN258" s="241"/>
      <c r="AO258" s="241"/>
      <c r="AP258" s="241"/>
      <c r="AQ258" s="241"/>
      <c r="AR258" s="241"/>
      <c r="AS258" s="241"/>
      <c r="AT258" s="241"/>
      <c r="AU258" s="241"/>
      <c r="AV258" s="241"/>
      <c r="AW258" s="241"/>
      <c r="AX258" s="241"/>
      <c r="AY258" s="241"/>
      <c r="AZ258" s="241"/>
    </row>
    <row r="259" spans="1:52" s="71" customFormat="1" ht="18" hidden="1" customHeight="1" outlineLevel="2">
      <c r="A259" s="288">
        <v>110</v>
      </c>
      <c r="B259" s="97"/>
      <c r="C259" s="296"/>
      <c r="D259" s="360"/>
      <c r="E259" s="361"/>
      <c r="F259" s="298"/>
      <c r="G259" s="298"/>
      <c r="H259" s="86"/>
      <c r="I259" s="344" t="str">
        <f t="shared" si="63"/>
        <v/>
      </c>
      <c r="J259" s="345"/>
      <c r="K259" s="86"/>
      <c r="L259" s="86"/>
      <c r="M259" s="344" t="str">
        <f t="shared" si="64"/>
        <v/>
      </c>
      <c r="N259" s="345"/>
      <c r="O259" s="225" t="str">
        <f t="shared" si="65"/>
        <v/>
      </c>
      <c r="P259" s="225" t="str">
        <f t="shared" si="66"/>
        <v/>
      </c>
      <c r="Q259" s="284"/>
      <c r="R259" s="225" t="str">
        <f t="shared" si="67"/>
        <v/>
      </c>
      <c r="S259" s="225" t="str">
        <f t="shared" si="68"/>
        <v/>
      </c>
      <c r="T259" s="231" t="str">
        <f t="shared" si="69"/>
        <v/>
      </c>
      <c r="U259" s="241"/>
      <c r="V259" s="241"/>
      <c r="W259" s="241"/>
      <c r="X259" s="241"/>
      <c r="Y259" s="241"/>
      <c r="Z259" s="241"/>
      <c r="AA259" s="241"/>
      <c r="AB259" s="241"/>
      <c r="AC259" s="241"/>
      <c r="AD259" s="241"/>
      <c r="AE259" s="241"/>
      <c r="AF259" s="241"/>
      <c r="AG259" s="241"/>
      <c r="AH259" s="241"/>
      <c r="AI259" s="241"/>
      <c r="AJ259" s="241"/>
      <c r="AK259" s="241"/>
      <c r="AL259" s="241"/>
      <c r="AM259" s="241"/>
      <c r="AN259" s="241"/>
      <c r="AO259" s="241"/>
      <c r="AP259" s="241"/>
      <c r="AQ259" s="241"/>
      <c r="AR259" s="241"/>
      <c r="AS259" s="241"/>
      <c r="AT259" s="241"/>
      <c r="AU259" s="241"/>
      <c r="AV259" s="241"/>
      <c r="AW259" s="241"/>
      <c r="AX259" s="241"/>
      <c r="AY259" s="241"/>
      <c r="AZ259" s="241"/>
    </row>
    <row r="260" spans="1:52" s="71" customFormat="1" ht="15" customHeight="1" outlineLevel="1" collapsed="1">
      <c r="A260" s="288"/>
      <c r="B260" s="293"/>
      <c r="C260" s="297"/>
      <c r="D260" s="294"/>
      <c r="E260" s="294"/>
      <c r="F260" s="299"/>
      <c r="G260" s="297"/>
      <c r="H260" s="294"/>
      <c r="I260" s="294"/>
      <c r="J260" s="299"/>
      <c r="K260" s="299"/>
      <c r="L260" s="297"/>
      <c r="M260" s="294"/>
      <c r="N260" s="294"/>
      <c r="O260" s="299"/>
      <c r="P260" s="300"/>
      <c r="Q260" s="294"/>
      <c r="R260" s="300"/>
      <c r="S260" s="300"/>
      <c r="T260" s="308"/>
      <c r="U260" s="176"/>
      <c r="V260" s="241"/>
      <c r="W260" s="241"/>
      <c r="X260" s="241"/>
      <c r="Y260" s="241"/>
      <c r="Z260" s="241"/>
      <c r="AA260" s="241"/>
      <c r="AB260" s="241"/>
      <c r="AC260" s="241"/>
      <c r="AD260" s="241"/>
      <c r="AE260" s="241"/>
      <c r="AF260" s="241"/>
      <c r="AG260" s="241"/>
      <c r="AH260" s="241"/>
      <c r="AI260" s="241"/>
      <c r="AJ260" s="241"/>
      <c r="AK260" s="241"/>
      <c r="AL260" s="241"/>
      <c r="AM260" s="241"/>
      <c r="AN260" s="241"/>
      <c r="AO260" s="241"/>
      <c r="AP260" s="241"/>
      <c r="AQ260" s="241"/>
      <c r="AR260" s="241"/>
      <c r="AS260" s="241"/>
      <c r="AT260" s="241"/>
      <c r="AU260" s="241"/>
      <c r="AV260" s="241"/>
      <c r="AW260" s="241"/>
      <c r="AX260" s="241"/>
      <c r="AY260" s="241"/>
      <c r="AZ260" s="241"/>
    </row>
    <row r="261" spans="1:52" ht="18" customHeight="1">
      <c r="A261" s="288"/>
      <c r="B261" s="152" t="str">
        <f>CONCATENATE("Total Annual Kitchen Water Use | Water Use Savings (", IF(inputs_units&lt;&gt;"", INDEX(data_genunitsval, MATCH(inputs_units, data_genunits, 0)), "unit"), ")")</f>
        <v>Total Annual Kitchen Water Use | Water Use Savings (unit)</v>
      </c>
      <c r="C261" s="153"/>
      <c r="D261" s="153"/>
      <c r="E261" s="257"/>
      <c r="F261" s="257"/>
      <c r="G261" s="257"/>
      <c r="H261" s="257"/>
      <c r="I261" s="258"/>
      <c r="J261" s="258"/>
      <c r="K261" s="257"/>
      <c r="L261" s="257"/>
      <c r="M261" s="258"/>
      <c r="N261" s="258"/>
      <c r="O261" s="309">
        <f>logic_sumkitchawub</f>
        <v>0</v>
      </c>
      <c r="P261" s="309">
        <f>logic_sumkitchawudwoaw</f>
        <v>0</v>
      </c>
      <c r="Q261" s="309">
        <f>logic_sumkitchawuawa</f>
        <v>0</v>
      </c>
      <c r="R261" s="309">
        <f>logic_sumkitchawud</f>
        <v>0</v>
      </c>
      <c r="S261" s="309">
        <f>logic_sumkitchawusa</f>
        <v>0</v>
      </c>
      <c r="T261" s="231">
        <f>logic_sumkitchawusp</f>
        <v>0</v>
      </c>
      <c r="U261" s="241"/>
      <c r="V261" s="241"/>
      <c r="W261" s="241"/>
      <c r="X261" s="241"/>
      <c r="Y261" s="241"/>
      <c r="Z261" s="241"/>
      <c r="AA261" s="241"/>
      <c r="AB261" s="241"/>
      <c r="AC261" s="241"/>
      <c r="AD261" s="241"/>
      <c r="AE261" s="241"/>
      <c r="AF261" s="241"/>
      <c r="AG261" s="241"/>
      <c r="AH261" s="241"/>
      <c r="AI261" s="241"/>
      <c r="AJ261" s="241"/>
      <c r="AK261" s="241"/>
      <c r="AL261" s="241"/>
      <c r="AM261" s="241"/>
      <c r="AN261" s="241"/>
      <c r="AO261" s="241"/>
      <c r="AP261" s="241"/>
      <c r="AQ261" s="241"/>
      <c r="AR261" s="241"/>
      <c r="AS261" s="241"/>
      <c r="AT261" s="241"/>
      <c r="AU261" s="241"/>
      <c r="AV261" s="241"/>
      <c r="AW261" s="241"/>
      <c r="AX261" s="241"/>
      <c r="AY261" s="241"/>
      <c r="AZ261" s="241"/>
    </row>
    <row r="262" spans="1:52" ht="18" customHeight="1">
      <c r="A262" s="175"/>
      <c r="B262" s="250"/>
      <c r="C262" s="250"/>
      <c r="D262" s="250"/>
      <c r="E262" s="250"/>
      <c r="F262" s="250"/>
      <c r="G262" s="250"/>
      <c r="H262" s="250"/>
      <c r="I262" s="250"/>
      <c r="J262" s="250"/>
      <c r="K262" s="250"/>
      <c r="L262" s="250"/>
      <c r="M262" s="250"/>
      <c r="N262" s="250"/>
      <c r="O262" s="250"/>
      <c r="P262" s="250"/>
      <c r="Q262" s="250"/>
      <c r="R262" s="250"/>
      <c r="S262" s="242"/>
      <c r="T262" s="241"/>
      <c r="U262" s="241"/>
      <c r="V262" s="241"/>
      <c r="W262" s="241"/>
      <c r="X262" s="241"/>
      <c r="Y262" s="241"/>
      <c r="Z262" s="241"/>
      <c r="AA262" s="241"/>
      <c r="AB262" s="241"/>
      <c r="AC262" s="241"/>
      <c r="AD262" s="241"/>
      <c r="AE262" s="241"/>
      <c r="AF262" s="241"/>
      <c r="AG262" s="241"/>
      <c r="AH262" s="241"/>
      <c r="AI262" s="241"/>
      <c r="AJ262" s="241"/>
      <c r="AK262" s="241"/>
      <c r="AL262" s="241"/>
      <c r="AM262" s="241"/>
      <c r="AN262" s="241"/>
      <c r="AO262" s="241"/>
      <c r="AP262" s="241"/>
      <c r="AQ262" s="241"/>
      <c r="AR262" s="241"/>
      <c r="AS262" s="241"/>
      <c r="AT262" s="241"/>
      <c r="AU262" s="241"/>
      <c r="AV262" s="241"/>
      <c r="AW262" s="241"/>
      <c r="AX262" s="241"/>
      <c r="AY262" s="241"/>
      <c r="AZ262" s="241"/>
    </row>
    <row r="263" spans="1:52" ht="18" customHeight="1">
      <c r="A263" s="175"/>
      <c r="B263" s="250"/>
      <c r="C263" s="250"/>
      <c r="D263" s="250"/>
      <c r="E263" s="250"/>
      <c r="F263" s="250"/>
      <c r="G263" s="250"/>
      <c r="H263" s="250"/>
      <c r="I263" s="250"/>
      <c r="J263" s="250"/>
      <c r="K263" s="250"/>
      <c r="L263" s="250"/>
      <c r="M263" s="250"/>
      <c r="N263" s="250"/>
      <c r="O263" s="250"/>
      <c r="P263" s="250"/>
      <c r="Q263" s="250"/>
      <c r="R263" s="250"/>
      <c r="S263" s="250"/>
      <c r="T263" s="241"/>
      <c r="U263" s="241"/>
      <c r="V263" s="241"/>
      <c r="W263" s="241"/>
      <c r="X263" s="241"/>
      <c r="Y263" s="241"/>
      <c r="Z263" s="241"/>
      <c r="AA263" s="241"/>
      <c r="AB263" s="241"/>
      <c r="AC263" s="241"/>
      <c r="AD263" s="241"/>
      <c r="AE263" s="241"/>
      <c r="AF263" s="241"/>
      <c r="AG263" s="241"/>
      <c r="AH263" s="241"/>
      <c r="AI263" s="241"/>
      <c r="AJ263" s="241"/>
      <c r="AK263" s="241"/>
      <c r="AL263" s="241"/>
      <c r="AM263" s="241"/>
      <c r="AN263" s="241"/>
      <c r="AO263" s="241"/>
      <c r="AP263" s="241"/>
      <c r="AQ263" s="241"/>
      <c r="AR263" s="241"/>
      <c r="AS263" s="241"/>
      <c r="AT263" s="241"/>
      <c r="AU263" s="241"/>
      <c r="AV263" s="241"/>
      <c r="AW263" s="241"/>
      <c r="AX263" s="241"/>
      <c r="AY263" s="241"/>
      <c r="AZ263" s="241"/>
    </row>
    <row r="264" spans="1:52" ht="18" customHeight="1">
      <c r="A264" s="175"/>
      <c r="B264" s="142" t="s">
        <v>167</v>
      </c>
      <c r="C264" s="156"/>
      <c r="D264" s="143"/>
      <c r="E264" s="143"/>
      <c r="F264" s="143"/>
      <c r="G264" s="143"/>
      <c r="H264" s="143"/>
      <c r="I264" s="143"/>
      <c r="J264" s="143"/>
      <c r="K264" s="143"/>
      <c r="L264" s="143"/>
      <c r="M264" s="143"/>
      <c r="N264" s="143"/>
      <c r="O264" s="143"/>
      <c r="P264" s="143"/>
      <c r="Q264" s="143"/>
      <c r="R264" s="143"/>
      <c r="S264" s="143"/>
      <c r="T264" s="144"/>
      <c r="U264" s="241"/>
      <c r="V264" s="241"/>
      <c r="W264" s="241"/>
      <c r="X264" s="241"/>
      <c r="Y264" s="241"/>
      <c r="Z264" s="241"/>
      <c r="AA264" s="241"/>
      <c r="AB264" s="241"/>
      <c r="AC264" s="241"/>
      <c r="AD264" s="241"/>
      <c r="AE264" s="241"/>
      <c r="AF264" s="241"/>
      <c r="AG264" s="241"/>
      <c r="AH264" s="241"/>
      <c r="AI264" s="241"/>
      <c r="AJ264" s="241"/>
      <c r="AK264" s="241"/>
      <c r="AL264" s="241"/>
      <c r="AM264" s="241"/>
      <c r="AN264" s="241"/>
      <c r="AO264" s="241"/>
      <c r="AP264" s="241"/>
      <c r="AQ264" s="241"/>
      <c r="AR264" s="241"/>
      <c r="AS264" s="241"/>
      <c r="AT264" s="241"/>
      <c r="AU264" s="241"/>
      <c r="AV264" s="241"/>
      <c r="AW264" s="241"/>
      <c r="AX264" s="241"/>
      <c r="AY264" s="241"/>
      <c r="AZ264" s="241"/>
    </row>
    <row r="265" spans="1:52" ht="18" customHeight="1">
      <c r="A265" s="232"/>
      <c r="B265" s="232"/>
      <c r="C265" s="232"/>
      <c r="D265" s="232"/>
      <c r="E265" s="232"/>
      <c r="F265" s="232"/>
      <c r="G265" s="232"/>
      <c r="H265" s="232"/>
      <c r="I265" s="232"/>
      <c r="J265" s="232"/>
      <c r="K265" s="232"/>
      <c r="L265" s="232"/>
      <c r="M265" s="232"/>
      <c r="N265" s="232"/>
      <c r="O265" s="232"/>
      <c r="P265" s="232"/>
      <c r="Q265" s="232"/>
      <c r="R265" s="232"/>
      <c r="S265" s="242"/>
      <c r="T265" s="241"/>
      <c r="U265" s="241"/>
      <c r="V265" s="241"/>
      <c r="W265" s="241"/>
      <c r="X265" s="241"/>
      <c r="Y265" s="241"/>
      <c r="Z265" s="241"/>
      <c r="AA265" s="241"/>
      <c r="AB265" s="241"/>
      <c r="AC265" s="241"/>
      <c r="AD265" s="241"/>
      <c r="AE265" s="241"/>
      <c r="AF265" s="241"/>
      <c r="AG265" s="241"/>
      <c r="AH265" s="241"/>
      <c r="AI265" s="241"/>
      <c r="AJ265" s="241"/>
      <c r="AK265" s="241"/>
      <c r="AL265" s="241"/>
      <c r="AM265" s="241"/>
      <c r="AN265" s="241"/>
      <c r="AO265" s="241"/>
      <c r="AP265" s="241"/>
      <c r="AQ265" s="241"/>
      <c r="AR265" s="241"/>
      <c r="AS265" s="241"/>
      <c r="AT265" s="241"/>
      <c r="AU265" s="241"/>
      <c r="AV265" s="241"/>
      <c r="AW265" s="241"/>
      <c r="AX265" s="241"/>
      <c r="AY265" s="241"/>
      <c r="AZ265" s="241"/>
    </row>
    <row r="266" spans="1:52" s="244" customFormat="1" ht="17.399999999999999" customHeight="1">
      <c r="A266" s="175"/>
      <c r="B266" s="240" t="s">
        <v>156</v>
      </c>
      <c r="C266" s="241"/>
      <c r="D266" s="241"/>
      <c r="E266" s="241"/>
      <c r="F266" s="241"/>
      <c r="G266" s="242"/>
      <c r="H266" s="242"/>
      <c r="I266" s="242"/>
      <c r="J266" s="242"/>
      <c r="K266" s="242"/>
      <c r="L266" s="242"/>
      <c r="M266" s="242"/>
      <c r="N266" s="242"/>
      <c r="O266" s="243"/>
      <c r="P266" s="243"/>
      <c r="Q266" s="243"/>
      <c r="R266" s="243"/>
      <c r="S266" s="243"/>
      <c r="T266" s="243"/>
      <c r="U266" s="241"/>
      <c r="V266" s="243"/>
      <c r="W266" s="243"/>
      <c r="X266" s="243"/>
      <c r="Y266" s="243"/>
      <c r="Z266" s="243"/>
      <c r="AA266" s="243"/>
      <c r="AB266" s="243"/>
      <c r="AC266" s="243"/>
      <c r="AD266" s="243"/>
      <c r="AE266" s="243"/>
      <c r="AF266" s="243"/>
      <c r="AG266" s="243"/>
      <c r="AH266" s="243"/>
      <c r="AI266" s="243"/>
      <c r="AJ266" s="243"/>
      <c r="AK266" s="243"/>
      <c r="AL266" s="243"/>
      <c r="AM266" s="243"/>
      <c r="AN266" s="243"/>
      <c r="AO266" s="243"/>
      <c r="AP266" s="243"/>
      <c r="AQ266" s="243"/>
      <c r="AR266" s="243"/>
      <c r="AS266" s="243"/>
      <c r="AT266" s="243"/>
      <c r="AU266" s="243"/>
      <c r="AV266" s="243"/>
      <c r="AW266" s="243"/>
      <c r="AX266" s="243"/>
      <c r="AY266" s="243"/>
      <c r="AZ266" s="243"/>
    </row>
    <row r="267" spans="1:52" s="71" customFormat="1" ht="18" customHeight="1">
      <c r="A267" s="250"/>
      <c r="B267" s="152" t="s">
        <v>157</v>
      </c>
      <c r="C267" s="153"/>
      <c r="D267" s="153"/>
      <c r="E267" s="153"/>
      <c r="F267" s="153"/>
      <c r="G267" s="186"/>
      <c r="H267" s="152" t="s">
        <v>158</v>
      </c>
      <c r="I267" s="234"/>
      <c r="J267" s="234"/>
      <c r="K267" s="234"/>
      <c r="L267" s="234"/>
      <c r="M267" s="234"/>
      <c r="N267" s="234"/>
      <c r="O267" s="152" t="s">
        <v>348</v>
      </c>
      <c r="P267" s="234"/>
      <c r="Q267" s="234"/>
      <c r="R267" s="234"/>
      <c r="S267" s="234"/>
      <c r="T267" s="186"/>
      <c r="U267" s="241"/>
      <c r="V267" s="241"/>
      <c r="W267" s="241"/>
      <c r="X267" s="241"/>
      <c r="Y267" s="241"/>
      <c r="Z267" s="241"/>
      <c r="AA267" s="241"/>
      <c r="AB267" s="241"/>
      <c r="AC267" s="241"/>
      <c r="AD267" s="241"/>
      <c r="AE267" s="241"/>
      <c r="AF267" s="241"/>
      <c r="AG267" s="241"/>
      <c r="AH267" s="241"/>
      <c r="AI267" s="241"/>
      <c r="AJ267" s="241"/>
      <c r="AK267" s="241"/>
      <c r="AL267" s="241"/>
      <c r="AM267" s="241"/>
      <c r="AN267" s="241"/>
      <c r="AO267" s="241"/>
      <c r="AP267" s="241"/>
      <c r="AQ267" s="241"/>
      <c r="AR267" s="241"/>
      <c r="AS267" s="241"/>
      <c r="AT267" s="241"/>
      <c r="AU267" s="241"/>
      <c r="AV267" s="241"/>
      <c r="AW267" s="241"/>
      <c r="AX267" s="241"/>
      <c r="AY267" s="241"/>
      <c r="AZ267" s="241"/>
    </row>
    <row r="268" spans="1:52" s="71" customFormat="1" ht="18" customHeight="1">
      <c r="A268" s="288" t="s">
        <v>159</v>
      </c>
      <c r="B268" s="366" t="s">
        <v>160</v>
      </c>
      <c r="C268" s="366" t="s">
        <v>161</v>
      </c>
      <c r="D268" s="381" t="s">
        <v>162</v>
      </c>
      <c r="E268" s="382"/>
      <c r="F268" s="366" t="s">
        <v>315</v>
      </c>
      <c r="G268" s="366" t="s">
        <v>349</v>
      </c>
      <c r="H268" s="357" t="s">
        <v>318</v>
      </c>
      <c r="I268" s="358"/>
      <c r="J268" s="359"/>
      <c r="K268" s="370" t="s">
        <v>347</v>
      </c>
      <c r="L268" s="371"/>
      <c r="M268" s="371"/>
      <c r="N268" s="372"/>
      <c r="O268" s="348" t="str">
        <f>CONCATENATE("Annual Water Use Baseline
(",(IF(inputs_units&lt;&gt;"",INDEX(data_genunitsvol,MATCH(inputs_units,data_genunits,0)),"unit")),")")</f>
        <v>Annual Water Use Baseline
(unit)</v>
      </c>
      <c r="P268" s="348" t="str">
        <f>CONCATENATE("Annual Water Use Design w/o Alt. Water
(",(IF(inputs_units&lt;&gt;"",INDEX(data_genunitsvol,MATCH(inputs_units,data_genunits,0)),"unit")),")")</f>
        <v>Annual Water Use Design w/o Alt. Water
(unit)</v>
      </c>
      <c r="Q268" s="346" t="str">
        <f>CONCATENATE("Annual Alternative Water Use
(",(IF(inputs_units&lt;&gt;"",INDEX(data_genunitsvol,MATCH(inputs_units,data_genunits,0)),"unit")),")")</f>
        <v>Annual Alternative Water Use
(unit)</v>
      </c>
      <c r="R268" s="348" t="str">
        <f>CONCATENATE("Annual Water Use Design
(",(IF(inputs_units&lt;&gt;"",INDEX(data_genunitsvol,MATCH(inputs_units,data_genunits,0)),"unit")),")")</f>
        <v>Annual Water Use Design
(unit)</v>
      </c>
      <c r="S268" s="348" t="str">
        <f>CONCATENATE("Annual Water Use Savings 
(",(IF(inputs_units&lt;&gt;"",INDEX(data_genunitsvol,MATCH(inputs_units,data_genunits,0)),"unit")),")")</f>
        <v>Annual Water Use Savings 
(unit)</v>
      </c>
      <c r="T268" s="348" t="s">
        <v>360</v>
      </c>
      <c r="U268" s="241"/>
      <c r="V268" s="241"/>
      <c r="W268" s="241"/>
      <c r="X268" s="241"/>
      <c r="Y268" s="241"/>
      <c r="Z268" s="241"/>
      <c r="AA268" s="241"/>
      <c r="AB268" s="241"/>
      <c r="AC268" s="241"/>
      <c r="AD268" s="241"/>
      <c r="AE268" s="241"/>
      <c r="AF268" s="241"/>
      <c r="AG268" s="241"/>
      <c r="AH268" s="241"/>
      <c r="AI268" s="241"/>
      <c r="AJ268" s="241"/>
      <c r="AK268" s="241"/>
      <c r="AL268" s="241"/>
      <c r="AM268" s="241"/>
      <c r="AN268" s="241"/>
      <c r="AO268" s="241"/>
      <c r="AP268" s="241"/>
      <c r="AQ268" s="241"/>
      <c r="AR268" s="241"/>
      <c r="AS268" s="241"/>
      <c r="AT268" s="241"/>
      <c r="AU268" s="241"/>
      <c r="AV268" s="241"/>
      <c r="AW268" s="241"/>
      <c r="AX268" s="241"/>
      <c r="AY268" s="241"/>
      <c r="AZ268" s="241"/>
    </row>
    <row r="269" spans="1:52" s="71" customFormat="1" ht="18" customHeight="1">
      <c r="A269" s="288"/>
      <c r="B269" s="367"/>
      <c r="C269" s="367"/>
      <c r="D269" s="383"/>
      <c r="E269" s="384"/>
      <c r="F269" s="367"/>
      <c r="G269" s="367"/>
      <c r="H269" s="348" t="s">
        <v>346</v>
      </c>
      <c r="I269" s="351" t="s">
        <v>153</v>
      </c>
      <c r="J269" s="352"/>
      <c r="K269" s="348" t="s">
        <v>163</v>
      </c>
      <c r="L269" s="348" t="s">
        <v>164</v>
      </c>
      <c r="M269" s="351" t="s">
        <v>153</v>
      </c>
      <c r="N269" s="352"/>
      <c r="O269" s="349"/>
      <c r="P269" s="349"/>
      <c r="Q269" s="347"/>
      <c r="R269" s="349"/>
      <c r="S269" s="349"/>
      <c r="T269" s="349"/>
      <c r="U269" s="241"/>
      <c r="V269" s="241"/>
      <c r="W269" s="241"/>
      <c r="X269" s="241"/>
      <c r="Y269" s="241"/>
      <c r="Z269" s="241"/>
      <c r="AA269" s="241"/>
      <c r="AB269" s="241"/>
      <c r="AC269" s="241"/>
      <c r="AD269" s="241"/>
      <c r="AE269" s="241"/>
      <c r="AF269" s="241"/>
      <c r="AG269" s="241"/>
      <c r="AH269" s="241"/>
      <c r="AI269" s="241"/>
      <c r="AJ269" s="241"/>
      <c r="AK269" s="241"/>
      <c r="AL269" s="241"/>
      <c r="AM269" s="241"/>
      <c r="AN269" s="241"/>
      <c r="AO269" s="241"/>
      <c r="AP269" s="241"/>
      <c r="AQ269" s="241"/>
      <c r="AR269" s="241"/>
      <c r="AS269" s="241"/>
      <c r="AT269" s="241"/>
      <c r="AU269" s="241"/>
      <c r="AV269" s="241"/>
      <c r="AW269" s="241"/>
      <c r="AX269" s="241"/>
      <c r="AY269" s="241"/>
      <c r="AZ269" s="241"/>
    </row>
    <row r="270" spans="1:52" s="71" customFormat="1" ht="18" customHeight="1">
      <c r="A270" s="288"/>
      <c r="B270" s="368"/>
      <c r="C270" s="368"/>
      <c r="D270" s="385"/>
      <c r="E270" s="386"/>
      <c r="F270" s="368"/>
      <c r="G270" s="368"/>
      <c r="H270" s="350"/>
      <c r="I270" s="353"/>
      <c r="J270" s="354"/>
      <c r="K270" s="350"/>
      <c r="L270" s="350"/>
      <c r="M270" s="353"/>
      <c r="N270" s="354"/>
      <c r="O270" s="350"/>
      <c r="P270" s="350"/>
      <c r="Q270" s="301" t="s">
        <v>298</v>
      </c>
      <c r="R270" s="350"/>
      <c r="S270" s="350"/>
      <c r="T270" s="350"/>
      <c r="U270" s="241"/>
      <c r="V270" s="241"/>
      <c r="W270" s="241"/>
      <c r="X270" s="241"/>
      <c r="Y270" s="241"/>
      <c r="Z270" s="241"/>
      <c r="AA270" s="241"/>
      <c r="AB270" s="241"/>
      <c r="AC270" s="241"/>
      <c r="AD270" s="241"/>
      <c r="AE270" s="241"/>
      <c r="AF270" s="241"/>
      <c r="AG270" s="241"/>
      <c r="AH270" s="241"/>
      <c r="AI270" s="241"/>
      <c r="AJ270" s="241"/>
      <c r="AK270" s="241"/>
      <c r="AL270" s="241"/>
      <c r="AM270" s="241"/>
      <c r="AN270" s="241"/>
      <c r="AO270" s="241"/>
      <c r="AP270" s="241"/>
      <c r="AQ270" s="241"/>
      <c r="AR270" s="241"/>
      <c r="AS270" s="241"/>
      <c r="AT270" s="241"/>
      <c r="AU270" s="241"/>
      <c r="AV270" s="241"/>
      <c r="AW270" s="241"/>
      <c r="AX270" s="241"/>
      <c r="AY270" s="241"/>
      <c r="AZ270" s="241"/>
    </row>
    <row r="271" spans="1:52" s="71" customFormat="1" ht="18" customHeight="1">
      <c r="A271" s="288">
        <v>1</v>
      </c>
      <c r="B271" s="97"/>
      <c r="C271" s="296"/>
      <c r="D271" s="360"/>
      <c r="E271" s="361"/>
      <c r="F271" s="298"/>
      <c r="G271" s="298"/>
      <c r="H271" s="86"/>
      <c r="I271" s="344" t="str">
        <f t="shared" ref="I271:I334" si="70">INDEX(logic_dumulabmed,MATCH($A271,logic_labmedno,0))</f>
        <v/>
      </c>
      <c r="J271" s="345"/>
      <c r="K271" s="86"/>
      <c r="L271" s="86"/>
      <c r="M271" s="344" t="str">
        <f t="shared" ref="M271:M334" si="71">INDEX(logic_wurulabmed,MATCH($A271,logic_labmedno,0))</f>
        <v/>
      </c>
      <c r="N271" s="345"/>
      <c r="O271" s="225" t="str">
        <f t="shared" ref="O271:O334" si="72">INDEX(logic_labmedawub,MATCH($A271,logic_labmedno,0))</f>
        <v/>
      </c>
      <c r="P271" s="225" t="str">
        <f t="shared" ref="P271:P334" si="73">INDEX(logic_labmedawudwoaw,MATCH($A271,logic_labmedno,0))</f>
        <v/>
      </c>
      <c r="Q271" s="284"/>
      <c r="R271" s="225" t="str">
        <f t="shared" ref="R271:R334" si="74">INDEX(logic_labmedawud,MATCH($A271,logic_labmedno,0))</f>
        <v/>
      </c>
      <c r="S271" s="225" t="str">
        <f t="shared" ref="S271:S334" si="75">INDEX(logic_labmedawusa,MATCH($A271,logic_labmedno,0))</f>
        <v/>
      </c>
      <c r="T271" s="231" t="str">
        <f t="shared" ref="T271:T334" si="76">INDEX(logic_labmedawusp,MATCH($A271,logic_labmedno,0))</f>
        <v/>
      </c>
      <c r="U271" s="241"/>
      <c r="V271" s="241"/>
      <c r="W271" s="241"/>
      <c r="X271" s="241"/>
      <c r="Y271" s="241"/>
      <c r="Z271" s="241"/>
      <c r="AA271" s="241"/>
      <c r="AB271" s="241"/>
      <c r="AC271" s="241"/>
      <c r="AD271" s="241"/>
      <c r="AE271" s="241"/>
      <c r="AF271" s="241"/>
      <c r="AG271" s="241"/>
      <c r="AH271" s="241"/>
      <c r="AI271" s="241"/>
      <c r="AJ271" s="241"/>
      <c r="AK271" s="241"/>
      <c r="AL271" s="241"/>
      <c r="AM271" s="241"/>
      <c r="AN271" s="241"/>
      <c r="AO271" s="241"/>
      <c r="AP271" s="241"/>
      <c r="AQ271" s="241"/>
      <c r="AR271" s="241"/>
      <c r="AS271" s="241"/>
      <c r="AT271" s="241"/>
      <c r="AU271" s="241"/>
      <c r="AV271" s="241"/>
      <c r="AW271" s="241"/>
      <c r="AX271" s="241"/>
      <c r="AY271" s="241"/>
      <c r="AZ271" s="241"/>
    </row>
    <row r="272" spans="1:52" s="71" customFormat="1" ht="18" customHeight="1">
      <c r="A272" s="288">
        <v>2</v>
      </c>
      <c r="B272" s="97"/>
      <c r="C272" s="296"/>
      <c r="D272" s="360"/>
      <c r="E272" s="361"/>
      <c r="F272" s="298"/>
      <c r="G272" s="298"/>
      <c r="H272" s="86"/>
      <c r="I272" s="344" t="str">
        <f t="shared" si="70"/>
        <v/>
      </c>
      <c r="J272" s="345"/>
      <c r="K272" s="86"/>
      <c r="L272" s="86"/>
      <c r="M272" s="344" t="str">
        <f t="shared" si="71"/>
        <v/>
      </c>
      <c r="N272" s="345"/>
      <c r="O272" s="225" t="str">
        <f t="shared" si="72"/>
        <v/>
      </c>
      <c r="P272" s="225" t="str">
        <f t="shared" si="73"/>
        <v/>
      </c>
      <c r="Q272" s="284"/>
      <c r="R272" s="225" t="str">
        <f t="shared" si="74"/>
        <v/>
      </c>
      <c r="S272" s="225" t="str">
        <f t="shared" si="75"/>
        <v/>
      </c>
      <c r="T272" s="231" t="str">
        <f t="shared" si="76"/>
        <v/>
      </c>
      <c r="U272" s="241"/>
      <c r="V272" s="241"/>
      <c r="W272" s="241"/>
      <c r="X272" s="241"/>
      <c r="Y272" s="241"/>
      <c r="Z272" s="241"/>
      <c r="AA272" s="241"/>
      <c r="AB272" s="241"/>
      <c r="AC272" s="241"/>
      <c r="AD272" s="241"/>
      <c r="AE272" s="241"/>
      <c r="AF272" s="241"/>
      <c r="AG272" s="241"/>
      <c r="AH272" s="241"/>
      <c r="AI272" s="241"/>
      <c r="AJ272" s="241"/>
      <c r="AK272" s="241"/>
      <c r="AL272" s="241"/>
      <c r="AM272" s="241"/>
      <c r="AN272" s="241"/>
      <c r="AO272" s="241"/>
      <c r="AP272" s="241"/>
      <c r="AQ272" s="241"/>
      <c r="AR272" s="241"/>
      <c r="AS272" s="241"/>
      <c r="AT272" s="241"/>
      <c r="AU272" s="241"/>
      <c r="AV272" s="241"/>
      <c r="AW272" s="241"/>
      <c r="AX272" s="241"/>
      <c r="AY272" s="241"/>
      <c r="AZ272" s="241"/>
    </row>
    <row r="273" spans="1:52" s="71" customFormat="1" ht="18" customHeight="1">
      <c r="A273" s="288">
        <v>3</v>
      </c>
      <c r="B273" s="97"/>
      <c r="C273" s="296"/>
      <c r="D273" s="360"/>
      <c r="E273" s="361"/>
      <c r="F273" s="298"/>
      <c r="G273" s="298"/>
      <c r="H273" s="86"/>
      <c r="I273" s="344" t="str">
        <f t="shared" si="70"/>
        <v/>
      </c>
      <c r="J273" s="345"/>
      <c r="K273" s="307"/>
      <c r="L273" s="307"/>
      <c r="M273" s="344" t="str">
        <f t="shared" si="71"/>
        <v/>
      </c>
      <c r="N273" s="345"/>
      <c r="O273" s="225" t="str">
        <f t="shared" si="72"/>
        <v/>
      </c>
      <c r="P273" s="225" t="str">
        <f t="shared" si="73"/>
        <v/>
      </c>
      <c r="Q273" s="284"/>
      <c r="R273" s="225" t="str">
        <f t="shared" si="74"/>
        <v/>
      </c>
      <c r="S273" s="225" t="str">
        <f t="shared" si="75"/>
        <v/>
      </c>
      <c r="T273" s="231" t="str">
        <f t="shared" si="76"/>
        <v/>
      </c>
      <c r="U273" s="241"/>
      <c r="V273" s="241"/>
      <c r="W273" s="241"/>
      <c r="X273" s="241"/>
      <c r="Y273" s="241"/>
      <c r="Z273" s="241"/>
      <c r="AA273" s="241"/>
      <c r="AB273" s="241"/>
      <c r="AC273" s="241"/>
      <c r="AD273" s="241"/>
      <c r="AE273" s="241"/>
      <c r="AF273" s="241"/>
      <c r="AG273" s="241"/>
      <c r="AH273" s="241"/>
      <c r="AI273" s="241"/>
      <c r="AJ273" s="241"/>
      <c r="AK273" s="241"/>
      <c r="AL273" s="241"/>
      <c r="AM273" s="241"/>
      <c r="AN273" s="241"/>
      <c r="AO273" s="241"/>
      <c r="AP273" s="241"/>
      <c r="AQ273" s="241"/>
      <c r="AR273" s="241"/>
      <c r="AS273" s="241"/>
      <c r="AT273" s="241"/>
      <c r="AU273" s="241"/>
      <c r="AV273" s="241"/>
      <c r="AW273" s="241"/>
      <c r="AX273" s="241"/>
      <c r="AY273" s="241"/>
      <c r="AZ273" s="241"/>
    </row>
    <row r="274" spans="1:52" s="71" customFormat="1" ht="18" customHeight="1">
      <c r="A274" s="288">
        <v>4</v>
      </c>
      <c r="B274" s="97"/>
      <c r="C274" s="296"/>
      <c r="D274" s="360"/>
      <c r="E274" s="361"/>
      <c r="F274" s="298"/>
      <c r="G274" s="298"/>
      <c r="H274" s="86"/>
      <c r="I274" s="344" t="str">
        <f t="shared" si="70"/>
        <v/>
      </c>
      <c r="J274" s="345"/>
      <c r="K274" s="307"/>
      <c r="L274" s="307"/>
      <c r="M274" s="344" t="str">
        <f t="shared" si="71"/>
        <v/>
      </c>
      <c r="N274" s="345"/>
      <c r="O274" s="225" t="str">
        <f t="shared" si="72"/>
        <v/>
      </c>
      <c r="P274" s="225" t="str">
        <f t="shared" si="73"/>
        <v/>
      </c>
      <c r="Q274" s="284"/>
      <c r="R274" s="225" t="str">
        <f t="shared" si="74"/>
        <v/>
      </c>
      <c r="S274" s="225" t="str">
        <f t="shared" si="75"/>
        <v/>
      </c>
      <c r="T274" s="231" t="str">
        <f t="shared" si="76"/>
        <v/>
      </c>
      <c r="U274" s="241"/>
      <c r="V274" s="241"/>
      <c r="W274" s="241"/>
      <c r="X274" s="241"/>
      <c r="Y274" s="241"/>
      <c r="Z274" s="241"/>
      <c r="AA274" s="241"/>
      <c r="AB274" s="241"/>
      <c r="AC274" s="241"/>
      <c r="AD274" s="241"/>
      <c r="AE274" s="241"/>
      <c r="AF274" s="241"/>
      <c r="AG274" s="241"/>
      <c r="AH274" s="241"/>
      <c r="AI274" s="241"/>
      <c r="AJ274" s="241"/>
      <c r="AK274" s="241"/>
      <c r="AL274" s="241"/>
      <c r="AM274" s="241"/>
      <c r="AN274" s="241"/>
      <c r="AO274" s="241"/>
      <c r="AP274" s="241"/>
      <c r="AQ274" s="241"/>
      <c r="AR274" s="241"/>
      <c r="AS274" s="241"/>
      <c r="AT274" s="241"/>
      <c r="AU274" s="241"/>
      <c r="AV274" s="241"/>
      <c r="AW274" s="241"/>
      <c r="AX274" s="241"/>
      <c r="AY274" s="241"/>
      <c r="AZ274" s="241"/>
    </row>
    <row r="275" spans="1:52" s="71" customFormat="1" ht="18" customHeight="1">
      <c r="A275" s="288">
        <v>5</v>
      </c>
      <c r="B275" s="97"/>
      <c r="C275" s="296"/>
      <c r="D275" s="360"/>
      <c r="E275" s="361"/>
      <c r="F275" s="298"/>
      <c r="G275" s="298"/>
      <c r="H275" s="86"/>
      <c r="I275" s="344" t="str">
        <f t="shared" si="70"/>
        <v/>
      </c>
      <c r="J275" s="345"/>
      <c r="K275" s="307"/>
      <c r="L275" s="307"/>
      <c r="M275" s="344" t="str">
        <f t="shared" si="71"/>
        <v/>
      </c>
      <c r="N275" s="345"/>
      <c r="O275" s="225" t="str">
        <f t="shared" si="72"/>
        <v/>
      </c>
      <c r="P275" s="225" t="str">
        <f t="shared" si="73"/>
        <v/>
      </c>
      <c r="Q275" s="284"/>
      <c r="R275" s="225" t="str">
        <f t="shared" si="74"/>
        <v/>
      </c>
      <c r="S275" s="225" t="str">
        <f t="shared" si="75"/>
        <v/>
      </c>
      <c r="T275" s="231" t="str">
        <f t="shared" si="76"/>
        <v/>
      </c>
      <c r="U275" s="241"/>
      <c r="V275" s="241"/>
      <c r="W275" s="241"/>
      <c r="X275" s="241"/>
      <c r="Y275" s="241"/>
      <c r="Z275" s="241"/>
      <c r="AA275" s="241"/>
      <c r="AB275" s="241"/>
      <c r="AC275" s="241"/>
      <c r="AD275" s="241"/>
      <c r="AE275" s="241"/>
      <c r="AF275" s="241"/>
      <c r="AG275" s="241"/>
      <c r="AH275" s="241"/>
      <c r="AI275" s="241"/>
      <c r="AJ275" s="241"/>
      <c r="AK275" s="241"/>
      <c r="AL275" s="241"/>
      <c r="AM275" s="241"/>
      <c r="AN275" s="241"/>
      <c r="AO275" s="241"/>
      <c r="AP275" s="241"/>
      <c r="AQ275" s="241"/>
      <c r="AR275" s="241"/>
      <c r="AS275" s="241"/>
      <c r="AT275" s="241"/>
      <c r="AU275" s="241"/>
      <c r="AV275" s="241"/>
      <c r="AW275" s="241"/>
      <c r="AX275" s="241"/>
      <c r="AY275" s="241"/>
      <c r="AZ275" s="241"/>
    </row>
    <row r="276" spans="1:52" s="71" customFormat="1" ht="18" customHeight="1">
      <c r="A276" s="288">
        <v>6</v>
      </c>
      <c r="B276" s="97"/>
      <c r="C276" s="296"/>
      <c r="D276" s="360"/>
      <c r="E276" s="361"/>
      <c r="F276" s="298"/>
      <c r="G276" s="298"/>
      <c r="H276" s="86"/>
      <c r="I276" s="344" t="str">
        <f t="shared" si="70"/>
        <v/>
      </c>
      <c r="J276" s="345"/>
      <c r="K276" s="307"/>
      <c r="L276" s="307"/>
      <c r="M276" s="344" t="str">
        <f t="shared" si="71"/>
        <v/>
      </c>
      <c r="N276" s="345"/>
      <c r="O276" s="225" t="str">
        <f t="shared" si="72"/>
        <v/>
      </c>
      <c r="P276" s="225" t="str">
        <f t="shared" si="73"/>
        <v/>
      </c>
      <c r="Q276" s="284"/>
      <c r="R276" s="225" t="str">
        <f t="shared" si="74"/>
        <v/>
      </c>
      <c r="S276" s="225" t="str">
        <f t="shared" si="75"/>
        <v/>
      </c>
      <c r="T276" s="231" t="str">
        <f t="shared" si="76"/>
        <v/>
      </c>
      <c r="U276" s="241"/>
      <c r="V276" s="241"/>
      <c r="W276" s="241"/>
      <c r="X276" s="241"/>
      <c r="Y276" s="241"/>
      <c r="Z276" s="241"/>
      <c r="AA276" s="241"/>
      <c r="AB276" s="241"/>
      <c r="AC276" s="241"/>
      <c r="AD276" s="241"/>
      <c r="AE276" s="241"/>
      <c r="AF276" s="241"/>
      <c r="AG276" s="241"/>
      <c r="AH276" s="241"/>
      <c r="AI276" s="241"/>
      <c r="AJ276" s="241"/>
      <c r="AK276" s="241"/>
      <c r="AL276" s="241"/>
      <c r="AM276" s="241"/>
      <c r="AN276" s="241"/>
      <c r="AO276" s="241"/>
      <c r="AP276" s="241"/>
      <c r="AQ276" s="241"/>
      <c r="AR276" s="241"/>
      <c r="AS276" s="241"/>
      <c r="AT276" s="241"/>
      <c r="AU276" s="241"/>
      <c r="AV276" s="241"/>
      <c r="AW276" s="241"/>
      <c r="AX276" s="241"/>
      <c r="AY276" s="241"/>
      <c r="AZ276" s="241"/>
    </row>
    <row r="277" spans="1:52" s="71" customFormat="1" ht="18" customHeight="1">
      <c r="A277" s="288">
        <v>7</v>
      </c>
      <c r="B277" s="97"/>
      <c r="C277" s="296"/>
      <c r="D277" s="360"/>
      <c r="E277" s="361"/>
      <c r="F277" s="298"/>
      <c r="G277" s="298"/>
      <c r="H277" s="86"/>
      <c r="I277" s="344" t="str">
        <f t="shared" si="70"/>
        <v/>
      </c>
      <c r="J277" s="345"/>
      <c r="K277" s="307"/>
      <c r="L277" s="307"/>
      <c r="M277" s="344" t="str">
        <f t="shared" si="71"/>
        <v/>
      </c>
      <c r="N277" s="345"/>
      <c r="O277" s="225" t="str">
        <f t="shared" si="72"/>
        <v/>
      </c>
      <c r="P277" s="225" t="str">
        <f t="shared" si="73"/>
        <v/>
      </c>
      <c r="Q277" s="284"/>
      <c r="R277" s="225" t="str">
        <f t="shared" si="74"/>
        <v/>
      </c>
      <c r="S277" s="225" t="str">
        <f t="shared" si="75"/>
        <v/>
      </c>
      <c r="T277" s="231" t="str">
        <f t="shared" si="76"/>
        <v/>
      </c>
      <c r="U277" s="241"/>
      <c r="V277" s="241"/>
      <c r="W277" s="241"/>
      <c r="X277" s="241"/>
      <c r="Y277" s="241"/>
      <c r="Z277" s="241"/>
      <c r="AA277" s="241"/>
      <c r="AB277" s="241"/>
      <c r="AC277" s="241"/>
      <c r="AD277" s="241"/>
      <c r="AE277" s="241"/>
      <c r="AF277" s="241"/>
      <c r="AG277" s="241"/>
      <c r="AH277" s="241"/>
      <c r="AI277" s="241"/>
      <c r="AJ277" s="241"/>
      <c r="AK277" s="241"/>
      <c r="AL277" s="241"/>
      <c r="AM277" s="241"/>
      <c r="AN277" s="241"/>
      <c r="AO277" s="241"/>
      <c r="AP277" s="241"/>
      <c r="AQ277" s="241"/>
      <c r="AR277" s="241"/>
      <c r="AS277" s="241"/>
      <c r="AT277" s="241"/>
      <c r="AU277" s="241"/>
      <c r="AV277" s="241"/>
      <c r="AW277" s="241"/>
      <c r="AX277" s="241"/>
      <c r="AY277" s="241"/>
      <c r="AZ277" s="241"/>
    </row>
    <row r="278" spans="1:52" s="71" customFormat="1" ht="18" customHeight="1">
      <c r="A278" s="288">
        <v>8</v>
      </c>
      <c r="B278" s="97"/>
      <c r="C278" s="296"/>
      <c r="D278" s="360"/>
      <c r="E278" s="361"/>
      <c r="F278" s="298"/>
      <c r="G278" s="298"/>
      <c r="H278" s="86"/>
      <c r="I278" s="344" t="str">
        <f t="shared" si="70"/>
        <v/>
      </c>
      <c r="J278" s="345"/>
      <c r="K278" s="307"/>
      <c r="L278" s="307"/>
      <c r="M278" s="344" t="str">
        <f t="shared" si="71"/>
        <v/>
      </c>
      <c r="N278" s="345"/>
      <c r="O278" s="225" t="str">
        <f t="shared" si="72"/>
        <v/>
      </c>
      <c r="P278" s="225" t="str">
        <f t="shared" si="73"/>
        <v/>
      </c>
      <c r="Q278" s="284"/>
      <c r="R278" s="225" t="str">
        <f t="shared" si="74"/>
        <v/>
      </c>
      <c r="S278" s="225" t="str">
        <f t="shared" si="75"/>
        <v/>
      </c>
      <c r="T278" s="231" t="str">
        <f t="shared" si="76"/>
        <v/>
      </c>
      <c r="U278" s="241"/>
      <c r="V278" s="241"/>
      <c r="W278" s="241"/>
      <c r="X278" s="241"/>
      <c r="Y278" s="241"/>
      <c r="Z278" s="241"/>
      <c r="AA278" s="241"/>
      <c r="AB278" s="241"/>
      <c r="AC278" s="241"/>
      <c r="AD278" s="241"/>
      <c r="AE278" s="241"/>
      <c r="AF278" s="241"/>
      <c r="AG278" s="241"/>
      <c r="AH278" s="241"/>
      <c r="AI278" s="241"/>
      <c r="AJ278" s="241"/>
      <c r="AK278" s="241"/>
      <c r="AL278" s="241"/>
      <c r="AM278" s="241"/>
      <c r="AN278" s="241"/>
      <c r="AO278" s="241"/>
      <c r="AP278" s="241"/>
      <c r="AQ278" s="241"/>
      <c r="AR278" s="241"/>
      <c r="AS278" s="241"/>
      <c r="AT278" s="241"/>
      <c r="AU278" s="241"/>
      <c r="AV278" s="241"/>
      <c r="AW278" s="241"/>
      <c r="AX278" s="241"/>
      <c r="AY278" s="241"/>
      <c r="AZ278" s="241"/>
    </row>
    <row r="279" spans="1:52" s="71" customFormat="1" ht="18" customHeight="1">
      <c r="A279" s="288">
        <v>9</v>
      </c>
      <c r="B279" s="97"/>
      <c r="C279" s="296"/>
      <c r="D279" s="360"/>
      <c r="E279" s="361"/>
      <c r="F279" s="298"/>
      <c r="G279" s="298"/>
      <c r="H279" s="86"/>
      <c r="I279" s="344" t="str">
        <f t="shared" si="70"/>
        <v/>
      </c>
      <c r="J279" s="345"/>
      <c r="K279" s="307"/>
      <c r="L279" s="307"/>
      <c r="M279" s="344" t="str">
        <f t="shared" si="71"/>
        <v/>
      </c>
      <c r="N279" s="345"/>
      <c r="O279" s="225" t="str">
        <f t="shared" si="72"/>
        <v/>
      </c>
      <c r="P279" s="225" t="str">
        <f t="shared" si="73"/>
        <v/>
      </c>
      <c r="Q279" s="284"/>
      <c r="R279" s="225" t="str">
        <f t="shared" si="74"/>
        <v/>
      </c>
      <c r="S279" s="225" t="str">
        <f t="shared" si="75"/>
        <v/>
      </c>
      <c r="T279" s="231" t="str">
        <f t="shared" si="76"/>
        <v/>
      </c>
      <c r="U279" s="241"/>
      <c r="V279" s="241"/>
      <c r="W279" s="241"/>
      <c r="X279" s="241"/>
      <c r="Y279" s="241"/>
      <c r="Z279" s="241"/>
      <c r="AA279" s="241"/>
      <c r="AB279" s="241"/>
      <c r="AC279" s="241"/>
      <c r="AD279" s="241"/>
      <c r="AE279" s="241"/>
      <c r="AF279" s="241"/>
      <c r="AG279" s="241"/>
      <c r="AH279" s="241"/>
      <c r="AI279" s="241"/>
      <c r="AJ279" s="241"/>
      <c r="AK279" s="241"/>
      <c r="AL279" s="241"/>
      <c r="AM279" s="241"/>
      <c r="AN279" s="241"/>
      <c r="AO279" s="241"/>
      <c r="AP279" s="241"/>
      <c r="AQ279" s="241"/>
      <c r="AR279" s="241"/>
      <c r="AS279" s="241"/>
      <c r="AT279" s="241"/>
      <c r="AU279" s="241"/>
      <c r="AV279" s="241"/>
      <c r="AW279" s="241"/>
      <c r="AX279" s="241"/>
      <c r="AY279" s="241"/>
      <c r="AZ279" s="241"/>
    </row>
    <row r="280" spans="1:52" s="71" customFormat="1" ht="18" customHeight="1">
      <c r="A280" s="288">
        <v>10</v>
      </c>
      <c r="B280" s="97"/>
      <c r="C280" s="296"/>
      <c r="D280" s="360"/>
      <c r="E280" s="361"/>
      <c r="F280" s="298"/>
      <c r="G280" s="298"/>
      <c r="H280" s="86"/>
      <c r="I280" s="344" t="str">
        <f t="shared" si="70"/>
        <v/>
      </c>
      <c r="J280" s="345"/>
      <c r="K280" s="307"/>
      <c r="L280" s="307"/>
      <c r="M280" s="344" t="str">
        <f t="shared" si="71"/>
        <v/>
      </c>
      <c r="N280" s="345"/>
      <c r="O280" s="225" t="str">
        <f t="shared" si="72"/>
        <v/>
      </c>
      <c r="P280" s="225" t="str">
        <f t="shared" si="73"/>
        <v/>
      </c>
      <c r="Q280" s="284"/>
      <c r="R280" s="225" t="str">
        <f t="shared" si="74"/>
        <v/>
      </c>
      <c r="S280" s="225" t="str">
        <f t="shared" si="75"/>
        <v/>
      </c>
      <c r="T280" s="231" t="str">
        <f t="shared" si="76"/>
        <v/>
      </c>
      <c r="U280" s="176" t="s">
        <v>165</v>
      </c>
      <c r="V280" s="241"/>
      <c r="W280" s="241"/>
      <c r="X280" s="241"/>
      <c r="Y280" s="241"/>
      <c r="Z280" s="241"/>
      <c r="AA280" s="241"/>
      <c r="AB280" s="241"/>
      <c r="AC280" s="241"/>
      <c r="AD280" s="241"/>
      <c r="AE280" s="241"/>
      <c r="AF280" s="241"/>
      <c r="AG280" s="241"/>
      <c r="AH280" s="241"/>
      <c r="AI280" s="241"/>
      <c r="AJ280" s="241"/>
      <c r="AK280" s="241"/>
      <c r="AL280" s="241"/>
      <c r="AM280" s="241"/>
      <c r="AN280" s="241"/>
      <c r="AO280" s="241"/>
      <c r="AP280" s="241"/>
      <c r="AQ280" s="241"/>
      <c r="AR280" s="241"/>
      <c r="AS280" s="241"/>
      <c r="AT280" s="241"/>
      <c r="AU280" s="241"/>
      <c r="AV280" s="241"/>
      <c r="AW280" s="241"/>
      <c r="AX280" s="241"/>
      <c r="AY280" s="241"/>
      <c r="AZ280" s="241"/>
    </row>
    <row r="281" spans="1:52" s="71" customFormat="1" ht="18" hidden="1" customHeight="1" outlineLevel="1">
      <c r="A281" s="288">
        <v>11</v>
      </c>
      <c r="B281" s="97"/>
      <c r="C281" s="296"/>
      <c r="D281" s="360"/>
      <c r="E281" s="361"/>
      <c r="F281" s="298"/>
      <c r="G281" s="298"/>
      <c r="H281" s="86"/>
      <c r="I281" s="344" t="str">
        <f t="shared" si="70"/>
        <v/>
      </c>
      <c r="J281" s="345"/>
      <c r="K281" s="307"/>
      <c r="L281" s="307"/>
      <c r="M281" s="344" t="str">
        <f t="shared" si="71"/>
        <v/>
      </c>
      <c r="N281" s="345"/>
      <c r="O281" s="225" t="str">
        <f t="shared" si="72"/>
        <v/>
      </c>
      <c r="P281" s="225" t="str">
        <f t="shared" si="73"/>
        <v/>
      </c>
      <c r="Q281" s="284"/>
      <c r="R281" s="225" t="str">
        <f t="shared" si="74"/>
        <v/>
      </c>
      <c r="S281" s="225" t="str">
        <f t="shared" si="75"/>
        <v/>
      </c>
      <c r="T281" s="231" t="str">
        <f t="shared" si="76"/>
        <v/>
      </c>
      <c r="U281" s="241"/>
      <c r="V281" s="241"/>
      <c r="W281" s="241"/>
      <c r="X281" s="241"/>
      <c r="Y281" s="241"/>
      <c r="Z281" s="241"/>
      <c r="AA281" s="241"/>
      <c r="AB281" s="241"/>
      <c r="AC281" s="241"/>
      <c r="AD281" s="241"/>
      <c r="AE281" s="241"/>
      <c r="AF281" s="241"/>
      <c r="AG281" s="241"/>
      <c r="AH281" s="241"/>
      <c r="AI281" s="241"/>
      <c r="AJ281" s="241"/>
      <c r="AK281" s="241"/>
      <c r="AL281" s="241"/>
      <c r="AM281" s="241"/>
      <c r="AN281" s="241"/>
      <c r="AO281" s="241"/>
      <c r="AP281" s="241"/>
      <c r="AQ281" s="241"/>
      <c r="AR281" s="241"/>
      <c r="AS281" s="241"/>
      <c r="AT281" s="241"/>
      <c r="AU281" s="241"/>
      <c r="AV281" s="241"/>
      <c r="AW281" s="241"/>
      <c r="AX281" s="241"/>
      <c r="AY281" s="241"/>
      <c r="AZ281" s="241"/>
    </row>
    <row r="282" spans="1:52" s="71" customFormat="1" ht="18" hidden="1" customHeight="1" outlineLevel="1">
      <c r="A282" s="288">
        <v>12</v>
      </c>
      <c r="B282" s="97"/>
      <c r="C282" s="296"/>
      <c r="D282" s="360"/>
      <c r="E282" s="361"/>
      <c r="F282" s="298"/>
      <c r="G282" s="298"/>
      <c r="H282" s="86"/>
      <c r="I282" s="344" t="str">
        <f t="shared" si="70"/>
        <v/>
      </c>
      <c r="J282" s="345"/>
      <c r="K282" s="307"/>
      <c r="L282" s="307"/>
      <c r="M282" s="344" t="str">
        <f t="shared" si="71"/>
        <v/>
      </c>
      <c r="N282" s="345"/>
      <c r="O282" s="225" t="str">
        <f t="shared" si="72"/>
        <v/>
      </c>
      <c r="P282" s="225" t="str">
        <f t="shared" si="73"/>
        <v/>
      </c>
      <c r="Q282" s="284"/>
      <c r="R282" s="225" t="str">
        <f t="shared" si="74"/>
        <v/>
      </c>
      <c r="S282" s="225" t="str">
        <f t="shared" si="75"/>
        <v/>
      </c>
      <c r="T282" s="231" t="str">
        <f t="shared" si="76"/>
        <v/>
      </c>
      <c r="U282" s="241"/>
      <c r="V282" s="241"/>
      <c r="W282" s="241"/>
      <c r="X282" s="241"/>
      <c r="Y282" s="241"/>
      <c r="Z282" s="241"/>
      <c r="AA282" s="241"/>
      <c r="AB282" s="241"/>
      <c r="AC282" s="241"/>
      <c r="AD282" s="241"/>
      <c r="AE282" s="241"/>
      <c r="AF282" s="241"/>
      <c r="AG282" s="241"/>
      <c r="AH282" s="241"/>
      <c r="AI282" s="241"/>
      <c r="AJ282" s="241"/>
      <c r="AK282" s="241"/>
      <c r="AL282" s="241"/>
      <c r="AM282" s="241"/>
      <c r="AN282" s="241"/>
      <c r="AO282" s="241"/>
      <c r="AP282" s="241"/>
      <c r="AQ282" s="241"/>
      <c r="AR282" s="241"/>
      <c r="AS282" s="241"/>
      <c r="AT282" s="241"/>
      <c r="AU282" s="241"/>
      <c r="AV282" s="241"/>
      <c r="AW282" s="241"/>
      <c r="AX282" s="241"/>
      <c r="AY282" s="241"/>
      <c r="AZ282" s="241"/>
    </row>
    <row r="283" spans="1:52" s="71" customFormat="1" ht="18" hidden="1" customHeight="1" outlineLevel="1">
      <c r="A283" s="288">
        <v>13</v>
      </c>
      <c r="B283" s="97"/>
      <c r="C283" s="296"/>
      <c r="D283" s="360"/>
      <c r="E283" s="361"/>
      <c r="F283" s="298"/>
      <c r="G283" s="298"/>
      <c r="H283" s="86"/>
      <c r="I283" s="344" t="str">
        <f t="shared" si="70"/>
        <v/>
      </c>
      <c r="J283" s="345"/>
      <c r="K283" s="307"/>
      <c r="L283" s="307"/>
      <c r="M283" s="344" t="str">
        <f t="shared" si="71"/>
        <v/>
      </c>
      <c r="N283" s="345"/>
      <c r="O283" s="225" t="str">
        <f t="shared" si="72"/>
        <v/>
      </c>
      <c r="P283" s="225" t="str">
        <f t="shared" si="73"/>
        <v/>
      </c>
      <c r="Q283" s="284"/>
      <c r="R283" s="225" t="str">
        <f t="shared" si="74"/>
        <v/>
      </c>
      <c r="S283" s="225" t="str">
        <f t="shared" si="75"/>
        <v/>
      </c>
      <c r="T283" s="231" t="str">
        <f t="shared" si="76"/>
        <v/>
      </c>
      <c r="U283" s="241"/>
      <c r="V283" s="241"/>
      <c r="W283" s="241"/>
      <c r="X283" s="241"/>
      <c r="Y283" s="241"/>
      <c r="Z283" s="241"/>
      <c r="AA283" s="241"/>
      <c r="AB283" s="241"/>
      <c r="AC283" s="241"/>
      <c r="AD283" s="241"/>
      <c r="AE283" s="241"/>
      <c r="AF283" s="241"/>
      <c r="AG283" s="241"/>
      <c r="AH283" s="241"/>
      <c r="AI283" s="241"/>
      <c r="AJ283" s="241"/>
      <c r="AK283" s="241"/>
      <c r="AL283" s="241"/>
      <c r="AM283" s="241"/>
      <c r="AN283" s="241"/>
      <c r="AO283" s="241"/>
      <c r="AP283" s="241"/>
      <c r="AQ283" s="241"/>
      <c r="AR283" s="241"/>
      <c r="AS283" s="241"/>
      <c r="AT283" s="241"/>
      <c r="AU283" s="241"/>
      <c r="AV283" s="241"/>
      <c r="AW283" s="241"/>
      <c r="AX283" s="241"/>
      <c r="AY283" s="241"/>
      <c r="AZ283" s="241"/>
    </row>
    <row r="284" spans="1:52" s="71" customFormat="1" ht="18" hidden="1" customHeight="1" outlineLevel="1">
      <c r="A284" s="288">
        <v>14</v>
      </c>
      <c r="B284" s="97"/>
      <c r="C284" s="296"/>
      <c r="D284" s="360"/>
      <c r="E284" s="361"/>
      <c r="F284" s="298"/>
      <c r="G284" s="298"/>
      <c r="H284" s="86"/>
      <c r="I284" s="344" t="str">
        <f t="shared" si="70"/>
        <v/>
      </c>
      <c r="J284" s="345"/>
      <c r="K284" s="307"/>
      <c r="L284" s="307"/>
      <c r="M284" s="344" t="str">
        <f t="shared" si="71"/>
        <v/>
      </c>
      <c r="N284" s="345"/>
      <c r="O284" s="225" t="str">
        <f t="shared" si="72"/>
        <v/>
      </c>
      <c r="P284" s="225" t="str">
        <f t="shared" si="73"/>
        <v/>
      </c>
      <c r="Q284" s="284"/>
      <c r="R284" s="225" t="str">
        <f t="shared" si="74"/>
        <v/>
      </c>
      <c r="S284" s="225" t="str">
        <f t="shared" si="75"/>
        <v/>
      </c>
      <c r="T284" s="231" t="str">
        <f t="shared" si="76"/>
        <v/>
      </c>
      <c r="U284" s="241"/>
      <c r="V284" s="241"/>
      <c r="W284" s="241"/>
      <c r="X284" s="241"/>
      <c r="Y284" s="241"/>
      <c r="Z284" s="241"/>
      <c r="AA284" s="241"/>
      <c r="AB284" s="241"/>
      <c r="AC284" s="241"/>
      <c r="AD284" s="241"/>
      <c r="AE284" s="241"/>
      <c r="AF284" s="241"/>
      <c r="AG284" s="241"/>
      <c r="AH284" s="241"/>
      <c r="AI284" s="241"/>
      <c r="AJ284" s="241"/>
      <c r="AK284" s="241"/>
      <c r="AL284" s="241"/>
      <c r="AM284" s="241"/>
      <c r="AN284" s="241"/>
      <c r="AO284" s="241"/>
      <c r="AP284" s="241"/>
      <c r="AQ284" s="241"/>
      <c r="AR284" s="241"/>
      <c r="AS284" s="241"/>
      <c r="AT284" s="241"/>
      <c r="AU284" s="241"/>
      <c r="AV284" s="241"/>
      <c r="AW284" s="241"/>
      <c r="AX284" s="241"/>
      <c r="AY284" s="241"/>
      <c r="AZ284" s="241"/>
    </row>
    <row r="285" spans="1:52" s="71" customFormat="1" ht="18" hidden="1" customHeight="1" outlineLevel="1">
      <c r="A285" s="288">
        <v>15</v>
      </c>
      <c r="B285" s="97"/>
      <c r="C285" s="296"/>
      <c r="D285" s="360"/>
      <c r="E285" s="361"/>
      <c r="F285" s="298"/>
      <c r="G285" s="298"/>
      <c r="H285" s="86"/>
      <c r="I285" s="344" t="str">
        <f t="shared" si="70"/>
        <v/>
      </c>
      <c r="J285" s="345"/>
      <c r="K285" s="307"/>
      <c r="L285" s="307"/>
      <c r="M285" s="344" t="str">
        <f t="shared" si="71"/>
        <v/>
      </c>
      <c r="N285" s="345"/>
      <c r="O285" s="225" t="str">
        <f t="shared" si="72"/>
        <v/>
      </c>
      <c r="P285" s="225" t="str">
        <f t="shared" si="73"/>
        <v/>
      </c>
      <c r="Q285" s="284"/>
      <c r="R285" s="225" t="str">
        <f t="shared" si="74"/>
        <v/>
      </c>
      <c r="S285" s="225" t="str">
        <f t="shared" si="75"/>
        <v/>
      </c>
      <c r="T285" s="231" t="str">
        <f t="shared" si="76"/>
        <v/>
      </c>
      <c r="U285" s="241"/>
      <c r="V285" s="241"/>
      <c r="W285" s="241"/>
      <c r="X285" s="241"/>
      <c r="Y285" s="241"/>
      <c r="Z285" s="241"/>
      <c r="AA285" s="241"/>
      <c r="AB285" s="241"/>
      <c r="AC285" s="241"/>
      <c r="AD285" s="241"/>
      <c r="AE285" s="241"/>
      <c r="AF285" s="241"/>
      <c r="AG285" s="241"/>
      <c r="AH285" s="241"/>
      <c r="AI285" s="241"/>
      <c r="AJ285" s="241"/>
      <c r="AK285" s="241"/>
      <c r="AL285" s="241"/>
      <c r="AM285" s="241"/>
      <c r="AN285" s="241"/>
      <c r="AO285" s="241"/>
      <c r="AP285" s="241"/>
      <c r="AQ285" s="241"/>
      <c r="AR285" s="241"/>
      <c r="AS285" s="241"/>
      <c r="AT285" s="241"/>
      <c r="AU285" s="241"/>
      <c r="AV285" s="241"/>
      <c r="AW285" s="241"/>
      <c r="AX285" s="241"/>
      <c r="AY285" s="241"/>
      <c r="AZ285" s="241"/>
    </row>
    <row r="286" spans="1:52" s="71" customFormat="1" ht="18" hidden="1" customHeight="1" outlineLevel="1">
      <c r="A286" s="288">
        <v>16</v>
      </c>
      <c r="B286" s="97"/>
      <c r="C286" s="296"/>
      <c r="D286" s="360"/>
      <c r="E286" s="361"/>
      <c r="F286" s="298"/>
      <c r="G286" s="298"/>
      <c r="H286" s="86"/>
      <c r="I286" s="344" t="str">
        <f t="shared" si="70"/>
        <v/>
      </c>
      <c r="J286" s="345"/>
      <c r="K286" s="307"/>
      <c r="L286" s="307"/>
      <c r="M286" s="344" t="str">
        <f t="shared" si="71"/>
        <v/>
      </c>
      <c r="N286" s="345"/>
      <c r="O286" s="225" t="str">
        <f t="shared" si="72"/>
        <v/>
      </c>
      <c r="P286" s="225" t="str">
        <f t="shared" si="73"/>
        <v/>
      </c>
      <c r="Q286" s="284"/>
      <c r="R286" s="225" t="str">
        <f t="shared" si="74"/>
        <v/>
      </c>
      <c r="S286" s="225" t="str">
        <f t="shared" si="75"/>
        <v/>
      </c>
      <c r="T286" s="231" t="str">
        <f t="shared" si="76"/>
        <v/>
      </c>
      <c r="U286" s="241"/>
      <c r="V286" s="241"/>
      <c r="W286" s="241"/>
      <c r="X286" s="241"/>
      <c r="Y286" s="241"/>
      <c r="Z286" s="241"/>
      <c r="AA286" s="241"/>
      <c r="AB286" s="241"/>
      <c r="AC286" s="241"/>
      <c r="AD286" s="241"/>
      <c r="AE286" s="241"/>
      <c r="AF286" s="241"/>
      <c r="AG286" s="241"/>
      <c r="AH286" s="241"/>
      <c r="AI286" s="241"/>
      <c r="AJ286" s="241"/>
      <c r="AK286" s="241"/>
      <c r="AL286" s="241"/>
      <c r="AM286" s="241"/>
      <c r="AN286" s="241"/>
      <c r="AO286" s="241"/>
      <c r="AP286" s="241"/>
      <c r="AQ286" s="241"/>
      <c r="AR286" s="241"/>
      <c r="AS286" s="241"/>
      <c r="AT286" s="241"/>
      <c r="AU286" s="241"/>
      <c r="AV286" s="241"/>
      <c r="AW286" s="241"/>
      <c r="AX286" s="241"/>
      <c r="AY286" s="241"/>
      <c r="AZ286" s="241"/>
    </row>
    <row r="287" spans="1:52" s="71" customFormat="1" ht="18" hidden="1" customHeight="1" outlineLevel="1">
      <c r="A287" s="288">
        <v>17</v>
      </c>
      <c r="B287" s="97"/>
      <c r="C287" s="296"/>
      <c r="D287" s="360"/>
      <c r="E287" s="361"/>
      <c r="F287" s="298"/>
      <c r="G287" s="298"/>
      <c r="H287" s="86"/>
      <c r="I287" s="344" t="str">
        <f t="shared" si="70"/>
        <v/>
      </c>
      <c r="J287" s="345"/>
      <c r="K287" s="307"/>
      <c r="L287" s="307"/>
      <c r="M287" s="344" t="str">
        <f t="shared" si="71"/>
        <v/>
      </c>
      <c r="N287" s="345"/>
      <c r="O287" s="225" t="str">
        <f t="shared" si="72"/>
        <v/>
      </c>
      <c r="P287" s="225" t="str">
        <f t="shared" si="73"/>
        <v/>
      </c>
      <c r="Q287" s="284"/>
      <c r="R287" s="225" t="str">
        <f t="shared" si="74"/>
        <v/>
      </c>
      <c r="S287" s="225" t="str">
        <f t="shared" si="75"/>
        <v/>
      </c>
      <c r="T287" s="231" t="str">
        <f t="shared" si="76"/>
        <v/>
      </c>
      <c r="U287" s="241"/>
      <c r="V287" s="241"/>
      <c r="W287" s="241"/>
      <c r="X287" s="241"/>
      <c r="Y287" s="241"/>
      <c r="Z287" s="241"/>
      <c r="AA287" s="241"/>
      <c r="AB287" s="241"/>
      <c r="AC287" s="241"/>
      <c r="AD287" s="241"/>
      <c r="AE287" s="241"/>
      <c r="AF287" s="241"/>
      <c r="AG287" s="241"/>
      <c r="AH287" s="241"/>
      <c r="AI287" s="241"/>
      <c r="AJ287" s="241"/>
      <c r="AK287" s="241"/>
      <c r="AL287" s="241"/>
      <c r="AM287" s="241"/>
      <c r="AN287" s="241"/>
      <c r="AO287" s="241"/>
      <c r="AP287" s="241"/>
      <c r="AQ287" s="241"/>
      <c r="AR287" s="241"/>
      <c r="AS287" s="241"/>
      <c r="AT287" s="241"/>
      <c r="AU287" s="241"/>
      <c r="AV287" s="241"/>
      <c r="AW287" s="241"/>
      <c r="AX287" s="241"/>
      <c r="AY287" s="241"/>
      <c r="AZ287" s="241"/>
    </row>
    <row r="288" spans="1:52" s="71" customFormat="1" ht="18" hidden="1" customHeight="1" outlineLevel="1">
      <c r="A288" s="288">
        <v>18</v>
      </c>
      <c r="B288" s="97"/>
      <c r="C288" s="296"/>
      <c r="D288" s="360"/>
      <c r="E288" s="361"/>
      <c r="F288" s="298"/>
      <c r="G288" s="298"/>
      <c r="H288" s="86"/>
      <c r="I288" s="344" t="str">
        <f t="shared" si="70"/>
        <v/>
      </c>
      <c r="J288" s="345"/>
      <c r="K288" s="307"/>
      <c r="L288" s="307"/>
      <c r="M288" s="344" t="str">
        <f t="shared" si="71"/>
        <v/>
      </c>
      <c r="N288" s="345"/>
      <c r="O288" s="225" t="str">
        <f t="shared" si="72"/>
        <v/>
      </c>
      <c r="P288" s="225" t="str">
        <f t="shared" si="73"/>
        <v/>
      </c>
      <c r="Q288" s="284"/>
      <c r="R288" s="225" t="str">
        <f t="shared" si="74"/>
        <v/>
      </c>
      <c r="S288" s="225" t="str">
        <f t="shared" si="75"/>
        <v/>
      </c>
      <c r="T288" s="231" t="str">
        <f t="shared" si="76"/>
        <v/>
      </c>
      <c r="U288" s="241"/>
      <c r="V288" s="241"/>
      <c r="W288" s="241"/>
      <c r="X288" s="241"/>
      <c r="Y288" s="241"/>
      <c r="Z288" s="241"/>
      <c r="AA288" s="241"/>
      <c r="AB288" s="241"/>
      <c r="AC288" s="241"/>
      <c r="AD288" s="241"/>
      <c r="AE288" s="241"/>
      <c r="AF288" s="241"/>
      <c r="AG288" s="241"/>
      <c r="AH288" s="241"/>
      <c r="AI288" s="241"/>
      <c r="AJ288" s="241"/>
      <c r="AK288" s="241"/>
      <c r="AL288" s="241"/>
      <c r="AM288" s="241"/>
      <c r="AN288" s="241"/>
      <c r="AO288" s="241"/>
      <c r="AP288" s="241"/>
      <c r="AQ288" s="241"/>
      <c r="AR288" s="241"/>
      <c r="AS288" s="241"/>
      <c r="AT288" s="241"/>
      <c r="AU288" s="241"/>
      <c r="AV288" s="241"/>
      <c r="AW288" s="241"/>
      <c r="AX288" s="241"/>
      <c r="AY288" s="241"/>
      <c r="AZ288" s="241"/>
    </row>
    <row r="289" spans="1:52" s="71" customFormat="1" ht="18" hidden="1" customHeight="1" outlineLevel="1">
      <c r="A289" s="288">
        <v>19</v>
      </c>
      <c r="B289" s="97"/>
      <c r="C289" s="296"/>
      <c r="D289" s="360"/>
      <c r="E289" s="361"/>
      <c r="F289" s="298"/>
      <c r="G289" s="298"/>
      <c r="H289" s="86"/>
      <c r="I289" s="344" t="str">
        <f t="shared" si="70"/>
        <v/>
      </c>
      <c r="J289" s="345"/>
      <c r="K289" s="307"/>
      <c r="L289" s="307"/>
      <c r="M289" s="344" t="str">
        <f t="shared" si="71"/>
        <v/>
      </c>
      <c r="N289" s="345"/>
      <c r="O289" s="225" t="str">
        <f t="shared" si="72"/>
        <v/>
      </c>
      <c r="P289" s="225" t="str">
        <f t="shared" si="73"/>
        <v/>
      </c>
      <c r="Q289" s="284"/>
      <c r="R289" s="225" t="str">
        <f t="shared" si="74"/>
        <v/>
      </c>
      <c r="S289" s="225" t="str">
        <f t="shared" si="75"/>
        <v/>
      </c>
      <c r="T289" s="231" t="str">
        <f t="shared" si="76"/>
        <v/>
      </c>
      <c r="U289" s="241"/>
      <c r="V289" s="241"/>
      <c r="W289" s="241"/>
      <c r="X289" s="241"/>
      <c r="Y289" s="241"/>
      <c r="Z289" s="241"/>
      <c r="AA289" s="241"/>
      <c r="AB289" s="241"/>
      <c r="AC289" s="241"/>
      <c r="AD289" s="241"/>
      <c r="AE289" s="241"/>
      <c r="AF289" s="241"/>
      <c r="AG289" s="241"/>
      <c r="AH289" s="241"/>
      <c r="AI289" s="241"/>
      <c r="AJ289" s="241"/>
      <c r="AK289" s="241"/>
      <c r="AL289" s="241"/>
      <c r="AM289" s="241"/>
      <c r="AN289" s="241"/>
      <c r="AO289" s="241"/>
      <c r="AP289" s="241"/>
      <c r="AQ289" s="241"/>
      <c r="AR289" s="241"/>
      <c r="AS289" s="241"/>
      <c r="AT289" s="241"/>
      <c r="AU289" s="241"/>
      <c r="AV289" s="241"/>
      <c r="AW289" s="241"/>
      <c r="AX289" s="241"/>
      <c r="AY289" s="241"/>
      <c r="AZ289" s="241"/>
    </row>
    <row r="290" spans="1:52" s="71" customFormat="1" ht="18" hidden="1" customHeight="1" outlineLevel="1">
      <c r="A290" s="288">
        <v>20</v>
      </c>
      <c r="B290" s="97"/>
      <c r="C290" s="296"/>
      <c r="D290" s="360"/>
      <c r="E290" s="361"/>
      <c r="F290" s="298"/>
      <c r="G290" s="298"/>
      <c r="H290" s="86"/>
      <c r="I290" s="344" t="str">
        <f t="shared" si="70"/>
        <v/>
      </c>
      <c r="J290" s="345"/>
      <c r="K290" s="307"/>
      <c r="L290" s="307"/>
      <c r="M290" s="344" t="str">
        <f t="shared" si="71"/>
        <v/>
      </c>
      <c r="N290" s="345"/>
      <c r="O290" s="225" t="str">
        <f t="shared" si="72"/>
        <v/>
      </c>
      <c r="P290" s="225" t="str">
        <f t="shared" si="73"/>
        <v/>
      </c>
      <c r="Q290" s="284"/>
      <c r="R290" s="225" t="str">
        <f t="shared" si="74"/>
        <v/>
      </c>
      <c r="S290" s="225" t="str">
        <f t="shared" si="75"/>
        <v/>
      </c>
      <c r="T290" s="231" t="str">
        <f t="shared" si="76"/>
        <v/>
      </c>
      <c r="U290" s="241"/>
      <c r="V290" s="241"/>
      <c r="W290" s="241"/>
      <c r="X290" s="241"/>
      <c r="Y290" s="241"/>
      <c r="Z290" s="241"/>
      <c r="AA290" s="241"/>
      <c r="AB290" s="241"/>
      <c r="AC290" s="241"/>
      <c r="AD290" s="241"/>
      <c r="AE290" s="241"/>
      <c r="AF290" s="241"/>
      <c r="AG290" s="241"/>
      <c r="AH290" s="241"/>
      <c r="AI290" s="241"/>
      <c r="AJ290" s="241"/>
      <c r="AK290" s="241"/>
      <c r="AL290" s="241"/>
      <c r="AM290" s="241"/>
      <c r="AN290" s="241"/>
      <c r="AO290" s="241"/>
      <c r="AP290" s="241"/>
      <c r="AQ290" s="241"/>
      <c r="AR290" s="241"/>
      <c r="AS290" s="241"/>
      <c r="AT290" s="241"/>
      <c r="AU290" s="241"/>
      <c r="AV290" s="241"/>
      <c r="AW290" s="241"/>
      <c r="AX290" s="241"/>
      <c r="AY290" s="241"/>
      <c r="AZ290" s="241"/>
    </row>
    <row r="291" spans="1:52" s="71" customFormat="1" ht="18" hidden="1" customHeight="1" outlineLevel="1">
      <c r="A291" s="288">
        <v>21</v>
      </c>
      <c r="B291" s="97"/>
      <c r="C291" s="296"/>
      <c r="D291" s="360"/>
      <c r="E291" s="361"/>
      <c r="F291" s="298"/>
      <c r="G291" s="298"/>
      <c r="H291" s="86"/>
      <c r="I291" s="344" t="str">
        <f t="shared" si="70"/>
        <v/>
      </c>
      <c r="J291" s="345"/>
      <c r="K291" s="307"/>
      <c r="L291" s="307"/>
      <c r="M291" s="344" t="str">
        <f t="shared" si="71"/>
        <v/>
      </c>
      <c r="N291" s="345"/>
      <c r="O291" s="225" t="str">
        <f t="shared" si="72"/>
        <v/>
      </c>
      <c r="P291" s="225" t="str">
        <f t="shared" si="73"/>
        <v/>
      </c>
      <c r="Q291" s="284"/>
      <c r="R291" s="225" t="str">
        <f t="shared" si="74"/>
        <v/>
      </c>
      <c r="S291" s="225" t="str">
        <f t="shared" si="75"/>
        <v/>
      </c>
      <c r="T291" s="231" t="str">
        <f t="shared" si="76"/>
        <v/>
      </c>
      <c r="U291" s="241"/>
      <c r="V291" s="241"/>
      <c r="W291" s="241"/>
      <c r="X291" s="241"/>
      <c r="Y291" s="241"/>
      <c r="Z291" s="241"/>
      <c r="AA291" s="241"/>
      <c r="AB291" s="241"/>
      <c r="AC291" s="241"/>
      <c r="AD291" s="241"/>
      <c r="AE291" s="241"/>
      <c r="AF291" s="241"/>
      <c r="AG291" s="241"/>
      <c r="AH291" s="241"/>
      <c r="AI291" s="241"/>
      <c r="AJ291" s="241"/>
      <c r="AK291" s="241"/>
      <c r="AL291" s="241"/>
      <c r="AM291" s="241"/>
      <c r="AN291" s="241"/>
      <c r="AO291" s="241"/>
      <c r="AP291" s="241"/>
      <c r="AQ291" s="241"/>
      <c r="AR291" s="241"/>
      <c r="AS291" s="241"/>
      <c r="AT291" s="241"/>
      <c r="AU291" s="241"/>
      <c r="AV291" s="241"/>
      <c r="AW291" s="241"/>
      <c r="AX291" s="241"/>
      <c r="AY291" s="241"/>
      <c r="AZ291" s="241"/>
    </row>
    <row r="292" spans="1:52" s="71" customFormat="1" ht="18" hidden="1" customHeight="1" outlineLevel="1">
      <c r="A292" s="288">
        <v>22</v>
      </c>
      <c r="B292" s="97"/>
      <c r="C292" s="296"/>
      <c r="D292" s="360"/>
      <c r="E292" s="361"/>
      <c r="F292" s="298"/>
      <c r="G292" s="298"/>
      <c r="H292" s="86"/>
      <c r="I292" s="344" t="str">
        <f t="shared" si="70"/>
        <v/>
      </c>
      <c r="J292" s="345"/>
      <c r="K292" s="307"/>
      <c r="L292" s="307"/>
      <c r="M292" s="344" t="str">
        <f t="shared" si="71"/>
        <v/>
      </c>
      <c r="N292" s="345"/>
      <c r="O292" s="225" t="str">
        <f t="shared" si="72"/>
        <v/>
      </c>
      <c r="P292" s="225" t="str">
        <f t="shared" si="73"/>
        <v/>
      </c>
      <c r="Q292" s="284"/>
      <c r="R292" s="225" t="str">
        <f t="shared" si="74"/>
        <v/>
      </c>
      <c r="S292" s="225" t="str">
        <f t="shared" si="75"/>
        <v/>
      </c>
      <c r="T292" s="231" t="str">
        <f t="shared" si="76"/>
        <v/>
      </c>
      <c r="U292" s="241"/>
      <c r="V292" s="241"/>
      <c r="W292" s="241"/>
      <c r="X292" s="241"/>
      <c r="Y292" s="241"/>
      <c r="Z292" s="241"/>
      <c r="AA292" s="241"/>
      <c r="AB292" s="241"/>
      <c r="AC292" s="241"/>
      <c r="AD292" s="241"/>
      <c r="AE292" s="241"/>
      <c r="AF292" s="241"/>
      <c r="AG292" s="241"/>
      <c r="AH292" s="241"/>
      <c r="AI292" s="241"/>
      <c r="AJ292" s="241"/>
      <c r="AK292" s="241"/>
      <c r="AL292" s="241"/>
      <c r="AM292" s="241"/>
      <c r="AN292" s="241"/>
      <c r="AO292" s="241"/>
      <c r="AP292" s="241"/>
      <c r="AQ292" s="241"/>
      <c r="AR292" s="241"/>
      <c r="AS292" s="241"/>
      <c r="AT292" s="241"/>
      <c r="AU292" s="241"/>
      <c r="AV292" s="241"/>
      <c r="AW292" s="241"/>
      <c r="AX292" s="241"/>
      <c r="AY292" s="241"/>
      <c r="AZ292" s="241"/>
    </row>
    <row r="293" spans="1:52" s="71" customFormat="1" ht="18" hidden="1" customHeight="1" outlineLevel="1">
      <c r="A293" s="288">
        <v>23</v>
      </c>
      <c r="B293" s="97"/>
      <c r="C293" s="296"/>
      <c r="D293" s="360"/>
      <c r="E293" s="361"/>
      <c r="F293" s="298"/>
      <c r="G293" s="298"/>
      <c r="H293" s="86"/>
      <c r="I293" s="344" t="str">
        <f t="shared" si="70"/>
        <v/>
      </c>
      <c r="J293" s="345"/>
      <c r="K293" s="307"/>
      <c r="L293" s="307"/>
      <c r="M293" s="344" t="str">
        <f t="shared" si="71"/>
        <v/>
      </c>
      <c r="N293" s="345"/>
      <c r="O293" s="225" t="str">
        <f t="shared" si="72"/>
        <v/>
      </c>
      <c r="P293" s="225" t="str">
        <f t="shared" si="73"/>
        <v/>
      </c>
      <c r="Q293" s="284"/>
      <c r="R293" s="225" t="str">
        <f t="shared" si="74"/>
        <v/>
      </c>
      <c r="S293" s="225" t="str">
        <f t="shared" si="75"/>
        <v/>
      </c>
      <c r="T293" s="231" t="str">
        <f t="shared" si="76"/>
        <v/>
      </c>
      <c r="U293" s="241"/>
      <c r="V293" s="241"/>
      <c r="W293" s="241"/>
      <c r="X293" s="241"/>
      <c r="Y293" s="241"/>
      <c r="Z293" s="241"/>
      <c r="AA293" s="241"/>
      <c r="AB293" s="241"/>
      <c r="AC293" s="241"/>
      <c r="AD293" s="241"/>
      <c r="AE293" s="241"/>
      <c r="AF293" s="241"/>
      <c r="AG293" s="241"/>
      <c r="AH293" s="241"/>
      <c r="AI293" s="241"/>
      <c r="AJ293" s="241"/>
      <c r="AK293" s="241"/>
      <c r="AL293" s="241"/>
      <c r="AM293" s="241"/>
      <c r="AN293" s="241"/>
      <c r="AO293" s="241"/>
      <c r="AP293" s="241"/>
      <c r="AQ293" s="241"/>
      <c r="AR293" s="241"/>
      <c r="AS293" s="241"/>
      <c r="AT293" s="241"/>
      <c r="AU293" s="241"/>
      <c r="AV293" s="241"/>
      <c r="AW293" s="241"/>
      <c r="AX293" s="241"/>
      <c r="AY293" s="241"/>
      <c r="AZ293" s="241"/>
    </row>
    <row r="294" spans="1:52" s="71" customFormat="1" ht="18" hidden="1" customHeight="1" outlineLevel="1">
      <c r="A294" s="288">
        <v>24</v>
      </c>
      <c r="B294" s="97"/>
      <c r="C294" s="296"/>
      <c r="D294" s="360"/>
      <c r="E294" s="361"/>
      <c r="F294" s="298"/>
      <c r="G294" s="298"/>
      <c r="H294" s="86"/>
      <c r="I294" s="344" t="str">
        <f t="shared" si="70"/>
        <v/>
      </c>
      <c r="J294" s="345"/>
      <c r="K294" s="307"/>
      <c r="L294" s="307"/>
      <c r="M294" s="344" t="str">
        <f t="shared" si="71"/>
        <v/>
      </c>
      <c r="N294" s="345"/>
      <c r="O294" s="225" t="str">
        <f t="shared" si="72"/>
        <v/>
      </c>
      <c r="P294" s="225" t="str">
        <f t="shared" si="73"/>
        <v/>
      </c>
      <c r="Q294" s="284"/>
      <c r="R294" s="225" t="str">
        <f t="shared" si="74"/>
        <v/>
      </c>
      <c r="S294" s="225" t="str">
        <f t="shared" si="75"/>
        <v/>
      </c>
      <c r="T294" s="231" t="str">
        <f t="shared" si="76"/>
        <v/>
      </c>
      <c r="U294" s="241"/>
      <c r="V294" s="241"/>
      <c r="W294" s="241"/>
      <c r="X294" s="241"/>
      <c r="Y294" s="241"/>
      <c r="Z294" s="241"/>
      <c r="AA294" s="241"/>
      <c r="AB294" s="241"/>
      <c r="AC294" s="241"/>
      <c r="AD294" s="241"/>
      <c r="AE294" s="241"/>
      <c r="AF294" s="241"/>
      <c r="AG294" s="241"/>
      <c r="AH294" s="241"/>
      <c r="AI294" s="241"/>
      <c r="AJ294" s="241"/>
      <c r="AK294" s="241"/>
      <c r="AL294" s="241"/>
      <c r="AM294" s="241"/>
      <c r="AN294" s="241"/>
      <c r="AO294" s="241"/>
      <c r="AP294" s="241"/>
      <c r="AQ294" s="241"/>
      <c r="AR294" s="241"/>
      <c r="AS294" s="241"/>
      <c r="AT294" s="241"/>
      <c r="AU294" s="241"/>
      <c r="AV294" s="241"/>
      <c r="AW294" s="241"/>
      <c r="AX294" s="241"/>
      <c r="AY294" s="241"/>
      <c r="AZ294" s="241"/>
    </row>
    <row r="295" spans="1:52" s="71" customFormat="1" ht="18" hidden="1" customHeight="1" outlineLevel="1">
      <c r="A295" s="288">
        <v>25</v>
      </c>
      <c r="B295" s="97"/>
      <c r="C295" s="296"/>
      <c r="D295" s="360"/>
      <c r="E295" s="361"/>
      <c r="F295" s="298"/>
      <c r="G295" s="298"/>
      <c r="H295" s="86"/>
      <c r="I295" s="344" t="str">
        <f t="shared" si="70"/>
        <v/>
      </c>
      <c r="J295" s="345"/>
      <c r="K295" s="307"/>
      <c r="L295" s="307"/>
      <c r="M295" s="344" t="str">
        <f t="shared" si="71"/>
        <v/>
      </c>
      <c r="N295" s="345"/>
      <c r="O295" s="225" t="str">
        <f t="shared" si="72"/>
        <v/>
      </c>
      <c r="P295" s="225" t="str">
        <f t="shared" si="73"/>
        <v/>
      </c>
      <c r="Q295" s="284"/>
      <c r="R295" s="225" t="str">
        <f t="shared" si="74"/>
        <v/>
      </c>
      <c r="S295" s="225" t="str">
        <f t="shared" si="75"/>
        <v/>
      </c>
      <c r="T295" s="231" t="str">
        <f t="shared" si="76"/>
        <v/>
      </c>
      <c r="U295" s="241"/>
      <c r="V295" s="241"/>
      <c r="W295" s="241"/>
      <c r="X295" s="241"/>
      <c r="Y295" s="241"/>
      <c r="Z295" s="241"/>
      <c r="AA295" s="241"/>
      <c r="AB295" s="241"/>
      <c r="AC295" s="241"/>
      <c r="AD295" s="241"/>
      <c r="AE295" s="241"/>
      <c r="AF295" s="241"/>
      <c r="AG295" s="241"/>
      <c r="AH295" s="241"/>
      <c r="AI295" s="241"/>
      <c r="AJ295" s="241"/>
      <c r="AK295" s="241"/>
      <c r="AL295" s="241"/>
      <c r="AM295" s="241"/>
      <c r="AN295" s="241"/>
      <c r="AO295" s="241"/>
      <c r="AP295" s="241"/>
      <c r="AQ295" s="241"/>
      <c r="AR295" s="241"/>
      <c r="AS295" s="241"/>
      <c r="AT295" s="241"/>
      <c r="AU295" s="241"/>
      <c r="AV295" s="241"/>
      <c r="AW295" s="241"/>
      <c r="AX295" s="241"/>
      <c r="AY295" s="241"/>
      <c r="AZ295" s="241"/>
    </row>
    <row r="296" spans="1:52" s="71" customFormat="1" ht="18" hidden="1" customHeight="1" outlineLevel="1">
      <c r="A296" s="288">
        <v>26</v>
      </c>
      <c r="B296" s="97"/>
      <c r="C296" s="296"/>
      <c r="D296" s="360"/>
      <c r="E296" s="361"/>
      <c r="F296" s="298"/>
      <c r="G296" s="298"/>
      <c r="H296" s="86"/>
      <c r="I296" s="344" t="str">
        <f t="shared" si="70"/>
        <v/>
      </c>
      <c r="J296" s="345"/>
      <c r="K296" s="307"/>
      <c r="L296" s="307"/>
      <c r="M296" s="344" t="str">
        <f t="shared" si="71"/>
        <v/>
      </c>
      <c r="N296" s="345"/>
      <c r="O296" s="225" t="str">
        <f t="shared" si="72"/>
        <v/>
      </c>
      <c r="P296" s="225" t="str">
        <f t="shared" si="73"/>
        <v/>
      </c>
      <c r="Q296" s="284"/>
      <c r="R296" s="225" t="str">
        <f t="shared" si="74"/>
        <v/>
      </c>
      <c r="S296" s="225" t="str">
        <f t="shared" si="75"/>
        <v/>
      </c>
      <c r="T296" s="231" t="str">
        <f t="shared" si="76"/>
        <v/>
      </c>
      <c r="U296" s="241"/>
      <c r="V296" s="241"/>
      <c r="W296" s="241"/>
      <c r="X296" s="241"/>
      <c r="Y296" s="241"/>
      <c r="Z296" s="241"/>
      <c r="AA296" s="241"/>
      <c r="AB296" s="241"/>
      <c r="AC296" s="241"/>
      <c r="AD296" s="241"/>
      <c r="AE296" s="241"/>
      <c r="AF296" s="241"/>
      <c r="AG296" s="241"/>
      <c r="AH296" s="241"/>
      <c r="AI296" s="241"/>
      <c r="AJ296" s="241"/>
      <c r="AK296" s="241"/>
      <c r="AL296" s="241"/>
      <c r="AM296" s="241"/>
      <c r="AN296" s="241"/>
      <c r="AO296" s="241"/>
      <c r="AP296" s="241"/>
      <c r="AQ296" s="241"/>
      <c r="AR296" s="241"/>
      <c r="AS296" s="241"/>
      <c r="AT296" s="241"/>
      <c r="AU296" s="241"/>
      <c r="AV296" s="241"/>
      <c r="AW296" s="241"/>
      <c r="AX296" s="241"/>
      <c r="AY296" s="241"/>
      <c r="AZ296" s="241"/>
    </row>
    <row r="297" spans="1:52" s="71" customFormat="1" ht="18" hidden="1" customHeight="1" outlineLevel="1">
      <c r="A297" s="288">
        <v>27</v>
      </c>
      <c r="B297" s="97"/>
      <c r="C297" s="296"/>
      <c r="D297" s="360"/>
      <c r="E297" s="361"/>
      <c r="F297" s="298"/>
      <c r="G297" s="298"/>
      <c r="H297" s="86"/>
      <c r="I297" s="344" t="str">
        <f t="shared" si="70"/>
        <v/>
      </c>
      <c r="J297" s="345"/>
      <c r="K297" s="307"/>
      <c r="L297" s="307"/>
      <c r="M297" s="344" t="str">
        <f t="shared" si="71"/>
        <v/>
      </c>
      <c r="N297" s="345"/>
      <c r="O297" s="225" t="str">
        <f t="shared" si="72"/>
        <v/>
      </c>
      <c r="P297" s="225" t="str">
        <f t="shared" si="73"/>
        <v/>
      </c>
      <c r="Q297" s="284"/>
      <c r="R297" s="225" t="str">
        <f t="shared" si="74"/>
        <v/>
      </c>
      <c r="S297" s="225" t="str">
        <f t="shared" si="75"/>
        <v/>
      </c>
      <c r="T297" s="231" t="str">
        <f t="shared" si="76"/>
        <v/>
      </c>
      <c r="U297" s="241"/>
      <c r="V297" s="241"/>
      <c r="W297" s="241"/>
      <c r="X297" s="241"/>
      <c r="Y297" s="241"/>
      <c r="Z297" s="241"/>
      <c r="AA297" s="241"/>
      <c r="AB297" s="241"/>
      <c r="AC297" s="241"/>
      <c r="AD297" s="241"/>
      <c r="AE297" s="241"/>
      <c r="AF297" s="241"/>
      <c r="AG297" s="241"/>
      <c r="AH297" s="241"/>
      <c r="AI297" s="241"/>
      <c r="AJ297" s="241"/>
      <c r="AK297" s="241"/>
      <c r="AL297" s="241"/>
      <c r="AM297" s="241"/>
      <c r="AN297" s="241"/>
      <c r="AO297" s="241"/>
      <c r="AP297" s="241"/>
      <c r="AQ297" s="241"/>
      <c r="AR297" s="241"/>
      <c r="AS297" s="241"/>
      <c r="AT297" s="241"/>
      <c r="AU297" s="241"/>
      <c r="AV297" s="241"/>
      <c r="AW297" s="241"/>
      <c r="AX297" s="241"/>
      <c r="AY297" s="241"/>
      <c r="AZ297" s="241"/>
    </row>
    <row r="298" spans="1:52" s="71" customFormat="1" ht="18" hidden="1" customHeight="1" outlineLevel="1">
      <c r="A298" s="288">
        <v>28</v>
      </c>
      <c r="B298" s="97"/>
      <c r="C298" s="296"/>
      <c r="D298" s="360"/>
      <c r="E298" s="361"/>
      <c r="F298" s="298"/>
      <c r="G298" s="298"/>
      <c r="H298" s="86"/>
      <c r="I298" s="344" t="str">
        <f t="shared" si="70"/>
        <v/>
      </c>
      <c r="J298" s="345"/>
      <c r="K298" s="307"/>
      <c r="L298" s="307"/>
      <c r="M298" s="344" t="str">
        <f t="shared" si="71"/>
        <v/>
      </c>
      <c r="N298" s="345"/>
      <c r="O298" s="225" t="str">
        <f t="shared" si="72"/>
        <v/>
      </c>
      <c r="P298" s="225" t="str">
        <f t="shared" si="73"/>
        <v/>
      </c>
      <c r="Q298" s="284"/>
      <c r="R298" s="225" t="str">
        <f t="shared" si="74"/>
        <v/>
      </c>
      <c r="S298" s="225" t="str">
        <f t="shared" si="75"/>
        <v/>
      </c>
      <c r="T298" s="231" t="str">
        <f t="shared" si="76"/>
        <v/>
      </c>
      <c r="U298" s="241"/>
      <c r="V298" s="241"/>
      <c r="W298" s="241"/>
      <c r="X298" s="241"/>
      <c r="Y298" s="241"/>
      <c r="Z298" s="241"/>
      <c r="AA298" s="241"/>
      <c r="AB298" s="241"/>
      <c r="AC298" s="241"/>
      <c r="AD298" s="241"/>
      <c r="AE298" s="241"/>
      <c r="AF298" s="241"/>
      <c r="AG298" s="241"/>
      <c r="AH298" s="241"/>
      <c r="AI298" s="241"/>
      <c r="AJ298" s="241"/>
      <c r="AK298" s="241"/>
      <c r="AL298" s="241"/>
      <c r="AM298" s="241"/>
      <c r="AN298" s="241"/>
      <c r="AO298" s="241"/>
      <c r="AP298" s="241"/>
      <c r="AQ298" s="241"/>
      <c r="AR298" s="241"/>
      <c r="AS298" s="241"/>
      <c r="AT298" s="241"/>
      <c r="AU298" s="241"/>
      <c r="AV298" s="241"/>
      <c r="AW298" s="241"/>
      <c r="AX298" s="241"/>
      <c r="AY298" s="241"/>
      <c r="AZ298" s="241"/>
    </row>
    <row r="299" spans="1:52" s="71" customFormat="1" ht="18" hidden="1" customHeight="1" outlineLevel="1">
      <c r="A299" s="288">
        <v>29</v>
      </c>
      <c r="B299" s="97"/>
      <c r="C299" s="296"/>
      <c r="D299" s="360"/>
      <c r="E299" s="361"/>
      <c r="F299" s="298"/>
      <c r="G299" s="298"/>
      <c r="H299" s="86"/>
      <c r="I299" s="344" t="str">
        <f t="shared" si="70"/>
        <v/>
      </c>
      <c r="J299" s="345"/>
      <c r="K299" s="307"/>
      <c r="L299" s="307"/>
      <c r="M299" s="344" t="str">
        <f t="shared" si="71"/>
        <v/>
      </c>
      <c r="N299" s="345"/>
      <c r="O299" s="225" t="str">
        <f t="shared" si="72"/>
        <v/>
      </c>
      <c r="P299" s="225" t="str">
        <f t="shared" si="73"/>
        <v/>
      </c>
      <c r="Q299" s="284"/>
      <c r="R299" s="225" t="str">
        <f t="shared" si="74"/>
        <v/>
      </c>
      <c r="S299" s="225" t="str">
        <f t="shared" si="75"/>
        <v/>
      </c>
      <c r="T299" s="231" t="str">
        <f t="shared" si="76"/>
        <v/>
      </c>
      <c r="U299" s="241"/>
      <c r="V299" s="241"/>
      <c r="W299" s="241"/>
      <c r="X299" s="241"/>
      <c r="Y299" s="241"/>
      <c r="Z299" s="241"/>
      <c r="AA299" s="241"/>
      <c r="AB299" s="241"/>
      <c r="AC299" s="241"/>
      <c r="AD299" s="241"/>
      <c r="AE299" s="241"/>
      <c r="AF299" s="241"/>
      <c r="AG299" s="241"/>
      <c r="AH299" s="241"/>
      <c r="AI299" s="241"/>
      <c r="AJ299" s="241"/>
      <c r="AK299" s="241"/>
      <c r="AL299" s="241"/>
      <c r="AM299" s="241"/>
      <c r="AN299" s="241"/>
      <c r="AO299" s="241"/>
      <c r="AP299" s="241"/>
      <c r="AQ299" s="241"/>
      <c r="AR299" s="241"/>
      <c r="AS299" s="241"/>
      <c r="AT299" s="241"/>
      <c r="AU299" s="241"/>
      <c r="AV299" s="241"/>
      <c r="AW299" s="241"/>
      <c r="AX299" s="241"/>
      <c r="AY299" s="241"/>
      <c r="AZ299" s="241"/>
    </row>
    <row r="300" spans="1:52" s="71" customFormat="1" ht="18" hidden="1" customHeight="1" outlineLevel="1">
      <c r="A300" s="288">
        <v>30</v>
      </c>
      <c r="B300" s="97"/>
      <c r="C300" s="296"/>
      <c r="D300" s="360"/>
      <c r="E300" s="361"/>
      <c r="F300" s="298"/>
      <c r="G300" s="298"/>
      <c r="H300" s="86"/>
      <c r="I300" s="344" t="str">
        <f t="shared" si="70"/>
        <v/>
      </c>
      <c r="J300" s="345"/>
      <c r="K300" s="307"/>
      <c r="L300" s="307"/>
      <c r="M300" s="344" t="str">
        <f t="shared" si="71"/>
        <v/>
      </c>
      <c r="N300" s="345"/>
      <c r="O300" s="225" t="str">
        <f t="shared" si="72"/>
        <v/>
      </c>
      <c r="P300" s="225" t="str">
        <f t="shared" si="73"/>
        <v/>
      </c>
      <c r="Q300" s="284"/>
      <c r="R300" s="225" t="str">
        <f t="shared" si="74"/>
        <v/>
      </c>
      <c r="S300" s="225" t="str">
        <f t="shared" si="75"/>
        <v/>
      </c>
      <c r="T300" s="231" t="str">
        <f t="shared" si="76"/>
        <v/>
      </c>
      <c r="U300" s="241"/>
      <c r="V300" s="241"/>
      <c r="W300" s="241"/>
      <c r="X300" s="241"/>
      <c r="Y300" s="241"/>
      <c r="Z300" s="241"/>
      <c r="AA300" s="241"/>
      <c r="AB300" s="241"/>
      <c r="AC300" s="241"/>
      <c r="AD300" s="241"/>
      <c r="AE300" s="241"/>
      <c r="AF300" s="241"/>
      <c r="AG300" s="241"/>
      <c r="AH300" s="241"/>
      <c r="AI300" s="241"/>
      <c r="AJ300" s="241"/>
      <c r="AK300" s="241"/>
      <c r="AL300" s="241"/>
      <c r="AM300" s="241"/>
      <c r="AN300" s="241"/>
      <c r="AO300" s="241"/>
      <c r="AP300" s="241"/>
      <c r="AQ300" s="241"/>
      <c r="AR300" s="241"/>
      <c r="AS300" s="241"/>
      <c r="AT300" s="241"/>
      <c r="AU300" s="241"/>
      <c r="AV300" s="241"/>
      <c r="AW300" s="241"/>
      <c r="AX300" s="241"/>
      <c r="AY300" s="241"/>
      <c r="AZ300" s="241"/>
    </row>
    <row r="301" spans="1:52" s="71" customFormat="1" ht="18" hidden="1" customHeight="1" outlineLevel="1">
      <c r="A301" s="288">
        <v>31</v>
      </c>
      <c r="B301" s="97"/>
      <c r="C301" s="296"/>
      <c r="D301" s="360"/>
      <c r="E301" s="361"/>
      <c r="F301" s="298"/>
      <c r="G301" s="298"/>
      <c r="H301" s="86"/>
      <c r="I301" s="344" t="str">
        <f t="shared" si="70"/>
        <v/>
      </c>
      <c r="J301" s="345"/>
      <c r="K301" s="307"/>
      <c r="L301" s="307"/>
      <c r="M301" s="344" t="str">
        <f t="shared" si="71"/>
        <v/>
      </c>
      <c r="N301" s="345"/>
      <c r="O301" s="225" t="str">
        <f t="shared" si="72"/>
        <v/>
      </c>
      <c r="P301" s="225" t="str">
        <f t="shared" si="73"/>
        <v/>
      </c>
      <c r="Q301" s="284"/>
      <c r="R301" s="225" t="str">
        <f t="shared" si="74"/>
        <v/>
      </c>
      <c r="S301" s="225" t="str">
        <f t="shared" si="75"/>
        <v/>
      </c>
      <c r="T301" s="231" t="str">
        <f t="shared" si="76"/>
        <v/>
      </c>
      <c r="U301" s="176" t="s">
        <v>165</v>
      </c>
      <c r="V301" s="241"/>
      <c r="W301" s="241"/>
      <c r="X301" s="241"/>
      <c r="Y301" s="241"/>
      <c r="Z301" s="241"/>
      <c r="AA301" s="241"/>
      <c r="AB301" s="241"/>
      <c r="AC301" s="241"/>
      <c r="AD301" s="241"/>
      <c r="AE301" s="241"/>
      <c r="AF301" s="241"/>
      <c r="AG301" s="241"/>
      <c r="AH301" s="241"/>
      <c r="AI301" s="241"/>
      <c r="AJ301" s="241"/>
      <c r="AK301" s="241"/>
      <c r="AL301" s="241"/>
      <c r="AM301" s="241"/>
      <c r="AN301" s="241"/>
      <c r="AO301" s="241"/>
      <c r="AP301" s="241"/>
      <c r="AQ301" s="241"/>
      <c r="AR301" s="241"/>
      <c r="AS301" s="241"/>
      <c r="AT301" s="241"/>
      <c r="AU301" s="241"/>
      <c r="AV301" s="241"/>
      <c r="AW301" s="241"/>
      <c r="AX301" s="241"/>
      <c r="AY301" s="241"/>
      <c r="AZ301" s="241"/>
    </row>
    <row r="302" spans="1:52" s="71" customFormat="1" ht="18" hidden="1" customHeight="1" outlineLevel="2">
      <c r="A302" s="288">
        <v>32</v>
      </c>
      <c r="B302" s="97"/>
      <c r="C302" s="296"/>
      <c r="D302" s="360"/>
      <c r="E302" s="361"/>
      <c r="F302" s="298"/>
      <c r="G302" s="298"/>
      <c r="H302" s="86"/>
      <c r="I302" s="344" t="str">
        <f t="shared" si="70"/>
        <v/>
      </c>
      <c r="J302" s="345"/>
      <c r="K302" s="307"/>
      <c r="L302" s="307"/>
      <c r="M302" s="344" t="str">
        <f t="shared" si="71"/>
        <v/>
      </c>
      <c r="N302" s="345"/>
      <c r="O302" s="225" t="str">
        <f t="shared" si="72"/>
        <v/>
      </c>
      <c r="P302" s="225" t="str">
        <f t="shared" si="73"/>
        <v/>
      </c>
      <c r="Q302" s="284"/>
      <c r="R302" s="225" t="str">
        <f t="shared" si="74"/>
        <v/>
      </c>
      <c r="S302" s="225" t="str">
        <f t="shared" si="75"/>
        <v/>
      </c>
      <c r="T302" s="231" t="str">
        <f t="shared" si="76"/>
        <v/>
      </c>
      <c r="U302" s="241"/>
      <c r="V302" s="241"/>
      <c r="W302" s="241"/>
      <c r="X302" s="241"/>
      <c r="Y302" s="241"/>
      <c r="Z302" s="241"/>
      <c r="AA302" s="241"/>
      <c r="AB302" s="241"/>
      <c r="AC302" s="241"/>
      <c r="AD302" s="241"/>
      <c r="AE302" s="241"/>
      <c r="AF302" s="241"/>
      <c r="AG302" s="241"/>
      <c r="AH302" s="241"/>
      <c r="AI302" s="241"/>
      <c r="AJ302" s="241"/>
      <c r="AK302" s="241"/>
      <c r="AL302" s="241"/>
      <c r="AM302" s="241"/>
      <c r="AN302" s="241"/>
      <c r="AO302" s="241"/>
      <c r="AP302" s="241"/>
      <c r="AQ302" s="241"/>
      <c r="AR302" s="241"/>
      <c r="AS302" s="241"/>
      <c r="AT302" s="241"/>
      <c r="AU302" s="241"/>
      <c r="AV302" s="241"/>
      <c r="AW302" s="241"/>
      <c r="AX302" s="241"/>
      <c r="AY302" s="241"/>
      <c r="AZ302" s="241"/>
    </row>
    <row r="303" spans="1:52" s="71" customFormat="1" ht="18" hidden="1" customHeight="1" outlineLevel="2">
      <c r="A303" s="288">
        <v>33</v>
      </c>
      <c r="B303" s="97"/>
      <c r="C303" s="296"/>
      <c r="D303" s="360"/>
      <c r="E303" s="361"/>
      <c r="F303" s="298"/>
      <c r="G303" s="298"/>
      <c r="H303" s="86"/>
      <c r="I303" s="344" t="str">
        <f t="shared" si="70"/>
        <v/>
      </c>
      <c r="J303" s="345"/>
      <c r="K303" s="307"/>
      <c r="L303" s="307"/>
      <c r="M303" s="344" t="str">
        <f t="shared" si="71"/>
        <v/>
      </c>
      <c r="N303" s="345"/>
      <c r="O303" s="225" t="str">
        <f t="shared" si="72"/>
        <v/>
      </c>
      <c r="P303" s="225" t="str">
        <f t="shared" si="73"/>
        <v/>
      </c>
      <c r="Q303" s="284"/>
      <c r="R303" s="225" t="str">
        <f t="shared" si="74"/>
        <v/>
      </c>
      <c r="S303" s="225" t="str">
        <f t="shared" si="75"/>
        <v/>
      </c>
      <c r="T303" s="231" t="str">
        <f t="shared" si="76"/>
        <v/>
      </c>
      <c r="U303" s="241"/>
      <c r="V303" s="241"/>
      <c r="W303" s="241"/>
      <c r="X303" s="241"/>
      <c r="Y303" s="241"/>
      <c r="Z303" s="241"/>
      <c r="AA303" s="241"/>
      <c r="AB303" s="241"/>
      <c r="AC303" s="241"/>
      <c r="AD303" s="241"/>
      <c r="AE303" s="241"/>
      <c r="AF303" s="241"/>
      <c r="AG303" s="241"/>
      <c r="AH303" s="241"/>
      <c r="AI303" s="241"/>
      <c r="AJ303" s="241"/>
      <c r="AK303" s="241"/>
      <c r="AL303" s="241"/>
      <c r="AM303" s="241"/>
      <c r="AN303" s="241"/>
      <c r="AO303" s="241"/>
      <c r="AP303" s="241"/>
      <c r="AQ303" s="241"/>
      <c r="AR303" s="241"/>
      <c r="AS303" s="241"/>
      <c r="AT303" s="241"/>
      <c r="AU303" s="241"/>
      <c r="AV303" s="241"/>
      <c r="AW303" s="241"/>
      <c r="AX303" s="241"/>
      <c r="AY303" s="241"/>
      <c r="AZ303" s="241"/>
    </row>
    <row r="304" spans="1:52" s="71" customFormat="1" ht="18" hidden="1" customHeight="1" outlineLevel="2">
      <c r="A304" s="288">
        <v>34</v>
      </c>
      <c r="B304" s="97"/>
      <c r="C304" s="296"/>
      <c r="D304" s="360"/>
      <c r="E304" s="361"/>
      <c r="F304" s="298"/>
      <c r="G304" s="298"/>
      <c r="H304" s="86"/>
      <c r="I304" s="344" t="str">
        <f t="shared" si="70"/>
        <v/>
      </c>
      <c r="J304" s="345"/>
      <c r="K304" s="307"/>
      <c r="L304" s="307"/>
      <c r="M304" s="344" t="str">
        <f t="shared" si="71"/>
        <v/>
      </c>
      <c r="N304" s="345"/>
      <c r="O304" s="225" t="str">
        <f t="shared" si="72"/>
        <v/>
      </c>
      <c r="P304" s="225" t="str">
        <f t="shared" si="73"/>
        <v/>
      </c>
      <c r="Q304" s="284"/>
      <c r="R304" s="225" t="str">
        <f t="shared" si="74"/>
        <v/>
      </c>
      <c r="S304" s="225" t="str">
        <f t="shared" si="75"/>
        <v/>
      </c>
      <c r="T304" s="231" t="str">
        <f t="shared" si="76"/>
        <v/>
      </c>
      <c r="U304" s="241"/>
      <c r="V304" s="241"/>
      <c r="W304" s="241"/>
      <c r="X304" s="241"/>
      <c r="Y304" s="241"/>
      <c r="Z304" s="241"/>
      <c r="AA304" s="241"/>
      <c r="AB304" s="241"/>
      <c r="AC304" s="241"/>
      <c r="AD304" s="241"/>
      <c r="AE304" s="241"/>
      <c r="AF304" s="241"/>
      <c r="AG304" s="241"/>
      <c r="AH304" s="241"/>
      <c r="AI304" s="241"/>
      <c r="AJ304" s="241"/>
      <c r="AK304" s="241"/>
      <c r="AL304" s="241"/>
      <c r="AM304" s="241"/>
      <c r="AN304" s="241"/>
      <c r="AO304" s="241"/>
      <c r="AP304" s="241"/>
      <c r="AQ304" s="241"/>
      <c r="AR304" s="241"/>
      <c r="AS304" s="241"/>
      <c r="AT304" s="241"/>
      <c r="AU304" s="241"/>
      <c r="AV304" s="241"/>
      <c r="AW304" s="241"/>
      <c r="AX304" s="241"/>
      <c r="AY304" s="241"/>
      <c r="AZ304" s="241"/>
    </row>
    <row r="305" spans="1:52" s="71" customFormat="1" ht="18" hidden="1" customHeight="1" outlineLevel="2">
      <c r="A305" s="288">
        <v>35</v>
      </c>
      <c r="B305" s="97"/>
      <c r="C305" s="296"/>
      <c r="D305" s="360"/>
      <c r="E305" s="361"/>
      <c r="F305" s="298"/>
      <c r="G305" s="298"/>
      <c r="H305" s="86"/>
      <c r="I305" s="344" t="str">
        <f t="shared" si="70"/>
        <v/>
      </c>
      <c r="J305" s="345"/>
      <c r="K305" s="307"/>
      <c r="L305" s="307"/>
      <c r="M305" s="344" t="str">
        <f t="shared" si="71"/>
        <v/>
      </c>
      <c r="N305" s="345"/>
      <c r="O305" s="225" t="str">
        <f t="shared" si="72"/>
        <v/>
      </c>
      <c r="P305" s="225" t="str">
        <f t="shared" si="73"/>
        <v/>
      </c>
      <c r="Q305" s="284"/>
      <c r="R305" s="225" t="str">
        <f t="shared" si="74"/>
        <v/>
      </c>
      <c r="S305" s="225" t="str">
        <f t="shared" si="75"/>
        <v/>
      </c>
      <c r="T305" s="231" t="str">
        <f t="shared" si="76"/>
        <v/>
      </c>
      <c r="U305" s="241"/>
      <c r="V305" s="241"/>
      <c r="W305" s="241"/>
      <c r="X305" s="241"/>
      <c r="Y305" s="241"/>
      <c r="Z305" s="241"/>
      <c r="AA305" s="241"/>
      <c r="AB305" s="241"/>
      <c r="AC305" s="241"/>
      <c r="AD305" s="241"/>
      <c r="AE305" s="241"/>
      <c r="AF305" s="241"/>
      <c r="AG305" s="241"/>
      <c r="AH305" s="241"/>
      <c r="AI305" s="241"/>
      <c r="AJ305" s="241"/>
      <c r="AK305" s="241"/>
      <c r="AL305" s="241"/>
      <c r="AM305" s="241"/>
      <c r="AN305" s="241"/>
      <c r="AO305" s="241"/>
      <c r="AP305" s="241"/>
      <c r="AQ305" s="241"/>
      <c r="AR305" s="241"/>
      <c r="AS305" s="241"/>
      <c r="AT305" s="241"/>
      <c r="AU305" s="241"/>
      <c r="AV305" s="241"/>
      <c r="AW305" s="241"/>
      <c r="AX305" s="241"/>
      <c r="AY305" s="241"/>
      <c r="AZ305" s="241"/>
    </row>
    <row r="306" spans="1:52" s="71" customFormat="1" ht="18" hidden="1" customHeight="1" outlineLevel="2">
      <c r="A306" s="288">
        <v>36</v>
      </c>
      <c r="B306" s="97"/>
      <c r="C306" s="296"/>
      <c r="D306" s="360"/>
      <c r="E306" s="361"/>
      <c r="F306" s="298"/>
      <c r="G306" s="298"/>
      <c r="H306" s="86"/>
      <c r="I306" s="344" t="str">
        <f t="shared" si="70"/>
        <v/>
      </c>
      <c r="J306" s="345"/>
      <c r="K306" s="307"/>
      <c r="L306" s="307"/>
      <c r="M306" s="344" t="str">
        <f t="shared" si="71"/>
        <v/>
      </c>
      <c r="N306" s="345"/>
      <c r="O306" s="225" t="str">
        <f t="shared" si="72"/>
        <v/>
      </c>
      <c r="P306" s="225" t="str">
        <f t="shared" si="73"/>
        <v/>
      </c>
      <c r="Q306" s="284"/>
      <c r="R306" s="225" t="str">
        <f t="shared" si="74"/>
        <v/>
      </c>
      <c r="S306" s="225" t="str">
        <f t="shared" si="75"/>
        <v/>
      </c>
      <c r="T306" s="231" t="str">
        <f t="shared" si="76"/>
        <v/>
      </c>
      <c r="U306" s="241"/>
      <c r="V306" s="241"/>
      <c r="W306" s="241"/>
      <c r="X306" s="241"/>
      <c r="Y306" s="241"/>
      <c r="Z306" s="241"/>
      <c r="AA306" s="241"/>
      <c r="AB306" s="241"/>
      <c r="AC306" s="241"/>
      <c r="AD306" s="241"/>
      <c r="AE306" s="241"/>
      <c r="AF306" s="241"/>
      <c r="AG306" s="241"/>
      <c r="AH306" s="241"/>
      <c r="AI306" s="241"/>
      <c r="AJ306" s="241"/>
      <c r="AK306" s="241"/>
      <c r="AL306" s="241"/>
      <c r="AM306" s="241"/>
      <c r="AN306" s="241"/>
      <c r="AO306" s="241"/>
      <c r="AP306" s="241"/>
      <c r="AQ306" s="241"/>
      <c r="AR306" s="241"/>
      <c r="AS306" s="241"/>
      <c r="AT306" s="241"/>
      <c r="AU306" s="241"/>
      <c r="AV306" s="241"/>
      <c r="AW306" s="241"/>
      <c r="AX306" s="241"/>
      <c r="AY306" s="241"/>
      <c r="AZ306" s="241"/>
    </row>
    <row r="307" spans="1:52" s="71" customFormat="1" ht="18" hidden="1" customHeight="1" outlineLevel="2">
      <c r="A307" s="288">
        <v>37</v>
      </c>
      <c r="B307" s="97"/>
      <c r="C307" s="296"/>
      <c r="D307" s="360"/>
      <c r="E307" s="361"/>
      <c r="F307" s="298"/>
      <c r="G307" s="298"/>
      <c r="H307" s="86"/>
      <c r="I307" s="344" t="str">
        <f t="shared" si="70"/>
        <v/>
      </c>
      <c r="J307" s="345"/>
      <c r="K307" s="307"/>
      <c r="L307" s="307"/>
      <c r="M307" s="344" t="str">
        <f t="shared" si="71"/>
        <v/>
      </c>
      <c r="N307" s="345"/>
      <c r="O307" s="225" t="str">
        <f t="shared" si="72"/>
        <v/>
      </c>
      <c r="P307" s="225" t="str">
        <f t="shared" si="73"/>
        <v/>
      </c>
      <c r="Q307" s="284"/>
      <c r="R307" s="225" t="str">
        <f t="shared" si="74"/>
        <v/>
      </c>
      <c r="S307" s="225" t="str">
        <f t="shared" si="75"/>
        <v/>
      </c>
      <c r="T307" s="231" t="str">
        <f t="shared" si="76"/>
        <v/>
      </c>
      <c r="U307" s="241"/>
      <c r="V307" s="241"/>
      <c r="W307" s="241"/>
      <c r="X307" s="241"/>
      <c r="Y307" s="241"/>
      <c r="Z307" s="241"/>
      <c r="AA307" s="241"/>
      <c r="AB307" s="241"/>
      <c r="AC307" s="241"/>
      <c r="AD307" s="241"/>
      <c r="AE307" s="241"/>
      <c r="AF307" s="241"/>
      <c r="AG307" s="241"/>
      <c r="AH307" s="241"/>
      <c r="AI307" s="241"/>
      <c r="AJ307" s="241"/>
      <c r="AK307" s="241"/>
      <c r="AL307" s="241"/>
      <c r="AM307" s="241"/>
      <c r="AN307" s="241"/>
      <c r="AO307" s="241"/>
      <c r="AP307" s="241"/>
      <c r="AQ307" s="241"/>
      <c r="AR307" s="241"/>
      <c r="AS307" s="241"/>
      <c r="AT307" s="241"/>
      <c r="AU307" s="241"/>
      <c r="AV307" s="241"/>
      <c r="AW307" s="241"/>
      <c r="AX307" s="241"/>
      <c r="AY307" s="241"/>
      <c r="AZ307" s="241"/>
    </row>
    <row r="308" spans="1:52" s="71" customFormat="1" ht="18" hidden="1" customHeight="1" outlineLevel="2">
      <c r="A308" s="288">
        <v>38</v>
      </c>
      <c r="B308" s="97"/>
      <c r="C308" s="296"/>
      <c r="D308" s="360"/>
      <c r="E308" s="361"/>
      <c r="F308" s="298"/>
      <c r="G308" s="298"/>
      <c r="H308" s="86"/>
      <c r="I308" s="344" t="str">
        <f t="shared" si="70"/>
        <v/>
      </c>
      <c r="J308" s="345"/>
      <c r="K308" s="307"/>
      <c r="L308" s="307"/>
      <c r="M308" s="344" t="str">
        <f t="shared" si="71"/>
        <v/>
      </c>
      <c r="N308" s="345"/>
      <c r="O308" s="225" t="str">
        <f t="shared" si="72"/>
        <v/>
      </c>
      <c r="P308" s="225" t="str">
        <f t="shared" si="73"/>
        <v/>
      </c>
      <c r="Q308" s="284"/>
      <c r="R308" s="225" t="str">
        <f t="shared" si="74"/>
        <v/>
      </c>
      <c r="S308" s="225" t="str">
        <f t="shared" si="75"/>
        <v/>
      </c>
      <c r="T308" s="231" t="str">
        <f t="shared" si="76"/>
        <v/>
      </c>
      <c r="U308" s="241"/>
      <c r="V308" s="241"/>
      <c r="W308" s="241"/>
      <c r="X308" s="241"/>
      <c r="Y308" s="241"/>
      <c r="Z308" s="241"/>
      <c r="AA308" s="241"/>
      <c r="AB308" s="241"/>
      <c r="AC308" s="241"/>
      <c r="AD308" s="241"/>
      <c r="AE308" s="241"/>
      <c r="AF308" s="241"/>
      <c r="AG308" s="241"/>
      <c r="AH308" s="241"/>
      <c r="AI308" s="241"/>
      <c r="AJ308" s="241"/>
      <c r="AK308" s="241"/>
      <c r="AL308" s="241"/>
      <c r="AM308" s="241"/>
      <c r="AN308" s="241"/>
      <c r="AO308" s="241"/>
      <c r="AP308" s="241"/>
      <c r="AQ308" s="241"/>
      <c r="AR308" s="241"/>
      <c r="AS308" s="241"/>
      <c r="AT308" s="241"/>
      <c r="AU308" s="241"/>
      <c r="AV308" s="241"/>
      <c r="AW308" s="241"/>
      <c r="AX308" s="241"/>
      <c r="AY308" s="241"/>
      <c r="AZ308" s="241"/>
    </row>
    <row r="309" spans="1:52" s="71" customFormat="1" ht="18" hidden="1" customHeight="1" outlineLevel="2">
      <c r="A309" s="288">
        <v>39</v>
      </c>
      <c r="B309" s="97"/>
      <c r="C309" s="296"/>
      <c r="D309" s="360"/>
      <c r="E309" s="361"/>
      <c r="F309" s="298"/>
      <c r="G309" s="298"/>
      <c r="H309" s="86"/>
      <c r="I309" s="344" t="str">
        <f t="shared" si="70"/>
        <v/>
      </c>
      <c r="J309" s="345"/>
      <c r="K309" s="307"/>
      <c r="L309" s="307"/>
      <c r="M309" s="344" t="str">
        <f t="shared" si="71"/>
        <v/>
      </c>
      <c r="N309" s="345"/>
      <c r="O309" s="225" t="str">
        <f t="shared" si="72"/>
        <v/>
      </c>
      <c r="P309" s="225" t="str">
        <f t="shared" si="73"/>
        <v/>
      </c>
      <c r="Q309" s="284"/>
      <c r="R309" s="225" t="str">
        <f t="shared" si="74"/>
        <v/>
      </c>
      <c r="S309" s="225" t="str">
        <f t="shared" si="75"/>
        <v/>
      </c>
      <c r="T309" s="231" t="str">
        <f t="shared" si="76"/>
        <v/>
      </c>
      <c r="U309" s="241"/>
      <c r="V309" s="241"/>
      <c r="W309" s="241"/>
      <c r="X309" s="241"/>
      <c r="Y309" s="241"/>
      <c r="Z309" s="241"/>
      <c r="AA309" s="241"/>
      <c r="AB309" s="241"/>
      <c r="AC309" s="241"/>
      <c r="AD309" s="241"/>
      <c r="AE309" s="241"/>
      <c r="AF309" s="241"/>
      <c r="AG309" s="241"/>
      <c r="AH309" s="241"/>
      <c r="AI309" s="241"/>
      <c r="AJ309" s="241"/>
      <c r="AK309" s="241"/>
      <c r="AL309" s="241"/>
      <c r="AM309" s="241"/>
      <c r="AN309" s="241"/>
      <c r="AO309" s="241"/>
      <c r="AP309" s="241"/>
      <c r="AQ309" s="241"/>
      <c r="AR309" s="241"/>
      <c r="AS309" s="241"/>
      <c r="AT309" s="241"/>
      <c r="AU309" s="241"/>
      <c r="AV309" s="241"/>
      <c r="AW309" s="241"/>
      <c r="AX309" s="241"/>
      <c r="AY309" s="241"/>
      <c r="AZ309" s="241"/>
    </row>
    <row r="310" spans="1:52" s="71" customFormat="1" ht="18" hidden="1" customHeight="1" outlineLevel="2">
      <c r="A310" s="288">
        <v>40</v>
      </c>
      <c r="B310" s="97"/>
      <c r="C310" s="296"/>
      <c r="D310" s="360"/>
      <c r="E310" s="361"/>
      <c r="F310" s="298"/>
      <c r="G310" s="298"/>
      <c r="H310" s="86"/>
      <c r="I310" s="344" t="str">
        <f t="shared" si="70"/>
        <v/>
      </c>
      <c r="J310" s="345"/>
      <c r="K310" s="307"/>
      <c r="L310" s="307"/>
      <c r="M310" s="344" t="str">
        <f t="shared" si="71"/>
        <v/>
      </c>
      <c r="N310" s="345"/>
      <c r="O310" s="225" t="str">
        <f t="shared" si="72"/>
        <v/>
      </c>
      <c r="P310" s="225" t="str">
        <f t="shared" si="73"/>
        <v/>
      </c>
      <c r="Q310" s="284"/>
      <c r="R310" s="225" t="str">
        <f t="shared" si="74"/>
        <v/>
      </c>
      <c r="S310" s="225" t="str">
        <f t="shared" si="75"/>
        <v/>
      </c>
      <c r="T310" s="231" t="str">
        <f t="shared" si="76"/>
        <v/>
      </c>
      <c r="U310" s="241"/>
      <c r="V310" s="241"/>
      <c r="W310" s="241"/>
      <c r="X310" s="241"/>
      <c r="Y310" s="241"/>
      <c r="Z310" s="241"/>
      <c r="AA310" s="241"/>
      <c r="AB310" s="241"/>
      <c r="AC310" s="241"/>
      <c r="AD310" s="241"/>
      <c r="AE310" s="241"/>
      <c r="AF310" s="241"/>
      <c r="AG310" s="241"/>
      <c r="AH310" s="241"/>
      <c r="AI310" s="241"/>
      <c r="AJ310" s="241"/>
      <c r="AK310" s="241"/>
      <c r="AL310" s="241"/>
      <c r="AM310" s="241"/>
      <c r="AN310" s="241"/>
      <c r="AO310" s="241"/>
      <c r="AP310" s="241"/>
      <c r="AQ310" s="241"/>
      <c r="AR310" s="241"/>
      <c r="AS310" s="241"/>
      <c r="AT310" s="241"/>
      <c r="AU310" s="241"/>
      <c r="AV310" s="241"/>
      <c r="AW310" s="241"/>
      <c r="AX310" s="241"/>
      <c r="AY310" s="241"/>
      <c r="AZ310" s="241"/>
    </row>
    <row r="311" spans="1:52" s="71" customFormat="1" ht="18" hidden="1" customHeight="1" outlineLevel="2">
      <c r="A311" s="288">
        <v>41</v>
      </c>
      <c r="B311" s="97"/>
      <c r="C311" s="296"/>
      <c r="D311" s="360"/>
      <c r="E311" s="361"/>
      <c r="F311" s="298"/>
      <c r="G311" s="298"/>
      <c r="H311" s="86"/>
      <c r="I311" s="344" t="str">
        <f t="shared" si="70"/>
        <v/>
      </c>
      <c r="J311" s="345"/>
      <c r="K311" s="307"/>
      <c r="L311" s="307"/>
      <c r="M311" s="344" t="str">
        <f t="shared" si="71"/>
        <v/>
      </c>
      <c r="N311" s="345"/>
      <c r="O311" s="225" t="str">
        <f t="shared" si="72"/>
        <v/>
      </c>
      <c r="P311" s="225" t="str">
        <f t="shared" si="73"/>
        <v/>
      </c>
      <c r="Q311" s="284"/>
      <c r="R311" s="225" t="str">
        <f t="shared" si="74"/>
        <v/>
      </c>
      <c r="S311" s="225" t="str">
        <f t="shared" si="75"/>
        <v/>
      </c>
      <c r="T311" s="231" t="str">
        <f t="shared" si="76"/>
        <v/>
      </c>
      <c r="U311" s="241"/>
      <c r="V311" s="241"/>
      <c r="W311" s="241"/>
      <c r="X311" s="241"/>
      <c r="Y311" s="241"/>
      <c r="Z311" s="241"/>
      <c r="AA311" s="241"/>
      <c r="AB311" s="241"/>
      <c r="AC311" s="241"/>
      <c r="AD311" s="241"/>
      <c r="AE311" s="241"/>
      <c r="AF311" s="241"/>
      <c r="AG311" s="241"/>
      <c r="AH311" s="241"/>
      <c r="AI311" s="241"/>
      <c r="AJ311" s="241"/>
      <c r="AK311" s="241"/>
      <c r="AL311" s="241"/>
      <c r="AM311" s="241"/>
      <c r="AN311" s="241"/>
      <c r="AO311" s="241"/>
      <c r="AP311" s="241"/>
      <c r="AQ311" s="241"/>
      <c r="AR311" s="241"/>
      <c r="AS311" s="241"/>
      <c r="AT311" s="241"/>
      <c r="AU311" s="241"/>
      <c r="AV311" s="241"/>
      <c r="AW311" s="241"/>
      <c r="AX311" s="241"/>
      <c r="AY311" s="241"/>
      <c r="AZ311" s="241"/>
    </row>
    <row r="312" spans="1:52" s="71" customFormat="1" ht="18" hidden="1" customHeight="1" outlineLevel="2">
      <c r="A312" s="288">
        <v>42</v>
      </c>
      <c r="B312" s="97"/>
      <c r="C312" s="296"/>
      <c r="D312" s="360"/>
      <c r="E312" s="361"/>
      <c r="F312" s="298"/>
      <c r="G312" s="298"/>
      <c r="H312" s="86"/>
      <c r="I312" s="344" t="str">
        <f t="shared" si="70"/>
        <v/>
      </c>
      <c r="J312" s="345"/>
      <c r="K312" s="307"/>
      <c r="L312" s="307"/>
      <c r="M312" s="344" t="str">
        <f t="shared" si="71"/>
        <v/>
      </c>
      <c r="N312" s="345"/>
      <c r="O312" s="225" t="str">
        <f t="shared" si="72"/>
        <v/>
      </c>
      <c r="P312" s="225" t="str">
        <f t="shared" si="73"/>
        <v/>
      </c>
      <c r="Q312" s="284"/>
      <c r="R312" s="225" t="str">
        <f t="shared" si="74"/>
        <v/>
      </c>
      <c r="S312" s="225" t="str">
        <f t="shared" si="75"/>
        <v/>
      </c>
      <c r="T312" s="231" t="str">
        <f t="shared" si="76"/>
        <v/>
      </c>
      <c r="U312" s="241"/>
      <c r="V312" s="241"/>
      <c r="W312" s="241"/>
      <c r="X312" s="241"/>
      <c r="Y312" s="241"/>
      <c r="Z312" s="241"/>
      <c r="AA312" s="241"/>
      <c r="AB312" s="241"/>
      <c r="AC312" s="241"/>
      <c r="AD312" s="241"/>
      <c r="AE312" s="241"/>
      <c r="AF312" s="241"/>
      <c r="AG312" s="241"/>
      <c r="AH312" s="241"/>
      <c r="AI312" s="241"/>
      <c r="AJ312" s="241"/>
      <c r="AK312" s="241"/>
      <c r="AL312" s="241"/>
      <c r="AM312" s="241"/>
      <c r="AN312" s="241"/>
      <c r="AO312" s="241"/>
      <c r="AP312" s="241"/>
      <c r="AQ312" s="241"/>
      <c r="AR312" s="241"/>
      <c r="AS312" s="241"/>
      <c r="AT312" s="241"/>
      <c r="AU312" s="241"/>
      <c r="AV312" s="241"/>
      <c r="AW312" s="241"/>
      <c r="AX312" s="241"/>
      <c r="AY312" s="241"/>
      <c r="AZ312" s="241"/>
    </row>
    <row r="313" spans="1:52" s="71" customFormat="1" ht="18" hidden="1" customHeight="1" outlineLevel="2">
      <c r="A313" s="288">
        <v>43</v>
      </c>
      <c r="B313" s="97"/>
      <c r="C313" s="296"/>
      <c r="D313" s="360"/>
      <c r="E313" s="361"/>
      <c r="F313" s="298"/>
      <c r="G313" s="298"/>
      <c r="H313" s="86"/>
      <c r="I313" s="344" t="str">
        <f t="shared" si="70"/>
        <v/>
      </c>
      <c r="J313" s="345"/>
      <c r="K313" s="307"/>
      <c r="L313" s="307"/>
      <c r="M313" s="344" t="str">
        <f t="shared" si="71"/>
        <v/>
      </c>
      <c r="N313" s="345"/>
      <c r="O313" s="225" t="str">
        <f t="shared" si="72"/>
        <v/>
      </c>
      <c r="P313" s="225" t="str">
        <f t="shared" si="73"/>
        <v/>
      </c>
      <c r="Q313" s="284"/>
      <c r="R313" s="225" t="str">
        <f t="shared" si="74"/>
        <v/>
      </c>
      <c r="S313" s="225" t="str">
        <f t="shared" si="75"/>
        <v/>
      </c>
      <c r="T313" s="231" t="str">
        <f t="shared" si="76"/>
        <v/>
      </c>
      <c r="U313" s="241"/>
      <c r="V313" s="241"/>
      <c r="W313" s="241"/>
      <c r="X313" s="241"/>
      <c r="Y313" s="241"/>
      <c r="Z313" s="241"/>
      <c r="AA313" s="241"/>
      <c r="AB313" s="241"/>
      <c r="AC313" s="241"/>
      <c r="AD313" s="241"/>
      <c r="AE313" s="241"/>
      <c r="AF313" s="241"/>
      <c r="AG313" s="241"/>
      <c r="AH313" s="241"/>
      <c r="AI313" s="241"/>
      <c r="AJ313" s="241"/>
      <c r="AK313" s="241"/>
      <c r="AL313" s="241"/>
      <c r="AM313" s="241"/>
      <c r="AN313" s="241"/>
      <c r="AO313" s="241"/>
      <c r="AP313" s="241"/>
      <c r="AQ313" s="241"/>
      <c r="AR313" s="241"/>
      <c r="AS313" s="241"/>
      <c r="AT313" s="241"/>
      <c r="AU313" s="241"/>
      <c r="AV313" s="241"/>
      <c r="AW313" s="241"/>
      <c r="AX313" s="241"/>
      <c r="AY313" s="241"/>
      <c r="AZ313" s="241"/>
    </row>
    <row r="314" spans="1:52" s="71" customFormat="1" ht="18" hidden="1" customHeight="1" outlineLevel="2">
      <c r="A314" s="288">
        <v>44</v>
      </c>
      <c r="B314" s="97"/>
      <c r="C314" s="296"/>
      <c r="D314" s="360"/>
      <c r="E314" s="361"/>
      <c r="F314" s="298"/>
      <c r="G314" s="298"/>
      <c r="H314" s="86"/>
      <c r="I314" s="344" t="str">
        <f t="shared" si="70"/>
        <v/>
      </c>
      <c r="J314" s="345"/>
      <c r="K314" s="307"/>
      <c r="L314" s="307"/>
      <c r="M314" s="344" t="str">
        <f t="shared" si="71"/>
        <v/>
      </c>
      <c r="N314" s="345"/>
      <c r="O314" s="225" t="str">
        <f t="shared" si="72"/>
        <v/>
      </c>
      <c r="P314" s="225" t="str">
        <f t="shared" si="73"/>
        <v/>
      </c>
      <c r="Q314" s="284"/>
      <c r="R314" s="225" t="str">
        <f t="shared" si="74"/>
        <v/>
      </c>
      <c r="S314" s="225" t="str">
        <f t="shared" si="75"/>
        <v/>
      </c>
      <c r="T314" s="231" t="str">
        <f t="shared" si="76"/>
        <v/>
      </c>
      <c r="U314" s="241"/>
      <c r="V314" s="241"/>
      <c r="W314" s="241"/>
      <c r="X314" s="241"/>
      <c r="Y314" s="241"/>
      <c r="Z314" s="241"/>
      <c r="AA314" s="241"/>
      <c r="AB314" s="241"/>
      <c r="AC314" s="241"/>
      <c r="AD314" s="241"/>
      <c r="AE314" s="241"/>
      <c r="AF314" s="241"/>
      <c r="AG314" s="241"/>
      <c r="AH314" s="241"/>
      <c r="AI314" s="241"/>
      <c r="AJ314" s="241"/>
      <c r="AK314" s="241"/>
      <c r="AL314" s="241"/>
      <c r="AM314" s="241"/>
      <c r="AN314" s="241"/>
      <c r="AO314" s="241"/>
      <c r="AP314" s="241"/>
      <c r="AQ314" s="241"/>
      <c r="AR314" s="241"/>
      <c r="AS314" s="241"/>
      <c r="AT314" s="241"/>
      <c r="AU314" s="241"/>
      <c r="AV314" s="241"/>
      <c r="AW314" s="241"/>
      <c r="AX314" s="241"/>
      <c r="AY314" s="241"/>
      <c r="AZ314" s="241"/>
    </row>
    <row r="315" spans="1:52" s="71" customFormat="1" ht="18" hidden="1" customHeight="1" outlineLevel="2">
      <c r="A315" s="288">
        <v>45</v>
      </c>
      <c r="B315" s="97"/>
      <c r="C315" s="296"/>
      <c r="D315" s="360"/>
      <c r="E315" s="361"/>
      <c r="F315" s="298"/>
      <c r="G315" s="298"/>
      <c r="H315" s="86"/>
      <c r="I315" s="344" t="str">
        <f t="shared" si="70"/>
        <v/>
      </c>
      <c r="J315" s="345"/>
      <c r="K315" s="307"/>
      <c r="L315" s="307"/>
      <c r="M315" s="344" t="str">
        <f t="shared" si="71"/>
        <v/>
      </c>
      <c r="N315" s="345"/>
      <c r="O315" s="225" t="str">
        <f t="shared" si="72"/>
        <v/>
      </c>
      <c r="P315" s="225" t="str">
        <f t="shared" si="73"/>
        <v/>
      </c>
      <c r="Q315" s="284"/>
      <c r="R315" s="225" t="str">
        <f t="shared" si="74"/>
        <v/>
      </c>
      <c r="S315" s="225" t="str">
        <f t="shared" si="75"/>
        <v/>
      </c>
      <c r="T315" s="231" t="str">
        <f t="shared" si="76"/>
        <v/>
      </c>
      <c r="U315" s="241"/>
      <c r="V315" s="241"/>
      <c r="W315" s="241"/>
      <c r="X315" s="241"/>
      <c r="Y315" s="241"/>
      <c r="Z315" s="241"/>
      <c r="AA315" s="241"/>
      <c r="AB315" s="241"/>
      <c r="AC315" s="241"/>
      <c r="AD315" s="241"/>
      <c r="AE315" s="241"/>
      <c r="AF315" s="241"/>
      <c r="AG315" s="241"/>
      <c r="AH315" s="241"/>
      <c r="AI315" s="241"/>
      <c r="AJ315" s="241"/>
      <c r="AK315" s="241"/>
      <c r="AL315" s="241"/>
      <c r="AM315" s="241"/>
      <c r="AN315" s="241"/>
      <c r="AO315" s="241"/>
      <c r="AP315" s="241"/>
      <c r="AQ315" s="241"/>
      <c r="AR315" s="241"/>
      <c r="AS315" s="241"/>
      <c r="AT315" s="241"/>
      <c r="AU315" s="241"/>
      <c r="AV315" s="241"/>
      <c r="AW315" s="241"/>
      <c r="AX315" s="241"/>
      <c r="AY315" s="241"/>
      <c r="AZ315" s="241"/>
    </row>
    <row r="316" spans="1:52" s="71" customFormat="1" ht="18" hidden="1" customHeight="1" outlineLevel="2">
      <c r="A316" s="288">
        <v>46</v>
      </c>
      <c r="B316" s="97"/>
      <c r="C316" s="296"/>
      <c r="D316" s="360"/>
      <c r="E316" s="361"/>
      <c r="F316" s="298"/>
      <c r="G316" s="298"/>
      <c r="H316" s="86"/>
      <c r="I316" s="344" t="str">
        <f t="shared" si="70"/>
        <v/>
      </c>
      <c r="J316" s="345"/>
      <c r="K316" s="307"/>
      <c r="L316" s="307"/>
      <c r="M316" s="344" t="str">
        <f t="shared" si="71"/>
        <v/>
      </c>
      <c r="N316" s="345"/>
      <c r="O316" s="225" t="str">
        <f t="shared" si="72"/>
        <v/>
      </c>
      <c r="P316" s="225" t="str">
        <f t="shared" si="73"/>
        <v/>
      </c>
      <c r="Q316" s="284"/>
      <c r="R316" s="225" t="str">
        <f t="shared" si="74"/>
        <v/>
      </c>
      <c r="S316" s="225" t="str">
        <f t="shared" si="75"/>
        <v/>
      </c>
      <c r="T316" s="231" t="str">
        <f t="shared" si="76"/>
        <v/>
      </c>
      <c r="U316" s="241"/>
      <c r="V316" s="241"/>
      <c r="W316" s="241"/>
      <c r="X316" s="241"/>
      <c r="Y316" s="241"/>
      <c r="Z316" s="241"/>
      <c r="AA316" s="241"/>
      <c r="AB316" s="241"/>
      <c r="AC316" s="241"/>
      <c r="AD316" s="241"/>
      <c r="AE316" s="241"/>
      <c r="AF316" s="241"/>
      <c r="AG316" s="241"/>
      <c r="AH316" s="241"/>
      <c r="AI316" s="241"/>
      <c r="AJ316" s="241"/>
      <c r="AK316" s="241"/>
      <c r="AL316" s="241"/>
      <c r="AM316" s="241"/>
      <c r="AN316" s="241"/>
      <c r="AO316" s="241"/>
      <c r="AP316" s="241"/>
      <c r="AQ316" s="241"/>
      <c r="AR316" s="241"/>
      <c r="AS316" s="241"/>
      <c r="AT316" s="241"/>
      <c r="AU316" s="241"/>
      <c r="AV316" s="241"/>
      <c r="AW316" s="241"/>
      <c r="AX316" s="241"/>
      <c r="AY316" s="241"/>
      <c r="AZ316" s="241"/>
    </row>
    <row r="317" spans="1:52" s="71" customFormat="1" ht="18" hidden="1" customHeight="1" outlineLevel="2">
      <c r="A317" s="288">
        <v>47</v>
      </c>
      <c r="B317" s="97"/>
      <c r="C317" s="296"/>
      <c r="D317" s="360"/>
      <c r="E317" s="361"/>
      <c r="F317" s="298"/>
      <c r="G317" s="298"/>
      <c r="H317" s="86"/>
      <c r="I317" s="344" t="str">
        <f t="shared" si="70"/>
        <v/>
      </c>
      <c r="J317" s="345"/>
      <c r="K317" s="307"/>
      <c r="L317" s="307"/>
      <c r="M317" s="344" t="str">
        <f t="shared" si="71"/>
        <v/>
      </c>
      <c r="N317" s="345"/>
      <c r="O317" s="225" t="str">
        <f t="shared" si="72"/>
        <v/>
      </c>
      <c r="P317" s="225" t="str">
        <f t="shared" si="73"/>
        <v/>
      </c>
      <c r="Q317" s="284"/>
      <c r="R317" s="225" t="str">
        <f t="shared" si="74"/>
        <v/>
      </c>
      <c r="S317" s="225" t="str">
        <f t="shared" si="75"/>
        <v/>
      </c>
      <c r="T317" s="231" t="str">
        <f t="shared" si="76"/>
        <v/>
      </c>
      <c r="U317" s="241"/>
      <c r="V317" s="241"/>
      <c r="W317" s="241"/>
      <c r="X317" s="241"/>
      <c r="Y317" s="241"/>
      <c r="Z317" s="241"/>
      <c r="AA317" s="241"/>
      <c r="AB317" s="241"/>
      <c r="AC317" s="241"/>
      <c r="AD317" s="241"/>
      <c r="AE317" s="241"/>
      <c r="AF317" s="241"/>
      <c r="AG317" s="241"/>
      <c r="AH317" s="241"/>
      <c r="AI317" s="241"/>
      <c r="AJ317" s="241"/>
      <c r="AK317" s="241"/>
      <c r="AL317" s="241"/>
      <c r="AM317" s="241"/>
      <c r="AN317" s="241"/>
      <c r="AO317" s="241"/>
      <c r="AP317" s="241"/>
      <c r="AQ317" s="241"/>
      <c r="AR317" s="241"/>
      <c r="AS317" s="241"/>
      <c r="AT317" s="241"/>
      <c r="AU317" s="241"/>
      <c r="AV317" s="241"/>
      <c r="AW317" s="241"/>
      <c r="AX317" s="241"/>
      <c r="AY317" s="241"/>
      <c r="AZ317" s="241"/>
    </row>
    <row r="318" spans="1:52" s="71" customFormat="1" ht="18" hidden="1" customHeight="1" outlineLevel="2">
      <c r="A318" s="288">
        <v>48</v>
      </c>
      <c r="B318" s="97"/>
      <c r="C318" s="296"/>
      <c r="D318" s="360"/>
      <c r="E318" s="361"/>
      <c r="F318" s="298"/>
      <c r="G318" s="298"/>
      <c r="H318" s="86"/>
      <c r="I318" s="344" t="str">
        <f t="shared" si="70"/>
        <v/>
      </c>
      <c r="J318" s="345"/>
      <c r="K318" s="307"/>
      <c r="L318" s="307"/>
      <c r="M318" s="344" t="str">
        <f t="shared" si="71"/>
        <v/>
      </c>
      <c r="N318" s="345"/>
      <c r="O318" s="225" t="str">
        <f t="shared" si="72"/>
        <v/>
      </c>
      <c r="P318" s="225" t="str">
        <f t="shared" si="73"/>
        <v/>
      </c>
      <c r="Q318" s="284"/>
      <c r="R318" s="225" t="str">
        <f t="shared" si="74"/>
        <v/>
      </c>
      <c r="S318" s="225" t="str">
        <f t="shared" si="75"/>
        <v/>
      </c>
      <c r="T318" s="231" t="str">
        <f t="shared" si="76"/>
        <v/>
      </c>
      <c r="U318" s="241"/>
      <c r="V318" s="241"/>
      <c r="W318" s="241"/>
      <c r="X318" s="241"/>
      <c r="Y318" s="241"/>
      <c r="Z318" s="241"/>
      <c r="AA318" s="241"/>
      <c r="AB318" s="241"/>
      <c r="AC318" s="241"/>
      <c r="AD318" s="241"/>
      <c r="AE318" s="241"/>
      <c r="AF318" s="241"/>
      <c r="AG318" s="241"/>
      <c r="AH318" s="241"/>
      <c r="AI318" s="241"/>
      <c r="AJ318" s="241"/>
      <c r="AK318" s="241"/>
      <c r="AL318" s="241"/>
      <c r="AM318" s="241"/>
      <c r="AN318" s="241"/>
      <c r="AO318" s="241"/>
      <c r="AP318" s="241"/>
      <c r="AQ318" s="241"/>
      <c r="AR318" s="241"/>
      <c r="AS318" s="241"/>
      <c r="AT318" s="241"/>
      <c r="AU318" s="241"/>
      <c r="AV318" s="241"/>
      <c r="AW318" s="241"/>
      <c r="AX318" s="241"/>
      <c r="AY318" s="241"/>
      <c r="AZ318" s="241"/>
    </row>
    <row r="319" spans="1:52" s="71" customFormat="1" ht="18" hidden="1" customHeight="1" outlineLevel="2">
      <c r="A319" s="288">
        <v>49</v>
      </c>
      <c r="B319" s="97"/>
      <c r="C319" s="296"/>
      <c r="D319" s="360"/>
      <c r="E319" s="361"/>
      <c r="F319" s="298"/>
      <c r="G319" s="298"/>
      <c r="H319" s="86"/>
      <c r="I319" s="344" t="str">
        <f t="shared" si="70"/>
        <v/>
      </c>
      <c r="J319" s="345"/>
      <c r="K319" s="307"/>
      <c r="L319" s="307"/>
      <c r="M319" s="344" t="str">
        <f t="shared" si="71"/>
        <v/>
      </c>
      <c r="N319" s="345"/>
      <c r="O319" s="225" t="str">
        <f t="shared" si="72"/>
        <v/>
      </c>
      <c r="P319" s="225" t="str">
        <f t="shared" si="73"/>
        <v/>
      </c>
      <c r="Q319" s="284"/>
      <c r="R319" s="225" t="str">
        <f t="shared" si="74"/>
        <v/>
      </c>
      <c r="S319" s="225" t="str">
        <f t="shared" si="75"/>
        <v/>
      </c>
      <c r="T319" s="231" t="str">
        <f t="shared" si="76"/>
        <v/>
      </c>
      <c r="U319" s="241"/>
      <c r="V319" s="241"/>
      <c r="W319" s="241"/>
      <c r="X319" s="241"/>
      <c r="Y319" s="241"/>
      <c r="Z319" s="241"/>
      <c r="AA319" s="241"/>
      <c r="AB319" s="241"/>
      <c r="AC319" s="241"/>
      <c r="AD319" s="241"/>
      <c r="AE319" s="241"/>
      <c r="AF319" s="241"/>
      <c r="AG319" s="241"/>
      <c r="AH319" s="241"/>
      <c r="AI319" s="241"/>
      <c r="AJ319" s="241"/>
      <c r="AK319" s="241"/>
      <c r="AL319" s="241"/>
      <c r="AM319" s="241"/>
      <c r="AN319" s="241"/>
      <c r="AO319" s="241"/>
      <c r="AP319" s="241"/>
      <c r="AQ319" s="241"/>
      <c r="AR319" s="241"/>
      <c r="AS319" s="241"/>
      <c r="AT319" s="241"/>
      <c r="AU319" s="241"/>
      <c r="AV319" s="241"/>
      <c r="AW319" s="241"/>
      <c r="AX319" s="241"/>
      <c r="AY319" s="241"/>
      <c r="AZ319" s="241"/>
    </row>
    <row r="320" spans="1:52" s="71" customFormat="1" ht="18" hidden="1" customHeight="1" outlineLevel="2">
      <c r="A320" s="288">
        <v>50</v>
      </c>
      <c r="B320" s="97"/>
      <c r="C320" s="296"/>
      <c r="D320" s="360"/>
      <c r="E320" s="361"/>
      <c r="F320" s="298"/>
      <c r="G320" s="298"/>
      <c r="H320" s="86"/>
      <c r="I320" s="344" t="str">
        <f t="shared" si="70"/>
        <v/>
      </c>
      <c r="J320" s="345"/>
      <c r="K320" s="307"/>
      <c r="L320" s="307"/>
      <c r="M320" s="344" t="str">
        <f t="shared" si="71"/>
        <v/>
      </c>
      <c r="N320" s="345"/>
      <c r="O320" s="225" t="str">
        <f t="shared" si="72"/>
        <v/>
      </c>
      <c r="P320" s="225" t="str">
        <f t="shared" si="73"/>
        <v/>
      </c>
      <c r="Q320" s="284"/>
      <c r="R320" s="225" t="str">
        <f t="shared" si="74"/>
        <v/>
      </c>
      <c r="S320" s="225" t="str">
        <f t="shared" si="75"/>
        <v/>
      </c>
      <c r="T320" s="231" t="str">
        <f t="shared" si="76"/>
        <v/>
      </c>
      <c r="U320" s="241"/>
      <c r="V320" s="241"/>
      <c r="W320" s="241"/>
      <c r="X320" s="241"/>
      <c r="Y320" s="241"/>
      <c r="Z320" s="241"/>
      <c r="AA320" s="241"/>
      <c r="AB320" s="241"/>
      <c r="AC320" s="241"/>
      <c r="AD320" s="241"/>
      <c r="AE320" s="241"/>
      <c r="AF320" s="241"/>
      <c r="AG320" s="241"/>
      <c r="AH320" s="241"/>
      <c r="AI320" s="241"/>
      <c r="AJ320" s="241"/>
      <c r="AK320" s="241"/>
      <c r="AL320" s="241"/>
      <c r="AM320" s="241"/>
      <c r="AN320" s="241"/>
      <c r="AO320" s="241"/>
      <c r="AP320" s="241"/>
      <c r="AQ320" s="241"/>
      <c r="AR320" s="241"/>
      <c r="AS320" s="241"/>
      <c r="AT320" s="241"/>
      <c r="AU320" s="241"/>
      <c r="AV320" s="241"/>
      <c r="AW320" s="241"/>
      <c r="AX320" s="241"/>
      <c r="AY320" s="241"/>
      <c r="AZ320" s="241"/>
    </row>
    <row r="321" spans="1:52" s="71" customFormat="1" ht="18" hidden="1" customHeight="1" outlineLevel="1" collapsed="1">
      <c r="A321" s="288">
        <v>51</v>
      </c>
      <c r="B321" s="97"/>
      <c r="C321" s="296"/>
      <c r="D321" s="360"/>
      <c r="E321" s="361"/>
      <c r="F321" s="298"/>
      <c r="G321" s="298"/>
      <c r="H321" s="86"/>
      <c r="I321" s="344" t="str">
        <f t="shared" si="70"/>
        <v/>
      </c>
      <c r="J321" s="345"/>
      <c r="K321" s="307"/>
      <c r="L321" s="307"/>
      <c r="M321" s="344" t="str">
        <f t="shared" si="71"/>
        <v/>
      </c>
      <c r="N321" s="345"/>
      <c r="O321" s="225" t="str">
        <f t="shared" si="72"/>
        <v/>
      </c>
      <c r="P321" s="225" t="str">
        <f t="shared" si="73"/>
        <v/>
      </c>
      <c r="Q321" s="284"/>
      <c r="R321" s="225" t="str">
        <f t="shared" si="74"/>
        <v/>
      </c>
      <c r="S321" s="225" t="str">
        <f t="shared" si="75"/>
        <v/>
      </c>
      <c r="T321" s="231" t="str">
        <f t="shared" si="76"/>
        <v/>
      </c>
      <c r="U321" s="176" t="s">
        <v>165</v>
      </c>
      <c r="V321" s="241"/>
      <c r="W321" s="241"/>
      <c r="X321" s="241"/>
      <c r="Y321" s="241"/>
      <c r="Z321" s="241"/>
      <c r="AA321" s="241"/>
      <c r="AB321" s="241"/>
      <c r="AC321" s="241"/>
      <c r="AD321" s="241"/>
      <c r="AE321" s="241"/>
      <c r="AF321" s="241"/>
      <c r="AG321" s="241"/>
      <c r="AH321" s="241"/>
      <c r="AI321" s="241"/>
      <c r="AJ321" s="241"/>
      <c r="AK321" s="241"/>
      <c r="AL321" s="241"/>
      <c r="AM321" s="241"/>
      <c r="AN321" s="241"/>
      <c r="AO321" s="241"/>
      <c r="AP321" s="241"/>
      <c r="AQ321" s="241"/>
      <c r="AR321" s="241"/>
      <c r="AS321" s="241"/>
      <c r="AT321" s="241"/>
      <c r="AU321" s="241"/>
      <c r="AV321" s="241"/>
      <c r="AW321" s="241"/>
      <c r="AX321" s="241"/>
      <c r="AY321" s="241"/>
      <c r="AZ321" s="241"/>
    </row>
    <row r="322" spans="1:52" s="71" customFormat="1" ht="18" hidden="1" customHeight="1" outlineLevel="2">
      <c r="A322" s="288">
        <v>52</v>
      </c>
      <c r="B322" s="97"/>
      <c r="C322" s="296"/>
      <c r="D322" s="360"/>
      <c r="E322" s="361"/>
      <c r="F322" s="298"/>
      <c r="G322" s="298"/>
      <c r="H322" s="86"/>
      <c r="I322" s="344" t="str">
        <f t="shared" si="70"/>
        <v/>
      </c>
      <c r="J322" s="345"/>
      <c r="K322" s="307"/>
      <c r="L322" s="307"/>
      <c r="M322" s="344" t="str">
        <f t="shared" si="71"/>
        <v/>
      </c>
      <c r="N322" s="345"/>
      <c r="O322" s="225" t="str">
        <f t="shared" si="72"/>
        <v/>
      </c>
      <c r="P322" s="225" t="str">
        <f t="shared" si="73"/>
        <v/>
      </c>
      <c r="Q322" s="284"/>
      <c r="R322" s="225" t="str">
        <f t="shared" si="74"/>
        <v/>
      </c>
      <c r="S322" s="225" t="str">
        <f t="shared" si="75"/>
        <v/>
      </c>
      <c r="T322" s="231" t="str">
        <f t="shared" si="76"/>
        <v/>
      </c>
      <c r="U322" s="241"/>
      <c r="V322" s="241"/>
      <c r="W322" s="241"/>
      <c r="X322" s="241"/>
      <c r="Y322" s="241"/>
      <c r="Z322" s="241"/>
      <c r="AA322" s="241"/>
      <c r="AB322" s="241"/>
      <c r="AC322" s="241"/>
      <c r="AD322" s="241"/>
      <c r="AE322" s="241"/>
      <c r="AF322" s="241"/>
      <c r="AG322" s="241"/>
      <c r="AH322" s="241"/>
      <c r="AI322" s="241"/>
      <c r="AJ322" s="241"/>
      <c r="AK322" s="241"/>
      <c r="AL322" s="241"/>
      <c r="AM322" s="241"/>
      <c r="AN322" s="241"/>
      <c r="AO322" s="241"/>
      <c r="AP322" s="241"/>
      <c r="AQ322" s="241"/>
      <c r="AR322" s="241"/>
      <c r="AS322" s="241"/>
      <c r="AT322" s="241"/>
      <c r="AU322" s="241"/>
      <c r="AV322" s="241"/>
      <c r="AW322" s="241"/>
      <c r="AX322" s="241"/>
      <c r="AY322" s="241"/>
      <c r="AZ322" s="241"/>
    </row>
    <row r="323" spans="1:52" s="71" customFormat="1" ht="18" hidden="1" customHeight="1" outlineLevel="2">
      <c r="A323" s="288">
        <v>53</v>
      </c>
      <c r="B323" s="97"/>
      <c r="C323" s="296"/>
      <c r="D323" s="360"/>
      <c r="E323" s="361"/>
      <c r="F323" s="298"/>
      <c r="G323" s="298"/>
      <c r="H323" s="86"/>
      <c r="I323" s="344" t="str">
        <f t="shared" si="70"/>
        <v/>
      </c>
      <c r="J323" s="345"/>
      <c r="K323" s="307"/>
      <c r="L323" s="307"/>
      <c r="M323" s="344" t="str">
        <f t="shared" si="71"/>
        <v/>
      </c>
      <c r="N323" s="345"/>
      <c r="O323" s="225" t="str">
        <f t="shared" si="72"/>
        <v/>
      </c>
      <c r="P323" s="225" t="str">
        <f t="shared" si="73"/>
        <v/>
      </c>
      <c r="Q323" s="284"/>
      <c r="R323" s="225" t="str">
        <f t="shared" si="74"/>
        <v/>
      </c>
      <c r="S323" s="225" t="str">
        <f t="shared" si="75"/>
        <v/>
      </c>
      <c r="T323" s="231" t="str">
        <f t="shared" si="76"/>
        <v/>
      </c>
      <c r="U323" s="241"/>
      <c r="V323" s="241"/>
      <c r="W323" s="241"/>
      <c r="X323" s="241"/>
      <c r="Y323" s="241"/>
      <c r="Z323" s="241"/>
      <c r="AA323" s="241"/>
      <c r="AB323" s="241"/>
      <c r="AC323" s="241"/>
      <c r="AD323" s="241"/>
      <c r="AE323" s="241"/>
      <c r="AF323" s="241"/>
      <c r="AG323" s="241"/>
      <c r="AH323" s="241"/>
      <c r="AI323" s="241"/>
      <c r="AJ323" s="241"/>
      <c r="AK323" s="241"/>
      <c r="AL323" s="241"/>
      <c r="AM323" s="241"/>
      <c r="AN323" s="241"/>
      <c r="AO323" s="241"/>
      <c r="AP323" s="241"/>
      <c r="AQ323" s="241"/>
      <c r="AR323" s="241"/>
      <c r="AS323" s="241"/>
      <c r="AT323" s="241"/>
      <c r="AU323" s="241"/>
      <c r="AV323" s="241"/>
      <c r="AW323" s="241"/>
      <c r="AX323" s="241"/>
      <c r="AY323" s="241"/>
      <c r="AZ323" s="241"/>
    </row>
    <row r="324" spans="1:52" s="71" customFormat="1" ht="18" hidden="1" customHeight="1" outlineLevel="2">
      <c r="A324" s="288">
        <v>54</v>
      </c>
      <c r="B324" s="97"/>
      <c r="C324" s="296"/>
      <c r="D324" s="360"/>
      <c r="E324" s="361"/>
      <c r="F324" s="298"/>
      <c r="G324" s="298"/>
      <c r="H324" s="86"/>
      <c r="I324" s="344" t="str">
        <f t="shared" si="70"/>
        <v/>
      </c>
      <c r="J324" s="345"/>
      <c r="K324" s="307"/>
      <c r="L324" s="307"/>
      <c r="M324" s="344" t="str">
        <f t="shared" si="71"/>
        <v/>
      </c>
      <c r="N324" s="345"/>
      <c r="O324" s="225" t="str">
        <f t="shared" si="72"/>
        <v/>
      </c>
      <c r="P324" s="225" t="str">
        <f t="shared" si="73"/>
        <v/>
      </c>
      <c r="Q324" s="284"/>
      <c r="R324" s="225" t="str">
        <f t="shared" si="74"/>
        <v/>
      </c>
      <c r="S324" s="225" t="str">
        <f t="shared" si="75"/>
        <v/>
      </c>
      <c r="T324" s="231" t="str">
        <f t="shared" si="76"/>
        <v/>
      </c>
      <c r="U324" s="241"/>
      <c r="V324" s="241"/>
      <c r="W324" s="241"/>
      <c r="X324" s="241"/>
      <c r="Y324" s="241"/>
      <c r="Z324" s="241"/>
      <c r="AA324" s="241"/>
      <c r="AB324" s="241"/>
      <c r="AC324" s="241"/>
      <c r="AD324" s="241"/>
      <c r="AE324" s="241"/>
      <c r="AF324" s="241"/>
      <c r="AG324" s="241"/>
      <c r="AH324" s="241"/>
      <c r="AI324" s="241"/>
      <c r="AJ324" s="241"/>
      <c r="AK324" s="241"/>
      <c r="AL324" s="241"/>
      <c r="AM324" s="241"/>
      <c r="AN324" s="241"/>
      <c r="AO324" s="241"/>
      <c r="AP324" s="241"/>
      <c r="AQ324" s="241"/>
      <c r="AR324" s="241"/>
      <c r="AS324" s="241"/>
      <c r="AT324" s="241"/>
      <c r="AU324" s="241"/>
      <c r="AV324" s="241"/>
      <c r="AW324" s="241"/>
      <c r="AX324" s="241"/>
      <c r="AY324" s="241"/>
      <c r="AZ324" s="241"/>
    </row>
    <row r="325" spans="1:52" s="71" customFormat="1" ht="18" hidden="1" customHeight="1" outlineLevel="2">
      <c r="A325" s="288">
        <v>55</v>
      </c>
      <c r="B325" s="97"/>
      <c r="C325" s="296"/>
      <c r="D325" s="360"/>
      <c r="E325" s="361"/>
      <c r="F325" s="298"/>
      <c r="G325" s="298"/>
      <c r="H325" s="86"/>
      <c r="I325" s="344" t="str">
        <f t="shared" si="70"/>
        <v/>
      </c>
      <c r="J325" s="345"/>
      <c r="K325" s="307"/>
      <c r="L325" s="307"/>
      <c r="M325" s="344" t="str">
        <f t="shared" si="71"/>
        <v/>
      </c>
      <c r="N325" s="345"/>
      <c r="O325" s="225" t="str">
        <f t="shared" si="72"/>
        <v/>
      </c>
      <c r="P325" s="225" t="str">
        <f t="shared" si="73"/>
        <v/>
      </c>
      <c r="Q325" s="284"/>
      <c r="R325" s="225" t="str">
        <f t="shared" si="74"/>
        <v/>
      </c>
      <c r="S325" s="225" t="str">
        <f t="shared" si="75"/>
        <v/>
      </c>
      <c r="T325" s="231" t="str">
        <f t="shared" si="76"/>
        <v/>
      </c>
      <c r="U325" s="241"/>
      <c r="V325" s="241"/>
      <c r="W325" s="241"/>
      <c r="X325" s="241"/>
      <c r="Y325" s="241"/>
      <c r="Z325" s="241"/>
      <c r="AA325" s="241"/>
      <c r="AB325" s="241"/>
      <c r="AC325" s="241"/>
      <c r="AD325" s="241"/>
      <c r="AE325" s="241"/>
      <c r="AF325" s="241"/>
      <c r="AG325" s="241"/>
      <c r="AH325" s="241"/>
      <c r="AI325" s="241"/>
      <c r="AJ325" s="241"/>
      <c r="AK325" s="241"/>
      <c r="AL325" s="241"/>
      <c r="AM325" s="241"/>
      <c r="AN325" s="241"/>
      <c r="AO325" s="241"/>
      <c r="AP325" s="241"/>
      <c r="AQ325" s="241"/>
      <c r="AR325" s="241"/>
      <c r="AS325" s="241"/>
      <c r="AT325" s="241"/>
      <c r="AU325" s="241"/>
      <c r="AV325" s="241"/>
      <c r="AW325" s="241"/>
      <c r="AX325" s="241"/>
      <c r="AY325" s="241"/>
      <c r="AZ325" s="241"/>
    </row>
    <row r="326" spans="1:52" s="71" customFormat="1" ht="18" hidden="1" customHeight="1" outlineLevel="2">
      <c r="A326" s="288">
        <v>56</v>
      </c>
      <c r="B326" s="97"/>
      <c r="C326" s="296"/>
      <c r="D326" s="360"/>
      <c r="E326" s="361"/>
      <c r="F326" s="298"/>
      <c r="G326" s="298"/>
      <c r="H326" s="86"/>
      <c r="I326" s="344" t="str">
        <f t="shared" si="70"/>
        <v/>
      </c>
      <c r="J326" s="345"/>
      <c r="K326" s="307"/>
      <c r="L326" s="307"/>
      <c r="M326" s="344" t="str">
        <f t="shared" si="71"/>
        <v/>
      </c>
      <c r="N326" s="345"/>
      <c r="O326" s="225" t="str">
        <f t="shared" si="72"/>
        <v/>
      </c>
      <c r="P326" s="225" t="str">
        <f t="shared" si="73"/>
        <v/>
      </c>
      <c r="Q326" s="284"/>
      <c r="R326" s="225" t="str">
        <f t="shared" si="74"/>
        <v/>
      </c>
      <c r="S326" s="225" t="str">
        <f t="shared" si="75"/>
        <v/>
      </c>
      <c r="T326" s="231" t="str">
        <f t="shared" si="76"/>
        <v/>
      </c>
      <c r="U326" s="241"/>
      <c r="V326" s="241"/>
      <c r="W326" s="241"/>
      <c r="X326" s="241"/>
      <c r="Y326" s="241"/>
      <c r="Z326" s="241"/>
      <c r="AA326" s="241"/>
      <c r="AB326" s="241"/>
      <c r="AC326" s="241"/>
      <c r="AD326" s="241"/>
      <c r="AE326" s="241"/>
      <c r="AF326" s="241"/>
      <c r="AG326" s="241"/>
      <c r="AH326" s="241"/>
      <c r="AI326" s="241"/>
      <c r="AJ326" s="241"/>
      <c r="AK326" s="241"/>
      <c r="AL326" s="241"/>
      <c r="AM326" s="241"/>
      <c r="AN326" s="241"/>
      <c r="AO326" s="241"/>
      <c r="AP326" s="241"/>
      <c r="AQ326" s="241"/>
      <c r="AR326" s="241"/>
      <c r="AS326" s="241"/>
      <c r="AT326" s="241"/>
      <c r="AU326" s="241"/>
      <c r="AV326" s="241"/>
      <c r="AW326" s="241"/>
      <c r="AX326" s="241"/>
      <c r="AY326" s="241"/>
      <c r="AZ326" s="241"/>
    </row>
    <row r="327" spans="1:52" s="71" customFormat="1" ht="18" hidden="1" customHeight="1" outlineLevel="2">
      <c r="A327" s="288">
        <v>57</v>
      </c>
      <c r="B327" s="97"/>
      <c r="C327" s="296"/>
      <c r="D327" s="360"/>
      <c r="E327" s="361"/>
      <c r="F327" s="298"/>
      <c r="G327" s="298"/>
      <c r="H327" s="86"/>
      <c r="I327" s="344" t="str">
        <f t="shared" si="70"/>
        <v/>
      </c>
      <c r="J327" s="345"/>
      <c r="K327" s="307"/>
      <c r="L327" s="307"/>
      <c r="M327" s="344" t="str">
        <f t="shared" si="71"/>
        <v/>
      </c>
      <c r="N327" s="345"/>
      <c r="O327" s="225" t="str">
        <f t="shared" si="72"/>
        <v/>
      </c>
      <c r="P327" s="225" t="str">
        <f t="shared" si="73"/>
        <v/>
      </c>
      <c r="Q327" s="284"/>
      <c r="R327" s="225" t="str">
        <f t="shared" si="74"/>
        <v/>
      </c>
      <c r="S327" s="225" t="str">
        <f t="shared" si="75"/>
        <v/>
      </c>
      <c r="T327" s="231" t="str">
        <f t="shared" si="76"/>
        <v/>
      </c>
      <c r="U327" s="241"/>
      <c r="V327" s="241"/>
      <c r="W327" s="241"/>
      <c r="X327" s="241"/>
      <c r="Y327" s="241"/>
      <c r="Z327" s="241"/>
      <c r="AA327" s="241"/>
      <c r="AB327" s="241"/>
      <c r="AC327" s="241"/>
      <c r="AD327" s="241"/>
      <c r="AE327" s="241"/>
      <c r="AF327" s="241"/>
      <c r="AG327" s="241"/>
      <c r="AH327" s="241"/>
      <c r="AI327" s="241"/>
      <c r="AJ327" s="241"/>
      <c r="AK327" s="241"/>
      <c r="AL327" s="241"/>
      <c r="AM327" s="241"/>
      <c r="AN327" s="241"/>
      <c r="AO327" s="241"/>
      <c r="AP327" s="241"/>
      <c r="AQ327" s="241"/>
      <c r="AR327" s="241"/>
      <c r="AS327" s="241"/>
      <c r="AT327" s="241"/>
      <c r="AU327" s="241"/>
      <c r="AV327" s="241"/>
      <c r="AW327" s="241"/>
      <c r="AX327" s="241"/>
      <c r="AY327" s="241"/>
      <c r="AZ327" s="241"/>
    </row>
    <row r="328" spans="1:52" s="71" customFormat="1" ht="18" hidden="1" customHeight="1" outlineLevel="2">
      <c r="A328" s="288">
        <v>58</v>
      </c>
      <c r="B328" s="97"/>
      <c r="C328" s="296"/>
      <c r="D328" s="360"/>
      <c r="E328" s="361"/>
      <c r="F328" s="298"/>
      <c r="G328" s="298"/>
      <c r="H328" s="86"/>
      <c r="I328" s="344" t="str">
        <f t="shared" si="70"/>
        <v/>
      </c>
      <c r="J328" s="345"/>
      <c r="K328" s="307"/>
      <c r="L328" s="307"/>
      <c r="M328" s="344" t="str">
        <f t="shared" si="71"/>
        <v/>
      </c>
      <c r="N328" s="345"/>
      <c r="O328" s="225" t="str">
        <f t="shared" si="72"/>
        <v/>
      </c>
      <c r="P328" s="225" t="str">
        <f t="shared" si="73"/>
        <v/>
      </c>
      <c r="Q328" s="284"/>
      <c r="R328" s="225" t="str">
        <f t="shared" si="74"/>
        <v/>
      </c>
      <c r="S328" s="225" t="str">
        <f t="shared" si="75"/>
        <v/>
      </c>
      <c r="T328" s="231" t="str">
        <f t="shared" si="76"/>
        <v/>
      </c>
      <c r="U328" s="241"/>
      <c r="V328" s="241"/>
      <c r="W328" s="241"/>
      <c r="X328" s="241"/>
      <c r="Y328" s="241"/>
      <c r="Z328" s="241"/>
      <c r="AA328" s="241"/>
      <c r="AB328" s="241"/>
      <c r="AC328" s="241"/>
      <c r="AD328" s="241"/>
      <c r="AE328" s="241"/>
      <c r="AF328" s="241"/>
      <c r="AG328" s="241"/>
      <c r="AH328" s="241"/>
      <c r="AI328" s="241"/>
      <c r="AJ328" s="241"/>
      <c r="AK328" s="241"/>
      <c r="AL328" s="241"/>
      <c r="AM328" s="241"/>
      <c r="AN328" s="241"/>
      <c r="AO328" s="241"/>
      <c r="AP328" s="241"/>
      <c r="AQ328" s="241"/>
      <c r="AR328" s="241"/>
      <c r="AS328" s="241"/>
      <c r="AT328" s="241"/>
      <c r="AU328" s="241"/>
      <c r="AV328" s="241"/>
      <c r="AW328" s="241"/>
      <c r="AX328" s="241"/>
      <c r="AY328" s="241"/>
      <c r="AZ328" s="241"/>
    </row>
    <row r="329" spans="1:52" s="71" customFormat="1" ht="18" hidden="1" customHeight="1" outlineLevel="2">
      <c r="A329" s="288">
        <v>59</v>
      </c>
      <c r="B329" s="97"/>
      <c r="C329" s="296"/>
      <c r="D329" s="360"/>
      <c r="E329" s="361"/>
      <c r="F329" s="298"/>
      <c r="G329" s="298"/>
      <c r="H329" s="86"/>
      <c r="I329" s="344" t="str">
        <f t="shared" si="70"/>
        <v/>
      </c>
      <c r="J329" s="345"/>
      <c r="K329" s="307"/>
      <c r="L329" s="307"/>
      <c r="M329" s="344" t="str">
        <f t="shared" si="71"/>
        <v/>
      </c>
      <c r="N329" s="345"/>
      <c r="O329" s="225" t="str">
        <f t="shared" si="72"/>
        <v/>
      </c>
      <c r="P329" s="225" t="str">
        <f t="shared" si="73"/>
        <v/>
      </c>
      <c r="Q329" s="284"/>
      <c r="R329" s="225" t="str">
        <f t="shared" si="74"/>
        <v/>
      </c>
      <c r="S329" s="225" t="str">
        <f t="shared" si="75"/>
        <v/>
      </c>
      <c r="T329" s="231" t="str">
        <f t="shared" si="76"/>
        <v/>
      </c>
      <c r="U329" s="241"/>
      <c r="V329" s="241"/>
      <c r="W329" s="241"/>
      <c r="X329" s="241"/>
      <c r="Y329" s="241"/>
      <c r="Z329" s="241"/>
      <c r="AA329" s="241"/>
      <c r="AB329" s="241"/>
      <c r="AC329" s="241"/>
      <c r="AD329" s="241"/>
      <c r="AE329" s="241"/>
      <c r="AF329" s="241"/>
      <c r="AG329" s="241"/>
      <c r="AH329" s="241"/>
      <c r="AI329" s="241"/>
      <c r="AJ329" s="241"/>
      <c r="AK329" s="241"/>
      <c r="AL329" s="241"/>
      <c r="AM329" s="241"/>
      <c r="AN329" s="241"/>
      <c r="AO329" s="241"/>
      <c r="AP329" s="241"/>
      <c r="AQ329" s="241"/>
      <c r="AR329" s="241"/>
      <c r="AS329" s="241"/>
      <c r="AT329" s="241"/>
      <c r="AU329" s="241"/>
      <c r="AV329" s="241"/>
      <c r="AW329" s="241"/>
      <c r="AX329" s="241"/>
      <c r="AY329" s="241"/>
      <c r="AZ329" s="241"/>
    </row>
    <row r="330" spans="1:52" s="71" customFormat="1" ht="18" hidden="1" customHeight="1" outlineLevel="2">
      <c r="A330" s="288">
        <v>60</v>
      </c>
      <c r="B330" s="97"/>
      <c r="C330" s="296"/>
      <c r="D330" s="360"/>
      <c r="E330" s="361"/>
      <c r="F330" s="298"/>
      <c r="G330" s="298"/>
      <c r="H330" s="86"/>
      <c r="I330" s="344" t="str">
        <f t="shared" si="70"/>
        <v/>
      </c>
      <c r="J330" s="345"/>
      <c r="K330" s="307"/>
      <c r="L330" s="307"/>
      <c r="M330" s="344" t="str">
        <f t="shared" si="71"/>
        <v/>
      </c>
      <c r="N330" s="345"/>
      <c r="O330" s="225" t="str">
        <f t="shared" si="72"/>
        <v/>
      </c>
      <c r="P330" s="225" t="str">
        <f t="shared" si="73"/>
        <v/>
      </c>
      <c r="Q330" s="284"/>
      <c r="R330" s="225" t="str">
        <f t="shared" si="74"/>
        <v/>
      </c>
      <c r="S330" s="225" t="str">
        <f t="shared" si="75"/>
        <v/>
      </c>
      <c r="T330" s="231" t="str">
        <f t="shared" si="76"/>
        <v/>
      </c>
      <c r="U330" s="241"/>
      <c r="V330" s="241"/>
      <c r="W330" s="241"/>
      <c r="X330" s="241"/>
      <c r="Y330" s="241"/>
      <c r="Z330" s="241"/>
      <c r="AA330" s="241"/>
      <c r="AB330" s="241"/>
      <c r="AC330" s="241"/>
      <c r="AD330" s="241"/>
      <c r="AE330" s="241"/>
      <c r="AF330" s="241"/>
      <c r="AG330" s="241"/>
      <c r="AH330" s="241"/>
      <c r="AI330" s="241"/>
      <c r="AJ330" s="241"/>
      <c r="AK330" s="241"/>
      <c r="AL330" s="241"/>
      <c r="AM330" s="241"/>
      <c r="AN330" s="241"/>
      <c r="AO330" s="241"/>
      <c r="AP330" s="241"/>
      <c r="AQ330" s="241"/>
      <c r="AR330" s="241"/>
      <c r="AS330" s="241"/>
      <c r="AT330" s="241"/>
      <c r="AU330" s="241"/>
      <c r="AV330" s="241"/>
      <c r="AW330" s="241"/>
      <c r="AX330" s="241"/>
      <c r="AY330" s="241"/>
      <c r="AZ330" s="241"/>
    </row>
    <row r="331" spans="1:52" s="71" customFormat="1" ht="18" hidden="1" customHeight="1" outlineLevel="2">
      <c r="A331" s="288">
        <v>61</v>
      </c>
      <c r="B331" s="97"/>
      <c r="C331" s="296"/>
      <c r="D331" s="360"/>
      <c r="E331" s="361"/>
      <c r="F331" s="298"/>
      <c r="G331" s="298"/>
      <c r="H331" s="86"/>
      <c r="I331" s="344" t="str">
        <f t="shared" si="70"/>
        <v/>
      </c>
      <c r="J331" s="345"/>
      <c r="K331" s="307"/>
      <c r="L331" s="307"/>
      <c r="M331" s="344" t="str">
        <f t="shared" si="71"/>
        <v/>
      </c>
      <c r="N331" s="345"/>
      <c r="O331" s="225" t="str">
        <f t="shared" si="72"/>
        <v/>
      </c>
      <c r="P331" s="225" t="str">
        <f t="shared" si="73"/>
        <v/>
      </c>
      <c r="Q331" s="284"/>
      <c r="R331" s="225" t="str">
        <f t="shared" si="74"/>
        <v/>
      </c>
      <c r="S331" s="225" t="str">
        <f t="shared" si="75"/>
        <v/>
      </c>
      <c r="T331" s="231" t="str">
        <f t="shared" si="76"/>
        <v/>
      </c>
      <c r="U331" s="241"/>
      <c r="V331" s="241"/>
      <c r="W331" s="241"/>
      <c r="X331" s="241"/>
      <c r="Y331" s="241"/>
      <c r="Z331" s="241"/>
      <c r="AA331" s="241"/>
      <c r="AB331" s="241"/>
      <c r="AC331" s="241"/>
      <c r="AD331" s="241"/>
      <c r="AE331" s="241"/>
      <c r="AF331" s="241"/>
      <c r="AG331" s="241"/>
      <c r="AH331" s="241"/>
      <c r="AI331" s="241"/>
      <c r="AJ331" s="241"/>
      <c r="AK331" s="241"/>
      <c r="AL331" s="241"/>
      <c r="AM331" s="241"/>
      <c r="AN331" s="241"/>
      <c r="AO331" s="241"/>
      <c r="AP331" s="241"/>
      <c r="AQ331" s="241"/>
      <c r="AR331" s="241"/>
      <c r="AS331" s="241"/>
      <c r="AT331" s="241"/>
      <c r="AU331" s="241"/>
      <c r="AV331" s="241"/>
      <c r="AW331" s="241"/>
      <c r="AX331" s="241"/>
      <c r="AY331" s="241"/>
      <c r="AZ331" s="241"/>
    </row>
    <row r="332" spans="1:52" s="71" customFormat="1" ht="18" hidden="1" customHeight="1" outlineLevel="2">
      <c r="A332" s="288">
        <v>62</v>
      </c>
      <c r="B332" s="97"/>
      <c r="C332" s="296"/>
      <c r="D332" s="360"/>
      <c r="E332" s="361"/>
      <c r="F332" s="298"/>
      <c r="G332" s="298"/>
      <c r="H332" s="86"/>
      <c r="I332" s="344" t="str">
        <f t="shared" si="70"/>
        <v/>
      </c>
      <c r="J332" s="345"/>
      <c r="K332" s="307"/>
      <c r="L332" s="307"/>
      <c r="M332" s="344" t="str">
        <f t="shared" si="71"/>
        <v/>
      </c>
      <c r="N332" s="345"/>
      <c r="O332" s="225" t="str">
        <f t="shared" si="72"/>
        <v/>
      </c>
      <c r="P332" s="225" t="str">
        <f t="shared" si="73"/>
        <v/>
      </c>
      <c r="Q332" s="284"/>
      <c r="R332" s="225" t="str">
        <f t="shared" si="74"/>
        <v/>
      </c>
      <c r="S332" s="225" t="str">
        <f t="shared" si="75"/>
        <v/>
      </c>
      <c r="T332" s="231" t="str">
        <f t="shared" si="76"/>
        <v/>
      </c>
      <c r="U332" s="241"/>
      <c r="V332" s="241"/>
      <c r="W332" s="241"/>
      <c r="X332" s="241"/>
      <c r="Y332" s="241"/>
      <c r="Z332" s="241"/>
      <c r="AA332" s="241"/>
      <c r="AB332" s="241"/>
      <c r="AC332" s="241"/>
      <c r="AD332" s="241"/>
      <c r="AE332" s="241"/>
      <c r="AF332" s="241"/>
      <c r="AG332" s="241"/>
      <c r="AH332" s="241"/>
      <c r="AI332" s="241"/>
      <c r="AJ332" s="241"/>
      <c r="AK332" s="241"/>
      <c r="AL332" s="241"/>
      <c r="AM332" s="241"/>
      <c r="AN332" s="241"/>
      <c r="AO332" s="241"/>
      <c r="AP332" s="241"/>
      <c r="AQ332" s="241"/>
      <c r="AR332" s="241"/>
      <c r="AS332" s="241"/>
      <c r="AT332" s="241"/>
      <c r="AU332" s="241"/>
      <c r="AV332" s="241"/>
      <c r="AW332" s="241"/>
      <c r="AX332" s="241"/>
      <c r="AY332" s="241"/>
      <c r="AZ332" s="241"/>
    </row>
    <row r="333" spans="1:52" s="71" customFormat="1" ht="18" hidden="1" customHeight="1" outlineLevel="2">
      <c r="A333" s="288">
        <v>63</v>
      </c>
      <c r="B333" s="97"/>
      <c r="C333" s="296"/>
      <c r="D333" s="360"/>
      <c r="E333" s="361"/>
      <c r="F333" s="298"/>
      <c r="G333" s="298"/>
      <c r="H333" s="86"/>
      <c r="I333" s="344" t="str">
        <f t="shared" si="70"/>
        <v/>
      </c>
      <c r="J333" s="345"/>
      <c r="K333" s="307"/>
      <c r="L333" s="307"/>
      <c r="M333" s="344" t="str">
        <f t="shared" si="71"/>
        <v/>
      </c>
      <c r="N333" s="345"/>
      <c r="O333" s="225" t="str">
        <f t="shared" si="72"/>
        <v/>
      </c>
      <c r="P333" s="225" t="str">
        <f t="shared" si="73"/>
        <v/>
      </c>
      <c r="Q333" s="284"/>
      <c r="R333" s="225" t="str">
        <f t="shared" si="74"/>
        <v/>
      </c>
      <c r="S333" s="225" t="str">
        <f t="shared" si="75"/>
        <v/>
      </c>
      <c r="T333" s="231" t="str">
        <f t="shared" si="76"/>
        <v/>
      </c>
      <c r="U333" s="241"/>
      <c r="V333" s="241"/>
      <c r="W333" s="241"/>
      <c r="X333" s="241"/>
      <c r="Y333" s="241"/>
      <c r="Z333" s="241"/>
      <c r="AA333" s="241"/>
      <c r="AB333" s="241"/>
      <c r="AC333" s="241"/>
      <c r="AD333" s="241"/>
      <c r="AE333" s="241"/>
      <c r="AF333" s="241"/>
      <c r="AG333" s="241"/>
      <c r="AH333" s="241"/>
      <c r="AI333" s="241"/>
      <c r="AJ333" s="241"/>
      <c r="AK333" s="241"/>
      <c r="AL333" s="241"/>
      <c r="AM333" s="241"/>
      <c r="AN333" s="241"/>
      <c r="AO333" s="241"/>
      <c r="AP333" s="241"/>
      <c r="AQ333" s="241"/>
      <c r="AR333" s="241"/>
      <c r="AS333" s="241"/>
      <c r="AT333" s="241"/>
      <c r="AU333" s="241"/>
      <c r="AV333" s="241"/>
      <c r="AW333" s="241"/>
      <c r="AX333" s="241"/>
      <c r="AY333" s="241"/>
      <c r="AZ333" s="241"/>
    </row>
    <row r="334" spans="1:52" s="71" customFormat="1" ht="18" hidden="1" customHeight="1" outlineLevel="2">
      <c r="A334" s="288">
        <v>64</v>
      </c>
      <c r="B334" s="97"/>
      <c r="C334" s="296"/>
      <c r="D334" s="360"/>
      <c r="E334" s="361"/>
      <c r="F334" s="298"/>
      <c r="G334" s="298"/>
      <c r="H334" s="86"/>
      <c r="I334" s="344" t="str">
        <f t="shared" si="70"/>
        <v/>
      </c>
      <c r="J334" s="345"/>
      <c r="K334" s="307"/>
      <c r="L334" s="307"/>
      <c r="M334" s="344" t="str">
        <f t="shared" si="71"/>
        <v/>
      </c>
      <c r="N334" s="345"/>
      <c r="O334" s="225" t="str">
        <f t="shared" si="72"/>
        <v/>
      </c>
      <c r="P334" s="225" t="str">
        <f t="shared" si="73"/>
        <v/>
      </c>
      <c r="Q334" s="284"/>
      <c r="R334" s="225" t="str">
        <f t="shared" si="74"/>
        <v/>
      </c>
      <c r="S334" s="225" t="str">
        <f t="shared" si="75"/>
        <v/>
      </c>
      <c r="T334" s="231" t="str">
        <f t="shared" si="76"/>
        <v/>
      </c>
      <c r="U334" s="241"/>
      <c r="V334" s="241"/>
      <c r="W334" s="241"/>
      <c r="X334" s="241"/>
      <c r="Y334" s="241"/>
      <c r="Z334" s="241"/>
      <c r="AA334" s="241"/>
      <c r="AB334" s="241"/>
      <c r="AC334" s="241"/>
      <c r="AD334" s="241"/>
      <c r="AE334" s="241"/>
      <c r="AF334" s="241"/>
      <c r="AG334" s="241"/>
      <c r="AH334" s="241"/>
      <c r="AI334" s="241"/>
      <c r="AJ334" s="241"/>
      <c r="AK334" s="241"/>
      <c r="AL334" s="241"/>
      <c r="AM334" s="241"/>
      <c r="AN334" s="241"/>
      <c r="AO334" s="241"/>
      <c r="AP334" s="241"/>
      <c r="AQ334" s="241"/>
      <c r="AR334" s="241"/>
      <c r="AS334" s="241"/>
      <c r="AT334" s="241"/>
      <c r="AU334" s="241"/>
      <c r="AV334" s="241"/>
      <c r="AW334" s="241"/>
      <c r="AX334" s="241"/>
      <c r="AY334" s="241"/>
      <c r="AZ334" s="241"/>
    </row>
    <row r="335" spans="1:52" s="71" customFormat="1" ht="18" hidden="1" customHeight="1" outlineLevel="2">
      <c r="A335" s="288">
        <v>65</v>
      </c>
      <c r="B335" s="97"/>
      <c r="C335" s="296"/>
      <c r="D335" s="360"/>
      <c r="E335" s="361"/>
      <c r="F335" s="298"/>
      <c r="G335" s="298"/>
      <c r="H335" s="86"/>
      <c r="I335" s="344" t="str">
        <f t="shared" ref="I335:I380" si="77">INDEX(logic_dumulabmed,MATCH($A335,logic_labmedno,0))</f>
        <v/>
      </c>
      <c r="J335" s="345"/>
      <c r="K335" s="307"/>
      <c r="L335" s="307"/>
      <c r="M335" s="344" t="str">
        <f t="shared" ref="M335:M380" si="78">INDEX(logic_wurulabmed,MATCH($A335,logic_labmedno,0))</f>
        <v/>
      </c>
      <c r="N335" s="345"/>
      <c r="O335" s="225" t="str">
        <f t="shared" ref="O335:O380" si="79">INDEX(logic_labmedawub,MATCH($A335,logic_labmedno,0))</f>
        <v/>
      </c>
      <c r="P335" s="225" t="str">
        <f t="shared" ref="P335:P380" si="80">INDEX(logic_labmedawudwoaw,MATCH($A335,logic_labmedno,0))</f>
        <v/>
      </c>
      <c r="Q335" s="284"/>
      <c r="R335" s="225" t="str">
        <f t="shared" ref="R335:R380" si="81">INDEX(logic_labmedawud,MATCH($A335,logic_labmedno,0))</f>
        <v/>
      </c>
      <c r="S335" s="225" t="str">
        <f t="shared" ref="S335:S380" si="82">INDEX(logic_labmedawusa,MATCH($A335,logic_labmedno,0))</f>
        <v/>
      </c>
      <c r="T335" s="231" t="str">
        <f t="shared" ref="T335:T380" si="83">INDEX(logic_labmedawusp,MATCH($A335,logic_labmedno,0))</f>
        <v/>
      </c>
      <c r="U335" s="241"/>
      <c r="V335" s="241"/>
      <c r="W335" s="241"/>
      <c r="X335" s="241"/>
      <c r="Y335" s="241"/>
      <c r="Z335" s="241"/>
      <c r="AA335" s="241"/>
      <c r="AB335" s="241"/>
      <c r="AC335" s="241"/>
      <c r="AD335" s="241"/>
      <c r="AE335" s="241"/>
      <c r="AF335" s="241"/>
      <c r="AG335" s="241"/>
      <c r="AH335" s="241"/>
      <c r="AI335" s="241"/>
      <c r="AJ335" s="241"/>
      <c r="AK335" s="241"/>
      <c r="AL335" s="241"/>
      <c r="AM335" s="241"/>
      <c r="AN335" s="241"/>
      <c r="AO335" s="241"/>
      <c r="AP335" s="241"/>
      <c r="AQ335" s="241"/>
      <c r="AR335" s="241"/>
      <c r="AS335" s="241"/>
      <c r="AT335" s="241"/>
      <c r="AU335" s="241"/>
      <c r="AV335" s="241"/>
      <c r="AW335" s="241"/>
      <c r="AX335" s="241"/>
      <c r="AY335" s="241"/>
      <c r="AZ335" s="241"/>
    </row>
    <row r="336" spans="1:52" s="71" customFormat="1" ht="18" hidden="1" customHeight="1" outlineLevel="2">
      <c r="A336" s="288">
        <v>66</v>
      </c>
      <c r="B336" s="97"/>
      <c r="C336" s="296"/>
      <c r="D336" s="360"/>
      <c r="E336" s="361"/>
      <c r="F336" s="298"/>
      <c r="G336" s="298"/>
      <c r="H336" s="86"/>
      <c r="I336" s="344" t="str">
        <f t="shared" si="77"/>
        <v/>
      </c>
      <c r="J336" s="345"/>
      <c r="K336" s="307"/>
      <c r="L336" s="307"/>
      <c r="M336" s="344" t="str">
        <f t="shared" si="78"/>
        <v/>
      </c>
      <c r="N336" s="345"/>
      <c r="O336" s="225" t="str">
        <f t="shared" si="79"/>
        <v/>
      </c>
      <c r="P336" s="225" t="str">
        <f t="shared" si="80"/>
        <v/>
      </c>
      <c r="Q336" s="284"/>
      <c r="R336" s="225" t="str">
        <f t="shared" si="81"/>
        <v/>
      </c>
      <c r="S336" s="225" t="str">
        <f t="shared" si="82"/>
        <v/>
      </c>
      <c r="T336" s="231" t="str">
        <f t="shared" si="83"/>
        <v/>
      </c>
      <c r="U336" s="241"/>
      <c r="V336" s="241"/>
      <c r="W336" s="241"/>
      <c r="X336" s="241"/>
      <c r="Y336" s="241"/>
      <c r="Z336" s="241"/>
      <c r="AA336" s="241"/>
      <c r="AB336" s="241"/>
      <c r="AC336" s="241"/>
      <c r="AD336" s="241"/>
      <c r="AE336" s="241"/>
      <c r="AF336" s="241"/>
      <c r="AG336" s="241"/>
      <c r="AH336" s="241"/>
      <c r="AI336" s="241"/>
      <c r="AJ336" s="241"/>
      <c r="AK336" s="241"/>
      <c r="AL336" s="241"/>
      <c r="AM336" s="241"/>
      <c r="AN336" s="241"/>
      <c r="AO336" s="241"/>
      <c r="AP336" s="241"/>
      <c r="AQ336" s="241"/>
      <c r="AR336" s="241"/>
      <c r="AS336" s="241"/>
      <c r="AT336" s="241"/>
      <c r="AU336" s="241"/>
      <c r="AV336" s="241"/>
      <c r="AW336" s="241"/>
      <c r="AX336" s="241"/>
      <c r="AY336" s="241"/>
      <c r="AZ336" s="241"/>
    </row>
    <row r="337" spans="1:52" s="71" customFormat="1" ht="18" hidden="1" customHeight="1" outlineLevel="2">
      <c r="A337" s="288">
        <v>67</v>
      </c>
      <c r="B337" s="97"/>
      <c r="C337" s="296"/>
      <c r="D337" s="360"/>
      <c r="E337" s="361"/>
      <c r="F337" s="298"/>
      <c r="G337" s="298"/>
      <c r="H337" s="86"/>
      <c r="I337" s="344" t="str">
        <f t="shared" si="77"/>
        <v/>
      </c>
      <c r="J337" s="345"/>
      <c r="K337" s="307"/>
      <c r="L337" s="307"/>
      <c r="M337" s="344" t="str">
        <f t="shared" si="78"/>
        <v/>
      </c>
      <c r="N337" s="345"/>
      <c r="O337" s="225" t="str">
        <f t="shared" si="79"/>
        <v/>
      </c>
      <c r="P337" s="225" t="str">
        <f t="shared" si="80"/>
        <v/>
      </c>
      <c r="Q337" s="284"/>
      <c r="R337" s="225" t="str">
        <f t="shared" si="81"/>
        <v/>
      </c>
      <c r="S337" s="225" t="str">
        <f t="shared" si="82"/>
        <v/>
      </c>
      <c r="T337" s="231" t="str">
        <f t="shared" si="83"/>
        <v/>
      </c>
      <c r="U337" s="241"/>
      <c r="V337" s="241"/>
      <c r="W337" s="241"/>
      <c r="X337" s="241"/>
      <c r="Y337" s="241"/>
      <c r="Z337" s="241"/>
      <c r="AA337" s="241"/>
      <c r="AB337" s="241"/>
      <c r="AC337" s="241"/>
      <c r="AD337" s="241"/>
      <c r="AE337" s="241"/>
      <c r="AF337" s="241"/>
      <c r="AG337" s="241"/>
      <c r="AH337" s="241"/>
      <c r="AI337" s="241"/>
      <c r="AJ337" s="241"/>
      <c r="AK337" s="241"/>
      <c r="AL337" s="241"/>
      <c r="AM337" s="241"/>
      <c r="AN337" s="241"/>
      <c r="AO337" s="241"/>
      <c r="AP337" s="241"/>
      <c r="AQ337" s="241"/>
      <c r="AR337" s="241"/>
      <c r="AS337" s="241"/>
      <c r="AT337" s="241"/>
      <c r="AU337" s="241"/>
      <c r="AV337" s="241"/>
      <c r="AW337" s="241"/>
      <c r="AX337" s="241"/>
      <c r="AY337" s="241"/>
      <c r="AZ337" s="241"/>
    </row>
    <row r="338" spans="1:52" s="71" customFormat="1" ht="18" hidden="1" customHeight="1" outlineLevel="2">
      <c r="A338" s="288">
        <v>68</v>
      </c>
      <c r="B338" s="97"/>
      <c r="C338" s="296"/>
      <c r="D338" s="360"/>
      <c r="E338" s="361"/>
      <c r="F338" s="298"/>
      <c r="G338" s="298"/>
      <c r="H338" s="86"/>
      <c r="I338" s="344" t="str">
        <f t="shared" si="77"/>
        <v/>
      </c>
      <c r="J338" s="345"/>
      <c r="K338" s="307"/>
      <c r="L338" s="307"/>
      <c r="M338" s="344" t="str">
        <f t="shared" si="78"/>
        <v/>
      </c>
      <c r="N338" s="345"/>
      <c r="O338" s="225" t="str">
        <f t="shared" si="79"/>
        <v/>
      </c>
      <c r="P338" s="225" t="str">
        <f t="shared" si="80"/>
        <v/>
      </c>
      <c r="Q338" s="284"/>
      <c r="R338" s="225" t="str">
        <f t="shared" si="81"/>
        <v/>
      </c>
      <c r="S338" s="225" t="str">
        <f t="shared" si="82"/>
        <v/>
      </c>
      <c r="T338" s="231" t="str">
        <f t="shared" si="83"/>
        <v/>
      </c>
      <c r="U338" s="241"/>
      <c r="V338" s="241"/>
      <c r="W338" s="241"/>
      <c r="X338" s="241"/>
      <c r="Y338" s="241"/>
      <c r="Z338" s="241"/>
      <c r="AA338" s="241"/>
      <c r="AB338" s="241"/>
      <c r="AC338" s="241"/>
      <c r="AD338" s="241"/>
      <c r="AE338" s="241"/>
      <c r="AF338" s="241"/>
      <c r="AG338" s="241"/>
      <c r="AH338" s="241"/>
      <c r="AI338" s="241"/>
      <c r="AJ338" s="241"/>
      <c r="AK338" s="241"/>
      <c r="AL338" s="241"/>
      <c r="AM338" s="241"/>
      <c r="AN338" s="241"/>
      <c r="AO338" s="241"/>
      <c r="AP338" s="241"/>
      <c r="AQ338" s="241"/>
      <c r="AR338" s="241"/>
      <c r="AS338" s="241"/>
      <c r="AT338" s="241"/>
      <c r="AU338" s="241"/>
      <c r="AV338" s="241"/>
      <c r="AW338" s="241"/>
      <c r="AX338" s="241"/>
      <c r="AY338" s="241"/>
      <c r="AZ338" s="241"/>
    </row>
    <row r="339" spans="1:52" s="71" customFormat="1" ht="18" hidden="1" customHeight="1" outlineLevel="2">
      <c r="A339" s="288">
        <v>69</v>
      </c>
      <c r="B339" s="97"/>
      <c r="C339" s="296"/>
      <c r="D339" s="360"/>
      <c r="E339" s="361"/>
      <c r="F339" s="298"/>
      <c r="G339" s="298"/>
      <c r="H339" s="86"/>
      <c r="I339" s="344" t="str">
        <f t="shared" si="77"/>
        <v/>
      </c>
      <c r="J339" s="345"/>
      <c r="K339" s="307"/>
      <c r="L339" s="307"/>
      <c r="M339" s="344" t="str">
        <f t="shared" si="78"/>
        <v/>
      </c>
      <c r="N339" s="345"/>
      <c r="O339" s="225" t="str">
        <f t="shared" si="79"/>
        <v/>
      </c>
      <c r="P339" s="225" t="str">
        <f t="shared" si="80"/>
        <v/>
      </c>
      <c r="Q339" s="284"/>
      <c r="R339" s="225" t="str">
        <f t="shared" si="81"/>
        <v/>
      </c>
      <c r="S339" s="225" t="str">
        <f t="shared" si="82"/>
        <v/>
      </c>
      <c r="T339" s="231" t="str">
        <f t="shared" si="83"/>
        <v/>
      </c>
      <c r="U339" s="241"/>
      <c r="V339" s="241"/>
      <c r="W339" s="241"/>
      <c r="X339" s="241"/>
      <c r="Y339" s="241"/>
      <c r="Z339" s="241"/>
      <c r="AA339" s="241"/>
      <c r="AB339" s="241"/>
      <c r="AC339" s="241"/>
      <c r="AD339" s="241"/>
      <c r="AE339" s="241"/>
      <c r="AF339" s="241"/>
      <c r="AG339" s="241"/>
      <c r="AH339" s="241"/>
      <c r="AI339" s="241"/>
      <c r="AJ339" s="241"/>
      <c r="AK339" s="241"/>
      <c r="AL339" s="241"/>
      <c r="AM339" s="241"/>
      <c r="AN339" s="241"/>
      <c r="AO339" s="241"/>
      <c r="AP339" s="241"/>
      <c r="AQ339" s="241"/>
      <c r="AR339" s="241"/>
      <c r="AS339" s="241"/>
      <c r="AT339" s="241"/>
      <c r="AU339" s="241"/>
      <c r="AV339" s="241"/>
      <c r="AW339" s="241"/>
      <c r="AX339" s="241"/>
      <c r="AY339" s="241"/>
      <c r="AZ339" s="241"/>
    </row>
    <row r="340" spans="1:52" s="71" customFormat="1" ht="18" hidden="1" customHeight="1" outlineLevel="2">
      <c r="A340" s="288">
        <v>70</v>
      </c>
      <c r="B340" s="97"/>
      <c r="C340" s="296"/>
      <c r="D340" s="360"/>
      <c r="E340" s="361"/>
      <c r="F340" s="298"/>
      <c r="G340" s="298"/>
      <c r="H340" s="86"/>
      <c r="I340" s="344" t="str">
        <f t="shared" si="77"/>
        <v/>
      </c>
      <c r="J340" s="345"/>
      <c r="K340" s="307"/>
      <c r="L340" s="307"/>
      <c r="M340" s="344" t="str">
        <f t="shared" si="78"/>
        <v/>
      </c>
      <c r="N340" s="345"/>
      <c r="O340" s="225" t="str">
        <f t="shared" si="79"/>
        <v/>
      </c>
      <c r="P340" s="225" t="str">
        <f t="shared" si="80"/>
        <v/>
      </c>
      <c r="Q340" s="284"/>
      <c r="R340" s="225" t="str">
        <f t="shared" si="81"/>
        <v/>
      </c>
      <c r="S340" s="225" t="str">
        <f t="shared" si="82"/>
        <v/>
      </c>
      <c r="T340" s="231" t="str">
        <f t="shared" si="83"/>
        <v/>
      </c>
      <c r="U340" s="241"/>
      <c r="V340" s="241"/>
      <c r="W340" s="241"/>
      <c r="X340" s="241"/>
      <c r="Y340" s="241"/>
      <c r="Z340" s="241"/>
      <c r="AA340" s="241"/>
      <c r="AB340" s="241"/>
      <c r="AC340" s="241"/>
      <c r="AD340" s="241"/>
      <c r="AE340" s="241"/>
      <c r="AF340" s="241"/>
      <c r="AG340" s="241"/>
      <c r="AH340" s="241"/>
      <c r="AI340" s="241"/>
      <c r="AJ340" s="241"/>
      <c r="AK340" s="241"/>
      <c r="AL340" s="241"/>
      <c r="AM340" s="241"/>
      <c r="AN340" s="241"/>
      <c r="AO340" s="241"/>
      <c r="AP340" s="241"/>
      <c r="AQ340" s="241"/>
      <c r="AR340" s="241"/>
      <c r="AS340" s="241"/>
      <c r="AT340" s="241"/>
      <c r="AU340" s="241"/>
      <c r="AV340" s="241"/>
      <c r="AW340" s="241"/>
      <c r="AX340" s="241"/>
      <c r="AY340" s="241"/>
      <c r="AZ340" s="241"/>
    </row>
    <row r="341" spans="1:52" s="71" customFormat="1" ht="18" hidden="1" customHeight="1" outlineLevel="1" collapsed="1">
      <c r="A341" s="288">
        <v>71</v>
      </c>
      <c r="B341" s="97"/>
      <c r="C341" s="296"/>
      <c r="D341" s="360"/>
      <c r="E341" s="361"/>
      <c r="F341" s="298"/>
      <c r="G341" s="298"/>
      <c r="H341" s="86"/>
      <c r="I341" s="344" t="str">
        <f t="shared" si="77"/>
        <v/>
      </c>
      <c r="J341" s="345"/>
      <c r="K341" s="307"/>
      <c r="L341" s="307"/>
      <c r="M341" s="344" t="str">
        <f t="shared" si="78"/>
        <v/>
      </c>
      <c r="N341" s="345"/>
      <c r="O341" s="225" t="str">
        <f t="shared" si="79"/>
        <v/>
      </c>
      <c r="P341" s="225" t="str">
        <f t="shared" si="80"/>
        <v/>
      </c>
      <c r="Q341" s="284"/>
      <c r="R341" s="225" t="str">
        <f t="shared" si="81"/>
        <v/>
      </c>
      <c r="S341" s="225" t="str">
        <f t="shared" si="82"/>
        <v/>
      </c>
      <c r="T341" s="231" t="str">
        <f t="shared" si="83"/>
        <v/>
      </c>
      <c r="U341" s="176" t="s">
        <v>165</v>
      </c>
      <c r="V341" s="241"/>
      <c r="W341" s="241"/>
      <c r="X341" s="241"/>
      <c r="Y341" s="241"/>
      <c r="Z341" s="241"/>
      <c r="AA341" s="241"/>
      <c r="AB341" s="241"/>
      <c r="AC341" s="241"/>
      <c r="AD341" s="241"/>
      <c r="AE341" s="241"/>
      <c r="AF341" s="241"/>
      <c r="AG341" s="241"/>
      <c r="AH341" s="241"/>
      <c r="AI341" s="241"/>
      <c r="AJ341" s="241"/>
      <c r="AK341" s="241"/>
      <c r="AL341" s="241"/>
      <c r="AM341" s="241"/>
      <c r="AN341" s="241"/>
      <c r="AO341" s="241"/>
      <c r="AP341" s="241"/>
      <c r="AQ341" s="241"/>
      <c r="AR341" s="241"/>
      <c r="AS341" s="241"/>
      <c r="AT341" s="241"/>
      <c r="AU341" s="241"/>
      <c r="AV341" s="241"/>
      <c r="AW341" s="241"/>
      <c r="AX341" s="241"/>
      <c r="AY341" s="241"/>
      <c r="AZ341" s="241"/>
    </row>
    <row r="342" spans="1:52" s="71" customFormat="1" ht="18" hidden="1" customHeight="1" outlineLevel="2">
      <c r="A342" s="288">
        <v>72</v>
      </c>
      <c r="B342" s="97"/>
      <c r="C342" s="296"/>
      <c r="D342" s="360"/>
      <c r="E342" s="361"/>
      <c r="F342" s="298"/>
      <c r="G342" s="298"/>
      <c r="H342" s="86"/>
      <c r="I342" s="344" t="str">
        <f t="shared" si="77"/>
        <v/>
      </c>
      <c r="J342" s="345"/>
      <c r="K342" s="307"/>
      <c r="L342" s="307"/>
      <c r="M342" s="344" t="str">
        <f t="shared" si="78"/>
        <v/>
      </c>
      <c r="N342" s="345"/>
      <c r="O342" s="225" t="str">
        <f t="shared" si="79"/>
        <v/>
      </c>
      <c r="P342" s="225" t="str">
        <f t="shared" si="80"/>
        <v/>
      </c>
      <c r="Q342" s="284"/>
      <c r="R342" s="225" t="str">
        <f t="shared" si="81"/>
        <v/>
      </c>
      <c r="S342" s="225" t="str">
        <f t="shared" si="82"/>
        <v/>
      </c>
      <c r="T342" s="231" t="str">
        <f t="shared" si="83"/>
        <v/>
      </c>
      <c r="U342" s="241"/>
      <c r="V342" s="241"/>
      <c r="W342" s="241"/>
      <c r="X342" s="241"/>
      <c r="Y342" s="241"/>
      <c r="Z342" s="241"/>
      <c r="AA342" s="241"/>
      <c r="AB342" s="241"/>
      <c r="AC342" s="241"/>
      <c r="AD342" s="241"/>
      <c r="AE342" s="241"/>
      <c r="AF342" s="241"/>
      <c r="AG342" s="241"/>
      <c r="AH342" s="241"/>
      <c r="AI342" s="241"/>
      <c r="AJ342" s="241"/>
      <c r="AK342" s="241"/>
      <c r="AL342" s="241"/>
      <c r="AM342" s="241"/>
      <c r="AN342" s="241"/>
      <c r="AO342" s="241"/>
      <c r="AP342" s="241"/>
      <c r="AQ342" s="241"/>
      <c r="AR342" s="241"/>
      <c r="AS342" s="241"/>
      <c r="AT342" s="241"/>
      <c r="AU342" s="241"/>
      <c r="AV342" s="241"/>
      <c r="AW342" s="241"/>
      <c r="AX342" s="241"/>
      <c r="AY342" s="241"/>
      <c r="AZ342" s="241"/>
    </row>
    <row r="343" spans="1:52" s="71" customFormat="1" ht="18" hidden="1" customHeight="1" outlineLevel="2">
      <c r="A343" s="288">
        <v>73</v>
      </c>
      <c r="B343" s="97"/>
      <c r="C343" s="296"/>
      <c r="D343" s="360"/>
      <c r="E343" s="361"/>
      <c r="F343" s="298"/>
      <c r="G343" s="298"/>
      <c r="H343" s="86"/>
      <c r="I343" s="344" t="str">
        <f t="shared" si="77"/>
        <v/>
      </c>
      <c r="J343" s="345"/>
      <c r="K343" s="307"/>
      <c r="L343" s="307"/>
      <c r="M343" s="344" t="str">
        <f t="shared" si="78"/>
        <v/>
      </c>
      <c r="N343" s="345"/>
      <c r="O343" s="225" t="str">
        <f t="shared" si="79"/>
        <v/>
      </c>
      <c r="P343" s="225" t="str">
        <f t="shared" si="80"/>
        <v/>
      </c>
      <c r="Q343" s="284"/>
      <c r="R343" s="225" t="str">
        <f t="shared" si="81"/>
        <v/>
      </c>
      <c r="S343" s="225" t="str">
        <f t="shared" si="82"/>
        <v/>
      </c>
      <c r="T343" s="231" t="str">
        <f t="shared" si="83"/>
        <v/>
      </c>
      <c r="U343" s="241"/>
      <c r="V343" s="241"/>
      <c r="W343" s="241"/>
      <c r="X343" s="241"/>
      <c r="Y343" s="241"/>
      <c r="Z343" s="241"/>
      <c r="AA343" s="241"/>
      <c r="AB343" s="241"/>
      <c r="AC343" s="241"/>
      <c r="AD343" s="241"/>
      <c r="AE343" s="241"/>
      <c r="AF343" s="241"/>
      <c r="AG343" s="241"/>
      <c r="AH343" s="241"/>
      <c r="AI343" s="241"/>
      <c r="AJ343" s="241"/>
      <c r="AK343" s="241"/>
      <c r="AL343" s="241"/>
      <c r="AM343" s="241"/>
      <c r="AN343" s="241"/>
      <c r="AO343" s="241"/>
      <c r="AP343" s="241"/>
      <c r="AQ343" s="241"/>
      <c r="AR343" s="241"/>
      <c r="AS343" s="241"/>
      <c r="AT343" s="241"/>
      <c r="AU343" s="241"/>
      <c r="AV343" s="241"/>
      <c r="AW343" s="241"/>
      <c r="AX343" s="241"/>
      <c r="AY343" s="241"/>
      <c r="AZ343" s="241"/>
    </row>
    <row r="344" spans="1:52" s="71" customFormat="1" ht="18" hidden="1" customHeight="1" outlineLevel="2">
      <c r="A344" s="288">
        <v>74</v>
      </c>
      <c r="B344" s="97"/>
      <c r="C344" s="296"/>
      <c r="D344" s="360"/>
      <c r="E344" s="361"/>
      <c r="F344" s="298"/>
      <c r="G344" s="298"/>
      <c r="H344" s="86"/>
      <c r="I344" s="344" t="str">
        <f t="shared" si="77"/>
        <v/>
      </c>
      <c r="J344" s="345"/>
      <c r="K344" s="307"/>
      <c r="L344" s="307"/>
      <c r="M344" s="344" t="str">
        <f t="shared" si="78"/>
        <v/>
      </c>
      <c r="N344" s="345"/>
      <c r="O344" s="225" t="str">
        <f t="shared" si="79"/>
        <v/>
      </c>
      <c r="P344" s="225" t="str">
        <f t="shared" si="80"/>
        <v/>
      </c>
      <c r="Q344" s="284"/>
      <c r="R344" s="225" t="str">
        <f t="shared" si="81"/>
        <v/>
      </c>
      <c r="S344" s="225" t="str">
        <f t="shared" si="82"/>
        <v/>
      </c>
      <c r="T344" s="231" t="str">
        <f t="shared" si="83"/>
        <v/>
      </c>
      <c r="U344" s="241"/>
      <c r="V344" s="241"/>
      <c r="W344" s="241"/>
      <c r="X344" s="241"/>
      <c r="Y344" s="241"/>
      <c r="Z344" s="241"/>
      <c r="AA344" s="241"/>
      <c r="AB344" s="241"/>
      <c r="AC344" s="241"/>
      <c r="AD344" s="241"/>
      <c r="AE344" s="241"/>
      <c r="AF344" s="241"/>
      <c r="AG344" s="241"/>
      <c r="AH344" s="241"/>
      <c r="AI344" s="241"/>
      <c r="AJ344" s="241"/>
      <c r="AK344" s="241"/>
      <c r="AL344" s="241"/>
      <c r="AM344" s="241"/>
      <c r="AN344" s="241"/>
      <c r="AO344" s="241"/>
      <c r="AP344" s="241"/>
      <c r="AQ344" s="241"/>
      <c r="AR344" s="241"/>
      <c r="AS344" s="241"/>
      <c r="AT344" s="241"/>
      <c r="AU344" s="241"/>
      <c r="AV344" s="241"/>
      <c r="AW344" s="241"/>
      <c r="AX344" s="241"/>
      <c r="AY344" s="241"/>
      <c r="AZ344" s="241"/>
    </row>
    <row r="345" spans="1:52" s="71" customFormat="1" ht="18" hidden="1" customHeight="1" outlineLevel="2">
      <c r="A345" s="288">
        <v>75</v>
      </c>
      <c r="B345" s="97"/>
      <c r="C345" s="296"/>
      <c r="D345" s="360"/>
      <c r="E345" s="361"/>
      <c r="F345" s="298"/>
      <c r="G345" s="298"/>
      <c r="H345" s="86"/>
      <c r="I345" s="344" t="str">
        <f t="shared" si="77"/>
        <v/>
      </c>
      <c r="J345" s="345"/>
      <c r="K345" s="307"/>
      <c r="L345" s="307"/>
      <c r="M345" s="344" t="str">
        <f t="shared" si="78"/>
        <v/>
      </c>
      <c r="N345" s="345"/>
      <c r="O345" s="225" t="str">
        <f t="shared" si="79"/>
        <v/>
      </c>
      <c r="P345" s="225" t="str">
        <f t="shared" si="80"/>
        <v/>
      </c>
      <c r="Q345" s="284"/>
      <c r="R345" s="225" t="str">
        <f t="shared" si="81"/>
        <v/>
      </c>
      <c r="S345" s="225" t="str">
        <f t="shared" si="82"/>
        <v/>
      </c>
      <c r="T345" s="231" t="str">
        <f t="shared" si="83"/>
        <v/>
      </c>
      <c r="U345" s="241"/>
      <c r="V345" s="241"/>
      <c r="W345" s="241"/>
      <c r="X345" s="241"/>
      <c r="Y345" s="241"/>
      <c r="Z345" s="241"/>
      <c r="AA345" s="241"/>
      <c r="AB345" s="241"/>
      <c r="AC345" s="241"/>
      <c r="AD345" s="241"/>
      <c r="AE345" s="241"/>
      <c r="AF345" s="241"/>
      <c r="AG345" s="241"/>
      <c r="AH345" s="241"/>
      <c r="AI345" s="241"/>
      <c r="AJ345" s="241"/>
      <c r="AK345" s="241"/>
      <c r="AL345" s="241"/>
      <c r="AM345" s="241"/>
      <c r="AN345" s="241"/>
      <c r="AO345" s="241"/>
      <c r="AP345" s="241"/>
      <c r="AQ345" s="241"/>
      <c r="AR345" s="241"/>
      <c r="AS345" s="241"/>
      <c r="AT345" s="241"/>
      <c r="AU345" s="241"/>
      <c r="AV345" s="241"/>
      <c r="AW345" s="241"/>
      <c r="AX345" s="241"/>
      <c r="AY345" s="241"/>
      <c r="AZ345" s="241"/>
    </row>
    <row r="346" spans="1:52" s="71" customFormat="1" ht="18" hidden="1" customHeight="1" outlineLevel="2">
      <c r="A346" s="288">
        <v>76</v>
      </c>
      <c r="B346" s="97"/>
      <c r="C346" s="296"/>
      <c r="D346" s="360"/>
      <c r="E346" s="361"/>
      <c r="F346" s="298"/>
      <c r="G346" s="298"/>
      <c r="H346" s="86"/>
      <c r="I346" s="344" t="str">
        <f t="shared" si="77"/>
        <v/>
      </c>
      <c r="J346" s="345"/>
      <c r="K346" s="307"/>
      <c r="L346" s="307"/>
      <c r="M346" s="344" t="str">
        <f t="shared" si="78"/>
        <v/>
      </c>
      <c r="N346" s="345"/>
      <c r="O346" s="225" t="str">
        <f t="shared" si="79"/>
        <v/>
      </c>
      <c r="P346" s="225" t="str">
        <f t="shared" si="80"/>
        <v/>
      </c>
      <c r="Q346" s="284"/>
      <c r="R346" s="225" t="str">
        <f t="shared" si="81"/>
        <v/>
      </c>
      <c r="S346" s="225" t="str">
        <f t="shared" si="82"/>
        <v/>
      </c>
      <c r="T346" s="231" t="str">
        <f t="shared" si="83"/>
        <v/>
      </c>
      <c r="U346" s="241"/>
      <c r="V346" s="241"/>
      <c r="W346" s="241"/>
      <c r="X346" s="241"/>
      <c r="Y346" s="241"/>
      <c r="Z346" s="241"/>
      <c r="AA346" s="241"/>
      <c r="AB346" s="241"/>
      <c r="AC346" s="241"/>
      <c r="AD346" s="241"/>
      <c r="AE346" s="241"/>
      <c r="AF346" s="241"/>
      <c r="AG346" s="241"/>
      <c r="AH346" s="241"/>
      <c r="AI346" s="241"/>
      <c r="AJ346" s="241"/>
      <c r="AK346" s="241"/>
      <c r="AL346" s="241"/>
      <c r="AM346" s="241"/>
      <c r="AN346" s="241"/>
      <c r="AO346" s="241"/>
      <c r="AP346" s="241"/>
      <c r="AQ346" s="241"/>
      <c r="AR346" s="241"/>
      <c r="AS346" s="241"/>
      <c r="AT346" s="241"/>
      <c r="AU346" s="241"/>
      <c r="AV346" s="241"/>
      <c r="AW346" s="241"/>
      <c r="AX346" s="241"/>
      <c r="AY346" s="241"/>
      <c r="AZ346" s="241"/>
    </row>
    <row r="347" spans="1:52" s="71" customFormat="1" ht="18" hidden="1" customHeight="1" outlineLevel="2">
      <c r="A347" s="288">
        <v>77</v>
      </c>
      <c r="B347" s="97"/>
      <c r="C347" s="296"/>
      <c r="D347" s="360"/>
      <c r="E347" s="361"/>
      <c r="F347" s="298"/>
      <c r="G347" s="298"/>
      <c r="H347" s="86"/>
      <c r="I347" s="344" t="str">
        <f t="shared" si="77"/>
        <v/>
      </c>
      <c r="J347" s="345"/>
      <c r="K347" s="307"/>
      <c r="L347" s="307"/>
      <c r="M347" s="344" t="str">
        <f t="shared" si="78"/>
        <v/>
      </c>
      <c r="N347" s="345"/>
      <c r="O347" s="225" t="str">
        <f t="shared" si="79"/>
        <v/>
      </c>
      <c r="P347" s="225" t="str">
        <f t="shared" si="80"/>
        <v/>
      </c>
      <c r="Q347" s="284"/>
      <c r="R347" s="225" t="str">
        <f t="shared" si="81"/>
        <v/>
      </c>
      <c r="S347" s="225" t="str">
        <f t="shared" si="82"/>
        <v/>
      </c>
      <c r="T347" s="231" t="str">
        <f t="shared" si="83"/>
        <v/>
      </c>
      <c r="U347" s="241"/>
      <c r="V347" s="241"/>
      <c r="W347" s="241"/>
      <c r="X347" s="241"/>
      <c r="Y347" s="241"/>
      <c r="Z347" s="241"/>
      <c r="AA347" s="241"/>
      <c r="AB347" s="241"/>
      <c r="AC347" s="241"/>
      <c r="AD347" s="241"/>
      <c r="AE347" s="241"/>
      <c r="AF347" s="241"/>
      <c r="AG347" s="241"/>
      <c r="AH347" s="241"/>
      <c r="AI347" s="241"/>
      <c r="AJ347" s="241"/>
      <c r="AK347" s="241"/>
      <c r="AL347" s="241"/>
      <c r="AM347" s="241"/>
      <c r="AN347" s="241"/>
      <c r="AO347" s="241"/>
      <c r="AP347" s="241"/>
      <c r="AQ347" s="241"/>
      <c r="AR347" s="241"/>
      <c r="AS347" s="241"/>
      <c r="AT347" s="241"/>
      <c r="AU347" s="241"/>
      <c r="AV347" s="241"/>
      <c r="AW347" s="241"/>
      <c r="AX347" s="241"/>
      <c r="AY347" s="241"/>
      <c r="AZ347" s="241"/>
    </row>
    <row r="348" spans="1:52" s="71" customFormat="1" ht="18" hidden="1" customHeight="1" outlineLevel="2">
      <c r="A348" s="288">
        <v>78</v>
      </c>
      <c r="B348" s="97"/>
      <c r="C348" s="296"/>
      <c r="D348" s="360"/>
      <c r="E348" s="361"/>
      <c r="F348" s="298"/>
      <c r="G348" s="298"/>
      <c r="H348" s="86"/>
      <c r="I348" s="344" t="str">
        <f t="shared" si="77"/>
        <v/>
      </c>
      <c r="J348" s="345"/>
      <c r="K348" s="307"/>
      <c r="L348" s="307"/>
      <c r="M348" s="344" t="str">
        <f t="shared" si="78"/>
        <v/>
      </c>
      <c r="N348" s="345"/>
      <c r="O348" s="225" t="str">
        <f t="shared" si="79"/>
        <v/>
      </c>
      <c r="P348" s="225" t="str">
        <f t="shared" si="80"/>
        <v/>
      </c>
      <c r="Q348" s="284"/>
      <c r="R348" s="225" t="str">
        <f t="shared" si="81"/>
        <v/>
      </c>
      <c r="S348" s="225" t="str">
        <f t="shared" si="82"/>
        <v/>
      </c>
      <c r="T348" s="231" t="str">
        <f t="shared" si="83"/>
        <v/>
      </c>
      <c r="U348" s="241"/>
      <c r="V348" s="241"/>
      <c r="W348" s="241"/>
      <c r="X348" s="241"/>
      <c r="Y348" s="241"/>
      <c r="Z348" s="241"/>
      <c r="AA348" s="241"/>
      <c r="AB348" s="241"/>
      <c r="AC348" s="241"/>
      <c r="AD348" s="241"/>
      <c r="AE348" s="241"/>
      <c r="AF348" s="241"/>
      <c r="AG348" s="241"/>
      <c r="AH348" s="241"/>
      <c r="AI348" s="241"/>
      <c r="AJ348" s="241"/>
      <c r="AK348" s="241"/>
      <c r="AL348" s="241"/>
      <c r="AM348" s="241"/>
      <c r="AN348" s="241"/>
      <c r="AO348" s="241"/>
      <c r="AP348" s="241"/>
      <c r="AQ348" s="241"/>
      <c r="AR348" s="241"/>
      <c r="AS348" s="241"/>
      <c r="AT348" s="241"/>
      <c r="AU348" s="241"/>
      <c r="AV348" s="241"/>
      <c r="AW348" s="241"/>
      <c r="AX348" s="241"/>
      <c r="AY348" s="241"/>
      <c r="AZ348" s="241"/>
    </row>
    <row r="349" spans="1:52" s="71" customFormat="1" ht="18" hidden="1" customHeight="1" outlineLevel="2">
      <c r="A349" s="288">
        <v>79</v>
      </c>
      <c r="B349" s="97"/>
      <c r="C349" s="296"/>
      <c r="D349" s="360"/>
      <c r="E349" s="361"/>
      <c r="F349" s="298"/>
      <c r="G349" s="298"/>
      <c r="H349" s="86"/>
      <c r="I349" s="344" t="str">
        <f t="shared" si="77"/>
        <v/>
      </c>
      <c r="J349" s="345"/>
      <c r="K349" s="307"/>
      <c r="L349" s="307"/>
      <c r="M349" s="344" t="str">
        <f t="shared" si="78"/>
        <v/>
      </c>
      <c r="N349" s="345"/>
      <c r="O349" s="225" t="str">
        <f t="shared" si="79"/>
        <v/>
      </c>
      <c r="P349" s="225" t="str">
        <f t="shared" si="80"/>
        <v/>
      </c>
      <c r="Q349" s="284"/>
      <c r="R349" s="225" t="str">
        <f t="shared" si="81"/>
        <v/>
      </c>
      <c r="S349" s="225" t="str">
        <f t="shared" si="82"/>
        <v/>
      </c>
      <c r="T349" s="231" t="str">
        <f t="shared" si="83"/>
        <v/>
      </c>
      <c r="U349" s="241"/>
      <c r="V349" s="241"/>
      <c r="W349" s="241"/>
      <c r="X349" s="241"/>
      <c r="Y349" s="241"/>
      <c r="Z349" s="241"/>
      <c r="AA349" s="241"/>
      <c r="AB349" s="241"/>
      <c r="AC349" s="241"/>
      <c r="AD349" s="241"/>
      <c r="AE349" s="241"/>
      <c r="AF349" s="241"/>
      <c r="AG349" s="241"/>
      <c r="AH349" s="241"/>
      <c r="AI349" s="241"/>
      <c r="AJ349" s="241"/>
      <c r="AK349" s="241"/>
      <c r="AL349" s="241"/>
      <c r="AM349" s="241"/>
      <c r="AN349" s="241"/>
      <c r="AO349" s="241"/>
      <c r="AP349" s="241"/>
      <c r="AQ349" s="241"/>
      <c r="AR349" s="241"/>
      <c r="AS349" s="241"/>
      <c r="AT349" s="241"/>
      <c r="AU349" s="241"/>
      <c r="AV349" s="241"/>
      <c r="AW349" s="241"/>
      <c r="AX349" s="241"/>
      <c r="AY349" s="241"/>
      <c r="AZ349" s="241"/>
    </row>
    <row r="350" spans="1:52" s="71" customFormat="1" ht="18" hidden="1" customHeight="1" outlineLevel="2">
      <c r="A350" s="288">
        <v>80</v>
      </c>
      <c r="B350" s="97"/>
      <c r="C350" s="296"/>
      <c r="D350" s="360"/>
      <c r="E350" s="361"/>
      <c r="F350" s="298"/>
      <c r="G350" s="298"/>
      <c r="H350" s="86"/>
      <c r="I350" s="344" t="str">
        <f t="shared" si="77"/>
        <v/>
      </c>
      <c r="J350" s="345"/>
      <c r="K350" s="307"/>
      <c r="L350" s="307"/>
      <c r="M350" s="344" t="str">
        <f t="shared" si="78"/>
        <v/>
      </c>
      <c r="N350" s="345"/>
      <c r="O350" s="225" t="str">
        <f t="shared" si="79"/>
        <v/>
      </c>
      <c r="P350" s="225" t="str">
        <f t="shared" si="80"/>
        <v/>
      </c>
      <c r="Q350" s="284"/>
      <c r="R350" s="225" t="str">
        <f t="shared" si="81"/>
        <v/>
      </c>
      <c r="S350" s="225" t="str">
        <f t="shared" si="82"/>
        <v/>
      </c>
      <c r="T350" s="231" t="str">
        <f t="shared" si="83"/>
        <v/>
      </c>
      <c r="U350" s="241"/>
      <c r="V350" s="241"/>
      <c r="W350" s="241"/>
      <c r="X350" s="241"/>
      <c r="Y350" s="241"/>
      <c r="Z350" s="241"/>
      <c r="AA350" s="241"/>
      <c r="AB350" s="241"/>
      <c r="AC350" s="241"/>
      <c r="AD350" s="241"/>
      <c r="AE350" s="241"/>
      <c r="AF350" s="241"/>
      <c r="AG350" s="241"/>
      <c r="AH350" s="241"/>
      <c r="AI350" s="241"/>
      <c r="AJ350" s="241"/>
      <c r="AK350" s="241"/>
      <c r="AL350" s="241"/>
      <c r="AM350" s="241"/>
      <c r="AN350" s="241"/>
      <c r="AO350" s="241"/>
      <c r="AP350" s="241"/>
      <c r="AQ350" s="241"/>
      <c r="AR350" s="241"/>
      <c r="AS350" s="241"/>
      <c r="AT350" s="241"/>
      <c r="AU350" s="241"/>
      <c r="AV350" s="241"/>
      <c r="AW350" s="241"/>
      <c r="AX350" s="241"/>
      <c r="AY350" s="241"/>
      <c r="AZ350" s="241"/>
    </row>
    <row r="351" spans="1:52" s="71" customFormat="1" ht="18" hidden="1" customHeight="1" outlineLevel="2">
      <c r="A351" s="288">
        <v>81</v>
      </c>
      <c r="B351" s="97"/>
      <c r="C351" s="296"/>
      <c r="D351" s="360"/>
      <c r="E351" s="361"/>
      <c r="F351" s="298"/>
      <c r="G351" s="298"/>
      <c r="H351" s="86"/>
      <c r="I351" s="344" t="str">
        <f t="shared" si="77"/>
        <v/>
      </c>
      <c r="J351" s="345"/>
      <c r="K351" s="307"/>
      <c r="L351" s="307"/>
      <c r="M351" s="344" t="str">
        <f t="shared" si="78"/>
        <v/>
      </c>
      <c r="N351" s="345"/>
      <c r="O351" s="225" t="str">
        <f t="shared" si="79"/>
        <v/>
      </c>
      <c r="P351" s="225" t="str">
        <f t="shared" si="80"/>
        <v/>
      </c>
      <c r="Q351" s="284"/>
      <c r="R351" s="225" t="str">
        <f t="shared" si="81"/>
        <v/>
      </c>
      <c r="S351" s="225" t="str">
        <f t="shared" si="82"/>
        <v/>
      </c>
      <c r="T351" s="231" t="str">
        <f t="shared" si="83"/>
        <v/>
      </c>
      <c r="U351" s="241"/>
      <c r="V351" s="241"/>
      <c r="W351" s="241"/>
      <c r="X351" s="241"/>
      <c r="Y351" s="241"/>
      <c r="Z351" s="241"/>
      <c r="AA351" s="241"/>
      <c r="AB351" s="241"/>
      <c r="AC351" s="241"/>
      <c r="AD351" s="241"/>
      <c r="AE351" s="241"/>
      <c r="AF351" s="241"/>
      <c r="AG351" s="241"/>
      <c r="AH351" s="241"/>
      <c r="AI351" s="241"/>
      <c r="AJ351" s="241"/>
      <c r="AK351" s="241"/>
      <c r="AL351" s="241"/>
      <c r="AM351" s="241"/>
      <c r="AN351" s="241"/>
      <c r="AO351" s="241"/>
      <c r="AP351" s="241"/>
      <c r="AQ351" s="241"/>
      <c r="AR351" s="241"/>
      <c r="AS351" s="241"/>
      <c r="AT351" s="241"/>
      <c r="AU351" s="241"/>
      <c r="AV351" s="241"/>
      <c r="AW351" s="241"/>
      <c r="AX351" s="241"/>
      <c r="AY351" s="241"/>
      <c r="AZ351" s="241"/>
    </row>
    <row r="352" spans="1:52" s="71" customFormat="1" ht="18" hidden="1" customHeight="1" outlineLevel="2">
      <c r="A352" s="288">
        <v>82</v>
      </c>
      <c r="B352" s="97"/>
      <c r="C352" s="296"/>
      <c r="D352" s="360"/>
      <c r="E352" s="361"/>
      <c r="F352" s="298"/>
      <c r="G352" s="298"/>
      <c r="H352" s="86"/>
      <c r="I352" s="344" t="str">
        <f t="shared" si="77"/>
        <v/>
      </c>
      <c r="J352" s="345"/>
      <c r="K352" s="307"/>
      <c r="L352" s="307"/>
      <c r="M352" s="344" t="str">
        <f t="shared" si="78"/>
        <v/>
      </c>
      <c r="N352" s="345"/>
      <c r="O352" s="225" t="str">
        <f t="shared" si="79"/>
        <v/>
      </c>
      <c r="P352" s="225" t="str">
        <f t="shared" si="80"/>
        <v/>
      </c>
      <c r="Q352" s="284"/>
      <c r="R352" s="225" t="str">
        <f t="shared" si="81"/>
        <v/>
      </c>
      <c r="S352" s="225" t="str">
        <f t="shared" si="82"/>
        <v/>
      </c>
      <c r="T352" s="231" t="str">
        <f t="shared" si="83"/>
        <v/>
      </c>
      <c r="U352" s="241"/>
      <c r="V352" s="241"/>
      <c r="W352" s="241"/>
      <c r="X352" s="241"/>
      <c r="Y352" s="241"/>
      <c r="Z352" s="241"/>
      <c r="AA352" s="241"/>
      <c r="AB352" s="241"/>
      <c r="AC352" s="241"/>
      <c r="AD352" s="241"/>
      <c r="AE352" s="241"/>
      <c r="AF352" s="241"/>
      <c r="AG352" s="241"/>
      <c r="AH352" s="241"/>
      <c r="AI352" s="241"/>
      <c r="AJ352" s="241"/>
      <c r="AK352" s="241"/>
      <c r="AL352" s="241"/>
      <c r="AM352" s="241"/>
      <c r="AN352" s="241"/>
      <c r="AO352" s="241"/>
      <c r="AP352" s="241"/>
      <c r="AQ352" s="241"/>
      <c r="AR352" s="241"/>
      <c r="AS352" s="241"/>
      <c r="AT352" s="241"/>
      <c r="AU352" s="241"/>
      <c r="AV352" s="241"/>
      <c r="AW352" s="241"/>
      <c r="AX352" s="241"/>
      <c r="AY352" s="241"/>
      <c r="AZ352" s="241"/>
    </row>
    <row r="353" spans="1:52" s="71" customFormat="1" ht="18" hidden="1" customHeight="1" outlineLevel="2">
      <c r="A353" s="288">
        <v>83</v>
      </c>
      <c r="B353" s="97"/>
      <c r="C353" s="296"/>
      <c r="D353" s="360"/>
      <c r="E353" s="361"/>
      <c r="F353" s="298"/>
      <c r="G353" s="298"/>
      <c r="H353" s="86"/>
      <c r="I353" s="344" t="str">
        <f t="shared" si="77"/>
        <v/>
      </c>
      <c r="J353" s="345"/>
      <c r="K353" s="307"/>
      <c r="L353" s="307"/>
      <c r="M353" s="344" t="str">
        <f t="shared" si="78"/>
        <v/>
      </c>
      <c r="N353" s="345"/>
      <c r="O353" s="225" t="str">
        <f t="shared" si="79"/>
        <v/>
      </c>
      <c r="P353" s="225" t="str">
        <f t="shared" si="80"/>
        <v/>
      </c>
      <c r="Q353" s="284"/>
      <c r="R353" s="225" t="str">
        <f t="shared" si="81"/>
        <v/>
      </c>
      <c r="S353" s="225" t="str">
        <f t="shared" si="82"/>
        <v/>
      </c>
      <c r="T353" s="231" t="str">
        <f t="shared" si="83"/>
        <v/>
      </c>
      <c r="U353" s="241"/>
      <c r="V353" s="241"/>
      <c r="W353" s="241"/>
      <c r="X353" s="241"/>
      <c r="Y353" s="241"/>
      <c r="Z353" s="241"/>
      <c r="AA353" s="241"/>
      <c r="AB353" s="241"/>
      <c r="AC353" s="241"/>
      <c r="AD353" s="241"/>
      <c r="AE353" s="241"/>
      <c r="AF353" s="241"/>
      <c r="AG353" s="241"/>
      <c r="AH353" s="241"/>
      <c r="AI353" s="241"/>
      <c r="AJ353" s="241"/>
      <c r="AK353" s="241"/>
      <c r="AL353" s="241"/>
      <c r="AM353" s="241"/>
      <c r="AN353" s="241"/>
      <c r="AO353" s="241"/>
      <c r="AP353" s="241"/>
      <c r="AQ353" s="241"/>
      <c r="AR353" s="241"/>
      <c r="AS353" s="241"/>
      <c r="AT353" s="241"/>
      <c r="AU353" s="241"/>
      <c r="AV353" s="241"/>
      <c r="AW353" s="241"/>
      <c r="AX353" s="241"/>
      <c r="AY353" s="241"/>
      <c r="AZ353" s="241"/>
    </row>
    <row r="354" spans="1:52" s="71" customFormat="1" ht="18" hidden="1" customHeight="1" outlineLevel="2">
      <c r="A354" s="288">
        <v>84</v>
      </c>
      <c r="B354" s="97"/>
      <c r="C354" s="296"/>
      <c r="D354" s="360"/>
      <c r="E354" s="361"/>
      <c r="F354" s="298"/>
      <c r="G354" s="298"/>
      <c r="H354" s="86"/>
      <c r="I354" s="344" t="str">
        <f t="shared" si="77"/>
        <v/>
      </c>
      <c r="J354" s="345"/>
      <c r="K354" s="307"/>
      <c r="L354" s="307"/>
      <c r="M354" s="344" t="str">
        <f t="shared" si="78"/>
        <v/>
      </c>
      <c r="N354" s="345"/>
      <c r="O354" s="225" t="str">
        <f t="shared" si="79"/>
        <v/>
      </c>
      <c r="P354" s="225" t="str">
        <f t="shared" si="80"/>
        <v/>
      </c>
      <c r="Q354" s="284"/>
      <c r="R354" s="225" t="str">
        <f t="shared" si="81"/>
        <v/>
      </c>
      <c r="S354" s="225" t="str">
        <f t="shared" si="82"/>
        <v/>
      </c>
      <c r="T354" s="231" t="str">
        <f t="shared" si="83"/>
        <v/>
      </c>
      <c r="U354" s="241"/>
      <c r="V354" s="241"/>
      <c r="W354" s="241"/>
      <c r="X354" s="241"/>
      <c r="Y354" s="241"/>
      <c r="Z354" s="241"/>
      <c r="AA354" s="241"/>
      <c r="AB354" s="241"/>
      <c r="AC354" s="241"/>
      <c r="AD354" s="241"/>
      <c r="AE354" s="241"/>
      <c r="AF354" s="241"/>
      <c r="AG354" s="241"/>
      <c r="AH354" s="241"/>
      <c r="AI354" s="241"/>
      <c r="AJ354" s="241"/>
      <c r="AK354" s="241"/>
      <c r="AL354" s="241"/>
      <c r="AM354" s="241"/>
      <c r="AN354" s="241"/>
      <c r="AO354" s="241"/>
      <c r="AP354" s="241"/>
      <c r="AQ354" s="241"/>
      <c r="AR354" s="241"/>
      <c r="AS354" s="241"/>
      <c r="AT354" s="241"/>
      <c r="AU354" s="241"/>
      <c r="AV354" s="241"/>
      <c r="AW354" s="241"/>
      <c r="AX354" s="241"/>
      <c r="AY354" s="241"/>
      <c r="AZ354" s="241"/>
    </row>
    <row r="355" spans="1:52" s="71" customFormat="1" ht="18" hidden="1" customHeight="1" outlineLevel="2">
      <c r="A355" s="288">
        <v>85</v>
      </c>
      <c r="B355" s="97"/>
      <c r="C355" s="296"/>
      <c r="D355" s="360"/>
      <c r="E355" s="361"/>
      <c r="F355" s="298"/>
      <c r="G355" s="298"/>
      <c r="H355" s="86"/>
      <c r="I355" s="344" t="str">
        <f t="shared" si="77"/>
        <v/>
      </c>
      <c r="J355" s="345"/>
      <c r="K355" s="307"/>
      <c r="L355" s="307"/>
      <c r="M355" s="344" t="str">
        <f t="shared" si="78"/>
        <v/>
      </c>
      <c r="N355" s="345"/>
      <c r="O355" s="225" t="str">
        <f t="shared" si="79"/>
        <v/>
      </c>
      <c r="P355" s="225" t="str">
        <f t="shared" si="80"/>
        <v/>
      </c>
      <c r="Q355" s="284"/>
      <c r="R355" s="225" t="str">
        <f t="shared" si="81"/>
        <v/>
      </c>
      <c r="S355" s="225" t="str">
        <f t="shared" si="82"/>
        <v/>
      </c>
      <c r="T355" s="231" t="str">
        <f t="shared" si="83"/>
        <v/>
      </c>
      <c r="U355" s="241"/>
      <c r="V355" s="241"/>
      <c r="W355" s="241"/>
      <c r="X355" s="241"/>
      <c r="Y355" s="241"/>
      <c r="Z355" s="241"/>
      <c r="AA355" s="241"/>
      <c r="AB355" s="241"/>
      <c r="AC355" s="241"/>
      <c r="AD355" s="241"/>
      <c r="AE355" s="241"/>
      <c r="AF355" s="241"/>
      <c r="AG355" s="241"/>
      <c r="AH355" s="241"/>
      <c r="AI355" s="241"/>
      <c r="AJ355" s="241"/>
      <c r="AK355" s="241"/>
      <c r="AL355" s="241"/>
      <c r="AM355" s="241"/>
      <c r="AN355" s="241"/>
      <c r="AO355" s="241"/>
      <c r="AP355" s="241"/>
      <c r="AQ355" s="241"/>
      <c r="AR355" s="241"/>
      <c r="AS355" s="241"/>
      <c r="AT355" s="241"/>
      <c r="AU355" s="241"/>
      <c r="AV355" s="241"/>
      <c r="AW355" s="241"/>
      <c r="AX355" s="241"/>
      <c r="AY355" s="241"/>
      <c r="AZ355" s="241"/>
    </row>
    <row r="356" spans="1:52" s="71" customFormat="1" ht="18" hidden="1" customHeight="1" outlineLevel="2">
      <c r="A356" s="288">
        <v>86</v>
      </c>
      <c r="B356" s="97"/>
      <c r="C356" s="296"/>
      <c r="D356" s="360"/>
      <c r="E356" s="361"/>
      <c r="F356" s="298"/>
      <c r="G356" s="298"/>
      <c r="H356" s="86"/>
      <c r="I356" s="344" t="str">
        <f t="shared" si="77"/>
        <v/>
      </c>
      <c r="J356" s="345"/>
      <c r="K356" s="307"/>
      <c r="L356" s="307"/>
      <c r="M356" s="344" t="str">
        <f t="shared" si="78"/>
        <v/>
      </c>
      <c r="N356" s="345"/>
      <c r="O356" s="225" t="str">
        <f t="shared" si="79"/>
        <v/>
      </c>
      <c r="P356" s="225" t="str">
        <f t="shared" si="80"/>
        <v/>
      </c>
      <c r="Q356" s="284"/>
      <c r="R356" s="225" t="str">
        <f t="shared" si="81"/>
        <v/>
      </c>
      <c r="S356" s="225" t="str">
        <f t="shared" si="82"/>
        <v/>
      </c>
      <c r="T356" s="231" t="str">
        <f t="shared" si="83"/>
        <v/>
      </c>
      <c r="U356" s="241"/>
      <c r="V356" s="241"/>
      <c r="W356" s="241"/>
      <c r="X356" s="241"/>
      <c r="Y356" s="241"/>
      <c r="Z356" s="241"/>
      <c r="AA356" s="241"/>
      <c r="AB356" s="241"/>
      <c r="AC356" s="241"/>
      <c r="AD356" s="241"/>
      <c r="AE356" s="241"/>
      <c r="AF356" s="241"/>
      <c r="AG356" s="241"/>
      <c r="AH356" s="241"/>
      <c r="AI356" s="241"/>
      <c r="AJ356" s="241"/>
      <c r="AK356" s="241"/>
      <c r="AL356" s="241"/>
      <c r="AM356" s="241"/>
      <c r="AN356" s="241"/>
      <c r="AO356" s="241"/>
      <c r="AP356" s="241"/>
      <c r="AQ356" s="241"/>
      <c r="AR356" s="241"/>
      <c r="AS356" s="241"/>
      <c r="AT356" s="241"/>
      <c r="AU356" s="241"/>
      <c r="AV356" s="241"/>
      <c r="AW356" s="241"/>
      <c r="AX356" s="241"/>
      <c r="AY356" s="241"/>
      <c r="AZ356" s="241"/>
    </row>
    <row r="357" spans="1:52" s="71" customFormat="1" ht="18" hidden="1" customHeight="1" outlineLevel="2">
      <c r="A357" s="288">
        <v>87</v>
      </c>
      <c r="B357" s="97"/>
      <c r="C357" s="296"/>
      <c r="D357" s="360"/>
      <c r="E357" s="361"/>
      <c r="F357" s="298"/>
      <c r="G357" s="298"/>
      <c r="H357" s="86"/>
      <c r="I357" s="344" t="str">
        <f t="shared" si="77"/>
        <v/>
      </c>
      <c r="J357" s="345"/>
      <c r="K357" s="307"/>
      <c r="L357" s="307"/>
      <c r="M357" s="344" t="str">
        <f t="shared" si="78"/>
        <v/>
      </c>
      <c r="N357" s="345"/>
      <c r="O357" s="225" t="str">
        <f t="shared" si="79"/>
        <v/>
      </c>
      <c r="P357" s="225" t="str">
        <f t="shared" si="80"/>
        <v/>
      </c>
      <c r="Q357" s="284"/>
      <c r="R357" s="225" t="str">
        <f t="shared" si="81"/>
        <v/>
      </c>
      <c r="S357" s="225" t="str">
        <f t="shared" si="82"/>
        <v/>
      </c>
      <c r="T357" s="231" t="str">
        <f t="shared" si="83"/>
        <v/>
      </c>
      <c r="U357" s="241"/>
      <c r="V357" s="241"/>
      <c r="W357" s="241"/>
      <c r="X357" s="241"/>
      <c r="Y357" s="241"/>
      <c r="Z357" s="241"/>
      <c r="AA357" s="241"/>
      <c r="AB357" s="241"/>
      <c r="AC357" s="241"/>
      <c r="AD357" s="241"/>
      <c r="AE357" s="241"/>
      <c r="AF357" s="241"/>
      <c r="AG357" s="241"/>
      <c r="AH357" s="241"/>
      <c r="AI357" s="241"/>
      <c r="AJ357" s="241"/>
      <c r="AK357" s="241"/>
      <c r="AL357" s="241"/>
      <c r="AM357" s="241"/>
      <c r="AN357" s="241"/>
      <c r="AO357" s="241"/>
      <c r="AP357" s="241"/>
      <c r="AQ357" s="241"/>
      <c r="AR357" s="241"/>
      <c r="AS357" s="241"/>
      <c r="AT357" s="241"/>
      <c r="AU357" s="241"/>
      <c r="AV357" s="241"/>
      <c r="AW357" s="241"/>
      <c r="AX357" s="241"/>
      <c r="AY357" s="241"/>
      <c r="AZ357" s="241"/>
    </row>
    <row r="358" spans="1:52" s="71" customFormat="1" ht="18" hidden="1" customHeight="1" outlineLevel="2">
      <c r="A358" s="288">
        <v>88</v>
      </c>
      <c r="B358" s="97"/>
      <c r="C358" s="296"/>
      <c r="D358" s="360"/>
      <c r="E358" s="361"/>
      <c r="F358" s="298"/>
      <c r="G358" s="298"/>
      <c r="H358" s="86"/>
      <c r="I358" s="344" t="str">
        <f t="shared" si="77"/>
        <v/>
      </c>
      <c r="J358" s="345"/>
      <c r="K358" s="307"/>
      <c r="L358" s="307"/>
      <c r="M358" s="344" t="str">
        <f t="shared" si="78"/>
        <v/>
      </c>
      <c r="N358" s="345"/>
      <c r="O358" s="225" t="str">
        <f t="shared" si="79"/>
        <v/>
      </c>
      <c r="P358" s="225" t="str">
        <f t="shared" si="80"/>
        <v/>
      </c>
      <c r="Q358" s="284"/>
      <c r="R358" s="225" t="str">
        <f t="shared" si="81"/>
        <v/>
      </c>
      <c r="S358" s="225" t="str">
        <f t="shared" si="82"/>
        <v/>
      </c>
      <c r="T358" s="231" t="str">
        <f t="shared" si="83"/>
        <v/>
      </c>
      <c r="U358" s="241"/>
      <c r="V358" s="241"/>
      <c r="W358" s="241"/>
      <c r="X358" s="241"/>
      <c r="Y358" s="241"/>
      <c r="Z358" s="241"/>
      <c r="AA358" s="241"/>
      <c r="AB358" s="241"/>
      <c r="AC358" s="241"/>
      <c r="AD358" s="241"/>
      <c r="AE358" s="241"/>
      <c r="AF358" s="241"/>
      <c r="AG358" s="241"/>
      <c r="AH358" s="241"/>
      <c r="AI358" s="241"/>
      <c r="AJ358" s="241"/>
      <c r="AK358" s="241"/>
      <c r="AL358" s="241"/>
      <c r="AM358" s="241"/>
      <c r="AN358" s="241"/>
      <c r="AO358" s="241"/>
      <c r="AP358" s="241"/>
      <c r="AQ358" s="241"/>
      <c r="AR358" s="241"/>
      <c r="AS358" s="241"/>
      <c r="AT358" s="241"/>
      <c r="AU358" s="241"/>
      <c r="AV358" s="241"/>
      <c r="AW358" s="241"/>
      <c r="AX358" s="241"/>
      <c r="AY358" s="241"/>
      <c r="AZ358" s="241"/>
    </row>
    <row r="359" spans="1:52" s="71" customFormat="1" ht="18" hidden="1" customHeight="1" outlineLevel="2">
      <c r="A359" s="288">
        <v>89</v>
      </c>
      <c r="B359" s="97"/>
      <c r="C359" s="296"/>
      <c r="D359" s="360"/>
      <c r="E359" s="361"/>
      <c r="F359" s="298"/>
      <c r="G359" s="298"/>
      <c r="H359" s="86"/>
      <c r="I359" s="344" t="str">
        <f t="shared" si="77"/>
        <v/>
      </c>
      <c r="J359" s="345"/>
      <c r="K359" s="307"/>
      <c r="L359" s="307"/>
      <c r="M359" s="344" t="str">
        <f t="shared" si="78"/>
        <v/>
      </c>
      <c r="N359" s="345"/>
      <c r="O359" s="225" t="str">
        <f t="shared" si="79"/>
        <v/>
      </c>
      <c r="P359" s="225" t="str">
        <f t="shared" si="80"/>
        <v/>
      </c>
      <c r="Q359" s="284"/>
      <c r="R359" s="225" t="str">
        <f t="shared" si="81"/>
        <v/>
      </c>
      <c r="S359" s="225" t="str">
        <f t="shared" si="82"/>
        <v/>
      </c>
      <c r="T359" s="231" t="str">
        <f t="shared" si="83"/>
        <v/>
      </c>
      <c r="U359" s="241"/>
      <c r="V359" s="241"/>
      <c r="W359" s="241"/>
      <c r="X359" s="241"/>
      <c r="Y359" s="241"/>
      <c r="Z359" s="241"/>
      <c r="AA359" s="241"/>
      <c r="AB359" s="241"/>
      <c r="AC359" s="241"/>
      <c r="AD359" s="241"/>
      <c r="AE359" s="241"/>
      <c r="AF359" s="241"/>
      <c r="AG359" s="241"/>
      <c r="AH359" s="241"/>
      <c r="AI359" s="241"/>
      <c r="AJ359" s="241"/>
      <c r="AK359" s="241"/>
      <c r="AL359" s="241"/>
      <c r="AM359" s="241"/>
      <c r="AN359" s="241"/>
      <c r="AO359" s="241"/>
      <c r="AP359" s="241"/>
      <c r="AQ359" s="241"/>
      <c r="AR359" s="241"/>
      <c r="AS359" s="241"/>
      <c r="AT359" s="241"/>
      <c r="AU359" s="241"/>
      <c r="AV359" s="241"/>
      <c r="AW359" s="241"/>
      <c r="AX359" s="241"/>
      <c r="AY359" s="241"/>
      <c r="AZ359" s="241"/>
    </row>
    <row r="360" spans="1:52" s="71" customFormat="1" ht="18" hidden="1" customHeight="1" outlineLevel="2">
      <c r="A360" s="288">
        <v>90</v>
      </c>
      <c r="B360" s="97"/>
      <c r="C360" s="296"/>
      <c r="D360" s="360"/>
      <c r="E360" s="361"/>
      <c r="F360" s="298"/>
      <c r="G360" s="298"/>
      <c r="H360" s="86"/>
      <c r="I360" s="344" t="str">
        <f t="shared" si="77"/>
        <v/>
      </c>
      <c r="J360" s="345"/>
      <c r="K360" s="307"/>
      <c r="L360" s="307"/>
      <c r="M360" s="344" t="str">
        <f t="shared" si="78"/>
        <v/>
      </c>
      <c r="N360" s="345"/>
      <c r="O360" s="225" t="str">
        <f t="shared" si="79"/>
        <v/>
      </c>
      <c r="P360" s="225" t="str">
        <f t="shared" si="80"/>
        <v/>
      </c>
      <c r="Q360" s="284"/>
      <c r="R360" s="225" t="str">
        <f t="shared" si="81"/>
        <v/>
      </c>
      <c r="S360" s="225" t="str">
        <f t="shared" si="82"/>
        <v/>
      </c>
      <c r="T360" s="231" t="str">
        <f t="shared" si="83"/>
        <v/>
      </c>
      <c r="U360" s="241"/>
      <c r="V360" s="241"/>
      <c r="W360" s="241"/>
      <c r="X360" s="241"/>
      <c r="Y360" s="241"/>
      <c r="Z360" s="241"/>
      <c r="AA360" s="241"/>
      <c r="AB360" s="241"/>
      <c r="AC360" s="241"/>
      <c r="AD360" s="241"/>
      <c r="AE360" s="241"/>
      <c r="AF360" s="241"/>
      <c r="AG360" s="241"/>
      <c r="AH360" s="241"/>
      <c r="AI360" s="241"/>
      <c r="AJ360" s="241"/>
      <c r="AK360" s="241"/>
      <c r="AL360" s="241"/>
      <c r="AM360" s="241"/>
      <c r="AN360" s="241"/>
      <c r="AO360" s="241"/>
      <c r="AP360" s="241"/>
      <c r="AQ360" s="241"/>
      <c r="AR360" s="241"/>
      <c r="AS360" s="241"/>
      <c r="AT360" s="241"/>
      <c r="AU360" s="241"/>
      <c r="AV360" s="241"/>
      <c r="AW360" s="241"/>
      <c r="AX360" s="241"/>
      <c r="AY360" s="241"/>
      <c r="AZ360" s="241"/>
    </row>
    <row r="361" spans="1:52" s="71" customFormat="1" ht="18" hidden="1" customHeight="1" outlineLevel="1" collapsed="1">
      <c r="A361" s="288">
        <v>91</v>
      </c>
      <c r="B361" s="97"/>
      <c r="C361" s="296"/>
      <c r="D361" s="360"/>
      <c r="E361" s="361"/>
      <c r="F361" s="298"/>
      <c r="G361" s="298"/>
      <c r="H361" s="86"/>
      <c r="I361" s="344" t="str">
        <f t="shared" si="77"/>
        <v/>
      </c>
      <c r="J361" s="345"/>
      <c r="K361" s="307"/>
      <c r="L361" s="307"/>
      <c r="M361" s="344" t="str">
        <f t="shared" si="78"/>
        <v/>
      </c>
      <c r="N361" s="345"/>
      <c r="O361" s="225" t="str">
        <f t="shared" si="79"/>
        <v/>
      </c>
      <c r="P361" s="225" t="str">
        <f t="shared" si="80"/>
        <v/>
      </c>
      <c r="Q361" s="284"/>
      <c r="R361" s="225" t="str">
        <f t="shared" si="81"/>
        <v/>
      </c>
      <c r="S361" s="225" t="str">
        <f t="shared" si="82"/>
        <v/>
      </c>
      <c r="T361" s="231" t="str">
        <f t="shared" si="83"/>
        <v/>
      </c>
      <c r="U361" s="176" t="s">
        <v>165</v>
      </c>
      <c r="V361" s="241"/>
      <c r="W361" s="241"/>
      <c r="X361" s="241"/>
      <c r="Y361" s="241"/>
      <c r="Z361" s="241"/>
      <c r="AA361" s="241"/>
      <c r="AB361" s="241"/>
      <c r="AC361" s="241"/>
      <c r="AD361" s="241"/>
      <c r="AE361" s="241"/>
      <c r="AF361" s="241"/>
      <c r="AG361" s="241"/>
      <c r="AH361" s="241"/>
      <c r="AI361" s="241"/>
      <c r="AJ361" s="241"/>
      <c r="AK361" s="241"/>
      <c r="AL361" s="241"/>
      <c r="AM361" s="241"/>
      <c r="AN361" s="241"/>
      <c r="AO361" s="241"/>
      <c r="AP361" s="241"/>
      <c r="AQ361" s="241"/>
      <c r="AR361" s="241"/>
      <c r="AS361" s="241"/>
      <c r="AT361" s="241"/>
      <c r="AU361" s="241"/>
      <c r="AV361" s="241"/>
      <c r="AW361" s="241"/>
      <c r="AX361" s="241"/>
      <c r="AY361" s="241"/>
      <c r="AZ361" s="241"/>
    </row>
    <row r="362" spans="1:52" s="71" customFormat="1" ht="18" hidden="1" customHeight="1" outlineLevel="2">
      <c r="A362" s="288">
        <v>92</v>
      </c>
      <c r="B362" s="97"/>
      <c r="C362" s="296"/>
      <c r="D362" s="360"/>
      <c r="E362" s="361"/>
      <c r="F362" s="298"/>
      <c r="G362" s="298"/>
      <c r="H362" s="86"/>
      <c r="I362" s="344" t="str">
        <f t="shared" si="77"/>
        <v/>
      </c>
      <c r="J362" s="345"/>
      <c r="K362" s="307"/>
      <c r="L362" s="307"/>
      <c r="M362" s="344" t="str">
        <f t="shared" si="78"/>
        <v/>
      </c>
      <c r="N362" s="345"/>
      <c r="O362" s="225" t="str">
        <f t="shared" si="79"/>
        <v/>
      </c>
      <c r="P362" s="225" t="str">
        <f t="shared" si="80"/>
        <v/>
      </c>
      <c r="Q362" s="284"/>
      <c r="R362" s="225" t="str">
        <f t="shared" si="81"/>
        <v/>
      </c>
      <c r="S362" s="225" t="str">
        <f t="shared" si="82"/>
        <v/>
      </c>
      <c r="T362" s="231" t="str">
        <f t="shared" si="83"/>
        <v/>
      </c>
      <c r="U362" s="241"/>
      <c r="V362" s="241"/>
      <c r="W362" s="241"/>
      <c r="X362" s="241"/>
      <c r="Y362" s="241"/>
      <c r="Z362" s="241"/>
      <c r="AA362" s="241"/>
      <c r="AB362" s="241"/>
      <c r="AC362" s="241"/>
      <c r="AD362" s="241"/>
      <c r="AE362" s="241"/>
      <c r="AF362" s="241"/>
      <c r="AG362" s="241"/>
      <c r="AH362" s="241"/>
      <c r="AI362" s="241"/>
      <c r="AJ362" s="241"/>
      <c r="AK362" s="241"/>
      <c r="AL362" s="241"/>
      <c r="AM362" s="241"/>
      <c r="AN362" s="241"/>
      <c r="AO362" s="241"/>
      <c r="AP362" s="241"/>
      <c r="AQ362" s="241"/>
      <c r="AR362" s="241"/>
      <c r="AS362" s="241"/>
      <c r="AT362" s="241"/>
      <c r="AU362" s="241"/>
      <c r="AV362" s="241"/>
      <c r="AW362" s="241"/>
      <c r="AX362" s="241"/>
      <c r="AY362" s="241"/>
      <c r="AZ362" s="241"/>
    </row>
    <row r="363" spans="1:52" s="71" customFormat="1" ht="18" hidden="1" customHeight="1" outlineLevel="2">
      <c r="A363" s="288">
        <v>93</v>
      </c>
      <c r="B363" s="97"/>
      <c r="C363" s="296"/>
      <c r="D363" s="360"/>
      <c r="E363" s="361"/>
      <c r="F363" s="298"/>
      <c r="G363" s="298"/>
      <c r="H363" s="86"/>
      <c r="I363" s="344" t="str">
        <f t="shared" si="77"/>
        <v/>
      </c>
      <c r="J363" s="345"/>
      <c r="K363" s="307"/>
      <c r="L363" s="307"/>
      <c r="M363" s="344" t="str">
        <f t="shared" si="78"/>
        <v/>
      </c>
      <c r="N363" s="345"/>
      <c r="O363" s="225" t="str">
        <f t="shared" si="79"/>
        <v/>
      </c>
      <c r="P363" s="225" t="str">
        <f t="shared" si="80"/>
        <v/>
      </c>
      <c r="Q363" s="284"/>
      <c r="R363" s="225" t="str">
        <f t="shared" si="81"/>
        <v/>
      </c>
      <c r="S363" s="225" t="str">
        <f t="shared" si="82"/>
        <v/>
      </c>
      <c r="T363" s="231" t="str">
        <f t="shared" si="83"/>
        <v/>
      </c>
      <c r="U363" s="241"/>
      <c r="V363" s="241"/>
      <c r="W363" s="241"/>
      <c r="X363" s="241"/>
      <c r="Y363" s="241"/>
      <c r="Z363" s="241"/>
      <c r="AA363" s="241"/>
      <c r="AB363" s="241"/>
      <c r="AC363" s="241"/>
      <c r="AD363" s="241"/>
      <c r="AE363" s="241"/>
      <c r="AF363" s="241"/>
      <c r="AG363" s="241"/>
      <c r="AH363" s="241"/>
      <c r="AI363" s="241"/>
      <c r="AJ363" s="241"/>
      <c r="AK363" s="241"/>
      <c r="AL363" s="241"/>
      <c r="AM363" s="241"/>
      <c r="AN363" s="241"/>
      <c r="AO363" s="241"/>
      <c r="AP363" s="241"/>
      <c r="AQ363" s="241"/>
      <c r="AR363" s="241"/>
      <c r="AS363" s="241"/>
      <c r="AT363" s="241"/>
      <c r="AU363" s="241"/>
      <c r="AV363" s="241"/>
      <c r="AW363" s="241"/>
      <c r="AX363" s="241"/>
      <c r="AY363" s="241"/>
      <c r="AZ363" s="241"/>
    </row>
    <row r="364" spans="1:52" s="71" customFormat="1" ht="18" hidden="1" customHeight="1" outlineLevel="2">
      <c r="A364" s="288">
        <v>94</v>
      </c>
      <c r="B364" s="97"/>
      <c r="C364" s="296"/>
      <c r="D364" s="360"/>
      <c r="E364" s="361"/>
      <c r="F364" s="298"/>
      <c r="G364" s="298"/>
      <c r="H364" s="86"/>
      <c r="I364" s="344" t="str">
        <f t="shared" si="77"/>
        <v/>
      </c>
      <c r="J364" s="345"/>
      <c r="K364" s="307"/>
      <c r="L364" s="307"/>
      <c r="M364" s="344" t="str">
        <f t="shared" si="78"/>
        <v/>
      </c>
      <c r="N364" s="345"/>
      <c r="O364" s="225" t="str">
        <f t="shared" si="79"/>
        <v/>
      </c>
      <c r="P364" s="225" t="str">
        <f t="shared" si="80"/>
        <v/>
      </c>
      <c r="Q364" s="284"/>
      <c r="R364" s="225" t="str">
        <f t="shared" si="81"/>
        <v/>
      </c>
      <c r="S364" s="225" t="str">
        <f t="shared" si="82"/>
        <v/>
      </c>
      <c r="T364" s="231" t="str">
        <f t="shared" si="83"/>
        <v/>
      </c>
      <c r="U364" s="241"/>
      <c r="V364" s="241"/>
      <c r="W364" s="241"/>
      <c r="X364" s="241"/>
      <c r="Y364" s="241"/>
      <c r="Z364" s="241"/>
      <c r="AA364" s="241"/>
      <c r="AB364" s="241"/>
      <c r="AC364" s="241"/>
      <c r="AD364" s="241"/>
      <c r="AE364" s="241"/>
      <c r="AF364" s="241"/>
      <c r="AG364" s="241"/>
      <c r="AH364" s="241"/>
      <c r="AI364" s="241"/>
      <c r="AJ364" s="241"/>
      <c r="AK364" s="241"/>
      <c r="AL364" s="241"/>
      <c r="AM364" s="241"/>
      <c r="AN364" s="241"/>
      <c r="AO364" s="241"/>
      <c r="AP364" s="241"/>
      <c r="AQ364" s="241"/>
      <c r="AR364" s="241"/>
      <c r="AS364" s="241"/>
      <c r="AT364" s="241"/>
      <c r="AU364" s="241"/>
      <c r="AV364" s="241"/>
      <c r="AW364" s="241"/>
      <c r="AX364" s="241"/>
      <c r="AY364" s="241"/>
      <c r="AZ364" s="241"/>
    </row>
    <row r="365" spans="1:52" s="71" customFormat="1" ht="18" hidden="1" customHeight="1" outlineLevel="2">
      <c r="A365" s="288">
        <v>95</v>
      </c>
      <c r="B365" s="97"/>
      <c r="C365" s="296"/>
      <c r="D365" s="360"/>
      <c r="E365" s="361"/>
      <c r="F365" s="298"/>
      <c r="G365" s="298"/>
      <c r="H365" s="86"/>
      <c r="I365" s="344" t="str">
        <f t="shared" si="77"/>
        <v/>
      </c>
      <c r="J365" s="345"/>
      <c r="K365" s="307"/>
      <c r="L365" s="307"/>
      <c r="M365" s="344" t="str">
        <f t="shared" si="78"/>
        <v/>
      </c>
      <c r="N365" s="345"/>
      <c r="O365" s="225" t="str">
        <f t="shared" si="79"/>
        <v/>
      </c>
      <c r="P365" s="225" t="str">
        <f t="shared" si="80"/>
        <v/>
      </c>
      <c r="Q365" s="284"/>
      <c r="R365" s="225" t="str">
        <f t="shared" si="81"/>
        <v/>
      </c>
      <c r="S365" s="225" t="str">
        <f t="shared" si="82"/>
        <v/>
      </c>
      <c r="T365" s="231" t="str">
        <f t="shared" si="83"/>
        <v/>
      </c>
      <c r="U365" s="241"/>
      <c r="V365" s="241"/>
      <c r="W365" s="241"/>
      <c r="X365" s="241"/>
      <c r="Y365" s="241"/>
      <c r="Z365" s="241"/>
      <c r="AA365" s="241"/>
      <c r="AB365" s="241"/>
      <c r="AC365" s="241"/>
      <c r="AD365" s="241"/>
      <c r="AE365" s="241"/>
      <c r="AF365" s="241"/>
      <c r="AG365" s="241"/>
      <c r="AH365" s="241"/>
      <c r="AI365" s="241"/>
      <c r="AJ365" s="241"/>
      <c r="AK365" s="241"/>
      <c r="AL365" s="241"/>
      <c r="AM365" s="241"/>
      <c r="AN365" s="241"/>
      <c r="AO365" s="241"/>
      <c r="AP365" s="241"/>
      <c r="AQ365" s="241"/>
      <c r="AR365" s="241"/>
      <c r="AS365" s="241"/>
      <c r="AT365" s="241"/>
      <c r="AU365" s="241"/>
      <c r="AV365" s="241"/>
      <c r="AW365" s="241"/>
      <c r="AX365" s="241"/>
      <c r="AY365" s="241"/>
      <c r="AZ365" s="241"/>
    </row>
    <row r="366" spans="1:52" s="71" customFormat="1" ht="18" hidden="1" customHeight="1" outlineLevel="2">
      <c r="A366" s="288">
        <v>96</v>
      </c>
      <c r="B366" s="97"/>
      <c r="C366" s="296"/>
      <c r="D366" s="360"/>
      <c r="E366" s="361"/>
      <c r="F366" s="298"/>
      <c r="G366" s="298"/>
      <c r="H366" s="86"/>
      <c r="I366" s="344" t="str">
        <f t="shared" si="77"/>
        <v/>
      </c>
      <c r="J366" s="345"/>
      <c r="K366" s="307"/>
      <c r="L366" s="307"/>
      <c r="M366" s="344" t="str">
        <f t="shared" si="78"/>
        <v/>
      </c>
      <c r="N366" s="345"/>
      <c r="O366" s="225" t="str">
        <f t="shared" si="79"/>
        <v/>
      </c>
      <c r="P366" s="225" t="str">
        <f t="shared" si="80"/>
        <v/>
      </c>
      <c r="Q366" s="284"/>
      <c r="R366" s="225" t="str">
        <f t="shared" si="81"/>
        <v/>
      </c>
      <c r="S366" s="225" t="str">
        <f t="shared" si="82"/>
        <v/>
      </c>
      <c r="T366" s="231" t="str">
        <f t="shared" si="83"/>
        <v/>
      </c>
      <c r="U366" s="241"/>
      <c r="V366" s="241"/>
      <c r="W366" s="241"/>
      <c r="X366" s="241"/>
      <c r="Y366" s="241"/>
      <c r="Z366" s="241"/>
      <c r="AA366" s="241"/>
      <c r="AB366" s="241"/>
      <c r="AC366" s="241"/>
      <c r="AD366" s="241"/>
      <c r="AE366" s="241"/>
      <c r="AF366" s="241"/>
      <c r="AG366" s="241"/>
      <c r="AH366" s="241"/>
      <c r="AI366" s="241"/>
      <c r="AJ366" s="241"/>
      <c r="AK366" s="241"/>
      <c r="AL366" s="241"/>
      <c r="AM366" s="241"/>
      <c r="AN366" s="241"/>
      <c r="AO366" s="241"/>
      <c r="AP366" s="241"/>
      <c r="AQ366" s="241"/>
      <c r="AR366" s="241"/>
      <c r="AS366" s="241"/>
      <c r="AT366" s="241"/>
      <c r="AU366" s="241"/>
      <c r="AV366" s="241"/>
      <c r="AW366" s="241"/>
      <c r="AX366" s="241"/>
      <c r="AY366" s="241"/>
      <c r="AZ366" s="241"/>
    </row>
    <row r="367" spans="1:52" s="71" customFormat="1" ht="18" hidden="1" customHeight="1" outlineLevel="2">
      <c r="A367" s="288">
        <v>97</v>
      </c>
      <c r="B367" s="97"/>
      <c r="C367" s="296"/>
      <c r="D367" s="360"/>
      <c r="E367" s="361"/>
      <c r="F367" s="298"/>
      <c r="G367" s="298"/>
      <c r="H367" s="86"/>
      <c r="I367" s="344" t="str">
        <f t="shared" si="77"/>
        <v/>
      </c>
      <c r="J367" s="345"/>
      <c r="K367" s="307"/>
      <c r="L367" s="307"/>
      <c r="M367" s="344" t="str">
        <f t="shared" si="78"/>
        <v/>
      </c>
      <c r="N367" s="345"/>
      <c r="O367" s="225" t="str">
        <f t="shared" si="79"/>
        <v/>
      </c>
      <c r="P367" s="225" t="str">
        <f t="shared" si="80"/>
        <v/>
      </c>
      <c r="Q367" s="284"/>
      <c r="R367" s="225" t="str">
        <f t="shared" si="81"/>
        <v/>
      </c>
      <c r="S367" s="225" t="str">
        <f t="shared" si="82"/>
        <v/>
      </c>
      <c r="T367" s="231" t="str">
        <f t="shared" si="83"/>
        <v/>
      </c>
      <c r="U367" s="241"/>
      <c r="V367" s="241"/>
      <c r="W367" s="241"/>
      <c r="X367" s="241"/>
      <c r="Y367" s="241"/>
      <c r="Z367" s="241"/>
      <c r="AA367" s="241"/>
      <c r="AB367" s="241"/>
      <c r="AC367" s="241"/>
      <c r="AD367" s="241"/>
      <c r="AE367" s="241"/>
      <c r="AF367" s="241"/>
      <c r="AG367" s="241"/>
      <c r="AH367" s="241"/>
      <c r="AI367" s="241"/>
      <c r="AJ367" s="241"/>
      <c r="AK367" s="241"/>
      <c r="AL367" s="241"/>
      <c r="AM367" s="241"/>
      <c r="AN367" s="241"/>
      <c r="AO367" s="241"/>
      <c r="AP367" s="241"/>
      <c r="AQ367" s="241"/>
      <c r="AR367" s="241"/>
      <c r="AS367" s="241"/>
      <c r="AT367" s="241"/>
      <c r="AU367" s="241"/>
      <c r="AV367" s="241"/>
      <c r="AW367" s="241"/>
      <c r="AX367" s="241"/>
      <c r="AY367" s="241"/>
      <c r="AZ367" s="241"/>
    </row>
    <row r="368" spans="1:52" s="71" customFormat="1" ht="18" hidden="1" customHeight="1" outlineLevel="2">
      <c r="A368" s="288">
        <v>98</v>
      </c>
      <c r="B368" s="97"/>
      <c r="C368" s="296"/>
      <c r="D368" s="360"/>
      <c r="E368" s="361"/>
      <c r="F368" s="298"/>
      <c r="G368" s="298"/>
      <c r="H368" s="86"/>
      <c r="I368" s="344" t="str">
        <f t="shared" si="77"/>
        <v/>
      </c>
      <c r="J368" s="345"/>
      <c r="K368" s="307"/>
      <c r="L368" s="307"/>
      <c r="M368" s="344" t="str">
        <f t="shared" si="78"/>
        <v/>
      </c>
      <c r="N368" s="345"/>
      <c r="O368" s="225" t="str">
        <f t="shared" si="79"/>
        <v/>
      </c>
      <c r="P368" s="225" t="str">
        <f t="shared" si="80"/>
        <v/>
      </c>
      <c r="Q368" s="284"/>
      <c r="R368" s="225" t="str">
        <f t="shared" si="81"/>
        <v/>
      </c>
      <c r="S368" s="225" t="str">
        <f t="shared" si="82"/>
        <v/>
      </c>
      <c r="T368" s="231" t="str">
        <f t="shared" si="83"/>
        <v/>
      </c>
      <c r="U368" s="241"/>
      <c r="V368" s="241"/>
      <c r="W368" s="241"/>
      <c r="X368" s="241"/>
      <c r="Y368" s="241"/>
      <c r="Z368" s="241"/>
      <c r="AA368" s="241"/>
      <c r="AB368" s="241"/>
      <c r="AC368" s="241"/>
      <c r="AD368" s="241"/>
      <c r="AE368" s="241"/>
      <c r="AF368" s="241"/>
      <c r="AG368" s="241"/>
      <c r="AH368" s="241"/>
      <c r="AI368" s="241"/>
      <c r="AJ368" s="241"/>
      <c r="AK368" s="241"/>
      <c r="AL368" s="241"/>
      <c r="AM368" s="241"/>
      <c r="AN368" s="241"/>
      <c r="AO368" s="241"/>
      <c r="AP368" s="241"/>
      <c r="AQ368" s="241"/>
      <c r="AR368" s="241"/>
      <c r="AS368" s="241"/>
      <c r="AT368" s="241"/>
      <c r="AU368" s="241"/>
      <c r="AV368" s="241"/>
      <c r="AW368" s="241"/>
      <c r="AX368" s="241"/>
      <c r="AY368" s="241"/>
      <c r="AZ368" s="241"/>
    </row>
    <row r="369" spans="1:52" s="71" customFormat="1" ht="18" hidden="1" customHeight="1" outlineLevel="2">
      <c r="A369" s="288">
        <v>99</v>
      </c>
      <c r="B369" s="97"/>
      <c r="C369" s="296"/>
      <c r="D369" s="360"/>
      <c r="E369" s="361"/>
      <c r="F369" s="298"/>
      <c r="G369" s="298"/>
      <c r="H369" s="86"/>
      <c r="I369" s="344" t="str">
        <f t="shared" si="77"/>
        <v/>
      </c>
      <c r="J369" s="345"/>
      <c r="K369" s="307"/>
      <c r="L369" s="307"/>
      <c r="M369" s="344" t="str">
        <f t="shared" si="78"/>
        <v/>
      </c>
      <c r="N369" s="345"/>
      <c r="O369" s="225" t="str">
        <f t="shared" si="79"/>
        <v/>
      </c>
      <c r="P369" s="225" t="str">
        <f t="shared" si="80"/>
        <v/>
      </c>
      <c r="Q369" s="284"/>
      <c r="R369" s="225" t="str">
        <f t="shared" si="81"/>
        <v/>
      </c>
      <c r="S369" s="225" t="str">
        <f t="shared" si="82"/>
        <v/>
      </c>
      <c r="T369" s="231" t="str">
        <f t="shared" si="83"/>
        <v/>
      </c>
      <c r="U369" s="241"/>
      <c r="V369" s="241"/>
      <c r="W369" s="241"/>
      <c r="X369" s="241"/>
      <c r="Y369" s="241"/>
      <c r="Z369" s="241"/>
      <c r="AA369" s="241"/>
      <c r="AB369" s="241"/>
      <c r="AC369" s="241"/>
      <c r="AD369" s="241"/>
      <c r="AE369" s="241"/>
      <c r="AF369" s="241"/>
      <c r="AG369" s="241"/>
      <c r="AH369" s="241"/>
      <c r="AI369" s="241"/>
      <c r="AJ369" s="241"/>
      <c r="AK369" s="241"/>
      <c r="AL369" s="241"/>
      <c r="AM369" s="241"/>
      <c r="AN369" s="241"/>
      <c r="AO369" s="241"/>
      <c r="AP369" s="241"/>
      <c r="AQ369" s="241"/>
      <c r="AR369" s="241"/>
      <c r="AS369" s="241"/>
      <c r="AT369" s="241"/>
      <c r="AU369" s="241"/>
      <c r="AV369" s="241"/>
      <c r="AW369" s="241"/>
      <c r="AX369" s="241"/>
      <c r="AY369" s="241"/>
      <c r="AZ369" s="241"/>
    </row>
    <row r="370" spans="1:52" s="71" customFormat="1" ht="18" hidden="1" customHeight="1" outlineLevel="2">
      <c r="A370" s="288">
        <v>100</v>
      </c>
      <c r="B370" s="97"/>
      <c r="C370" s="296"/>
      <c r="D370" s="360"/>
      <c r="E370" s="361"/>
      <c r="F370" s="298"/>
      <c r="G370" s="298"/>
      <c r="H370" s="86"/>
      <c r="I370" s="344" t="str">
        <f t="shared" si="77"/>
        <v/>
      </c>
      <c r="J370" s="345"/>
      <c r="K370" s="307"/>
      <c r="L370" s="307"/>
      <c r="M370" s="344" t="str">
        <f t="shared" si="78"/>
        <v/>
      </c>
      <c r="N370" s="345"/>
      <c r="O370" s="225" t="str">
        <f t="shared" si="79"/>
        <v/>
      </c>
      <c r="P370" s="225" t="str">
        <f t="shared" si="80"/>
        <v/>
      </c>
      <c r="Q370" s="284"/>
      <c r="R370" s="225" t="str">
        <f t="shared" si="81"/>
        <v/>
      </c>
      <c r="S370" s="225" t="str">
        <f t="shared" si="82"/>
        <v/>
      </c>
      <c r="T370" s="231" t="str">
        <f t="shared" si="83"/>
        <v/>
      </c>
      <c r="U370" s="241"/>
      <c r="V370" s="241"/>
      <c r="W370" s="241"/>
      <c r="X370" s="241"/>
      <c r="Y370" s="241"/>
      <c r="Z370" s="241"/>
      <c r="AA370" s="241"/>
      <c r="AB370" s="241"/>
      <c r="AC370" s="241"/>
      <c r="AD370" s="241"/>
      <c r="AE370" s="241"/>
      <c r="AF370" s="241"/>
      <c r="AG370" s="241"/>
      <c r="AH370" s="241"/>
      <c r="AI370" s="241"/>
      <c r="AJ370" s="241"/>
      <c r="AK370" s="241"/>
      <c r="AL370" s="241"/>
      <c r="AM370" s="241"/>
      <c r="AN370" s="241"/>
      <c r="AO370" s="241"/>
      <c r="AP370" s="241"/>
      <c r="AQ370" s="241"/>
      <c r="AR370" s="241"/>
      <c r="AS370" s="241"/>
      <c r="AT370" s="241"/>
      <c r="AU370" s="241"/>
      <c r="AV370" s="241"/>
      <c r="AW370" s="241"/>
      <c r="AX370" s="241"/>
      <c r="AY370" s="241"/>
      <c r="AZ370" s="241"/>
    </row>
    <row r="371" spans="1:52" s="71" customFormat="1" ht="18" hidden="1" customHeight="1" outlineLevel="2">
      <c r="A371" s="288">
        <v>101</v>
      </c>
      <c r="B371" s="97"/>
      <c r="C371" s="296"/>
      <c r="D371" s="360"/>
      <c r="E371" s="361"/>
      <c r="F371" s="298"/>
      <c r="G371" s="298"/>
      <c r="H371" s="86"/>
      <c r="I371" s="344" t="str">
        <f t="shared" si="77"/>
        <v/>
      </c>
      <c r="J371" s="345"/>
      <c r="K371" s="307"/>
      <c r="L371" s="307"/>
      <c r="M371" s="344" t="str">
        <f t="shared" si="78"/>
        <v/>
      </c>
      <c r="N371" s="345"/>
      <c r="O371" s="225" t="str">
        <f t="shared" si="79"/>
        <v/>
      </c>
      <c r="P371" s="225" t="str">
        <f t="shared" si="80"/>
        <v/>
      </c>
      <c r="Q371" s="284"/>
      <c r="R371" s="225" t="str">
        <f t="shared" si="81"/>
        <v/>
      </c>
      <c r="S371" s="225" t="str">
        <f t="shared" si="82"/>
        <v/>
      </c>
      <c r="T371" s="231" t="str">
        <f t="shared" si="83"/>
        <v/>
      </c>
      <c r="U371" s="241"/>
      <c r="V371" s="241"/>
      <c r="W371" s="241"/>
      <c r="X371" s="241"/>
      <c r="Y371" s="241"/>
      <c r="Z371" s="241"/>
      <c r="AA371" s="241"/>
      <c r="AB371" s="241"/>
      <c r="AC371" s="241"/>
      <c r="AD371" s="241"/>
      <c r="AE371" s="241"/>
      <c r="AF371" s="241"/>
      <c r="AG371" s="241"/>
      <c r="AH371" s="241"/>
      <c r="AI371" s="241"/>
      <c r="AJ371" s="241"/>
      <c r="AK371" s="241"/>
      <c r="AL371" s="241"/>
      <c r="AM371" s="241"/>
      <c r="AN371" s="241"/>
      <c r="AO371" s="241"/>
      <c r="AP371" s="241"/>
      <c r="AQ371" s="241"/>
      <c r="AR371" s="241"/>
      <c r="AS371" s="241"/>
      <c r="AT371" s="241"/>
      <c r="AU371" s="241"/>
      <c r="AV371" s="241"/>
      <c r="AW371" s="241"/>
      <c r="AX371" s="241"/>
      <c r="AY371" s="241"/>
      <c r="AZ371" s="241"/>
    </row>
    <row r="372" spans="1:52" s="71" customFormat="1" ht="18" hidden="1" customHeight="1" outlineLevel="2">
      <c r="A372" s="288">
        <v>102</v>
      </c>
      <c r="B372" s="97"/>
      <c r="C372" s="296"/>
      <c r="D372" s="360"/>
      <c r="E372" s="361"/>
      <c r="F372" s="298"/>
      <c r="G372" s="298"/>
      <c r="H372" s="86"/>
      <c r="I372" s="344" t="str">
        <f t="shared" si="77"/>
        <v/>
      </c>
      <c r="J372" s="345"/>
      <c r="K372" s="307"/>
      <c r="L372" s="307"/>
      <c r="M372" s="344" t="str">
        <f t="shared" si="78"/>
        <v/>
      </c>
      <c r="N372" s="345"/>
      <c r="O372" s="225" t="str">
        <f t="shared" si="79"/>
        <v/>
      </c>
      <c r="P372" s="225" t="str">
        <f t="shared" si="80"/>
        <v/>
      </c>
      <c r="Q372" s="284"/>
      <c r="R372" s="225" t="str">
        <f t="shared" si="81"/>
        <v/>
      </c>
      <c r="S372" s="225" t="str">
        <f t="shared" si="82"/>
        <v/>
      </c>
      <c r="T372" s="231" t="str">
        <f t="shared" si="83"/>
        <v/>
      </c>
      <c r="U372" s="241"/>
      <c r="V372" s="241"/>
      <c r="W372" s="241"/>
      <c r="X372" s="241"/>
      <c r="Y372" s="241"/>
      <c r="Z372" s="241"/>
      <c r="AA372" s="241"/>
      <c r="AB372" s="241"/>
      <c r="AC372" s="241"/>
      <c r="AD372" s="241"/>
      <c r="AE372" s="241"/>
      <c r="AF372" s="241"/>
      <c r="AG372" s="241"/>
      <c r="AH372" s="241"/>
      <c r="AI372" s="241"/>
      <c r="AJ372" s="241"/>
      <c r="AK372" s="241"/>
      <c r="AL372" s="241"/>
      <c r="AM372" s="241"/>
      <c r="AN372" s="241"/>
      <c r="AO372" s="241"/>
      <c r="AP372" s="241"/>
      <c r="AQ372" s="241"/>
      <c r="AR372" s="241"/>
      <c r="AS372" s="241"/>
      <c r="AT372" s="241"/>
      <c r="AU372" s="241"/>
      <c r="AV372" s="241"/>
      <c r="AW372" s="241"/>
      <c r="AX372" s="241"/>
      <c r="AY372" s="241"/>
      <c r="AZ372" s="241"/>
    </row>
    <row r="373" spans="1:52" s="71" customFormat="1" ht="18" hidden="1" customHeight="1" outlineLevel="2">
      <c r="A373" s="288">
        <v>103</v>
      </c>
      <c r="B373" s="97"/>
      <c r="C373" s="296"/>
      <c r="D373" s="360"/>
      <c r="E373" s="361"/>
      <c r="F373" s="298"/>
      <c r="G373" s="298"/>
      <c r="H373" s="86"/>
      <c r="I373" s="344" t="str">
        <f t="shared" si="77"/>
        <v/>
      </c>
      <c r="J373" s="345"/>
      <c r="K373" s="307"/>
      <c r="L373" s="307"/>
      <c r="M373" s="344" t="str">
        <f t="shared" si="78"/>
        <v/>
      </c>
      <c r="N373" s="345"/>
      <c r="O373" s="225" t="str">
        <f t="shared" si="79"/>
        <v/>
      </c>
      <c r="P373" s="225" t="str">
        <f t="shared" si="80"/>
        <v/>
      </c>
      <c r="Q373" s="284"/>
      <c r="R373" s="225" t="str">
        <f t="shared" si="81"/>
        <v/>
      </c>
      <c r="S373" s="225" t="str">
        <f t="shared" si="82"/>
        <v/>
      </c>
      <c r="T373" s="231" t="str">
        <f t="shared" si="83"/>
        <v/>
      </c>
      <c r="U373" s="241"/>
      <c r="V373" s="241"/>
      <c r="W373" s="241"/>
      <c r="X373" s="241"/>
      <c r="Y373" s="241"/>
      <c r="Z373" s="241"/>
      <c r="AA373" s="241"/>
      <c r="AB373" s="241"/>
      <c r="AC373" s="241"/>
      <c r="AD373" s="241"/>
      <c r="AE373" s="241"/>
      <c r="AF373" s="241"/>
      <c r="AG373" s="241"/>
      <c r="AH373" s="241"/>
      <c r="AI373" s="241"/>
      <c r="AJ373" s="241"/>
      <c r="AK373" s="241"/>
      <c r="AL373" s="241"/>
      <c r="AM373" s="241"/>
      <c r="AN373" s="241"/>
      <c r="AO373" s="241"/>
      <c r="AP373" s="241"/>
      <c r="AQ373" s="241"/>
      <c r="AR373" s="241"/>
      <c r="AS373" s="241"/>
      <c r="AT373" s="241"/>
      <c r="AU373" s="241"/>
      <c r="AV373" s="241"/>
      <c r="AW373" s="241"/>
      <c r="AX373" s="241"/>
      <c r="AY373" s="241"/>
      <c r="AZ373" s="241"/>
    </row>
    <row r="374" spans="1:52" s="71" customFormat="1" ht="18" hidden="1" customHeight="1" outlineLevel="2">
      <c r="A374" s="288">
        <v>104</v>
      </c>
      <c r="B374" s="97"/>
      <c r="C374" s="296"/>
      <c r="D374" s="360"/>
      <c r="E374" s="361"/>
      <c r="F374" s="298"/>
      <c r="G374" s="298"/>
      <c r="H374" s="86"/>
      <c r="I374" s="344" t="str">
        <f t="shared" si="77"/>
        <v/>
      </c>
      <c r="J374" s="345"/>
      <c r="K374" s="307"/>
      <c r="L374" s="307"/>
      <c r="M374" s="344" t="str">
        <f t="shared" si="78"/>
        <v/>
      </c>
      <c r="N374" s="345"/>
      <c r="O374" s="225" t="str">
        <f t="shared" si="79"/>
        <v/>
      </c>
      <c r="P374" s="225" t="str">
        <f t="shared" si="80"/>
        <v/>
      </c>
      <c r="Q374" s="284"/>
      <c r="R374" s="225" t="str">
        <f t="shared" si="81"/>
        <v/>
      </c>
      <c r="S374" s="225" t="str">
        <f t="shared" si="82"/>
        <v/>
      </c>
      <c r="T374" s="231" t="str">
        <f t="shared" si="83"/>
        <v/>
      </c>
      <c r="U374" s="241"/>
      <c r="V374" s="241"/>
      <c r="W374" s="241"/>
      <c r="X374" s="241"/>
      <c r="Y374" s="241"/>
      <c r="Z374" s="241"/>
      <c r="AA374" s="241"/>
      <c r="AB374" s="241"/>
      <c r="AC374" s="241"/>
      <c r="AD374" s="241"/>
      <c r="AE374" s="241"/>
      <c r="AF374" s="241"/>
      <c r="AG374" s="241"/>
      <c r="AH374" s="241"/>
      <c r="AI374" s="241"/>
      <c r="AJ374" s="241"/>
      <c r="AK374" s="241"/>
      <c r="AL374" s="241"/>
      <c r="AM374" s="241"/>
      <c r="AN374" s="241"/>
      <c r="AO374" s="241"/>
      <c r="AP374" s="241"/>
      <c r="AQ374" s="241"/>
      <c r="AR374" s="241"/>
      <c r="AS374" s="241"/>
      <c r="AT374" s="241"/>
      <c r="AU374" s="241"/>
      <c r="AV374" s="241"/>
      <c r="AW374" s="241"/>
      <c r="AX374" s="241"/>
      <c r="AY374" s="241"/>
      <c r="AZ374" s="241"/>
    </row>
    <row r="375" spans="1:52" s="71" customFormat="1" ht="18" hidden="1" customHeight="1" outlineLevel="2">
      <c r="A375" s="288">
        <v>105</v>
      </c>
      <c r="B375" s="97"/>
      <c r="C375" s="296"/>
      <c r="D375" s="360"/>
      <c r="E375" s="361"/>
      <c r="F375" s="298"/>
      <c r="G375" s="298"/>
      <c r="H375" s="86"/>
      <c r="I375" s="344" t="str">
        <f t="shared" si="77"/>
        <v/>
      </c>
      <c r="J375" s="345"/>
      <c r="K375" s="307"/>
      <c r="L375" s="307"/>
      <c r="M375" s="344" t="str">
        <f t="shared" si="78"/>
        <v/>
      </c>
      <c r="N375" s="345"/>
      <c r="O375" s="225" t="str">
        <f t="shared" si="79"/>
        <v/>
      </c>
      <c r="P375" s="225" t="str">
        <f t="shared" si="80"/>
        <v/>
      </c>
      <c r="Q375" s="284"/>
      <c r="R375" s="225" t="str">
        <f t="shared" si="81"/>
        <v/>
      </c>
      <c r="S375" s="225" t="str">
        <f t="shared" si="82"/>
        <v/>
      </c>
      <c r="T375" s="231" t="str">
        <f t="shared" si="83"/>
        <v/>
      </c>
      <c r="U375" s="241"/>
      <c r="V375" s="241"/>
      <c r="W375" s="241"/>
      <c r="X375" s="241"/>
      <c r="Y375" s="241"/>
      <c r="Z375" s="241"/>
      <c r="AA375" s="241"/>
      <c r="AB375" s="241"/>
      <c r="AC375" s="241"/>
      <c r="AD375" s="241"/>
      <c r="AE375" s="241"/>
      <c r="AF375" s="241"/>
      <c r="AG375" s="241"/>
      <c r="AH375" s="241"/>
      <c r="AI375" s="241"/>
      <c r="AJ375" s="241"/>
      <c r="AK375" s="241"/>
      <c r="AL375" s="241"/>
      <c r="AM375" s="241"/>
      <c r="AN375" s="241"/>
      <c r="AO375" s="241"/>
      <c r="AP375" s="241"/>
      <c r="AQ375" s="241"/>
      <c r="AR375" s="241"/>
      <c r="AS375" s="241"/>
      <c r="AT375" s="241"/>
      <c r="AU375" s="241"/>
      <c r="AV375" s="241"/>
      <c r="AW375" s="241"/>
      <c r="AX375" s="241"/>
      <c r="AY375" s="241"/>
      <c r="AZ375" s="241"/>
    </row>
    <row r="376" spans="1:52" s="71" customFormat="1" ht="18" hidden="1" customHeight="1" outlineLevel="2">
      <c r="A376" s="288">
        <v>106</v>
      </c>
      <c r="B376" s="97"/>
      <c r="C376" s="296"/>
      <c r="D376" s="360"/>
      <c r="E376" s="361"/>
      <c r="F376" s="298"/>
      <c r="G376" s="298"/>
      <c r="H376" s="86"/>
      <c r="I376" s="344" t="str">
        <f t="shared" si="77"/>
        <v/>
      </c>
      <c r="J376" s="345"/>
      <c r="K376" s="307"/>
      <c r="L376" s="307"/>
      <c r="M376" s="344" t="str">
        <f t="shared" si="78"/>
        <v/>
      </c>
      <c r="N376" s="345"/>
      <c r="O376" s="225" t="str">
        <f t="shared" si="79"/>
        <v/>
      </c>
      <c r="P376" s="225" t="str">
        <f t="shared" si="80"/>
        <v/>
      </c>
      <c r="Q376" s="284"/>
      <c r="R376" s="225" t="str">
        <f t="shared" si="81"/>
        <v/>
      </c>
      <c r="S376" s="225" t="str">
        <f t="shared" si="82"/>
        <v/>
      </c>
      <c r="T376" s="231" t="str">
        <f t="shared" si="83"/>
        <v/>
      </c>
      <c r="U376" s="241"/>
      <c r="V376" s="241"/>
      <c r="W376" s="241"/>
      <c r="X376" s="241"/>
      <c r="Y376" s="241"/>
      <c r="Z376" s="241"/>
      <c r="AA376" s="241"/>
      <c r="AB376" s="241"/>
      <c r="AC376" s="241"/>
      <c r="AD376" s="241"/>
      <c r="AE376" s="241"/>
      <c r="AF376" s="241"/>
      <c r="AG376" s="241"/>
      <c r="AH376" s="241"/>
      <c r="AI376" s="241"/>
      <c r="AJ376" s="241"/>
      <c r="AK376" s="241"/>
      <c r="AL376" s="241"/>
      <c r="AM376" s="241"/>
      <c r="AN376" s="241"/>
      <c r="AO376" s="241"/>
      <c r="AP376" s="241"/>
      <c r="AQ376" s="241"/>
      <c r="AR376" s="241"/>
      <c r="AS376" s="241"/>
      <c r="AT376" s="241"/>
      <c r="AU376" s="241"/>
      <c r="AV376" s="241"/>
      <c r="AW376" s="241"/>
      <c r="AX376" s="241"/>
      <c r="AY376" s="241"/>
      <c r="AZ376" s="241"/>
    </row>
    <row r="377" spans="1:52" s="71" customFormat="1" ht="18" hidden="1" customHeight="1" outlineLevel="2">
      <c r="A377" s="288">
        <v>107</v>
      </c>
      <c r="B377" s="97"/>
      <c r="C377" s="296"/>
      <c r="D377" s="360"/>
      <c r="E377" s="361"/>
      <c r="F377" s="298"/>
      <c r="G377" s="298"/>
      <c r="H377" s="86"/>
      <c r="I377" s="344" t="str">
        <f t="shared" si="77"/>
        <v/>
      </c>
      <c r="J377" s="345"/>
      <c r="K377" s="307"/>
      <c r="L377" s="307"/>
      <c r="M377" s="344" t="str">
        <f t="shared" si="78"/>
        <v/>
      </c>
      <c r="N377" s="345"/>
      <c r="O377" s="225" t="str">
        <f t="shared" si="79"/>
        <v/>
      </c>
      <c r="P377" s="225" t="str">
        <f t="shared" si="80"/>
        <v/>
      </c>
      <c r="Q377" s="284"/>
      <c r="R377" s="225" t="str">
        <f t="shared" si="81"/>
        <v/>
      </c>
      <c r="S377" s="225" t="str">
        <f t="shared" si="82"/>
        <v/>
      </c>
      <c r="T377" s="231" t="str">
        <f t="shared" si="83"/>
        <v/>
      </c>
      <c r="U377" s="241"/>
      <c r="V377" s="241"/>
      <c r="W377" s="241"/>
      <c r="X377" s="241"/>
      <c r="Y377" s="241"/>
      <c r="Z377" s="241"/>
      <c r="AA377" s="241"/>
      <c r="AB377" s="241"/>
      <c r="AC377" s="241"/>
      <c r="AD377" s="241"/>
      <c r="AE377" s="241"/>
      <c r="AF377" s="241"/>
      <c r="AG377" s="241"/>
      <c r="AH377" s="241"/>
      <c r="AI377" s="241"/>
      <c r="AJ377" s="241"/>
      <c r="AK377" s="241"/>
      <c r="AL377" s="241"/>
      <c r="AM377" s="241"/>
      <c r="AN377" s="241"/>
      <c r="AO377" s="241"/>
      <c r="AP377" s="241"/>
      <c r="AQ377" s="241"/>
      <c r="AR377" s="241"/>
      <c r="AS377" s="241"/>
      <c r="AT377" s="241"/>
      <c r="AU377" s="241"/>
      <c r="AV377" s="241"/>
      <c r="AW377" s="241"/>
      <c r="AX377" s="241"/>
      <c r="AY377" s="241"/>
      <c r="AZ377" s="241"/>
    </row>
    <row r="378" spans="1:52" s="71" customFormat="1" ht="18" hidden="1" customHeight="1" outlineLevel="2">
      <c r="A378" s="288">
        <v>108</v>
      </c>
      <c r="B378" s="97"/>
      <c r="C378" s="296"/>
      <c r="D378" s="360"/>
      <c r="E378" s="361"/>
      <c r="F378" s="298"/>
      <c r="G378" s="298"/>
      <c r="H378" s="86"/>
      <c r="I378" s="344" t="str">
        <f t="shared" si="77"/>
        <v/>
      </c>
      <c r="J378" s="345"/>
      <c r="K378" s="307"/>
      <c r="L378" s="307"/>
      <c r="M378" s="344" t="str">
        <f t="shared" si="78"/>
        <v/>
      </c>
      <c r="N378" s="345"/>
      <c r="O378" s="225" t="str">
        <f t="shared" si="79"/>
        <v/>
      </c>
      <c r="P378" s="225" t="str">
        <f t="shared" si="80"/>
        <v/>
      </c>
      <c r="Q378" s="284"/>
      <c r="R378" s="225" t="str">
        <f t="shared" si="81"/>
        <v/>
      </c>
      <c r="S378" s="225" t="str">
        <f t="shared" si="82"/>
        <v/>
      </c>
      <c r="T378" s="231" t="str">
        <f t="shared" si="83"/>
        <v/>
      </c>
      <c r="U378" s="241"/>
      <c r="V378" s="241"/>
      <c r="W378" s="241"/>
      <c r="X378" s="241"/>
      <c r="Y378" s="241"/>
      <c r="Z378" s="241"/>
      <c r="AA378" s="241"/>
      <c r="AB378" s="241"/>
      <c r="AC378" s="241"/>
      <c r="AD378" s="241"/>
      <c r="AE378" s="241"/>
      <c r="AF378" s="241"/>
      <c r="AG378" s="241"/>
      <c r="AH378" s="241"/>
      <c r="AI378" s="241"/>
      <c r="AJ378" s="241"/>
      <c r="AK378" s="241"/>
      <c r="AL378" s="241"/>
      <c r="AM378" s="241"/>
      <c r="AN378" s="241"/>
      <c r="AO378" s="241"/>
      <c r="AP378" s="241"/>
      <c r="AQ378" s="241"/>
      <c r="AR378" s="241"/>
      <c r="AS378" s="241"/>
      <c r="AT378" s="241"/>
      <c r="AU378" s="241"/>
      <c r="AV378" s="241"/>
      <c r="AW378" s="241"/>
      <c r="AX378" s="241"/>
      <c r="AY378" s="241"/>
      <c r="AZ378" s="241"/>
    </row>
    <row r="379" spans="1:52" s="71" customFormat="1" ht="18" hidden="1" customHeight="1" outlineLevel="2">
      <c r="A379" s="288">
        <v>109</v>
      </c>
      <c r="B379" s="97"/>
      <c r="C379" s="296"/>
      <c r="D379" s="360"/>
      <c r="E379" s="361"/>
      <c r="F379" s="298"/>
      <c r="G379" s="298"/>
      <c r="H379" s="86"/>
      <c r="I379" s="344" t="str">
        <f t="shared" si="77"/>
        <v/>
      </c>
      <c r="J379" s="345"/>
      <c r="K379" s="307"/>
      <c r="L379" s="307"/>
      <c r="M379" s="344" t="str">
        <f t="shared" si="78"/>
        <v/>
      </c>
      <c r="N379" s="345"/>
      <c r="O379" s="225" t="str">
        <f t="shared" si="79"/>
        <v/>
      </c>
      <c r="P379" s="225" t="str">
        <f t="shared" si="80"/>
        <v/>
      </c>
      <c r="Q379" s="284"/>
      <c r="R379" s="225" t="str">
        <f t="shared" si="81"/>
        <v/>
      </c>
      <c r="S379" s="225" t="str">
        <f t="shared" si="82"/>
        <v/>
      </c>
      <c r="T379" s="231" t="str">
        <f t="shared" si="83"/>
        <v/>
      </c>
      <c r="U379" s="241"/>
      <c r="V379" s="241"/>
      <c r="W379" s="241"/>
      <c r="X379" s="241"/>
      <c r="Y379" s="241"/>
      <c r="Z379" s="241"/>
      <c r="AA379" s="241"/>
      <c r="AB379" s="241"/>
      <c r="AC379" s="241"/>
      <c r="AD379" s="241"/>
      <c r="AE379" s="241"/>
      <c r="AF379" s="241"/>
      <c r="AG379" s="241"/>
      <c r="AH379" s="241"/>
      <c r="AI379" s="241"/>
      <c r="AJ379" s="241"/>
      <c r="AK379" s="241"/>
      <c r="AL379" s="241"/>
      <c r="AM379" s="241"/>
      <c r="AN379" s="241"/>
      <c r="AO379" s="241"/>
      <c r="AP379" s="241"/>
      <c r="AQ379" s="241"/>
      <c r="AR379" s="241"/>
      <c r="AS379" s="241"/>
      <c r="AT379" s="241"/>
      <c r="AU379" s="241"/>
      <c r="AV379" s="241"/>
      <c r="AW379" s="241"/>
      <c r="AX379" s="241"/>
      <c r="AY379" s="241"/>
      <c r="AZ379" s="241"/>
    </row>
    <row r="380" spans="1:52" s="71" customFormat="1" ht="18" hidden="1" customHeight="1" outlineLevel="2">
      <c r="A380" s="288">
        <v>110</v>
      </c>
      <c r="B380" s="97"/>
      <c r="C380" s="296"/>
      <c r="D380" s="360"/>
      <c r="E380" s="361"/>
      <c r="F380" s="298"/>
      <c r="G380" s="298"/>
      <c r="H380" s="86"/>
      <c r="I380" s="344" t="str">
        <f t="shared" si="77"/>
        <v/>
      </c>
      <c r="J380" s="345"/>
      <c r="K380" s="307"/>
      <c r="L380" s="307"/>
      <c r="M380" s="344" t="str">
        <f t="shared" si="78"/>
        <v/>
      </c>
      <c r="N380" s="345"/>
      <c r="O380" s="225" t="str">
        <f t="shared" si="79"/>
        <v/>
      </c>
      <c r="P380" s="225" t="str">
        <f t="shared" si="80"/>
        <v/>
      </c>
      <c r="Q380" s="284"/>
      <c r="R380" s="225" t="str">
        <f t="shared" si="81"/>
        <v/>
      </c>
      <c r="S380" s="225" t="str">
        <f t="shared" si="82"/>
        <v/>
      </c>
      <c r="T380" s="231" t="str">
        <f t="shared" si="83"/>
        <v/>
      </c>
      <c r="U380" s="241"/>
      <c r="V380" s="241"/>
      <c r="W380" s="241"/>
      <c r="X380" s="241"/>
      <c r="Y380" s="241"/>
      <c r="Z380" s="241"/>
      <c r="AA380" s="241"/>
      <c r="AB380" s="241"/>
      <c r="AC380" s="241"/>
      <c r="AD380" s="241"/>
      <c r="AE380" s="241"/>
      <c r="AF380" s="241"/>
      <c r="AG380" s="241"/>
      <c r="AH380" s="241"/>
      <c r="AI380" s="241"/>
      <c r="AJ380" s="241"/>
      <c r="AK380" s="241"/>
      <c r="AL380" s="241"/>
      <c r="AM380" s="241"/>
      <c r="AN380" s="241"/>
      <c r="AO380" s="241"/>
      <c r="AP380" s="241"/>
      <c r="AQ380" s="241"/>
      <c r="AR380" s="241"/>
      <c r="AS380" s="241"/>
      <c r="AT380" s="241"/>
      <c r="AU380" s="241"/>
      <c r="AV380" s="241"/>
      <c r="AW380" s="241"/>
      <c r="AX380" s="241"/>
      <c r="AY380" s="241"/>
      <c r="AZ380" s="241"/>
    </row>
    <row r="381" spans="1:52" s="71" customFormat="1" ht="15" hidden="1" customHeight="1" outlineLevel="1" collapsed="1">
      <c r="A381" s="288"/>
      <c r="B381" s="293"/>
      <c r="C381" s="297"/>
      <c r="D381" s="294"/>
      <c r="E381" s="294"/>
      <c r="F381" s="299"/>
      <c r="G381" s="297"/>
      <c r="H381" s="294"/>
      <c r="I381" s="294"/>
      <c r="J381" s="299"/>
      <c r="K381" s="299"/>
      <c r="L381" s="297"/>
      <c r="M381" s="294"/>
      <c r="N381" s="294"/>
      <c r="O381" s="299"/>
      <c r="P381" s="300"/>
      <c r="Q381" s="294"/>
      <c r="R381" s="300"/>
      <c r="S381" s="300"/>
      <c r="T381" s="308"/>
      <c r="U381" s="176"/>
      <c r="V381" s="241"/>
      <c r="W381" s="241"/>
      <c r="X381" s="241"/>
      <c r="Y381" s="241"/>
      <c r="Z381" s="241"/>
      <c r="AA381" s="241"/>
      <c r="AB381" s="241"/>
      <c r="AC381" s="241"/>
      <c r="AD381" s="241"/>
      <c r="AE381" s="241"/>
      <c r="AF381" s="241"/>
      <c r="AG381" s="241"/>
      <c r="AH381" s="241"/>
      <c r="AI381" s="241"/>
      <c r="AJ381" s="241"/>
      <c r="AK381" s="241"/>
      <c r="AL381" s="241"/>
      <c r="AM381" s="241"/>
      <c r="AN381" s="241"/>
      <c r="AO381" s="241"/>
      <c r="AP381" s="241"/>
      <c r="AQ381" s="241"/>
      <c r="AR381" s="241"/>
      <c r="AS381" s="241"/>
      <c r="AT381" s="241"/>
      <c r="AU381" s="241"/>
      <c r="AV381" s="241"/>
      <c r="AW381" s="241"/>
      <c r="AX381" s="241"/>
      <c r="AY381" s="241"/>
      <c r="AZ381" s="241"/>
    </row>
    <row r="382" spans="1:52" ht="18" customHeight="1" collapsed="1">
      <c r="A382" s="288"/>
      <c r="B382" s="152" t="str">
        <f>CONCATENATE("Total Annual Lab and Medical Water Use | Water Use Savings (", IF(inputs_units&lt;&gt;"", INDEX(data_genunitsval, MATCH(inputs_units, data_genunits, 0)), "unit"), ")")</f>
        <v>Total Annual Lab and Medical Water Use | Water Use Savings (unit)</v>
      </c>
      <c r="C382" s="153"/>
      <c r="D382" s="153"/>
      <c r="E382" s="257"/>
      <c r="F382" s="257"/>
      <c r="G382" s="257"/>
      <c r="H382" s="294"/>
      <c r="I382" s="300"/>
      <c r="J382" s="300"/>
      <c r="K382" s="294"/>
      <c r="L382" s="294"/>
      <c r="M382" s="294"/>
      <c r="N382" s="300"/>
      <c r="O382" s="309">
        <f>logic_sumlabmedawub</f>
        <v>0</v>
      </c>
      <c r="P382" s="309">
        <f>logic_sumlabmedawudwoaw</f>
        <v>0</v>
      </c>
      <c r="Q382" s="309">
        <f>logic_sumlabmedawuawa</f>
        <v>0</v>
      </c>
      <c r="R382" s="309">
        <f>logic_sumlabmedawud</f>
        <v>0</v>
      </c>
      <c r="S382" s="309">
        <f>logic_sumlabmedawusa</f>
        <v>0</v>
      </c>
      <c r="T382" s="231">
        <f>logic_sumlabmedawusp</f>
        <v>0</v>
      </c>
      <c r="U382" s="241"/>
      <c r="V382" s="241"/>
      <c r="W382" s="241"/>
      <c r="X382" s="241"/>
      <c r="Y382" s="241"/>
      <c r="Z382" s="241"/>
      <c r="AA382" s="241"/>
      <c r="AB382" s="241"/>
      <c r="AC382" s="241"/>
      <c r="AD382" s="241"/>
      <c r="AE382" s="241"/>
      <c r="AF382" s="241"/>
      <c r="AG382" s="241"/>
      <c r="AH382" s="241"/>
      <c r="AI382" s="241"/>
      <c r="AJ382" s="241"/>
      <c r="AK382" s="241"/>
      <c r="AL382" s="241"/>
      <c r="AM382" s="241"/>
      <c r="AN382" s="241"/>
      <c r="AO382" s="241"/>
      <c r="AP382" s="241"/>
      <c r="AQ382" s="241"/>
      <c r="AR382" s="241"/>
      <c r="AS382" s="241"/>
      <c r="AT382" s="241"/>
      <c r="AU382" s="241"/>
      <c r="AV382" s="241"/>
      <c r="AW382" s="241"/>
      <c r="AX382" s="241"/>
      <c r="AY382" s="241"/>
      <c r="AZ382" s="241"/>
    </row>
    <row r="383" spans="1:52" ht="18" customHeight="1">
      <c r="A383" s="175"/>
      <c r="B383" s="250"/>
      <c r="C383" s="250"/>
      <c r="D383" s="250"/>
      <c r="E383" s="250"/>
      <c r="F383" s="250"/>
      <c r="G383" s="250"/>
      <c r="H383" s="250"/>
      <c r="I383" s="250"/>
      <c r="J383" s="250"/>
      <c r="K383" s="250"/>
      <c r="L383" s="250"/>
      <c r="M383" s="250"/>
      <c r="N383" s="250"/>
      <c r="O383" s="250"/>
      <c r="P383" s="250"/>
      <c r="Q383" s="250"/>
      <c r="R383" s="250"/>
      <c r="S383" s="242"/>
      <c r="T383" s="241"/>
      <c r="U383" s="241"/>
      <c r="V383" s="241"/>
      <c r="W383" s="241"/>
      <c r="X383" s="241"/>
      <c r="Y383" s="241"/>
      <c r="Z383" s="241"/>
      <c r="AA383" s="241"/>
      <c r="AB383" s="241"/>
      <c r="AC383" s="241"/>
      <c r="AD383" s="241"/>
      <c r="AE383" s="241"/>
      <c r="AF383" s="241"/>
      <c r="AG383" s="241"/>
      <c r="AH383" s="241"/>
      <c r="AI383" s="241"/>
      <c r="AJ383" s="241"/>
      <c r="AK383" s="241"/>
      <c r="AL383" s="241"/>
      <c r="AM383" s="241"/>
      <c r="AN383" s="241"/>
      <c r="AO383" s="241"/>
      <c r="AP383" s="241"/>
      <c r="AQ383" s="241"/>
      <c r="AR383" s="241"/>
      <c r="AS383" s="241"/>
      <c r="AT383" s="241"/>
      <c r="AU383" s="241"/>
      <c r="AV383" s="241"/>
      <c r="AW383" s="241"/>
      <c r="AX383" s="241"/>
      <c r="AY383" s="241"/>
      <c r="AZ383" s="241"/>
    </row>
    <row r="384" spans="1:52" ht="18" customHeight="1">
      <c r="A384" s="175"/>
      <c r="B384" s="250"/>
      <c r="C384" s="250"/>
      <c r="D384" s="250"/>
      <c r="E384" s="250"/>
      <c r="F384" s="250"/>
      <c r="G384" s="250"/>
      <c r="H384" s="250"/>
      <c r="I384" s="250"/>
      <c r="J384" s="250"/>
      <c r="K384" s="250"/>
      <c r="L384" s="250"/>
      <c r="M384" s="250"/>
      <c r="N384" s="250"/>
      <c r="O384" s="250"/>
      <c r="P384" s="250"/>
      <c r="Q384" s="250"/>
      <c r="R384" s="250"/>
      <c r="S384" s="250"/>
      <c r="T384" s="241"/>
      <c r="U384" s="241"/>
      <c r="V384" s="241"/>
      <c r="W384" s="241"/>
      <c r="X384" s="241"/>
      <c r="Y384" s="241"/>
      <c r="Z384" s="241"/>
      <c r="AA384" s="241"/>
      <c r="AB384" s="241"/>
      <c r="AC384" s="241"/>
      <c r="AD384" s="241"/>
      <c r="AE384" s="241"/>
      <c r="AF384" s="241"/>
      <c r="AG384" s="241"/>
      <c r="AH384" s="241"/>
      <c r="AI384" s="241"/>
      <c r="AJ384" s="241"/>
      <c r="AK384" s="241"/>
      <c r="AL384" s="241"/>
      <c r="AM384" s="241"/>
      <c r="AN384" s="241"/>
      <c r="AO384" s="241"/>
      <c r="AP384" s="241"/>
      <c r="AQ384" s="241"/>
      <c r="AR384" s="241"/>
      <c r="AS384" s="241"/>
      <c r="AT384" s="241"/>
      <c r="AU384" s="241"/>
      <c r="AV384" s="241"/>
      <c r="AW384" s="241"/>
      <c r="AX384" s="241"/>
      <c r="AY384" s="241"/>
      <c r="AZ384" s="241"/>
    </row>
    <row r="385" spans="1:52" ht="18" customHeight="1">
      <c r="A385" s="175"/>
      <c r="B385" s="142" t="s">
        <v>168</v>
      </c>
      <c r="C385" s="156"/>
      <c r="D385" s="143"/>
      <c r="E385" s="143"/>
      <c r="F385" s="143"/>
      <c r="G385" s="143"/>
      <c r="H385" s="143"/>
      <c r="I385" s="143"/>
      <c r="J385" s="143"/>
      <c r="K385" s="144"/>
      <c r="L385" s="241"/>
      <c r="M385" s="241"/>
      <c r="N385" s="241"/>
      <c r="O385" s="241"/>
      <c r="P385" s="241"/>
      <c r="Q385" s="241"/>
      <c r="R385" s="241"/>
      <c r="S385" s="241"/>
      <c r="T385" s="241"/>
      <c r="U385" s="241"/>
      <c r="V385" s="241"/>
      <c r="W385" s="241"/>
      <c r="X385" s="241"/>
      <c r="Y385" s="241"/>
      <c r="Z385" s="241"/>
      <c r="AA385" s="241"/>
      <c r="AB385" s="241"/>
      <c r="AC385" s="241"/>
      <c r="AD385" s="241"/>
      <c r="AE385" s="241"/>
      <c r="AF385" s="241"/>
      <c r="AG385" s="241"/>
      <c r="AH385" s="241"/>
      <c r="AI385" s="241"/>
      <c r="AJ385" s="241"/>
      <c r="AK385" s="241"/>
      <c r="AL385" s="241"/>
      <c r="AM385" s="241"/>
      <c r="AN385" s="241"/>
      <c r="AO385" s="241"/>
      <c r="AP385" s="241"/>
      <c r="AQ385" s="241"/>
      <c r="AR385" s="241"/>
      <c r="AS385" s="241"/>
      <c r="AT385" s="241"/>
      <c r="AU385" s="241"/>
      <c r="AV385" s="241"/>
      <c r="AW385" s="241"/>
      <c r="AX385" s="241"/>
      <c r="AY385" s="241"/>
      <c r="AZ385" s="241"/>
    </row>
    <row r="386" spans="1:52" ht="18" customHeight="1">
      <c r="A386" s="232"/>
      <c r="B386" s="232"/>
      <c r="C386" s="232"/>
      <c r="D386" s="232"/>
      <c r="E386" s="232"/>
      <c r="F386" s="232"/>
      <c r="G386" s="232"/>
      <c r="H386" s="232"/>
      <c r="I386" s="232"/>
      <c r="J386" s="232"/>
      <c r="K386" s="232"/>
      <c r="L386" s="232"/>
      <c r="M386" s="232"/>
      <c r="N386" s="232"/>
      <c r="O386" s="232"/>
      <c r="P386" s="241"/>
      <c r="Q386" s="241"/>
      <c r="R386" s="241"/>
      <c r="S386" s="242"/>
      <c r="T386" s="241"/>
      <c r="U386" s="241"/>
      <c r="V386" s="241"/>
      <c r="W386" s="241"/>
      <c r="X386" s="241"/>
      <c r="Y386" s="241"/>
      <c r="Z386" s="241"/>
      <c r="AA386" s="241"/>
      <c r="AB386" s="241"/>
      <c r="AC386" s="241"/>
      <c r="AD386" s="241"/>
      <c r="AE386" s="241"/>
      <c r="AF386" s="241"/>
      <c r="AG386" s="241"/>
      <c r="AH386" s="241"/>
      <c r="AI386" s="241"/>
      <c r="AJ386" s="241"/>
      <c r="AK386" s="241"/>
      <c r="AL386" s="241"/>
      <c r="AM386" s="241"/>
      <c r="AN386" s="241"/>
      <c r="AO386" s="241"/>
      <c r="AP386" s="241"/>
      <c r="AQ386" s="241"/>
      <c r="AR386" s="241"/>
      <c r="AS386" s="241"/>
      <c r="AT386" s="241"/>
      <c r="AU386" s="241"/>
      <c r="AV386" s="241"/>
      <c r="AW386" s="241"/>
      <c r="AX386" s="241"/>
      <c r="AY386" s="241"/>
      <c r="AZ386" s="241"/>
    </row>
    <row r="387" spans="1:52" s="244" customFormat="1" ht="17.399999999999999" customHeight="1">
      <c r="A387" s="175"/>
      <c r="B387" s="240" t="s">
        <v>156</v>
      </c>
      <c r="C387" s="241"/>
      <c r="D387" s="241"/>
      <c r="E387" s="241"/>
      <c r="F387" s="241"/>
      <c r="G387" s="242"/>
      <c r="H387" s="242"/>
      <c r="I387" s="242"/>
      <c r="J387" s="242"/>
      <c r="K387" s="243"/>
      <c r="L387" s="243"/>
      <c r="M387" s="243"/>
      <c r="N387" s="243"/>
      <c r="O387" s="243"/>
      <c r="P387" s="241"/>
      <c r="Q387" s="241"/>
      <c r="R387" s="241"/>
      <c r="S387" s="243"/>
      <c r="T387" s="243"/>
      <c r="U387" s="241"/>
      <c r="V387" s="243"/>
      <c r="W387" s="243"/>
      <c r="X387" s="243"/>
      <c r="Y387" s="243"/>
      <c r="Z387" s="243"/>
      <c r="AA387" s="243"/>
      <c r="AB387" s="243"/>
      <c r="AC387" s="243"/>
      <c r="AD387" s="243"/>
      <c r="AE387" s="243"/>
      <c r="AF387" s="243"/>
      <c r="AG387" s="243"/>
      <c r="AH387" s="243"/>
      <c r="AI387" s="243"/>
      <c r="AJ387" s="243"/>
      <c r="AK387" s="243"/>
      <c r="AL387" s="243"/>
      <c r="AM387" s="243"/>
      <c r="AN387" s="243"/>
      <c r="AO387" s="243"/>
      <c r="AP387" s="243"/>
      <c r="AQ387" s="243"/>
      <c r="AR387" s="243"/>
      <c r="AS387" s="243"/>
      <c r="AT387" s="243"/>
      <c r="AU387" s="243"/>
      <c r="AV387" s="243"/>
      <c r="AW387" s="243"/>
      <c r="AX387" s="243"/>
      <c r="AY387" s="243"/>
      <c r="AZ387" s="243"/>
    </row>
    <row r="388" spans="1:52" s="71" customFormat="1" ht="18" customHeight="1">
      <c r="A388" s="250"/>
      <c r="B388" s="152" t="s">
        <v>157</v>
      </c>
      <c r="C388" s="153"/>
      <c r="D388" s="153"/>
      <c r="E388" s="186"/>
      <c r="F388" s="152" t="s">
        <v>348</v>
      </c>
      <c r="G388" s="234"/>
      <c r="H388" s="234"/>
      <c r="I388" s="234"/>
      <c r="J388" s="234"/>
      <c r="K388" s="290"/>
      <c r="L388" s="241"/>
      <c r="M388" s="241"/>
      <c r="N388" s="241"/>
      <c r="O388" s="241"/>
      <c r="P388" s="241"/>
      <c r="Q388" s="241"/>
      <c r="R388" s="241"/>
      <c r="S388" s="241"/>
      <c r="T388" s="241"/>
      <c r="U388" s="241"/>
      <c r="V388" s="241"/>
      <c r="W388" s="241"/>
      <c r="X388" s="241"/>
      <c r="Y388" s="241"/>
      <c r="Z388" s="241"/>
      <c r="AA388" s="241"/>
      <c r="AB388" s="241"/>
      <c r="AC388" s="241"/>
      <c r="AD388" s="241"/>
      <c r="AE388" s="241"/>
      <c r="AF388" s="241"/>
      <c r="AG388" s="241"/>
      <c r="AH388" s="241"/>
      <c r="AI388" s="241"/>
      <c r="AJ388" s="241"/>
      <c r="AK388" s="241"/>
      <c r="AL388" s="241"/>
      <c r="AM388" s="241"/>
      <c r="AN388" s="241"/>
      <c r="AO388" s="241"/>
      <c r="AP388" s="241"/>
      <c r="AQ388" s="241"/>
      <c r="AR388" s="241"/>
      <c r="AS388" s="241"/>
      <c r="AT388" s="241"/>
      <c r="AU388" s="241"/>
      <c r="AV388" s="241"/>
      <c r="AW388" s="241"/>
      <c r="AX388" s="241"/>
      <c r="AY388" s="241"/>
      <c r="AZ388" s="241"/>
    </row>
    <row r="389" spans="1:52" s="71" customFormat="1" ht="18" customHeight="1">
      <c r="A389" s="288" t="s">
        <v>159</v>
      </c>
      <c r="B389" s="366" t="s">
        <v>160</v>
      </c>
      <c r="C389" s="366" t="s">
        <v>161</v>
      </c>
      <c r="D389" s="381" t="s">
        <v>162</v>
      </c>
      <c r="E389" s="387"/>
      <c r="F389" s="348" t="str">
        <f>CONCATENATE("Annual Water Use Baseline
(",(IF(inputs_units&lt;&gt;"",INDEX(data_genunitsvol,MATCH(inputs_units,data_genunits,0)),"unit")),")")</f>
        <v>Annual Water Use Baseline
(unit)</v>
      </c>
      <c r="G389" s="348" t="str">
        <f>CONCATENATE("Annual Water Use Design w/o Alt. Water
(",(IF(inputs_units&lt;&gt;"",INDEX(data_genunitsvol,MATCH(inputs_units,data_genunits,0)),"unit")),")")</f>
        <v>Annual Water Use Design w/o Alt. Water
(unit)</v>
      </c>
      <c r="H389" s="346" t="str">
        <f>CONCATENATE("Annual Alternative Water Use
(",(IF(inputs_units&lt;&gt;"",INDEX(data_genunitsvol,MATCH(inputs_units,data_genunits,0)),"unit")),")")</f>
        <v>Annual Alternative Water Use
(unit)</v>
      </c>
      <c r="I389" s="348" t="str">
        <f>CONCATENATE("Annual Water Use Design
(",(IF(inputs_units&lt;&gt;"",INDEX(data_genunitsvol,MATCH(inputs_units,data_genunits,0)),"unit")),")")</f>
        <v>Annual Water Use Design
(unit)</v>
      </c>
      <c r="J389" s="348" t="str">
        <f>CONCATENATE("Annual Water Use Savings 
(",(IF(inputs_units&lt;&gt;"",INDEX(data_genunitsvol,MATCH(inputs_units,data_genunits,0)),"unit")),")")</f>
        <v>Annual Water Use Savings 
(unit)</v>
      </c>
      <c r="K389" s="348" t="s">
        <v>360</v>
      </c>
      <c r="L389" s="241"/>
      <c r="M389" s="241"/>
      <c r="N389" s="241"/>
      <c r="O389" s="241"/>
      <c r="P389" s="241"/>
      <c r="Q389" s="241"/>
      <c r="R389" s="241"/>
      <c r="S389" s="241"/>
      <c r="T389" s="241"/>
      <c r="U389" s="241"/>
      <c r="V389" s="241"/>
      <c r="W389" s="241"/>
      <c r="X389" s="241"/>
      <c r="Y389" s="241"/>
      <c r="Z389" s="241"/>
      <c r="AA389" s="241"/>
      <c r="AB389" s="241"/>
      <c r="AC389" s="241"/>
      <c r="AD389" s="241"/>
      <c r="AE389" s="241"/>
      <c r="AF389" s="241"/>
      <c r="AG389" s="241"/>
      <c r="AH389" s="241"/>
      <c r="AI389" s="241"/>
      <c r="AJ389" s="241"/>
      <c r="AK389" s="241"/>
      <c r="AL389" s="241"/>
      <c r="AM389" s="241"/>
      <c r="AN389" s="241"/>
      <c r="AO389" s="241"/>
      <c r="AP389" s="241"/>
      <c r="AQ389" s="241"/>
      <c r="AR389" s="241"/>
      <c r="AS389" s="241"/>
      <c r="AT389" s="241"/>
      <c r="AU389" s="241"/>
      <c r="AV389" s="241"/>
      <c r="AW389" s="241"/>
      <c r="AX389" s="241"/>
      <c r="AY389" s="241"/>
      <c r="AZ389" s="241"/>
    </row>
    <row r="390" spans="1:52" s="71" customFormat="1" ht="18" customHeight="1">
      <c r="A390" s="288"/>
      <c r="B390" s="367"/>
      <c r="C390" s="367"/>
      <c r="D390" s="383"/>
      <c r="E390" s="388"/>
      <c r="F390" s="349"/>
      <c r="G390" s="349"/>
      <c r="H390" s="347"/>
      <c r="I390" s="349"/>
      <c r="J390" s="349"/>
      <c r="K390" s="349"/>
      <c r="L390" s="241"/>
      <c r="M390" s="241"/>
      <c r="N390" s="241"/>
      <c r="O390" s="241"/>
      <c r="P390" s="241"/>
      <c r="Q390" s="241"/>
      <c r="R390" s="241"/>
      <c r="S390" s="241"/>
      <c r="T390" s="241"/>
      <c r="U390" s="241"/>
      <c r="V390" s="241"/>
      <c r="W390" s="241"/>
      <c r="X390" s="241"/>
      <c r="Y390" s="241"/>
      <c r="Z390" s="241"/>
      <c r="AA390" s="241"/>
      <c r="AB390" s="241"/>
      <c r="AC390" s="241"/>
      <c r="AD390" s="241"/>
      <c r="AE390" s="241"/>
      <c r="AF390" s="241"/>
      <c r="AG390" s="241"/>
      <c r="AH390" s="241"/>
      <c r="AI390" s="241"/>
      <c r="AJ390" s="241"/>
      <c r="AK390" s="241"/>
      <c r="AL390" s="241"/>
      <c r="AM390" s="241"/>
      <c r="AN390" s="241"/>
      <c r="AO390" s="241"/>
      <c r="AP390" s="241"/>
      <c r="AQ390" s="241"/>
      <c r="AR390" s="241"/>
      <c r="AS390" s="241"/>
      <c r="AT390" s="241"/>
      <c r="AU390" s="241"/>
      <c r="AV390" s="241"/>
      <c r="AW390" s="241"/>
      <c r="AX390" s="241"/>
      <c r="AY390" s="241"/>
      <c r="AZ390" s="241"/>
    </row>
    <row r="391" spans="1:52" s="71" customFormat="1" ht="18" customHeight="1">
      <c r="A391" s="288"/>
      <c r="B391" s="368"/>
      <c r="C391" s="368"/>
      <c r="D391" s="385"/>
      <c r="E391" s="389"/>
      <c r="F391" s="350"/>
      <c r="G391" s="350"/>
      <c r="H391" s="301" t="s">
        <v>298</v>
      </c>
      <c r="I391" s="350"/>
      <c r="J391" s="350"/>
      <c r="K391" s="350"/>
      <c r="L391" s="241"/>
      <c r="M391" s="241"/>
      <c r="N391" s="241"/>
      <c r="O391" s="241"/>
      <c r="P391" s="241"/>
      <c r="Q391" s="241"/>
      <c r="R391" s="241"/>
      <c r="S391" s="241"/>
      <c r="T391" s="241"/>
      <c r="U391" s="241"/>
      <c r="V391" s="241"/>
      <c r="W391" s="241"/>
      <c r="X391" s="241"/>
      <c r="Y391" s="241"/>
      <c r="Z391" s="241"/>
      <c r="AA391" s="241"/>
      <c r="AB391" s="241"/>
      <c r="AC391" s="241"/>
      <c r="AD391" s="241"/>
      <c r="AE391" s="241"/>
      <c r="AF391" s="241"/>
      <c r="AG391" s="241"/>
      <c r="AH391" s="241"/>
      <c r="AI391" s="241"/>
      <c r="AJ391" s="241"/>
      <c r="AK391" s="241"/>
      <c r="AL391" s="241"/>
      <c r="AM391" s="241"/>
      <c r="AN391" s="241"/>
      <c r="AO391" s="241"/>
      <c r="AP391" s="241"/>
      <c r="AQ391" s="241"/>
      <c r="AR391" s="241"/>
      <c r="AS391" s="241"/>
      <c r="AT391" s="241"/>
      <c r="AU391" s="241"/>
      <c r="AV391" s="241"/>
      <c r="AW391" s="241"/>
      <c r="AX391" s="241"/>
      <c r="AY391" s="241"/>
      <c r="AZ391" s="241"/>
    </row>
    <row r="392" spans="1:52" s="71" customFormat="1" ht="18" customHeight="1">
      <c r="A392" s="288">
        <v>1</v>
      </c>
      <c r="B392" s="97"/>
      <c r="C392" s="296"/>
      <c r="D392" s="379"/>
      <c r="E392" s="380"/>
      <c r="F392" s="230"/>
      <c r="G392" s="291"/>
      <c r="H392" s="285"/>
      <c r="I392" s="225" t="str">
        <f t="shared" ref="I392:I455" si="84">INDEX(logic_hvacawud,MATCH($A392,logic_hvacno,0))</f>
        <v/>
      </c>
      <c r="J392" s="225" t="str">
        <f t="shared" ref="J392:J455" si="85">INDEX(logic_hvacawusa,MATCH($A392,logic_hvacno,0))</f>
        <v/>
      </c>
      <c r="K392" s="231" t="str">
        <f t="shared" ref="K392:K455" si="86">INDEX(logic_hvacawusp,MATCH($A392,logic_hvacno,0))</f>
        <v/>
      </c>
      <c r="L392" s="241"/>
      <c r="M392" s="241"/>
      <c r="N392" s="241"/>
      <c r="O392" s="241"/>
      <c r="P392" s="241"/>
      <c r="Q392" s="241"/>
      <c r="R392" s="241"/>
      <c r="S392" s="241"/>
      <c r="T392" s="241"/>
      <c r="U392" s="241"/>
      <c r="V392" s="241"/>
      <c r="W392" s="241"/>
      <c r="X392" s="241"/>
      <c r="Y392" s="241"/>
      <c r="Z392" s="241"/>
      <c r="AA392" s="241"/>
      <c r="AB392" s="241"/>
      <c r="AC392" s="241"/>
      <c r="AD392" s="241"/>
      <c r="AE392" s="241"/>
      <c r="AF392" s="241"/>
      <c r="AG392" s="241"/>
      <c r="AH392" s="241"/>
      <c r="AI392" s="241"/>
      <c r="AJ392" s="241"/>
      <c r="AK392" s="241"/>
      <c r="AL392" s="241"/>
      <c r="AM392" s="241"/>
      <c r="AN392" s="241"/>
      <c r="AO392" s="241"/>
      <c r="AP392" s="241"/>
      <c r="AQ392" s="241"/>
      <c r="AR392" s="241"/>
      <c r="AS392" s="241"/>
      <c r="AT392" s="241"/>
      <c r="AU392" s="241"/>
      <c r="AV392" s="241"/>
      <c r="AW392" s="241"/>
      <c r="AX392" s="241"/>
      <c r="AY392" s="241"/>
      <c r="AZ392" s="241"/>
    </row>
    <row r="393" spans="1:52" s="71" customFormat="1" ht="18" customHeight="1">
      <c r="A393" s="288">
        <v>2</v>
      </c>
      <c r="B393" s="97"/>
      <c r="C393" s="296"/>
      <c r="D393" s="379"/>
      <c r="E393" s="380"/>
      <c r="F393" s="230"/>
      <c r="G393" s="291"/>
      <c r="H393" s="285"/>
      <c r="I393" s="225" t="str">
        <f t="shared" si="84"/>
        <v/>
      </c>
      <c r="J393" s="225" t="str">
        <f t="shared" si="85"/>
        <v/>
      </c>
      <c r="K393" s="231" t="str">
        <f t="shared" si="86"/>
        <v/>
      </c>
      <c r="L393" s="241"/>
      <c r="M393" s="241"/>
      <c r="N393" s="241"/>
      <c r="O393" s="241"/>
      <c r="P393" s="241"/>
      <c r="Q393" s="241"/>
      <c r="R393" s="241"/>
      <c r="S393" s="241"/>
      <c r="T393" s="241"/>
      <c r="U393" s="241"/>
      <c r="V393" s="241"/>
      <c r="W393" s="241"/>
      <c r="X393" s="241"/>
      <c r="Y393" s="241"/>
      <c r="Z393" s="241"/>
      <c r="AA393" s="241"/>
      <c r="AB393" s="241"/>
      <c r="AC393" s="241"/>
      <c r="AD393" s="241"/>
      <c r="AE393" s="241"/>
      <c r="AF393" s="241"/>
      <c r="AG393" s="241"/>
      <c r="AH393" s="241"/>
      <c r="AI393" s="241"/>
      <c r="AJ393" s="241"/>
      <c r="AK393" s="241"/>
      <c r="AL393" s="241"/>
      <c r="AM393" s="241"/>
      <c r="AN393" s="241"/>
      <c r="AO393" s="241"/>
      <c r="AP393" s="241"/>
      <c r="AQ393" s="241"/>
      <c r="AR393" s="241"/>
      <c r="AS393" s="241"/>
      <c r="AT393" s="241"/>
      <c r="AU393" s="241"/>
      <c r="AV393" s="241"/>
      <c r="AW393" s="241"/>
      <c r="AX393" s="241"/>
      <c r="AY393" s="241"/>
      <c r="AZ393" s="241"/>
    </row>
    <row r="394" spans="1:52" s="71" customFormat="1" ht="18" customHeight="1">
      <c r="A394" s="288">
        <v>3</v>
      </c>
      <c r="B394" s="97"/>
      <c r="C394" s="296"/>
      <c r="D394" s="379"/>
      <c r="E394" s="380"/>
      <c r="F394" s="230"/>
      <c r="G394" s="291"/>
      <c r="H394" s="285"/>
      <c r="I394" s="225" t="str">
        <f t="shared" si="84"/>
        <v/>
      </c>
      <c r="J394" s="225" t="str">
        <f t="shared" si="85"/>
        <v/>
      </c>
      <c r="K394" s="231" t="str">
        <f t="shared" si="86"/>
        <v/>
      </c>
      <c r="L394" s="241"/>
      <c r="M394" s="241"/>
      <c r="N394" s="241"/>
      <c r="O394" s="241"/>
      <c r="P394" s="241"/>
      <c r="Q394" s="241"/>
      <c r="R394" s="241"/>
      <c r="S394" s="241"/>
      <c r="T394" s="241"/>
      <c r="U394" s="241"/>
      <c r="V394" s="241"/>
      <c r="W394" s="241"/>
      <c r="X394" s="241"/>
      <c r="Y394" s="241"/>
      <c r="Z394" s="241"/>
      <c r="AA394" s="241"/>
      <c r="AB394" s="241"/>
      <c r="AC394" s="241"/>
      <c r="AD394" s="241"/>
      <c r="AE394" s="241"/>
      <c r="AF394" s="241"/>
      <c r="AG394" s="241"/>
      <c r="AH394" s="241"/>
      <c r="AI394" s="241"/>
      <c r="AJ394" s="241"/>
      <c r="AK394" s="241"/>
      <c r="AL394" s="241"/>
      <c r="AM394" s="241"/>
      <c r="AN394" s="241"/>
      <c r="AO394" s="241"/>
      <c r="AP394" s="241"/>
      <c r="AQ394" s="241"/>
      <c r="AR394" s="241"/>
      <c r="AS394" s="241"/>
      <c r="AT394" s="241"/>
      <c r="AU394" s="241"/>
      <c r="AV394" s="241"/>
      <c r="AW394" s="241"/>
      <c r="AX394" s="241"/>
      <c r="AY394" s="241"/>
      <c r="AZ394" s="241"/>
    </row>
    <row r="395" spans="1:52" s="71" customFormat="1" ht="18" customHeight="1">
      <c r="A395" s="288">
        <v>4</v>
      </c>
      <c r="B395" s="97"/>
      <c r="C395" s="296"/>
      <c r="D395" s="379"/>
      <c r="E395" s="380"/>
      <c r="F395" s="230"/>
      <c r="G395" s="291"/>
      <c r="H395" s="285"/>
      <c r="I395" s="225" t="str">
        <f t="shared" si="84"/>
        <v/>
      </c>
      <c r="J395" s="225" t="str">
        <f t="shared" si="85"/>
        <v/>
      </c>
      <c r="K395" s="231" t="str">
        <f t="shared" si="86"/>
        <v/>
      </c>
      <c r="L395" s="241"/>
      <c r="M395" s="241"/>
      <c r="N395" s="241"/>
      <c r="O395" s="241"/>
      <c r="P395" s="241"/>
      <c r="Q395" s="241"/>
      <c r="R395" s="241"/>
      <c r="S395" s="241"/>
      <c r="T395" s="241"/>
      <c r="U395" s="241"/>
      <c r="V395" s="241"/>
      <c r="W395" s="241"/>
      <c r="X395" s="241"/>
      <c r="Y395" s="241"/>
      <c r="Z395" s="241"/>
      <c r="AA395" s="241"/>
      <c r="AB395" s="241"/>
      <c r="AC395" s="241"/>
      <c r="AD395" s="241"/>
      <c r="AE395" s="241"/>
      <c r="AF395" s="241"/>
      <c r="AG395" s="241"/>
      <c r="AH395" s="241"/>
      <c r="AI395" s="241"/>
      <c r="AJ395" s="241"/>
      <c r="AK395" s="241"/>
      <c r="AL395" s="241"/>
      <c r="AM395" s="241"/>
      <c r="AN395" s="241"/>
      <c r="AO395" s="241"/>
      <c r="AP395" s="241"/>
      <c r="AQ395" s="241"/>
      <c r="AR395" s="241"/>
      <c r="AS395" s="241"/>
      <c r="AT395" s="241"/>
      <c r="AU395" s="241"/>
      <c r="AV395" s="241"/>
      <c r="AW395" s="241"/>
      <c r="AX395" s="241"/>
      <c r="AY395" s="241"/>
      <c r="AZ395" s="241"/>
    </row>
    <row r="396" spans="1:52" s="71" customFormat="1" ht="18" customHeight="1">
      <c r="A396" s="288">
        <v>5</v>
      </c>
      <c r="B396" s="97"/>
      <c r="C396" s="296"/>
      <c r="D396" s="379"/>
      <c r="E396" s="380"/>
      <c r="F396" s="230"/>
      <c r="G396" s="291"/>
      <c r="H396" s="285"/>
      <c r="I396" s="225" t="str">
        <f t="shared" si="84"/>
        <v/>
      </c>
      <c r="J396" s="225" t="str">
        <f t="shared" si="85"/>
        <v/>
      </c>
      <c r="K396" s="231" t="str">
        <f t="shared" si="86"/>
        <v/>
      </c>
      <c r="L396" s="241"/>
      <c r="M396" s="241"/>
      <c r="N396" s="241"/>
      <c r="O396" s="241"/>
      <c r="P396" s="241"/>
      <c r="Q396" s="241"/>
      <c r="R396" s="241"/>
      <c r="S396" s="241"/>
      <c r="T396" s="241"/>
      <c r="U396" s="241"/>
      <c r="V396" s="241"/>
      <c r="W396" s="241"/>
      <c r="X396" s="241"/>
      <c r="Y396" s="241"/>
      <c r="Z396" s="241"/>
      <c r="AA396" s="241"/>
      <c r="AB396" s="241"/>
      <c r="AC396" s="241"/>
      <c r="AD396" s="241"/>
      <c r="AE396" s="241"/>
      <c r="AF396" s="241"/>
      <c r="AG396" s="241"/>
      <c r="AH396" s="241"/>
      <c r="AI396" s="241"/>
      <c r="AJ396" s="241"/>
      <c r="AK396" s="241"/>
      <c r="AL396" s="241"/>
      <c r="AM396" s="241"/>
      <c r="AN396" s="241"/>
      <c r="AO396" s="241"/>
      <c r="AP396" s="241"/>
      <c r="AQ396" s="241"/>
      <c r="AR396" s="241"/>
      <c r="AS396" s="241"/>
      <c r="AT396" s="241"/>
      <c r="AU396" s="241"/>
      <c r="AV396" s="241"/>
      <c r="AW396" s="241"/>
      <c r="AX396" s="241"/>
      <c r="AY396" s="241"/>
      <c r="AZ396" s="241"/>
    </row>
    <row r="397" spans="1:52" s="71" customFormat="1" ht="18" customHeight="1">
      <c r="A397" s="288">
        <v>6</v>
      </c>
      <c r="B397" s="97"/>
      <c r="C397" s="296"/>
      <c r="D397" s="379"/>
      <c r="E397" s="380"/>
      <c r="F397" s="230"/>
      <c r="G397" s="291"/>
      <c r="H397" s="285"/>
      <c r="I397" s="225" t="str">
        <f t="shared" si="84"/>
        <v/>
      </c>
      <c r="J397" s="225" t="str">
        <f t="shared" si="85"/>
        <v/>
      </c>
      <c r="K397" s="231" t="str">
        <f t="shared" si="86"/>
        <v/>
      </c>
      <c r="L397" s="241"/>
      <c r="M397" s="241"/>
      <c r="N397" s="241"/>
      <c r="O397" s="241"/>
      <c r="P397" s="241"/>
      <c r="Q397" s="241"/>
      <c r="R397" s="241"/>
      <c r="S397" s="241"/>
      <c r="T397" s="241"/>
      <c r="U397" s="241"/>
      <c r="V397" s="241"/>
      <c r="W397" s="241"/>
      <c r="X397" s="241"/>
      <c r="Y397" s="241"/>
      <c r="Z397" s="241"/>
      <c r="AA397" s="241"/>
      <c r="AB397" s="241"/>
      <c r="AC397" s="241"/>
      <c r="AD397" s="241"/>
      <c r="AE397" s="241"/>
      <c r="AF397" s="241"/>
      <c r="AG397" s="241"/>
      <c r="AH397" s="241"/>
      <c r="AI397" s="241"/>
      <c r="AJ397" s="241"/>
      <c r="AK397" s="241"/>
      <c r="AL397" s="241"/>
      <c r="AM397" s="241"/>
      <c r="AN397" s="241"/>
      <c r="AO397" s="241"/>
      <c r="AP397" s="241"/>
      <c r="AQ397" s="241"/>
      <c r="AR397" s="241"/>
      <c r="AS397" s="241"/>
      <c r="AT397" s="241"/>
      <c r="AU397" s="241"/>
      <c r="AV397" s="241"/>
      <c r="AW397" s="241"/>
      <c r="AX397" s="241"/>
      <c r="AY397" s="241"/>
      <c r="AZ397" s="241"/>
    </row>
    <row r="398" spans="1:52" s="71" customFormat="1" ht="18" customHeight="1">
      <c r="A398" s="288">
        <v>7</v>
      </c>
      <c r="B398" s="97"/>
      <c r="C398" s="296"/>
      <c r="D398" s="379"/>
      <c r="E398" s="380"/>
      <c r="F398" s="230"/>
      <c r="G398" s="291"/>
      <c r="H398" s="285"/>
      <c r="I398" s="225" t="str">
        <f t="shared" si="84"/>
        <v/>
      </c>
      <c r="J398" s="225" t="str">
        <f t="shared" si="85"/>
        <v/>
      </c>
      <c r="K398" s="231" t="str">
        <f t="shared" si="86"/>
        <v/>
      </c>
      <c r="L398" s="241"/>
      <c r="M398" s="241"/>
      <c r="N398" s="241"/>
      <c r="O398" s="241"/>
      <c r="P398" s="241"/>
      <c r="Q398" s="241"/>
      <c r="R398" s="241"/>
      <c r="S398" s="241"/>
      <c r="T398" s="241"/>
      <c r="U398" s="241"/>
      <c r="V398" s="241"/>
      <c r="W398" s="241"/>
      <c r="X398" s="241"/>
      <c r="Y398" s="241"/>
      <c r="Z398" s="241"/>
      <c r="AA398" s="241"/>
      <c r="AB398" s="241"/>
      <c r="AC398" s="241"/>
      <c r="AD398" s="241"/>
      <c r="AE398" s="241"/>
      <c r="AF398" s="241"/>
      <c r="AG398" s="241"/>
      <c r="AH398" s="241"/>
      <c r="AI398" s="241"/>
      <c r="AJ398" s="241"/>
      <c r="AK398" s="241"/>
      <c r="AL398" s="241"/>
      <c r="AM398" s="241"/>
      <c r="AN398" s="241"/>
      <c r="AO398" s="241"/>
      <c r="AP398" s="241"/>
      <c r="AQ398" s="241"/>
      <c r="AR398" s="241"/>
      <c r="AS398" s="241"/>
      <c r="AT398" s="241"/>
      <c r="AU398" s="241"/>
      <c r="AV398" s="241"/>
      <c r="AW398" s="241"/>
      <c r="AX398" s="241"/>
      <c r="AY398" s="241"/>
      <c r="AZ398" s="241"/>
    </row>
    <row r="399" spans="1:52" s="71" customFormat="1" ht="18" customHeight="1">
      <c r="A399" s="288">
        <v>8</v>
      </c>
      <c r="B399" s="97"/>
      <c r="C399" s="296"/>
      <c r="D399" s="379"/>
      <c r="E399" s="380"/>
      <c r="F399" s="230"/>
      <c r="G399" s="291"/>
      <c r="H399" s="285"/>
      <c r="I399" s="225" t="str">
        <f t="shared" si="84"/>
        <v/>
      </c>
      <c r="J399" s="225" t="str">
        <f t="shared" si="85"/>
        <v/>
      </c>
      <c r="K399" s="231" t="str">
        <f t="shared" si="86"/>
        <v/>
      </c>
      <c r="L399" s="241"/>
      <c r="M399" s="241"/>
      <c r="N399" s="241"/>
      <c r="O399" s="241"/>
      <c r="P399" s="241"/>
      <c r="Q399" s="241"/>
      <c r="R399" s="241"/>
      <c r="S399" s="241"/>
      <c r="T399" s="241"/>
      <c r="U399" s="241"/>
      <c r="V399" s="241"/>
      <c r="W399" s="241"/>
      <c r="X399" s="241"/>
      <c r="Y399" s="241"/>
      <c r="Z399" s="241"/>
      <c r="AA399" s="241"/>
      <c r="AB399" s="241"/>
      <c r="AC399" s="241"/>
      <c r="AD399" s="241"/>
      <c r="AE399" s="241"/>
      <c r="AF399" s="241"/>
      <c r="AG399" s="241"/>
      <c r="AH399" s="241"/>
      <c r="AI399" s="241"/>
      <c r="AJ399" s="241"/>
      <c r="AK399" s="241"/>
      <c r="AL399" s="241"/>
      <c r="AM399" s="241"/>
      <c r="AN399" s="241"/>
      <c r="AO399" s="241"/>
      <c r="AP399" s="241"/>
      <c r="AQ399" s="241"/>
      <c r="AR399" s="241"/>
      <c r="AS399" s="241"/>
      <c r="AT399" s="241"/>
      <c r="AU399" s="241"/>
      <c r="AV399" s="241"/>
      <c r="AW399" s="241"/>
      <c r="AX399" s="241"/>
      <c r="AY399" s="241"/>
      <c r="AZ399" s="241"/>
    </row>
    <row r="400" spans="1:52" s="71" customFormat="1">
      <c r="A400" s="288">
        <v>9</v>
      </c>
      <c r="B400" s="97"/>
      <c r="C400" s="296"/>
      <c r="D400" s="379"/>
      <c r="E400" s="380"/>
      <c r="F400" s="230"/>
      <c r="G400" s="291"/>
      <c r="H400" s="285"/>
      <c r="I400" s="225" t="str">
        <f t="shared" si="84"/>
        <v/>
      </c>
      <c r="J400" s="225" t="str">
        <f t="shared" si="85"/>
        <v/>
      </c>
      <c r="K400" s="231" t="str">
        <f t="shared" si="86"/>
        <v/>
      </c>
      <c r="L400" s="241"/>
      <c r="M400" s="241"/>
      <c r="N400" s="241"/>
      <c r="O400" s="241"/>
      <c r="P400" s="241"/>
      <c r="Q400" s="241"/>
      <c r="R400" s="241"/>
      <c r="S400" s="241"/>
      <c r="T400" s="241"/>
      <c r="U400" s="241"/>
      <c r="V400" s="241"/>
      <c r="W400" s="241"/>
      <c r="X400" s="241"/>
      <c r="Y400" s="241"/>
      <c r="Z400" s="241"/>
      <c r="AA400" s="241"/>
      <c r="AB400" s="241"/>
      <c r="AC400" s="241"/>
      <c r="AD400" s="241"/>
      <c r="AE400" s="241"/>
      <c r="AF400" s="241"/>
      <c r="AG400" s="241"/>
      <c r="AH400" s="241"/>
      <c r="AI400" s="241"/>
      <c r="AJ400" s="241"/>
      <c r="AK400" s="241"/>
      <c r="AL400" s="241"/>
      <c r="AM400" s="241"/>
      <c r="AN400" s="241"/>
      <c r="AO400" s="241"/>
      <c r="AP400" s="241"/>
      <c r="AQ400" s="241"/>
      <c r="AR400" s="241"/>
      <c r="AS400" s="241"/>
      <c r="AT400" s="241"/>
      <c r="AU400" s="241"/>
      <c r="AV400" s="241"/>
      <c r="AW400" s="241"/>
      <c r="AX400" s="241"/>
      <c r="AY400" s="241"/>
      <c r="AZ400" s="241"/>
    </row>
    <row r="401" spans="1:52" s="71" customFormat="1">
      <c r="A401" s="288">
        <v>10</v>
      </c>
      <c r="B401" s="97"/>
      <c r="C401" s="296"/>
      <c r="D401" s="379"/>
      <c r="E401" s="380"/>
      <c r="F401" s="230"/>
      <c r="G401" s="291"/>
      <c r="H401" s="285"/>
      <c r="I401" s="225" t="str">
        <f t="shared" si="84"/>
        <v/>
      </c>
      <c r="J401" s="225" t="str">
        <f t="shared" si="85"/>
        <v/>
      </c>
      <c r="K401" s="231" t="str">
        <f t="shared" si="86"/>
        <v/>
      </c>
      <c r="L401" s="176" t="s">
        <v>165</v>
      </c>
      <c r="M401" s="241"/>
      <c r="N401" s="241"/>
      <c r="O401" s="241"/>
      <c r="P401" s="241"/>
      <c r="Q401" s="241"/>
      <c r="R401" s="241"/>
      <c r="S401" s="241"/>
      <c r="T401" s="241"/>
      <c r="U401" s="241"/>
      <c r="V401" s="241"/>
      <c r="W401" s="241"/>
      <c r="X401" s="241"/>
      <c r="Y401" s="241"/>
      <c r="Z401" s="241"/>
      <c r="AA401" s="241"/>
      <c r="AB401" s="241"/>
      <c r="AC401" s="241"/>
      <c r="AD401" s="241"/>
      <c r="AE401" s="241"/>
      <c r="AF401" s="241"/>
      <c r="AG401" s="241"/>
      <c r="AH401" s="241"/>
      <c r="AI401" s="241"/>
      <c r="AJ401" s="241"/>
      <c r="AK401" s="241"/>
      <c r="AL401" s="241"/>
      <c r="AM401" s="241"/>
      <c r="AN401" s="241"/>
      <c r="AO401" s="241"/>
      <c r="AP401" s="241"/>
      <c r="AQ401" s="241"/>
      <c r="AR401" s="241"/>
      <c r="AS401" s="241"/>
      <c r="AT401" s="241"/>
      <c r="AU401" s="241"/>
      <c r="AV401" s="241"/>
      <c r="AW401" s="241"/>
      <c r="AX401" s="241"/>
      <c r="AY401" s="241"/>
      <c r="AZ401" s="241"/>
    </row>
    <row r="402" spans="1:52" s="71" customFormat="1" ht="15" hidden="1" customHeight="1" outlineLevel="1">
      <c r="A402" s="288">
        <v>11</v>
      </c>
      <c r="B402" s="97"/>
      <c r="C402" s="296"/>
      <c r="D402" s="379"/>
      <c r="E402" s="380"/>
      <c r="F402" s="230"/>
      <c r="G402" s="291"/>
      <c r="H402" s="285"/>
      <c r="I402" s="225" t="str">
        <f t="shared" si="84"/>
        <v/>
      </c>
      <c r="J402" s="225" t="str">
        <f t="shared" si="85"/>
        <v/>
      </c>
      <c r="K402" s="231" t="str">
        <f t="shared" si="86"/>
        <v/>
      </c>
      <c r="L402" s="176"/>
      <c r="M402" s="241"/>
      <c r="N402" s="241"/>
      <c r="O402" s="241"/>
      <c r="P402" s="241"/>
      <c r="Q402" s="241"/>
      <c r="R402" s="241"/>
      <c r="S402" s="241"/>
      <c r="T402" s="241"/>
      <c r="U402" s="241"/>
      <c r="V402" s="241"/>
      <c r="W402" s="241"/>
      <c r="X402" s="241"/>
      <c r="Y402" s="241"/>
      <c r="Z402" s="241"/>
      <c r="AA402" s="241"/>
      <c r="AB402" s="241"/>
      <c r="AC402" s="241"/>
      <c r="AD402" s="241"/>
      <c r="AE402" s="241"/>
      <c r="AF402" s="241"/>
      <c r="AG402" s="241"/>
      <c r="AH402" s="241"/>
      <c r="AI402" s="241"/>
      <c r="AJ402" s="241"/>
      <c r="AK402" s="241"/>
      <c r="AL402" s="241"/>
      <c r="AM402" s="241"/>
      <c r="AN402" s="241"/>
      <c r="AO402" s="241"/>
      <c r="AP402" s="241"/>
      <c r="AQ402" s="241"/>
      <c r="AR402" s="241"/>
      <c r="AS402" s="241"/>
      <c r="AT402" s="241"/>
      <c r="AU402" s="241"/>
      <c r="AV402" s="241"/>
      <c r="AW402" s="241"/>
      <c r="AX402" s="241"/>
      <c r="AY402" s="241"/>
      <c r="AZ402" s="241"/>
    </row>
    <row r="403" spans="1:52" s="71" customFormat="1" ht="15" hidden="1" customHeight="1" outlineLevel="1">
      <c r="A403" s="288">
        <v>12</v>
      </c>
      <c r="B403" s="97"/>
      <c r="C403" s="296"/>
      <c r="D403" s="379"/>
      <c r="E403" s="380"/>
      <c r="F403" s="230"/>
      <c r="G403" s="291"/>
      <c r="H403" s="285"/>
      <c r="I403" s="225" t="str">
        <f t="shared" si="84"/>
        <v/>
      </c>
      <c r="J403" s="225" t="str">
        <f t="shared" si="85"/>
        <v/>
      </c>
      <c r="K403" s="231" t="str">
        <f t="shared" si="86"/>
        <v/>
      </c>
      <c r="L403" s="176"/>
      <c r="M403" s="241"/>
      <c r="N403" s="241"/>
      <c r="O403" s="241"/>
      <c r="P403" s="241"/>
      <c r="Q403" s="241"/>
      <c r="R403" s="241"/>
      <c r="S403" s="241"/>
      <c r="T403" s="241"/>
      <c r="U403" s="241"/>
      <c r="V403" s="241"/>
      <c r="W403" s="241"/>
      <c r="X403" s="241"/>
      <c r="Y403" s="241"/>
      <c r="Z403" s="241"/>
      <c r="AA403" s="241"/>
      <c r="AB403" s="241"/>
      <c r="AC403" s="241"/>
      <c r="AD403" s="241"/>
      <c r="AE403" s="241"/>
      <c r="AF403" s="241"/>
      <c r="AG403" s="241"/>
      <c r="AH403" s="241"/>
      <c r="AI403" s="241"/>
      <c r="AJ403" s="241"/>
      <c r="AK403" s="241"/>
      <c r="AL403" s="241"/>
      <c r="AM403" s="241"/>
      <c r="AN403" s="241"/>
      <c r="AO403" s="241"/>
      <c r="AP403" s="241"/>
      <c r="AQ403" s="241"/>
      <c r="AR403" s="241"/>
      <c r="AS403" s="241"/>
      <c r="AT403" s="241"/>
      <c r="AU403" s="241"/>
      <c r="AV403" s="241"/>
      <c r="AW403" s="241"/>
      <c r="AX403" s="241"/>
      <c r="AY403" s="241"/>
      <c r="AZ403" s="241"/>
    </row>
    <row r="404" spans="1:52" s="71" customFormat="1" ht="15" hidden="1" customHeight="1" outlineLevel="1">
      <c r="A404" s="288">
        <v>13</v>
      </c>
      <c r="B404" s="97"/>
      <c r="C404" s="296"/>
      <c r="D404" s="379"/>
      <c r="E404" s="380"/>
      <c r="F404" s="230"/>
      <c r="G404" s="291"/>
      <c r="H404" s="285"/>
      <c r="I404" s="225" t="str">
        <f t="shared" si="84"/>
        <v/>
      </c>
      <c r="J404" s="225" t="str">
        <f t="shared" si="85"/>
        <v/>
      </c>
      <c r="K404" s="231" t="str">
        <f t="shared" si="86"/>
        <v/>
      </c>
      <c r="L404" s="176"/>
      <c r="M404" s="241"/>
      <c r="N404" s="241"/>
      <c r="O404" s="241"/>
      <c r="P404" s="241"/>
      <c r="Q404" s="241"/>
      <c r="R404" s="241"/>
      <c r="S404" s="241"/>
      <c r="T404" s="241"/>
      <c r="U404" s="241"/>
      <c r="V404" s="241"/>
      <c r="W404" s="241"/>
      <c r="X404" s="241"/>
      <c r="Y404" s="241"/>
      <c r="Z404" s="241"/>
      <c r="AA404" s="241"/>
      <c r="AB404" s="241"/>
      <c r="AC404" s="241"/>
      <c r="AD404" s="241"/>
      <c r="AE404" s="241"/>
      <c r="AF404" s="241"/>
      <c r="AG404" s="241"/>
      <c r="AH404" s="241"/>
      <c r="AI404" s="241"/>
      <c r="AJ404" s="241"/>
      <c r="AK404" s="241"/>
      <c r="AL404" s="241"/>
      <c r="AM404" s="241"/>
      <c r="AN404" s="241"/>
      <c r="AO404" s="241"/>
      <c r="AP404" s="241"/>
      <c r="AQ404" s="241"/>
      <c r="AR404" s="241"/>
      <c r="AS404" s="241"/>
      <c r="AT404" s="241"/>
      <c r="AU404" s="241"/>
      <c r="AV404" s="241"/>
      <c r="AW404" s="241"/>
      <c r="AX404" s="241"/>
      <c r="AY404" s="241"/>
      <c r="AZ404" s="241"/>
    </row>
    <row r="405" spans="1:52" s="71" customFormat="1" ht="15" hidden="1" customHeight="1" outlineLevel="1">
      <c r="A405" s="288">
        <v>14</v>
      </c>
      <c r="B405" s="97"/>
      <c r="C405" s="296"/>
      <c r="D405" s="379"/>
      <c r="E405" s="380"/>
      <c r="F405" s="230"/>
      <c r="G405" s="291"/>
      <c r="H405" s="285"/>
      <c r="I405" s="225" t="str">
        <f t="shared" si="84"/>
        <v/>
      </c>
      <c r="J405" s="225" t="str">
        <f t="shared" si="85"/>
        <v/>
      </c>
      <c r="K405" s="231" t="str">
        <f t="shared" si="86"/>
        <v/>
      </c>
      <c r="L405" s="176"/>
      <c r="M405" s="241"/>
      <c r="N405" s="241"/>
      <c r="O405" s="241"/>
      <c r="P405" s="241"/>
      <c r="Q405" s="241"/>
      <c r="R405" s="241"/>
      <c r="S405" s="241"/>
      <c r="T405" s="241"/>
      <c r="U405" s="241"/>
      <c r="V405" s="241"/>
      <c r="W405" s="241"/>
      <c r="X405" s="241"/>
      <c r="Y405" s="241"/>
      <c r="Z405" s="241"/>
      <c r="AA405" s="241"/>
      <c r="AB405" s="241"/>
      <c r="AC405" s="241"/>
      <c r="AD405" s="241"/>
      <c r="AE405" s="241"/>
      <c r="AF405" s="241"/>
      <c r="AG405" s="241"/>
      <c r="AH405" s="241"/>
      <c r="AI405" s="241"/>
      <c r="AJ405" s="241"/>
      <c r="AK405" s="241"/>
      <c r="AL405" s="241"/>
      <c r="AM405" s="241"/>
      <c r="AN405" s="241"/>
      <c r="AO405" s="241"/>
      <c r="AP405" s="241"/>
      <c r="AQ405" s="241"/>
      <c r="AR405" s="241"/>
      <c r="AS405" s="241"/>
      <c r="AT405" s="241"/>
      <c r="AU405" s="241"/>
      <c r="AV405" s="241"/>
      <c r="AW405" s="241"/>
      <c r="AX405" s="241"/>
      <c r="AY405" s="241"/>
      <c r="AZ405" s="241"/>
    </row>
    <row r="406" spans="1:52" s="71" customFormat="1" ht="15" hidden="1" customHeight="1" outlineLevel="1">
      <c r="A406" s="288">
        <v>15</v>
      </c>
      <c r="B406" s="97"/>
      <c r="C406" s="296"/>
      <c r="D406" s="379"/>
      <c r="E406" s="380"/>
      <c r="F406" s="230"/>
      <c r="G406" s="291"/>
      <c r="H406" s="285"/>
      <c r="I406" s="225" t="str">
        <f t="shared" si="84"/>
        <v/>
      </c>
      <c r="J406" s="225" t="str">
        <f t="shared" si="85"/>
        <v/>
      </c>
      <c r="K406" s="231" t="str">
        <f t="shared" si="86"/>
        <v/>
      </c>
      <c r="L406" s="176"/>
      <c r="M406" s="241"/>
      <c r="N406" s="241"/>
      <c r="O406" s="241"/>
      <c r="P406" s="241"/>
      <c r="Q406" s="241"/>
      <c r="R406" s="241"/>
      <c r="S406" s="241"/>
      <c r="T406" s="241"/>
      <c r="U406" s="241"/>
      <c r="V406" s="241"/>
      <c r="W406" s="241"/>
      <c r="X406" s="241"/>
      <c r="Y406" s="241"/>
      <c r="Z406" s="241"/>
      <c r="AA406" s="241"/>
      <c r="AB406" s="241"/>
      <c r="AC406" s="241"/>
      <c r="AD406" s="241"/>
      <c r="AE406" s="241"/>
      <c r="AF406" s="241"/>
      <c r="AG406" s="241"/>
      <c r="AH406" s="241"/>
      <c r="AI406" s="241"/>
      <c r="AJ406" s="241"/>
      <c r="AK406" s="241"/>
      <c r="AL406" s="241"/>
      <c r="AM406" s="241"/>
      <c r="AN406" s="241"/>
      <c r="AO406" s="241"/>
      <c r="AP406" s="241"/>
      <c r="AQ406" s="241"/>
      <c r="AR406" s="241"/>
      <c r="AS406" s="241"/>
      <c r="AT406" s="241"/>
      <c r="AU406" s="241"/>
      <c r="AV406" s="241"/>
      <c r="AW406" s="241"/>
      <c r="AX406" s="241"/>
      <c r="AY406" s="241"/>
      <c r="AZ406" s="241"/>
    </row>
    <row r="407" spans="1:52" s="71" customFormat="1" ht="15" hidden="1" customHeight="1" outlineLevel="1">
      <c r="A407" s="288">
        <v>16</v>
      </c>
      <c r="B407" s="97"/>
      <c r="C407" s="296"/>
      <c r="D407" s="379"/>
      <c r="E407" s="380"/>
      <c r="F407" s="230"/>
      <c r="G407" s="291"/>
      <c r="H407" s="285"/>
      <c r="I407" s="225" t="str">
        <f t="shared" si="84"/>
        <v/>
      </c>
      <c r="J407" s="225" t="str">
        <f t="shared" si="85"/>
        <v/>
      </c>
      <c r="K407" s="231" t="str">
        <f t="shared" si="86"/>
        <v/>
      </c>
      <c r="L407" s="176"/>
      <c r="M407" s="241"/>
      <c r="N407" s="241"/>
      <c r="O407" s="241"/>
      <c r="P407" s="241"/>
      <c r="Q407" s="241"/>
      <c r="R407" s="241"/>
      <c r="S407" s="241"/>
      <c r="T407" s="241"/>
      <c r="U407" s="241"/>
      <c r="V407" s="241"/>
      <c r="W407" s="241"/>
      <c r="X407" s="241"/>
      <c r="Y407" s="241"/>
      <c r="Z407" s="241"/>
      <c r="AA407" s="241"/>
      <c r="AB407" s="241"/>
      <c r="AC407" s="241"/>
      <c r="AD407" s="241"/>
      <c r="AE407" s="241"/>
      <c r="AF407" s="241"/>
      <c r="AG407" s="241"/>
      <c r="AH407" s="241"/>
      <c r="AI407" s="241"/>
      <c r="AJ407" s="241"/>
      <c r="AK407" s="241"/>
      <c r="AL407" s="241"/>
      <c r="AM407" s="241"/>
      <c r="AN407" s="241"/>
      <c r="AO407" s="241"/>
      <c r="AP407" s="241"/>
      <c r="AQ407" s="241"/>
      <c r="AR407" s="241"/>
      <c r="AS407" s="241"/>
      <c r="AT407" s="241"/>
      <c r="AU407" s="241"/>
      <c r="AV407" s="241"/>
      <c r="AW407" s="241"/>
      <c r="AX407" s="241"/>
      <c r="AY407" s="241"/>
      <c r="AZ407" s="241"/>
    </row>
    <row r="408" spans="1:52" s="71" customFormat="1" ht="15" hidden="1" customHeight="1" outlineLevel="1">
      <c r="A408" s="288">
        <v>17</v>
      </c>
      <c r="B408" s="97"/>
      <c r="C408" s="296"/>
      <c r="D408" s="379"/>
      <c r="E408" s="380"/>
      <c r="F408" s="230"/>
      <c r="G408" s="291"/>
      <c r="H408" s="285"/>
      <c r="I408" s="225" t="str">
        <f t="shared" si="84"/>
        <v/>
      </c>
      <c r="J408" s="225" t="str">
        <f t="shared" si="85"/>
        <v/>
      </c>
      <c r="K408" s="231" t="str">
        <f t="shared" si="86"/>
        <v/>
      </c>
      <c r="L408" s="176"/>
      <c r="M408" s="241"/>
      <c r="N408" s="241"/>
      <c r="O408" s="241"/>
      <c r="P408" s="241"/>
      <c r="Q408" s="241"/>
      <c r="R408" s="241"/>
      <c r="S408" s="241"/>
      <c r="T408" s="241"/>
      <c r="U408" s="241"/>
      <c r="V408" s="241"/>
      <c r="W408" s="241"/>
      <c r="X408" s="241"/>
      <c r="Y408" s="241"/>
      <c r="Z408" s="241"/>
      <c r="AA408" s="241"/>
      <c r="AB408" s="241"/>
      <c r="AC408" s="241"/>
      <c r="AD408" s="241"/>
      <c r="AE408" s="241"/>
      <c r="AF408" s="241"/>
      <c r="AG408" s="241"/>
      <c r="AH408" s="241"/>
      <c r="AI408" s="241"/>
      <c r="AJ408" s="241"/>
      <c r="AK408" s="241"/>
      <c r="AL408" s="241"/>
      <c r="AM408" s="241"/>
      <c r="AN408" s="241"/>
      <c r="AO408" s="241"/>
      <c r="AP408" s="241"/>
      <c r="AQ408" s="241"/>
      <c r="AR408" s="241"/>
      <c r="AS408" s="241"/>
      <c r="AT408" s="241"/>
      <c r="AU408" s="241"/>
      <c r="AV408" s="241"/>
      <c r="AW408" s="241"/>
      <c r="AX408" s="241"/>
      <c r="AY408" s="241"/>
      <c r="AZ408" s="241"/>
    </row>
    <row r="409" spans="1:52" s="71" customFormat="1" ht="15" hidden="1" customHeight="1" outlineLevel="1">
      <c r="A409" s="288">
        <v>18</v>
      </c>
      <c r="B409" s="97"/>
      <c r="C409" s="296"/>
      <c r="D409" s="379"/>
      <c r="E409" s="380"/>
      <c r="F409" s="230"/>
      <c r="G409" s="291"/>
      <c r="H409" s="285"/>
      <c r="I409" s="225" t="str">
        <f t="shared" si="84"/>
        <v/>
      </c>
      <c r="J409" s="225" t="str">
        <f t="shared" si="85"/>
        <v/>
      </c>
      <c r="K409" s="231" t="str">
        <f t="shared" si="86"/>
        <v/>
      </c>
      <c r="L409" s="176"/>
      <c r="M409" s="241"/>
      <c r="N409" s="241"/>
      <c r="O409" s="241"/>
      <c r="P409" s="241"/>
      <c r="Q409" s="241"/>
      <c r="R409" s="241"/>
      <c r="S409" s="241"/>
      <c r="T409" s="241"/>
      <c r="U409" s="241"/>
      <c r="V409" s="241"/>
      <c r="W409" s="241"/>
      <c r="X409" s="241"/>
      <c r="Y409" s="241"/>
      <c r="Z409" s="241"/>
      <c r="AA409" s="241"/>
      <c r="AB409" s="241"/>
      <c r="AC409" s="241"/>
      <c r="AD409" s="241"/>
      <c r="AE409" s="241"/>
      <c r="AF409" s="241"/>
      <c r="AG409" s="241"/>
      <c r="AH409" s="241"/>
      <c r="AI409" s="241"/>
      <c r="AJ409" s="241"/>
      <c r="AK409" s="241"/>
      <c r="AL409" s="241"/>
      <c r="AM409" s="241"/>
      <c r="AN409" s="241"/>
      <c r="AO409" s="241"/>
      <c r="AP409" s="241"/>
      <c r="AQ409" s="241"/>
      <c r="AR409" s="241"/>
      <c r="AS409" s="241"/>
      <c r="AT409" s="241"/>
      <c r="AU409" s="241"/>
      <c r="AV409" s="241"/>
      <c r="AW409" s="241"/>
      <c r="AX409" s="241"/>
      <c r="AY409" s="241"/>
      <c r="AZ409" s="241"/>
    </row>
    <row r="410" spans="1:52" s="71" customFormat="1" ht="15" hidden="1" customHeight="1" outlineLevel="1">
      <c r="A410" s="288">
        <v>19</v>
      </c>
      <c r="B410" s="97"/>
      <c r="C410" s="296"/>
      <c r="D410" s="379"/>
      <c r="E410" s="380"/>
      <c r="F410" s="230"/>
      <c r="G410" s="291"/>
      <c r="H410" s="285"/>
      <c r="I410" s="225" t="str">
        <f t="shared" si="84"/>
        <v/>
      </c>
      <c r="J410" s="225" t="str">
        <f t="shared" si="85"/>
        <v/>
      </c>
      <c r="K410" s="231" t="str">
        <f t="shared" si="86"/>
        <v/>
      </c>
      <c r="L410" s="176"/>
      <c r="M410" s="241"/>
      <c r="N410" s="241"/>
      <c r="O410" s="241"/>
      <c r="P410" s="241"/>
      <c r="Q410" s="241"/>
      <c r="R410" s="241"/>
      <c r="S410" s="241"/>
      <c r="T410" s="241"/>
      <c r="U410" s="241"/>
      <c r="V410" s="241"/>
      <c r="W410" s="241"/>
      <c r="X410" s="241"/>
      <c r="Y410" s="241"/>
      <c r="Z410" s="241"/>
      <c r="AA410" s="241"/>
      <c r="AB410" s="241"/>
      <c r="AC410" s="241"/>
      <c r="AD410" s="241"/>
      <c r="AE410" s="241"/>
      <c r="AF410" s="241"/>
      <c r="AG410" s="241"/>
      <c r="AH410" s="241"/>
      <c r="AI410" s="241"/>
      <c r="AJ410" s="241"/>
      <c r="AK410" s="241"/>
      <c r="AL410" s="241"/>
      <c r="AM410" s="241"/>
      <c r="AN410" s="241"/>
      <c r="AO410" s="241"/>
      <c r="AP410" s="241"/>
      <c r="AQ410" s="241"/>
      <c r="AR410" s="241"/>
      <c r="AS410" s="241"/>
      <c r="AT410" s="241"/>
      <c r="AU410" s="241"/>
      <c r="AV410" s="241"/>
      <c r="AW410" s="241"/>
      <c r="AX410" s="241"/>
      <c r="AY410" s="241"/>
      <c r="AZ410" s="241"/>
    </row>
    <row r="411" spans="1:52" s="71" customFormat="1" ht="15" hidden="1" customHeight="1" outlineLevel="1">
      <c r="A411" s="288">
        <v>20</v>
      </c>
      <c r="B411" s="97"/>
      <c r="C411" s="296"/>
      <c r="D411" s="379"/>
      <c r="E411" s="380"/>
      <c r="F411" s="230"/>
      <c r="G411" s="291"/>
      <c r="H411" s="285"/>
      <c r="I411" s="225" t="str">
        <f t="shared" si="84"/>
        <v/>
      </c>
      <c r="J411" s="225" t="str">
        <f t="shared" si="85"/>
        <v/>
      </c>
      <c r="K411" s="231" t="str">
        <f t="shared" si="86"/>
        <v/>
      </c>
      <c r="L411" s="176"/>
      <c r="M411" s="241"/>
      <c r="N411" s="241"/>
      <c r="O411" s="241"/>
      <c r="P411" s="241"/>
      <c r="Q411" s="241"/>
      <c r="R411" s="241"/>
      <c r="S411" s="241"/>
      <c r="T411" s="241"/>
      <c r="U411" s="241"/>
      <c r="V411" s="241"/>
      <c r="W411" s="241"/>
      <c r="X411" s="241"/>
      <c r="Y411" s="241"/>
      <c r="Z411" s="241"/>
      <c r="AA411" s="241"/>
      <c r="AB411" s="241"/>
      <c r="AC411" s="241"/>
      <c r="AD411" s="241"/>
      <c r="AE411" s="241"/>
      <c r="AF411" s="241"/>
      <c r="AG411" s="241"/>
      <c r="AH411" s="241"/>
      <c r="AI411" s="241"/>
      <c r="AJ411" s="241"/>
      <c r="AK411" s="241"/>
      <c r="AL411" s="241"/>
      <c r="AM411" s="241"/>
      <c r="AN411" s="241"/>
      <c r="AO411" s="241"/>
      <c r="AP411" s="241"/>
      <c r="AQ411" s="241"/>
      <c r="AR411" s="241"/>
      <c r="AS411" s="241"/>
      <c r="AT411" s="241"/>
      <c r="AU411" s="241"/>
      <c r="AV411" s="241"/>
      <c r="AW411" s="241"/>
      <c r="AX411" s="241"/>
      <c r="AY411" s="241"/>
      <c r="AZ411" s="241"/>
    </row>
    <row r="412" spans="1:52" s="71" customFormat="1" ht="15" hidden="1" customHeight="1" outlineLevel="1">
      <c r="A412" s="288">
        <v>21</v>
      </c>
      <c r="B412" s="97"/>
      <c r="C412" s="296"/>
      <c r="D412" s="379"/>
      <c r="E412" s="380"/>
      <c r="F412" s="230"/>
      <c r="G412" s="291"/>
      <c r="H412" s="285"/>
      <c r="I412" s="225" t="str">
        <f t="shared" si="84"/>
        <v/>
      </c>
      <c r="J412" s="225" t="str">
        <f t="shared" si="85"/>
        <v/>
      </c>
      <c r="K412" s="231" t="str">
        <f t="shared" si="86"/>
        <v/>
      </c>
      <c r="L412" s="176"/>
      <c r="M412" s="241"/>
      <c r="N412" s="241"/>
      <c r="O412" s="241"/>
      <c r="P412" s="241"/>
      <c r="Q412" s="241"/>
      <c r="R412" s="241"/>
      <c r="S412" s="241"/>
      <c r="T412" s="241"/>
      <c r="U412" s="241"/>
      <c r="V412" s="241"/>
      <c r="W412" s="241"/>
      <c r="X412" s="241"/>
      <c r="Y412" s="241"/>
      <c r="Z412" s="241"/>
      <c r="AA412" s="241"/>
      <c r="AB412" s="241"/>
      <c r="AC412" s="241"/>
      <c r="AD412" s="241"/>
      <c r="AE412" s="241"/>
      <c r="AF412" s="241"/>
      <c r="AG412" s="241"/>
      <c r="AH412" s="241"/>
      <c r="AI412" s="241"/>
      <c r="AJ412" s="241"/>
      <c r="AK412" s="241"/>
      <c r="AL412" s="241"/>
      <c r="AM412" s="241"/>
      <c r="AN412" s="241"/>
      <c r="AO412" s="241"/>
      <c r="AP412" s="241"/>
      <c r="AQ412" s="241"/>
      <c r="AR412" s="241"/>
      <c r="AS412" s="241"/>
      <c r="AT412" s="241"/>
      <c r="AU412" s="241"/>
      <c r="AV412" s="241"/>
      <c r="AW412" s="241"/>
      <c r="AX412" s="241"/>
      <c r="AY412" s="241"/>
      <c r="AZ412" s="241"/>
    </row>
    <row r="413" spans="1:52" s="71" customFormat="1" ht="15" hidden="1" customHeight="1" outlineLevel="1">
      <c r="A413" s="288">
        <v>22</v>
      </c>
      <c r="B413" s="97"/>
      <c r="C413" s="296"/>
      <c r="D413" s="379"/>
      <c r="E413" s="380"/>
      <c r="F413" s="230"/>
      <c r="G413" s="291"/>
      <c r="H413" s="285"/>
      <c r="I413" s="225" t="str">
        <f t="shared" si="84"/>
        <v/>
      </c>
      <c r="J413" s="225" t="str">
        <f t="shared" si="85"/>
        <v/>
      </c>
      <c r="K413" s="231" t="str">
        <f t="shared" si="86"/>
        <v/>
      </c>
      <c r="L413" s="176"/>
      <c r="M413" s="241"/>
      <c r="N413" s="241"/>
      <c r="O413" s="241"/>
      <c r="P413" s="241"/>
      <c r="Q413" s="241"/>
      <c r="R413" s="241"/>
      <c r="S413" s="241"/>
      <c r="T413" s="241"/>
      <c r="U413" s="241"/>
      <c r="V413" s="241"/>
      <c r="W413" s="241"/>
      <c r="X413" s="241"/>
      <c r="Y413" s="241"/>
      <c r="Z413" s="241"/>
      <c r="AA413" s="241"/>
      <c r="AB413" s="241"/>
      <c r="AC413" s="241"/>
      <c r="AD413" s="241"/>
      <c r="AE413" s="241"/>
      <c r="AF413" s="241"/>
      <c r="AG413" s="241"/>
      <c r="AH413" s="241"/>
      <c r="AI413" s="241"/>
      <c r="AJ413" s="241"/>
      <c r="AK413" s="241"/>
      <c r="AL413" s="241"/>
      <c r="AM413" s="241"/>
      <c r="AN413" s="241"/>
      <c r="AO413" s="241"/>
      <c r="AP413" s="241"/>
      <c r="AQ413" s="241"/>
      <c r="AR413" s="241"/>
      <c r="AS413" s="241"/>
      <c r="AT413" s="241"/>
      <c r="AU413" s="241"/>
      <c r="AV413" s="241"/>
      <c r="AW413" s="241"/>
      <c r="AX413" s="241"/>
      <c r="AY413" s="241"/>
      <c r="AZ413" s="241"/>
    </row>
    <row r="414" spans="1:52" s="71" customFormat="1" ht="15" hidden="1" customHeight="1" outlineLevel="1">
      <c r="A414" s="288">
        <v>23</v>
      </c>
      <c r="B414" s="97"/>
      <c r="C414" s="296"/>
      <c r="D414" s="379"/>
      <c r="E414" s="380"/>
      <c r="F414" s="230"/>
      <c r="G414" s="291"/>
      <c r="H414" s="285"/>
      <c r="I414" s="225" t="str">
        <f t="shared" si="84"/>
        <v/>
      </c>
      <c r="J414" s="225" t="str">
        <f t="shared" si="85"/>
        <v/>
      </c>
      <c r="K414" s="231" t="str">
        <f t="shared" si="86"/>
        <v/>
      </c>
      <c r="L414" s="176"/>
      <c r="M414" s="241"/>
      <c r="N414" s="241"/>
      <c r="O414" s="241"/>
      <c r="P414" s="241"/>
      <c r="Q414" s="241"/>
      <c r="R414" s="241"/>
      <c r="S414" s="241"/>
      <c r="T414" s="241"/>
      <c r="U414" s="241"/>
      <c r="V414" s="241"/>
      <c r="W414" s="241"/>
      <c r="X414" s="241"/>
      <c r="Y414" s="241"/>
      <c r="Z414" s="241"/>
      <c r="AA414" s="241"/>
      <c r="AB414" s="241"/>
      <c r="AC414" s="241"/>
      <c r="AD414" s="241"/>
      <c r="AE414" s="241"/>
      <c r="AF414" s="241"/>
      <c r="AG414" s="241"/>
      <c r="AH414" s="241"/>
      <c r="AI414" s="241"/>
      <c r="AJ414" s="241"/>
      <c r="AK414" s="241"/>
      <c r="AL414" s="241"/>
      <c r="AM414" s="241"/>
      <c r="AN414" s="241"/>
      <c r="AO414" s="241"/>
      <c r="AP414" s="241"/>
      <c r="AQ414" s="241"/>
      <c r="AR414" s="241"/>
      <c r="AS414" s="241"/>
      <c r="AT414" s="241"/>
      <c r="AU414" s="241"/>
      <c r="AV414" s="241"/>
      <c r="AW414" s="241"/>
      <c r="AX414" s="241"/>
      <c r="AY414" s="241"/>
      <c r="AZ414" s="241"/>
    </row>
    <row r="415" spans="1:52" s="71" customFormat="1" ht="15" hidden="1" customHeight="1" outlineLevel="1">
      <c r="A415" s="288">
        <v>24</v>
      </c>
      <c r="B415" s="97"/>
      <c r="C415" s="296"/>
      <c r="D415" s="379"/>
      <c r="E415" s="380"/>
      <c r="F415" s="230"/>
      <c r="G415" s="291"/>
      <c r="H415" s="285"/>
      <c r="I415" s="225" t="str">
        <f t="shared" si="84"/>
        <v/>
      </c>
      <c r="J415" s="225" t="str">
        <f t="shared" si="85"/>
        <v/>
      </c>
      <c r="K415" s="231" t="str">
        <f t="shared" si="86"/>
        <v/>
      </c>
      <c r="L415" s="176"/>
      <c r="M415" s="241"/>
      <c r="N415" s="241"/>
      <c r="O415" s="241"/>
      <c r="P415" s="241"/>
      <c r="Q415" s="241"/>
      <c r="R415" s="241"/>
      <c r="S415" s="241"/>
      <c r="T415" s="241"/>
      <c r="U415" s="241"/>
      <c r="V415" s="241"/>
      <c r="W415" s="241"/>
      <c r="X415" s="241"/>
      <c r="Y415" s="241"/>
      <c r="Z415" s="241"/>
      <c r="AA415" s="241"/>
      <c r="AB415" s="241"/>
      <c r="AC415" s="241"/>
      <c r="AD415" s="241"/>
      <c r="AE415" s="241"/>
      <c r="AF415" s="241"/>
      <c r="AG415" s="241"/>
      <c r="AH415" s="241"/>
      <c r="AI415" s="241"/>
      <c r="AJ415" s="241"/>
      <c r="AK415" s="241"/>
      <c r="AL415" s="241"/>
      <c r="AM415" s="241"/>
      <c r="AN415" s="241"/>
      <c r="AO415" s="241"/>
      <c r="AP415" s="241"/>
      <c r="AQ415" s="241"/>
      <c r="AR415" s="241"/>
      <c r="AS415" s="241"/>
      <c r="AT415" s="241"/>
      <c r="AU415" s="241"/>
      <c r="AV415" s="241"/>
      <c r="AW415" s="241"/>
      <c r="AX415" s="241"/>
      <c r="AY415" s="241"/>
      <c r="AZ415" s="241"/>
    </row>
    <row r="416" spans="1:52" s="71" customFormat="1" ht="15" hidden="1" customHeight="1" outlineLevel="1">
      <c r="A416" s="288">
        <v>25</v>
      </c>
      <c r="B416" s="97"/>
      <c r="C416" s="296"/>
      <c r="D416" s="379"/>
      <c r="E416" s="380"/>
      <c r="F416" s="230"/>
      <c r="G416" s="291"/>
      <c r="H416" s="285"/>
      <c r="I416" s="225" t="str">
        <f t="shared" si="84"/>
        <v/>
      </c>
      <c r="J416" s="225" t="str">
        <f t="shared" si="85"/>
        <v/>
      </c>
      <c r="K416" s="231" t="str">
        <f t="shared" si="86"/>
        <v/>
      </c>
      <c r="L416" s="176"/>
      <c r="M416" s="241"/>
      <c r="N416" s="241"/>
      <c r="O416" s="241"/>
      <c r="P416" s="241"/>
      <c r="Q416" s="241"/>
      <c r="R416" s="241"/>
      <c r="S416" s="241"/>
      <c r="T416" s="241"/>
      <c r="U416" s="241"/>
      <c r="V416" s="241"/>
      <c r="W416" s="241"/>
      <c r="X416" s="241"/>
      <c r="Y416" s="241"/>
      <c r="Z416" s="241"/>
      <c r="AA416" s="241"/>
      <c r="AB416" s="241"/>
      <c r="AC416" s="241"/>
      <c r="AD416" s="241"/>
      <c r="AE416" s="241"/>
      <c r="AF416" s="241"/>
      <c r="AG416" s="241"/>
      <c r="AH416" s="241"/>
      <c r="AI416" s="241"/>
      <c r="AJ416" s="241"/>
      <c r="AK416" s="241"/>
      <c r="AL416" s="241"/>
      <c r="AM416" s="241"/>
      <c r="AN416" s="241"/>
      <c r="AO416" s="241"/>
      <c r="AP416" s="241"/>
      <c r="AQ416" s="241"/>
      <c r="AR416" s="241"/>
      <c r="AS416" s="241"/>
      <c r="AT416" s="241"/>
      <c r="AU416" s="241"/>
      <c r="AV416" s="241"/>
      <c r="AW416" s="241"/>
      <c r="AX416" s="241"/>
      <c r="AY416" s="241"/>
      <c r="AZ416" s="241"/>
    </row>
    <row r="417" spans="1:52" s="71" customFormat="1" ht="15" hidden="1" customHeight="1" outlineLevel="1">
      <c r="A417" s="288">
        <v>26</v>
      </c>
      <c r="B417" s="97"/>
      <c r="C417" s="296"/>
      <c r="D417" s="379"/>
      <c r="E417" s="380"/>
      <c r="F417" s="230"/>
      <c r="G417" s="291"/>
      <c r="H417" s="285"/>
      <c r="I417" s="225" t="str">
        <f t="shared" si="84"/>
        <v/>
      </c>
      <c r="J417" s="225" t="str">
        <f t="shared" si="85"/>
        <v/>
      </c>
      <c r="K417" s="231" t="str">
        <f t="shared" si="86"/>
        <v/>
      </c>
      <c r="L417" s="176"/>
      <c r="M417" s="241"/>
      <c r="N417" s="241"/>
      <c r="O417" s="241"/>
      <c r="P417" s="241"/>
      <c r="Q417" s="241"/>
      <c r="R417" s="241"/>
      <c r="S417" s="241"/>
      <c r="T417" s="241"/>
      <c r="U417" s="241"/>
      <c r="V417" s="241"/>
      <c r="W417" s="241"/>
      <c r="X417" s="241"/>
      <c r="Y417" s="241"/>
      <c r="Z417" s="241"/>
      <c r="AA417" s="241"/>
      <c r="AB417" s="241"/>
      <c r="AC417" s="241"/>
      <c r="AD417" s="241"/>
      <c r="AE417" s="241"/>
      <c r="AF417" s="241"/>
      <c r="AG417" s="241"/>
      <c r="AH417" s="241"/>
      <c r="AI417" s="241"/>
      <c r="AJ417" s="241"/>
      <c r="AK417" s="241"/>
      <c r="AL417" s="241"/>
      <c r="AM417" s="241"/>
      <c r="AN417" s="241"/>
      <c r="AO417" s="241"/>
      <c r="AP417" s="241"/>
      <c r="AQ417" s="241"/>
      <c r="AR417" s="241"/>
      <c r="AS417" s="241"/>
      <c r="AT417" s="241"/>
      <c r="AU417" s="241"/>
      <c r="AV417" s="241"/>
      <c r="AW417" s="241"/>
      <c r="AX417" s="241"/>
      <c r="AY417" s="241"/>
      <c r="AZ417" s="241"/>
    </row>
    <row r="418" spans="1:52" s="71" customFormat="1" ht="15" hidden="1" customHeight="1" outlineLevel="1">
      <c r="A418" s="288">
        <v>27</v>
      </c>
      <c r="B418" s="97"/>
      <c r="C418" s="296"/>
      <c r="D418" s="379"/>
      <c r="E418" s="380"/>
      <c r="F418" s="230"/>
      <c r="G418" s="291"/>
      <c r="H418" s="285"/>
      <c r="I418" s="225" t="str">
        <f t="shared" si="84"/>
        <v/>
      </c>
      <c r="J418" s="225" t="str">
        <f t="shared" si="85"/>
        <v/>
      </c>
      <c r="K418" s="231" t="str">
        <f t="shared" si="86"/>
        <v/>
      </c>
      <c r="L418" s="176"/>
      <c r="M418" s="241"/>
      <c r="N418" s="241"/>
      <c r="O418" s="241"/>
      <c r="P418" s="241"/>
      <c r="Q418" s="241"/>
      <c r="R418" s="241"/>
      <c r="S418" s="241"/>
      <c r="T418" s="241"/>
      <c r="U418" s="241"/>
      <c r="V418" s="241"/>
      <c r="W418" s="241"/>
      <c r="X418" s="241"/>
      <c r="Y418" s="241"/>
      <c r="Z418" s="241"/>
      <c r="AA418" s="241"/>
      <c r="AB418" s="241"/>
      <c r="AC418" s="241"/>
      <c r="AD418" s="241"/>
      <c r="AE418" s="241"/>
      <c r="AF418" s="241"/>
      <c r="AG418" s="241"/>
      <c r="AH418" s="241"/>
      <c r="AI418" s="241"/>
      <c r="AJ418" s="241"/>
      <c r="AK418" s="241"/>
      <c r="AL418" s="241"/>
      <c r="AM418" s="241"/>
      <c r="AN418" s="241"/>
      <c r="AO418" s="241"/>
      <c r="AP418" s="241"/>
      <c r="AQ418" s="241"/>
      <c r="AR418" s="241"/>
      <c r="AS418" s="241"/>
      <c r="AT418" s="241"/>
      <c r="AU418" s="241"/>
      <c r="AV418" s="241"/>
      <c r="AW418" s="241"/>
      <c r="AX418" s="241"/>
      <c r="AY418" s="241"/>
      <c r="AZ418" s="241"/>
    </row>
    <row r="419" spans="1:52" s="71" customFormat="1" ht="15" hidden="1" customHeight="1" outlineLevel="1">
      <c r="A419" s="288">
        <v>28</v>
      </c>
      <c r="B419" s="97"/>
      <c r="C419" s="296"/>
      <c r="D419" s="379"/>
      <c r="E419" s="380"/>
      <c r="F419" s="230"/>
      <c r="G419" s="291"/>
      <c r="H419" s="285"/>
      <c r="I419" s="225" t="str">
        <f t="shared" si="84"/>
        <v/>
      </c>
      <c r="J419" s="225" t="str">
        <f t="shared" si="85"/>
        <v/>
      </c>
      <c r="K419" s="231" t="str">
        <f t="shared" si="86"/>
        <v/>
      </c>
      <c r="L419" s="176"/>
      <c r="M419" s="241"/>
      <c r="N419" s="241"/>
      <c r="O419" s="241"/>
      <c r="P419" s="241"/>
      <c r="Q419" s="241"/>
      <c r="R419" s="241"/>
      <c r="S419" s="241"/>
      <c r="T419" s="241"/>
      <c r="U419" s="241"/>
      <c r="V419" s="241"/>
      <c r="W419" s="241"/>
      <c r="X419" s="241"/>
      <c r="Y419" s="241"/>
      <c r="Z419" s="241"/>
      <c r="AA419" s="241"/>
      <c r="AB419" s="241"/>
      <c r="AC419" s="241"/>
      <c r="AD419" s="241"/>
      <c r="AE419" s="241"/>
      <c r="AF419" s="241"/>
      <c r="AG419" s="241"/>
      <c r="AH419" s="241"/>
      <c r="AI419" s="241"/>
      <c r="AJ419" s="241"/>
      <c r="AK419" s="241"/>
      <c r="AL419" s="241"/>
      <c r="AM419" s="241"/>
      <c r="AN419" s="241"/>
      <c r="AO419" s="241"/>
      <c r="AP419" s="241"/>
      <c r="AQ419" s="241"/>
      <c r="AR419" s="241"/>
      <c r="AS419" s="241"/>
      <c r="AT419" s="241"/>
      <c r="AU419" s="241"/>
      <c r="AV419" s="241"/>
      <c r="AW419" s="241"/>
      <c r="AX419" s="241"/>
      <c r="AY419" s="241"/>
      <c r="AZ419" s="241"/>
    </row>
    <row r="420" spans="1:52" s="71" customFormat="1" ht="15" hidden="1" customHeight="1" outlineLevel="1">
      <c r="A420" s="288">
        <v>29</v>
      </c>
      <c r="B420" s="97"/>
      <c r="C420" s="296"/>
      <c r="D420" s="379"/>
      <c r="E420" s="380"/>
      <c r="F420" s="230"/>
      <c r="G420" s="291"/>
      <c r="H420" s="285"/>
      <c r="I420" s="225" t="str">
        <f t="shared" si="84"/>
        <v/>
      </c>
      <c r="J420" s="225" t="str">
        <f t="shared" si="85"/>
        <v/>
      </c>
      <c r="K420" s="231" t="str">
        <f t="shared" si="86"/>
        <v/>
      </c>
      <c r="L420" s="176"/>
      <c r="M420" s="241"/>
      <c r="N420" s="241"/>
      <c r="O420" s="241"/>
      <c r="P420" s="241"/>
      <c r="Q420" s="241"/>
      <c r="R420" s="241"/>
      <c r="S420" s="241"/>
      <c r="T420" s="241"/>
      <c r="U420" s="241"/>
      <c r="V420" s="241"/>
      <c r="W420" s="241"/>
      <c r="X420" s="241"/>
      <c r="Y420" s="241"/>
      <c r="Z420" s="241"/>
      <c r="AA420" s="241"/>
      <c r="AB420" s="241"/>
      <c r="AC420" s="241"/>
      <c r="AD420" s="241"/>
      <c r="AE420" s="241"/>
      <c r="AF420" s="241"/>
      <c r="AG420" s="241"/>
      <c r="AH420" s="241"/>
      <c r="AI420" s="241"/>
      <c r="AJ420" s="241"/>
      <c r="AK420" s="241"/>
      <c r="AL420" s="241"/>
      <c r="AM420" s="241"/>
      <c r="AN420" s="241"/>
      <c r="AO420" s="241"/>
      <c r="AP420" s="241"/>
      <c r="AQ420" s="241"/>
      <c r="AR420" s="241"/>
      <c r="AS420" s="241"/>
      <c r="AT420" s="241"/>
      <c r="AU420" s="241"/>
      <c r="AV420" s="241"/>
      <c r="AW420" s="241"/>
      <c r="AX420" s="241"/>
      <c r="AY420" s="241"/>
      <c r="AZ420" s="241"/>
    </row>
    <row r="421" spans="1:52" s="71" customFormat="1" ht="15" hidden="1" customHeight="1" outlineLevel="1">
      <c r="A421" s="288">
        <v>30</v>
      </c>
      <c r="B421" s="97"/>
      <c r="C421" s="296"/>
      <c r="D421" s="379"/>
      <c r="E421" s="380"/>
      <c r="F421" s="230"/>
      <c r="G421" s="291"/>
      <c r="H421" s="285"/>
      <c r="I421" s="225" t="str">
        <f t="shared" si="84"/>
        <v/>
      </c>
      <c r="J421" s="225" t="str">
        <f t="shared" si="85"/>
        <v/>
      </c>
      <c r="K421" s="231" t="str">
        <f t="shared" si="86"/>
        <v/>
      </c>
      <c r="L421" s="176"/>
      <c r="M421" s="241"/>
      <c r="N421" s="241"/>
      <c r="O421" s="241"/>
      <c r="P421" s="241"/>
      <c r="Q421" s="241"/>
      <c r="R421" s="241"/>
      <c r="S421" s="241"/>
      <c r="T421" s="241"/>
      <c r="U421" s="241"/>
      <c r="V421" s="241"/>
      <c r="W421" s="241"/>
      <c r="X421" s="241"/>
      <c r="Y421" s="241"/>
      <c r="Z421" s="241"/>
      <c r="AA421" s="241"/>
      <c r="AB421" s="241"/>
      <c r="AC421" s="241"/>
      <c r="AD421" s="241"/>
      <c r="AE421" s="241"/>
      <c r="AF421" s="241"/>
      <c r="AG421" s="241"/>
      <c r="AH421" s="241"/>
      <c r="AI421" s="241"/>
      <c r="AJ421" s="241"/>
      <c r="AK421" s="241"/>
      <c r="AL421" s="241"/>
      <c r="AM421" s="241"/>
      <c r="AN421" s="241"/>
      <c r="AO421" s="241"/>
      <c r="AP421" s="241"/>
      <c r="AQ421" s="241"/>
      <c r="AR421" s="241"/>
      <c r="AS421" s="241"/>
      <c r="AT421" s="241"/>
      <c r="AU421" s="241"/>
      <c r="AV421" s="241"/>
      <c r="AW421" s="241"/>
      <c r="AX421" s="241"/>
      <c r="AY421" s="241"/>
      <c r="AZ421" s="241"/>
    </row>
    <row r="422" spans="1:52" s="71" customFormat="1" ht="15" hidden="1" customHeight="1" outlineLevel="1">
      <c r="A422" s="288">
        <v>31</v>
      </c>
      <c r="B422" s="97"/>
      <c r="C422" s="296"/>
      <c r="D422" s="379"/>
      <c r="E422" s="380"/>
      <c r="F422" s="230"/>
      <c r="G422" s="291"/>
      <c r="H422" s="285"/>
      <c r="I422" s="225" t="str">
        <f t="shared" si="84"/>
        <v/>
      </c>
      <c r="J422" s="225" t="str">
        <f t="shared" si="85"/>
        <v/>
      </c>
      <c r="K422" s="231" t="str">
        <f t="shared" si="86"/>
        <v/>
      </c>
      <c r="L422" s="176" t="s">
        <v>165</v>
      </c>
      <c r="M422" s="241"/>
      <c r="N422" s="241"/>
      <c r="O422" s="241"/>
      <c r="P422" s="241"/>
      <c r="Q422" s="241"/>
      <c r="R422" s="241"/>
      <c r="S422" s="241"/>
      <c r="T422" s="241"/>
      <c r="U422" s="241"/>
      <c r="V422" s="241"/>
      <c r="W422" s="241"/>
      <c r="X422" s="241"/>
      <c r="Y422" s="241"/>
      <c r="Z422" s="241"/>
      <c r="AA422" s="241"/>
      <c r="AB422" s="241"/>
      <c r="AC422" s="241"/>
      <c r="AD422" s="241"/>
      <c r="AE422" s="241"/>
      <c r="AF422" s="241"/>
      <c r="AG422" s="241"/>
      <c r="AH422" s="241"/>
      <c r="AI422" s="241"/>
      <c r="AJ422" s="241"/>
      <c r="AK422" s="241"/>
      <c r="AL422" s="241"/>
      <c r="AM422" s="241"/>
      <c r="AN422" s="241"/>
      <c r="AO422" s="241"/>
      <c r="AP422" s="241"/>
      <c r="AQ422" s="241"/>
      <c r="AR422" s="241"/>
      <c r="AS422" s="241"/>
      <c r="AT422" s="241"/>
      <c r="AU422" s="241"/>
      <c r="AV422" s="241"/>
      <c r="AW422" s="241"/>
      <c r="AX422" s="241"/>
      <c r="AY422" s="241"/>
      <c r="AZ422" s="241"/>
    </row>
    <row r="423" spans="1:52" s="71" customFormat="1" ht="15" hidden="1" customHeight="1" outlineLevel="2">
      <c r="A423" s="288">
        <v>32</v>
      </c>
      <c r="B423" s="97"/>
      <c r="C423" s="296"/>
      <c r="D423" s="379"/>
      <c r="E423" s="380"/>
      <c r="F423" s="230"/>
      <c r="G423" s="291"/>
      <c r="H423" s="285"/>
      <c r="I423" s="225" t="str">
        <f t="shared" si="84"/>
        <v/>
      </c>
      <c r="J423" s="225" t="str">
        <f t="shared" si="85"/>
        <v/>
      </c>
      <c r="K423" s="231" t="str">
        <f t="shared" si="86"/>
        <v/>
      </c>
      <c r="L423" s="176"/>
      <c r="M423" s="241"/>
      <c r="N423" s="241"/>
      <c r="O423" s="241"/>
      <c r="P423" s="241"/>
      <c r="Q423" s="241"/>
      <c r="R423" s="241"/>
      <c r="S423" s="241"/>
      <c r="T423" s="241"/>
      <c r="U423" s="241"/>
      <c r="V423" s="241"/>
      <c r="W423" s="241"/>
      <c r="X423" s="241"/>
      <c r="Y423" s="241"/>
      <c r="Z423" s="241"/>
      <c r="AA423" s="241"/>
      <c r="AB423" s="241"/>
      <c r="AC423" s="241"/>
      <c r="AD423" s="241"/>
      <c r="AE423" s="241"/>
      <c r="AF423" s="241"/>
      <c r="AG423" s="241"/>
      <c r="AH423" s="241"/>
      <c r="AI423" s="241"/>
      <c r="AJ423" s="241"/>
      <c r="AK423" s="241"/>
      <c r="AL423" s="241"/>
      <c r="AM423" s="241"/>
      <c r="AN423" s="241"/>
      <c r="AO423" s="241"/>
      <c r="AP423" s="241"/>
      <c r="AQ423" s="241"/>
      <c r="AR423" s="241"/>
      <c r="AS423" s="241"/>
      <c r="AT423" s="241"/>
      <c r="AU423" s="241"/>
      <c r="AV423" s="241"/>
      <c r="AW423" s="241"/>
      <c r="AX423" s="241"/>
      <c r="AY423" s="241"/>
      <c r="AZ423" s="241"/>
    </row>
    <row r="424" spans="1:52" s="71" customFormat="1" ht="15" hidden="1" customHeight="1" outlineLevel="2">
      <c r="A424" s="288">
        <v>33</v>
      </c>
      <c r="B424" s="97"/>
      <c r="C424" s="296"/>
      <c r="D424" s="379"/>
      <c r="E424" s="380"/>
      <c r="F424" s="230"/>
      <c r="G424" s="291"/>
      <c r="H424" s="285"/>
      <c r="I424" s="225" t="str">
        <f t="shared" si="84"/>
        <v/>
      </c>
      <c r="J424" s="225" t="str">
        <f t="shared" si="85"/>
        <v/>
      </c>
      <c r="K424" s="231" t="str">
        <f t="shared" si="86"/>
        <v/>
      </c>
      <c r="L424" s="176"/>
      <c r="M424" s="241"/>
      <c r="N424" s="241"/>
      <c r="O424" s="241"/>
      <c r="P424" s="241"/>
      <c r="Q424" s="241"/>
      <c r="R424" s="241"/>
      <c r="S424" s="241"/>
      <c r="T424" s="241"/>
      <c r="U424" s="241"/>
      <c r="V424" s="241"/>
      <c r="W424" s="241"/>
      <c r="X424" s="241"/>
      <c r="Y424" s="241"/>
      <c r="Z424" s="241"/>
      <c r="AA424" s="241"/>
      <c r="AB424" s="241"/>
      <c r="AC424" s="241"/>
      <c r="AD424" s="241"/>
      <c r="AE424" s="241"/>
      <c r="AF424" s="241"/>
      <c r="AG424" s="241"/>
      <c r="AH424" s="241"/>
      <c r="AI424" s="241"/>
      <c r="AJ424" s="241"/>
      <c r="AK424" s="241"/>
      <c r="AL424" s="241"/>
      <c r="AM424" s="241"/>
      <c r="AN424" s="241"/>
      <c r="AO424" s="241"/>
      <c r="AP424" s="241"/>
      <c r="AQ424" s="241"/>
      <c r="AR424" s="241"/>
      <c r="AS424" s="241"/>
      <c r="AT424" s="241"/>
      <c r="AU424" s="241"/>
      <c r="AV424" s="241"/>
      <c r="AW424" s="241"/>
      <c r="AX424" s="241"/>
      <c r="AY424" s="241"/>
      <c r="AZ424" s="241"/>
    </row>
    <row r="425" spans="1:52" s="71" customFormat="1" ht="15" hidden="1" customHeight="1" outlineLevel="2">
      <c r="A425" s="288">
        <v>34</v>
      </c>
      <c r="B425" s="97"/>
      <c r="C425" s="296"/>
      <c r="D425" s="379"/>
      <c r="E425" s="380"/>
      <c r="F425" s="230"/>
      <c r="G425" s="291"/>
      <c r="H425" s="285"/>
      <c r="I425" s="225" t="str">
        <f t="shared" si="84"/>
        <v/>
      </c>
      <c r="J425" s="225" t="str">
        <f t="shared" si="85"/>
        <v/>
      </c>
      <c r="K425" s="231" t="str">
        <f t="shared" si="86"/>
        <v/>
      </c>
      <c r="L425" s="176"/>
      <c r="M425" s="241"/>
      <c r="N425" s="241"/>
      <c r="O425" s="241"/>
      <c r="P425" s="241"/>
      <c r="Q425" s="241"/>
      <c r="R425" s="241"/>
      <c r="S425" s="241"/>
      <c r="T425" s="241"/>
      <c r="U425" s="241"/>
      <c r="V425" s="241"/>
      <c r="W425" s="241"/>
      <c r="X425" s="241"/>
      <c r="Y425" s="241"/>
      <c r="Z425" s="241"/>
      <c r="AA425" s="241"/>
      <c r="AB425" s="241"/>
      <c r="AC425" s="241"/>
      <c r="AD425" s="241"/>
      <c r="AE425" s="241"/>
      <c r="AF425" s="241"/>
      <c r="AG425" s="241"/>
      <c r="AH425" s="241"/>
      <c r="AI425" s="241"/>
      <c r="AJ425" s="241"/>
      <c r="AK425" s="241"/>
      <c r="AL425" s="241"/>
      <c r="AM425" s="241"/>
      <c r="AN425" s="241"/>
      <c r="AO425" s="241"/>
      <c r="AP425" s="241"/>
      <c r="AQ425" s="241"/>
      <c r="AR425" s="241"/>
      <c r="AS425" s="241"/>
      <c r="AT425" s="241"/>
      <c r="AU425" s="241"/>
      <c r="AV425" s="241"/>
      <c r="AW425" s="241"/>
      <c r="AX425" s="241"/>
      <c r="AY425" s="241"/>
      <c r="AZ425" s="241"/>
    </row>
    <row r="426" spans="1:52" s="71" customFormat="1" ht="15" hidden="1" customHeight="1" outlineLevel="2">
      <c r="A426" s="288">
        <v>35</v>
      </c>
      <c r="B426" s="97"/>
      <c r="C426" s="296"/>
      <c r="D426" s="379"/>
      <c r="E426" s="380"/>
      <c r="F426" s="230"/>
      <c r="G426" s="291"/>
      <c r="H426" s="285"/>
      <c r="I426" s="225" t="str">
        <f t="shared" si="84"/>
        <v/>
      </c>
      <c r="J426" s="225" t="str">
        <f t="shared" si="85"/>
        <v/>
      </c>
      <c r="K426" s="231" t="str">
        <f t="shared" si="86"/>
        <v/>
      </c>
      <c r="L426" s="176"/>
      <c r="M426" s="241"/>
      <c r="N426" s="241"/>
      <c r="O426" s="241"/>
      <c r="P426" s="241"/>
      <c r="Q426" s="241"/>
      <c r="R426" s="241"/>
      <c r="S426" s="241"/>
      <c r="T426" s="241"/>
      <c r="U426" s="241"/>
      <c r="V426" s="241"/>
      <c r="W426" s="241"/>
      <c r="X426" s="241"/>
      <c r="Y426" s="241"/>
      <c r="Z426" s="241"/>
      <c r="AA426" s="241"/>
      <c r="AB426" s="241"/>
      <c r="AC426" s="241"/>
      <c r="AD426" s="241"/>
      <c r="AE426" s="241"/>
      <c r="AF426" s="241"/>
      <c r="AG426" s="241"/>
      <c r="AH426" s="241"/>
      <c r="AI426" s="241"/>
      <c r="AJ426" s="241"/>
      <c r="AK426" s="241"/>
      <c r="AL426" s="241"/>
      <c r="AM426" s="241"/>
      <c r="AN426" s="241"/>
      <c r="AO426" s="241"/>
      <c r="AP426" s="241"/>
      <c r="AQ426" s="241"/>
      <c r="AR426" s="241"/>
      <c r="AS426" s="241"/>
      <c r="AT426" s="241"/>
      <c r="AU426" s="241"/>
      <c r="AV426" s="241"/>
      <c r="AW426" s="241"/>
      <c r="AX426" s="241"/>
      <c r="AY426" s="241"/>
      <c r="AZ426" s="241"/>
    </row>
    <row r="427" spans="1:52" s="71" customFormat="1" ht="15" hidden="1" customHeight="1" outlineLevel="2">
      <c r="A427" s="288">
        <v>36</v>
      </c>
      <c r="B427" s="97"/>
      <c r="C427" s="296"/>
      <c r="D427" s="379"/>
      <c r="E427" s="380"/>
      <c r="F427" s="230"/>
      <c r="G427" s="291"/>
      <c r="H427" s="285"/>
      <c r="I427" s="225" t="str">
        <f t="shared" si="84"/>
        <v/>
      </c>
      <c r="J427" s="225" t="str">
        <f t="shared" si="85"/>
        <v/>
      </c>
      <c r="K427" s="231" t="str">
        <f t="shared" si="86"/>
        <v/>
      </c>
      <c r="L427" s="176"/>
      <c r="M427" s="241"/>
      <c r="N427" s="241"/>
      <c r="O427" s="241"/>
      <c r="P427" s="241"/>
      <c r="Q427" s="241"/>
      <c r="R427" s="241"/>
      <c r="S427" s="241"/>
      <c r="T427" s="241"/>
      <c r="U427" s="241"/>
      <c r="V427" s="241"/>
      <c r="W427" s="241"/>
      <c r="X427" s="241"/>
      <c r="Y427" s="241"/>
      <c r="Z427" s="241"/>
      <c r="AA427" s="241"/>
      <c r="AB427" s="241"/>
      <c r="AC427" s="241"/>
      <c r="AD427" s="241"/>
      <c r="AE427" s="241"/>
      <c r="AF427" s="241"/>
      <c r="AG427" s="241"/>
      <c r="AH427" s="241"/>
      <c r="AI427" s="241"/>
      <c r="AJ427" s="241"/>
      <c r="AK427" s="241"/>
      <c r="AL427" s="241"/>
      <c r="AM427" s="241"/>
      <c r="AN427" s="241"/>
      <c r="AO427" s="241"/>
      <c r="AP427" s="241"/>
      <c r="AQ427" s="241"/>
      <c r="AR427" s="241"/>
      <c r="AS427" s="241"/>
      <c r="AT427" s="241"/>
      <c r="AU427" s="241"/>
      <c r="AV427" s="241"/>
      <c r="AW427" s="241"/>
      <c r="AX427" s="241"/>
      <c r="AY427" s="241"/>
      <c r="AZ427" s="241"/>
    </row>
    <row r="428" spans="1:52" s="71" customFormat="1" ht="15" hidden="1" customHeight="1" outlineLevel="2">
      <c r="A428" s="288">
        <v>37</v>
      </c>
      <c r="B428" s="97"/>
      <c r="C428" s="296"/>
      <c r="D428" s="379"/>
      <c r="E428" s="380"/>
      <c r="F428" s="230"/>
      <c r="G428" s="291"/>
      <c r="H428" s="285"/>
      <c r="I428" s="225" t="str">
        <f t="shared" si="84"/>
        <v/>
      </c>
      <c r="J428" s="225" t="str">
        <f t="shared" si="85"/>
        <v/>
      </c>
      <c r="K428" s="231" t="str">
        <f t="shared" si="86"/>
        <v/>
      </c>
      <c r="L428" s="176"/>
      <c r="M428" s="241"/>
      <c r="N428" s="241"/>
      <c r="O428" s="241"/>
      <c r="P428" s="241"/>
      <c r="Q428" s="241"/>
      <c r="R428" s="241"/>
      <c r="S428" s="241"/>
      <c r="T428" s="241"/>
      <c r="U428" s="241"/>
      <c r="V428" s="241"/>
      <c r="W428" s="241"/>
      <c r="X428" s="241"/>
      <c r="Y428" s="241"/>
      <c r="Z428" s="241"/>
      <c r="AA428" s="241"/>
      <c r="AB428" s="241"/>
      <c r="AC428" s="241"/>
      <c r="AD428" s="241"/>
      <c r="AE428" s="241"/>
      <c r="AF428" s="241"/>
      <c r="AG428" s="241"/>
      <c r="AH428" s="241"/>
      <c r="AI428" s="241"/>
      <c r="AJ428" s="241"/>
      <c r="AK428" s="241"/>
      <c r="AL428" s="241"/>
      <c r="AM428" s="241"/>
      <c r="AN428" s="241"/>
      <c r="AO428" s="241"/>
      <c r="AP428" s="241"/>
      <c r="AQ428" s="241"/>
      <c r="AR428" s="241"/>
      <c r="AS428" s="241"/>
      <c r="AT428" s="241"/>
      <c r="AU428" s="241"/>
      <c r="AV428" s="241"/>
      <c r="AW428" s="241"/>
      <c r="AX428" s="241"/>
      <c r="AY428" s="241"/>
      <c r="AZ428" s="241"/>
    </row>
    <row r="429" spans="1:52" s="71" customFormat="1" ht="15" hidden="1" customHeight="1" outlineLevel="2">
      <c r="A429" s="288">
        <v>38</v>
      </c>
      <c r="B429" s="97"/>
      <c r="C429" s="296"/>
      <c r="D429" s="379"/>
      <c r="E429" s="380"/>
      <c r="F429" s="230"/>
      <c r="G429" s="291"/>
      <c r="H429" s="285"/>
      <c r="I429" s="225" t="str">
        <f t="shared" si="84"/>
        <v/>
      </c>
      <c r="J429" s="225" t="str">
        <f t="shared" si="85"/>
        <v/>
      </c>
      <c r="K429" s="231" t="str">
        <f t="shared" si="86"/>
        <v/>
      </c>
      <c r="L429" s="176"/>
      <c r="M429" s="241"/>
      <c r="N429" s="241"/>
      <c r="O429" s="241"/>
      <c r="P429" s="241"/>
      <c r="Q429" s="241"/>
      <c r="R429" s="241"/>
      <c r="S429" s="241"/>
      <c r="T429" s="241"/>
      <c r="U429" s="241"/>
      <c r="V429" s="241"/>
      <c r="W429" s="241"/>
      <c r="X429" s="241"/>
      <c r="Y429" s="241"/>
      <c r="Z429" s="241"/>
      <c r="AA429" s="241"/>
      <c r="AB429" s="241"/>
      <c r="AC429" s="241"/>
      <c r="AD429" s="241"/>
      <c r="AE429" s="241"/>
      <c r="AF429" s="241"/>
      <c r="AG429" s="241"/>
      <c r="AH429" s="241"/>
      <c r="AI429" s="241"/>
      <c r="AJ429" s="241"/>
      <c r="AK429" s="241"/>
      <c r="AL429" s="241"/>
      <c r="AM429" s="241"/>
      <c r="AN429" s="241"/>
      <c r="AO429" s="241"/>
      <c r="AP429" s="241"/>
      <c r="AQ429" s="241"/>
      <c r="AR429" s="241"/>
      <c r="AS429" s="241"/>
      <c r="AT429" s="241"/>
      <c r="AU429" s="241"/>
      <c r="AV429" s="241"/>
      <c r="AW429" s="241"/>
      <c r="AX429" s="241"/>
      <c r="AY429" s="241"/>
      <c r="AZ429" s="241"/>
    </row>
    <row r="430" spans="1:52" s="71" customFormat="1" ht="15" hidden="1" customHeight="1" outlineLevel="2">
      <c r="A430" s="288">
        <v>39</v>
      </c>
      <c r="B430" s="97"/>
      <c r="C430" s="296"/>
      <c r="D430" s="379"/>
      <c r="E430" s="380"/>
      <c r="F430" s="230"/>
      <c r="G430" s="291"/>
      <c r="H430" s="285"/>
      <c r="I430" s="225" t="str">
        <f t="shared" si="84"/>
        <v/>
      </c>
      <c r="J430" s="225" t="str">
        <f t="shared" si="85"/>
        <v/>
      </c>
      <c r="K430" s="231" t="str">
        <f t="shared" si="86"/>
        <v/>
      </c>
      <c r="L430" s="176"/>
      <c r="M430" s="241"/>
      <c r="N430" s="241"/>
      <c r="O430" s="241"/>
      <c r="P430" s="241"/>
      <c r="Q430" s="241"/>
      <c r="R430" s="241"/>
      <c r="S430" s="241"/>
      <c r="T430" s="241"/>
      <c r="U430" s="241"/>
      <c r="V430" s="241"/>
      <c r="W430" s="241"/>
      <c r="X430" s="241"/>
      <c r="Y430" s="241"/>
      <c r="Z430" s="241"/>
      <c r="AA430" s="241"/>
      <c r="AB430" s="241"/>
      <c r="AC430" s="241"/>
      <c r="AD430" s="241"/>
      <c r="AE430" s="241"/>
      <c r="AF430" s="241"/>
      <c r="AG430" s="241"/>
      <c r="AH430" s="241"/>
      <c r="AI430" s="241"/>
      <c r="AJ430" s="241"/>
      <c r="AK430" s="241"/>
      <c r="AL430" s="241"/>
      <c r="AM430" s="241"/>
      <c r="AN430" s="241"/>
      <c r="AO430" s="241"/>
      <c r="AP430" s="241"/>
      <c r="AQ430" s="241"/>
      <c r="AR430" s="241"/>
      <c r="AS430" s="241"/>
      <c r="AT430" s="241"/>
      <c r="AU430" s="241"/>
      <c r="AV430" s="241"/>
      <c r="AW430" s="241"/>
      <c r="AX430" s="241"/>
      <c r="AY430" s="241"/>
      <c r="AZ430" s="241"/>
    </row>
    <row r="431" spans="1:52" s="71" customFormat="1" ht="15" hidden="1" customHeight="1" outlineLevel="2">
      <c r="A431" s="288">
        <v>40</v>
      </c>
      <c r="B431" s="97"/>
      <c r="C431" s="296"/>
      <c r="D431" s="379"/>
      <c r="E431" s="380"/>
      <c r="F431" s="230"/>
      <c r="G431" s="291"/>
      <c r="H431" s="285"/>
      <c r="I431" s="225" t="str">
        <f t="shared" si="84"/>
        <v/>
      </c>
      <c r="J431" s="225" t="str">
        <f t="shared" si="85"/>
        <v/>
      </c>
      <c r="K431" s="231" t="str">
        <f t="shared" si="86"/>
        <v/>
      </c>
      <c r="L431" s="176"/>
      <c r="M431" s="241"/>
      <c r="N431" s="241"/>
      <c r="O431" s="241"/>
      <c r="P431" s="241"/>
      <c r="Q431" s="241"/>
      <c r="R431" s="241"/>
      <c r="S431" s="241"/>
      <c r="T431" s="241"/>
      <c r="U431" s="241"/>
      <c r="V431" s="241"/>
      <c r="W431" s="241"/>
      <c r="X431" s="241"/>
      <c r="Y431" s="241"/>
      <c r="Z431" s="241"/>
      <c r="AA431" s="241"/>
      <c r="AB431" s="241"/>
      <c r="AC431" s="241"/>
      <c r="AD431" s="241"/>
      <c r="AE431" s="241"/>
      <c r="AF431" s="241"/>
      <c r="AG431" s="241"/>
      <c r="AH431" s="241"/>
      <c r="AI431" s="241"/>
      <c r="AJ431" s="241"/>
      <c r="AK431" s="241"/>
      <c r="AL431" s="241"/>
      <c r="AM431" s="241"/>
      <c r="AN431" s="241"/>
      <c r="AO431" s="241"/>
      <c r="AP431" s="241"/>
      <c r="AQ431" s="241"/>
      <c r="AR431" s="241"/>
      <c r="AS431" s="241"/>
      <c r="AT431" s="241"/>
      <c r="AU431" s="241"/>
      <c r="AV431" s="241"/>
      <c r="AW431" s="241"/>
      <c r="AX431" s="241"/>
      <c r="AY431" s="241"/>
      <c r="AZ431" s="241"/>
    </row>
    <row r="432" spans="1:52" s="71" customFormat="1" ht="15" hidden="1" customHeight="1" outlineLevel="2">
      <c r="A432" s="288">
        <v>41</v>
      </c>
      <c r="B432" s="97"/>
      <c r="C432" s="296"/>
      <c r="D432" s="379"/>
      <c r="E432" s="380"/>
      <c r="F432" s="230"/>
      <c r="G432" s="291"/>
      <c r="H432" s="285"/>
      <c r="I432" s="225" t="str">
        <f t="shared" si="84"/>
        <v/>
      </c>
      <c r="J432" s="225" t="str">
        <f t="shared" si="85"/>
        <v/>
      </c>
      <c r="K432" s="231" t="str">
        <f t="shared" si="86"/>
        <v/>
      </c>
      <c r="L432" s="176"/>
      <c r="M432" s="241"/>
      <c r="N432" s="241"/>
      <c r="O432" s="241"/>
      <c r="P432" s="241"/>
      <c r="Q432" s="241"/>
      <c r="R432" s="241"/>
      <c r="S432" s="241"/>
      <c r="T432" s="241"/>
      <c r="U432" s="241"/>
      <c r="V432" s="241"/>
      <c r="W432" s="241"/>
      <c r="X432" s="241"/>
      <c r="Y432" s="241"/>
      <c r="Z432" s="241"/>
      <c r="AA432" s="241"/>
      <c r="AB432" s="241"/>
      <c r="AC432" s="241"/>
      <c r="AD432" s="241"/>
      <c r="AE432" s="241"/>
      <c r="AF432" s="241"/>
      <c r="AG432" s="241"/>
      <c r="AH432" s="241"/>
      <c r="AI432" s="241"/>
      <c r="AJ432" s="241"/>
      <c r="AK432" s="241"/>
      <c r="AL432" s="241"/>
      <c r="AM432" s="241"/>
      <c r="AN432" s="241"/>
      <c r="AO432" s="241"/>
      <c r="AP432" s="241"/>
      <c r="AQ432" s="241"/>
      <c r="AR432" s="241"/>
      <c r="AS432" s="241"/>
      <c r="AT432" s="241"/>
      <c r="AU432" s="241"/>
      <c r="AV432" s="241"/>
      <c r="AW432" s="241"/>
      <c r="AX432" s="241"/>
      <c r="AY432" s="241"/>
      <c r="AZ432" s="241"/>
    </row>
    <row r="433" spans="1:52" s="71" customFormat="1" ht="15" hidden="1" customHeight="1" outlineLevel="2">
      <c r="A433" s="288">
        <v>42</v>
      </c>
      <c r="B433" s="97"/>
      <c r="C433" s="296"/>
      <c r="D433" s="379"/>
      <c r="E433" s="380"/>
      <c r="F433" s="230"/>
      <c r="G433" s="291"/>
      <c r="H433" s="285"/>
      <c r="I433" s="225" t="str">
        <f t="shared" si="84"/>
        <v/>
      </c>
      <c r="J433" s="225" t="str">
        <f t="shared" si="85"/>
        <v/>
      </c>
      <c r="K433" s="231" t="str">
        <f t="shared" si="86"/>
        <v/>
      </c>
      <c r="L433" s="176"/>
      <c r="M433" s="241"/>
      <c r="N433" s="241"/>
      <c r="O433" s="241"/>
      <c r="P433" s="241"/>
      <c r="Q433" s="241"/>
      <c r="R433" s="241"/>
      <c r="S433" s="241"/>
      <c r="T433" s="241"/>
      <c r="U433" s="241"/>
      <c r="V433" s="241"/>
      <c r="W433" s="241"/>
      <c r="X433" s="241"/>
      <c r="Y433" s="241"/>
      <c r="Z433" s="241"/>
      <c r="AA433" s="241"/>
      <c r="AB433" s="241"/>
      <c r="AC433" s="241"/>
      <c r="AD433" s="241"/>
      <c r="AE433" s="241"/>
      <c r="AF433" s="241"/>
      <c r="AG433" s="241"/>
      <c r="AH433" s="241"/>
      <c r="AI433" s="241"/>
      <c r="AJ433" s="241"/>
      <c r="AK433" s="241"/>
      <c r="AL433" s="241"/>
      <c r="AM433" s="241"/>
      <c r="AN433" s="241"/>
      <c r="AO433" s="241"/>
      <c r="AP433" s="241"/>
      <c r="AQ433" s="241"/>
      <c r="AR433" s="241"/>
      <c r="AS433" s="241"/>
      <c r="AT433" s="241"/>
      <c r="AU433" s="241"/>
      <c r="AV433" s="241"/>
      <c r="AW433" s="241"/>
      <c r="AX433" s="241"/>
      <c r="AY433" s="241"/>
      <c r="AZ433" s="241"/>
    </row>
    <row r="434" spans="1:52" s="71" customFormat="1" ht="15" hidden="1" customHeight="1" outlineLevel="2">
      <c r="A434" s="288">
        <v>43</v>
      </c>
      <c r="B434" s="97"/>
      <c r="C434" s="296"/>
      <c r="D434" s="379"/>
      <c r="E434" s="380"/>
      <c r="F434" s="230"/>
      <c r="G434" s="291"/>
      <c r="H434" s="285"/>
      <c r="I434" s="225" t="str">
        <f t="shared" si="84"/>
        <v/>
      </c>
      <c r="J434" s="225" t="str">
        <f t="shared" si="85"/>
        <v/>
      </c>
      <c r="K434" s="231" t="str">
        <f t="shared" si="86"/>
        <v/>
      </c>
      <c r="L434" s="176"/>
      <c r="M434" s="241"/>
      <c r="N434" s="241"/>
      <c r="O434" s="241"/>
      <c r="P434" s="241"/>
      <c r="Q434" s="241"/>
      <c r="R434" s="241"/>
      <c r="S434" s="241"/>
      <c r="T434" s="241"/>
      <c r="U434" s="241"/>
      <c r="V434" s="241"/>
      <c r="W434" s="241"/>
      <c r="X434" s="241"/>
      <c r="Y434" s="241"/>
      <c r="Z434" s="241"/>
      <c r="AA434" s="241"/>
      <c r="AB434" s="241"/>
      <c r="AC434" s="241"/>
      <c r="AD434" s="241"/>
      <c r="AE434" s="241"/>
      <c r="AF434" s="241"/>
      <c r="AG434" s="241"/>
      <c r="AH434" s="241"/>
      <c r="AI434" s="241"/>
      <c r="AJ434" s="241"/>
      <c r="AK434" s="241"/>
      <c r="AL434" s="241"/>
      <c r="AM434" s="241"/>
      <c r="AN434" s="241"/>
      <c r="AO434" s="241"/>
      <c r="AP434" s="241"/>
      <c r="AQ434" s="241"/>
      <c r="AR434" s="241"/>
      <c r="AS434" s="241"/>
      <c r="AT434" s="241"/>
      <c r="AU434" s="241"/>
      <c r="AV434" s="241"/>
      <c r="AW434" s="241"/>
      <c r="AX434" s="241"/>
      <c r="AY434" s="241"/>
      <c r="AZ434" s="241"/>
    </row>
    <row r="435" spans="1:52" s="71" customFormat="1" ht="15" hidden="1" customHeight="1" outlineLevel="2">
      <c r="A435" s="288">
        <v>44</v>
      </c>
      <c r="B435" s="97"/>
      <c r="C435" s="296"/>
      <c r="D435" s="379"/>
      <c r="E435" s="380"/>
      <c r="F435" s="230"/>
      <c r="G435" s="291"/>
      <c r="H435" s="285"/>
      <c r="I435" s="225" t="str">
        <f t="shared" si="84"/>
        <v/>
      </c>
      <c r="J435" s="225" t="str">
        <f t="shared" si="85"/>
        <v/>
      </c>
      <c r="K435" s="231" t="str">
        <f t="shared" si="86"/>
        <v/>
      </c>
      <c r="L435" s="176"/>
      <c r="M435" s="241"/>
      <c r="N435" s="241"/>
      <c r="O435" s="241"/>
      <c r="P435" s="241"/>
      <c r="Q435" s="241"/>
      <c r="R435" s="241"/>
      <c r="S435" s="241"/>
      <c r="T435" s="241"/>
      <c r="U435" s="241"/>
      <c r="V435" s="241"/>
      <c r="W435" s="241"/>
      <c r="X435" s="241"/>
      <c r="Y435" s="241"/>
      <c r="Z435" s="241"/>
      <c r="AA435" s="241"/>
      <c r="AB435" s="241"/>
      <c r="AC435" s="241"/>
      <c r="AD435" s="241"/>
      <c r="AE435" s="241"/>
      <c r="AF435" s="241"/>
      <c r="AG435" s="241"/>
      <c r="AH435" s="241"/>
      <c r="AI435" s="241"/>
      <c r="AJ435" s="241"/>
      <c r="AK435" s="241"/>
      <c r="AL435" s="241"/>
      <c r="AM435" s="241"/>
      <c r="AN435" s="241"/>
      <c r="AO435" s="241"/>
      <c r="AP435" s="241"/>
      <c r="AQ435" s="241"/>
      <c r="AR435" s="241"/>
      <c r="AS435" s="241"/>
      <c r="AT435" s="241"/>
      <c r="AU435" s="241"/>
      <c r="AV435" s="241"/>
      <c r="AW435" s="241"/>
      <c r="AX435" s="241"/>
      <c r="AY435" s="241"/>
      <c r="AZ435" s="241"/>
    </row>
    <row r="436" spans="1:52" s="71" customFormat="1" ht="15" hidden="1" customHeight="1" outlineLevel="2">
      <c r="A436" s="288">
        <v>45</v>
      </c>
      <c r="B436" s="97"/>
      <c r="C436" s="296"/>
      <c r="D436" s="379"/>
      <c r="E436" s="380"/>
      <c r="F436" s="230"/>
      <c r="G436" s="291"/>
      <c r="H436" s="285"/>
      <c r="I436" s="225" t="str">
        <f t="shared" si="84"/>
        <v/>
      </c>
      <c r="J436" s="225" t="str">
        <f t="shared" si="85"/>
        <v/>
      </c>
      <c r="K436" s="231" t="str">
        <f t="shared" si="86"/>
        <v/>
      </c>
      <c r="L436" s="176"/>
      <c r="M436" s="241"/>
      <c r="N436" s="241"/>
      <c r="O436" s="241"/>
      <c r="P436" s="241"/>
      <c r="Q436" s="241"/>
      <c r="R436" s="241"/>
      <c r="S436" s="241"/>
      <c r="T436" s="241"/>
      <c r="U436" s="241"/>
      <c r="V436" s="241"/>
      <c r="W436" s="241"/>
      <c r="X436" s="241"/>
      <c r="Y436" s="241"/>
      <c r="Z436" s="241"/>
      <c r="AA436" s="241"/>
      <c r="AB436" s="241"/>
      <c r="AC436" s="241"/>
      <c r="AD436" s="241"/>
      <c r="AE436" s="241"/>
      <c r="AF436" s="241"/>
      <c r="AG436" s="241"/>
      <c r="AH436" s="241"/>
      <c r="AI436" s="241"/>
      <c r="AJ436" s="241"/>
      <c r="AK436" s="241"/>
      <c r="AL436" s="241"/>
      <c r="AM436" s="241"/>
      <c r="AN436" s="241"/>
      <c r="AO436" s="241"/>
      <c r="AP436" s="241"/>
      <c r="AQ436" s="241"/>
      <c r="AR436" s="241"/>
      <c r="AS436" s="241"/>
      <c r="AT436" s="241"/>
      <c r="AU436" s="241"/>
      <c r="AV436" s="241"/>
      <c r="AW436" s="241"/>
      <c r="AX436" s="241"/>
      <c r="AY436" s="241"/>
      <c r="AZ436" s="241"/>
    </row>
    <row r="437" spans="1:52" s="71" customFormat="1" ht="15" hidden="1" customHeight="1" outlineLevel="2">
      <c r="A437" s="288">
        <v>46</v>
      </c>
      <c r="B437" s="97"/>
      <c r="C437" s="296"/>
      <c r="D437" s="379"/>
      <c r="E437" s="380"/>
      <c r="F437" s="230"/>
      <c r="G437" s="291"/>
      <c r="H437" s="285"/>
      <c r="I437" s="225" t="str">
        <f t="shared" si="84"/>
        <v/>
      </c>
      <c r="J437" s="225" t="str">
        <f t="shared" si="85"/>
        <v/>
      </c>
      <c r="K437" s="231" t="str">
        <f t="shared" si="86"/>
        <v/>
      </c>
      <c r="L437" s="176"/>
      <c r="M437" s="241"/>
      <c r="N437" s="241"/>
      <c r="O437" s="241"/>
      <c r="P437" s="241"/>
      <c r="Q437" s="241"/>
      <c r="R437" s="241"/>
      <c r="S437" s="241"/>
      <c r="T437" s="241"/>
      <c r="U437" s="241"/>
      <c r="V437" s="241"/>
      <c r="W437" s="241"/>
      <c r="X437" s="241"/>
      <c r="Y437" s="241"/>
      <c r="Z437" s="241"/>
      <c r="AA437" s="241"/>
      <c r="AB437" s="241"/>
      <c r="AC437" s="241"/>
      <c r="AD437" s="241"/>
      <c r="AE437" s="241"/>
      <c r="AF437" s="241"/>
      <c r="AG437" s="241"/>
      <c r="AH437" s="241"/>
      <c r="AI437" s="241"/>
      <c r="AJ437" s="241"/>
      <c r="AK437" s="241"/>
      <c r="AL437" s="241"/>
      <c r="AM437" s="241"/>
      <c r="AN437" s="241"/>
      <c r="AO437" s="241"/>
      <c r="AP437" s="241"/>
      <c r="AQ437" s="241"/>
      <c r="AR437" s="241"/>
      <c r="AS437" s="241"/>
      <c r="AT437" s="241"/>
      <c r="AU437" s="241"/>
      <c r="AV437" s="241"/>
      <c r="AW437" s="241"/>
      <c r="AX437" s="241"/>
      <c r="AY437" s="241"/>
      <c r="AZ437" s="241"/>
    </row>
    <row r="438" spans="1:52" s="71" customFormat="1" ht="15" hidden="1" customHeight="1" outlineLevel="2">
      <c r="A438" s="288">
        <v>47</v>
      </c>
      <c r="B438" s="97"/>
      <c r="C438" s="296"/>
      <c r="D438" s="379"/>
      <c r="E438" s="380"/>
      <c r="F438" s="230"/>
      <c r="G438" s="291"/>
      <c r="H438" s="285"/>
      <c r="I438" s="225" t="str">
        <f t="shared" si="84"/>
        <v/>
      </c>
      <c r="J438" s="225" t="str">
        <f t="shared" si="85"/>
        <v/>
      </c>
      <c r="K438" s="231" t="str">
        <f t="shared" si="86"/>
        <v/>
      </c>
      <c r="L438" s="176"/>
      <c r="M438" s="241"/>
      <c r="N438" s="241"/>
      <c r="O438" s="241"/>
      <c r="P438" s="241"/>
      <c r="Q438" s="241"/>
      <c r="R438" s="241"/>
      <c r="S438" s="241"/>
      <c r="T438" s="241"/>
      <c r="U438" s="241"/>
      <c r="V438" s="241"/>
      <c r="W438" s="241"/>
      <c r="X438" s="241"/>
      <c r="Y438" s="241"/>
      <c r="Z438" s="241"/>
      <c r="AA438" s="241"/>
      <c r="AB438" s="241"/>
      <c r="AC438" s="241"/>
      <c r="AD438" s="241"/>
      <c r="AE438" s="241"/>
      <c r="AF438" s="241"/>
      <c r="AG438" s="241"/>
      <c r="AH438" s="241"/>
      <c r="AI438" s="241"/>
      <c r="AJ438" s="241"/>
      <c r="AK438" s="241"/>
      <c r="AL438" s="241"/>
      <c r="AM438" s="241"/>
      <c r="AN438" s="241"/>
      <c r="AO438" s="241"/>
      <c r="AP438" s="241"/>
      <c r="AQ438" s="241"/>
      <c r="AR438" s="241"/>
      <c r="AS438" s="241"/>
      <c r="AT438" s="241"/>
      <c r="AU438" s="241"/>
      <c r="AV438" s="241"/>
      <c r="AW438" s="241"/>
      <c r="AX438" s="241"/>
      <c r="AY438" s="241"/>
      <c r="AZ438" s="241"/>
    </row>
    <row r="439" spans="1:52" s="71" customFormat="1" ht="15" hidden="1" customHeight="1" outlineLevel="2">
      <c r="A439" s="288">
        <v>48</v>
      </c>
      <c r="B439" s="97"/>
      <c r="C439" s="296"/>
      <c r="D439" s="379"/>
      <c r="E439" s="380"/>
      <c r="F439" s="230"/>
      <c r="G439" s="291"/>
      <c r="H439" s="285"/>
      <c r="I439" s="225" t="str">
        <f t="shared" si="84"/>
        <v/>
      </c>
      <c r="J439" s="225" t="str">
        <f t="shared" si="85"/>
        <v/>
      </c>
      <c r="K439" s="231" t="str">
        <f t="shared" si="86"/>
        <v/>
      </c>
      <c r="L439" s="176"/>
      <c r="M439" s="241"/>
      <c r="N439" s="241"/>
      <c r="O439" s="241"/>
      <c r="P439" s="241"/>
      <c r="Q439" s="241"/>
      <c r="R439" s="241"/>
      <c r="S439" s="241"/>
      <c r="T439" s="241"/>
      <c r="U439" s="241"/>
      <c r="V439" s="241"/>
      <c r="W439" s="241"/>
      <c r="X439" s="241"/>
      <c r="Y439" s="241"/>
      <c r="Z439" s="241"/>
      <c r="AA439" s="241"/>
      <c r="AB439" s="241"/>
      <c r="AC439" s="241"/>
      <c r="AD439" s="241"/>
      <c r="AE439" s="241"/>
      <c r="AF439" s="241"/>
      <c r="AG439" s="241"/>
      <c r="AH439" s="241"/>
      <c r="AI439" s="241"/>
      <c r="AJ439" s="241"/>
      <c r="AK439" s="241"/>
      <c r="AL439" s="241"/>
      <c r="AM439" s="241"/>
      <c r="AN439" s="241"/>
      <c r="AO439" s="241"/>
      <c r="AP439" s="241"/>
      <c r="AQ439" s="241"/>
      <c r="AR439" s="241"/>
      <c r="AS439" s="241"/>
      <c r="AT439" s="241"/>
      <c r="AU439" s="241"/>
      <c r="AV439" s="241"/>
      <c r="AW439" s="241"/>
      <c r="AX439" s="241"/>
      <c r="AY439" s="241"/>
      <c r="AZ439" s="241"/>
    </row>
    <row r="440" spans="1:52" s="71" customFormat="1" ht="15" hidden="1" customHeight="1" outlineLevel="2">
      <c r="A440" s="288">
        <v>49</v>
      </c>
      <c r="B440" s="97"/>
      <c r="C440" s="296"/>
      <c r="D440" s="379"/>
      <c r="E440" s="380"/>
      <c r="F440" s="230"/>
      <c r="G440" s="291"/>
      <c r="H440" s="285"/>
      <c r="I440" s="225" t="str">
        <f t="shared" si="84"/>
        <v/>
      </c>
      <c r="J440" s="225" t="str">
        <f t="shared" si="85"/>
        <v/>
      </c>
      <c r="K440" s="231" t="str">
        <f t="shared" si="86"/>
        <v/>
      </c>
      <c r="L440" s="176"/>
      <c r="M440" s="241"/>
      <c r="N440" s="241"/>
      <c r="O440" s="241"/>
      <c r="P440" s="241"/>
      <c r="Q440" s="241"/>
      <c r="R440" s="241"/>
      <c r="S440" s="241"/>
      <c r="T440" s="241"/>
      <c r="U440" s="241"/>
      <c r="V440" s="241"/>
      <c r="W440" s="241"/>
      <c r="X440" s="241"/>
      <c r="Y440" s="241"/>
      <c r="Z440" s="241"/>
      <c r="AA440" s="241"/>
      <c r="AB440" s="241"/>
      <c r="AC440" s="241"/>
      <c r="AD440" s="241"/>
      <c r="AE440" s="241"/>
      <c r="AF440" s="241"/>
      <c r="AG440" s="241"/>
      <c r="AH440" s="241"/>
      <c r="AI440" s="241"/>
      <c r="AJ440" s="241"/>
      <c r="AK440" s="241"/>
      <c r="AL440" s="241"/>
      <c r="AM440" s="241"/>
      <c r="AN440" s="241"/>
      <c r="AO440" s="241"/>
      <c r="AP440" s="241"/>
      <c r="AQ440" s="241"/>
      <c r="AR440" s="241"/>
      <c r="AS440" s="241"/>
      <c r="AT440" s="241"/>
      <c r="AU440" s="241"/>
      <c r="AV440" s="241"/>
      <c r="AW440" s="241"/>
      <c r="AX440" s="241"/>
      <c r="AY440" s="241"/>
      <c r="AZ440" s="241"/>
    </row>
    <row r="441" spans="1:52" s="71" customFormat="1" ht="15" hidden="1" customHeight="1" outlineLevel="2">
      <c r="A441" s="288">
        <v>50</v>
      </c>
      <c r="B441" s="97"/>
      <c r="C441" s="296"/>
      <c r="D441" s="379"/>
      <c r="E441" s="380"/>
      <c r="F441" s="230"/>
      <c r="G441" s="291"/>
      <c r="H441" s="285"/>
      <c r="I441" s="225" t="str">
        <f t="shared" si="84"/>
        <v/>
      </c>
      <c r="J441" s="225" t="str">
        <f t="shared" si="85"/>
        <v/>
      </c>
      <c r="K441" s="231" t="str">
        <f t="shared" si="86"/>
        <v/>
      </c>
      <c r="L441" s="176"/>
      <c r="M441" s="241"/>
      <c r="N441" s="241"/>
      <c r="O441" s="241"/>
      <c r="P441" s="241"/>
      <c r="Q441" s="241"/>
      <c r="R441" s="241"/>
      <c r="S441" s="241"/>
      <c r="T441" s="241"/>
      <c r="U441" s="241"/>
      <c r="V441" s="241"/>
      <c r="W441" s="241"/>
      <c r="X441" s="241"/>
      <c r="Y441" s="241"/>
      <c r="Z441" s="241"/>
      <c r="AA441" s="241"/>
      <c r="AB441" s="241"/>
      <c r="AC441" s="241"/>
      <c r="AD441" s="241"/>
      <c r="AE441" s="241"/>
      <c r="AF441" s="241"/>
      <c r="AG441" s="241"/>
      <c r="AH441" s="241"/>
      <c r="AI441" s="241"/>
      <c r="AJ441" s="241"/>
      <c r="AK441" s="241"/>
      <c r="AL441" s="241"/>
      <c r="AM441" s="241"/>
      <c r="AN441" s="241"/>
      <c r="AO441" s="241"/>
      <c r="AP441" s="241"/>
      <c r="AQ441" s="241"/>
      <c r="AR441" s="241"/>
      <c r="AS441" s="241"/>
      <c r="AT441" s="241"/>
      <c r="AU441" s="241"/>
      <c r="AV441" s="241"/>
      <c r="AW441" s="241"/>
      <c r="AX441" s="241"/>
      <c r="AY441" s="241"/>
      <c r="AZ441" s="241"/>
    </row>
    <row r="442" spans="1:52" s="71" customFormat="1" ht="15" hidden="1" customHeight="1" outlineLevel="1" collapsed="1">
      <c r="A442" s="288">
        <v>51</v>
      </c>
      <c r="B442" s="97"/>
      <c r="C442" s="296"/>
      <c r="D442" s="379"/>
      <c r="E442" s="380"/>
      <c r="F442" s="230"/>
      <c r="G442" s="291"/>
      <c r="H442" s="285"/>
      <c r="I442" s="225" t="str">
        <f t="shared" si="84"/>
        <v/>
      </c>
      <c r="J442" s="225" t="str">
        <f t="shared" si="85"/>
        <v/>
      </c>
      <c r="K442" s="231" t="str">
        <f t="shared" si="86"/>
        <v/>
      </c>
      <c r="L442" s="176" t="s">
        <v>165</v>
      </c>
      <c r="M442" s="241"/>
      <c r="N442" s="241"/>
      <c r="O442" s="241"/>
      <c r="P442" s="241"/>
      <c r="Q442" s="241"/>
      <c r="R442" s="241"/>
      <c r="S442" s="241"/>
      <c r="T442" s="241"/>
      <c r="U442" s="241"/>
      <c r="V442" s="241"/>
      <c r="W442" s="241"/>
      <c r="X442" s="241"/>
      <c r="Y442" s="241"/>
      <c r="Z442" s="241"/>
      <c r="AA442" s="241"/>
      <c r="AB442" s="241"/>
      <c r="AC442" s="241"/>
      <c r="AD442" s="241"/>
      <c r="AE442" s="241"/>
      <c r="AF442" s="241"/>
      <c r="AG442" s="241"/>
      <c r="AH442" s="241"/>
      <c r="AI442" s="241"/>
      <c r="AJ442" s="241"/>
      <c r="AK442" s="241"/>
      <c r="AL442" s="241"/>
      <c r="AM442" s="241"/>
      <c r="AN442" s="241"/>
      <c r="AO442" s="241"/>
      <c r="AP442" s="241"/>
      <c r="AQ442" s="241"/>
      <c r="AR442" s="241"/>
      <c r="AS442" s="241"/>
      <c r="AT442" s="241"/>
      <c r="AU442" s="241"/>
      <c r="AV442" s="241"/>
      <c r="AW442" s="241"/>
      <c r="AX442" s="241"/>
      <c r="AY442" s="241"/>
      <c r="AZ442" s="241"/>
    </row>
    <row r="443" spans="1:52" s="71" customFormat="1" ht="15" hidden="1" customHeight="1" outlineLevel="2">
      <c r="A443" s="288">
        <v>52</v>
      </c>
      <c r="B443" s="97"/>
      <c r="C443" s="296"/>
      <c r="D443" s="379"/>
      <c r="E443" s="380"/>
      <c r="F443" s="230"/>
      <c r="G443" s="291"/>
      <c r="H443" s="285"/>
      <c r="I443" s="225" t="str">
        <f t="shared" si="84"/>
        <v/>
      </c>
      <c r="J443" s="225" t="str">
        <f t="shared" si="85"/>
        <v/>
      </c>
      <c r="K443" s="231" t="str">
        <f t="shared" si="86"/>
        <v/>
      </c>
      <c r="L443" s="176"/>
      <c r="M443" s="241"/>
      <c r="N443" s="241"/>
      <c r="O443" s="241"/>
      <c r="P443" s="241"/>
      <c r="Q443" s="241"/>
      <c r="R443" s="241"/>
      <c r="S443" s="241"/>
      <c r="T443" s="241"/>
      <c r="U443" s="241"/>
      <c r="V443" s="241"/>
      <c r="W443" s="241"/>
      <c r="X443" s="241"/>
      <c r="Y443" s="241"/>
      <c r="Z443" s="241"/>
      <c r="AA443" s="241"/>
      <c r="AB443" s="241"/>
      <c r="AC443" s="241"/>
      <c r="AD443" s="241"/>
      <c r="AE443" s="241"/>
      <c r="AF443" s="241"/>
      <c r="AG443" s="241"/>
      <c r="AH443" s="241"/>
      <c r="AI443" s="241"/>
      <c r="AJ443" s="241"/>
      <c r="AK443" s="241"/>
      <c r="AL443" s="241"/>
      <c r="AM443" s="241"/>
      <c r="AN443" s="241"/>
      <c r="AO443" s="241"/>
      <c r="AP443" s="241"/>
      <c r="AQ443" s="241"/>
      <c r="AR443" s="241"/>
      <c r="AS443" s="241"/>
      <c r="AT443" s="241"/>
      <c r="AU443" s="241"/>
      <c r="AV443" s="241"/>
      <c r="AW443" s="241"/>
      <c r="AX443" s="241"/>
      <c r="AY443" s="241"/>
      <c r="AZ443" s="241"/>
    </row>
    <row r="444" spans="1:52" s="71" customFormat="1" ht="15" hidden="1" customHeight="1" outlineLevel="2">
      <c r="A444" s="288">
        <v>53</v>
      </c>
      <c r="B444" s="97"/>
      <c r="C444" s="296"/>
      <c r="D444" s="379"/>
      <c r="E444" s="380"/>
      <c r="F444" s="230"/>
      <c r="G444" s="291"/>
      <c r="H444" s="285"/>
      <c r="I444" s="225" t="str">
        <f t="shared" si="84"/>
        <v/>
      </c>
      <c r="J444" s="225" t="str">
        <f t="shared" si="85"/>
        <v/>
      </c>
      <c r="K444" s="231" t="str">
        <f t="shared" si="86"/>
        <v/>
      </c>
      <c r="L444" s="176"/>
      <c r="M444" s="241"/>
      <c r="N444" s="241"/>
      <c r="O444" s="241"/>
      <c r="P444" s="241"/>
      <c r="Q444" s="241"/>
      <c r="R444" s="241"/>
      <c r="S444" s="241"/>
      <c r="T444" s="241"/>
      <c r="U444" s="241"/>
      <c r="V444" s="241"/>
      <c r="W444" s="241"/>
      <c r="X444" s="241"/>
      <c r="Y444" s="241"/>
      <c r="Z444" s="241"/>
      <c r="AA444" s="241"/>
      <c r="AB444" s="241"/>
      <c r="AC444" s="241"/>
      <c r="AD444" s="241"/>
      <c r="AE444" s="241"/>
      <c r="AF444" s="241"/>
      <c r="AG444" s="241"/>
      <c r="AH444" s="241"/>
      <c r="AI444" s="241"/>
      <c r="AJ444" s="241"/>
      <c r="AK444" s="241"/>
      <c r="AL444" s="241"/>
      <c r="AM444" s="241"/>
      <c r="AN444" s="241"/>
      <c r="AO444" s="241"/>
      <c r="AP444" s="241"/>
      <c r="AQ444" s="241"/>
      <c r="AR444" s="241"/>
      <c r="AS444" s="241"/>
      <c r="AT444" s="241"/>
      <c r="AU444" s="241"/>
      <c r="AV444" s="241"/>
      <c r="AW444" s="241"/>
      <c r="AX444" s="241"/>
      <c r="AY444" s="241"/>
      <c r="AZ444" s="241"/>
    </row>
    <row r="445" spans="1:52" s="71" customFormat="1" ht="15" hidden="1" customHeight="1" outlineLevel="2">
      <c r="A445" s="288">
        <v>54</v>
      </c>
      <c r="B445" s="97"/>
      <c r="C445" s="296"/>
      <c r="D445" s="379"/>
      <c r="E445" s="380"/>
      <c r="F445" s="230"/>
      <c r="G445" s="291"/>
      <c r="H445" s="285"/>
      <c r="I445" s="225" t="str">
        <f t="shared" si="84"/>
        <v/>
      </c>
      <c r="J445" s="225" t="str">
        <f t="shared" si="85"/>
        <v/>
      </c>
      <c r="K445" s="231" t="str">
        <f t="shared" si="86"/>
        <v/>
      </c>
      <c r="L445" s="176"/>
      <c r="M445" s="241"/>
      <c r="N445" s="241"/>
      <c r="O445" s="241"/>
      <c r="P445" s="241"/>
      <c r="Q445" s="241"/>
      <c r="R445" s="241"/>
      <c r="S445" s="241"/>
      <c r="T445" s="241"/>
      <c r="U445" s="241"/>
      <c r="V445" s="241"/>
      <c r="W445" s="241"/>
      <c r="X445" s="241"/>
      <c r="Y445" s="241"/>
      <c r="Z445" s="241"/>
      <c r="AA445" s="241"/>
      <c r="AB445" s="241"/>
      <c r="AC445" s="241"/>
      <c r="AD445" s="241"/>
      <c r="AE445" s="241"/>
      <c r="AF445" s="241"/>
      <c r="AG445" s="241"/>
      <c r="AH445" s="241"/>
      <c r="AI445" s="241"/>
      <c r="AJ445" s="241"/>
      <c r="AK445" s="241"/>
      <c r="AL445" s="241"/>
      <c r="AM445" s="241"/>
      <c r="AN445" s="241"/>
      <c r="AO445" s="241"/>
      <c r="AP445" s="241"/>
      <c r="AQ445" s="241"/>
      <c r="AR445" s="241"/>
      <c r="AS445" s="241"/>
      <c r="AT445" s="241"/>
      <c r="AU445" s="241"/>
      <c r="AV445" s="241"/>
      <c r="AW445" s="241"/>
      <c r="AX445" s="241"/>
      <c r="AY445" s="241"/>
      <c r="AZ445" s="241"/>
    </row>
    <row r="446" spans="1:52" s="71" customFormat="1" ht="15" hidden="1" customHeight="1" outlineLevel="2">
      <c r="A446" s="288">
        <v>55</v>
      </c>
      <c r="B446" s="97"/>
      <c r="C446" s="296"/>
      <c r="D446" s="379"/>
      <c r="E446" s="380"/>
      <c r="F446" s="230"/>
      <c r="G446" s="291"/>
      <c r="H446" s="285"/>
      <c r="I446" s="225" t="str">
        <f t="shared" si="84"/>
        <v/>
      </c>
      <c r="J446" s="225" t="str">
        <f t="shared" si="85"/>
        <v/>
      </c>
      <c r="K446" s="231" t="str">
        <f t="shared" si="86"/>
        <v/>
      </c>
      <c r="L446" s="176"/>
      <c r="M446" s="241"/>
      <c r="N446" s="241"/>
      <c r="O446" s="241"/>
      <c r="P446" s="241"/>
      <c r="Q446" s="241"/>
      <c r="R446" s="241"/>
      <c r="S446" s="241"/>
      <c r="T446" s="241"/>
      <c r="U446" s="241"/>
      <c r="V446" s="241"/>
      <c r="W446" s="241"/>
      <c r="X446" s="241"/>
      <c r="Y446" s="241"/>
      <c r="Z446" s="241"/>
      <c r="AA446" s="241"/>
      <c r="AB446" s="241"/>
      <c r="AC446" s="241"/>
      <c r="AD446" s="241"/>
      <c r="AE446" s="241"/>
      <c r="AF446" s="241"/>
      <c r="AG446" s="241"/>
      <c r="AH446" s="241"/>
      <c r="AI446" s="241"/>
      <c r="AJ446" s="241"/>
      <c r="AK446" s="241"/>
      <c r="AL446" s="241"/>
      <c r="AM446" s="241"/>
      <c r="AN446" s="241"/>
      <c r="AO446" s="241"/>
      <c r="AP446" s="241"/>
      <c r="AQ446" s="241"/>
      <c r="AR446" s="241"/>
      <c r="AS446" s="241"/>
      <c r="AT446" s="241"/>
      <c r="AU446" s="241"/>
      <c r="AV446" s="241"/>
      <c r="AW446" s="241"/>
      <c r="AX446" s="241"/>
      <c r="AY446" s="241"/>
      <c r="AZ446" s="241"/>
    </row>
    <row r="447" spans="1:52" s="71" customFormat="1" ht="15" hidden="1" customHeight="1" outlineLevel="2">
      <c r="A447" s="288">
        <v>56</v>
      </c>
      <c r="B447" s="97"/>
      <c r="C447" s="296"/>
      <c r="D447" s="379"/>
      <c r="E447" s="380"/>
      <c r="F447" s="230"/>
      <c r="G447" s="291"/>
      <c r="H447" s="285"/>
      <c r="I447" s="225" t="str">
        <f t="shared" si="84"/>
        <v/>
      </c>
      <c r="J447" s="225" t="str">
        <f t="shared" si="85"/>
        <v/>
      </c>
      <c r="K447" s="231" t="str">
        <f t="shared" si="86"/>
        <v/>
      </c>
      <c r="L447" s="176"/>
      <c r="M447" s="241"/>
      <c r="N447" s="241"/>
      <c r="O447" s="241"/>
      <c r="P447" s="241"/>
      <c r="Q447" s="241"/>
      <c r="R447" s="241"/>
      <c r="S447" s="241"/>
      <c r="T447" s="241"/>
      <c r="U447" s="241"/>
      <c r="V447" s="241"/>
      <c r="W447" s="241"/>
      <c r="X447" s="241"/>
      <c r="Y447" s="241"/>
      <c r="Z447" s="241"/>
      <c r="AA447" s="241"/>
      <c r="AB447" s="241"/>
      <c r="AC447" s="241"/>
      <c r="AD447" s="241"/>
      <c r="AE447" s="241"/>
      <c r="AF447" s="241"/>
      <c r="AG447" s="241"/>
      <c r="AH447" s="241"/>
      <c r="AI447" s="241"/>
      <c r="AJ447" s="241"/>
      <c r="AK447" s="241"/>
      <c r="AL447" s="241"/>
      <c r="AM447" s="241"/>
      <c r="AN447" s="241"/>
      <c r="AO447" s="241"/>
      <c r="AP447" s="241"/>
      <c r="AQ447" s="241"/>
      <c r="AR447" s="241"/>
      <c r="AS447" s="241"/>
      <c r="AT447" s="241"/>
      <c r="AU447" s="241"/>
      <c r="AV447" s="241"/>
      <c r="AW447" s="241"/>
      <c r="AX447" s="241"/>
      <c r="AY447" s="241"/>
      <c r="AZ447" s="241"/>
    </row>
    <row r="448" spans="1:52" s="71" customFormat="1" ht="15" hidden="1" customHeight="1" outlineLevel="2">
      <c r="A448" s="288">
        <v>57</v>
      </c>
      <c r="B448" s="97"/>
      <c r="C448" s="296"/>
      <c r="D448" s="379"/>
      <c r="E448" s="380"/>
      <c r="F448" s="230"/>
      <c r="G448" s="291"/>
      <c r="H448" s="285"/>
      <c r="I448" s="225" t="str">
        <f t="shared" si="84"/>
        <v/>
      </c>
      <c r="J448" s="225" t="str">
        <f t="shared" si="85"/>
        <v/>
      </c>
      <c r="K448" s="231" t="str">
        <f t="shared" si="86"/>
        <v/>
      </c>
      <c r="L448" s="176"/>
      <c r="M448" s="241"/>
      <c r="N448" s="241"/>
      <c r="O448" s="241"/>
      <c r="P448" s="241"/>
      <c r="Q448" s="241"/>
      <c r="R448" s="241"/>
      <c r="S448" s="241"/>
      <c r="T448" s="241"/>
      <c r="U448" s="241"/>
      <c r="V448" s="241"/>
      <c r="W448" s="241"/>
      <c r="X448" s="241"/>
      <c r="Y448" s="241"/>
      <c r="Z448" s="241"/>
      <c r="AA448" s="241"/>
      <c r="AB448" s="241"/>
      <c r="AC448" s="241"/>
      <c r="AD448" s="241"/>
      <c r="AE448" s="241"/>
      <c r="AF448" s="241"/>
      <c r="AG448" s="241"/>
      <c r="AH448" s="241"/>
      <c r="AI448" s="241"/>
      <c r="AJ448" s="241"/>
      <c r="AK448" s="241"/>
      <c r="AL448" s="241"/>
      <c r="AM448" s="241"/>
      <c r="AN448" s="241"/>
      <c r="AO448" s="241"/>
      <c r="AP448" s="241"/>
      <c r="AQ448" s="241"/>
      <c r="AR448" s="241"/>
      <c r="AS448" s="241"/>
      <c r="AT448" s="241"/>
      <c r="AU448" s="241"/>
      <c r="AV448" s="241"/>
      <c r="AW448" s="241"/>
      <c r="AX448" s="241"/>
      <c r="AY448" s="241"/>
      <c r="AZ448" s="241"/>
    </row>
    <row r="449" spans="1:52" s="71" customFormat="1" ht="15" hidden="1" customHeight="1" outlineLevel="2">
      <c r="A449" s="288">
        <v>58</v>
      </c>
      <c r="B449" s="97"/>
      <c r="C449" s="296"/>
      <c r="D449" s="379"/>
      <c r="E449" s="380"/>
      <c r="F449" s="230"/>
      <c r="G449" s="291"/>
      <c r="H449" s="285"/>
      <c r="I449" s="225" t="str">
        <f t="shared" si="84"/>
        <v/>
      </c>
      <c r="J449" s="225" t="str">
        <f t="shared" si="85"/>
        <v/>
      </c>
      <c r="K449" s="231" t="str">
        <f t="shared" si="86"/>
        <v/>
      </c>
      <c r="L449" s="176"/>
      <c r="M449" s="241"/>
      <c r="N449" s="241"/>
      <c r="O449" s="241"/>
      <c r="P449" s="241"/>
      <c r="Q449" s="241"/>
      <c r="R449" s="241"/>
      <c r="S449" s="241"/>
      <c r="T449" s="241"/>
      <c r="U449" s="241"/>
      <c r="V449" s="241"/>
      <c r="W449" s="241"/>
      <c r="X449" s="241"/>
      <c r="Y449" s="241"/>
      <c r="Z449" s="241"/>
      <c r="AA449" s="241"/>
      <c r="AB449" s="241"/>
      <c r="AC449" s="241"/>
      <c r="AD449" s="241"/>
      <c r="AE449" s="241"/>
      <c r="AF449" s="241"/>
      <c r="AG449" s="241"/>
      <c r="AH449" s="241"/>
      <c r="AI449" s="241"/>
      <c r="AJ449" s="241"/>
      <c r="AK449" s="241"/>
      <c r="AL449" s="241"/>
      <c r="AM449" s="241"/>
      <c r="AN449" s="241"/>
      <c r="AO449" s="241"/>
      <c r="AP449" s="241"/>
      <c r="AQ449" s="241"/>
      <c r="AR449" s="241"/>
      <c r="AS449" s="241"/>
      <c r="AT449" s="241"/>
      <c r="AU449" s="241"/>
      <c r="AV449" s="241"/>
      <c r="AW449" s="241"/>
      <c r="AX449" s="241"/>
      <c r="AY449" s="241"/>
      <c r="AZ449" s="241"/>
    </row>
    <row r="450" spans="1:52" s="71" customFormat="1" ht="15" hidden="1" customHeight="1" outlineLevel="2">
      <c r="A450" s="288">
        <v>59</v>
      </c>
      <c r="B450" s="97"/>
      <c r="C450" s="296"/>
      <c r="D450" s="379"/>
      <c r="E450" s="380"/>
      <c r="F450" s="230"/>
      <c r="G450" s="291"/>
      <c r="H450" s="285"/>
      <c r="I450" s="225" t="str">
        <f t="shared" si="84"/>
        <v/>
      </c>
      <c r="J450" s="225" t="str">
        <f t="shared" si="85"/>
        <v/>
      </c>
      <c r="K450" s="231" t="str">
        <f t="shared" si="86"/>
        <v/>
      </c>
      <c r="L450" s="176"/>
      <c r="M450" s="241"/>
      <c r="N450" s="241"/>
      <c r="O450" s="241"/>
      <c r="P450" s="241"/>
      <c r="Q450" s="241"/>
      <c r="R450" s="241"/>
      <c r="S450" s="241"/>
      <c r="T450" s="241"/>
      <c r="U450" s="241"/>
      <c r="V450" s="241"/>
      <c r="W450" s="241"/>
      <c r="X450" s="241"/>
      <c r="Y450" s="241"/>
      <c r="Z450" s="241"/>
      <c r="AA450" s="241"/>
      <c r="AB450" s="241"/>
      <c r="AC450" s="241"/>
      <c r="AD450" s="241"/>
      <c r="AE450" s="241"/>
      <c r="AF450" s="241"/>
      <c r="AG450" s="241"/>
      <c r="AH450" s="241"/>
      <c r="AI450" s="241"/>
      <c r="AJ450" s="241"/>
      <c r="AK450" s="241"/>
      <c r="AL450" s="241"/>
      <c r="AM450" s="241"/>
      <c r="AN450" s="241"/>
      <c r="AO450" s="241"/>
      <c r="AP450" s="241"/>
      <c r="AQ450" s="241"/>
      <c r="AR450" s="241"/>
      <c r="AS450" s="241"/>
      <c r="AT450" s="241"/>
      <c r="AU450" s="241"/>
      <c r="AV450" s="241"/>
      <c r="AW450" s="241"/>
      <c r="AX450" s="241"/>
      <c r="AY450" s="241"/>
      <c r="AZ450" s="241"/>
    </row>
    <row r="451" spans="1:52" s="71" customFormat="1" ht="15" hidden="1" customHeight="1" outlineLevel="2">
      <c r="A451" s="288">
        <v>60</v>
      </c>
      <c r="B451" s="97"/>
      <c r="C451" s="296"/>
      <c r="D451" s="379"/>
      <c r="E451" s="380"/>
      <c r="F451" s="230"/>
      <c r="G451" s="291"/>
      <c r="H451" s="285"/>
      <c r="I451" s="225" t="str">
        <f t="shared" si="84"/>
        <v/>
      </c>
      <c r="J451" s="225" t="str">
        <f t="shared" si="85"/>
        <v/>
      </c>
      <c r="K451" s="231" t="str">
        <f t="shared" si="86"/>
        <v/>
      </c>
      <c r="L451" s="176"/>
      <c r="M451" s="241"/>
      <c r="N451" s="241"/>
      <c r="O451" s="241"/>
      <c r="P451" s="241"/>
      <c r="Q451" s="241"/>
      <c r="R451" s="241"/>
      <c r="S451" s="241"/>
      <c r="T451" s="241"/>
      <c r="U451" s="241"/>
      <c r="V451" s="241"/>
      <c r="W451" s="241"/>
      <c r="X451" s="241"/>
      <c r="Y451" s="241"/>
      <c r="Z451" s="241"/>
      <c r="AA451" s="241"/>
      <c r="AB451" s="241"/>
      <c r="AC451" s="241"/>
      <c r="AD451" s="241"/>
      <c r="AE451" s="241"/>
      <c r="AF451" s="241"/>
      <c r="AG451" s="241"/>
      <c r="AH451" s="241"/>
      <c r="AI451" s="241"/>
      <c r="AJ451" s="241"/>
      <c r="AK451" s="241"/>
      <c r="AL451" s="241"/>
      <c r="AM451" s="241"/>
      <c r="AN451" s="241"/>
      <c r="AO451" s="241"/>
      <c r="AP451" s="241"/>
      <c r="AQ451" s="241"/>
      <c r="AR451" s="241"/>
      <c r="AS451" s="241"/>
      <c r="AT451" s="241"/>
      <c r="AU451" s="241"/>
      <c r="AV451" s="241"/>
      <c r="AW451" s="241"/>
      <c r="AX451" s="241"/>
      <c r="AY451" s="241"/>
      <c r="AZ451" s="241"/>
    </row>
    <row r="452" spans="1:52" s="71" customFormat="1" ht="15" hidden="1" customHeight="1" outlineLevel="2">
      <c r="A452" s="288">
        <v>61</v>
      </c>
      <c r="B452" s="97"/>
      <c r="C452" s="296"/>
      <c r="D452" s="379"/>
      <c r="E452" s="380"/>
      <c r="F452" s="230"/>
      <c r="G452" s="291"/>
      <c r="H452" s="285"/>
      <c r="I452" s="225" t="str">
        <f t="shared" si="84"/>
        <v/>
      </c>
      <c r="J452" s="225" t="str">
        <f t="shared" si="85"/>
        <v/>
      </c>
      <c r="K452" s="231" t="str">
        <f t="shared" si="86"/>
        <v/>
      </c>
      <c r="L452" s="176"/>
      <c r="M452" s="241"/>
      <c r="N452" s="241"/>
      <c r="O452" s="241"/>
      <c r="P452" s="241"/>
      <c r="Q452" s="241"/>
      <c r="R452" s="241"/>
      <c r="S452" s="241"/>
      <c r="T452" s="241"/>
      <c r="U452" s="241"/>
      <c r="V452" s="241"/>
      <c r="W452" s="241"/>
      <c r="X452" s="241"/>
      <c r="Y452" s="241"/>
      <c r="Z452" s="241"/>
      <c r="AA452" s="241"/>
      <c r="AB452" s="241"/>
      <c r="AC452" s="241"/>
      <c r="AD452" s="241"/>
      <c r="AE452" s="241"/>
      <c r="AF452" s="241"/>
      <c r="AG452" s="241"/>
      <c r="AH452" s="241"/>
      <c r="AI452" s="241"/>
      <c r="AJ452" s="241"/>
      <c r="AK452" s="241"/>
      <c r="AL452" s="241"/>
      <c r="AM452" s="241"/>
      <c r="AN452" s="241"/>
      <c r="AO452" s="241"/>
      <c r="AP452" s="241"/>
      <c r="AQ452" s="241"/>
      <c r="AR452" s="241"/>
      <c r="AS452" s="241"/>
      <c r="AT452" s="241"/>
      <c r="AU452" s="241"/>
      <c r="AV452" s="241"/>
      <c r="AW452" s="241"/>
      <c r="AX452" s="241"/>
      <c r="AY452" s="241"/>
      <c r="AZ452" s="241"/>
    </row>
    <row r="453" spans="1:52" s="71" customFormat="1" ht="15" hidden="1" customHeight="1" outlineLevel="2">
      <c r="A453" s="288">
        <v>62</v>
      </c>
      <c r="B453" s="97"/>
      <c r="C453" s="296"/>
      <c r="D453" s="379"/>
      <c r="E453" s="380"/>
      <c r="F453" s="230"/>
      <c r="G453" s="291"/>
      <c r="H453" s="285"/>
      <c r="I453" s="225" t="str">
        <f t="shared" si="84"/>
        <v/>
      </c>
      <c r="J453" s="225" t="str">
        <f t="shared" si="85"/>
        <v/>
      </c>
      <c r="K453" s="231" t="str">
        <f t="shared" si="86"/>
        <v/>
      </c>
      <c r="L453" s="176"/>
      <c r="M453" s="241"/>
      <c r="N453" s="241"/>
      <c r="O453" s="241"/>
      <c r="P453" s="241"/>
      <c r="Q453" s="241"/>
      <c r="R453" s="241"/>
      <c r="S453" s="241"/>
      <c r="T453" s="241"/>
      <c r="U453" s="241"/>
      <c r="V453" s="241"/>
      <c r="W453" s="241"/>
      <c r="X453" s="241"/>
      <c r="Y453" s="241"/>
      <c r="Z453" s="241"/>
      <c r="AA453" s="241"/>
      <c r="AB453" s="241"/>
      <c r="AC453" s="241"/>
      <c r="AD453" s="241"/>
      <c r="AE453" s="241"/>
      <c r="AF453" s="241"/>
      <c r="AG453" s="241"/>
      <c r="AH453" s="241"/>
      <c r="AI453" s="241"/>
      <c r="AJ453" s="241"/>
      <c r="AK453" s="241"/>
      <c r="AL453" s="241"/>
      <c r="AM453" s="241"/>
      <c r="AN453" s="241"/>
      <c r="AO453" s="241"/>
      <c r="AP453" s="241"/>
      <c r="AQ453" s="241"/>
      <c r="AR453" s="241"/>
      <c r="AS453" s="241"/>
      <c r="AT453" s="241"/>
      <c r="AU453" s="241"/>
      <c r="AV453" s="241"/>
      <c r="AW453" s="241"/>
      <c r="AX453" s="241"/>
      <c r="AY453" s="241"/>
      <c r="AZ453" s="241"/>
    </row>
    <row r="454" spans="1:52" s="71" customFormat="1" ht="15" hidden="1" customHeight="1" outlineLevel="2">
      <c r="A454" s="288">
        <v>63</v>
      </c>
      <c r="B454" s="97"/>
      <c r="C454" s="296"/>
      <c r="D454" s="379"/>
      <c r="E454" s="380"/>
      <c r="F454" s="230"/>
      <c r="G454" s="291"/>
      <c r="H454" s="285"/>
      <c r="I454" s="225" t="str">
        <f t="shared" si="84"/>
        <v/>
      </c>
      <c r="J454" s="225" t="str">
        <f t="shared" si="85"/>
        <v/>
      </c>
      <c r="K454" s="231" t="str">
        <f t="shared" si="86"/>
        <v/>
      </c>
      <c r="L454" s="176"/>
      <c r="M454" s="241"/>
      <c r="N454" s="241"/>
      <c r="O454" s="241"/>
      <c r="P454" s="241"/>
      <c r="Q454" s="241"/>
      <c r="R454" s="241"/>
      <c r="S454" s="241"/>
      <c r="T454" s="241"/>
      <c r="U454" s="241"/>
      <c r="V454" s="241"/>
      <c r="W454" s="241"/>
      <c r="X454" s="241"/>
      <c r="Y454" s="241"/>
      <c r="Z454" s="241"/>
      <c r="AA454" s="241"/>
      <c r="AB454" s="241"/>
      <c r="AC454" s="241"/>
      <c r="AD454" s="241"/>
      <c r="AE454" s="241"/>
      <c r="AF454" s="241"/>
      <c r="AG454" s="241"/>
      <c r="AH454" s="241"/>
      <c r="AI454" s="241"/>
      <c r="AJ454" s="241"/>
      <c r="AK454" s="241"/>
      <c r="AL454" s="241"/>
      <c r="AM454" s="241"/>
      <c r="AN454" s="241"/>
      <c r="AO454" s="241"/>
      <c r="AP454" s="241"/>
      <c r="AQ454" s="241"/>
      <c r="AR454" s="241"/>
      <c r="AS454" s="241"/>
      <c r="AT454" s="241"/>
      <c r="AU454" s="241"/>
      <c r="AV454" s="241"/>
      <c r="AW454" s="241"/>
      <c r="AX454" s="241"/>
      <c r="AY454" s="241"/>
      <c r="AZ454" s="241"/>
    </row>
    <row r="455" spans="1:52" s="71" customFormat="1" ht="15" hidden="1" customHeight="1" outlineLevel="2">
      <c r="A455" s="288">
        <v>64</v>
      </c>
      <c r="B455" s="97"/>
      <c r="C455" s="296"/>
      <c r="D455" s="379"/>
      <c r="E455" s="380"/>
      <c r="F455" s="230"/>
      <c r="G455" s="291"/>
      <c r="H455" s="285"/>
      <c r="I455" s="225" t="str">
        <f t="shared" si="84"/>
        <v/>
      </c>
      <c r="J455" s="225" t="str">
        <f t="shared" si="85"/>
        <v/>
      </c>
      <c r="K455" s="231" t="str">
        <f t="shared" si="86"/>
        <v/>
      </c>
      <c r="L455" s="176"/>
      <c r="M455" s="241"/>
      <c r="N455" s="241"/>
      <c r="O455" s="241"/>
      <c r="P455" s="241"/>
      <c r="Q455" s="241"/>
      <c r="R455" s="241"/>
      <c r="S455" s="241"/>
      <c r="T455" s="241"/>
      <c r="U455" s="241"/>
      <c r="V455" s="241"/>
      <c r="W455" s="241"/>
      <c r="X455" s="241"/>
      <c r="Y455" s="241"/>
      <c r="Z455" s="241"/>
      <c r="AA455" s="241"/>
      <c r="AB455" s="241"/>
      <c r="AC455" s="241"/>
      <c r="AD455" s="241"/>
      <c r="AE455" s="241"/>
      <c r="AF455" s="241"/>
      <c r="AG455" s="241"/>
      <c r="AH455" s="241"/>
      <c r="AI455" s="241"/>
      <c r="AJ455" s="241"/>
      <c r="AK455" s="241"/>
      <c r="AL455" s="241"/>
      <c r="AM455" s="241"/>
      <c r="AN455" s="241"/>
      <c r="AO455" s="241"/>
      <c r="AP455" s="241"/>
      <c r="AQ455" s="241"/>
      <c r="AR455" s="241"/>
      <c r="AS455" s="241"/>
      <c r="AT455" s="241"/>
      <c r="AU455" s="241"/>
      <c r="AV455" s="241"/>
      <c r="AW455" s="241"/>
      <c r="AX455" s="241"/>
      <c r="AY455" s="241"/>
      <c r="AZ455" s="241"/>
    </row>
    <row r="456" spans="1:52" s="71" customFormat="1" ht="15" hidden="1" customHeight="1" outlineLevel="2">
      <c r="A456" s="288">
        <v>65</v>
      </c>
      <c r="B456" s="97"/>
      <c r="C456" s="296"/>
      <c r="D456" s="379"/>
      <c r="E456" s="380"/>
      <c r="F456" s="230"/>
      <c r="G456" s="291"/>
      <c r="H456" s="285"/>
      <c r="I456" s="225" t="str">
        <f t="shared" ref="I456:I501" si="87">INDEX(logic_hvacawud,MATCH($A456,logic_hvacno,0))</f>
        <v/>
      </c>
      <c r="J456" s="225" t="str">
        <f t="shared" ref="J456:J501" si="88">INDEX(logic_hvacawusa,MATCH($A456,logic_hvacno,0))</f>
        <v/>
      </c>
      <c r="K456" s="231" t="str">
        <f t="shared" ref="K456:K501" si="89">INDEX(logic_hvacawusp,MATCH($A456,logic_hvacno,0))</f>
        <v/>
      </c>
      <c r="L456" s="176"/>
      <c r="M456" s="241"/>
      <c r="N456" s="241"/>
      <c r="O456" s="241"/>
      <c r="P456" s="241"/>
      <c r="Q456" s="241"/>
      <c r="R456" s="241"/>
      <c r="S456" s="241"/>
      <c r="T456" s="241"/>
      <c r="U456" s="241"/>
      <c r="V456" s="241"/>
      <c r="W456" s="241"/>
      <c r="X456" s="241"/>
      <c r="Y456" s="241"/>
      <c r="Z456" s="241"/>
      <c r="AA456" s="241"/>
      <c r="AB456" s="241"/>
      <c r="AC456" s="241"/>
      <c r="AD456" s="241"/>
      <c r="AE456" s="241"/>
      <c r="AF456" s="241"/>
      <c r="AG456" s="241"/>
      <c r="AH456" s="241"/>
      <c r="AI456" s="241"/>
      <c r="AJ456" s="241"/>
      <c r="AK456" s="241"/>
      <c r="AL456" s="241"/>
      <c r="AM456" s="241"/>
      <c r="AN456" s="241"/>
      <c r="AO456" s="241"/>
      <c r="AP456" s="241"/>
      <c r="AQ456" s="241"/>
      <c r="AR456" s="241"/>
      <c r="AS456" s="241"/>
      <c r="AT456" s="241"/>
      <c r="AU456" s="241"/>
      <c r="AV456" s="241"/>
      <c r="AW456" s="241"/>
      <c r="AX456" s="241"/>
      <c r="AY456" s="241"/>
      <c r="AZ456" s="241"/>
    </row>
    <row r="457" spans="1:52" s="71" customFormat="1" ht="15" hidden="1" customHeight="1" outlineLevel="2">
      <c r="A457" s="288">
        <v>66</v>
      </c>
      <c r="B457" s="97"/>
      <c r="C457" s="296"/>
      <c r="D457" s="379"/>
      <c r="E457" s="380"/>
      <c r="F457" s="230"/>
      <c r="G457" s="291"/>
      <c r="H457" s="285"/>
      <c r="I457" s="225" t="str">
        <f t="shared" si="87"/>
        <v/>
      </c>
      <c r="J457" s="225" t="str">
        <f t="shared" si="88"/>
        <v/>
      </c>
      <c r="K457" s="231" t="str">
        <f t="shared" si="89"/>
        <v/>
      </c>
      <c r="L457" s="176"/>
      <c r="M457" s="241"/>
      <c r="N457" s="241"/>
      <c r="O457" s="241"/>
      <c r="P457" s="241"/>
      <c r="Q457" s="241"/>
      <c r="R457" s="241"/>
      <c r="S457" s="241"/>
      <c r="T457" s="241"/>
      <c r="U457" s="241"/>
      <c r="V457" s="241"/>
      <c r="W457" s="241"/>
      <c r="X457" s="241"/>
      <c r="Y457" s="241"/>
      <c r="Z457" s="241"/>
      <c r="AA457" s="241"/>
      <c r="AB457" s="241"/>
      <c r="AC457" s="241"/>
      <c r="AD457" s="241"/>
      <c r="AE457" s="241"/>
      <c r="AF457" s="241"/>
      <c r="AG457" s="241"/>
      <c r="AH457" s="241"/>
      <c r="AI457" s="241"/>
      <c r="AJ457" s="241"/>
      <c r="AK457" s="241"/>
      <c r="AL457" s="241"/>
      <c r="AM457" s="241"/>
      <c r="AN457" s="241"/>
      <c r="AO457" s="241"/>
      <c r="AP457" s="241"/>
      <c r="AQ457" s="241"/>
      <c r="AR457" s="241"/>
      <c r="AS457" s="241"/>
      <c r="AT457" s="241"/>
      <c r="AU457" s="241"/>
      <c r="AV457" s="241"/>
      <c r="AW457" s="241"/>
      <c r="AX457" s="241"/>
      <c r="AY457" s="241"/>
      <c r="AZ457" s="241"/>
    </row>
    <row r="458" spans="1:52" s="71" customFormat="1" ht="15" hidden="1" customHeight="1" outlineLevel="2">
      <c r="A458" s="288">
        <v>67</v>
      </c>
      <c r="B458" s="97"/>
      <c r="C458" s="296"/>
      <c r="D458" s="379"/>
      <c r="E458" s="380"/>
      <c r="F458" s="230"/>
      <c r="G458" s="291"/>
      <c r="H458" s="285"/>
      <c r="I458" s="225" t="str">
        <f t="shared" si="87"/>
        <v/>
      </c>
      <c r="J458" s="225" t="str">
        <f t="shared" si="88"/>
        <v/>
      </c>
      <c r="K458" s="231" t="str">
        <f t="shared" si="89"/>
        <v/>
      </c>
      <c r="L458" s="176"/>
      <c r="M458" s="241"/>
      <c r="N458" s="241"/>
      <c r="O458" s="241"/>
      <c r="P458" s="241"/>
      <c r="Q458" s="241"/>
      <c r="R458" s="241"/>
      <c r="S458" s="241"/>
      <c r="T458" s="241"/>
      <c r="U458" s="241"/>
      <c r="V458" s="241"/>
      <c r="W458" s="241"/>
      <c r="X458" s="241"/>
      <c r="Y458" s="241"/>
      <c r="Z458" s="241"/>
      <c r="AA458" s="241"/>
      <c r="AB458" s="241"/>
      <c r="AC458" s="241"/>
      <c r="AD458" s="241"/>
      <c r="AE458" s="241"/>
      <c r="AF458" s="241"/>
      <c r="AG458" s="241"/>
      <c r="AH458" s="241"/>
      <c r="AI458" s="241"/>
      <c r="AJ458" s="241"/>
      <c r="AK458" s="241"/>
      <c r="AL458" s="241"/>
      <c r="AM458" s="241"/>
      <c r="AN458" s="241"/>
      <c r="AO458" s="241"/>
      <c r="AP458" s="241"/>
      <c r="AQ458" s="241"/>
      <c r="AR458" s="241"/>
      <c r="AS458" s="241"/>
      <c r="AT458" s="241"/>
      <c r="AU458" s="241"/>
      <c r="AV458" s="241"/>
      <c r="AW458" s="241"/>
      <c r="AX458" s="241"/>
      <c r="AY458" s="241"/>
      <c r="AZ458" s="241"/>
    </row>
    <row r="459" spans="1:52" s="71" customFormat="1" ht="15" hidden="1" customHeight="1" outlineLevel="2">
      <c r="A459" s="288">
        <v>68</v>
      </c>
      <c r="B459" s="97"/>
      <c r="C459" s="296"/>
      <c r="D459" s="379"/>
      <c r="E459" s="380"/>
      <c r="F459" s="230"/>
      <c r="G459" s="291"/>
      <c r="H459" s="285"/>
      <c r="I459" s="225" t="str">
        <f t="shared" si="87"/>
        <v/>
      </c>
      <c r="J459" s="225" t="str">
        <f t="shared" si="88"/>
        <v/>
      </c>
      <c r="K459" s="231" t="str">
        <f t="shared" si="89"/>
        <v/>
      </c>
      <c r="L459" s="176"/>
      <c r="M459" s="241"/>
      <c r="N459" s="241"/>
      <c r="O459" s="241"/>
      <c r="P459" s="241"/>
      <c r="Q459" s="241"/>
      <c r="R459" s="241"/>
      <c r="S459" s="241"/>
      <c r="T459" s="241"/>
      <c r="U459" s="241"/>
      <c r="V459" s="241"/>
      <c r="W459" s="241"/>
      <c r="X459" s="241"/>
      <c r="Y459" s="241"/>
      <c r="Z459" s="241"/>
      <c r="AA459" s="241"/>
      <c r="AB459" s="241"/>
      <c r="AC459" s="241"/>
      <c r="AD459" s="241"/>
      <c r="AE459" s="241"/>
      <c r="AF459" s="241"/>
      <c r="AG459" s="241"/>
      <c r="AH459" s="241"/>
      <c r="AI459" s="241"/>
      <c r="AJ459" s="241"/>
      <c r="AK459" s="241"/>
      <c r="AL459" s="241"/>
      <c r="AM459" s="241"/>
      <c r="AN459" s="241"/>
      <c r="AO459" s="241"/>
      <c r="AP459" s="241"/>
      <c r="AQ459" s="241"/>
      <c r="AR459" s="241"/>
      <c r="AS459" s="241"/>
      <c r="AT459" s="241"/>
      <c r="AU459" s="241"/>
      <c r="AV459" s="241"/>
      <c r="AW459" s="241"/>
      <c r="AX459" s="241"/>
      <c r="AY459" s="241"/>
      <c r="AZ459" s="241"/>
    </row>
    <row r="460" spans="1:52" s="71" customFormat="1" ht="15" hidden="1" customHeight="1" outlineLevel="2">
      <c r="A460" s="288">
        <v>69</v>
      </c>
      <c r="B460" s="97"/>
      <c r="C460" s="296"/>
      <c r="D460" s="379"/>
      <c r="E460" s="380"/>
      <c r="F460" s="230"/>
      <c r="G460" s="291"/>
      <c r="H460" s="285"/>
      <c r="I460" s="225" t="str">
        <f t="shared" si="87"/>
        <v/>
      </c>
      <c r="J460" s="225" t="str">
        <f t="shared" si="88"/>
        <v/>
      </c>
      <c r="K460" s="231" t="str">
        <f t="shared" si="89"/>
        <v/>
      </c>
      <c r="L460" s="176"/>
      <c r="M460" s="241"/>
      <c r="N460" s="241"/>
      <c r="O460" s="241"/>
      <c r="P460" s="241"/>
      <c r="Q460" s="241"/>
      <c r="R460" s="241"/>
      <c r="S460" s="241"/>
      <c r="T460" s="241"/>
      <c r="U460" s="241"/>
      <c r="V460" s="241"/>
      <c r="W460" s="241"/>
      <c r="X460" s="241"/>
      <c r="Y460" s="241"/>
      <c r="Z460" s="241"/>
      <c r="AA460" s="241"/>
      <c r="AB460" s="241"/>
      <c r="AC460" s="241"/>
      <c r="AD460" s="241"/>
      <c r="AE460" s="241"/>
      <c r="AF460" s="241"/>
      <c r="AG460" s="241"/>
      <c r="AH460" s="241"/>
      <c r="AI460" s="241"/>
      <c r="AJ460" s="241"/>
      <c r="AK460" s="241"/>
      <c r="AL460" s="241"/>
      <c r="AM460" s="241"/>
      <c r="AN460" s="241"/>
      <c r="AO460" s="241"/>
      <c r="AP460" s="241"/>
      <c r="AQ460" s="241"/>
      <c r="AR460" s="241"/>
      <c r="AS460" s="241"/>
      <c r="AT460" s="241"/>
      <c r="AU460" s="241"/>
      <c r="AV460" s="241"/>
      <c r="AW460" s="241"/>
      <c r="AX460" s="241"/>
      <c r="AY460" s="241"/>
      <c r="AZ460" s="241"/>
    </row>
    <row r="461" spans="1:52" s="71" customFormat="1" ht="15" hidden="1" customHeight="1" outlineLevel="2">
      <c r="A461" s="288">
        <v>70</v>
      </c>
      <c r="B461" s="97"/>
      <c r="C461" s="296"/>
      <c r="D461" s="379"/>
      <c r="E461" s="380"/>
      <c r="F461" s="230"/>
      <c r="G461" s="291"/>
      <c r="H461" s="285"/>
      <c r="I461" s="225" t="str">
        <f t="shared" si="87"/>
        <v/>
      </c>
      <c r="J461" s="225" t="str">
        <f t="shared" si="88"/>
        <v/>
      </c>
      <c r="K461" s="231" t="str">
        <f t="shared" si="89"/>
        <v/>
      </c>
      <c r="L461" s="176"/>
      <c r="M461" s="241"/>
      <c r="N461" s="241"/>
      <c r="O461" s="241"/>
      <c r="P461" s="241"/>
      <c r="Q461" s="241"/>
      <c r="R461" s="241"/>
      <c r="S461" s="241"/>
      <c r="T461" s="241"/>
      <c r="U461" s="241"/>
      <c r="V461" s="241"/>
      <c r="W461" s="241"/>
      <c r="X461" s="241"/>
      <c r="Y461" s="241"/>
      <c r="Z461" s="241"/>
      <c r="AA461" s="241"/>
      <c r="AB461" s="241"/>
      <c r="AC461" s="241"/>
      <c r="AD461" s="241"/>
      <c r="AE461" s="241"/>
      <c r="AF461" s="241"/>
      <c r="AG461" s="241"/>
      <c r="AH461" s="241"/>
      <c r="AI461" s="241"/>
      <c r="AJ461" s="241"/>
      <c r="AK461" s="241"/>
      <c r="AL461" s="241"/>
      <c r="AM461" s="241"/>
      <c r="AN461" s="241"/>
      <c r="AO461" s="241"/>
      <c r="AP461" s="241"/>
      <c r="AQ461" s="241"/>
      <c r="AR461" s="241"/>
      <c r="AS461" s="241"/>
      <c r="AT461" s="241"/>
      <c r="AU461" s="241"/>
      <c r="AV461" s="241"/>
      <c r="AW461" s="241"/>
      <c r="AX461" s="241"/>
      <c r="AY461" s="241"/>
      <c r="AZ461" s="241"/>
    </row>
    <row r="462" spans="1:52" s="71" customFormat="1" ht="15" hidden="1" customHeight="1" outlineLevel="1" collapsed="1">
      <c r="A462" s="288">
        <v>71</v>
      </c>
      <c r="B462" s="97"/>
      <c r="C462" s="296"/>
      <c r="D462" s="379"/>
      <c r="E462" s="380"/>
      <c r="F462" s="230"/>
      <c r="G462" s="291"/>
      <c r="H462" s="285"/>
      <c r="I462" s="225" t="str">
        <f t="shared" si="87"/>
        <v/>
      </c>
      <c r="J462" s="225" t="str">
        <f t="shared" si="88"/>
        <v/>
      </c>
      <c r="K462" s="231" t="str">
        <f t="shared" si="89"/>
        <v/>
      </c>
      <c r="L462" s="176" t="s">
        <v>165</v>
      </c>
      <c r="M462" s="241"/>
      <c r="N462" s="241"/>
      <c r="O462" s="241"/>
      <c r="P462" s="241"/>
      <c r="Q462" s="241"/>
      <c r="R462" s="241"/>
      <c r="S462" s="241"/>
      <c r="T462" s="241"/>
      <c r="U462" s="241"/>
      <c r="V462" s="241"/>
      <c r="W462" s="241"/>
      <c r="X462" s="241"/>
      <c r="Y462" s="241"/>
      <c r="Z462" s="241"/>
      <c r="AA462" s="241"/>
      <c r="AB462" s="241"/>
      <c r="AC462" s="241"/>
      <c r="AD462" s="241"/>
      <c r="AE462" s="241"/>
      <c r="AF462" s="241"/>
      <c r="AG462" s="241"/>
      <c r="AH462" s="241"/>
      <c r="AI462" s="241"/>
      <c r="AJ462" s="241"/>
      <c r="AK462" s="241"/>
      <c r="AL462" s="241"/>
      <c r="AM462" s="241"/>
      <c r="AN462" s="241"/>
      <c r="AO462" s="241"/>
      <c r="AP462" s="241"/>
      <c r="AQ462" s="241"/>
      <c r="AR462" s="241"/>
      <c r="AS462" s="241"/>
      <c r="AT462" s="241"/>
      <c r="AU462" s="241"/>
      <c r="AV462" s="241"/>
      <c r="AW462" s="241"/>
      <c r="AX462" s="241"/>
      <c r="AY462" s="241"/>
      <c r="AZ462" s="241"/>
    </row>
    <row r="463" spans="1:52" s="71" customFormat="1" ht="15" hidden="1" customHeight="1" outlineLevel="2">
      <c r="A463" s="288">
        <v>72</v>
      </c>
      <c r="B463" s="97"/>
      <c r="C463" s="296"/>
      <c r="D463" s="379"/>
      <c r="E463" s="380"/>
      <c r="F463" s="230"/>
      <c r="G463" s="291"/>
      <c r="H463" s="285"/>
      <c r="I463" s="225" t="str">
        <f t="shared" si="87"/>
        <v/>
      </c>
      <c r="J463" s="225" t="str">
        <f t="shared" si="88"/>
        <v/>
      </c>
      <c r="K463" s="231" t="str">
        <f t="shared" si="89"/>
        <v/>
      </c>
      <c r="L463" s="176"/>
      <c r="M463" s="241"/>
      <c r="N463" s="241"/>
      <c r="O463" s="241"/>
      <c r="P463" s="241"/>
      <c r="Q463" s="241"/>
      <c r="R463" s="241"/>
      <c r="S463" s="241"/>
      <c r="T463" s="241"/>
      <c r="U463" s="241"/>
      <c r="V463" s="241"/>
      <c r="W463" s="241"/>
      <c r="X463" s="241"/>
      <c r="Y463" s="241"/>
      <c r="Z463" s="241"/>
      <c r="AA463" s="241"/>
      <c r="AB463" s="241"/>
      <c r="AC463" s="241"/>
      <c r="AD463" s="241"/>
      <c r="AE463" s="241"/>
      <c r="AF463" s="241"/>
      <c r="AG463" s="241"/>
      <c r="AH463" s="241"/>
      <c r="AI463" s="241"/>
      <c r="AJ463" s="241"/>
      <c r="AK463" s="241"/>
      <c r="AL463" s="241"/>
      <c r="AM463" s="241"/>
      <c r="AN463" s="241"/>
      <c r="AO463" s="241"/>
      <c r="AP463" s="241"/>
      <c r="AQ463" s="241"/>
      <c r="AR463" s="241"/>
      <c r="AS463" s="241"/>
      <c r="AT463" s="241"/>
      <c r="AU463" s="241"/>
      <c r="AV463" s="241"/>
      <c r="AW463" s="241"/>
      <c r="AX463" s="241"/>
      <c r="AY463" s="241"/>
      <c r="AZ463" s="241"/>
    </row>
    <row r="464" spans="1:52" s="71" customFormat="1" ht="15" hidden="1" customHeight="1" outlineLevel="2">
      <c r="A464" s="288">
        <v>73</v>
      </c>
      <c r="B464" s="97"/>
      <c r="C464" s="296"/>
      <c r="D464" s="379"/>
      <c r="E464" s="380"/>
      <c r="F464" s="230"/>
      <c r="G464" s="291"/>
      <c r="H464" s="285"/>
      <c r="I464" s="225" t="str">
        <f t="shared" si="87"/>
        <v/>
      </c>
      <c r="J464" s="225" t="str">
        <f t="shared" si="88"/>
        <v/>
      </c>
      <c r="K464" s="231" t="str">
        <f t="shared" si="89"/>
        <v/>
      </c>
      <c r="L464" s="176"/>
      <c r="M464" s="241"/>
      <c r="N464" s="241"/>
      <c r="O464" s="241"/>
      <c r="P464" s="241"/>
      <c r="Q464" s="241"/>
      <c r="R464" s="241"/>
      <c r="S464" s="241"/>
      <c r="T464" s="241"/>
      <c r="U464" s="241"/>
      <c r="V464" s="241"/>
      <c r="W464" s="241"/>
      <c r="X464" s="241"/>
      <c r="Y464" s="241"/>
      <c r="Z464" s="241"/>
      <c r="AA464" s="241"/>
      <c r="AB464" s="241"/>
      <c r="AC464" s="241"/>
      <c r="AD464" s="241"/>
      <c r="AE464" s="241"/>
      <c r="AF464" s="241"/>
      <c r="AG464" s="241"/>
      <c r="AH464" s="241"/>
      <c r="AI464" s="241"/>
      <c r="AJ464" s="241"/>
      <c r="AK464" s="241"/>
      <c r="AL464" s="241"/>
      <c r="AM464" s="241"/>
      <c r="AN464" s="241"/>
      <c r="AO464" s="241"/>
      <c r="AP464" s="241"/>
      <c r="AQ464" s="241"/>
      <c r="AR464" s="241"/>
      <c r="AS464" s="241"/>
      <c r="AT464" s="241"/>
      <c r="AU464" s="241"/>
      <c r="AV464" s="241"/>
      <c r="AW464" s="241"/>
      <c r="AX464" s="241"/>
      <c r="AY464" s="241"/>
      <c r="AZ464" s="241"/>
    </row>
    <row r="465" spans="1:52" s="71" customFormat="1" ht="15" hidden="1" customHeight="1" outlineLevel="2">
      <c r="A465" s="288">
        <v>74</v>
      </c>
      <c r="B465" s="97"/>
      <c r="C465" s="296"/>
      <c r="D465" s="379"/>
      <c r="E465" s="380"/>
      <c r="F465" s="230"/>
      <c r="G465" s="291"/>
      <c r="H465" s="285"/>
      <c r="I465" s="225" t="str">
        <f t="shared" si="87"/>
        <v/>
      </c>
      <c r="J465" s="225" t="str">
        <f t="shared" si="88"/>
        <v/>
      </c>
      <c r="K465" s="231" t="str">
        <f t="shared" si="89"/>
        <v/>
      </c>
      <c r="L465" s="176"/>
      <c r="M465" s="241"/>
      <c r="N465" s="241"/>
      <c r="O465" s="241"/>
      <c r="P465" s="241"/>
      <c r="Q465" s="241"/>
      <c r="R465" s="241"/>
      <c r="S465" s="241"/>
      <c r="T465" s="241"/>
      <c r="U465" s="241"/>
      <c r="V465" s="241"/>
      <c r="W465" s="241"/>
      <c r="X465" s="241"/>
      <c r="Y465" s="241"/>
      <c r="Z465" s="241"/>
      <c r="AA465" s="241"/>
      <c r="AB465" s="241"/>
      <c r="AC465" s="241"/>
      <c r="AD465" s="241"/>
      <c r="AE465" s="241"/>
      <c r="AF465" s="241"/>
      <c r="AG465" s="241"/>
      <c r="AH465" s="241"/>
      <c r="AI465" s="241"/>
      <c r="AJ465" s="241"/>
      <c r="AK465" s="241"/>
      <c r="AL465" s="241"/>
      <c r="AM465" s="241"/>
      <c r="AN465" s="241"/>
      <c r="AO465" s="241"/>
      <c r="AP465" s="241"/>
      <c r="AQ465" s="241"/>
      <c r="AR465" s="241"/>
      <c r="AS465" s="241"/>
      <c r="AT465" s="241"/>
      <c r="AU465" s="241"/>
      <c r="AV465" s="241"/>
      <c r="AW465" s="241"/>
      <c r="AX465" s="241"/>
      <c r="AY465" s="241"/>
      <c r="AZ465" s="241"/>
    </row>
    <row r="466" spans="1:52" s="71" customFormat="1" ht="15" hidden="1" customHeight="1" outlineLevel="2">
      <c r="A466" s="288">
        <v>75</v>
      </c>
      <c r="B466" s="97"/>
      <c r="C466" s="296"/>
      <c r="D466" s="379"/>
      <c r="E466" s="380"/>
      <c r="F466" s="230"/>
      <c r="G466" s="291"/>
      <c r="H466" s="285"/>
      <c r="I466" s="225" t="str">
        <f t="shared" si="87"/>
        <v/>
      </c>
      <c r="J466" s="225" t="str">
        <f t="shared" si="88"/>
        <v/>
      </c>
      <c r="K466" s="231" t="str">
        <f t="shared" si="89"/>
        <v/>
      </c>
      <c r="L466" s="176"/>
      <c r="M466" s="241"/>
      <c r="N466" s="241"/>
      <c r="O466" s="241"/>
      <c r="P466" s="241"/>
      <c r="Q466" s="241"/>
      <c r="R466" s="241"/>
      <c r="S466" s="241"/>
      <c r="T466" s="241"/>
      <c r="U466" s="241"/>
      <c r="V466" s="241"/>
      <c r="W466" s="241"/>
      <c r="X466" s="241"/>
      <c r="Y466" s="241"/>
      <c r="Z466" s="241"/>
      <c r="AA466" s="241"/>
      <c r="AB466" s="241"/>
      <c r="AC466" s="241"/>
      <c r="AD466" s="241"/>
      <c r="AE466" s="241"/>
      <c r="AF466" s="241"/>
      <c r="AG466" s="241"/>
      <c r="AH466" s="241"/>
      <c r="AI466" s="241"/>
      <c r="AJ466" s="241"/>
      <c r="AK466" s="241"/>
      <c r="AL466" s="241"/>
      <c r="AM466" s="241"/>
      <c r="AN466" s="241"/>
      <c r="AO466" s="241"/>
      <c r="AP466" s="241"/>
      <c r="AQ466" s="241"/>
      <c r="AR466" s="241"/>
      <c r="AS466" s="241"/>
      <c r="AT466" s="241"/>
      <c r="AU466" s="241"/>
      <c r="AV466" s="241"/>
      <c r="AW466" s="241"/>
      <c r="AX466" s="241"/>
      <c r="AY466" s="241"/>
      <c r="AZ466" s="241"/>
    </row>
    <row r="467" spans="1:52" s="71" customFormat="1" ht="15" hidden="1" customHeight="1" outlineLevel="2">
      <c r="A467" s="288">
        <v>76</v>
      </c>
      <c r="B467" s="97"/>
      <c r="C467" s="296"/>
      <c r="D467" s="379"/>
      <c r="E467" s="380"/>
      <c r="F467" s="230"/>
      <c r="G467" s="291"/>
      <c r="H467" s="285"/>
      <c r="I467" s="225" t="str">
        <f t="shared" si="87"/>
        <v/>
      </c>
      <c r="J467" s="225" t="str">
        <f t="shared" si="88"/>
        <v/>
      </c>
      <c r="K467" s="231" t="str">
        <f t="shared" si="89"/>
        <v/>
      </c>
      <c r="L467" s="176"/>
      <c r="M467" s="241"/>
      <c r="N467" s="241"/>
      <c r="O467" s="241"/>
      <c r="P467" s="241"/>
      <c r="Q467" s="241"/>
      <c r="R467" s="241"/>
      <c r="S467" s="241"/>
      <c r="T467" s="241"/>
      <c r="U467" s="241"/>
      <c r="V467" s="241"/>
      <c r="W467" s="241"/>
      <c r="X467" s="241"/>
      <c r="Y467" s="241"/>
      <c r="Z467" s="241"/>
      <c r="AA467" s="241"/>
      <c r="AB467" s="241"/>
      <c r="AC467" s="241"/>
      <c r="AD467" s="241"/>
      <c r="AE467" s="241"/>
      <c r="AF467" s="241"/>
      <c r="AG467" s="241"/>
      <c r="AH467" s="241"/>
      <c r="AI467" s="241"/>
      <c r="AJ467" s="241"/>
      <c r="AK467" s="241"/>
      <c r="AL467" s="241"/>
      <c r="AM467" s="241"/>
      <c r="AN467" s="241"/>
      <c r="AO467" s="241"/>
      <c r="AP467" s="241"/>
      <c r="AQ467" s="241"/>
      <c r="AR467" s="241"/>
      <c r="AS467" s="241"/>
      <c r="AT467" s="241"/>
      <c r="AU467" s="241"/>
      <c r="AV467" s="241"/>
      <c r="AW467" s="241"/>
      <c r="AX467" s="241"/>
      <c r="AY467" s="241"/>
      <c r="AZ467" s="241"/>
    </row>
    <row r="468" spans="1:52" s="71" customFormat="1" ht="15" hidden="1" customHeight="1" outlineLevel="2">
      <c r="A468" s="288">
        <v>77</v>
      </c>
      <c r="B468" s="97"/>
      <c r="C468" s="296"/>
      <c r="D468" s="379"/>
      <c r="E468" s="380"/>
      <c r="F468" s="230"/>
      <c r="G468" s="291"/>
      <c r="H468" s="285"/>
      <c r="I468" s="225" t="str">
        <f t="shared" si="87"/>
        <v/>
      </c>
      <c r="J468" s="225" t="str">
        <f t="shared" si="88"/>
        <v/>
      </c>
      <c r="K468" s="231" t="str">
        <f t="shared" si="89"/>
        <v/>
      </c>
      <c r="L468" s="176"/>
      <c r="M468" s="241"/>
      <c r="N468" s="241"/>
      <c r="O468" s="241"/>
      <c r="P468" s="241"/>
      <c r="Q468" s="241"/>
      <c r="R468" s="241"/>
      <c r="S468" s="241"/>
      <c r="T468" s="241"/>
      <c r="U468" s="241"/>
      <c r="V468" s="241"/>
      <c r="W468" s="241"/>
      <c r="X468" s="241"/>
      <c r="Y468" s="241"/>
      <c r="Z468" s="241"/>
      <c r="AA468" s="241"/>
      <c r="AB468" s="241"/>
      <c r="AC468" s="241"/>
      <c r="AD468" s="241"/>
      <c r="AE468" s="241"/>
      <c r="AF468" s="241"/>
      <c r="AG468" s="241"/>
      <c r="AH468" s="241"/>
      <c r="AI468" s="241"/>
      <c r="AJ468" s="241"/>
      <c r="AK468" s="241"/>
      <c r="AL468" s="241"/>
      <c r="AM468" s="241"/>
      <c r="AN468" s="241"/>
      <c r="AO468" s="241"/>
      <c r="AP468" s="241"/>
      <c r="AQ468" s="241"/>
      <c r="AR468" s="241"/>
      <c r="AS468" s="241"/>
      <c r="AT468" s="241"/>
      <c r="AU468" s="241"/>
      <c r="AV468" s="241"/>
      <c r="AW468" s="241"/>
      <c r="AX468" s="241"/>
      <c r="AY468" s="241"/>
      <c r="AZ468" s="241"/>
    </row>
    <row r="469" spans="1:52" s="71" customFormat="1" ht="15" hidden="1" customHeight="1" outlineLevel="2">
      <c r="A469" s="288">
        <v>78</v>
      </c>
      <c r="B469" s="97"/>
      <c r="C469" s="296"/>
      <c r="D469" s="379"/>
      <c r="E469" s="380"/>
      <c r="F469" s="230"/>
      <c r="G469" s="291"/>
      <c r="H469" s="285"/>
      <c r="I469" s="225" t="str">
        <f t="shared" si="87"/>
        <v/>
      </c>
      <c r="J469" s="225" t="str">
        <f t="shared" si="88"/>
        <v/>
      </c>
      <c r="K469" s="231" t="str">
        <f t="shared" si="89"/>
        <v/>
      </c>
      <c r="L469" s="176"/>
      <c r="M469" s="241"/>
      <c r="N469" s="241"/>
      <c r="O469" s="241"/>
      <c r="P469" s="241"/>
      <c r="Q469" s="241"/>
      <c r="R469" s="241"/>
      <c r="S469" s="241"/>
      <c r="T469" s="241"/>
      <c r="U469" s="241"/>
      <c r="V469" s="241"/>
      <c r="W469" s="241"/>
      <c r="X469" s="241"/>
      <c r="Y469" s="241"/>
      <c r="Z469" s="241"/>
      <c r="AA469" s="241"/>
      <c r="AB469" s="241"/>
      <c r="AC469" s="241"/>
      <c r="AD469" s="241"/>
      <c r="AE469" s="241"/>
      <c r="AF469" s="241"/>
      <c r="AG469" s="241"/>
      <c r="AH469" s="241"/>
      <c r="AI469" s="241"/>
      <c r="AJ469" s="241"/>
      <c r="AK469" s="241"/>
      <c r="AL469" s="241"/>
      <c r="AM469" s="241"/>
      <c r="AN469" s="241"/>
      <c r="AO469" s="241"/>
      <c r="AP469" s="241"/>
      <c r="AQ469" s="241"/>
      <c r="AR469" s="241"/>
      <c r="AS469" s="241"/>
      <c r="AT469" s="241"/>
      <c r="AU469" s="241"/>
      <c r="AV469" s="241"/>
      <c r="AW469" s="241"/>
      <c r="AX469" s="241"/>
      <c r="AY469" s="241"/>
      <c r="AZ469" s="241"/>
    </row>
    <row r="470" spans="1:52" s="71" customFormat="1" ht="15" hidden="1" customHeight="1" outlineLevel="2">
      <c r="A470" s="288">
        <v>79</v>
      </c>
      <c r="B470" s="97"/>
      <c r="C470" s="296"/>
      <c r="D470" s="379"/>
      <c r="E470" s="380"/>
      <c r="F470" s="230"/>
      <c r="G470" s="291"/>
      <c r="H470" s="285"/>
      <c r="I470" s="225" t="str">
        <f t="shared" si="87"/>
        <v/>
      </c>
      <c r="J470" s="225" t="str">
        <f t="shared" si="88"/>
        <v/>
      </c>
      <c r="K470" s="231" t="str">
        <f t="shared" si="89"/>
        <v/>
      </c>
      <c r="L470" s="176"/>
      <c r="M470" s="241"/>
      <c r="N470" s="241"/>
      <c r="O470" s="241"/>
      <c r="P470" s="241"/>
      <c r="Q470" s="241"/>
      <c r="R470" s="241"/>
      <c r="S470" s="241"/>
      <c r="T470" s="241"/>
      <c r="U470" s="241"/>
      <c r="V470" s="241"/>
      <c r="W470" s="241"/>
      <c r="X470" s="241"/>
      <c r="Y470" s="241"/>
      <c r="Z470" s="241"/>
      <c r="AA470" s="241"/>
      <c r="AB470" s="241"/>
      <c r="AC470" s="241"/>
      <c r="AD470" s="241"/>
      <c r="AE470" s="241"/>
      <c r="AF470" s="241"/>
      <c r="AG470" s="241"/>
      <c r="AH470" s="241"/>
      <c r="AI470" s="241"/>
      <c r="AJ470" s="241"/>
      <c r="AK470" s="241"/>
      <c r="AL470" s="241"/>
      <c r="AM470" s="241"/>
      <c r="AN470" s="241"/>
      <c r="AO470" s="241"/>
      <c r="AP470" s="241"/>
      <c r="AQ470" s="241"/>
      <c r="AR470" s="241"/>
      <c r="AS470" s="241"/>
      <c r="AT470" s="241"/>
      <c r="AU470" s="241"/>
      <c r="AV470" s="241"/>
      <c r="AW470" s="241"/>
      <c r="AX470" s="241"/>
      <c r="AY470" s="241"/>
      <c r="AZ470" s="241"/>
    </row>
    <row r="471" spans="1:52" s="71" customFormat="1" ht="15" hidden="1" customHeight="1" outlineLevel="2">
      <c r="A471" s="288">
        <v>80</v>
      </c>
      <c r="B471" s="97"/>
      <c r="C471" s="296"/>
      <c r="D471" s="379"/>
      <c r="E471" s="380"/>
      <c r="F471" s="230"/>
      <c r="G471" s="291"/>
      <c r="H471" s="285"/>
      <c r="I471" s="225" t="str">
        <f t="shared" si="87"/>
        <v/>
      </c>
      <c r="J471" s="225" t="str">
        <f t="shared" si="88"/>
        <v/>
      </c>
      <c r="K471" s="231" t="str">
        <f t="shared" si="89"/>
        <v/>
      </c>
      <c r="L471" s="176"/>
      <c r="M471" s="241"/>
      <c r="N471" s="241"/>
      <c r="O471" s="241"/>
      <c r="P471" s="241"/>
      <c r="Q471" s="241"/>
      <c r="R471" s="241"/>
      <c r="S471" s="241"/>
      <c r="T471" s="241"/>
      <c r="U471" s="241"/>
      <c r="V471" s="241"/>
      <c r="W471" s="241"/>
      <c r="X471" s="241"/>
      <c r="Y471" s="241"/>
      <c r="Z471" s="241"/>
      <c r="AA471" s="241"/>
      <c r="AB471" s="241"/>
      <c r="AC471" s="241"/>
      <c r="AD471" s="241"/>
      <c r="AE471" s="241"/>
      <c r="AF471" s="241"/>
      <c r="AG471" s="241"/>
      <c r="AH471" s="241"/>
      <c r="AI471" s="241"/>
      <c r="AJ471" s="241"/>
      <c r="AK471" s="241"/>
      <c r="AL471" s="241"/>
      <c r="AM471" s="241"/>
      <c r="AN471" s="241"/>
      <c r="AO471" s="241"/>
      <c r="AP471" s="241"/>
      <c r="AQ471" s="241"/>
      <c r="AR471" s="241"/>
      <c r="AS471" s="241"/>
      <c r="AT471" s="241"/>
      <c r="AU471" s="241"/>
      <c r="AV471" s="241"/>
      <c r="AW471" s="241"/>
      <c r="AX471" s="241"/>
      <c r="AY471" s="241"/>
      <c r="AZ471" s="241"/>
    </row>
    <row r="472" spans="1:52" s="71" customFormat="1" ht="15" hidden="1" customHeight="1" outlineLevel="2">
      <c r="A472" s="288">
        <v>81</v>
      </c>
      <c r="B472" s="97"/>
      <c r="C472" s="296"/>
      <c r="D472" s="379"/>
      <c r="E472" s="380"/>
      <c r="F472" s="230"/>
      <c r="G472" s="291"/>
      <c r="H472" s="285"/>
      <c r="I472" s="225" t="str">
        <f t="shared" si="87"/>
        <v/>
      </c>
      <c r="J472" s="225" t="str">
        <f t="shared" si="88"/>
        <v/>
      </c>
      <c r="K472" s="231" t="str">
        <f t="shared" si="89"/>
        <v/>
      </c>
      <c r="L472" s="176"/>
      <c r="M472" s="241"/>
      <c r="N472" s="241"/>
      <c r="O472" s="241"/>
      <c r="P472" s="241"/>
      <c r="Q472" s="241"/>
      <c r="R472" s="241"/>
      <c r="S472" s="241"/>
      <c r="T472" s="241"/>
      <c r="U472" s="241"/>
      <c r="V472" s="241"/>
      <c r="W472" s="241"/>
      <c r="X472" s="241"/>
      <c r="Y472" s="241"/>
      <c r="Z472" s="241"/>
      <c r="AA472" s="241"/>
      <c r="AB472" s="241"/>
      <c r="AC472" s="241"/>
      <c r="AD472" s="241"/>
      <c r="AE472" s="241"/>
      <c r="AF472" s="241"/>
      <c r="AG472" s="241"/>
      <c r="AH472" s="241"/>
      <c r="AI472" s="241"/>
      <c r="AJ472" s="241"/>
      <c r="AK472" s="241"/>
      <c r="AL472" s="241"/>
      <c r="AM472" s="241"/>
      <c r="AN472" s="241"/>
      <c r="AO472" s="241"/>
      <c r="AP472" s="241"/>
      <c r="AQ472" s="241"/>
      <c r="AR472" s="241"/>
      <c r="AS472" s="241"/>
      <c r="AT472" s="241"/>
      <c r="AU472" s="241"/>
      <c r="AV472" s="241"/>
      <c r="AW472" s="241"/>
      <c r="AX472" s="241"/>
      <c r="AY472" s="241"/>
      <c r="AZ472" s="241"/>
    </row>
    <row r="473" spans="1:52" s="71" customFormat="1" ht="15" hidden="1" customHeight="1" outlineLevel="2">
      <c r="A473" s="288">
        <v>82</v>
      </c>
      <c r="B473" s="97"/>
      <c r="C473" s="296"/>
      <c r="D473" s="379"/>
      <c r="E473" s="380"/>
      <c r="F473" s="230"/>
      <c r="G473" s="291"/>
      <c r="H473" s="285"/>
      <c r="I473" s="225" t="str">
        <f t="shared" si="87"/>
        <v/>
      </c>
      <c r="J473" s="225" t="str">
        <f t="shared" si="88"/>
        <v/>
      </c>
      <c r="K473" s="231" t="str">
        <f t="shared" si="89"/>
        <v/>
      </c>
      <c r="L473" s="176"/>
      <c r="M473" s="241"/>
      <c r="N473" s="241"/>
      <c r="O473" s="241"/>
      <c r="P473" s="241"/>
      <c r="Q473" s="241"/>
      <c r="R473" s="241"/>
      <c r="S473" s="241"/>
      <c r="T473" s="241"/>
      <c r="U473" s="241"/>
      <c r="V473" s="241"/>
      <c r="W473" s="241"/>
      <c r="X473" s="241"/>
      <c r="Y473" s="241"/>
      <c r="Z473" s="241"/>
      <c r="AA473" s="241"/>
      <c r="AB473" s="241"/>
      <c r="AC473" s="241"/>
      <c r="AD473" s="241"/>
      <c r="AE473" s="241"/>
      <c r="AF473" s="241"/>
      <c r="AG473" s="241"/>
      <c r="AH473" s="241"/>
      <c r="AI473" s="241"/>
      <c r="AJ473" s="241"/>
      <c r="AK473" s="241"/>
      <c r="AL473" s="241"/>
      <c r="AM473" s="241"/>
      <c r="AN473" s="241"/>
      <c r="AO473" s="241"/>
      <c r="AP473" s="241"/>
      <c r="AQ473" s="241"/>
      <c r="AR473" s="241"/>
      <c r="AS473" s="241"/>
      <c r="AT473" s="241"/>
      <c r="AU473" s="241"/>
      <c r="AV473" s="241"/>
      <c r="AW473" s="241"/>
      <c r="AX473" s="241"/>
      <c r="AY473" s="241"/>
      <c r="AZ473" s="241"/>
    </row>
    <row r="474" spans="1:52" s="71" customFormat="1" ht="15" hidden="1" customHeight="1" outlineLevel="2">
      <c r="A474" s="288">
        <v>83</v>
      </c>
      <c r="B474" s="97"/>
      <c r="C474" s="296"/>
      <c r="D474" s="379"/>
      <c r="E474" s="380"/>
      <c r="F474" s="230"/>
      <c r="G474" s="291"/>
      <c r="H474" s="285"/>
      <c r="I474" s="225" t="str">
        <f t="shared" si="87"/>
        <v/>
      </c>
      <c r="J474" s="225" t="str">
        <f t="shared" si="88"/>
        <v/>
      </c>
      <c r="K474" s="231" t="str">
        <f t="shared" si="89"/>
        <v/>
      </c>
      <c r="L474" s="176"/>
      <c r="M474" s="241"/>
      <c r="N474" s="241"/>
      <c r="O474" s="241"/>
      <c r="P474" s="241"/>
      <c r="Q474" s="241"/>
      <c r="R474" s="241"/>
      <c r="S474" s="241"/>
      <c r="T474" s="241"/>
      <c r="U474" s="241"/>
      <c r="V474" s="241"/>
      <c r="W474" s="241"/>
      <c r="X474" s="241"/>
      <c r="Y474" s="241"/>
      <c r="Z474" s="241"/>
      <c r="AA474" s="241"/>
      <c r="AB474" s="241"/>
      <c r="AC474" s="241"/>
      <c r="AD474" s="241"/>
      <c r="AE474" s="241"/>
      <c r="AF474" s="241"/>
      <c r="AG474" s="241"/>
      <c r="AH474" s="241"/>
      <c r="AI474" s="241"/>
      <c r="AJ474" s="241"/>
      <c r="AK474" s="241"/>
      <c r="AL474" s="241"/>
      <c r="AM474" s="241"/>
      <c r="AN474" s="241"/>
      <c r="AO474" s="241"/>
      <c r="AP474" s="241"/>
      <c r="AQ474" s="241"/>
      <c r="AR474" s="241"/>
      <c r="AS474" s="241"/>
      <c r="AT474" s="241"/>
      <c r="AU474" s="241"/>
      <c r="AV474" s="241"/>
      <c r="AW474" s="241"/>
      <c r="AX474" s="241"/>
      <c r="AY474" s="241"/>
      <c r="AZ474" s="241"/>
    </row>
    <row r="475" spans="1:52" s="71" customFormat="1" ht="15" hidden="1" customHeight="1" outlineLevel="2">
      <c r="A475" s="288">
        <v>84</v>
      </c>
      <c r="B475" s="97"/>
      <c r="C475" s="296"/>
      <c r="D475" s="379"/>
      <c r="E475" s="380"/>
      <c r="F475" s="230"/>
      <c r="G475" s="291"/>
      <c r="H475" s="285"/>
      <c r="I475" s="225" t="str">
        <f t="shared" si="87"/>
        <v/>
      </c>
      <c r="J475" s="225" t="str">
        <f t="shared" si="88"/>
        <v/>
      </c>
      <c r="K475" s="231" t="str">
        <f t="shared" si="89"/>
        <v/>
      </c>
      <c r="L475" s="176"/>
      <c r="M475" s="241"/>
      <c r="N475" s="241"/>
      <c r="O475" s="241"/>
      <c r="P475" s="241"/>
      <c r="Q475" s="241"/>
      <c r="R475" s="241"/>
      <c r="S475" s="241"/>
      <c r="T475" s="241"/>
      <c r="U475" s="241"/>
      <c r="V475" s="241"/>
      <c r="W475" s="241"/>
      <c r="X475" s="241"/>
      <c r="Y475" s="241"/>
      <c r="Z475" s="241"/>
      <c r="AA475" s="241"/>
      <c r="AB475" s="241"/>
      <c r="AC475" s="241"/>
      <c r="AD475" s="241"/>
      <c r="AE475" s="241"/>
      <c r="AF475" s="241"/>
      <c r="AG475" s="241"/>
      <c r="AH475" s="241"/>
      <c r="AI475" s="241"/>
      <c r="AJ475" s="241"/>
      <c r="AK475" s="241"/>
      <c r="AL475" s="241"/>
      <c r="AM475" s="241"/>
      <c r="AN475" s="241"/>
      <c r="AO475" s="241"/>
      <c r="AP475" s="241"/>
      <c r="AQ475" s="241"/>
      <c r="AR475" s="241"/>
      <c r="AS475" s="241"/>
      <c r="AT475" s="241"/>
      <c r="AU475" s="241"/>
      <c r="AV475" s="241"/>
      <c r="AW475" s="241"/>
      <c r="AX475" s="241"/>
      <c r="AY475" s="241"/>
      <c r="AZ475" s="241"/>
    </row>
    <row r="476" spans="1:52" s="71" customFormat="1" ht="15" hidden="1" customHeight="1" outlineLevel="2">
      <c r="A476" s="288">
        <v>85</v>
      </c>
      <c r="B476" s="97"/>
      <c r="C476" s="296"/>
      <c r="D476" s="379"/>
      <c r="E476" s="380"/>
      <c r="F476" s="230"/>
      <c r="G476" s="291"/>
      <c r="H476" s="285"/>
      <c r="I476" s="225" t="str">
        <f t="shared" si="87"/>
        <v/>
      </c>
      <c r="J476" s="225" t="str">
        <f t="shared" si="88"/>
        <v/>
      </c>
      <c r="K476" s="231" t="str">
        <f t="shared" si="89"/>
        <v/>
      </c>
      <c r="L476" s="176"/>
      <c r="M476" s="241"/>
      <c r="N476" s="241"/>
      <c r="O476" s="241"/>
      <c r="P476" s="241"/>
      <c r="Q476" s="241"/>
      <c r="R476" s="241"/>
      <c r="S476" s="241"/>
      <c r="T476" s="241"/>
      <c r="U476" s="241"/>
      <c r="V476" s="241"/>
      <c r="W476" s="241"/>
      <c r="X476" s="241"/>
      <c r="Y476" s="241"/>
      <c r="Z476" s="241"/>
      <c r="AA476" s="241"/>
      <c r="AB476" s="241"/>
      <c r="AC476" s="241"/>
      <c r="AD476" s="241"/>
      <c r="AE476" s="241"/>
      <c r="AF476" s="241"/>
      <c r="AG476" s="241"/>
      <c r="AH476" s="241"/>
      <c r="AI476" s="241"/>
      <c r="AJ476" s="241"/>
      <c r="AK476" s="241"/>
      <c r="AL476" s="241"/>
      <c r="AM476" s="241"/>
      <c r="AN476" s="241"/>
      <c r="AO476" s="241"/>
      <c r="AP476" s="241"/>
      <c r="AQ476" s="241"/>
      <c r="AR476" s="241"/>
      <c r="AS476" s="241"/>
      <c r="AT476" s="241"/>
      <c r="AU476" s="241"/>
      <c r="AV476" s="241"/>
      <c r="AW476" s="241"/>
      <c r="AX476" s="241"/>
      <c r="AY476" s="241"/>
      <c r="AZ476" s="241"/>
    </row>
    <row r="477" spans="1:52" s="71" customFormat="1" ht="15" hidden="1" customHeight="1" outlineLevel="2">
      <c r="A477" s="288">
        <v>86</v>
      </c>
      <c r="B477" s="97"/>
      <c r="C477" s="296"/>
      <c r="D477" s="379"/>
      <c r="E477" s="380"/>
      <c r="F477" s="230"/>
      <c r="G477" s="291"/>
      <c r="H477" s="285"/>
      <c r="I477" s="225" t="str">
        <f t="shared" si="87"/>
        <v/>
      </c>
      <c r="J477" s="225" t="str">
        <f t="shared" si="88"/>
        <v/>
      </c>
      <c r="K477" s="231" t="str">
        <f t="shared" si="89"/>
        <v/>
      </c>
      <c r="L477" s="176"/>
      <c r="M477" s="241"/>
      <c r="N477" s="241"/>
      <c r="O477" s="241"/>
      <c r="P477" s="241"/>
      <c r="Q477" s="241"/>
      <c r="R477" s="241"/>
      <c r="S477" s="241"/>
      <c r="T477" s="241"/>
      <c r="U477" s="241"/>
      <c r="V477" s="241"/>
      <c r="W477" s="241"/>
      <c r="X477" s="241"/>
      <c r="Y477" s="241"/>
      <c r="Z477" s="241"/>
      <c r="AA477" s="241"/>
      <c r="AB477" s="241"/>
      <c r="AC477" s="241"/>
      <c r="AD477" s="241"/>
      <c r="AE477" s="241"/>
      <c r="AF477" s="241"/>
      <c r="AG477" s="241"/>
      <c r="AH477" s="241"/>
      <c r="AI477" s="241"/>
      <c r="AJ477" s="241"/>
      <c r="AK477" s="241"/>
      <c r="AL477" s="241"/>
      <c r="AM477" s="241"/>
      <c r="AN477" s="241"/>
      <c r="AO477" s="241"/>
      <c r="AP477" s="241"/>
      <c r="AQ477" s="241"/>
      <c r="AR477" s="241"/>
      <c r="AS477" s="241"/>
      <c r="AT477" s="241"/>
      <c r="AU477" s="241"/>
      <c r="AV477" s="241"/>
      <c r="AW477" s="241"/>
      <c r="AX477" s="241"/>
      <c r="AY477" s="241"/>
      <c r="AZ477" s="241"/>
    </row>
    <row r="478" spans="1:52" s="71" customFormat="1" ht="15" hidden="1" customHeight="1" outlineLevel="2">
      <c r="A478" s="288">
        <v>87</v>
      </c>
      <c r="B478" s="97"/>
      <c r="C478" s="296"/>
      <c r="D478" s="379"/>
      <c r="E478" s="380"/>
      <c r="F478" s="230"/>
      <c r="G478" s="291"/>
      <c r="H478" s="285"/>
      <c r="I478" s="225" t="str">
        <f t="shared" si="87"/>
        <v/>
      </c>
      <c r="J478" s="225" t="str">
        <f t="shared" si="88"/>
        <v/>
      </c>
      <c r="K478" s="231" t="str">
        <f t="shared" si="89"/>
        <v/>
      </c>
      <c r="L478" s="176"/>
      <c r="M478" s="241"/>
      <c r="N478" s="241"/>
      <c r="O478" s="241"/>
      <c r="P478" s="241"/>
      <c r="Q478" s="241"/>
      <c r="R478" s="241"/>
      <c r="S478" s="241"/>
      <c r="T478" s="241"/>
      <c r="U478" s="241"/>
      <c r="V478" s="241"/>
      <c r="W478" s="241"/>
      <c r="X478" s="241"/>
      <c r="Y478" s="241"/>
      <c r="Z478" s="241"/>
      <c r="AA478" s="241"/>
      <c r="AB478" s="241"/>
      <c r="AC478" s="241"/>
      <c r="AD478" s="241"/>
      <c r="AE478" s="241"/>
      <c r="AF478" s="241"/>
      <c r="AG478" s="241"/>
      <c r="AH478" s="241"/>
      <c r="AI478" s="241"/>
      <c r="AJ478" s="241"/>
      <c r="AK478" s="241"/>
      <c r="AL478" s="241"/>
      <c r="AM478" s="241"/>
      <c r="AN478" s="241"/>
      <c r="AO478" s="241"/>
      <c r="AP478" s="241"/>
      <c r="AQ478" s="241"/>
      <c r="AR478" s="241"/>
      <c r="AS478" s="241"/>
      <c r="AT478" s="241"/>
      <c r="AU478" s="241"/>
      <c r="AV478" s="241"/>
      <c r="AW478" s="241"/>
      <c r="AX478" s="241"/>
      <c r="AY478" s="241"/>
      <c r="AZ478" s="241"/>
    </row>
    <row r="479" spans="1:52" s="71" customFormat="1" ht="15" hidden="1" customHeight="1" outlineLevel="2">
      <c r="A479" s="288">
        <v>88</v>
      </c>
      <c r="B479" s="97"/>
      <c r="C479" s="296"/>
      <c r="D479" s="379"/>
      <c r="E479" s="380"/>
      <c r="F479" s="230"/>
      <c r="G479" s="291"/>
      <c r="H479" s="285"/>
      <c r="I479" s="225" t="str">
        <f t="shared" si="87"/>
        <v/>
      </c>
      <c r="J479" s="225" t="str">
        <f t="shared" si="88"/>
        <v/>
      </c>
      <c r="K479" s="231" t="str">
        <f t="shared" si="89"/>
        <v/>
      </c>
      <c r="L479" s="176"/>
      <c r="M479" s="241"/>
      <c r="N479" s="241"/>
      <c r="O479" s="241"/>
      <c r="P479" s="241"/>
      <c r="Q479" s="241"/>
      <c r="R479" s="241"/>
      <c r="S479" s="241"/>
      <c r="T479" s="241"/>
      <c r="U479" s="241"/>
      <c r="V479" s="241"/>
      <c r="W479" s="241"/>
      <c r="X479" s="241"/>
      <c r="Y479" s="241"/>
      <c r="Z479" s="241"/>
      <c r="AA479" s="241"/>
      <c r="AB479" s="241"/>
      <c r="AC479" s="241"/>
      <c r="AD479" s="241"/>
      <c r="AE479" s="241"/>
      <c r="AF479" s="241"/>
      <c r="AG479" s="241"/>
      <c r="AH479" s="241"/>
      <c r="AI479" s="241"/>
      <c r="AJ479" s="241"/>
      <c r="AK479" s="241"/>
      <c r="AL479" s="241"/>
      <c r="AM479" s="241"/>
      <c r="AN479" s="241"/>
      <c r="AO479" s="241"/>
      <c r="AP479" s="241"/>
      <c r="AQ479" s="241"/>
      <c r="AR479" s="241"/>
      <c r="AS479" s="241"/>
      <c r="AT479" s="241"/>
      <c r="AU479" s="241"/>
      <c r="AV479" s="241"/>
      <c r="AW479" s="241"/>
      <c r="AX479" s="241"/>
      <c r="AY479" s="241"/>
      <c r="AZ479" s="241"/>
    </row>
    <row r="480" spans="1:52" s="71" customFormat="1" ht="15" hidden="1" customHeight="1" outlineLevel="2">
      <c r="A480" s="288">
        <v>89</v>
      </c>
      <c r="B480" s="97"/>
      <c r="C480" s="296"/>
      <c r="D480" s="379"/>
      <c r="E480" s="380"/>
      <c r="F480" s="230"/>
      <c r="G480" s="291"/>
      <c r="H480" s="285"/>
      <c r="I480" s="225" t="str">
        <f t="shared" si="87"/>
        <v/>
      </c>
      <c r="J480" s="225" t="str">
        <f t="shared" si="88"/>
        <v/>
      </c>
      <c r="K480" s="231" t="str">
        <f t="shared" si="89"/>
        <v/>
      </c>
      <c r="L480" s="176"/>
      <c r="M480" s="241"/>
      <c r="N480" s="241"/>
      <c r="O480" s="241"/>
      <c r="P480" s="241"/>
      <c r="Q480" s="241"/>
      <c r="R480" s="241"/>
      <c r="S480" s="241"/>
      <c r="T480" s="241"/>
      <c r="U480" s="241"/>
      <c r="V480" s="241"/>
      <c r="W480" s="241"/>
      <c r="X480" s="241"/>
      <c r="Y480" s="241"/>
      <c r="Z480" s="241"/>
      <c r="AA480" s="241"/>
      <c r="AB480" s="241"/>
      <c r="AC480" s="241"/>
      <c r="AD480" s="241"/>
      <c r="AE480" s="241"/>
      <c r="AF480" s="241"/>
      <c r="AG480" s="241"/>
      <c r="AH480" s="241"/>
      <c r="AI480" s="241"/>
      <c r="AJ480" s="241"/>
      <c r="AK480" s="241"/>
      <c r="AL480" s="241"/>
      <c r="AM480" s="241"/>
      <c r="AN480" s="241"/>
      <c r="AO480" s="241"/>
      <c r="AP480" s="241"/>
      <c r="AQ480" s="241"/>
      <c r="AR480" s="241"/>
      <c r="AS480" s="241"/>
      <c r="AT480" s="241"/>
      <c r="AU480" s="241"/>
      <c r="AV480" s="241"/>
      <c r="AW480" s="241"/>
      <c r="AX480" s="241"/>
      <c r="AY480" s="241"/>
      <c r="AZ480" s="241"/>
    </row>
    <row r="481" spans="1:52" s="71" customFormat="1" ht="15" hidden="1" customHeight="1" outlineLevel="2">
      <c r="A481" s="288">
        <v>90</v>
      </c>
      <c r="B481" s="97"/>
      <c r="C481" s="296"/>
      <c r="D481" s="379"/>
      <c r="E481" s="380"/>
      <c r="F481" s="230"/>
      <c r="G481" s="291"/>
      <c r="H481" s="285"/>
      <c r="I481" s="225" t="str">
        <f t="shared" si="87"/>
        <v/>
      </c>
      <c r="J481" s="225" t="str">
        <f t="shared" si="88"/>
        <v/>
      </c>
      <c r="K481" s="231" t="str">
        <f t="shared" si="89"/>
        <v/>
      </c>
      <c r="L481" s="176"/>
      <c r="M481" s="241"/>
      <c r="N481" s="241"/>
      <c r="O481" s="241"/>
      <c r="P481" s="241"/>
      <c r="Q481" s="241"/>
      <c r="R481" s="241"/>
      <c r="S481" s="241"/>
      <c r="T481" s="241"/>
      <c r="U481" s="241"/>
      <c r="V481" s="241"/>
      <c r="W481" s="241"/>
      <c r="X481" s="241"/>
      <c r="Y481" s="241"/>
      <c r="Z481" s="241"/>
      <c r="AA481" s="241"/>
      <c r="AB481" s="241"/>
      <c r="AC481" s="241"/>
      <c r="AD481" s="241"/>
      <c r="AE481" s="241"/>
      <c r="AF481" s="241"/>
      <c r="AG481" s="241"/>
      <c r="AH481" s="241"/>
      <c r="AI481" s="241"/>
      <c r="AJ481" s="241"/>
      <c r="AK481" s="241"/>
      <c r="AL481" s="241"/>
      <c r="AM481" s="241"/>
      <c r="AN481" s="241"/>
      <c r="AO481" s="241"/>
      <c r="AP481" s="241"/>
      <c r="AQ481" s="241"/>
      <c r="AR481" s="241"/>
      <c r="AS481" s="241"/>
      <c r="AT481" s="241"/>
      <c r="AU481" s="241"/>
      <c r="AV481" s="241"/>
      <c r="AW481" s="241"/>
      <c r="AX481" s="241"/>
      <c r="AY481" s="241"/>
      <c r="AZ481" s="241"/>
    </row>
    <row r="482" spans="1:52" s="71" customFormat="1" ht="15" hidden="1" customHeight="1" outlineLevel="1" collapsed="1">
      <c r="A482" s="288">
        <v>91</v>
      </c>
      <c r="B482" s="97"/>
      <c r="C482" s="296"/>
      <c r="D482" s="379"/>
      <c r="E482" s="380"/>
      <c r="F482" s="230"/>
      <c r="G482" s="291"/>
      <c r="H482" s="285"/>
      <c r="I482" s="225" t="str">
        <f t="shared" si="87"/>
        <v/>
      </c>
      <c r="J482" s="225" t="str">
        <f t="shared" si="88"/>
        <v/>
      </c>
      <c r="K482" s="231" t="str">
        <f t="shared" si="89"/>
        <v/>
      </c>
      <c r="L482" s="176" t="s">
        <v>165</v>
      </c>
      <c r="M482" s="241"/>
      <c r="N482" s="241"/>
      <c r="O482" s="241"/>
      <c r="P482" s="241"/>
      <c r="Q482" s="241"/>
      <c r="R482" s="241"/>
      <c r="S482" s="241"/>
      <c r="T482" s="241"/>
      <c r="U482" s="241"/>
      <c r="V482" s="241"/>
      <c r="W482" s="241"/>
      <c r="X482" s="241"/>
      <c r="Y482" s="241"/>
      <c r="Z482" s="241"/>
      <c r="AA482" s="241"/>
      <c r="AB482" s="241"/>
      <c r="AC482" s="241"/>
      <c r="AD482" s="241"/>
      <c r="AE482" s="241"/>
      <c r="AF482" s="241"/>
      <c r="AG482" s="241"/>
      <c r="AH482" s="241"/>
      <c r="AI482" s="241"/>
      <c r="AJ482" s="241"/>
      <c r="AK482" s="241"/>
      <c r="AL482" s="241"/>
      <c r="AM482" s="241"/>
      <c r="AN482" s="241"/>
      <c r="AO482" s="241"/>
      <c r="AP482" s="241"/>
      <c r="AQ482" s="241"/>
      <c r="AR482" s="241"/>
      <c r="AS482" s="241"/>
      <c r="AT482" s="241"/>
      <c r="AU482" s="241"/>
      <c r="AV482" s="241"/>
      <c r="AW482" s="241"/>
      <c r="AX482" s="241"/>
      <c r="AY482" s="241"/>
      <c r="AZ482" s="241"/>
    </row>
    <row r="483" spans="1:52" s="71" customFormat="1" ht="15" hidden="1" customHeight="1" outlineLevel="2">
      <c r="A483" s="288">
        <v>92</v>
      </c>
      <c r="B483" s="97"/>
      <c r="C483" s="296"/>
      <c r="D483" s="379"/>
      <c r="E483" s="380"/>
      <c r="F483" s="230"/>
      <c r="G483" s="291"/>
      <c r="H483" s="285"/>
      <c r="I483" s="225" t="str">
        <f t="shared" si="87"/>
        <v/>
      </c>
      <c r="J483" s="225" t="str">
        <f t="shared" si="88"/>
        <v/>
      </c>
      <c r="K483" s="231" t="str">
        <f t="shared" si="89"/>
        <v/>
      </c>
      <c r="L483" s="176"/>
      <c r="M483" s="241"/>
      <c r="N483" s="241"/>
      <c r="O483" s="241"/>
      <c r="P483" s="241"/>
      <c r="Q483" s="241"/>
      <c r="R483" s="241"/>
      <c r="S483" s="241"/>
      <c r="T483" s="241"/>
      <c r="U483" s="241"/>
      <c r="V483" s="241"/>
      <c r="W483" s="241"/>
      <c r="X483" s="241"/>
      <c r="Y483" s="241"/>
      <c r="Z483" s="241"/>
      <c r="AA483" s="241"/>
      <c r="AB483" s="241"/>
      <c r="AC483" s="241"/>
      <c r="AD483" s="241"/>
      <c r="AE483" s="241"/>
      <c r="AF483" s="241"/>
      <c r="AG483" s="241"/>
      <c r="AH483" s="241"/>
      <c r="AI483" s="241"/>
      <c r="AJ483" s="241"/>
      <c r="AK483" s="241"/>
      <c r="AL483" s="241"/>
      <c r="AM483" s="241"/>
      <c r="AN483" s="241"/>
      <c r="AO483" s="241"/>
      <c r="AP483" s="241"/>
      <c r="AQ483" s="241"/>
      <c r="AR483" s="241"/>
      <c r="AS483" s="241"/>
      <c r="AT483" s="241"/>
      <c r="AU483" s="241"/>
      <c r="AV483" s="241"/>
      <c r="AW483" s="241"/>
      <c r="AX483" s="241"/>
      <c r="AY483" s="241"/>
      <c r="AZ483" s="241"/>
    </row>
    <row r="484" spans="1:52" s="71" customFormat="1" ht="15" hidden="1" customHeight="1" outlineLevel="2">
      <c r="A484" s="288">
        <v>93</v>
      </c>
      <c r="B484" s="97"/>
      <c r="C484" s="296"/>
      <c r="D484" s="379"/>
      <c r="E484" s="380"/>
      <c r="F484" s="230"/>
      <c r="G484" s="291"/>
      <c r="H484" s="285"/>
      <c r="I484" s="225" t="str">
        <f t="shared" si="87"/>
        <v/>
      </c>
      <c r="J484" s="225" t="str">
        <f t="shared" si="88"/>
        <v/>
      </c>
      <c r="K484" s="231" t="str">
        <f t="shared" si="89"/>
        <v/>
      </c>
      <c r="L484" s="176"/>
      <c r="M484" s="241"/>
      <c r="N484" s="241"/>
      <c r="O484" s="241"/>
      <c r="P484" s="241"/>
      <c r="Q484" s="241"/>
      <c r="R484" s="241"/>
      <c r="S484" s="241"/>
      <c r="T484" s="241"/>
      <c r="U484" s="241"/>
      <c r="V484" s="241"/>
      <c r="W484" s="241"/>
      <c r="X484" s="241"/>
      <c r="Y484" s="241"/>
      <c r="Z484" s="241"/>
      <c r="AA484" s="241"/>
      <c r="AB484" s="241"/>
      <c r="AC484" s="241"/>
      <c r="AD484" s="241"/>
      <c r="AE484" s="241"/>
      <c r="AF484" s="241"/>
      <c r="AG484" s="241"/>
      <c r="AH484" s="241"/>
      <c r="AI484" s="241"/>
      <c r="AJ484" s="241"/>
      <c r="AK484" s="241"/>
      <c r="AL484" s="241"/>
      <c r="AM484" s="241"/>
      <c r="AN484" s="241"/>
      <c r="AO484" s="241"/>
      <c r="AP484" s="241"/>
      <c r="AQ484" s="241"/>
      <c r="AR484" s="241"/>
      <c r="AS484" s="241"/>
      <c r="AT484" s="241"/>
      <c r="AU484" s="241"/>
      <c r="AV484" s="241"/>
      <c r="AW484" s="241"/>
      <c r="AX484" s="241"/>
      <c r="AY484" s="241"/>
      <c r="AZ484" s="241"/>
    </row>
    <row r="485" spans="1:52" s="71" customFormat="1" ht="15" hidden="1" customHeight="1" outlineLevel="2">
      <c r="A485" s="288">
        <v>94</v>
      </c>
      <c r="B485" s="97"/>
      <c r="C485" s="296"/>
      <c r="D485" s="379"/>
      <c r="E485" s="380"/>
      <c r="F485" s="230"/>
      <c r="G485" s="291"/>
      <c r="H485" s="285"/>
      <c r="I485" s="225" t="str">
        <f t="shared" si="87"/>
        <v/>
      </c>
      <c r="J485" s="225" t="str">
        <f t="shared" si="88"/>
        <v/>
      </c>
      <c r="K485" s="231" t="str">
        <f t="shared" si="89"/>
        <v/>
      </c>
      <c r="L485" s="176"/>
      <c r="M485" s="241"/>
      <c r="N485" s="241"/>
      <c r="O485" s="241"/>
      <c r="P485" s="241"/>
      <c r="Q485" s="241"/>
      <c r="R485" s="241"/>
      <c r="S485" s="241"/>
      <c r="T485" s="241"/>
      <c r="U485" s="241"/>
      <c r="V485" s="241"/>
      <c r="W485" s="241"/>
      <c r="X485" s="241"/>
      <c r="Y485" s="241"/>
      <c r="Z485" s="241"/>
      <c r="AA485" s="241"/>
      <c r="AB485" s="241"/>
      <c r="AC485" s="241"/>
      <c r="AD485" s="241"/>
      <c r="AE485" s="241"/>
      <c r="AF485" s="241"/>
      <c r="AG485" s="241"/>
      <c r="AH485" s="241"/>
      <c r="AI485" s="241"/>
      <c r="AJ485" s="241"/>
      <c r="AK485" s="241"/>
      <c r="AL485" s="241"/>
      <c r="AM485" s="241"/>
      <c r="AN485" s="241"/>
      <c r="AO485" s="241"/>
      <c r="AP485" s="241"/>
      <c r="AQ485" s="241"/>
      <c r="AR485" s="241"/>
      <c r="AS485" s="241"/>
      <c r="AT485" s="241"/>
      <c r="AU485" s="241"/>
      <c r="AV485" s="241"/>
      <c r="AW485" s="241"/>
      <c r="AX485" s="241"/>
      <c r="AY485" s="241"/>
      <c r="AZ485" s="241"/>
    </row>
    <row r="486" spans="1:52" s="71" customFormat="1" ht="15" hidden="1" customHeight="1" outlineLevel="2">
      <c r="A486" s="288">
        <v>95</v>
      </c>
      <c r="B486" s="97"/>
      <c r="C486" s="296"/>
      <c r="D486" s="379"/>
      <c r="E486" s="380"/>
      <c r="F486" s="230"/>
      <c r="G486" s="291"/>
      <c r="H486" s="285"/>
      <c r="I486" s="225" t="str">
        <f t="shared" si="87"/>
        <v/>
      </c>
      <c r="J486" s="225" t="str">
        <f t="shared" si="88"/>
        <v/>
      </c>
      <c r="K486" s="231" t="str">
        <f t="shared" si="89"/>
        <v/>
      </c>
      <c r="L486" s="176"/>
      <c r="M486" s="241"/>
      <c r="N486" s="241"/>
      <c r="O486" s="241"/>
      <c r="P486" s="241"/>
      <c r="Q486" s="241"/>
      <c r="R486" s="241"/>
      <c r="S486" s="241"/>
      <c r="T486" s="241"/>
      <c r="U486" s="241"/>
      <c r="V486" s="241"/>
      <c r="W486" s="241"/>
      <c r="X486" s="241"/>
      <c r="Y486" s="241"/>
      <c r="Z486" s="241"/>
      <c r="AA486" s="241"/>
      <c r="AB486" s="241"/>
      <c r="AC486" s="241"/>
      <c r="AD486" s="241"/>
      <c r="AE486" s="241"/>
      <c r="AF486" s="241"/>
      <c r="AG486" s="241"/>
      <c r="AH486" s="241"/>
      <c r="AI486" s="241"/>
      <c r="AJ486" s="241"/>
      <c r="AK486" s="241"/>
      <c r="AL486" s="241"/>
      <c r="AM486" s="241"/>
      <c r="AN486" s="241"/>
      <c r="AO486" s="241"/>
      <c r="AP486" s="241"/>
      <c r="AQ486" s="241"/>
      <c r="AR486" s="241"/>
      <c r="AS486" s="241"/>
      <c r="AT486" s="241"/>
      <c r="AU486" s="241"/>
      <c r="AV486" s="241"/>
      <c r="AW486" s="241"/>
      <c r="AX486" s="241"/>
      <c r="AY486" s="241"/>
      <c r="AZ486" s="241"/>
    </row>
    <row r="487" spans="1:52" s="71" customFormat="1" ht="15" hidden="1" customHeight="1" outlineLevel="2">
      <c r="A487" s="288">
        <v>96</v>
      </c>
      <c r="B487" s="97"/>
      <c r="C487" s="296"/>
      <c r="D487" s="379"/>
      <c r="E487" s="380"/>
      <c r="F487" s="230"/>
      <c r="G487" s="291"/>
      <c r="H487" s="285"/>
      <c r="I487" s="225" t="str">
        <f t="shared" si="87"/>
        <v/>
      </c>
      <c r="J487" s="225" t="str">
        <f t="shared" si="88"/>
        <v/>
      </c>
      <c r="K487" s="231" t="str">
        <f t="shared" si="89"/>
        <v/>
      </c>
      <c r="L487" s="176"/>
      <c r="M487" s="241"/>
      <c r="N487" s="241"/>
      <c r="O487" s="241"/>
      <c r="P487" s="241"/>
      <c r="Q487" s="241"/>
      <c r="R487" s="241"/>
      <c r="S487" s="241"/>
      <c r="T487" s="241"/>
      <c r="U487" s="241"/>
      <c r="V487" s="241"/>
      <c r="W487" s="241"/>
      <c r="X487" s="241"/>
      <c r="Y487" s="241"/>
      <c r="Z487" s="241"/>
      <c r="AA487" s="241"/>
      <c r="AB487" s="241"/>
      <c r="AC487" s="241"/>
      <c r="AD487" s="241"/>
      <c r="AE487" s="241"/>
      <c r="AF487" s="241"/>
      <c r="AG487" s="241"/>
      <c r="AH487" s="241"/>
      <c r="AI487" s="241"/>
      <c r="AJ487" s="241"/>
      <c r="AK487" s="241"/>
      <c r="AL487" s="241"/>
      <c r="AM487" s="241"/>
      <c r="AN487" s="241"/>
      <c r="AO487" s="241"/>
      <c r="AP487" s="241"/>
      <c r="AQ487" s="241"/>
      <c r="AR487" s="241"/>
      <c r="AS487" s="241"/>
      <c r="AT487" s="241"/>
      <c r="AU487" s="241"/>
      <c r="AV487" s="241"/>
      <c r="AW487" s="241"/>
      <c r="AX487" s="241"/>
      <c r="AY487" s="241"/>
      <c r="AZ487" s="241"/>
    </row>
    <row r="488" spans="1:52" s="71" customFormat="1" ht="15" hidden="1" customHeight="1" outlineLevel="2">
      <c r="A488" s="288">
        <v>97</v>
      </c>
      <c r="B488" s="97"/>
      <c r="C488" s="296"/>
      <c r="D488" s="379"/>
      <c r="E488" s="380"/>
      <c r="F488" s="230"/>
      <c r="G488" s="291"/>
      <c r="H488" s="285"/>
      <c r="I488" s="225" t="str">
        <f t="shared" si="87"/>
        <v/>
      </c>
      <c r="J488" s="225" t="str">
        <f t="shared" si="88"/>
        <v/>
      </c>
      <c r="K488" s="231" t="str">
        <f t="shared" si="89"/>
        <v/>
      </c>
      <c r="L488" s="176"/>
      <c r="M488" s="241"/>
      <c r="N488" s="241"/>
      <c r="O488" s="241"/>
      <c r="P488" s="241"/>
      <c r="Q488" s="241"/>
      <c r="R488" s="241"/>
      <c r="S488" s="241"/>
      <c r="T488" s="241"/>
      <c r="U488" s="241"/>
      <c r="V488" s="241"/>
      <c r="W488" s="241"/>
      <c r="X488" s="241"/>
      <c r="Y488" s="241"/>
      <c r="Z488" s="241"/>
      <c r="AA488" s="241"/>
      <c r="AB488" s="241"/>
      <c r="AC488" s="241"/>
      <c r="AD488" s="241"/>
      <c r="AE488" s="241"/>
      <c r="AF488" s="241"/>
      <c r="AG488" s="241"/>
      <c r="AH488" s="241"/>
      <c r="AI488" s="241"/>
      <c r="AJ488" s="241"/>
      <c r="AK488" s="241"/>
      <c r="AL488" s="241"/>
      <c r="AM488" s="241"/>
      <c r="AN488" s="241"/>
      <c r="AO488" s="241"/>
      <c r="AP488" s="241"/>
      <c r="AQ488" s="241"/>
      <c r="AR488" s="241"/>
      <c r="AS488" s="241"/>
      <c r="AT488" s="241"/>
      <c r="AU488" s="241"/>
      <c r="AV488" s="241"/>
      <c r="AW488" s="241"/>
      <c r="AX488" s="241"/>
      <c r="AY488" s="241"/>
      <c r="AZ488" s="241"/>
    </row>
    <row r="489" spans="1:52" s="71" customFormat="1" ht="15" hidden="1" customHeight="1" outlineLevel="2">
      <c r="A489" s="288">
        <v>98</v>
      </c>
      <c r="B489" s="97"/>
      <c r="C489" s="296"/>
      <c r="D489" s="379"/>
      <c r="E489" s="380"/>
      <c r="F489" s="230"/>
      <c r="G489" s="291"/>
      <c r="H489" s="285"/>
      <c r="I489" s="225" t="str">
        <f t="shared" si="87"/>
        <v/>
      </c>
      <c r="J489" s="225" t="str">
        <f t="shared" si="88"/>
        <v/>
      </c>
      <c r="K489" s="231" t="str">
        <f t="shared" si="89"/>
        <v/>
      </c>
      <c r="L489" s="176"/>
      <c r="M489" s="241"/>
      <c r="N489" s="241"/>
      <c r="O489" s="241"/>
      <c r="P489" s="241"/>
      <c r="Q489" s="241"/>
      <c r="R489" s="241"/>
      <c r="S489" s="241"/>
      <c r="T489" s="241"/>
      <c r="U489" s="241"/>
      <c r="V489" s="241"/>
      <c r="W489" s="241"/>
      <c r="X489" s="241"/>
      <c r="Y489" s="241"/>
      <c r="Z489" s="241"/>
      <c r="AA489" s="241"/>
      <c r="AB489" s="241"/>
      <c r="AC489" s="241"/>
      <c r="AD489" s="241"/>
      <c r="AE489" s="241"/>
      <c r="AF489" s="241"/>
      <c r="AG489" s="241"/>
      <c r="AH489" s="241"/>
      <c r="AI489" s="241"/>
      <c r="AJ489" s="241"/>
      <c r="AK489" s="241"/>
      <c r="AL489" s="241"/>
      <c r="AM489" s="241"/>
      <c r="AN489" s="241"/>
      <c r="AO489" s="241"/>
      <c r="AP489" s="241"/>
      <c r="AQ489" s="241"/>
      <c r="AR489" s="241"/>
      <c r="AS489" s="241"/>
      <c r="AT489" s="241"/>
      <c r="AU489" s="241"/>
      <c r="AV489" s="241"/>
      <c r="AW489" s="241"/>
      <c r="AX489" s="241"/>
      <c r="AY489" s="241"/>
      <c r="AZ489" s="241"/>
    </row>
    <row r="490" spans="1:52" s="71" customFormat="1" ht="15" hidden="1" customHeight="1" outlineLevel="2">
      <c r="A490" s="288">
        <v>99</v>
      </c>
      <c r="B490" s="97"/>
      <c r="C490" s="296"/>
      <c r="D490" s="379"/>
      <c r="E490" s="380"/>
      <c r="F490" s="230"/>
      <c r="G490" s="291"/>
      <c r="H490" s="285"/>
      <c r="I490" s="225" t="str">
        <f t="shared" si="87"/>
        <v/>
      </c>
      <c r="J490" s="225" t="str">
        <f t="shared" si="88"/>
        <v/>
      </c>
      <c r="K490" s="231" t="str">
        <f t="shared" si="89"/>
        <v/>
      </c>
      <c r="L490" s="176"/>
      <c r="M490" s="241"/>
      <c r="N490" s="241"/>
      <c r="O490" s="241"/>
      <c r="P490" s="241"/>
      <c r="Q490" s="241"/>
      <c r="R490" s="241"/>
      <c r="S490" s="241"/>
      <c r="T490" s="241"/>
      <c r="U490" s="241"/>
      <c r="V490" s="241"/>
      <c r="W490" s="241"/>
      <c r="X490" s="241"/>
      <c r="Y490" s="241"/>
      <c r="Z490" s="241"/>
      <c r="AA490" s="241"/>
      <c r="AB490" s="241"/>
      <c r="AC490" s="241"/>
      <c r="AD490" s="241"/>
      <c r="AE490" s="241"/>
      <c r="AF490" s="241"/>
      <c r="AG490" s="241"/>
      <c r="AH490" s="241"/>
      <c r="AI490" s="241"/>
      <c r="AJ490" s="241"/>
      <c r="AK490" s="241"/>
      <c r="AL490" s="241"/>
      <c r="AM490" s="241"/>
      <c r="AN490" s="241"/>
      <c r="AO490" s="241"/>
      <c r="AP490" s="241"/>
      <c r="AQ490" s="241"/>
      <c r="AR490" s="241"/>
      <c r="AS490" s="241"/>
      <c r="AT490" s="241"/>
      <c r="AU490" s="241"/>
      <c r="AV490" s="241"/>
      <c r="AW490" s="241"/>
      <c r="AX490" s="241"/>
      <c r="AY490" s="241"/>
      <c r="AZ490" s="241"/>
    </row>
    <row r="491" spans="1:52" s="71" customFormat="1" ht="15" hidden="1" customHeight="1" outlineLevel="2">
      <c r="A491" s="288">
        <v>100</v>
      </c>
      <c r="B491" s="97"/>
      <c r="C491" s="296"/>
      <c r="D491" s="379"/>
      <c r="E491" s="380"/>
      <c r="F491" s="230"/>
      <c r="G491" s="291"/>
      <c r="H491" s="285"/>
      <c r="I491" s="225" t="str">
        <f t="shared" si="87"/>
        <v/>
      </c>
      <c r="J491" s="225" t="str">
        <f t="shared" si="88"/>
        <v/>
      </c>
      <c r="K491" s="231" t="str">
        <f t="shared" si="89"/>
        <v/>
      </c>
      <c r="L491" s="176"/>
      <c r="M491" s="241"/>
      <c r="N491" s="241"/>
      <c r="O491" s="241"/>
      <c r="P491" s="241"/>
      <c r="Q491" s="241"/>
      <c r="R491" s="241"/>
      <c r="S491" s="241"/>
      <c r="T491" s="241"/>
      <c r="U491" s="241"/>
      <c r="V491" s="241"/>
      <c r="W491" s="241"/>
      <c r="X491" s="241"/>
      <c r="Y491" s="241"/>
      <c r="Z491" s="241"/>
      <c r="AA491" s="241"/>
      <c r="AB491" s="241"/>
      <c r="AC491" s="241"/>
      <c r="AD491" s="241"/>
      <c r="AE491" s="241"/>
      <c r="AF491" s="241"/>
      <c r="AG491" s="241"/>
      <c r="AH491" s="241"/>
      <c r="AI491" s="241"/>
      <c r="AJ491" s="241"/>
      <c r="AK491" s="241"/>
      <c r="AL491" s="241"/>
      <c r="AM491" s="241"/>
      <c r="AN491" s="241"/>
      <c r="AO491" s="241"/>
      <c r="AP491" s="241"/>
      <c r="AQ491" s="241"/>
      <c r="AR491" s="241"/>
      <c r="AS491" s="241"/>
      <c r="AT491" s="241"/>
      <c r="AU491" s="241"/>
      <c r="AV491" s="241"/>
      <c r="AW491" s="241"/>
      <c r="AX491" s="241"/>
      <c r="AY491" s="241"/>
      <c r="AZ491" s="241"/>
    </row>
    <row r="492" spans="1:52" s="71" customFormat="1" ht="15" hidden="1" customHeight="1" outlineLevel="2">
      <c r="A492" s="288">
        <v>101</v>
      </c>
      <c r="B492" s="97"/>
      <c r="C492" s="296"/>
      <c r="D492" s="379"/>
      <c r="E492" s="380"/>
      <c r="F492" s="230"/>
      <c r="G492" s="291"/>
      <c r="H492" s="285"/>
      <c r="I492" s="225" t="str">
        <f t="shared" si="87"/>
        <v/>
      </c>
      <c r="J492" s="225" t="str">
        <f t="shared" si="88"/>
        <v/>
      </c>
      <c r="K492" s="231" t="str">
        <f t="shared" si="89"/>
        <v/>
      </c>
      <c r="L492" s="176"/>
      <c r="M492" s="241"/>
      <c r="N492" s="241"/>
      <c r="O492" s="241"/>
      <c r="P492" s="241"/>
      <c r="Q492" s="241"/>
      <c r="R492" s="241"/>
      <c r="S492" s="241"/>
      <c r="T492" s="241"/>
      <c r="U492" s="241"/>
      <c r="V492" s="241"/>
      <c r="W492" s="241"/>
      <c r="X492" s="241"/>
      <c r="Y492" s="241"/>
      <c r="Z492" s="241"/>
      <c r="AA492" s="241"/>
      <c r="AB492" s="241"/>
      <c r="AC492" s="241"/>
      <c r="AD492" s="241"/>
      <c r="AE492" s="241"/>
      <c r="AF492" s="241"/>
      <c r="AG492" s="241"/>
      <c r="AH492" s="241"/>
      <c r="AI492" s="241"/>
      <c r="AJ492" s="241"/>
      <c r="AK492" s="241"/>
      <c r="AL492" s="241"/>
      <c r="AM492" s="241"/>
      <c r="AN492" s="241"/>
      <c r="AO492" s="241"/>
      <c r="AP492" s="241"/>
      <c r="AQ492" s="241"/>
      <c r="AR492" s="241"/>
      <c r="AS492" s="241"/>
      <c r="AT492" s="241"/>
      <c r="AU492" s="241"/>
      <c r="AV492" s="241"/>
      <c r="AW492" s="241"/>
      <c r="AX492" s="241"/>
      <c r="AY492" s="241"/>
      <c r="AZ492" s="241"/>
    </row>
    <row r="493" spans="1:52" s="71" customFormat="1" ht="15" hidden="1" customHeight="1" outlineLevel="2">
      <c r="A493" s="288">
        <v>102</v>
      </c>
      <c r="B493" s="97"/>
      <c r="C493" s="296"/>
      <c r="D493" s="379"/>
      <c r="E493" s="380"/>
      <c r="F493" s="230"/>
      <c r="G493" s="291"/>
      <c r="H493" s="285"/>
      <c r="I493" s="225" t="str">
        <f t="shared" si="87"/>
        <v/>
      </c>
      <c r="J493" s="225" t="str">
        <f t="shared" si="88"/>
        <v/>
      </c>
      <c r="K493" s="231" t="str">
        <f t="shared" si="89"/>
        <v/>
      </c>
      <c r="L493" s="176"/>
      <c r="M493" s="241"/>
      <c r="N493" s="241"/>
      <c r="O493" s="241"/>
      <c r="P493" s="241"/>
      <c r="Q493" s="241"/>
      <c r="R493" s="241"/>
      <c r="S493" s="241"/>
      <c r="T493" s="241"/>
      <c r="U493" s="241"/>
      <c r="V493" s="241"/>
      <c r="W493" s="241"/>
      <c r="X493" s="241"/>
      <c r="Y493" s="241"/>
      <c r="Z493" s="241"/>
      <c r="AA493" s="241"/>
      <c r="AB493" s="241"/>
      <c r="AC493" s="241"/>
      <c r="AD493" s="241"/>
      <c r="AE493" s="241"/>
      <c r="AF493" s="241"/>
      <c r="AG493" s="241"/>
      <c r="AH493" s="241"/>
      <c r="AI493" s="241"/>
      <c r="AJ493" s="241"/>
      <c r="AK493" s="241"/>
      <c r="AL493" s="241"/>
      <c r="AM493" s="241"/>
      <c r="AN493" s="241"/>
      <c r="AO493" s="241"/>
      <c r="AP493" s="241"/>
      <c r="AQ493" s="241"/>
      <c r="AR493" s="241"/>
      <c r="AS493" s="241"/>
      <c r="AT493" s="241"/>
      <c r="AU493" s="241"/>
      <c r="AV493" s="241"/>
      <c r="AW493" s="241"/>
      <c r="AX493" s="241"/>
      <c r="AY493" s="241"/>
      <c r="AZ493" s="241"/>
    </row>
    <row r="494" spans="1:52" s="71" customFormat="1" ht="15" hidden="1" customHeight="1" outlineLevel="2">
      <c r="A494" s="288">
        <v>103</v>
      </c>
      <c r="B494" s="97"/>
      <c r="C494" s="296"/>
      <c r="D494" s="379"/>
      <c r="E494" s="380"/>
      <c r="F494" s="230"/>
      <c r="G494" s="291"/>
      <c r="H494" s="285"/>
      <c r="I494" s="225" t="str">
        <f t="shared" si="87"/>
        <v/>
      </c>
      <c r="J494" s="225" t="str">
        <f t="shared" si="88"/>
        <v/>
      </c>
      <c r="K494" s="231" t="str">
        <f t="shared" si="89"/>
        <v/>
      </c>
      <c r="L494" s="176"/>
      <c r="M494" s="241"/>
      <c r="N494" s="241"/>
      <c r="O494" s="241"/>
      <c r="P494" s="241"/>
      <c r="Q494" s="241"/>
      <c r="R494" s="241"/>
      <c r="S494" s="241"/>
      <c r="T494" s="241"/>
      <c r="U494" s="241"/>
      <c r="V494" s="241"/>
      <c r="W494" s="241"/>
      <c r="X494" s="241"/>
      <c r="Y494" s="241"/>
      <c r="Z494" s="241"/>
      <c r="AA494" s="241"/>
      <c r="AB494" s="241"/>
      <c r="AC494" s="241"/>
      <c r="AD494" s="241"/>
      <c r="AE494" s="241"/>
      <c r="AF494" s="241"/>
      <c r="AG494" s="241"/>
      <c r="AH494" s="241"/>
      <c r="AI494" s="241"/>
      <c r="AJ494" s="241"/>
      <c r="AK494" s="241"/>
      <c r="AL494" s="241"/>
      <c r="AM494" s="241"/>
      <c r="AN494" s="241"/>
      <c r="AO494" s="241"/>
      <c r="AP494" s="241"/>
      <c r="AQ494" s="241"/>
      <c r="AR494" s="241"/>
      <c r="AS494" s="241"/>
      <c r="AT494" s="241"/>
      <c r="AU494" s="241"/>
      <c r="AV494" s="241"/>
      <c r="AW494" s="241"/>
      <c r="AX494" s="241"/>
      <c r="AY494" s="241"/>
      <c r="AZ494" s="241"/>
    </row>
    <row r="495" spans="1:52" s="71" customFormat="1" ht="15" hidden="1" customHeight="1" outlineLevel="2">
      <c r="A495" s="288">
        <v>104</v>
      </c>
      <c r="B495" s="97"/>
      <c r="C495" s="296"/>
      <c r="D495" s="379"/>
      <c r="E495" s="380"/>
      <c r="F495" s="230"/>
      <c r="G495" s="291"/>
      <c r="H495" s="285"/>
      <c r="I495" s="225" t="str">
        <f t="shared" si="87"/>
        <v/>
      </c>
      <c r="J495" s="225" t="str">
        <f t="shared" si="88"/>
        <v/>
      </c>
      <c r="K495" s="231" t="str">
        <f t="shared" si="89"/>
        <v/>
      </c>
      <c r="L495" s="176"/>
      <c r="M495" s="241"/>
      <c r="N495" s="241"/>
      <c r="O495" s="241"/>
      <c r="P495" s="241"/>
      <c r="Q495" s="241"/>
      <c r="R495" s="241"/>
      <c r="S495" s="241"/>
      <c r="T495" s="241"/>
      <c r="U495" s="241"/>
      <c r="V495" s="241"/>
      <c r="W495" s="241"/>
      <c r="X495" s="241"/>
      <c r="Y495" s="241"/>
      <c r="Z495" s="241"/>
      <c r="AA495" s="241"/>
      <c r="AB495" s="241"/>
      <c r="AC495" s="241"/>
      <c r="AD495" s="241"/>
      <c r="AE495" s="241"/>
      <c r="AF495" s="241"/>
      <c r="AG495" s="241"/>
      <c r="AH495" s="241"/>
      <c r="AI495" s="241"/>
      <c r="AJ495" s="241"/>
      <c r="AK495" s="241"/>
      <c r="AL495" s="241"/>
      <c r="AM495" s="241"/>
      <c r="AN495" s="241"/>
      <c r="AO495" s="241"/>
      <c r="AP495" s="241"/>
      <c r="AQ495" s="241"/>
      <c r="AR495" s="241"/>
      <c r="AS495" s="241"/>
      <c r="AT495" s="241"/>
      <c r="AU495" s="241"/>
      <c r="AV495" s="241"/>
      <c r="AW495" s="241"/>
      <c r="AX495" s="241"/>
      <c r="AY495" s="241"/>
      <c r="AZ495" s="241"/>
    </row>
    <row r="496" spans="1:52" s="71" customFormat="1" ht="15" hidden="1" customHeight="1" outlineLevel="2">
      <c r="A496" s="288">
        <v>105</v>
      </c>
      <c r="B496" s="97"/>
      <c r="C496" s="296"/>
      <c r="D496" s="379"/>
      <c r="E496" s="380"/>
      <c r="F496" s="230"/>
      <c r="G496" s="291"/>
      <c r="H496" s="285"/>
      <c r="I496" s="225" t="str">
        <f t="shared" si="87"/>
        <v/>
      </c>
      <c r="J496" s="225" t="str">
        <f t="shared" si="88"/>
        <v/>
      </c>
      <c r="K496" s="231" t="str">
        <f t="shared" si="89"/>
        <v/>
      </c>
      <c r="L496" s="176"/>
      <c r="M496" s="241"/>
      <c r="N496" s="241"/>
      <c r="O496" s="241"/>
      <c r="P496" s="241"/>
      <c r="Q496" s="241"/>
      <c r="R496" s="241"/>
      <c r="S496" s="241"/>
      <c r="T496" s="241"/>
      <c r="U496" s="241"/>
      <c r="V496" s="241"/>
      <c r="W496" s="241"/>
      <c r="X496" s="241"/>
      <c r="Y496" s="241"/>
      <c r="Z496" s="241"/>
      <c r="AA496" s="241"/>
      <c r="AB496" s="241"/>
      <c r="AC496" s="241"/>
      <c r="AD496" s="241"/>
      <c r="AE496" s="241"/>
      <c r="AF496" s="241"/>
      <c r="AG496" s="241"/>
      <c r="AH496" s="241"/>
      <c r="AI496" s="241"/>
      <c r="AJ496" s="241"/>
      <c r="AK496" s="241"/>
      <c r="AL496" s="241"/>
      <c r="AM496" s="241"/>
      <c r="AN496" s="241"/>
      <c r="AO496" s="241"/>
      <c r="AP496" s="241"/>
      <c r="AQ496" s="241"/>
      <c r="AR496" s="241"/>
      <c r="AS496" s="241"/>
      <c r="AT496" s="241"/>
      <c r="AU496" s="241"/>
      <c r="AV496" s="241"/>
      <c r="AW496" s="241"/>
      <c r="AX496" s="241"/>
      <c r="AY496" s="241"/>
      <c r="AZ496" s="241"/>
    </row>
    <row r="497" spans="1:52" s="71" customFormat="1" ht="15" hidden="1" customHeight="1" outlineLevel="2">
      <c r="A497" s="288">
        <v>106</v>
      </c>
      <c r="B497" s="97"/>
      <c r="C497" s="296"/>
      <c r="D497" s="379"/>
      <c r="E497" s="380"/>
      <c r="F497" s="230"/>
      <c r="G497" s="291"/>
      <c r="H497" s="285"/>
      <c r="I497" s="225" t="str">
        <f t="shared" si="87"/>
        <v/>
      </c>
      <c r="J497" s="225" t="str">
        <f t="shared" si="88"/>
        <v/>
      </c>
      <c r="K497" s="231" t="str">
        <f t="shared" si="89"/>
        <v/>
      </c>
      <c r="L497" s="176"/>
      <c r="M497" s="241"/>
      <c r="N497" s="241"/>
      <c r="O497" s="241"/>
      <c r="P497" s="241"/>
      <c r="Q497" s="241"/>
      <c r="R497" s="241"/>
      <c r="S497" s="241"/>
      <c r="T497" s="241"/>
      <c r="U497" s="241"/>
      <c r="V497" s="241"/>
      <c r="W497" s="241"/>
      <c r="X497" s="241"/>
      <c r="Y497" s="241"/>
      <c r="Z497" s="241"/>
      <c r="AA497" s="241"/>
      <c r="AB497" s="241"/>
      <c r="AC497" s="241"/>
      <c r="AD497" s="241"/>
      <c r="AE497" s="241"/>
      <c r="AF497" s="241"/>
      <c r="AG497" s="241"/>
      <c r="AH497" s="241"/>
      <c r="AI497" s="241"/>
      <c r="AJ497" s="241"/>
      <c r="AK497" s="241"/>
      <c r="AL497" s="241"/>
      <c r="AM497" s="241"/>
      <c r="AN497" s="241"/>
      <c r="AO497" s="241"/>
      <c r="AP497" s="241"/>
      <c r="AQ497" s="241"/>
      <c r="AR497" s="241"/>
      <c r="AS497" s="241"/>
      <c r="AT497" s="241"/>
      <c r="AU497" s="241"/>
      <c r="AV497" s="241"/>
      <c r="AW497" s="241"/>
      <c r="AX497" s="241"/>
      <c r="AY497" s="241"/>
      <c r="AZ497" s="241"/>
    </row>
    <row r="498" spans="1:52" s="71" customFormat="1" ht="15" hidden="1" customHeight="1" outlineLevel="2">
      <c r="A498" s="288">
        <v>107</v>
      </c>
      <c r="B498" s="97"/>
      <c r="C498" s="296"/>
      <c r="D498" s="379"/>
      <c r="E498" s="380"/>
      <c r="F498" s="230"/>
      <c r="G498" s="291"/>
      <c r="H498" s="285"/>
      <c r="I498" s="225" t="str">
        <f t="shared" si="87"/>
        <v/>
      </c>
      <c r="J498" s="225" t="str">
        <f t="shared" si="88"/>
        <v/>
      </c>
      <c r="K498" s="231" t="str">
        <f t="shared" si="89"/>
        <v/>
      </c>
      <c r="L498" s="176"/>
      <c r="M498" s="241"/>
      <c r="N498" s="241"/>
      <c r="O498" s="241"/>
      <c r="P498" s="241"/>
      <c r="Q498" s="241"/>
      <c r="R498" s="241"/>
      <c r="S498" s="241"/>
      <c r="T498" s="241"/>
      <c r="U498" s="241"/>
      <c r="V498" s="241"/>
      <c r="W498" s="241"/>
      <c r="X498" s="241"/>
      <c r="Y498" s="241"/>
      <c r="Z498" s="241"/>
      <c r="AA498" s="241"/>
      <c r="AB498" s="241"/>
      <c r="AC498" s="241"/>
      <c r="AD498" s="241"/>
      <c r="AE498" s="241"/>
      <c r="AF498" s="241"/>
      <c r="AG498" s="241"/>
      <c r="AH498" s="241"/>
      <c r="AI498" s="241"/>
      <c r="AJ498" s="241"/>
      <c r="AK498" s="241"/>
      <c r="AL498" s="241"/>
      <c r="AM498" s="241"/>
      <c r="AN498" s="241"/>
      <c r="AO498" s="241"/>
      <c r="AP498" s="241"/>
      <c r="AQ498" s="241"/>
      <c r="AR498" s="241"/>
      <c r="AS498" s="241"/>
      <c r="AT498" s="241"/>
      <c r="AU498" s="241"/>
      <c r="AV498" s="241"/>
      <c r="AW498" s="241"/>
      <c r="AX498" s="241"/>
      <c r="AY498" s="241"/>
      <c r="AZ498" s="241"/>
    </row>
    <row r="499" spans="1:52" s="71" customFormat="1" ht="15" hidden="1" customHeight="1" outlineLevel="2">
      <c r="A499" s="288">
        <v>108</v>
      </c>
      <c r="B499" s="97"/>
      <c r="C499" s="296"/>
      <c r="D499" s="379"/>
      <c r="E499" s="380"/>
      <c r="F499" s="230"/>
      <c r="G499" s="291"/>
      <c r="H499" s="285"/>
      <c r="I499" s="225" t="str">
        <f t="shared" si="87"/>
        <v/>
      </c>
      <c r="J499" s="225" t="str">
        <f t="shared" si="88"/>
        <v/>
      </c>
      <c r="K499" s="231" t="str">
        <f t="shared" si="89"/>
        <v/>
      </c>
      <c r="L499" s="176"/>
      <c r="M499" s="241"/>
      <c r="N499" s="241"/>
      <c r="O499" s="241"/>
      <c r="P499" s="241"/>
      <c r="Q499" s="241"/>
      <c r="R499" s="241"/>
      <c r="S499" s="241"/>
      <c r="T499" s="241"/>
      <c r="U499" s="241"/>
      <c r="V499" s="241"/>
      <c r="W499" s="241"/>
      <c r="X499" s="241"/>
      <c r="Y499" s="241"/>
      <c r="Z499" s="241"/>
      <c r="AA499" s="241"/>
      <c r="AB499" s="241"/>
      <c r="AC499" s="241"/>
      <c r="AD499" s="241"/>
      <c r="AE499" s="241"/>
      <c r="AF499" s="241"/>
      <c r="AG499" s="241"/>
      <c r="AH499" s="241"/>
      <c r="AI499" s="241"/>
      <c r="AJ499" s="241"/>
      <c r="AK499" s="241"/>
      <c r="AL499" s="241"/>
      <c r="AM499" s="241"/>
      <c r="AN499" s="241"/>
      <c r="AO499" s="241"/>
      <c r="AP499" s="241"/>
      <c r="AQ499" s="241"/>
      <c r="AR499" s="241"/>
      <c r="AS499" s="241"/>
      <c r="AT499" s="241"/>
      <c r="AU499" s="241"/>
      <c r="AV499" s="241"/>
      <c r="AW499" s="241"/>
      <c r="AX499" s="241"/>
      <c r="AY499" s="241"/>
      <c r="AZ499" s="241"/>
    </row>
    <row r="500" spans="1:52" s="71" customFormat="1" ht="15" hidden="1" customHeight="1" outlineLevel="2">
      <c r="A500" s="288">
        <v>109</v>
      </c>
      <c r="B500" s="97"/>
      <c r="C500" s="296"/>
      <c r="D500" s="379"/>
      <c r="E500" s="380"/>
      <c r="F500" s="230"/>
      <c r="G500" s="291"/>
      <c r="H500" s="285"/>
      <c r="I500" s="225" t="str">
        <f t="shared" si="87"/>
        <v/>
      </c>
      <c r="J500" s="225" t="str">
        <f t="shared" si="88"/>
        <v/>
      </c>
      <c r="K500" s="231" t="str">
        <f t="shared" si="89"/>
        <v/>
      </c>
      <c r="L500" s="176"/>
      <c r="M500" s="241"/>
      <c r="N500" s="241"/>
      <c r="O500" s="241"/>
      <c r="P500" s="241"/>
      <c r="Q500" s="241"/>
      <c r="R500" s="241"/>
      <c r="S500" s="241"/>
      <c r="T500" s="241"/>
      <c r="U500" s="241"/>
      <c r="V500" s="241"/>
      <c r="W500" s="241"/>
      <c r="X500" s="241"/>
      <c r="Y500" s="241"/>
      <c r="Z500" s="241"/>
      <c r="AA500" s="241"/>
      <c r="AB500" s="241"/>
      <c r="AC500" s="241"/>
      <c r="AD500" s="241"/>
      <c r="AE500" s="241"/>
      <c r="AF500" s="241"/>
      <c r="AG500" s="241"/>
      <c r="AH500" s="241"/>
      <c r="AI500" s="241"/>
      <c r="AJ500" s="241"/>
      <c r="AK500" s="241"/>
      <c r="AL500" s="241"/>
      <c r="AM500" s="241"/>
      <c r="AN500" s="241"/>
      <c r="AO500" s="241"/>
      <c r="AP500" s="241"/>
      <c r="AQ500" s="241"/>
      <c r="AR500" s="241"/>
      <c r="AS500" s="241"/>
      <c r="AT500" s="241"/>
      <c r="AU500" s="241"/>
      <c r="AV500" s="241"/>
      <c r="AW500" s="241"/>
      <c r="AX500" s="241"/>
      <c r="AY500" s="241"/>
      <c r="AZ500" s="241"/>
    </row>
    <row r="501" spans="1:52" s="71" customFormat="1" ht="15" hidden="1" customHeight="1" outlineLevel="2">
      <c r="A501" s="288">
        <v>110</v>
      </c>
      <c r="B501" s="97"/>
      <c r="C501" s="296"/>
      <c r="D501" s="379"/>
      <c r="E501" s="380"/>
      <c r="F501" s="230"/>
      <c r="G501" s="291"/>
      <c r="H501" s="285"/>
      <c r="I501" s="225" t="str">
        <f t="shared" si="87"/>
        <v/>
      </c>
      <c r="J501" s="225" t="str">
        <f t="shared" si="88"/>
        <v/>
      </c>
      <c r="K501" s="231" t="str">
        <f t="shared" si="89"/>
        <v/>
      </c>
      <c r="L501" s="176"/>
      <c r="M501" s="241"/>
      <c r="N501" s="241"/>
      <c r="O501" s="241"/>
      <c r="P501" s="241"/>
      <c r="Q501" s="241"/>
      <c r="R501" s="241"/>
      <c r="S501" s="241"/>
      <c r="T501" s="241"/>
      <c r="U501" s="241"/>
      <c r="V501" s="241"/>
      <c r="W501" s="241"/>
      <c r="X501" s="241"/>
      <c r="Y501" s="241"/>
      <c r="Z501" s="241"/>
      <c r="AA501" s="241"/>
      <c r="AB501" s="241"/>
      <c r="AC501" s="241"/>
      <c r="AD501" s="241"/>
      <c r="AE501" s="241"/>
      <c r="AF501" s="241"/>
      <c r="AG501" s="241"/>
      <c r="AH501" s="241"/>
      <c r="AI501" s="241"/>
      <c r="AJ501" s="241"/>
      <c r="AK501" s="241"/>
      <c r="AL501" s="241"/>
      <c r="AM501" s="241"/>
      <c r="AN501" s="241"/>
      <c r="AO501" s="241"/>
      <c r="AP501" s="241"/>
      <c r="AQ501" s="241"/>
      <c r="AR501" s="241"/>
      <c r="AS501" s="241"/>
      <c r="AT501" s="241"/>
      <c r="AU501" s="241"/>
      <c r="AV501" s="241"/>
      <c r="AW501" s="241"/>
      <c r="AX501" s="241"/>
      <c r="AY501" s="241"/>
      <c r="AZ501" s="241"/>
    </row>
    <row r="502" spans="1:52" s="71" customFormat="1" ht="15" hidden="1" customHeight="1" outlineLevel="1" collapsed="1">
      <c r="A502" s="288"/>
      <c r="B502" s="304"/>
      <c r="C502" s="305"/>
      <c r="D502" s="153"/>
      <c r="E502" s="329"/>
      <c r="F502" s="276"/>
      <c r="G502" s="276"/>
      <c r="H502" s="276"/>
      <c r="I502" s="276"/>
      <c r="J502" s="276"/>
      <c r="K502" s="292"/>
      <c r="L502" s="176"/>
      <c r="M502" s="241"/>
      <c r="N502" s="241"/>
      <c r="O502" s="241"/>
      <c r="P502" s="241"/>
      <c r="Q502" s="241"/>
      <c r="R502" s="241"/>
      <c r="S502" s="241"/>
      <c r="T502" s="241"/>
      <c r="U502" s="241"/>
      <c r="V502" s="241"/>
      <c r="W502" s="241"/>
      <c r="X502" s="241"/>
      <c r="Y502" s="241"/>
      <c r="Z502" s="241"/>
      <c r="AA502" s="241"/>
      <c r="AB502" s="241"/>
      <c r="AC502" s="241"/>
      <c r="AD502" s="241"/>
      <c r="AE502" s="241"/>
      <c r="AF502" s="241"/>
      <c r="AG502" s="241"/>
      <c r="AH502" s="241"/>
      <c r="AI502" s="241"/>
      <c r="AJ502" s="241"/>
      <c r="AK502" s="241"/>
      <c r="AL502" s="241"/>
      <c r="AM502" s="241"/>
      <c r="AN502" s="241"/>
      <c r="AO502" s="241"/>
      <c r="AP502" s="241"/>
      <c r="AQ502" s="241"/>
      <c r="AR502" s="241"/>
      <c r="AS502" s="241"/>
      <c r="AT502" s="241"/>
      <c r="AU502" s="241"/>
      <c r="AV502" s="241"/>
      <c r="AW502" s="241"/>
      <c r="AX502" s="241"/>
      <c r="AY502" s="241"/>
      <c r="AZ502" s="241"/>
    </row>
    <row r="503" spans="1:52" ht="18" customHeight="1" collapsed="1">
      <c r="A503" s="288"/>
      <c r="B503" s="152" t="str">
        <f>CONCATENATE("Total Annual HVAC Water Use | Water Use Savings (", IF(inputs_units&lt;&gt;"", INDEX(data_genunitsval, MATCH(inputs_units, data_genunits, 0)), "unit"), ")")</f>
        <v>Total Annual HVAC Water Use | Water Use Savings (unit)</v>
      </c>
      <c r="C503" s="153"/>
      <c r="D503" s="234"/>
      <c r="E503" s="234"/>
      <c r="F503" s="309">
        <f>logic_sumhvacawub</f>
        <v>0</v>
      </c>
      <c r="G503" s="309">
        <f>logic_sumhvacawudwoaw</f>
        <v>0</v>
      </c>
      <c r="H503" s="309">
        <f>logic_sumhvacawuawa</f>
        <v>0</v>
      </c>
      <c r="I503" s="309">
        <f>logic_sumhvacawud</f>
        <v>0</v>
      </c>
      <c r="J503" s="309">
        <f>logic_sumhvacawusa</f>
        <v>0</v>
      </c>
      <c r="K503" s="231">
        <f>logic_sumhvacawusp</f>
        <v>0</v>
      </c>
      <c r="L503" s="241"/>
      <c r="M503" s="241"/>
      <c r="N503" s="241"/>
      <c r="O503" s="241"/>
      <c r="P503" s="241"/>
      <c r="Q503" s="241"/>
      <c r="R503" s="241"/>
      <c r="S503" s="241"/>
      <c r="T503" s="241"/>
      <c r="U503" s="241"/>
      <c r="V503" s="241"/>
      <c r="W503" s="241"/>
      <c r="X503" s="241"/>
      <c r="Y503" s="241"/>
      <c r="Z503" s="241"/>
      <c r="AA503" s="241"/>
      <c r="AB503" s="241"/>
      <c r="AC503" s="241"/>
      <c r="AD503" s="241"/>
      <c r="AE503" s="241"/>
      <c r="AF503" s="241"/>
      <c r="AG503" s="241"/>
      <c r="AH503" s="241"/>
      <c r="AI503" s="241"/>
      <c r="AJ503" s="241"/>
      <c r="AK503" s="241"/>
      <c r="AL503" s="241"/>
      <c r="AM503" s="241"/>
      <c r="AN503" s="241"/>
      <c r="AO503" s="241"/>
      <c r="AP503" s="241"/>
      <c r="AQ503" s="241"/>
      <c r="AR503" s="241"/>
      <c r="AS503" s="241"/>
      <c r="AT503" s="241"/>
      <c r="AU503" s="241"/>
      <c r="AV503" s="241"/>
      <c r="AW503" s="241"/>
      <c r="AX503" s="241"/>
      <c r="AY503" s="241"/>
      <c r="AZ503" s="241"/>
    </row>
    <row r="504" spans="1:52" ht="18" customHeight="1">
      <c r="A504" s="250"/>
      <c r="B504" s="250"/>
      <c r="C504" s="250"/>
      <c r="D504" s="250"/>
      <c r="E504" s="250"/>
      <c r="F504" s="250"/>
      <c r="G504" s="250"/>
      <c r="H504" s="250"/>
      <c r="I504" s="250"/>
      <c r="J504" s="250"/>
      <c r="K504" s="250"/>
      <c r="L504" s="250"/>
      <c r="M504" s="250"/>
      <c r="N504" s="250"/>
      <c r="O504" s="250"/>
      <c r="P504" s="250"/>
      <c r="Q504" s="250"/>
      <c r="R504" s="250"/>
      <c r="S504" s="242"/>
      <c r="T504" s="241"/>
      <c r="U504" s="241"/>
      <c r="V504" s="241"/>
      <c r="W504" s="241"/>
      <c r="X504" s="241"/>
      <c r="Y504" s="241"/>
      <c r="Z504" s="241"/>
      <c r="AA504" s="241"/>
      <c r="AB504" s="241"/>
      <c r="AC504" s="241"/>
      <c r="AD504" s="241"/>
      <c r="AE504" s="241"/>
      <c r="AF504" s="241"/>
      <c r="AG504" s="241"/>
      <c r="AH504" s="241"/>
      <c r="AI504" s="241"/>
      <c r="AJ504" s="241"/>
      <c r="AK504" s="241"/>
      <c r="AL504" s="241"/>
      <c r="AM504" s="241"/>
      <c r="AN504" s="241"/>
      <c r="AO504" s="241"/>
      <c r="AP504" s="241"/>
      <c r="AQ504" s="241"/>
      <c r="AR504" s="241"/>
      <c r="AS504" s="241"/>
      <c r="AT504" s="241"/>
      <c r="AU504" s="241"/>
      <c r="AV504" s="241"/>
      <c r="AW504" s="241"/>
      <c r="AX504" s="241"/>
      <c r="AY504" s="241"/>
      <c r="AZ504" s="241"/>
    </row>
    <row r="505" spans="1:52" ht="18" customHeight="1">
      <c r="A505" s="250"/>
      <c r="B505" s="250"/>
      <c r="C505" s="250"/>
      <c r="D505" s="250"/>
      <c r="E505" s="250"/>
      <c r="F505" s="250"/>
      <c r="G505" s="250"/>
      <c r="H505" s="250"/>
      <c r="I505" s="250"/>
      <c r="J505" s="250"/>
      <c r="K505" s="250"/>
      <c r="L505" s="250"/>
      <c r="M505" s="250"/>
      <c r="N505" s="250"/>
      <c r="O505" s="250"/>
      <c r="P505" s="250"/>
      <c r="Q505" s="250"/>
      <c r="R505" s="250"/>
      <c r="S505" s="250"/>
      <c r="T505" s="241"/>
      <c r="U505" s="241"/>
      <c r="V505" s="241"/>
      <c r="W505" s="241"/>
      <c r="X505" s="241"/>
      <c r="Y505" s="241"/>
      <c r="Z505" s="241"/>
      <c r="AA505" s="241"/>
      <c r="AB505" s="241"/>
      <c r="AC505" s="241"/>
      <c r="AD505" s="241"/>
      <c r="AE505" s="241"/>
      <c r="AF505" s="241"/>
      <c r="AG505" s="241"/>
      <c r="AH505" s="241"/>
      <c r="AI505" s="241"/>
      <c r="AJ505" s="241"/>
      <c r="AK505" s="241"/>
      <c r="AL505" s="241"/>
      <c r="AM505" s="241"/>
      <c r="AN505" s="241"/>
      <c r="AO505" s="241"/>
      <c r="AP505" s="241"/>
      <c r="AQ505" s="241"/>
      <c r="AR505" s="241"/>
      <c r="AS505" s="241"/>
      <c r="AT505" s="241"/>
      <c r="AU505" s="241"/>
      <c r="AV505" s="241"/>
      <c r="AW505" s="241"/>
      <c r="AX505" s="241"/>
      <c r="AY505" s="241"/>
      <c r="AZ505" s="241"/>
    </row>
    <row r="506" spans="1:52" ht="18" customHeight="1">
      <c r="A506" s="250"/>
      <c r="B506" s="142" t="s">
        <v>169</v>
      </c>
      <c r="C506" s="156"/>
      <c r="D506" s="143"/>
      <c r="E506" s="143"/>
      <c r="F506" s="143"/>
      <c r="G506" s="143"/>
      <c r="H506" s="143"/>
      <c r="I506" s="143"/>
      <c r="J506" s="143"/>
      <c r="K506" s="143"/>
      <c r="L506" s="143"/>
      <c r="M506" s="143"/>
      <c r="N506" s="143"/>
      <c r="O506" s="143"/>
      <c r="P506" s="143"/>
      <c r="Q506" s="143"/>
      <c r="R506" s="143"/>
      <c r="S506" s="143"/>
      <c r="T506" s="144"/>
      <c r="U506" s="241"/>
      <c r="V506" s="241"/>
      <c r="W506" s="241"/>
      <c r="X506" s="241"/>
      <c r="Y506" s="241"/>
      <c r="Z506" s="241"/>
      <c r="AA506" s="241"/>
      <c r="AB506" s="241"/>
      <c r="AC506" s="241"/>
      <c r="AD506" s="241"/>
      <c r="AE506" s="241"/>
      <c r="AF506" s="241"/>
      <c r="AG506" s="241"/>
      <c r="AH506" s="241"/>
      <c r="AI506" s="241"/>
      <c r="AJ506" s="241"/>
      <c r="AK506" s="241"/>
      <c r="AL506" s="241"/>
      <c r="AM506" s="241"/>
      <c r="AN506" s="241"/>
      <c r="AO506" s="241"/>
      <c r="AP506" s="241"/>
      <c r="AQ506" s="241"/>
      <c r="AR506" s="241"/>
      <c r="AS506" s="241"/>
      <c r="AT506" s="241"/>
      <c r="AU506" s="241"/>
      <c r="AV506" s="241"/>
      <c r="AW506" s="241"/>
      <c r="AX506" s="241"/>
      <c r="AY506" s="241"/>
      <c r="AZ506" s="241"/>
    </row>
    <row r="507" spans="1:52" ht="18" customHeight="1">
      <c r="A507" s="232"/>
      <c r="B507" s="232"/>
      <c r="C507" s="232"/>
      <c r="D507" s="232"/>
      <c r="E507" s="232"/>
      <c r="F507" s="232"/>
      <c r="G507" s="232"/>
      <c r="H507" s="232"/>
      <c r="I507" s="232"/>
      <c r="J507" s="232"/>
      <c r="K507" s="232"/>
      <c r="L507" s="232"/>
      <c r="M507" s="232"/>
      <c r="N507" s="232"/>
      <c r="O507" s="232"/>
      <c r="P507" s="232"/>
      <c r="Q507" s="232"/>
      <c r="R507" s="232"/>
      <c r="S507" s="242"/>
      <c r="T507" s="241"/>
      <c r="U507" s="241"/>
      <c r="V507" s="241"/>
      <c r="W507" s="241"/>
      <c r="X507" s="241"/>
      <c r="Y507" s="241"/>
      <c r="Z507" s="241"/>
      <c r="AA507" s="241"/>
      <c r="AB507" s="241"/>
      <c r="AC507" s="241"/>
      <c r="AD507" s="241"/>
      <c r="AE507" s="241"/>
      <c r="AF507" s="241"/>
      <c r="AG507" s="241"/>
      <c r="AH507" s="241"/>
      <c r="AI507" s="241"/>
      <c r="AJ507" s="241"/>
      <c r="AK507" s="241"/>
      <c r="AL507" s="241"/>
      <c r="AM507" s="241"/>
      <c r="AN507" s="241"/>
      <c r="AO507" s="241"/>
      <c r="AP507" s="241"/>
      <c r="AQ507" s="241"/>
      <c r="AR507" s="241"/>
      <c r="AS507" s="241"/>
      <c r="AT507" s="241"/>
      <c r="AU507" s="241"/>
      <c r="AV507" s="241"/>
      <c r="AW507" s="241"/>
      <c r="AX507" s="241"/>
      <c r="AY507" s="241"/>
      <c r="AZ507" s="241"/>
    </row>
    <row r="508" spans="1:52" s="244" customFormat="1" ht="17.399999999999999" customHeight="1">
      <c r="A508" s="175"/>
      <c r="B508" s="240" t="s">
        <v>156</v>
      </c>
      <c r="C508" s="241"/>
      <c r="D508" s="241"/>
      <c r="E508" s="241"/>
      <c r="F508" s="241"/>
      <c r="G508" s="242"/>
      <c r="H508" s="242"/>
      <c r="I508" s="242"/>
      <c r="J508" s="242"/>
      <c r="K508" s="242"/>
      <c r="L508" s="242"/>
      <c r="M508" s="242"/>
      <c r="N508" s="242"/>
      <c r="O508" s="243"/>
      <c r="P508" s="243"/>
      <c r="Q508" s="243"/>
      <c r="R508" s="243"/>
      <c r="S508" s="243"/>
      <c r="T508" s="243"/>
      <c r="U508" s="241"/>
      <c r="V508" s="243"/>
      <c r="W508" s="243"/>
      <c r="X508" s="243"/>
      <c r="Y508" s="243"/>
      <c r="Z508" s="243"/>
      <c r="AA508" s="243"/>
      <c r="AB508" s="243"/>
      <c r="AC508" s="243"/>
      <c r="AD508" s="243"/>
      <c r="AE508" s="243"/>
      <c r="AF508" s="243"/>
      <c r="AG508" s="243"/>
      <c r="AH508" s="243"/>
      <c r="AI508" s="243"/>
      <c r="AJ508" s="243"/>
      <c r="AK508" s="243"/>
      <c r="AL508" s="243"/>
      <c r="AM508" s="243"/>
      <c r="AN508" s="243"/>
      <c r="AO508" s="243"/>
      <c r="AP508" s="243"/>
      <c r="AQ508" s="243"/>
      <c r="AR508" s="243"/>
      <c r="AS508" s="243"/>
      <c r="AT508" s="243"/>
      <c r="AU508" s="243"/>
      <c r="AV508" s="243"/>
      <c r="AW508" s="243"/>
      <c r="AX508" s="243"/>
      <c r="AY508" s="243"/>
      <c r="AZ508" s="243"/>
    </row>
    <row r="509" spans="1:52" s="71" customFormat="1" ht="18" customHeight="1">
      <c r="A509" s="250"/>
      <c r="B509" s="152" t="s">
        <v>157</v>
      </c>
      <c r="C509" s="153"/>
      <c r="D509" s="153"/>
      <c r="E509" s="153"/>
      <c r="F509" s="153"/>
      <c r="G509" s="186"/>
      <c r="H509" s="152" t="s">
        <v>158</v>
      </c>
      <c r="I509" s="234"/>
      <c r="J509" s="234"/>
      <c r="K509" s="234"/>
      <c r="L509" s="234"/>
      <c r="M509" s="234"/>
      <c r="N509" s="234"/>
      <c r="O509" s="152" t="s">
        <v>348</v>
      </c>
      <c r="P509" s="234"/>
      <c r="Q509" s="234"/>
      <c r="R509" s="234"/>
      <c r="S509" s="234"/>
      <c r="T509" s="186"/>
      <c r="U509" s="241"/>
      <c r="V509" s="241"/>
      <c r="W509" s="241"/>
      <c r="X509" s="241"/>
      <c r="Y509" s="241"/>
      <c r="Z509" s="241"/>
      <c r="AA509" s="241"/>
      <c r="AB509" s="241"/>
      <c r="AC509" s="241"/>
      <c r="AD509" s="241"/>
      <c r="AE509" s="241"/>
      <c r="AF509" s="241"/>
      <c r="AG509" s="241"/>
      <c r="AH509" s="241"/>
      <c r="AI509" s="241"/>
      <c r="AJ509" s="241"/>
      <c r="AK509" s="241"/>
      <c r="AL509" s="241"/>
      <c r="AM509" s="241"/>
      <c r="AN509" s="241"/>
      <c r="AO509" s="241"/>
      <c r="AP509" s="241"/>
      <c r="AQ509" s="241"/>
      <c r="AR509" s="241"/>
      <c r="AS509" s="241"/>
      <c r="AT509" s="241"/>
      <c r="AU509" s="241"/>
      <c r="AV509" s="241"/>
      <c r="AW509" s="241"/>
      <c r="AX509" s="241"/>
      <c r="AY509" s="241"/>
      <c r="AZ509" s="241"/>
    </row>
    <row r="510" spans="1:52" s="71" customFormat="1" ht="18" customHeight="1">
      <c r="A510" s="288" t="s">
        <v>159</v>
      </c>
      <c r="B510" s="366" t="s">
        <v>160</v>
      </c>
      <c r="C510" s="366" t="s">
        <v>161</v>
      </c>
      <c r="D510" s="381" t="s">
        <v>162</v>
      </c>
      <c r="E510" s="382"/>
      <c r="F510" s="366" t="s">
        <v>315</v>
      </c>
      <c r="G510" s="366" t="s">
        <v>349</v>
      </c>
      <c r="H510" s="357" t="s">
        <v>318</v>
      </c>
      <c r="I510" s="358"/>
      <c r="J510" s="359"/>
      <c r="K510" s="370" t="s">
        <v>347</v>
      </c>
      <c r="L510" s="371"/>
      <c r="M510" s="371"/>
      <c r="N510" s="372"/>
      <c r="O510" s="348" t="str">
        <f>CONCATENATE("Annual Water Use Baseline
(",(IF(inputs_units&lt;&gt;"",INDEX(data_genunitsvol,MATCH(inputs_units,data_genunits,0)),"unit")),")")</f>
        <v>Annual Water Use Baseline
(unit)</v>
      </c>
      <c r="P510" s="348" t="str">
        <f>CONCATENATE("Annual Water Use Design w/o Alt. Water
(",(IF(inputs_units&lt;&gt;"",INDEX(data_genunitsvol,MATCH(inputs_units,data_genunits,0)),"unit")),")")</f>
        <v>Annual Water Use Design w/o Alt. Water
(unit)</v>
      </c>
      <c r="Q510" s="346" t="str">
        <f>CONCATENATE("Annual Alternative Water Use
(",(IF(inputs_units&lt;&gt;"",INDEX(data_genunitsvol,MATCH(inputs_units,data_genunits,0)),"unit")),")")</f>
        <v>Annual Alternative Water Use
(unit)</v>
      </c>
      <c r="R510" s="348" t="str">
        <f>CONCATENATE("Annual Water Use Design
(",(IF(inputs_units&lt;&gt;"",INDEX(data_genunitsvol,MATCH(inputs_units,data_genunits,0)),"unit")),")")</f>
        <v>Annual Water Use Design
(unit)</v>
      </c>
      <c r="S510" s="348" t="str">
        <f>CONCATENATE("Annual Water Use Savings 
(",(IF(inputs_units&lt;&gt;"",INDEX(data_genunitsvol,MATCH(inputs_units,data_genunits,0)),"unit")),")")</f>
        <v>Annual Water Use Savings 
(unit)</v>
      </c>
      <c r="T510" s="348" t="s">
        <v>360</v>
      </c>
      <c r="U510" s="241"/>
      <c r="V510" s="241"/>
      <c r="W510" s="241"/>
      <c r="X510" s="241"/>
      <c r="Y510" s="241"/>
      <c r="Z510" s="241"/>
      <c r="AA510" s="241"/>
      <c r="AB510" s="241"/>
      <c r="AC510" s="241"/>
      <c r="AD510" s="241"/>
      <c r="AE510" s="241"/>
      <c r="AF510" s="241"/>
      <c r="AG510" s="241"/>
      <c r="AH510" s="241"/>
      <c r="AI510" s="241"/>
      <c r="AJ510" s="241"/>
      <c r="AK510" s="241"/>
      <c r="AL510" s="241"/>
      <c r="AM510" s="241"/>
      <c r="AN510" s="241"/>
      <c r="AO510" s="241"/>
      <c r="AP510" s="241"/>
      <c r="AQ510" s="241"/>
      <c r="AR510" s="241"/>
      <c r="AS510" s="241"/>
      <c r="AT510" s="241"/>
      <c r="AU510" s="241"/>
      <c r="AV510" s="241"/>
      <c r="AW510" s="241"/>
      <c r="AX510" s="241"/>
      <c r="AY510" s="241"/>
      <c r="AZ510" s="241"/>
    </row>
    <row r="511" spans="1:52" s="71" customFormat="1" ht="18" customHeight="1">
      <c r="A511" s="288"/>
      <c r="B511" s="367"/>
      <c r="C511" s="367"/>
      <c r="D511" s="383"/>
      <c r="E511" s="384"/>
      <c r="F511" s="367"/>
      <c r="G511" s="367"/>
      <c r="H511" s="348" t="s">
        <v>346</v>
      </c>
      <c r="I511" s="351" t="s">
        <v>153</v>
      </c>
      <c r="J511" s="352"/>
      <c r="K511" s="348" t="s">
        <v>163</v>
      </c>
      <c r="L511" s="348" t="s">
        <v>164</v>
      </c>
      <c r="M511" s="351" t="s">
        <v>153</v>
      </c>
      <c r="N511" s="352"/>
      <c r="O511" s="349"/>
      <c r="P511" s="349"/>
      <c r="Q511" s="347"/>
      <c r="R511" s="349"/>
      <c r="S511" s="349"/>
      <c r="T511" s="349"/>
      <c r="U511" s="241"/>
      <c r="V511" s="241"/>
      <c r="W511" s="241"/>
      <c r="X511" s="241"/>
      <c r="Y511" s="241"/>
      <c r="Z511" s="241"/>
      <c r="AA511" s="241"/>
      <c r="AB511" s="241"/>
      <c r="AC511" s="241"/>
      <c r="AD511" s="241"/>
      <c r="AE511" s="241"/>
      <c r="AF511" s="241"/>
      <c r="AG511" s="241"/>
      <c r="AH511" s="241"/>
      <c r="AI511" s="241"/>
      <c r="AJ511" s="241"/>
      <c r="AK511" s="241"/>
      <c r="AL511" s="241"/>
      <c r="AM511" s="241"/>
      <c r="AN511" s="241"/>
      <c r="AO511" s="241"/>
      <c r="AP511" s="241"/>
      <c r="AQ511" s="241"/>
      <c r="AR511" s="241"/>
      <c r="AS511" s="241"/>
      <c r="AT511" s="241"/>
      <c r="AU511" s="241"/>
      <c r="AV511" s="241"/>
      <c r="AW511" s="241"/>
      <c r="AX511" s="241"/>
      <c r="AY511" s="241"/>
      <c r="AZ511" s="241"/>
    </row>
    <row r="512" spans="1:52" s="71" customFormat="1" ht="18" customHeight="1">
      <c r="A512" s="288"/>
      <c r="B512" s="368"/>
      <c r="C512" s="368"/>
      <c r="D512" s="385"/>
      <c r="E512" s="386"/>
      <c r="F512" s="368"/>
      <c r="G512" s="368"/>
      <c r="H512" s="350"/>
      <c r="I512" s="353"/>
      <c r="J512" s="354"/>
      <c r="K512" s="350"/>
      <c r="L512" s="350"/>
      <c r="M512" s="353"/>
      <c r="N512" s="354"/>
      <c r="O512" s="350"/>
      <c r="P512" s="350"/>
      <c r="Q512" s="301" t="s">
        <v>298</v>
      </c>
      <c r="R512" s="350"/>
      <c r="S512" s="350"/>
      <c r="T512" s="350"/>
      <c r="U512" s="241"/>
      <c r="V512" s="241"/>
      <c r="W512" s="241"/>
      <c r="X512" s="241"/>
      <c r="Y512" s="241"/>
      <c r="Z512" s="241"/>
      <c r="AA512" s="241"/>
      <c r="AB512" s="241"/>
      <c r="AC512" s="241"/>
      <c r="AD512" s="241"/>
      <c r="AE512" s="241"/>
      <c r="AF512" s="241"/>
      <c r="AG512" s="241"/>
      <c r="AH512" s="241"/>
      <c r="AI512" s="241"/>
      <c r="AJ512" s="241"/>
      <c r="AK512" s="241"/>
      <c r="AL512" s="241"/>
      <c r="AM512" s="241"/>
      <c r="AN512" s="241"/>
      <c r="AO512" s="241"/>
      <c r="AP512" s="241"/>
      <c r="AQ512" s="241"/>
      <c r="AR512" s="241"/>
      <c r="AS512" s="241"/>
      <c r="AT512" s="241"/>
      <c r="AU512" s="241"/>
      <c r="AV512" s="241"/>
      <c r="AW512" s="241"/>
      <c r="AX512" s="241"/>
      <c r="AY512" s="241"/>
      <c r="AZ512" s="241"/>
    </row>
    <row r="513" spans="1:52" s="71" customFormat="1" ht="18" customHeight="1">
      <c r="A513" s="288">
        <v>1</v>
      </c>
      <c r="B513" s="97"/>
      <c r="C513" s="296"/>
      <c r="D513" s="360"/>
      <c r="E513" s="361"/>
      <c r="F513" s="298"/>
      <c r="G513" s="298"/>
      <c r="H513" s="86"/>
      <c r="I513" s="355"/>
      <c r="J513" s="356"/>
      <c r="K513" s="86"/>
      <c r="L513" s="86"/>
      <c r="M513" s="344" t="str">
        <f t="shared" ref="M513:M576" si="90">INDEX(logic_wuruoth,MATCH($A513,logic_othno,0))</f>
        <v/>
      </c>
      <c r="N513" s="345"/>
      <c r="O513" s="225" t="str">
        <f t="shared" ref="O513:O576" si="91">INDEX(logic_othawub,MATCH($A513,logic_othno,0))</f>
        <v/>
      </c>
      <c r="P513" s="225" t="str">
        <f t="shared" ref="P513:P576" si="92">INDEX(logic_othawudwoaw,MATCH($A513,logic_othno,0))</f>
        <v/>
      </c>
      <c r="Q513" s="330"/>
      <c r="R513" s="225" t="str">
        <f t="shared" ref="R513:R576" si="93">INDEX(logic_othawud,MATCH($A513,logic_othno,0))</f>
        <v/>
      </c>
      <c r="S513" s="225" t="str">
        <f t="shared" ref="S513:S576" si="94">INDEX(logic_othawusa,MATCH($A513,logic_othno,0))</f>
        <v/>
      </c>
      <c r="T513" s="231" t="str">
        <f t="shared" ref="T513:T576" si="95">INDEX(logic_othawusp,MATCH($A513,logic_othno,0))</f>
        <v/>
      </c>
      <c r="U513" s="241"/>
      <c r="V513" s="241"/>
      <c r="W513" s="241"/>
      <c r="X513" s="241"/>
      <c r="Y513" s="241"/>
      <c r="Z513" s="241"/>
      <c r="AA513" s="241"/>
      <c r="AB513" s="241"/>
      <c r="AC513" s="241"/>
      <c r="AD513" s="241"/>
      <c r="AE513" s="241"/>
      <c r="AF513" s="241"/>
      <c r="AG513" s="241"/>
      <c r="AH513" s="241"/>
      <c r="AI513" s="241"/>
      <c r="AJ513" s="241"/>
      <c r="AK513" s="241"/>
      <c r="AL513" s="241"/>
      <c r="AM513" s="241"/>
      <c r="AN513" s="241"/>
      <c r="AO513" s="241"/>
      <c r="AP513" s="241"/>
      <c r="AQ513" s="241"/>
      <c r="AR513" s="241"/>
      <c r="AS513" s="241"/>
      <c r="AT513" s="241"/>
      <c r="AU513" s="241"/>
      <c r="AV513" s="241"/>
      <c r="AW513" s="241"/>
      <c r="AX513" s="241"/>
      <c r="AY513" s="241"/>
      <c r="AZ513" s="241"/>
    </row>
    <row r="514" spans="1:52" s="71" customFormat="1" ht="18" customHeight="1">
      <c r="A514" s="288">
        <v>2</v>
      </c>
      <c r="B514" s="97"/>
      <c r="C514" s="296"/>
      <c r="D514" s="360"/>
      <c r="E514" s="361"/>
      <c r="F514" s="298"/>
      <c r="G514" s="298"/>
      <c r="H514" s="86"/>
      <c r="I514" s="355"/>
      <c r="J514" s="356"/>
      <c r="K514" s="86"/>
      <c r="L514" s="86"/>
      <c r="M514" s="344" t="str">
        <f t="shared" si="90"/>
        <v/>
      </c>
      <c r="N514" s="345"/>
      <c r="O514" s="225" t="str">
        <f t="shared" si="91"/>
        <v/>
      </c>
      <c r="P514" s="225" t="str">
        <f t="shared" si="92"/>
        <v/>
      </c>
      <c r="Q514" s="330"/>
      <c r="R514" s="225" t="str">
        <f t="shared" si="93"/>
        <v/>
      </c>
      <c r="S514" s="225" t="str">
        <f t="shared" si="94"/>
        <v/>
      </c>
      <c r="T514" s="231" t="str">
        <f t="shared" si="95"/>
        <v/>
      </c>
      <c r="U514" s="241"/>
      <c r="V514" s="241"/>
      <c r="W514" s="241"/>
      <c r="X514" s="241"/>
      <c r="Y514" s="241"/>
      <c r="Z514" s="241"/>
      <c r="AA514" s="241"/>
      <c r="AB514" s="241"/>
      <c r="AC514" s="241"/>
      <c r="AD514" s="241"/>
      <c r="AE514" s="241"/>
      <c r="AF514" s="241"/>
      <c r="AG514" s="241"/>
      <c r="AH514" s="241"/>
      <c r="AI514" s="241"/>
      <c r="AJ514" s="241"/>
      <c r="AK514" s="241"/>
      <c r="AL514" s="241"/>
      <c r="AM514" s="241"/>
      <c r="AN514" s="241"/>
      <c r="AO514" s="241"/>
      <c r="AP514" s="241"/>
      <c r="AQ514" s="241"/>
      <c r="AR514" s="241"/>
      <c r="AS514" s="241"/>
      <c r="AT514" s="241"/>
      <c r="AU514" s="241"/>
      <c r="AV514" s="241"/>
      <c r="AW514" s="241"/>
      <c r="AX514" s="241"/>
      <c r="AY514" s="241"/>
      <c r="AZ514" s="241"/>
    </row>
    <row r="515" spans="1:52" s="71" customFormat="1" ht="18" customHeight="1">
      <c r="A515" s="288">
        <v>3</v>
      </c>
      <c r="B515" s="97"/>
      <c r="C515" s="296"/>
      <c r="D515" s="360"/>
      <c r="E515" s="361"/>
      <c r="F515" s="298"/>
      <c r="G515" s="298"/>
      <c r="H515" s="86"/>
      <c r="I515" s="355"/>
      <c r="J515" s="356"/>
      <c r="K515" s="86"/>
      <c r="L515" s="86"/>
      <c r="M515" s="344" t="str">
        <f t="shared" si="90"/>
        <v/>
      </c>
      <c r="N515" s="345"/>
      <c r="O515" s="225" t="str">
        <f t="shared" si="91"/>
        <v/>
      </c>
      <c r="P515" s="225" t="str">
        <f t="shared" si="92"/>
        <v/>
      </c>
      <c r="Q515" s="330"/>
      <c r="R515" s="225" t="str">
        <f t="shared" si="93"/>
        <v/>
      </c>
      <c r="S515" s="225" t="str">
        <f t="shared" si="94"/>
        <v/>
      </c>
      <c r="T515" s="231" t="str">
        <f t="shared" si="95"/>
        <v/>
      </c>
      <c r="U515" s="241"/>
      <c r="V515" s="241"/>
      <c r="W515" s="241"/>
      <c r="X515" s="241"/>
      <c r="Y515" s="241"/>
      <c r="Z515" s="241"/>
      <c r="AA515" s="241"/>
      <c r="AB515" s="241"/>
      <c r="AC515" s="241"/>
      <c r="AD515" s="241"/>
      <c r="AE515" s="241"/>
      <c r="AF515" s="241"/>
      <c r="AG515" s="241"/>
      <c r="AH515" s="241"/>
      <c r="AI515" s="241"/>
      <c r="AJ515" s="241"/>
      <c r="AK515" s="241"/>
      <c r="AL515" s="241"/>
      <c r="AM515" s="241"/>
      <c r="AN515" s="241"/>
      <c r="AO515" s="241"/>
      <c r="AP515" s="241"/>
      <c r="AQ515" s="241"/>
      <c r="AR515" s="241"/>
      <c r="AS515" s="241"/>
      <c r="AT515" s="241"/>
      <c r="AU515" s="241"/>
      <c r="AV515" s="241"/>
      <c r="AW515" s="241"/>
      <c r="AX515" s="241"/>
      <c r="AY515" s="241"/>
      <c r="AZ515" s="241"/>
    </row>
    <row r="516" spans="1:52" s="71" customFormat="1" ht="18" customHeight="1">
      <c r="A516" s="288">
        <v>4</v>
      </c>
      <c r="B516" s="97"/>
      <c r="C516" s="296"/>
      <c r="D516" s="360"/>
      <c r="E516" s="361"/>
      <c r="F516" s="298"/>
      <c r="G516" s="298"/>
      <c r="H516" s="86"/>
      <c r="I516" s="355"/>
      <c r="J516" s="356"/>
      <c r="K516" s="86"/>
      <c r="L516" s="86"/>
      <c r="M516" s="344" t="str">
        <f t="shared" si="90"/>
        <v/>
      </c>
      <c r="N516" s="345"/>
      <c r="O516" s="225" t="str">
        <f t="shared" si="91"/>
        <v/>
      </c>
      <c r="P516" s="225" t="str">
        <f t="shared" si="92"/>
        <v/>
      </c>
      <c r="Q516" s="330"/>
      <c r="R516" s="225" t="str">
        <f t="shared" si="93"/>
        <v/>
      </c>
      <c r="S516" s="225" t="str">
        <f t="shared" si="94"/>
        <v/>
      </c>
      <c r="T516" s="231" t="str">
        <f t="shared" si="95"/>
        <v/>
      </c>
      <c r="U516" s="241"/>
      <c r="V516" s="241"/>
      <c r="W516" s="241"/>
      <c r="X516" s="241"/>
      <c r="Y516" s="241"/>
      <c r="Z516" s="241"/>
      <c r="AA516" s="241"/>
      <c r="AB516" s="241"/>
      <c r="AC516" s="241"/>
      <c r="AD516" s="241"/>
      <c r="AE516" s="241"/>
      <c r="AF516" s="241"/>
      <c r="AG516" s="241"/>
      <c r="AH516" s="241"/>
      <c r="AI516" s="241"/>
      <c r="AJ516" s="241"/>
      <c r="AK516" s="241"/>
      <c r="AL516" s="241"/>
      <c r="AM516" s="241"/>
      <c r="AN516" s="241"/>
      <c r="AO516" s="241"/>
      <c r="AP516" s="241"/>
      <c r="AQ516" s="241"/>
      <c r="AR516" s="241"/>
      <c r="AS516" s="241"/>
      <c r="AT516" s="241"/>
      <c r="AU516" s="241"/>
      <c r="AV516" s="241"/>
      <c r="AW516" s="241"/>
      <c r="AX516" s="241"/>
      <c r="AY516" s="241"/>
      <c r="AZ516" s="241"/>
    </row>
    <row r="517" spans="1:52" s="71" customFormat="1" ht="18" customHeight="1">
      <c r="A517" s="288">
        <v>5</v>
      </c>
      <c r="B517" s="97"/>
      <c r="C517" s="296"/>
      <c r="D517" s="360"/>
      <c r="E517" s="361"/>
      <c r="F517" s="298"/>
      <c r="G517" s="298"/>
      <c r="H517" s="86"/>
      <c r="I517" s="355"/>
      <c r="J517" s="356"/>
      <c r="K517" s="86"/>
      <c r="L517" s="86"/>
      <c r="M517" s="344" t="str">
        <f t="shared" si="90"/>
        <v/>
      </c>
      <c r="N517" s="345"/>
      <c r="O517" s="225" t="str">
        <f t="shared" si="91"/>
        <v/>
      </c>
      <c r="P517" s="225" t="str">
        <f t="shared" si="92"/>
        <v/>
      </c>
      <c r="Q517" s="330"/>
      <c r="R517" s="225" t="str">
        <f t="shared" si="93"/>
        <v/>
      </c>
      <c r="S517" s="225" t="str">
        <f t="shared" si="94"/>
        <v/>
      </c>
      <c r="T517" s="231" t="str">
        <f t="shared" si="95"/>
        <v/>
      </c>
      <c r="U517" s="241"/>
      <c r="V517" s="241"/>
      <c r="W517" s="241"/>
      <c r="X517" s="241"/>
      <c r="Y517" s="241"/>
      <c r="Z517" s="241"/>
      <c r="AA517" s="241"/>
      <c r="AB517" s="241"/>
      <c r="AC517" s="241"/>
      <c r="AD517" s="241"/>
      <c r="AE517" s="241"/>
      <c r="AF517" s="241"/>
      <c r="AG517" s="241"/>
      <c r="AH517" s="241"/>
      <c r="AI517" s="241"/>
      <c r="AJ517" s="241"/>
      <c r="AK517" s="241"/>
      <c r="AL517" s="241"/>
      <c r="AM517" s="241"/>
      <c r="AN517" s="241"/>
      <c r="AO517" s="241"/>
      <c r="AP517" s="241"/>
      <c r="AQ517" s="241"/>
      <c r="AR517" s="241"/>
      <c r="AS517" s="241"/>
      <c r="AT517" s="241"/>
      <c r="AU517" s="241"/>
      <c r="AV517" s="241"/>
      <c r="AW517" s="241"/>
      <c r="AX517" s="241"/>
      <c r="AY517" s="241"/>
      <c r="AZ517" s="241"/>
    </row>
    <row r="518" spans="1:52" s="71" customFormat="1" ht="18" customHeight="1">
      <c r="A518" s="288">
        <v>6</v>
      </c>
      <c r="B518" s="97"/>
      <c r="C518" s="296"/>
      <c r="D518" s="360"/>
      <c r="E518" s="361"/>
      <c r="F518" s="298"/>
      <c r="G518" s="298"/>
      <c r="H518" s="86"/>
      <c r="I518" s="355"/>
      <c r="J518" s="356"/>
      <c r="K518" s="86"/>
      <c r="L518" s="86"/>
      <c r="M518" s="344" t="str">
        <f t="shared" si="90"/>
        <v/>
      </c>
      <c r="N518" s="345"/>
      <c r="O518" s="225" t="str">
        <f t="shared" si="91"/>
        <v/>
      </c>
      <c r="P518" s="225" t="str">
        <f t="shared" si="92"/>
        <v/>
      </c>
      <c r="Q518" s="330"/>
      <c r="R518" s="225" t="str">
        <f t="shared" si="93"/>
        <v/>
      </c>
      <c r="S518" s="225" t="str">
        <f t="shared" si="94"/>
        <v/>
      </c>
      <c r="T518" s="231" t="str">
        <f t="shared" si="95"/>
        <v/>
      </c>
      <c r="U518" s="241"/>
      <c r="V518" s="241"/>
      <c r="W518" s="241"/>
      <c r="X518" s="241"/>
      <c r="Y518" s="241"/>
      <c r="Z518" s="241"/>
      <c r="AA518" s="241"/>
      <c r="AB518" s="241"/>
      <c r="AC518" s="241"/>
      <c r="AD518" s="241"/>
      <c r="AE518" s="241"/>
      <c r="AF518" s="241"/>
      <c r="AG518" s="241"/>
      <c r="AH518" s="241"/>
      <c r="AI518" s="241"/>
      <c r="AJ518" s="241"/>
      <c r="AK518" s="241"/>
      <c r="AL518" s="241"/>
      <c r="AM518" s="241"/>
      <c r="AN518" s="241"/>
      <c r="AO518" s="241"/>
      <c r="AP518" s="241"/>
      <c r="AQ518" s="241"/>
      <c r="AR518" s="241"/>
      <c r="AS518" s="241"/>
      <c r="AT518" s="241"/>
      <c r="AU518" s="241"/>
      <c r="AV518" s="241"/>
      <c r="AW518" s="241"/>
      <c r="AX518" s="241"/>
      <c r="AY518" s="241"/>
      <c r="AZ518" s="241"/>
    </row>
    <row r="519" spans="1:52" s="71" customFormat="1" ht="18" customHeight="1">
      <c r="A519" s="288">
        <v>7</v>
      </c>
      <c r="B519" s="97"/>
      <c r="C519" s="296"/>
      <c r="D519" s="360"/>
      <c r="E519" s="361"/>
      <c r="F519" s="298"/>
      <c r="G519" s="298"/>
      <c r="H519" s="86"/>
      <c r="I519" s="355"/>
      <c r="J519" s="356"/>
      <c r="K519" s="86"/>
      <c r="L519" s="86"/>
      <c r="M519" s="344" t="str">
        <f t="shared" si="90"/>
        <v/>
      </c>
      <c r="N519" s="345"/>
      <c r="O519" s="225" t="str">
        <f t="shared" si="91"/>
        <v/>
      </c>
      <c r="P519" s="225" t="str">
        <f t="shared" si="92"/>
        <v/>
      </c>
      <c r="Q519" s="330"/>
      <c r="R519" s="225" t="str">
        <f t="shared" si="93"/>
        <v/>
      </c>
      <c r="S519" s="225" t="str">
        <f t="shared" si="94"/>
        <v/>
      </c>
      <c r="T519" s="231" t="str">
        <f t="shared" si="95"/>
        <v/>
      </c>
      <c r="U519" s="241"/>
      <c r="V519" s="241"/>
      <c r="W519" s="241"/>
      <c r="X519" s="241"/>
      <c r="Y519" s="241"/>
      <c r="Z519" s="241"/>
      <c r="AA519" s="241"/>
      <c r="AB519" s="241"/>
      <c r="AC519" s="241"/>
      <c r="AD519" s="241"/>
      <c r="AE519" s="241"/>
      <c r="AF519" s="241"/>
      <c r="AG519" s="241"/>
      <c r="AH519" s="241"/>
      <c r="AI519" s="241"/>
      <c r="AJ519" s="241"/>
      <c r="AK519" s="241"/>
      <c r="AL519" s="241"/>
      <c r="AM519" s="241"/>
      <c r="AN519" s="241"/>
      <c r="AO519" s="241"/>
      <c r="AP519" s="241"/>
      <c r="AQ519" s="241"/>
      <c r="AR519" s="241"/>
      <c r="AS519" s="241"/>
      <c r="AT519" s="241"/>
      <c r="AU519" s="241"/>
      <c r="AV519" s="241"/>
      <c r="AW519" s="241"/>
      <c r="AX519" s="241"/>
      <c r="AY519" s="241"/>
      <c r="AZ519" s="241"/>
    </row>
    <row r="520" spans="1:52" s="71" customFormat="1" ht="18" customHeight="1">
      <c r="A520" s="288">
        <v>8</v>
      </c>
      <c r="B520" s="97"/>
      <c r="C520" s="296"/>
      <c r="D520" s="360"/>
      <c r="E520" s="361"/>
      <c r="F520" s="298"/>
      <c r="G520" s="298"/>
      <c r="H520" s="86"/>
      <c r="I520" s="355"/>
      <c r="J520" s="356"/>
      <c r="K520" s="86"/>
      <c r="L520" s="86"/>
      <c r="M520" s="344" t="str">
        <f t="shared" si="90"/>
        <v/>
      </c>
      <c r="N520" s="345"/>
      <c r="O520" s="225" t="str">
        <f t="shared" si="91"/>
        <v/>
      </c>
      <c r="P520" s="225" t="str">
        <f t="shared" si="92"/>
        <v/>
      </c>
      <c r="Q520" s="330"/>
      <c r="R520" s="225" t="str">
        <f t="shared" si="93"/>
        <v/>
      </c>
      <c r="S520" s="225" t="str">
        <f t="shared" si="94"/>
        <v/>
      </c>
      <c r="T520" s="231" t="str">
        <f t="shared" si="95"/>
        <v/>
      </c>
      <c r="U520" s="241"/>
      <c r="V520" s="241"/>
      <c r="W520" s="241"/>
      <c r="X520" s="241"/>
      <c r="Y520" s="241"/>
      <c r="Z520" s="241"/>
      <c r="AA520" s="241"/>
      <c r="AB520" s="241"/>
      <c r="AC520" s="241"/>
      <c r="AD520" s="241"/>
      <c r="AE520" s="241"/>
      <c r="AF520" s="241"/>
      <c r="AG520" s="241"/>
      <c r="AH520" s="241"/>
      <c r="AI520" s="241"/>
      <c r="AJ520" s="241"/>
      <c r="AK520" s="241"/>
      <c r="AL520" s="241"/>
      <c r="AM520" s="241"/>
      <c r="AN520" s="241"/>
      <c r="AO520" s="241"/>
      <c r="AP520" s="241"/>
      <c r="AQ520" s="241"/>
      <c r="AR520" s="241"/>
      <c r="AS520" s="241"/>
      <c r="AT520" s="241"/>
      <c r="AU520" s="241"/>
      <c r="AV520" s="241"/>
      <c r="AW520" s="241"/>
      <c r="AX520" s="241"/>
      <c r="AY520" s="241"/>
      <c r="AZ520" s="241"/>
    </row>
    <row r="521" spans="1:52" s="71" customFormat="1" ht="18" customHeight="1">
      <c r="A521" s="288">
        <v>9</v>
      </c>
      <c r="B521" s="97"/>
      <c r="C521" s="296"/>
      <c r="D521" s="360"/>
      <c r="E521" s="361"/>
      <c r="F521" s="298"/>
      <c r="G521" s="298"/>
      <c r="H521" s="86"/>
      <c r="I521" s="355"/>
      <c r="J521" s="356"/>
      <c r="K521" s="86"/>
      <c r="L521" s="86"/>
      <c r="M521" s="344" t="str">
        <f t="shared" si="90"/>
        <v/>
      </c>
      <c r="N521" s="345"/>
      <c r="O521" s="225" t="str">
        <f t="shared" si="91"/>
        <v/>
      </c>
      <c r="P521" s="225" t="str">
        <f t="shared" si="92"/>
        <v/>
      </c>
      <c r="Q521" s="330"/>
      <c r="R521" s="225" t="str">
        <f t="shared" si="93"/>
        <v/>
      </c>
      <c r="S521" s="225" t="str">
        <f t="shared" si="94"/>
        <v/>
      </c>
      <c r="T521" s="231" t="str">
        <f t="shared" si="95"/>
        <v/>
      </c>
      <c r="U521" s="241"/>
      <c r="V521" s="241"/>
      <c r="W521" s="241"/>
      <c r="X521" s="241"/>
      <c r="Y521" s="241"/>
      <c r="Z521" s="241"/>
      <c r="AA521" s="241"/>
      <c r="AB521" s="241"/>
      <c r="AC521" s="241"/>
      <c r="AD521" s="241"/>
      <c r="AE521" s="241"/>
      <c r="AF521" s="241"/>
      <c r="AG521" s="241"/>
      <c r="AH521" s="241"/>
      <c r="AI521" s="241"/>
      <c r="AJ521" s="241"/>
      <c r="AK521" s="241"/>
      <c r="AL521" s="241"/>
      <c r="AM521" s="241"/>
      <c r="AN521" s="241"/>
      <c r="AO521" s="241"/>
      <c r="AP521" s="241"/>
      <c r="AQ521" s="241"/>
      <c r="AR521" s="241"/>
      <c r="AS521" s="241"/>
      <c r="AT521" s="241"/>
      <c r="AU521" s="241"/>
      <c r="AV521" s="241"/>
      <c r="AW521" s="241"/>
      <c r="AX521" s="241"/>
      <c r="AY521" s="241"/>
      <c r="AZ521" s="241"/>
    </row>
    <row r="522" spans="1:52" s="71" customFormat="1">
      <c r="A522" s="288">
        <v>10</v>
      </c>
      <c r="B522" s="97"/>
      <c r="C522" s="296"/>
      <c r="D522" s="360"/>
      <c r="E522" s="361"/>
      <c r="F522" s="298"/>
      <c r="G522" s="298"/>
      <c r="H522" s="86"/>
      <c r="I522" s="355"/>
      <c r="J522" s="356"/>
      <c r="K522" s="86"/>
      <c r="L522" s="86"/>
      <c r="M522" s="344" t="str">
        <f t="shared" si="90"/>
        <v/>
      </c>
      <c r="N522" s="345"/>
      <c r="O522" s="225" t="str">
        <f t="shared" si="91"/>
        <v/>
      </c>
      <c r="P522" s="225" t="str">
        <f t="shared" si="92"/>
        <v/>
      </c>
      <c r="Q522" s="330"/>
      <c r="R522" s="225" t="str">
        <f t="shared" si="93"/>
        <v/>
      </c>
      <c r="S522" s="225" t="str">
        <f t="shared" si="94"/>
        <v/>
      </c>
      <c r="T522" s="231" t="str">
        <f t="shared" si="95"/>
        <v/>
      </c>
      <c r="U522" s="176" t="s">
        <v>165</v>
      </c>
      <c r="V522" s="241"/>
      <c r="W522" s="241"/>
      <c r="X522" s="241"/>
      <c r="Y522" s="241"/>
      <c r="Z522" s="241"/>
      <c r="AA522" s="241"/>
      <c r="AB522" s="241"/>
      <c r="AC522" s="241"/>
      <c r="AD522" s="241"/>
      <c r="AE522" s="241"/>
      <c r="AF522" s="241"/>
      <c r="AG522" s="241"/>
      <c r="AH522" s="241"/>
      <c r="AI522" s="241"/>
      <c r="AJ522" s="241"/>
      <c r="AK522" s="241"/>
      <c r="AL522" s="241"/>
      <c r="AM522" s="241"/>
      <c r="AN522" s="241"/>
      <c r="AO522" s="241"/>
      <c r="AP522" s="241"/>
      <c r="AQ522" s="241"/>
      <c r="AR522" s="241"/>
      <c r="AS522" s="241"/>
      <c r="AT522" s="241"/>
      <c r="AU522" s="241"/>
      <c r="AV522" s="241"/>
      <c r="AW522" s="241"/>
      <c r="AX522" s="241"/>
      <c r="AY522" s="241"/>
      <c r="AZ522" s="241"/>
    </row>
    <row r="523" spans="1:52" s="71" customFormat="1" ht="15" hidden="1" customHeight="1" outlineLevel="1">
      <c r="A523" s="288">
        <v>11</v>
      </c>
      <c r="B523" s="97"/>
      <c r="C523" s="296"/>
      <c r="D523" s="360"/>
      <c r="E523" s="361"/>
      <c r="F523" s="298"/>
      <c r="G523" s="298"/>
      <c r="H523" s="86"/>
      <c r="I523" s="355"/>
      <c r="J523" s="356"/>
      <c r="K523" s="86"/>
      <c r="L523" s="86"/>
      <c r="M523" s="344" t="str">
        <f t="shared" si="90"/>
        <v/>
      </c>
      <c r="N523" s="345"/>
      <c r="O523" s="225" t="str">
        <f t="shared" si="91"/>
        <v/>
      </c>
      <c r="P523" s="225" t="str">
        <f t="shared" si="92"/>
        <v/>
      </c>
      <c r="Q523" s="330"/>
      <c r="R523" s="225" t="str">
        <f t="shared" si="93"/>
        <v/>
      </c>
      <c r="S523" s="225" t="str">
        <f t="shared" si="94"/>
        <v/>
      </c>
      <c r="T523" s="231" t="str">
        <f t="shared" si="95"/>
        <v/>
      </c>
      <c r="U523" s="176"/>
      <c r="V523" s="241"/>
      <c r="W523" s="241"/>
      <c r="X523" s="241"/>
      <c r="Y523" s="241"/>
      <c r="Z523" s="241"/>
      <c r="AA523" s="241"/>
      <c r="AB523" s="241"/>
      <c r="AC523" s="241"/>
      <c r="AD523" s="241"/>
      <c r="AE523" s="241"/>
      <c r="AF523" s="241"/>
      <c r="AG523" s="241"/>
      <c r="AH523" s="241"/>
      <c r="AI523" s="241"/>
      <c r="AJ523" s="241"/>
      <c r="AK523" s="241"/>
      <c r="AL523" s="241"/>
      <c r="AM523" s="241"/>
      <c r="AN523" s="241"/>
      <c r="AO523" s="241"/>
      <c r="AP523" s="241"/>
      <c r="AQ523" s="241"/>
      <c r="AR523" s="241"/>
      <c r="AS523" s="241"/>
      <c r="AT523" s="241"/>
      <c r="AU523" s="241"/>
      <c r="AV523" s="241"/>
      <c r="AW523" s="241"/>
      <c r="AX523" s="241"/>
      <c r="AY523" s="241"/>
      <c r="AZ523" s="241"/>
    </row>
    <row r="524" spans="1:52" s="71" customFormat="1" ht="15" hidden="1" customHeight="1" outlineLevel="1">
      <c r="A524" s="288">
        <v>12</v>
      </c>
      <c r="B524" s="97"/>
      <c r="C524" s="296"/>
      <c r="D524" s="360"/>
      <c r="E524" s="361"/>
      <c r="F524" s="298"/>
      <c r="G524" s="298"/>
      <c r="H524" s="86"/>
      <c r="I524" s="355"/>
      <c r="J524" s="356"/>
      <c r="K524" s="86"/>
      <c r="L524" s="86"/>
      <c r="M524" s="344" t="str">
        <f t="shared" si="90"/>
        <v/>
      </c>
      <c r="N524" s="345"/>
      <c r="O524" s="225" t="str">
        <f t="shared" si="91"/>
        <v/>
      </c>
      <c r="P524" s="225" t="str">
        <f t="shared" si="92"/>
        <v/>
      </c>
      <c r="Q524" s="330"/>
      <c r="R524" s="225" t="str">
        <f t="shared" si="93"/>
        <v/>
      </c>
      <c r="S524" s="225" t="str">
        <f t="shared" si="94"/>
        <v/>
      </c>
      <c r="T524" s="231" t="str">
        <f t="shared" si="95"/>
        <v/>
      </c>
      <c r="U524" s="176"/>
      <c r="V524" s="241"/>
      <c r="W524" s="241"/>
      <c r="X524" s="241"/>
      <c r="Y524" s="241"/>
      <c r="Z524" s="241"/>
      <c r="AA524" s="241"/>
      <c r="AB524" s="241"/>
      <c r="AC524" s="241"/>
      <c r="AD524" s="241"/>
      <c r="AE524" s="241"/>
      <c r="AF524" s="241"/>
      <c r="AG524" s="241"/>
      <c r="AH524" s="241"/>
      <c r="AI524" s="241"/>
      <c r="AJ524" s="241"/>
      <c r="AK524" s="241"/>
      <c r="AL524" s="241"/>
      <c r="AM524" s="241"/>
      <c r="AN524" s="241"/>
      <c r="AO524" s="241"/>
      <c r="AP524" s="241"/>
      <c r="AQ524" s="241"/>
      <c r="AR524" s="241"/>
      <c r="AS524" s="241"/>
      <c r="AT524" s="241"/>
      <c r="AU524" s="241"/>
      <c r="AV524" s="241"/>
      <c r="AW524" s="241"/>
      <c r="AX524" s="241"/>
      <c r="AY524" s="241"/>
      <c r="AZ524" s="241"/>
    </row>
    <row r="525" spans="1:52" s="71" customFormat="1" ht="15" hidden="1" customHeight="1" outlineLevel="1">
      <c r="A525" s="288">
        <v>13</v>
      </c>
      <c r="B525" s="97"/>
      <c r="C525" s="296"/>
      <c r="D525" s="360"/>
      <c r="E525" s="361"/>
      <c r="F525" s="298"/>
      <c r="G525" s="298"/>
      <c r="H525" s="86"/>
      <c r="I525" s="355"/>
      <c r="J525" s="356"/>
      <c r="K525" s="86"/>
      <c r="L525" s="86"/>
      <c r="M525" s="344" t="str">
        <f t="shared" si="90"/>
        <v/>
      </c>
      <c r="N525" s="345"/>
      <c r="O525" s="225" t="str">
        <f t="shared" si="91"/>
        <v/>
      </c>
      <c r="P525" s="225" t="str">
        <f t="shared" si="92"/>
        <v/>
      </c>
      <c r="Q525" s="330"/>
      <c r="R525" s="225" t="str">
        <f t="shared" si="93"/>
        <v/>
      </c>
      <c r="S525" s="225" t="str">
        <f t="shared" si="94"/>
        <v/>
      </c>
      <c r="T525" s="231" t="str">
        <f t="shared" si="95"/>
        <v/>
      </c>
      <c r="U525" s="176"/>
      <c r="V525" s="241"/>
      <c r="W525" s="241"/>
      <c r="X525" s="241"/>
      <c r="Y525" s="241"/>
      <c r="Z525" s="241"/>
      <c r="AA525" s="241"/>
      <c r="AB525" s="241"/>
      <c r="AC525" s="241"/>
      <c r="AD525" s="241"/>
      <c r="AE525" s="241"/>
      <c r="AF525" s="241"/>
      <c r="AG525" s="241"/>
      <c r="AH525" s="241"/>
      <c r="AI525" s="241"/>
      <c r="AJ525" s="241"/>
      <c r="AK525" s="241"/>
      <c r="AL525" s="241"/>
      <c r="AM525" s="241"/>
      <c r="AN525" s="241"/>
      <c r="AO525" s="241"/>
      <c r="AP525" s="241"/>
      <c r="AQ525" s="241"/>
      <c r="AR525" s="241"/>
      <c r="AS525" s="241"/>
      <c r="AT525" s="241"/>
      <c r="AU525" s="241"/>
      <c r="AV525" s="241"/>
      <c r="AW525" s="241"/>
      <c r="AX525" s="241"/>
      <c r="AY525" s="241"/>
      <c r="AZ525" s="241"/>
    </row>
    <row r="526" spans="1:52" s="71" customFormat="1" ht="15" hidden="1" customHeight="1" outlineLevel="1">
      <c r="A526" s="288">
        <v>14</v>
      </c>
      <c r="B526" s="97"/>
      <c r="C526" s="296"/>
      <c r="D526" s="360"/>
      <c r="E526" s="361"/>
      <c r="F526" s="298"/>
      <c r="G526" s="298"/>
      <c r="H526" s="86"/>
      <c r="I526" s="355"/>
      <c r="J526" s="356"/>
      <c r="K526" s="86"/>
      <c r="L526" s="86"/>
      <c r="M526" s="344" t="str">
        <f t="shared" si="90"/>
        <v/>
      </c>
      <c r="N526" s="345"/>
      <c r="O526" s="225" t="str">
        <f t="shared" si="91"/>
        <v/>
      </c>
      <c r="P526" s="225" t="str">
        <f t="shared" si="92"/>
        <v/>
      </c>
      <c r="Q526" s="330"/>
      <c r="R526" s="225" t="str">
        <f t="shared" si="93"/>
        <v/>
      </c>
      <c r="S526" s="225" t="str">
        <f t="shared" si="94"/>
        <v/>
      </c>
      <c r="T526" s="231" t="str">
        <f t="shared" si="95"/>
        <v/>
      </c>
      <c r="U526" s="176"/>
      <c r="V526" s="241"/>
      <c r="W526" s="241"/>
      <c r="X526" s="241"/>
      <c r="Y526" s="241"/>
      <c r="Z526" s="241"/>
      <c r="AA526" s="241"/>
      <c r="AB526" s="241"/>
      <c r="AC526" s="241"/>
      <c r="AD526" s="241"/>
      <c r="AE526" s="241"/>
      <c r="AF526" s="241"/>
      <c r="AG526" s="241"/>
      <c r="AH526" s="241"/>
      <c r="AI526" s="241"/>
      <c r="AJ526" s="241"/>
      <c r="AK526" s="241"/>
      <c r="AL526" s="241"/>
      <c r="AM526" s="241"/>
      <c r="AN526" s="241"/>
      <c r="AO526" s="241"/>
      <c r="AP526" s="241"/>
      <c r="AQ526" s="241"/>
      <c r="AR526" s="241"/>
      <c r="AS526" s="241"/>
      <c r="AT526" s="241"/>
      <c r="AU526" s="241"/>
      <c r="AV526" s="241"/>
      <c r="AW526" s="241"/>
      <c r="AX526" s="241"/>
      <c r="AY526" s="241"/>
      <c r="AZ526" s="241"/>
    </row>
    <row r="527" spans="1:52" s="71" customFormat="1" ht="15" hidden="1" customHeight="1" outlineLevel="1">
      <c r="A527" s="288">
        <v>15</v>
      </c>
      <c r="B527" s="97"/>
      <c r="C527" s="296"/>
      <c r="D527" s="360"/>
      <c r="E527" s="361"/>
      <c r="F527" s="298"/>
      <c r="G527" s="298"/>
      <c r="H527" s="86"/>
      <c r="I527" s="355"/>
      <c r="J527" s="356"/>
      <c r="K527" s="86"/>
      <c r="L527" s="86"/>
      <c r="M527" s="344" t="str">
        <f t="shared" si="90"/>
        <v/>
      </c>
      <c r="N527" s="345"/>
      <c r="O527" s="225" t="str">
        <f t="shared" si="91"/>
        <v/>
      </c>
      <c r="P527" s="225" t="str">
        <f t="shared" si="92"/>
        <v/>
      </c>
      <c r="Q527" s="330"/>
      <c r="R527" s="225" t="str">
        <f t="shared" si="93"/>
        <v/>
      </c>
      <c r="S527" s="225" t="str">
        <f t="shared" si="94"/>
        <v/>
      </c>
      <c r="T527" s="231" t="str">
        <f t="shared" si="95"/>
        <v/>
      </c>
      <c r="U527" s="176"/>
      <c r="V527" s="241"/>
      <c r="W527" s="241"/>
      <c r="X527" s="241"/>
      <c r="Y527" s="241"/>
      <c r="Z527" s="241"/>
      <c r="AA527" s="241"/>
      <c r="AB527" s="241"/>
      <c r="AC527" s="241"/>
      <c r="AD527" s="241"/>
      <c r="AE527" s="241"/>
      <c r="AF527" s="241"/>
      <c r="AG527" s="241"/>
      <c r="AH527" s="241"/>
      <c r="AI527" s="241"/>
      <c r="AJ527" s="241"/>
      <c r="AK527" s="241"/>
      <c r="AL527" s="241"/>
      <c r="AM527" s="241"/>
      <c r="AN527" s="241"/>
      <c r="AO527" s="241"/>
      <c r="AP527" s="241"/>
      <c r="AQ527" s="241"/>
      <c r="AR527" s="241"/>
      <c r="AS527" s="241"/>
      <c r="AT527" s="241"/>
      <c r="AU527" s="241"/>
      <c r="AV527" s="241"/>
      <c r="AW527" s="241"/>
      <c r="AX527" s="241"/>
      <c r="AY527" s="241"/>
      <c r="AZ527" s="241"/>
    </row>
    <row r="528" spans="1:52" s="71" customFormat="1" ht="15" hidden="1" customHeight="1" outlineLevel="1">
      <c r="A528" s="288">
        <v>16</v>
      </c>
      <c r="B528" s="97"/>
      <c r="C528" s="296"/>
      <c r="D528" s="360"/>
      <c r="E528" s="361"/>
      <c r="F528" s="298"/>
      <c r="G528" s="298"/>
      <c r="H528" s="86"/>
      <c r="I528" s="355"/>
      <c r="J528" s="356"/>
      <c r="K528" s="86"/>
      <c r="L528" s="86"/>
      <c r="M528" s="344" t="str">
        <f t="shared" si="90"/>
        <v/>
      </c>
      <c r="N528" s="345"/>
      <c r="O528" s="225" t="str">
        <f t="shared" si="91"/>
        <v/>
      </c>
      <c r="P528" s="225" t="str">
        <f t="shared" si="92"/>
        <v/>
      </c>
      <c r="Q528" s="330"/>
      <c r="R528" s="225" t="str">
        <f t="shared" si="93"/>
        <v/>
      </c>
      <c r="S528" s="225" t="str">
        <f t="shared" si="94"/>
        <v/>
      </c>
      <c r="T528" s="231" t="str">
        <f t="shared" si="95"/>
        <v/>
      </c>
      <c r="U528" s="176"/>
      <c r="V528" s="241"/>
      <c r="W528" s="241"/>
      <c r="X528" s="241"/>
      <c r="Y528" s="241"/>
      <c r="Z528" s="241"/>
      <c r="AA528" s="241"/>
      <c r="AB528" s="241"/>
      <c r="AC528" s="241"/>
      <c r="AD528" s="241"/>
      <c r="AE528" s="241"/>
      <c r="AF528" s="241"/>
      <c r="AG528" s="241"/>
      <c r="AH528" s="241"/>
      <c r="AI528" s="241"/>
      <c r="AJ528" s="241"/>
      <c r="AK528" s="241"/>
      <c r="AL528" s="241"/>
      <c r="AM528" s="241"/>
      <c r="AN528" s="241"/>
      <c r="AO528" s="241"/>
      <c r="AP528" s="241"/>
      <c r="AQ528" s="241"/>
      <c r="AR528" s="241"/>
      <c r="AS528" s="241"/>
      <c r="AT528" s="241"/>
      <c r="AU528" s="241"/>
      <c r="AV528" s="241"/>
      <c r="AW528" s="241"/>
      <c r="AX528" s="241"/>
      <c r="AY528" s="241"/>
      <c r="AZ528" s="241"/>
    </row>
    <row r="529" spans="1:52" s="71" customFormat="1" ht="15" hidden="1" customHeight="1" outlineLevel="1">
      <c r="A529" s="288">
        <v>17</v>
      </c>
      <c r="B529" s="97"/>
      <c r="C529" s="296"/>
      <c r="D529" s="360"/>
      <c r="E529" s="361"/>
      <c r="F529" s="298"/>
      <c r="G529" s="298"/>
      <c r="H529" s="86"/>
      <c r="I529" s="355"/>
      <c r="J529" s="356"/>
      <c r="K529" s="86"/>
      <c r="L529" s="86"/>
      <c r="M529" s="344" t="str">
        <f t="shared" si="90"/>
        <v/>
      </c>
      <c r="N529" s="345"/>
      <c r="O529" s="225" t="str">
        <f t="shared" si="91"/>
        <v/>
      </c>
      <c r="P529" s="225" t="str">
        <f t="shared" si="92"/>
        <v/>
      </c>
      <c r="Q529" s="330"/>
      <c r="R529" s="225" t="str">
        <f t="shared" si="93"/>
        <v/>
      </c>
      <c r="S529" s="225" t="str">
        <f t="shared" si="94"/>
        <v/>
      </c>
      <c r="T529" s="231" t="str">
        <f t="shared" si="95"/>
        <v/>
      </c>
      <c r="U529" s="176"/>
      <c r="V529" s="241"/>
      <c r="W529" s="241"/>
      <c r="X529" s="241"/>
      <c r="Y529" s="241"/>
      <c r="Z529" s="241"/>
      <c r="AA529" s="241"/>
      <c r="AB529" s="241"/>
      <c r="AC529" s="241"/>
      <c r="AD529" s="241"/>
      <c r="AE529" s="241"/>
      <c r="AF529" s="241"/>
      <c r="AG529" s="241"/>
      <c r="AH529" s="241"/>
      <c r="AI529" s="241"/>
      <c r="AJ529" s="241"/>
      <c r="AK529" s="241"/>
      <c r="AL529" s="241"/>
      <c r="AM529" s="241"/>
      <c r="AN529" s="241"/>
      <c r="AO529" s="241"/>
      <c r="AP529" s="241"/>
      <c r="AQ529" s="241"/>
      <c r="AR529" s="241"/>
      <c r="AS529" s="241"/>
      <c r="AT529" s="241"/>
      <c r="AU529" s="241"/>
      <c r="AV529" s="241"/>
      <c r="AW529" s="241"/>
      <c r="AX529" s="241"/>
      <c r="AY529" s="241"/>
      <c r="AZ529" s="241"/>
    </row>
    <row r="530" spans="1:52" s="71" customFormat="1" ht="15" hidden="1" customHeight="1" outlineLevel="1">
      <c r="A530" s="288">
        <v>18</v>
      </c>
      <c r="B530" s="97"/>
      <c r="C530" s="296"/>
      <c r="D530" s="360"/>
      <c r="E530" s="361"/>
      <c r="F530" s="298"/>
      <c r="G530" s="298"/>
      <c r="H530" s="86"/>
      <c r="I530" s="355"/>
      <c r="J530" s="356"/>
      <c r="K530" s="86"/>
      <c r="L530" s="86"/>
      <c r="M530" s="344" t="str">
        <f t="shared" si="90"/>
        <v/>
      </c>
      <c r="N530" s="345"/>
      <c r="O530" s="225" t="str">
        <f t="shared" si="91"/>
        <v/>
      </c>
      <c r="P530" s="225" t="str">
        <f t="shared" si="92"/>
        <v/>
      </c>
      <c r="Q530" s="330"/>
      <c r="R530" s="225" t="str">
        <f t="shared" si="93"/>
        <v/>
      </c>
      <c r="S530" s="225" t="str">
        <f t="shared" si="94"/>
        <v/>
      </c>
      <c r="T530" s="231" t="str">
        <f t="shared" si="95"/>
        <v/>
      </c>
      <c r="U530" s="176"/>
      <c r="V530" s="241"/>
      <c r="W530" s="241"/>
      <c r="X530" s="241"/>
      <c r="Y530" s="241"/>
      <c r="Z530" s="241"/>
      <c r="AA530" s="241"/>
      <c r="AB530" s="241"/>
      <c r="AC530" s="241"/>
      <c r="AD530" s="241"/>
      <c r="AE530" s="241"/>
      <c r="AF530" s="241"/>
      <c r="AG530" s="241"/>
      <c r="AH530" s="241"/>
      <c r="AI530" s="241"/>
      <c r="AJ530" s="241"/>
      <c r="AK530" s="241"/>
      <c r="AL530" s="241"/>
      <c r="AM530" s="241"/>
      <c r="AN530" s="241"/>
      <c r="AO530" s="241"/>
      <c r="AP530" s="241"/>
      <c r="AQ530" s="241"/>
      <c r="AR530" s="241"/>
      <c r="AS530" s="241"/>
      <c r="AT530" s="241"/>
      <c r="AU530" s="241"/>
      <c r="AV530" s="241"/>
      <c r="AW530" s="241"/>
      <c r="AX530" s="241"/>
      <c r="AY530" s="241"/>
      <c r="AZ530" s="241"/>
    </row>
    <row r="531" spans="1:52" s="71" customFormat="1" ht="15" hidden="1" customHeight="1" outlineLevel="1">
      <c r="A531" s="288">
        <v>19</v>
      </c>
      <c r="B531" s="97"/>
      <c r="C531" s="296"/>
      <c r="D531" s="360"/>
      <c r="E531" s="361"/>
      <c r="F531" s="298"/>
      <c r="G531" s="298"/>
      <c r="H531" s="86"/>
      <c r="I531" s="355"/>
      <c r="J531" s="356"/>
      <c r="K531" s="86"/>
      <c r="L531" s="86"/>
      <c r="M531" s="344" t="str">
        <f t="shared" si="90"/>
        <v/>
      </c>
      <c r="N531" s="345"/>
      <c r="O531" s="225" t="str">
        <f t="shared" si="91"/>
        <v/>
      </c>
      <c r="P531" s="225" t="str">
        <f t="shared" si="92"/>
        <v/>
      </c>
      <c r="Q531" s="330"/>
      <c r="R531" s="225" t="str">
        <f t="shared" si="93"/>
        <v/>
      </c>
      <c r="S531" s="225" t="str">
        <f t="shared" si="94"/>
        <v/>
      </c>
      <c r="T531" s="231" t="str">
        <f t="shared" si="95"/>
        <v/>
      </c>
      <c r="U531" s="176"/>
      <c r="V531" s="241"/>
      <c r="W531" s="241"/>
      <c r="X531" s="241"/>
      <c r="Y531" s="241"/>
      <c r="Z531" s="241"/>
      <c r="AA531" s="241"/>
      <c r="AB531" s="241"/>
      <c r="AC531" s="241"/>
      <c r="AD531" s="241"/>
      <c r="AE531" s="241"/>
      <c r="AF531" s="241"/>
      <c r="AG531" s="241"/>
      <c r="AH531" s="241"/>
      <c r="AI531" s="241"/>
      <c r="AJ531" s="241"/>
      <c r="AK531" s="241"/>
      <c r="AL531" s="241"/>
      <c r="AM531" s="241"/>
      <c r="AN531" s="241"/>
      <c r="AO531" s="241"/>
      <c r="AP531" s="241"/>
      <c r="AQ531" s="241"/>
      <c r="AR531" s="241"/>
      <c r="AS531" s="241"/>
      <c r="AT531" s="241"/>
      <c r="AU531" s="241"/>
      <c r="AV531" s="241"/>
      <c r="AW531" s="241"/>
      <c r="AX531" s="241"/>
      <c r="AY531" s="241"/>
      <c r="AZ531" s="241"/>
    </row>
    <row r="532" spans="1:52" s="71" customFormat="1" ht="15" hidden="1" customHeight="1" outlineLevel="1">
      <c r="A532" s="288">
        <v>20</v>
      </c>
      <c r="B532" s="97"/>
      <c r="C532" s="296"/>
      <c r="D532" s="360"/>
      <c r="E532" s="361"/>
      <c r="F532" s="298"/>
      <c r="G532" s="298"/>
      <c r="H532" s="86"/>
      <c r="I532" s="355"/>
      <c r="J532" s="356"/>
      <c r="K532" s="86"/>
      <c r="L532" s="86"/>
      <c r="M532" s="344" t="str">
        <f t="shared" si="90"/>
        <v/>
      </c>
      <c r="N532" s="345"/>
      <c r="O532" s="225" t="str">
        <f t="shared" si="91"/>
        <v/>
      </c>
      <c r="P532" s="225" t="str">
        <f t="shared" si="92"/>
        <v/>
      </c>
      <c r="Q532" s="330"/>
      <c r="R532" s="225" t="str">
        <f t="shared" si="93"/>
        <v/>
      </c>
      <c r="S532" s="225" t="str">
        <f t="shared" si="94"/>
        <v/>
      </c>
      <c r="T532" s="231" t="str">
        <f t="shared" si="95"/>
        <v/>
      </c>
      <c r="U532" s="176"/>
      <c r="V532" s="241"/>
      <c r="W532" s="241"/>
      <c r="X532" s="241"/>
      <c r="Y532" s="241"/>
      <c r="Z532" s="241"/>
      <c r="AA532" s="241"/>
      <c r="AB532" s="241"/>
      <c r="AC532" s="241"/>
      <c r="AD532" s="241"/>
      <c r="AE532" s="241"/>
      <c r="AF532" s="241"/>
      <c r="AG532" s="241"/>
      <c r="AH532" s="241"/>
      <c r="AI532" s="241"/>
      <c r="AJ532" s="241"/>
      <c r="AK532" s="241"/>
      <c r="AL532" s="241"/>
      <c r="AM532" s="241"/>
      <c r="AN532" s="241"/>
      <c r="AO532" s="241"/>
      <c r="AP532" s="241"/>
      <c r="AQ532" s="241"/>
      <c r="AR532" s="241"/>
      <c r="AS532" s="241"/>
      <c r="AT532" s="241"/>
      <c r="AU532" s="241"/>
      <c r="AV532" s="241"/>
      <c r="AW532" s="241"/>
      <c r="AX532" s="241"/>
      <c r="AY532" s="241"/>
      <c r="AZ532" s="241"/>
    </row>
    <row r="533" spans="1:52" s="71" customFormat="1" ht="15" hidden="1" customHeight="1" outlineLevel="1">
      <c r="A533" s="288">
        <v>21</v>
      </c>
      <c r="B533" s="97"/>
      <c r="C533" s="296"/>
      <c r="D533" s="360"/>
      <c r="E533" s="361"/>
      <c r="F533" s="298"/>
      <c r="G533" s="298"/>
      <c r="H533" s="86"/>
      <c r="I533" s="355"/>
      <c r="J533" s="356"/>
      <c r="K533" s="86"/>
      <c r="L533" s="86"/>
      <c r="M533" s="344" t="str">
        <f t="shared" si="90"/>
        <v/>
      </c>
      <c r="N533" s="345"/>
      <c r="O533" s="225" t="str">
        <f t="shared" si="91"/>
        <v/>
      </c>
      <c r="P533" s="225" t="str">
        <f t="shared" si="92"/>
        <v/>
      </c>
      <c r="Q533" s="330"/>
      <c r="R533" s="225" t="str">
        <f t="shared" si="93"/>
        <v/>
      </c>
      <c r="S533" s="225" t="str">
        <f t="shared" si="94"/>
        <v/>
      </c>
      <c r="T533" s="231" t="str">
        <f t="shared" si="95"/>
        <v/>
      </c>
      <c r="U533" s="176"/>
      <c r="V533" s="241"/>
      <c r="W533" s="241"/>
      <c r="X533" s="241"/>
      <c r="Y533" s="241"/>
      <c r="Z533" s="241"/>
      <c r="AA533" s="241"/>
      <c r="AB533" s="241"/>
      <c r="AC533" s="241"/>
      <c r="AD533" s="241"/>
      <c r="AE533" s="241"/>
      <c r="AF533" s="241"/>
      <c r="AG533" s="241"/>
      <c r="AH533" s="241"/>
      <c r="AI533" s="241"/>
      <c r="AJ533" s="241"/>
      <c r="AK533" s="241"/>
      <c r="AL533" s="241"/>
      <c r="AM533" s="241"/>
      <c r="AN533" s="241"/>
      <c r="AO533" s="241"/>
      <c r="AP533" s="241"/>
      <c r="AQ533" s="241"/>
      <c r="AR533" s="241"/>
      <c r="AS533" s="241"/>
      <c r="AT533" s="241"/>
      <c r="AU533" s="241"/>
      <c r="AV533" s="241"/>
      <c r="AW533" s="241"/>
      <c r="AX533" s="241"/>
      <c r="AY533" s="241"/>
      <c r="AZ533" s="241"/>
    </row>
    <row r="534" spans="1:52" s="71" customFormat="1" ht="15" hidden="1" customHeight="1" outlineLevel="1">
      <c r="A534" s="288">
        <v>22</v>
      </c>
      <c r="B534" s="97"/>
      <c r="C534" s="296"/>
      <c r="D534" s="360"/>
      <c r="E534" s="361"/>
      <c r="F534" s="298"/>
      <c r="G534" s="298"/>
      <c r="H534" s="86"/>
      <c r="I534" s="355"/>
      <c r="J534" s="356"/>
      <c r="K534" s="86"/>
      <c r="L534" s="86"/>
      <c r="M534" s="344" t="str">
        <f t="shared" si="90"/>
        <v/>
      </c>
      <c r="N534" s="345"/>
      <c r="O534" s="225" t="str">
        <f t="shared" si="91"/>
        <v/>
      </c>
      <c r="P534" s="225" t="str">
        <f t="shared" si="92"/>
        <v/>
      </c>
      <c r="Q534" s="330"/>
      <c r="R534" s="225" t="str">
        <f t="shared" si="93"/>
        <v/>
      </c>
      <c r="S534" s="225" t="str">
        <f t="shared" si="94"/>
        <v/>
      </c>
      <c r="T534" s="231" t="str">
        <f t="shared" si="95"/>
        <v/>
      </c>
      <c r="U534" s="176"/>
      <c r="V534" s="241"/>
      <c r="W534" s="241"/>
      <c r="X534" s="241"/>
      <c r="Y534" s="241"/>
      <c r="Z534" s="241"/>
      <c r="AA534" s="241"/>
      <c r="AB534" s="241"/>
      <c r="AC534" s="241"/>
      <c r="AD534" s="241"/>
      <c r="AE534" s="241"/>
      <c r="AF534" s="241"/>
      <c r="AG534" s="241"/>
      <c r="AH534" s="241"/>
      <c r="AI534" s="241"/>
      <c r="AJ534" s="241"/>
      <c r="AK534" s="241"/>
      <c r="AL534" s="241"/>
      <c r="AM534" s="241"/>
      <c r="AN534" s="241"/>
      <c r="AO534" s="241"/>
      <c r="AP534" s="241"/>
      <c r="AQ534" s="241"/>
      <c r="AR534" s="241"/>
      <c r="AS534" s="241"/>
      <c r="AT534" s="241"/>
      <c r="AU534" s="241"/>
      <c r="AV534" s="241"/>
      <c r="AW534" s="241"/>
      <c r="AX534" s="241"/>
      <c r="AY534" s="241"/>
      <c r="AZ534" s="241"/>
    </row>
    <row r="535" spans="1:52" s="71" customFormat="1" ht="15" hidden="1" customHeight="1" outlineLevel="1">
      <c r="A535" s="288">
        <v>23</v>
      </c>
      <c r="B535" s="97"/>
      <c r="C535" s="296"/>
      <c r="D535" s="360"/>
      <c r="E535" s="361"/>
      <c r="F535" s="298"/>
      <c r="G535" s="298"/>
      <c r="H535" s="86"/>
      <c r="I535" s="355"/>
      <c r="J535" s="356"/>
      <c r="K535" s="86"/>
      <c r="L535" s="86"/>
      <c r="M535" s="344" t="str">
        <f t="shared" si="90"/>
        <v/>
      </c>
      <c r="N535" s="345"/>
      <c r="O535" s="225" t="str">
        <f t="shared" si="91"/>
        <v/>
      </c>
      <c r="P535" s="225" t="str">
        <f t="shared" si="92"/>
        <v/>
      </c>
      <c r="Q535" s="330"/>
      <c r="R535" s="225" t="str">
        <f t="shared" si="93"/>
        <v/>
      </c>
      <c r="S535" s="225" t="str">
        <f t="shared" si="94"/>
        <v/>
      </c>
      <c r="T535" s="231" t="str">
        <f t="shared" si="95"/>
        <v/>
      </c>
      <c r="U535" s="176"/>
      <c r="V535" s="241"/>
      <c r="W535" s="241"/>
      <c r="X535" s="241"/>
      <c r="Y535" s="241"/>
      <c r="Z535" s="241"/>
      <c r="AA535" s="241"/>
      <c r="AB535" s="241"/>
      <c r="AC535" s="241"/>
      <c r="AD535" s="241"/>
      <c r="AE535" s="241"/>
      <c r="AF535" s="241"/>
      <c r="AG535" s="241"/>
      <c r="AH535" s="241"/>
      <c r="AI535" s="241"/>
      <c r="AJ535" s="241"/>
      <c r="AK535" s="241"/>
      <c r="AL535" s="241"/>
      <c r="AM535" s="241"/>
      <c r="AN535" s="241"/>
      <c r="AO535" s="241"/>
      <c r="AP535" s="241"/>
      <c r="AQ535" s="241"/>
      <c r="AR535" s="241"/>
      <c r="AS535" s="241"/>
      <c r="AT535" s="241"/>
      <c r="AU535" s="241"/>
      <c r="AV535" s="241"/>
      <c r="AW535" s="241"/>
      <c r="AX535" s="241"/>
      <c r="AY535" s="241"/>
      <c r="AZ535" s="241"/>
    </row>
    <row r="536" spans="1:52" s="71" customFormat="1" ht="15" hidden="1" customHeight="1" outlineLevel="1">
      <c r="A536" s="288">
        <v>24</v>
      </c>
      <c r="B536" s="97"/>
      <c r="C536" s="296"/>
      <c r="D536" s="360"/>
      <c r="E536" s="361"/>
      <c r="F536" s="298"/>
      <c r="G536" s="298"/>
      <c r="H536" s="86"/>
      <c r="I536" s="355"/>
      <c r="J536" s="356"/>
      <c r="K536" s="86"/>
      <c r="L536" s="86"/>
      <c r="M536" s="344" t="str">
        <f t="shared" si="90"/>
        <v/>
      </c>
      <c r="N536" s="345"/>
      <c r="O536" s="225" t="str">
        <f t="shared" si="91"/>
        <v/>
      </c>
      <c r="P536" s="225" t="str">
        <f t="shared" si="92"/>
        <v/>
      </c>
      <c r="Q536" s="330"/>
      <c r="R536" s="225" t="str">
        <f t="shared" si="93"/>
        <v/>
      </c>
      <c r="S536" s="225" t="str">
        <f t="shared" si="94"/>
        <v/>
      </c>
      <c r="T536" s="231" t="str">
        <f t="shared" si="95"/>
        <v/>
      </c>
      <c r="U536" s="176"/>
      <c r="V536" s="241"/>
      <c r="W536" s="241"/>
      <c r="X536" s="241"/>
      <c r="Y536" s="241"/>
      <c r="Z536" s="241"/>
      <c r="AA536" s="241"/>
      <c r="AB536" s="241"/>
      <c r="AC536" s="241"/>
      <c r="AD536" s="241"/>
      <c r="AE536" s="241"/>
      <c r="AF536" s="241"/>
      <c r="AG536" s="241"/>
      <c r="AH536" s="241"/>
      <c r="AI536" s="241"/>
      <c r="AJ536" s="241"/>
      <c r="AK536" s="241"/>
      <c r="AL536" s="241"/>
      <c r="AM536" s="241"/>
      <c r="AN536" s="241"/>
      <c r="AO536" s="241"/>
      <c r="AP536" s="241"/>
      <c r="AQ536" s="241"/>
      <c r="AR536" s="241"/>
      <c r="AS536" s="241"/>
      <c r="AT536" s="241"/>
      <c r="AU536" s="241"/>
      <c r="AV536" s="241"/>
      <c r="AW536" s="241"/>
      <c r="AX536" s="241"/>
      <c r="AY536" s="241"/>
      <c r="AZ536" s="241"/>
    </row>
    <row r="537" spans="1:52" s="71" customFormat="1" ht="15" hidden="1" customHeight="1" outlineLevel="1">
      <c r="A537" s="288">
        <v>25</v>
      </c>
      <c r="B537" s="97"/>
      <c r="C537" s="296"/>
      <c r="D537" s="360"/>
      <c r="E537" s="361"/>
      <c r="F537" s="298"/>
      <c r="G537" s="298"/>
      <c r="H537" s="86"/>
      <c r="I537" s="355"/>
      <c r="J537" s="356"/>
      <c r="K537" s="86"/>
      <c r="L537" s="86"/>
      <c r="M537" s="344" t="str">
        <f t="shared" si="90"/>
        <v/>
      </c>
      <c r="N537" s="345"/>
      <c r="O537" s="225" t="str">
        <f t="shared" si="91"/>
        <v/>
      </c>
      <c r="P537" s="225" t="str">
        <f t="shared" si="92"/>
        <v/>
      </c>
      <c r="Q537" s="330"/>
      <c r="R537" s="225" t="str">
        <f t="shared" si="93"/>
        <v/>
      </c>
      <c r="S537" s="225" t="str">
        <f t="shared" si="94"/>
        <v/>
      </c>
      <c r="T537" s="231" t="str">
        <f t="shared" si="95"/>
        <v/>
      </c>
      <c r="U537" s="176"/>
      <c r="V537" s="241"/>
      <c r="W537" s="241"/>
      <c r="X537" s="241"/>
      <c r="Y537" s="241"/>
      <c r="Z537" s="241"/>
      <c r="AA537" s="241"/>
      <c r="AB537" s="241"/>
      <c r="AC537" s="241"/>
      <c r="AD537" s="241"/>
      <c r="AE537" s="241"/>
      <c r="AF537" s="241"/>
      <c r="AG537" s="241"/>
      <c r="AH537" s="241"/>
      <c r="AI537" s="241"/>
      <c r="AJ537" s="241"/>
      <c r="AK537" s="241"/>
      <c r="AL537" s="241"/>
      <c r="AM537" s="241"/>
      <c r="AN537" s="241"/>
      <c r="AO537" s="241"/>
      <c r="AP537" s="241"/>
      <c r="AQ537" s="241"/>
      <c r="AR537" s="241"/>
      <c r="AS537" s="241"/>
      <c r="AT537" s="241"/>
      <c r="AU537" s="241"/>
      <c r="AV537" s="241"/>
      <c r="AW537" s="241"/>
      <c r="AX537" s="241"/>
      <c r="AY537" s="241"/>
      <c r="AZ537" s="241"/>
    </row>
    <row r="538" spans="1:52" s="71" customFormat="1" ht="15" hidden="1" customHeight="1" outlineLevel="1">
      <c r="A538" s="288">
        <v>26</v>
      </c>
      <c r="B538" s="97"/>
      <c r="C538" s="296"/>
      <c r="D538" s="360"/>
      <c r="E538" s="361"/>
      <c r="F538" s="298"/>
      <c r="G538" s="298"/>
      <c r="H538" s="86"/>
      <c r="I538" s="355"/>
      <c r="J538" s="356"/>
      <c r="K538" s="86"/>
      <c r="L538" s="86"/>
      <c r="M538" s="344" t="str">
        <f t="shared" si="90"/>
        <v/>
      </c>
      <c r="N538" s="345"/>
      <c r="O538" s="225" t="str">
        <f t="shared" si="91"/>
        <v/>
      </c>
      <c r="P538" s="225" t="str">
        <f t="shared" si="92"/>
        <v/>
      </c>
      <c r="Q538" s="330"/>
      <c r="R538" s="225" t="str">
        <f t="shared" si="93"/>
        <v/>
      </c>
      <c r="S538" s="225" t="str">
        <f t="shared" si="94"/>
        <v/>
      </c>
      <c r="T538" s="231" t="str">
        <f t="shared" si="95"/>
        <v/>
      </c>
      <c r="U538" s="176"/>
      <c r="V538" s="241"/>
      <c r="W538" s="241"/>
      <c r="X538" s="241"/>
      <c r="Y538" s="241"/>
      <c r="Z538" s="241"/>
      <c r="AA538" s="241"/>
      <c r="AB538" s="241"/>
      <c r="AC538" s="241"/>
      <c r="AD538" s="241"/>
      <c r="AE538" s="241"/>
      <c r="AF538" s="241"/>
      <c r="AG538" s="241"/>
      <c r="AH538" s="241"/>
      <c r="AI538" s="241"/>
      <c r="AJ538" s="241"/>
      <c r="AK538" s="241"/>
      <c r="AL538" s="241"/>
      <c r="AM538" s="241"/>
      <c r="AN538" s="241"/>
      <c r="AO538" s="241"/>
      <c r="AP538" s="241"/>
      <c r="AQ538" s="241"/>
      <c r="AR538" s="241"/>
      <c r="AS538" s="241"/>
      <c r="AT538" s="241"/>
      <c r="AU538" s="241"/>
      <c r="AV538" s="241"/>
      <c r="AW538" s="241"/>
      <c r="AX538" s="241"/>
      <c r="AY538" s="241"/>
      <c r="AZ538" s="241"/>
    </row>
    <row r="539" spans="1:52" s="71" customFormat="1" ht="15" hidden="1" customHeight="1" outlineLevel="1">
      <c r="A539" s="288">
        <v>27</v>
      </c>
      <c r="B539" s="97"/>
      <c r="C539" s="296"/>
      <c r="D539" s="360"/>
      <c r="E539" s="361"/>
      <c r="F539" s="298"/>
      <c r="G539" s="298"/>
      <c r="H539" s="86"/>
      <c r="I539" s="355"/>
      <c r="J539" s="356"/>
      <c r="K539" s="86"/>
      <c r="L539" s="86"/>
      <c r="M539" s="344" t="str">
        <f t="shared" si="90"/>
        <v/>
      </c>
      <c r="N539" s="345"/>
      <c r="O539" s="225" t="str">
        <f t="shared" si="91"/>
        <v/>
      </c>
      <c r="P539" s="225" t="str">
        <f t="shared" si="92"/>
        <v/>
      </c>
      <c r="Q539" s="330"/>
      <c r="R539" s="225" t="str">
        <f t="shared" si="93"/>
        <v/>
      </c>
      <c r="S539" s="225" t="str">
        <f t="shared" si="94"/>
        <v/>
      </c>
      <c r="T539" s="231" t="str">
        <f t="shared" si="95"/>
        <v/>
      </c>
      <c r="U539" s="176"/>
      <c r="V539" s="241"/>
      <c r="W539" s="241"/>
      <c r="X539" s="241"/>
      <c r="Y539" s="241"/>
      <c r="Z539" s="241"/>
      <c r="AA539" s="241"/>
      <c r="AB539" s="241"/>
      <c r="AC539" s="241"/>
      <c r="AD539" s="241"/>
      <c r="AE539" s="241"/>
      <c r="AF539" s="241"/>
      <c r="AG539" s="241"/>
      <c r="AH539" s="241"/>
      <c r="AI539" s="241"/>
      <c r="AJ539" s="241"/>
      <c r="AK539" s="241"/>
      <c r="AL539" s="241"/>
      <c r="AM539" s="241"/>
      <c r="AN539" s="241"/>
      <c r="AO539" s="241"/>
      <c r="AP539" s="241"/>
      <c r="AQ539" s="241"/>
      <c r="AR539" s="241"/>
      <c r="AS539" s="241"/>
      <c r="AT539" s="241"/>
      <c r="AU539" s="241"/>
      <c r="AV539" s="241"/>
      <c r="AW539" s="241"/>
      <c r="AX539" s="241"/>
      <c r="AY539" s="241"/>
      <c r="AZ539" s="241"/>
    </row>
    <row r="540" spans="1:52" s="71" customFormat="1" ht="15" hidden="1" customHeight="1" outlineLevel="1">
      <c r="A540" s="288">
        <v>28</v>
      </c>
      <c r="B540" s="97"/>
      <c r="C540" s="296"/>
      <c r="D540" s="360"/>
      <c r="E540" s="361"/>
      <c r="F540" s="298"/>
      <c r="G540" s="298"/>
      <c r="H540" s="86"/>
      <c r="I540" s="355"/>
      <c r="J540" s="356"/>
      <c r="K540" s="86"/>
      <c r="L540" s="86"/>
      <c r="M540" s="344" t="str">
        <f t="shared" si="90"/>
        <v/>
      </c>
      <c r="N540" s="345"/>
      <c r="O540" s="225" t="str">
        <f t="shared" si="91"/>
        <v/>
      </c>
      <c r="P540" s="225" t="str">
        <f t="shared" si="92"/>
        <v/>
      </c>
      <c r="Q540" s="330"/>
      <c r="R540" s="225" t="str">
        <f t="shared" si="93"/>
        <v/>
      </c>
      <c r="S540" s="225" t="str">
        <f t="shared" si="94"/>
        <v/>
      </c>
      <c r="T540" s="231" t="str">
        <f t="shared" si="95"/>
        <v/>
      </c>
      <c r="U540" s="176"/>
      <c r="V540" s="241"/>
      <c r="W540" s="241"/>
      <c r="X540" s="241"/>
      <c r="Y540" s="241"/>
      <c r="Z540" s="241"/>
      <c r="AA540" s="241"/>
      <c r="AB540" s="241"/>
      <c r="AC540" s="241"/>
      <c r="AD540" s="241"/>
      <c r="AE540" s="241"/>
      <c r="AF540" s="241"/>
      <c r="AG540" s="241"/>
      <c r="AH540" s="241"/>
      <c r="AI540" s="241"/>
      <c r="AJ540" s="241"/>
      <c r="AK540" s="241"/>
      <c r="AL540" s="241"/>
      <c r="AM540" s="241"/>
      <c r="AN540" s="241"/>
      <c r="AO540" s="241"/>
      <c r="AP540" s="241"/>
      <c r="AQ540" s="241"/>
      <c r="AR540" s="241"/>
      <c r="AS540" s="241"/>
      <c r="AT540" s="241"/>
      <c r="AU540" s="241"/>
      <c r="AV540" s="241"/>
      <c r="AW540" s="241"/>
      <c r="AX540" s="241"/>
      <c r="AY540" s="241"/>
      <c r="AZ540" s="241"/>
    </row>
    <row r="541" spans="1:52" s="71" customFormat="1" ht="15" hidden="1" customHeight="1" outlineLevel="1">
      <c r="A541" s="288">
        <v>29</v>
      </c>
      <c r="B541" s="97"/>
      <c r="C541" s="296"/>
      <c r="D541" s="360"/>
      <c r="E541" s="361"/>
      <c r="F541" s="298"/>
      <c r="G541" s="298"/>
      <c r="H541" s="86"/>
      <c r="I541" s="355"/>
      <c r="J541" s="356"/>
      <c r="K541" s="86"/>
      <c r="L541" s="86"/>
      <c r="M541" s="344" t="str">
        <f t="shared" si="90"/>
        <v/>
      </c>
      <c r="N541" s="345"/>
      <c r="O541" s="225" t="str">
        <f t="shared" si="91"/>
        <v/>
      </c>
      <c r="P541" s="225" t="str">
        <f t="shared" si="92"/>
        <v/>
      </c>
      <c r="Q541" s="330"/>
      <c r="R541" s="225" t="str">
        <f t="shared" si="93"/>
        <v/>
      </c>
      <c r="S541" s="225" t="str">
        <f t="shared" si="94"/>
        <v/>
      </c>
      <c r="T541" s="231" t="str">
        <f t="shared" si="95"/>
        <v/>
      </c>
      <c r="U541" s="176"/>
      <c r="V541" s="241"/>
      <c r="W541" s="241"/>
      <c r="X541" s="241"/>
      <c r="Y541" s="241"/>
      <c r="Z541" s="241"/>
      <c r="AA541" s="241"/>
      <c r="AB541" s="241"/>
      <c r="AC541" s="241"/>
      <c r="AD541" s="241"/>
      <c r="AE541" s="241"/>
      <c r="AF541" s="241"/>
      <c r="AG541" s="241"/>
      <c r="AH541" s="241"/>
      <c r="AI541" s="241"/>
      <c r="AJ541" s="241"/>
      <c r="AK541" s="241"/>
      <c r="AL541" s="241"/>
      <c r="AM541" s="241"/>
      <c r="AN541" s="241"/>
      <c r="AO541" s="241"/>
      <c r="AP541" s="241"/>
      <c r="AQ541" s="241"/>
      <c r="AR541" s="241"/>
      <c r="AS541" s="241"/>
      <c r="AT541" s="241"/>
      <c r="AU541" s="241"/>
      <c r="AV541" s="241"/>
      <c r="AW541" s="241"/>
      <c r="AX541" s="241"/>
      <c r="AY541" s="241"/>
      <c r="AZ541" s="241"/>
    </row>
    <row r="542" spans="1:52" s="71" customFormat="1" ht="15" hidden="1" customHeight="1" outlineLevel="1">
      <c r="A542" s="288">
        <v>30</v>
      </c>
      <c r="B542" s="97"/>
      <c r="C542" s="296"/>
      <c r="D542" s="360"/>
      <c r="E542" s="361"/>
      <c r="F542" s="298"/>
      <c r="G542" s="298"/>
      <c r="H542" s="86"/>
      <c r="I542" s="355"/>
      <c r="J542" s="356"/>
      <c r="K542" s="86"/>
      <c r="L542" s="86"/>
      <c r="M542" s="344" t="str">
        <f t="shared" si="90"/>
        <v/>
      </c>
      <c r="N542" s="345"/>
      <c r="O542" s="225" t="str">
        <f t="shared" si="91"/>
        <v/>
      </c>
      <c r="P542" s="225" t="str">
        <f t="shared" si="92"/>
        <v/>
      </c>
      <c r="Q542" s="330"/>
      <c r="R542" s="225" t="str">
        <f t="shared" si="93"/>
        <v/>
      </c>
      <c r="S542" s="225" t="str">
        <f t="shared" si="94"/>
        <v/>
      </c>
      <c r="T542" s="231" t="str">
        <f t="shared" si="95"/>
        <v/>
      </c>
      <c r="U542" s="176"/>
      <c r="V542" s="241"/>
      <c r="W542" s="241"/>
      <c r="X542" s="241"/>
      <c r="Y542" s="241"/>
      <c r="Z542" s="241"/>
      <c r="AA542" s="241"/>
      <c r="AB542" s="241"/>
      <c r="AC542" s="241"/>
      <c r="AD542" s="241"/>
      <c r="AE542" s="241"/>
      <c r="AF542" s="241"/>
      <c r="AG542" s="241"/>
      <c r="AH542" s="241"/>
      <c r="AI542" s="241"/>
      <c r="AJ542" s="241"/>
      <c r="AK542" s="241"/>
      <c r="AL542" s="241"/>
      <c r="AM542" s="241"/>
      <c r="AN542" s="241"/>
      <c r="AO542" s="241"/>
      <c r="AP542" s="241"/>
      <c r="AQ542" s="241"/>
      <c r="AR542" s="241"/>
      <c r="AS542" s="241"/>
      <c r="AT542" s="241"/>
      <c r="AU542" s="241"/>
      <c r="AV542" s="241"/>
      <c r="AW542" s="241"/>
      <c r="AX542" s="241"/>
      <c r="AY542" s="241"/>
      <c r="AZ542" s="241"/>
    </row>
    <row r="543" spans="1:52" s="71" customFormat="1" ht="15" hidden="1" customHeight="1" outlineLevel="1">
      <c r="A543" s="288">
        <v>31</v>
      </c>
      <c r="B543" s="97"/>
      <c r="C543" s="296"/>
      <c r="D543" s="360"/>
      <c r="E543" s="361"/>
      <c r="F543" s="298"/>
      <c r="G543" s="298"/>
      <c r="H543" s="86"/>
      <c r="I543" s="355"/>
      <c r="J543" s="356"/>
      <c r="K543" s="86"/>
      <c r="L543" s="86"/>
      <c r="M543" s="344" t="str">
        <f t="shared" si="90"/>
        <v/>
      </c>
      <c r="N543" s="345"/>
      <c r="O543" s="225" t="str">
        <f t="shared" si="91"/>
        <v/>
      </c>
      <c r="P543" s="225" t="str">
        <f t="shared" si="92"/>
        <v/>
      </c>
      <c r="Q543" s="330"/>
      <c r="R543" s="225" t="str">
        <f t="shared" si="93"/>
        <v/>
      </c>
      <c r="S543" s="225" t="str">
        <f t="shared" si="94"/>
        <v/>
      </c>
      <c r="T543" s="231" t="str">
        <f t="shared" si="95"/>
        <v/>
      </c>
      <c r="U543" s="176" t="s">
        <v>165</v>
      </c>
      <c r="V543" s="241"/>
      <c r="W543" s="241"/>
      <c r="X543" s="241"/>
      <c r="Y543" s="241"/>
      <c r="Z543" s="241"/>
      <c r="AA543" s="241"/>
      <c r="AB543" s="241"/>
      <c r="AC543" s="241"/>
      <c r="AD543" s="241"/>
      <c r="AE543" s="241"/>
      <c r="AF543" s="241"/>
      <c r="AG543" s="241"/>
      <c r="AH543" s="241"/>
      <c r="AI543" s="241"/>
      <c r="AJ543" s="241"/>
      <c r="AK543" s="241"/>
      <c r="AL543" s="241"/>
      <c r="AM543" s="241"/>
      <c r="AN543" s="241"/>
      <c r="AO543" s="241"/>
      <c r="AP543" s="241"/>
      <c r="AQ543" s="241"/>
      <c r="AR543" s="241"/>
      <c r="AS543" s="241"/>
      <c r="AT543" s="241"/>
      <c r="AU543" s="241"/>
      <c r="AV543" s="241"/>
      <c r="AW543" s="241"/>
      <c r="AX543" s="241"/>
      <c r="AY543" s="241"/>
      <c r="AZ543" s="241"/>
    </row>
    <row r="544" spans="1:52" s="71" customFormat="1" ht="15" hidden="1" customHeight="1" outlineLevel="2">
      <c r="A544" s="288">
        <v>32</v>
      </c>
      <c r="B544" s="97"/>
      <c r="C544" s="296"/>
      <c r="D544" s="360"/>
      <c r="E544" s="361"/>
      <c r="F544" s="298"/>
      <c r="G544" s="298"/>
      <c r="H544" s="86"/>
      <c r="I544" s="355"/>
      <c r="J544" s="356"/>
      <c r="K544" s="86"/>
      <c r="L544" s="86"/>
      <c r="M544" s="344" t="str">
        <f t="shared" si="90"/>
        <v/>
      </c>
      <c r="N544" s="345"/>
      <c r="O544" s="225" t="str">
        <f t="shared" si="91"/>
        <v/>
      </c>
      <c r="P544" s="225" t="str">
        <f t="shared" si="92"/>
        <v/>
      </c>
      <c r="Q544" s="330"/>
      <c r="R544" s="225" t="str">
        <f t="shared" si="93"/>
        <v/>
      </c>
      <c r="S544" s="225" t="str">
        <f t="shared" si="94"/>
        <v/>
      </c>
      <c r="T544" s="231" t="str">
        <f t="shared" si="95"/>
        <v/>
      </c>
      <c r="U544" s="176"/>
      <c r="V544" s="241"/>
      <c r="W544" s="241"/>
      <c r="X544" s="241"/>
      <c r="Y544" s="241"/>
      <c r="Z544" s="241"/>
      <c r="AA544" s="241"/>
      <c r="AB544" s="241"/>
      <c r="AC544" s="241"/>
      <c r="AD544" s="241"/>
      <c r="AE544" s="241"/>
      <c r="AF544" s="241"/>
      <c r="AG544" s="241"/>
      <c r="AH544" s="241"/>
      <c r="AI544" s="241"/>
      <c r="AJ544" s="241"/>
      <c r="AK544" s="241"/>
      <c r="AL544" s="241"/>
      <c r="AM544" s="241"/>
      <c r="AN544" s="241"/>
      <c r="AO544" s="241"/>
      <c r="AP544" s="241"/>
      <c r="AQ544" s="241"/>
      <c r="AR544" s="241"/>
      <c r="AS544" s="241"/>
      <c r="AT544" s="241"/>
      <c r="AU544" s="241"/>
      <c r="AV544" s="241"/>
      <c r="AW544" s="241"/>
      <c r="AX544" s="241"/>
      <c r="AY544" s="241"/>
      <c r="AZ544" s="241"/>
    </row>
    <row r="545" spans="1:52" s="71" customFormat="1" ht="15" hidden="1" customHeight="1" outlineLevel="2">
      <c r="A545" s="288">
        <v>33</v>
      </c>
      <c r="B545" s="97"/>
      <c r="C545" s="296"/>
      <c r="D545" s="360"/>
      <c r="E545" s="361"/>
      <c r="F545" s="298"/>
      <c r="G545" s="298"/>
      <c r="H545" s="86"/>
      <c r="I545" s="355"/>
      <c r="J545" s="356"/>
      <c r="K545" s="86"/>
      <c r="L545" s="86"/>
      <c r="M545" s="344" t="str">
        <f t="shared" si="90"/>
        <v/>
      </c>
      <c r="N545" s="345"/>
      <c r="O545" s="225" t="str">
        <f t="shared" si="91"/>
        <v/>
      </c>
      <c r="P545" s="225" t="str">
        <f t="shared" si="92"/>
        <v/>
      </c>
      <c r="Q545" s="330"/>
      <c r="R545" s="225" t="str">
        <f t="shared" si="93"/>
        <v/>
      </c>
      <c r="S545" s="225" t="str">
        <f t="shared" si="94"/>
        <v/>
      </c>
      <c r="T545" s="231" t="str">
        <f t="shared" si="95"/>
        <v/>
      </c>
      <c r="U545" s="176"/>
      <c r="V545" s="241"/>
      <c r="W545" s="241"/>
      <c r="X545" s="241"/>
      <c r="Y545" s="241"/>
      <c r="Z545" s="241"/>
      <c r="AA545" s="241"/>
      <c r="AB545" s="241"/>
      <c r="AC545" s="241"/>
      <c r="AD545" s="241"/>
      <c r="AE545" s="241"/>
      <c r="AF545" s="241"/>
      <c r="AG545" s="241"/>
      <c r="AH545" s="241"/>
      <c r="AI545" s="241"/>
      <c r="AJ545" s="241"/>
      <c r="AK545" s="241"/>
      <c r="AL545" s="241"/>
      <c r="AM545" s="241"/>
      <c r="AN545" s="241"/>
      <c r="AO545" s="241"/>
      <c r="AP545" s="241"/>
      <c r="AQ545" s="241"/>
      <c r="AR545" s="241"/>
      <c r="AS545" s="241"/>
      <c r="AT545" s="241"/>
      <c r="AU545" s="241"/>
      <c r="AV545" s="241"/>
      <c r="AW545" s="241"/>
      <c r="AX545" s="241"/>
      <c r="AY545" s="241"/>
      <c r="AZ545" s="241"/>
    </row>
    <row r="546" spans="1:52" s="71" customFormat="1" ht="15" hidden="1" customHeight="1" outlineLevel="2">
      <c r="A546" s="288">
        <v>34</v>
      </c>
      <c r="B546" s="97"/>
      <c r="C546" s="296"/>
      <c r="D546" s="360"/>
      <c r="E546" s="361"/>
      <c r="F546" s="298"/>
      <c r="G546" s="298"/>
      <c r="H546" s="86"/>
      <c r="I546" s="355"/>
      <c r="J546" s="356"/>
      <c r="K546" s="86"/>
      <c r="L546" s="86"/>
      <c r="M546" s="344" t="str">
        <f t="shared" si="90"/>
        <v/>
      </c>
      <c r="N546" s="345"/>
      <c r="O546" s="225" t="str">
        <f t="shared" si="91"/>
        <v/>
      </c>
      <c r="P546" s="225" t="str">
        <f t="shared" si="92"/>
        <v/>
      </c>
      <c r="Q546" s="330"/>
      <c r="R546" s="225" t="str">
        <f t="shared" si="93"/>
        <v/>
      </c>
      <c r="S546" s="225" t="str">
        <f t="shared" si="94"/>
        <v/>
      </c>
      <c r="T546" s="231" t="str">
        <f t="shared" si="95"/>
        <v/>
      </c>
      <c r="U546" s="176"/>
      <c r="V546" s="241"/>
      <c r="W546" s="241"/>
      <c r="X546" s="241"/>
      <c r="Y546" s="241"/>
      <c r="Z546" s="241"/>
      <c r="AA546" s="241"/>
      <c r="AB546" s="241"/>
      <c r="AC546" s="241"/>
      <c r="AD546" s="241"/>
      <c r="AE546" s="241"/>
      <c r="AF546" s="241"/>
      <c r="AG546" s="241"/>
      <c r="AH546" s="241"/>
      <c r="AI546" s="241"/>
      <c r="AJ546" s="241"/>
      <c r="AK546" s="241"/>
      <c r="AL546" s="241"/>
      <c r="AM546" s="241"/>
      <c r="AN546" s="241"/>
      <c r="AO546" s="241"/>
      <c r="AP546" s="241"/>
      <c r="AQ546" s="241"/>
      <c r="AR546" s="241"/>
      <c r="AS546" s="241"/>
      <c r="AT546" s="241"/>
      <c r="AU546" s="241"/>
      <c r="AV546" s="241"/>
      <c r="AW546" s="241"/>
      <c r="AX546" s="241"/>
      <c r="AY546" s="241"/>
      <c r="AZ546" s="241"/>
    </row>
    <row r="547" spans="1:52" s="71" customFormat="1" ht="15" hidden="1" customHeight="1" outlineLevel="2">
      <c r="A547" s="288">
        <v>35</v>
      </c>
      <c r="B547" s="97"/>
      <c r="C547" s="296"/>
      <c r="D547" s="360"/>
      <c r="E547" s="361"/>
      <c r="F547" s="298"/>
      <c r="G547" s="298"/>
      <c r="H547" s="86"/>
      <c r="I547" s="355"/>
      <c r="J547" s="356"/>
      <c r="K547" s="86"/>
      <c r="L547" s="86"/>
      <c r="M547" s="344" t="str">
        <f t="shared" si="90"/>
        <v/>
      </c>
      <c r="N547" s="345"/>
      <c r="O547" s="225" t="str">
        <f t="shared" si="91"/>
        <v/>
      </c>
      <c r="P547" s="225" t="str">
        <f t="shared" si="92"/>
        <v/>
      </c>
      <c r="Q547" s="330"/>
      <c r="R547" s="225" t="str">
        <f t="shared" si="93"/>
        <v/>
      </c>
      <c r="S547" s="225" t="str">
        <f t="shared" si="94"/>
        <v/>
      </c>
      <c r="T547" s="231" t="str">
        <f t="shared" si="95"/>
        <v/>
      </c>
      <c r="U547" s="176"/>
      <c r="V547" s="241"/>
      <c r="W547" s="241"/>
      <c r="X547" s="241"/>
      <c r="Y547" s="241"/>
      <c r="Z547" s="241"/>
      <c r="AA547" s="241"/>
      <c r="AB547" s="241"/>
      <c r="AC547" s="241"/>
      <c r="AD547" s="241"/>
      <c r="AE547" s="241"/>
      <c r="AF547" s="241"/>
      <c r="AG547" s="241"/>
      <c r="AH547" s="241"/>
      <c r="AI547" s="241"/>
      <c r="AJ547" s="241"/>
      <c r="AK547" s="241"/>
      <c r="AL547" s="241"/>
      <c r="AM547" s="241"/>
      <c r="AN547" s="241"/>
      <c r="AO547" s="241"/>
      <c r="AP547" s="241"/>
      <c r="AQ547" s="241"/>
      <c r="AR547" s="241"/>
      <c r="AS547" s="241"/>
      <c r="AT547" s="241"/>
      <c r="AU547" s="241"/>
      <c r="AV547" s="241"/>
      <c r="AW547" s="241"/>
      <c r="AX547" s="241"/>
      <c r="AY547" s="241"/>
      <c r="AZ547" s="241"/>
    </row>
    <row r="548" spans="1:52" s="71" customFormat="1" ht="15" hidden="1" customHeight="1" outlineLevel="2">
      <c r="A548" s="288">
        <v>36</v>
      </c>
      <c r="B548" s="97"/>
      <c r="C548" s="296"/>
      <c r="D548" s="360"/>
      <c r="E548" s="361"/>
      <c r="F548" s="298"/>
      <c r="G548" s="298"/>
      <c r="H548" s="86"/>
      <c r="I548" s="355"/>
      <c r="J548" s="356"/>
      <c r="K548" s="86"/>
      <c r="L548" s="86"/>
      <c r="M548" s="344" t="str">
        <f t="shared" si="90"/>
        <v/>
      </c>
      <c r="N548" s="345"/>
      <c r="O548" s="225" t="str">
        <f t="shared" si="91"/>
        <v/>
      </c>
      <c r="P548" s="225" t="str">
        <f t="shared" si="92"/>
        <v/>
      </c>
      <c r="Q548" s="330"/>
      <c r="R548" s="225" t="str">
        <f t="shared" si="93"/>
        <v/>
      </c>
      <c r="S548" s="225" t="str">
        <f t="shared" si="94"/>
        <v/>
      </c>
      <c r="T548" s="231" t="str">
        <f t="shared" si="95"/>
        <v/>
      </c>
      <c r="U548" s="176"/>
      <c r="V548" s="241"/>
      <c r="W548" s="241"/>
      <c r="X548" s="241"/>
      <c r="Y548" s="241"/>
      <c r="Z548" s="241"/>
      <c r="AA548" s="241"/>
      <c r="AB548" s="241"/>
      <c r="AC548" s="241"/>
      <c r="AD548" s="241"/>
      <c r="AE548" s="241"/>
      <c r="AF548" s="241"/>
      <c r="AG548" s="241"/>
      <c r="AH548" s="241"/>
      <c r="AI548" s="241"/>
      <c r="AJ548" s="241"/>
      <c r="AK548" s="241"/>
      <c r="AL548" s="241"/>
      <c r="AM548" s="241"/>
      <c r="AN548" s="241"/>
      <c r="AO548" s="241"/>
      <c r="AP548" s="241"/>
      <c r="AQ548" s="241"/>
      <c r="AR548" s="241"/>
      <c r="AS548" s="241"/>
      <c r="AT548" s="241"/>
      <c r="AU548" s="241"/>
      <c r="AV548" s="241"/>
      <c r="AW548" s="241"/>
      <c r="AX548" s="241"/>
      <c r="AY548" s="241"/>
      <c r="AZ548" s="241"/>
    </row>
    <row r="549" spans="1:52" s="71" customFormat="1" ht="15" hidden="1" customHeight="1" outlineLevel="2">
      <c r="A549" s="288">
        <v>37</v>
      </c>
      <c r="B549" s="97"/>
      <c r="C549" s="296"/>
      <c r="D549" s="360"/>
      <c r="E549" s="361"/>
      <c r="F549" s="298"/>
      <c r="G549" s="298"/>
      <c r="H549" s="86"/>
      <c r="I549" s="355"/>
      <c r="J549" s="356"/>
      <c r="K549" s="86"/>
      <c r="L549" s="86"/>
      <c r="M549" s="344" t="str">
        <f t="shared" si="90"/>
        <v/>
      </c>
      <c r="N549" s="345"/>
      <c r="O549" s="225" t="str">
        <f t="shared" si="91"/>
        <v/>
      </c>
      <c r="P549" s="225" t="str">
        <f t="shared" si="92"/>
        <v/>
      </c>
      <c r="Q549" s="330"/>
      <c r="R549" s="225" t="str">
        <f t="shared" si="93"/>
        <v/>
      </c>
      <c r="S549" s="225" t="str">
        <f t="shared" si="94"/>
        <v/>
      </c>
      <c r="T549" s="231" t="str">
        <f t="shared" si="95"/>
        <v/>
      </c>
      <c r="U549" s="176"/>
      <c r="V549" s="241"/>
      <c r="W549" s="241"/>
      <c r="X549" s="241"/>
      <c r="Y549" s="241"/>
      <c r="Z549" s="241"/>
      <c r="AA549" s="241"/>
      <c r="AB549" s="241"/>
      <c r="AC549" s="241"/>
      <c r="AD549" s="241"/>
      <c r="AE549" s="241"/>
      <c r="AF549" s="241"/>
      <c r="AG549" s="241"/>
      <c r="AH549" s="241"/>
      <c r="AI549" s="241"/>
      <c r="AJ549" s="241"/>
      <c r="AK549" s="241"/>
      <c r="AL549" s="241"/>
      <c r="AM549" s="241"/>
      <c r="AN549" s="241"/>
      <c r="AO549" s="241"/>
      <c r="AP549" s="241"/>
      <c r="AQ549" s="241"/>
      <c r="AR549" s="241"/>
      <c r="AS549" s="241"/>
      <c r="AT549" s="241"/>
      <c r="AU549" s="241"/>
      <c r="AV549" s="241"/>
      <c r="AW549" s="241"/>
      <c r="AX549" s="241"/>
      <c r="AY549" s="241"/>
      <c r="AZ549" s="241"/>
    </row>
    <row r="550" spans="1:52" s="71" customFormat="1" ht="15" hidden="1" customHeight="1" outlineLevel="2">
      <c r="A550" s="288">
        <v>38</v>
      </c>
      <c r="B550" s="97"/>
      <c r="C550" s="296"/>
      <c r="D550" s="360"/>
      <c r="E550" s="361"/>
      <c r="F550" s="298"/>
      <c r="G550" s="298"/>
      <c r="H550" s="86"/>
      <c r="I550" s="355"/>
      <c r="J550" s="356"/>
      <c r="K550" s="86"/>
      <c r="L550" s="86"/>
      <c r="M550" s="344" t="str">
        <f t="shared" si="90"/>
        <v/>
      </c>
      <c r="N550" s="345"/>
      <c r="O550" s="225" t="str">
        <f t="shared" si="91"/>
        <v/>
      </c>
      <c r="P550" s="225" t="str">
        <f t="shared" si="92"/>
        <v/>
      </c>
      <c r="Q550" s="330"/>
      <c r="R550" s="225" t="str">
        <f t="shared" si="93"/>
        <v/>
      </c>
      <c r="S550" s="225" t="str">
        <f t="shared" si="94"/>
        <v/>
      </c>
      <c r="T550" s="231" t="str">
        <f t="shared" si="95"/>
        <v/>
      </c>
      <c r="U550" s="176"/>
      <c r="V550" s="241"/>
      <c r="W550" s="241"/>
      <c r="X550" s="241"/>
      <c r="Y550" s="241"/>
      <c r="Z550" s="241"/>
      <c r="AA550" s="241"/>
      <c r="AB550" s="241"/>
      <c r="AC550" s="241"/>
      <c r="AD550" s="241"/>
      <c r="AE550" s="241"/>
      <c r="AF550" s="241"/>
      <c r="AG550" s="241"/>
      <c r="AH550" s="241"/>
      <c r="AI550" s="241"/>
      <c r="AJ550" s="241"/>
      <c r="AK550" s="241"/>
      <c r="AL550" s="241"/>
      <c r="AM550" s="241"/>
      <c r="AN550" s="241"/>
      <c r="AO550" s="241"/>
      <c r="AP550" s="241"/>
      <c r="AQ550" s="241"/>
      <c r="AR550" s="241"/>
      <c r="AS550" s="241"/>
      <c r="AT550" s="241"/>
      <c r="AU550" s="241"/>
      <c r="AV550" s="241"/>
      <c r="AW550" s="241"/>
      <c r="AX550" s="241"/>
      <c r="AY550" s="241"/>
      <c r="AZ550" s="241"/>
    </row>
    <row r="551" spans="1:52" s="71" customFormat="1" ht="15" hidden="1" customHeight="1" outlineLevel="2">
      <c r="A551" s="288">
        <v>39</v>
      </c>
      <c r="B551" s="97"/>
      <c r="C551" s="296"/>
      <c r="D551" s="360"/>
      <c r="E551" s="361"/>
      <c r="F551" s="298"/>
      <c r="G551" s="298"/>
      <c r="H551" s="86"/>
      <c r="I551" s="355"/>
      <c r="J551" s="356"/>
      <c r="K551" s="86"/>
      <c r="L551" s="86"/>
      <c r="M551" s="344" t="str">
        <f t="shared" si="90"/>
        <v/>
      </c>
      <c r="N551" s="345"/>
      <c r="O551" s="225" t="str">
        <f t="shared" si="91"/>
        <v/>
      </c>
      <c r="P551" s="225" t="str">
        <f t="shared" si="92"/>
        <v/>
      </c>
      <c r="Q551" s="330"/>
      <c r="R551" s="225" t="str">
        <f t="shared" si="93"/>
        <v/>
      </c>
      <c r="S551" s="225" t="str">
        <f t="shared" si="94"/>
        <v/>
      </c>
      <c r="T551" s="231" t="str">
        <f t="shared" si="95"/>
        <v/>
      </c>
      <c r="U551" s="176"/>
      <c r="V551" s="241"/>
      <c r="W551" s="241"/>
      <c r="X551" s="241"/>
      <c r="Y551" s="241"/>
      <c r="Z551" s="241"/>
      <c r="AA551" s="241"/>
      <c r="AB551" s="241"/>
      <c r="AC551" s="241"/>
      <c r="AD551" s="241"/>
      <c r="AE551" s="241"/>
      <c r="AF551" s="241"/>
      <c r="AG551" s="241"/>
      <c r="AH551" s="241"/>
      <c r="AI551" s="241"/>
      <c r="AJ551" s="241"/>
      <c r="AK551" s="241"/>
      <c r="AL551" s="241"/>
      <c r="AM551" s="241"/>
      <c r="AN551" s="241"/>
      <c r="AO551" s="241"/>
      <c r="AP551" s="241"/>
      <c r="AQ551" s="241"/>
      <c r="AR551" s="241"/>
      <c r="AS551" s="241"/>
      <c r="AT551" s="241"/>
      <c r="AU551" s="241"/>
      <c r="AV551" s="241"/>
      <c r="AW551" s="241"/>
      <c r="AX551" s="241"/>
      <c r="AY551" s="241"/>
      <c r="AZ551" s="241"/>
    </row>
    <row r="552" spans="1:52" s="71" customFormat="1" ht="15" hidden="1" customHeight="1" outlineLevel="2">
      <c r="A552" s="288">
        <v>40</v>
      </c>
      <c r="B552" s="97"/>
      <c r="C552" s="296"/>
      <c r="D552" s="360"/>
      <c r="E552" s="361"/>
      <c r="F552" s="298"/>
      <c r="G552" s="298"/>
      <c r="H552" s="86"/>
      <c r="I552" s="355"/>
      <c r="J552" s="356"/>
      <c r="K552" s="86"/>
      <c r="L552" s="86"/>
      <c r="M552" s="344" t="str">
        <f t="shared" si="90"/>
        <v/>
      </c>
      <c r="N552" s="345"/>
      <c r="O552" s="225" t="str">
        <f t="shared" si="91"/>
        <v/>
      </c>
      <c r="P552" s="225" t="str">
        <f t="shared" si="92"/>
        <v/>
      </c>
      <c r="Q552" s="330"/>
      <c r="R552" s="225" t="str">
        <f t="shared" si="93"/>
        <v/>
      </c>
      <c r="S552" s="225" t="str">
        <f t="shared" si="94"/>
        <v/>
      </c>
      <c r="T552" s="231" t="str">
        <f t="shared" si="95"/>
        <v/>
      </c>
      <c r="U552" s="176"/>
      <c r="V552" s="241"/>
      <c r="W552" s="241"/>
      <c r="X552" s="241"/>
      <c r="Y552" s="241"/>
      <c r="Z552" s="241"/>
      <c r="AA552" s="241"/>
      <c r="AB552" s="241"/>
      <c r="AC552" s="241"/>
      <c r="AD552" s="241"/>
      <c r="AE552" s="241"/>
      <c r="AF552" s="241"/>
      <c r="AG552" s="241"/>
      <c r="AH552" s="241"/>
      <c r="AI552" s="241"/>
      <c r="AJ552" s="241"/>
      <c r="AK552" s="241"/>
      <c r="AL552" s="241"/>
      <c r="AM552" s="241"/>
      <c r="AN552" s="241"/>
      <c r="AO552" s="241"/>
      <c r="AP552" s="241"/>
      <c r="AQ552" s="241"/>
      <c r="AR552" s="241"/>
      <c r="AS552" s="241"/>
      <c r="AT552" s="241"/>
      <c r="AU552" s="241"/>
      <c r="AV552" s="241"/>
      <c r="AW552" s="241"/>
      <c r="AX552" s="241"/>
      <c r="AY552" s="241"/>
      <c r="AZ552" s="241"/>
    </row>
    <row r="553" spans="1:52" s="71" customFormat="1" ht="15" hidden="1" customHeight="1" outlineLevel="2">
      <c r="A553" s="288">
        <v>41</v>
      </c>
      <c r="B553" s="97"/>
      <c r="C553" s="296"/>
      <c r="D553" s="360"/>
      <c r="E553" s="361"/>
      <c r="F553" s="298"/>
      <c r="G553" s="298"/>
      <c r="H553" s="86"/>
      <c r="I553" s="355"/>
      <c r="J553" s="356"/>
      <c r="K553" s="86"/>
      <c r="L553" s="86"/>
      <c r="M553" s="344" t="str">
        <f t="shared" si="90"/>
        <v/>
      </c>
      <c r="N553" s="345"/>
      <c r="O553" s="225" t="str">
        <f t="shared" si="91"/>
        <v/>
      </c>
      <c r="P553" s="225" t="str">
        <f t="shared" si="92"/>
        <v/>
      </c>
      <c r="Q553" s="330"/>
      <c r="R553" s="225" t="str">
        <f t="shared" si="93"/>
        <v/>
      </c>
      <c r="S553" s="225" t="str">
        <f t="shared" si="94"/>
        <v/>
      </c>
      <c r="T553" s="231" t="str">
        <f t="shared" si="95"/>
        <v/>
      </c>
      <c r="U553" s="176"/>
      <c r="V553" s="241"/>
      <c r="W553" s="241"/>
      <c r="X553" s="241"/>
      <c r="Y553" s="241"/>
      <c r="Z553" s="241"/>
      <c r="AA553" s="241"/>
      <c r="AB553" s="241"/>
      <c r="AC553" s="241"/>
      <c r="AD553" s="241"/>
      <c r="AE553" s="241"/>
      <c r="AF553" s="241"/>
      <c r="AG553" s="241"/>
      <c r="AH553" s="241"/>
      <c r="AI553" s="241"/>
      <c r="AJ553" s="241"/>
      <c r="AK553" s="241"/>
      <c r="AL553" s="241"/>
      <c r="AM553" s="241"/>
      <c r="AN553" s="241"/>
      <c r="AO553" s="241"/>
      <c r="AP553" s="241"/>
      <c r="AQ553" s="241"/>
      <c r="AR553" s="241"/>
      <c r="AS553" s="241"/>
      <c r="AT553" s="241"/>
      <c r="AU553" s="241"/>
      <c r="AV553" s="241"/>
      <c r="AW553" s="241"/>
      <c r="AX553" s="241"/>
      <c r="AY553" s="241"/>
      <c r="AZ553" s="241"/>
    </row>
    <row r="554" spans="1:52" s="71" customFormat="1" ht="15" hidden="1" customHeight="1" outlineLevel="2">
      <c r="A554" s="288">
        <v>42</v>
      </c>
      <c r="B554" s="97"/>
      <c r="C554" s="296"/>
      <c r="D554" s="360"/>
      <c r="E554" s="361"/>
      <c r="F554" s="298"/>
      <c r="G554" s="298"/>
      <c r="H554" s="86"/>
      <c r="I554" s="355"/>
      <c r="J554" s="356"/>
      <c r="K554" s="86"/>
      <c r="L554" s="86"/>
      <c r="M554" s="344" t="str">
        <f t="shared" si="90"/>
        <v/>
      </c>
      <c r="N554" s="345"/>
      <c r="O554" s="225" t="str">
        <f t="shared" si="91"/>
        <v/>
      </c>
      <c r="P554" s="225" t="str">
        <f t="shared" si="92"/>
        <v/>
      </c>
      <c r="Q554" s="330"/>
      <c r="R554" s="225" t="str">
        <f t="shared" si="93"/>
        <v/>
      </c>
      <c r="S554" s="225" t="str">
        <f t="shared" si="94"/>
        <v/>
      </c>
      <c r="T554" s="231" t="str">
        <f t="shared" si="95"/>
        <v/>
      </c>
      <c r="U554" s="176"/>
      <c r="V554" s="241"/>
      <c r="W554" s="241"/>
      <c r="X554" s="241"/>
      <c r="Y554" s="241"/>
      <c r="Z554" s="241"/>
      <c r="AA554" s="241"/>
      <c r="AB554" s="241"/>
      <c r="AC554" s="241"/>
      <c r="AD554" s="241"/>
      <c r="AE554" s="241"/>
      <c r="AF554" s="241"/>
      <c r="AG554" s="241"/>
      <c r="AH554" s="241"/>
      <c r="AI554" s="241"/>
      <c r="AJ554" s="241"/>
      <c r="AK554" s="241"/>
      <c r="AL554" s="241"/>
      <c r="AM554" s="241"/>
      <c r="AN554" s="241"/>
      <c r="AO554" s="241"/>
      <c r="AP554" s="241"/>
      <c r="AQ554" s="241"/>
      <c r="AR554" s="241"/>
      <c r="AS554" s="241"/>
      <c r="AT554" s="241"/>
      <c r="AU554" s="241"/>
      <c r="AV554" s="241"/>
      <c r="AW554" s="241"/>
      <c r="AX554" s="241"/>
      <c r="AY554" s="241"/>
      <c r="AZ554" s="241"/>
    </row>
    <row r="555" spans="1:52" s="71" customFormat="1" ht="15" hidden="1" customHeight="1" outlineLevel="2">
      <c r="A555" s="288">
        <v>43</v>
      </c>
      <c r="B555" s="97"/>
      <c r="C555" s="296"/>
      <c r="D555" s="360"/>
      <c r="E555" s="361"/>
      <c r="F555" s="298"/>
      <c r="G555" s="298"/>
      <c r="H555" s="86"/>
      <c r="I555" s="355"/>
      <c r="J555" s="356"/>
      <c r="K555" s="86"/>
      <c r="L555" s="86"/>
      <c r="M555" s="344" t="str">
        <f t="shared" si="90"/>
        <v/>
      </c>
      <c r="N555" s="345"/>
      <c r="O555" s="225" t="str">
        <f t="shared" si="91"/>
        <v/>
      </c>
      <c r="P555" s="225" t="str">
        <f t="shared" si="92"/>
        <v/>
      </c>
      <c r="Q555" s="330"/>
      <c r="R555" s="225" t="str">
        <f t="shared" si="93"/>
        <v/>
      </c>
      <c r="S555" s="225" t="str">
        <f t="shared" si="94"/>
        <v/>
      </c>
      <c r="T555" s="231" t="str">
        <f t="shared" si="95"/>
        <v/>
      </c>
      <c r="U555" s="176"/>
      <c r="V555" s="241"/>
      <c r="W555" s="241"/>
      <c r="X555" s="241"/>
      <c r="Y555" s="241"/>
      <c r="Z555" s="241"/>
      <c r="AA555" s="241"/>
      <c r="AB555" s="241"/>
      <c r="AC555" s="241"/>
      <c r="AD555" s="241"/>
      <c r="AE555" s="241"/>
      <c r="AF555" s="241"/>
      <c r="AG555" s="241"/>
      <c r="AH555" s="241"/>
      <c r="AI555" s="241"/>
      <c r="AJ555" s="241"/>
      <c r="AK555" s="241"/>
      <c r="AL555" s="241"/>
      <c r="AM555" s="241"/>
      <c r="AN555" s="241"/>
      <c r="AO555" s="241"/>
      <c r="AP555" s="241"/>
      <c r="AQ555" s="241"/>
      <c r="AR555" s="241"/>
      <c r="AS555" s="241"/>
      <c r="AT555" s="241"/>
      <c r="AU555" s="241"/>
      <c r="AV555" s="241"/>
      <c r="AW555" s="241"/>
      <c r="AX555" s="241"/>
      <c r="AY555" s="241"/>
      <c r="AZ555" s="241"/>
    </row>
    <row r="556" spans="1:52" s="71" customFormat="1" ht="15" hidden="1" customHeight="1" outlineLevel="2">
      <c r="A556" s="288">
        <v>44</v>
      </c>
      <c r="B556" s="97"/>
      <c r="C556" s="296"/>
      <c r="D556" s="360"/>
      <c r="E556" s="361"/>
      <c r="F556" s="298"/>
      <c r="G556" s="298"/>
      <c r="H556" s="86"/>
      <c r="I556" s="355"/>
      <c r="J556" s="356"/>
      <c r="K556" s="86"/>
      <c r="L556" s="86"/>
      <c r="M556" s="344" t="str">
        <f t="shared" si="90"/>
        <v/>
      </c>
      <c r="N556" s="345"/>
      <c r="O556" s="225" t="str">
        <f t="shared" si="91"/>
        <v/>
      </c>
      <c r="P556" s="225" t="str">
        <f t="shared" si="92"/>
        <v/>
      </c>
      <c r="Q556" s="330"/>
      <c r="R556" s="225" t="str">
        <f t="shared" si="93"/>
        <v/>
      </c>
      <c r="S556" s="225" t="str">
        <f t="shared" si="94"/>
        <v/>
      </c>
      <c r="T556" s="231" t="str">
        <f t="shared" si="95"/>
        <v/>
      </c>
      <c r="U556" s="176"/>
      <c r="V556" s="241"/>
      <c r="W556" s="241"/>
      <c r="X556" s="241"/>
      <c r="Y556" s="241"/>
      <c r="Z556" s="241"/>
      <c r="AA556" s="241"/>
      <c r="AB556" s="241"/>
      <c r="AC556" s="241"/>
      <c r="AD556" s="241"/>
      <c r="AE556" s="241"/>
      <c r="AF556" s="241"/>
      <c r="AG556" s="241"/>
      <c r="AH556" s="241"/>
      <c r="AI556" s="241"/>
      <c r="AJ556" s="241"/>
      <c r="AK556" s="241"/>
      <c r="AL556" s="241"/>
      <c r="AM556" s="241"/>
      <c r="AN556" s="241"/>
      <c r="AO556" s="241"/>
      <c r="AP556" s="241"/>
      <c r="AQ556" s="241"/>
      <c r="AR556" s="241"/>
      <c r="AS556" s="241"/>
      <c r="AT556" s="241"/>
      <c r="AU556" s="241"/>
      <c r="AV556" s="241"/>
      <c r="AW556" s="241"/>
      <c r="AX556" s="241"/>
      <c r="AY556" s="241"/>
      <c r="AZ556" s="241"/>
    </row>
    <row r="557" spans="1:52" s="71" customFormat="1" ht="15" hidden="1" customHeight="1" outlineLevel="2">
      <c r="A557" s="288">
        <v>45</v>
      </c>
      <c r="B557" s="97"/>
      <c r="C557" s="296"/>
      <c r="D557" s="360"/>
      <c r="E557" s="361"/>
      <c r="F557" s="298"/>
      <c r="G557" s="298"/>
      <c r="H557" s="86"/>
      <c r="I557" s="355"/>
      <c r="J557" s="356"/>
      <c r="K557" s="86"/>
      <c r="L557" s="86"/>
      <c r="M557" s="344" t="str">
        <f t="shared" si="90"/>
        <v/>
      </c>
      <c r="N557" s="345"/>
      <c r="O557" s="225" t="str">
        <f t="shared" si="91"/>
        <v/>
      </c>
      <c r="P557" s="225" t="str">
        <f t="shared" si="92"/>
        <v/>
      </c>
      <c r="Q557" s="330"/>
      <c r="R557" s="225" t="str">
        <f t="shared" si="93"/>
        <v/>
      </c>
      <c r="S557" s="225" t="str">
        <f t="shared" si="94"/>
        <v/>
      </c>
      <c r="T557" s="231" t="str">
        <f t="shared" si="95"/>
        <v/>
      </c>
      <c r="U557" s="176"/>
      <c r="V557" s="241"/>
      <c r="W557" s="241"/>
      <c r="X557" s="241"/>
      <c r="Y557" s="241"/>
      <c r="Z557" s="241"/>
      <c r="AA557" s="241"/>
      <c r="AB557" s="241"/>
      <c r="AC557" s="241"/>
      <c r="AD557" s="241"/>
      <c r="AE557" s="241"/>
      <c r="AF557" s="241"/>
      <c r="AG557" s="241"/>
      <c r="AH557" s="241"/>
      <c r="AI557" s="241"/>
      <c r="AJ557" s="241"/>
      <c r="AK557" s="241"/>
      <c r="AL557" s="241"/>
      <c r="AM557" s="241"/>
      <c r="AN557" s="241"/>
      <c r="AO557" s="241"/>
      <c r="AP557" s="241"/>
      <c r="AQ557" s="241"/>
      <c r="AR557" s="241"/>
      <c r="AS557" s="241"/>
      <c r="AT557" s="241"/>
      <c r="AU557" s="241"/>
      <c r="AV557" s="241"/>
      <c r="AW557" s="241"/>
      <c r="AX557" s="241"/>
      <c r="AY557" s="241"/>
      <c r="AZ557" s="241"/>
    </row>
    <row r="558" spans="1:52" s="71" customFormat="1" ht="15" hidden="1" customHeight="1" outlineLevel="2">
      <c r="A558" s="288">
        <v>46</v>
      </c>
      <c r="B558" s="97"/>
      <c r="C558" s="296"/>
      <c r="D558" s="360"/>
      <c r="E558" s="361"/>
      <c r="F558" s="298"/>
      <c r="G558" s="298"/>
      <c r="H558" s="86"/>
      <c r="I558" s="355"/>
      <c r="J558" s="356"/>
      <c r="K558" s="86"/>
      <c r="L558" s="86"/>
      <c r="M558" s="344" t="str">
        <f t="shared" si="90"/>
        <v/>
      </c>
      <c r="N558" s="345"/>
      <c r="O558" s="225" t="str">
        <f t="shared" si="91"/>
        <v/>
      </c>
      <c r="P558" s="225" t="str">
        <f t="shared" si="92"/>
        <v/>
      </c>
      <c r="Q558" s="330"/>
      <c r="R558" s="225" t="str">
        <f t="shared" si="93"/>
        <v/>
      </c>
      <c r="S558" s="225" t="str">
        <f t="shared" si="94"/>
        <v/>
      </c>
      <c r="T558" s="231" t="str">
        <f t="shared" si="95"/>
        <v/>
      </c>
      <c r="U558" s="176"/>
      <c r="V558" s="241"/>
      <c r="W558" s="241"/>
      <c r="X558" s="241"/>
      <c r="Y558" s="241"/>
      <c r="Z558" s="241"/>
      <c r="AA558" s="241"/>
      <c r="AB558" s="241"/>
      <c r="AC558" s="241"/>
      <c r="AD558" s="241"/>
      <c r="AE558" s="241"/>
      <c r="AF558" s="241"/>
      <c r="AG558" s="241"/>
      <c r="AH558" s="241"/>
      <c r="AI558" s="241"/>
      <c r="AJ558" s="241"/>
      <c r="AK558" s="241"/>
      <c r="AL558" s="241"/>
      <c r="AM558" s="241"/>
      <c r="AN558" s="241"/>
      <c r="AO558" s="241"/>
      <c r="AP558" s="241"/>
      <c r="AQ558" s="241"/>
      <c r="AR558" s="241"/>
      <c r="AS558" s="241"/>
      <c r="AT558" s="241"/>
      <c r="AU558" s="241"/>
      <c r="AV558" s="241"/>
      <c r="AW558" s="241"/>
      <c r="AX558" s="241"/>
      <c r="AY558" s="241"/>
      <c r="AZ558" s="241"/>
    </row>
    <row r="559" spans="1:52" s="71" customFormat="1" ht="15" hidden="1" customHeight="1" outlineLevel="2">
      <c r="A559" s="288">
        <v>47</v>
      </c>
      <c r="B559" s="97"/>
      <c r="C559" s="296"/>
      <c r="D559" s="360"/>
      <c r="E559" s="361"/>
      <c r="F559" s="298"/>
      <c r="G559" s="298"/>
      <c r="H559" s="86"/>
      <c r="I559" s="355"/>
      <c r="J559" s="356"/>
      <c r="K559" s="86"/>
      <c r="L559" s="86"/>
      <c r="M559" s="344" t="str">
        <f t="shared" si="90"/>
        <v/>
      </c>
      <c r="N559" s="345"/>
      <c r="O559" s="225" t="str">
        <f t="shared" si="91"/>
        <v/>
      </c>
      <c r="P559" s="225" t="str">
        <f t="shared" si="92"/>
        <v/>
      </c>
      <c r="Q559" s="330"/>
      <c r="R559" s="225" t="str">
        <f t="shared" si="93"/>
        <v/>
      </c>
      <c r="S559" s="225" t="str">
        <f t="shared" si="94"/>
        <v/>
      </c>
      <c r="T559" s="231" t="str">
        <f t="shared" si="95"/>
        <v/>
      </c>
      <c r="U559" s="176"/>
      <c r="V559" s="241"/>
      <c r="W559" s="241"/>
      <c r="X559" s="241"/>
      <c r="Y559" s="241"/>
      <c r="Z559" s="241"/>
      <c r="AA559" s="241"/>
      <c r="AB559" s="241"/>
      <c r="AC559" s="241"/>
      <c r="AD559" s="241"/>
      <c r="AE559" s="241"/>
      <c r="AF559" s="241"/>
      <c r="AG559" s="241"/>
      <c r="AH559" s="241"/>
      <c r="AI559" s="241"/>
      <c r="AJ559" s="241"/>
      <c r="AK559" s="241"/>
      <c r="AL559" s="241"/>
      <c r="AM559" s="241"/>
      <c r="AN559" s="241"/>
      <c r="AO559" s="241"/>
      <c r="AP559" s="241"/>
      <c r="AQ559" s="241"/>
      <c r="AR559" s="241"/>
      <c r="AS559" s="241"/>
      <c r="AT559" s="241"/>
      <c r="AU559" s="241"/>
      <c r="AV559" s="241"/>
      <c r="AW559" s="241"/>
      <c r="AX559" s="241"/>
      <c r="AY559" s="241"/>
      <c r="AZ559" s="241"/>
    </row>
    <row r="560" spans="1:52" s="71" customFormat="1" ht="15" hidden="1" customHeight="1" outlineLevel="2">
      <c r="A560" s="288">
        <v>48</v>
      </c>
      <c r="B560" s="97"/>
      <c r="C560" s="296"/>
      <c r="D560" s="360"/>
      <c r="E560" s="361"/>
      <c r="F560" s="298"/>
      <c r="G560" s="298"/>
      <c r="H560" s="86"/>
      <c r="I560" s="355"/>
      <c r="J560" s="356"/>
      <c r="K560" s="86"/>
      <c r="L560" s="86"/>
      <c r="M560" s="344" t="str">
        <f t="shared" si="90"/>
        <v/>
      </c>
      <c r="N560" s="345"/>
      <c r="O560" s="225" t="str">
        <f t="shared" si="91"/>
        <v/>
      </c>
      <c r="P560" s="225" t="str">
        <f t="shared" si="92"/>
        <v/>
      </c>
      <c r="Q560" s="330"/>
      <c r="R560" s="225" t="str">
        <f t="shared" si="93"/>
        <v/>
      </c>
      <c r="S560" s="225" t="str">
        <f t="shared" si="94"/>
        <v/>
      </c>
      <c r="T560" s="231" t="str">
        <f t="shared" si="95"/>
        <v/>
      </c>
      <c r="U560" s="176"/>
      <c r="V560" s="241"/>
      <c r="W560" s="241"/>
      <c r="X560" s="241"/>
      <c r="Y560" s="241"/>
      <c r="Z560" s="241"/>
      <c r="AA560" s="241"/>
      <c r="AB560" s="241"/>
      <c r="AC560" s="241"/>
      <c r="AD560" s="241"/>
      <c r="AE560" s="241"/>
      <c r="AF560" s="241"/>
      <c r="AG560" s="241"/>
      <c r="AH560" s="241"/>
      <c r="AI560" s="241"/>
      <c r="AJ560" s="241"/>
      <c r="AK560" s="241"/>
      <c r="AL560" s="241"/>
      <c r="AM560" s="241"/>
      <c r="AN560" s="241"/>
      <c r="AO560" s="241"/>
      <c r="AP560" s="241"/>
      <c r="AQ560" s="241"/>
      <c r="AR560" s="241"/>
      <c r="AS560" s="241"/>
      <c r="AT560" s="241"/>
      <c r="AU560" s="241"/>
      <c r="AV560" s="241"/>
      <c r="AW560" s="241"/>
      <c r="AX560" s="241"/>
      <c r="AY560" s="241"/>
      <c r="AZ560" s="241"/>
    </row>
    <row r="561" spans="1:52" s="71" customFormat="1" ht="15" hidden="1" customHeight="1" outlineLevel="2">
      <c r="A561" s="288">
        <v>49</v>
      </c>
      <c r="B561" s="97"/>
      <c r="C561" s="296"/>
      <c r="D561" s="360"/>
      <c r="E561" s="361"/>
      <c r="F561" s="298"/>
      <c r="G561" s="298"/>
      <c r="H561" s="86"/>
      <c r="I561" s="355"/>
      <c r="J561" s="356"/>
      <c r="K561" s="86"/>
      <c r="L561" s="86"/>
      <c r="M561" s="344" t="str">
        <f t="shared" si="90"/>
        <v/>
      </c>
      <c r="N561" s="345"/>
      <c r="O561" s="225" t="str">
        <f t="shared" si="91"/>
        <v/>
      </c>
      <c r="P561" s="225" t="str">
        <f t="shared" si="92"/>
        <v/>
      </c>
      <c r="Q561" s="330"/>
      <c r="R561" s="225" t="str">
        <f t="shared" si="93"/>
        <v/>
      </c>
      <c r="S561" s="225" t="str">
        <f t="shared" si="94"/>
        <v/>
      </c>
      <c r="T561" s="231" t="str">
        <f t="shared" si="95"/>
        <v/>
      </c>
      <c r="U561" s="176"/>
      <c r="V561" s="241"/>
      <c r="W561" s="241"/>
      <c r="X561" s="241"/>
      <c r="Y561" s="241"/>
      <c r="Z561" s="241"/>
      <c r="AA561" s="241"/>
      <c r="AB561" s="241"/>
      <c r="AC561" s="241"/>
      <c r="AD561" s="241"/>
      <c r="AE561" s="241"/>
      <c r="AF561" s="241"/>
      <c r="AG561" s="241"/>
      <c r="AH561" s="241"/>
      <c r="AI561" s="241"/>
      <c r="AJ561" s="241"/>
      <c r="AK561" s="241"/>
      <c r="AL561" s="241"/>
      <c r="AM561" s="241"/>
      <c r="AN561" s="241"/>
      <c r="AO561" s="241"/>
      <c r="AP561" s="241"/>
      <c r="AQ561" s="241"/>
      <c r="AR561" s="241"/>
      <c r="AS561" s="241"/>
      <c r="AT561" s="241"/>
      <c r="AU561" s="241"/>
      <c r="AV561" s="241"/>
      <c r="AW561" s="241"/>
      <c r="AX561" s="241"/>
      <c r="AY561" s="241"/>
      <c r="AZ561" s="241"/>
    </row>
    <row r="562" spans="1:52" s="71" customFormat="1" ht="15" hidden="1" customHeight="1" outlineLevel="2">
      <c r="A562" s="288">
        <v>50</v>
      </c>
      <c r="B562" s="97"/>
      <c r="C562" s="296"/>
      <c r="D562" s="360"/>
      <c r="E562" s="361"/>
      <c r="F562" s="298"/>
      <c r="G562" s="298"/>
      <c r="H562" s="86"/>
      <c r="I562" s="355"/>
      <c r="J562" s="356"/>
      <c r="K562" s="86"/>
      <c r="L562" s="86"/>
      <c r="M562" s="344" t="str">
        <f t="shared" si="90"/>
        <v/>
      </c>
      <c r="N562" s="345"/>
      <c r="O562" s="225" t="str">
        <f t="shared" si="91"/>
        <v/>
      </c>
      <c r="P562" s="225" t="str">
        <f t="shared" si="92"/>
        <v/>
      </c>
      <c r="Q562" s="330"/>
      <c r="R562" s="225" t="str">
        <f t="shared" si="93"/>
        <v/>
      </c>
      <c r="S562" s="225" t="str">
        <f t="shared" si="94"/>
        <v/>
      </c>
      <c r="T562" s="231" t="str">
        <f t="shared" si="95"/>
        <v/>
      </c>
      <c r="U562" s="176"/>
      <c r="V562" s="241"/>
      <c r="W562" s="241"/>
      <c r="X562" s="241"/>
      <c r="Y562" s="241"/>
      <c r="Z562" s="241"/>
      <c r="AA562" s="241"/>
      <c r="AB562" s="241"/>
      <c r="AC562" s="241"/>
      <c r="AD562" s="241"/>
      <c r="AE562" s="241"/>
      <c r="AF562" s="241"/>
      <c r="AG562" s="241"/>
      <c r="AH562" s="241"/>
      <c r="AI562" s="241"/>
      <c r="AJ562" s="241"/>
      <c r="AK562" s="241"/>
      <c r="AL562" s="241"/>
      <c r="AM562" s="241"/>
      <c r="AN562" s="241"/>
      <c r="AO562" s="241"/>
      <c r="AP562" s="241"/>
      <c r="AQ562" s="241"/>
      <c r="AR562" s="241"/>
      <c r="AS562" s="241"/>
      <c r="AT562" s="241"/>
      <c r="AU562" s="241"/>
      <c r="AV562" s="241"/>
      <c r="AW562" s="241"/>
      <c r="AX562" s="241"/>
      <c r="AY562" s="241"/>
      <c r="AZ562" s="241"/>
    </row>
    <row r="563" spans="1:52" s="71" customFormat="1" ht="15" hidden="1" customHeight="1" outlineLevel="1" collapsed="1">
      <c r="A563" s="288">
        <v>51</v>
      </c>
      <c r="B563" s="97"/>
      <c r="C563" s="296"/>
      <c r="D563" s="360"/>
      <c r="E563" s="361"/>
      <c r="F563" s="298"/>
      <c r="G563" s="298"/>
      <c r="H563" s="86"/>
      <c r="I563" s="355"/>
      <c r="J563" s="356"/>
      <c r="K563" s="86"/>
      <c r="L563" s="86"/>
      <c r="M563" s="344" t="str">
        <f t="shared" si="90"/>
        <v/>
      </c>
      <c r="N563" s="345"/>
      <c r="O563" s="225" t="str">
        <f t="shared" si="91"/>
        <v/>
      </c>
      <c r="P563" s="225" t="str">
        <f t="shared" si="92"/>
        <v/>
      </c>
      <c r="Q563" s="330"/>
      <c r="R563" s="225" t="str">
        <f t="shared" si="93"/>
        <v/>
      </c>
      <c r="S563" s="225" t="str">
        <f t="shared" si="94"/>
        <v/>
      </c>
      <c r="T563" s="231" t="str">
        <f t="shared" si="95"/>
        <v/>
      </c>
      <c r="U563" s="176" t="s">
        <v>165</v>
      </c>
      <c r="V563" s="241"/>
      <c r="W563" s="241"/>
      <c r="X563" s="241"/>
      <c r="Y563" s="241"/>
      <c r="Z563" s="241"/>
      <c r="AA563" s="241"/>
      <c r="AB563" s="241"/>
      <c r="AC563" s="241"/>
      <c r="AD563" s="241"/>
      <c r="AE563" s="241"/>
      <c r="AF563" s="241"/>
      <c r="AG563" s="241"/>
      <c r="AH563" s="241"/>
      <c r="AI563" s="241"/>
      <c r="AJ563" s="241"/>
      <c r="AK563" s="241"/>
      <c r="AL563" s="241"/>
      <c r="AM563" s="241"/>
      <c r="AN563" s="241"/>
      <c r="AO563" s="241"/>
      <c r="AP563" s="241"/>
      <c r="AQ563" s="241"/>
      <c r="AR563" s="241"/>
      <c r="AS563" s="241"/>
      <c r="AT563" s="241"/>
      <c r="AU563" s="241"/>
      <c r="AV563" s="241"/>
      <c r="AW563" s="241"/>
      <c r="AX563" s="241"/>
      <c r="AY563" s="241"/>
      <c r="AZ563" s="241"/>
    </row>
    <row r="564" spans="1:52" s="71" customFormat="1" ht="15" hidden="1" customHeight="1" outlineLevel="2">
      <c r="A564" s="288">
        <v>52</v>
      </c>
      <c r="B564" s="97"/>
      <c r="C564" s="296"/>
      <c r="D564" s="360"/>
      <c r="E564" s="361"/>
      <c r="F564" s="298"/>
      <c r="G564" s="298"/>
      <c r="H564" s="86"/>
      <c r="I564" s="355"/>
      <c r="J564" s="356"/>
      <c r="K564" s="86"/>
      <c r="L564" s="86"/>
      <c r="M564" s="344" t="str">
        <f t="shared" si="90"/>
        <v/>
      </c>
      <c r="N564" s="345"/>
      <c r="O564" s="225" t="str">
        <f t="shared" si="91"/>
        <v/>
      </c>
      <c r="P564" s="225" t="str">
        <f t="shared" si="92"/>
        <v/>
      </c>
      <c r="Q564" s="330"/>
      <c r="R564" s="225" t="str">
        <f t="shared" si="93"/>
        <v/>
      </c>
      <c r="S564" s="225" t="str">
        <f t="shared" si="94"/>
        <v/>
      </c>
      <c r="T564" s="231" t="str">
        <f t="shared" si="95"/>
        <v/>
      </c>
      <c r="U564" s="176"/>
      <c r="V564" s="241"/>
      <c r="W564" s="241"/>
      <c r="X564" s="241"/>
      <c r="Y564" s="241"/>
      <c r="Z564" s="241"/>
      <c r="AA564" s="241"/>
      <c r="AB564" s="241"/>
      <c r="AC564" s="241"/>
      <c r="AD564" s="241"/>
      <c r="AE564" s="241"/>
      <c r="AF564" s="241"/>
      <c r="AG564" s="241"/>
      <c r="AH564" s="241"/>
      <c r="AI564" s="241"/>
      <c r="AJ564" s="241"/>
      <c r="AK564" s="241"/>
      <c r="AL564" s="241"/>
      <c r="AM564" s="241"/>
      <c r="AN564" s="241"/>
      <c r="AO564" s="241"/>
      <c r="AP564" s="241"/>
      <c r="AQ564" s="241"/>
      <c r="AR564" s="241"/>
      <c r="AS564" s="241"/>
      <c r="AT564" s="241"/>
      <c r="AU564" s="241"/>
      <c r="AV564" s="241"/>
      <c r="AW564" s="241"/>
      <c r="AX564" s="241"/>
      <c r="AY564" s="241"/>
      <c r="AZ564" s="241"/>
    </row>
    <row r="565" spans="1:52" s="71" customFormat="1" ht="15" hidden="1" customHeight="1" outlineLevel="2">
      <c r="A565" s="288">
        <v>53</v>
      </c>
      <c r="B565" s="97"/>
      <c r="C565" s="296"/>
      <c r="D565" s="360"/>
      <c r="E565" s="361"/>
      <c r="F565" s="298"/>
      <c r="G565" s="298"/>
      <c r="H565" s="86"/>
      <c r="I565" s="355"/>
      <c r="J565" s="356"/>
      <c r="K565" s="86"/>
      <c r="L565" s="86"/>
      <c r="M565" s="344" t="str">
        <f t="shared" si="90"/>
        <v/>
      </c>
      <c r="N565" s="345"/>
      <c r="O565" s="225" t="str">
        <f t="shared" si="91"/>
        <v/>
      </c>
      <c r="P565" s="225" t="str">
        <f t="shared" si="92"/>
        <v/>
      </c>
      <c r="Q565" s="330"/>
      <c r="R565" s="225" t="str">
        <f t="shared" si="93"/>
        <v/>
      </c>
      <c r="S565" s="225" t="str">
        <f t="shared" si="94"/>
        <v/>
      </c>
      <c r="T565" s="231" t="str">
        <f t="shared" si="95"/>
        <v/>
      </c>
      <c r="U565" s="176"/>
      <c r="V565" s="241"/>
      <c r="W565" s="241"/>
      <c r="X565" s="241"/>
      <c r="Y565" s="241"/>
      <c r="Z565" s="241"/>
      <c r="AA565" s="241"/>
      <c r="AB565" s="241"/>
      <c r="AC565" s="241"/>
      <c r="AD565" s="241"/>
      <c r="AE565" s="241"/>
      <c r="AF565" s="241"/>
      <c r="AG565" s="241"/>
      <c r="AH565" s="241"/>
      <c r="AI565" s="241"/>
      <c r="AJ565" s="241"/>
      <c r="AK565" s="241"/>
      <c r="AL565" s="241"/>
      <c r="AM565" s="241"/>
      <c r="AN565" s="241"/>
      <c r="AO565" s="241"/>
      <c r="AP565" s="241"/>
      <c r="AQ565" s="241"/>
      <c r="AR565" s="241"/>
      <c r="AS565" s="241"/>
      <c r="AT565" s="241"/>
      <c r="AU565" s="241"/>
      <c r="AV565" s="241"/>
      <c r="AW565" s="241"/>
      <c r="AX565" s="241"/>
      <c r="AY565" s="241"/>
      <c r="AZ565" s="241"/>
    </row>
    <row r="566" spans="1:52" s="71" customFormat="1" ht="15" hidden="1" customHeight="1" outlineLevel="2">
      <c r="A566" s="288">
        <v>54</v>
      </c>
      <c r="B566" s="97"/>
      <c r="C566" s="296"/>
      <c r="D566" s="360"/>
      <c r="E566" s="361"/>
      <c r="F566" s="298"/>
      <c r="G566" s="298"/>
      <c r="H566" s="86"/>
      <c r="I566" s="355"/>
      <c r="J566" s="356"/>
      <c r="K566" s="86"/>
      <c r="L566" s="86"/>
      <c r="M566" s="344" t="str">
        <f t="shared" si="90"/>
        <v/>
      </c>
      <c r="N566" s="345"/>
      <c r="O566" s="225" t="str">
        <f t="shared" si="91"/>
        <v/>
      </c>
      <c r="P566" s="225" t="str">
        <f t="shared" si="92"/>
        <v/>
      </c>
      <c r="Q566" s="330"/>
      <c r="R566" s="225" t="str">
        <f t="shared" si="93"/>
        <v/>
      </c>
      <c r="S566" s="225" t="str">
        <f t="shared" si="94"/>
        <v/>
      </c>
      <c r="T566" s="231" t="str">
        <f t="shared" si="95"/>
        <v/>
      </c>
      <c r="U566" s="176"/>
      <c r="V566" s="241"/>
      <c r="W566" s="241"/>
      <c r="X566" s="241"/>
      <c r="Y566" s="241"/>
      <c r="Z566" s="241"/>
      <c r="AA566" s="241"/>
      <c r="AB566" s="241"/>
      <c r="AC566" s="241"/>
      <c r="AD566" s="241"/>
      <c r="AE566" s="241"/>
      <c r="AF566" s="241"/>
      <c r="AG566" s="241"/>
      <c r="AH566" s="241"/>
      <c r="AI566" s="241"/>
      <c r="AJ566" s="241"/>
      <c r="AK566" s="241"/>
      <c r="AL566" s="241"/>
      <c r="AM566" s="241"/>
      <c r="AN566" s="241"/>
      <c r="AO566" s="241"/>
      <c r="AP566" s="241"/>
      <c r="AQ566" s="241"/>
      <c r="AR566" s="241"/>
      <c r="AS566" s="241"/>
      <c r="AT566" s="241"/>
      <c r="AU566" s="241"/>
      <c r="AV566" s="241"/>
      <c r="AW566" s="241"/>
      <c r="AX566" s="241"/>
      <c r="AY566" s="241"/>
      <c r="AZ566" s="241"/>
    </row>
    <row r="567" spans="1:52" s="71" customFormat="1" ht="15" hidden="1" customHeight="1" outlineLevel="2">
      <c r="A567" s="288">
        <v>55</v>
      </c>
      <c r="B567" s="97"/>
      <c r="C567" s="296"/>
      <c r="D567" s="360"/>
      <c r="E567" s="361"/>
      <c r="F567" s="298"/>
      <c r="G567" s="298"/>
      <c r="H567" s="86"/>
      <c r="I567" s="355"/>
      <c r="J567" s="356"/>
      <c r="K567" s="86"/>
      <c r="L567" s="86"/>
      <c r="M567" s="344" t="str">
        <f t="shared" si="90"/>
        <v/>
      </c>
      <c r="N567" s="345"/>
      <c r="O567" s="225" t="str">
        <f t="shared" si="91"/>
        <v/>
      </c>
      <c r="P567" s="225" t="str">
        <f t="shared" si="92"/>
        <v/>
      </c>
      <c r="Q567" s="330"/>
      <c r="R567" s="225" t="str">
        <f t="shared" si="93"/>
        <v/>
      </c>
      <c r="S567" s="225" t="str">
        <f t="shared" si="94"/>
        <v/>
      </c>
      <c r="T567" s="231" t="str">
        <f t="shared" si="95"/>
        <v/>
      </c>
      <c r="U567" s="176"/>
      <c r="V567" s="241"/>
      <c r="W567" s="241"/>
      <c r="X567" s="241"/>
      <c r="Y567" s="241"/>
      <c r="Z567" s="241"/>
      <c r="AA567" s="241"/>
      <c r="AB567" s="241"/>
      <c r="AC567" s="241"/>
      <c r="AD567" s="241"/>
      <c r="AE567" s="241"/>
      <c r="AF567" s="241"/>
      <c r="AG567" s="241"/>
      <c r="AH567" s="241"/>
      <c r="AI567" s="241"/>
      <c r="AJ567" s="241"/>
      <c r="AK567" s="241"/>
      <c r="AL567" s="241"/>
      <c r="AM567" s="241"/>
      <c r="AN567" s="241"/>
      <c r="AO567" s="241"/>
      <c r="AP567" s="241"/>
      <c r="AQ567" s="241"/>
      <c r="AR567" s="241"/>
      <c r="AS567" s="241"/>
      <c r="AT567" s="241"/>
      <c r="AU567" s="241"/>
      <c r="AV567" s="241"/>
      <c r="AW567" s="241"/>
      <c r="AX567" s="241"/>
      <c r="AY567" s="241"/>
      <c r="AZ567" s="241"/>
    </row>
    <row r="568" spans="1:52" s="71" customFormat="1" ht="15" hidden="1" customHeight="1" outlineLevel="2">
      <c r="A568" s="288">
        <v>56</v>
      </c>
      <c r="B568" s="97"/>
      <c r="C568" s="296"/>
      <c r="D568" s="360"/>
      <c r="E568" s="361"/>
      <c r="F568" s="298"/>
      <c r="G568" s="298"/>
      <c r="H568" s="86"/>
      <c r="I568" s="355"/>
      <c r="J568" s="356"/>
      <c r="K568" s="86"/>
      <c r="L568" s="86"/>
      <c r="M568" s="344" t="str">
        <f t="shared" si="90"/>
        <v/>
      </c>
      <c r="N568" s="345"/>
      <c r="O568" s="225" t="str">
        <f t="shared" si="91"/>
        <v/>
      </c>
      <c r="P568" s="225" t="str">
        <f t="shared" si="92"/>
        <v/>
      </c>
      <c r="Q568" s="330"/>
      <c r="R568" s="225" t="str">
        <f t="shared" si="93"/>
        <v/>
      </c>
      <c r="S568" s="225" t="str">
        <f t="shared" si="94"/>
        <v/>
      </c>
      <c r="T568" s="231" t="str">
        <f t="shared" si="95"/>
        <v/>
      </c>
      <c r="U568" s="176"/>
      <c r="V568" s="241"/>
      <c r="W568" s="241"/>
      <c r="X568" s="241"/>
      <c r="Y568" s="241"/>
      <c r="Z568" s="241"/>
      <c r="AA568" s="241"/>
      <c r="AB568" s="241"/>
      <c r="AC568" s="241"/>
      <c r="AD568" s="241"/>
      <c r="AE568" s="241"/>
      <c r="AF568" s="241"/>
      <c r="AG568" s="241"/>
      <c r="AH568" s="241"/>
      <c r="AI568" s="241"/>
      <c r="AJ568" s="241"/>
      <c r="AK568" s="241"/>
      <c r="AL568" s="241"/>
      <c r="AM568" s="241"/>
      <c r="AN568" s="241"/>
      <c r="AO568" s="241"/>
      <c r="AP568" s="241"/>
      <c r="AQ568" s="241"/>
      <c r="AR568" s="241"/>
      <c r="AS568" s="241"/>
      <c r="AT568" s="241"/>
      <c r="AU568" s="241"/>
      <c r="AV568" s="241"/>
      <c r="AW568" s="241"/>
      <c r="AX568" s="241"/>
      <c r="AY568" s="241"/>
      <c r="AZ568" s="241"/>
    </row>
    <row r="569" spans="1:52" s="71" customFormat="1" ht="15" hidden="1" customHeight="1" outlineLevel="2">
      <c r="A569" s="288">
        <v>57</v>
      </c>
      <c r="B569" s="97"/>
      <c r="C569" s="296"/>
      <c r="D569" s="360"/>
      <c r="E569" s="361"/>
      <c r="F569" s="298"/>
      <c r="G569" s="298"/>
      <c r="H569" s="86"/>
      <c r="I569" s="355"/>
      <c r="J569" s="356"/>
      <c r="K569" s="86"/>
      <c r="L569" s="86"/>
      <c r="M569" s="344" t="str">
        <f t="shared" si="90"/>
        <v/>
      </c>
      <c r="N569" s="345"/>
      <c r="O569" s="225" t="str">
        <f t="shared" si="91"/>
        <v/>
      </c>
      <c r="P569" s="225" t="str">
        <f t="shared" si="92"/>
        <v/>
      </c>
      <c r="Q569" s="330"/>
      <c r="R569" s="225" t="str">
        <f t="shared" si="93"/>
        <v/>
      </c>
      <c r="S569" s="225" t="str">
        <f t="shared" si="94"/>
        <v/>
      </c>
      <c r="T569" s="231" t="str">
        <f t="shared" si="95"/>
        <v/>
      </c>
      <c r="U569" s="176"/>
      <c r="V569" s="241"/>
      <c r="W569" s="241"/>
      <c r="X569" s="241"/>
      <c r="Y569" s="241"/>
      <c r="Z569" s="241"/>
      <c r="AA569" s="241"/>
      <c r="AB569" s="241"/>
      <c r="AC569" s="241"/>
      <c r="AD569" s="241"/>
      <c r="AE569" s="241"/>
      <c r="AF569" s="241"/>
      <c r="AG569" s="241"/>
      <c r="AH569" s="241"/>
      <c r="AI569" s="241"/>
      <c r="AJ569" s="241"/>
      <c r="AK569" s="241"/>
      <c r="AL569" s="241"/>
      <c r="AM569" s="241"/>
      <c r="AN569" s="241"/>
      <c r="AO569" s="241"/>
      <c r="AP569" s="241"/>
      <c r="AQ569" s="241"/>
      <c r="AR569" s="241"/>
      <c r="AS569" s="241"/>
      <c r="AT569" s="241"/>
      <c r="AU569" s="241"/>
      <c r="AV569" s="241"/>
      <c r="AW569" s="241"/>
      <c r="AX569" s="241"/>
      <c r="AY569" s="241"/>
      <c r="AZ569" s="241"/>
    </row>
    <row r="570" spans="1:52" s="71" customFormat="1" ht="15" hidden="1" customHeight="1" outlineLevel="2">
      <c r="A570" s="288">
        <v>58</v>
      </c>
      <c r="B570" s="97"/>
      <c r="C570" s="296"/>
      <c r="D570" s="360"/>
      <c r="E570" s="361"/>
      <c r="F570" s="298"/>
      <c r="G570" s="298"/>
      <c r="H570" s="86"/>
      <c r="I570" s="355"/>
      <c r="J570" s="356"/>
      <c r="K570" s="86"/>
      <c r="L570" s="86"/>
      <c r="M570" s="344" t="str">
        <f t="shared" si="90"/>
        <v/>
      </c>
      <c r="N570" s="345"/>
      <c r="O570" s="225" t="str">
        <f t="shared" si="91"/>
        <v/>
      </c>
      <c r="P570" s="225" t="str">
        <f t="shared" si="92"/>
        <v/>
      </c>
      <c r="Q570" s="330"/>
      <c r="R570" s="225" t="str">
        <f t="shared" si="93"/>
        <v/>
      </c>
      <c r="S570" s="225" t="str">
        <f t="shared" si="94"/>
        <v/>
      </c>
      <c r="T570" s="231" t="str">
        <f t="shared" si="95"/>
        <v/>
      </c>
      <c r="U570" s="176"/>
      <c r="V570" s="241"/>
      <c r="W570" s="241"/>
      <c r="X570" s="241"/>
      <c r="Y570" s="241"/>
      <c r="Z570" s="241"/>
      <c r="AA570" s="241"/>
      <c r="AB570" s="241"/>
      <c r="AC570" s="241"/>
      <c r="AD570" s="241"/>
      <c r="AE570" s="241"/>
      <c r="AF570" s="241"/>
      <c r="AG570" s="241"/>
      <c r="AH570" s="241"/>
      <c r="AI570" s="241"/>
      <c r="AJ570" s="241"/>
      <c r="AK570" s="241"/>
      <c r="AL570" s="241"/>
      <c r="AM570" s="241"/>
      <c r="AN570" s="241"/>
      <c r="AO570" s="241"/>
      <c r="AP570" s="241"/>
      <c r="AQ570" s="241"/>
      <c r="AR570" s="241"/>
      <c r="AS570" s="241"/>
      <c r="AT570" s="241"/>
      <c r="AU570" s="241"/>
      <c r="AV570" s="241"/>
      <c r="AW570" s="241"/>
      <c r="AX570" s="241"/>
      <c r="AY570" s="241"/>
      <c r="AZ570" s="241"/>
    </row>
    <row r="571" spans="1:52" s="71" customFormat="1" ht="15" hidden="1" customHeight="1" outlineLevel="2">
      <c r="A571" s="288">
        <v>59</v>
      </c>
      <c r="B571" s="97"/>
      <c r="C571" s="296"/>
      <c r="D571" s="360"/>
      <c r="E571" s="361"/>
      <c r="F571" s="298"/>
      <c r="G571" s="298"/>
      <c r="H571" s="86"/>
      <c r="I571" s="355"/>
      <c r="J571" s="356"/>
      <c r="K571" s="86"/>
      <c r="L571" s="86"/>
      <c r="M571" s="344" t="str">
        <f t="shared" si="90"/>
        <v/>
      </c>
      <c r="N571" s="345"/>
      <c r="O571" s="225" t="str">
        <f t="shared" si="91"/>
        <v/>
      </c>
      <c r="P571" s="225" t="str">
        <f t="shared" si="92"/>
        <v/>
      </c>
      <c r="Q571" s="330"/>
      <c r="R571" s="225" t="str">
        <f t="shared" si="93"/>
        <v/>
      </c>
      <c r="S571" s="225" t="str">
        <f t="shared" si="94"/>
        <v/>
      </c>
      <c r="T571" s="231" t="str">
        <f t="shared" si="95"/>
        <v/>
      </c>
      <c r="U571" s="176"/>
      <c r="V571" s="241"/>
      <c r="W571" s="241"/>
      <c r="X571" s="241"/>
      <c r="Y571" s="241"/>
      <c r="Z571" s="241"/>
      <c r="AA571" s="241"/>
      <c r="AB571" s="241"/>
      <c r="AC571" s="241"/>
      <c r="AD571" s="241"/>
      <c r="AE571" s="241"/>
      <c r="AF571" s="241"/>
      <c r="AG571" s="241"/>
      <c r="AH571" s="241"/>
      <c r="AI571" s="241"/>
      <c r="AJ571" s="241"/>
      <c r="AK571" s="241"/>
      <c r="AL571" s="241"/>
      <c r="AM571" s="241"/>
      <c r="AN571" s="241"/>
      <c r="AO571" s="241"/>
      <c r="AP571" s="241"/>
      <c r="AQ571" s="241"/>
      <c r="AR571" s="241"/>
      <c r="AS571" s="241"/>
      <c r="AT571" s="241"/>
      <c r="AU571" s="241"/>
      <c r="AV571" s="241"/>
      <c r="AW571" s="241"/>
      <c r="AX571" s="241"/>
      <c r="AY571" s="241"/>
      <c r="AZ571" s="241"/>
    </row>
    <row r="572" spans="1:52" s="71" customFormat="1" ht="15" hidden="1" customHeight="1" outlineLevel="2">
      <c r="A572" s="288">
        <v>60</v>
      </c>
      <c r="B572" s="97"/>
      <c r="C572" s="296"/>
      <c r="D572" s="360"/>
      <c r="E572" s="361"/>
      <c r="F572" s="298"/>
      <c r="G572" s="298"/>
      <c r="H572" s="86"/>
      <c r="I572" s="355"/>
      <c r="J572" s="356"/>
      <c r="K572" s="86"/>
      <c r="L572" s="86"/>
      <c r="M572" s="344" t="str">
        <f t="shared" si="90"/>
        <v/>
      </c>
      <c r="N572" s="345"/>
      <c r="O572" s="225" t="str">
        <f t="shared" si="91"/>
        <v/>
      </c>
      <c r="P572" s="225" t="str">
        <f t="shared" si="92"/>
        <v/>
      </c>
      <c r="Q572" s="330"/>
      <c r="R572" s="225" t="str">
        <f t="shared" si="93"/>
        <v/>
      </c>
      <c r="S572" s="225" t="str">
        <f t="shared" si="94"/>
        <v/>
      </c>
      <c r="T572" s="231" t="str">
        <f t="shared" si="95"/>
        <v/>
      </c>
      <c r="U572" s="176"/>
      <c r="V572" s="241"/>
      <c r="W572" s="241"/>
      <c r="X572" s="241"/>
      <c r="Y572" s="241"/>
      <c r="Z572" s="241"/>
      <c r="AA572" s="241"/>
      <c r="AB572" s="241"/>
      <c r="AC572" s="241"/>
      <c r="AD572" s="241"/>
      <c r="AE572" s="241"/>
      <c r="AF572" s="241"/>
      <c r="AG572" s="241"/>
      <c r="AH572" s="241"/>
      <c r="AI572" s="241"/>
      <c r="AJ572" s="241"/>
      <c r="AK572" s="241"/>
      <c r="AL572" s="241"/>
      <c r="AM572" s="241"/>
      <c r="AN572" s="241"/>
      <c r="AO572" s="241"/>
      <c r="AP572" s="241"/>
      <c r="AQ572" s="241"/>
      <c r="AR572" s="241"/>
      <c r="AS572" s="241"/>
      <c r="AT572" s="241"/>
      <c r="AU572" s="241"/>
      <c r="AV572" s="241"/>
      <c r="AW572" s="241"/>
      <c r="AX572" s="241"/>
      <c r="AY572" s="241"/>
      <c r="AZ572" s="241"/>
    </row>
    <row r="573" spans="1:52" s="71" customFormat="1" ht="15" hidden="1" customHeight="1" outlineLevel="2">
      <c r="A573" s="288">
        <v>61</v>
      </c>
      <c r="B573" s="97"/>
      <c r="C573" s="296"/>
      <c r="D573" s="360"/>
      <c r="E573" s="361"/>
      <c r="F573" s="298"/>
      <c r="G573" s="298"/>
      <c r="H573" s="86"/>
      <c r="I573" s="355"/>
      <c r="J573" s="356"/>
      <c r="K573" s="86"/>
      <c r="L573" s="86"/>
      <c r="M573" s="344" t="str">
        <f t="shared" si="90"/>
        <v/>
      </c>
      <c r="N573" s="345"/>
      <c r="O573" s="225" t="str">
        <f t="shared" si="91"/>
        <v/>
      </c>
      <c r="P573" s="225" t="str">
        <f t="shared" si="92"/>
        <v/>
      </c>
      <c r="Q573" s="330"/>
      <c r="R573" s="225" t="str">
        <f t="shared" si="93"/>
        <v/>
      </c>
      <c r="S573" s="225" t="str">
        <f t="shared" si="94"/>
        <v/>
      </c>
      <c r="T573" s="231" t="str">
        <f t="shared" si="95"/>
        <v/>
      </c>
      <c r="U573" s="176"/>
      <c r="V573" s="241"/>
      <c r="W573" s="241"/>
      <c r="X573" s="241"/>
      <c r="Y573" s="241"/>
      <c r="Z573" s="241"/>
      <c r="AA573" s="241"/>
      <c r="AB573" s="241"/>
      <c r="AC573" s="241"/>
      <c r="AD573" s="241"/>
      <c r="AE573" s="241"/>
      <c r="AF573" s="241"/>
      <c r="AG573" s="241"/>
      <c r="AH573" s="241"/>
      <c r="AI573" s="241"/>
      <c r="AJ573" s="241"/>
      <c r="AK573" s="241"/>
      <c r="AL573" s="241"/>
      <c r="AM573" s="241"/>
      <c r="AN573" s="241"/>
      <c r="AO573" s="241"/>
      <c r="AP573" s="241"/>
      <c r="AQ573" s="241"/>
      <c r="AR573" s="241"/>
      <c r="AS573" s="241"/>
      <c r="AT573" s="241"/>
      <c r="AU573" s="241"/>
      <c r="AV573" s="241"/>
      <c r="AW573" s="241"/>
      <c r="AX573" s="241"/>
      <c r="AY573" s="241"/>
      <c r="AZ573" s="241"/>
    </row>
    <row r="574" spans="1:52" s="71" customFormat="1" ht="15" hidden="1" customHeight="1" outlineLevel="2">
      <c r="A574" s="288">
        <v>62</v>
      </c>
      <c r="B574" s="97"/>
      <c r="C574" s="296"/>
      <c r="D574" s="360"/>
      <c r="E574" s="361"/>
      <c r="F574" s="298"/>
      <c r="G574" s="298"/>
      <c r="H574" s="86"/>
      <c r="I574" s="355"/>
      <c r="J574" s="356"/>
      <c r="K574" s="86"/>
      <c r="L574" s="86"/>
      <c r="M574" s="344" t="str">
        <f t="shared" si="90"/>
        <v/>
      </c>
      <c r="N574" s="345"/>
      <c r="O574" s="225" t="str">
        <f t="shared" si="91"/>
        <v/>
      </c>
      <c r="P574" s="225" t="str">
        <f t="shared" si="92"/>
        <v/>
      </c>
      <c r="Q574" s="330"/>
      <c r="R574" s="225" t="str">
        <f t="shared" si="93"/>
        <v/>
      </c>
      <c r="S574" s="225" t="str">
        <f t="shared" si="94"/>
        <v/>
      </c>
      <c r="T574" s="231" t="str">
        <f t="shared" si="95"/>
        <v/>
      </c>
      <c r="U574" s="176"/>
      <c r="V574" s="241"/>
      <c r="W574" s="241"/>
      <c r="X574" s="241"/>
      <c r="Y574" s="241"/>
      <c r="Z574" s="241"/>
      <c r="AA574" s="241"/>
      <c r="AB574" s="241"/>
      <c r="AC574" s="241"/>
      <c r="AD574" s="241"/>
      <c r="AE574" s="241"/>
      <c r="AF574" s="241"/>
      <c r="AG574" s="241"/>
      <c r="AH574" s="241"/>
      <c r="AI574" s="241"/>
      <c r="AJ574" s="241"/>
      <c r="AK574" s="241"/>
      <c r="AL574" s="241"/>
      <c r="AM574" s="241"/>
      <c r="AN574" s="241"/>
      <c r="AO574" s="241"/>
      <c r="AP574" s="241"/>
      <c r="AQ574" s="241"/>
      <c r="AR574" s="241"/>
      <c r="AS574" s="241"/>
      <c r="AT574" s="241"/>
      <c r="AU574" s="241"/>
      <c r="AV574" s="241"/>
      <c r="AW574" s="241"/>
      <c r="AX574" s="241"/>
      <c r="AY574" s="241"/>
      <c r="AZ574" s="241"/>
    </row>
    <row r="575" spans="1:52" s="71" customFormat="1" ht="15" hidden="1" customHeight="1" outlineLevel="2">
      <c r="A575" s="288">
        <v>63</v>
      </c>
      <c r="B575" s="97"/>
      <c r="C575" s="296"/>
      <c r="D575" s="360"/>
      <c r="E575" s="361"/>
      <c r="F575" s="298"/>
      <c r="G575" s="298"/>
      <c r="H575" s="86"/>
      <c r="I575" s="355"/>
      <c r="J575" s="356"/>
      <c r="K575" s="86"/>
      <c r="L575" s="86"/>
      <c r="M575" s="344" t="str">
        <f t="shared" si="90"/>
        <v/>
      </c>
      <c r="N575" s="345"/>
      <c r="O575" s="225" t="str">
        <f t="shared" si="91"/>
        <v/>
      </c>
      <c r="P575" s="225" t="str">
        <f t="shared" si="92"/>
        <v/>
      </c>
      <c r="Q575" s="330"/>
      <c r="R575" s="225" t="str">
        <f t="shared" si="93"/>
        <v/>
      </c>
      <c r="S575" s="225" t="str">
        <f t="shared" si="94"/>
        <v/>
      </c>
      <c r="T575" s="231" t="str">
        <f t="shared" si="95"/>
        <v/>
      </c>
      <c r="U575" s="176"/>
      <c r="V575" s="241"/>
      <c r="W575" s="241"/>
      <c r="X575" s="241"/>
      <c r="Y575" s="241"/>
      <c r="Z575" s="241"/>
      <c r="AA575" s="241"/>
      <c r="AB575" s="241"/>
      <c r="AC575" s="241"/>
      <c r="AD575" s="241"/>
      <c r="AE575" s="241"/>
      <c r="AF575" s="241"/>
      <c r="AG575" s="241"/>
      <c r="AH575" s="241"/>
      <c r="AI575" s="241"/>
      <c r="AJ575" s="241"/>
      <c r="AK575" s="241"/>
      <c r="AL575" s="241"/>
      <c r="AM575" s="241"/>
      <c r="AN575" s="241"/>
      <c r="AO575" s="241"/>
      <c r="AP575" s="241"/>
      <c r="AQ575" s="241"/>
      <c r="AR575" s="241"/>
      <c r="AS575" s="241"/>
      <c r="AT575" s="241"/>
      <c r="AU575" s="241"/>
      <c r="AV575" s="241"/>
      <c r="AW575" s="241"/>
      <c r="AX575" s="241"/>
      <c r="AY575" s="241"/>
      <c r="AZ575" s="241"/>
    </row>
    <row r="576" spans="1:52" s="71" customFormat="1" ht="15" hidden="1" customHeight="1" outlineLevel="2">
      <c r="A576" s="288">
        <v>64</v>
      </c>
      <c r="B576" s="97"/>
      <c r="C576" s="296"/>
      <c r="D576" s="360"/>
      <c r="E576" s="361"/>
      <c r="F576" s="298"/>
      <c r="G576" s="298"/>
      <c r="H576" s="86"/>
      <c r="I576" s="355"/>
      <c r="J576" s="356"/>
      <c r="K576" s="86"/>
      <c r="L576" s="86"/>
      <c r="M576" s="344" t="str">
        <f t="shared" si="90"/>
        <v/>
      </c>
      <c r="N576" s="345"/>
      <c r="O576" s="225" t="str">
        <f t="shared" si="91"/>
        <v/>
      </c>
      <c r="P576" s="225" t="str">
        <f t="shared" si="92"/>
        <v/>
      </c>
      <c r="Q576" s="330"/>
      <c r="R576" s="225" t="str">
        <f t="shared" si="93"/>
        <v/>
      </c>
      <c r="S576" s="225" t="str">
        <f t="shared" si="94"/>
        <v/>
      </c>
      <c r="T576" s="231" t="str">
        <f t="shared" si="95"/>
        <v/>
      </c>
      <c r="U576" s="176"/>
      <c r="V576" s="241"/>
      <c r="W576" s="241"/>
      <c r="X576" s="241"/>
      <c r="Y576" s="241"/>
      <c r="Z576" s="241"/>
      <c r="AA576" s="241"/>
      <c r="AB576" s="241"/>
      <c r="AC576" s="241"/>
      <c r="AD576" s="241"/>
      <c r="AE576" s="241"/>
      <c r="AF576" s="241"/>
      <c r="AG576" s="241"/>
      <c r="AH576" s="241"/>
      <c r="AI576" s="241"/>
      <c r="AJ576" s="241"/>
      <c r="AK576" s="241"/>
      <c r="AL576" s="241"/>
      <c r="AM576" s="241"/>
      <c r="AN576" s="241"/>
      <c r="AO576" s="241"/>
      <c r="AP576" s="241"/>
      <c r="AQ576" s="241"/>
      <c r="AR576" s="241"/>
      <c r="AS576" s="241"/>
      <c r="AT576" s="241"/>
      <c r="AU576" s="241"/>
      <c r="AV576" s="241"/>
      <c r="AW576" s="241"/>
      <c r="AX576" s="241"/>
      <c r="AY576" s="241"/>
      <c r="AZ576" s="241"/>
    </row>
    <row r="577" spans="1:52" s="71" customFormat="1" ht="15" hidden="1" customHeight="1" outlineLevel="2">
      <c r="A577" s="288">
        <v>65</v>
      </c>
      <c r="B577" s="97"/>
      <c r="C577" s="296"/>
      <c r="D577" s="360"/>
      <c r="E577" s="361"/>
      <c r="F577" s="298"/>
      <c r="G577" s="298"/>
      <c r="H577" s="86"/>
      <c r="I577" s="355"/>
      <c r="J577" s="356"/>
      <c r="K577" s="86"/>
      <c r="L577" s="86"/>
      <c r="M577" s="344" t="str">
        <f t="shared" ref="M577:M622" si="96">INDEX(logic_wuruoth,MATCH($A577,logic_othno,0))</f>
        <v/>
      </c>
      <c r="N577" s="345"/>
      <c r="O577" s="225" t="str">
        <f t="shared" ref="O577:O622" si="97">INDEX(logic_othawub,MATCH($A577,logic_othno,0))</f>
        <v/>
      </c>
      <c r="P577" s="225" t="str">
        <f t="shared" ref="P577:P622" si="98">INDEX(logic_othawudwoaw,MATCH($A577,logic_othno,0))</f>
        <v/>
      </c>
      <c r="Q577" s="330"/>
      <c r="R577" s="225" t="str">
        <f t="shared" ref="R577:R622" si="99">INDEX(logic_othawud,MATCH($A577,logic_othno,0))</f>
        <v/>
      </c>
      <c r="S577" s="225" t="str">
        <f t="shared" ref="S577:S622" si="100">INDEX(logic_othawusa,MATCH($A577,logic_othno,0))</f>
        <v/>
      </c>
      <c r="T577" s="231" t="str">
        <f t="shared" ref="T577:T622" si="101">INDEX(logic_othawusp,MATCH($A577,logic_othno,0))</f>
        <v/>
      </c>
      <c r="U577" s="176"/>
      <c r="V577" s="241"/>
      <c r="W577" s="241"/>
      <c r="X577" s="241"/>
      <c r="Y577" s="241"/>
      <c r="Z577" s="241"/>
      <c r="AA577" s="241"/>
      <c r="AB577" s="241"/>
      <c r="AC577" s="241"/>
      <c r="AD577" s="241"/>
      <c r="AE577" s="241"/>
      <c r="AF577" s="241"/>
      <c r="AG577" s="241"/>
      <c r="AH577" s="241"/>
      <c r="AI577" s="241"/>
      <c r="AJ577" s="241"/>
      <c r="AK577" s="241"/>
      <c r="AL577" s="241"/>
      <c r="AM577" s="241"/>
      <c r="AN577" s="241"/>
      <c r="AO577" s="241"/>
      <c r="AP577" s="241"/>
      <c r="AQ577" s="241"/>
      <c r="AR577" s="241"/>
      <c r="AS577" s="241"/>
      <c r="AT577" s="241"/>
      <c r="AU577" s="241"/>
      <c r="AV577" s="241"/>
      <c r="AW577" s="241"/>
      <c r="AX577" s="241"/>
      <c r="AY577" s="241"/>
      <c r="AZ577" s="241"/>
    </row>
    <row r="578" spans="1:52" s="71" customFormat="1" ht="15" hidden="1" customHeight="1" outlineLevel="2">
      <c r="A578" s="288">
        <v>66</v>
      </c>
      <c r="B578" s="97"/>
      <c r="C578" s="296"/>
      <c r="D578" s="360"/>
      <c r="E578" s="361"/>
      <c r="F578" s="298"/>
      <c r="G578" s="298"/>
      <c r="H578" s="86"/>
      <c r="I578" s="355"/>
      <c r="J578" s="356"/>
      <c r="K578" s="86"/>
      <c r="L578" s="86"/>
      <c r="M578" s="344" t="str">
        <f t="shared" si="96"/>
        <v/>
      </c>
      <c r="N578" s="345"/>
      <c r="O578" s="225" t="str">
        <f t="shared" si="97"/>
        <v/>
      </c>
      <c r="P578" s="225" t="str">
        <f t="shared" si="98"/>
        <v/>
      </c>
      <c r="Q578" s="330"/>
      <c r="R578" s="225" t="str">
        <f t="shared" si="99"/>
        <v/>
      </c>
      <c r="S578" s="225" t="str">
        <f t="shared" si="100"/>
        <v/>
      </c>
      <c r="T578" s="231" t="str">
        <f t="shared" si="101"/>
        <v/>
      </c>
      <c r="U578" s="176"/>
      <c r="V578" s="241"/>
      <c r="W578" s="241"/>
      <c r="X578" s="241"/>
      <c r="Y578" s="241"/>
      <c r="Z578" s="241"/>
      <c r="AA578" s="241"/>
      <c r="AB578" s="241"/>
      <c r="AC578" s="241"/>
      <c r="AD578" s="241"/>
      <c r="AE578" s="241"/>
      <c r="AF578" s="241"/>
      <c r="AG578" s="241"/>
      <c r="AH578" s="241"/>
      <c r="AI578" s="241"/>
      <c r="AJ578" s="241"/>
      <c r="AK578" s="241"/>
      <c r="AL578" s="241"/>
      <c r="AM578" s="241"/>
      <c r="AN578" s="241"/>
      <c r="AO578" s="241"/>
      <c r="AP578" s="241"/>
      <c r="AQ578" s="241"/>
      <c r="AR578" s="241"/>
      <c r="AS578" s="241"/>
      <c r="AT578" s="241"/>
      <c r="AU578" s="241"/>
      <c r="AV578" s="241"/>
      <c r="AW578" s="241"/>
      <c r="AX578" s="241"/>
      <c r="AY578" s="241"/>
      <c r="AZ578" s="241"/>
    </row>
    <row r="579" spans="1:52" s="71" customFormat="1" ht="15" hidden="1" customHeight="1" outlineLevel="2">
      <c r="A579" s="288">
        <v>67</v>
      </c>
      <c r="B579" s="97"/>
      <c r="C579" s="296"/>
      <c r="D579" s="360"/>
      <c r="E579" s="361"/>
      <c r="F579" s="298"/>
      <c r="G579" s="298"/>
      <c r="H579" s="86"/>
      <c r="I579" s="355"/>
      <c r="J579" s="356"/>
      <c r="K579" s="86"/>
      <c r="L579" s="86"/>
      <c r="M579" s="344" t="str">
        <f t="shared" si="96"/>
        <v/>
      </c>
      <c r="N579" s="345"/>
      <c r="O579" s="225" t="str">
        <f t="shared" si="97"/>
        <v/>
      </c>
      <c r="P579" s="225" t="str">
        <f t="shared" si="98"/>
        <v/>
      </c>
      <c r="Q579" s="330"/>
      <c r="R579" s="225" t="str">
        <f t="shared" si="99"/>
        <v/>
      </c>
      <c r="S579" s="225" t="str">
        <f t="shared" si="100"/>
        <v/>
      </c>
      <c r="T579" s="231" t="str">
        <f t="shared" si="101"/>
        <v/>
      </c>
      <c r="U579" s="176"/>
      <c r="V579" s="241"/>
      <c r="W579" s="241"/>
      <c r="X579" s="241"/>
      <c r="Y579" s="241"/>
      <c r="Z579" s="241"/>
      <c r="AA579" s="241"/>
      <c r="AB579" s="241"/>
      <c r="AC579" s="241"/>
      <c r="AD579" s="241"/>
      <c r="AE579" s="241"/>
      <c r="AF579" s="241"/>
      <c r="AG579" s="241"/>
      <c r="AH579" s="241"/>
      <c r="AI579" s="241"/>
      <c r="AJ579" s="241"/>
      <c r="AK579" s="241"/>
      <c r="AL579" s="241"/>
      <c r="AM579" s="241"/>
      <c r="AN579" s="241"/>
      <c r="AO579" s="241"/>
      <c r="AP579" s="241"/>
      <c r="AQ579" s="241"/>
      <c r="AR579" s="241"/>
      <c r="AS579" s="241"/>
      <c r="AT579" s="241"/>
      <c r="AU579" s="241"/>
      <c r="AV579" s="241"/>
      <c r="AW579" s="241"/>
      <c r="AX579" s="241"/>
      <c r="AY579" s="241"/>
      <c r="AZ579" s="241"/>
    </row>
    <row r="580" spans="1:52" s="71" customFormat="1" ht="15" hidden="1" customHeight="1" outlineLevel="2">
      <c r="A580" s="288">
        <v>68</v>
      </c>
      <c r="B580" s="97"/>
      <c r="C580" s="296"/>
      <c r="D580" s="360"/>
      <c r="E580" s="361"/>
      <c r="F580" s="298"/>
      <c r="G580" s="298"/>
      <c r="H580" s="86"/>
      <c r="I580" s="355"/>
      <c r="J580" s="356"/>
      <c r="K580" s="86"/>
      <c r="L580" s="86"/>
      <c r="M580" s="344" t="str">
        <f t="shared" si="96"/>
        <v/>
      </c>
      <c r="N580" s="345"/>
      <c r="O580" s="225" t="str">
        <f t="shared" si="97"/>
        <v/>
      </c>
      <c r="P580" s="225" t="str">
        <f t="shared" si="98"/>
        <v/>
      </c>
      <c r="Q580" s="330"/>
      <c r="R580" s="225" t="str">
        <f t="shared" si="99"/>
        <v/>
      </c>
      <c r="S580" s="225" t="str">
        <f t="shared" si="100"/>
        <v/>
      </c>
      <c r="T580" s="231" t="str">
        <f t="shared" si="101"/>
        <v/>
      </c>
      <c r="U580" s="176"/>
      <c r="V580" s="241"/>
      <c r="W580" s="241"/>
      <c r="X580" s="241"/>
      <c r="Y580" s="241"/>
      <c r="Z580" s="241"/>
      <c r="AA580" s="241"/>
      <c r="AB580" s="241"/>
      <c r="AC580" s="241"/>
      <c r="AD580" s="241"/>
      <c r="AE580" s="241"/>
      <c r="AF580" s="241"/>
      <c r="AG580" s="241"/>
      <c r="AH580" s="241"/>
      <c r="AI580" s="241"/>
      <c r="AJ580" s="241"/>
      <c r="AK580" s="241"/>
      <c r="AL580" s="241"/>
      <c r="AM580" s="241"/>
      <c r="AN580" s="241"/>
      <c r="AO580" s="241"/>
      <c r="AP580" s="241"/>
      <c r="AQ580" s="241"/>
      <c r="AR580" s="241"/>
      <c r="AS580" s="241"/>
      <c r="AT580" s="241"/>
      <c r="AU580" s="241"/>
      <c r="AV580" s="241"/>
      <c r="AW580" s="241"/>
      <c r="AX580" s="241"/>
      <c r="AY580" s="241"/>
      <c r="AZ580" s="241"/>
    </row>
    <row r="581" spans="1:52" s="71" customFormat="1" ht="15" hidden="1" customHeight="1" outlineLevel="2">
      <c r="A581" s="288">
        <v>69</v>
      </c>
      <c r="B581" s="97"/>
      <c r="C581" s="296"/>
      <c r="D581" s="360"/>
      <c r="E581" s="361"/>
      <c r="F581" s="298"/>
      <c r="G581" s="298"/>
      <c r="H581" s="86"/>
      <c r="I581" s="355"/>
      <c r="J581" s="356"/>
      <c r="K581" s="86"/>
      <c r="L581" s="86"/>
      <c r="M581" s="344" t="str">
        <f t="shared" si="96"/>
        <v/>
      </c>
      <c r="N581" s="345"/>
      <c r="O581" s="225" t="str">
        <f t="shared" si="97"/>
        <v/>
      </c>
      <c r="P581" s="225" t="str">
        <f t="shared" si="98"/>
        <v/>
      </c>
      <c r="Q581" s="330"/>
      <c r="R581" s="225" t="str">
        <f t="shared" si="99"/>
        <v/>
      </c>
      <c r="S581" s="225" t="str">
        <f t="shared" si="100"/>
        <v/>
      </c>
      <c r="T581" s="231" t="str">
        <f t="shared" si="101"/>
        <v/>
      </c>
      <c r="U581" s="176"/>
      <c r="V581" s="241"/>
      <c r="W581" s="241"/>
      <c r="X581" s="241"/>
      <c r="Y581" s="241"/>
      <c r="Z581" s="241"/>
      <c r="AA581" s="241"/>
      <c r="AB581" s="241"/>
      <c r="AC581" s="241"/>
      <c r="AD581" s="241"/>
      <c r="AE581" s="241"/>
      <c r="AF581" s="241"/>
      <c r="AG581" s="241"/>
      <c r="AH581" s="241"/>
      <c r="AI581" s="241"/>
      <c r="AJ581" s="241"/>
      <c r="AK581" s="241"/>
      <c r="AL581" s="241"/>
      <c r="AM581" s="241"/>
      <c r="AN581" s="241"/>
      <c r="AO581" s="241"/>
      <c r="AP581" s="241"/>
      <c r="AQ581" s="241"/>
      <c r="AR581" s="241"/>
      <c r="AS581" s="241"/>
      <c r="AT581" s="241"/>
      <c r="AU581" s="241"/>
      <c r="AV581" s="241"/>
      <c r="AW581" s="241"/>
      <c r="AX581" s="241"/>
      <c r="AY581" s="241"/>
      <c r="AZ581" s="241"/>
    </row>
    <row r="582" spans="1:52" s="71" customFormat="1" ht="15" hidden="1" customHeight="1" outlineLevel="2">
      <c r="A582" s="288">
        <v>70</v>
      </c>
      <c r="B582" s="97"/>
      <c r="C582" s="296"/>
      <c r="D582" s="360"/>
      <c r="E582" s="361"/>
      <c r="F582" s="298"/>
      <c r="G582" s="298"/>
      <c r="H582" s="86"/>
      <c r="I582" s="355"/>
      <c r="J582" s="356"/>
      <c r="K582" s="86"/>
      <c r="L582" s="86"/>
      <c r="M582" s="344" t="str">
        <f t="shared" si="96"/>
        <v/>
      </c>
      <c r="N582" s="345"/>
      <c r="O582" s="225" t="str">
        <f t="shared" si="97"/>
        <v/>
      </c>
      <c r="P582" s="225" t="str">
        <f t="shared" si="98"/>
        <v/>
      </c>
      <c r="Q582" s="330"/>
      <c r="R582" s="225" t="str">
        <f t="shared" si="99"/>
        <v/>
      </c>
      <c r="S582" s="225" t="str">
        <f t="shared" si="100"/>
        <v/>
      </c>
      <c r="T582" s="231" t="str">
        <f t="shared" si="101"/>
        <v/>
      </c>
      <c r="U582" s="176"/>
      <c r="V582" s="241"/>
      <c r="W582" s="241"/>
      <c r="X582" s="241"/>
      <c r="Y582" s="241"/>
      <c r="Z582" s="241"/>
      <c r="AA582" s="241"/>
      <c r="AB582" s="241"/>
      <c r="AC582" s="241"/>
      <c r="AD582" s="241"/>
      <c r="AE582" s="241"/>
      <c r="AF582" s="241"/>
      <c r="AG582" s="241"/>
      <c r="AH582" s="241"/>
      <c r="AI582" s="241"/>
      <c r="AJ582" s="241"/>
      <c r="AK582" s="241"/>
      <c r="AL582" s="241"/>
      <c r="AM582" s="241"/>
      <c r="AN582" s="241"/>
      <c r="AO582" s="241"/>
      <c r="AP582" s="241"/>
      <c r="AQ582" s="241"/>
      <c r="AR582" s="241"/>
      <c r="AS582" s="241"/>
      <c r="AT582" s="241"/>
      <c r="AU582" s="241"/>
      <c r="AV582" s="241"/>
      <c r="AW582" s="241"/>
      <c r="AX582" s="241"/>
      <c r="AY582" s="241"/>
      <c r="AZ582" s="241"/>
    </row>
    <row r="583" spans="1:52" s="71" customFormat="1" ht="15" hidden="1" customHeight="1" outlineLevel="1" collapsed="1">
      <c r="A583" s="288">
        <v>71</v>
      </c>
      <c r="B583" s="97"/>
      <c r="C583" s="296"/>
      <c r="D583" s="360"/>
      <c r="E583" s="361"/>
      <c r="F583" s="298"/>
      <c r="G583" s="298"/>
      <c r="H583" s="86"/>
      <c r="I583" s="355"/>
      <c r="J583" s="356"/>
      <c r="K583" s="86"/>
      <c r="L583" s="86"/>
      <c r="M583" s="344" t="str">
        <f t="shared" si="96"/>
        <v/>
      </c>
      <c r="N583" s="345"/>
      <c r="O583" s="225" t="str">
        <f t="shared" si="97"/>
        <v/>
      </c>
      <c r="P583" s="225" t="str">
        <f t="shared" si="98"/>
        <v/>
      </c>
      <c r="Q583" s="330"/>
      <c r="R583" s="225" t="str">
        <f t="shared" si="99"/>
        <v/>
      </c>
      <c r="S583" s="225" t="str">
        <f t="shared" si="100"/>
        <v/>
      </c>
      <c r="T583" s="231" t="str">
        <f t="shared" si="101"/>
        <v/>
      </c>
      <c r="U583" s="176" t="s">
        <v>165</v>
      </c>
      <c r="V583" s="241"/>
      <c r="W583" s="241"/>
      <c r="X583" s="241"/>
      <c r="Y583" s="241"/>
      <c r="Z583" s="241"/>
      <c r="AA583" s="241"/>
      <c r="AB583" s="241"/>
      <c r="AC583" s="241"/>
      <c r="AD583" s="241"/>
      <c r="AE583" s="241"/>
      <c r="AF583" s="241"/>
      <c r="AG583" s="241"/>
      <c r="AH583" s="241"/>
      <c r="AI583" s="241"/>
      <c r="AJ583" s="241"/>
      <c r="AK583" s="241"/>
      <c r="AL583" s="241"/>
      <c r="AM583" s="241"/>
      <c r="AN583" s="241"/>
      <c r="AO583" s="241"/>
      <c r="AP583" s="241"/>
      <c r="AQ583" s="241"/>
      <c r="AR583" s="241"/>
      <c r="AS583" s="241"/>
      <c r="AT583" s="241"/>
      <c r="AU583" s="241"/>
      <c r="AV583" s="241"/>
      <c r="AW583" s="241"/>
      <c r="AX583" s="241"/>
      <c r="AY583" s="241"/>
      <c r="AZ583" s="241"/>
    </row>
    <row r="584" spans="1:52" s="71" customFormat="1" ht="15" hidden="1" customHeight="1" outlineLevel="2">
      <c r="A584" s="288">
        <v>72</v>
      </c>
      <c r="B584" s="97"/>
      <c r="C584" s="296"/>
      <c r="D584" s="360"/>
      <c r="E584" s="361"/>
      <c r="F584" s="298"/>
      <c r="G584" s="298"/>
      <c r="H584" s="86"/>
      <c r="I584" s="355"/>
      <c r="J584" s="356"/>
      <c r="K584" s="86"/>
      <c r="L584" s="86"/>
      <c r="M584" s="344" t="str">
        <f t="shared" si="96"/>
        <v/>
      </c>
      <c r="N584" s="345"/>
      <c r="O584" s="225" t="str">
        <f t="shared" si="97"/>
        <v/>
      </c>
      <c r="P584" s="225" t="str">
        <f t="shared" si="98"/>
        <v/>
      </c>
      <c r="Q584" s="330"/>
      <c r="R584" s="225" t="str">
        <f t="shared" si="99"/>
        <v/>
      </c>
      <c r="S584" s="225" t="str">
        <f t="shared" si="100"/>
        <v/>
      </c>
      <c r="T584" s="231" t="str">
        <f t="shared" si="101"/>
        <v/>
      </c>
      <c r="U584" s="176"/>
      <c r="V584" s="241"/>
      <c r="W584" s="241"/>
      <c r="X584" s="241"/>
      <c r="Y584" s="241"/>
      <c r="Z584" s="241"/>
      <c r="AA584" s="241"/>
      <c r="AB584" s="241"/>
      <c r="AC584" s="241"/>
      <c r="AD584" s="241"/>
      <c r="AE584" s="241"/>
      <c r="AF584" s="241"/>
      <c r="AG584" s="241"/>
      <c r="AH584" s="241"/>
      <c r="AI584" s="241"/>
      <c r="AJ584" s="241"/>
      <c r="AK584" s="241"/>
      <c r="AL584" s="241"/>
      <c r="AM584" s="241"/>
      <c r="AN584" s="241"/>
      <c r="AO584" s="241"/>
      <c r="AP584" s="241"/>
      <c r="AQ584" s="241"/>
      <c r="AR584" s="241"/>
      <c r="AS584" s="241"/>
      <c r="AT584" s="241"/>
      <c r="AU584" s="241"/>
      <c r="AV584" s="241"/>
      <c r="AW584" s="241"/>
      <c r="AX584" s="241"/>
      <c r="AY584" s="241"/>
      <c r="AZ584" s="241"/>
    </row>
    <row r="585" spans="1:52" s="71" customFormat="1" ht="15" hidden="1" customHeight="1" outlineLevel="2">
      <c r="A585" s="288">
        <v>73</v>
      </c>
      <c r="B585" s="97"/>
      <c r="C585" s="296"/>
      <c r="D585" s="360"/>
      <c r="E585" s="361"/>
      <c r="F585" s="298"/>
      <c r="G585" s="298"/>
      <c r="H585" s="86"/>
      <c r="I585" s="355"/>
      <c r="J585" s="356"/>
      <c r="K585" s="86"/>
      <c r="L585" s="86"/>
      <c r="M585" s="344" t="str">
        <f t="shared" si="96"/>
        <v/>
      </c>
      <c r="N585" s="345"/>
      <c r="O585" s="225" t="str">
        <f t="shared" si="97"/>
        <v/>
      </c>
      <c r="P585" s="225" t="str">
        <f t="shared" si="98"/>
        <v/>
      </c>
      <c r="Q585" s="330"/>
      <c r="R585" s="225" t="str">
        <f t="shared" si="99"/>
        <v/>
      </c>
      <c r="S585" s="225" t="str">
        <f t="shared" si="100"/>
        <v/>
      </c>
      <c r="T585" s="231" t="str">
        <f t="shared" si="101"/>
        <v/>
      </c>
      <c r="U585" s="176"/>
      <c r="V585" s="241"/>
      <c r="W585" s="241"/>
      <c r="X585" s="241"/>
      <c r="Y585" s="241"/>
      <c r="Z585" s="241"/>
      <c r="AA585" s="241"/>
      <c r="AB585" s="241"/>
      <c r="AC585" s="241"/>
      <c r="AD585" s="241"/>
      <c r="AE585" s="241"/>
      <c r="AF585" s="241"/>
      <c r="AG585" s="241"/>
      <c r="AH585" s="241"/>
      <c r="AI585" s="241"/>
      <c r="AJ585" s="241"/>
      <c r="AK585" s="241"/>
      <c r="AL585" s="241"/>
      <c r="AM585" s="241"/>
      <c r="AN585" s="241"/>
      <c r="AO585" s="241"/>
      <c r="AP585" s="241"/>
      <c r="AQ585" s="241"/>
      <c r="AR585" s="241"/>
      <c r="AS585" s="241"/>
      <c r="AT585" s="241"/>
      <c r="AU585" s="241"/>
      <c r="AV585" s="241"/>
      <c r="AW585" s="241"/>
      <c r="AX585" s="241"/>
      <c r="AY585" s="241"/>
      <c r="AZ585" s="241"/>
    </row>
    <row r="586" spans="1:52" s="71" customFormat="1" ht="15" hidden="1" customHeight="1" outlineLevel="2">
      <c r="A586" s="288">
        <v>74</v>
      </c>
      <c r="B586" s="97"/>
      <c r="C586" s="296"/>
      <c r="D586" s="360"/>
      <c r="E586" s="361"/>
      <c r="F586" s="298"/>
      <c r="G586" s="298"/>
      <c r="H586" s="86"/>
      <c r="I586" s="355"/>
      <c r="J586" s="356"/>
      <c r="K586" s="86"/>
      <c r="L586" s="86"/>
      <c r="M586" s="344" t="str">
        <f t="shared" si="96"/>
        <v/>
      </c>
      <c r="N586" s="345"/>
      <c r="O586" s="225" t="str">
        <f t="shared" si="97"/>
        <v/>
      </c>
      <c r="P586" s="225" t="str">
        <f t="shared" si="98"/>
        <v/>
      </c>
      <c r="Q586" s="330"/>
      <c r="R586" s="225" t="str">
        <f t="shared" si="99"/>
        <v/>
      </c>
      <c r="S586" s="225" t="str">
        <f t="shared" si="100"/>
        <v/>
      </c>
      <c r="T586" s="231" t="str">
        <f t="shared" si="101"/>
        <v/>
      </c>
      <c r="U586" s="176"/>
      <c r="V586" s="241"/>
      <c r="W586" s="241"/>
      <c r="X586" s="241"/>
      <c r="Y586" s="241"/>
      <c r="Z586" s="241"/>
      <c r="AA586" s="241"/>
      <c r="AB586" s="241"/>
      <c r="AC586" s="241"/>
      <c r="AD586" s="241"/>
      <c r="AE586" s="241"/>
      <c r="AF586" s="241"/>
      <c r="AG586" s="241"/>
      <c r="AH586" s="241"/>
      <c r="AI586" s="241"/>
      <c r="AJ586" s="241"/>
      <c r="AK586" s="241"/>
      <c r="AL586" s="241"/>
      <c r="AM586" s="241"/>
      <c r="AN586" s="241"/>
      <c r="AO586" s="241"/>
      <c r="AP586" s="241"/>
      <c r="AQ586" s="241"/>
      <c r="AR586" s="241"/>
      <c r="AS586" s="241"/>
      <c r="AT586" s="241"/>
      <c r="AU586" s="241"/>
      <c r="AV586" s="241"/>
      <c r="AW586" s="241"/>
      <c r="AX586" s="241"/>
      <c r="AY586" s="241"/>
      <c r="AZ586" s="241"/>
    </row>
    <row r="587" spans="1:52" s="71" customFormat="1" ht="15" hidden="1" customHeight="1" outlineLevel="2">
      <c r="A587" s="288">
        <v>75</v>
      </c>
      <c r="B587" s="97"/>
      <c r="C587" s="296"/>
      <c r="D587" s="360"/>
      <c r="E587" s="361"/>
      <c r="F587" s="298"/>
      <c r="G587" s="298"/>
      <c r="H587" s="86"/>
      <c r="I587" s="355"/>
      <c r="J587" s="356"/>
      <c r="K587" s="86"/>
      <c r="L587" s="86"/>
      <c r="M587" s="344" t="str">
        <f t="shared" si="96"/>
        <v/>
      </c>
      <c r="N587" s="345"/>
      <c r="O587" s="225" t="str">
        <f t="shared" si="97"/>
        <v/>
      </c>
      <c r="P587" s="225" t="str">
        <f t="shared" si="98"/>
        <v/>
      </c>
      <c r="Q587" s="330"/>
      <c r="R587" s="225" t="str">
        <f t="shared" si="99"/>
        <v/>
      </c>
      <c r="S587" s="225" t="str">
        <f t="shared" si="100"/>
        <v/>
      </c>
      <c r="T587" s="231" t="str">
        <f t="shared" si="101"/>
        <v/>
      </c>
      <c r="U587" s="176"/>
      <c r="V587" s="241"/>
      <c r="W587" s="241"/>
      <c r="X587" s="241"/>
      <c r="Y587" s="241"/>
      <c r="Z587" s="241"/>
      <c r="AA587" s="241"/>
      <c r="AB587" s="241"/>
      <c r="AC587" s="241"/>
      <c r="AD587" s="241"/>
      <c r="AE587" s="241"/>
      <c r="AF587" s="241"/>
      <c r="AG587" s="241"/>
      <c r="AH587" s="241"/>
      <c r="AI587" s="241"/>
      <c r="AJ587" s="241"/>
      <c r="AK587" s="241"/>
      <c r="AL587" s="241"/>
      <c r="AM587" s="241"/>
      <c r="AN587" s="241"/>
      <c r="AO587" s="241"/>
      <c r="AP587" s="241"/>
      <c r="AQ587" s="241"/>
      <c r="AR587" s="241"/>
      <c r="AS587" s="241"/>
      <c r="AT587" s="241"/>
      <c r="AU587" s="241"/>
      <c r="AV587" s="241"/>
      <c r="AW587" s="241"/>
      <c r="AX587" s="241"/>
      <c r="AY587" s="241"/>
      <c r="AZ587" s="241"/>
    </row>
    <row r="588" spans="1:52" s="71" customFormat="1" ht="15" hidden="1" customHeight="1" outlineLevel="2">
      <c r="A588" s="288">
        <v>76</v>
      </c>
      <c r="B588" s="97"/>
      <c r="C588" s="296"/>
      <c r="D588" s="360"/>
      <c r="E588" s="361"/>
      <c r="F588" s="298"/>
      <c r="G588" s="298"/>
      <c r="H588" s="86"/>
      <c r="I588" s="355"/>
      <c r="J588" s="356"/>
      <c r="K588" s="86"/>
      <c r="L588" s="86"/>
      <c r="M588" s="344" t="str">
        <f t="shared" si="96"/>
        <v/>
      </c>
      <c r="N588" s="345"/>
      <c r="O588" s="225" t="str">
        <f t="shared" si="97"/>
        <v/>
      </c>
      <c r="P588" s="225" t="str">
        <f t="shared" si="98"/>
        <v/>
      </c>
      <c r="Q588" s="330"/>
      <c r="R588" s="225" t="str">
        <f t="shared" si="99"/>
        <v/>
      </c>
      <c r="S588" s="225" t="str">
        <f t="shared" si="100"/>
        <v/>
      </c>
      <c r="T588" s="231" t="str">
        <f t="shared" si="101"/>
        <v/>
      </c>
      <c r="U588" s="176"/>
      <c r="V588" s="241"/>
      <c r="W588" s="241"/>
      <c r="X588" s="241"/>
      <c r="Y588" s="241"/>
      <c r="Z588" s="241"/>
      <c r="AA588" s="241"/>
      <c r="AB588" s="241"/>
      <c r="AC588" s="241"/>
      <c r="AD588" s="241"/>
      <c r="AE588" s="241"/>
      <c r="AF588" s="241"/>
      <c r="AG588" s="241"/>
      <c r="AH588" s="241"/>
      <c r="AI588" s="241"/>
      <c r="AJ588" s="241"/>
      <c r="AK588" s="241"/>
      <c r="AL588" s="241"/>
      <c r="AM588" s="241"/>
      <c r="AN588" s="241"/>
      <c r="AO588" s="241"/>
      <c r="AP588" s="241"/>
      <c r="AQ588" s="241"/>
      <c r="AR588" s="241"/>
      <c r="AS588" s="241"/>
      <c r="AT588" s="241"/>
      <c r="AU588" s="241"/>
      <c r="AV588" s="241"/>
      <c r="AW588" s="241"/>
      <c r="AX588" s="241"/>
      <c r="AY588" s="241"/>
      <c r="AZ588" s="241"/>
    </row>
    <row r="589" spans="1:52" s="71" customFormat="1" ht="15" hidden="1" customHeight="1" outlineLevel="2">
      <c r="A589" s="288">
        <v>77</v>
      </c>
      <c r="B589" s="97"/>
      <c r="C589" s="296"/>
      <c r="D589" s="360"/>
      <c r="E589" s="361"/>
      <c r="F589" s="298"/>
      <c r="G589" s="298"/>
      <c r="H589" s="86"/>
      <c r="I589" s="355"/>
      <c r="J589" s="356"/>
      <c r="K589" s="86"/>
      <c r="L589" s="86"/>
      <c r="M589" s="344" t="str">
        <f t="shared" si="96"/>
        <v/>
      </c>
      <c r="N589" s="345"/>
      <c r="O589" s="225" t="str">
        <f t="shared" si="97"/>
        <v/>
      </c>
      <c r="P589" s="225" t="str">
        <f t="shared" si="98"/>
        <v/>
      </c>
      <c r="Q589" s="330"/>
      <c r="R589" s="225" t="str">
        <f t="shared" si="99"/>
        <v/>
      </c>
      <c r="S589" s="225" t="str">
        <f t="shared" si="100"/>
        <v/>
      </c>
      <c r="T589" s="231" t="str">
        <f t="shared" si="101"/>
        <v/>
      </c>
      <c r="U589" s="176"/>
      <c r="V589" s="241"/>
      <c r="W589" s="241"/>
      <c r="X589" s="241"/>
      <c r="Y589" s="241"/>
      <c r="Z589" s="241"/>
      <c r="AA589" s="241"/>
      <c r="AB589" s="241"/>
      <c r="AC589" s="241"/>
      <c r="AD589" s="241"/>
      <c r="AE589" s="241"/>
      <c r="AF589" s="241"/>
      <c r="AG589" s="241"/>
      <c r="AH589" s="241"/>
      <c r="AI589" s="241"/>
      <c r="AJ589" s="241"/>
      <c r="AK589" s="241"/>
      <c r="AL589" s="241"/>
      <c r="AM589" s="241"/>
      <c r="AN589" s="241"/>
      <c r="AO589" s="241"/>
      <c r="AP589" s="241"/>
      <c r="AQ589" s="241"/>
      <c r="AR589" s="241"/>
      <c r="AS589" s="241"/>
      <c r="AT589" s="241"/>
      <c r="AU589" s="241"/>
      <c r="AV589" s="241"/>
      <c r="AW589" s="241"/>
      <c r="AX589" s="241"/>
      <c r="AY589" s="241"/>
      <c r="AZ589" s="241"/>
    </row>
    <row r="590" spans="1:52" s="71" customFormat="1" ht="15" hidden="1" customHeight="1" outlineLevel="2">
      <c r="A590" s="288">
        <v>78</v>
      </c>
      <c r="B590" s="97"/>
      <c r="C590" s="296"/>
      <c r="D590" s="360"/>
      <c r="E590" s="361"/>
      <c r="F590" s="298"/>
      <c r="G590" s="298"/>
      <c r="H590" s="86"/>
      <c r="I590" s="355"/>
      <c r="J590" s="356"/>
      <c r="K590" s="86"/>
      <c r="L590" s="86"/>
      <c r="M590" s="344" t="str">
        <f t="shared" si="96"/>
        <v/>
      </c>
      <c r="N590" s="345"/>
      <c r="O590" s="225" t="str">
        <f t="shared" si="97"/>
        <v/>
      </c>
      <c r="P590" s="225" t="str">
        <f t="shared" si="98"/>
        <v/>
      </c>
      <c r="Q590" s="330"/>
      <c r="R590" s="225" t="str">
        <f t="shared" si="99"/>
        <v/>
      </c>
      <c r="S590" s="225" t="str">
        <f t="shared" si="100"/>
        <v/>
      </c>
      <c r="T590" s="231" t="str">
        <f t="shared" si="101"/>
        <v/>
      </c>
      <c r="U590" s="176"/>
      <c r="V590" s="241"/>
      <c r="W590" s="241"/>
      <c r="X590" s="241"/>
      <c r="Y590" s="241"/>
      <c r="Z590" s="241"/>
      <c r="AA590" s="241"/>
      <c r="AB590" s="241"/>
      <c r="AC590" s="241"/>
      <c r="AD590" s="241"/>
      <c r="AE590" s="241"/>
      <c r="AF590" s="241"/>
      <c r="AG590" s="241"/>
      <c r="AH590" s="241"/>
      <c r="AI590" s="241"/>
      <c r="AJ590" s="241"/>
      <c r="AK590" s="241"/>
      <c r="AL590" s="241"/>
      <c r="AM590" s="241"/>
      <c r="AN590" s="241"/>
      <c r="AO590" s="241"/>
      <c r="AP590" s="241"/>
      <c r="AQ590" s="241"/>
      <c r="AR590" s="241"/>
      <c r="AS590" s="241"/>
      <c r="AT590" s="241"/>
      <c r="AU590" s="241"/>
      <c r="AV590" s="241"/>
      <c r="AW590" s="241"/>
      <c r="AX590" s="241"/>
      <c r="AY590" s="241"/>
      <c r="AZ590" s="241"/>
    </row>
    <row r="591" spans="1:52" s="71" customFormat="1" ht="15" hidden="1" customHeight="1" outlineLevel="2">
      <c r="A591" s="288">
        <v>79</v>
      </c>
      <c r="B591" s="97"/>
      <c r="C591" s="296"/>
      <c r="D591" s="360"/>
      <c r="E591" s="361"/>
      <c r="F591" s="298"/>
      <c r="G591" s="298"/>
      <c r="H591" s="86"/>
      <c r="I591" s="355"/>
      <c r="J591" s="356"/>
      <c r="K591" s="86"/>
      <c r="L591" s="86"/>
      <c r="M591" s="344" t="str">
        <f t="shared" si="96"/>
        <v/>
      </c>
      <c r="N591" s="345"/>
      <c r="O591" s="225" t="str">
        <f t="shared" si="97"/>
        <v/>
      </c>
      <c r="P591" s="225" t="str">
        <f t="shared" si="98"/>
        <v/>
      </c>
      <c r="Q591" s="330"/>
      <c r="R591" s="225" t="str">
        <f t="shared" si="99"/>
        <v/>
      </c>
      <c r="S591" s="225" t="str">
        <f t="shared" si="100"/>
        <v/>
      </c>
      <c r="T591" s="231" t="str">
        <f t="shared" si="101"/>
        <v/>
      </c>
      <c r="U591" s="176"/>
      <c r="V591" s="241"/>
      <c r="W591" s="241"/>
      <c r="X591" s="241"/>
      <c r="Y591" s="241"/>
      <c r="Z591" s="241"/>
      <c r="AA591" s="241"/>
      <c r="AB591" s="241"/>
      <c r="AC591" s="241"/>
      <c r="AD591" s="241"/>
      <c r="AE591" s="241"/>
      <c r="AF591" s="241"/>
      <c r="AG591" s="241"/>
      <c r="AH591" s="241"/>
      <c r="AI591" s="241"/>
      <c r="AJ591" s="241"/>
      <c r="AK591" s="241"/>
      <c r="AL591" s="241"/>
      <c r="AM591" s="241"/>
      <c r="AN591" s="241"/>
      <c r="AO591" s="241"/>
      <c r="AP591" s="241"/>
      <c r="AQ591" s="241"/>
      <c r="AR591" s="241"/>
      <c r="AS591" s="241"/>
      <c r="AT591" s="241"/>
      <c r="AU591" s="241"/>
      <c r="AV591" s="241"/>
      <c r="AW591" s="241"/>
      <c r="AX591" s="241"/>
      <c r="AY591" s="241"/>
      <c r="AZ591" s="241"/>
    </row>
    <row r="592" spans="1:52" s="71" customFormat="1" ht="15" hidden="1" customHeight="1" outlineLevel="2">
      <c r="A592" s="288">
        <v>80</v>
      </c>
      <c r="B592" s="97"/>
      <c r="C592" s="296"/>
      <c r="D592" s="360"/>
      <c r="E592" s="361"/>
      <c r="F592" s="298"/>
      <c r="G592" s="298"/>
      <c r="H592" s="86"/>
      <c r="I592" s="355"/>
      <c r="J592" s="356"/>
      <c r="K592" s="86"/>
      <c r="L592" s="86"/>
      <c r="M592" s="344" t="str">
        <f t="shared" si="96"/>
        <v/>
      </c>
      <c r="N592" s="345"/>
      <c r="O592" s="225" t="str">
        <f t="shared" si="97"/>
        <v/>
      </c>
      <c r="P592" s="225" t="str">
        <f t="shared" si="98"/>
        <v/>
      </c>
      <c r="Q592" s="330"/>
      <c r="R592" s="225" t="str">
        <f t="shared" si="99"/>
        <v/>
      </c>
      <c r="S592" s="225" t="str">
        <f t="shared" si="100"/>
        <v/>
      </c>
      <c r="T592" s="231" t="str">
        <f t="shared" si="101"/>
        <v/>
      </c>
      <c r="U592" s="176"/>
      <c r="V592" s="241"/>
      <c r="W592" s="241"/>
      <c r="X592" s="241"/>
      <c r="Y592" s="241"/>
      <c r="Z592" s="241"/>
      <c r="AA592" s="241"/>
      <c r="AB592" s="241"/>
      <c r="AC592" s="241"/>
      <c r="AD592" s="241"/>
      <c r="AE592" s="241"/>
      <c r="AF592" s="241"/>
      <c r="AG592" s="241"/>
      <c r="AH592" s="241"/>
      <c r="AI592" s="241"/>
      <c r="AJ592" s="241"/>
      <c r="AK592" s="241"/>
      <c r="AL592" s="241"/>
      <c r="AM592" s="241"/>
      <c r="AN592" s="241"/>
      <c r="AO592" s="241"/>
      <c r="AP592" s="241"/>
      <c r="AQ592" s="241"/>
      <c r="AR592" s="241"/>
      <c r="AS592" s="241"/>
      <c r="AT592" s="241"/>
      <c r="AU592" s="241"/>
      <c r="AV592" s="241"/>
      <c r="AW592" s="241"/>
      <c r="AX592" s="241"/>
      <c r="AY592" s="241"/>
      <c r="AZ592" s="241"/>
    </row>
    <row r="593" spans="1:52" s="71" customFormat="1" ht="15" hidden="1" customHeight="1" outlineLevel="2">
      <c r="A593" s="288">
        <v>81</v>
      </c>
      <c r="B593" s="97"/>
      <c r="C593" s="296"/>
      <c r="D593" s="360"/>
      <c r="E593" s="361"/>
      <c r="F593" s="298"/>
      <c r="G593" s="298"/>
      <c r="H593" s="86"/>
      <c r="I593" s="355"/>
      <c r="J593" s="356"/>
      <c r="K593" s="86"/>
      <c r="L593" s="86"/>
      <c r="M593" s="344" t="str">
        <f t="shared" si="96"/>
        <v/>
      </c>
      <c r="N593" s="345"/>
      <c r="O593" s="225" t="str">
        <f t="shared" si="97"/>
        <v/>
      </c>
      <c r="P593" s="225" t="str">
        <f t="shared" si="98"/>
        <v/>
      </c>
      <c r="Q593" s="330"/>
      <c r="R593" s="225" t="str">
        <f t="shared" si="99"/>
        <v/>
      </c>
      <c r="S593" s="225" t="str">
        <f t="shared" si="100"/>
        <v/>
      </c>
      <c r="T593" s="231" t="str">
        <f t="shared" si="101"/>
        <v/>
      </c>
      <c r="U593" s="176"/>
      <c r="V593" s="241"/>
      <c r="W593" s="241"/>
      <c r="X593" s="241"/>
      <c r="Y593" s="241"/>
      <c r="Z593" s="241"/>
      <c r="AA593" s="241"/>
      <c r="AB593" s="241"/>
      <c r="AC593" s="241"/>
      <c r="AD593" s="241"/>
      <c r="AE593" s="241"/>
      <c r="AF593" s="241"/>
      <c r="AG593" s="241"/>
      <c r="AH593" s="241"/>
      <c r="AI593" s="241"/>
      <c r="AJ593" s="241"/>
      <c r="AK593" s="241"/>
      <c r="AL593" s="241"/>
      <c r="AM593" s="241"/>
      <c r="AN593" s="241"/>
      <c r="AO593" s="241"/>
      <c r="AP593" s="241"/>
      <c r="AQ593" s="241"/>
      <c r="AR593" s="241"/>
      <c r="AS593" s="241"/>
      <c r="AT593" s="241"/>
      <c r="AU593" s="241"/>
      <c r="AV593" s="241"/>
      <c r="AW593" s="241"/>
      <c r="AX593" s="241"/>
      <c r="AY593" s="241"/>
      <c r="AZ593" s="241"/>
    </row>
    <row r="594" spans="1:52" s="71" customFormat="1" ht="15" hidden="1" customHeight="1" outlineLevel="2">
      <c r="A594" s="288">
        <v>82</v>
      </c>
      <c r="B594" s="97"/>
      <c r="C594" s="296"/>
      <c r="D594" s="360"/>
      <c r="E594" s="361"/>
      <c r="F594" s="298"/>
      <c r="G594" s="298"/>
      <c r="H594" s="86"/>
      <c r="I594" s="355"/>
      <c r="J594" s="356"/>
      <c r="K594" s="86"/>
      <c r="L594" s="86"/>
      <c r="M594" s="344" t="str">
        <f t="shared" si="96"/>
        <v/>
      </c>
      <c r="N594" s="345"/>
      <c r="O594" s="225" t="str">
        <f t="shared" si="97"/>
        <v/>
      </c>
      <c r="P594" s="225" t="str">
        <f t="shared" si="98"/>
        <v/>
      </c>
      <c r="Q594" s="330"/>
      <c r="R594" s="225" t="str">
        <f t="shared" si="99"/>
        <v/>
      </c>
      <c r="S594" s="225" t="str">
        <f t="shared" si="100"/>
        <v/>
      </c>
      <c r="T594" s="231" t="str">
        <f t="shared" si="101"/>
        <v/>
      </c>
      <c r="U594" s="176"/>
      <c r="V594" s="241"/>
      <c r="W594" s="241"/>
      <c r="X594" s="241"/>
      <c r="Y594" s="241"/>
      <c r="Z594" s="241"/>
      <c r="AA594" s="241"/>
      <c r="AB594" s="241"/>
      <c r="AC594" s="241"/>
      <c r="AD594" s="241"/>
      <c r="AE594" s="241"/>
      <c r="AF594" s="241"/>
      <c r="AG594" s="241"/>
      <c r="AH594" s="241"/>
      <c r="AI594" s="241"/>
      <c r="AJ594" s="241"/>
      <c r="AK594" s="241"/>
      <c r="AL594" s="241"/>
      <c r="AM594" s="241"/>
      <c r="AN594" s="241"/>
      <c r="AO594" s="241"/>
      <c r="AP594" s="241"/>
      <c r="AQ594" s="241"/>
      <c r="AR594" s="241"/>
      <c r="AS594" s="241"/>
      <c r="AT594" s="241"/>
      <c r="AU594" s="241"/>
      <c r="AV594" s="241"/>
      <c r="AW594" s="241"/>
      <c r="AX594" s="241"/>
      <c r="AY594" s="241"/>
      <c r="AZ594" s="241"/>
    </row>
    <row r="595" spans="1:52" s="71" customFormat="1" ht="15" hidden="1" customHeight="1" outlineLevel="2">
      <c r="A595" s="288">
        <v>83</v>
      </c>
      <c r="B595" s="97"/>
      <c r="C595" s="296"/>
      <c r="D595" s="360"/>
      <c r="E595" s="361"/>
      <c r="F595" s="298"/>
      <c r="G595" s="298"/>
      <c r="H595" s="86"/>
      <c r="I595" s="355"/>
      <c r="J595" s="356"/>
      <c r="K595" s="86"/>
      <c r="L595" s="86"/>
      <c r="M595" s="344" t="str">
        <f t="shared" si="96"/>
        <v/>
      </c>
      <c r="N595" s="345"/>
      <c r="O595" s="225" t="str">
        <f t="shared" si="97"/>
        <v/>
      </c>
      <c r="P595" s="225" t="str">
        <f t="shared" si="98"/>
        <v/>
      </c>
      <c r="Q595" s="330"/>
      <c r="R595" s="225" t="str">
        <f t="shared" si="99"/>
        <v/>
      </c>
      <c r="S595" s="225" t="str">
        <f t="shared" si="100"/>
        <v/>
      </c>
      <c r="T595" s="231" t="str">
        <f t="shared" si="101"/>
        <v/>
      </c>
      <c r="U595" s="176"/>
      <c r="V595" s="241"/>
      <c r="W595" s="241"/>
      <c r="X595" s="241"/>
      <c r="Y595" s="241"/>
      <c r="Z595" s="241"/>
      <c r="AA595" s="241"/>
      <c r="AB595" s="241"/>
      <c r="AC595" s="241"/>
      <c r="AD595" s="241"/>
      <c r="AE595" s="241"/>
      <c r="AF595" s="241"/>
      <c r="AG595" s="241"/>
      <c r="AH595" s="241"/>
      <c r="AI595" s="241"/>
      <c r="AJ595" s="241"/>
      <c r="AK595" s="241"/>
      <c r="AL595" s="241"/>
      <c r="AM595" s="241"/>
      <c r="AN595" s="241"/>
      <c r="AO595" s="241"/>
      <c r="AP595" s="241"/>
      <c r="AQ595" s="241"/>
      <c r="AR595" s="241"/>
      <c r="AS595" s="241"/>
      <c r="AT595" s="241"/>
      <c r="AU595" s="241"/>
      <c r="AV595" s="241"/>
      <c r="AW595" s="241"/>
      <c r="AX595" s="241"/>
      <c r="AY595" s="241"/>
      <c r="AZ595" s="241"/>
    </row>
    <row r="596" spans="1:52" s="71" customFormat="1" ht="15" hidden="1" customHeight="1" outlineLevel="2">
      <c r="A596" s="288">
        <v>84</v>
      </c>
      <c r="B596" s="97"/>
      <c r="C596" s="296"/>
      <c r="D596" s="360"/>
      <c r="E596" s="361"/>
      <c r="F596" s="298"/>
      <c r="G596" s="298"/>
      <c r="H596" s="86"/>
      <c r="I596" s="355"/>
      <c r="J596" s="356"/>
      <c r="K596" s="86"/>
      <c r="L596" s="86"/>
      <c r="M596" s="344" t="str">
        <f t="shared" si="96"/>
        <v/>
      </c>
      <c r="N596" s="345"/>
      <c r="O596" s="225" t="str">
        <f t="shared" si="97"/>
        <v/>
      </c>
      <c r="P596" s="225" t="str">
        <f t="shared" si="98"/>
        <v/>
      </c>
      <c r="Q596" s="330"/>
      <c r="R596" s="225" t="str">
        <f t="shared" si="99"/>
        <v/>
      </c>
      <c r="S596" s="225" t="str">
        <f t="shared" si="100"/>
        <v/>
      </c>
      <c r="T596" s="231" t="str">
        <f t="shared" si="101"/>
        <v/>
      </c>
      <c r="U596" s="176"/>
      <c r="V596" s="241"/>
      <c r="W596" s="241"/>
      <c r="X596" s="241"/>
      <c r="Y596" s="241"/>
      <c r="Z596" s="241"/>
      <c r="AA596" s="241"/>
      <c r="AB596" s="241"/>
      <c r="AC596" s="241"/>
      <c r="AD596" s="241"/>
      <c r="AE596" s="241"/>
      <c r="AF596" s="241"/>
      <c r="AG596" s="241"/>
      <c r="AH596" s="241"/>
      <c r="AI596" s="241"/>
      <c r="AJ596" s="241"/>
      <c r="AK596" s="241"/>
      <c r="AL596" s="241"/>
      <c r="AM596" s="241"/>
      <c r="AN596" s="241"/>
      <c r="AO596" s="241"/>
      <c r="AP596" s="241"/>
      <c r="AQ596" s="241"/>
      <c r="AR596" s="241"/>
      <c r="AS596" s="241"/>
      <c r="AT596" s="241"/>
      <c r="AU596" s="241"/>
      <c r="AV596" s="241"/>
      <c r="AW596" s="241"/>
      <c r="AX596" s="241"/>
      <c r="AY596" s="241"/>
      <c r="AZ596" s="241"/>
    </row>
    <row r="597" spans="1:52" s="71" customFormat="1" ht="15" hidden="1" customHeight="1" outlineLevel="2">
      <c r="A597" s="288">
        <v>85</v>
      </c>
      <c r="B597" s="97"/>
      <c r="C597" s="296"/>
      <c r="D597" s="360"/>
      <c r="E597" s="361"/>
      <c r="F597" s="298"/>
      <c r="G597" s="298"/>
      <c r="H597" s="86"/>
      <c r="I597" s="355"/>
      <c r="J597" s="356"/>
      <c r="K597" s="86"/>
      <c r="L597" s="86"/>
      <c r="M597" s="344" t="str">
        <f t="shared" si="96"/>
        <v/>
      </c>
      <c r="N597" s="345"/>
      <c r="O597" s="225" t="str">
        <f t="shared" si="97"/>
        <v/>
      </c>
      <c r="P597" s="225" t="str">
        <f t="shared" si="98"/>
        <v/>
      </c>
      <c r="Q597" s="330"/>
      <c r="R597" s="225" t="str">
        <f t="shared" si="99"/>
        <v/>
      </c>
      <c r="S597" s="225" t="str">
        <f t="shared" si="100"/>
        <v/>
      </c>
      <c r="T597" s="231" t="str">
        <f t="shared" si="101"/>
        <v/>
      </c>
      <c r="U597" s="176"/>
      <c r="V597" s="241"/>
      <c r="W597" s="241"/>
      <c r="X597" s="241"/>
      <c r="Y597" s="241"/>
      <c r="Z597" s="241"/>
      <c r="AA597" s="241"/>
      <c r="AB597" s="241"/>
      <c r="AC597" s="241"/>
      <c r="AD597" s="241"/>
      <c r="AE597" s="241"/>
      <c r="AF597" s="241"/>
      <c r="AG597" s="241"/>
      <c r="AH597" s="241"/>
      <c r="AI597" s="241"/>
      <c r="AJ597" s="241"/>
      <c r="AK597" s="241"/>
      <c r="AL597" s="241"/>
      <c r="AM597" s="241"/>
      <c r="AN597" s="241"/>
      <c r="AO597" s="241"/>
      <c r="AP597" s="241"/>
      <c r="AQ597" s="241"/>
      <c r="AR597" s="241"/>
      <c r="AS597" s="241"/>
      <c r="AT597" s="241"/>
      <c r="AU597" s="241"/>
      <c r="AV597" s="241"/>
      <c r="AW597" s="241"/>
      <c r="AX597" s="241"/>
      <c r="AY597" s="241"/>
      <c r="AZ597" s="241"/>
    </row>
    <row r="598" spans="1:52" s="71" customFormat="1" ht="15" hidden="1" customHeight="1" outlineLevel="2">
      <c r="A598" s="288">
        <v>86</v>
      </c>
      <c r="B598" s="97"/>
      <c r="C598" s="296"/>
      <c r="D598" s="360"/>
      <c r="E598" s="361"/>
      <c r="F598" s="298"/>
      <c r="G598" s="298"/>
      <c r="H598" s="86"/>
      <c r="I598" s="355"/>
      <c r="J598" s="356"/>
      <c r="K598" s="86"/>
      <c r="L598" s="86"/>
      <c r="M598" s="344" t="str">
        <f t="shared" si="96"/>
        <v/>
      </c>
      <c r="N598" s="345"/>
      <c r="O598" s="225" t="str">
        <f t="shared" si="97"/>
        <v/>
      </c>
      <c r="P598" s="225" t="str">
        <f t="shared" si="98"/>
        <v/>
      </c>
      <c r="Q598" s="330"/>
      <c r="R598" s="225" t="str">
        <f t="shared" si="99"/>
        <v/>
      </c>
      <c r="S598" s="225" t="str">
        <f t="shared" si="100"/>
        <v/>
      </c>
      <c r="T598" s="231" t="str">
        <f t="shared" si="101"/>
        <v/>
      </c>
      <c r="U598" s="176"/>
      <c r="V598" s="241"/>
      <c r="W598" s="241"/>
      <c r="X598" s="241"/>
      <c r="Y598" s="241"/>
      <c r="Z598" s="241"/>
      <c r="AA598" s="241"/>
      <c r="AB598" s="241"/>
      <c r="AC598" s="241"/>
      <c r="AD598" s="241"/>
      <c r="AE598" s="241"/>
      <c r="AF598" s="241"/>
      <c r="AG598" s="241"/>
      <c r="AH598" s="241"/>
      <c r="AI598" s="241"/>
      <c r="AJ598" s="241"/>
      <c r="AK598" s="241"/>
      <c r="AL598" s="241"/>
      <c r="AM598" s="241"/>
      <c r="AN598" s="241"/>
      <c r="AO598" s="241"/>
      <c r="AP598" s="241"/>
      <c r="AQ598" s="241"/>
      <c r="AR598" s="241"/>
      <c r="AS598" s="241"/>
      <c r="AT598" s="241"/>
      <c r="AU598" s="241"/>
      <c r="AV598" s="241"/>
      <c r="AW598" s="241"/>
      <c r="AX598" s="241"/>
      <c r="AY598" s="241"/>
      <c r="AZ598" s="241"/>
    </row>
    <row r="599" spans="1:52" s="71" customFormat="1" ht="15" hidden="1" customHeight="1" outlineLevel="2">
      <c r="A599" s="288">
        <v>87</v>
      </c>
      <c r="B599" s="97"/>
      <c r="C599" s="296"/>
      <c r="D599" s="360"/>
      <c r="E599" s="361"/>
      <c r="F599" s="298"/>
      <c r="G599" s="298"/>
      <c r="H599" s="86"/>
      <c r="I599" s="355"/>
      <c r="J599" s="356"/>
      <c r="K599" s="86"/>
      <c r="L599" s="86"/>
      <c r="M599" s="344" t="str">
        <f t="shared" si="96"/>
        <v/>
      </c>
      <c r="N599" s="345"/>
      <c r="O599" s="225" t="str">
        <f t="shared" si="97"/>
        <v/>
      </c>
      <c r="P599" s="225" t="str">
        <f t="shared" si="98"/>
        <v/>
      </c>
      <c r="Q599" s="330"/>
      <c r="R599" s="225" t="str">
        <f t="shared" si="99"/>
        <v/>
      </c>
      <c r="S599" s="225" t="str">
        <f t="shared" si="100"/>
        <v/>
      </c>
      <c r="T599" s="231" t="str">
        <f t="shared" si="101"/>
        <v/>
      </c>
      <c r="U599" s="176"/>
      <c r="V599" s="241"/>
      <c r="W599" s="241"/>
      <c r="X599" s="241"/>
      <c r="Y599" s="241"/>
      <c r="Z599" s="241"/>
      <c r="AA599" s="241"/>
      <c r="AB599" s="241"/>
      <c r="AC599" s="241"/>
      <c r="AD599" s="241"/>
      <c r="AE599" s="241"/>
      <c r="AF599" s="241"/>
      <c r="AG599" s="241"/>
      <c r="AH599" s="241"/>
      <c r="AI599" s="241"/>
      <c r="AJ599" s="241"/>
      <c r="AK599" s="241"/>
      <c r="AL599" s="241"/>
      <c r="AM599" s="241"/>
      <c r="AN599" s="241"/>
      <c r="AO599" s="241"/>
      <c r="AP599" s="241"/>
      <c r="AQ599" s="241"/>
      <c r="AR599" s="241"/>
      <c r="AS599" s="241"/>
      <c r="AT599" s="241"/>
      <c r="AU599" s="241"/>
      <c r="AV599" s="241"/>
      <c r="AW599" s="241"/>
      <c r="AX599" s="241"/>
      <c r="AY599" s="241"/>
      <c r="AZ599" s="241"/>
    </row>
    <row r="600" spans="1:52" s="71" customFormat="1" ht="15" hidden="1" customHeight="1" outlineLevel="2">
      <c r="A600" s="288">
        <v>88</v>
      </c>
      <c r="B600" s="97"/>
      <c r="C600" s="296"/>
      <c r="D600" s="360"/>
      <c r="E600" s="361"/>
      <c r="F600" s="298"/>
      <c r="G600" s="298"/>
      <c r="H600" s="86"/>
      <c r="I600" s="355"/>
      <c r="J600" s="356"/>
      <c r="K600" s="86"/>
      <c r="L600" s="86"/>
      <c r="M600" s="344" t="str">
        <f t="shared" si="96"/>
        <v/>
      </c>
      <c r="N600" s="345"/>
      <c r="O600" s="225" t="str">
        <f t="shared" si="97"/>
        <v/>
      </c>
      <c r="P600" s="225" t="str">
        <f t="shared" si="98"/>
        <v/>
      </c>
      <c r="Q600" s="330"/>
      <c r="R600" s="225" t="str">
        <f t="shared" si="99"/>
        <v/>
      </c>
      <c r="S600" s="225" t="str">
        <f t="shared" si="100"/>
        <v/>
      </c>
      <c r="T600" s="231" t="str">
        <f t="shared" si="101"/>
        <v/>
      </c>
      <c r="U600" s="176"/>
      <c r="V600" s="241"/>
      <c r="W600" s="241"/>
      <c r="X600" s="241"/>
      <c r="Y600" s="241"/>
      <c r="Z600" s="241"/>
      <c r="AA600" s="241"/>
      <c r="AB600" s="241"/>
      <c r="AC600" s="241"/>
      <c r="AD600" s="241"/>
      <c r="AE600" s="241"/>
      <c r="AF600" s="241"/>
      <c r="AG600" s="241"/>
      <c r="AH600" s="241"/>
      <c r="AI600" s="241"/>
      <c r="AJ600" s="241"/>
      <c r="AK600" s="241"/>
      <c r="AL600" s="241"/>
      <c r="AM600" s="241"/>
      <c r="AN600" s="241"/>
      <c r="AO600" s="241"/>
      <c r="AP600" s="241"/>
      <c r="AQ600" s="241"/>
      <c r="AR600" s="241"/>
      <c r="AS600" s="241"/>
      <c r="AT600" s="241"/>
      <c r="AU600" s="241"/>
      <c r="AV600" s="241"/>
      <c r="AW600" s="241"/>
      <c r="AX600" s="241"/>
      <c r="AY600" s="241"/>
      <c r="AZ600" s="241"/>
    </row>
    <row r="601" spans="1:52" s="71" customFormat="1" ht="15" hidden="1" customHeight="1" outlineLevel="2">
      <c r="A601" s="288">
        <v>89</v>
      </c>
      <c r="B601" s="97"/>
      <c r="C601" s="296"/>
      <c r="D601" s="360"/>
      <c r="E601" s="361"/>
      <c r="F601" s="298"/>
      <c r="G601" s="298"/>
      <c r="H601" s="86"/>
      <c r="I601" s="355"/>
      <c r="J601" s="356"/>
      <c r="K601" s="86"/>
      <c r="L601" s="86"/>
      <c r="M601" s="344" t="str">
        <f t="shared" si="96"/>
        <v/>
      </c>
      <c r="N601" s="345"/>
      <c r="O601" s="225" t="str">
        <f t="shared" si="97"/>
        <v/>
      </c>
      <c r="P601" s="225" t="str">
        <f t="shared" si="98"/>
        <v/>
      </c>
      <c r="Q601" s="330"/>
      <c r="R601" s="225" t="str">
        <f t="shared" si="99"/>
        <v/>
      </c>
      <c r="S601" s="225" t="str">
        <f t="shared" si="100"/>
        <v/>
      </c>
      <c r="T601" s="231" t="str">
        <f t="shared" si="101"/>
        <v/>
      </c>
      <c r="U601" s="176"/>
      <c r="V601" s="241"/>
      <c r="W601" s="241"/>
      <c r="X601" s="241"/>
      <c r="Y601" s="241"/>
      <c r="Z601" s="241"/>
      <c r="AA601" s="241"/>
      <c r="AB601" s="241"/>
      <c r="AC601" s="241"/>
      <c r="AD601" s="241"/>
      <c r="AE601" s="241"/>
      <c r="AF601" s="241"/>
      <c r="AG601" s="241"/>
      <c r="AH601" s="241"/>
      <c r="AI601" s="241"/>
      <c r="AJ601" s="241"/>
      <c r="AK601" s="241"/>
      <c r="AL601" s="241"/>
      <c r="AM601" s="241"/>
      <c r="AN601" s="241"/>
      <c r="AO601" s="241"/>
      <c r="AP601" s="241"/>
      <c r="AQ601" s="241"/>
      <c r="AR601" s="241"/>
      <c r="AS601" s="241"/>
      <c r="AT601" s="241"/>
      <c r="AU601" s="241"/>
      <c r="AV601" s="241"/>
      <c r="AW601" s="241"/>
      <c r="AX601" s="241"/>
      <c r="AY601" s="241"/>
      <c r="AZ601" s="241"/>
    </row>
    <row r="602" spans="1:52" s="71" customFormat="1" ht="15" hidden="1" customHeight="1" outlineLevel="2">
      <c r="A602" s="288">
        <v>90</v>
      </c>
      <c r="B602" s="97"/>
      <c r="C602" s="296"/>
      <c r="D602" s="360"/>
      <c r="E602" s="361"/>
      <c r="F602" s="298"/>
      <c r="G602" s="298"/>
      <c r="H602" s="86"/>
      <c r="I602" s="355"/>
      <c r="J602" s="356"/>
      <c r="K602" s="86"/>
      <c r="L602" s="86"/>
      <c r="M602" s="344" t="str">
        <f t="shared" si="96"/>
        <v/>
      </c>
      <c r="N602" s="345"/>
      <c r="O602" s="225" t="str">
        <f t="shared" si="97"/>
        <v/>
      </c>
      <c r="P602" s="225" t="str">
        <f t="shared" si="98"/>
        <v/>
      </c>
      <c r="Q602" s="330"/>
      <c r="R602" s="225" t="str">
        <f t="shared" si="99"/>
        <v/>
      </c>
      <c r="S602" s="225" t="str">
        <f t="shared" si="100"/>
        <v/>
      </c>
      <c r="T602" s="231" t="str">
        <f t="shared" si="101"/>
        <v/>
      </c>
      <c r="U602" s="176"/>
      <c r="V602" s="241"/>
      <c r="W602" s="241"/>
      <c r="X602" s="241"/>
      <c r="Y602" s="241"/>
      <c r="Z602" s="241"/>
      <c r="AA602" s="241"/>
      <c r="AB602" s="241"/>
      <c r="AC602" s="241"/>
      <c r="AD602" s="241"/>
      <c r="AE602" s="241"/>
      <c r="AF602" s="241"/>
      <c r="AG602" s="241"/>
      <c r="AH602" s="241"/>
      <c r="AI602" s="241"/>
      <c r="AJ602" s="241"/>
      <c r="AK602" s="241"/>
      <c r="AL602" s="241"/>
      <c r="AM602" s="241"/>
      <c r="AN602" s="241"/>
      <c r="AO602" s="241"/>
      <c r="AP602" s="241"/>
      <c r="AQ602" s="241"/>
      <c r="AR602" s="241"/>
      <c r="AS602" s="241"/>
      <c r="AT602" s="241"/>
      <c r="AU602" s="241"/>
      <c r="AV602" s="241"/>
      <c r="AW602" s="241"/>
      <c r="AX602" s="241"/>
      <c r="AY602" s="241"/>
      <c r="AZ602" s="241"/>
    </row>
    <row r="603" spans="1:52" s="71" customFormat="1" ht="15" hidden="1" customHeight="1" outlineLevel="1" collapsed="1">
      <c r="A603" s="288">
        <v>91</v>
      </c>
      <c r="B603" s="97"/>
      <c r="C603" s="296"/>
      <c r="D603" s="360"/>
      <c r="E603" s="361"/>
      <c r="F603" s="298"/>
      <c r="G603" s="298"/>
      <c r="H603" s="86"/>
      <c r="I603" s="355"/>
      <c r="J603" s="356"/>
      <c r="K603" s="86"/>
      <c r="L603" s="86"/>
      <c r="M603" s="344" t="str">
        <f t="shared" si="96"/>
        <v/>
      </c>
      <c r="N603" s="345"/>
      <c r="O603" s="225" t="str">
        <f t="shared" si="97"/>
        <v/>
      </c>
      <c r="P603" s="225" t="str">
        <f t="shared" si="98"/>
        <v/>
      </c>
      <c r="Q603" s="330"/>
      <c r="R603" s="225" t="str">
        <f t="shared" si="99"/>
        <v/>
      </c>
      <c r="S603" s="225" t="str">
        <f t="shared" si="100"/>
        <v/>
      </c>
      <c r="T603" s="231" t="str">
        <f t="shared" si="101"/>
        <v/>
      </c>
      <c r="U603" s="176" t="s">
        <v>165</v>
      </c>
      <c r="V603" s="241"/>
      <c r="W603" s="241"/>
      <c r="X603" s="241"/>
      <c r="Y603" s="241"/>
      <c r="Z603" s="241"/>
      <c r="AA603" s="241"/>
      <c r="AB603" s="241"/>
      <c r="AC603" s="241"/>
      <c r="AD603" s="241"/>
      <c r="AE603" s="241"/>
      <c r="AF603" s="241"/>
      <c r="AG603" s="241"/>
      <c r="AH603" s="241"/>
      <c r="AI603" s="241"/>
      <c r="AJ603" s="241"/>
      <c r="AK603" s="241"/>
      <c r="AL603" s="241"/>
      <c r="AM603" s="241"/>
      <c r="AN603" s="241"/>
      <c r="AO603" s="241"/>
      <c r="AP603" s="241"/>
      <c r="AQ603" s="241"/>
      <c r="AR603" s="241"/>
      <c r="AS603" s="241"/>
      <c r="AT603" s="241"/>
      <c r="AU603" s="241"/>
      <c r="AV603" s="241"/>
      <c r="AW603" s="241"/>
      <c r="AX603" s="241"/>
      <c r="AY603" s="241"/>
      <c r="AZ603" s="241"/>
    </row>
    <row r="604" spans="1:52" s="71" customFormat="1" ht="15" hidden="1" customHeight="1" outlineLevel="2">
      <c r="A604" s="288">
        <v>92</v>
      </c>
      <c r="B604" s="97"/>
      <c r="C604" s="296"/>
      <c r="D604" s="360"/>
      <c r="E604" s="361"/>
      <c r="F604" s="298"/>
      <c r="G604" s="298"/>
      <c r="H604" s="86"/>
      <c r="I604" s="355"/>
      <c r="J604" s="356"/>
      <c r="K604" s="86"/>
      <c r="L604" s="86"/>
      <c r="M604" s="344" t="str">
        <f t="shared" si="96"/>
        <v/>
      </c>
      <c r="N604" s="345"/>
      <c r="O604" s="225" t="str">
        <f t="shared" si="97"/>
        <v/>
      </c>
      <c r="P604" s="225" t="str">
        <f t="shared" si="98"/>
        <v/>
      </c>
      <c r="Q604" s="330"/>
      <c r="R604" s="225" t="str">
        <f t="shared" si="99"/>
        <v/>
      </c>
      <c r="S604" s="225" t="str">
        <f t="shared" si="100"/>
        <v/>
      </c>
      <c r="T604" s="231" t="str">
        <f t="shared" si="101"/>
        <v/>
      </c>
      <c r="U604" s="176"/>
      <c r="V604" s="241"/>
      <c r="W604" s="241"/>
      <c r="X604" s="241"/>
      <c r="Y604" s="241"/>
      <c r="Z604" s="241"/>
      <c r="AA604" s="241"/>
      <c r="AB604" s="241"/>
      <c r="AC604" s="241"/>
      <c r="AD604" s="241"/>
      <c r="AE604" s="241"/>
      <c r="AF604" s="241"/>
      <c r="AG604" s="241"/>
      <c r="AH604" s="241"/>
      <c r="AI604" s="241"/>
      <c r="AJ604" s="241"/>
      <c r="AK604" s="241"/>
      <c r="AL604" s="241"/>
      <c r="AM604" s="241"/>
      <c r="AN604" s="241"/>
      <c r="AO604" s="241"/>
      <c r="AP604" s="241"/>
      <c r="AQ604" s="241"/>
      <c r="AR604" s="241"/>
      <c r="AS604" s="241"/>
      <c r="AT604" s="241"/>
      <c r="AU604" s="241"/>
      <c r="AV604" s="241"/>
      <c r="AW604" s="241"/>
      <c r="AX604" s="241"/>
      <c r="AY604" s="241"/>
      <c r="AZ604" s="241"/>
    </row>
    <row r="605" spans="1:52" s="71" customFormat="1" ht="15" hidden="1" customHeight="1" outlineLevel="2">
      <c r="A605" s="288">
        <v>93</v>
      </c>
      <c r="B605" s="97"/>
      <c r="C605" s="296"/>
      <c r="D605" s="360"/>
      <c r="E605" s="361"/>
      <c r="F605" s="298"/>
      <c r="G605" s="298"/>
      <c r="H605" s="86"/>
      <c r="I605" s="355"/>
      <c r="J605" s="356"/>
      <c r="K605" s="86"/>
      <c r="L605" s="86"/>
      <c r="M605" s="344" t="str">
        <f t="shared" si="96"/>
        <v/>
      </c>
      <c r="N605" s="345"/>
      <c r="O605" s="225" t="str">
        <f t="shared" si="97"/>
        <v/>
      </c>
      <c r="P605" s="225" t="str">
        <f t="shared" si="98"/>
        <v/>
      </c>
      <c r="Q605" s="330"/>
      <c r="R605" s="225" t="str">
        <f t="shared" si="99"/>
        <v/>
      </c>
      <c r="S605" s="225" t="str">
        <f t="shared" si="100"/>
        <v/>
      </c>
      <c r="T605" s="231" t="str">
        <f t="shared" si="101"/>
        <v/>
      </c>
      <c r="U605" s="176"/>
      <c r="V605" s="241"/>
      <c r="W605" s="241"/>
      <c r="X605" s="241"/>
      <c r="Y605" s="241"/>
      <c r="Z605" s="241"/>
      <c r="AA605" s="241"/>
      <c r="AB605" s="241"/>
      <c r="AC605" s="241"/>
      <c r="AD605" s="241"/>
      <c r="AE605" s="241"/>
      <c r="AF605" s="241"/>
      <c r="AG605" s="241"/>
      <c r="AH605" s="241"/>
      <c r="AI605" s="241"/>
      <c r="AJ605" s="241"/>
      <c r="AK605" s="241"/>
      <c r="AL605" s="241"/>
      <c r="AM605" s="241"/>
      <c r="AN605" s="241"/>
      <c r="AO605" s="241"/>
      <c r="AP605" s="241"/>
      <c r="AQ605" s="241"/>
      <c r="AR605" s="241"/>
      <c r="AS605" s="241"/>
      <c r="AT605" s="241"/>
      <c r="AU605" s="241"/>
      <c r="AV605" s="241"/>
      <c r="AW605" s="241"/>
      <c r="AX605" s="241"/>
      <c r="AY605" s="241"/>
      <c r="AZ605" s="241"/>
    </row>
    <row r="606" spans="1:52" s="71" customFormat="1" ht="15" hidden="1" customHeight="1" outlineLevel="2">
      <c r="A606" s="288">
        <v>94</v>
      </c>
      <c r="B606" s="97"/>
      <c r="C606" s="296"/>
      <c r="D606" s="360"/>
      <c r="E606" s="361"/>
      <c r="F606" s="298"/>
      <c r="G606" s="298"/>
      <c r="H606" s="86"/>
      <c r="I606" s="355"/>
      <c r="J606" s="356"/>
      <c r="K606" s="86"/>
      <c r="L606" s="86"/>
      <c r="M606" s="344" t="str">
        <f t="shared" si="96"/>
        <v/>
      </c>
      <c r="N606" s="345"/>
      <c r="O606" s="225" t="str">
        <f t="shared" si="97"/>
        <v/>
      </c>
      <c r="P606" s="225" t="str">
        <f t="shared" si="98"/>
        <v/>
      </c>
      <c r="Q606" s="330"/>
      <c r="R606" s="225" t="str">
        <f t="shared" si="99"/>
        <v/>
      </c>
      <c r="S606" s="225" t="str">
        <f t="shared" si="100"/>
        <v/>
      </c>
      <c r="T606" s="231" t="str">
        <f t="shared" si="101"/>
        <v/>
      </c>
      <c r="U606" s="176"/>
      <c r="V606" s="241"/>
      <c r="W606" s="241"/>
      <c r="X606" s="241"/>
      <c r="Y606" s="241"/>
      <c r="Z606" s="241"/>
      <c r="AA606" s="241"/>
      <c r="AB606" s="241"/>
      <c r="AC606" s="241"/>
      <c r="AD606" s="241"/>
      <c r="AE606" s="241"/>
      <c r="AF606" s="241"/>
      <c r="AG606" s="241"/>
      <c r="AH606" s="241"/>
      <c r="AI606" s="241"/>
      <c r="AJ606" s="241"/>
      <c r="AK606" s="241"/>
      <c r="AL606" s="241"/>
      <c r="AM606" s="241"/>
      <c r="AN606" s="241"/>
      <c r="AO606" s="241"/>
      <c r="AP606" s="241"/>
      <c r="AQ606" s="241"/>
      <c r="AR606" s="241"/>
      <c r="AS606" s="241"/>
      <c r="AT606" s="241"/>
      <c r="AU606" s="241"/>
      <c r="AV606" s="241"/>
      <c r="AW606" s="241"/>
      <c r="AX606" s="241"/>
      <c r="AY606" s="241"/>
      <c r="AZ606" s="241"/>
    </row>
    <row r="607" spans="1:52" s="71" customFormat="1" ht="15" hidden="1" customHeight="1" outlineLevel="2">
      <c r="A607" s="288">
        <v>95</v>
      </c>
      <c r="B607" s="97"/>
      <c r="C607" s="296"/>
      <c r="D607" s="360"/>
      <c r="E607" s="361"/>
      <c r="F607" s="298"/>
      <c r="G607" s="298"/>
      <c r="H607" s="86"/>
      <c r="I607" s="355"/>
      <c r="J607" s="356"/>
      <c r="K607" s="86"/>
      <c r="L607" s="86"/>
      <c r="M607" s="344" t="str">
        <f t="shared" si="96"/>
        <v/>
      </c>
      <c r="N607" s="345"/>
      <c r="O607" s="225" t="str">
        <f t="shared" si="97"/>
        <v/>
      </c>
      <c r="P607" s="225" t="str">
        <f t="shared" si="98"/>
        <v/>
      </c>
      <c r="Q607" s="330"/>
      <c r="R607" s="225" t="str">
        <f t="shared" si="99"/>
        <v/>
      </c>
      <c r="S607" s="225" t="str">
        <f t="shared" si="100"/>
        <v/>
      </c>
      <c r="T607" s="231" t="str">
        <f t="shared" si="101"/>
        <v/>
      </c>
      <c r="U607" s="176"/>
      <c r="V607" s="241"/>
      <c r="W607" s="241"/>
      <c r="X607" s="241"/>
      <c r="Y607" s="241"/>
      <c r="Z607" s="241"/>
      <c r="AA607" s="241"/>
      <c r="AB607" s="241"/>
      <c r="AC607" s="241"/>
      <c r="AD607" s="241"/>
      <c r="AE607" s="241"/>
      <c r="AF607" s="241"/>
      <c r="AG607" s="241"/>
      <c r="AH607" s="241"/>
      <c r="AI607" s="241"/>
      <c r="AJ607" s="241"/>
      <c r="AK607" s="241"/>
      <c r="AL607" s="241"/>
      <c r="AM607" s="241"/>
      <c r="AN607" s="241"/>
      <c r="AO607" s="241"/>
      <c r="AP607" s="241"/>
      <c r="AQ607" s="241"/>
      <c r="AR607" s="241"/>
      <c r="AS607" s="241"/>
      <c r="AT607" s="241"/>
      <c r="AU607" s="241"/>
      <c r="AV607" s="241"/>
      <c r="AW607" s="241"/>
      <c r="AX607" s="241"/>
      <c r="AY607" s="241"/>
      <c r="AZ607" s="241"/>
    </row>
    <row r="608" spans="1:52" s="71" customFormat="1" ht="15" hidden="1" customHeight="1" outlineLevel="2">
      <c r="A608" s="288">
        <v>96</v>
      </c>
      <c r="B608" s="97"/>
      <c r="C608" s="296"/>
      <c r="D608" s="360"/>
      <c r="E608" s="361"/>
      <c r="F608" s="298"/>
      <c r="G608" s="298"/>
      <c r="H608" s="86"/>
      <c r="I608" s="355"/>
      <c r="J608" s="356"/>
      <c r="K608" s="86"/>
      <c r="L608" s="86"/>
      <c r="M608" s="344" t="str">
        <f t="shared" si="96"/>
        <v/>
      </c>
      <c r="N608" s="345"/>
      <c r="O608" s="225" t="str">
        <f t="shared" si="97"/>
        <v/>
      </c>
      <c r="P608" s="225" t="str">
        <f t="shared" si="98"/>
        <v/>
      </c>
      <c r="Q608" s="330"/>
      <c r="R608" s="225" t="str">
        <f t="shared" si="99"/>
        <v/>
      </c>
      <c r="S608" s="225" t="str">
        <f t="shared" si="100"/>
        <v/>
      </c>
      <c r="T608" s="231" t="str">
        <f t="shared" si="101"/>
        <v/>
      </c>
      <c r="U608" s="176"/>
      <c r="V608" s="241"/>
      <c r="W608" s="241"/>
      <c r="X608" s="241"/>
      <c r="Y608" s="241"/>
      <c r="Z608" s="241"/>
      <c r="AA608" s="241"/>
      <c r="AB608" s="241"/>
      <c r="AC608" s="241"/>
      <c r="AD608" s="241"/>
      <c r="AE608" s="241"/>
      <c r="AF608" s="241"/>
      <c r="AG608" s="241"/>
      <c r="AH608" s="241"/>
      <c r="AI608" s="241"/>
      <c r="AJ608" s="241"/>
      <c r="AK608" s="241"/>
      <c r="AL608" s="241"/>
      <c r="AM608" s="241"/>
      <c r="AN608" s="241"/>
      <c r="AO608" s="241"/>
      <c r="AP608" s="241"/>
      <c r="AQ608" s="241"/>
      <c r="AR608" s="241"/>
      <c r="AS608" s="241"/>
      <c r="AT608" s="241"/>
      <c r="AU608" s="241"/>
      <c r="AV608" s="241"/>
      <c r="AW608" s="241"/>
      <c r="AX608" s="241"/>
      <c r="AY608" s="241"/>
      <c r="AZ608" s="241"/>
    </row>
    <row r="609" spans="1:52" s="71" customFormat="1" ht="15" hidden="1" customHeight="1" outlineLevel="2">
      <c r="A609" s="288">
        <v>97</v>
      </c>
      <c r="B609" s="97"/>
      <c r="C609" s="296"/>
      <c r="D609" s="360"/>
      <c r="E609" s="361"/>
      <c r="F609" s="298"/>
      <c r="G609" s="298"/>
      <c r="H609" s="86"/>
      <c r="I609" s="355"/>
      <c r="J609" s="356"/>
      <c r="K609" s="86"/>
      <c r="L609" s="86"/>
      <c r="M609" s="344" t="str">
        <f t="shared" si="96"/>
        <v/>
      </c>
      <c r="N609" s="345"/>
      <c r="O609" s="225" t="str">
        <f t="shared" si="97"/>
        <v/>
      </c>
      <c r="P609" s="225" t="str">
        <f t="shared" si="98"/>
        <v/>
      </c>
      <c r="Q609" s="330"/>
      <c r="R609" s="225" t="str">
        <f t="shared" si="99"/>
        <v/>
      </c>
      <c r="S609" s="225" t="str">
        <f t="shared" si="100"/>
        <v/>
      </c>
      <c r="T609" s="231" t="str">
        <f t="shared" si="101"/>
        <v/>
      </c>
      <c r="U609" s="176"/>
      <c r="V609" s="241"/>
      <c r="W609" s="241"/>
      <c r="X609" s="241"/>
      <c r="Y609" s="241"/>
      <c r="Z609" s="241"/>
      <c r="AA609" s="241"/>
      <c r="AB609" s="241"/>
      <c r="AC609" s="241"/>
      <c r="AD609" s="241"/>
      <c r="AE609" s="241"/>
      <c r="AF609" s="241"/>
      <c r="AG609" s="241"/>
      <c r="AH609" s="241"/>
      <c r="AI609" s="241"/>
      <c r="AJ609" s="241"/>
      <c r="AK609" s="241"/>
      <c r="AL609" s="241"/>
      <c r="AM609" s="241"/>
      <c r="AN609" s="241"/>
      <c r="AO609" s="241"/>
      <c r="AP609" s="241"/>
      <c r="AQ609" s="241"/>
      <c r="AR609" s="241"/>
      <c r="AS609" s="241"/>
      <c r="AT609" s="241"/>
      <c r="AU609" s="241"/>
      <c r="AV609" s="241"/>
      <c r="AW609" s="241"/>
      <c r="AX609" s="241"/>
      <c r="AY609" s="241"/>
      <c r="AZ609" s="241"/>
    </row>
    <row r="610" spans="1:52" s="71" customFormat="1" ht="15" hidden="1" customHeight="1" outlineLevel="2">
      <c r="A610" s="288">
        <v>98</v>
      </c>
      <c r="B610" s="97"/>
      <c r="C610" s="296"/>
      <c r="D610" s="360"/>
      <c r="E610" s="361"/>
      <c r="F610" s="298"/>
      <c r="G610" s="298"/>
      <c r="H610" s="86"/>
      <c r="I610" s="355"/>
      <c r="J610" s="356"/>
      <c r="K610" s="86"/>
      <c r="L610" s="86"/>
      <c r="M610" s="344" t="str">
        <f t="shared" si="96"/>
        <v/>
      </c>
      <c r="N610" s="345"/>
      <c r="O610" s="225" t="str">
        <f t="shared" si="97"/>
        <v/>
      </c>
      <c r="P610" s="225" t="str">
        <f t="shared" si="98"/>
        <v/>
      </c>
      <c r="Q610" s="330"/>
      <c r="R610" s="225" t="str">
        <f t="shared" si="99"/>
        <v/>
      </c>
      <c r="S610" s="225" t="str">
        <f t="shared" si="100"/>
        <v/>
      </c>
      <c r="T610" s="231" t="str">
        <f t="shared" si="101"/>
        <v/>
      </c>
      <c r="U610" s="176"/>
      <c r="V610" s="241"/>
      <c r="W610" s="241"/>
      <c r="X610" s="241"/>
      <c r="Y610" s="241"/>
      <c r="Z610" s="241"/>
      <c r="AA610" s="241"/>
      <c r="AB610" s="241"/>
      <c r="AC610" s="241"/>
      <c r="AD610" s="241"/>
      <c r="AE610" s="241"/>
      <c r="AF610" s="241"/>
      <c r="AG610" s="241"/>
      <c r="AH610" s="241"/>
      <c r="AI610" s="241"/>
      <c r="AJ610" s="241"/>
      <c r="AK610" s="241"/>
      <c r="AL610" s="241"/>
      <c r="AM610" s="241"/>
      <c r="AN610" s="241"/>
      <c r="AO610" s="241"/>
      <c r="AP610" s="241"/>
      <c r="AQ610" s="241"/>
      <c r="AR610" s="241"/>
      <c r="AS610" s="241"/>
      <c r="AT610" s="241"/>
      <c r="AU610" s="241"/>
      <c r="AV610" s="241"/>
      <c r="AW610" s="241"/>
      <c r="AX610" s="241"/>
      <c r="AY610" s="241"/>
      <c r="AZ610" s="241"/>
    </row>
    <row r="611" spans="1:52" s="71" customFormat="1" ht="15" hidden="1" customHeight="1" outlineLevel="2">
      <c r="A611" s="288">
        <v>99</v>
      </c>
      <c r="B611" s="97"/>
      <c r="C611" s="296"/>
      <c r="D611" s="360"/>
      <c r="E611" s="361"/>
      <c r="F611" s="298"/>
      <c r="G611" s="298"/>
      <c r="H611" s="86"/>
      <c r="I611" s="355"/>
      <c r="J611" s="356"/>
      <c r="K611" s="86"/>
      <c r="L611" s="86"/>
      <c r="M611" s="344" t="str">
        <f t="shared" si="96"/>
        <v/>
      </c>
      <c r="N611" s="345"/>
      <c r="O611" s="225" t="str">
        <f t="shared" si="97"/>
        <v/>
      </c>
      <c r="P611" s="225" t="str">
        <f t="shared" si="98"/>
        <v/>
      </c>
      <c r="Q611" s="330"/>
      <c r="R611" s="225" t="str">
        <f t="shared" si="99"/>
        <v/>
      </c>
      <c r="S611" s="225" t="str">
        <f t="shared" si="100"/>
        <v/>
      </c>
      <c r="T611" s="231" t="str">
        <f t="shared" si="101"/>
        <v/>
      </c>
      <c r="U611" s="176"/>
      <c r="V611" s="241"/>
      <c r="W611" s="241"/>
      <c r="X611" s="241"/>
      <c r="Y611" s="241"/>
      <c r="Z611" s="241"/>
      <c r="AA611" s="241"/>
      <c r="AB611" s="241"/>
      <c r="AC611" s="241"/>
      <c r="AD611" s="241"/>
      <c r="AE611" s="241"/>
      <c r="AF611" s="241"/>
      <c r="AG611" s="241"/>
      <c r="AH611" s="241"/>
      <c r="AI611" s="241"/>
      <c r="AJ611" s="241"/>
      <c r="AK611" s="241"/>
      <c r="AL611" s="241"/>
      <c r="AM611" s="241"/>
      <c r="AN611" s="241"/>
      <c r="AO611" s="241"/>
      <c r="AP611" s="241"/>
      <c r="AQ611" s="241"/>
      <c r="AR611" s="241"/>
      <c r="AS611" s="241"/>
      <c r="AT611" s="241"/>
      <c r="AU611" s="241"/>
      <c r="AV611" s="241"/>
      <c r="AW611" s="241"/>
      <c r="AX611" s="241"/>
      <c r="AY611" s="241"/>
      <c r="AZ611" s="241"/>
    </row>
    <row r="612" spans="1:52" s="71" customFormat="1" ht="15" hidden="1" customHeight="1" outlineLevel="2">
      <c r="A612" s="288">
        <v>100</v>
      </c>
      <c r="B612" s="97"/>
      <c r="C612" s="296"/>
      <c r="D612" s="360"/>
      <c r="E612" s="361"/>
      <c r="F612" s="298"/>
      <c r="G612" s="298"/>
      <c r="H612" s="86"/>
      <c r="I612" s="355"/>
      <c r="J612" s="356"/>
      <c r="K612" s="86"/>
      <c r="L612" s="86"/>
      <c r="M612" s="344" t="str">
        <f t="shared" si="96"/>
        <v/>
      </c>
      <c r="N612" s="345"/>
      <c r="O612" s="225" t="str">
        <f t="shared" si="97"/>
        <v/>
      </c>
      <c r="P612" s="225" t="str">
        <f t="shared" si="98"/>
        <v/>
      </c>
      <c r="Q612" s="330"/>
      <c r="R612" s="225" t="str">
        <f t="shared" si="99"/>
        <v/>
      </c>
      <c r="S612" s="225" t="str">
        <f t="shared" si="100"/>
        <v/>
      </c>
      <c r="T612" s="231" t="str">
        <f t="shared" si="101"/>
        <v/>
      </c>
      <c r="U612" s="176"/>
      <c r="V612" s="241"/>
      <c r="W612" s="241"/>
      <c r="X612" s="241"/>
      <c r="Y612" s="241"/>
      <c r="Z612" s="241"/>
      <c r="AA612" s="241"/>
      <c r="AB612" s="241"/>
      <c r="AC612" s="241"/>
      <c r="AD612" s="241"/>
      <c r="AE612" s="241"/>
      <c r="AF612" s="241"/>
      <c r="AG612" s="241"/>
      <c r="AH612" s="241"/>
      <c r="AI612" s="241"/>
      <c r="AJ612" s="241"/>
      <c r="AK612" s="241"/>
      <c r="AL612" s="241"/>
      <c r="AM612" s="241"/>
      <c r="AN612" s="241"/>
      <c r="AO612" s="241"/>
      <c r="AP612" s="241"/>
      <c r="AQ612" s="241"/>
      <c r="AR612" s="241"/>
      <c r="AS612" s="241"/>
      <c r="AT612" s="241"/>
      <c r="AU612" s="241"/>
      <c r="AV612" s="241"/>
      <c r="AW612" s="241"/>
      <c r="AX612" s="241"/>
      <c r="AY612" s="241"/>
      <c r="AZ612" s="241"/>
    </row>
    <row r="613" spans="1:52" s="71" customFormat="1" ht="15" hidden="1" customHeight="1" outlineLevel="2">
      <c r="A613" s="288">
        <v>101</v>
      </c>
      <c r="B613" s="97"/>
      <c r="C613" s="296"/>
      <c r="D613" s="360"/>
      <c r="E613" s="361"/>
      <c r="F613" s="298"/>
      <c r="G613" s="298"/>
      <c r="H613" s="86"/>
      <c r="I613" s="355"/>
      <c r="J613" s="356"/>
      <c r="K613" s="86"/>
      <c r="L613" s="86"/>
      <c r="M613" s="344" t="str">
        <f t="shared" si="96"/>
        <v/>
      </c>
      <c r="N613" s="345"/>
      <c r="O613" s="225" t="str">
        <f t="shared" si="97"/>
        <v/>
      </c>
      <c r="P613" s="225" t="str">
        <f t="shared" si="98"/>
        <v/>
      </c>
      <c r="Q613" s="330"/>
      <c r="R613" s="225" t="str">
        <f t="shared" si="99"/>
        <v/>
      </c>
      <c r="S613" s="225" t="str">
        <f t="shared" si="100"/>
        <v/>
      </c>
      <c r="T613" s="231" t="str">
        <f t="shared" si="101"/>
        <v/>
      </c>
      <c r="U613" s="176"/>
      <c r="V613" s="241"/>
      <c r="W613" s="241"/>
      <c r="X613" s="241"/>
      <c r="Y613" s="241"/>
      <c r="Z613" s="241"/>
      <c r="AA613" s="241"/>
      <c r="AB613" s="241"/>
      <c r="AC613" s="241"/>
      <c r="AD613" s="241"/>
      <c r="AE613" s="241"/>
      <c r="AF613" s="241"/>
      <c r="AG613" s="241"/>
      <c r="AH613" s="241"/>
      <c r="AI613" s="241"/>
      <c r="AJ613" s="241"/>
      <c r="AK613" s="241"/>
      <c r="AL613" s="241"/>
      <c r="AM613" s="241"/>
      <c r="AN613" s="241"/>
      <c r="AO613" s="241"/>
      <c r="AP613" s="241"/>
      <c r="AQ613" s="241"/>
      <c r="AR613" s="241"/>
      <c r="AS613" s="241"/>
      <c r="AT613" s="241"/>
      <c r="AU613" s="241"/>
      <c r="AV613" s="241"/>
      <c r="AW613" s="241"/>
      <c r="AX613" s="241"/>
      <c r="AY613" s="241"/>
      <c r="AZ613" s="241"/>
    </row>
    <row r="614" spans="1:52" s="71" customFormat="1" ht="15" hidden="1" customHeight="1" outlineLevel="2">
      <c r="A614" s="288">
        <v>102</v>
      </c>
      <c r="B614" s="97"/>
      <c r="C614" s="296"/>
      <c r="D614" s="360"/>
      <c r="E614" s="361"/>
      <c r="F614" s="298"/>
      <c r="G614" s="298"/>
      <c r="H614" s="86"/>
      <c r="I614" s="355"/>
      <c r="J614" s="356"/>
      <c r="K614" s="86"/>
      <c r="L614" s="86"/>
      <c r="M614" s="344" t="str">
        <f t="shared" si="96"/>
        <v/>
      </c>
      <c r="N614" s="345"/>
      <c r="O614" s="225" t="str">
        <f t="shared" si="97"/>
        <v/>
      </c>
      <c r="P614" s="225" t="str">
        <f t="shared" si="98"/>
        <v/>
      </c>
      <c r="Q614" s="330"/>
      <c r="R614" s="225" t="str">
        <f t="shared" si="99"/>
        <v/>
      </c>
      <c r="S614" s="225" t="str">
        <f t="shared" si="100"/>
        <v/>
      </c>
      <c r="T614" s="231" t="str">
        <f t="shared" si="101"/>
        <v/>
      </c>
      <c r="U614" s="176"/>
      <c r="V614" s="241"/>
      <c r="W614" s="241"/>
      <c r="X614" s="241"/>
      <c r="Y614" s="241"/>
      <c r="Z614" s="241"/>
      <c r="AA614" s="241"/>
      <c r="AB614" s="241"/>
      <c r="AC614" s="241"/>
      <c r="AD614" s="241"/>
      <c r="AE614" s="241"/>
      <c r="AF614" s="241"/>
      <c r="AG614" s="241"/>
      <c r="AH614" s="241"/>
      <c r="AI614" s="241"/>
      <c r="AJ614" s="241"/>
      <c r="AK614" s="241"/>
      <c r="AL614" s="241"/>
      <c r="AM614" s="241"/>
      <c r="AN614" s="241"/>
      <c r="AO614" s="241"/>
      <c r="AP614" s="241"/>
      <c r="AQ614" s="241"/>
      <c r="AR614" s="241"/>
      <c r="AS614" s="241"/>
      <c r="AT614" s="241"/>
      <c r="AU614" s="241"/>
      <c r="AV614" s="241"/>
      <c r="AW614" s="241"/>
      <c r="AX614" s="241"/>
      <c r="AY614" s="241"/>
      <c r="AZ614" s="241"/>
    </row>
    <row r="615" spans="1:52" s="71" customFormat="1" ht="15" hidden="1" customHeight="1" outlineLevel="2">
      <c r="A615" s="288">
        <v>103</v>
      </c>
      <c r="B615" s="97"/>
      <c r="C615" s="296"/>
      <c r="D615" s="360"/>
      <c r="E615" s="361"/>
      <c r="F615" s="298"/>
      <c r="G615" s="298"/>
      <c r="H615" s="86"/>
      <c r="I615" s="355"/>
      <c r="J615" s="356"/>
      <c r="K615" s="86"/>
      <c r="L615" s="86"/>
      <c r="M615" s="344" t="str">
        <f t="shared" si="96"/>
        <v/>
      </c>
      <c r="N615" s="345"/>
      <c r="O615" s="225" t="str">
        <f t="shared" si="97"/>
        <v/>
      </c>
      <c r="P615" s="225" t="str">
        <f t="shared" si="98"/>
        <v/>
      </c>
      <c r="Q615" s="330"/>
      <c r="R615" s="225" t="str">
        <f t="shared" si="99"/>
        <v/>
      </c>
      <c r="S615" s="225" t="str">
        <f t="shared" si="100"/>
        <v/>
      </c>
      <c r="T615" s="231" t="str">
        <f t="shared" si="101"/>
        <v/>
      </c>
      <c r="U615" s="176"/>
      <c r="V615" s="241"/>
      <c r="W615" s="241"/>
      <c r="X615" s="241"/>
      <c r="Y615" s="241"/>
      <c r="Z615" s="241"/>
      <c r="AA615" s="241"/>
      <c r="AB615" s="241"/>
      <c r="AC615" s="241"/>
      <c r="AD615" s="241"/>
      <c r="AE615" s="241"/>
      <c r="AF615" s="241"/>
      <c r="AG615" s="241"/>
      <c r="AH615" s="241"/>
      <c r="AI615" s="241"/>
      <c r="AJ615" s="241"/>
      <c r="AK615" s="241"/>
      <c r="AL615" s="241"/>
      <c r="AM615" s="241"/>
      <c r="AN615" s="241"/>
      <c r="AO615" s="241"/>
      <c r="AP615" s="241"/>
      <c r="AQ615" s="241"/>
      <c r="AR615" s="241"/>
      <c r="AS615" s="241"/>
      <c r="AT615" s="241"/>
      <c r="AU615" s="241"/>
      <c r="AV615" s="241"/>
      <c r="AW615" s="241"/>
      <c r="AX615" s="241"/>
      <c r="AY615" s="241"/>
      <c r="AZ615" s="241"/>
    </row>
    <row r="616" spans="1:52" s="71" customFormat="1" ht="15" hidden="1" customHeight="1" outlineLevel="2">
      <c r="A616" s="288">
        <v>104</v>
      </c>
      <c r="B616" s="97"/>
      <c r="C616" s="296"/>
      <c r="D616" s="360"/>
      <c r="E616" s="361"/>
      <c r="F616" s="298"/>
      <c r="G616" s="298"/>
      <c r="H616" s="86"/>
      <c r="I616" s="355"/>
      <c r="J616" s="356"/>
      <c r="K616" s="86"/>
      <c r="L616" s="86"/>
      <c r="M616" s="344" t="str">
        <f t="shared" si="96"/>
        <v/>
      </c>
      <c r="N616" s="345"/>
      <c r="O616" s="225" t="str">
        <f t="shared" si="97"/>
        <v/>
      </c>
      <c r="P616" s="225" t="str">
        <f t="shared" si="98"/>
        <v/>
      </c>
      <c r="Q616" s="330"/>
      <c r="R616" s="225" t="str">
        <f t="shared" si="99"/>
        <v/>
      </c>
      <c r="S616" s="225" t="str">
        <f t="shared" si="100"/>
        <v/>
      </c>
      <c r="T616" s="231" t="str">
        <f t="shared" si="101"/>
        <v/>
      </c>
      <c r="U616" s="176"/>
      <c r="V616" s="241"/>
      <c r="W616" s="241"/>
      <c r="X616" s="241"/>
      <c r="Y616" s="241"/>
      <c r="Z616" s="241"/>
      <c r="AA616" s="241"/>
      <c r="AB616" s="241"/>
      <c r="AC616" s="241"/>
      <c r="AD616" s="241"/>
      <c r="AE616" s="241"/>
      <c r="AF616" s="241"/>
      <c r="AG616" s="241"/>
      <c r="AH616" s="241"/>
      <c r="AI616" s="241"/>
      <c r="AJ616" s="241"/>
      <c r="AK616" s="241"/>
      <c r="AL616" s="241"/>
      <c r="AM616" s="241"/>
      <c r="AN616" s="241"/>
      <c r="AO616" s="241"/>
      <c r="AP616" s="241"/>
      <c r="AQ616" s="241"/>
      <c r="AR616" s="241"/>
      <c r="AS616" s="241"/>
      <c r="AT616" s="241"/>
      <c r="AU616" s="241"/>
      <c r="AV616" s="241"/>
      <c r="AW616" s="241"/>
      <c r="AX616" s="241"/>
      <c r="AY616" s="241"/>
      <c r="AZ616" s="241"/>
    </row>
    <row r="617" spans="1:52" s="71" customFormat="1" ht="15" hidden="1" customHeight="1" outlineLevel="2">
      <c r="A617" s="288">
        <v>105</v>
      </c>
      <c r="B617" s="97"/>
      <c r="C617" s="296"/>
      <c r="D617" s="360"/>
      <c r="E617" s="361"/>
      <c r="F617" s="298"/>
      <c r="G617" s="298"/>
      <c r="H617" s="86"/>
      <c r="I617" s="355"/>
      <c r="J617" s="356"/>
      <c r="K617" s="86"/>
      <c r="L617" s="86"/>
      <c r="M617" s="344" t="str">
        <f t="shared" si="96"/>
        <v/>
      </c>
      <c r="N617" s="345"/>
      <c r="O617" s="225" t="str">
        <f t="shared" si="97"/>
        <v/>
      </c>
      <c r="P617" s="225" t="str">
        <f t="shared" si="98"/>
        <v/>
      </c>
      <c r="Q617" s="330"/>
      <c r="R617" s="225" t="str">
        <f t="shared" si="99"/>
        <v/>
      </c>
      <c r="S617" s="225" t="str">
        <f t="shared" si="100"/>
        <v/>
      </c>
      <c r="T617" s="231" t="str">
        <f t="shared" si="101"/>
        <v/>
      </c>
      <c r="U617" s="176"/>
      <c r="V617" s="241"/>
      <c r="W617" s="241"/>
      <c r="X617" s="241"/>
      <c r="Y617" s="241"/>
      <c r="Z617" s="241"/>
      <c r="AA617" s="241"/>
      <c r="AB617" s="241"/>
      <c r="AC617" s="241"/>
      <c r="AD617" s="241"/>
      <c r="AE617" s="241"/>
      <c r="AF617" s="241"/>
      <c r="AG617" s="241"/>
      <c r="AH617" s="241"/>
      <c r="AI617" s="241"/>
      <c r="AJ617" s="241"/>
      <c r="AK617" s="241"/>
      <c r="AL617" s="241"/>
      <c r="AM617" s="241"/>
      <c r="AN617" s="241"/>
      <c r="AO617" s="241"/>
      <c r="AP617" s="241"/>
      <c r="AQ617" s="241"/>
      <c r="AR617" s="241"/>
      <c r="AS617" s="241"/>
      <c r="AT617" s="241"/>
      <c r="AU617" s="241"/>
      <c r="AV617" s="241"/>
      <c r="AW617" s="241"/>
      <c r="AX617" s="241"/>
      <c r="AY617" s="241"/>
      <c r="AZ617" s="241"/>
    </row>
    <row r="618" spans="1:52" s="71" customFormat="1" ht="15" hidden="1" customHeight="1" outlineLevel="2">
      <c r="A618" s="288">
        <v>106</v>
      </c>
      <c r="B618" s="97"/>
      <c r="C618" s="296"/>
      <c r="D618" s="360"/>
      <c r="E618" s="361"/>
      <c r="F618" s="298"/>
      <c r="G618" s="298"/>
      <c r="H618" s="86"/>
      <c r="I618" s="355"/>
      <c r="J618" s="356"/>
      <c r="K618" s="86"/>
      <c r="L618" s="86"/>
      <c r="M618" s="344" t="str">
        <f t="shared" si="96"/>
        <v/>
      </c>
      <c r="N618" s="345"/>
      <c r="O618" s="225" t="str">
        <f t="shared" si="97"/>
        <v/>
      </c>
      <c r="P618" s="225" t="str">
        <f t="shared" si="98"/>
        <v/>
      </c>
      <c r="Q618" s="330"/>
      <c r="R618" s="225" t="str">
        <f t="shared" si="99"/>
        <v/>
      </c>
      <c r="S618" s="225" t="str">
        <f t="shared" si="100"/>
        <v/>
      </c>
      <c r="T618" s="231" t="str">
        <f t="shared" si="101"/>
        <v/>
      </c>
      <c r="U618" s="176"/>
      <c r="V618" s="241"/>
      <c r="W618" s="241"/>
      <c r="X618" s="241"/>
      <c r="Y618" s="241"/>
      <c r="Z618" s="241"/>
      <c r="AA618" s="241"/>
      <c r="AB618" s="241"/>
      <c r="AC618" s="241"/>
      <c r="AD618" s="241"/>
      <c r="AE618" s="241"/>
      <c r="AF618" s="241"/>
      <c r="AG618" s="241"/>
      <c r="AH618" s="241"/>
      <c r="AI618" s="241"/>
      <c r="AJ618" s="241"/>
      <c r="AK618" s="241"/>
      <c r="AL618" s="241"/>
      <c r="AM618" s="241"/>
      <c r="AN618" s="241"/>
      <c r="AO618" s="241"/>
      <c r="AP618" s="241"/>
      <c r="AQ618" s="241"/>
      <c r="AR618" s="241"/>
      <c r="AS618" s="241"/>
      <c r="AT618" s="241"/>
      <c r="AU618" s="241"/>
      <c r="AV618" s="241"/>
      <c r="AW618" s="241"/>
      <c r="AX618" s="241"/>
      <c r="AY618" s="241"/>
      <c r="AZ618" s="241"/>
    </row>
    <row r="619" spans="1:52" s="71" customFormat="1" ht="15" hidden="1" customHeight="1" outlineLevel="2">
      <c r="A619" s="288">
        <v>107</v>
      </c>
      <c r="B619" s="97"/>
      <c r="C619" s="296"/>
      <c r="D619" s="360"/>
      <c r="E619" s="361"/>
      <c r="F619" s="298"/>
      <c r="G619" s="298"/>
      <c r="H619" s="86"/>
      <c r="I619" s="355"/>
      <c r="J619" s="356"/>
      <c r="K619" s="86"/>
      <c r="L619" s="86"/>
      <c r="M619" s="344" t="str">
        <f t="shared" si="96"/>
        <v/>
      </c>
      <c r="N619" s="345"/>
      <c r="O619" s="225" t="str">
        <f t="shared" si="97"/>
        <v/>
      </c>
      <c r="P619" s="225" t="str">
        <f t="shared" si="98"/>
        <v/>
      </c>
      <c r="Q619" s="330"/>
      <c r="R619" s="225" t="str">
        <f t="shared" si="99"/>
        <v/>
      </c>
      <c r="S619" s="225" t="str">
        <f t="shared" si="100"/>
        <v/>
      </c>
      <c r="T619" s="231" t="str">
        <f t="shared" si="101"/>
        <v/>
      </c>
      <c r="U619" s="176"/>
      <c r="V619" s="241"/>
      <c r="W619" s="241"/>
      <c r="X619" s="241"/>
      <c r="Y619" s="241"/>
      <c r="Z619" s="241"/>
      <c r="AA619" s="241"/>
      <c r="AB619" s="241"/>
      <c r="AC619" s="241"/>
      <c r="AD619" s="241"/>
      <c r="AE619" s="241"/>
      <c r="AF619" s="241"/>
      <c r="AG619" s="241"/>
      <c r="AH619" s="241"/>
      <c r="AI619" s="241"/>
      <c r="AJ619" s="241"/>
      <c r="AK619" s="241"/>
      <c r="AL619" s="241"/>
      <c r="AM619" s="241"/>
      <c r="AN619" s="241"/>
      <c r="AO619" s="241"/>
      <c r="AP619" s="241"/>
      <c r="AQ619" s="241"/>
      <c r="AR619" s="241"/>
      <c r="AS619" s="241"/>
      <c r="AT619" s="241"/>
      <c r="AU619" s="241"/>
      <c r="AV619" s="241"/>
      <c r="AW619" s="241"/>
      <c r="AX619" s="241"/>
      <c r="AY619" s="241"/>
      <c r="AZ619" s="241"/>
    </row>
    <row r="620" spans="1:52" s="71" customFormat="1" ht="15" hidden="1" customHeight="1" outlineLevel="2">
      <c r="A620" s="288">
        <v>108</v>
      </c>
      <c r="B620" s="97"/>
      <c r="C620" s="296"/>
      <c r="D620" s="360"/>
      <c r="E620" s="361"/>
      <c r="F620" s="298"/>
      <c r="G620" s="298"/>
      <c r="H620" s="86"/>
      <c r="I620" s="355"/>
      <c r="J620" s="356"/>
      <c r="K620" s="86"/>
      <c r="L620" s="86"/>
      <c r="M620" s="344" t="str">
        <f t="shared" si="96"/>
        <v/>
      </c>
      <c r="N620" s="345"/>
      <c r="O620" s="225" t="str">
        <f t="shared" si="97"/>
        <v/>
      </c>
      <c r="P620" s="225" t="str">
        <f t="shared" si="98"/>
        <v/>
      </c>
      <c r="Q620" s="330"/>
      <c r="R620" s="225" t="str">
        <f t="shared" si="99"/>
        <v/>
      </c>
      <c r="S620" s="225" t="str">
        <f t="shared" si="100"/>
        <v/>
      </c>
      <c r="T620" s="231" t="str">
        <f t="shared" si="101"/>
        <v/>
      </c>
      <c r="U620" s="176"/>
      <c r="V620" s="241"/>
      <c r="W620" s="241"/>
      <c r="X620" s="241"/>
      <c r="Y620" s="241"/>
      <c r="Z620" s="241"/>
      <c r="AA620" s="241"/>
      <c r="AB620" s="241"/>
      <c r="AC620" s="241"/>
      <c r="AD620" s="241"/>
      <c r="AE620" s="241"/>
      <c r="AF620" s="241"/>
      <c r="AG620" s="241"/>
      <c r="AH620" s="241"/>
      <c r="AI620" s="241"/>
      <c r="AJ620" s="241"/>
      <c r="AK620" s="241"/>
      <c r="AL620" s="241"/>
      <c r="AM620" s="241"/>
      <c r="AN620" s="241"/>
      <c r="AO620" s="241"/>
      <c r="AP620" s="241"/>
      <c r="AQ620" s="241"/>
      <c r="AR620" s="241"/>
      <c r="AS620" s="241"/>
      <c r="AT620" s="241"/>
      <c r="AU620" s="241"/>
      <c r="AV620" s="241"/>
      <c r="AW620" s="241"/>
      <c r="AX620" s="241"/>
      <c r="AY620" s="241"/>
      <c r="AZ620" s="241"/>
    </row>
    <row r="621" spans="1:52" s="71" customFormat="1" ht="15" hidden="1" customHeight="1" outlineLevel="2">
      <c r="A621" s="288">
        <v>109</v>
      </c>
      <c r="B621" s="97"/>
      <c r="C621" s="296"/>
      <c r="D621" s="360"/>
      <c r="E621" s="361"/>
      <c r="F621" s="298"/>
      <c r="G621" s="298"/>
      <c r="H621" s="86"/>
      <c r="I621" s="355"/>
      <c r="J621" s="356"/>
      <c r="K621" s="86"/>
      <c r="L621" s="86"/>
      <c r="M621" s="344" t="str">
        <f t="shared" si="96"/>
        <v/>
      </c>
      <c r="N621" s="345"/>
      <c r="O621" s="225" t="str">
        <f t="shared" si="97"/>
        <v/>
      </c>
      <c r="P621" s="225" t="str">
        <f t="shared" si="98"/>
        <v/>
      </c>
      <c r="Q621" s="330"/>
      <c r="R621" s="225" t="str">
        <f t="shared" si="99"/>
        <v/>
      </c>
      <c r="S621" s="225" t="str">
        <f t="shared" si="100"/>
        <v/>
      </c>
      <c r="T621" s="231" t="str">
        <f t="shared" si="101"/>
        <v/>
      </c>
      <c r="U621" s="176"/>
      <c r="V621" s="241"/>
      <c r="W621" s="241"/>
      <c r="X621" s="241"/>
      <c r="Y621" s="241"/>
      <c r="Z621" s="241"/>
      <c r="AA621" s="241"/>
      <c r="AB621" s="241"/>
      <c r="AC621" s="241"/>
      <c r="AD621" s="241"/>
      <c r="AE621" s="241"/>
      <c r="AF621" s="241"/>
      <c r="AG621" s="241"/>
      <c r="AH621" s="241"/>
      <c r="AI621" s="241"/>
      <c r="AJ621" s="241"/>
      <c r="AK621" s="241"/>
      <c r="AL621" s="241"/>
      <c r="AM621" s="241"/>
      <c r="AN621" s="241"/>
      <c r="AO621" s="241"/>
      <c r="AP621" s="241"/>
      <c r="AQ621" s="241"/>
      <c r="AR621" s="241"/>
      <c r="AS621" s="241"/>
      <c r="AT621" s="241"/>
      <c r="AU621" s="241"/>
      <c r="AV621" s="241"/>
      <c r="AW621" s="241"/>
      <c r="AX621" s="241"/>
      <c r="AY621" s="241"/>
      <c r="AZ621" s="241"/>
    </row>
    <row r="622" spans="1:52" s="71" customFormat="1" ht="15" hidden="1" customHeight="1" outlineLevel="2">
      <c r="A622" s="288">
        <v>110</v>
      </c>
      <c r="B622" s="97"/>
      <c r="C622" s="296"/>
      <c r="D622" s="360"/>
      <c r="E622" s="361"/>
      <c r="F622" s="298"/>
      <c r="G622" s="298"/>
      <c r="H622" s="86"/>
      <c r="I622" s="355"/>
      <c r="J622" s="356"/>
      <c r="K622" s="86"/>
      <c r="L622" s="86"/>
      <c r="M622" s="344" t="str">
        <f t="shared" si="96"/>
        <v/>
      </c>
      <c r="N622" s="345"/>
      <c r="O622" s="225" t="str">
        <f t="shared" si="97"/>
        <v/>
      </c>
      <c r="P622" s="225" t="str">
        <f t="shared" si="98"/>
        <v/>
      </c>
      <c r="Q622" s="330"/>
      <c r="R622" s="225" t="str">
        <f t="shared" si="99"/>
        <v/>
      </c>
      <c r="S622" s="225" t="str">
        <f t="shared" si="100"/>
        <v/>
      </c>
      <c r="T622" s="231" t="str">
        <f t="shared" si="101"/>
        <v/>
      </c>
      <c r="U622" s="176"/>
      <c r="V622" s="241"/>
      <c r="W622" s="241"/>
      <c r="X622" s="241"/>
      <c r="Y622" s="241"/>
      <c r="Z622" s="241"/>
      <c r="AA622" s="241"/>
      <c r="AB622" s="241"/>
      <c r="AC622" s="241"/>
      <c r="AD622" s="241"/>
      <c r="AE622" s="241"/>
      <c r="AF622" s="241"/>
      <c r="AG622" s="241"/>
      <c r="AH622" s="241"/>
      <c r="AI622" s="241"/>
      <c r="AJ622" s="241"/>
      <c r="AK622" s="241"/>
      <c r="AL622" s="241"/>
      <c r="AM622" s="241"/>
      <c r="AN622" s="241"/>
      <c r="AO622" s="241"/>
      <c r="AP622" s="241"/>
      <c r="AQ622" s="241"/>
      <c r="AR622" s="241"/>
      <c r="AS622" s="241"/>
      <c r="AT622" s="241"/>
      <c r="AU622" s="241"/>
      <c r="AV622" s="241"/>
      <c r="AW622" s="241"/>
      <c r="AX622" s="241"/>
      <c r="AY622" s="241"/>
      <c r="AZ622" s="241"/>
    </row>
    <row r="623" spans="1:52" s="71" customFormat="1" ht="15" hidden="1" customHeight="1" outlineLevel="1" collapsed="1">
      <c r="A623" s="288"/>
      <c r="B623" s="293"/>
      <c r="C623" s="299"/>
      <c r="D623" s="294"/>
      <c r="E623" s="294"/>
      <c r="F623" s="299"/>
      <c r="G623" s="299"/>
      <c r="H623" s="306"/>
      <c r="I623" s="300"/>
      <c r="J623" s="300"/>
      <c r="K623" s="300"/>
      <c r="L623" s="299"/>
      <c r="M623" s="306"/>
      <c r="N623" s="300"/>
      <c r="O623" s="300"/>
      <c r="P623" s="300"/>
      <c r="Q623" s="294"/>
      <c r="R623" s="300"/>
      <c r="S623" s="300"/>
      <c r="T623" s="308"/>
      <c r="U623" s="176"/>
      <c r="V623" s="241"/>
      <c r="W623" s="241"/>
      <c r="X623" s="241"/>
      <c r="Y623" s="241"/>
      <c r="Z623" s="241"/>
      <c r="AA623" s="241"/>
      <c r="AB623" s="241"/>
      <c r="AC623" s="241"/>
      <c r="AD623" s="241"/>
      <c r="AE623" s="241"/>
      <c r="AF623" s="241"/>
      <c r="AG623" s="241"/>
      <c r="AH623" s="241"/>
      <c r="AI623" s="241"/>
      <c r="AJ623" s="241"/>
      <c r="AK623" s="241"/>
      <c r="AL623" s="241"/>
      <c r="AM623" s="241"/>
      <c r="AN623" s="241"/>
      <c r="AO623" s="241"/>
      <c r="AP623" s="241"/>
      <c r="AQ623" s="241"/>
      <c r="AR623" s="241"/>
      <c r="AS623" s="241"/>
      <c r="AT623" s="241"/>
      <c r="AU623" s="241"/>
      <c r="AV623" s="241"/>
      <c r="AW623" s="241"/>
      <c r="AX623" s="241"/>
      <c r="AY623" s="241"/>
      <c r="AZ623" s="241"/>
    </row>
    <row r="624" spans="1:52" ht="18" customHeight="1" collapsed="1">
      <c r="A624" s="288"/>
      <c r="B624" s="152" t="str">
        <f>CONCATENATE("Total Annual Other Water Use | Water Use Savings (", IF(inputs_units&lt;&gt;"", INDEX(data_genunitsval, MATCH(inputs_units, data_genunits, 0)), "unit"), ")")</f>
        <v>Total Annual Other Water Use | Water Use Savings (unit)</v>
      </c>
      <c r="C624" s="257"/>
      <c r="D624" s="257"/>
      <c r="E624" s="257"/>
      <c r="F624" s="257"/>
      <c r="G624" s="257"/>
      <c r="H624" s="257"/>
      <c r="I624" s="258"/>
      <c r="J624" s="258"/>
      <c r="K624" s="257"/>
      <c r="L624" s="257"/>
      <c r="M624" s="257"/>
      <c r="N624" s="257"/>
      <c r="O624" s="309">
        <f>logic_sumothawub</f>
        <v>0</v>
      </c>
      <c r="P624" s="309">
        <f>logic_sumothawudwoaw</f>
        <v>0</v>
      </c>
      <c r="Q624" s="309">
        <f>logic_sumothawuawa</f>
        <v>0</v>
      </c>
      <c r="R624" s="309">
        <f>logic_sumothawud</f>
        <v>0</v>
      </c>
      <c r="S624" s="309">
        <f>logic_sumothawusa</f>
        <v>0</v>
      </c>
      <c r="T624" s="231">
        <f>logic_sumothawusp</f>
        <v>0</v>
      </c>
      <c r="U624" s="241"/>
      <c r="V624" s="241"/>
      <c r="W624" s="241"/>
      <c r="X624" s="241"/>
      <c r="Y624" s="241"/>
      <c r="Z624" s="241"/>
      <c r="AA624" s="241"/>
      <c r="AB624" s="241"/>
      <c r="AC624" s="241"/>
      <c r="AD624" s="241"/>
      <c r="AE624" s="241"/>
      <c r="AF624" s="241"/>
      <c r="AG624" s="241"/>
      <c r="AH624" s="241"/>
      <c r="AI624" s="241"/>
      <c r="AJ624" s="241"/>
      <c r="AK624" s="241"/>
      <c r="AL624" s="241"/>
      <c r="AM624" s="241"/>
      <c r="AN624" s="241"/>
      <c r="AO624" s="241"/>
      <c r="AP624" s="241"/>
      <c r="AQ624" s="241"/>
      <c r="AR624" s="241"/>
      <c r="AS624" s="241"/>
      <c r="AT624" s="241"/>
      <c r="AU624" s="241"/>
      <c r="AV624" s="241"/>
      <c r="AW624" s="241"/>
      <c r="AX624" s="241"/>
      <c r="AY624" s="241"/>
      <c r="AZ624" s="241"/>
    </row>
    <row r="625" spans="1:52" ht="18" customHeight="1">
      <c r="A625" s="250"/>
      <c r="B625" s="250"/>
      <c r="C625" s="250"/>
      <c r="D625" s="250"/>
      <c r="E625" s="250"/>
      <c r="F625" s="250"/>
      <c r="G625" s="250"/>
      <c r="H625" s="250"/>
      <c r="I625" s="250"/>
      <c r="J625" s="250"/>
      <c r="K625" s="250"/>
      <c r="L625" s="250"/>
      <c r="M625" s="250"/>
      <c r="N625" s="250"/>
      <c r="O625" s="250"/>
      <c r="P625" s="250"/>
      <c r="Q625" s="250"/>
      <c r="R625" s="250"/>
      <c r="S625" s="242"/>
      <c r="T625" s="241"/>
      <c r="U625" s="241"/>
      <c r="V625" s="241"/>
      <c r="W625" s="241"/>
      <c r="X625" s="241"/>
      <c r="Y625" s="241"/>
      <c r="Z625" s="241"/>
      <c r="AA625" s="241"/>
      <c r="AB625" s="241"/>
      <c r="AC625" s="241"/>
      <c r="AD625" s="241"/>
      <c r="AE625" s="241"/>
      <c r="AF625" s="241"/>
      <c r="AG625" s="241"/>
      <c r="AH625" s="241"/>
      <c r="AI625" s="241"/>
      <c r="AJ625" s="241"/>
      <c r="AK625" s="241"/>
      <c r="AL625" s="241"/>
      <c r="AM625" s="241"/>
      <c r="AN625" s="241"/>
      <c r="AO625" s="241"/>
      <c r="AP625" s="241"/>
      <c r="AQ625" s="241"/>
      <c r="AR625" s="241"/>
      <c r="AS625" s="241"/>
      <c r="AT625" s="241"/>
      <c r="AU625" s="241"/>
      <c r="AV625" s="241"/>
      <c r="AW625" s="241"/>
      <c r="AX625" s="241"/>
      <c r="AY625" s="241"/>
      <c r="AZ625" s="241"/>
    </row>
    <row r="626" spans="1:52" ht="18" customHeight="1">
      <c r="A626" s="250"/>
      <c r="B626" s="241"/>
      <c r="C626" s="241"/>
      <c r="D626" s="241"/>
      <c r="E626" s="241"/>
      <c r="F626" s="241"/>
      <c r="G626" s="241"/>
      <c r="H626" s="241"/>
      <c r="I626" s="241"/>
      <c r="J626" s="241"/>
      <c r="K626" s="241"/>
      <c r="L626" s="241"/>
      <c r="M626" s="241"/>
      <c r="N626" s="241"/>
      <c r="O626" s="241"/>
      <c r="P626" s="241"/>
      <c r="Q626" s="241"/>
      <c r="R626" s="241"/>
      <c r="S626" s="241"/>
      <c r="T626" s="241"/>
      <c r="U626" s="241"/>
      <c r="V626" s="241"/>
      <c r="W626" s="241"/>
      <c r="X626" s="241"/>
      <c r="Y626" s="241"/>
      <c r="Z626" s="241"/>
      <c r="AA626" s="241"/>
      <c r="AB626" s="241"/>
      <c r="AC626" s="241"/>
      <c r="AD626" s="241"/>
      <c r="AE626" s="241"/>
      <c r="AF626" s="241"/>
      <c r="AG626" s="241"/>
      <c r="AH626" s="241"/>
      <c r="AI626" s="241"/>
      <c r="AJ626" s="241"/>
      <c r="AK626" s="241"/>
      <c r="AL626" s="241"/>
      <c r="AM626" s="241"/>
      <c r="AN626" s="241"/>
      <c r="AO626" s="241"/>
      <c r="AP626" s="241"/>
      <c r="AQ626" s="241"/>
      <c r="AR626" s="241"/>
      <c r="AS626" s="241"/>
      <c r="AT626" s="241"/>
      <c r="AU626" s="241"/>
      <c r="AV626" s="241"/>
      <c r="AW626" s="241"/>
      <c r="AX626" s="241"/>
      <c r="AY626" s="241"/>
      <c r="AZ626" s="241"/>
    </row>
    <row r="627" spans="1:52" ht="18" customHeight="1">
      <c r="A627" s="250"/>
      <c r="B627" s="241"/>
      <c r="C627" s="241"/>
      <c r="D627" s="241"/>
      <c r="E627" s="241"/>
      <c r="F627" s="241"/>
      <c r="G627" s="241"/>
      <c r="H627" s="241"/>
      <c r="I627" s="241"/>
      <c r="J627" s="241"/>
      <c r="K627" s="241"/>
      <c r="L627" s="241"/>
      <c r="M627" s="241"/>
      <c r="N627" s="241"/>
      <c r="O627" s="241"/>
      <c r="P627" s="241"/>
      <c r="Q627" s="241"/>
      <c r="R627" s="241"/>
      <c r="S627" s="241"/>
      <c r="T627" s="241"/>
      <c r="U627" s="241"/>
      <c r="V627" s="241"/>
      <c r="W627" s="241"/>
      <c r="X627" s="241"/>
      <c r="Y627" s="241"/>
      <c r="Z627" s="241"/>
      <c r="AA627" s="241"/>
      <c r="AB627" s="241"/>
      <c r="AC627" s="241"/>
      <c r="AD627" s="241"/>
      <c r="AE627" s="241"/>
      <c r="AF627" s="241"/>
      <c r="AG627" s="241"/>
      <c r="AH627" s="241"/>
      <c r="AI627" s="241"/>
      <c r="AJ627" s="241"/>
      <c r="AK627" s="241"/>
      <c r="AL627" s="241"/>
      <c r="AM627" s="241"/>
      <c r="AN627" s="241"/>
      <c r="AO627" s="241"/>
      <c r="AP627" s="241"/>
      <c r="AQ627" s="241"/>
      <c r="AR627" s="241"/>
      <c r="AS627" s="241"/>
      <c r="AT627" s="241"/>
      <c r="AU627" s="241"/>
      <c r="AV627" s="241"/>
      <c r="AW627" s="241"/>
      <c r="AX627" s="241"/>
      <c r="AY627" s="241"/>
      <c r="AZ627" s="241"/>
    </row>
    <row r="628" spans="1:52" ht="18" customHeight="1">
      <c r="A628" s="250"/>
      <c r="B628" s="241"/>
      <c r="C628" s="241"/>
      <c r="D628" s="241"/>
      <c r="E628" s="241"/>
      <c r="F628" s="241"/>
      <c r="G628" s="241"/>
      <c r="H628" s="241"/>
      <c r="I628" s="241"/>
      <c r="J628" s="241"/>
      <c r="K628" s="241"/>
      <c r="L628" s="241"/>
      <c r="M628" s="241"/>
      <c r="N628" s="241"/>
      <c r="O628" s="241"/>
      <c r="P628" s="241"/>
      <c r="Q628" s="241"/>
      <c r="R628" s="241"/>
      <c r="S628" s="241"/>
      <c r="T628" s="241"/>
      <c r="U628" s="241"/>
      <c r="V628" s="241"/>
      <c r="W628" s="241"/>
      <c r="X628" s="241"/>
      <c r="Y628" s="241"/>
      <c r="Z628" s="241"/>
      <c r="AA628" s="241"/>
      <c r="AB628" s="241"/>
      <c r="AC628" s="241"/>
      <c r="AD628" s="241"/>
      <c r="AE628" s="241"/>
      <c r="AF628" s="241"/>
      <c r="AG628" s="241"/>
      <c r="AH628" s="241"/>
      <c r="AI628" s="241"/>
      <c r="AJ628" s="241"/>
      <c r="AK628" s="241"/>
      <c r="AL628" s="241"/>
      <c r="AM628" s="241"/>
      <c r="AN628" s="241"/>
      <c r="AO628" s="241"/>
      <c r="AP628" s="241"/>
      <c r="AQ628" s="241"/>
      <c r="AR628" s="241"/>
      <c r="AS628" s="241"/>
      <c r="AT628" s="241"/>
      <c r="AU628" s="241"/>
      <c r="AV628" s="241"/>
      <c r="AW628" s="241"/>
      <c r="AX628" s="241"/>
      <c r="AY628" s="241"/>
      <c r="AZ628" s="241"/>
    </row>
    <row r="629" spans="1:52" ht="18" customHeight="1">
      <c r="A629" s="250"/>
      <c r="B629" s="241"/>
      <c r="C629" s="241"/>
      <c r="D629" s="241"/>
      <c r="E629" s="241"/>
      <c r="F629" s="241"/>
      <c r="G629" s="241"/>
      <c r="H629" s="241"/>
      <c r="I629" s="241"/>
      <c r="J629" s="241"/>
      <c r="K629" s="241"/>
      <c r="L629" s="241"/>
      <c r="M629" s="241"/>
      <c r="N629" s="241"/>
      <c r="O629" s="241"/>
      <c r="P629" s="241"/>
      <c r="Q629" s="241"/>
      <c r="R629" s="241"/>
      <c r="S629" s="241"/>
      <c r="T629" s="241"/>
      <c r="U629" s="241"/>
      <c r="V629" s="241"/>
      <c r="W629" s="241"/>
      <c r="X629" s="241"/>
      <c r="Y629" s="241"/>
      <c r="Z629" s="241"/>
      <c r="AA629" s="241"/>
      <c r="AB629" s="241"/>
      <c r="AC629" s="241"/>
      <c r="AD629" s="241"/>
      <c r="AE629" s="241"/>
      <c r="AF629" s="241"/>
      <c r="AG629" s="241"/>
      <c r="AH629" s="241"/>
      <c r="AI629" s="241"/>
      <c r="AJ629" s="241"/>
      <c r="AK629" s="241"/>
      <c r="AL629" s="241"/>
      <c r="AM629" s="241"/>
      <c r="AN629" s="241"/>
      <c r="AO629" s="241"/>
      <c r="AP629" s="241"/>
      <c r="AQ629" s="241"/>
      <c r="AR629" s="241"/>
      <c r="AS629" s="241"/>
      <c r="AT629" s="241"/>
      <c r="AU629" s="241"/>
      <c r="AV629" s="241"/>
      <c r="AW629" s="241"/>
      <c r="AX629" s="241"/>
      <c r="AY629" s="241"/>
      <c r="AZ629" s="241"/>
    </row>
    <row r="630" spans="1:52" ht="18" customHeight="1">
      <c r="A630" s="250"/>
      <c r="B630" s="241"/>
      <c r="C630" s="241"/>
      <c r="D630" s="241"/>
      <c r="E630" s="241"/>
      <c r="F630" s="241"/>
      <c r="G630" s="241"/>
      <c r="H630" s="241"/>
      <c r="I630" s="241"/>
      <c r="J630" s="241"/>
      <c r="K630" s="241"/>
      <c r="L630" s="241"/>
      <c r="M630" s="241"/>
      <c r="N630" s="241"/>
      <c r="O630" s="241"/>
      <c r="P630" s="241"/>
      <c r="Q630" s="241"/>
      <c r="R630" s="241"/>
      <c r="S630" s="241"/>
      <c r="T630" s="241"/>
      <c r="U630" s="241"/>
      <c r="V630" s="241"/>
      <c r="W630" s="241"/>
      <c r="X630" s="241"/>
      <c r="Y630" s="241"/>
      <c r="Z630" s="241"/>
      <c r="AA630" s="241"/>
      <c r="AB630" s="241"/>
      <c r="AC630" s="241"/>
      <c r="AD630" s="241"/>
      <c r="AE630" s="241"/>
      <c r="AF630" s="241"/>
      <c r="AG630" s="241"/>
      <c r="AH630" s="241"/>
      <c r="AI630" s="241"/>
      <c r="AJ630" s="241"/>
      <c r="AK630" s="241"/>
      <c r="AL630" s="241"/>
      <c r="AM630" s="241"/>
      <c r="AN630" s="241"/>
      <c r="AO630" s="241"/>
      <c r="AP630" s="241"/>
      <c r="AQ630" s="241"/>
      <c r="AR630" s="241"/>
      <c r="AS630" s="241"/>
      <c r="AT630" s="241"/>
      <c r="AU630" s="241"/>
      <c r="AV630" s="241"/>
      <c r="AW630" s="241"/>
      <c r="AX630" s="241"/>
      <c r="AY630" s="241"/>
      <c r="AZ630" s="241"/>
    </row>
    <row r="631" spans="1:52" ht="18" customHeight="1">
      <c r="A631" s="250"/>
      <c r="B631" s="241"/>
      <c r="C631" s="241"/>
      <c r="D631" s="241"/>
      <c r="E631" s="241"/>
      <c r="F631" s="241"/>
      <c r="G631" s="241"/>
      <c r="H631" s="241"/>
      <c r="I631" s="241"/>
      <c r="J631" s="241"/>
      <c r="K631" s="241"/>
      <c r="L631" s="241"/>
      <c r="M631" s="241"/>
      <c r="N631" s="241"/>
      <c r="O631" s="241"/>
      <c r="P631" s="241"/>
      <c r="Q631" s="241"/>
      <c r="R631" s="241"/>
      <c r="S631" s="241"/>
      <c r="T631" s="241"/>
      <c r="U631" s="241"/>
      <c r="V631" s="241"/>
      <c r="W631" s="241"/>
      <c r="X631" s="241"/>
      <c r="Y631" s="241"/>
      <c r="Z631" s="241"/>
      <c r="AA631" s="241"/>
      <c r="AB631" s="241"/>
      <c r="AC631" s="241"/>
      <c r="AD631" s="241"/>
      <c r="AE631" s="241"/>
      <c r="AF631" s="241"/>
      <c r="AG631" s="241"/>
      <c r="AH631" s="241"/>
      <c r="AI631" s="241"/>
      <c r="AJ631" s="241"/>
      <c r="AK631" s="241"/>
      <c r="AL631" s="241"/>
      <c r="AM631" s="241"/>
      <c r="AN631" s="241"/>
      <c r="AO631" s="241"/>
      <c r="AP631" s="241"/>
      <c r="AQ631" s="241"/>
      <c r="AR631" s="241"/>
      <c r="AS631" s="241"/>
      <c r="AT631" s="241"/>
      <c r="AU631" s="241"/>
      <c r="AV631" s="241"/>
      <c r="AW631" s="241"/>
      <c r="AX631" s="241"/>
      <c r="AY631" s="241"/>
      <c r="AZ631" s="241"/>
    </row>
    <row r="632" spans="1:52" ht="18" customHeight="1">
      <c r="A632" s="250"/>
      <c r="B632" s="241"/>
      <c r="C632" s="241"/>
      <c r="D632" s="241"/>
      <c r="E632" s="241"/>
      <c r="F632" s="241"/>
      <c r="G632" s="241"/>
      <c r="H632" s="241"/>
      <c r="I632" s="241"/>
      <c r="J632" s="241"/>
      <c r="K632" s="241"/>
      <c r="L632" s="241"/>
      <c r="M632" s="241"/>
      <c r="N632" s="241"/>
      <c r="O632" s="241"/>
      <c r="P632" s="241"/>
      <c r="Q632" s="241"/>
      <c r="R632" s="241"/>
      <c r="S632" s="241"/>
      <c r="T632" s="241"/>
      <c r="U632" s="241"/>
      <c r="V632" s="241"/>
      <c r="W632" s="241"/>
      <c r="X632" s="241"/>
      <c r="Y632" s="241"/>
      <c r="Z632" s="241"/>
      <c r="AA632" s="241"/>
      <c r="AB632" s="241"/>
      <c r="AC632" s="241"/>
      <c r="AD632" s="241"/>
      <c r="AE632" s="241"/>
      <c r="AF632" s="241"/>
      <c r="AG632" s="241"/>
      <c r="AH632" s="241"/>
      <c r="AI632" s="241"/>
      <c r="AJ632" s="241"/>
      <c r="AK632" s="241"/>
      <c r="AL632" s="241"/>
      <c r="AM632" s="241"/>
      <c r="AN632" s="241"/>
      <c r="AO632" s="241"/>
      <c r="AP632" s="241"/>
      <c r="AQ632" s="241"/>
      <c r="AR632" s="241"/>
      <c r="AS632" s="241"/>
      <c r="AT632" s="241"/>
      <c r="AU632" s="241"/>
      <c r="AV632" s="241"/>
      <c r="AW632" s="241"/>
      <c r="AX632" s="241"/>
      <c r="AY632" s="241"/>
      <c r="AZ632" s="241"/>
    </row>
    <row r="633" spans="1:52" ht="18" customHeight="1">
      <c r="A633" s="250"/>
      <c r="B633" s="241"/>
      <c r="C633" s="241"/>
      <c r="D633" s="241"/>
      <c r="E633" s="241"/>
      <c r="F633" s="241"/>
      <c r="G633" s="241"/>
      <c r="H633" s="241"/>
      <c r="I633" s="241"/>
      <c r="J633" s="241"/>
      <c r="K633" s="241"/>
      <c r="L633" s="241"/>
      <c r="M633" s="241"/>
      <c r="N633" s="241"/>
      <c r="O633" s="241"/>
      <c r="P633" s="241"/>
      <c r="Q633" s="241"/>
      <c r="R633" s="241"/>
      <c r="S633" s="241"/>
      <c r="T633" s="241"/>
      <c r="U633" s="241"/>
      <c r="V633" s="241"/>
      <c r="W633" s="241"/>
      <c r="X633" s="241"/>
      <c r="Y633" s="241"/>
      <c r="Z633" s="241"/>
      <c r="AA633" s="241"/>
      <c r="AB633" s="241"/>
      <c r="AC633" s="241"/>
      <c r="AD633" s="241"/>
      <c r="AE633" s="241"/>
      <c r="AF633" s="241"/>
      <c r="AG633" s="241"/>
      <c r="AH633" s="241"/>
      <c r="AI633" s="241"/>
      <c r="AJ633" s="241"/>
      <c r="AK633" s="241"/>
      <c r="AL633" s="241"/>
      <c r="AM633" s="241"/>
      <c r="AN633" s="241"/>
      <c r="AO633" s="241"/>
      <c r="AP633" s="241"/>
      <c r="AQ633" s="241"/>
      <c r="AR633" s="241"/>
      <c r="AS633" s="241"/>
      <c r="AT633" s="241"/>
      <c r="AU633" s="241"/>
      <c r="AV633" s="241"/>
      <c r="AW633" s="241"/>
      <c r="AX633" s="241"/>
      <c r="AY633" s="241"/>
      <c r="AZ633" s="241"/>
    </row>
    <row r="634" spans="1:52" ht="18" customHeight="1">
      <c r="A634" s="250"/>
      <c r="B634" s="241"/>
      <c r="C634" s="241"/>
      <c r="D634" s="241"/>
      <c r="E634" s="241"/>
      <c r="F634" s="241"/>
      <c r="G634" s="241"/>
      <c r="H634" s="241"/>
      <c r="I634" s="241"/>
      <c r="J634" s="241"/>
      <c r="K634" s="241"/>
      <c r="L634" s="241"/>
      <c r="M634" s="241"/>
      <c r="N634" s="241"/>
      <c r="O634" s="241"/>
      <c r="P634" s="241"/>
      <c r="Q634" s="241"/>
      <c r="R634" s="241"/>
      <c r="S634" s="241"/>
      <c r="T634" s="241"/>
      <c r="U634" s="241"/>
      <c r="V634" s="241"/>
      <c r="W634" s="241"/>
      <c r="X634" s="241"/>
      <c r="Y634" s="241"/>
      <c r="Z634" s="241"/>
      <c r="AA634" s="241"/>
      <c r="AB634" s="241"/>
      <c r="AC634" s="241"/>
      <c r="AD634" s="241"/>
      <c r="AE634" s="241"/>
      <c r="AF634" s="241"/>
      <c r="AG634" s="241"/>
      <c r="AH634" s="241"/>
      <c r="AI634" s="241"/>
      <c r="AJ634" s="241"/>
      <c r="AK634" s="241"/>
      <c r="AL634" s="241"/>
      <c r="AM634" s="241"/>
      <c r="AN634" s="241"/>
      <c r="AO634" s="241"/>
      <c r="AP634" s="241"/>
      <c r="AQ634" s="241"/>
      <c r="AR634" s="241"/>
      <c r="AS634" s="241"/>
      <c r="AT634" s="241"/>
      <c r="AU634" s="241"/>
      <c r="AV634" s="241"/>
      <c r="AW634" s="241"/>
      <c r="AX634" s="241"/>
      <c r="AY634" s="241"/>
      <c r="AZ634" s="241"/>
    </row>
    <row r="635" spans="1:52" ht="18" customHeight="1">
      <c r="A635" s="250"/>
      <c r="B635" s="241"/>
      <c r="C635" s="241"/>
      <c r="D635" s="241"/>
      <c r="E635" s="241"/>
      <c r="F635" s="241"/>
      <c r="G635" s="241"/>
      <c r="H635" s="241"/>
      <c r="I635" s="241"/>
      <c r="J635" s="241"/>
      <c r="K635" s="241"/>
      <c r="L635" s="241"/>
      <c r="M635" s="241"/>
      <c r="N635" s="241"/>
      <c r="O635" s="241"/>
      <c r="P635" s="241"/>
      <c r="Q635" s="241"/>
      <c r="R635" s="241"/>
      <c r="S635" s="241"/>
      <c r="T635" s="241"/>
      <c r="U635" s="241"/>
      <c r="V635" s="241"/>
      <c r="W635" s="241"/>
      <c r="X635" s="241"/>
      <c r="Y635" s="241"/>
      <c r="Z635" s="241"/>
      <c r="AA635" s="241"/>
      <c r="AB635" s="241"/>
      <c r="AC635" s="241"/>
      <c r="AD635" s="241"/>
      <c r="AE635" s="241"/>
      <c r="AF635" s="241"/>
      <c r="AG635" s="241"/>
      <c r="AH635" s="241"/>
      <c r="AI635" s="241"/>
      <c r="AJ635" s="241"/>
      <c r="AK635" s="241"/>
      <c r="AL635" s="241"/>
      <c r="AM635" s="241"/>
      <c r="AN635" s="241"/>
      <c r="AO635" s="241"/>
      <c r="AP635" s="241"/>
      <c r="AQ635" s="241"/>
      <c r="AR635" s="241"/>
      <c r="AS635" s="241"/>
      <c r="AT635" s="241"/>
      <c r="AU635" s="241"/>
      <c r="AV635" s="241"/>
      <c r="AW635" s="241"/>
      <c r="AX635" s="241"/>
      <c r="AY635" s="241"/>
      <c r="AZ635" s="241"/>
    </row>
    <row r="636" spans="1:52" ht="18" customHeight="1">
      <c r="A636" s="250"/>
      <c r="B636" s="241"/>
      <c r="C636" s="241"/>
      <c r="D636" s="241"/>
      <c r="E636" s="241"/>
      <c r="F636" s="241"/>
      <c r="G636" s="241"/>
      <c r="H636" s="241"/>
      <c r="I636" s="241"/>
      <c r="J636" s="241"/>
      <c r="K636" s="241"/>
      <c r="L636" s="241"/>
      <c r="M636" s="241"/>
      <c r="N636" s="241"/>
      <c r="O636" s="241"/>
      <c r="P636" s="241"/>
      <c r="Q636" s="241"/>
      <c r="R636" s="241"/>
      <c r="S636" s="241"/>
      <c r="T636" s="241"/>
      <c r="U636" s="241"/>
      <c r="V636" s="241"/>
      <c r="W636" s="241"/>
      <c r="X636" s="241"/>
      <c r="Y636" s="241"/>
      <c r="Z636" s="241"/>
      <c r="AA636" s="241"/>
      <c r="AB636" s="241"/>
      <c r="AC636" s="241"/>
      <c r="AD636" s="241"/>
      <c r="AE636" s="241"/>
      <c r="AF636" s="241"/>
      <c r="AG636" s="241"/>
      <c r="AH636" s="241"/>
      <c r="AI636" s="241"/>
      <c r="AJ636" s="241"/>
      <c r="AK636" s="241"/>
      <c r="AL636" s="241"/>
      <c r="AM636" s="241"/>
      <c r="AN636" s="241"/>
      <c r="AO636" s="241"/>
      <c r="AP636" s="241"/>
      <c r="AQ636" s="241"/>
      <c r="AR636" s="241"/>
      <c r="AS636" s="241"/>
      <c r="AT636" s="241"/>
      <c r="AU636" s="241"/>
      <c r="AV636" s="241"/>
      <c r="AW636" s="241"/>
      <c r="AX636" s="241"/>
      <c r="AY636" s="241"/>
      <c r="AZ636" s="241"/>
    </row>
    <row r="637" spans="1:52" ht="18" customHeight="1">
      <c r="A637" s="250"/>
      <c r="B637" s="241"/>
      <c r="C637" s="241"/>
      <c r="D637" s="241"/>
      <c r="E637" s="241"/>
      <c r="F637" s="241"/>
      <c r="G637" s="241"/>
      <c r="H637" s="241"/>
      <c r="I637" s="241"/>
      <c r="J637" s="241"/>
      <c r="K637" s="241"/>
      <c r="L637" s="241"/>
      <c r="M637" s="241"/>
      <c r="N637" s="241"/>
      <c r="O637" s="241"/>
      <c r="P637" s="241"/>
      <c r="Q637" s="241"/>
      <c r="R637" s="241"/>
      <c r="S637" s="241"/>
      <c r="T637" s="241"/>
      <c r="U637" s="241"/>
      <c r="V637" s="241"/>
      <c r="W637" s="241"/>
      <c r="X637" s="241"/>
      <c r="Y637" s="241"/>
      <c r="Z637" s="241"/>
      <c r="AA637" s="241"/>
      <c r="AB637" s="241"/>
      <c r="AC637" s="241"/>
      <c r="AD637" s="241"/>
      <c r="AE637" s="241"/>
      <c r="AF637" s="241"/>
      <c r="AG637" s="241"/>
      <c r="AH637" s="241"/>
      <c r="AI637" s="241"/>
      <c r="AJ637" s="241"/>
      <c r="AK637" s="241"/>
      <c r="AL637" s="241"/>
      <c r="AM637" s="241"/>
      <c r="AN637" s="241"/>
      <c r="AO637" s="241"/>
      <c r="AP637" s="241"/>
      <c r="AQ637" s="241"/>
      <c r="AR637" s="241"/>
      <c r="AS637" s="241"/>
      <c r="AT637" s="241"/>
      <c r="AU637" s="241"/>
      <c r="AV637" s="241"/>
      <c r="AW637" s="241"/>
      <c r="AX637" s="241"/>
      <c r="AY637" s="241"/>
      <c r="AZ637" s="241"/>
    </row>
    <row r="638" spans="1:52" ht="18" customHeight="1">
      <c r="A638" s="250"/>
      <c r="B638" s="241"/>
      <c r="C638" s="241"/>
      <c r="D638" s="241"/>
      <c r="E638" s="241"/>
      <c r="F638" s="241"/>
      <c r="G638" s="241"/>
      <c r="H638" s="241"/>
      <c r="I638" s="241"/>
      <c r="J638" s="241"/>
      <c r="K638" s="241"/>
      <c r="L638" s="241"/>
      <c r="M638" s="241"/>
      <c r="N638" s="241"/>
      <c r="O638" s="241"/>
      <c r="P638" s="241"/>
      <c r="Q638" s="241"/>
      <c r="R638" s="241"/>
      <c r="S638" s="241"/>
      <c r="T638" s="241"/>
      <c r="U638" s="241"/>
      <c r="V638" s="241"/>
      <c r="W638" s="241"/>
      <c r="X638" s="241"/>
      <c r="Y638" s="241"/>
      <c r="Z638" s="241"/>
      <c r="AA638" s="241"/>
      <c r="AB638" s="241"/>
      <c r="AC638" s="241"/>
      <c r="AD638" s="241"/>
      <c r="AE638" s="241"/>
      <c r="AF638" s="241"/>
      <c r="AG638" s="241"/>
      <c r="AH638" s="241"/>
      <c r="AI638" s="241"/>
      <c r="AJ638" s="241"/>
      <c r="AK638" s="241"/>
      <c r="AL638" s="241"/>
      <c r="AM638" s="241"/>
      <c r="AN638" s="241"/>
      <c r="AO638" s="241"/>
      <c r="AP638" s="241"/>
      <c r="AQ638" s="241"/>
      <c r="AR638" s="241"/>
      <c r="AS638" s="241"/>
      <c r="AT638" s="241"/>
      <c r="AU638" s="241"/>
      <c r="AV638" s="241"/>
      <c r="AW638" s="241"/>
      <c r="AX638" s="241"/>
      <c r="AY638" s="241"/>
      <c r="AZ638" s="241"/>
    </row>
    <row r="639" spans="1:52" ht="18" customHeight="1">
      <c r="A639" s="250"/>
      <c r="B639" s="241"/>
      <c r="C639" s="241"/>
      <c r="D639" s="241"/>
      <c r="E639" s="241"/>
      <c r="F639" s="241"/>
      <c r="G639" s="241"/>
      <c r="H639" s="241"/>
      <c r="I639" s="241"/>
      <c r="J639" s="241"/>
      <c r="K639" s="241"/>
      <c r="L639" s="241"/>
      <c r="M639" s="241"/>
      <c r="N639" s="241"/>
      <c r="O639" s="241"/>
      <c r="P639" s="241"/>
      <c r="Q639" s="241"/>
      <c r="R639" s="241"/>
      <c r="S639" s="241"/>
      <c r="T639" s="241"/>
      <c r="U639" s="241"/>
      <c r="V639" s="241"/>
      <c r="W639" s="241"/>
      <c r="X639" s="241"/>
      <c r="Y639" s="241"/>
      <c r="Z639" s="241"/>
      <c r="AA639" s="241"/>
      <c r="AB639" s="241"/>
      <c r="AC639" s="241"/>
      <c r="AD639" s="241"/>
      <c r="AE639" s="241"/>
      <c r="AF639" s="241"/>
      <c r="AG639" s="241"/>
      <c r="AH639" s="241"/>
      <c r="AI639" s="241"/>
      <c r="AJ639" s="241"/>
      <c r="AK639" s="241"/>
      <c r="AL639" s="241"/>
      <c r="AM639" s="241"/>
      <c r="AN639" s="241"/>
      <c r="AO639" s="241"/>
      <c r="AP639" s="241"/>
      <c r="AQ639" s="241"/>
      <c r="AR639" s="241"/>
      <c r="AS639" s="241"/>
      <c r="AT639" s="241"/>
      <c r="AU639" s="241"/>
      <c r="AV639" s="241"/>
      <c r="AW639" s="241"/>
      <c r="AX639" s="241"/>
      <c r="AY639" s="241"/>
      <c r="AZ639" s="241"/>
    </row>
    <row r="640" spans="1:52" ht="18" customHeight="1">
      <c r="A640" s="250"/>
      <c r="B640" s="241"/>
      <c r="C640" s="241"/>
      <c r="D640" s="241"/>
      <c r="E640" s="241"/>
      <c r="F640" s="241"/>
      <c r="G640" s="241"/>
      <c r="H640" s="241"/>
      <c r="I640" s="241"/>
      <c r="J640" s="241"/>
      <c r="K640" s="241"/>
      <c r="L640" s="241"/>
      <c r="M640" s="241"/>
      <c r="N640" s="241"/>
      <c r="O640" s="241"/>
      <c r="P640" s="241"/>
      <c r="Q640" s="241"/>
      <c r="R640" s="241"/>
      <c r="S640" s="241"/>
      <c r="T640" s="241"/>
      <c r="U640" s="241"/>
      <c r="V640" s="241"/>
      <c r="W640" s="241"/>
      <c r="X640" s="241"/>
      <c r="Y640" s="241"/>
      <c r="Z640" s="241"/>
      <c r="AA640" s="241"/>
      <c r="AB640" s="241"/>
      <c r="AC640" s="241"/>
      <c r="AD640" s="241"/>
      <c r="AE640" s="241"/>
      <c r="AF640" s="241"/>
      <c r="AG640" s="241"/>
      <c r="AH640" s="241"/>
      <c r="AI640" s="241"/>
      <c r="AJ640" s="241"/>
      <c r="AK640" s="241"/>
      <c r="AL640" s="241"/>
      <c r="AM640" s="241"/>
      <c r="AN640" s="241"/>
      <c r="AO640" s="241"/>
      <c r="AP640" s="241"/>
      <c r="AQ640" s="241"/>
      <c r="AR640" s="241"/>
      <c r="AS640" s="241"/>
      <c r="AT640" s="241"/>
      <c r="AU640" s="241"/>
      <c r="AV640" s="241"/>
      <c r="AW640" s="241"/>
      <c r="AX640" s="241"/>
      <c r="AY640" s="241"/>
      <c r="AZ640" s="241"/>
    </row>
    <row r="641" spans="1:52" ht="18" customHeight="1">
      <c r="A641" s="250"/>
      <c r="B641" s="241"/>
      <c r="C641" s="241"/>
      <c r="D641" s="241"/>
      <c r="E641" s="241"/>
      <c r="F641" s="241"/>
      <c r="G641" s="241"/>
      <c r="H641" s="241"/>
      <c r="I641" s="241"/>
      <c r="J641" s="241"/>
      <c r="K641" s="241"/>
      <c r="L641" s="241"/>
      <c r="M641" s="241"/>
      <c r="N641" s="241"/>
      <c r="O641" s="241"/>
      <c r="P641" s="241"/>
      <c r="Q641" s="241"/>
      <c r="R641" s="241"/>
      <c r="S641" s="241"/>
      <c r="T641" s="241"/>
      <c r="U641" s="241"/>
      <c r="V641" s="241"/>
      <c r="W641" s="241"/>
      <c r="X641" s="241"/>
      <c r="Y641" s="241"/>
      <c r="Z641" s="241"/>
      <c r="AA641" s="241"/>
      <c r="AB641" s="241"/>
      <c r="AC641" s="241"/>
      <c r="AD641" s="241"/>
      <c r="AE641" s="241"/>
      <c r="AF641" s="241"/>
      <c r="AG641" s="241"/>
      <c r="AH641" s="241"/>
      <c r="AI641" s="241"/>
      <c r="AJ641" s="241"/>
      <c r="AK641" s="241"/>
      <c r="AL641" s="241"/>
      <c r="AM641" s="241"/>
      <c r="AN641" s="241"/>
      <c r="AO641" s="241"/>
      <c r="AP641" s="241"/>
      <c r="AQ641" s="241"/>
      <c r="AR641" s="241"/>
      <c r="AS641" s="241"/>
      <c r="AT641" s="241"/>
      <c r="AU641" s="241"/>
      <c r="AV641" s="241"/>
      <c r="AW641" s="241"/>
      <c r="AX641" s="241"/>
      <c r="AY641" s="241"/>
      <c r="AZ641" s="241"/>
    </row>
    <row r="642" spans="1:52" ht="18" customHeight="1">
      <c r="A642" s="250"/>
      <c r="B642" s="241"/>
      <c r="C642" s="241"/>
      <c r="D642" s="241"/>
      <c r="E642" s="241"/>
      <c r="F642" s="241"/>
      <c r="G642" s="241"/>
      <c r="H642" s="241"/>
      <c r="I642" s="241"/>
      <c r="J642" s="241"/>
      <c r="K642" s="241"/>
      <c r="L642" s="241"/>
      <c r="M642" s="241"/>
      <c r="N642" s="241"/>
      <c r="O642" s="241"/>
      <c r="P642" s="241"/>
      <c r="Q642" s="241"/>
      <c r="R642" s="241"/>
      <c r="S642" s="241"/>
      <c r="T642" s="241"/>
      <c r="U642" s="241"/>
      <c r="V642" s="241"/>
      <c r="W642" s="241"/>
      <c r="X642" s="241"/>
      <c r="Y642" s="241"/>
      <c r="Z642" s="241"/>
      <c r="AA642" s="241"/>
      <c r="AB642" s="241"/>
      <c r="AC642" s="241"/>
      <c r="AD642" s="241"/>
      <c r="AE642" s="241"/>
      <c r="AF642" s="241"/>
      <c r="AG642" s="241"/>
      <c r="AH642" s="241"/>
      <c r="AI642" s="241"/>
      <c r="AJ642" s="241"/>
      <c r="AK642" s="241"/>
      <c r="AL642" s="241"/>
      <c r="AM642" s="241"/>
      <c r="AN642" s="241"/>
      <c r="AO642" s="241"/>
      <c r="AP642" s="241"/>
      <c r="AQ642" s="241"/>
      <c r="AR642" s="241"/>
      <c r="AS642" s="241"/>
      <c r="AT642" s="241"/>
      <c r="AU642" s="241"/>
      <c r="AV642" s="241"/>
      <c r="AW642" s="241"/>
      <c r="AX642" s="241"/>
      <c r="AY642" s="241"/>
      <c r="AZ642" s="241"/>
    </row>
    <row r="643" spans="1:52" ht="18" customHeight="1">
      <c r="A643" s="250"/>
      <c r="B643" s="241"/>
      <c r="C643" s="241"/>
      <c r="D643" s="241"/>
      <c r="E643" s="241"/>
      <c r="F643" s="241"/>
      <c r="G643" s="241"/>
      <c r="H643" s="241"/>
      <c r="I643" s="241"/>
      <c r="J643" s="241"/>
      <c r="K643" s="241"/>
      <c r="L643" s="241"/>
      <c r="M643" s="241"/>
      <c r="N643" s="241"/>
      <c r="O643" s="241"/>
      <c r="P643" s="241"/>
      <c r="Q643" s="241"/>
      <c r="R643" s="241"/>
      <c r="S643" s="241"/>
      <c r="T643" s="241"/>
      <c r="U643" s="241"/>
      <c r="V643" s="241"/>
      <c r="W643" s="241"/>
      <c r="X643" s="241"/>
      <c r="Y643" s="241"/>
      <c r="Z643" s="241"/>
      <c r="AA643" s="241"/>
      <c r="AB643" s="241"/>
      <c r="AC643" s="241"/>
      <c r="AD643" s="241"/>
      <c r="AE643" s="241"/>
      <c r="AF643" s="241"/>
      <c r="AG643" s="241"/>
      <c r="AH643" s="241"/>
      <c r="AI643" s="241"/>
      <c r="AJ643" s="241"/>
      <c r="AK643" s="241"/>
      <c r="AL643" s="241"/>
      <c r="AM643" s="241"/>
      <c r="AN643" s="241"/>
      <c r="AO643" s="241"/>
      <c r="AP643" s="241"/>
      <c r="AQ643" s="241"/>
      <c r="AR643" s="241"/>
      <c r="AS643" s="241"/>
      <c r="AT643" s="241"/>
      <c r="AU643" s="241"/>
      <c r="AV643" s="241"/>
      <c r="AW643" s="241"/>
      <c r="AX643" s="241"/>
      <c r="AY643" s="241"/>
      <c r="AZ643" s="241"/>
    </row>
    <row r="644" spans="1:52" ht="18" customHeight="1">
      <c r="A644" s="250"/>
      <c r="B644" s="241"/>
      <c r="C644" s="241"/>
      <c r="D644" s="241"/>
      <c r="E644" s="241"/>
      <c r="F644" s="241"/>
      <c r="G644" s="241"/>
      <c r="H644" s="241"/>
      <c r="I644" s="241"/>
      <c r="J644" s="241"/>
      <c r="K644" s="241"/>
      <c r="L644" s="241"/>
      <c r="M644" s="241"/>
      <c r="N644" s="241"/>
      <c r="O644" s="241"/>
      <c r="P644" s="241"/>
      <c r="Q644" s="241"/>
      <c r="R644" s="241"/>
      <c r="S644" s="241"/>
      <c r="T644" s="241"/>
      <c r="U644" s="241"/>
      <c r="V644" s="241"/>
      <c r="W644" s="241"/>
      <c r="X644" s="241"/>
      <c r="Y644" s="241"/>
      <c r="Z644" s="241"/>
      <c r="AA644" s="241"/>
      <c r="AB644" s="241"/>
      <c r="AC644" s="241"/>
      <c r="AD644" s="241"/>
      <c r="AE644" s="241"/>
      <c r="AF644" s="241"/>
      <c r="AG644" s="241"/>
      <c r="AH644" s="241"/>
      <c r="AI644" s="241"/>
      <c r="AJ644" s="241"/>
      <c r="AK644" s="241"/>
      <c r="AL644" s="241"/>
      <c r="AM644" s="241"/>
      <c r="AN644" s="241"/>
      <c r="AO644" s="241"/>
      <c r="AP644" s="241"/>
      <c r="AQ644" s="241"/>
      <c r="AR644" s="241"/>
      <c r="AS644" s="241"/>
      <c r="AT644" s="241"/>
      <c r="AU644" s="241"/>
      <c r="AV644" s="241"/>
      <c r="AW644" s="241"/>
      <c r="AX644" s="241"/>
      <c r="AY644" s="241"/>
      <c r="AZ644" s="241"/>
    </row>
    <row r="645" spans="1:52" ht="18" customHeight="1">
      <c r="A645" s="250"/>
      <c r="B645" s="241"/>
      <c r="C645" s="241"/>
      <c r="D645" s="241"/>
      <c r="E645" s="241"/>
      <c r="F645" s="241"/>
      <c r="G645" s="241"/>
      <c r="H645" s="241"/>
      <c r="I645" s="241"/>
      <c r="J645" s="241"/>
      <c r="K645" s="241"/>
      <c r="L645" s="241"/>
      <c r="M645" s="241"/>
      <c r="N645" s="241"/>
      <c r="O645" s="241"/>
      <c r="P645" s="241"/>
      <c r="Q645" s="241"/>
      <c r="R645" s="241"/>
      <c r="S645" s="241"/>
      <c r="T645" s="241"/>
      <c r="U645" s="241"/>
      <c r="V645" s="241"/>
      <c r="W645" s="241"/>
      <c r="X645" s="241"/>
      <c r="Y645" s="241"/>
      <c r="Z645" s="241"/>
      <c r="AA645" s="241"/>
      <c r="AB645" s="241"/>
      <c r="AC645" s="241"/>
      <c r="AD645" s="241"/>
      <c r="AE645" s="241"/>
      <c r="AF645" s="241"/>
      <c r="AG645" s="241"/>
      <c r="AH645" s="241"/>
      <c r="AI645" s="241"/>
      <c r="AJ645" s="241"/>
      <c r="AK645" s="241"/>
      <c r="AL645" s="241"/>
      <c r="AM645" s="241"/>
      <c r="AN645" s="241"/>
      <c r="AO645" s="241"/>
      <c r="AP645" s="241"/>
      <c r="AQ645" s="241"/>
      <c r="AR645" s="241"/>
      <c r="AS645" s="241"/>
      <c r="AT645" s="241"/>
      <c r="AU645" s="241"/>
      <c r="AV645" s="241"/>
      <c r="AW645" s="241"/>
      <c r="AX645" s="241"/>
      <c r="AY645" s="241"/>
      <c r="AZ645" s="241"/>
    </row>
    <row r="646" spans="1:52" ht="18" customHeight="1">
      <c r="A646" s="250"/>
      <c r="B646" s="241"/>
      <c r="C646" s="241"/>
      <c r="D646" s="241"/>
      <c r="E646" s="241"/>
      <c r="F646" s="241"/>
      <c r="G646" s="241"/>
      <c r="H646" s="241"/>
      <c r="I646" s="241"/>
      <c r="J646" s="241"/>
      <c r="K646" s="241"/>
      <c r="L646" s="241"/>
      <c r="M646" s="241"/>
      <c r="N646" s="241"/>
      <c r="O646" s="241"/>
      <c r="P646" s="241"/>
      <c r="Q646" s="241"/>
      <c r="R646" s="241"/>
      <c r="S646" s="241"/>
      <c r="T646" s="241"/>
      <c r="U646" s="241"/>
      <c r="V646" s="241"/>
      <c r="W646" s="241"/>
      <c r="X646" s="241"/>
      <c r="Y646" s="241"/>
      <c r="Z646" s="241"/>
      <c r="AA646" s="241"/>
      <c r="AB646" s="241"/>
      <c r="AC646" s="241"/>
      <c r="AD646" s="241"/>
      <c r="AE646" s="241"/>
      <c r="AF646" s="241"/>
      <c r="AG646" s="241"/>
      <c r="AH646" s="241"/>
      <c r="AI646" s="241"/>
      <c r="AJ646" s="241"/>
      <c r="AK646" s="241"/>
      <c r="AL646" s="241"/>
      <c r="AM646" s="241"/>
      <c r="AN646" s="241"/>
      <c r="AO646" s="241"/>
      <c r="AP646" s="241"/>
      <c r="AQ646" s="241"/>
      <c r="AR646" s="241"/>
      <c r="AS646" s="241"/>
      <c r="AT646" s="241"/>
      <c r="AU646" s="241"/>
      <c r="AV646" s="241"/>
      <c r="AW646" s="241"/>
      <c r="AX646" s="241"/>
      <c r="AY646" s="241"/>
      <c r="AZ646" s="241"/>
    </row>
    <row r="647" spans="1:52" ht="18" customHeight="1">
      <c r="A647" s="250"/>
      <c r="B647" s="241"/>
      <c r="C647" s="241"/>
      <c r="D647" s="241"/>
      <c r="E647" s="241"/>
      <c r="F647" s="241"/>
      <c r="G647" s="241"/>
      <c r="H647" s="241"/>
      <c r="I647" s="241"/>
      <c r="J647" s="241"/>
      <c r="K647" s="241"/>
      <c r="L647" s="241"/>
      <c r="M647" s="241"/>
      <c r="N647" s="241"/>
      <c r="O647" s="241"/>
      <c r="P647" s="241"/>
      <c r="Q647" s="241"/>
      <c r="R647" s="241"/>
      <c r="S647" s="241"/>
      <c r="T647" s="241"/>
      <c r="U647" s="241"/>
      <c r="V647" s="241"/>
      <c r="W647" s="241"/>
      <c r="X647" s="241"/>
      <c r="Y647" s="241"/>
      <c r="Z647" s="241"/>
      <c r="AA647" s="241"/>
      <c r="AB647" s="241"/>
      <c r="AC647" s="241"/>
      <c r="AD647" s="241"/>
      <c r="AE647" s="241"/>
      <c r="AF647" s="241"/>
      <c r="AG647" s="241"/>
      <c r="AH647" s="241"/>
      <c r="AI647" s="241"/>
      <c r="AJ647" s="241"/>
      <c r="AK647" s="241"/>
      <c r="AL647" s="241"/>
      <c r="AM647" s="241"/>
      <c r="AN647" s="241"/>
      <c r="AO647" s="241"/>
      <c r="AP647" s="241"/>
      <c r="AQ647" s="241"/>
      <c r="AR647" s="241"/>
      <c r="AS647" s="241"/>
      <c r="AT647" s="241"/>
      <c r="AU647" s="241"/>
      <c r="AV647" s="241"/>
      <c r="AW647" s="241"/>
      <c r="AX647" s="241"/>
      <c r="AY647" s="241"/>
      <c r="AZ647" s="241"/>
    </row>
    <row r="648" spans="1:52" ht="18" customHeight="1">
      <c r="A648" s="250"/>
      <c r="B648" s="241"/>
      <c r="C648" s="241"/>
      <c r="D648" s="241"/>
      <c r="E648" s="241"/>
      <c r="F648" s="241"/>
      <c r="G648" s="241"/>
      <c r="H648" s="241"/>
      <c r="I648" s="241"/>
      <c r="J648" s="241"/>
      <c r="K648" s="241"/>
      <c r="L648" s="241"/>
      <c r="M648" s="241"/>
      <c r="N648" s="241"/>
      <c r="O648" s="241"/>
      <c r="P648" s="241"/>
      <c r="Q648" s="241"/>
      <c r="R648" s="241"/>
      <c r="S648" s="241"/>
      <c r="T648" s="241"/>
      <c r="U648" s="241"/>
      <c r="V648" s="241"/>
      <c r="W648" s="241"/>
      <c r="X648" s="241"/>
      <c r="Y648" s="241"/>
      <c r="Z648" s="241"/>
      <c r="AA648" s="241"/>
      <c r="AB648" s="241"/>
      <c r="AC648" s="241"/>
      <c r="AD648" s="241"/>
      <c r="AE648" s="241"/>
      <c r="AF648" s="241"/>
      <c r="AG648" s="241"/>
      <c r="AH648" s="241"/>
      <c r="AI648" s="241"/>
      <c r="AJ648" s="241"/>
      <c r="AK648" s="241"/>
      <c r="AL648" s="241"/>
      <c r="AM648" s="241"/>
      <c r="AN648" s="241"/>
      <c r="AO648" s="241"/>
      <c r="AP648" s="241"/>
      <c r="AQ648" s="241"/>
      <c r="AR648" s="241"/>
      <c r="AS648" s="241"/>
      <c r="AT648" s="241"/>
      <c r="AU648" s="241"/>
      <c r="AV648" s="241"/>
      <c r="AW648" s="241"/>
      <c r="AX648" s="241"/>
      <c r="AY648" s="241"/>
      <c r="AZ648" s="241"/>
    </row>
    <row r="649" spans="1:52" ht="18" customHeight="1">
      <c r="A649" s="250"/>
      <c r="B649" s="241"/>
      <c r="C649" s="241"/>
      <c r="D649" s="241"/>
      <c r="E649" s="241"/>
      <c r="F649" s="241"/>
      <c r="G649" s="241"/>
      <c r="H649" s="241"/>
      <c r="I649" s="241"/>
      <c r="J649" s="241"/>
      <c r="K649" s="241"/>
      <c r="L649" s="241"/>
      <c r="M649" s="241"/>
      <c r="N649" s="241"/>
      <c r="O649" s="241"/>
      <c r="P649" s="241"/>
      <c r="Q649" s="241"/>
      <c r="R649" s="241"/>
      <c r="S649" s="241"/>
      <c r="T649" s="241"/>
      <c r="U649" s="241"/>
      <c r="V649" s="241"/>
      <c r="W649" s="241"/>
      <c r="X649" s="241"/>
      <c r="Y649" s="241"/>
      <c r="Z649" s="241"/>
      <c r="AA649" s="241"/>
      <c r="AB649" s="241"/>
      <c r="AC649" s="241"/>
      <c r="AD649" s="241"/>
      <c r="AE649" s="241"/>
      <c r="AF649" s="241"/>
      <c r="AG649" s="241"/>
      <c r="AH649" s="241"/>
      <c r="AI649" s="241"/>
      <c r="AJ649" s="241"/>
      <c r="AK649" s="241"/>
      <c r="AL649" s="241"/>
      <c r="AM649" s="241"/>
      <c r="AN649" s="241"/>
      <c r="AO649" s="241"/>
      <c r="AP649" s="241"/>
      <c r="AQ649" s="241"/>
      <c r="AR649" s="241"/>
      <c r="AS649" s="241"/>
      <c r="AT649" s="241"/>
      <c r="AU649" s="241"/>
      <c r="AV649" s="241"/>
      <c r="AW649" s="241"/>
      <c r="AX649" s="241"/>
      <c r="AY649" s="241"/>
      <c r="AZ649" s="241"/>
    </row>
    <row r="650" spans="1:52" ht="18" customHeight="1">
      <c r="A650" s="250"/>
      <c r="B650" s="241"/>
      <c r="C650" s="241"/>
      <c r="D650" s="241"/>
      <c r="E650" s="241"/>
      <c r="F650" s="241"/>
      <c r="G650" s="241"/>
      <c r="H650" s="241"/>
      <c r="I650" s="241"/>
      <c r="J650" s="241"/>
      <c r="K650" s="241"/>
      <c r="L650" s="241"/>
      <c r="M650" s="241"/>
      <c r="N650" s="241"/>
      <c r="O650" s="241"/>
      <c r="P650" s="241"/>
      <c r="Q650" s="241"/>
      <c r="R650" s="241"/>
      <c r="S650" s="241"/>
      <c r="T650" s="241"/>
      <c r="U650" s="241"/>
      <c r="V650" s="241"/>
      <c r="W650" s="241"/>
      <c r="X650" s="241"/>
      <c r="Y650" s="241"/>
      <c r="Z650" s="241"/>
      <c r="AA650" s="241"/>
      <c r="AB650" s="241"/>
      <c r="AC650" s="241"/>
      <c r="AD650" s="241"/>
      <c r="AE650" s="241"/>
      <c r="AF650" s="241"/>
      <c r="AG650" s="241"/>
      <c r="AH650" s="241"/>
      <c r="AI650" s="241"/>
      <c r="AJ650" s="241"/>
      <c r="AK650" s="241"/>
      <c r="AL650" s="241"/>
      <c r="AM650" s="241"/>
      <c r="AN650" s="241"/>
      <c r="AO650" s="241"/>
      <c r="AP650" s="241"/>
      <c r="AQ650" s="241"/>
      <c r="AR650" s="241"/>
      <c r="AS650" s="241"/>
      <c r="AT650" s="241"/>
      <c r="AU650" s="241"/>
      <c r="AV650" s="241"/>
      <c r="AW650" s="241"/>
      <c r="AX650" s="241"/>
      <c r="AY650" s="241"/>
      <c r="AZ650" s="241"/>
    </row>
    <row r="651" spans="1:52" ht="18" customHeight="1">
      <c r="A651" s="250"/>
      <c r="B651" s="241"/>
      <c r="C651" s="241"/>
      <c r="D651" s="241"/>
      <c r="E651" s="241"/>
      <c r="F651" s="241"/>
      <c r="G651" s="241"/>
      <c r="H651" s="241"/>
      <c r="I651" s="241"/>
      <c r="J651" s="241"/>
      <c r="K651" s="241"/>
      <c r="L651" s="241"/>
      <c r="M651" s="241"/>
      <c r="N651" s="241"/>
      <c r="O651" s="241"/>
      <c r="P651" s="241"/>
      <c r="Q651" s="241"/>
      <c r="R651" s="241"/>
      <c r="S651" s="241"/>
      <c r="T651" s="241"/>
      <c r="U651" s="241"/>
      <c r="V651" s="241"/>
      <c r="W651" s="241"/>
      <c r="X651" s="241"/>
      <c r="Y651" s="241"/>
      <c r="Z651" s="241"/>
      <c r="AA651" s="241"/>
      <c r="AB651" s="241"/>
      <c r="AC651" s="241"/>
      <c r="AD651" s="241"/>
      <c r="AE651" s="241"/>
      <c r="AF651" s="241"/>
      <c r="AG651" s="241"/>
      <c r="AH651" s="241"/>
      <c r="AI651" s="241"/>
      <c r="AJ651" s="241"/>
      <c r="AK651" s="241"/>
      <c r="AL651" s="241"/>
      <c r="AM651" s="241"/>
      <c r="AN651" s="241"/>
      <c r="AO651" s="241"/>
      <c r="AP651" s="241"/>
      <c r="AQ651" s="241"/>
      <c r="AR651" s="241"/>
      <c r="AS651" s="241"/>
      <c r="AT651" s="241"/>
      <c r="AU651" s="241"/>
      <c r="AV651" s="241"/>
      <c r="AW651" s="241"/>
      <c r="AX651" s="241"/>
      <c r="AY651" s="241"/>
      <c r="AZ651" s="241"/>
    </row>
    <row r="652" spans="1:52" ht="18" customHeight="1">
      <c r="A652" s="250"/>
      <c r="B652" s="241"/>
      <c r="C652" s="241"/>
      <c r="D652" s="241"/>
      <c r="E652" s="241"/>
      <c r="F652" s="241"/>
      <c r="G652" s="241"/>
      <c r="H652" s="241"/>
      <c r="I652" s="241"/>
      <c r="J652" s="241"/>
      <c r="K652" s="241"/>
      <c r="L652" s="241"/>
      <c r="M652" s="241"/>
      <c r="N652" s="241"/>
      <c r="O652" s="241"/>
      <c r="P652" s="241"/>
      <c r="Q652" s="241"/>
      <c r="R652" s="241"/>
      <c r="S652" s="241"/>
      <c r="T652" s="241"/>
      <c r="U652" s="241"/>
      <c r="V652" s="241"/>
      <c r="W652" s="241"/>
      <c r="X652" s="241"/>
      <c r="Y652" s="241"/>
      <c r="Z652" s="241"/>
      <c r="AA652" s="241"/>
      <c r="AB652" s="241"/>
      <c r="AC652" s="241"/>
      <c r="AD652" s="241"/>
      <c r="AE652" s="241"/>
      <c r="AF652" s="241"/>
      <c r="AG652" s="241"/>
      <c r="AH652" s="241"/>
      <c r="AI652" s="241"/>
      <c r="AJ652" s="241"/>
      <c r="AK652" s="241"/>
      <c r="AL652" s="241"/>
      <c r="AM652" s="241"/>
      <c r="AN652" s="241"/>
      <c r="AO652" s="241"/>
      <c r="AP652" s="241"/>
      <c r="AQ652" s="241"/>
      <c r="AR652" s="241"/>
      <c r="AS652" s="241"/>
      <c r="AT652" s="241"/>
      <c r="AU652" s="241"/>
      <c r="AV652" s="241"/>
      <c r="AW652" s="241"/>
      <c r="AX652" s="241"/>
      <c r="AY652" s="241"/>
      <c r="AZ652" s="241"/>
    </row>
    <row r="653" spans="1:52" ht="18" customHeight="1">
      <c r="A653" s="250"/>
      <c r="B653" s="241"/>
      <c r="C653" s="241"/>
      <c r="D653" s="241"/>
      <c r="E653" s="241"/>
      <c r="F653" s="241"/>
      <c r="G653" s="241"/>
      <c r="H653" s="241"/>
      <c r="I653" s="241"/>
      <c r="J653" s="241"/>
      <c r="K653" s="241"/>
      <c r="L653" s="241"/>
      <c r="M653" s="241"/>
      <c r="N653" s="241"/>
      <c r="O653" s="241"/>
      <c r="P653" s="241"/>
      <c r="Q653" s="241"/>
      <c r="R653" s="241"/>
      <c r="S653" s="241"/>
      <c r="T653" s="241"/>
      <c r="U653" s="241"/>
      <c r="V653" s="241"/>
      <c r="W653" s="241"/>
      <c r="X653" s="241"/>
      <c r="Y653" s="241"/>
      <c r="Z653" s="241"/>
      <c r="AA653" s="241"/>
      <c r="AB653" s="241"/>
      <c r="AC653" s="241"/>
      <c r="AD653" s="241"/>
      <c r="AE653" s="241"/>
      <c r="AF653" s="241"/>
      <c r="AG653" s="241"/>
      <c r="AH653" s="241"/>
      <c r="AI653" s="241"/>
      <c r="AJ653" s="241"/>
      <c r="AK653" s="241"/>
      <c r="AL653" s="241"/>
      <c r="AM653" s="241"/>
      <c r="AN653" s="241"/>
      <c r="AO653" s="241"/>
      <c r="AP653" s="241"/>
      <c r="AQ653" s="241"/>
      <c r="AR653" s="241"/>
      <c r="AS653" s="241"/>
      <c r="AT653" s="241"/>
      <c r="AU653" s="241"/>
      <c r="AV653" s="241"/>
      <c r="AW653" s="241"/>
      <c r="AX653" s="241"/>
      <c r="AY653" s="241"/>
      <c r="AZ653" s="241"/>
    </row>
    <row r="654" spans="1:52" ht="18" customHeight="1">
      <c r="A654" s="250"/>
      <c r="B654" s="241"/>
      <c r="C654" s="241"/>
      <c r="D654" s="241"/>
      <c r="E654" s="241"/>
      <c r="F654" s="241"/>
      <c r="G654" s="241"/>
      <c r="H654" s="241"/>
      <c r="I654" s="241"/>
      <c r="J654" s="241"/>
      <c r="K654" s="241"/>
      <c r="L654" s="241"/>
      <c r="M654" s="241"/>
      <c r="N654" s="241"/>
      <c r="O654" s="241"/>
      <c r="P654" s="241"/>
      <c r="Q654" s="241"/>
      <c r="R654" s="241"/>
      <c r="S654" s="241"/>
      <c r="T654" s="241"/>
      <c r="U654" s="241"/>
      <c r="V654" s="241"/>
      <c r="W654" s="241"/>
      <c r="X654" s="241"/>
      <c r="Y654" s="241"/>
      <c r="Z654" s="241"/>
      <c r="AA654" s="241"/>
      <c r="AB654" s="241"/>
      <c r="AC654" s="241"/>
      <c r="AD654" s="241"/>
      <c r="AE654" s="241"/>
      <c r="AF654" s="241"/>
      <c r="AG654" s="241"/>
      <c r="AH654" s="241"/>
      <c r="AI654" s="241"/>
      <c r="AJ654" s="241"/>
      <c r="AK654" s="241"/>
      <c r="AL654" s="241"/>
      <c r="AM654" s="241"/>
      <c r="AN654" s="241"/>
      <c r="AO654" s="241"/>
      <c r="AP654" s="241"/>
      <c r="AQ654" s="241"/>
      <c r="AR654" s="241"/>
      <c r="AS654" s="241"/>
      <c r="AT654" s="241"/>
      <c r="AU654" s="241"/>
      <c r="AV654" s="241"/>
      <c r="AW654" s="241"/>
      <c r="AX654" s="241"/>
      <c r="AY654" s="241"/>
      <c r="AZ654" s="241"/>
    </row>
    <row r="655" spans="1:52" ht="18" customHeight="1">
      <c r="A655" s="250"/>
      <c r="B655" s="241"/>
      <c r="C655" s="241"/>
      <c r="D655" s="241"/>
      <c r="E655" s="241"/>
      <c r="F655" s="241"/>
      <c r="G655" s="241"/>
      <c r="H655" s="241"/>
      <c r="I655" s="241"/>
      <c r="J655" s="241"/>
      <c r="K655" s="241"/>
      <c r="L655" s="241"/>
      <c r="M655" s="241"/>
      <c r="N655" s="241"/>
      <c r="O655" s="241"/>
      <c r="P655" s="241"/>
      <c r="Q655" s="241"/>
      <c r="R655" s="241"/>
      <c r="S655" s="241"/>
      <c r="T655" s="241"/>
      <c r="U655" s="241"/>
      <c r="V655" s="241"/>
      <c r="W655" s="241"/>
      <c r="X655" s="241"/>
      <c r="Y655" s="241"/>
      <c r="Z655" s="241"/>
      <c r="AA655" s="241"/>
      <c r="AB655" s="241"/>
      <c r="AC655" s="241"/>
      <c r="AD655" s="241"/>
      <c r="AE655" s="241"/>
      <c r="AF655" s="241"/>
      <c r="AG655" s="241"/>
      <c r="AH655" s="241"/>
      <c r="AI655" s="241"/>
      <c r="AJ655" s="241"/>
      <c r="AK655" s="241"/>
      <c r="AL655" s="241"/>
      <c r="AM655" s="241"/>
      <c r="AN655" s="241"/>
      <c r="AO655" s="241"/>
      <c r="AP655" s="241"/>
      <c r="AQ655" s="241"/>
      <c r="AR655" s="241"/>
      <c r="AS655" s="241"/>
      <c r="AT655" s="241"/>
      <c r="AU655" s="241"/>
      <c r="AV655" s="241"/>
      <c r="AW655" s="241"/>
      <c r="AX655" s="241"/>
      <c r="AY655" s="241"/>
      <c r="AZ655" s="241"/>
    </row>
    <row r="656" spans="1:52" ht="18" customHeight="1">
      <c r="A656" s="250"/>
      <c r="B656" s="241"/>
      <c r="C656" s="241"/>
      <c r="D656" s="241"/>
      <c r="E656" s="241"/>
      <c r="F656" s="241"/>
      <c r="G656" s="241"/>
      <c r="H656" s="241"/>
      <c r="I656" s="241"/>
      <c r="J656" s="241"/>
      <c r="K656" s="241"/>
      <c r="L656" s="241"/>
      <c r="M656" s="241"/>
      <c r="N656" s="241"/>
      <c r="O656" s="241"/>
      <c r="P656" s="241"/>
      <c r="Q656" s="241"/>
      <c r="R656" s="241"/>
      <c r="S656" s="241"/>
      <c r="T656" s="241"/>
      <c r="U656" s="241"/>
      <c r="V656" s="241"/>
      <c r="W656" s="241"/>
      <c r="X656" s="241"/>
      <c r="Y656" s="241"/>
      <c r="Z656" s="241"/>
      <c r="AA656" s="241"/>
      <c r="AB656" s="241"/>
      <c r="AC656" s="241"/>
      <c r="AD656" s="241"/>
      <c r="AE656" s="241"/>
      <c r="AF656" s="241"/>
      <c r="AG656" s="241"/>
      <c r="AH656" s="241"/>
      <c r="AI656" s="241"/>
      <c r="AJ656" s="241"/>
      <c r="AK656" s="241"/>
      <c r="AL656" s="241"/>
      <c r="AM656" s="241"/>
      <c r="AN656" s="241"/>
      <c r="AO656" s="241"/>
      <c r="AP656" s="241"/>
      <c r="AQ656" s="241"/>
      <c r="AR656" s="241"/>
      <c r="AS656" s="241"/>
      <c r="AT656" s="241"/>
      <c r="AU656" s="241"/>
      <c r="AV656" s="241"/>
      <c r="AW656" s="241"/>
      <c r="AX656" s="241"/>
      <c r="AY656" s="241"/>
      <c r="AZ656" s="241"/>
    </row>
    <row r="657" spans="1:52" ht="18" customHeight="1">
      <c r="A657" s="250"/>
      <c r="B657" s="241"/>
      <c r="C657" s="241"/>
      <c r="D657" s="241"/>
      <c r="E657" s="241"/>
      <c r="F657" s="241"/>
      <c r="G657" s="241"/>
      <c r="H657" s="241"/>
      <c r="I657" s="241"/>
      <c r="J657" s="241"/>
      <c r="K657" s="241"/>
      <c r="L657" s="241"/>
      <c r="M657" s="241"/>
      <c r="N657" s="241"/>
      <c r="O657" s="241"/>
      <c r="P657" s="241"/>
      <c r="Q657" s="241"/>
      <c r="R657" s="241"/>
      <c r="S657" s="241"/>
      <c r="T657" s="241"/>
      <c r="U657" s="241"/>
      <c r="V657" s="241"/>
      <c r="W657" s="241"/>
      <c r="X657" s="241"/>
      <c r="Y657" s="241"/>
      <c r="Z657" s="241"/>
      <c r="AA657" s="241"/>
      <c r="AB657" s="241"/>
      <c r="AC657" s="241"/>
      <c r="AD657" s="241"/>
      <c r="AE657" s="241"/>
      <c r="AF657" s="241"/>
      <c r="AG657" s="241"/>
      <c r="AH657" s="241"/>
      <c r="AI657" s="241"/>
      <c r="AJ657" s="241"/>
      <c r="AK657" s="241"/>
      <c r="AL657" s="241"/>
      <c r="AM657" s="241"/>
      <c r="AN657" s="241"/>
      <c r="AO657" s="241"/>
      <c r="AP657" s="241"/>
      <c r="AQ657" s="241"/>
      <c r="AR657" s="241"/>
      <c r="AS657" s="241"/>
      <c r="AT657" s="241"/>
      <c r="AU657" s="241"/>
      <c r="AV657" s="241"/>
      <c r="AW657" s="241"/>
      <c r="AX657" s="241"/>
      <c r="AY657" s="241"/>
      <c r="AZ657" s="241"/>
    </row>
    <row r="658" spans="1:52" ht="18" customHeight="1">
      <c r="A658" s="250"/>
      <c r="B658" s="241"/>
      <c r="C658" s="241"/>
      <c r="D658" s="241"/>
      <c r="E658" s="241"/>
      <c r="F658" s="241"/>
      <c r="G658" s="241"/>
      <c r="H658" s="241"/>
      <c r="I658" s="241"/>
      <c r="J658" s="241"/>
      <c r="K658" s="241"/>
      <c r="L658" s="241"/>
      <c r="M658" s="241"/>
      <c r="N658" s="241"/>
      <c r="O658" s="241"/>
      <c r="P658" s="241"/>
      <c r="Q658" s="241"/>
      <c r="R658" s="241"/>
      <c r="S658" s="241"/>
      <c r="T658" s="241"/>
      <c r="U658" s="241"/>
      <c r="V658" s="241"/>
      <c r="W658" s="241"/>
      <c r="X658" s="241"/>
      <c r="Y658" s="241"/>
      <c r="Z658" s="241"/>
      <c r="AA658" s="241"/>
      <c r="AB658" s="241"/>
      <c r="AC658" s="241"/>
      <c r="AD658" s="241"/>
      <c r="AE658" s="241"/>
      <c r="AF658" s="241"/>
      <c r="AG658" s="241"/>
      <c r="AH658" s="241"/>
      <c r="AI658" s="241"/>
      <c r="AJ658" s="241"/>
      <c r="AK658" s="241"/>
      <c r="AL658" s="241"/>
      <c r="AM658" s="241"/>
      <c r="AN658" s="241"/>
      <c r="AO658" s="241"/>
      <c r="AP658" s="241"/>
      <c r="AQ658" s="241"/>
      <c r="AR658" s="241"/>
      <c r="AS658" s="241"/>
      <c r="AT658" s="241"/>
      <c r="AU658" s="241"/>
      <c r="AV658" s="241"/>
      <c r="AW658" s="241"/>
      <c r="AX658" s="241"/>
      <c r="AY658" s="241"/>
      <c r="AZ658" s="241"/>
    </row>
    <row r="659" spans="1:52" ht="18" customHeight="1">
      <c r="A659" s="250"/>
      <c r="B659" s="241"/>
      <c r="C659" s="241"/>
      <c r="D659" s="241"/>
      <c r="E659" s="241"/>
      <c r="F659" s="241"/>
      <c r="G659" s="241"/>
      <c r="H659" s="241"/>
      <c r="I659" s="241"/>
      <c r="J659" s="241"/>
      <c r="K659" s="241"/>
      <c r="L659" s="241"/>
      <c r="M659" s="241"/>
      <c r="N659" s="241"/>
      <c r="O659" s="241"/>
      <c r="P659" s="241"/>
      <c r="Q659" s="241"/>
      <c r="R659" s="241"/>
      <c r="S659" s="241"/>
      <c r="T659" s="241"/>
      <c r="U659" s="241"/>
      <c r="V659" s="241"/>
      <c r="W659" s="241"/>
      <c r="X659" s="241"/>
      <c r="Y659" s="241"/>
      <c r="Z659" s="241"/>
      <c r="AA659" s="241"/>
      <c r="AB659" s="241"/>
      <c r="AC659" s="241"/>
      <c r="AD659" s="241"/>
      <c r="AE659" s="241"/>
      <c r="AF659" s="241"/>
      <c r="AG659" s="241"/>
      <c r="AH659" s="241"/>
      <c r="AI659" s="241"/>
      <c r="AJ659" s="241"/>
      <c r="AK659" s="241"/>
      <c r="AL659" s="241"/>
      <c r="AM659" s="241"/>
      <c r="AN659" s="241"/>
      <c r="AO659" s="241"/>
      <c r="AP659" s="241"/>
      <c r="AQ659" s="241"/>
      <c r="AR659" s="241"/>
      <c r="AS659" s="241"/>
      <c r="AT659" s="241"/>
      <c r="AU659" s="241"/>
      <c r="AV659" s="241"/>
      <c r="AW659" s="241"/>
      <c r="AX659" s="241"/>
      <c r="AY659" s="241"/>
      <c r="AZ659" s="241"/>
    </row>
    <row r="660" spans="1:52" ht="18" customHeight="1">
      <c r="A660" s="250"/>
      <c r="B660" s="241"/>
      <c r="C660" s="241"/>
      <c r="D660" s="241"/>
      <c r="E660" s="241"/>
      <c r="F660" s="241"/>
      <c r="G660" s="241"/>
      <c r="H660" s="241"/>
      <c r="I660" s="241"/>
      <c r="J660" s="241"/>
      <c r="K660" s="241"/>
      <c r="L660" s="241"/>
      <c r="M660" s="241"/>
      <c r="N660" s="241"/>
      <c r="O660" s="241"/>
      <c r="P660" s="241"/>
      <c r="Q660" s="241"/>
      <c r="R660" s="241"/>
      <c r="S660" s="241"/>
      <c r="T660" s="241"/>
      <c r="U660" s="241"/>
      <c r="V660" s="241"/>
      <c r="W660" s="241"/>
      <c r="X660" s="241"/>
      <c r="Y660" s="241"/>
      <c r="Z660" s="241"/>
      <c r="AA660" s="241"/>
      <c r="AB660" s="241"/>
      <c r="AC660" s="241"/>
      <c r="AD660" s="241"/>
      <c r="AE660" s="241"/>
      <c r="AF660" s="241"/>
      <c r="AG660" s="241"/>
      <c r="AH660" s="241"/>
      <c r="AI660" s="241"/>
      <c r="AJ660" s="241"/>
      <c r="AK660" s="241"/>
      <c r="AL660" s="241"/>
      <c r="AM660" s="241"/>
      <c r="AN660" s="241"/>
      <c r="AO660" s="241"/>
      <c r="AP660" s="241"/>
      <c r="AQ660" s="241"/>
      <c r="AR660" s="241"/>
      <c r="AS660" s="241"/>
      <c r="AT660" s="241"/>
      <c r="AU660" s="241"/>
      <c r="AV660" s="241"/>
      <c r="AW660" s="241"/>
      <c r="AX660" s="241"/>
      <c r="AY660" s="241"/>
      <c r="AZ660" s="241"/>
    </row>
    <row r="661" spans="1:52" ht="18" customHeight="1">
      <c r="A661" s="250"/>
      <c r="B661" s="241"/>
      <c r="C661" s="241"/>
      <c r="D661" s="241"/>
      <c r="E661" s="241"/>
      <c r="F661" s="241"/>
      <c r="G661" s="241"/>
      <c r="H661" s="241"/>
      <c r="I661" s="241"/>
      <c r="J661" s="241"/>
      <c r="K661" s="241"/>
      <c r="L661" s="241"/>
      <c r="M661" s="241"/>
      <c r="N661" s="241"/>
      <c r="O661" s="241"/>
      <c r="P661" s="241"/>
      <c r="Q661" s="241"/>
      <c r="R661" s="241"/>
      <c r="S661" s="241"/>
      <c r="T661" s="241"/>
      <c r="U661" s="241"/>
      <c r="V661" s="241"/>
      <c r="W661" s="241"/>
      <c r="X661" s="241"/>
      <c r="Y661" s="241"/>
      <c r="Z661" s="241"/>
      <c r="AA661" s="241"/>
      <c r="AB661" s="241"/>
      <c r="AC661" s="241"/>
      <c r="AD661" s="241"/>
      <c r="AE661" s="241"/>
      <c r="AF661" s="241"/>
      <c r="AG661" s="241"/>
      <c r="AH661" s="241"/>
      <c r="AI661" s="241"/>
      <c r="AJ661" s="241"/>
      <c r="AK661" s="241"/>
      <c r="AL661" s="241"/>
      <c r="AM661" s="241"/>
      <c r="AN661" s="241"/>
      <c r="AO661" s="241"/>
      <c r="AP661" s="241"/>
      <c r="AQ661" s="241"/>
      <c r="AR661" s="241"/>
      <c r="AS661" s="241"/>
      <c r="AT661" s="241"/>
      <c r="AU661" s="241"/>
      <c r="AV661" s="241"/>
      <c r="AW661" s="241"/>
      <c r="AX661" s="241"/>
      <c r="AY661" s="241"/>
      <c r="AZ661" s="241"/>
    </row>
    <row r="662" spans="1:52" ht="18" customHeight="1">
      <c r="A662" s="250"/>
      <c r="B662" s="241"/>
      <c r="C662" s="241"/>
      <c r="D662" s="241"/>
      <c r="E662" s="241"/>
      <c r="F662" s="241"/>
      <c r="G662" s="241"/>
      <c r="H662" s="241"/>
      <c r="I662" s="241"/>
      <c r="J662" s="241"/>
      <c r="K662" s="241"/>
      <c r="L662" s="241"/>
      <c r="M662" s="241"/>
      <c r="N662" s="241"/>
      <c r="O662" s="241"/>
      <c r="P662" s="241"/>
      <c r="Q662" s="241"/>
      <c r="R662" s="241"/>
      <c r="S662" s="241"/>
      <c r="T662" s="241"/>
      <c r="U662" s="241"/>
      <c r="V662" s="241"/>
      <c r="W662" s="241"/>
      <c r="X662" s="241"/>
      <c r="Y662" s="241"/>
      <c r="Z662" s="241"/>
      <c r="AA662" s="241"/>
      <c r="AB662" s="241"/>
      <c r="AC662" s="241"/>
      <c r="AD662" s="241"/>
      <c r="AE662" s="241"/>
      <c r="AF662" s="241"/>
      <c r="AG662" s="241"/>
      <c r="AH662" s="241"/>
      <c r="AI662" s="241"/>
      <c r="AJ662" s="241"/>
      <c r="AK662" s="241"/>
      <c r="AL662" s="241"/>
      <c r="AM662" s="241"/>
      <c r="AN662" s="241"/>
      <c r="AO662" s="241"/>
      <c r="AP662" s="241"/>
      <c r="AQ662" s="241"/>
      <c r="AR662" s="241"/>
      <c r="AS662" s="241"/>
      <c r="AT662" s="241"/>
      <c r="AU662" s="241"/>
      <c r="AV662" s="241"/>
      <c r="AW662" s="241"/>
      <c r="AX662" s="241"/>
      <c r="AY662" s="241"/>
      <c r="AZ662" s="241"/>
    </row>
    <row r="663" spans="1:52" ht="18" customHeight="1">
      <c r="A663" s="250"/>
      <c r="B663" s="241"/>
      <c r="C663" s="241"/>
      <c r="D663" s="241"/>
      <c r="E663" s="241"/>
      <c r="F663" s="241"/>
      <c r="G663" s="241"/>
      <c r="H663" s="241"/>
      <c r="I663" s="241"/>
      <c r="J663" s="241"/>
      <c r="K663" s="241"/>
      <c r="L663" s="241"/>
      <c r="M663" s="241"/>
      <c r="N663" s="241"/>
      <c r="O663" s="241"/>
      <c r="P663" s="241"/>
      <c r="Q663" s="241"/>
      <c r="R663" s="241"/>
      <c r="S663" s="241"/>
      <c r="T663" s="241"/>
      <c r="U663" s="241"/>
      <c r="V663" s="241"/>
      <c r="W663" s="241"/>
      <c r="X663" s="241"/>
      <c r="Y663" s="241"/>
      <c r="Z663" s="241"/>
      <c r="AA663" s="241"/>
      <c r="AB663" s="241"/>
      <c r="AC663" s="241"/>
      <c r="AD663" s="241"/>
      <c r="AE663" s="241"/>
      <c r="AF663" s="241"/>
      <c r="AG663" s="241"/>
      <c r="AH663" s="241"/>
      <c r="AI663" s="241"/>
      <c r="AJ663" s="241"/>
      <c r="AK663" s="241"/>
      <c r="AL663" s="241"/>
      <c r="AM663" s="241"/>
      <c r="AN663" s="241"/>
      <c r="AO663" s="241"/>
      <c r="AP663" s="241"/>
      <c r="AQ663" s="241"/>
      <c r="AR663" s="241"/>
      <c r="AS663" s="241"/>
      <c r="AT663" s="241"/>
      <c r="AU663" s="241"/>
      <c r="AV663" s="241"/>
      <c r="AW663" s="241"/>
      <c r="AX663" s="241"/>
      <c r="AY663" s="241"/>
      <c r="AZ663" s="241"/>
    </row>
    <row r="664" spans="1:52" ht="18" customHeight="1">
      <c r="A664" s="250"/>
      <c r="B664" s="241"/>
      <c r="C664" s="241"/>
      <c r="D664" s="241"/>
      <c r="E664" s="241"/>
      <c r="F664" s="241"/>
      <c r="G664" s="241"/>
      <c r="H664" s="241"/>
      <c r="I664" s="241"/>
      <c r="J664" s="241"/>
      <c r="K664" s="241"/>
      <c r="L664" s="241"/>
      <c r="M664" s="241"/>
      <c r="N664" s="241"/>
      <c r="O664" s="241"/>
      <c r="P664" s="241"/>
      <c r="Q664" s="241"/>
      <c r="R664" s="241"/>
      <c r="S664" s="241"/>
      <c r="T664" s="241"/>
      <c r="U664" s="241"/>
      <c r="V664" s="241"/>
      <c r="W664" s="241"/>
      <c r="X664" s="241"/>
      <c r="Y664" s="241"/>
      <c r="Z664" s="241"/>
      <c r="AA664" s="241"/>
      <c r="AB664" s="241"/>
      <c r="AC664" s="241"/>
      <c r="AD664" s="241"/>
      <c r="AE664" s="241"/>
      <c r="AF664" s="241"/>
      <c r="AG664" s="241"/>
      <c r="AH664" s="241"/>
      <c r="AI664" s="241"/>
      <c r="AJ664" s="241"/>
      <c r="AK664" s="241"/>
      <c r="AL664" s="241"/>
      <c r="AM664" s="241"/>
      <c r="AN664" s="241"/>
      <c r="AO664" s="241"/>
      <c r="AP664" s="241"/>
      <c r="AQ664" s="241"/>
      <c r="AR664" s="241"/>
      <c r="AS664" s="241"/>
      <c r="AT664" s="241"/>
      <c r="AU664" s="241"/>
      <c r="AV664" s="241"/>
      <c r="AW664" s="241"/>
      <c r="AX664" s="241"/>
      <c r="AY664" s="241"/>
      <c r="AZ664" s="241"/>
    </row>
    <row r="665" spans="1:52" ht="18" customHeight="1">
      <c r="A665" s="250"/>
      <c r="B665" s="241"/>
      <c r="C665" s="241"/>
      <c r="D665" s="241"/>
      <c r="E665" s="241"/>
      <c r="F665" s="241"/>
      <c r="G665" s="241"/>
      <c r="H665" s="241"/>
      <c r="I665" s="241"/>
      <c r="J665" s="241"/>
      <c r="K665" s="241"/>
      <c r="L665" s="241"/>
      <c r="M665" s="241"/>
      <c r="N665" s="241"/>
      <c r="O665" s="241"/>
      <c r="P665" s="241"/>
      <c r="Q665" s="241"/>
      <c r="R665" s="241"/>
      <c r="S665" s="241"/>
      <c r="T665" s="241"/>
      <c r="U665" s="241"/>
      <c r="V665" s="241"/>
      <c r="W665" s="241"/>
      <c r="X665" s="241"/>
      <c r="Y665" s="241"/>
      <c r="Z665" s="241"/>
      <c r="AA665" s="241"/>
      <c r="AB665" s="241"/>
      <c r="AC665" s="241"/>
      <c r="AD665" s="241"/>
      <c r="AE665" s="241"/>
      <c r="AF665" s="241"/>
      <c r="AG665" s="241"/>
      <c r="AH665" s="241"/>
      <c r="AI665" s="241"/>
      <c r="AJ665" s="241"/>
      <c r="AK665" s="241"/>
      <c r="AL665" s="241"/>
      <c r="AM665" s="241"/>
      <c r="AN665" s="241"/>
      <c r="AO665" s="241"/>
      <c r="AP665" s="241"/>
      <c r="AQ665" s="241"/>
      <c r="AR665" s="241"/>
      <c r="AS665" s="241"/>
      <c r="AT665" s="241"/>
      <c r="AU665" s="241"/>
      <c r="AV665" s="241"/>
      <c r="AW665" s="241"/>
      <c r="AX665" s="241"/>
      <c r="AY665" s="241"/>
      <c r="AZ665" s="241"/>
    </row>
    <row r="666" spans="1:52" ht="18" customHeight="1">
      <c r="A666" s="250"/>
      <c r="B666" s="241"/>
      <c r="C666" s="241"/>
      <c r="D666" s="241"/>
      <c r="E666" s="241"/>
      <c r="F666" s="241"/>
      <c r="G666" s="241"/>
      <c r="H666" s="241"/>
      <c r="I666" s="241"/>
      <c r="J666" s="241"/>
      <c r="K666" s="241"/>
      <c r="L666" s="241"/>
      <c r="M666" s="241"/>
      <c r="N666" s="241"/>
      <c r="O666" s="241"/>
      <c r="P666" s="241"/>
      <c r="Q666" s="241"/>
      <c r="R666" s="241"/>
      <c r="S666" s="241"/>
      <c r="T666" s="241"/>
      <c r="U666" s="241"/>
      <c r="V666" s="241"/>
      <c r="W666" s="241"/>
      <c r="X666" s="241"/>
      <c r="Y666" s="241"/>
      <c r="Z666" s="241"/>
      <c r="AA666" s="241"/>
      <c r="AB666" s="241"/>
      <c r="AC666" s="241"/>
      <c r="AD666" s="241"/>
      <c r="AE666" s="241"/>
      <c r="AF666" s="241"/>
      <c r="AG666" s="241"/>
      <c r="AH666" s="241"/>
      <c r="AI666" s="241"/>
      <c r="AJ666" s="241"/>
      <c r="AK666" s="241"/>
      <c r="AL666" s="241"/>
      <c r="AM666" s="241"/>
      <c r="AN666" s="241"/>
      <c r="AO666" s="241"/>
      <c r="AP666" s="241"/>
      <c r="AQ666" s="241"/>
      <c r="AR666" s="241"/>
      <c r="AS666" s="241"/>
      <c r="AT666" s="241"/>
      <c r="AU666" s="241"/>
      <c r="AV666" s="241"/>
      <c r="AW666" s="241"/>
      <c r="AX666" s="241"/>
      <c r="AY666" s="241"/>
      <c r="AZ666" s="241"/>
    </row>
    <row r="667" spans="1:52" ht="18" customHeight="1">
      <c r="A667" s="250"/>
      <c r="B667" s="241"/>
      <c r="C667" s="241"/>
      <c r="D667" s="241"/>
      <c r="E667" s="241"/>
      <c r="F667" s="241"/>
      <c r="G667" s="241"/>
      <c r="H667" s="241"/>
      <c r="I667" s="241"/>
      <c r="J667" s="241"/>
      <c r="K667" s="241"/>
      <c r="L667" s="241"/>
      <c r="M667" s="241"/>
      <c r="N667" s="241"/>
      <c r="O667" s="241"/>
      <c r="P667" s="241"/>
      <c r="Q667" s="241"/>
      <c r="R667" s="241"/>
      <c r="S667" s="241"/>
      <c r="T667" s="241"/>
      <c r="U667" s="241"/>
      <c r="V667" s="241"/>
      <c r="W667" s="241"/>
      <c r="X667" s="241"/>
      <c r="Y667" s="241"/>
      <c r="Z667" s="241"/>
      <c r="AA667" s="241"/>
      <c r="AB667" s="241"/>
      <c r="AC667" s="241"/>
      <c r="AD667" s="241"/>
      <c r="AE667" s="241"/>
      <c r="AF667" s="241"/>
      <c r="AG667" s="241"/>
      <c r="AH667" s="241"/>
      <c r="AI667" s="241"/>
      <c r="AJ667" s="241"/>
      <c r="AK667" s="241"/>
      <c r="AL667" s="241"/>
      <c r="AM667" s="241"/>
      <c r="AN667" s="241"/>
      <c r="AO667" s="241"/>
      <c r="AP667" s="241"/>
      <c r="AQ667" s="241"/>
      <c r="AR667" s="241"/>
      <c r="AS667" s="241"/>
      <c r="AT667" s="241"/>
      <c r="AU667" s="241"/>
      <c r="AV667" s="241"/>
      <c r="AW667" s="241"/>
      <c r="AX667" s="241"/>
      <c r="AY667" s="241"/>
      <c r="AZ667" s="241"/>
    </row>
    <row r="668" spans="1:52" ht="18" customHeight="1">
      <c r="A668" s="250"/>
      <c r="B668" s="241"/>
      <c r="C668" s="241"/>
      <c r="D668" s="241"/>
      <c r="E668" s="241"/>
      <c r="F668" s="241"/>
      <c r="G668" s="241"/>
      <c r="H668" s="241"/>
      <c r="I668" s="241"/>
      <c r="J668" s="241"/>
      <c r="K668" s="241"/>
      <c r="L668" s="241"/>
      <c r="M668" s="241"/>
      <c r="N668" s="241"/>
      <c r="O668" s="241"/>
      <c r="P668" s="241"/>
      <c r="Q668" s="241"/>
      <c r="R668" s="241"/>
      <c r="S668" s="241"/>
      <c r="T668" s="241"/>
      <c r="U668" s="241"/>
      <c r="V668" s="241"/>
      <c r="W668" s="241"/>
      <c r="X668" s="241"/>
      <c r="Y668" s="241"/>
      <c r="Z668" s="241"/>
      <c r="AA668" s="241"/>
      <c r="AB668" s="241"/>
      <c r="AC668" s="241"/>
      <c r="AD668" s="241"/>
      <c r="AE668" s="241"/>
      <c r="AF668" s="241"/>
      <c r="AG668" s="241"/>
      <c r="AH668" s="241"/>
      <c r="AI668" s="241"/>
      <c r="AJ668" s="241"/>
      <c r="AK668" s="241"/>
      <c r="AL668" s="241"/>
      <c r="AM668" s="241"/>
      <c r="AN668" s="241"/>
      <c r="AO668" s="241"/>
      <c r="AP668" s="241"/>
      <c r="AQ668" s="241"/>
      <c r="AR668" s="241"/>
      <c r="AS668" s="241"/>
      <c r="AT668" s="241"/>
      <c r="AU668" s="241"/>
      <c r="AV668" s="241"/>
      <c r="AW668" s="241"/>
      <c r="AX668" s="241"/>
      <c r="AY668" s="241"/>
      <c r="AZ668" s="241"/>
    </row>
    <row r="669" spans="1:52" ht="18" customHeight="1">
      <c r="A669" s="250"/>
      <c r="B669" s="241"/>
      <c r="C669" s="241"/>
      <c r="D669" s="241"/>
      <c r="E669" s="241"/>
      <c r="F669" s="241"/>
      <c r="G669" s="241"/>
      <c r="H669" s="241"/>
      <c r="I669" s="241"/>
      <c r="J669" s="241"/>
      <c r="K669" s="241"/>
      <c r="L669" s="241"/>
      <c r="M669" s="241"/>
      <c r="N669" s="241"/>
      <c r="O669" s="241"/>
      <c r="P669" s="241"/>
      <c r="Q669" s="241"/>
      <c r="R669" s="241"/>
      <c r="S669" s="241"/>
      <c r="T669" s="241"/>
      <c r="U669" s="241"/>
      <c r="V669" s="241"/>
      <c r="W669" s="241"/>
      <c r="X669" s="241"/>
      <c r="Y669" s="241"/>
      <c r="Z669" s="241"/>
      <c r="AA669" s="241"/>
      <c r="AB669" s="241"/>
      <c r="AC669" s="241"/>
      <c r="AD669" s="241"/>
      <c r="AE669" s="241"/>
      <c r="AF669" s="241"/>
      <c r="AG669" s="241"/>
      <c r="AH669" s="241"/>
      <c r="AI669" s="241"/>
      <c r="AJ669" s="241"/>
      <c r="AK669" s="241"/>
      <c r="AL669" s="241"/>
      <c r="AM669" s="241"/>
      <c r="AN669" s="241"/>
      <c r="AO669" s="241"/>
      <c r="AP669" s="241"/>
      <c r="AQ669" s="241"/>
      <c r="AR669" s="241"/>
      <c r="AS669" s="241"/>
      <c r="AT669" s="241"/>
      <c r="AU669" s="241"/>
      <c r="AV669" s="241"/>
      <c r="AW669" s="241"/>
      <c r="AX669" s="241"/>
      <c r="AY669" s="241"/>
      <c r="AZ669" s="241"/>
    </row>
    <row r="670" spans="1:52" ht="18" customHeight="1">
      <c r="A670" s="250"/>
      <c r="B670" s="241"/>
      <c r="C670" s="241"/>
      <c r="D670" s="241"/>
      <c r="E670" s="241"/>
      <c r="F670" s="241"/>
      <c r="G670" s="241"/>
      <c r="H670" s="241"/>
      <c r="I670" s="241"/>
      <c r="J670" s="241"/>
      <c r="K670" s="241"/>
      <c r="L670" s="241"/>
      <c r="M670" s="241"/>
      <c r="N670" s="241"/>
      <c r="O670" s="241"/>
      <c r="P670" s="241"/>
      <c r="Q670" s="241"/>
      <c r="R670" s="241"/>
      <c r="S670" s="241"/>
      <c r="T670" s="241"/>
      <c r="U670" s="241"/>
      <c r="V670" s="241"/>
      <c r="W670" s="241"/>
      <c r="X670" s="241"/>
      <c r="Y670" s="241"/>
      <c r="Z670" s="241"/>
      <c r="AA670" s="241"/>
      <c r="AB670" s="241"/>
      <c r="AC670" s="241"/>
      <c r="AD670" s="241"/>
      <c r="AE670" s="241"/>
      <c r="AF670" s="241"/>
      <c r="AG670" s="241"/>
      <c r="AH670" s="241"/>
      <c r="AI670" s="241"/>
      <c r="AJ670" s="241"/>
      <c r="AK670" s="241"/>
      <c r="AL670" s="241"/>
      <c r="AM670" s="241"/>
      <c r="AN670" s="241"/>
      <c r="AO670" s="241"/>
      <c r="AP670" s="241"/>
      <c r="AQ670" s="241"/>
      <c r="AR670" s="241"/>
      <c r="AS670" s="241"/>
      <c r="AT670" s="241"/>
      <c r="AU670" s="241"/>
      <c r="AV670" s="241"/>
      <c r="AW670" s="241"/>
      <c r="AX670" s="241"/>
      <c r="AY670" s="241"/>
      <c r="AZ670" s="241"/>
    </row>
    <row r="671" spans="1:52" ht="18" customHeight="1">
      <c r="A671" s="250"/>
      <c r="B671" s="241"/>
      <c r="C671" s="241"/>
      <c r="D671" s="241"/>
      <c r="E671" s="241"/>
      <c r="F671" s="241"/>
      <c r="G671" s="241"/>
      <c r="H671" s="241"/>
      <c r="I671" s="241"/>
      <c r="J671" s="241"/>
      <c r="K671" s="241"/>
      <c r="L671" s="241"/>
      <c r="M671" s="241"/>
      <c r="N671" s="241"/>
      <c r="O671" s="241"/>
      <c r="P671" s="241"/>
      <c r="Q671" s="241"/>
      <c r="R671" s="241"/>
      <c r="S671" s="241"/>
      <c r="T671" s="241"/>
      <c r="U671" s="241"/>
      <c r="V671" s="241"/>
      <c r="W671" s="241"/>
      <c r="X671" s="241"/>
      <c r="Y671" s="241"/>
      <c r="Z671" s="241"/>
      <c r="AA671" s="241"/>
      <c r="AB671" s="241"/>
      <c r="AC671" s="241"/>
      <c r="AD671" s="241"/>
      <c r="AE671" s="241"/>
      <c r="AF671" s="241"/>
      <c r="AG671" s="241"/>
      <c r="AH671" s="241"/>
      <c r="AI671" s="241"/>
      <c r="AJ671" s="241"/>
      <c r="AK671" s="241"/>
      <c r="AL671" s="241"/>
      <c r="AM671" s="241"/>
      <c r="AN671" s="241"/>
      <c r="AO671" s="241"/>
      <c r="AP671" s="241"/>
      <c r="AQ671" s="241"/>
      <c r="AR671" s="241"/>
      <c r="AS671" s="241"/>
      <c r="AT671" s="241"/>
      <c r="AU671" s="241"/>
      <c r="AV671" s="241"/>
      <c r="AW671" s="241"/>
      <c r="AX671" s="241"/>
      <c r="AY671" s="241"/>
      <c r="AZ671" s="241"/>
    </row>
    <row r="672" spans="1:52" ht="18" customHeight="1">
      <c r="A672" s="250"/>
      <c r="B672" s="241"/>
      <c r="C672" s="241"/>
      <c r="D672" s="241"/>
      <c r="E672" s="241"/>
      <c r="F672" s="241"/>
      <c r="G672" s="241"/>
      <c r="H672" s="241"/>
      <c r="I672" s="241"/>
      <c r="J672" s="241"/>
      <c r="K672" s="241"/>
      <c r="L672" s="241"/>
      <c r="M672" s="241"/>
      <c r="N672" s="241"/>
      <c r="O672" s="241"/>
      <c r="P672" s="241"/>
      <c r="Q672" s="241"/>
      <c r="R672" s="241"/>
      <c r="S672" s="241"/>
      <c r="T672" s="241"/>
      <c r="U672" s="241"/>
      <c r="V672" s="241"/>
      <c r="W672" s="241"/>
      <c r="X672" s="241"/>
      <c r="Y672" s="241"/>
      <c r="Z672" s="241"/>
      <c r="AA672" s="241"/>
      <c r="AB672" s="241"/>
      <c r="AC672" s="241"/>
      <c r="AD672" s="241"/>
      <c r="AE672" s="241"/>
      <c r="AF672" s="241"/>
      <c r="AG672" s="241"/>
      <c r="AH672" s="241"/>
      <c r="AI672" s="241"/>
      <c r="AJ672" s="241"/>
      <c r="AK672" s="241"/>
      <c r="AL672" s="241"/>
      <c r="AM672" s="241"/>
      <c r="AN672" s="241"/>
      <c r="AO672" s="241"/>
      <c r="AP672" s="241"/>
      <c r="AQ672" s="241"/>
      <c r="AR672" s="241"/>
      <c r="AS672" s="241"/>
      <c r="AT672" s="241"/>
      <c r="AU672" s="241"/>
      <c r="AV672" s="241"/>
      <c r="AW672" s="241"/>
      <c r="AX672" s="241"/>
      <c r="AY672" s="241"/>
      <c r="AZ672" s="241"/>
    </row>
    <row r="673" spans="1:52" ht="18" customHeight="1">
      <c r="A673" s="250"/>
      <c r="B673" s="241"/>
      <c r="C673" s="241"/>
      <c r="D673" s="241"/>
      <c r="E673" s="241"/>
      <c r="F673" s="241"/>
      <c r="G673" s="241"/>
      <c r="H673" s="241"/>
      <c r="I673" s="241"/>
      <c r="J673" s="241"/>
      <c r="K673" s="241"/>
      <c r="L673" s="241"/>
      <c r="M673" s="241"/>
      <c r="N673" s="241"/>
      <c r="O673" s="241"/>
      <c r="P673" s="241"/>
      <c r="Q673" s="241"/>
      <c r="R673" s="241"/>
      <c r="S673" s="241"/>
      <c r="T673" s="241"/>
      <c r="U673" s="241"/>
      <c r="V673" s="241"/>
      <c r="W673" s="241"/>
      <c r="X673" s="241"/>
      <c r="Y673" s="241"/>
      <c r="Z673" s="241"/>
      <c r="AA673" s="241"/>
      <c r="AB673" s="241"/>
      <c r="AC673" s="241"/>
      <c r="AD673" s="241"/>
      <c r="AE673" s="241"/>
      <c r="AF673" s="241"/>
      <c r="AG673" s="241"/>
      <c r="AH673" s="241"/>
      <c r="AI673" s="241"/>
      <c r="AJ673" s="241"/>
      <c r="AK673" s="241"/>
      <c r="AL673" s="241"/>
      <c r="AM673" s="241"/>
      <c r="AN673" s="241"/>
      <c r="AO673" s="241"/>
      <c r="AP673" s="241"/>
      <c r="AQ673" s="241"/>
      <c r="AR673" s="241"/>
      <c r="AS673" s="241"/>
      <c r="AT673" s="241"/>
      <c r="AU673" s="241"/>
      <c r="AV673" s="241"/>
      <c r="AW673" s="241"/>
      <c r="AX673" s="241"/>
      <c r="AY673" s="241"/>
      <c r="AZ673" s="241"/>
    </row>
    <row r="674" spans="1:52" ht="18" customHeight="1">
      <c r="A674" s="250"/>
      <c r="B674" s="241"/>
      <c r="C674" s="241"/>
      <c r="D674" s="241"/>
      <c r="E674" s="241"/>
      <c r="F674" s="241"/>
      <c r="G674" s="241"/>
      <c r="H674" s="241"/>
      <c r="I674" s="241"/>
      <c r="J674" s="241"/>
      <c r="K674" s="241"/>
      <c r="L674" s="241"/>
      <c r="M674" s="241"/>
      <c r="N674" s="241"/>
      <c r="O674" s="241"/>
      <c r="P674" s="241"/>
      <c r="Q674" s="241"/>
      <c r="R674" s="241"/>
      <c r="S674" s="241"/>
      <c r="T674" s="241"/>
      <c r="U674" s="241"/>
      <c r="V674" s="241"/>
      <c r="W674" s="241"/>
      <c r="X674" s="241"/>
      <c r="Y674" s="241"/>
      <c r="Z674" s="241"/>
      <c r="AA674" s="241"/>
      <c r="AB674" s="241"/>
      <c r="AC674" s="241"/>
      <c r="AD674" s="241"/>
      <c r="AE674" s="241"/>
      <c r="AF674" s="241"/>
      <c r="AG674" s="241"/>
      <c r="AH674" s="241"/>
      <c r="AI674" s="241"/>
      <c r="AJ674" s="241"/>
      <c r="AK674" s="241"/>
      <c r="AL674" s="241"/>
      <c r="AM674" s="241"/>
      <c r="AN674" s="241"/>
      <c r="AO674" s="241"/>
      <c r="AP674" s="241"/>
      <c r="AQ674" s="241"/>
      <c r="AR674" s="241"/>
      <c r="AS674" s="241"/>
      <c r="AT674" s="241"/>
      <c r="AU674" s="241"/>
      <c r="AV674" s="241"/>
      <c r="AW674" s="241"/>
      <c r="AX674" s="241"/>
      <c r="AY674" s="241"/>
      <c r="AZ674" s="241"/>
    </row>
    <row r="675" spans="1:52" ht="18" customHeight="1">
      <c r="A675" s="250"/>
      <c r="B675" s="241"/>
      <c r="C675" s="241"/>
      <c r="D675" s="241"/>
      <c r="E675" s="241"/>
      <c r="F675" s="241"/>
      <c r="G675" s="241"/>
      <c r="H675" s="241"/>
      <c r="I675" s="241"/>
      <c r="J675" s="241"/>
      <c r="K675" s="241"/>
      <c r="L675" s="241"/>
      <c r="M675" s="241"/>
      <c r="N675" s="241"/>
      <c r="O675" s="241"/>
      <c r="P675" s="241"/>
      <c r="Q675" s="241"/>
      <c r="R675" s="241"/>
      <c r="S675" s="241"/>
      <c r="T675" s="241"/>
      <c r="U675" s="241"/>
      <c r="V675" s="241"/>
      <c r="W675" s="241"/>
      <c r="X675" s="241"/>
      <c r="Y675" s="241"/>
      <c r="Z675" s="241"/>
      <c r="AA675" s="241"/>
      <c r="AB675" s="241"/>
      <c r="AC675" s="241"/>
      <c r="AD675" s="241"/>
      <c r="AE675" s="241"/>
      <c r="AF675" s="241"/>
      <c r="AG675" s="241"/>
      <c r="AH675" s="241"/>
      <c r="AI675" s="241"/>
      <c r="AJ675" s="241"/>
      <c r="AK675" s="241"/>
      <c r="AL675" s="241"/>
      <c r="AM675" s="241"/>
      <c r="AN675" s="241"/>
      <c r="AO675" s="241"/>
      <c r="AP675" s="241"/>
      <c r="AQ675" s="241"/>
      <c r="AR675" s="241"/>
      <c r="AS675" s="241"/>
      <c r="AT675" s="241"/>
      <c r="AU675" s="241"/>
      <c r="AV675" s="241"/>
      <c r="AW675" s="241"/>
      <c r="AX675" s="241"/>
      <c r="AY675" s="241"/>
      <c r="AZ675" s="241"/>
    </row>
    <row r="676" spans="1:52" ht="18" customHeight="1">
      <c r="A676" s="250"/>
      <c r="B676" s="241"/>
      <c r="C676" s="241"/>
      <c r="D676" s="241"/>
      <c r="E676" s="241"/>
      <c r="F676" s="241"/>
      <c r="G676" s="241"/>
      <c r="H676" s="241"/>
      <c r="I676" s="241"/>
      <c r="J676" s="241"/>
      <c r="K676" s="241"/>
      <c r="L676" s="241"/>
      <c r="M676" s="241"/>
      <c r="N676" s="241"/>
      <c r="O676" s="241"/>
      <c r="P676" s="241"/>
      <c r="Q676" s="241"/>
      <c r="R676" s="241"/>
      <c r="S676" s="241"/>
      <c r="T676" s="241"/>
      <c r="U676" s="241"/>
      <c r="V676" s="241"/>
      <c r="W676" s="241"/>
      <c r="X676" s="241"/>
      <c r="Y676" s="241"/>
      <c r="Z676" s="241"/>
      <c r="AA676" s="241"/>
      <c r="AB676" s="241"/>
      <c r="AC676" s="241"/>
      <c r="AD676" s="241"/>
      <c r="AE676" s="241"/>
      <c r="AF676" s="241"/>
      <c r="AG676" s="241"/>
      <c r="AH676" s="241"/>
      <c r="AI676" s="241"/>
      <c r="AJ676" s="241"/>
      <c r="AK676" s="241"/>
      <c r="AL676" s="241"/>
      <c r="AM676" s="241"/>
      <c r="AN676" s="241"/>
      <c r="AO676" s="241"/>
      <c r="AP676" s="241"/>
      <c r="AQ676" s="241"/>
      <c r="AR676" s="241"/>
      <c r="AS676" s="241"/>
      <c r="AT676" s="241"/>
      <c r="AU676" s="241"/>
      <c r="AV676" s="241"/>
      <c r="AW676" s="241"/>
      <c r="AX676" s="241"/>
      <c r="AY676" s="241"/>
      <c r="AZ676" s="241"/>
    </row>
    <row r="677" spans="1:52" ht="18" customHeight="1">
      <c r="A677" s="250"/>
      <c r="B677" s="241"/>
      <c r="C677" s="241"/>
      <c r="D677" s="241"/>
      <c r="E677" s="241"/>
      <c r="F677" s="241"/>
      <c r="G677" s="241"/>
      <c r="H677" s="241"/>
      <c r="I677" s="241"/>
      <c r="J677" s="241"/>
      <c r="K677" s="241"/>
      <c r="L677" s="241"/>
      <c r="M677" s="241"/>
      <c r="N677" s="241"/>
      <c r="O677" s="241"/>
      <c r="P677" s="241"/>
      <c r="Q677" s="241"/>
      <c r="R677" s="241"/>
      <c r="S677" s="241"/>
      <c r="T677" s="241"/>
      <c r="U677" s="241"/>
      <c r="V677" s="241"/>
      <c r="W677" s="241"/>
      <c r="X677" s="241"/>
      <c r="Y677" s="241"/>
      <c r="Z677" s="241"/>
      <c r="AA677" s="241"/>
      <c r="AB677" s="241"/>
      <c r="AC677" s="241"/>
      <c r="AD677" s="241"/>
      <c r="AE677" s="241"/>
      <c r="AF677" s="241"/>
      <c r="AG677" s="241"/>
      <c r="AH677" s="241"/>
      <c r="AI677" s="241"/>
      <c r="AJ677" s="241"/>
      <c r="AK677" s="241"/>
      <c r="AL677" s="241"/>
      <c r="AM677" s="241"/>
      <c r="AN677" s="241"/>
      <c r="AO677" s="241"/>
      <c r="AP677" s="241"/>
      <c r="AQ677" s="241"/>
      <c r="AR677" s="241"/>
      <c r="AS677" s="241"/>
      <c r="AT677" s="241"/>
      <c r="AU677" s="241"/>
      <c r="AV677" s="241"/>
      <c r="AW677" s="241"/>
      <c r="AX677" s="241"/>
      <c r="AY677" s="241"/>
      <c r="AZ677" s="241"/>
    </row>
    <row r="678" spans="1:52" ht="18" customHeight="1">
      <c r="A678" s="250"/>
      <c r="B678" s="241"/>
      <c r="C678" s="241"/>
      <c r="D678" s="241"/>
      <c r="E678" s="241"/>
      <c r="F678" s="241"/>
      <c r="G678" s="241"/>
      <c r="H678" s="241"/>
      <c r="I678" s="241"/>
      <c r="J678" s="241"/>
      <c r="K678" s="241"/>
      <c r="L678" s="241"/>
      <c r="M678" s="241"/>
      <c r="N678" s="241"/>
      <c r="O678" s="241"/>
      <c r="P678" s="241"/>
      <c r="Q678" s="241"/>
      <c r="R678" s="241"/>
      <c r="S678" s="241"/>
      <c r="T678" s="241"/>
      <c r="U678" s="241"/>
      <c r="V678" s="241"/>
      <c r="W678" s="241"/>
      <c r="X678" s="241"/>
      <c r="Y678" s="241"/>
      <c r="Z678" s="241"/>
      <c r="AA678" s="241"/>
      <c r="AB678" s="241"/>
      <c r="AC678" s="241"/>
      <c r="AD678" s="241"/>
      <c r="AE678" s="241"/>
      <c r="AF678" s="241"/>
      <c r="AG678" s="241"/>
      <c r="AH678" s="241"/>
      <c r="AI678" s="241"/>
      <c r="AJ678" s="241"/>
      <c r="AK678" s="241"/>
      <c r="AL678" s="241"/>
      <c r="AM678" s="241"/>
      <c r="AN678" s="241"/>
      <c r="AO678" s="241"/>
      <c r="AP678" s="241"/>
      <c r="AQ678" s="241"/>
      <c r="AR678" s="241"/>
      <c r="AS678" s="241"/>
      <c r="AT678" s="241"/>
      <c r="AU678" s="241"/>
      <c r="AV678" s="241"/>
      <c r="AW678" s="241"/>
      <c r="AX678" s="241"/>
      <c r="AY678" s="241"/>
      <c r="AZ678" s="241"/>
    </row>
    <row r="679" spans="1:52" ht="18" customHeight="1">
      <c r="A679" s="250"/>
      <c r="B679" s="241"/>
      <c r="C679" s="241"/>
      <c r="D679" s="241"/>
      <c r="E679" s="241"/>
      <c r="F679" s="241"/>
      <c r="G679" s="241"/>
      <c r="H679" s="241"/>
      <c r="I679" s="241"/>
      <c r="J679" s="241"/>
      <c r="K679" s="241"/>
      <c r="L679" s="241"/>
      <c r="M679" s="241"/>
      <c r="N679" s="241"/>
      <c r="O679" s="241"/>
      <c r="P679" s="241"/>
      <c r="Q679" s="241"/>
      <c r="R679" s="241"/>
      <c r="S679" s="241"/>
      <c r="T679" s="241"/>
      <c r="U679" s="241"/>
      <c r="V679" s="241"/>
      <c r="W679" s="241"/>
      <c r="X679" s="241"/>
      <c r="Y679" s="241"/>
      <c r="Z679" s="241"/>
      <c r="AA679" s="241"/>
      <c r="AB679" s="241"/>
      <c r="AC679" s="241"/>
      <c r="AD679" s="241"/>
      <c r="AE679" s="241"/>
      <c r="AF679" s="241"/>
      <c r="AG679" s="241"/>
      <c r="AH679" s="241"/>
      <c r="AI679" s="241"/>
      <c r="AJ679" s="241"/>
      <c r="AK679" s="241"/>
      <c r="AL679" s="241"/>
      <c r="AM679" s="241"/>
      <c r="AN679" s="241"/>
      <c r="AO679" s="241"/>
      <c r="AP679" s="241"/>
      <c r="AQ679" s="241"/>
      <c r="AR679" s="241"/>
      <c r="AS679" s="241"/>
      <c r="AT679" s="241"/>
      <c r="AU679" s="241"/>
      <c r="AV679" s="241"/>
      <c r="AW679" s="241"/>
      <c r="AX679" s="241"/>
      <c r="AY679" s="241"/>
      <c r="AZ679" s="241"/>
    </row>
    <row r="680" spans="1:52" ht="18" customHeight="1">
      <c r="A680" s="250"/>
      <c r="B680" s="241"/>
      <c r="C680" s="241"/>
      <c r="D680" s="241"/>
      <c r="E680" s="241"/>
      <c r="F680" s="241"/>
      <c r="G680" s="241"/>
      <c r="H680" s="241"/>
      <c r="I680" s="241"/>
      <c r="J680" s="241"/>
      <c r="K680" s="241"/>
      <c r="L680" s="241"/>
      <c r="M680" s="241"/>
      <c r="N680" s="241"/>
      <c r="O680" s="241"/>
      <c r="P680" s="241"/>
      <c r="Q680" s="241"/>
      <c r="R680" s="241"/>
      <c r="S680" s="241"/>
      <c r="T680" s="241"/>
      <c r="U680" s="241"/>
      <c r="V680" s="241"/>
      <c r="W680" s="241"/>
      <c r="X680" s="241"/>
      <c r="Y680" s="241"/>
      <c r="Z680" s="241"/>
      <c r="AA680" s="241"/>
      <c r="AB680" s="241"/>
      <c r="AC680" s="241"/>
      <c r="AD680" s="241"/>
      <c r="AE680" s="241"/>
      <c r="AF680" s="241"/>
      <c r="AG680" s="241"/>
      <c r="AH680" s="241"/>
      <c r="AI680" s="241"/>
      <c r="AJ680" s="241"/>
      <c r="AK680" s="241"/>
      <c r="AL680" s="241"/>
      <c r="AM680" s="241"/>
      <c r="AN680" s="241"/>
      <c r="AO680" s="241"/>
      <c r="AP680" s="241"/>
      <c r="AQ680" s="241"/>
      <c r="AR680" s="241"/>
      <c r="AS680" s="241"/>
      <c r="AT680" s="241"/>
      <c r="AU680" s="241"/>
      <c r="AV680" s="241"/>
      <c r="AW680" s="241"/>
      <c r="AX680" s="241"/>
      <c r="AY680" s="241"/>
      <c r="AZ680" s="241"/>
    </row>
    <row r="681" spans="1:52" ht="18" customHeight="1">
      <c r="A681" s="250"/>
      <c r="B681" s="241"/>
      <c r="C681" s="241"/>
      <c r="D681" s="241"/>
      <c r="E681" s="241"/>
      <c r="F681" s="241"/>
      <c r="G681" s="241"/>
      <c r="H681" s="241"/>
      <c r="I681" s="241"/>
      <c r="J681" s="241"/>
      <c r="K681" s="241"/>
      <c r="L681" s="241"/>
      <c r="M681" s="241"/>
      <c r="N681" s="241"/>
      <c r="O681" s="241"/>
      <c r="P681" s="241"/>
      <c r="Q681" s="241"/>
      <c r="R681" s="241"/>
      <c r="S681" s="241"/>
      <c r="T681" s="241"/>
      <c r="U681" s="241"/>
      <c r="V681" s="241"/>
      <c r="W681" s="241"/>
      <c r="X681" s="241"/>
      <c r="Y681" s="241"/>
      <c r="Z681" s="241"/>
      <c r="AA681" s="241"/>
      <c r="AB681" s="241"/>
      <c r="AC681" s="241"/>
      <c r="AD681" s="241"/>
      <c r="AE681" s="241"/>
      <c r="AF681" s="241"/>
      <c r="AG681" s="241"/>
      <c r="AH681" s="241"/>
      <c r="AI681" s="241"/>
      <c r="AJ681" s="241"/>
      <c r="AK681" s="241"/>
      <c r="AL681" s="241"/>
      <c r="AM681" s="241"/>
      <c r="AN681" s="241"/>
      <c r="AO681" s="241"/>
      <c r="AP681" s="241"/>
      <c r="AQ681" s="241"/>
      <c r="AR681" s="241"/>
      <c r="AS681" s="241"/>
      <c r="AT681" s="241"/>
      <c r="AU681" s="241"/>
      <c r="AV681" s="241"/>
      <c r="AW681" s="241"/>
      <c r="AX681" s="241"/>
      <c r="AY681" s="241"/>
      <c r="AZ681" s="241"/>
    </row>
    <row r="682" spans="1:52" ht="18" customHeight="1">
      <c r="A682" s="250"/>
      <c r="B682" s="241"/>
      <c r="C682" s="241"/>
      <c r="D682" s="241"/>
      <c r="E682" s="241"/>
      <c r="F682" s="241"/>
      <c r="G682" s="241"/>
      <c r="H682" s="241"/>
      <c r="I682" s="241"/>
      <c r="J682" s="241"/>
      <c r="K682" s="241"/>
      <c r="L682" s="241"/>
      <c r="M682" s="241"/>
      <c r="N682" s="241"/>
      <c r="O682" s="241"/>
      <c r="P682" s="241"/>
      <c r="Q682" s="241"/>
      <c r="R682" s="241"/>
      <c r="S682" s="241"/>
      <c r="T682" s="241"/>
      <c r="U682" s="241"/>
      <c r="V682" s="241"/>
      <c r="W682" s="241"/>
      <c r="X682" s="241"/>
      <c r="Y682" s="241"/>
      <c r="Z682" s="241"/>
      <c r="AA682" s="241"/>
      <c r="AB682" s="241"/>
      <c r="AC682" s="241"/>
      <c r="AD682" s="241"/>
      <c r="AE682" s="241"/>
      <c r="AF682" s="241"/>
      <c r="AG682" s="241"/>
      <c r="AH682" s="241"/>
      <c r="AI682" s="241"/>
      <c r="AJ682" s="241"/>
      <c r="AK682" s="241"/>
      <c r="AL682" s="241"/>
      <c r="AM682" s="241"/>
      <c r="AN682" s="241"/>
      <c r="AO682" s="241"/>
      <c r="AP682" s="241"/>
      <c r="AQ682" s="241"/>
      <c r="AR682" s="241"/>
      <c r="AS682" s="241"/>
      <c r="AT682" s="241"/>
      <c r="AU682" s="241"/>
      <c r="AV682" s="241"/>
      <c r="AW682" s="241"/>
      <c r="AX682" s="241"/>
      <c r="AY682" s="241"/>
      <c r="AZ682" s="241"/>
    </row>
    <row r="683" spans="1:52" ht="18" customHeight="1">
      <c r="A683" s="250"/>
      <c r="B683" s="241"/>
      <c r="C683" s="241"/>
      <c r="D683" s="241"/>
      <c r="E683" s="241"/>
      <c r="F683" s="241"/>
      <c r="G683" s="241"/>
      <c r="H683" s="241"/>
      <c r="I683" s="241"/>
      <c r="J683" s="241"/>
      <c r="K683" s="241"/>
      <c r="L683" s="241"/>
      <c r="M683" s="241"/>
      <c r="N683" s="241"/>
      <c r="O683" s="241"/>
      <c r="P683" s="241"/>
      <c r="Q683" s="241"/>
      <c r="R683" s="241"/>
      <c r="S683" s="241"/>
      <c r="T683" s="241"/>
      <c r="U683" s="241"/>
      <c r="V683" s="241"/>
      <c r="W683" s="241"/>
      <c r="X683" s="241"/>
      <c r="Y683" s="241"/>
      <c r="Z683" s="241"/>
      <c r="AA683" s="241"/>
      <c r="AB683" s="241"/>
      <c r="AC683" s="241"/>
      <c r="AD683" s="241"/>
      <c r="AE683" s="241"/>
      <c r="AF683" s="241"/>
      <c r="AG683" s="241"/>
      <c r="AH683" s="241"/>
      <c r="AI683" s="241"/>
      <c r="AJ683" s="241"/>
      <c r="AK683" s="241"/>
      <c r="AL683" s="241"/>
      <c r="AM683" s="241"/>
      <c r="AN683" s="241"/>
      <c r="AO683" s="241"/>
      <c r="AP683" s="241"/>
      <c r="AQ683" s="241"/>
      <c r="AR683" s="241"/>
      <c r="AS683" s="241"/>
      <c r="AT683" s="241"/>
      <c r="AU683" s="241"/>
      <c r="AV683" s="241"/>
      <c r="AW683" s="241"/>
      <c r="AX683" s="241"/>
      <c r="AY683" s="241"/>
      <c r="AZ683" s="241"/>
    </row>
    <row r="684" spans="1:52" ht="18" customHeight="1">
      <c r="A684" s="250"/>
      <c r="B684" s="241"/>
      <c r="C684" s="241"/>
      <c r="D684" s="241"/>
      <c r="E684" s="241"/>
      <c r="F684" s="241"/>
      <c r="G684" s="241"/>
      <c r="H684" s="241"/>
      <c r="I684" s="241"/>
      <c r="J684" s="241"/>
      <c r="K684" s="241"/>
      <c r="L684" s="241"/>
      <c r="M684" s="241"/>
      <c r="N684" s="241"/>
      <c r="O684" s="241"/>
      <c r="P684" s="241"/>
      <c r="Q684" s="241"/>
      <c r="R684" s="241"/>
      <c r="S684" s="241"/>
      <c r="T684" s="241"/>
      <c r="U684" s="241"/>
      <c r="V684" s="241"/>
      <c r="W684" s="241"/>
      <c r="X684" s="241"/>
      <c r="Y684" s="241"/>
      <c r="Z684" s="241"/>
      <c r="AA684" s="241"/>
      <c r="AB684" s="241"/>
      <c r="AC684" s="241"/>
      <c r="AD684" s="241"/>
      <c r="AE684" s="241"/>
      <c r="AF684" s="241"/>
      <c r="AG684" s="241"/>
      <c r="AH684" s="241"/>
      <c r="AI684" s="241"/>
      <c r="AJ684" s="241"/>
      <c r="AK684" s="241"/>
      <c r="AL684" s="241"/>
      <c r="AM684" s="241"/>
      <c r="AN684" s="241"/>
      <c r="AO684" s="241"/>
      <c r="AP684" s="241"/>
      <c r="AQ684" s="241"/>
      <c r="AR684" s="241"/>
      <c r="AS684" s="241"/>
      <c r="AT684" s="241"/>
      <c r="AU684" s="241"/>
      <c r="AV684" s="241"/>
      <c r="AW684" s="241"/>
      <c r="AX684" s="241"/>
      <c r="AY684" s="241"/>
      <c r="AZ684" s="241"/>
    </row>
    <row r="685" spans="1:52" ht="18" customHeight="1">
      <c r="A685" s="250"/>
      <c r="B685" s="241"/>
      <c r="C685" s="241"/>
      <c r="D685" s="241"/>
      <c r="E685" s="241"/>
      <c r="F685" s="241"/>
      <c r="G685" s="241"/>
      <c r="H685" s="241"/>
      <c r="I685" s="241"/>
      <c r="J685" s="241"/>
      <c r="K685" s="241"/>
      <c r="L685" s="241"/>
      <c r="M685" s="241"/>
      <c r="N685" s="241"/>
      <c r="O685" s="241"/>
      <c r="P685" s="241"/>
      <c r="Q685" s="241"/>
      <c r="R685" s="241"/>
      <c r="S685" s="241"/>
      <c r="T685" s="241"/>
      <c r="U685" s="241"/>
      <c r="V685" s="241"/>
      <c r="W685" s="241"/>
      <c r="X685" s="241"/>
      <c r="Y685" s="241"/>
      <c r="Z685" s="241"/>
      <c r="AA685" s="241"/>
      <c r="AB685" s="241"/>
      <c r="AC685" s="241"/>
      <c r="AD685" s="241"/>
      <c r="AE685" s="241"/>
      <c r="AF685" s="241"/>
      <c r="AG685" s="241"/>
      <c r="AH685" s="241"/>
      <c r="AI685" s="241"/>
      <c r="AJ685" s="241"/>
      <c r="AK685" s="241"/>
      <c r="AL685" s="241"/>
      <c r="AM685" s="241"/>
      <c r="AN685" s="241"/>
      <c r="AO685" s="241"/>
      <c r="AP685" s="241"/>
      <c r="AQ685" s="241"/>
      <c r="AR685" s="241"/>
      <c r="AS685" s="241"/>
      <c r="AT685" s="241"/>
      <c r="AU685" s="241"/>
      <c r="AV685" s="241"/>
      <c r="AW685" s="241"/>
      <c r="AX685" s="241"/>
      <c r="AY685" s="241"/>
      <c r="AZ685" s="241"/>
    </row>
    <row r="686" spans="1:52" ht="18" customHeight="1">
      <c r="A686" s="250"/>
      <c r="B686" s="241"/>
      <c r="C686" s="241"/>
      <c r="D686" s="241"/>
      <c r="E686" s="241"/>
      <c r="F686" s="241"/>
      <c r="G686" s="241"/>
      <c r="H686" s="241"/>
      <c r="I686" s="241"/>
      <c r="J686" s="241"/>
      <c r="K686" s="241"/>
      <c r="L686" s="241"/>
      <c r="M686" s="241"/>
      <c r="N686" s="241"/>
      <c r="O686" s="241"/>
      <c r="P686" s="241"/>
      <c r="Q686" s="241"/>
      <c r="R686" s="241"/>
      <c r="S686" s="241"/>
      <c r="T686" s="241"/>
      <c r="U686" s="241"/>
      <c r="V686" s="241"/>
      <c r="W686" s="241"/>
      <c r="X686" s="241"/>
      <c r="Y686" s="241"/>
      <c r="Z686" s="241"/>
      <c r="AA686" s="241"/>
      <c r="AB686" s="241"/>
      <c r="AC686" s="241"/>
      <c r="AD686" s="241"/>
      <c r="AE686" s="241"/>
      <c r="AF686" s="241"/>
      <c r="AG686" s="241"/>
      <c r="AH686" s="241"/>
      <c r="AI686" s="241"/>
      <c r="AJ686" s="241"/>
      <c r="AK686" s="241"/>
      <c r="AL686" s="241"/>
      <c r="AM686" s="241"/>
      <c r="AN686" s="241"/>
      <c r="AO686" s="241"/>
      <c r="AP686" s="241"/>
      <c r="AQ686" s="241"/>
      <c r="AR686" s="241"/>
      <c r="AS686" s="241"/>
      <c r="AT686" s="241"/>
      <c r="AU686" s="241"/>
      <c r="AV686" s="241"/>
      <c r="AW686" s="241"/>
      <c r="AX686" s="241"/>
      <c r="AY686" s="241"/>
      <c r="AZ686" s="241"/>
    </row>
    <row r="687" spans="1:52" ht="18" customHeight="1">
      <c r="A687" s="250"/>
      <c r="B687" s="241"/>
      <c r="C687" s="241"/>
      <c r="D687" s="241"/>
      <c r="E687" s="241"/>
      <c r="F687" s="241"/>
      <c r="G687" s="241"/>
      <c r="H687" s="241"/>
      <c r="I687" s="241"/>
      <c r="J687" s="241"/>
      <c r="K687" s="241"/>
      <c r="L687" s="241"/>
      <c r="M687" s="241"/>
      <c r="N687" s="241"/>
      <c r="O687" s="241"/>
      <c r="P687" s="241"/>
      <c r="Q687" s="241"/>
      <c r="R687" s="241"/>
      <c r="S687" s="241"/>
      <c r="T687" s="241"/>
      <c r="U687" s="241"/>
      <c r="V687" s="241"/>
      <c r="W687" s="241"/>
      <c r="X687" s="241"/>
      <c r="Y687" s="241"/>
      <c r="Z687" s="241"/>
      <c r="AA687" s="241"/>
      <c r="AB687" s="241"/>
      <c r="AC687" s="241"/>
      <c r="AD687" s="241"/>
      <c r="AE687" s="241"/>
      <c r="AF687" s="241"/>
      <c r="AG687" s="241"/>
      <c r="AH687" s="241"/>
      <c r="AI687" s="241"/>
      <c r="AJ687" s="241"/>
      <c r="AK687" s="241"/>
      <c r="AL687" s="241"/>
      <c r="AM687" s="241"/>
      <c r="AN687" s="241"/>
      <c r="AO687" s="241"/>
      <c r="AP687" s="241"/>
      <c r="AQ687" s="241"/>
      <c r="AR687" s="241"/>
      <c r="AS687" s="241"/>
      <c r="AT687" s="241"/>
      <c r="AU687" s="241"/>
      <c r="AV687" s="241"/>
      <c r="AW687" s="241"/>
      <c r="AX687" s="241"/>
      <c r="AY687" s="241"/>
      <c r="AZ687" s="241"/>
    </row>
    <row r="688" spans="1:52" ht="18" customHeight="1">
      <c r="A688" s="250"/>
      <c r="B688" s="241"/>
      <c r="C688" s="241"/>
      <c r="D688" s="241"/>
      <c r="E688" s="241"/>
      <c r="F688" s="241"/>
      <c r="G688" s="241"/>
      <c r="H688" s="241"/>
      <c r="I688" s="241"/>
      <c r="J688" s="241"/>
      <c r="K688" s="241"/>
      <c r="L688" s="241"/>
      <c r="M688" s="241"/>
      <c r="N688" s="241"/>
      <c r="O688" s="241"/>
      <c r="P688" s="241"/>
      <c r="Q688" s="241"/>
      <c r="R688" s="241"/>
      <c r="S688" s="241"/>
      <c r="T688" s="241"/>
      <c r="U688" s="241"/>
      <c r="V688" s="241"/>
      <c r="W688" s="241"/>
      <c r="X688" s="241"/>
      <c r="Y688" s="241"/>
      <c r="Z688" s="241"/>
      <c r="AA688" s="241"/>
      <c r="AB688" s="241"/>
      <c r="AC688" s="241"/>
      <c r="AD688" s="241"/>
      <c r="AE688" s="241"/>
      <c r="AF688" s="241"/>
      <c r="AG688" s="241"/>
      <c r="AH688" s="241"/>
      <c r="AI688" s="241"/>
      <c r="AJ688" s="241"/>
      <c r="AK688" s="241"/>
      <c r="AL688" s="241"/>
      <c r="AM688" s="241"/>
      <c r="AN688" s="241"/>
      <c r="AO688" s="241"/>
      <c r="AP688" s="241"/>
      <c r="AQ688" s="241"/>
      <c r="AR688" s="241"/>
      <c r="AS688" s="241"/>
      <c r="AT688" s="241"/>
      <c r="AU688" s="241"/>
      <c r="AV688" s="241"/>
      <c r="AW688" s="241"/>
      <c r="AX688" s="241"/>
      <c r="AY688" s="241"/>
      <c r="AZ688" s="241"/>
    </row>
    <row r="689" spans="1:52" ht="18" customHeight="1">
      <c r="A689" s="250"/>
      <c r="B689" s="241"/>
      <c r="C689" s="241"/>
      <c r="D689" s="241"/>
      <c r="E689" s="241"/>
      <c r="F689" s="241"/>
      <c r="G689" s="241"/>
      <c r="H689" s="241"/>
      <c r="I689" s="241"/>
      <c r="J689" s="241"/>
      <c r="K689" s="241"/>
      <c r="L689" s="241"/>
      <c r="M689" s="241"/>
      <c r="N689" s="241"/>
      <c r="O689" s="241"/>
      <c r="P689" s="241"/>
      <c r="Q689" s="241"/>
      <c r="R689" s="241"/>
      <c r="S689" s="241"/>
      <c r="T689" s="241"/>
      <c r="U689" s="241"/>
      <c r="V689" s="241"/>
      <c r="W689" s="241"/>
      <c r="X689" s="241"/>
      <c r="Y689" s="241"/>
      <c r="Z689" s="241"/>
      <c r="AA689" s="241"/>
      <c r="AB689" s="241"/>
      <c r="AC689" s="241"/>
      <c r="AD689" s="241"/>
      <c r="AE689" s="241"/>
      <c r="AF689" s="241"/>
      <c r="AG689" s="241"/>
      <c r="AH689" s="241"/>
      <c r="AI689" s="241"/>
      <c r="AJ689" s="241"/>
      <c r="AK689" s="241"/>
      <c r="AL689" s="241"/>
      <c r="AM689" s="241"/>
      <c r="AN689" s="241"/>
      <c r="AO689" s="241"/>
      <c r="AP689" s="241"/>
      <c r="AQ689" s="241"/>
      <c r="AR689" s="241"/>
      <c r="AS689" s="241"/>
      <c r="AT689" s="241"/>
      <c r="AU689" s="241"/>
      <c r="AV689" s="241"/>
      <c r="AW689" s="241"/>
      <c r="AX689" s="241"/>
      <c r="AY689" s="241"/>
      <c r="AZ689" s="241"/>
    </row>
    <row r="690" spans="1:52" ht="18" customHeight="1">
      <c r="A690" s="250"/>
      <c r="B690" s="241"/>
      <c r="C690" s="241"/>
      <c r="D690" s="241"/>
      <c r="E690" s="241"/>
      <c r="F690" s="241"/>
      <c r="G690" s="241"/>
      <c r="H690" s="241"/>
      <c r="I690" s="241"/>
      <c r="J690" s="241"/>
      <c r="K690" s="241"/>
      <c r="L690" s="241"/>
      <c r="M690" s="241"/>
      <c r="N690" s="241"/>
      <c r="O690" s="241"/>
      <c r="P690" s="241"/>
      <c r="Q690" s="241"/>
      <c r="R690" s="241"/>
      <c r="S690" s="241"/>
      <c r="T690" s="241"/>
      <c r="U690" s="241"/>
      <c r="V690" s="241"/>
      <c r="W690" s="241"/>
      <c r="X690" s="241"/>
      <c r="Y690" s="241"/>
      <c r="Z690" s="241"/>
      <c r="AA690" s="241"/>
      <c r="AB690" s="241"/>
      <c r="AC690" s="241"/>
      <c r="AD690" s="241"/>
      <c r="AE690" s="241"/>
      <c r="AF690" s="241"/>
      <c r="AG690" s="241"/>
      <c r="AH690" s="241"/>
      <c r="AI690" s="241"/>
      <c r="AJ690" s="241"/>
      <c r="AK690" s="241"/>
      <c r="AL690" s="241"/>
      <c r="AM690" s="241"/>
      <c r="AN690" s="241"/>
      <c r="AO690" s="241"/>
      <c r="AP690" s="241"/>
      <c r="AQ690" s="241"/>
      <c r="AR690" s="241"/>
      <c r="AS690" s="241"/>
      <c r="AT690" s="241"/>
      <c r="AU690" s="241"/>
      <c r="AV690" s="241"/>
      <c r="AW690" s="241"/>
      <c r="AX690" s="241"/>
      <c r="AY690" s="241"/>
      <c r="AZ690" s="241"/>
    </row>
    <row r="691" spans="1:52" ht="18" customHeight="1">
      <c r="A691" s="250"/>
      <c r="B691" s="241"/>
      <c r="C691" s="241"/>
      <c r="D691" s="241"/>
      <c r="E691" s="241"/>
      <c r="F691" s="241"/>
      <c r="G691" s="241"/>
      <c r="H691" s="241"/>
      <c r="I691" s="241"/>
      <c r="J691" s="241"/>
      <c r="K691" s="241"/>
      <c r="L691" s="241"/>
      <c r="M691" s="241"/>
      <c r="N691" s="241"/>
      <c r="O691" s="241"/>
      <c r="P691" s="241"/>
      <c r="Q691" s="241"/>
      <c r="R691" s="241"/>
      <c r="S691" s="241"/>
      <c r="T691" s="241"/>
      <c r="U691" s="241"/>
      <c r="V691" s="241"/>
      <c r="W691" s="241"/>
      <c r="X691" s="241"/>
      <c r="Y691" s="241"/>
      <c r="Z691" s="241"/>
      <c r="AA691" s="241"/>
      <c r="AB691" s="241"/>
      <c r="AC691" s="241"/>
      <c r="AD691" s="241"/>
      <c r="AE691" s="241"/>
      <c r="AF691" s="241"/>
      <c r="AG691" s="241"/>
      <c r="AH691" s="241"/>
      <c r="AI691" s="241"/>
      <c r="AJ691" s="241"/>
      <c r="AK691" s="241"/>
      <c r="AL691" s="241"/>
      <c r="AM691" s="241"/>
      <c r="AN691" s="241"/>
      <c r="AO691" s="241"/>
      <c r="AP691" s="241"/>
      <c r="AQ691" s="241"/>
      <c r="AR691" s="241"/>
      <c r="AS691" s="241"/>
      <c r="AT691" s="241"/>
      <c r="AU691" s="241"/>
      <c r="AV691" s="241"/>
      <c r="AW691" s="241"/>
      <c r="AX691" s="241"/>
      <c r="AY691" s="241"/>
      <c r="AZ691" s="241"/>
    </row>
    <row r="692" spans="1:52" ht="18" customHeight="1">
      <c r="A692" s="250"/>
      <c r="B692" s="241"/>
      <c r="C692" s="241"/>
      <c r="D692" s="241"/>
      <c r="E692" s="241"/>
      <c r="F692" s="241"/>
      <c r="G692" s="241"/>
      <c r="H692" s="241"/>
      <c r="I692" s="241"/>
      <c r="J692" s="241"/>
      <c r="K692" s="241"/>
      <c r="L692" s="241"/>
      <c r="M692" s="241"/>
      <c r="N692" s="241"/>
      <c r="O692" s="241"/>
      <c r="P692" s="241"/>
      <c r="Q692" s="241"/>
      <c r="R692" s="241"/>
      <c r="S692" s="241"/>
      <c r="T692" s="241"/>
      <c r="U692" s="241"/>
      <c r="V692" s="241"/>
      <c r="W692" s="241"/>
      <c r="X692" s="241"/>
      <c r="Y692" s="241"/>
      <c r="Z692" s="241"/>
      <c r="AA692" s="241"/>
      <c r="AB692" s="241"/>
      <c r="AC692" s="241"/>
      <c r="AD692" s="241"/>
      <c r="AE692" s="241"/>
      <c r="AF692" s="241"/>
      <c r="AG692" s="241"/>
      <c r="AH692" s="241"/>
      <c r="AI692" s="241"/>
      <c r="AJ692" s="241"/>
      <c r="AK692" s="241"/>
      <c r="AL692" s="241"/>
      <c r="AM692" s="241"/>
      <c r="AN692" s="241"/>
      <c r="AO692" s="241"/>
      <c r="AP692" s="241"/>
      <c r="AQ692" s="241"/>
      <c r="AR692" s="241"/>
      <c r="AS692" s="241"/>
      <c r="AT692" s="241"/>
      <c r="AU692" s="241"/>
      <c r="AV692" s="241"/>
      <c r="AW692" s="241"/>
      <c r="AX692" s="241"/>
      <c r="AY692" s="241"/>
      <c r="AZ692" s="241"/>
    </row>
    <row r="693" spans="1:52" ht="18" customHeight="1">
      <c r="A693" s="250"/>
      <c r="B693" s="241"/>
      <c r="C693" s="241"/>
      <c r="D693" s="241"/>
      <c r="E693" s="241"/>
      <c r="F693" s="241"/>
      <c r="G693" s="241"/>
      <c r="H693" s="241"/>
      <c r="I693" s="241"/>
      <c r="J693" s="241"/>
      <c r="K693" s="241"/>
      <c r="L693" s="241"/>
      <c r="M693" s="241"/>
      <c r="N693" s="241"/>
      <c r="O693" s="241"/>
      <c r="P693" s="241"/>
      <c r="Q693" s="241"/>
      <c r="R693" s="241"/>
      <c r="S693" s="241"/>
      <c r="T693" s="241"/>
      <c r="U693" s="241"/>
      <c r="V693" s="241"/>
      <c r="W693" s="241"/>
      <c r="X693" s="241"/>
      <c r="Y693" s="241"/>
      <c r="Z693" s="241"/>
      <c r="AA693" s="241"/>
      <c r="AB693" s="241"/>
      <c r="AC693" s="241"/>
      <c r="AD693" s="241"/>
      <c r="AE693" s="241"/>
      <c r="AF693" s="241"/>
      <c r="AG693" s="241"/>
      <c r="AH693" s="241"/>
      <c r="AI693" s="241"/>
      <c r="AJ693" s="241"/>
      <c r="AK693" s="241"/>
      <c r="AL693" s="241"/>
      <c r="AM693" s="241"/>
      <c r="AN693" s="241"/>
      <c r="AO693" s="241"/>
      <c r="AP693" s="241"/>
      <c r="AQ693" s="241"/>
      <c r="AR693" s="241"/>
      <c r="AS693" s="241"/>
      <c r="AT693" s="241"/>
      <c r="AU693" s="241"/>
      <c r="AV693" s="241"/>
      <c r="AW693" s="241"/>
      <c r="AX693" s="241"/>
      <c r="AY693" s="241"/>
      <c r="AZ693" s="241"/>
    </row>
    <row r="694" spans="1:52" ht="18" customHeight="1">
      <c r="A694" s="250"/>
      <c r="B694" s="241"/>
      <c r="C694" s="241"/>
      <c r="D694" s="241"/>
      <c r="E694" s="241"/>
      <c r="F694" s="241"/>
      <c r="G694" s="241"/>
      <c r="H694" s="241"/>
      <c r="I694" s="241"/>
      <c r="J694" s="241"/>
      <c r="K694" s="241"/>
      <c r="L694" s="241"/>
      <c r="M694" s="241"/>
      <c r="N694" s="241"/>
      <c r="O694" s="241"/>
      <c r="P694" s="241"/>
      <c r="Q694" s="241"/>
      <c r="R694" s="241"/>
      <c r="S694" s="241"/>
      <c r="T694" s="241"/>
      <c r="U694" s="241"/>
      <c r="V694" s="241"/>
      <c r="W694" s="241"/>
      <c r="X694" s="241"/>
      <c r="Y694" s="241"/>
      <c r="Z694" s="241"/>
      <c r="AA694" s="241"/>
      <c r="AB694" s="241"/>
      <c r="AC694" s="241"/>
      <c r="AD694" s="241"/>
      <c r="AE694" s="241"/>
      <c r="AF694" s="241"/>
      <c r="AG694" s="241"/>
      <c r="AH694" s="241"/>
      <c r="AI694" s="241"/>
      <c r="AJ694" s="241"/>
      <c r="AK694" s="241"/>
      <c r="AL694" s="241"/>
      <c r="AM694" s="241"/>
      <c r="AN694" s="241"/>
      <c r="AO694" s="241"/>
      <c r="AP694" s="241"/>
      <c r="AQ694" s="241"/>
      <c r="AR694" s="241"/>
      <c r="AS694" s="241"/>
      <c r="AT694" s="241"/>
      <c r="AU694" s="241"/>
      <c r="AV694" s="241"/>
      <c r="AW694" s="241"/>
      <c r="AX694" s="241"/>
      <c r="AY694" s="241"/>
      <c r="AZ694" s="241"/>
    </row>
    <row r="695" spans="1:52" ht="18" customHeight="1">
      <c r="A695" s="250"/>
      <c r="B695" s="241"/>
      <c r="C695" s="241"/>
      <c r="D695" s="241"/>
      <c r="E695" s="241"/>
      <c r="F695" s="241"/>
      <c r="G695" s="241"/>
      <c r="H695" s="241"/>
      <c r="I695" s="241"/>
      <c r="J695" s="241"/>
      <c r="K695" s="241"/>
      <c r="L695" s="241"/>
      <c r="M695" s="241"/>
      <c r="N695" s="241"/>
      <c r="O695" s="241"/>
      <c r="P695" s="241"/>
      <c r="Q695" s="241"/>
      <c r="R695" s="241"/>
      <c r="S695" s="241"/>
      <c r="T695" s="241"/>
      <c r="U695" s="241"/>
      <c r="V695" s="241"/>
      <c r="W695" s="241"/>
      <c r="X695" s="241"/>
      <c r="Y695" s="241"/>
      <c r="Z695" s="241"/>
      <c r="AA695" s="241"/>
      <c r="AB695" s="241"/>
      <c r="AC695" s="241"/>
      <c r="AD695" s="241"/>
      <c r="AE695" s="241"/>
      <c r="AF695" s="241"/>
      <c r="AG695" s="241"/>
      <c r="AH695" s="241"/>
      <c r="AI695" s="241"/>
      <c r="AJ695" s="241"/>
      <c r="AK695" s="241"/>
      <c r="AL695" s="241"/>
      <c r="AM695" s="241"/>
      <c r="AN695" s="241"/>
      <c r="AO695" s="241"/>
      <c r="AP695" s="241"/>
      <c r="AQ695" s="241"/>
      <c r="AR695" s="241"/>
      <c r="AS695" s="241"/>
      <c r="AT695" s="241"/>
      <c r="AU695" s="241"/>
      <c r="AV695" s="241"/>
      <c r="AW695" s="241"/>
      <c r="AX695" s="241"/>
      <c r="AY695" s="241"/>
      <c r="AZ695" s="241"/>
    </row>
    <row r="696" spans="1:52" ht="18" customHeight="1">
      <c r="A696" s="250"/>
      <c r="B696" s="241"/>
      <c r="C696" s="241"/>
      <c r="D696" s="241"/>
      <c r="E696" s="241"/>
      <c r="F696" s="241"/>
      <c r="G696" s="241"/>
      <c r="H696" s="241"/>
      <c r="I696" s="241"/>
      <c r="J696" s="241"/>
      <c r="K696" s="241"/>
      <c r="L696" s="241"/>
      <c r="M696" s="241"/>
      <c r="N696" s="241"/>
      <c r="O696" s="241"/>
      <c r="P696" s="241"/>
      <c r="Q696" s="241"/>
      <c r="R696" s="241"/>
      <c r="S696" s="241"/>
      <c r="T696" s="241"/>
      <c r="U696" s="241"/>
      <c r="V696" s="241"/>
      <c r="W696" s="241"/>
      <c r="X696" s="241"/>
      <c r="Y696" s="241"/>
      <c r="Z696" s="241"/>
      <c r="AA696" s="241"/>
      <c r="AB696" s="241"/>
      <c r="AC696" s="241"/>
      <c r="AD696" s="241"/>
      <c r="AE696" s="241"/>
      <c r="AF696" s="241"/>
      <c r="AG696" s="241"/>
      <c r="AH696" s="241"/>
      <c r="AI696" s="241"/>
      <c r="AJ696" s="241"/>
      <c r="AK696" s="241"/>
      <c r="AL696" s="241"/>
      <c r="AM696" s="241"/>
      <c r="AN696" s="241"/>
      <c r="AO696" s="241"/>
      <c r="AP696" s="241"/>
      <c r="AQ696" s="241"/>
      <c r="AR696" s="241"/>
      <c r="AS696" s="241"/>
      <c r="AT696" s="241"/>
      <c r="AU696" s="241"/>
      <c r="AV696" s="241"/>
      <c r="AW696" s="241"/>
      <c r="AX696" s="241"/>
      <c r="AY696" s="241"/>
      <c r="AZ696" s="241"/>
    </row>
    <row r="697" spans="1:52" ht="18" customHeight="1">
      <c r="A697" s="250"/>
      <c r="B697" s="241"/>
      <c r="C697" s="241"/>
      <c r="D697" s="241"/>
      <c r="E697" s="241"/>
      <c r="F697" s="241"/>
      <c r="G697" s="241"/>
      <c r="H697" s="241"/>
      <c r="I697" s="241"/>
      <c r="J697" s="241"/>
      <c r="K697" s="241"/>
      <c r="L697" s="241"/>
      <c r="M697" s="241"/>
      <c r="N697" s="241"/>
      <c r="O697" s="241"/>
      <c r="P697" s="241"/>
      <c r="Q697" s="241"/>
      <c r="R697" s="241"/>
      <c r="S697" s="241"/>
      <c r="T697" s="241"/>
      <c r="U697" s="241"/>
      <c r="V697" s="241"/>
      <c r="W697" s="241"/>
      <c r="X697" s="241"/>
      <c r="Y697" s="241"/>
      <c r="Z697" s="241"/>
      <c r="AA697" s="241"/>
      <c r="AB697" s="241"/>
      <c r="AC697" s="241"/>
      <c r="AD697" s="241"/>
      <c r="AE697" s="241"/>
      <c r="AF697" s="241"/>
      <c r="AG697" s="241"/>
      <c r="AH697" s="241"/>
      <c r="AI697" s="241"/>
      <c r="AJ697" s="241"/>
      <c r="AK697" s="241"/>
      <c r="AL697" s="241"/>
      <c r="AM697" s="241"/>
      <c r="AN697" s="241"/>
      <c r="AO697" s="241"/>
      <c r="AP697" s="241"/>
      <c r="AQ697" s="241"/>
      <c r="AR697" s="241"/>
      <c r="AS697" s="241"/>
      <c r="AT697" s="241"/>
      <c r="AU697" s="241"/>
      <c r="AV697" s="241"/>
      <c r="AW697" s="241"/>
      <c r="AX697" s="241"/>
      <c r="AY697" s="241"/>
      <c r="AZ697" s="241"/>
    </row>
    <row r="698" spans="1:52" ht="18" customHeight="1">
      <c r="A698" s="250"/>
      <c r="B698" s="241"/>
      <c r="C698" s="241"/>
      <c r="D698" s="241"/>
      <c r="E698" s="241"/>
      <c r="F698" s="241"/>
      <c r="G698" s="241"/>
      <c r="H698" s="241"/>
      <c r="I698" s="241"/>
      <c r="J698" s="241"/>
      <c r="K698" s="241"/>
      <c r="L698" s="241"/>
      <c r="M698" s="241"/>
      <c r="N698" s="241"/>
      <c r="O698" s="241"/>
      <c r="P698" s="241"/>
      <c r="Q698" s="241"/>
      <c r="R698" s="241"/>
      <c r="S698" s="241"/>
      <c r="T698" s="241"/>
      <c r="U698" s="241"/>
      <c r="V698" s="241"/>
      <c r="W698" s="241"/>
      <c r="X698" s="241"/>
      <c r="Y698" s="241"/>
      <c r="Z698" s="241"/>
      <c r="AA698" s="241"/>
      <c r="AB698" s="241"/>
      <c r="AC698" s="241"/>
      <c r="AD698" s="241"/>
      <c r="AE698" s="241"/>
      <c r="AF698" s="241"/>
      <c r="AG698" s="241"/>
      <c r="AH698" s="241"/>
      <c r="AI698" s="241"/>
      <c r="AJ698" s="241"/>
      <c r="AK698" s="241"/>
      <c r="AL698" s="241"/>
      <c r="AM698" s="241"/>
      <c r="AN698" s="241"/>
      <c r="AO698" s="241"/>
      <c r="AP698" s="241"/>
      <c r="AQ698" s="241"/>
      <c r="AR698" s="241"/>
      <c r="AS698" s="241"/>
      <c r="AT698" s="241"/>
      <c r="AU698" s="241"/>
      <c r="AV698" s="241"/>
      <c r="AW698" s="241"/>
      <c r="AX698" s="241"/>
      <c r="AY698" s="241"/>
      <c r="AZ698" s="241"/>
    </row>
    <row r="699" spans="1:52" ht="18" customHeight="1">
      <c r="A699" s="250"/>
      <c r="B699" s="241"/>
      <c r="C699" s="241"/>
      <c r="D699" s="241"/>
      <c r="E699" s="241"/>
      <c r="F699" s="241"/>
      <c r="G699" s="241"/>
      <c r="H699" s="241"/>
      <c r="I699" s="241"/>
      <c r="J699" s="241"/>
      <c r="K699" s="241"/>
      <c r="L699" s="241"/>
      <c r="M699" s="241"/>
      <c r="N699" s="241"/>
      <c r="O699" s="241"/>
      <c r="P699" s="241"/>
      <c r="Q699" s="241"/>
      <c r="R699" s="241"/>
      <c r="S699" s="241"/>
      <c r="T699" s="241"/>
      <c r="U699" s="241"/>
      <c r="V699" s="241"/>
      <c r="W699" s="241"/>
      <c r="X699" s="241"/>
      <c r="Y699" s="241"/>
      <c r="Z699" s="241"/>
      <c r="AA699" s="241"/>
      <c r="AB699" s="241"/>
      <c r="AC699" s="241"/>
      <c r="AD699" s="241"/>
      <c r="AE699" s="241"/>
      <c r="AF699" s="241"/>
      <c r="AG699" s="241"/>
      <c r="AH699" s="241"/>
      <c r="AI699" s="241"/>
      <c r="AJ699" s="241"/>
      <c r="AK699" s="241"/>
      <c r="AL699" s="241"/>
      <c r="AM699" s="241"/>
      <c r="AN699" s="241"/>
      <c r="AO699" s="241"/>
      <c r="AP699" s="241"/>
      <c r="AQ699" s="241"/>
      <c r="AR699" s="241"/>
      <c r="AS699" s="241"/>
      <c r="AT699" s="241"/>
      <c r="AU699" s="241"/>
      <c r="AV699" s="241"/>
      <c r="AW699" s="241"/>
      <c r="AX699" s="241"/>
      <c r="AY699" s="241"/>
      <c r="AZ699" s="241"/>
    </row>
    <row r="700" spans="1:52" ht="18" customHeight="1">
      <c r="A700" s="250"/>
      <c r="B700" s="241"/>
      <c r="C700" s="241"/>
      <c r="D700" s="241"/>
      <c r="E700" s="241"/>
      <c r="F700" s="241"/>
      <c r="G700" s="241"/>
      <c r="H700" s="241"/>
      <c r="I700" s="241"/>
      <c r="J700" s="241"/>
      <c r="K700" s="241"/>
      <c r="L700" s="241"/>
      <c r="M700" s="241"/>
      <c r="N700" s="241"/>
      <c r="O700" s="241"/>
      <c r="P700" s="241"/>
      <c r="Q700" s="241"/>
      <c r="R700" s="241"/>
      <c r="S700" s="241"/>
      <c r="T700" s="241"/>
      <c r="U700" s="241"/>
      <c r="V700" s="241"/>
      <c r="W700" s="241"/>
      <c r="X700" s="241"/>
      <c r="Y700" s="241"/>
      <c r="Z700" s="241"/>
      <c r="AA700" s="241"/>
      <c r="AB700" s="241"/>
      <c r="AC700" s="241"/>
      <c r="AD700" s="241"/>
      <c r="AE700" s="241"/>
      <c r="AF700" s="241"/>
      <c r="AG700" s="241"/>
      <c r="AH700" s="241"/>
      <c r="AI700" s="241"/>
      <c r="AJ700" s="241"/>
      <c r="AK700" s="241"/>
      <c r="AL700" s="241"/>
      <c r="AM700" s="241"/>
      <c r="AN700" s="241"/>
      <c r="AO700" s="241"/>
      <c r="AP700" s="241"/>
      <c r="AQ700" s="241"/>
      <c r="AR700" s="241"/>
      <c r="AS700" s="241"/>
      <c r="AT700" s="241"/>
      <c r="AU700" s="241"/>
      <c r="AV700" s="241"/>
      <c r="AW700" s="241"/>
      <c r="AX700" s="241"/>
      <c r="AY700" s="241"/>
      <c r="AZ700" s="241"/>
    </row>
    <row r="701" spans="1:52" ht="18" customHeight="1">
      <c r="A701" s="250"/>
      <c r="B701" s="241"/>
      <c r="C701" s="241"/>
      <c r="D701" s="241"/>
      <c r="E701" s="241"/>
      <c r="F701" s="241"/>
      <c r="G701" s="241"/>
      <c r="H701" s="241"/>
      <c r="I701" s="241"/>
      <c r="J701" s="241"/>
      <c r="K701" s="241"/>
      <c r="L701" s="241"/>
      <c r="M701" s="241"/>
      <c r="N701" s="241"/>
      <c r="O701" s="241"/>
      <c r="P701" s="241"/>
      <c r="Q701" s="241"/>
      <c r="R701" s="241"/>
      <c r="S701" s="241"/>
      <c r="T701" s="241"/>
      <c r="U701" s="241"/>
      <c r="V701" s="241"/>
      <c r="W701" s="241"/>
      <c r="X701" s="241"/>
      <c r="Y701" s="241"/>
      <c r="Z701" s="241"/>
      <c r="AA701" s="241"/>
      <c r="AB701" s="241"/>
      <c r="AC701" s="241"/>
      <c r="AD701" s="241"/>
      <c r="AE701" s="241"/>
      <c r="AF701" s="241"/>
      <c r="AG701" s="241"/>
      <c r="AH701" s="241"/>
      <c r="AI701" s="241"/>
      <c r="AJ701" s="241"/>
      <c r="AK701" s="241"/>
      <c r="AL701" s="241"/>
      <c r="AM701" s="241"/>
      <c r="AN701" s="241"/>
      <c r="AO701" s="241"/>
      <c r="AP701" s="241"/>
      <c r="AQ701" s="241"/>
      <c r="AR701" s="241"/>
      <c r="AS701" s="241"/>
      <c r="AT701" s="241"/>
      <c r="AU701" s="241"/>
      <c r="AV701" s="241"/>
      <c r="AW701" s="241"/>
      <c r="AX701" s="241"/>
      <c r="AY701" s="241"/>
      <c r="AZ701" s="241"/>
    </row>
    <row r="702" spans="1:52" ht="18" customHeight="1">
      <c r="A702" s="250"/>
      <c r="B702" s="241"/>
      <c r="C702" s="241"/>
      <c r="D702" s="241"/>
      <c r="E702" s="241"/>
      <c r="F702" s="241"/>
      <c r="G702" s="241"/>
      <c r="H702" s="241"/>
      <c r="I702" s="241"/>
      <c r="J702" s="241"/>
      <c r="K702" s="241"/>
      <c r="L702" s="241"/>
      <c r="M702" s="241"/>
      <c r="N702" s="241"/>
      <c r="O702" s="241"/>
      <c r="P702" s="241"/>
      <c r="Q702" s="241"/>
      <c r="R702" s="241"/>
      <c r="S702" s="241"/>
      <c r="T702" s="241"/>
      <c r="U702" s="241"/>
      <c r="V702" s="241"/>
      <c r="W702" s="241"/>
      <c r="X702" s="241"/>
      <c r="Y702" s="241"/>
      <c r="Z702" s="241"/>
      <c r="AA702" s="241"/>
      <c r="AB702" s="241"/>
      <c r="AC702" s="241"/>
      <c r="AD702" s="241"/>
      <c r="AE702" s="241"/>
      <c r="AF702" s="241"/>
      <c r="AG702" s="241"/>
      <c r="AH702" s="241"/>
      <c r="AI702" s="241"/>
      <c r="AJ702" s="241"/>
      <c r="AK702" s="241"/>
      <c r="AL702" s="241"/>
      <c r="AM702" s="241"/>
      <c r="AN702" s="241"/>
      <c r="AO702" s="241"/>
      <c r="AP702" s="241"/>
      <c r="AQ702" s="241"/>
      <c r="AR702" s="241"/>
      <c r="AS702" s="241"/>
      <c r="AT702" s="241"/>
      <c r="AU702" s="241"/>
      <c r="AV702" s="241"/>
      <c r="AW702" s="241"/>
      <c r="AX702" s="241"/>
      <c r="AY702" s="241"/>
      <c r="AZ702" s="241"/>
    </row>
    <row r="703" spans="1:52" ht="18" customHeight="1">
      <c r="A703" s="250"/>
      <c r="B703" s="241"/>
      <c r="C703" s="241"/>
      <c r="D703" s="241"/>
      <c r="E703" s="241"/>
      <c r="F703" s="241"/>
      <c r="G703" s="241"/>
      <c r="H703" s="241"/>
      <c r="I703" s="241"/>
      <c r="J703" s="241"/>
      <c r="K703" s="241"/>
      <c r="L703" s="241"/>
      <c r="M703" s="241"/>
      <c r="N703" s="241"/>
      <c r="O703" s="241"/>
      <c r="P703" s="241"/>
      <c r="Q703" s="241"/>
      <c r="R703" s="241"/>
      <c r="S703" s="241"/>
      <c r="T703" s="241"/>
      <c r="U703" s="241"/>
      <c r="V703" s="241"/>
      <c r="W703" s="241"/>
      <c r="X703" s="241"/>
      <c r="Y703" s="241"/>
      <c r="Z703" s="241"/>
      <c r="AA703" s="241"/>
      <c r="AB703" s="241"/>
      <c r="AC703" s="241"/>
      <c r="AD703" s="241"/>
      <c r="AE703" s="241"/>
      <c r="AF703" s="241"/>
      <c r="AG703" s="241"/>
      <c r="AH703" s="241"/>
      <c r="AI703" s="241"/>
      <c r="AJ703" s="241"/>
      <c r="AK703" s="241"/>
      <c r="AL703" s="241"/>
      <c r="AM703" s="241"/>
      <c r="AN703" s="241"/>
      <c r="AO703" s="241"/>
      <c r="AP703" s="241"/>
      <c r="AQ703" s="241"/>
      <c r="AR703" s="241"/>
      <c r="AS703" s="241"/>
      <c r="AT703" s="241"/>
      <c r="AU703" s="241"/>
      <c r="AV703" s="241"/>
      <c r="AW703" s="241"/>
      <c r="AX703" s="241"/>
      <c r="AY703" s="241"/>
      <c r="AZ703" s="241"/>
    </row>
    <row r="704" spans="1:52" ht="18" customHeight="1">
      <c r="A704" s="250"/>
      <c r="B704" s="241"/>
      <c r="C704" s="241"/>
      <c r="D704" s="241"/>
      <c r="E704" s="241"/>
      <c r="F704" s="241"/>
      <c r="G704" s="241"/>
      <c r="H704" s="241"/>
      <c r="I704" s="241"/>
      <c r="J704" s="241"/>
      <c r="K704" s="241"/>
      <c r="L704" s="241"/>
      <c r="M704" s="241"/>
      <c r="N704" s="241"/>
      <c r="O704" s="241"/>
      <c r="P704" s="241"/>
      <c r="Q704" s="241"/>
      <c r="R704" s="241"/>
      <c r="S704" s="241"/>
      <c r="T704" s="241"/>
      <c r="U704" s="241"/>
      <c r="V704" s="241"/>
      <c r="W704" s="241"/>
      <c r="X704" s="241"/>
      <c r="Y704" s="241"/>
      <c r="Z704" s="241"/>
      <c r="AA704" s="241"/>
      <c r="AB704" s="241"/>
      <c r="AC704" s="241"/>
      <c r="AD704" s="241"/>
      <c r="AE704" s="241"/>
      <c r="AF704" s="241"/>
      <c r="AG704" s="241"/>
      <c r="AH704" s="241"/>
      <c r="AI704" s="241"/>
      <c r="AJ704" s="241"/>
      <c r="AK704" s="241"/>
      <c r="AL704" s="241"/>
      <c r="AM704" s="241"/>
      <c r="AN704" s="241"/>
      <c r="AO704" s="241"/>
      <c r="AP704" s="241"/>
      <c r="AQ704" s="241"/>
      <c r="AR704" s="241"/>
      <c r="AS704" s="241"/>
      <c r="AT704" s="241"/>
      <c r="AU704" s="241"/>
      <c r="AV704" s="241"/>
      <c r="AW704" s="241"/>
      <c r="AX704" s="241"/>
      <c r="AY704" s="241"/>
      <c r="AZ704" s="241"/>
    </row>
    <row r="705" spans="1:52" ht="18" customHeight="1">
      <c r="A705" s="250"/>
      <c r="B705" s="241"/>
      <c r="C705" s="241"/>
      <c r="D705" s="241"/>
      <c r="E705" s="241"/>
      <c r="F705" s="241"/>
      <c r="G705" s="241"/>
      <c r="H705" s="241"/>
      <c r="I705" s="241"/>
      <c r="J705" s="241"/>
      <c r="K705" s="241"/>
      <c r="L705" s="241"/>
      <c r="M705" s="241"/>
      <c r="N705" s="241"/>
      <c r="O705" s="241"/>
      <c r="P705" s="241"/>
      <c r="Q705" s="241"/>
      <c r="R705" s="241"/>
      <c r="S705" s="241"/>
      <c r="T705" s="241"/>
      <c r="U705" s="241"/>
      <c r="V705" s="241"/>
      <c r="W705" s="241"/>
      <c r="X705" s="241"/>
      <c r="Y705" s="241"/>
      <c r="Z705" s="241"/>
      <c r="AA705" s="241"/>
      <c r="AB705" s="241"/>
      <c r="AC705" s="241"/>
      <c r="AD705" s="241"/>
      <c r="AE705" s="241"/>
      <c r="AF705" s="241"/>
      <c r="AG705" s="241"/>
      <c r="AH705" s="241"/>
      <c r="AI705" s="241"/>
      <c r="AJ705" s="241"/>
      <c r="AK705" s="241"/>
      <c r="AL705" s="241"/>
      <c r="AM705" s="241"/>
      <c r="AN705" s="241"/>
      <c r="AO705" s="241"/>
      <c r="AP705" s="241"/>
      <c r="AQ705" s="241"/>
      <c r="AR705" s="241"/>
      <c r="AS705" s="241"/>
      <c r="AT705" s="241"/>
      <c r="AU705" s="241"/>
      <c r="AV705" s="241"/>
      <c r="AW705" s="241"/>
      <c r="AX705" s="241"/>
      <c r="AY705" s="241"/>
      <c r="AZ705" s="241"/>
    </row>
    <row r="706" spans="1:52" ht="18" customHeight="1">
      <c r="A706" s="250"/>
      <c r="B706" s="241"/>
      <c r="C706" s="241"/>
      <c r="D706" s="241"/>
      <c r="E706" s="241"/>
      <c r="F706" s="241"/>
      <c r="G706" s="241"/>
      <c r="H706" s="241"/>
      <c r="I706" s="241"/>
      <c r="J706" s="241"/>
      <c r="K706" s="241"/>
      <c r="L706" s="241"/>
      <c r="M706" s="241"/>
      <c r="N706" s="241"/>
      <c r="O706" s="241"/>
      <c r="P706" s="241"/>
      <c r="Q706" s="241"/>
      <c r="R706" s="241"/>
      <c r="S706" s="241"/>
      <c r="T706" s="241"/>
      <c r="U706" s="241"/>
      <c r="V706" s="241"/>
      <c r="W706" s="241"/>
      <c r="X706" s="241"/>
      <c r="Y706" s="241"/>
      <c r="Z706" s="241"/>
      <c r="AA706" s="241"/>
      <c r="AB706" s="241"/>
      <c r="AC706" s="241"/>
      <c r="AD706" s="241"/>
      <c r="AE706" s="241"/>
      <c r="AF706" s="241"/>
      <c r="AG706" s="241"/>
      <c r="AH706" s="241"/>
      <c r="AI706" s="241"/>
      <c r="AJ706" s="241"/>
      <c r="AK706" s="241"/>
      <c r="AL706" s="241"/>
      <c r="AM706" s="241"/>
      <c r="AN706" s="241"/>
      <c r="AO706" s="241"/>
      <c r="AP706" s="241"/>
      <c r="AQ706" s="241"/>
      <c r="AR706" s="241"/>
      <c r="AS706" s="241"/>
      <c r="AT706" s="241"/>
      <c r="AU706" s="241"/>
      <c r="AV706" s="241"/>
      <c r="AW706" s="241"/>
      <c r="AX706" s="241"/>
      <c r="AY706" s="241"/>
      <c r="AZ706" s="241"/>
    </row>
    <row r="707" spans="1:52" ht="18" customHeight="1">
      <c r="A707" s="250"/>
      <c r="B707" s="241"/>
      <c r="C707" s="241"/>
      <c r="D707" s="241"/>
      <c r="E707" s="241"/>
      <c r="F707" s="241"/>
      <c r="G707" s="241"/>
      <c r="H707" s="241"/>
      <c r="I707" s="241"/>
      <c r="J707" s="241"/>
      <c r="K707" s="241"/>
      <c r="L707" s="241"/>
      <c r="M707" s="241"/>
      <c r="N707" s="241"/>
      <c r="O707" s="241"/>
      <c r="P707" s="241"/>
      <c r="Q707" s="241"/>
      <c r="R707" s="241"/>
      <c r="S707" s="241"/>
      <c r="T707" s="241"/>
      <c r="U707" s="241"/>
      <c r="V707" s="241"/>
      <c r="W707" s="241"/>
      <c r="X707" s="241"/>
      <c r="Y707" s="241"/>
      <c r="Z707" s="241"/>
      <c r="AA707" s="241"/>
      <c r="AB707" s="241"/>
      <c r="AC707" s="241"/>
      <c r="AD707" s="241"/>
      <c r="AE707" s="241"/>
      <c r="AF707" s="241"/>
      <c r="AG707" s="241"/>
      <c r="AH707" s="241"/>
      <c r="AI707" s="241"/>
      <c r="AJ707" s="241"/>
      <c r="AK707" s="241"/>
      <c r="AL707" s="241"/>
      <c r="AM707" s="241"/>
      <c r="AN707" s="241"/>
      <c r="AO707" s="241"/>
      <c r="AP707" s="241"/>
      <c r="AQ707" s="241"/>
      <c r="AR707" s="241"/>
      <c r="AS707" s="241"/>
      <c r="AT707" s="241"/>
      <c r="AU707" s="241"/>
      <c r="AV707" s="241"/>
      <c r="AW707" s="241"/>
      <c r="AX707" s="241"/>
      <c r="AY707" s="241"/>
      <c r="AZ707" s="241"/>
    </row>
    <row r="708" spans="1:52" ht="18" customHeight="1">
      <c r="A708" s="250"/>
      <c r="B708" s="241"/>
      <c r="C708" s="241"/>
      <c r="D708" s="241"/>
      <c r="E708" s="241"/>
      <c r="F708" s="241"/>
      <c r="G708" s="241"/>
      <c r="H708" s="241"/>
      <c r="I708" s="241"/>
      <c r="J708" s="241"/>
      <c r="K708" s="241"/>
      <c r="L708" s="241"/>
      <c r="M708" s="241"/>
      <c r="N708" s="241"/>
      <c r="O708" s="241"/>
      <c r="P708" s="241"/>
      <c r="Q708" s="241"/>
      <c r="R708" s="241"/>
      <c r="S708" s="241"/>
      <c r="T708" s="241"/>
      <c r="U708" s="241"/>
      <c r="V708" s="241"/>
      <c r="W708" s="241"/>
      <c r="X708" s="241"/>
      <c r="Y708" s="241"/>
      <c r="Z708" s="241"/>
      <c r="AA708" s="241"/>
      <c r="AB708" s="241"/>
      <c r="AC708" s="241"/>
      <c r="AD708" s="241"/>
      <c r="AE708" s="241"/>
      <c r="AF708" s="241"/>
      <c r="AG708" s="241"/>
      <c r="AH708" s="241"/>
      <c r="AI708" s="241"/>
      <c r="AJ708" s="241"/>
      <c r="AK708" s="241"/>
      <c r="AL708" s="241"/>
      <c r="AM708" s="241"/>
      <c r="AN708" s="241"/>
      <c r="AO708" s="241"/>
      <c r="AP708" s="241"/>
      <c r="AQ708" s="241"/>
      <c r="AR708" s="241"/>
      <c r="AS708" s="241"/>
      <c r="AT708" s="241"/>
      <c r="AU708" s="241"/>
      <c r="AV708" s="241"/>
      <c r="AW708" s="241"/>
      <c r="AX708" s="241"/>
      <c r="AY708" s="241"/>
      <c r="AZ708" s="241"/>
    </row>
    <row r="709" spans="1:52" ht="18" customHeight="1">
      <c r="A709" s="250"/>
      <c r="B709" s="241"/>
      <c r="C709" s="241"/>
      <c r="D709" s="241"/>
      <c r="E709" s="241"/>
      <c r="F709" s="241"/>
      <c r="G709" s="241"/>
      <c r="H709" s="241"/>
      <c r="I709" s="241"/>
      <c r="J709" s="241"/>
      <c r="K709" s="241"/>
      <c r="L709" s="241"/>
      <c r="M709" s="241"/>
      <c r="N709" s="241"/>
      <c r="O709" s="241"/>
      <c r="P709" s="241"/>
      <c r="Q709" s="241"/>
      <c r="R709" s="241"/>
      <c r="S709" s="241"/>
      <c r="T709" s="241"/>
      <c r="U709" s="241"/>
      <c r="V709" s="241"/>
      <c r="W709" s="241"/>
      <c r="X709" s="241"/>
      <c r="Y709" s="241"/>
      <c r="Z709" s="241"/>
      <c r="AA709" s="241"/>
      <c r="AB709" s="241"/>
      <c r="AC709" s="241"/>
      <c r="AD709" s="241"/>
      <c r="AE709" s="241"/>
      <c r="AF709" s="241"/>
      <c r="AG709" s="241"/>
      <c r="AH709" s="241"/>
      <c r="AI709" s="241"/>
      <c r="AJ709" s="241"/>
      <c r="AK709" s="241"/>
      <c r="AL709" s="241"/>
      <c r="AM709" s="241"/>
      <c r="AN709" s="241"/>
      <c r="AO709" s="241"/>
      <c r="AP709" s="241"/>
      <c r="AQ709" s="241"/>
      <c r="AR709" s="241"/>
      <c r="AS709" s="241"/>
      <c r="AT709" s="241"/>
      <c r="AU709" s="241"/>
      <c r="AV709" s="241"/>
      <c r="AW709" s="241"/>
      <c r="AX709" s="241"/>
      <c r="AY709" s="241"/>
      <c r="AZ709" s="241"/>
    </row>
    <row r="710" spans="1:52" ht="18" customHeight="1">
      <c r="A710" s="250"/>
      <c r="B710" s="241"/>
      <c r="C710" s="241"/>
      <c r="D710" s="241"/>
      <c r="E710" s="241"/>
      <c r="F710" s="241"/>
      <c r="G710" s="241"/>
      <c r="H710" s="241"/>
      <c r="I710" s="241"/>
      <c r="J710" s="241"/>
      <c r="K710" s="241"/>
      <c r="L710" s="241"/>
      <c r="M710" s="241"/>
      <c r="N710" s="241"/>
      <c r="O710" s="241"/>
      <c r="P710" s="241"/>
      <c r="Q710" s="241"/>
      <c r="R710" s="241"/>
      <c r="S710" s="241"/>
      <c r="T710" s="241"/>
      <c r="U710" s="241"/>
      <c r="V710" s="241"/>
      <c r="W710" s="241"/>
      <c r="X710" s="241"/>
      <c r="Y710" s="241"/>
      <c r="Z710" s="241"/>
      <c r="AA710" s="241"/>
      <c r="AB710" s="241"/>
      <c r="AC710" s="241"/>
      <c r="AD710" s="241"/>
      <c r="AE710" s="241"/>
      <c r="AF710" s="241"/>
      <c r="AG710" s="241"/>
      <c r="AH710" s="241"/>
      <c r="AI710" s="241"/>
      <c r="AJ710" s="241"/>
      <c r="AK710" s="241"/>
      <c r="AL710" s="241"/>
      <c r="AM710" s="241"/>
      <c r="AN710" s="241"/>
      <c r="AO710" s="241"/>
      <c r="AP710" s="241"/>
      <c r="AQ710" s="241"/>
      <c r="AR710" s="241"/>
      <c r="AS710" s="241"/>
      <c r="AT710" s="241"/>
      <c r="AU710" s="241"/>
      <c r="AV710" s="241"/>
      <c r="AW710" s="241"/>
      <c r="AX710" s="241"/>
      <c r="AY710" s="241"/>
      <c r="AZ710" s="241"/>
    </row>
    <row r="711" spans="1:52" ht="18" customHeight="1">
      <c r="A711" s="250"/>
      <c r="B711" s="241"/>
      <c r="C711" s="241"/>
      <c r="D711" s="241"/>
      <c r="E711" s="241"/>
      <c r="F711" s="241"/>
      <c r="G711" s="241"/>
      <c r="H711" s="241"/>
      <c r="I711" s="241"/>
      <c r="J711" s="241"/>
      <c r="K711" s="241"/>
      <c r="L711" s="241"/>
      <c r="M711" s="241"/>
      <c r="N711" s="241"/>
      <c r="O711" s="241"/>
      <c r="P711" s="241"/>
      <c r="Q711" s="241"/>
      <c r="R711" s="241"/>
      <c r="S711" s="241"/>
      <c r="T711" s="241"/>
      <c r="U711" s="241"/>
      <c r="V711" s="241"/>
      <c r="W711" s="241"/>
      <c r="X711" s="241"/>
      <c r="Y711" s="241"/>
      <c r="Z711" s="241"/>
      <c r="AA711" s="241"/>
      <c r="AB711" s="241"/>
      <c r="AC711" s="241"/>
      <c r="AD711" s="241"/>
      <c r="AE711" s="241"/>
      <c r="AF711" s="241"/>
      <c r="AG711" s="241"/>
      <c r="AH711" s="241"/>
      <c r="AI711" s="241"/>
      <c r="AJ711" s="241"/>
      <c r="AK711" s="241"/>
      <c r="AL711" s="241"/>
      <c r="AM711" s="241"/>
      <c r="AN711" s="241"/>
      <c r="AO711" s="241"/>
      <c r="AP711" s="241"/>
      <c r="AQ711" s="241"/>
      <c r="AR711" s="241"/>
      <c r="AS711" s="241"/>
      <c r="AT711" s="241"/>
      <c r="AU711" s="241"/>
      <c r="AV711" s="241"/>
      <c r="AW711" s="241"/>
      <c r="AX711" s="241"/>
      <c r="AY711" s="241"/>
      <c r="AZ711" s="241"/>
    </row>
    <row r="712" spans="1:52" ht="18" customHeight="1">
      <c r="A712" s="250"/>
      <c r="B712" s="241"/>
      <c r="C712" s="241"/>
      <c r="D712" s="241"/>
      <c r="E712" s="241"/>
      <c r="F712" s="241"/>
      <c r="G712" s="241"/>
      <c r="H712" s="241"/>
      <c r="I712" s="241"/>
      <c r="J712" s="241"/>
      <c r="K712" s="241"/>
      <c r="L712" s="241"/>
      <c r="M712" s="241"/>
      <c r="N712" s="241"/>
      <c r="O712" s="241"/>
      <c r="P712" s="241"/>
      <c r="Q712" s="241"/>
      <c r="R712" s="241"/>
      <c r="S712" s="241"/>
      <c r="T712" s="241"/>
      <c r="U712" s="241"/>
      <c r="V712" s="241"/>
      <c r="W712" s="241"/>
      <c r="X712" s="241"/>
      <c r="Y712" s="241"/>
      <c r="Z712" s="241"/>
      <c r="AA712" s="241"/>
      <c r="AB712" s="241"/>
      <c r="AC712" s="241"/>
      <c r="AD712" s="241"/>
      <c r="AE712" s="241"/>
      <c r="AF712" s="241"/>
      <c r="AG712" s="241"/>
      <c r="AH712" s="241"/>
      <c r="AI712" s="241"/>
      <c r="AJ712" s="241"/>
      <c r="AK712" s="241"/>
      <c r="AL712" s="241"/>
      <c r="AM712" s="241"/>
      <c r="AN712" s="241"/>
      <c r="AO712" s="241"/>
      <c r="AP712" s="241"/>
      <c r="AQ712" s="241"/>
      <c r="AR712" s="241"/>
      <c r="AS712" s="241"/>
      <c r="AT712" s="241"/>
      <c r="AU712" s="241"/>
      <c r="AV712" s="241"/>
      <c r="AW712" s="241"/>
      <c r="AX712" s="241"/>
      <c r="AY712" s="241"/>
      <c r="AZ712" s="241"/>
    </row>
    <row r="713" spans="1:52" ht="18" customHeight="1">
      <c r="A713" s="250"/>
      <c r="B713" s="241"/>
      <c r="C713" s="241"/>
      <c r="D713" s="241"/>
      <c r="E713" s="241"/>
      <c r="F713" s="241"/>
      <c r="G713" s="241"/>
      <c r="H713" s="241"/>
      <c r="I713" s="241"/>
      <c r="J713" s="241"/>
      <c r="K713" s="241"/>
      <c r="L713" s="241"/>
      <c r="M713" s="241"/>
      <c r="N713" s="241"/>
      <c r="O713" s="241"/>
      <c r="P713" s="241"/>
      <c r="Q713" s="241"/>
      <c r="R713" s="241"/>
      <c r="S713" s="241"/>
      <c r="T713" s="241"/>
      <c r="U713" s="241"/>
      <c r="V713" s="241"/>
      <c r="W713" s="241"/>
      <c r="X713" s="241"/>
      <c r="Y713" s="241"/>
      <c r="Z713" s="241"/>
      <c r="AA713" s="241"/>
      <c r="AB713" s="241"/>
      <c r="AC713" s="241"/>
      <c r="AD713" s="241"/>
      <c r="AE713" s="241"/>
      <c r="AF713" s="241"/>
      <c r="AG713" s="241"/>
      <c r="AH713" s="241"/>
      <c r="AI713" s="241"/>
      <c r="AJ713" s="241"/>
      <c r="AK713" s="241"/>
      <c r="AL713" s="241"/>
      <c r="AM713" s="241"/>
      <c r="AN713" s="241"/>
      <c r="AO713" s="241"/>
      <c r="AP713" s="241"/>
      <c r="AQ713" s="241"/>
      <c r="AR713" s="241"/>
      <c r="AS713" s="241"/>
      <c r="AT713" s="241"/>
      <c r="AU713" s="241"/>
      <c r="AV713" s="241"/>
      <c r="AW713" s="241"/>
      <c r="AX713" s="241"/>
      <c r="AY713" s="241"/>
      <c r="AZ713" s="241"/>
    </row>
    <row r="714" spans="1:52" ht="18" customHeight="1">
      <c r="A714" s="250"/>
      <c r="B714" s="241"/>
      <c r="C714" s="241"/>
      <c r="D714" s="241"/>
      <c r="E714" s="241"/>
      <c r="F714" s="241"/>
      <c r="G714" s="241"/>
      <c r="H714" s="241"/>
      <c r="I714" s="241"/>
      <c r="J714" s="241"/>
      <c r="K714" s="241"/>
      <c r="L714" s="241"/>
      <c r="M714" s="241"/>
      <c r="N714" s="241"/>
      <c r="O714" s="241"/>
      <c r="P714" s="241"/>
      <c r="Q714" s="241"/>
      <c r="R714" s="241"/>
      <c r="S714" s="241"/>
      <c r="T714" s="241"/>
      <c r="U714" s="241"/>
      <c r="V714" s="241"/>
      <c r="W714" s="241"/>
      <c r="X714" s="241"/>
      <c r="Y714" s="241"/>
      <c r="Z714" s="241"/>
      <c r="AA714" s="241"/>
      <c r="AB714" s="241"/>
      <c r="AC714" s="241"/>
      <c r="AD714" s="241"/>
      <c r="AE714" s="241"/>
      <c r="AF714" s="241"/>
      <c r="AG714" s="241"/>
      <c r="AH714" s="241"/>
      <c r="AI714" s="241"/>
      <c r="AJ714" s="241"/>
      <c r="AK714" s="241"/>
      <c r="AL714" s="241"/>
      <c r="AM714" s="241"/>
      <c r="AN714" s="241"/>
      <c r="AO714" s="241"/>
      <c r="AP714" s="241"/>
      <c r="AQ714" s="241"/>
      <c r="AR714" s="241"/>
      <c r="AS714" s="241"/>
      <c r="AT714" s="241"/>
      <c r="AU714" s="241"/>
      <c r="AV714" s="241"/>
      <c r="AW714" s="241"/>
      <c r="AX714" s="241"/>
      <c r="AY714" s="241"/>
      <c r="AZ714" s="241"/>
    </row>
    <row r="715" spans="1:52" ht="18" customHeight="1">
      <c r="A715" s="250"/>
      <c r="B715" s="241"/>
      <c r="C715" s="241"/>
      <c r="D715" s="241"/>
      <c r="E715" s="241"/>
      <c r="F715" s="241"/>
      <c r="G715" s="241"/>
      <c r="H715" s="241"/>
      <c r="I715" s="241"/>
      <c r="J715" s="241"/>
      <c r="K715" s="241"/>
      <c r="L715" s="241"/>
      <c r="M715" s="241"/>
      <c r="N715" s="241"/>
      <c r="O715" s="241"/>
      <c r="P715" s="241"/>
      <c r="Q715" s="241"/>
      <c r="R715" s="241"/>
      <c r="S715" s="241"/>
      <c r="T715" s="241"/>
      <c r="U715" s="241"/>
      <c r="V715" s="241"/>
      <c r="W715" s="241"/>
      <c r="X715" s="241"/>
      <c r="Y715" s="241"/>
      <c r="Z715" s="241"/>
      <c r="AA715" s="241"/>
      <c r="AB715" s="241"/>
      <c r="AC715" s="241"/>
      <c r="AD715" s="241"/>
      <c r="AE715" s="241"/>
      <c r="AF715" s="241"/>
      <c r="AG715" s="241"/>
      <c r="AH715" s="241"/>
      <c r="AI715" s="241"/>
      <c r="AJ715" s="241"/>
      <c r="AK715" s="241"/>
      <c r="AL715" s="241"/>
      <c r="AM715" s="241"/>
      <c r="AN715" s="241"/>
      <c r="AO715" s="241"/>
      <c r="AP715" s="241"/>
      <c r="AQ715" s="241"/>
      <c r="AR715" s="241"/>
      <c r="AS715" s="241"/>
      <c r="AT715" s="241"/>
      <c r="AU715" s="241"/>
      <c r="AV715" s="241"/>
      <c r="AW715" s="241"/>
      <c r="AX715" s="241"/>
      <c r="AY715" s="241"/>
      <c r="AZ715" s="241"/>
    </row>
    <row r="716" spans="1:52" ht="18" customHeight="1">
      <c r="A716" s="250"/>
      <c r="B716" s="241"/>
      <c r="C716" s="241"/>
      <c r="D716" s="241"/>
      <c r="E716" s="241"/>
      <c r="F716" s="241"/>
      <c r="G716" s="241"/>
      <c r="H716" s="241"/>
      <c r="I716" s="241"/>
      <c r="J716" s="241"/>
      <c r="K716" s="241"/>
      <c r="L716" s="241"/>
      <c r="M716" s="241"/>
      <c r="N716" s="241"/>
      <c r="O716" s="241"/>
      <c r="P716" s="241"/>
      <c r="Q716" s="241"/>
      <c r="R716" s="241"/>
      <c r="S716" s="241"/>
      <c r="T716" s="241"/>
      <c r="U716" s="241"/>
      <c r="V716" s="241"/>
      <c r="W716" s="241"/>
      <c r="X716" s="241"/>
      <c r="Y716" s="241"/>
      <c r="Z716" s="241"/>
      <c r="AA716" s="241"/>
      <c r="AB716" s="241"/>
      <c r="AC716" s="241"/>
      <c r="AD716" s="241"/>
      <c r="AE716" s="241"/>
      <c r="AF716" s="241"/>
      <c r="AG716" s="241"/>
      <c r="AH716" s="241"/>
      <c r="AI716" s="241"/>
      <c r="AJ716" s="241"/>
      <c r="AK716" s="241"/>
      <c r="AL716" s="241"/>
      <c r="AM716" s="241"/>
      <c r="AN716" s="241"/>
      <c r="AO716" s="241"/>
      <c r="AP716" s="241"/>
      <c r="AQ716" s="241"/>
      <c r="AR716" s="241"/>
      <c r="AS716" s="241"/>
      <c r="AT716" s="241"/>
      <c r="AU716" s="241"/>
      <c r="AV716" s="241"/>
      <c r="AW716" s="241"/>
      <c r="AX716" s="241"/>
      <c r="AY716" s="241"/>
      <c r="AZ716" s="241"/>
    </row>
    <row r="717" spans="1:52" ht="18" customHeight="1">
      <c r="A717" s="250"/>
      <c r="B717" s="241"/>
      <c r="C717" s="241"/>
      <c r="D717" s="241"/>
      <c r="E717" s="241"/>
      <c r="F717" s="241"/>
      <c r="G717" s="241"/>
      <c r="H717" s="241"/>
      <c r="I717" s="241"/>
      <c r="J717" s="241"/>
      <c r="K717" s="241"/>
      <c r="L717" s="241"/>
      <c r="M717" s="241"/>
      <c r="N717" s="241"/>
      <c r="O717" s="241"/>
      <c r="P717" s="241"/>
      <c r="Q717" s="241"/>
      <c r="R717" s="241"/>
      <c r="S717" s="241"/>
      <c r="T717" s="241"/>
      <c r="U717" s="241"/>
      <c r="V717" s="241"/>
      <c r="W717" s="241"/>
      <c r="X717" s="241"/>
      <c r="Y717" s="241"/>
      <c r="Z717" s="241"/>
      <c r="AA717" s="241"/>
      <c r="AB717" s="241"/>
      <c r="AC717" s="241"/>
      <c r="AD717" s="241"/>
      <c r="AE717" s="241"/>
      <c r="AF717" s="241"/>
      <c r="AG717" s="241"/>
      <c r="AH717" s="241"/>
      <c r="AI717" s="241"/>
      <c r="AJ717" s="241"/>
      <c r="AK717" s="241"/>
      <c r="AL717" s="241"/>
      <c r="AM717" s="241"/>
      <c r="AN717" s="241"/>
      <c r="AO717" s="241"/>
      <c r="AP717" s="241"/>
      <c r="AQ717" s="241"/>
      <c r="AR717" s="241"/>
      <c r="AS717" s="241"/>
      <c r="AT717" s="241"/>
      <c r="AU717" s="241"/>
      <c r="AV717" s="241"/>
      <c r="AW717" s="241"/>
      <c r="AX717" s="241"/>
      <c r="AY717" s="241"/>
      <c r="AZ717" s="241"/>
    </row>
    <row r="718" spans="1:52" ht="18" customHeight="1">
      <c r="A718" s="250"/>
      <c r="B718" s="241"/>
      <c r="C718" s="241"/>
      <c r="D718" s="241"/>
      <c r="E718" s="241"/>
      <c r="F718" s="241"/>
      <c r="G718" s="241"/>
      <c r="H718" s="241"/>
      <c r="I718" s="241"/>
      <c r="J718" s="241"/>
      <c r="K718" s="241"/>
      <c r="L718" s="241"/>
      <c r="M718" s="241"/>
      <c r="N718" s="241"/>
      <c r="O718" s="241"/>
      <c r="P718" s="241"/>
      <c r="Q718" s="241"/>
      <c r="R718" s="241"/>
      <c r="S718" s="241"/>
      <c r="T718" s="241"/>
      <c r="U718" s="241"/>
      <c r="V718" s="241"/>
      <c r="W718" s="241"/>
      <c r="X718" s="241"/>
      <c r="Y718" s="241"/>
      <c r="Z718" s="241"/>
      <c r="AA718" s="241"/>
      <c r="AB718" s="241"/>
      <c r="AC718" s="241"/>
      <c r="AD718" s="241"/>
      <c r="AE718" s="241"/>
      <c r="AF718" s="241"/>
      <c r="AG718" s="241"/>
      <c r="AH718" s="241"/>
      <c r="AI718" s="241"/>
      <c r="AJ718" s="241"/>
      <c r="AK718" s="241"/>
      <c r="AL718" s="241"/>
      <c r="AM718" s="241"/>
      <c r="AN718" s="241"/>
      <c r="AO718" s="241"/>
      <c r="AP718" s="241"/>
      <c r="AQ718" s="241"/>
      <c r="AR718" s="241"/>
      <c r="AS718" s="241"/>
      <c r="AT718" s="241"/>
      <c r="AU718" s="241"/>
      <c r="AV718" s="241"/>
      <c r="AW718" s="241"/>
      <c r="AX718" s="241"/>
      <c r="AY718" s="241"/>
      <c r="AZ718" s="241"/>
    </row>
    <row r="719" spans="1:52" ht="18" customHeight="1">
      <c r="A719" s="250"/>
      <c r="B719" s="241"/>
      <c r="C719" s="241"/>
      <c r="D719" s="241"/>
      <c r="E719" s="241"/>
      <c r="F719" s="241"/>
      <c r="G719" s="241"/>
      <c r="H719" s="241"/>
      <c r="I719" s="241"/>
      <c r="J719" s="241"/>
      <c r="K719" s="241"/>
      <c r="L719" s="241"/>
      <c r="M719" s="241"/>
      <c r="N719" s="241"/>
      <c r="O719" s="241"/>
      <c r="P719" s="241"/>
      <c r="Q719" s="241"/>
      <c r="R719" s="241"/>
      <c r="S719" s="241"/>
      <c r="T719" s="241"/>
      <c r="U719" s="241"/>
      <c r="V719" s="241"/>
      <c r="W719" s="241"/>
      <c r="X719" s="241"/>
      <c r="Y719" s="241"/>
      <c r="Z719" s="241"/>
      <c r="AA719" s="241"/>
      <c r="AB719" s="241"/>
      <c r="AC719" s="241"/>
      <c r="AD719" s="241"/>
      <c r="AE719" s="241"/>
      <c r="AF719" s="241"/>
      <c r="AG719" s="241"/>
      <c r="AH719" s="241"/>
      <c r="AI719" s="241"/>
      <c r="AJ719" s="241"/>
      <c r="AK719" s="241"/>
      <c r="AL719" s="241"/>
      <c r="AM719" s="241"/>
      <c r="AN719" s="241"/>
      <c r="AO719" s="241"/>
      <c r="AP719" s="241"/>
      <c r="AQ719" s="241"/>
      <c r="AR719" s="241"/>
      <c r="AS719" s="241"/>
      <c r="AT719" s="241"/>
      <c r="AU719" s="241"/>
      <c r="AV719" s="241"/>
      <c r="AW719" s="241"/>
      <c r="AX719" s="241"/>
      <c r="AY719" s="241"/>
      <c r="AZ719" s="241"/>
    </row>
    <row r="720" spans="1:52" ht="18" customHeight="1">
      <c r="A720" s="250"/>
      <c r="B720" s="241"/>
      <c r="C720" s="241"/>
      <c r="D720" s="241"/>
      <c r="E720" s="241"/>
      <c r="F720" s="241"/>
      <c r="G720" s="241"/>
      <c r="H720" s="241"/>
      <c r="I720" s="241"/>
      <c r="J720" s="241"/>
      <c r="K720" s="241"/>
      <c r="L720" s="241"/>
      <c r="M720" s="241"/>
      <c r="N720" s="241"/>
      <c r="O720" s="241"/>
      <c r="P720" s="241"/>
      <c r="Q720" s="241"/>
      <c r="R720" s="241"/>
      <c r="S720" s="241"/>
      <c r="T720" s="241"/>
      <c r="U720" s="241"/>
      <c r="V720" s="241"/>
      <c r="W720" s="241"/>
      <c r="X720" s="241"/>
      <c r="Y720" s="241"/>
      <c r="Z720" s="241"/>
      <c r="AA720" s="241"/>
      <c r="AB720" s="241"/>
      <c r="AC720" s="241"/>
      <c r="AD720" s="241"/>
      <c r="AE720" s="241"/>
      <c r="AF720" s="241"/>
      <c r="AG720" s="241"/>
      <c r="AH720" s="241"/>
      <c r="AI720" s="241"/>
      <c r="AJ720" s="241"/>
      <c r="AK720" s="241"/>
      <c r="AL720" s="241"/>
      <c r="AM720" s="241"/>
      <c r="AN720" s="241"/>
      <c r="AO720" s="241"/>
      <c r="AP720" s="241"/>
      <c r="AQ720" s="241"/>
      <c r="AR720" s="241"/>
      <c r="AS720" s="241"/>
      <c r="AT720" s="241"/>
      <c r="AU720" s="241"/>
      <c r="AV720" s="241"/>
      <c r="AW720" s="241"/>
      <c r="AX720" s="241"/>
      <c r="AY720" s="241"/>
      <c r="AZ720" s="241"/>
    </row>
    <row r="721" spans="1:52" ht="18" customHeight="1">
      <c r="A721" s="250"/>
      <c r="B721" s="241"/>
      <c r="C721" s="241"/>
      <c r="D721" s="241"/>
      <c r="E721" s="241"/>
      <c r="F721" s="241"/>
      <c r="G721" s="241"/>
      <c r="H721" s="241"/>
      <c r="I721" s="241"/>
      <c r="J721" s="241"/>
      <c r="K721" s="241"/>
      <c r="L721" s="241"/>
      <c r="M721" s="241"/>
      <c r="N721" s="241"/>
      <c r="O721" s="241"/>
      <c r="P721" s="241"/>
      <c r="Q721" s="241"/>
      <c r="R721" s="241"/>
      <c r="S721" s="241"/>
      <c r="T721" s="241"/>
      <c r="U721" s="241"/>
      <c r="V721" s="241"/>
      <c r="W721" s="241"/>
      <c r="X721" s="241"/>
      <c r="Y721" s="241"/>
      <c r="Z721" s="241"/>
      <c r="AA721" s="241"/>
      <c r="AB721" s="241"/>
      <c r="AC721" s="241"/>
      <c r="AD721" s="241"/>
      <c r="AE721" s="241"/>
      <c r="AF721" s="241"/>
      <c r="AG721" s="241"/>
      <c r="AH721" s="241"/>
      <c r="AI721" s="241"/>
      <c r="AJ721" s="241"/>
      <c r="AK721" s="241"/>
      <c r="AL721" s="241"/>
      <c r="AM721" s="241"/>
      <c r="AN721" s="241"/>
      <c r="AO721" s="241"/>
      <c r="AP721" s="241"/>
      <c r="AQ721" s="241"/>
      <c r="AR721" s="241"/>
      <c r="AS721" s="241"/>
      <c r="AT721" s="241"/>
      <c r="AU721" s="241"/>
      <c r="AV721" s="241"/>
      <c r="AW721" s="241"/>
      <c r="AX721" s="241"/>
      <c r="AY721" s="241"/>
      <c r="AZ721" s="241"/>
    </row>
    <row r="722" spans="1:52" ht="18" customHeight="1">
      <c r="A722" s="250"/>
      <c r="B722" s="241"/>
      <c r="C722" s="241"/>
      <c r="D722" s="241"/>
      <c r="E722" s="241"/>
      <c r="F722" s="241"/>
      <c r="G722" s="241"/>
      <c r="H722" s="241"/>
      <c r="I722" s="241"/>
      <c r="J722" s="241"/>
      <c r="K722" s="241"/>
      <c r="L722" s="241"/>
      <c r="M722" s="241"/>
      <c r="N722" s="241"/>
      <c r="O722" s="241"/>
      <c r="P722" s="241"/>
      <c r="Q722" s="241"/>
      <c r="R722" s="241"/>
      <c r="S722" s="241"/>
      <c r="T722" s="241"/>
      <c r="U722" s="241"/>
      <c r="V722" s="241"/>
      <c r="W722" s="241"/>
      <c r="X722" s="241"/>
      <c r="Y722" s="241"/>
      <c r="Z722" s="241"/>
      <c r="AA722" s="241"/>
      <c r="AB722" s="241"/>
      <c r="AC722" s="241"/>
      <c r="AD722" s="241"/>
      <c r="AE722" s="241"/>
      <c r="AF722" s="241"/>
      <c r="AG722" s="241"/>
      <c r="AH722" s="241"/>
      <c r="AI722" s="241"/>
      <c r="AJ722" s="241"/>
      <c r="AK722" s="241"/>
      <c r="AL722" s="241"/>
      <c r="AM722" s="241"/>
      <c r="AN722" s="241"/>
      <c r="AO722" s="241"/>
      <c r="AP722" s="241"/>
      <c r="AQ722" s="241"/>
      <c r="AR722" s="241"/>
      <c r="AS722" s="241"/>
      <c r="AT722" s="241"/>
      <c r="AU722" s="241"/>
      <c r="AV722" s="241"/>
      <c r="AW722" s="241"/>
      <c r="AX722" s="241"/>
      <c r="AY722" s="241"/>
      <c r="AZ722" s="241"/>
    </row>
    <row r="723" spans="1:52" ht="18" customHeight="1">
      <c r="A723" s="250"/>
      <c r="B723" s="241"/>
      <c r="C723" s="241"/>
      <c r="D723" s="241"/>
      <c r="E723" s="241"/>
      <c r="F723" s="241"/>
      <c r="G723" s="241"/>
      <c r="H723" s="241"/>
      <c r="I723" s="241"/>
      <c r="J723" s="241"/>
      <c r="K723" s="241"/>
      <c r="L723" s="241"/>
      <c r="M723" s="241"/>
      <c r="N723" s="241"/>
      <c r="O723" s="241"/>
      <c r="P723" s="241"/>
      <c r="Q723" s="241"/>
      <c r="R723" s="241"/>
      <c r="S723" s="241"/>
      <c r="T723" s="241"/>
      <c r="U723" s="241"/>
      <c r="V723" s="241"/>
      <c r="W723" s="241"/>
      <c r="X723" s="241"/>
      <c r="Y723" s="241"/>
      <c r="Z723" s="241"/>
      <c r="AA723" s="241"/>
      <c r="AB723" s="241"/>
      <c r="AC723" s="241"/>
      <c r="AD723" s="241"/>
      <c r="AE723" s="241"/>
      <c r="AF723" s="241"/>
      <c r="AG723" s="241"/>
      <c r="AH723" s="241"/>
      <c r="AI723" s="241"/>
      <c r="AJ723" s="241"/>
      <c r="AK723" s="241"/>
      <c r="AL723" s="241"/>
      <c r="AM723" s="241"/>
      <c r="AN723" s="241"/>
      <c r="AO723" s="241"/>
      <c r="AP723" s="241"/>
      <c r="AQ723" s="241"/>
      <c r="AR723" s="241"/>
      <c r="AS723" s="241"/>
      <c r="AT723" s="241"/>
      <c r="AU723" s="241"/>
      <c r="AV723" s="241"/>
      <c r="AW723" s="241"/>
      <c r="AX723" s="241"/>
      <c r="AY723" s="241"/>
      <c r="AZ723" s="241"/>
    </row>
    <row r="724" spans="1:52" ht="18" customHeight="1">
      <c r="A724" s="250"/>
      <c r="B724" s="241"/>
      <c r="C724" s="241"/>
      <c r="D724" s="241"/>
      <c r="E724" s="241"/>
      <c r="F724" s="241"/>
      <c r="G724" s="241"/>
      <c r="H724" s="241"/>
      <c r="I724" s="241"/>
      <c r="J724" s="241"/>
      <c r="K724" s="241"/>
      <c r="L724" s="241"/>
      <c r="M724" s="241"/>
      <c r="N724" s="241"/>
      <c r="O724" s="241"/>
      <c r="P724" s="241"/>
      <c r="Q724" s="241"/>
      <c r="R724" s="241"/>
      <c r="S724" s="241"/>
      <c r="T724" s="241"/>
      <c r="U724" s="241"/>
      <c r="V724" s="241"/>
      <c r="W724" s="241"/>
      <c r="X724" s="241"/>
      <c r="Y724" s="241"/>
      <c r="Z724" s="241"/>
      <c r="AA724" s="241"/>
      <c r="AB724" s="241"/>
      <c r="AC724" s="241"/>
      <c r="AD724" s="241"/>
      <c r="AE724" s="241"/>
      <c r="AF724" s="241"/>
      <c r="AG724" s="241"/>
      <c r="AH724" s="241"/>
      <c r="AI724" s="241"/>
      <c r="AJ724" s="241"/>
      <c r="AK724" s="241"/>
      <c r="AL724" s="241"/>
      <c r="AM724" s="241"/>
      <c r="AN724" s="241"/>
      <c r="AO724" s="241"/>
      <c r="AP724" s="241"/>
      <c r="AQ724" s="241"/>
      <c r="AR724" s="241"/>
      <c r="AS724" s="241"/>
      <c r="AT724" s="241"/>
      <c r="AU724" s="241"/>
      <c r="AV724" s="241"/>
      <c r="AW724" s="241"/>
      <c r="AX724" s="241"/>
      <c r="AY724" s="241"/>
      <c r="AZ724" s="241"/>
    </row>
    <row r="725" spans="1:52" ht="18" customHeight="1">
      <c r="A725" s="250"/>
      <c r="B725" s="241"/>
      <c r="C725" s="241"/>
      <c r="D725" s="241"/>
      <c r="E725" s="241"/>
      <c r="F725" s="241"/>
      <c r="G725" s="241"/>
      <c r="H725" s="241"/>
      <c r="I725" s="241"/>
      <c r="J725" s="241"/>
      <c r="K725" s="241"/>
      <c r="L725" s="241"/>
      <c r="M725" s="241"/>
      <c r="N725" s="241"/>
      <c r="O725" s="241"/>
      <c r="P725" s="241"/>
      <c r="Q725" s="241"/>
      <c r="R725" s="241"/>
      <c r="S725" s="241"/>
      <c r="T725" s="241"/>
      <c r="U725" s="241"/>
      <c r="V725" s="241"/>
      <c r="W725" s="241"/>
      <c r="X725" s="241"/>
      <c r="Y725" s="241"/>
      <c r="Z725" s="241"/>
      <c r="AA725" s="241"/>
      <c r="AB725" s="241"/>
      <c r="AC725" s="241"/>
      <c r="AD725" s="241"/>
      <c r="AE725" s="241"/>
      <c r="AF725" s="241"/>
      <c r="AG725" s="241"/>
      <c r="AH725" s="241"/>
      <c r="AI725" s="241"/>
      <c r="AJ725" s="241"/>
      <c r="AK725" s="241"/>
      <c r="AL725" s="241"/>
      <c r="AM725" s="241"/>
      <c r="AN725" s="241"/>
      <c r="AO725" s="241"/>
      <c r="AP725" s="241"/>
      <c r="AQ725" s="241"/>
      <c r="AR725" s="241"/>
      <c r="AS725" s="241"/>
      <c r="AT725" s="241"/>
      <c r="AU725" s="241"/>
      <c r="AV725" s="241"/>
      <c r="AW725" s="241"/>
      <c r="AX725" s="241"/>
      <c r="AY725" s="241"/>
      <c r="AZ725" s="241"/>
    </row>
    <row r="726" spans="1:52" ht="18" customHeight="1">
      <c r="A726" s="250"/>
      <c r="B726" s="241"/>
      <c r="C726" s="241"/>
      <c r="D726" s="241"/>
      <c r="E726" s="241"/>
      <c r="F726" s="241"/>
      <c r="G726" s="241"/>
      <c r="H726" s="241"/>
      <c r="I726" s="241"/>
      <c r="J726" s="241"/>
      <c r="K726" s="241"/>
      <c r="L726" s="241"/>
      <c r="M726" s="241"/>
      <c r="N726" s="241"/>
      <c r="O726" s="241"/>
      <c r="P726" s="241"/>
      <c r="Q726" s="241"/>
      <c r="R726" s="241"/>
      <c r="S726" s="241"/>
      <c r="T726" s="241"/>
      <c r="U726" s="241"/>
      <c r="V726" s="241"/>
      <c r="W726" s="241"/>
      <c r="X726" s="241"/>
      <c r="Y726" s="241"/>
      <c r="Z726" s="241"/>
      <c r="AA726" s="241"/>
      <c r="AB726" s="241"/>
      <c r="AC726" s="241"/>
      <c r="AD726" s="241"/>
      <c r="AE726" s="241"/>
      <c r="AF726" s="241"/>
      <c r="AG726" s="241"/>
      <c r="AH726" s="241"/>
      <c r="AI726" s="241"/>
      <c r="AJ726" s="241"/>
      <c r="AK726" s="241"/>
      <c r="AL726" s="241"/>
      <c r="AM726" s="241"/>
      <c r="AN726" s="241"/>
      <c r="AO726" s="241"/>
      <c r="AP726" s="241"/>
      <c r="AQ726" s="241"/>
      <c r="AR726" s="241"/>
      <c r="AS726" s="241"/>
      <c r="AT726" s="241"/>
      <c r="AU726" s="241"/>
      <c r="AV726" s="241"/>
      <c r="AW726" s="241"/>
      <c r="AX726" s="241"/>
      <c r="AY726" s="241"/>
      <c r="AZ726" s="241"/>
    </row>
    <row r="727" spans="1:52" ht="18" customHeight="1">
      <c r="A727" s="250"/>
      <c r="B727" s="241"/>
      <c r="C727" s="241"/>
      <c r="D727" s="241"/>
      <c r="E727" s="241"/>
      <c r="F727" s="241"/>
      <c r="G727" s="241"/>
      <c r="H727" s="241"/>
      <c r="I727" s="241"/>
      <c r="J727" s="241"/>
      <c r="K727" s="241"/>
      <c r="L727" s="241"/>
      <c r="M727" s="241"/>
      <c r="N727" s="241"/>
      <c r="O727" s="241"/>
      <c r="P727" s="241"/>
      <c r="Q727" s="241"/>
      <c r="R727" s="241"/>
      <c r="S727" s="241"/>
      <c r="T727" s="241"/>
      <c r="U727" s="241"/>
      <c r="V727" s="241"/>
      <c r="W727" s="241"/>
      <c r="X727" s="241"/>
      <c r="Y727" s="241"/>
      <c r="Z727" s="241"/>
      <c r="AA727" s="241"/>
      <c r="AB727" s="241"/>
      <c r="AC727" s="241"/>
      <c r="AD727" s="241"/>
      <c r="AE727" s="241"/>
      <c r="AF727" s="241"/>
      <c r="AG727" s="241"/>
      <c r="AH727" s="241"/>
      <c r="AI727" s="241"/>
      <c r="AJ727" s="241"/>
      <c r="AK727" s="241"/>
      <c r="AL727" s="241"/>
      <c r="AM727" s="241"/>
      <c r="AN727" s="241"/>
      <c r="AO727" s="241"/>
      <c r="AP727" s="241"/>
      <c r="AQ727" s="241"/>
      <c r="AR727" s="241"/>
      <c r="AS727" s="241"/>
      <c r="AT727" s="241"/>
      <c r="AU727" s="241"/>
      <c r="AV727" s="241"/>
      <c r="AW727" s="241"/>
      <c r="AX727" s="241"/>
      <c r="AY727" s="241"/>
      <c r="AZ727" s="241"/>
    </row>
    <row r="728" spans="1:52" ht="18" customHeight="1">
      <c r="A728" s="250"/>
      <c r="B728" s="241"/>
      <c r="C728" s="241"/>
      <c r="D728" s="241"/>
      <c r="E728" s="241"/>
      <c r="F728" s="241"/>
      <c r="G728" s="241"/>
      <c r="H728" s="241"/>
      <c r="I728" s="241"/>
      <c r="J728" s="241"/>
      <c r="K728" s="241"/>
      <c r="L728" s="241"/>
      <c r="M728" s="241"/>
      <c r="N728" s="241"/>
      <c r="O728" s="241"/>
      <c r="P728" s="241"/>
      <c r="Q728" s="241"/>
      <c r="R728" s="241"/>
      <c r="S728" s="241"/>
      <c r="T728" s="241"/>
      <c r="U728" s="241"/>
      <c r="V728" s="241"/>
      <c r="W728" s="241"/>
      <c r="X728" s="241"/>
      <c r="Y728" s="241"/>
      <c r="Z728" s="241"/>
      <c r="AA728" s="241"/>
      <c r="AB728" s="241"/>
      <c r="AC728" s="241"/>
      <c r="AD728" s="241"/>
      <c r="AE728" s="241"/>
      <c r="AF728" s="241"/>
      <c r="AG728" s="241"/>
      <c r="AH728" s="241"/>
      <c r="AI728" s="241"/>
      <c r="AJ728" s="241"/>
      <c r="AK728" s="241"/>
      <c r="AL728" s="241"/>
      <c r="AM728" s="241"/>
      <c r="AN728" s="241"/>
      <c r="AO728" s="241"/>
      <c r="AP728" s="241"/>
      <c r="AQ728" s="241"/>
      <c r="AR728" s="241"/>
      <c r="AS728" s="241"/>
      <c r="AT728" s="241"/>
      <c r="AU728" s="241"/>
      <c r="AV728" s="241"/>
      <c r="AW728" s="241"/>
      <c r="AX728" s="241"/>
      <c r="AY728" s="241"/>
      <c r="AZ728" s="241"/>
    </row>
    <row r="729" spans="1:52" ht="18" customHeight="1">
      <c r="A729" s="250"/>
      <c r="B729" s="241"/>
      <c r="C729" s="241"/>
      <c r="D729" s="241"/>
      <c r="E729" s="241"/>
      <c r="F729" s="241"/>
      <c r="G729" s="241"/>
      <c r="H729" s="241"/>
      <c r="I729" s="241"/>
      <c r="J729" s="241"/>
      <c r="K729" s="241"/>
      <c r="L729" s="241"/>
      <c r="M729" s="241"/>
      <c r="N729" s="241"/>
      <c r="O729" s="241"/>
      <c r="P729" s="241"/>
      <c r="Q729" s="241"/>
      <c r="R729" s="241"/>
      <c r="S729" s="241"/>
      <c r="T729" s="241"/>
      <c r="U729" s="241"/>
      <c r="V729" s="241"/>
      <c r="W729" s="241"/>
      <c r="X729" s="241"/>
      <c r="Y729" s="241"/>
      <c r="Z729" s="241"/>
      <c r="AA729" s="241"/>
      <c r="AB729" s="241"/>
      <c r="AC729" s="241"/>
      <c r="AD729" s="241"/>
      <c r="AE729" s="241"/>
      <c r="AF729" s="241"/>
      <c r="AG729" s="241"/>
      <c r="AH729" s="241"/>
      <c r="AI729" s="241"/>
      <c r="AJ729" s="241"/>
      <c r="AK729" s="241"/>
      <c r="AL729" s="241"/>
      <c r="AM729" s="241"/>
      <c r="AN729" s="241"/>
      <c r="AO729" s="241"/>
      <c r="AP729" s="241"/>
      <c r="AQ729" s="241"/>
      <c r="AR729" s="241"/>
      <c r="AS729" s="241"/>
      <c r="AT729" s="241"/>
      <c r="AU729" s="241"/>
      <c r="AV729" s="241"/>
      <c r="AW729" s="241"/>
      <c r="AX729" s="241"/>
      <c r="AY729" s="241"/>
      <c r="AZ729" s="241"/>
    </row>
    <row r="730" spans="1:52" ht="18" customHeight="1">
      <c r="A730" s="250"/>
      <c r="B730" s="241"/>
      <c r="C730" s="241"/>
      <c r="D730" s="241"/>
      <c r="E730" s="241"/>
      <c r="F730" s="241"/>
      <c r="G730" s="241"/>
      <c r="H730" s="241"/>
      <c r="I730" s="241"/>
      <c r="J730" s="241"/>
      <c r="K730" s="241"/>
      <c r="L730" s="241"/>
      <c r="M730" s="241"/>
      <c r="N730" s="241"/>
      <c r="O730" s="241"/>
      <c r="P730" s="241"/>
      <c r="Q730" s="241"/>
      <c r="R730" s="241"/>
      <c r="S730" s="241"/>
      <c r="T730" s="241"/>
      <c r="U730" s="241"/>
      <c r="V730" s="241"/>
      <c r="W730" s="241"/>
      <c r="X730" s="241"/>
      <c r="Y730" s="241"/>
      <c r="Z730" s="241"/>
      <c r="AA730" s="241"/>
      <c r="AB730" s="241"/>
      <c r="AC730" s="241"/>
      <c r="AD730" s="241"/>
      <c r="AE730" s="241"/>
      <c r="AF730" s="241"/>
      <c r="AG730" s="241"/>
      <c r="AH730" s="241"/>
      <c r="AI730" s="241"/>
      <c r="AJ730" s="241"/>
      <c r="AK730" s="241"/>
      <c r="AL730" s="241"/>
      <c r="AM730" s="241"/>
      <c r="AN730" s="241"/>
      <c r="AO730" s="241"/>
      <c r="AP730" s="241"/>
      <c r="AQ730" s="241"/>
      <c r="AR730" s="241"/>
      <c r="AS730" s="241"/>
      <c r="AT730" s="241"/>
      <c r="AU730" s="241"/>
      <c r="AV730" s="241"/>
      <c r="AW730" s="241"/>
      <c r="AX730" s="241"/>
      <c r="AY730" s="241"/>
      <c r="AZ730" s="241"/>
    </row>
    <row r="731" spans="1:52" ht="18" customHeight="1">
      <c r="A731" s="250"/>
      <c r="B731" s="241"/>
      <c r="C731" s="241"/>
      <c r="D731" s="241"/>
      <c r="E731" s="241"/>
      <c r="F731" s="241"/>
      <c r="G731" s="241"/>
      <c r="H731" s="241"/>
      <c r="I731" s="241"/>
      <c r="J731" s="241"/>
      <c r="K731" s="241"/>
      <c r="L731" s="241"/>
      <c r="M731" s="241"/>
      <c r="N731" s="241"/>
      <c r="O731" s="241"/>
      <c r="P731" s="241"/>
      <c r="Q731" s="241"/>
      <c r="R731" s="241"/>
      <c r="S731" s="241"/>
      <c r="T731" s="241"/>
      <c r="U731" s="241"/>
      <c r="V731" s="241"/>
      <c r="W731" s="241"/>
      <c r="X731" s="241"/>
      <c r="Y731" s="241"/>
      <c r="Z731" s="241"/>
      <c r="AA731" s="241"/>
      <c r="AB731" s="241"/>
      <c r="AC731" s="241"/>
      <c r="AD731" s="241"/>
      <c r="AE731" s="241"/>
      <c r="AF731" s="241"/>
      <c r="AG731" s="241"/>
      <c r="AH731" s="241"/>
      <c r="AI731" s="241"/>
      <c r="AJ731" s="241"/>
      <c r="AK731" s="241"/>
      <c r="AL731" s="241"/>
      <c r="AM731" s="241"/>
      <c r="AN731" s="241"/>
      <c r="AO731" s="241"/>
      <c r="AP731" s="241"/>
      <c r="AQ731" s="241"/>
      <c r="AR731" s="241"/>
      <c r="AS731" s="241"/>
      <c r="AT731" s="241"/>
      <c r="AU731" s="241"/>
      <c r="AV731" s="241"/>
      <c r="AW731" s="241"/>
      <c r="AX731" s="241"/>
      <c r="AY731" s="241"/>
      <c r="AZ731" s="241"/>
    </row>
    <row r="732" spans="1:52" ht="18" customHeight="1">
      <c r="A732" s="250"/>
      <c r="B732" s="241"/>
      <c r="C732" s="241"/>
      <c r="D732" s="241"/>
      <c r="E732" s="241"/>
      <c r="F732" s="241"/>
      <c r="G732" s="241"/>
      <c r="H732" s="241"/>
      <c r="I732" s="241"/>
      <c r="J732" s="241"/>
      <c r="K732" s="241"/>
      <c r="L732" s="241"/>
      <c r="M732" s="241"/>
      <c r="N732" s="241"/>
      <c r="O732" s="241"/>
      <c r="P732" s="241"/>
      <c r="Q732" s="241"/>
      <c r="R732" s="241"/>
      <c r="S732" s="241"/>
      <c r="T732" s="241"/>
      <c r="U732" s="241"/>
      <c r="V732" s="241"/>
      <c r="W732" s="241"/>
      <c r="X732" s="241"/>
      <c r="Y732" s="241"/>
      <c r="Z732" s="241"/>
      <c r="AA732" s="241"/>
      <c r="AB732" s="241"/>
      <c r="AC732" s="241"/>
      <c r="AD732" s="241"/>
      <c r="AE732" s="241"/>
      <c r="AF732" s="241"/>
      <c r="AG732" s="241"/>
      <c r="AH732" s="241"/>
      <c r="AI732" s="241"/>
      <c r="AJ732" s="241"/>
      <c r="AK732" s="241"/>
      <c r="AL732" s="241"/>
      <c r="AM732" s="241"/>
      <c r="AN732" s="241"/>
      <c r="AO732" s="241"/>
      <c r="AP732" s="241"/>
      <c r="AQ732" s="241"/>
      <c r="AR732" s="241"/>
      <c r="AS732" s="241"/>
      <c r="AT732" s="241"/>
      <c r="AU732" s="241"/>
      <c r="AV732" s="241"/>
      <c r="AW732" s="241"/>
      <c r="AX732" s="241"/>
      <c r="AY732" s="241"/>
      <c r="AZ732" s="241"/>
    </row>
    <row r="733" spans="1:52" ht="18" customHeight="1">
      <c r="A733" s="250"/>
      <c r="B733" s="241"/>
      <c r="C733" s="241"/>
      <c r="D733" s="241"/>
      <c r="E733" s="241"/>
      <c r="F733" s="241"/>
      <c r="G733" s="241"/>
      <c r="H733" s="241"/>
      <c r="I733" s="241"/>
      <c r="J733" s="241"/>
      <c r="K733" s="241"/>
      <c r="L733" s="241"/>
      <c r="M733" s="241"/>
      <c r="N733" s="241"/>
      <c r="O733" s="241"/>
      <c r="P733" s="241"/>
      <c r="Q733" s="241"/>
      <c r="R733" s="241"/>
      <c r="S733" s="241"/>
      <c r="T733" s="241"/>
      <c r="U733" s="241"/>
      <c r="V733" s="241"/>
      <c r="W733" s="241"/>
      <c r="X733" s="241"/>
      <c r="Y733" s="241"/>
      <c r="Z733" s="241"/>
      <c r="AA733" s="241"/>
      <c r="AB733" s="241"/>
      <c r="AC733" s="241"/>
      <c r="AD733" s="241"/>
      <c r="AE733" s="241"/>
      <c r="AF733" s="241"/>
      <c r="AG733" s="241"/>
      <c r="AH733" s="241"/>
      <c r="AI733" s="241"/>
      <c r="AJ733" s="241"/>
      <c r="AK733" s="241"/>
      <c r="AL733" s="241"/>
      <c r="AM733" s="241"/>
      <c r="AN733" s="241"/>
      <c r="AO733" s="241"/>
      <c r="AP733" s="241"/>
      <c r="AQ733" s="241"/>
      <c r="AR733" s="241"/>
      <c r="AS733" s="241"/>
      <c r="AT733" s="241"/>
      <c r="AU733" s="241"/>
      <c r="AV733" s="241"/>
      <c r="AW733" s="241"/>
      <c r="AX733" s="241"/>
      <c r="AY733" s="241"/>
      <c r="AZ733" s="241"/>
    </row>
    <row r="734" spans="1:52" ht="18" customHeight="1">
      <c r="A734" s="250"/>
      <c r="B734" s="241"/>
      <c r="C734" s="241"/>
      <c r="D734" s="241"/>
      <c r="E734" s="241"/>
      <c r="F734" s="241"/>
      <c r="G734" s="241"/>
      <c r="H734" s="241"/>
      <c r="I734" s="241"/>
      <c r="J734" s="241"/>
      <c r="K734" s="241"/>
      <c r="L734" s="241"/>
      <c r="M734" s="241"/>
      <c r="N734" s="241"/>
      <c r="O734" s="241"/>
      <c r="P734" s="241"/>
      <c r="Q734" s="241"/>
      <c r="R734" s="241"/>
      <c r="S734" s="241"/>
      <c r="T734" s="241"/>
      <c r="U734" s="241"/>
      <c r="V734" s="241"/>
      <c r="W734" s="241"/>
      <c r="X734" s="241"/>
      <c r="Y734" s="241"/>
      <c r="Z734" s="241"/>
      <c r="AA734" s="241"/>
      <c r="AB734" s="241"/>
      <c r="AC734" s="241"/>
      <c r="AD734" s="241"/>
      <c r="AE734" s="241"/>
      <c r="AF734" s="241"/>
      <c r="AG734" s="241"/>
      <c r="AH734" s="241"/>
      <c r="AI734" s="241"/>
      <c r="AJ734" s="241"/>
      <c r="AK734" s="241"/>
      <c r="AL734" s="241"/>
      <c r="AM734" s="241"/>
      <c r="AN734" s="241"/>
      <c r="AO734" s="241"/>
      <c r="AP734" s="241"/>
      <c r="AQ734" s="241"/>
      <c r="AR734" s="241"/>
      <c r="AS734" s="241"/>
      <c r="AT734" s="241"/>
      <c r="AU734" s="241"/>
      <c r="AV734" s="241"/>
      <c r="AW734" s="241"/>
      <c r="AX734" s="241"/>
      <c r="AY734" s="241"/>
      <c r="AZ734" s="241"/>
    </row>
    <row r="735" spans="1:52" ht="18" customHeight="1">
      <c r="A735" s="250"/>
      <c r="B735" s="241"/>
      <c r="C735" s="241"/>
      <c r="D735" s="241"/>
      <c r="E735" s="241"/>
      <c r="F735" s="241"/>
      <c r="G735" s="241"/>
      <c r="H735" s="241"/>
      <c r="I735" s="241"/>
      <c r="J735" s="241"/>
      <c r="K735" s="241"/>
      <c r="L735" s="241"/>
      <c r="M735" s="241"/>
      <c r="N735" s="241"/>
      <c r="O735" s="241"/>
      <c r="P735" s="241"/>
      <c r="Q735" s="241"/>
      <c r="R735" s="241"/>
      <c r="S735" s="241"/>
      <c r="T735" s="241"/>
      <c r="U735" s="241"/>
      <c r="V735" s="241"/>
      <c r="W735" s="241"/>
      <c r="X735" s="241"/>
      <c r="Y735" s="241"/>
      <c r="Z735" s="241"/>
      <c r="AA735" s="241"/>
      <c r="AB735" s="241"/>
      <c r="AC735" s="241"/>
      <c r="AD735" s="241"/>
      <c r="AE735" s="241"/>
      <c r="AF735" s="241"/>
      <c r="AG735" s="241"/>
      <c r="AH735" s="241"/>
      <c r="AI735" s="241"/>
      <c r="AJ735" s="241"/>
      <c r="AK735" s="241"/>
      <c r="AL735" s="241"/>
      <c r="AM735" s="241"/>
      <c r="AN735" s="241"/>
      <c r="AO735" s="241"/>
      <c r="AP735" s="241"/>
      <c r="AQ735" s="241"/>
      <c r="AR735" s="241"/>
      <c r="AS735" s="241"/>
      <c r="AT735" s="241"/>
      <c r="AU735" s="241"/>
      <c r="AV735" s="241"/>
      <c r="AW735" s="241"/>
      <c r="AX735" s="241"/>
      <c r="AY735" s="241"/>
      <c r="AZ735" s="241"/>
    </row>
    <row r="736" spans="1:52" ht="18" customHeight="1">
      <c r="A736" s="250"/>
      <c r="B736" s="241"/>
      <c r="C736" s="241"/>
      <c r="D736" s="241"/>
      <c r="E736" s="241"/>
      <c r="F736" s="241"/>
      <c r="G736" s="241"/>
      <c r="H736" s="241"/>
      <c r="I736" s="241"/>
      <c r="J736" s="241"/>
      <c r="K736" s="241"/>
      <c r="L736" s="241"/>
      <c r="M736" s="241"/>
      <c r="N736" s="241"/>
      <c r="O736" s="241"/>
      <c r="P736" s="241"/>
      <c r="Q736" s="241"/>
      <c r="R736" s="241"/>
      <c r="S736" s="241"/>
      <c r="T736" s="241"/>
      <c r="U736" s="241"/>
      <c r="V736" s="241"/>
      <c r="W736" s="241"/>
      <c r="X736" s="241"/>
      <c r="Y736" s="241"/>
      <c r="Z736" s="241"/>
      <c r="AA736" s="241"/>
      <c r="AB736" s="241"/>
      <c r="AC736" s="241"/>
      <c r="AD736" s="241"/>
      <c r="AE736" s="241"/>
      <c r="AF736" s="241"/>
      <c r="AG736" s="241"/>
      <c r="AH736" s="241"/>
      <c r="AI736" s="241"/>
      <c r="AJ736" s="241"/>
      <c r="AK736" s="241"/>
      <c r="AL736" s="241"/>
      <c r="AM736" s="241"/>
      <c r="AN736" s="241"/>
      <c r="AO736" s="241"/>
      <c r="AP736" s="241"/>
      <c r="AQ736" s="241"/>
      <c r="AR736" s="241"/>
      <c r="AS736" s="241"/>
      <c r="AT736" s="241"/>
      <c r="AU736" s="241"/>
      <c r="AV736" s="241"/>
      <c r="AW736" s="241"/>
      <c r="AX736" s="241"/>
      <c r="AY736" s="241"/>
      <c r="AZ736" s="241"/>
    </row>
    <row r="737" spans="1:52" ht="18" customHeight="1">
      <c r="A737" s="250"/>
      <c r="B737" s="241"/>
      <c r="C737" s="241"/>
      <c r="D737" s="241"/>
      <c r="E737" s="241"/>
      <c r="F737" s="241"/>
      <c r="G737" s="241"/>
      <c r="H737" s="241"/>
      <c r="I737" s="241"/>
      <c r="J737" s="241"/>
      <c r="K737" s="241"/>
      <c r="L737" s="241"/>
      <c r="M737" s="241"/>
      <c r="N737" s="241"/>
      <c r="O737" s="241"/>
      <c r="P737" s="241"/>
      <c r="Q737" s="241"/>
      <c r="R737" s="241"/>
      <c r="S737" s="241"/>
      <c r="T737" s="241"/>
      <c r="U737" s="241"/>
      <c r="V737" s="241"/>
      <c r="W737" s="241"/>
      <c r="X737" s="241"/>
      <c r="Y737" s="241"/>
      <c r="Z737" s="241"/>
      <c r="AA737" s="241"/>
      <c r="AB737" s="241"/>
      <c r="AC737" s="241"/>
      <c r="AD737" s="241"/>
      <c r="AE737" s="241"/>
      <c r="AF737" s="241"/>
      <c r="AG737" s="241"/>
      <c r="AH737" s="241"/>
      <c r="AI737" s="241"/>
      <c r="AJ737" s="241"/>
      <c r="AK737" s="241"/>
      <c r="AL737" s="241"/>
      <c r="AM737" s="241"/>
      <c r="AN737" s="241"/>
      <c r="AO737" s="241"/>
      <c r="AP737" s="241"/>
      <c r="AQ737" s="241"/>
      <c r="AR737" s="241"/>
      <c r="AS737" s="241"/>
      <c r="AT737" s="241"/>
      <c r="AU737" s="241"/>
      <c r="AV737" s="241"/>
      <c r="AW737" s="241"/>
      <c r="AX737" s="241"/>
      <c r="AY737" s="241"/>
      <c r="AZ737" s="241"/>
    </row>
    <row r="738" spans="1:52" ht="18" customHeight="1">
      <c r="A738" s="250"/>
      <c r="B738" s="241"/>
      <c r="C738" s="241"/>
      <c r="D738" s="241"/>
      <c r="E738" s="241"/>
      <c r="F738" s="241"/>
      <c r="G738" s="241"/>
      <c r="H738" s="241"/>
      <c r="I738" s="241"/>
      <c r="J738" s="241"/>
      <c r="K738" s="241"/>
      <c r="L738" s="241"/>
      <c r="M738" s="241"/>
      <c r="N738" s="241"/>
      <c r="O738" s="241"/>
      <c r="P738" s="241"/>
      <c r="Q738" s="241"/>
      <c r="R738" s="241"/>
      <c r="S738" s="241"/>
      <c r="T738" s="241"/>
      <c r="U738" s="241"/>
      <c r="V738" s="241"/>
      <c r="W738" s="241"/>
      <c r="X738" s="241"/>
      <c r="Y738" s="241"/>
      <c r="Z738" s="241"/>
      <c r="AA738" s="241"/>
      <c r="AB738" s="241"/>
      <c r="AC738" s="241"/>
      <c r="AD738" s="241"/>
      <c r="AE738" s="241"/>
      <c r="AF738" s="241"/>
      <c r="AG738" s="241"/>
      <c r="AH738" s="241"/>
      <c r="AI738" s="241"/>
      <c r="AJ738" s="241"/>
      <c r="AK738" s="241"/>
      <c r="AL738" s="241"/>
      <c r="AM738" s="241"/>
      <c r="AN738" s="241"/>
      <c r="AO738" s="241"/>
      <c r="AP738" s="241"/>
      <c r="AQ738" s="241"/>
      <c r="AR738" s="241"/>
      <c r="AS738" s="241"/>
      <c r="AT738" s="241"/>
      <c r="AU738" s="241"/>
      <c r="AV738" s="241"/>
      <c r="AW738" s="241"/>
      <c r="AX738" s="241"/>
      <c r="AY738" s="241"/>
      <c r="AZ738" s="241"/>
    </row>
    <row r="739" spans="1:52" ht="18" customHeight="1">
      <c r="A739" s="250"/>
      <c r="B739" s="241"/>
      <c r="C739" s="241"/>
      <c r="D739" s="241"/>
      <c r="E739" s="241"/>
      <c r="F739" s="241"/>
      <c r="G739" s="241"/>
      <c r="H739" s="241"/>
      <c r="I739" s="241"/>
      <c r="J739" s="241"/>
      <c r="K739" s="241"/>
      <c r="L739" s="241"/>
      <c r="M739" s="241"/>
      <c r="N739" s="241"/>
      <c r="O739" s="241"/>
      <c r="P739" s="241"/>
      <c r="Q739" s="241"/>
      <c r="R739" s="241"/>
      <c r="S739" s="241"/>
      <c r="T739" s="241"/>
      <c r="U739" s="241"/>
      <c r="V739" s="241"/>
      <c r="W739" s="241"/>
      <c r="X739" s="241"/>
      <c r="Y739" s="241"/>
      <c r="Z739" s="241"/>
      <c r="AA739" s="241"/>
      <c r="AB739" s="241"/>
      <c r="AC739" s="241"/>
      <c r="AD739" s="241"/>
      <c r="AE739" s="241"/>
      <c r="AF739" s="241"/>
      <c r="AG739" s="241"/>
      <c r="AH739" s="241"/>
      <c r="AI739" s="241"/>
      <c r="AJ739" s="241"/>
      <c r="AK739" s="241"/>
      <c r="AL739" s="241"/>
      <c r="AM739" s="241"/>
      <c r="AN739" s="241"/>
      <c r="AO739" s="241"/>
      <c r="AP739" s="241"/>
      <c r="AQ739" s="241"/>
      <c r="AR739" s="241"/>
      <c r="AS739" s="241"/>
      <c r="AT739" s="241"/>
      <c r="AU739" s="241"/>
      <c r="AV739" s="241"/>
      <c r="AW739" s="241"/>
      <c r="AX739" s="241"/>
      <c r="AY739" s="241"/>
      <c r="AZ739" s="241"/>
    </row>
    <row r="740" spans="1:52" ht="18" customHeight="1">
      <c r="A740" s="250"/>
      <c r="B740" s="241"/>
      <c r="C740" s="241"/>
      <c r="D740" s="241"/>
      <c r="E740" s="241"/>
      <c r="F740" s="241"/>
      <c r="G740" s="241"/>
      <c r="H740" s="241"/>
      <c r="I740" s="241"/>
      <c r="J740" s="241"/>
      <c r="K740" s="241"/>
      <c r="L740" s="241"/>
      <c r="M740" s="241"/>
      <c r="N740" s="241"/>
      <c r="O740" s="241"/>
      <c r="P740" s="241"/>
      <c r="Q740" s="241"/>
      <c r="R740" s="241"/>
      <c r="S740" s="241"/>
      <c r="T740" s="241"/>
      <c r="U740" s="241"/>
      <c r="V740" s="241"/>
      <c r="W740" s="241"/>
      <c r="X740" s="241"/>
      <c r="Y740" s="241"/>
      <c r="Z740" s="241"/>
      <c r="AA740" s="241"/>
      <c r="AB740" s="241"/>
      <c r="AC740" s="241"/>
      <c r="AD740" s="241"/>
      <c r="AE740" s="241"/>
      <c r="AF740" s="241"/>
      <c r="AG740" s="241"/>
      <c r="AH740" s="241"/>
      <c r="AI740" s="241"/>
      <c r="AJ740" s="241"/>
      <c r="AK740" s="241"/>
      <c r="AL740" s="241"/>
      <c r="AM740" s="241"/>
      <c r="AN740" s="241"/>
      <c r="AO740" s="241"/>
      <c r="AP740" s="241"/>
      <c r="AQ740" s="241"/>
      <c r="AR740" s="241"/>
      <c r="AS740" s="241"/>
      <c r="AT740" s="241"/>
      <c r="AU740" s="241"/>
      <c r="AV740" s="241"/>
      <c r="AW740" s="241"/>
      <c r="AX740" s="241"/>
      <c r="AY740" s="241"/>
      <c r="AZ740" s="241"/>
    </row>
    <row r="741" spans="1:52" ht="18" customHeight="1">
      <c r="A741" s="250"/>
      <c r="B741" s="241"/>
      <c r="C741" s="241"/>
      <c r="D741" s="241"/>
      <c r="E741" s="241"/>
      <c r="F741" s="241"/>
      <c r="G741" s="241"/>
      <c r="H741" s="241"/>
      <c r="I741" s="241"/>
      <c r="J741" s="241"/>
      <c r="K741" s="241"/>
      <c r="L741" s="241"/>
      <c r="M741" s="241"/>
      <c r="N741" s="241"/>
      <c r="O741" s="241"/>
      <c r="P741" s="241"/>
      <c r="Q741" s="241"/>
      <c r="R741" s="241"/>
      <c r="S741" s="241"/>
      <c r="T741" s="241"/>
      <c r="U741" s="241"/>
      <c r="V741" s="241"/>
      <c r="W741" s="241"/>
      <c r="X741" s="241"/>
      <c r="Y741" s="241"/>
      <c r="Z741" s="241"/>
      <c r="AA741" s="241"/>
      <c r="AB741" s="241"/>
      <c r="AC741" s="241"/>
      <c r="AD741" s="241"/>
      <c r="AE741" s="241"/>
      <c r="AF741" s="241"/>
      <c r="AG741" s="241"/>
      <c r="AH741" s="241"/>
      <c r="AI741" s="241"/>
      <c r="AJ741" s="241"/>
      <c r="AK741" s="241"/>
      <c r="AL741" s="241"/>
      <c r="AM741" s="241"/>
      <c r="AN741" s="241"/>
      <c r="AO741" s="241"/>
      <c r="AP741" s="241"/>
      <c r="AQ741" s="241"/>
      <c r="AR741" s="241"/>
      <c r="AS741" s="241"/>
      <c r="AT741" s="241"/>
      <c r="AU741" s="241"/>
      <c r="AV741" s="241"/>
      <c r="AW741" s="241"/>
      <c r="AX741" s="241"/>
      <c r="AY741" s="241"/>
      <c r="AZ741" s="241"/>
    </row>
    <row r="742" spans="1:52" ht="18" customHeight="1">
      <c r="A742" s="250"/>
      <c r="B742" s="241"/>
      <c r="C742" s="241"/>
      <c r="D742" s="241"/>
      <c r="E742" s="241"/>
      <c r="F742" s="241"/>
      <c r="G742" s="241"/>
      <c r="H742" s="241"/>
      <c r="I742" s="241"/>
      <c r="J742" s="241"/>
      <c r="K742" s="241"/>
      <c r="L742" s="241"/>
      <c r="M742" s="241"/>
      <c r="N742" s="241"/>
      <c r="O742" s="241"/>
      <c r="P742" s="241"/>
      <c r="Q742" s="241"/>
      <c r="R742" s="241"/>
      <c r="S742" s="241"/>
      <c r="T742" s="241"/>
      <c r="U742" s="241"/>
      <c r="V742" s="241"/>
      <c r="W742" s="241"/>
      <c r="X742" s="241"/>
      <c r="Y742" s="241"/>
      <c r="Z742" s="241"/>
      <c r="AA742" s="241"/>
      <c r="AB742" s="241"/>
      <c r="AC742" s="241"/>
      <c r="AD742" s="241"/>
      <c r="AE742" s="241"/>
      <c r="AF742" s="241"/>
      <c r="AG742" s="241"/>
      <c r="AH742" s="241"/>
      <c r="AI742" s="241"/>
      <c r="AJ742" s="241"/>
      <c r="AK742" s="241"/>
      <c r="AL742" s="241"/>
      <c r="AM742" s="241"/>
      <c r="AN742" s="241"/>
      <c r="AO742" s="241"/>
      <c r="AP742" s="241"/>
      <c r="AQ742" s="241"/>
      <c r="AR742" s="241"/>
      <c r="AS742" s="241"/>
      <c r="AT742" s="241"/>
      <c r="AU742" s="241"/>
      <c r="AV742" s="241"/>
      <c r="AW742" s="241"/>
      <c r="AX742" s="241"/>
      <c r="AY742" s="241"/>
      <c r="AZ742" s="241"/>
    </row>
    <row r="743" spans="1:52" ht="18" customHeight="1">
      <c r="A743" s="250"/>
      <c r="B743" s="241"/>
      <c r="C743" s="241"/>
      <c r="D743" s="241"/>
      <c r="E743" s="241"/>
      <c r="F743" s="241"/>
      <c r="G743" s="241"/>
      <c r="H743" s="241"/>
      <c r="I743" s="241"/>
      <c r="J743" s="241"/>
      <c r="K743" s="241"/>
      <c r="L743" s="241"/>
      <c r="M743" s="241"/>
      <c r="N743" s="241"/>
      <c r="O743" s="241"/>
      <c r="P743" s="241"/>
      <c r="Q743" s="241"/>
      <c r="R743" s="241"/>
      <c r="S743" s="241"/>
      <c r="T743" s="241"/>
      <c r="U743" s="241"/>
      <c r="V743" s="241"/>
      <c r="W743" s="241"/>
      <c r="X743" s="241"/>
      <c r="Y743" s="241"/>
      <c r="Z743" s="241"/>
      <c r="AA743" s="241"/>
      <c r="AB743" s="241"/>
      <c r="AC743" s="241"/>
      <c r="AD743" s="241"/>
      <c r="AE743" s="241"/>
      <c r="AF743" s="241"/>
      <c r="AG743" s="241"/>
      <c r="AH743" s="241"/>
      <c r="AI743" s="241"/>
      <c r="AJ743" s="241"/>
      <c r="AK743" s="241"/>
      <c r="AL743" s="241"/>
      <c r="AM743" s="241"/>
      <c r="AN743" s="241"/>
      <c r="AO743" s="241"/>
      <c r="AP743" s="241"/>
      <c r="AQ743" s="241"/>
      <c r="AR743" s="241"/>
      <c r="AS743" s="241"/>
      <c r="AT743" s="241"/>
      <c r="AU743" s="241"/>
      <c r="AV743" s="241"/>
      <c r="AW743" s="241"/>
      <c r="AX743" s="241"/>
      <c r="AY743" s="241"/>
      <c r="AZ743" s="241"/>
    </row>
    <row r="744" spans="1:52" ht="18" customHeight="1">
      <c r="A744" s="250"/>
      <c r="B744" s="241"/>
      <c r="C744" s="241"/>
      <c r="D744" s="241"/>
      <c r="E744" s="241"/>
      <c r="F744" s="241"/>
      <c r="G744" s="241"/>
      <c r="H744" s="241"/>
      <c r="I744" s="241"/>
      <c r="J744" s="241"/>
      <c r="K744" s="241"/>
      <c r="L744" s="241"/>
      <c r="M744" s="241"/>
      <c r="N744" s="241"/>
      <c r="O744" s="241"/>
      <c r="P744" s="241"/>
      <c r="Q744" s="241"/>
      <c r="R744" s="241"/>
      <c r="S744" s="241"/>
      <c r="T744" s="241"/>
      <c r="U744" s="241"/>
      <c r="V744" s="241"/>
      <c r="W744" s="241"/>
      <c r="X744" s="241"/>
      <c r="Y744" s="241"/>
      <c r="Z744" s="241"/>
      <c r="AA744" s="241"/>
      <c r="AB744" s="241"/>
      <c r="AC744" s="241"/>
      <c r="AD744" s="241"/>
      <c r="AE744" s="241"/>
      <c r="AF744" s="241"/>
      <c r="AG744" s="241"/>
      <c r="AH744" s="241"/>
      <c r="AI744" s="241"/>
      <c r="AJ744" s="241"/>
      <c r="AK744" s="241"/>
      <c r="AL744" s="241"/>
      <c r="AM744" s="241"/>
      <c r="AN744" s="241"/>
      <c r="AO744" s="241"/>
      <c r="AP744" s="241"/>
      <c r="AQ744" s="241"/>
      <c r="AR744" s="241"/>
      <c r="AS744" s="241"/>
      <c r="AT744" s="241"/>
      <c r="AU744" s="241"/>
      <c r="AV744" s="241"/>
      <c r="AW744" s="241"/>
      <c r="AX744" s="241"/>
      <c r="AY744" s="241"/>
      <c r="AZ744" s="241"/>
    </row>
    <row r="745" spans="1:52" ht="18" customHeight="1">
      <c r="A745" s="250"/>
      <c r="B745" s="241"/>
      <c r="C745" s="241"/>
      <c r="D745" s="241"/>
      <c r="E745" s="241"/>
      <c r="F745" s="241"/>
      <c r="G745" s="241"/>
      <c r="H745" s="241"/>
      <c r="I745" s="241"/>
      <c r="J745" s="241"/>
      <c r="K745" s="241"/>
      <c r="L745" s="241"/>
      <c r="M745" s="241"/>
      <c r="N745" s="241"/>
      <c r="O745" s="241"/>
      <c r="P745" s="241"/>
      <c r="Q745" s="241"/>
      <c r="R745" s="241"/>
      <c r="S745" s="241"/>
      <c r="T745" s="241"/>
      <c r="U745" s="241"/>
      <c r="V745" s="241"/>
      <c r="W745" s="241"/>
      <c r="X745" s="241"/>
      <c r="Y745" s="241"/>
      <c r="Z745" s="241"/>
      <c r="AA745" s="241"/>
      <c r="AB745" s="241"/>
      <c r="AC745" s="241"/>
      <c r="AD745" s="241"/>
      <c r="AE745" s="241"/>
      <c r="AF745" s="241"/>
      <c r="AG745" s="241"/>
      <c r="AH745" s="241"/>
      <c r="AI745" s="241"/>
      <c r="AJ745" s="241"/>
      <c r="AK745" s="241"/>
      <c r="AL745" s="241"/>
      <c r="AM745" s="241"/>
      <c r="AN745" s="241"/>
      <c r="AO745" s="241"/>
      <c r="AP745" s="241"/>
      <c r="AQ745" s="241"/>
      <c r="AR745" s="241"/>
      <c r="AS745" s="241"/>
      <c r="AT745" s="241"/>
      <c r="AU745" s="241"/>
      <c r="AV745" s="241"/>
      <c r="AW745" s="241"/>
      <c r="AX745" s="241"/>
      <c r="AY745" s="241"/>
      <c r="AZ745" s="241"/>
    </row>
    <row r="746" spans="1:52" ht="18" customHeight="1">
      <c r="A746" s="250"/>
      <c r="B746" s="241"/>
      <c r="C746" s="241"/>
      <c r="D746" s="241"/>
      <c r="E746" s="241"/>
      <c r="F746" s="241"/>
      <c r="G746" s="241"/>
      <c r="H746" s="241"/>
      <c r="I746" s="241"/>
      <c r="J746" s="241"/>
      <c r="K746" s="241"/>
      <c r="L746" s="241"/>
      <c r="M746" s="241"/>
      <c r="N746" s="241"/>
      <c r="O746" s="241"/>
      <c r="P746" s="241"/>
      <c r="Q746" s="241"/>
      <c r="R746" s="241"/>
      <c r="S746" s="241"/>
      <c r="T746" s="241"/>
      <c r="U746" s="241"/>
      <c r="V746" s="241"/>
      <c r="W746" s="241"/>
      <c r="X746" s="241"/>
      <c r="Y746" s="241"/>
      <c r="Z746" s="241"/>
      <c r="AA746" s="241"/>
      <c r="AB746" s="241"/>
      <c r="AC746" s="241"/>
      <c r="AD746" s="241"/>
      <c r="AE746" s="241"/>
      <c r="AF746" s="241"/>
      <c r="AG746" s="241"/>
      <c r="AH746" s="241"/>
      <c r="AI746" s="241"/>
      <c r="AJ746" s="241"/>
      <c r="AK746" s="241"/>
      <c r="AL746" s="241"/>
      <c r="AM746" s="241"/>
      <c r="AN746" s="241"/>
      <c r="AO746" s="241"/>
      <c r="AP746" s="241"/>
      <c r="AQ746" s="241"/>
      <c r="AR746" s="241"/>
      <c r="AS746" s="241"/>
      <c r="AT746" s="241"/>
      <c r="AU746" s="241"/>
      <c r="AV746" s="241"/>
      <c r="AW746" s="241"/>
      <c r="AX746" s="241"/>
      <c r="AY746" s="241"/>
      <c r="AZ746" s="241"/>
    </row>
    <row r="747" spans="1:52" ht="18" customHeight="1">
      <c r="A747" s="250"/>
      <c r="B747" s="241"/>
      <c r="C747" s="241"/>
      <c r="D747" s="241"/>
      <c r="E747" s="241"/>
      <c r="F747" s="241"/>
      <c r="G747" s="241"/>
      <c r="H747" s="241"/>
      <c r="I747" s="241"/>
      <c r="J747" s="241"/>
      <c r="K747" s="241"/>
      <c r="L747" s="241"/>
      <c r="M747" s="241"/>
      <c r="N747" s="241"/>
      <c r="O747" s="241"/>
      <c r="P747" s="241"/>
      <c r="Q747" s="241"/>
      <c r="R747" s="241"/>
      <c r="S747" s="241"/>
      <c r="T747" s="241"/>
      <c r="U747" s="241"/>
      <c r="V747" s="241"/>
      <c r="W747" s="241"/>
      <c r="X747" s="241"/>
      <c r="Y747" s="241"/>
      <c r="Z747" s="241"/>
      <c r="AA747" s="241"/>
      <c r="AB747" s="241"/>
      <c r="AC747" s="241"/>
      <c r="AD747" s="241"/>
      <c r="AE747" s="241"/>
      <c r="AF747" s="241"/>
      <c r="AG747" s="241"/>
      <c r="AH747" s="241"/>
      <c r="AI747" s="241"/>
      <c r="AJ747" s="241"/>
      <c r="AK747" s="241"/>
      <c r="AL747" s="241"/>
      <c r="AM747" s="241"/>
      <c r="AN747" s="241"/>
      <c r="AO747" s="241"/>
      <c r="AP747" s="241"/>
      <c r="AQ747" s="241"/>
      <c r="AR747" s="241"/>
      <c r="AS747" s="241"/>
      <c r="AT747" s="241"/>
      <c r="AU747" s="241"/>
      <c r="AV747" s="241"/>
      <c r="AW747" s="241"/>
      <c r="AX747" s="241"/>
      <c r="AY747" s="241"/>
      <c r="AZ747" s="241"/>
    </row>
    <row r="748" spans="1:52" ht="18" customHeight="1">
      <c r="A748" s="250"/>
      <c r="B748" s="241"/>
      <c r="C748" s="241"/>
      <c r="D748" s="241"/>
      <c r="E748" s="241"/>
      <c r="F748" s="241"/>
      <c r="G748" s="241"/>
      <c r="H748" s="241"/>
      <c r="I748" s="241"/>
      <c r="J748" s="241"/>
      <c r="K748" s="241"/>
      <c r="L748" s="241"/>
      <c r="M748" s="241"/>
      <c r="N748" s="241"/>
      <c r="O748" s="241"/>
      <c r="P748" s="241"/>
      <c r="Q748" s="241"/>
      <c r="R748" s="241"/>
      <c r="S748" s="241"/>
      <c r="T748" s="241"/>
      <c r="U748" s="241"/>
      <c r="V748" s="241"/>
      <c r="W748" s="241"/>
      <c r="X748" s="241"/>
      <c r="Y748" s="241"/>
      <c r="Z748" s="241"/>
      <c r="AA748" s="241"/>
      <c r="AB748" s="241"/>
      <c r="AC748" s="241"/>
      <c r="AD748" s="241"/>
      <c r="AE748" s="241"/>
      <c r="AF748" s="241"/>
      <c r="AG748" s="241"/>
      <c r="AH748" s="241"/>
      <c r="AI748" s="241"/>
      <c r="AJ748" s="241"/>
      <c r="AK748" s="241"/>
      <c r="AL748" s="241"/>
      <c r="AM748" s="241"/>
      <c r="AN748" s="241"/>
      <c r="AO748" s="241"/>
      <c r="AP748" s="241"/>
      <c r="AQ748" s="241"/>
      <c r="AR748" s="241"/>
      <c r="AS748" s="241"/>
      <c r="AT748" s="241"/>
      <c r="AU748" s="241"/>
      <c r="AV748" s="241"/>
      <c r="AW748" s="241"/>
      <c r="AX748" s="241"/>
      <c r="AY748" s="241"/>
      <c r="AZ748" s="241"/>
    </row>
    <row r="749" spans="1:52" ht="18" customHeight="1">
      <c r="A749" s="250"/>
      <c r="B749" s="241"/>
      <c r="C749" s="241"/>
      <c r="D749" s="241"/>
      <c r="E749" s="241"/>
      <c r="F749" s="241"/>
      <c r="G749" s="241"/>
      <c r="H749" s="241"/>
      <c r="I749" s="241"/>
      <c r="J749" s="241"/>
      <c r="K749" s="241"/>
      <c r="L749" s="241"/>
      <c r="M749" s="241"/>
      <c r="N749" s="241"/>
      <c r="O749" s="241"/>
      <c r="P749" s="241"/>
      <c r="Q749" s="241"/>
      <c r="R749" s="241"/>
      <c r="S749" s="241"/>
      <c r="T749" s="241"/>
      <c r="U749" s="241"/>
      <c r="V749" s="241"/>
      <c r="W749" s="241"/>
      <c r="X749" s="241"/>
      <c r="Y749" s="241"/>
      <c r="Z749" s="241"/>
      <c r="AA749" s="241"/>
      <c r="AB749" s="241"/>
      <c r="AC749" s="241"/>
      <c r="AD749" s="241"/>
      <c r="AE749" s="241"/>
      <c r="AF749" s="241"/>
      <c r="AG749" s="241"/>
      <c r="AH749" s="241"/>
      <c r="AI749" s="241"/>
      <c r="AJ749" s="241"/>
      <c r="AK749" s="241"/>
      <c r="AL749" s="241"/>
      <c r="AM749" s="241"/>
      <c r="AN749" s="241"/>
      <c r="AO749" s="241"/>
      <c r="AP749" s="241"/>
      <c r="AQ749" s="241"/>
      <c r="AR749" s="241"/>
      <c r="AS749" s="241"/>
      <c r="AT749" s="241"/>
      <c r="AU749" s="241"/>
      <c r="AV749" s="241"/>
      <c r="AW749" s="241"/>
      <c r="AX749" s="241"/>
      <c r="AY749" s="241"/>
      <c r="AZ749" s="241"/>
    </row>
    <row r="750" spans="1:52" ht="18" customHeight="1">
      <c r="A750" s="250"/>
      <c r="B750" s="241"/>
      <c r="C750" s="241"/>
      <c r="D750" s="241"/>
      <c r="E750" s="241"/>
      <c r="F750" s="241"/>
      <c r="G750" s="241"/>
      <c r="H750" s="241"/>
      <c r="I750" s="241"/>
      <c r="J750" s="241"/>
      <c r="K750" s="241"/>
      <c r="L750" s="241"/>
      <c r="M750" s="241"/>
      <c r="N750" s="241"/>
      <c r="O750" s="241"/>
      <c r="P750" s="241"/>
      <c r="Q750" s="241"/>
      <c r="R750" s="241"/>
      <c r="S750" s="241"/>
      <c r="T750" s="241"/>
      <c r="U750" s="241"/>
      <c r="V750" s="241"/>
      <c r="W750" s="241"/>
      <c r="X750" s="241"/>
      <c r="Y750" s="241"/>
      <c r="Z750" s="241"/>
      <c r="AA750" s="241"/>
      <c r="AB750" s="241"/>
      <c r="AC750" s="241"/>
      <c r="AD750" s="241"/>
      <c r="AE750" s="241"/>
      <c r="AF750" s="241"/>
      <c r="AG750" s="241"/>
      <c r="AH750" s="241"/>
      <c r="AI750" s="241"/>
      <c r="AJ750" s="241"/>
      <c r="AK750" s="241"/>
      <c r="AL750" s="241"/>
      <c r="AM750" s="241"/>
      <c r="AN750" s="241"/>
      <c r="AO750" s="241"/>
      <c r="AP750" s="241"/>
      <c r="AQ750" s="241"/>
      <c r="AR750" s="241"/>
      <c r="AS750" s="241"/>
      <c r="AT750" s="241"/>
      <c r="AU750" s="241"/>
      <c r="AV750" s="241"/>
      <c r="AW750" s="241"/>
      <c r="AX750" s="241"/>
      <c r="AY750" s="241"/>
      <c r="AZ750" s="241"/>
    </row>
    <row r="751" spans="1:52" ht="18" customHeight="1">
      <c r="A751" s="250"/>
      <c r="B751" s="241"/>
      <c r="C751" s="241"/>
      <c r="D751" s="241"/>
      <c r="E751" s="241"/>
      <c r="F751" s="241"/>
      <c r="G751" s="241"/>
      <c r="H751" s="241"/>
      <c r="I751" s="241"/>
      <c r="J751" s="241"/>
      <c r="K751" s="241"/>
      <c r="L751" s="241"/>
      <c r="M751" s="241"/>
      <c r="N751" s="241"/>
      <c r="O751" s="241"/>
      <c r="P751" s="241"/>
      <c r="Q751" s="241"/>
      <c r="R751" s="241"/>
      <c r="S751" s="241"/>
      <c r="T751" s="241"/>
      <c r="U751" s="241"/>
      <c r="V751" s="241"/>
      <c r="W751" s="241"/>
      <c r="X751" s="241"/>
      <c r="Y751" s="241"/>
      <c r="Z751" s="241"/>
      <c r="AA751" s="241"/>
      <c r="AB751" s="241"/>
      <c r="AC751" s="241"/>
      <c r="AD751" s="241"/>
      <c r="AE751" s="241"/>
      <c r="AF751" s="241"/>
      <c r="AG751" s="241"/>
      <c r="AH751" s="241"/>
      <c r="AI751" s="241"/>
      <c r="AJ751" s="241"/>
      <c r="AK751" s="241"/>
      <c r="AL751" s="241"/>
      <c r="AM751" s="241"/>
      <c r="AN751" s="241"/>
      <c r="AO751" s="241"/>
      <c r="AP751" s="241"/>
      <c r="AQ751" s="241"/>
      <c r="AR751" s="241"/>
      <c r="AS751" s="241"/>
      <c r="AT751" s="241"/>
      <c r="AU751" s="241"/>
      <c r="AV751" s="241"/>
      <c r="AW751" s="241"/>
      <c r="AX751" s="241"/>
      <c r="AY751" s="241"/>
      <c r="AZ751" s="241"/>
    </row>
    <row r="752" spans="1:52" ht="18" customHeight="1">
      <c r="A752" s="250"/>
      <c r="B752" s="241"/>
      <c r="C752" s="241"/>
      <c r="D752" s="241"/>
      <c r="E752" s="241"/>
      <c r="F752" s="241"/>
      <c r="G752" s="241"/>
      <c r="H752" s="241"/>
      <c r="I752" s="241"/>
      <c r="J752" s="241"/>
      <c r="K752" s="241"/>
      <c r="L752" s="241"/>
      <c r="M752" s="241"/>
      <c r="N752" s="241"/>
      <c r="O752" s="241"/>
      <c r="P752" s="241"/>
      <c r="Q752" s="241"/>
      <c r="R752" s="241"/>
      <c r="S752" s="241"/>
      <c r="T752" s="241"/>
      <c r="U752" s="241"/>
      <c r="V752" s="241"/>
      <c r="W752" s="241"/>
      <c r="X752" s="241"/>
      <c r="Y752" s="241"/>
      <c r="Z752" s="241"/>
      <c r="AA752" s="241"/>
      <c r="AB752" s="241"/>
      <c r="AC752" s="241"/>
      <c r="AD752" s="241"/>
      <c r="AE752" s="241"/>
      <c r="AF752" s="241"/>
      <c r="AG752" s="241"/>
      <c r="AH752" s="241"/>
      <c r="AI752" s="241"/>
      <c r="AJ752" s="241"/>
      <c r="AK752" s="241"/>
      <c r="AL752" s="241"/>
      <c r="AM752" s="241"/>
      <c r="AN752" s="241"/>
      <c r="AO752" s="241"/>
      <c r="AP752" s="241"/>
      <c r="AQ752" s="241"/>
      <c r="AR752" s="241"/>
      <c r="AS752" s="241"/>
      <c r="AT752" s="241"/>
      <c r="AU752" s="241"/>
      <c r="AV752" s="241"/>
      <c r="AW752" s="241"/>
      <c r="AX752" s="241"/>
      <c r="AY752" s="241"/>
      <c r="AZ752" s="241"/>
    </row>
    <row r="753" spans="1:52" ht="18" customHeight="1">
      <c r="A753" s="250"/>
      <c r="B753" s="241"/>
      <c r="C753" s="241"/>
      <c r="D753" s="241"/>
      <c r="E753" s="241"/>
      <c r="F753" s="241"/>
      <c r="G753" s="241"/>
      <c r="H753" s="241"/>
      <c r="I753" s="241"/>
      <c r="J753" s="241"/>
      <c r="K753" s="241"/>
      <c r="L753" s="241"/>
      <c r="M753" s="241"/>
      <c r="N753" s="241"/>
      <c r="O753" s="241"/>
      <c r="P753" s="241"/>
      <c r="Q753" s="241"/>
      <c r="R753" s="241"/>
      <c r="S753" s="241"/>
      <c r="T753" s="241"/>
      <c r="U753" s="241"/>
      <c r="V753" s="241"/>
      <c r="W753" s="241"/>
      <c r="X753" s="241"/>
      <c r="Y753" s="241"/>
      <c r="Z753" s="241"/>
      <c r="AA753" s="241"/>
      <c r="AB753" s="241"/>
      <c r="AC753" s="241"/>
      <c r="AD753" s="241"/>
      <c r="AE753" s="241"/>
      <c r="AF753" s="241"/>
      <c r="AG753" s="241"/>
      <c r="AH753" s="241"/>
      <c r="AI753" s="241"/>
      <c r="AJ753" s="241"/>
      <c r="AK753" s="241"/>
      <c r="AL753" s="241"/>
      <c r="AM753" s="241"/>
      <c r="AN753" s="241"/>
      <c r="AO753" s="241"/>
      <c r="AP753" s="241"/>
      <c r="AQ753" s="241"/>
      <c r="AR753" s="241"/>
      <c r="AS753" s="241"/>
      <c r="AT753" s="241"/>
      <c r="AU753" s="241"/>
      <c r="AV753" s="241"/>
      <c r="AW753" s="241"/>
      <c r="AX753" s="241"/>
      <c r="AY753" s="241"/>
      <c r="AZ753" s="241"/>
    </row>
    <row r="754" spans="1:52" ht="18" customHeight="1">
      <c r="A754" s="250"/>
      <c r="B754" s="241"/>
      <c r="C754" s="241"/>
      <c r="D754" s="241"/>
      <c r="E754" s="241"/>
      <c r="F754" s="241"/>
      <c r="G754" s="241"/>
      <c r="H754" s="241"/>
      <c r="I754" s="241"/>
      <c r="J754" s="241"/>
      <c r="K754" s="241"/>
      <c r="L754" s="241"/>
      <c r="M754" s="241"/>
      <c r="N754" s="241"/>
      <c r="O754" s="241"/>
      <c r="P754" s="241"/>
      <c r="Q754" s="241"/>
      <c r="R754" s="241"/>
      <c r="S754" s="241"/>
      <c r="T754" s="241"/>
      <c r="U754" s="241"/>
      <c r="V754" s="241"/>
      <c r="W754" s="241"/>
      <c r="X754" s="241"/>
      <c r="Y754" s="241"/>
      <c r="Z754" s="241"/>
      <c r="AA754" s="241"/>
      <c r="AB754" s="241"/>
      <c r="AC754" s="241"/>
      <c r="AD754" s="241"/>
      <c r="AE754" s="241"/>
      <c r="AF754" s="241"/>
      <c r="AG754" s="241"/>
      <c r="AH754" s="241"/>
      <c r="AI754" s="241"/>
      <c r="AJ754" s="241"/>
      <c r="AK754" s="241"/>
      <c r="AL754" s="241"/>
      <c r="AM754" s="241"/>
      <c r="AN754" s="241"/>
      <c r="AO754" s="241"/>
      <c r="AP754" s="241"/>
      <c r="AQ754" s="241"/>
      <c r="AR754" s="241"/>
      <c r="AS754" s="241"/>
      <c r="AT754" s="241"/>
      <c r="AU754" s="241"/>
      <c r="AV754" s="241"/>
      <c r="AW754" s="241"/>
      <c r="AX754" s="241"/>
      <c r="AY754" s="241"/>
      <c r="AZ754" s="241"/>
    </row>
    <row r="755" spans="1:52" ht="18" customHeight="1">
      <c r="A755" s="250"/>
      <c r="B755" s="241"/>
      <c r="C755" s="241"/>
      <c r="D755" s="241"/>
      <c r="E755" s="241"/>
      <c r="F755" s="241"/>
      <c r="G755" s="241"/>
      <c r="H755" s="241"/>
      <c r="I755" s="241"/>
      <c r="J755" s="241"/>
      <c r="K755" s="241"/>
      <c r="L755" s="241"/>
      <c r="M755" s="241"/>
      <c r="N755" s="241"/>
      <c r="O755" s="241"/>
      <c r="P755" s="241"/>
      <c r="Q755" s="241"/>
      <c r="R755" s="241"/>
      <c r="S755" s="241"/>
      <c r="T755" s="241"/>
      <c r="U755" s="241"/>
      <c r="V755" s="241"/>
      <c r="W755" s="241"/>
      <c r="X755" s="241"/>
      <c r="Y755" s="241"/>
      <c r="Z755" s="241"/>
      <c r="AA755" s="241"/>
      <c r="AB755" s="241"/>
      <c r="AC755" s="241"/>
      <c r="AD755" s="241"/>
      <c r="AE755" s="241"/>
      <c r="AF755" s="241"/>
      <c r="AG755" s="241"/>
      <c r="AH755" s="241"/>
      <c r="AI755" s="241"/>
      <c r="AJ755" s="241"/>
      <c r="AK755" s="241"/>
      <c r="AL755" s="241"/>
      <c r="AM755" s="241"/>
      <c r="AN755" s="241"/>
      <c r="AO755" s="241"/>
      <c r="AP755" s="241"/>
      <c r="AQ755" s="241"/>
      <c r="AR755" s="241"/>
      <c r="AS755" s="241"/>
      <c r="AT755" s="241"/>
      <c r="AU755" s="241"/>
      <c r="AV755" s="241"/>
      <c r="AW755" s="241"/>
      <c r="AX755" s="241"/>
      <c r="AY755" s="241"/>
      <c r="AZ755" s="241"/>
    </row>
    <row r="756" spans="1:52" ht="18" customHeight="1">
      <c r="A756" s="250"/>
      <c r="B756" s="241"/>
      <c r="C756" s="241"/>
      <c r="D756" s="241"/>
      <c r="E756" s="241"/>
      <c r="F756" s="241"/>
      <c r="G756" s="241"/>
      <c r="H756" s="241"/>
      <c r="I756" s="241"/>
      <c r="J756" s="241"/>
      <c r="K756" s="241"/>
      <c r="L756" s="241"/>
      <c r="M756" s="241"/>
      <c r="N756" s="241"/>
      <c r="O756" s="241"/>
      <c r="P756" s="241"/>
      <c r="Q756" s="241"/>
      <c r="R756" s="241"/>
      <c r="S756" s="241"/>
      <c r="T756" s="241"/>
      <c r="U756" s="241"/>
      <c r="V756" s="241"/>
      <c r="W756" s="241"/>
      <c r="X756" s="241"/>
      <c r="Y756" s="241"/>
      <c r="Z756" s="241"/>
      <c r="AA756" s="241"/>
      <c r="AB756" s="241"/>
      <c r="AC756" s="241"/>
      <c r="AD756" s="241"/>
      <c r="AE756" s="241"/>
      <c r="AF756" s="241"/>
      <c r="AG756" s="241"/>
      <c r="AH756" s="241"/>
      <c r="AI756" s="241"/>
      <c r="AJ756" s="241"/>
      <c r="AK756" s="241"/>
      <c r="AL756" s="241"/>
      <c r="AM756" s="241"/>
      <c r="AN756" s="241"/>
      <c r="AO756" s="241"/>
      <c r="AP756" s="241"/>
      <c r="AQ756" s="241"/>
      <c r="AR756" s="241"/>
      <c r="AS756" s="241"/>
      <c r="AT756" s="241"/>
      <c r="AU756" s="241"/>
      <c r="AV756" s="241"/>
      <c r="AW756" s="241"/>
      <c r="AX756" s="241"/>
      <c r="AY756" s="241"/>
      <c r="AZ756" s="241"/>
    </row>
    <row r="757" spans="1:52" ht="18" customHeight="1">
      <c r="A757" s="250"/>
      <c r="B757" s="241"/>
      <c r="C757" s="241"/>
      <c r="D757" s="241"/>
      <c r="E757" s="241"/>
      <c r="F757" s="241"/>
      <c r="G757" s="241"/>
      <c r="H757" s="241"/>
      <c r="I757" s="241"/>
      <c r="J757" s="241"/>
      <c r="K757" s="241"/>
      <c r="L757" s="241"/>
      <c r="M757" s="241"/>
      <c r="N757" s="241"/>
      <c r="O757" s="241"/>
      <c r="P757" s="241"/>
      <c r="Q757" s="241"/>
      <c r="R757" s="241"/>
      <c r="S757" s="241"/>
      <c r="T757" s="241"/>
      <c r="U757" s="241"/>
      <c r="V757" s="241"/>
      <c r="W757" s="241"/>
      <c r="X757" s="241"/>
      <c r="Y757" s="241"/>
      <c r="Z757" s="241"/>
      <c r="AA757" s="241"/>
      <c r="AB757" s="241"/>
      <c r="AC757" s="241"/>
      <c r="AD757" s="241"/>
      <c r="AE757" s="241"/>
      <c r="AF757" s="241"/>
      <c r="AG757" s="241"/>
      <c r="AH757" s="241"/>
      <c r="AI757" s="241"/>
      <c r="AJ757" s="241"/>
      <c r="AK757" s="241"/>
      <c r="AL757" s="241"/>
      <c r="AM757" s="241"/>
      <c r="AN757" s="241"/>
      <c r="AO757" s="241"/>
      <c r="AP757" s="241"/>
      <c r="AQ757" s="241"/>
      <c r="AR757" s="241"/>
      <c r="AS757" s="241"/>
      <c r="AT757" s="241"/>
      <c r="AU757" s="241"/>
      <c r="AV757" s="241"/>
      <c r="AW757" s="241"/>
      <c r="AX757" s="241"/>
      <c r="AY757" s="241"/>
      <c r="AZ757" s="241"/>
    </row>
    <row r="758" spans="1:52" ht="18" customHeight="1">
      <c r="A758" s="250"/>
      <c r="B758" s="241"/>
      <c r="C758" s="241"/>
      <c r="D758" s="241"/>
      <c r="E758" s="241"/>
      <c r="F758" s="241"/>
      <c r="G758" s="241"/>
      <c r="H758" s="241"/>
      <c r="I758" s="241"/>
      <c r="J758" s="241"/>
      <c r="K758" s="241"/>
      <c r="L758" s="241"/>
      <c r="M758" s="241"/>
      <c r="N758" s="241"/>
      <c r="O758" s="241"/>
      <c r="P758" s="241"/>
      <c r="Q758" s="241"/>
      <c r="R758" s="241"/>
      <c r="S758" s="241"/>
      <c r="T758" s="241"/>
      <c r="U758" s="241"/>
      <c r="V758" s="241"/>
      <c r="W758" s="241"/>
      <c r="X758" s="241"/>
      <c r="Y758" s="241"/>
      <c r="Z758" s="241"/>
      <c r="AA758" s="241"/>
      <c r="AB758" s="241"/>
      <c r="AC758" s="241"/>
      <c r="AD758" s="241"/>
      <c r="AE758" s="241"/>
      <c r="AF758" s="241"/>
      <c r="AG758" s="241"/>
      <c r="AH758" s="241"/>
      <c r="AI758" s="241"/>
      <c r="AJ758" s="241"/>
      <c r="AK758" s="241"/>
      <c r="AL758" s="241"/>
      <c r="AM758" s="241"/>
      <c r="AN758" s="241"/>
      <c r="AO758" s="241"/>
      <c r="AP758" s="241"/>
      <c r="AQ758" s="241"/>
      <c r="AR758" s="241"/>
      <c r="AS758" s="241"/>
      <c r="AT758" s="241"/>
      <c r="AU758" s="241"/>
      <c r="AV758" s="241"/>
      <c r="AW758" s="241"/>
      <c r="AX758" s="241"/>
      <c r="AY758" s="241"/>
      <c r="AZ758" s="241"/>
    </row>
    <row r="759" spans="1:52" ht="18" customHeight="1">
      <c r="A759" s="250"/>
      <c r="B759" s="241"/>
      <c r="C759" s="241"/>
      <c r="D759" s="241"/>
      <c r="E759" s="241"/>
      <c r="F759" s="241"/>
      <c r="G759" s="241"/>
      <c r="H759" s="241"/>
      <c r="I759" s="241"/>
      <c r="J759" s="241"/>
      <c r="K759" s="241"/>
      <c r="L759" s="241"/>
      <c r="M759" s="241"/>
      <c r="N759" s="241"/>
      <c r="O759" s="241"/>
      <c r="P759" s="241"/>
      <c r="Q759" s="241"/>
      <c r="R759" s="241"/>
      <c r="S759" s="241"/>
      <c r="T759" s="241"/>
      <c r="U759" s="241"/>
      <c r="V759" s="241"/>
      <c r="W759" s="241"/>
      <c r="X759" s="241"/>
      <c r="Y759" s="241"/>
      <c r="Z759" s="241"/>
      <c r="AA759" s="241"/>
      <c r="AB759" s="241"/>
      <c r="AC759" s="241"/>
      <c r="AD759" s="241"/>
      <c r="AE759" s="241"/>
      <c r="AF759" s="241"/>
      <c r="AG759" s="241"/>
      <c r="AH759" s="241"/>
      <c r="AI759" s="241"/>
      <c r="AJ759" s="241"/>
      <c r="AK759" s="241"/>
      <c r="AL759" s="241"/>
      <c r="AM759" s="241"/>
      <c r="AN759" s="241"/>
      <c r="AO759" s="241"/>
      <c r="AP759" s="241"/>
      <c r="AQ759" s="241"/>
      <c r="AR759" s="241"/>
      <c r="AS759" s="241"/>
      <c r="AT759" s="241"/>
      <c r="AU759" s="241"/>
      <c r="AV759" s="241"/>
      <c r="AW759" s="241"/>
      <c r="AX759" s="241"/>
      <c r="AY759" s="241"/>
      <c r="AZ759" s="241"/>
    </row>
    <row r="760" spans="1:52" ht="18" customHeight="1">
      <c r="A760" s="250"/>
      <c r="B760" s="241"/>
      <c r="C760" s="241"/>
      <c r="D760" s="241"/>
      <c r="E760" s="241"/>
      <c r="F760" s="241"/>
      <c r="G760" s="241"/>
      <c r="H760" s="241"/>
      <c r="I760" s="241"/>
      <c r="J760" s="241"/>
      <c r="K760" s="241"/>
      <c r="L760" s="241"/>
      <c r="M760" s="241"/>
      <c r="N760" s="241"/>
      <c r="O760" s="241"/>
      <c r="P760" s="241"/>
      <c r="Q760" s="241"/>
      <c r="R760" s="241"/>
      <c r="S760" s="241"/>
      <c r="T760" s="241"/>
      <c r="U760" s="241"/>
      <c r="V760" s="241"/>
      <c r="W760" s="241"/>
      <c r="X760" s="241"/>
      <c r="Y760" s="241"/>
      <c r="Z760" s="241"/>
      <c r="AA760" s="241"/>
      <c r="AB760" s="241"/>
      <c r="AC760" s="241"/>
      <c r="AD760" s="241"/>
      <c r="AE760" s="241"/>
      <c r="AF760" s="241"/>
      <c r="AG760" s="241"/>
      <c r="AH760" s="241"/>
      <c r="AI760" s="241"/>
      <c r="AJ760" s="241"/>
      <c r="AK760" s="241"/>
      <c r="AL760" s="241"/>
      <c r="AM760" s="241"/>
      <c r="AN760" s="241"/>
      <c r="AO760" s="241"/>
      <c r="AP760" s="241"/>
      <c r="AQ760" s="241"/>
      <c r="AR760" s="241"/>
      <c r="AS760" s="241"/>
      <c r="AT760" s="241"/>
      <c r="AU760" s="241"/>
      <c r="AV760" s="241"/>
      <c r="AW760" s="241"/>
      <c r="AX760" s="241"/>
      <c r="AY760" s="241"/>
      <c r="AZ760" s="241"/>
    </row>
    <row r="761" spans="1:52" ht="18" customHeight="1">
      <c r="A761" s="250"/>
      <c r="B761" s="241"/>
      <c r="C761" s="241"/>
      <c r="D761" s="241"/>
      <c r="E761" s="241"/>
      <c r="F761" s="241"/>
      <c r="G761" s="241"/>
      <c r="H761" s="241"/>
      <c r="I761" s="241"/>
      <c r="J761" s="241"/>
      <c r="K761" s="241"/>
      <c r="L761" s="241"/>
      <c r="M761" s="241"/>
      <c r="N761" s="241"/>
      <c r="O761" s="241"/>
      <c r="P761" s="241"/>
      <c r="Q761" s="241"/>
      <c r="R761" s="241"/>
      <c r="S761" s="241"/>
      <c r="T761" s="241"/>
      <c r="U761" s="241"/>
      <c r="V761" s="241"/>
      <c r="W761" s="241"/>
      <c r="X761" s="241"/>
      <c r="Y761" s="241"/>
      <c r="Z761" s="241"/>
      <c r="AA761" s="241"/>
      <c r="AB761" s="241"/>
      <c r="AC761" s="241"/>
      <c r="AD761" s="241"/>
      <c r="AE761" s="241"/>
      <c r="AF761" s="241"/>
      <c r="AG761" s="241"/>
      <c r="AH761" s="241"/>
      <c r="AI761" s="241"/>
      <c r="AJ761" s="241"/>
      <c r="AK761" s="241"/>
      <c r="AL761" s="241"/>
      <c r="AM761" s="241"/>
      <c r="AN761" s="241"/>
      <c r="AO761" s="241"/>
      <c r="AP761" s="241"/>
      <c r="AQ761" s="241"/>
      <c r="AR761" s="241"/>
      <c r="AS761" s="241"/>
      <c r="AT761" s="241"/>
      <c r="AU761" s="241"/>
      <c r="AV761" s="241"/>
      <c r="AW761" s="241"/>
      <c r="AX761" s="241"/>
      <c r="AY761" s="241"/>
      <c r="AZ761" s="241"/>
    </row>
    <row r="762" spans="1:52" ht="18" customHeight="1">
      <c r="A762" s="250"/>
      <c r="B762" s="241"/>
      <c r="C762" s="241"/>
      <c r="D762" s="241"/>
      <c r="E762" s="241"/>
      <c r="F762" s="241"/>
      <c r="G762" s="241"/>
      <c r="H762" s="241"/>
      <c r="I762" s="241"/>
      <c r="J762" s="241"/>
      <c r="K762" s="241"/>
      <c r="L762" s="241"/>
      <c r="M762" s="241"/>
      <c r="N762" s="241"/>
      <c r="O762" s="241"/>
      <c r="P762" s="241"/>
      <c r="Q762" s="241"/>
      <c r="R762" s="241"/>
      <c r="S762" s="241"/>
      <c r="T762" s="241"/>
      <c r="U762" s="241"/>
      <c r="V762" s="241"/>
      <c r="W762" s="241"/>
      <c r="X762" s="241"/>
      <c r="Y762" s="241"/>
      <c r="Z762" s="241"/>
      <c r="AA762" s="241"/>
      <c r="AB762" s="241"/>
      <c r="AC762" s="241"/>
      <c r="AD762" s="241"/>
      <c r="AE762" s="241"/>
      <c r="AF762" s="241"/>
      <c r="AG762" s="241"/>
      <c r="AH762" s="241"/>
      <c r="AI762" s="241"/>
      <c r="AJ762" s="241"/>
      <c r="AK762" s="241"/>
      <c r="AL762" s="241"/>
      <c r="AM762" s="241"/>
      <c r="AN762" s="241"/>
      <c r="AO762" s="241"/>
      <c r="AP762" s="241"/>
      <c r="AQ762" s="241"/>
      <c r="AR762" s="241"/>
      <c r="AS762" s="241"/>
      <c r="AT762" s="241"/>
      <c r="AU762" s="241"/>
      <c r="AV762" s="241"/>
      <c r="AW762" s="241"/>
      <c r="AX762" s="241"/>
      <c r="AY762" s="241"/>
      <c r="AZ762" s="241"/>
    </row>
    <row r="763" spans="1:52" ht="18" customHeight="1">
      <c r="A763" s="250"/>
      <c r="B763" s="241"/>
      <c r="C763" s="241"/>
      <c r="D763" s="241"/>
      <c r="E763" s="241"/>
      <c r="F763" s="241"/>
      <c r="G763" s="241"/>
      <c r="H763" s="241"/>
      <c r="I763" s="241"/>
      <c r="J763" s="241"/>
      <c r="K763" s="241"/>
      <c r="L763" s="241"/>
      <c r="M763" s="241"/>
      <c r="N763" s="241"/>
      <c r="O763" s="241"/>
      <c r="P763" s="241"/>
      <c r="Q763" s="241"/>
      <c r="R763" s="241"/>
      <c r="S763" s="241"/>
      <c r="T763" s="241"/>
      <c r="U763" s="241"/>
      <c r="V763" s="241"/>
      <c r="W763" s="241"/>
      <c r="X763" s="241"/>
      <c r="Y763" s="241"/>
      <c r="Z763" s="241"/>
      <c r="AA763" s="241"/>
      <c r="AB763" s="241"/>
      <c r="AC763" s="241"/>
      <c r="AD763" s="241"/>
      <c r="AE763" s="241"/>
      <c r="AF763" s="241"/>
      <c r="AG763" s="241"/>
      <c r="AH763" s="241"/>
      <c r="AI763" s="241"/>
      <c r="AJ763" s="241"/>
      <c r="AK763" s="241"/>
      <c r="AL763" s="241"/>
      <c r="AM763" s="241"/>
      <c r="AN763" s="241"/>
      <c r="AO763" s="241"/>
      <c r="AP763" s="241"/>
      <c r="AQ763" s="241"/>
      <c r="AR763" s="241"/>
      <c r="AS763" s="241"/>
      <c r="AT763" s="241"/>
      <c r="AU763" s="241"/>
      <c r="AV763" s="241"/>
      <c r="AW763" s="241"/>
      <c r="AX763" s="241"/>
      <c r="AY763" s="241"/>
      <c r="AZ763" s="241"/>
    </row>
    <row r="764" spans="1:52" ht="18" customHeight="1">
      <c r="A764" s="250"/>
      <c r="B764" s="241"/>
      <c r="C764" s="241"/>
      <c r="D764" s="241"/>
      <c r="E764" s="241"/>
      <c r="F764" s="241"/>
      <c r="G764" s="241"/>
      <c r="H764" s="241"/>
      <c r="I764" s="241"/>
      <c r="J764" s="241"/>
      <c r="K764" s="241"/>
      <c r="L764" s="241"/>
      <c r="M764" s="241"/>
      <c r="N764" s="241"/>
      <c r="O764" s="241"/>
      <c r="P764" s="241"/>
      <c r="Q764" s="241"/>
      <c r="R764" s="241"/>
      <c r="S764" s="241"/>
      <c r="T764" s="241"/>
      <c r="U764" s="241"/>
      <c r="V764" s="241"/>
      <c r="W764" s="241"/>
      <c r="X764" s="241"/>
      <c r="Y764" s="241"/>
      <c r="Z764" s="241"/>
      <c r="AA764" s="241"/>
      <c r="AB764" s="241"/>
      <c r="AC764" s="241"/>
      <c r="AD764" s="241"/>
      <c r="AE764" s="241"/>
      <c r="AF764" s="241"/>
      <c r="AG764" s="241"/>
      <c r="AH764" s="241"/>
      <c r="AI764" s="241"/>
      <c r="AJ764" s="241"/>
      <c r="AK764" s="241"/>
      <c r="AL764" s="241"/>
      <c r="AM764" s="241"/>
      <c r="AN764" s="241"/>
      <c r="AO764" s="241"/>
      <c r="AP764" s="241"/>
      <c r="AQ764" s="241"/>
      <c r="AR764" s="241"/>
      <c r="AS764" s="241"/>
      <c r="AT764" s="241"/>
      <c r="AU764" s="241"/>
      <c r="AV764" s="241"/>
      <c r="AW764" s="241"/>
      <c r="AX764" s="241"/>
      <c r="AY764" s="241"/>
      <c r="AZ764" s="241"/>
    </row>
    <row r="765" spans="1:52" ht="18" customHeight="1">
      <c r="A765" s="250"/>
      <c r="B765" s="241"/>
      <c r="C765" s="241"/>
      <c r="D765" s="241"/>
      <c r="E765" s="241"/>
      <c r="F765" s="241"/>
      <c r="G765" s="241"/>
      <c r="H765" s="241"/>
      <c r="I765" s="241"/>
      <c r="J765" s="241"/>
      <c r="K765" s="241"/>
      <c r="L765" s="241"/>
      <c r="M765" s="241"/>
      <c r="N765" s="241"/>
      <c r="O765" s="241"/>
      <c r="P765" s="241"/>
      <c r="Q765" s="241"/>
      <c r="R765" s="241"/>
      <c r="S765" s="241"/>
      <c r="T765" s="241"/>
      <c r="U765" s="241"/>
      <c r="V765" s="241"/>
      <c r="W765" s="241"/>
      <c r="X765" s="241"/>
      <c r="Y765" s="241"/>
      <c r="Z765" s="241"/>
      <c r="AA765" s="241"/>
      <c r="AB765" s="241"/>
      <c r="AC765" s="241"/>
      <c r="AD765" s="241"/>
      <c r="AE765" s="241"/>
      <c r="AF765" s="241"/>
      <c r="AG765" s="241"/>
      <c r="AH765" s="241"/>
      <c r="AI765" s="241"/>
      <c r="AJ765" s="241"/>
      <c r="AK765" s="241"/>
      <c r="AL765" s="241"/>
      <c r="AM765" s="241"/>
      <c r="AN765" s="241"/>
      <c r="AO765" s="241"/>
      <c r="AP765" s="241"/>
      <c r="AQ765" s="241"/>
      <c r="AR765" s="241"/>
      <c r="AS765" s="241"/>
      <c r="AT765" s="241"/>
      <c r="AU765" s="241"/>
      <c r="AV765" s="241"/>
      <c r="AW765" s="241"/>
      <c r="AX765" s="241"/>
      <c r="AY765" s="241"/>
      <c r="AZ765" s="241"/>
    </row>
    <row r="766" spans="1:52" ht="18" customHeight="1">
      <c r="A766" s="250"/>
      <c r="B766" s="241"/>
      <c r="C766" s="241"/>
      <c r="D766" s="241"/>
      <c r="E766" s="241"/>
      <c r="F766" s="241"/>
      <c r="G766" s="241"/>
      <c r="H766" s="241"/>
      <c r="I766" s="241"/>
      <c r="J766" s="241"/>
      <c r="K766" s="241"/>
      <c r="L766" s="241"/>
      <c r="M766" s="241"/>
      <c r="N766" s="241"/>
      <c r="O766" s="241"/>
      <c r="P766" s="241"/>
      <c r="Q766" s="241"/>
      <c r="R766" s="241"/>
      <c r="S766" s="241"/>
      <c r="T766" s="241"/>
      <c r="U766" s="241"/>
      <c r="V766" s="241"/>
      <c r="W766" s="241"/>
      <c r="X766" s="241"/>
      <c r="Y766" s="241"/>
      <c r="Z766" s="241"/>
      <c r="AA766" s="241"/>
      <c r="AB766" s="241"/>
      <c r="AC766" s="241"/>
      <c r="AD766" s="241"/>
      <c r="AE766" s="241"/>
      <c r="AF766" s="241"/>
      <c r="AG766" s="241"/>
      <c r="AH766" s="241"/>
      <c r="AI766" s="241"/>
      <c r="AJ766" s="241"/>
      <c r="AK766" s="241"/>
      <c r="AL766" s="241"/>
      <c r="AM766" s="241"/>
      <c r="AN766" s="241"/>
      <c r="AO766" s="241"/>
      <c r="AP766" s="241"/>
      <c r="AQ766" s="241"/>
      <c r="AR766" s="241"/>
      <c r="AS766" s="241"/>
      <c r="AT766" s="241"/>
      <c r="AU766" s="241"/>
      <c r="AV766" s="241"/>
      <c r="AW766" s="241"/>
      <c r="AX766" s="241"/>
      <c r="AY766" s="241"/>
      <c r="AZ766" s="241"/>
    </row>
    <row r="767" spans="1:52" ht="18" customHeight="1">
      <c r="A767" s="250"/>
      <c r="B767" s="241"/>
      <c r="C767" s="241"/>
      <c r="D767" s="241"/>
      <c r="E767" s="241"/>
      <c r="F767" s="241"/>
      <c r="G767" s="241"/>
      <c r="H767" s="241"/>
      <c r="I767" s="241"/>
      <c r="J767" s="241"/>
      <c r="K767" s="241"/>
      <c r="L767" s="241"/>
      <c r="M767" s="241"/>
      <c r="N767" s="241"/>
      <c r="O767" s="241"/>
      <c r="P767" s="241"/>
      <c r="Q767" s="241"/>
      <c r="R767" s="241"/>
      <c r="S767" s="241"/>
      <c r="T767" s="241"/>
      <c r="U767" s="241"/>
      <c r="V767" s="241"/>
      <c r="W767" s="241"/>
      <c r="X767" s="241"/>
      <c r="Y767" s="241"/>
      <c r="Z767" s="241"/>
      <c r="AA767" s="241"/>
      <c r="AB767" s="241"/>
      <c r="AC767" s="241"/>
      <c r="AD767" s="241"/>
      <c r="AE767" s="241"/>
      <c r="AF767" s="241"/>
      <c r="AG767" s="241"/>
      <c r="AH767" s="241"/>
      <c r="AI767" s="241"/>
      <c r="AJ767" s="241"/>
      <c r="AK767" s="241"/>
      <c r="AL767" s="241"/>
      <c r="AM767" s="241"/>
      <c r="AN767" s="241"/>
      <c r="AO767" s="241"/>
      <c r="AP767" s="241"/>
      <c r="AQ767" s="241"/>
      <c r="AR767" s="241"/>
      <c r="AS767" s="241"/>
      <c r="AT767" s="241"/>
      <c r="AU767" s="241"/>
      <c r="AV767" s="241"/>
      <c r="AW767" s="241"/>
      <c r="AX767" s="241"/>
      <c r="AY767" s="241"/>
      <c r="AZ767" s="241"/>
    </row>
    <row r="768" spans="1:52" ht="18" customHeight="1">
      <c r="A768" s="250"/>
      <c r="B768" s="241"/>
      <c r="C768" s="241"/>
      <c r="D768" s="241"/>
      <c r="E768" s="241"/>
      <c r="F768" s="241"/>
      <c r="G768" s="241"/>
      <c r="H768" s="241"/>
      <c r="I768" s="241"/>
      <c r="J768" s="241"/>
      <c r="K768" s="241"/>
      <c r="L768" s="241"/>
      <c r="M768" s="241"/>
      <c r="N768" s="241"/>
      <c r="O768" s="241"/>
      <c r="P768" s="241"/>
      <c r="Q768" s="241"/>
      <c r="R768" s="241"/>
      <c r="S768" s="241"/>
      <c r="T768" s="241"/>
      <c r="U768" s="241"/>
      <c r="V768" s="241"/>
      <c r="W768" s="241"/>
      <c r="X768" s="241"/>
      <c r="Y768" s="241"/>
      <c r="Z768" s="241"/>
      <c r="AA768" s="241"/>
      <c r="AB768" s="241"/>
      <c r="AC768" s="241"/>
      <c r="AD768" s="241"/>
      <c r="AE768" s="241"/>
      <c r="AF768" s="241"/>
      <c r="AG768" s="241"/>
      <c r="AH768" s="241"/>
      <c r="AI768" s="241"/>
      <c r="AJ768" s="241"/>
      <c r="AK768" s="241"/>
      <c r="AL768" s="241"/>
      <c r="AM768" s="241"/>
      <c r="AN768" s="241"/>
      <c r="AO768" s="241"/>
      <c r="AP768" s="241"/>
      <c r="AQ768" s="241"/>
      <c r="AR768" s="241"/>
      <c r="AS768" s="241"/>
      <c r="AT768" s="241"/>
      <c r="AU768" s="241"/>
      <c r="AV768" s="241"/>
      <c r="AW768" s="241"/>
      <c r="AX768" s="241"/>
      <c r="AY768" s="241"/>
      <c r="AZ768" s="241"/>
    </row>
    <row r="769" spans="1:52" ht="18" customHeight="1">
      <c r="A769" s="250"/>
      <c r="B769" s="241"/>
      <c r="C769" s="241"/>
      <c r="D769" s="241"/>
      <c r="E769" s="241"/>
      <c r="F769" s="241"/>
      <c r="G769" s="241"/>
      <c r="H769" s="241"/>
      <c r="I769" s="241"/>
      <c r="J769" s="241"/>
      <c r="K769" s="241"/>
      <c r="L769" s="241"/>
      <c r="M769" s="241"/>
      <c r="N769" s="241"/>
      <c r="O769" s="241"/>
      <c r="P769" s="241"/>
      <c r="Q769" s="241"/>
      <c r="R769" s="241"/>
      <c r="S769" s="241"/>
      <c r="T769" s="241"/>
      <c r="U769" s="241"/>
      <c r="V769" s="241"/>
      <c r="W769" s="241"/>
      <c r="X769" s="241"/>
      <c r="Y769" s="241"/>
      <c r="Z769" s="241"/>
      <c r="AA769" s="241"/>
      <c r="AB769" s="241"/>
      <c r="AC769" s="241"/>
      <c r="AD769" s="241"/>
      <c r="AE769" s="241"/>
      <c r="AF769" s="241"/>
      <c r="AG769" s="241"/>
      <c r="AH769" s="241"/>
      <c r="AI769" s="241"/>
      <c r="AJ769" s="241"/>
      <c r="AK769" s="241"/>
      <c r="AL769" s="241"/>
      <c r="AM769" s="241"/>
      <c r="AN769" s="241"/>
      <c r="AO769" s="241"/>
      <c r="AP769" s="241"/>
      <c r="AQ769" s="241"/>
      <c r="AR769" s="241"/>
      <c r="AS769" s="241"/>
      <c r="AT769" s="241"/>
      <c r="AU769" s="241"/>
      <c r="AV769" s="241"/>
      <c r="AW769" s="241"/>
      <c r="AX769" s="241"/>
      <c r="AY769" s="241"/>
      <c r="AZ769" s="241"/>
    </row>
    <row r="770" spans="1:52" ht="18" customHeight="1">
      <c r="A770" s="250"/>
      <c r="B770" s="241"/>
      <c r="C770" s="241"/>
      <c r="D770" s="241"/>
      <c r="E770" s="241"/>
      <c r="F770" s="241"/>
      <c r="G770" s="241"/>
      <c r="H770" s="241"/>
      <c r="I770" s="241"/>
      <c r="J770" s="241"/>
      <c r="K770" s="241"/>
      <c r="L770" s="241"/>
      <c r="M770" s="241"/>
      <c r="N770" s="241"/>
      <c r="O770" s="241"/>
      <c r="P770" s="241"/>
      <c r="Q770" s="241"/>
      <c r="R770" s="241"/>
      <c r="S770" s="241"/>
      <c r="T770" s="241"/>
      <c r="U770" s="241"/>
      <c r="V770" s="241"/>
      <c r="W770" s="241"/>
      <c r="X770" s="241"/>
      <c r="Y770" s="241"/>
      <c r="Z770" s="241"/>
      <c r="AA770" s="241"/>
      <c r="AB770" s="241"/>
      <c r="AC770" s="241"/>
      <c r="AD770" s="241"/>
      <c r="AE770" s="241"/>
      <c r="AF770" s="241"/>
      <c r="AG770" s="241"/>
      <c r="AH770" s="241"/>
      <c r="AI770" s="241"/>
      <c r="AJ770" s="241"/>
      <c r="AK770" s="241"/>
      <c r="AL770" s="241"/>
      <c r="AM770" s="241"/>
      <c r="AN770" s="241"/>
      <c r="AO770" s="241"/>
      <c r="AP770" s="241"/>
      <c r="AQ770" s="241"/>
      <c r="AR770" s="241"/>
      <c r="AS770" s="241"/>
      <c r="AT770" s="241"/>
      <c r="AU770" s="241"/>
      <c r="AV770" s="241"/>
      <c r="AW770" s="241"/>
      <c r="AX770" s="241"/>
      <c r="AY770" s="241"/>
      <c r="AZ770" s="241"/>
    </row>
    <row r="771" spans="1:52" ht="18" customHeight="1">
      <c r="A771" s="250"/>
      <c r="B771" s="241"/>
      <c r="C771" s="241"/>
      <c r="D771" s="241"/>
      <c r="E771" s="241"/>
      <c r="F771" s="241"/>
      <c r="G771" s="241"/>
      <c r="H771" s="241"/>
      <c r="I771" s="241"/>
      <c r="J771" s="241"/>
      <c r="K771" s="241"/>
      <c r="L771" s="241"/>
      <c r="M771" s="241"/>
      <c r="N771" s="241"/>
      <c r="O771" s="241"/>
      <c r="P771" s="241"/>
      <c r="Q771" s="241"/>
      <c r="R771" s="241"/>
      <c r="S771" s="241"/>
      <c r="T771" s="241"/>
      <c r="U771" s="241"/>
      <c r="V771" s="241"/>
      <c r="W771" s="241"/>
      <c r="X771" s="241"/>
      <c r="Y771" s="241"/>
      <c r="Z771" s="241"/>
      <c r="AA771" s="241"/>
      <c r="AB771" s="241"/>
      <c r="AC771" s="241"/>
      <c r="AD771" s="241"/>
      <c r="AE771" s="241"/>
      <c r="AF771" s="241"/>
      <c r="AG771" s="241"/>
      <c r="AH771" s="241"/>
      <c r="AI771" s="241"/>
      <c r="AJ771" s="241"/>
      <c r="AK771" s="241"/>
      <c r="AL771" s="241"/>
      <c r="AM771" s="241"/>
      <c r="AN771" s="241"/>
      <c r="AO771" s="241"/>
      <c r="AP771" s="241"/>
      <c r="AQ771" s="241"/>
      <c r="AR771" s="241"/>
      <c r="AS771" s="241"/>
      <c r="AT771" s="241"/>
      <c r="AU771" s="241"/>
      <c r="AV771" s="241"/>
      <c r="AW771" s="241"/>
      <c r="AX771" s="241"/>
      <c r="AY771" s="241"/>
      <c r="AZ771" s="241"/>
    </row>
    <row r="772" spans="1:52" ht="18" customHeight="1">
      <c r="A772" s="250"/>
      <c r="B772" s="241"/>
      <c r="C772" s="241"/>
      <c r="D772" s="241"/>
      <c r="E772" s="241"/>
      <c r="F772" s="241"/>
      <c r="G772" s="241"/>
      <c r="H772" s="241"/>
      <c r="I772" s="241"/>
      <c r="J772" s="241"/>
      <c r="K772" s="241"/>
      <c r="L772" s="241"/>
      <c r="M772" s="241"/>
      <c r="N772" s="241"/>
      <c r="O772" s="241"/>
      <c r="P772" s="241"/>
      <c r="Q772" s="241"/>
      <c r="R772" s="241"/>
      <c r="S772" s="241"/>
      <c r="T772" s="241"/>
      <c r="U772" s="241"/>
      <c r="V772" s="241"/>
      <c r="W772" s="241"/>
      <c r="X772" s="241"/>
      <c r="Y772" s="241"/>
      <c r="Z772" s="241"/>
      <c r="AA772" s="241"/>
      <c r="AB772" s="241"/>
      <c r="AC772" s="241"/>
      <c r="AD772" s="241"/>
      <c r="AE772" s="241"/>
      <c r="AF772" s="241"/>
      <c r="AG772" s="241"/>
      <c r="AH772" s="241"/>
      <c r="AI772" s="241"/>
      <c r="AJ772" s="241"/>
      <c r="AK772" s="241"/>
      <c r="AL772" s="241"/>
      <c r="AM772" s="241"/>
      <c r="AN772" s="241"/>
      <c r="AO772" s="241"/>
      <c r="AP772" s="241"/>
      <c r="AQ772" s="241"/>
      <c r="AR772" s="241"/>
      <c r="AS772" s="241"/>
      <c r="AT772" s="241"/>
      <c r="AU772" s="241"/>
      <c r="AV772" s="241"/>
      <c r="AW772" s="241"/>
      <c r="AX772" s="241"/>
      <c r="AY772" s="241"/>
      <c r="AZ772" s="241"/>
    </row>
    <row r="773" spans="1:52" ht="18" customHeight="1">
      <c r="A773" s="250"/>
      <c r="B773" s="241"/>
      <c r="C773" s="241"/>
      <c r="D773" s="241"/>
      <c r="E773" s="241"/>
      <c r="F773" s="241"/>
      <c r="G773" s="241"/>
      <c r="H773" s="241"/>
      <c r="I773" s="241"/>
      <c r="J773" s="241"/>
      <c r="K773" s="241"/>
      <c r="L773" s="241"/>
      <c r="M773" s="241"/>
      <c r="N773" s="241"/>
      <c r="O773" s="241"/>
      <c r="P773" s="241"/>
      <c r="Q773" s="241"/>
      <c r="R773" s="241"/>
      <c r="S773" s="241"/>
      <c r="T773" s="241"/>
      <c r="U773" s="241"/>
      <c r="V773" s="241"/>
      <c r="W773" s="241"/>
      <c r="X773" s="241"/>
      <c r="Y773" s="241"/>
      <c r="Z773" s="241"/>
      <c r="AA773" s="241"/>
      <c r="AB773" s="241"/>
      <c r="AC773" s="241"/>
      <c r="AD773" s="241"/>
      <c r="AE773" s="241"/>
      <c r="AF773" s="241"/>
      <c r="AG773" s="241"/>
      <c r="AH773" s="241"/>
      <c r="AI773" s="241"/>
      <c r="AJ773" s="241"/>
      <c r="AK773" s="241"/>
      <c r="AL773" s="241"/>
      <c r="AM773" s="241"/>
      <c r="AN773" s="241"/>
      <c r="AO773" s="241"/>
      <c r="AP773" s="241"/>
      <c r="AQ773" s="241"/>
      <c r="AR773" s="241"/>
      <c r="AS773" s="241"/>
      <c r="AT773" s="241"/>
      <c r="AU773" s="241"/>
      <c r="AV773" s="241"/>
      <c r="AW773" s="241"/>
      <c r="AX773" s="241"/>
      <c r="AY773" s="241"/>
      <c r="AZ773" s="241"/>
    </row>
    <row r="774" spans="1:52" ht="18" customHeight="1">
      <c r="A774" s="250"/>
      <c r="B774" s="241"/>
      <c r="C774" s="241"/>
      <c r="D774" s="241"/>
      <c r="E774" s="241"/>
      <c r="F774" s="241"/>
      <c r="G774" s="241"/>
      <c r="H774" s="241"/>
      <c r="I774" s="241"/>
      <c r="J774" s="241"/>
      <c r="K774" s="241"/>
      <c r="L774" s="241"/>
      <c r="M774" s="241"/>
      <c r="N774" s="241"/>
      <c r="O774" s="241"/>
      <c r="P774" s="241"/>
      <c r="Q774" s="241"/>
      <c r="R774" s="241"/>
      <c r="S774" s="241"/>
      <c r="T774" s="241"/>
      <c r="U774" s="241"/>
      <c r="V774" s="241"/>
      <c r="W774" s="241"/>
      <c r="X774" s="241"/>
      <c r="Y774" s="241"/>
      <c r="Z774" s="241"/>
      <c r="AA774" s="241"/>
      <c r="AB774" s="241"/>
      <c r="AC774" s="241"/>
      <c r="AD774" s="241"/>
      <c r="AE774" s="241"/>
      <c r="AF774" s="241"/>
      <c r="AG774" s="241"/>
      <c r="AH774" s="241"/>
      <c r="AI774" s="241"/>
      <c r="AJ774" s="241"/>
      <c r="AK774" s="241"/>
      <c r="AL774" s="241"/>
      <c r="AM774" s="241"/>
      <c r="AN774" s="241"/>
      <c r="AO774" s="241"/>
      <c r="AP774" s="241"/>
      <c r="AQ774" s="241"/>
      <c r="AR774" s="241"/>
      <c r="AS774" s="241"/>
      <c r="AT774" s="241"/>
      <c r="AU774" s="241"/>
      <c r="AV774" s="241"/>
      <c r="AW774" s="241"/>
      <c r="AX774" s="241"/>
      <c r="AY774" s="241"/>
      <c r="AZ774" s="241"/>
    </row>
    <row r="775" spans="1:52" ht="18" customHeight="1">
      <c r="A775" s="250"/>
      <c r="B775" s="241"/>
      <c r="C775" s="241"/>
      <c r="D775" s="241"/>
      <c r="E775" s="241"/>
      <c r="F775" s="241"/>
      <c r="G775" s="241"/>
      <c r="H775" s="241"/>
      <c r="I775" s="241"/>
      <c r="J775" s="241"/>
      <c r="K775" s="241"/>
      <c r="L775" s="241"/>
      <c r="M775" s="241"/>
      <c r="N775" s="241"/>
      <c r="O775" s="241"/>
      <c r="P775" s="241"/>
      <c r="Q775" s="241"/>
      <c r="R775" s="241"/>
      <c r="S775" s="241"/>
      <c r="T775" s="241"/>
      <c r="U775" s="241"/>
      <c r="V775" s="241"/>
      <c r="W775" s="241"/>
      <c r="X775" s="241"/>
      <c r="Y775" s="241"/>
      <c r="Z775" s="241"/>
      <c r="AA775" s="241"/>
      <c r="AB775" s="241"/>
      <c r="AC775" s="241"/>
      <c r="AD775" s="241"/>
      <c r="AE775" s="241"/>
      <c r="AF775" s="241"/>
      <c r="AG775" s="241"/>
      <c r="AH775" s="241"/>
      <c r="AI775" s="241"/>
      <c r="AJ775" s="241"/>
      <c r="AK775" s="241"/>
      <c r="AL775" s="241"/>
      <c r="AM775" s="241"/>
      <c r="AN775" s="241"/>
      <c r="AO775" s="241"/>
      <c r="AP775" s="241"/>
      <c r="AQ775" s="241"/>
      <c r="AR775" s="241"/>
      <c r="AS775" s="241"/>
      <c r="AT775" s="241"/>
      <c r="AU775" s="241"/>
      <c r="AV775" s="241"/>
      <c r="AW775" s="241"/>
      <c r="AX775" s="241"/>
      <c r="AY775" s="241"/>
      <c r="AZ775" s="241"/>
    </row>
    <row r="776" spans="1:52" ht="18" customHeight="1">
      <c r="A776" s="250"/>
      <c r="B776" s="241"/>
      <c r="C776" s="241"/>
      <c r="D776" s="241"/>
      <c r="E776" s="241"/>
      <c r="F776" s="241"/>
      <c r="G776" s="241"/>
      <c r="H776" s="241"/>
      <c r="I776" s="241"/>
      <c r="J776" s="241"/>
      <c r="K776" s="241"/>
      <c r="L776" s="241"/>
      <c r="M776" s="241"/>
      <c r="N776" s="241"/>
      <c r="O776" s="241"/>
      <c r="P776" s="241"/>
      <c r="Q776" s="241"/>
      <c r="R776" s="241"/>
      <c r="S776" s="241"/>
      <c r="T776" s="241"/>
      <c r="U776" s="241"/>
      <c r="V776" s="241"/>
      <c r="W776" s="241"/>
      <c r="X776" s="241"/>
      <c r="Y776" s="241"/>
      <c r="Z776" s="241"/>
      <c r="AA776" s="241"/>
      <c r="AB776" s="241"/>
      <c r="AC776" s="241"/>
      <c r="AD776" s="241"/>
      <c r="AE776" s="241"/>
      <c r="AF776" s="241"/>
      <c r="AG776" s="241"/>
      <c r="AH776" s="241"/>
      <c r="AI776" s="241"/>
      <c r="AJ776" s="241"/>
      <c r="AK776" s="241"/>
      <c r="AL776" s="241"/>
      <c r="AM776" s="241"/>
      <c r="AN776" s="241"/>
      <c r="AO776" s="241"/>
      <c r="AP776" s="241"/>
      <c r="AQ776" s="241"/>
      <c r="AR776" s="241"/>
      <c r="AS776" s="241"/>
      <c r="AT776" s="241"/>
      <c r="AU776" s="241"/>
      <c r="AV776" s="241"/>
      <c r="AW776" s="241"/>
      <c r="AX776" s="241"/>
      <c r="AY776" s="241"/>
      <c r="AZ776" s="241"/>
    </row>
    <row r="777" spans="1:52" ht="18" customHeight="1">
      <c r="A777" s="250"/>
      <c r="B777" s="241"/>
      <c r="C777" s="241"/>
      <c r="D777" s="241"/>
      <c r="E777" s="241"/>
      <c r="F777" s="241"/>
      <c r="G777" s="241"/>
      <c r="H777" s="241"/>
      <c r="I777" s="241"/>
      <c r="J777" s="241"/>
      <c r="K777" s="241"/>
      <c r="L777" s="241"/>
      <c r="M777" s="241"/>
      <c r="N777" s="241"/>
      <c r="O777" s="241"/>
      <c r="P777" s="241"/>
      <c r="Q777" s="241"/>
      <c r="R777" s="241"/>
      <c r="S777" s="241"/>
      <c r="T777" s="241"/>
      <c r="U777" s="241"/>
      <c r="V777" s="241"/>
      <c r="W777" s="241"/>
      <c r="X777" s="241"/>
      <c r="Y777" s="241"/>
      <c r="Z777" s="241"/>
      <c r="AA777" s="241"/>
      <c r="AB777" s="241"/>
      <c r="AC777" s="241"/>
      <c r="AD777" s="241"/>
      <c r="AE777" s="241"/>
      <c r="AF777" s="241"/>
      <c r="AG777" s="241"/>
      <c r="AH777" s="241"/>
      <c r="AI777" s="241"/>
      <c r="AJ777" s="241"/>
      <c r="AK777" s="241"/>
      <c r="AL777" s="241"/>
      <c r="AM777" s="241"/>
      <c r="AN777" s="241"/>
      <c r="AO777" s="241"/>
      <c r="AP777" s="241"/>
      <c r="AQ777" s="241"/>
      <c r="AR777" s="241"/>
      <c r="AS777" s="241"/>
      <c r="AT777" s="241"/>
      <c r="AU777" s="241"/>
      <c r="AV777" s="241"/>
      <c r="AW777" s="241"/>
      <c r="AX777" s="241"/>
      <c r="AY777" s="241"/>
      <c r="AZ777" s="241"/>
    </row>
    <row r="778" spans="1:52" ht="18" customHeight="1">
      <c r="A778" s="250"/>
      <c r="B778" s="241"/>
      <c r="C778" s="241"/>
      <c r="D778" s="241"/>
      <c r="E778" s="241"/>
      <c r="F778" s="241"/>
      <c r="G778" s="241"/>
      <c r="H778" s="241"/>
      <c r="I778" s="241"/>
      <c r="J778" s="241"/>
      <c r="K778" s="241"/>
      <c r="L778" s="241"/>
      <c r="M778" s="241"/>
      <c r="N778" s="241"/>
      <c r="O778" s="241"/>
      <c r="P778" s="241"/>
      <c r="Q778" s="241"/>
      <c r="R778" s="241"/>
      <c r="S778" s="241"/>
      <c r="T778" s="241"/>
      <c r="U778" s="241"/>
      <c r="V778" s="241"/>
      <c r="W778" s="241"/>
      <c r="X778" s="241"/>
      <c r="Y778" s="241"/>
      <c r="Z778" s="241"/>
      <c r="AA778" s="241"/>
      <c r="AB778" s="241"/>
      <c r="AC778" s="241"/>
      <c r="AD778" s="241"/>
      <c r="AE778" s="241"/>
      <c r="AF778" s="241"/>
      <c r="AG778" s="241"/>
      <c r="AH778" s="241"/>
      <c r="AI778" s="241"/>
      <c r="AJ778" s="241"/>
      <c r="AK778" s="241"/>
      <c r="AL778" s="241"/>
      <c r="AM778" s="241"/>
      <c r="AN778" s="241"/>
      <c r="AO778" s="241"/>
      <c r="AP778" s="241"/>
      <c r="AQ778" s="241"/>
      <c r="AR778" s="241"/>
      <c r="AS778" s="241"/>
      <c r="AT778" s="241"/>
      <c r="AU778" s="241"/>
      <c r="AV778" s="241"/>
      <c r="AW778" s="241"/>
      <c r="AX778" s="241"/>
      <c r="AY778" s="241"/>
      <c r="AZ778" s="241"/>
    </row>
    <row r="779" spans="1:52" ht="18" customHeight="1">
      <c r="A779" s="250"/>
      <c r="B779" s="241"/>
      <c r="C779" s="241"/>
      <c r="D779" s="241"/>
      <c r="E779" s="241"/>
      <c r="F779" s="241"/>
      <c r="G779" s="241"/>
      <c r="H779" s="241"/>
      <c r="I779" s="241"/>
      <c r="J779" s="241"/>
      <c r="K779" s="241"/>
      <c r="L779" s="241"/>
      <c r="M779" s="241"/>
      <c r="N779" s="241"/>
      <c r="O779" s="241"/>
      <c r="P779" s="241"/>
      <c r="Q779" s="241"/>
      <c r="R779" s="241"/>
      <c r="S779" s="241"/>
      <c r="T779" s="241"/>
      <c r="U779" s="241"/>
      <c r="V779" s="241"/>
      <c r="W779" s="241"/>
      <c r="X779" s="241"/>
      <c r="Y779" s="241"/>
      <c r="Z779" s="241"/>
      <c r="AA779" s="241"/>
      <c r="AB779" s="241"/>
      <c r="AC779" s="241"/>
      <c r="AD779" s="241"/>
      <c r="AE779" s="241"/>
      <c r="AF779" s="241"/>
      <c r="AG779" s="241"/>
      <c r="AH779" s="241"/>
      <c r="AI779" s="241"/>
      <c r="AJ779" s="241"/>
      <c r="AK779" s="241"/>
      <c r="AL779" s="241"/>
      <c r="AM779" s="241"/>
      <c r="AN779" s="241"/>
      <c r="AO779" s="241"/>
      <c r="AP779" s="241"/>
      <c r="AQ779" s="241"/>
      <c r="AR779" s="241"/>
      <c r="AS779" s="241"/>
      <c r="AT779" s="241"/>
      <c r="AU779" s="241"/>
      <c r="AV779" s="241"/>
      <c r="AW779" s="241"/>
      <c r="AX779" s="241"/>
      <c r="AY779" s="241"/>
      <c r="AZ779" s="241"/>
    </row>
    <row r="780" spans="1:52" ht="18" customHeight="1">
      <c r="A780" s="250"/>
      <c r="B780" s="241"/>
      <c r="C780" s="241"/>
      <c r="D780" s="241"/>
      <c r="E780" s="241"/>
      <c r="F780" s="241"/>
      <c r="G780" s="241"/>
      <c r="H780" s="241"/>
      <c r="I780" s="241"/>
      <c r="J780" s="241"/>
      <c r="K780" s="241"/>
      <c r="L780" s="241"/>
      <c r="M780" s="241"/>
      <c r="N780" s="241"/>
      <c r="O780" s="241"/>
      <c r="P780" s="241"/>
      <c r="Q780" s="241"/>
      <c r="R780" s="241"/>
      <c r="S780" s="241"/>
      <c r="T780" s="241"/>
      <c r="U780" s="241"/>
      <c r="V780" s="241"/>
      <c r="W780" s="241"/>
      <c r="X780" s="241"/>
      <c r="Y780" s="241"/>
      <c r="Z780" s="241"/>
      <c r="AA780" s="241"/>
      <c r="AB780" s="241"/>
      <c r="AC780" s="241"/>
      <c r="AD780" s="241"/>
      <c r="AE780" s="241"/>
      <c r="AF780" s="241"/>
      <c r="AG780" s="241"/>
      <c r="AH780" s="241"/>
      <c r="AI780" s="241"/>
      <c r="AJ780" s="241"/>
      <c r="AK780" s="241"/>
      <c r="AL780" s="241"/>
      <c r="AM780" s="241"/>
      <c r="AN780" s="241"/>
      <c r="AO780" s="241"/>
      <c r="AP780" s="241"/>
      <c r="AQ780" s="241"/>
      <c r="AR780" s="241"/>
      <c r="AS780" s="241"/>
      <c r="AT780" s="241"/>
      <c r="AU780" s="241"/>
      <c r="AV780" s="241"/>
      <c r="AW780" s="241"/>
      <c r="AX780" s="241"/>
      <c r="AY780" s="241"/>
      <c r="AZ780" s="241"/>
    </row>
    <row r="781" spans="1:52" ht="18" customHeight="1">
      <c r="A781" s="250"/>
      <c r="B781" s="241"/>
      <c r="C781" s="241"/>
      <c r="D781" s="241"/>
      <c r="E781" s="241"/>
      <c r="F781" s="241"/>
      <c r="G781" s="241"/>
      <c r="H781" s="241"/>
      <c r="I781" s="241"/>
      <c r="J781" s="241"/>
      <c r="K781" s="241"/>
      <c r="L781" s="241"/>
      <c r="M781" s="241"/>
      <c r="N781" s="241"/>
      <c r="O781" s="241"/>
      <c r="P781" s="241"/>
      <c r="Q781" s="241"/>
      <c r="R781" s="241"/>
      <c r="S781" s="241"/>
      <c r="T781" s="241"/>
      <c r="U781" s="241"/>
      <c r="V781" s="241"/>
      <c r="W781" s="241"/>
      <c r="X781" s="241"/>
      <c r="Y781" s="241"/>
      <c r="Z781" s="241"/>
      <c r="AA781" s="241"/>
      <c r="AB781" s="241"/>
      <c r="AC781" s="241"/>
      <c r="AD781" s="241"/>
      <c r="AE781" s="241"/>
      <c r="AF781" s="241"/>
      <c r="AG781" s="241"/>
      <c r="AH781" s="241"/>
      <c r="AI781" s="241"/>
      <c r="AJ781" s="241"/>
      <c r="AK781" s="241"/>
      <c r="AL781" s="241"/>
      <c r="AM781" s="241"/>
      <c r="AN781" s="241"/>
      <c r="AO781" s="241"/>
      <c r="AP781" s="241"/>
      <c r="AQ781" s="241"/>
      <c r="AR781" s="241"/>
      <c r="AS781" s="241"/>
      <c r="AT781" s="241"/>
      <c r="AU781" s="241"/>
      <c r="AV781" s="241"/>
      <c r="AW781" s="241"/>
      <c r="AX781" s="241"/>
      <c r="AY781" s="241"/>
      <c r="AZ781" s="241"/>
    </row>
    <row r="782" spans="1:52" ht="18" customHeight="1">
      <c r="A782" s="250"/>
      <c r="B782" s="241"/>
      <c r="C782" s="241"/>
      <c r="D782" s="241"/>
      <c r="E782" s="241"/>
      <c r="F782" s="241"/>
      <c r="G782" s="241"/>
      <c r="H782" s="241"/>
      <c r="I782" s="241"/>
      <c r="J782" s="241"/>
      <c r="K782" s="241"/>
      <c r="L782" s="241"/>
      <c r="M782" s="241"/>
      <c r="N782" s="241"/>
      <c r="O782" s="241"/>
      <c r="P782" s="241"/>
      <c r="Q782" s="241"/>
      <c r="R782" s="241"/>
      <c r="S782" s="241"/>
      <c r="T782" s="241"/>
      <c r="U782" s="241"/>
      <c r="V782" s="241"/>
      <c r="W782" s="241"/>
      <c r="X782" s="241"/>
      <c r="Y782" s="241"/>
      <c r="Z782" s="241"/>
      <c r="AA782" s="241"/>
      <c r="AB782" s="241"/>
      <c r="AC782" s="241"/>
      <c r="AD782" s="241"/>
      <c r="AE782" s="241"/>
      <c r="AF782" s="241"/>
      <c r="AG782" s="241"/>
      <c r="AH782" s="241"/>
      <c r="AI782" s="241"/>
      <c r="AJ782" s="241"/>
      <c r="AK782" s="241"/>
      <c r="AL782" s="241"/>
      <c r="AM782" s="241"/>
      <c r="AN782" s="241"/>
      <c r="AO782" s="241"/>
      <c r="AP782" s="241"/>
      <c r="AQ782" s="241"/>
      <c r="AR782" s="241"/>
      <c r="AS782" s="241"/>
      <c r="AT782" s="241"/>
      <c r="AU782" s="241"/>
      <c r="AV782" s="241"/>
      <c r="AW782" s="241"/>
      <c r="AX782" s="241"/>
      <c r="AY782" s="241"/>
      <c r="AZ782" s="241"/>
    </row>
    <row r="783" spans="1:52" ht="18" customHeight="1">
      <c r="A783" s="250"/>
      <c r="B783" s="241"/>
      <c r="C783" s="241"/>
      <c r="D783" s="241"/>
      <c r="E783" s="241"/>
      <c r="F783" s="241"/>
      <c r="G783" s="241"/>
      <c r="H783" s="241"/>
      <c r="I783" s="241"/>
      <c r="J783" s="241"/>
      <c r="K783" s="241"/>
      <c r="L783" s="241"/>
      <c r="M783" s="241"/>
      <c r="N783" s="241"/>
      <c r="O783" s="241"/>
      <c r="P783" s="241"/>
      <c r="Q783" s="241"/>
      <c r="R783" s="241"/>
      <c r="S783" s="241"/>
      <c r="T783" s="241"/>
      <c r="U783" s="241"/>
      <c r="V783" s="241"/>
      <c r="W783" s="241"/>
      <c r="X783" s="241"/>
      <c r="Y783" s="241"/>
      <c r="Z783" s="241"/>
      <c r="AA783" s="241"/>
      <c r="AB783" s="241"/>
      <c r="AC783" s="241"/>
      <c r="AD783" s="241"/>
      <c r="AE783" s="241"/>
      <c r="AF783" s="241"/>
      <c r="AG783" s="241"/>
      <c r="AH783" s="241"/>
      <c r="AI783" s="241"/>
      <c r="AJ783" s="241"/>
      <c r="AK783" s="241"/>
      <c r="AL783" s="241"/>
      <c r="AM783" s="241"/>
      <c r="AN783" s="241"/>
      <c r="AO783" s="241"/>
      <c r="AP783" s="241"/>
      <c r="AQ783" s="241"/>
      <c r="AR783" s="241"/>
      <c r="AS783" s="241"/>
      <c r="AT783" s="241"/>
      <c r="AU783" s="241"/>
      <c r="AV783" s="241"/>
      <c r="AW783" s="241"/>
      <c r="AX783" s="241"/>
      <c r="AY783" s="241"/>
      <c r="AZ783" s="241"/>
    </row>
    <row r="784" spans="1:52" ht="18" customHeight="1">
      <c r="A784" s="250"/>
      <c r="B784" s="241"/>
      <c r="C784" s="241"/>
      <c r="D784" s="241"/>
      <c r="E784" s="241"/>
      <c r="F784" s="241"/>
      <c r="G784" s="241"/>
      <c r="H784" s="241"/>
      <c r="I784" s="241"/>
      <c r="J784" s="241"/>
      <c r="K784" s="241"/>
      <c r="L784" s="241"/>
      <c r="M784" s="241"/>
      <c r="N784" s="241"/>
      <c r="O784" s="241"/>
      <c r="P784" s="241"/>
      <c r="Q784" s="241"/>
      <c r="R784" s="241"/>
      <c r="S784" s="241"/>
      <c r="T784" s="241"/>
      <c r="U784" s="241"/>
      <c r="V784" s="241"/>
      <c r="W784" s="241"/>
      <c r="X784" s="241"/>
      <c r="Y784" s="241"/>
      <c r="Z784" s="241"/>
      <c r="AA784" s="241"/>
      <c r="AB784" s="241"/>
      <c r="AC784" s="241"/>
      <c r="AD784" s="241"/>
      <c r="AE784" s="241"/>
      <c r="AF784" s="241"/>
      <c r="AG784" s="241"/>
      <c r="AH784" s="241"/>
      <c r="AI784" s="241"/>
      <c r="AJ784" s="241"/>
      <c r="AK784" s="241"/>
      <c r="AL784" s="241"/>
      <c r="AM784" s="241"/>
      <c r="AN784" s="241"/>
      <c r="AO784" s="241"/>
      <c r="AP784" s="241"/>
      <c r="AQ784" s="241"/>
      <c r="AR784" s="241"/>
      <c r="AS784" s="241"/>
      <c r="AT784" s="241"/>
      <c r="AU784" s="241"/>
      <c r="AV784" s="241"/>
      <c r="AW784" s="241"/>
      <c r="AX784" s="241"/>
      <c r="AY784" s="241"/>
      <c r="AZ784" s="241"/>
    </row>
    <row r="785" spans="1:52" ht="18" customHeight="1">
      <c r="A785" s="250"/>
      <c r="B785" s="241"/>
      <c r="C785" s="241"/>
      <c r="D785" s="241"/>
      <c r="E785" s="241"/>
      <c r="F785" s="241"/>
      <c r="G785" s="241"/>
      <c r="H785" s="241"/>
      <c r="I785" s="241"/>
      <c r="J785" s="241"/>
      <c r="K785" s="241"/>
      <c r="L785" s="241"/>
      <c r="M785" s="241"/>
      <c r="N785" s="241"/>
      <c r="O785" s="241"/>
      <c r="P785" s="241"/>
      <c r="Q785" s="241"/>
      <c r="R785" s="241"/>
      <c r="S785" s="241"/>
      <c r="T785" s="241"/>
      <c r="U785" s="241"/>
      <c r="V785" s="241"/>
      <c r="W785" s="241"/>
      <c r="X785" s="241"/>
      <c r="Y785" s="241"/>
      <c r="Z785" s="241"/>
      <c r="AA785" s="241"/>
      <c r="AB785" s="241"/>
      <c r="AC785" s="241"/>
      <c r="AD785" s="241"/>
      <c r="AE785" s="241"/>
      <c r="AF785" s="241"/>
      <c r="AG785" s="241"/>
      <c r="AH785" s="241"/>
      <c r="AI785" s="241"/>
      <c r="AJ785" s="241"/>
      <c r="AK785" s="241"/>
      <c r="AL785" s="241"/>
      <c r="AM785" s="241"/>
      <c r="AN785" s="241"/>
      <c r="AO785" s="241"/>
      <c r="AP785" s="241"/>
      <c r="AQ785" s="241"/>
      <c r="AR785" s="241"/>
      <c r="AS785" s="241"/>
      <c r="AT785" s="241"/>
      <c r="AU785" s="241"/>
      <c r="AV785" s="241"/>
      <c r="AW785" s="241"/>
      <c r="AX785" s="241"/>
      <c r="AY785" s="241"/>
      <c r="AZ785" s="241"/>
    </row>
    <row r="786" spans="1:52" ht="18" customHeight="1">
      <c r="A786" s="250"/>
      <c r="B786" s="241"/>
      <c r="C786" s="241"/>
      <c r="D786" s="241"/>
      <c r="E786" s="241"/>
      <c r="F786" s="241"/>
      <c r="G786" s="241"/>
      <c r="H786" s="241"/>
      <c r="I786" s="241"/>
      <c r="J786" s="241"/>
      <c r="K786" s="241"/>
      <c r="L786" s="241"/>
      <c r="M786" s="241"/>
      <c r="N786" s="241"/>
      <c r="O786" s="241"/>
      <c r="P786" s="241"/>
      <c r="Q786" s="241"/>
      <c r="R786" s="241"/>
      <c r="S786" s="241"/>
      <c r="T786" s="241"/>
      <c r="U786" s="241"/>
      <c r="V786" s="241"/>
      <c r="W786" s="241"/>
      <c r="X786" s="241"/>
      <c r="Y786" s="241"/>
      <c r="Z786" s="241"/>
      <c r="AA786" s="241"/>
      <c r="AB786" s="241"/>
      <c r="AC786" s="241"/>
      <c r="AD786" s="241"/>
      <c r="AE786" s="241"/>
      <c r="AF786" s="241"/>
      <c r="AG786" s="241"/>
      <c r="AH786" s="241"/>
      <c r="AI786" s="241"/>
      <c r="AJ786" s="241"/>
      <c r="AK786" s="241"/>
      <c r="AL786" s="241"/>
      <c r="AM786" s="241"/>
      <c r="AN786" s="241"/>
      <c r="AO786" s="241"/>
      <c r="AP786" s="241"/>
      <c r="AQ786" s="241"/>
      <c r="AR786" s="241"/>
      <c r="AS786" s="241"/>
      <c r="AT786" s="241"/>
      <c r="AU786" s="241"/>
      <c r="AV786" s="241"/>
      <c r="AW786" s="241"/>
      <c r="AX786" s="241"/>
      <c r="AY786" s="241"/>
      <c r="AZ786" s="241"/>
    </row>
    <row r="787" spans="1:52" ht="18" customHeight="1">
      <c r="A787" s="250"/>
      <c r="B787" s="241"/>
      <c r="C787" s="241"/>
      <c r="D787" s="241"/>
      <c r="E787" s="241"/>
      <c r="F787" s="241"/>
      <c r="G787" s="241"/>
      <c r="H787" s="241"/>
      <c r="I787" s="241"/>
      <c r="J787" s="241"/>
      <c r="K787" s="241"/>
      <c r="L787" s="241"/>
      <c r="M787" s="241"/>
      <c r="N787" s="241"/>
      <c r="O787" s="241"/>
      <c r="P787" s="241"/>
      <c r="Q787" s="241"/>
      <c r="R787" s="241"/>
      <c r="S787" s="241"/>
      <c r="T787" s="241"/>
      <c r="U787" s="241"/>
      <c r="V787" s="241"/>
      <c r="W787" s="241"/>
      <c r="X787" s="241"/>
      <c r="Y787" s="241"/>
      <c r="Z787" s="241"/>
      <c r="AA787" s="241"/>
      <c r="AB787" s="241"/>
      <c r="AC787" s="241"/>
      <c r="AD787" s="241"/>
      <c r="AE787" s="241"/>
      <c r="AF787" s="241"/>
      <c r="AG787" s="241"/>
      <c r="AH787" s="241"/>
      <c r="AI787" s="241"/>
      <c r="AJ787" s="241"/>
      <c r="AK787" s="241"/>
      <c r="AL787" s="241"/>
      <c r="AM787" s="241"/>
      <c r="AN787" s="241"/>
      <c r="AO787" s="241"/>
      <c r="AP787" s="241"/>
      <c r="AQ787" s="241"/>
      <c r="AR787" s="241"/>
      <c r="AS787" s="241"/>
      <c r="AT787" s="241"/>
      <c r="AU787" s="241"/>
      <c r="AV787" s="241"/>
      <c r="AW787" s="241"/>
      <c r="AX787" s="241"/>
      <c r="AY787" s="241"/>
      <c r="AZ787" s="241"/>
    </row>
    <row r="788" spans="1:52" ht="18" customHeight="1">
      <c r="A788" s="250"/>
      <c r="B788" s="241"/>
      <c r="C788" s="241"/>
      <c r="D788" s="241"/>
      <c r="E788" s="241"/>
      <c r="F788" s="241"/>
      <c r="G788" s="241"/>
      <c r="H788" s="241"/>
      <c r="I788" s="241"/>
      <c r="J788" s="241"/>
      <c r="K788" s="241"/>
      <c r="L788" s="241"/>
      <c r="M788" s="241"/>
      <c r="N788" s="241"/>
      <c r="O788" s="241"/>
      <c r="P788" s="241"/>
      <c r="Q788" s="241"/>
      <c r="R788" s="241"/>
      <c r="S788" s="241"/>
      <c r="T788" s="241"/>
      <c r="U788" s="241"/>
      <c r="V788" s="241"/>
      <c r="W788" s="241"/>
      <c r="X788" s="241"/>
      <c r="Y788" s="241"/>
      <c r="Z788" s="241"/>
      <c r="AA788" s="241"/>
      <c r="AB788" s="241"/>
      <c r="AC788" s="241"/>
      <c r="AD788" s="241"/>
      <c r="AE788" s="241"/>
      <c r="AF788" s="241"/>
      <c r="AG788" s="241"/>
      <c r="AH788" s="241"/>
      <c r="AI788" s="241"/>
      <c r="AJ788" s="241"/>
      <c r="AK788" s="241"/>
      <c r="AL788" s="241"/>
      <c r="AM788" s="241"/>
      <c r="AN788" s="241"/>
      <c r="AO788" s="241"/>
      <c r="AP788" s="241"/>
      <c r="AQ788" s="241"/>
      <c r="AR788" s="241"/>
      <c r="AS788" s="241"/>
      <c r="AT788" s="241"/>
      <c r="AU788" s="241"/>
      <c r="AV788" s="241"/>
      <c r="AW788" s="241"/>
      <c r="AX788" s="241"/>
      <c r="AY788" s="241"/>
      <c r="AZ788" s="241"/>
    </row>
    <row r="789" spans="1:52" ht="18" customHeight="1">
      <c r="A789" s="250"/>
      <c r="B789" s="241"/>
      <c r="C789" s="241"/>
      <c r="D789" s="241"/>
      <c r="E789" s="241"/>
      <c r="F789" s="241"/>
      <c r="G789" s="241"/>
      <c r="H789" s="241"/>
      <c r="I789" s="241"/>
      <c r="J789" s="241"/>
      <c r="K789" s="241"/>
      <c r="L789" s="241"/>
      <c r="M789" s="241"/>
      <c r="N789" s="241"/>
      <c r="O789" s="241"/>
      <c r="P789" s="241"/>
      <c r="Q789" s="241"/>
      <c r="R789" s="241"/>
      <c r="S789" s="241"/>
      <c r="T789" s="241"/>
      <c r="U789" s="241"/>
      <c r="V789" s="241"/>
      <c r="W789" s="241"/>
      <c r="X789" s="241"/>
      <c r="Y789" s="241"/>
      <c r="Z789" s="241"/>
      <c r="AA789" s="241"/>
      <c r="AB789" s="241"/>
      <c r="AC789" s="241"/>
      <c r="AD789" s="241"/>
      <c r="AE789" s="241"/>
      <c r="AF789" s="241"/>
      <c r="AG789" s="241"/>
      <c r="AH789" s="241"/>
      <c r="AI789" s="241"/>
      <c r="AJ789" s="241"/>
      <c r="AK789" s="241"/>
      <c r="AL789" s="241"/>
      <c r="AM789" s="241"/>
      <c r="AN789" s="241"/>
      <c r="AO789" s="241"/>
      <c r="AP789" s="241"/>
      <c r="AQ789" s="241"/>
      <c r="AR789" s="241"/>
      <c r="AS789" s="241"/>
      <c r="AT789" s="241"/>
      <c r="AU789" s="241"/>
      <c r="AV789" s="241"/>
      <c r="AW789" s="241"/>
      <c r="AX789" s="241"/>
      <c r="AY789" s="241"/>
      <c r="AZ789" s="241"/>
    </row>
    <row r="790" spans="1:52" ht="18" customHeight="1">
      <c r="A790" s="250"/>
      <c r="B790" s="241"/>
      <c r="C790" s="241"/>
      <c r="D790" s="241"/>
      <c r="E790" s="241"/>
      <c r="F790" s="241"/>
      <c r="G790" s="241"/>
      <c r="H790" s="241"/>
      <c r="I790" s="241"/>
      <c r="J790" s="241"/>
      <c r="K790" s="241"/>
      <c r="L790" s="241"/>
      <c r="M790" s="241"/>
      <c r="N790" s="241"/>
      <c r="O790" s="241"/>
      <c r="P790" s="241"/>
      <c r="Q790" s="241"/>
      <c r="R790" s="241"/>
      <c r="S790" s="241"/>
      <c r="T790" s="241"/>
      <c r="U790" s="241"/>
      <c r="V790" s="241"/>
      <c r="W790" s="241"/>
      <c r="X790" s="241"/>
      <c r="Y790" s="241"/>
      <c r="Z790" s="241"/>
      <c r="AA790" s="241"/>
      <c r="AB790" s="241"/>
      <c r="AC790" s="241"/>
      <c r="AD790" s="241"/>
      <c r="AE790" s="241"/>
      <c r="AF790" s="241"/>
      <c r="AG790" s="241"/>
      <c r="AH790" s="241"/>
      <c r="AI790" s="241"/>
      <c r="AJ790" s="241"/>
      <c r="AK790" s="241"/>
      <c r="AL790" s="241"/>
      <c r="AM790" s="241"/>
      <c r="AN790" s="241"/>
      <c r="AO790" s="241"/>
      <c r="AP790" s="241"/>
      <c r="AQ790" s="241"/>
      <c r="AR790" s="241"/>
      <c r="AS790" s="241"/>
      <c r="AT790" s="241"/>
      <c r="AU790" s="241"/>
      <c r="AV790" s="241"/>
      <c r="AW790" s="241"/>
      <c r="AX790" s="241"/>
      <c r="AY790" s="241"/>
      <c r="AZ790" s="241"/>
    </row>
    <row r="791" spans="1:52" ht="18" customHeight="1">
      <c r="A791" s="250"/>
      <c r="B791" s="241"/>
      <c r="C791" s="241"/>
      <c r="D791" s="241"/>
      <c r="E791" s="241"/>
      <c r="F791" s="241"/>
      <c r="G791" s="241"/>
      <c r="H791" s="241"/>
      <c r="I791" s="241"/>
      <c r="J791" s="241"/>
      <c r="K791" s="241"/>
      <c r="L791" s="241"/>
      <c r="M791" s="241"/>
      <c r="N791" s="241"/>
      <c r="O791" s="241"/>
      <c r="P791" s="241"/>
      <c r="Q791" s="241"/>
      <c r="R791" s="241"/>
      <c r="S791" s="241"/>
      <c r="T791" s="241"/>
      <c r="U791" s="241"/>
      <c r="V791" s="241"/>
      <c r="W791" s="241"/>
      <c r="X791" s="241"/>
      <c r="Y791" s="241"/>
      <c r="Z791" s="241"/>
      <c r="AA791" s="241"/>
      <c r="AB791" s="241"/>
      <c r="AC791" s="241"/>
      <c r="AD791" s="241"/>
      <c r="AE791" s="241"/>
      <c r="AF791" s="241"/>
      <c r="AG791" s="241"/>
      <c r="AH791" s="241"/>
      <c r="AI791" s="241"/>
      <c r="AJ791" s="241"/>
      <c r="AK791" s="241"/>
      <c r="AL791" s="241"/>
      <c r="AM791" s="241"/>
      <c r="AN791" s="241"/>
      <c r="AO791" s="241"/>
      <c r="AP791" s="241"/>
      <c r="AQ791" s="241"/>
      <c r="AR791" s="241"/>
      <c r="AS791" s="241"/>
      <c r="AT791" s="241"/>
      <c r="AU791" s="241"/>
      <c r="AV791" s="241"/>
      <c r="AW791" s="241"/>
      <c r="AX791" s="241"/>
      <c r="AY791" s="241"/>
      <c r="AZ791" s="241"/>
    </row>
    <row r="792" spans="1:52" ht="18" customHeight="1">
      <c r="A792" s="250"/>
      <c r="B792" s="241"/>
      <c r="C792" s="241"/>
      <c r="D792" s="241"/>
      <c r="E792" s="241"/>
      <c r="F792" s="241"/>
      <c r="G792" s="241"/>
      <c r="H792" s="241"/>
      <c r="I792" s="241"/>
      <c r="J792" s="241"/>
      <c r="K792" s="241"/>
      <c r="L792" s="241"/>
      <c r="M792" s="241"/>
      <c r="N792" s="241"/>
      <c r="O792" s="241"/>
      <c r="P792" s="241"/>
      <c r="Q792" s="241"/>
      <c r="R792" s="241"/>
      <c r="S792" s="241"/>
      <c r="T792" s="241"/>
      <c r="U792" s="241"/>
      <c r="V792" s="241"/>
      <c r="W792" s="241"/>
      <c r="X792" s="241"/>
      <c r="Y792" s="241"/>
      <c r="Z792" s="241"/>
      <c r="AA792" s="241"/>
      <c r="AB792" s="241"/>
      <c r="AC792" s="241"/>
      <c r="AD792" s="241"/>
      <c r="AE792" s="241"/>
      <c r="AF792" s="241"/>
      <c r="AG792" s="241"/>
      <c r="AH792" s="241"/>
      <c r="AI792" s="241"/>
      <c r="AJ792" s="241"/>
      <c r="AK792" s="241"/>
      <c r="AL792" s="241"/>
      <c r="AM792" s="241"/>
      <c r="AN792" s="241"/>
      <c r="AO792" s="241"/>
      <c r="AP792" s="241"/>
      <c r="AQ792" s="241"/>
      <c r="AR792" s="241"/>
      <c r="AS792" s="241"/>
      <c r="AT792" s="241"/>
      <c r="AU792" s="241"/>
      <c r="AV792" s="241"/>
      <c r="AW792" s="241"/>
      <c r="AX792" s="241"/>
      <c r="AY792" s="241"/>
      <c r="AZ792" s="241"/>
    </row>
    <row r="793" spans="1:52" ht="18" customHeight="1">
      <c r="A793" s="250"/>
      <c r="B793" s="241"/>
      <c r="C793" s="241"/>
      <c r="D793" s="241"/>
      <c r="E793" s="241"/>
      <c r="F793" s="241"/>
      <c r="G793" s="241"/>
      <c r="H793" s="241"/>
      <c r="I793" s="241"/>
      <c r="J793" s="241"/>
      <c r="K793" s="241"/>
      <c r="L793" s="241"/>
      <c r="M793" s="241"/>
      <c r="N793" s="241"/>
      <c r="O793" s="241"/>
      <c r="P793" s="241"/>
      <c r="Q793" s="241"/>
      <c r="R793" s="241"/>
      <c r="S793" s="241"/>
      <c r="T793" s="241"/>
      <c r="U793" s="241"/>
      <c r="V793" s="241"/>
      <c r="W793" s="241"/>
      <c r="X793" s="241"/>
      <c r="Y793" s="241"/>
      <c r="Z793" s="241"/>
      <c r="AA793" s="241"/>
      <c r="AB793" s="241"/>
      <c r="AC793" s="241"/>
      <c r="AD793" s="241"/>
      <c r="AE793" s="241"/>
      <c r="AF793" s="241"/>
      <c r="AG793" s="241"/>
      <c r="AH793" s="241"/>
      <c r="AI793" s="241"/>
      <c r="AJ793" s="241"/>
      <c r="AK793" s="241"/>
      <c r="AL793" s="241"/>
      <c r="AM793" s="241"/>
      <c r="AN793" s="241"/>
      <c r="AO793" s="241"/>
      <c r="AP793" s="241"/>
      <c r="AQ793" s="241"/>
      <c r="AR793" s="241"/>
      <c r="AS793" s="241"/>
      <c r="AT793" s="241"/>
      <c r="AU793" s="241"/>
      <c r="AV793" s="241"/>
      <c r="AW793" s="241"/>
      <c r="AX793" s="241"/>
      <c r="AY793" s="241"/>
      <c r="AZ793" s="241"/>
    </row>
    <row r="794" spans="1:52" ht="18" customHeight="1">
      <c r="A794" s="250"/>
      <c r="B794" s="241"/>
      <c r="C794" s="241"/>
      <c r="D794" s="241"/>
      <c r="E794" s="241"/>
      <c r="F794" s="241"/>
      <c r="G794" s="241"/>
      <c r="H794" s="241"/>
      <c r="I794" s="241"/>
      <c r="J794" s="241"/>
      <c r="K794" s="241"/>
      <c r="L794" s="241"/>
      <c r="M794" s="241"/>
      <c r="N794" s="241"/>
      <c r="O794" s="241"/>
      <c r="P794" s="241"/>
      <c r="Q794" s="241"/>
      <c r="R794" s="241"/>
      <c r="S794" s="241"/>
      <c r="T794" s="241"/>
      <c r="U794" s="241"/>
      <c r="V794" s="241"/>
      <c r="W794" s="241"/>
      <c r="X794" s="241"/>
      <c r="Y794" s="241"/>
      <c r="Z794" s="241"/>
      <c r="AA794" s="241"/>
      <c r="AB794" s="241"/>
      <c r="AC794" s="241"/>
      <c r="AD794" s="241"/>
      <c r="AE794" s="241"/>
      <c r="AF794" s="241"/>
      <c r="AG794" s="241"/>
      <c r="AH794" s="241"/>
      <c r="AI794" s="241"/>
      <c r="AJ794" s="241"/>
      <c r="AK794" s="241"/>
      <c r="AL794" s="241"/>
      <c r="AM794" s="241"/>
      <c r="AN794" s="241"/>
      <c r="AO794" s="241"/>
      <c r="AP794" s="241"/>
      <c r="AQ794" s="241"/>
      <c r="AR794" s="241"/>
      <c r="AS794" s="241"/>
      <c r="AT794" s="241"/>
      <c r="AU794" s="241"/>
      <c r="AV794" s="241"/>
      <c r="AW794" s="241"/>
      <c r="AX794" s="241"/>
      <c r="AY794" s="241"/>
      <c r="AZ794" s="241"/>
    </row>
    <row r="795" spans="1:52" ht="18" customHeight="1">
      <c r="A795" s="250"/>
      <c r="B795" s="241"/>
      <c r="C795" s="241"/>
      <c r="D795" s="241"/>
      <c r="E795" s="241"/>
      <c r="F795" s="241"/>
      <c r="G795" s="241"/>
      <c r="H795" s="241"/>
      <c r="I795" s="241"/>
      <c r="J795" s="241"/>
      <c r="K795" s="241"/>
      <c r="L795" s="241"/>
      <c r="M795" s="241"/>
      <c r="N795" s="241"/>
      <c r="O795" s="241"/>
      <c r="P795" s="241"/>
      <c r="Q795" s="241"/>
      <c r="R795" s="241"/>
      <c r="S795" s="241"/>
      <c r="T795" s="241"/>
      <c r="U795" s="241"/>
      <c r="V795" s="241"/>
      <c r="W795" s="241"/>
      <c r="X795" s="241"/>
      <c r="Y795" s="241"/>
      <c r="Z795" s="241"/>
      <c r="AA795" s="241"/>
      <c r="AB795" s="241"/>
      <c r="AC795" s="241"/>
      <c r="AD795" s="241"/>
      <c r="AE795" s="241"/>
      <c r="AF795" s="241"/>
      <c r="AG795" s="241"/>
      <c r="AH795" s="241"/>
      <c r="AI795" s="241"/>
      <c r="AJ795" s="241"/>
      <c r="AK795" s="241"/>
      <c r="AL795" s="241"/>
      <c r="AM795" s="241"/>
      <c r="AN795" s="241"/>
      <c r="AO795" s="241"/>
      <c r="AP795" s="241"/>
      <c r="AQ795" s="241"/>
      <c r="AR795" s="241"/>
      <c r="AS795" s="241"/>
      <c r="AT795" s="241"/>
      <c r="AU795" s="241"/>
      <c r="AV795" s="241"/>
      <c r="AW795" s="241"/>
      <c r="AX795" s="241"/>
      <c r="AY795" s="241"/>
      <c r="AZ795" s="241"/>
    </row>
    <row r="796" spans="1:52" ht="18" customHeight="1">
      <c r="A796" s="250"/>
      <c r="B796" s="241"/>
      <c r="C796" s="241"/>
      <c r="D796" s="241"/>
      <c r="E796" s="241"/>
      <c r="F796" s="241"/>
      <c r="G796" s="241"/>
      <c r="H796" s="241"/>
      <c r="I796" s="241"/>
      <c r="J796" s="241"/>
      <c r="K796" s="241"/>
      <c r="L796" s="241"/>
      <c r="M796" s="241"/>
      <c r="N796" s="241"/>
      <c r="O796" s="241"/>
      <c r="P796" s="241"/>
      <c r="Q796" s="241"/>
      <c r="R796" s="241"/>
      <c r="S796" s="241"/>
      <c r="T796" s="241"/>
      <c r="U796" s="241"/>
      <c r="V796" s="241"/>
      <c r="W796" s="241"/>
      <c r="X796" s="241"/>
      <c r="Y796" s="241"/>
      <c r="Z796" s="241"/>
      <c r="AA796" s="241"/>
      <c r="AB796" s="241"/>
      <c r="AC796" s="241"/>
      <c r="AD796" s="241"/>
      <c r="AE796" s="241"/>
      <c r="AF796" s="241"/>
      <c r="AG796" s="241"/>
      <c r="AH796" s="241"/>
      <c r="AI796" s="241"/>
      <c r="AJ796" s="241"/>
      <c r="AK796" s="241"/>
      <c r="AL796" s="241"/>
      <c r="AM796" s="241"/>
      <c r="AN796" s="241"/>
      <c r="AO796" s="241"/>
      <c r="AP796" s="241"/>
      <c r="AQ796" s="241"/>
      <c r="AR796" s="241"/>
      <c r="AS796" s="241"/>
      <c r="AT796" s="241"/>
      <c r="AU796" s="241"/>
      <c r="AV796" s="241"/>
      <c r="AW796" s="241"/>
      <c r="AX796" s="241"/>
      <c r="AY796" s="241"/>
      <c r="AZ796" s="241"/>
    </row>
    <row r="797" spans="1:52" ht="18" customHeight="1">
      <c r="A797" s="250"/>
      <c r="B797" s="241"/>
      <c r="C797" s="241"/>
      <c r="D797" s="241"/>
      <c r="E797" s="241"/>
      <c r="F797" s="241"/>
      <c r="G797" s="241"/>
      <c r="H797" s="241"/>
      <c r="I797" s="241"/>
      <c r="J797" s="241"/>
      <c r="K797" s="241"/>
      <c r="L797" s="241"/>
      <c r="M797" s="241"/>
      <c r="N797" s="241"/>
      <c r="O797" s="241"/>
      <c r="P797" s="241"/>
      <c r="Q797" s="241"/>
      <c r="R797" s="241"/>
      <c r="S797" s="241"/>
      <c r="T797" s="241"/>
      <c r="U797" s="241"/>
      <c r="V797" s="241"/>
      <c r="W797" s="241"/>
      <c r="X797" s="241"/>
      <c r="Y797" s="241"/>
      <c r="Z797" s="241"/>
      <c r="AA797" s="241"/>
      <c r="AB797" s="241"/>
      <c r="AC797" s="241"/>
      <c r="AD797" s="241"/>
      <c r="AE797" s="241"/>
      <c r="AF797" s="241"/>
      <c r="AG797" s="241"/>
      <c r="AH797" s="241"/>
      <c r="AI797" s="241"/>
      <c r="AJ797" s="241"/>
      <c r="AK797" s="241"/>
      <c r="AL797" s="241"/>
      <c r="AM797" s="241"/>
      <c r="AN797" s="241"/>
      <c r="AO797" s="241"/>
      <c r="AP797" s="241"/>
      <c r="AQ797" s="241"/>
      <c r="AR797" s="241"/>
      <c r="AS797" s="241"/>
      <c r="AT797" s="241"/>
      <c r="AU797" s="241"/>
      <c r="AV797" s="241"/>
      <c r="AW797" s="241"/>
      <c r="AX797" s="241"/>
      <c r="AY797" s="241"/>
      <c r="AZ797" s="241"/>
    </row>
    <row r="798" spans="1:52" ht="18" customHeight="1">
      <c r="A798" s="250"/>
      <c r="B798" s="241"/>
      <c r="C798" s="241"/>
      <c r="D798" s="241"/>
      <c r="E798" s="241"/>
      <c r="F798" s="241"/>
      <c r="G798" s="241"/>
      <c r="H798" s="241"/>
      <c r="I798" s="241"/>
      <c r="J798" s="241"/>
      <c r="K798" s="241"/>
      <c r="L798" s="241"/>
      <c r="M798" s="241"/>
      <c r="N798" s="241"/>
      <c r="O798" s="241"/>
      <c r="P798" s="241"/>
      <c r="Q798" s="241"/>
      <c r="R798" s="241"/>
      <c r="S798" s="241"/>
      <c r="T798" s="241"/>
      <c r="U798" s="241"/>
      <c r="V798" s="241"/>
      <c r="W798" s="241"/>
      <c r="X798" s="241"/>
      <c r="Y798" s="241"/>
      <c r="Z798" s="241"/>
      <c r="AA798" s="241"/>
      <c r="AB798" s="241"/>
      <c r="AC798" s="241"/>
      <c r="AD798" s="241"/>
      <c r="AE798" s="241"/>
      <c r="AF798" s="241"/>
      <c r="AG798" s="241"/>
      <c r="AH798" s="241"/>
      <c r="AI798" s="241"/>
      <c r="AJ798" s="241"/>
      <c r="AK798" s="241"/>
      <c r="AL798" s="241"/>
      <c r="AM798" s="241"/>
      <c r="AN798" s="241"/>
      <c r="AO798" s="241"/>
      <c r="AP798" s="241"/>
      <c r="AQ798" s="241"/>
      <c r="AR798" s="241"/>
      <c r="AS798" s="241"/>
      <c r="AT798" s="241"/>
      <c r="AU798" s="241"/>
      <c r="AV798" s="241"/>
      <c r="AW798" s="241"/>
      <c r="AX798" s="241"/>
      <c r="AY798" s="241"/>
      <c r="AZ798" s="241"/>
    </row>
    <row r="799" spans="1:52" ht="18" customHeight="1">
      <c r="A799" s="250"/>
      <c r="B799" s="241"/>
      <c r="C799" s="241"/>
      <c r="D799" s="241"/>
      <c r="E799" s="241"/>
      <c r="F799" s="241"/>
      <c r="G799" s="241"/>
      <c r="H799" s="241"/>
      <c r="I799" s="241"/>
      <c r="J799" s="241"/>
      <c r="K799" s="241"/>
      <c r="L799" s="241"/>
      <c r="M799" s="241"/>
      <c r="N799" s="241"/>
      <c r="O799" s="241"/>
      <c r="P799" s="241"/>
      <c r="Q799" s="241"/>
      <c r="R799" s="241"/>
      <c r="S799" s="241"/>
      <c r="T799" s="241"/>
      <c r="U799" s="241"/>
      <c r="V799" s="241"/>
      <c r="W799" s="241"/>
      <c r="X799" s="241"/>
      <c r="Y799" s="241"/>
      <c r="Z799" s="241"/>
      <c r="AA799" s="241"/>
      <c r="AB799" s="241"/>
      <c r="AC799" s="241"/>
      <c r="AD799" s="241"/>
      <c r="AE799" s="241"/>
      <c r="AF799" s="241"/>
      <c r="AG799" s="241"/>
      <c r="AH799" s="241"/>
      <c r="AI799" s="241"/>
      <c r="AJ799" s="241"/>
      <c r="AK799" s="241"/>
      <c r="AL799" s="241"/>
      <c r="AM799" s="241"/>
      <c r="AN799" s="241"/>
      <c r="AO799" s="241"/>
      <c r="AP799" s="241"/>
      <c r="AQ799" s="241"/>
      <c r="AR799" s="241"/>
      <c r="AS799" s="241"/>
      <c r="AT799" s="241"/>
      <c r="AU799" s="241"/>
      <c r="AV799" s="241"/>
      <c r="AW799" s="241"/>
      <c r="AX799" s="241"/>
      <c r="AY799" s="241"/>
      <c r="AZ799" s="241"/>
    </row>
    <row r="800" spans="1:52" ht="18" customHeight="1">
      <c r="A800" s="250"/>
      <c r="B800" s="241"/>
      <c r="C800" s="241"/>
      <c r="D800" s="241"/>
      <c r="E800" s="241"/>
      <c r="F800" s="241"/>
      <c r="G800" s="241"/>
      <c r="H800" s="241"/>
      <c r="I800" s="241"/>
      <c r="J800" s="241"/>
      <c r="K800" s="241"/>
      <c r="L800" s="241"/>
      <c r="M800" s="241"/>
      <c r="N800" s="241"/>
      <c r="O800" s="241"/>
      <c r="P800" s="241"/>
      <c r="Q800" s="241"/>
      <c r="R800" s="241"/>
      <c r="S800" s="241"/>
      <c r="T800" s="241"/>
      <c r="U800" s="241"/>
      <c r="V800" s="241"/>
      <c r="W800" s="241"/>
      <c r="X800" s="241"/>
      <c r="Y800" s="241"/>
      <c r="Z800" s="241"/>
      <c r="AA800" s="241"/>
      <c r="AB800" s="241"/>
      <c r="AC800" s="241"/>
      <c r="AD800" s="241"/>
      <c r="AE800" s="241"/>
      <c r="AF800" s="241"/>
      <c r="AG800" s="241"/>
      <c r="AH800" s="241"/>
      <c r="AI800" s="241"/>
      <c r="AJ800" s="241"/>
      <c r="AK800" s="241"/>
      <c r="AL800" s="241"/>
      <c r="AM800" s="241"/>
      <c r="AN800" s="241"/>
      <c r="AO800" s="241"/>
      <c r="AP800" s="241"/>
      <c r="AQ800" s="241"/>
      <c r="AR800" s="241"/>
      <c r="AS800" s="241"/>
      <c r="AT800" s="241"/>
      <c r="AU800" s="241"/>
      <c r="AV800" s="241"/>
      <c r="AW800" s="241"/>
      <c r="AX800" s="241"/>
      <c r="AY800" s="241"/>
      <c r="AZ800" s="241"/>
    </row>
    <row r="801" spans="1:52" ht="18" customHeight="1">
      <c r="A801" s="250"/>
      <c r="B801" s="241"/>
      <c r="C801" s="241"/>
      <c r="D801" s="241"/>
      <c r="E801" s="241"/>
      <c r="F801" s="241"/>
      <c r="G801" s="241"/>
      <c r="H801" s="241"/>
      <c r="I801" s="241"/>
      <c r="J801" s="241"/>
      <c r="K801" s="241"/>
      <c r="L801" s="241"/>
      <c r="M801" s="241"/>
      <c r="N801" s="241"/>
      <c r="O801" s="241"/>
      <c r="P801" s="241"/>
      <c r="Q801" s="241"/>
      <c r="R801" s="241"/>
      <c r="S801" s="241"/>
      <c r="T801" s="241"/>
      <c r="U801" s="241"/>
      <c r="V801" s="241"/>
      <c r="W801" s="241"/>
      <c r="X801" s="241"/>
      <c r="Y801" s="241"/>
      <c r="Z801" s="241"/>
      <c r="AA801" s="241"/>
      <c r="AB801" s="241"/>
      <c r="AC801" s="241"/>
      <c r="AD801" s="241"/>
      <c r="AE801" s="241"/>
      <c r="AF801" s="241"/>
      <c r="AG801" s="241"/>
      <c r="AH801" s="241"/>
      <c r="AI801" s="241"/>
      <c r="AJ801" s="241"/>
      <c r="AK801" s="241"/>
      <c r="AL801" s="241"/>
      <c r="AM801" s="241"/>
      <c r="AN801" s="241"/>
      <c r="AO801" s="241"/>
      <c r="AP801" s="241"/>
      <c r="AQ801" s="241"/>
      <c r="AR801" s="241"/>
      <c r="AS801" s="241"/>
      <c r="AT801" s="241"/>
      <c r="AU801" s="241"/>
      <c r="AV801" s="241"/>
      <c r="AW801" s="241"/>
      <c r="AX801" s="241"/>
      <c r="AY801" s="241"/>
      <c r="AZ801" s="241"/>
    </row>
    <row r="802" spans="1:52" ht="18" customHeight="1">
      <c r="A802" s="250"/>
      <c r="B802" s="241"/>
      <c r="C802" s="241"/>
      <c r="D802" s="241"/>
      <c r="E802" s="241"/>
      <c r="F802" s="241"/>
      <c r="G802" s="241"/>
      <c r="H802" s="241"/>
      <c r="I802" s="241"/>
      <c r="J802" s="241"/>
      <c r="K802" s="241"/>
      <c r="L802" s="241"/>
      <c r="M802" s="241"/>
      <c r="N802" s="241"/>
      <c r="O802" s="241"/>
      <c r="P802" s="241"/>
      <c r="Q802" s="241"/>
      <c r="R802" s="241"/>
      <c r="S802" s="241"/>
      <c r="T802" s="241"/>
      <c r="U802" s="241"/>
      <c r="V802" s="241"/>
      <c r="W802" s="241"/>
      <c r="X802" s="241"/>
      <c r="Y802" s="241"/>
      <c r="Z802" s="241"/>
      <c r="AA802" s="241"/>
      <c r="AB802" s="241"/>
      <c r="AC802" s="241"/>
      <c r="AD802" s="241"/>
      <c r="AE802" s="241"/>
      <c r="AF802" s="241"/>
      <c r="AG802" s="241"/>
      <c r="AH802" s="241"/>
      <c r="AI802" s="241"/>
      <c r="AJ802" s="241"/>
      <c r="AK802" s="241"/>
      <c r="AL802" s="241"/>
      <c r="AM802" s="241"/>
      <c r="AN802" s="241"/>
      <c r="AO802" s="241"/>
      <c r="AP802" s="241"/>
      <c r="AQ802" s="241"/>
      <c r="AR802" s="241"/>
      <c r="AS802" s="241"/>
      <c r="AT802" s="241"/>
      <c r="AU802" s="241"/>
      <c r="AV802" s="241"/>
      <c r="AW802" s="241"/>
      <c r="AX802" s="241"/>
      <c r="AY802" s="241"/>
      <c r="AZ802" s="241"/>
    </row>
    <row r="803" spans="1:52" ht="18" customHeight="1">
      <c r="A803" s="250"/>
      <c r="B803" s="241"/>
      <c r="C803" s="241"/>
      <c r="D803" s="241"/>
      <c r="E803" s="241"/>
      <c r="F803" s="241"/>
      <c r="G803" s="241"/>
      <c r="H803" s="241"/>
      <c r="I803" s="241"/>
      <c r="J803" s="241"/>
      <c r="K803" s="241"/>
      <c r="L803" s="241"/>
      <c r="M803" s="241"/>
      <c r="N803" s="241"/>
      <c r="O803" s="241"/>
      <c r="P803" s="241"/>
      <c r="Q803" s="241"/>
      <c r="R803" s="241"/>
      <c r="S803" s="241"/>
      <c r="T803" s="241"/>
      <c r="U803" s="241"/>
      <c r="V803" s="241"/>
      <c r="W803" s="241"/>
      <c r="X803" s="241"/>
      <c r="Y803" s="241"/>
      <c r="Z803" s="241"/>
      <c r="AA803" s="241"/>
      <c r="AB803" s="241"/>
      <c r="AC803" s="241"/>
      <c r="AD803" s="241"/>
      <c r="AE803" s="241"/>
      <c r="AF803" s="241"/>
      <c r="AG803" s="241"/>
      <c r="AH803" s="241"/>
      <c r="AI803" s="241"/>
      <c r="AJ803" s="241"/>
      <c r="AK803" s="241"/>
      <c r="AL803" s="241"/>
      <c r="AM803" s="241"/>
      <c r="AN803" s="241"/>
      <c r="AO803" s="241"/>
      <c r="AP803" s="241"/>
      <c r="AQ803" s="241"/>
      <c r="AR803" s="241"/>
      <c r="AS803" s="241"/>
      <c r="AT803" s="241"/>
      <c r="AU803" s="241"/>
      <c r="AV803" s="241"/>
      <c r="AW803" s="241"/>
      <c r="AX803" s="241"/>
      <c r="AY803" s="241"/>
      <c r="AZ803" s="241"/>
    </row>
    <row r="804" spans="1:52" ht="18" customHeight="1">
      <c r="A804" s="250"/>
      <c r="B804" s="241"/>
      <c r="C804" s="241"/>
      <c r="D804" s="241"/>
      <c r="E804" s="241"/>
      <c r="F804" s="241"/>
      <c r="G804" s="241"/>
      <c r="H804" s="241"/>
      <c r="I804" s="241"/>
      <c r="J804" s="241"/>
      <c r="K804" s="241"/>
      <c r="L804" s="241"/>
      <c r="M804" s="241"/>
      <c r="N804" s="241"/>
      <c r="O804" s="241"/>
      <c r="P804" s="241"/>
      <c r="Q804" s="241"/>
      <c r="R804" s="241"/>
      <c r="S804" s="241"/>
      <c r="T804" s="241"/>
      <c r="U804" s="241"/>
      <c r="V804" s="241"/>
      <c r="W804" s="241"/>
      <c r="X804" s="241"/>
      <c r="Y804" s="241"/>
      <c r="Z804" s="241"/>
      <c r="AA804" s="241"/>
      <c r="AB804" s="241"/>
      <c r="AC804" s="241"/>
      <c r="AD804" s="241"/>
      <c r="AE804" s="241"/>
      <c r="AF804" s="241"/>
      <c r="AG804" s="241"/>
      <c r="AH804" s="241"/>
      <c r="AI804" s="241"/>
      <c r="AJ804" s="241"/>
      <c r="AK804" s="241"/>
      <c r="AL804" s="241"/>
      <c r="AM804" s="241"/>
      <c r="AN804" s="241"/>
      <c r="AO804" s="241"/>
      <c r="AP804" s="241"/>
      <c r="AQ804" s="241"/>
      <c r="AR804" s="241"/>
      <c r="AS804" s="241"/>
      <c r="AT804" s="241"/>
      <c r="AU804" s="241"/>
      <c r="AV804" s="241"/>
      <c r="AW804" s="241"/>
      <c r="AX804" s="241"/>
      <c r="AY804" s="241"/>
      <c r="AZ804" s="241"/>
    </row>
    <row r="805" spans="1:52" ht="18" customHeight="1">
      <c r="A805" s="250"/>
      <c r="B805" s="241"/>
      <c r="C805" s="241"/>
      <c r="D805" s="241"/>
      <c r="E805" s="241"/>
      <c r="F805" s="241"/>
      <c r="G805" s="241"/>
      <c r="H805" s="241"/>
      <c r="I805" s="241"/>
      <c r="J805" s="241"/>
      <c r="K805" s="241"/>
      <c r="L805" s="241"/>
      <c r="M805" s="241"/>
      <c r="N805" s="241"/>
      <c r="O805" s="241"/>
      <c r="P805" s="241"/>
      <c r="Q805" s="241"/>
      <c r="R805" s="241"/>
      <c r="S805" s="241"/>
      <c r="T805" s="241"/>
      <c r="U805" s="241"/>
      <c r="V805" s="241"/>
      <c r="W805" s="241"/>
      <c r="X805" s="241"/>
      <c r="Y805" s="241"/>
      <c r="Z805" s="241"/>
      <c r="AA805" s="241"/>
      <c r="AB805" s="241"/>
      <c r="AC805" s="241"/>
      <c r="AD805" s="241"/>
      <c r="AE805" s="241"/>
      <c r="AF805" s="241"/>
      <c r="AG805" s="241"/>
      <c r="AH805" s="241"/>
      <c r="AI805" s="241"/>
      <c r="AJ805" s="241"/>
      <c r="AK805" s="241"/>
      <c r="AL805" s="241"/>
      <c r="AM805" s="241"/>
      <c r="AN805" s="241"/>
      <c r="AO805" s="241"/>
      <c r="AP805" s="241"/>
      <c r="AQ805" s="241"/>
      <c r="AR805" s="241"/>
      <c r="AS805" s="241"/>
      <c r="AT805" s="241"/>
      <c r="AU805" s="241"/>
      <c r="AV805" s="241"/>
      <c r="AW805" s="241"/>
      <c r="AX805" s="241"/>
      <c r="AY805" s="241"/>
      <c r="AZ805" s="241"/>
    </row>
    <row r="806" spans="1:52" ht="18" customHeight="1">
      <c r="A806" s="250"/>
      <c r="B806" s="241"/>
      <c r="C806" s="241"/>
      <c r="D806" s="241"/>
      <c r="E806" s="241"/>
      <c r="F806" s="241"/>
      <c r="G806" s="241"/>
      <c r="H806" s="241"/>
      <c r="I806" s="241"/>
      <c r="J806" s="241"/>
      <c r="K806" s="241"/>
      <c r="L806" s="241"/>
      <c r="M806" s="241"/>
      <c r="N806" s="241"/>
      <c r="O806" s="241"/>
      <c r="P806" s="241"/>
      <c r="Q806" s="241"/>
      <c r="R806" s="241"/>
      <c r="S806" s="241"/>
      <c r="T806" s="241"/>
      <c r="U806" s="241"/>
      <c r="V806" s="241"/>
      <c r="W806" s="241"/>
      <c r="X806" s="241"/>
      <c r="Y806" s="241"/>
      <c r="Z806" s="241"/>
      <c r="AA806" s="241"/>
      <c r="AB806" s="241"/>
      <c r="AC806" s="241"/>
      <c r="AD806" s="241"/>
      <c r="AE806" s="241"/>
      <c r="AF806" s="241"/>
      <c r="AG806" s="241"/>
      <c r="AH806" s="241"/>
      <c r="AI806" s="241"/>
      <c r="AJ806" s="241"/>
      <c r="AK806" s="241"/>
      <c r="AL806" s="241"/>
      <c r="AM806" s="241"/>
      <c r="AN806" s="241"/>
      <c r="AO806" s="241"/>
      <c r="AP806" s="241"/>
      <c r="AQ806" s="241"/>
      <c r="AR806" s="241"/>
      <c r="AS806" s="241"/>
      <c r="AT806" s="241"/>
      <c r="AU806" s="241"/>
      <c r="AV806" s="241"/>
      <c r="AW806" s="241"/>
      <c r="AX806" s="241"/>
      <c r="AY806" s="241"/>
      <c r="AZ806" s="241"/>
    </row>
    <row r="807" spans="1:52" ht="18" customHeight="1">
      <c r="A807" s="250"/>
      <c r="B807" s="241"/>
      <c r="C807" s="241"/>
      <c r="D807" s="241"/>
      <c r="E807" s="241"/>
      <c r="F807" s="241"/>
      <c r="G807" s="241"/>
      <c r="H807" s="241"/>
      <c r="I807" s="241"/>
      <c r="J807" s="241"/>
      <c r="K807" s="241"/>
      <c r="L807" s="241"/>
      <c r="M807" s="241"/>
      <c r="N807" s="241"/>
      <c r="O807" s="241"/>
      <c r="P807" s="241"/>
      <c r="Q807" s="241"/>
      <c r="R807" s="241"/>
      <c r="S807" s="241"/>
      <c r="T807" s="241"/>
      <c r="U807" s="241"/>
      <c r="V807" s="241"/>
      <c r="W807" s="241"/>
      <c r="X807" s="241"/>
      <c r="Y807" s="241"/>
      <c r="Z807" s="241"/>
      <c r="AA807" s="241"/>
      <c r="AB807" s="241"/>
      <c r="AC807" s="241"/>
      <c r="AD807" s="241"/>
      <c r="AE807" s="241"/>
      <c r="AF807" s="241"/>
      <c r="AG807" s="241"/>
      <c r="AH807" s="241"/>
      <c r="AI807" s="241"/>
      <c r="AJ807" s="241"/>
      <c r="AK807" s="241"/>
      <c r="AL807" s="241"/>
      <c r="AM807" s="241"/>
      <c r="AN807" s="241"/>
      <c r="AO807" s="241"/>
      <c r="AP807" s="241"/>
      <c r="AQ807" s="241"/>
      <c r="AR807" s="241"/>
      <c r="AS807" s="241"/>
      <c r="AT807" s="241"/>
      <c r="AU807" s="241"/>
      <c r="AV807" s="241"/>
      <c r="AW807" s="241"/>
      <c r="AX807" s="241"/>
      <c r="AY807" s="241"/>
      <c r="AZ807" s="241"/>
    </row>
    <row r="808" spans="1:52" ht="18" customHeight="1">
      <c r="A808" s="250"/>
      <c r="B808" s="241"/>
      <c r="C808" s="241"/>
      <c r="D808" s="241"/>
      <c r="E808" s="241"/>
      <c r="F808" s="241"/>
      <c r="G808" s="241"/>
      <c r="H808" s="241"/>
      <c r="I808" s="241"/>
      <c r="J808" s="241"/>
      <c r="K808" s="241"/>
      <c r="L808" s="241"/>
      <c r="M808" s="241"/>
      <c r="N808" s="241"/>
      <c r="O808" s="241"/>
      <c r="P808" s="241"/>
      <c r="Q808" s="241"/>
      <c r="R808" s="241"/>
      <c r="S808" s="241"/>
      <c r="T808" s="241"/>
      <c r="U808" s="241"/>
      <c r="V808" s="241"/>
      <c r="W808" s="241"/>
      <c r="X808" s="241"/>
      <c r="Y808" s="241"/>
      <c r="Z808" s="241"/>
      <c r="AA808" s="241"/>
      <c r="AB808" s="241"/>
      <c r="AC808" s="241"/>
      <c r="AD808" s="241"/>
      <c r="AE808" s="241"/>
      <c r="AF808" s="241"/>
      <c r="AG808" s="241"/>
      <c r="AH808" s="241"/>
      <c r="AI808" s="241"/>
      <c r="AJ808" s="241"/>
      <c r="AK808" s="241"/>
      <c r="AL808" s="241"/>
      <c r="AM808" s="241"/>
      <c r="AN808" s="241"/>
      <c r="AO808" s="241"/>
      <c r="AP808" s="241"/>
      <c r="AQ808" s="241"/>
      <c r="AR808" s="241"/>
      <c r="AS808" s="241"/>
      <c r="AT808" s="241"/>
      <c r="AU808" s="241"/>
      <c r="AV808" s="241"/>
      <c r="AW808" s="241"/>
      <c r="AX808" s="241"/>
      <c r="AY808" s="241"/>
      <c r="AZ808" s="241"/>
    </row>
    <row r="809" spans="1:52" ht="18" customHeight="1">
      <c r="A809" s="250"/>
      <c r="B809" s="241"/>
      <c r="C809" s="241"/>
      <c r="D809" s="241"/>
      <c r="E809" s="241"/>
      <c r="F809" s="241"/>
      <c r="G809" s="241"/>
      <c r="H809" s="241"/>
      <c r="I809" s="241"/>
      <c r="J809" s="241"/>
      <c r="K809" s="241"/>
      <c r="L809" s="241"/>
      <c r="M809" s="241"/>
      <c r="N809" s="241"/>
      <c r="O809" s="241"/>
      <c r="P809" s="241"/>
      <c r="Q809" s="241"/>
      <c r="R809" s="241"/>
      <c r="S809" s="241"/>
      <c r="T809" s="241"/>
      <c r="U809" s="241"/>
      <c r="V809" s="241"/>
      <c r="W809" s="241"/>
      <c r="X809" s="241"/>
      <c r="Y809" s="241"/>
      <c r="Z809" s="241"/>
      <c r="AA809" s="241"/>
      <c r="AB809" s="241"/>
      <c r="AC809" s="241"/>
      <c r="AD809" s="241"/>
      <c r="AE809" s="241"/>
      <c r="AF809" s="241"/>
      <c r="AG809" s="241"/>
      <c r="AH809" s="241"/>
      <c r="AI809" s="241"/>
      <c r="AJ809" s="241"/>
      <c r="AK809" s="241"/>
      <c r="AL809" s="241"/>
      <c r="AM809" s="241"/>
      <c r="AN809" s="241"/>
      <c r="AO809" s="241"/>
      <c r="AP809" s="241"/>
      <c r="AQ809" s="241"/>
      <c r="AR809" s="241"/>
      <c r="AS809" s="241"/>
      <c r="AT809" s="241"/>
      <c r="AU809" s="241"/>
      <c r="AV809" s="241"/>
      <c r="AW809" s="241"/>
      <c r="AX809" s="241"/>
      <c r="AY809" s="241"/>
      <c r="AZ809" s="241"/>
    </row>
    <row r="810" spans="1:52" ht="18" customHeight="1">
      <c r="A810" s="250"/>
      <c r="B810" s="241"/>
      <c r="C810" s="241"/>
      <c r="D810" s="241"/>
      <c r="E810" s="241"/>
      <c r="F810" s="241"/>
      <c r="G810" s="241"/>
      <c r="H810" s="241"/>
      <c r="I810" s="241"/>
      <c r="J810" s="241"/>
      <c r="K810" s="241"/>
      <c r="L810" s="241"/>
      <c r="M810" s="241"/>
      <c r="N810" s="241"/>
      <c r="O810" s="241"/>
      <c r="P810" s="241"/>
      <c r="Q810" s="241"/>
      <c r="R810" s="241"/>
      <c r="S810" s="241"/>
      <c r="T810" s="241"/>
      <c r="U810" s="241"/>
      <c r="V810" s="241"/>
      <c r="W810" s="241"/>
      <c r="X810" s="241"/>
      <c r="Y810" s="241"/>
      <c r="Z810" s="241"/>
      <c r="AA810" s="241"/>
      <c r="AB810" s="241"/>
      <c r="AC810" s="241"/>
      <c r="AD810" s="241"/>
      <c r="AE810" s="241"/>
      <c r="AF810" s="241"/>
      <c r="AG810" s="241"/>
      <c r="AH810" s="241"/>
      <c r="AI810" s="241"/>
      <c r="AJ810" s="241"/>
      <c r="AK810" s="241"/>
      <c r="AL810" s="241"/>
      <c r="AM810" s="241"/>
      <c r="AN810" s="241"/>
      <c r="AO810" s="241"/>
      <c r="AP810" s="241"/>
      <c r="AQ810" s="241"/>
      <c r="AR810" s="241"/>
      <c r="AS810" s="241"/>
      <c r="AT810" s="241"/>
      <c r="AU810" s="241"/>
      <c r="AV810" s="241"/>
      <c r="AW810" s="241"/>
      <c r="AX810" s="241"/>
      <c r="AY810" s="241"/>
      <c r="AZ810" s="241"/>
    </row>
    <row r="811" spans="1:52" ht="18" customHeight="1">
      <c r="A811" s="250"/>
      <c r="B811" s="241"/>
      <c r="C811" s="241"/>
      <c r="D811" s="241"/>
      <c r="E811" s="241"/>
      <c r="F811" s="241"/>
      <c r="G811" s="241"/>
      <c r="H811" s="241"/>
      <c r="I811" s="241"/>
      <c r="J811" s="241"/>
      <c r="K811" s="241"/>
      <c r="L811" s="241"/>
      <c r="M811" s="241"/>
      <c r="N811" s="241"/>
      <c r="O811" s="241"/>
      <c r="P811" s="241"/>
      <c r="Q811" s="241"/>
      <c r="R811" s="241"/>
      <c r="S811" s="241"/>
      <c r="T811" s="241"/>
      <c r="U811" s="241"/>
      <c r="V811" s="241"/>
      <c r="W811" s="241"/>
      <c r="X811" s="241"/>
      <c r="Y811" s="241"/>
      <c r="Z811" s="241"/>
      <c r="AA811" s="241"/>
      <c r="AB811" s="241"/>
      <c r="AC811" s="241"/>
      <c r="AD811" s="241"/>
      <c r="AE811" s="241"/>
      <c r="AF811" s="241"/>
      <c r="AG811" s="241"/>
      <c r="AH811" s="241"/>
      <c r="AI811" s="241"/>
      <c r="AJ811" s="241"/>
      <c r="AK811" s="241"/>
      <c r="AL811" s="241"/>
      <c r="AM811" s="241"/>
      <c r="AN811" s="241"/>
      <c r="AO811" s="241"/>
      <c r="AP811" s="241"/>
      <c r="AQ811" s="241"/>
      <c r="AR811" s="241"/>
      <c r="AS811" s="241"/>
      <c r="AT811" s="241"/>
      <c r="AU811" s="241"/>
      <c r="AV811" s="241"/>
      <c r="AW811" s="241"/>
      <c r="AX811" s="241"/>
      <c r="AY811" s="241"/>
      <c r="AZ811" s="241"/>
    </row>
    <row r="812" spans="1:52" ht="18" customHeight="1">
      <c r="A812" s="250"/>
      <c r="B812" s="241"/>
      <c r="C812" s="241"/>
      <c r="D812" s="241"/>
      <c r="E812" s="241"/>
      <c r="F812" s="241"/>
      <c r="G812" s="241"/>
      <c r="H812" s="241"/>
      <c r="I812" s="241"/>
      <c r="J812" s="241"/>
      <c r="K812" s="241"/>
      <c r="L812" s="241"/>
      <c r="M812" s="241"/>
      <c r="N812" s="241"/>
      <c r="O812" s="241"/>
      <c r="P812" s="241"/>
      <c r="Q812" s="241"/>
      <c r="R812" s="241"/>
      <c r="S812" s="241"/>
      <c r="T812" s="241"/>
      <c r="U812" s="241"/>
      <c r="V812" s="241"/>
      <c r="W812" s="241"/>
      <c r="X812" s="241"/>
      <c r="Y812" s="241"/>
      <c r="Z812" s="241"/>
      <c r="AA812" s="241"/>
      <c r="AB812" s="241"/>
      <c r="AC812" s="241"/>
      <c r="AD812" s="241"/>
      <c r="AE812" s="241"/>
      <c r="AF812" s="241"/>
      <c r="AG812" s="241"/>
      <c r="AH812" s="241"/>
      <c r="AI812" s="241"/>
      <c r="AJ812" s="241"/>
      <c r="AK812" s="241"/>
      <c r="AL812" s="241"/>
      <c r="AM812" s="241"/>
      <c r="AN812" s="241"/>
      <c r="AO812" s="241"/>
      <c r="AP812" s="241"/>
      <c r="AQ812" s="241"/>
      <c r="AR812" s="241"/>
      <c r="AS812" s="241"/>
      <c r="AT812" s="241"/>
      <c r="AU812" s="241"/>
      <c r="AV812" s="241"/>
      <c r="AW812" s="241"/>
      <c r="AX812" s="241"/>
      <c r="AY812" s="241"/>
      <c r="AZ812" s="241"/>
    </row>
    <row r="813" spans="1:52" ht="18" customHeight="1">
      <c r="A813" s="250"/>
      <c r="B813" s="241"/>
      <c r="C813" s="241"/>
      <c r="D813" s="241"/>
      <c r="E813" s="241"/>
      <c r="F813" s="241"/>
      <c r="G813" s="241"/>
      <c r="H813" s="241"/>
      <c r="I813" s="241"/>
      <c r="J813" s="241"/>
      <c r="K813" s="241"/>
      <c r="L813" s="241"/>
      <c r="M813" s="241"/>
      <c r="N813" s="241"/>
      <c r="O813" s="241"/>
      <c r="P813" s="241"/>
      <c r="Q813" s="241"/>
      <c r="R813" s="241"/>
      <c r="S813" s="241"/>
      <c r="T813" s="241"/>
      <c r="U813" s="241"/>
      <c r="V813" s="241"/>
      <c r="W813" s="241"/>
      <c r="X813" s="241"/>
      <c r="Y813" s="241"/>
      <c r="Z813" s="241"/>
      <c r="AA813" s="241"/>
      <c r="AB813" s="241"/>
      <c r="AC813" s="241"/>
      <c r="AD813" s="241"/>
      <c r="AE813" s="241"/>
      <c r="AF813" s="241"/>
      <c r="AG813" s="241"/>
      <c r="AH813" s="241"/>
      <c r="AI813" s="241"/>
      <c r="AJ813" s="241"/>
      <c r="AK813" s="241"/>
      <c r="AL813" s="241"/>
      <c r="AM813" s="241"/>
      <c r="AN813" s="241"/>
      <c r="AO813" s="241"/>
      <c r="AP813" s="241"/>
      <c r="AQ813" s="241"/>
      <c r="AR813" s="241"/>
      <c r="AS813" s="241"/>
      <c r="AT813" s="241"/>
      <c r="AU813" s="241"/>
      <c r="AV813" s="241"/>
      <c r="AW813" s="241"/>
      <c r="AX813" s="241"/>
      <c r="AY813" s="241"/>
      <c r="AZ813" s="241"/>
    </row>
    <row r="814" spans="1:52" ht="18" customHeight="1">
      <c r="A814" s="250"/>
      <c r="B814" s="241"/>
      <c r="C814" s="241"/>
      <c r="D814" s="241"/>
      <c r="E814" s="241"/>
      <c r="F814" s="241"/>
      <c r="G814" s="241"/>
      <c r="H814" s="241"/>
      <c r="I814" s="241"/>
      <c r="J814" s="241"/>
      <c r="K814" s="241"/>
      <c r="L814" s="241"/>
      <c r="M814" s="241"/>
      <c r="N814" s="241"/>
      <c r="O814" s="241"/>
      <c r="P814" s="241"/>
      <c r="Q814" s="241"/>
      <c r="R814" s="241"/>
      <c r="S814" s="241"/>
      <c r="T814" s="241"/>
      <c r="U814" s="241"/>
      <c r="V814" s="241"/>
      <c r="W814" s="241"/>
      <c r="X814" s="241"/>
      <c r="Y814" s="241"/>
      <c r="Z814" s="241"/>
      <c r="AA814" s="241"/>
      <c r="AB814" s="241"/>
      <c r="AC814" s="241"/>
      <c r="AD814" s="241"/>
      <c r="AE814" s="241"/>
      <c r="AF814" s="241"/>
      <c r="AG814" s="241"/>
      <c r="AH814" s="241"/>
      <c r="AI814" s="241"/>
      <c r="AJ814" s="241"/>
      <c r="AK814" s="241"/>
      <c r="AL814" s="241"/>
      <c r="AM814" s="241"/>
      <c r="AN814" s="241"/>
      <c r="AO814" s="241"/>
      <c r="AP814" s="241"/>
      <c r="AQ814" s="241"/>
      <c r="AR814" s="241"/>
      <c r="AS814" s="241"/>
      <c r="AT814" s="241"/>
      <c r="AU814" s="241"/>
      <c r="AV814" s="241"/>
      <c r="AW814" s="241"/>
      <c r="AX814" s="241"/>
      <c r="AY814" s="241"/>
      <c r="AZ814" s="241"/>
    </row>
    <row r="815" spans="1:52" ht="18" customHeight="1">
      <c r="A815" s="250"/>
      <c r="B815" s="241"/>
      <c r="C815" s="241"/>
      <c r="D815" s="241"/>
      <c r="E815" s="241"/>
      <c r="F815" s="241"/>
      <c r="G815" s="241"/>
      <c r="H815" s="241"/>
      <c r="I815" s="241"/>
      <c r="J815" s="241"/>
      <c r="K815" s="241"/>
      <c r="L815" s="241"/>
      <c r="M815" s="241"/>
      <c r="N815" s="241"/>
      <c r="O815" s="241"/>
      <c r="P815" s="241"/>
      <c r="Q815" s="241"/>
      <c r="R815" s="241"/>
      <c r="S815" s="241"/>
      <c r="T815" s="241"/>
      <c r="U815" s="241"/>
      <c r="V815" s="241"/>
      <c r="W815" s="241"/>
      <c r="X815" s="241"/>
      <c r="Y815" s="241"/>
      <c r="Z815" s="241"/>
      <c r="AA815" s="241"/>
      <c r="AB815" s="241"/>
      <c r="AC815" s="241"/>
      <c r="AD815" s="241"/>
      <c r="AE815" s="241"/>
      <c r="AF815" s="241"/>
      <c r="AG815" s="241"/>
      <c r="AH815" s="241"/>
      <c r="AI815" s="241"/>
      <c r="AJ815" s="241"/>
      <c r="AK815" s="241"/>
      <c r="AL815" s="241"/>
      <c r="AM815" s="241"/>
      <c r="AN815" s="241"/>
      <c r="AO815" s="241"/>
      <c r="AP815" s="241"/>
      <c r="AQ815" s="241"/>
      <c r="AR815" s="241"/>
      <c r="AS815" s="241"/>
      <c r="AT815" s="241"/>
      <c r="AU815" s="241"/>
      <c r="AV815" s="241"/>
      <c r="AW815" s="241"/>
      <c r="AX815" s="241"/>
      <c r="AY815" s="241"/>
      <c r="AZ815" s="241"/>
    </row>
    <row r="816" spans="1:52" ht="18" customHeight="1">
      <c r="A816" s="250"/>
      <c r="B816" s="241"/>
      <c r="C816" s="241"/>
      <c r="D816" s="241"/>
      <c r="E816" s="241"/>
      <c r="F816" s="241"/>
      <c r="G816" s="241"/>
      <c r="H816" s="241"/>
      <c r="I816" s="241"/>
      <c r="J816" s="241"/>
      <c r="K816" s="241"/>
      <c r="L816" s="241"/>
      <c r="M816" s="241"/>
      <c r="N816" s="241"/>
      <c r="O816" s="241"/>
      <c r="P816" s="241"/>
      <c r="Q816" s="241"/>
      <c r="R816" s="241"/>
      <c r="S816" s="241"/>
      <c r="T816" s="241"/>
      <c r="U816" s="241"/>
      <c r="V816" s="241"/>
      <c r="W816" s="241"/>
      <c r="X816" s="241"/>
      <c r="Y816" s="241"/>
      <c r="Z816" s="241"/>
      <c r="AA816" s="241"/>
      <c r="AB816" s="241"/>
      <c r="AC816" s="241"/>
      <c r="AD816" s="241"/>
      <c r="AE816" s="241"/>
      <c r="AF816" s="241"/>
      <c r="AG816" s="241"/>
      <c r="AH816" s="241"/>
      <c r="AI816" s="241"/>
      <c r="AJ816" s="241"/>
      <c r="AK816" s="241"/>
      <c r="AL816" s="241"/>
      <c r="AM816" s="241"/>
      <c r="AN816" s="241"/>
      <c r="AO816" s="241"/>
      <c r="AP816" s="241"/>
      <c r="AQ816" s="241"/>
      <c r="AR816" s="241"/>
      <c r="AS816" s="241"/>
      <c r="AT816" s="241"/>
      <c r="AU816" s="241"/>
      <c r="AV816" s="241"/>
      <c r="AW816" s="241"/>
      <c r="AX816" s="241"/>
      <c r="AY816" s="241"/>
      <c r="AZ816" s="241"/>
    </row>
    <row r="817" spans="1:52" ht="18" customHeight="1">
      <c r="A817" s="250"/>
      <c r="B817" s="241"/>
      <c r="C817" s="241"/>
      <c r="D817" s="241"/>
      <c r="E817" s="241"/>
      <c r="F817" s="241"/>
      <c r="G817" s="241"/>
      <c r="H817" s="241"/>
      <c r="I817" s="241"/>
      <c r="J817" s="241"/>
      <c r="K817" s="241"/>
      <c r="L817" s="241"/>
      <c r="M817" s="241"/>
      <c r="N817" s="241"/>
      <c r="O817" s="241"/>
      <c r="P817" s="241"/>
      <c r="Q817" s="241"/>
      <c r="R817" s="241"/>
      <c r="S817" s="241"/>
      <c r="T817" s="241"/>
      <c r="U817" s="241"/>
      <c r="V817" s="241"/>
      <c r="W817" s="241"/>
      <c r="X817" s="241"/>
      <c r="Y817" s="241"/>
      <c r="Z817" s="241"/>
      <c r="AA817" s="241"/>
      <c r="AB817" s="241"/>
      <c r="AC817" s="241"/>
      <c r="AD817" s="241"/>
      <c r="AE817" s="241"/>
      <c r="AF817" s="241"/>
      <c r="AG817" s="241"/>
      <c r="AH817" s="241"/>
      <c r="AI817" s="241"/>
      <c r="AJ817" s="241"/>
      <c r="AK817" s="241"/>
      <c r="AL817" s="241"/>
      <c r="AM817" s="241"/>
      <c r="AN817" s="241"/>
      <c r="AO817" s="241"/>
      <c r="AP817" s="241"/>
      <c r="AQ817" s="241"/>
      <c r="AR817" s="241"/>
      <c r="AS817" s="241"/>
      <c r="AT817" s="241"/>
      <c r="AU817" s="241"/>
      <c r="AV817" s="241"/>
      <c r="AW817" s="241"/>
      <c r="AX817" s="241"/>
      <c r="AY817" s="241"/>
      <c r="AZ817" s="241"/>
    </row>
    <row r="818" spans="1:52" ht="18" customHeight="1">
      <c r="A818" s="250"/>
      <c r="B818" s="241"/>
      <c r="C818" s="241"/>
      <c r="D818" s="241"/>
      <c r="E818" s="241"/>
      <c r="F818" s="241"/>
      <c r="G818" s="241"/>
      <c r="H818" s="241"/>
      <c r="I818" s="241"/>
      <c r="J818" s="241"/>
      <c r="K818" s="241"/>
      <c r="L818" s="241"/>
      <c r="M818" s="241"/>
      <c r="N818" s="241"/>
      <c r="O818" s="241"/>
      <c r="P818" s="241"/>
      <c r="Q818" s="241"/>
      <c r="R818" s="241"/>
      <c r="S818" s="241"/>
      <c r="T818" s="241"/>
      <c r="U818" s="241"/>
      <c r="V818" s="241"/>
      <c r="W818" s="241"/>
      <c r="X818" s="241"/>
      <c r="Y818" s="241"/>
      <c r="Z818" s="241"/>
      <c r="AA818" s="241"/>
      <c r="AB818" s="241"/>
      <c r="AC818" s="241"/>
      <c r="AD818" s="241"/>
      <c r="AE818" s="241"/>
      <c r="AF818" s="241"/>
      <c r="AG818" s="241"/>
      <c r="AH818" s="241"/>
      <c r="AI818" s="241"/>
      <c r="AJ818" s="241"/>
      <c r="AK818" s="241"/>
      <c r="AL818" s="241"/>
      <c r="AM818" s="241"/>
      <c r="AN818" s="241"/>
      <c r="AO818" s="241"/>
      <c r="AP818" s="241"/>
      <c r="AQ818" s="241"/>
      <c r="AR818" s="241"/>
      <c r="AS818" s="241"/>
      <c r="AT818" s="241"/>
      <c r="AU818" s="241"/>
      <c r="AV818" s="241"/>
      <c r="AW818" s="241"/>
      <c r="AX818" s="241"/>
      <c r="AY818" s="241"/>
      <c r="AZ818" s="241"/>
    </row>
    <row r="819" spans="1:52" ht="18" customHeight="1">
      <c r="A819" s="250"/>
      <c r="B819" s="241"/>
      <c r="C819" s="241"/>
      <c r="D819" s="241"/>
      <c r="E819" s="241"/>
      <c r="F819" s="241"/>
      <c r="G819" s="241"/>
      <c r="H819" s="241"/>
      <c r="I819" s="241"/>
      <c r="J819" s="241"/>
      <c r="K819" s="241"/>
      <c r="L819" s="241"/>
      <c r="M819" s="241"/>
      <c r="N819" s="241"/>
      <c r="O819" s="241"/>
      <c r="P819" s="241"/>
      <c r="Q819" s="241"/>
      <c r="R819" s="241"/>
      <c r="S819" s="241"/>
      <c r="T819" s="241"/>
      <c r="U819" s="241"/>
      <c r="V819" s="241"/>
      <c r="W819" s="241"/>
      <c r="X819" s="241"/>
      <c r="Y819" s="241"/>
      <c r="Z819" s="241"/>
      <c r="AA819" s="241"/>
      <c r="AB819" s="241"/>
      <c r="AC819" s="241"/>
      <c r="AD819" s="241"/>
      <c r="AE819" s="241"/>
      <c r="AF819" s="241"/>
      <c r="AG819" s="241"/>
      <c r="AH819" s="241"/>
      <c r="AI819" s="241"/>
      <c r="AJ819" s="241"/>
      <c r="AK819" s="241"/>
      <c r="AL819" s="241"/>
      <c r="AM819" s="241"/>
      <c r="AN819" s="241"/>
      <c r="AO819" s="241"/>
      <c r="AP819" s="241"/>
      <c r="AQ819" s="241"/>
      <c r="AR819" s="241"/>
      <c r="AS819" s="241"/>
      <c r="AT819" s="241"/>
      <c r="AU819" s="241"/>
      <c r="AV819" s="241"/>
      <c r="AW819" s="241"/>
      <c r="AX819" s="241"/>
      <c r="AY819" s="241"/>
      <c r="AZ819" s="241"/>
    </row>
    <row r="820" spans="1:52" ht="18" customHeight="1">
      <c r="A820" s="250"/>
      <c r="B820" s="241"/>
      <c r="C820" s="241"/>
      <c r="D820" s="241"/>
      <c r="E820" s="241"/>
      <c r="F820" s="241"/>
      <c r="G820" s="241"/>
      <c r="H820" s="241"/>
      <c r="I820" s="241"/>
      <c r="J820" s="241"/>
      <c r="K820" s="241"/>
      <c r="L820" s="241"/>
      <c r="M820" s="241"/>
      <c r="N820" s="241"/>
      <c r="O820" s="241"/>
      <c r="P820" s="241"/>
      <c r="Q820" s="241"/>
      <c r="R820" s="241"/>
      <c r="S820" s="241"/>
      <c r="T820" s="241"/>
      <c r="U820" s="241"/>
      <c r="V820" s="241"/>
      <c r="W820" s="241"/>
      <c r="X820" s="241"/>
      <c r="Y820" s="241"/>
      <c r="Z820" s="241"/>
      <c r="AA820" s="241"/>
      <c r="AB820" s="241"/>
      <c r="AC820" s="241"/>
      <c r="AD820" s="241"/>
      <c r="AE820" s="241"/>
      <c r="AF820" s="241"/>
      <c r="AG820" s="241"/>
      <c r="AH820" s="241"/>
      <c r="AI820" s="241"/>
      <c r="AJ820" s="241"/>
      <c r="AK820" s="241"/>
      <c r="AL820" s="241"/>
      <c r="AM820" s="241"/>
      <c r="AN820" s="241"/>
      <c r="AO820" s="241"/>
      <c r="AP820" s="241"/>
      <c r="AQ820" s="241"/>
      <c r="AR820" s="241"/>
      <c r="AS820" s="241"/>
      <c r="AT820" s="241"/>
      <c r="AU820" s="241"/>
      <c r="AV820" s="241"/>
      <c r="AW820" s="241"/>
      <c r="AX820" s="241"/>
      <c r="AY820" s="241"/>
      <c r="AZ820" s="241"/>
    </row>
    <row r="821" spans="1:52" ht="18" customHeight="1">
      <c r="A821" s="250"/>
      <c r="B821" s="241"/>
      <c r="C821" s="241"/>
      <c r="D821" s="241"/>
      <c r="E821" s="241"/>
      <c r="F821" s="241"/>
      <c r="G821" s="241"/>
      <c r="H821" s="241"/>
      <c r="I821" s="241"/>
      <c r="J821" s="241"/>
      <c r="K821" s="241"/>
      <c r="L821" s="241"/>
      <c r="M821" s="241"/>
      <c r="N821" s="241"/>
      <c r="O821" s="241"/>
      <c r="P821" s="241"/>
      <c r="Q821" s="241"/>
      <c r="R821" s="241"/>
      <c r="S821" s="241"/>
      <c r="T821" s="241"/>
      <c r="U821" s="241"/>
      <c r="V821" s="241"/>
      <c r="W821" s="241"/>
      <c r="X821" s="241"/>
      <c r="Y821" s="241"/>
      <c r="Z821" s="241"/>
      <c r="AA821" s="241"/>
      <c r="AB821" s="241"/>
      <c r="AC821" s="241"/>
      <c r="AD821" s="241"/>
      <c r="AE821" s="241"/>
      <c r="AF821" s="241"/>
      <c r="AG821" s="241"/>
      <c r="AH821" s="241"/>
      <c r="AI821" s="241"/>
      <c r="AJ821" s="241"/>
      <c r="AK821" s="241"/>
      <c r="AL821" s="241"/>
      <c r="AM821" s="241"/>
      <c r="AN821" s="241"/>
      <c r="AO821" s="241"/>
      <c r="AP821" s="241"/>
      <c r="AQ821" s="241"/>
      <c r="AR821" s="241"/>
      <c r="AS821" s="241"/>
      <c r="AT821" s="241"/>
      <c r="AU821" s="241"/>
      <c r="AV821" s="241"/>
      <c r="AW821" s="241"/>
      <c r="AX821" s="241"/>
      <c r="AY821" s="241"/>
      <c r="AZ821" s="241"/>
    </row>
    <row r="822" spans="1:52" ht="18" customHeight="1">
      <c r="A822" s="250"/>
      <c r="B822" s="241"/>
      <c r="C822" s="241"/>
      <c r="D822" s="241"/>
      <c r="E822" s="241"/>
      <c r="F822" s="241"/>
      <c r="G822" s="241"/>
      <c r="H822" s="241"/>
      <c r="I822" s="241"/>
      <c r="J822" s="241"/>
      <c r="K822" s="241"/>
      <c r="L822" s="241"/>
      <c r="M822" s="241"/>
      <c r="N822" s="241"/>
      <c r="O822" s="241"/>
      <c r="P822" s="241"/>
      <c r="Q822" s="241"/>
      <c r="R822" s="241"/>
      <c r="S822" s="241"/>
      <c r="T822" s="241"/>
      <c r="U822" s="241"/>
      <c r="V822" s="241"/>
      <c r="W822" s="241"/>
      <c r="X822" s="241"/>
      <c r="Y822" s="241"/>
      <c r="Z822" s="241"/>
      <c r="AA822" s="241"/>
      <c r="AB822" s="241"/>
      <c r="AC822" s="241"/>
      <c r="AD822" s="241"/>
      <c r="AE822" s="241"/>
      <c r="AF822" s="241"/>
      <c r="AG822" s="241"/>
      <c r="AH822" s="241"/>
      <c r="AI822" s="241"/>
      <c r="AJ822" s="241"/>
      <c r="AK822" s="241"/>
      <c r="AL822" s="241"/>
      <c r="AM822" s="241"/>
      <c r="AN822" s="241"/>
      <c r="AO822" s="241"/>
      <c r="AP822" s="241"/>
      <c r="AQ822" s="241"/>
      <c r="AR822" s="241"/>
      <c r="AS822" s="241"/>
      <c r="AT822" s="241"/>
      <c r="AU822" s="241"/>
      <c r="AV822" s="241"/>
      <c r="AW822" s="241"/>
      <c r="AX822" s="241"/>
      <c r="AY822" s="241"/>
      <c r="AZ822" s="241"/>
    </row>
    <row r="823" spans="1:52" ht="18" customHeight="1">
      <c r="A823" s="250"/>
      <c r="B823" s="241"/>
      <c r="C823" s="241"/>
      <c r="D823" s="241"/>
      <c r="E823" s="241"/>
      <c r="F823" s="241"/>
      <c r="G823" s="241"/>
      <c r="H823" s="241"/>
      <c r="I823" s="241"/>
      <c r="J823" s="241"/>
      <c r="K823" s="241"/>
      <c r="L823" s="241"/>
      <c r="M823" s="241"/>
      <c r="N823" s="241"/>
      <c r="O823" s="241"/>
      <c r="P823" s="241"/>
      <c r="Q823" s="241"/>
      <c r="R823" s="241"/>
      <c r="S823" s="241"/>
      <c r="T823" s="241"/>
      <c r="U823" s="241"/>
      <c r="V823" s="241"/>
      <c r="W823" s="241"/>
      <c r="X823" s="241"/>
      <c r="Y823" s="241"/>
      <c r="Z823" s="241"/>
      <c r="AA823" s="241"/>
      <c r="AB823" s="241"/>
      <c r="AC823" s="241"/>
      <c r="AD823" s="241"/>
      <c r="AE823" s="241"/>
      <c r="AF823" s="241"/>
      <c r="AG823" s="241"/>
      <c r="AH823" s="241"/>
      <c r="AI823" s="241"/>
      <c r="AJ823" s="241"/>
      <c r="AK823" s="241"/>
      <c r="AL823" s="241"/>
      <c r="AM823" s="241"/>
      <c r="AN823" s="241"/>
      <c r="AO823" s="241"/>
      <c r="AP823" s="241"/>
      <c r="AQ823" s="241"/>
      <c r="AR823" s="241"/>
      <c r="AS823" s="241"/>
      <c r="AT823" s="241"/>
      <c r="AU823" s="241"/>
      <c r="AV823" s="241"/>
      <c r="AW823" s="241"/>
      <c r="AX823" s="241"/>
      <c r="AY823" s="241"/>
      <c r="AZ823" s="241"/>
    </row>
    <row r="824" spans="1:52" ht="18" customHeight="1">
      <c r="A824" s="250"/>
      <c r="B824" s="241"/>
      <c r="C824" s="241"/>
      <c r="D824" s="241"/>
      <c r="E824" s="241"/>
      <c r="F824" s="241"/>
      <c r="G824" s="241"/>
      <c r="H824" s="241"/>
      <c r="I824" s="241"/>
      <c r="J824" s="241"/>
      <c r="K824" s="241"/>
      <c r="L824" s="241"/>
      <c r="M824" s="241"/>
      <c r="N824" s="241"/>
      <c r="O824" s="241"/>
      <c r="P824" s="241"/>
      <c r="Q824" s="241"/>
      <c r="R824" s="241"/>
      <c r="S824" s="241"/>
      <c r="T824" s="241"/>
      <c r="U824" s="241"/>
      <c r="V824" s="241"/>
      <c r="W824" s="241"/>
      <c r="X824" s="241"/>
      <c r="Y824" s="241"/>
      <c r="Z824" s="241"/>
      <c r="AA824" s="241"/>
      <c r="AB824" s="241"/>
      <c r="AC824" s="241"/>
      <c r="AD824" s="241"/>
      <c r="AE824" s="241"/>
      <c r="AF824" s="241"/>
      <c r="AG824" s="241"/>
      <c r="AH824" s="241"/>
      <c r="AI824" s="241"/>
      <c r="AJ824" s="241"/>
      <c r="AK824" s="241"/>
      <c r="AL824" s="241"/>
      <c r="AM824" s="241"/>
      <c r="AN824" s="241"/>
      <c r="AO824" s="241"/>
      <c r="AP824" s="241"/>
      <c r="AQ824" s="241"/>
      <c r="AR824" s="241"/>
      <c r="AS824" s="241"/>
      <c r="AT824" s="241"/>
      <c r="AU824" s="241"/>
      <c r="AV824" s="241"/>
      <c r="AW824" s="241"/>
      <c r="AX824" s="241"/>
      <c r="AY824" s="241"/>
      <c r="AZ824" s="241"/>
    </row>
    <row r="825" spans="1:52" ht="18" customHeight="1">
      <c r="A825" s="250"/>
      <c r="B825" s="241"/>
      <c r="C825" s="241"/>
      <c r="D825" s="241"/>
      <c r="E825" s="241"/>
      <c r="F825" s="241"/>
      <c r="G825" s="241"/>
      <c r="H825" s="241"/>
      <c r="I825" s="241"/>
      <c r="J825" s="241"/>
      <c r="K825" s="241"/>
      <c r="L825" s="241"/>
      <c r="M825" s="241"/>
      <c r="N825" s="241"/>
      <c r="O825" s="241"/>
      <c r="P825" s="241"/>
      <c r="Q825" s="241"/>
      <c r="R825" s="241"/>
      <c r="S825" s="241"/>
      <c r="T825" s="241"/>
      <c r="U825" s="241"/>
      <c r="V825" s="241"/>
      <c r="W825" s="241"/>
      <c r="X825" s="241"/>
      <c r="Y825" s="241"/>
      <c r="Z825" s="241"/>
      <c r="AA825" s="241"/>
      <c r="AB825" s="241"/>
      <c r="AC825" s="241"/>
      <c r="AD825" s="241"/>
      <c r="AE825" s="241"/>
      <c r="AF825" s="241"/>
      <c r="AG825" s="241"/>
      <c r="AH825" s="241"/>
      <c r="AI825" s="241"/>
      <c r="AJ825" s="241"/>
      <c r="AK825" s="241"/>
      <c r="AL825" s="241"/>
      <c r="AM825" s="241"/>
      <c r="AN825" s="241"/>
      <c r="AO825" s="241"/>
      <c r="AP825" s="241"/>
      <c r="AQ825" s="241"/>
      <c r="AR825" s="241"/>
      <c r="AS825" s="241"/>
      <c r="AT825" s="241"/>
      <c r="AU825" s="241"/>
      <c r="AV825" s="241"/>
      <c r="AW825" s="241"/>
      <c r="AX825" s="241"/>
      <c r="AY825" s="241"/>
      <c r="AZ825" s="241"/>
    </row>
    <row r="826" spans="1:52" ht="18" customHeight="1">
      <c r="A826" s="250"/>
      <c r="B826" s="241"/>
      <c r="C826" s="241"/>
      <c r="D826" s="241"/>
      <c r="E826" s="241"/>
      <c r="F826" s="241"/>
      <c r="G826" s="241"/>
      <c r="H826" s="241"/>
      <c r="I826" s="241"/>
      <c r="J826" s="241"/>
      <c r="K826" s="241"/>
      <c r="L826" s="241"/>
      <c r="M826" s="241"/>
      <c r="N826" s="241"/>
      <c r="O826" s="241"/>
      <c r="P826" s="241"/>
      <c r="Q826" s="241"/>
      <c r="R826" s="241"/>
      <c r="S826" s="241"/>
      <c r="T826" s="241"/>
      <c r="U826" s="241"/>
      <c r="V826" s="241"/>
      <c r="W826" s="241"/>
      <c r="X826" s="241"/>
      <c r="Y826" s="241"/>
      <c r="Z826" s="241"/>
      <c r="AA826" s="241"/>
      <c r="AB826" s="241"/>
      <c r="AC826" s="241"/>
      <c r="AD826" s="241"/>
      <c r="AE826" s="241"/>
      <c r="AF826" s="241"/>
      <c r="AG826" s="241"/>
      <c r="AH826" s="241"/>
      <c r="AI826" s="241"/>
      <c r="AJ826" s="241"/>
      <c r="AK826" s="241"/>
      <c r="AL826" s="241"/>
      <c r="AM826" s="241"/>
      <c r="AN826" s="241"/>
      <c r="AO826" s="241"/>
      <c r="AP826" s="241"/>
      <c r="AQ826" s="241"/>
      <c r="AR826" s="241"/>
      <c r="AS826" s="241"/>
      <c r="AT826" s="241"/>
      <c r="AU826" s="241"/>
      <c r="AV826" s="241"/>
      <c r="AW826" s="241"/>
      <c r="AX826" s="241"/>
      <c r="AY826" s="241"/>
      <c r="AZ826" s="241"/>
    </row>
    <row r="827" spans="1:52" ht="18" customHeight="1">
      <c r="A827" s="250"/>
      <c r="B827" s="241"/>
      <c r="C827" s="241"/>
      <c r="D827" s="241"/>
      <c r="E827" s="241"/>
      <c r="F827" s="241"/>
      <c r="G827" s="241"/>
      <c r="H827" s="241"/>
      <c r="I827" s="241"/>
      <c r="J827" s="241"/>
      <c r="K827" s="241"/>
      <c r="L827" s="241"/>
      <c r="M827" s="241"/>
      <c r="N827" s="241"/>
      <c r="O827" s="241"/>
      <c r="P827" s="241"/>
      <c r="Q827" s="241"/>
      <c r="R827" s="241"/>
      <c r="S827" s="241"/>
      <c r="T827" s="241"/>
      <c r="U827" s="241"/>
      <c r="V827" s="241"/>
      <c r="W827" s="241"/>
      <c r="X827" s="241"/>
      <c r="Y827" s="241"/>
      <c r="Z827" s="241"/>
      <c r="AA827" s="241"/>
      <c r="AB827" s="241"/>
      <c r="AC827" s="241"/>
      <c r="AD827" s="241"/>
      <c r="AE827" s="241"/>
      <c r="AF827" s="241"/>
      <c r="AG827" s="241"/>
      <c r="AH827" s="241"/>
      <c r="AI827" s="241"/>
      <c r="AJ827" s="241"/>
      <c r="AK827" s="241"/>
      <c r="AL827" s="241"/>
      <c r="AM827" s="241"/>
      <c r="AN827" s="241"/>
      <c r="AO827" s="241"/>
      <c r="AP827" s="241"/>
      <c r="AQ827" s="241"/>
      <c r="AR827" s="241"/>
      <c r="AS827" s="241"/>
      <c r="AT827" s="241"/>
      <c r="AU827" s="241"/>
      <c r="AV827" s="241"/>
      <c r="AW827" s="241"/>
      <c r="AX827" s="241"/>
      <c r="AY827" s="241"/>
      <c r="AZ827" s="241"/>
    </row>
    <row r="828" spans="1:52" ht="18" customHeight="1">
      <c r="A828" s="250"/>
      <c r="B828" s="241"/>
      <c r="C828" s="241"/>
      <c r="D828" s="241"/>
      <c r="E828" s="241"/>
      <c r="F828" s="241"/>
      <c r="G828" s="241"/>
      <c r="H828" s="241"/>
      <c r="I828" s="241"/>
      <c r="J828" s="241"/>
      <c r="K828" s="241"/>
      <c r="L828" s="241"/>
      <c r="M828" s="241"/>
      <c r="N828" s="241"/>
      <c r="O828" s="241"/>
      <c r="P828" s="241"/>
      <c r="Q828" s="241"/>
      <c r="R828" s="241"/>
      <c r="S828" s="241"/>
      <c r="T828" s="241"/>
      <c r="U828" s="241"/>
      <c r="V828" s="241"/>
      <c r="W828" s="241"/>
      <c r="X828" s="241"/>
      <c r="Y828" s="241"/>
      <c r="Z828" s="241"/>
      <c r="AA828" s="241"/>
      <c r="AB828" s="241"/>
      <c r="AC828" s="241"/>
      <c r="AD828" s="241"/>
      <c r="AE828" s="241"/>
      <c r="AF828" s="241"/>
      <c r="AG828" s="241"/>
      <c r="AH828" s="241"/>
      <c r="AI828" s="241"/>
      <c r="AJ828" s="241"/>
      <c r="AK828" s="241"/>
      <c r="AL828" s="241"/>
      <c r="AM828" s="241"/>
      <c r="AN828" s="241"/>
      <c r="AO828" s="241"/>
      <c r="AP828" s="241"/>
      <c r="AQ828" s="241"/>
      <c r="AR828" s="241"/>
      <c r="AS828" s="241"/>
      <c r="AT828" s="241"/>
      <c r="AU828" s="241"/>
      <c r="AV828" s="241"/>
      <c r="AW828" s="241"/>
      <c r="AX828" s="241"/>
      <c r="AY828" s="241"/>
      <c r="AZ828" s="241"/>
    </row>
    <row r="829" spans="1:52" ht="18" customHeight="1">
      <c r="A829" s="250"/>
      <c r="B829" s="241"/>
      <c r="C829" s="241"/>
      <c r="D829" s="241"/>
      <c r="E829" s="241"/>
      <c r="F829" s="241"/>
      <c r="G829" s="241"/>
      <c r="H829" s="241"/>
      <c r="I829" s="241"/>
      <c r="J829" s="241"/>
      <c r="K829" s="241"/>
      <c r="L829" s="241"/>
      <c r="M829" s="241"/>
      <c r="N829" s="241"/>
      <c r="O829" s="241"/>
      <c r="P829" s="241"/>
      <c r="Q829" s="241"/>
      <c r="R829" s="241"/>
      <c r="S829" s="241"/>
      <c r="T829" s="241"/>
      <c r="U829" s="241"/>
      <c r="V829" s="241"/>
      <c r="W829" s="241"/>
      <c r="X829" s="241"/>
      <c r="Y829" s="241"/>
      <c r="Z829" s="241"/>
      <c r="AA829" s="241"/>
      <c r="AB829" s="241"/>
      <c r="AC829" s="241"/>
      <c r="AD829" s="241"/>
      <c r="AE829" s="241"/>
      <c r="AF829" s="241"/>
      <c r="AG829" s="241"/>
      <c r="AH829" s="241"/>
      <c r="AI829" s="241"/>
      <c r="AJ829" s="241"/>
      <c r="AK829" s="241"/>
      <c r="AL829" s="241"/>
      <c r="AM829" s="241"/>
      <c r="AN829" s="241"/>
      <c r="AO829" s="241"/>
      <c r="AP829" s="241"/>
      <c r="AQ829" s="241"/>
      <c r="AR829" s="241"/>
      <c r="AS829" s="241"/>
      <c r="AT829" s="241"/>
      <c r="AU829" s="241"/>
      <c r="AV829" s="241"/>
      <c r="AW829" s="241"/>
      <c r="AX829" s="241"/>
      <c r="AY829" s="241"/>
      <c r="AZ829" s="241"/>
    </row>
    <row r="830" spans="1:52" ht="18" customHeight="1">
      <c r="A830" s="250"/>
      <c r="B830" s="241"/>
      <c r="C830" s="241"/>
      <c r="D830" s="241"/>
      <c r="E830" s="241"/>
      <c r="F830" s="241"/>
      <c r="G830" s="241"/>
      <c r="H830" s="241"/>
      <c r="I830" s="241"/>
      <c r="J830" s="241"/>
      <c r="K830" s="241"/>
      <c r="L830" s="241"/>
      <c r="M830" s="241"/>
      <c r="N830" s="241"/>
      <c r="O830" s="241"/>
      <c r="P830" s="241"/>
      <c r="Q830" s="241"/>
      <c r="R830" s="241"/>
      <c r="S830" s="241"/>
      <c r="T830" s="241"/>
      <c r="U830" s="241"/>
      <c r="V830" s="241"/>
      <c r="W830" s="241"/>
      <c r="X830" s="241"/>
      <c r="Y830" s="241"/>
      <c r="Z830" s="241"/>
      <c r="AA830" s="241"/>
      <c r="AB830" s="241"/>
      <c r="AC830" s="241"/>
      <c r="AD830" s="241"/>
      <c r="AE830" s="241"/>
      <c r="AF830" s="241"/>
      <c r="AG830" s="241"/>
      <c r="AH830" s="241"/>
      <c r="AI830" s="241"/>
      <c r="AJ830" s="241"/>
      <c r="AK830" s="241"/>
      <c r="AL830" s="241"/>
      <c r="AM830" s="241"/>
      <c r="AN830" s="241"/>
      <c r="AO830" s="241"/>
      <c r="AP830" s="241"/>
      <c r="AQ830" s="241"/>
      <c r="AR830" s="241"/>
      <c r="AS830" s="241"/>
      <c r="AT830" s="241"/>
      <c r="AU830" s="241"/>
      <c r="AV830" s="241"/>
      <c r="AW830" s="241"/>
      <c r="AX830" s="241"/>
      <c r="AY830" s="241"/>
      <c r="AZ830" s="241"/>
    </row>
    <row r="831" spans="1:52" ht="18" customHeight="1">
      <c r="A831" s="250"/>
      <c r="B831" s="241"/>
      <c r="C831" s="241"/>
      <c r="D831" s="241"/>
      <c r="E831" s="241"/>
      <c r="F831" s="241"/>
      <c r="G831" s="241"/>
      <c r="H831" s="241"/>
      <c r="I831" s="241"/>
      <c r="J831" s="241"/>
      <c r="K831" s="241"/>
      <c r="L831" s="241"/>
      <c r="M831" s="241"/>
      <c r="N831" s="241"/>
      <c r="O831" s="241"/>
      <c r="P831" s="241"/>
      <c r="Q831" s="241"/>
      <c r="R831" s="241"/>
      <c r="S831" s="241"/>
      <c r="T831" s="241"/>
      <c r="U831" s="241"/>
      <c r="V831" s="241"/>
      <c r="W831" s="241"/>
      <c r="X831" s="241"/>
      <c r="Y831" s="241"/>
      <c r="Z831" s="241"/>
      <c r="AA831" s="241"/>
      <c r="AB831" s="241"/>
      <c r="AC831" s="241"/>
      <c r="AD831" s="241"/>
      <c r="AE831" s="241"/>
      <c r="AF831" s="241"/>
      <c r="AG831" s="241"/>
      <c r="AH831" s="241"/>
      <c r="AI831" s="241"/>
      <c r="AJ831" s="241"/>
      <c r="AK831" s="241"/>
      <c r="AL831" s="241"/>
      <c r="AM831" s="241"/>
      <c r="AN831" s="241"/>
      <c r="AO831" s="241"/>
      <c r="AP831" s="241"/>
      <c r="AQ831" s="241"/>
      <c r="AR831" s="241"/>
      <c r="AS831" s="241"/>
      <c r="AT831" s="241"/>
      <c r="AU831" s="241"/>
      <c r="AV831" s="241"/>
      <c r="AW831" s="241"/>
      <c r="AX831" s="241"/>
      <c r="AY831" s="241"/>
      <c r="AZ831" s="241"/>
    </row>
    <row r="832" spans="1:52" ht="18" customHeight="1">
      <c r="A832" s="250"/>
      <c r="B832" s="241"/>
      <c r="C832" s="241"/>
      <c r="D832" s="241"/>
      <c r="E832" s="241"/>
      <c r="F832" s="241"/>
      <c r="G832" s="241"/>
      <c r="H832" s="241"/>
      <c r="I832" s="241"/>
      <c r="J832" s="241"/>
      <c r="K832" s="241"/>
      <c r="L832" s="241"/>
      <c r="M832" s="241"/>
      <c r="N832" s="241"/>
      <c r="O832" s="241"/>
      <c r="P832" s="241"/>
      <c r="Q832" s="241"/>
      <c r="R832" s="241"/>
      <c r="S832" s="241"/>
      <c r="T832" s="241"/>
      <c r="U832" s="241"/>
      <c r="V832" s="241"/>
      <c r="W832" s="241"/>
      <c r="X832" s="241"/>
      <c r="Y832" s="241"/>
      <c r="Z832" s="241"/>
      <c r="AA832" s="241"/>
      <c r="AB832" s="241"/>
      <c r="AC832" s="241"/>
      <c r="AD832" s="241"/>
      <c r="AE832" s="241"/>
      <c r="AF832" s="241"/>
      <c r="AG832" s="241"/>
      <c r="AH832" s="241"/>
      <c r="AI832" s="241"/>
      <c r="AJ832" s="241"/>
      <c r="AK832" s="241"/>
      <c r="AL832" s="241"/>
      <c r="AM832" s="241"/>
      <c r="AN832" s="241"/>
      <c r="AO832" s="241"/>
      <c r="AP832" s="241"/>
      <c r="AQ832" s="241"/>
      <c r="AR832" s="241"/>
      <c r="AS832" s="241"/>
      <c r="AT832" s="241"/>
      <c r="AU832" s="241"/>
      <c r="AV832" s="241"/>
      <c r="AW832" s="241"/>
      <c r="AX832" s="241"/>
      <c r="AY832" s="241"/>
      <c r="AZ832" s="241"/>
    </row>
    <row r="833" spans="1:52" ht="18" customHeight="1">
      <c r="A833" s="250"/>
      <c r="B833" s="241"/>
      <c r="C833" s="241"/>
      <c r="D833" s="241"/>
      <c r="E833" s="241"/>
      <c r="F833" s="241"/>
      <c r="G833" s="241"/>
      <c r="H833" s="241"/>
      <c r="I833" s="241"/>
      <c r="J833" s="241"/>
      <c r="K833" s="241"/>
      <c r="L833" s="241"/>
      <c r="M833" s="241"/>
      <c r="N833" s="241"/>
      <c r="O833" s="241"/>
      <c r="P833" s="241"/>
      <c r="Q833" s="241"/>
      <c r="R833" s="241"/>
      <c r="S833" s="241"/>
      <c r="T833" s="241"/>
      <c r="U833" s="241"/>
      <c r="V833" s="241"/>
      <c r="W833" s="241"/>
      <c r="X833" s="241"/>
      <c r="Y833" s="241"/>
      <c r="Z833" s="241"/>
      <c r="AA833" s="241"/>
      <c r="AB833" s="241"/>
      <c r="AC833" s="241"/>
      <c r="AD833" s="241"/>
      <c r="AE833" s="241"/>
      <c r="AF833" s="241"/>
      <c r="AG833" s="241"/>
      <c r="AH833" s="241"/>
      <c r="AI833" s="241"/>
      <c r="AJ833" s="241"/>
      <c r="AK833" s="241"/>
      <c r="AL833" s="241"/>
      <c r="AM833" s="241"/>
      <c r="AN833" s="241"/>
      <c r="AO833" s="241"/>
      <c r="AP833" s="241"/>
      <c r="AQ833" s="241"/>
      <c r="AR833" s="241"/>
      <c r="AS833" s="241"/>
      <c r="AT833" s="241"/>
      <c r="AU833" s="241"/>
      <c r="AV833" s="241"/>
      <c r="AW833" s="241"/>
      <c r="AX833" s="241"/>
      <c r="AY833" s="241"/>
      <c r="AZ833" s="241"/>
    </row>
    <row r="834" spans="1:52" ht="18" customHeight="1">
      <c r="A834" s="250"/>
      <c r="B834" s="241"/>
      <c r="C834" s="241"/>
      <c r="D834" s="241"/>
      <c r="E834" s="241"/>
      <c r="F834" s="241"/>
      <c r="G834" s="241"/>
      <c r="H834" s="241"/>
      <c r="I834" s="241"/>
      <c r="J834" s="241"/>
      <c r="K834" s="241"/>
      <c r="L834" s="241"/>
      <c r="M834" s="241"/>
      <c r="N834" s="241"/>
      <c r="O834" s="241"/>
      <c r="P834" s="241"/>
      <c r="Q834" s="241"/>
      <c r="R834" s="241"/>
      <c r="S834" s="241"/>
      <c r="T834" s="241"/>
      <c r="U834" s="241"/>
      <c r="V834" s="241"/>
      <c r="W834" s="241"/>
      <c r="X834" s="241"/>
      <c r="Y834" s="241"/>
      <c r="Z834" s="241"/>
      <c r="AA834" s="241"/>
      <c r="AB834" s="241"/>
      <c r="AC834" s="241"/>
      <c r="AD834" s="241"/>
      <c r="AE834" s="241"/>
      <c r="AF834" s="241"/>
      <c r="AG834" s="241"/>
      <c r="AH834" s="241"/>
      <c r="AI834" s="241"/>
      <c r="AJ834" s="241"/>
      <c r="AK834" s="241"/>
      <c r="AL834" s="241"/>
      <c r="AM834" s="241"/>
      <c r="AN834" s="241"/>
      <c r="AO834" s="241"/>
      <c r="AP834" s="241"/>
      <c r="AQ834" s="241"/>
      <c r="AR834" s="241"/>
      <c r="AS834" s="241"/>
      <c r="AT834" s="241"/>
      <c r="AU834" s="241"/>
      <c r="AV834" s="241"/>
      <c r="AW834" s="241"/>
      <c r="AX834" s="241"/>
      <c r="AY834" s="241"/>
      <c r="AZ834" s="241"/>
    </row>
    <row r="835" spans="1:52" ht="18" customHeight="1">
      <c r="A835" s="250"/>
      <c r="B835" s="241"/>
      <c r="C835" s="241"/>
      <c r="D835" s="241"/>
      <c r="E835" s="241"/>
      <c r="F835" s="241"/>
      <c r="G835" s="241"/>
      <c r="H835" s="241"/>
      <c r="I835" s="241"/>
      <c r="J835" s="241"/>
      <c r="K835" s="241"/>
      <c r="L835" s="241"/>
      <c r="M835" s="241"/>
      <c r="N835" s="241"/>
      <c r="O835" s="241"/>
      <c r="P835" s="241"/>
      <c r="Q835" s="241"/>
      <c r="R835" s="241"/>
      <c r="S835" s="241"/>
      <c r="T835" s="241"/>
      <c r="U835" s="241"/>
      <c r="V835" s="241"/>
      <c r="W835" s="241"/>
      <c r="X835" s="241"/>
      <c r="Y835" s="241"/>
      <c r="Z835" s="241"/>
      <c r="AA835" s="241"/>
      <c r="AB835" s="241"/>
      <c r="AC835" s="241"/>
      <c r="AD835" s="241"/>
      <c r="AE835" s="241"/>
      <c r="AF835" s="241"/>
      <c r="AG835" s="241"/>
      <c r="AH835" s="241"/>
      <c r="AI835" s="241"/>
      <c r="AJ835" s="241"/>
      <c r="AK835" s="241"/>
      <c r="AL835" s="241"/>
      <c r="AM835" s="241"/>
      <c r="AN835" s="241"/>
      <c r="AO835" s="241"/>
      <c r="AP835" s="241"/>
      <c r="AQ835" s="241"/>
      <c r="AR835" s="241"/>
      <c r="AS835" s="241"/>
      <c r="AT835" s="241"/>
      <c r="AU835" s="241"/>
      <c r="AV835" s="241"/>
      <c r="AW835" s="241"/>
      <c r="AX835" s="241"/>
      <c r="AY835" s="241"/>
      <c r="AZ835" s="241"/>
    </row>
    <row r="836" spans="1:52" ht="18" customHeight="1">
      <c r="A836" s="250"/>
      <c r="B836" s="241"/>
      <c r="C836" s="241"/>
      <c r="D836" s="241"/>
      <c r="E836" s="241"/>
      <c r="F836" s="241"/>
      <c r="G836" s="241"/>
      <c r="H836" s="241"/>
      <c r="I836" s="241"/>
      <c r="J836" s="241"/>
      <c r="K836" s="241"/>
      <c r="L836" s="241"/>
      <c r="M836" s="241"/>
      <c r="N836" s="241"/>
      <c r="O836" s="241"/>
      <c r="P836" s="241"/>
      <c r="Q836" s="241"/>
      <c r="R836" s="241"/>
      <c r="S836" s="241"/>
      <c r="T836" s="241"/>
      <c r="U836" s="241"/>
      <c r="V836" s="241"/>
      <c r="W836" s="241"/>
      <c r="X836" s="241"/>
      <c r="Y836" s="241"/>
      <c r="Z836" s="241"/>
      <c r="AA836" s="241"/>
      <c r="AB836" s="241"/>
      <c r="AC836" s="241"/>
      <c r="AD836" s="241"/>
      <c r="AE836" s="241"/>
      <c r="AF836" s="241"/>
      <c r="AG836" s="241"/>
      <c r="AH836" s="241"/>
      <c r="AI836" s="241"/>
      <c r="AJ836" s="241"/>
      <c r="AK836" s="241"/>
      <c r="AL836" s="241"/>
      <c r="AM836" s="241"/>
      <c r="AN836" s="241"/>
      <c r="AO836" s="241"/>
      <c r="AP836" s="241"/>
      <c r="AQ836" s="241"/>
      <c r="AR836" s="241"/>
      <c r="AS836" s="241"/>
      <c r="AT836" s="241"/>
      <c r="AU836" s="241"/>
      <c r="AV836" s="241"/>
      <c r="AW836" s="241"/>
      <c r="AX836" s="241"/>
      <c r="AY836" s="241"/>
      <c r="AZ836" s="241"/>
    </row>
    <row r="837" spans="1:52" ht="18" customHeight="1">
      <c r="A837" s="250"/>
      <c r="B837" s="241"/>
      <c r="C837" s="241"/>
      <c r="D837" s="241"/>
      <c r="E837" s="241"/>
      <c r="F837" s="241"/>
      <c r="G837" s="241"/>
      <c r="H837" s="241"/>
      <c r="I837" s="241"/>
      <c r="J837" s="241"/>
      <c r="K837" s="241"/>
      <c r="L837" s="241"/>
      <c r="M837" s="241"/>
      <c r="N837" s="241"/>
      <c r="O837" s="241"/>
      <c r="P837" s="241"/>
      <c r="Q837" s="241"/>
      <c r="R837" s="241"/>
      <c r="S837" s="241"/>
      <c r="T837" s="241"/>
      <c r="U837" s="241"/>
      <c r="V837" s="241"/>
      <c r="W837" s="241"/>
      <c r="X837" s="241"/>
      <c r="Y837" s="241"/>
      <c r="Z837" s="241"/>
      <c r="AA837" s="241"/>
      <c r="AB837" s="241"/>
      <c r="AC837" s="241"/>
      <c r="AD837" s="241"/>
      <c r="AE837" s="241"/>
      <c r="AF837" s="241"/>
      <c r="AG837" s="241"/>
      <c r="AH837" s="241"/>
      <c r="AI837" s="241"/>
      <c r="AJ837" s="241"/>
      <c r="AK837" s="241"/>
      <c r="AL837" s="241"/>
      <c r="AM837" s="241"/>
      <c r="AN837" s="241"/>
      <c r="AO837" s="241"/>
      <c r="AP837" s="241"/>
      <c r="AQ837" s="241"/>
      <c r="AR837" s="241"/>
      <c r="AS837" s="241"/>
      <c r="AT837" s="241"/>
      <c r="AU837" s="241"/>
      <c r="AV837" s="241"/>
      <c r="AW837" s="241"/>
      <c r="AX837" s="241"/>
      <c r="AY837" s="241"/>
      <c r="AZ837" s="241"/>
    </row>
    <row r="838" spans="1:52" ht="18" customHeight="1">
      <c r="A838" s="250"/>
      <c r="B838" s="241"/>
      <c r="C838" s="241"/>
      <c r="D838" s="241"/>
      <c r="E838" s="241"/>
      <c r="F838" s="241"/>
      <c r="G838" s="241"/>
      <c r="H838" s="241"/>
      <c r="I838" s="241"/>
      <c r="J838" s="241"/>
      <c r="K838" s="241"/>
      <c r="L838" s="241"/>
      <c r="M838" s="241"/>
      <c r="N838" s="241"/>
      <c r="O838" s="241"/>
      <c r="P838" s="241"/>
      <c r="Q838" s="241"/>
      <c r="R838" s="241"/>
      <c r="S838" s="241"/>
      <c r="T838" s="241"/>
      <c r="U838" s="241"/>
      <c r="V838" s="241"/>
      <c r="W838" s="241"/>
      <c r="X838" s="241"/>
      <c r="Y838" s="241"/>
      <c r="Z838" s="241"/>
      <c r="AA838" s="241"/>
      <c r="AB838" s="241"/>
      <c r="AC838" s="241"/>
      <c r="AD838" s="241"/>
      <c r="AE838" s="241"/>
      <c r="AF838" s="241"/>
      <c r="AG838" s="241"/>
      <c r="AH838" s="241"/>
      <c r="AI838" s="241"/>
      <c r="AJ838" s="241"/>
      <c r="AK838" s="241"/>
      <c r="AL838" s="241"/>
      <c r="AM838" s="241"/>
      <c r="AN838" s="241"/>
      <c r="AO838" s="241"/>
      <c r="AP838" s="241"/>
      <c r="AQ838" s="241"/>
      <c r="AR838" s="241"/>
      <c r="AS838" s="241"/>
      <c r="AT838" s="241"/>
      <c r="AU838" s="241"/>
      <c r="AV838" s="241"/>
      <c r="AW838" s="241"/>
      <c r="AX838" s="241"/>
      <c r="AY838" s="241"/>
      <c r="AZ838" s="241"/>
    </row>
    <row r="839" spans="1:52" ht="18" customHeight="1">
      <c r="A839" s="250"/>
      <c r="B839" s="241"/>
      <c r="C839" s="241"/>
      <c r="D839" s="241"/>
      <c r="E839" s="241"/>
      <c r="F839" s="241"/>
      <c r="G839" s="241"/>
      <c r="H839" s="241"/>
      <c r="I839" s="241"/>
      <c r="J839" s="241"/>
      <c r="K839" s="241"/>
      <c r="L839" s="241"/>
      <c r="M839" s="241"/>
      <c r="N839" s="241"/>
      <c r="O839" s="241"/>
      <c r="P839" s="241"/>
      <c r="Q839" s="241"/>
      <c r="R839" s="241"/>
      <c r="S839" s="241"/>
      <c r="T839" s="241"/>
      <c r="U839" s="241"/>
      <c r="V839" s="241"/>
      <c r="W839" s="241"/>
      <c r="X839" s="241"/>
      <c r="Y839" s="241"/>
      <c r="Z839" s="241"/>
      <c r="AA839" s="241"/>
      <c r="AB839" s="241"/>
      <c r="AC839" s="241"/>
      <c r="AD839" s="241"/>
      <c r="AE839" s="241"/>
      <c r="AF839" s="241"/>
      <c r="AG839" s="241"/>
      <c r="AH839" s="241"/>
      <c r="AI839" s="241"/>
      <c r="AJ839" s="241"/>
      <c r="AK839" s="241"/>
      <c r="AL839" s="241"/>
      <c r="AM839" s="241"/>
      <c r="AN839" s="241"/>
      <c r="AO839" s="241"/>
      <c r="AP839" s="241"/>
      <c r="AQ839" s="241"/>
      <c r="AR839" s="241"/>
      <c r="AS839" s="241"/>
      <c r="AT839" s="241"/>
      <c r="AU839" s="241"/>
      <c r="AV839" s="241"/>
      <c r="AW839" s="241"/>
      <c r="AX839" s="241"/>
      <c r="AY839" s="241"/>
      <c r="AZ839" s="241"/>
    </row>
    <row r="840" spans="1:52" ht="18" customHeight="1">
      <c r="A840" s="250"/>
      <c r="B840" s="241"/>
      <c r="C840" s="241"/>
      <c r="D840" s="241"/>
      <c r="E840" s="241"/>
      <c r="F840" s="241"/>
      <c r="G840" s="241"/>
      <c r="H840" s="241"/>
      <c r="I840" s="241"/>
      <c r="J840" s="241"/>
      <c r="K840" s="241"/>
      <c r="L840" s="241"/>
      <c r="M840" s="241"/>
      <c r="N840" s="241"/>
      <c r="O840" s="241"/>
      <c r="P840" s="241"/>
      <c r="Q840" s="241"/>
      <c r="R840" s="241"/>
      <c r="S840" s="241"/>
      <c r="T840" s="241"/>
      <c r="U840" s="241"/>
      <c r="V840" s="241"/>
      <c r="W840" s="241"/>
      <c r="X840" s="241"/>
      <c r="Y840" s="241"/>
      <c r="Z840" s="241"/>
      <c r="AA840" s="241"/>
      <c r="AB840" s="241"/>
      <c r="AC840" s="241"/>
      <c r="AD840" s="241"/>
      <c r="AE840" s="241"/>
      <c r="AF840" s="241"/>
      <c r="AG840" s="241"/>
      <c r="AH840" s="241"/>
      <c r="AI840" s="241"/>
      <c r="AJ840" s="241"/>
      <c r="AK840" s="241"/>
      <c r="AL840" s="241"/>
      <c r="AM840" s="241"/>
      <c r="AN840" s="241"/>
      <c r="AO840" s="241"/>
      <c r="AP840" s="241"/>
      <c r="AQ840" s="241"/>
      <c r="AR840" s="241"/>
      <c r="AS840" s="241"/>
      <c r="AT840" s="241"/>
      <c r="AU840" s="241"/>
      <c r="AV840" s="241"/>
      <c r="AW840" s="241"/>
      <c r="AX840" s="241"/>
      <c r="AY840" s="241"/>
      <c r="AZ840" s="241"/>
    </row>
    <row r="841" spans="1:52" ht="18" customHeight="1">
      <c r="A841" s="250"/>
      <c r="B841" s="241"/>
      <c r="C841" s="241"/>
      <c r="D841" s="241"/>
      <c r="E841" s="241"/>
      <c r="F841" s="241"/>
      <c r="G841" s="241"/>
      <c r="H841" s="241"/>
      <c r="I841" s="241"/>
      <c r="J841" s="241"/>
      <c r="K841" s="241"/>
      <c r="L841" s="241"/>
      <c r="M841" s="241"/>
      <c r="N841" s="241"/>
      <c r="O841" s="241"/>
      <c r="P841" s="241"/>
      <c r="Q841" s="241"/>
      <c r="R841" s="241"/>
      <c r="S841" s="241"/>
      <c r="T841" s="241"/>
      <c r="U841" s="241"/>
      <c r="V841" s="241"/>
      <c r="W841" s="241"/>
      <c r="X841" s="241"/>
      <c r="Y841" s="241"/>
      <c r="Z841" s="241"/>
      <c r="AA841" s="241"/>
      <c r="AB841" s="241"/>
      <c r="AC841" s="241"/>
      <c r="AD841" s="241"/>
      <c r="AE841" s="241"/>
      <c r="AF841" s="241"/>
      <c r="AG841" s="241"/>
      <c r="AH841" s="241"/>
      <c r="AI841" s="241"/>
      <c r="AJ841" s="241"/>
      <c r="AK841" s="241"/>
      <c r="AL841" s="241"/>
      <c r="AM841" s="241"/>
      <c r="AN841" s="241"/>
      <c r="AO841" s="241"/>
      <c r="AP841" s="241"/>
      <c r="AQ841" s="241"/>
      <c r="AR841" s="241"/>
      <c r="AS841" s="241"/>
      <c r="AT841" s="241"/>
      <c r="AU841" s="241"/>
      <c r="AV841" s="241"/>
      <c r="AW841" s="241"/>
      <c r="AX841" s="241"/>
      <c r="AY841" s="241"/>
      <c r="AZ841" s="241"/>
    </row>
    <row r="842" spans="1:52" ht="18" customHeight="1">
      <c r="A842" s="250"/>
      <c r="B842" s="241"/>
      <c r="C842" s="241"/>
      <c r="D842" s="241"/>
      <c r="E842" s="241"/>
      <c r="F842" s="241"/>
      <c r="G842" s="241"/>
      <c r="H842" s="241"/>
      <c r="I842" s="241"/>
      <c r="J842" s="241"/>
      <c r="K842" s="241"/>
      <c r="L842" s="241"/>
      <c r="M842" s="241"/>
      <c r="N842" s="241"/>
      <c r="O842" s="241"/>
      <c r="P842" s="241"/>
      <c r="Q842" s="241"/>
      <c r="R842" s="241"/>
      <c r="S842" s="241"/>
      <c r="T842" s="241"/>
      <c r="U842" s="241"/>
      <c r="V842" s="241"/>
      <c r="W842" s="241"/>
      <c r="X842" s="241"/>
      <c r="Y842" s="241"/>
      <c r="Z842" s="241"/>
      <c r="AA842" s="241"/>
      <c r="AB842" s="241"/>
      <c r="AC842" s="241"/>
      <c r="AD842" s="241"/>
      <c r="AE842" s="241"/>
      <c r="AF842" s="241"/>
      <c r="AG842" s="241"/>
      <c r="AH842" s="241"/>
      <c r="AI842" s="241"/>
      <c r="AJ842" s="241"/>
      <c r="AK842" s="241"/>
      <c r="AL842" s="241"/>
      <c r="AM842" s="241"/>
      <c r="AN842" s="241"/>
      <c r="AO842" s="241"/>
      <c r="AP842" s="241"/>
      <c r="AQ842" s="241"/>
      <c r="AR842" s="241"/>
      <c r="AS842" s="241"/>
      <c r="AT842" s="241"/>
      <c r="AU842" s="241"/>
      <c r="AV842" s="241"/>
      <c r="AW842" s="241"/>
      <c r="AX842" s="241"/>
      <c r="AY842" s="241"/>
      <c r="AZ842" s="241"/>
    </row>
    <row r="843" spans="1:52" ht="18" customHeight="1">
      <c r="A843" s="250"/>
      <c r="B843" s="241"/>
      <c r="C843" s="241"/>
      <c r="D843" s="241"/>
      <c r="E843" s="241"/>
      <c r="F843" s="241"/>
      <c r="G843" s="241"/>
      <c r="H843" s="241"/>
      <c r="I843" s="241"/>
      <c r="J843" s="241"/>
      <c r="K843" s="241"/>
      <c r="L843" s="241"/>
      <c r="M843" s="241"/>
      <c r="N843" s="241"/>
      <c r="O843" s="241"/>
      <c r="P843" s="241"/>
      <c r="Q843" s="241"/>
      <c r="R843" s="241"/>
      <c r="S843" s="241"/>
      <c r="T843" s="241"/>
      <c r="U843" s="241"/>
      <c r="V843" s="241"/>
      <c r="W843" s="241"/>
      <c r="X843" s="241"/>
      <c r="Y843" s="241"/>
      <c r="Z843" s="241"/>
      <c r="AA843" s="241"/>
      <c r="AB843" s="241"/>
      <c r="AC843" s="241"/>
      <c r="AD843" s="241"/>
      <c r="AE843" s="241"/>
      <c r="AF843" s="241"/>
      <c r="AG843" s="241"/>
      <c r="AH843" s="241"/>
      <c r="AI843" s="241"/>
      <c r="AJ843" s="241"/>
      <c r="AK843" s="241"/>
      <c r="AL843" s="241"/>
      <c r="AM843" s="241"/>
      <c r="AN843" s="241"/>
      <c r="AO843" s="241"/>
      <c r="AP843" s="241"/>
      <c r="AQ843" s="241"/>
      <c r="AR843" s="241"/>
      <c r="AS843" s="241"/>
      <c r="AT843" s="241"/>
      <c r="AU843" s="241"/>
      <c r="AV843" s="241"/>
      <c r="AW843" s="241"/>
      <c r="AX843" s="241"/>
      <c r="AY843" s="241"/>
      <c r="AZ843" s="241"/>
    </row>
    <row r="844" spans="1:52" ht="18" customHeight="1">
      <c r="A844" s="250"/>
      <c r="B844" s="241"/>
      <c r="C844" s="241"/>
      <c r="D844" s="241"/>
      <c r="E844" s="241"/>
      <c r="F844" s="241"/>
      <c r="G844" s="241"/>
      <c r="H844" s="241"/>
      <c r="I844" s="241"/>
      <c r="J844" s="241"/>
      <c r="K844" s="241"/>
      <c r="L844" s="241"/>
      <c r="M844" s="241"/>
      <c r="N844" s="241"/>
      <c r="O844" s="241"/>
      <c r="P844" s="241"/>
      <c r="Q844" s="241"/>
      <c r="R844" s="241"/>
      <c r="S844" s="241"/>
      <c r="T844" s="241"/>
      <c r="U844" s="241"/>
      <c r="V844" s="241"/>
      <c r="W844" s="241"/>
      <c r="X844" s="241"/>
      <c r="Y844" s="241"/>
      <c r="Z844" s="241"/>
      <c r="AA844" s="241"/>
      <c r="AB844" s="241"/>
      <c r="AC844" s="241"/>
      <c r="AD844" s="241"/>
      <c r="AE844" s="241"/>
      <c r="AF844" s="241"/>
      <c r="AG844" s="241"/>
      <c r="AH844" s="241"/>
      <c r="AI844" s="241"/>
      <c r="AJ844" s="241"/>
      <c r="AK844" s="241"/>
      <c r="AL844" s="241"/>
      <c r="AM844" s="241"/>
      <c r="AN844" s="241"/>
      <c r="AO844" s="241"/>
      <c r="AP844" s="241"/>
      <c r="AQ844" s="241"/>
      <c r="AR844" s="241"/>
      <c r="AS844" s="241"/>
      <c r="AT844" s="241"/>
      <c r="AU844" s="241"/>
      <c r="AV844" s="241"/>
      <c r="AW844" s="241"/>
      <c r="AX844" s="241"/>
      <c r="AY844" s="241"/>
      <c r="AZ844" s="241"/>
    </row>
    <row r="845" spans="1:52" ht="18" customHeight="1">
      <c r="A845" s="250"/>
      <c r="B845" s="241"/>
      <c r="C845" s="241"/>
      <c r="D845" s="241"/>
      <c r="E845" s="241"/>
      <c r="F845" s="241"/>
      <c r="G845" s="241"/>
      <c r="H845" s="241"/>
      <c r="I845" s="241"/>
      <c r="J845" s="241"/>
      <c r="K845" s="241"/>
      <c r="L845" s="241"/>
      <c r="M845" s="241"/>
      <c r="N845" s="241"/>
      <c r="O845" s="241"/>
      <c r="P845" s="241"/>
      <c r="Q845" s="241"/>
      <c r="R845" s="241"/>
      <c r="S845" s="241"/>
      <c r="T845" s="241"/>
      <c r="U845" s="241"/>
      <c r="V845" s="241"/>
      <c r="W845" s="241"/>
      <c r="X845" s="241"/>
      <c r="Y845" s="241"/>
      <c r="Z845" s="241"/>
      <c r="AA845" s="241"/>
      <c r="AB845" s="241"/>
      <c r="AC845" s="241"/>
      <c r="AD845" s="241"/>
      <c r="AE845" s="241"/>
      <c r="AF845" s="241"/>
      <c r="AG845" s="241"/>
      <c r="AH845" s="241"/>
      <c r="AI845" s="241"/>
      <c r="AJ845" s="241"/>
      <c r="AK845" s="241"/>
      <c r="AL845" s="241"/>
      <c r="AM845" s="241"/>
      <c r="AN845" s="241"/>
      <c r="AO845" s="241"/>
      <c r="AP845" s="241"/>
      <c r="AQ845" s="241"/>
      <c r="AR845" s="241"/>
      <c r="AS845" s="241"/>
      <c r="AT845" s="241"/>
      <c r="AU845" s="241"/>
      <c r="AV845" s="241"/>
      <c r="AW845" s="241"/>
      <c r="AX845" s="241"/>
      <c r="AY845" s="241"/>
      <c r="AZ845" s="241"/>
    </row>
    <row r="846" spans="1:52" ht="18" customHeight="1">
      <c r="A846" s="250"/>
      <c r="B846" s="241"/>
      <c r="C846" s="241"/>
      <c r="D846" s="241"/>
      <c r="E846" s="241"/>
      <c r="F846" s="241"/>
      <c r="G846" s="241"/>
      <c r="H846" s="241"/>
      <c r="I846" s="241"/>
      <c r="J846" s="241"/>
      <c r="K846" s="241"/>
      <c r="L846" s="241"/>
      <c r="M846" s="241"/>
      <c r="N846" s="241"/>
      <c r="O846" s="241"/>
      <c r="P846" s="241"/>
      <c r="Q846" s="241"/>
      <c r="R846" s="241"/>
      <c r="S846" s="241"/>
      <c r="T846" s="241"/>
      <c r="U846" s="241"/>
      <c r="V846" s="241"/>
      <c r="W846" s="241"/>
      <c r="X846" s="241"/>
      <c r="Y846" s="241"/>
      <c r="Z846" s="241"/>
      <c r="AA846" s="241"/>
      <c r="AB846" s="241"/>
      <c r="AC846" s="241"/>
      <c r="AD846" s="241"/>
      <c r="AE846" s="241"/>
      <c r="AF846" s="241"/>
      <c r="AG846" s="241"/>
      <c r="AH846" s="241"/>
      <c r="AI846" s="241"/>
      <c r="AJ846" s="241"/>
      <c r="AK846" s="241"/>
      <c r="AL846" s="241"/>
      <c r="AM846" s="241"/>
      <c r="AN846" s="241"/>
      <c r="AO846" s="241"/>
      <c r="AP846" s="241"/>
      <c r="AQ846" s="241"/>
      <c r="AR846" s="241"/>
      <c r="AS846" s="241"/>
      <c r="AT846" s="241"/>
      <c r="AU846" s="241"/>
      <c r="AV846" s="241"/>
      <c r="AW846" s="241"/>
      <c r="AX846" s="241"/>
      <c r="AY846" s="241"/>
      <c r="AZ846" s="241"/>
    </row>
    <row r="847" spans="1:52" ht="18" customHeight="1">
      <c r="A847" s="250"/>
      <c r="B847" s="241"/>
      <c r="C847" s="241"/>
      <c r="D847" s="241"/>
      <c r="E847" s="241"/>
      <c r="F847" s="241"/>
      <c r="G847" s="241"/>
      <c r="H847" s="241"/>
      <c r="I847" s="241"/>
      <c r="J847" s="241"/>
      <c r="K847" s="241"/>
      <c r="L847" s="241"/>
      <c r="M847" s="241"/>
      <c r="N847" s="241"/>
      <c r="O847" s="241"/>
      <c r="P847" s="241"/>
      <c r="Q847" s="241"/>
      <c r="R847" s="241"/>
      <c r="S847" s="241"/>
      <c r="T847" s="241"/>
      <c r="U847" s="241"/>
      <c r="V847" s="241"/>
      <c r="W847" s="241"/>
      <c r="X847" s="241"/>
      <c r="Y847" s="241"/>
      <c r="Z847" s="241"/>
      <c r="AA847" s="241"/>
      <c r="AB847" s="241"/>
      <c r="AC847" s="241"/>
      <c r="AD847" s="241"/>
      <c r="AE847" s="241"/>
      <c r="AF847" s="241"/>
      <c r="AG847" s="241"/>
      <c r="AH847" s="241"/>
      <c r="AI847" s="241"/>
      <c r="AJ847" s="241"/>
      <c r="AK847" s="241"/>
      <c r="AL847" s="241"/>
      <c r="AM847" s="241"/>
      <c r="AN847" s="241"/>
      <c r="AO847" s="241"/>
      <c r="AP847" s="241"/>
      <c r="AQ847" s="241"/>
      <c r="AR847" s="241"/>
      <c r="AS847" s="241"/>
      <c r="AT847" s="241"/>
      <c r="AU847" s="241"/>
      <c r="AV847" s="241"/>
      <c r="AW847" s="241"/>
      <c r="AX847" s="241"/>
      <c r="AY847" s="241"/>
      <c r="AZ847" s="241"/>
    </row>
    <row r="848" spans="1:52" ht="18" customHeight="1">
      <c r="A848" s="250"/>
      <c r="B848" s="241"/>
      <c r="C848" s="241"/>
      <c r="D848" s="241"/>
      <c r="E848" s="241"/>
      <c r="F848" s="241"/>
      <c r="G848" s="241"/>
      <c r="H848" s="241"/>
      <c r="I848" s="241"/>
      <c r="J848" s="241"/>
      <c r="K848" s="241"/>
      <c r="L848" s="241"/>
      <c r="M848" s="241"/>
      <c r="N848" s="241"/>
      <c r="O848" s="241"/>
      <c r="P848" s="241"/>
      <c r="Q848" s="241"/>
      <c r="R848" s="241"/>
      <c r="S848" s="241"/>
      <c r="T848" s="241"/>
      <c r="U848" s="241"/>
      <c r="V848" s="241"/>
      <c r="W848" s="241"/>
      <c r="X848" s="241"/>
      <c r="Y848" s="241"/>
      <c r="Z848" s="241"/>
      <c r="AA848" s="241"/>
      <c r="AB848" s="241"/>
      <c r="AC848" s="241"/>
      <c r="AD848" s="241"/>
      <c r="AE848" s="241"/>
      <c r="AF848" s="241"/>
      <c r="AG848" s="241"/>
      <c r="AH848" s="241"/>
      <c r="AI848" s="241"/>
      <c r="AJ848" s="241"/>
      <c r="AK848" s="241"/>
      <c r="AL848" s="241"/>
      <c r="AM848" s="241"/>
      <c r="AN848" s="241"/>
      <c r="AO848" s="241"/>
      <c r="AP848" s="241"/>
      <c r="AQ848" s="241"/>
      <c r="AR848" s="241"/>
      <c r="AS848" s="241"/>
      <c r="AT848" s="241"/>
      <c r="AU848" s="241"/>
      <c r="AV848" s="241"/>
      <c r="AW848" s="241"/>
      <c r="AX848" s="241"/>
      <c r="AY848" s="241"/>
      <c r="AZ848" s="241"/>
    </row>
    <row r="849" spans="1:52" ht="18" customHeight="1">
      <c r="A849" s="250"/>
      <c r="B849" s="241"/>
      <c r="C849" s="241"/>
      <c r="D849" s="241"/>
      <c r="E849" s="241"/>
      <c r="F849" s="241"/>
      <c r="G849" s="241"/>
      <c r="H849" s="241"/>
      <c r="I849" s="241"/>
      <c r="J849" s="241"/>
      <c r="K849" s="241"/>
      <c r="L849" s="241"/>
      <c r="M849" s="241"/>
      <c r="N849" s="241"/>
      <c r="O849" s="241"/>
      <c r="P849" s="241"/>
      <c r="Q849" s="241"/>
      <c r="R849" s="241"/>
      <c r="S849" s="241"/>
      <c r="T849" s="241"/>
      <c r="U849" s="241"/>
      <c r="V849" s="241"/>
      <c r="W849" s="241"/>
      <c r="X849" s="241"/>
      <c r="Y849" s="241"/>
      <c r="Z849" s="241"/>
      <c r="AA849" s="241"/>
      <c r="AB849" s="241"/>
      <c r="AC849" s="241"/>
      <c r="AD849" s="241"/>
      <c r="AE849" s="241"/>
      <c r="AF849" s="241"/>
      <c r="AG849" s="241"/>
      <c r="AH849" s="241"/>
      <c r="AI849" s="241"/>
      <c r="AJ849" s="241"/>
      <c r="AK849" s="241"/>
      <c r="AL849" s="241"/>
      <c r="AM849" s="241"/>
      <c r="AN849" s="241"/>
      <c r="AO849" s="241"/>
      <c r="AP849" s="241"/>
      <c r="AQ849" s="241"/>
      <c r="AR849" s="241"/>
      <c r="AS849" s="241"/>
      <c r="AT849" s="241"/>
      <c r="AU849" s="241"/>
      <c r="AV849" s="241"/>
      <c r="AW849" s="241"/>
      <c r="AX849" s="241"/>
      <c r="AY849" s="241"/>
      <c r="AZ849" s="241"/>
    </row>
    <row r="850" spans="1:52" ht="18" customHeight="1">
      <c r="A850" s="250"/>
      <c r="B850" s="241"/>
      <c r="C850" s="241"/>
      <c r="D850" s="241"/>
      <c r="E850" s="241"/>
      <c r="F850" s="241"/>
      <c r="G850" s="241"/>
      <c r="H850" s="241"/>
      <c r="I850" s="241"/>
      <c r="J850" s="241"/>
      <c r="K850" s="241"/>
      <c r="L850" s="241"/>
      <c r="M850" s="241"/>
      <c r="N850" s="241"/>
      <c r="O850" s="241"/>
      <c r="P850" s="241"/>
      <c r="Q850" s="241"/>
      <c r="R850" s="241"/>
      <c r="S850" s="241"/>
      <c r="T850" s="241"/>
      <c r="U850" s="241"/>
      <c r="V850" s="241"/>
      <c r="W850" s="241"/>
      <c r="X850" s="241"/>
      <c r="Y850" s="241"/>
      <c r="Z850" s="241"/>
      <c r="AA850" s="241"/>
      <c r="AB850" s="241"/>
      <c r="AC850" s="241"/>
      <c r="AD850" s="241"/>
      <c r="AE850" s="241"/>
      <c r="AF850" s="241"/>
      <c r="AG850" s="241"/>
      <c r="AH850" s="241"/>
      <c r="AI850" s="241"/>
      <c r="AJ850" s="241"/>
      <c r="AK850" s="241"/>
      <c r="AL850" s="241"/>
      <c r="AM850" s="241"/>
      <c r="AN850" s="241"/>
      <c r="AO850" s="241"/>
      <c r="AP850" s="241"/>
      <c r="AQ850" s="241"/>
      <c r="AR850" s="241"/>
      <c r="AS850" s="241"/>
      <c r="AT850" s="241"/>
      <c r="AU850" s="241"/>
      <c r="AV850" s="241"/>
      <c r="AW850" s="241"/>
      <c r="AX850" s="241"/>
      <c r="AY850" s="241"/>
      <c r="AZ850" s="241"/>
    </row>
    <row r="851" spans="1:52" ht="18" customHeight="1">
      <c r="A851" s="250"/>
      <c r="B851" s="241"/>
      <c r="C851" s="241"/>
      <c r="D851" s="241"/>
      <c r="E851" s="241"/>
      <c r="F851" s="241"/>
      <c r="G851" s="241"/>
      <c r="H851" s="241"/>
      <c r="I851" s="241"/>
      <c r="J851" s="241"/>
      <c r="K851" s="241"/>
      <c r="L851" s="241"/>
      <c r="M851" s="241"/>
      <c r="N851" s="241"/>
      <c r="O851" s="241"/>
      <c r="P851" s="241"/>
      <c r="Q851" s="241"/>
      <c r="R851" s="241"/>
      <c r="S851" s="241"/>
      <c r="T851" s="241"/>
      <c r="U851" s="241"/>
      <c r="V851" s="241"/>
      <c r="W851" s="241"/>
      <c r="X851" s="241"/>
      <c r="Y851" s="241"/>
      <c r="Z851" s="241"/>
      <c r="AA851" s="241"/>
      <c r="AB851" s="241"/>
      <c r="AC851" s="241"/>
      <c r="AD851" s="241"/>
      <c r="AE851" s="241"/>
      <c r="AF851" s="241"/>
      <c r="AG851" s="241"/>
      <c r="AH851" s="241"/>
      <c r="AI851" s="241"/>
      <c r="AJ851" s="241"/>
      <c r="AK851" s="241"/>
      <c r="AL851" s="241"/>
      <c r="AM851" s="241"/>
      <c r="AN851" s="241"/>
      <c r="AO851" s="241"/>
      <c r="AP851" s="241"/>
      <c r="AQ851" s="241"/>
      <c r="AR851" s="241"/>
      <c r="AS851" s="241"/>
      <c r="AT851" s="241"/>
      <c r="AU851" s="241"/>
      <c r="AV851" s="241"/>
      <c r="AW851" s="241"/>
      <c r="AX851" s="241"/>
      <c r="AY851" s="241"/>
      <c r="AZ851" s="241"/>
    </row>
    <row r="852" spans="1:52" ht="18" customHeight="1">
      <c r="A852" s="250"/>
      <c r="B852" s="241"/>
      <c r="C852" s="241"/>
      <c r="D852" s="241"/>
      <c r="E852" s="241"/>
      <c r="F852" s="241"/>
      <c r="G852" s="241"/>
      <c r="H852" s="241"/>
      <c r="I852" s="241"/>
      <c r="J852" s="241"/>
      <c r="K852" s="241"/>
      <c r="L852" s="241"/>
      <c r="M852" s="241"/>
      <c r="N852" s="241"/>
      <c r="O852" s="241"/>
      <c r="P852" s="241"/>
      <c r="Q852" s="241"/>
      <c r="R852" s="241"/>
      <c r="S852" s="241"/>
      <c r="T852" s="241"/>
      <c r="U852" s="241"/>
      <c r="V852" s="241"/>
      <c r="W852" s="241"/>
      <c r="X852" s="241"/>
      <c r="Y852" s="241"/>
      <c r="Z852" s="241"/>
      <c r="AA852" s="241"/>
      <c r="AB852" s="241"/>
      <c r="AC852" s="241"/>
      <c r="AD852" s="241"/>
      <c r="AE852" s="241"/>
      <c r="AF852" s="241"/>
      <c r="AG852" s="241"/>
      <c r="AH852" s="241"/>
      <c r="AI852" s="241"/>
      <c r="AJ852" s="241"/>
      <c r="AK852" s="241"/>
      <c r="AL852" s="241"/>
      <c r="AM852" s="241"/>
      <c r="AN852" s="241"/>
      <c r="AO852" s="241"/>
      <c r="AP852" s="241"/>
      <c r="AQ852" s="241"/>
      <c r="AR852" s="241"/>
      <c r="AS852" s="241"/>
      <c r="AT852" s="241"/>
      <c r="AU852" s="241"/>
      <c r="AV852" s="241"/>
      <c r="AW852" s="241"/>
      <c r="AX852" s="241"/>
      <c r="AY852" s="241"/>
      <c r="AZ852" s="241"/>
    </row>
    <row r="853" spans="1:52" ht="18" customHeight="1">
      <c r="A853" s="250"/>
      <c r="B853" s="241"/>
      <c r="C853" s="241"/>
      <c r="D853" s="241"/>
      <c r="E853" s="241"/>
      <c r="F853" s="241"/>
      <c r="G853" s="241"/>
      <c r="H853" s="241"/>
      <c r="I853" s="241"/>
      <c r="J853" s="241"/>
      <c r="K853" s="241"/>
      <c r="L853" s="241"/>
      <c r="M853" s="241"/>
      <c r="N853" s="241"/>
      <c r="O853" s="241"/>
      <c r="P853" s="241"/>
      <c r="Q853" s="241"/>
      <c r="R853" s="241"/>
      <c r="S853" s="241"/>
      <c r="T853" s="241"/>
      <c r="U853" s="241"/>
      <c r="V853" s="241"/>
      <c r="W853" s="241"/>
      <c r="X853" s="241"/>
      <c r="Y853" s="241"/>
      <c r="Z853" s="241"/>
      <c r="AA853" s="241"/>
      <c r="AB853" s="241"/>
      <c r="AC853" s="241"/>
      <c r="AD853" s="241"/>
      <c r="AE853" s="241"/>
      <c r="AF853" s="241"/>
      <c r="AG853" s="241"/>
      <c r="AH853" s="241"/>
      <c r="AI853" s="241"/>
      <c r="AJ853" s="241"/>
      <c r="AK853" s="241"/>
      <c r="AL853" s="241"/>
      <c r="AM853" s="241"/>
      <c r="AN853" s="241"/>
      <c r="AO853" s="241"/>
      <c r="AP853" s="241"/>
      <c r="AQ853" s="241"/>
      <c r="AR853" s="241"/>
      <c r="AS853" s="241"/>
      <c r="AT853" s="241"/>
      <c r="AU853" s="241"/>
      <c r="AV853" s="241"/>
      <c r="AW853" s="241"/>
      <c r="AX853" s="241"/>
      <c r="AY853" s="241"/>
      <c r="AZ853" s="241"/>
    </row>
    <row r="854" spans="1:52" ht="18" customHeight="1">
      <c r="A854" s="250"/>
      <c r="B854" s="241"/>
      <c r="C854" s="241"/>
      <c r="D854" s="241"/>
      <c r="E854" s="241"/>
      <c r="F854" s="241"/>
      <c r="G854" s="241"/>
      <c r="H854" s="241"/>
      <c r="I854" s="241"/>
      <c r="J854" s="241"/>
      <c r="K854" s="241"/>
      <c r="L854" s="241"/>
      <c r="M854" s="241"/>
      <c r="N854" s="241"/>
      <c r="O854" s="241"/>
      <c r="P854" s="241"/>
      <c r="Q854" s="241"/>
      <c r="R854" s="241"/>
      <c r="S854" s="241"/>
      <c r="T854" s="241"/>
      <c r="U854" s="241"/>
      <c r="V854" s="241"/>
      <c r="W854" s="241"/>
      <c r="X854" s="241"/>
      <c r="Y854" s="241"/>
      <c r="Z854" s="241"/>
      <c r="AA854" s="241"/>
      <c r="AB854" s="241"/>
      <c r="AC854" s="241"/>
      <c r="AD854" s="241"/>
      <c r="AE854" s="241"/>
      <c r="AF854" s="241"/>
      <c r="AG854" s="241"/>
      <c r="AH854" s="241"/>
      <c r="AI854" s="241"/>
      <c r="AJ854" s="241"/>
      <c r="AK854" s="241"/>
      <c r="AL854" s="241"/>
      <c r="AM854" s="241"/>
      <c r="AN854" s="241"/>
      <c r="AO854" s="241"/>
      <c r="AP854" s="241"/>
      <c r="AQ854" s="241"/>
      <c r="AR854" s="241"/>
      <c r="AS854" s="241"/>
      <c r="AT854" s="241"/>
      <c r="AU854" s="241"/>
      <c r="AV854" s="241"/>
      <c r="AW854" s="241"/>
      <c r="AX854" s="241"/>
      <c r="AY854" s="241"/>
      <c r="AZ854" s="241"/>
    </row>
    <row r="855" spans="1:52" ht="18" customHeight="1">
      <c r="A855" s="250"/>
      <c r="B855" s="241"/>
      <c r="C855" s="241"/>
      <c r="D855" s="241"/>
      <c r="E855" s="241"/>
      <c r="F855" s="241"/>
      <c r="G855" s="241"/>
      <c r="H855" s="241"/>
      <c r="I855" s="241"/>
      <c r="J855" s="241"/>
      <c r="K855" s="241"/>
      <c r="L855" s="241"/>
      <c r="M855" s="241"/>
      <c r="N855" s="241"/>
      <c r="O855" s="241"/>
      <c r="P855" s="241"/>
      <c r="Q855" s="241"/>
      <c r="R855" s="241"/>
      <c r="S855" s="241"/>
      <c r="T855" s="241"/>
      <c r="U855" s="241"/>
      <c r="V855" s="241"/>
      <c r="W855" s="241"/>
      <c r="X855" s="241"/>
      <c r="Y855" s="241"/>
      <c r="Z855" s="241"/>
      <c r="AA855" s="241"/>
      <c r="AB855" s="241"/>
      <c r="AC855" s="241"/>
      <c r="AD855" s="241"/>
      <c r="AE855" s="241"/>
      <c r="AF855" s="241"/>
      <c r="AG855" s="241"/>
      <c r="AH855" s="241"/>
      <c r="AI855" s="241"/>
      <c r="AJ855" s="241"/>
      <c r="AK855" s="241"/>
      <c r="AL855" s="241"/>
      <c r="AM855" s="241"/>
      <c r="AN855" s="241"/>
      <c r="AO855" s="241"/>
      <c r="AP855" s="241"/>
      <c r="AQ855" s="241"/>
      <c r="AR855" s="241"/>
      <c r="AS855" s="241"/>
      <c r="AT855" s="241"/>
      <c r="AU855" s="241"/>
      <c r="AV855" s="241"/>
      <c r="AW855" s="241"/>
      <c r="AX855" s="241"/>
      <c r="AY855" s="241"/>
      <c r="AZ855" s="241"/>
    </row>
    <row r="856" spans="1:52" ht="18" customHeight="1">
      <c r="A856" s="250"/>
      <c r="B856" s="241"/>
      <c r="C856" s="241"/>
      <c r="D856" s="241"/>
      <c r="E856" s="241"/>
      <c r="F856" s="241"/>
      <c r="G856" s="241"/>
      <c r="H856" s="241"/>
      <c r="I856" s="241"/>
      <c r="J856" s="241"/>
      <c r="K856" s="241"/>
      <c r="L856" s="241"/>
      <c r="M856" s="241"/>
      <c r="N856" s="241"/>
      <c r="O856" s="241"/>
      <c r="P856" s="241"/>
      <c r="Q856" s="241"/>
      <c r="R856" s="241"/>
      <c r="S856" s="241"/>
      <c r="T856" s="241"/>
      <c r="U856" s="241"/>
      <c r="V856" s="241"/>
      <c r="W856" s="241"/>
      <c r="X856" s="241"/>
      <c r="Y856" s="241"/>
      <c r="Z856" s="241"/>
      <c r="AA856" s="241"/>
      <c r="AB856" s="241"/>
      <c r="AC856" s="241"/>
      <c r="AD856" s="241"/>
      <c r="AE856" s="241"/>
      <c r="AF856" s="241"/>
      <c r="AG856" s="241"/>
      <c r="AH856" s="241"/>
      <c r="AI856" s="241"/>
      <c r="AJ856" s="241"/>
      <c r="AK856" s="241"/>
      <c r="AL856" s="241"/>
      <c r="AM856" s="241"/>
      <c r="AN856" s="241"/>
      <c r="AO856" s="241"/>
      <c r="AP856" s="241"/>
      <c r="AQ856" s="241"/>
      <c r="AR856" s="241"/>
      <c r="AS856" s="241"/>
      <c r="AT856" s="241"/>
      <c r="AU856" s="241"/>
      <c r="AV856" s="241"/>
      <c r="AW856" s="241"/>
      <c r="AX856" s="241"/>
      <c r="AY856" s="241"/>
      <c r="AZ856" s="241"/>
    </row>
    <row r="857" spans="1:52" ht="18" customHeight="1">
      <c r="A857" s="250"/>
      <c r="B857" s="241"/>
      <c r="C857" s="241"/>
      <c r="D857" s="241"/>
      <c r="E857" s="241"/>
      <c r="F857" s="241"/>
      <c r="G857" s="241"/>
      <c r="H857" s="241"/>
      <c r="I857" s="241"/>
      <c r="J857" s="241"/>
      <c r="K857" s="241"/>
      <c r="L857" s="241"/>
      <c r="M857" s="241"/>
      <c r="N857" s="241"/>
      <c r="O857" s="241"/>
      <c r="P857" s="241"/>
      <c r="Q857" s="241"/>
      <c r="R857" s="241"/>
      <c r="S857" s="241"/>
      <c r="T857" s="241"/>
      <c r="U857" s="241"/>
      <c r="V857" s="241"/>
      <c r="W857" s="241"/>
      <c r="X857" s="241"/>
      <c r="Y857" s="241"/>
      <c r="Z857" s="241"/>
      <c r="AA857" s="241"/>
      <c r="AB857" s="241"/>
      <c r="AC857" s="241"/>
      <c r="AD857" s="241"/>
      <c r="AE857" s="241"/>
      <c r="AF857" s="241"/>
      <c r="AG857" s="241"/>
      <c r="AH857" s="241"/>
      <c r="AI857" s="241"/>
      <c r="AJ857" s="241"/>
      <c r="AK857" s="241"/>
      <c r="AL857" s="241"/>
      <c r="AM857" s="241"/>
      <c r="AN857" s="241"/>
      <c r="AO857" s="241"/>
      <c r="AP857" s="241"/>
      <c r="AQ857" s="241"/>
      <c r="AR857" s="241"/>
      <c r="AS857" s="241"/>
      <c r="AT857" s="241"/>
      <c r="AU857" s="241"/>
      <c r="AV857" s="241"/>
      <c r="AW857" s="241"/>
      <c r="AX857" s="241"/>
      <c r="AY857" s="241"/>
      <c r="AZ857" s="241"/>
    </row>
    <row r="858" spans="1:52" ht="18" customHeight="1">
      <c r="A858" s="250"/>
      <c r="B858" s="241"/>
      <c r="C858" s="241"/>
      <c r="D858" s="241"/>
      <c r="E858" s="241"/>
      <c r="F858" s="241"/>
      <c r="G858" s="241"/>
      <c r="H858" s="241"/>
      <c r="I858" s="241"/>
      <c r="J858" s="241"/>
      <c r="K858" s="241"/>
      <c r="L858" s="241"/>
      <c r="M858" s="241"/>
      <c r="N858" s="241"/>
      <c r="O858" s="241"/>
      <c r="P858" s="241"/>
      <c r="Q858" s="241"/>
      <c r="R858" s="241"/>
      <c r="S858" s="241"/>
      <c r="T858" s="241"/>
      <c r="U858" s="241"/>
      <c r="V858" s="241"/>
      <c r="W858" s="241"/>
      <c r="X858" s="241"/>
      <c r="Y858" s="241"/>
      <c r="Z858" s="241"/>
      <c r="AA858" s="241"/>
      <c r="AB858" s="241"/>
      <c r="AC858" s="241"/>
      <c r="AD858" s="241"/>
      <c r="AE858" s="241"/>
      <c r="AF858" s="241"/>
      <c r="AG858" s="241"/>
      <c r="AH858" s="241"/>
      <c r="AI858" s="241"/>
      <c r="AJ858" s="241"/>
      <c r="AK858" s="241"/>
      <c r="AL858" s="241"/>
      <c r="AM858" s="241"/>
      <c r="AN858" s="241"/>
      <c r="AO858" s="241"/>
      <c r="AP858" s="241"/>
      <c r="AQ858" s="241"/>
      <c r="AR858" s="241"/>
      <c r="AS858" s="241"/>
      <c r="AT858" s="241"/>
      <c r="AU858" s="241"/>
      <c r="AV858" s="241"/>
      <c r="AW858" s="241"/>
      <c r="AX858" s="241"/>
      <c r="AY858" s="241"/>
      <c r="AZ858" s="241"/>
    </row>
    <row r="859" spans="1:52" ht="18" customHeight="1">
      <c r="A859" s="250"/>
      <c r="B859" s="241"/>
      <c r="C859" s="241"/>
      <c r="D859" s="241"/>
      <c r="E859" s="241"/>
      <c r="F859" s="241"/>
      <c r="G859" s="241"/>
      <c r="H859" s="241"/>
      <c r="I859" s="241"/>
      <c r="J859" s="241"/>
      <c r="K859" s="241"/>
      <c r="L859" s="241"/>
      <c r="M859" s="241"/>
      <c r="N859" s="241"/>
      <c r="O859" s="241"/>
      <c r="P859" s="241"/>
      <c r="Q859" s="241"/>
      <c r="R859" s="241"/>
      <c r="S859" s="241"/>
      <c r="T859" s="241"/>
      <c r="U859" s="241"/>
      <c r="V859" s="241"/>
      <c r="W859" s="241"/>
      <c r="X859" s="241"/>
      <c r="Y859" s="241"/>
      <c r="Z859" s="241"/>
      <c r="AA859" s="241"/>
      <c r="AB859" s="241"/>
      <c r="AC859" s="241"/>
      <c r="AD859" s="241"/>
      <c r="AE859" s="241"/>
      <c r="AF859" s="241"/>
      <c r="AG859" s="241"/>
      <c r="AH859" s="241"/>
      <c r="AI859" s="241"/>
      <c r="AJ859" s="241"/>
      <c r="AK859" s="241"/>
      <c r="AL859" s="241"/>
      <c r="AM859" s="241"/>
      <c r="AN859" s="241"/>
      <c r="AO859" s="241"/>
      <c r="AP859" s="241"/>
      <c r="AQ859" s="241"/>
      <c r="AR859" s="241"/>
      <c r="AS859" s="241"/>
      <c r="AT859" s="241"/>
      <c r="AU859" s="241"/>
      <c r="AV859" s="241"/>
      <c r="AW859" s="241"/>
      <c r="AX859" s="241"/>
      <c r="AY859" s="241"/>
      <c r="AZ859" s="241"/>
    </row>
    <row r="860" spans="1:52" ht="18" customHeight="1">
      <c r="A860" s="250"/>
      <c r="B860" s="241"/>
      <c r="C860" s="241"/>
      <c r="D860" s="241"/>
      <c r="E860" s="241"/>
      <c r="F860" s="241"/>
      <c r="G860" s="241"/>
      <c r="H860" s="241"/>
      <c r="I860" s="241"/>
      <c r="J860" s="241"/>
      <c r="K860" s="241"/>
      <c r="L860" s="241"/>
      <c r="M860" s="241"/>
      <c r="N860" s="241"/>
      <c r="O860" s="241"/>
      <c r="P860" s="241"/>
      <c r="Q860" s="241"/>
      <c r="R860" s="241"/>
      <c r="S860" s="241"/>
      <c r="T860" s="241"/>
      <c r="U860" s="241"/>
      <c r="V860" s="241"/>
      <c r="W860" s="241"/>
      <c r="X860" s="241"/>
      <c r="Y860" s="241"/>
      <c r="Z860" s="241"/>
      <c r="AA860" s="241"/>
      <c r="AB860" s="241"/>
      <c r="AC860" s="241"/>
      <c r="AD860" s="241"/>
      <c r="AE860" s="241"/>
      <c r="AF860" s="241"/>
      <c r="AG860" s="241"/>
      <c r="AH860" s="241"/>
      <c r="AI860" s="241"/>
      <c r="AJ860" s="241"/>
      <c r="AK860" s="241"/>
      <c r="AL860" s="241"/>
      <c r="AM860" s="241"/>
      <c r="AN860" s="241"/>
      <c r="AO860" s="241"/>
      <c r="AP860" s="241"/>
      <c r="AQ860" s="241"/>
      <c r="AR860" s="241"/>
      <c r="AS860" s="241"/>
      <c r="AT860" s="241"/>
      <c r="AU860" s="241"/>
      <c r="AV860" s="241"/>
      <c r="AW860" s="241"/>
      <c r="AX860" s="241"/>
      <c r="AY860" s="241"/>
      <c r="AZ860" s="241"/>
    </row>
    <row r="861" spans="1:52" ht="18" customHeight="1">
      <c r="A861" s="250"/>
      <c r="B861" s="241"/>
      <c r="C861" s="241"/>
      <c r="D861" s="241"/>
      <c r="E861" s="241"/>
      <c r="F861" s="241"/>
      <c r="G861" s="241"/>
      <c r="H861" s="241"/>
      <c r="I861" s="241"/>
      <c r="J861" s="241"/>
      <c r="K861" s="241"/>
      <c r="L861" s="241"/>
      <c r="M861" s="241"/>
      <c r="N861" s="241"/>
      <c r="O861" s="241"/>
      <c r="P861" s="241"/>
      <c r="Q861" s="241"/>
      <c r="R861" s="241"/>
      <c r="S861" s="241"/>
      <c r="T861" s="241"/>
      <c r="U861" s="241"/>
      <c r="V861" s="241"/>
      <c r="W861" s="241"/>
      <c r="X861" s="241"/>
      <c r="Y861" s="241"/>
      <c r="Z861" s="241"/>
      <c r="AA861" s="241"/>
      <c r="AB861" s="241"/>
      <c r="AC861" s="241"/>
      <c r="AD861" s="241"/>
      <c r="AE861" s="241"/>
      <c r="AF861" s="241"/>
      <c r="AG861" s="241"/>
      <c r="AH861" s="241"/>
      <c r="AI861" s="241"/>
      <c r="AJ861" s="241"/>
      <c r="AK861" s="241"/>
      <c r="AL861" s="241"/>
      <c r="AM861" s="241"/>
      <c r="AN861" s="241"/>
      <c r="AO861" s="241"/>
      <c r="AP861" s="241"/>
      <c r="AQ861" s="241"/>
      <c r="AR861" s="241"/>
      <c r="AS861" s="241"/>
      <c r="AT861" s="241"/>
      <c r="AU861" s="241"/>
      <c r="AV861" s="241"/>
      <c r="AW861" s="241"/>
      <c r="AX861" s="241"/>
      <c r="AY861" s="241"/>
      <c r="AZ861" s="241"/>
    </row>
    <row r="862" spans="1:52" ht="18" customHeight="1">
      <c r="A862" s="250"/>
      <c r="B862" s="241"/>
      <c r="C862" s="241"/>
      <c r="D862" s="241"/>
      <c r="E862" s="241"/>
      <c r="F862" s="241"/>
      <c r="G862" s="241"/>
      <c r="H862" s="241"/>
      <c r="I862" s="241"/>
      <c r="J862" s="241"/>
      <c r="K862" s="241"/>
      <c r="L862" s="241"/>
      <c r="M862" s="241"/>
      <c r="N862" s="241"/>
      <c r="O862" s="241"/>
      <c r="P862" s="241"/>
      <c r="Q862" s="241"/>
      <c r="R862" s="241"/>
      <c r="S862" s="241"/>
      <c r="T862" s="241"/>
      <c r="U862" s="241"/>
      <c r="V862" s="241"/>
      <c r="W862" s="241"/>
      <c r="X862" s="241"/>
      <c r="Y862" s="241"/>
      <c r="Z862" s="241"/>
      <c r="AA862" s="241"/>
      <c r="AB862" s="241"/>
      <c r="AC862" s="241"/>
      <c r="AD862" s="241"/>
      <c r="AE862" s="241"/>
      <c r="AF862" s="241"/>
      <c r="AG862" s="241"/>
      <c r="AH862" s="241"/>
      <c r="AI862" s="241"/>
      <c r="AJ862" s="241"/>
      <c r="AK862" s="241"/>
      <c r="AL862" s="241"/>
      <c r="AM862" s="241"/>
      <c r="AN862" s="241"/>
      <c r="AO862" s="241"/>
      <c r="AP862" s="241"/>
      <c r="AQ862" s="241"/>
      <c r="AR862" s="241"/>
      <c r="AS862" s="241"/>
      <c r="AT862" s="241"/>
      <c r="AU862" s="241"/>
      <c r="AV862" s="241"/>
      <c r="AW862" s="241"/>
      <c r="AX862" s="241"/>
      <c r="AY862" s="241"/>
      <c r="AZ862" s="241"/>
    </row>
    <row r="863" spans="1:52" ht="18" customHeight="1">
      <c r="A863" s="250"/>
      <c r="B863" s="241"/>
      <c r="C863" s="241"/>
      <c r="D863" s="241"/>
      <c r="E863" s="241"/>
      <c r="F863" s="241"/>
      <c r="G863" s="241"/>
      <c r="H863" s="241"/>
      <c r="I863" s="241"/>
      <c r="J863" s="241"/>
      <c r="K863" s="241"/>
      <c r="L863" s="241"/>
      <c r="M863" s="241"/>
      <c r="N863" s="241"/>
      <c r="O863" s="241"/>
      <c r="P863" s="241"/>
      <c r="Q863" s="241"/>
      <c r="R863" s="241"/>
      <c r="S863" s="241"/>
      <c r="T863" s="241"/>
      <c r="U863" s="241"/>
      <c r="V863" s="241"/>
      <c r="W863" s="241"/>
      <c r="X863" s="241"/>
      <c r="Y863" s="241"/>
      <c r="Z863" s="241"/>
      <c r="AA863" s="241"/>
      <c r="AB863" s="241"/>
      <c r="AC863" s="241"/>
      <c r="AD863" s="241"/>
      <c r="AE863" s="241"/>
      <c r="AF863" s="241"/>
      <c r="AG863" s="241"/>
      <c r="AH863" s="241"/>
      <c r="AI863" s="241"/>
      <c r="AJ863" s="241"/>
      <c r="AK863" s="241"/>
      <c r="AL863" s="241"/>
      <c r="AM863" s="241"/>
      <c r="AN863" s="241"/>
      <c r="AO863" s="241"/>
      <c r="AP863" s="241"/>
      <c r="AQ863" s="241"/>
      <c r="AR863" s="241"/>
      <c r="AS863" s="241"/>
      <c r="AT863" s="241"/>
      <c r="AU863" s="241"/>
      <c r="AV863" s="241"/>
      <c r="AW863" s="241"/>
      <c r="AX863" s="241"/>
      <c r="AY863" s="241"/>
      <c r="AZ863" s="241"/>
    </row>
    <row r="864" spans="1:52" ht="18" customHeight="1">
      <c r="A864" s="250"/>
      <c r="B864" s="241"/>
      <c r="C864" s="241"/>
      <c r="D864" s="241"/>
      <c r="E864" s="241"/>
      <c r="F864" s="241"/>
      <c r="G864" s="241"/>
      <c r="H864" s="241"/>
      <c r="I864" s="241"/>
      <c r="J864" s="241"/>
      <c r="K864" s="241"/>
      <c r="L864" s="241"/>
      <c r="M864" s="241"/>
      <c r="N864" s="241"/>
      <c r="O864" s="241"/>
      <c r="P864" s="241"/>
      <c r="Q864" s="241"/>
      <c r="R864" s="241"/>
      <c r="S864" s="241"/>
      <c r="T864" s="241"/>
      <c r="U864" s="241"/>
      <c r="V864" s="241"/>
      <c r="W864" s="241"/>
      <c r="X864" s="241"/>
      <c r="Y864" s="241"/>
      <c r="Z864" s="241"/>
      <c r="AA864" s="241"/>
      <c r="AB864" s="241"/>
      <c r="AC864" s="241"/>
      <c r="AD864" s="241"/>
      <c r="AE864" s="241"/>
      <c r="AF864" s="241"/>
      <c r="AG864" s="241"/>
      <c r="AH864" s="241"/>
      <c r="AI864" s="241"/>
      <c r="AJ864" s="241"/>
      <c r="AK864" s="241"/>
      <c r="AL864" s="241"/>
      <c r="AM864" s="241"/>
      <c r="AN864" s="241"/>
      <c r="AO864" s="241"/>
      <c r="AP864" s="241"/>
      <c r="AQ864" s="241"/>
      <c r="AR864" s="241"/>
      <c r="AS864" s="241"/>
      <c r="AT864" s="241"/>
      <c r="AU864" s="241"/>
      <c r="AV864" s="241"/>
      <c r="AW864" s="241"/>
      <c r="AX864" s="241"/>
      <c r="AY864" s="241"/>
      <c r="AZ864" s="241"/>
    </row>
    <row r="865" spans="1:52" ht="18" customHeight="1">
      <c r="A865" s="250"/>
      <c r="B865" s="241"/>
      <c r="C865" s="241"/>
      <c r="D865" s="241"/>
      <c r="E865" s="241"/>
      <c r="F865" s="241"/>
      <c r="G865" s="241"/>
      <c r="H865" s="241"/>
      <c r="I865" s="241"/>
      <c r="J865" s="241"/>
      <c r="K865" s="241"/>
      <c r="L865" s="241"/>
      <c r="M865" s="241"/>
      <c r="N865" s="241"/>
      <c r="O865" s="241"/>
      <c r="P865" s="241"/>
      <c r="Q865" s="241"/>
      <c r="R865" s="241"/>
      <c r="S865" s="241"/>
      <c r="T865" s="241"/>
      <c r="U865" s="241"/>
      <c r="V865" s="241"/>
      <c r="W865" s="241"/>
      <c r="X865" s="241"/>
      <c r="Y865" s="241"/>
      <c r="Z865" s="241"/>
      <c r="AA865" s="241"/>
      <c r="AB865" s="241"/>
      <c r="AC865" s="241"/>
      <c r="AD865" s="241"/>
      <c r="AE865" s="241"/>
      <c r="AF865" s="241"/>
      <c r="AG865" s="241"/>
      <c r="AH865" s="241"/>
      <c r="AI865" s="241"/>
      <c r="AJ865" s="241"/>
      <c r="AK865" s="241"/>
      <c r="AL865" s="241"/>
      <c r="AM865" s="241"/>
      <c r="AN865" s="241"/>
      <c r="AO865" s="241"/>
      <c r="AP865" s="241"/>
      <c r="AQ865" s="241"/>
      <c r="AR865" s="241"/>
      <c r="AS865" s="241"/>
      <c r="AT865" s="241"/>
      <c r="AU865" s="241"/>
      <c r="AV865" s="241"/>
      <c r="AW865" s="241"/>
      <c r="AX865" s="241"/>
      <c r="AY865" s="241"/>
      <c r="AZ865" s="241"/>
    </row>
    <row r="866" spans="1:52" ht="18" customHeight="1">
      <c r="A866" s="250"/>
      <c r="B866" s="241"/>
      <c r="C866" s="241"/>
      <c r="D866" s="241"/>
      <c r="E866" s="241"/>
      <c r="F866" s="241"/>
      <c r="G866" s="241"/>
      <c r="H866" s="241"/>
      <c r="I866" s="241"/>
      <c r="J866" s="241"/>
      <c r="K866" s="241"/>
      <c r="L866" s="241"/>
      <c r="M866" s="241"/>
      <c r="N866" s="241"/>
      <c r="O866" s="241"/>
      <c r="P866" s="241"/>
      <c r="Q866" s="241"/>
      <c r="R866" s="241"/>
      <c r="S866" s="241"/>
      <c r="T866" s="241"/>
      <c r="U866" s="241"/>
      <c r="V866" s="241"/>
      <c r="W866" s="241"/>
      <c r="X866" s="241"/>
      <c r="Y866" s="241"/>
      <c r="Z866" s="241"/>
      <c r="AA866" s="241"/>
      <c r="AB866" s="241"/>
      <c r="AC866" s="241"/>
      <c r="AD866" s="241"/>
      <c r="AE866" s="241"/>
      <c r="AF866" s="241"/>
      <c r="AG866" s="241"/>
      <c r="AH866" s="241"/>
      <c r="AI866" s="241"/>
      <c r="AJ866" s="241"/>
      <c r="AK866" s="241"/>
      <c r="AL866" s="241"/>
      <c r="AM866" s="241"/>
      <c r="AN866" s="241"/>
      <c r="AO866" s="241"/>
      <c r="AP866" s="241"/>
      <c r="AQ866" s="241"/>
      <c r="AR866" s="241"/>
      <c r="AS866" s="241"/>
      <c r="AT866" s="241"/>
      <c r="AU866" s="241"/>
      <c r="AV866" s="241"/>
      <c r="AW866" s="241"/>
      <c r="AX866" s="241"/>
      <c r="AY866" s="241"/>
      <c r="AZ866" s="241"/>
    </row>
    <row r="867" spans="1:52" ht="18" customHeight="1">
      <c r="A867" s="250"/>
      <c r="B867" s="241"/>
      <c r="C867" s="241"/>
      <c r="D867" s="241"/>
      <c r="E867" s="241"/>
      <c r="F867" s="241"/>
      <c r="G867" s="241"/>
      <c r="H867" s="241"/>
      <c r="I867" s="241"/>
      <c r="J867" s="241"/>
      <c r="K867" s="241"/>
      <c r="L867" s="241"/>
      <c r="M867" s="241"/>
      <c r="N867" s="241"/>
      <c r="O867" s="241"/>
      <c r="P867" s="241"/>
      <c r="Q867" s="241"/>
      <c r="R867" s="241"/>
      <c r="S867" s="241"/>
      <c r="T867" s="241"/>
      <c r="U867" s="241"/>
      <c r="V867" s="241"/>
      <c r="W867" s="241"/>
      <c r="X867" s="241"/>
      <c r="Y867" s="241"/>
      <c r="Z867" s="241"/>
      <c r="AA867" s="241"/>
      <c r="AB867" s="241"/>
      <c r="AC867" s="241"/>
      <c r="AD867" s="241"/>
      <c r="AE867" s="241"/>
      <c r="AF867" s="241"/>
      <c r="AG867" s="241"/>
      <c r="AH867" s="241"/>
      <c r="AI867" s="241"/>
      <c r="AJ867" s="241"/>
      <c r="AK867" s="241"/>
      <c r="AL867" s="241"/>
      <c r="AM867" s="241"/>
      <c r="AN867" s="241"/>
      <c r="AO867" s="241"/>
      <c r="AP867" s="241"/>
      <c r="AQ867" s="241"/>
      <c r="AR867" s="241"/>
      <c r="AS867" s="241"/>
      <c r="AT867" s="241"/>
      <c r="AU867" s="241"/>
      <c r="AV867" s="241"/>
      <c r="AW867" s="241"/>
      <c r="AX867" s="241"/>
      <c r="AY867" s="241"/>
      <c r="AZ867" s="241"/>
    </row>
    <row r="868" spans="1:52" ht="18" customHeight="1">
      <c r="A868" s="250"/>
      <c r="B868" s="241"/>
      <c r="C868" s="241"/>
      <c r="D868" s="241"/>
      <c r="E868" s="241"/>
      <c r="F868" s="241"/>
      <c r="G868" s="241"/>
      <c r="H868" s="241"/>
      <c r="I868" s="241"/>
      <c r="J868" s="241"/>
      <c r="K868" s="241"/>
      <c r="L868" s="241"/>
      <c r="M868" s="241"/>
      <c r="N868" s="241"/>
      <c r="O868" s="241"/>
      <c r="P868" s="241"/>
      <c r="Q868" s="241"/>
      <c r="R868" s="241"/>
      <c r="S868" s="241"/>
      <c r="T868" s="241"/>
      <c r="U868" s="241"/>
      <c r="V868" s="241"/>
      <c r="W868" s="241"/>
      <c r="X868" s="241"/>
      <c r="Y868" s="241"/>
      <c r="Z868" s="241"/>
      <c r="AA868" s="241"/>
      <c r="AB868" s="241"/>
      <c r="AC868" s="241"/>
      <c r="AD868" s="241"/>
      <c r="AE868" s="241"/>
      <c r="AF868" s="241"/>
      <c r="AG868" s="241"/>
      <c r="AH868" s="241"/>
      <c r="AI868" s="241"/>
      <c r="AJ868" s="241"/>
      <c r="AK868" s="241"/>
      <c r="AL868" s="241"/>
      <c r="AM868" s="241"/>
      <c r="AN868" s="241"/>
      <c r="AO868" s="241"/>
      <c r="AP868" s="241"/>
      <c r="AQ868" s="241"/>
      <c r="AR868" s="241"/>
      <c r="AS868" s="241"/>
      <c r="AT868" s="241"/>
      <c r="AU868" s="241"/>
      <c r="AV868" s="241"/>
      <c r="AW868" s="241"/>
      <c r="AX868" s="241"/>
      <c r="AY868" s="241"/>
      <c r="AZ868" s="241"/>
    </row>
    <row r="869" spans="1:52" ht="18" customHeight="1">
      <c r="A869" s="250"/>
      <c r="B869" s="241"/>
      <c r="C869" s="241"/>
      <c r="D869" s="241"/>
      <c r="E869" s="241"/>
      <c r="F869" s="241"/>
      <c r="G869" s="241"/>
      <c r="H869" s="241"/>
      <c r="I869" s="241"/>
      <c r="J869" s="241"/>
      <c r="K869" s="241"/>
      <c r="L869" s="241"/>
      <c r="M869" s="241"/>
      <c r="N869" s="241"/>
      <c r="O869" s="241"/>
      <c r="P869" s="241"/>
      <c r="Q869" s="241"/>
      <c r="R869" s="241"/>
      <c r="S869" s="241"/>
      <c r="T869" s="241"/>
      <c r="U869" s="241"/>
      <c r="V869" s="241"/>
      <c r="W869" s="241"/>
      <c r="X869" s="241"/>
      <c r="Y869" s="241"/>
      <c r="Z869" s="241"/>
      <c r="AA869" s="241"/>
      <c r="AB869" s="241"/>
      <c r="AC869" s="241"/>
      <c r="AD869" s="241"/>
      <c r="AE869" s="241"/>
      <c r="AF869" s="241"/>
      <c r="AG869" s="241"/>
      <c r="AH869" s="241"/>
      <c r="AI869" s="241"/>
      <c r="AJ869" s="241"/>
      <c r="AK869" s="241"/>
      <c r="AL869" s="241"/>
      <c r="AM869" s="241"/>
      <c r="AN869" s="241"/>
      <c r="AO869" s="241"/>
      <c r="AP869" s="241"/>
      <c r="AQ869" s="241"/>
      <c r="AR869" s="241"/>
      <c r="AS869" s="241"/>
      <c r="AT869" s="241"/>
      <c r="AU869" s="241"/>
      <c r="AV869" s="241"/>
      <c r="AW869" s="241"/>
      <c r="AX869" s="241"/>
      <c r="AY869" s="241"/>
      <c r="AZ869" s="241"/>
    </row>
    <row r="870" spans="1:52" ht="18" customHeight="1">
      <c r="A870" s="250"/>
      <c r="B870" s="241"/>
      <c r="C870" s="241"/>
      <c r="D870" s="241"/>
      <c r="E870" s="241"/>
      <c r="F870" s="241"/>
      <c r="G870" s="241"/>
      <c r="H870" s="241"/>
      <c r="I870" s="241"/>
      <c r="J870" s="241"/>
      <c r="K870" s="241"/>
      <c r="L870" s="241"/>
      <c r="M870" s="241"/>
      <c r="N870" s="241"/>
      <c r="O870" s="241"/>
      <c r="P870" s="241"/>
      <c r="Q870" s="241"/>
      <c r="R870" s="241"/>
      <c r="S870" s="241"/>
      <c r="T870" s="241"/>
      <c r="U870" s="241"/>
      <c r="V870" s="241"/>
      <c r="W870" s="241"/>
      <c r="X870" s="241"/>
      <c r="Y870" s="241"/>
      <c r="Z870" s="241"/>
      <c r="AA870" s="241"/>
      <c r="AB870" s="241"/>
      <c r="AC870" s="241"/>
      <c r="AD870" s="241"/>
      <c r="AE870" s="241"/>
      <c r="AF870" s="241"/>
      <c r="AG870" s="241"/>
      <c r="AH870" s="241"/>
      <c r="AI870" s="241"/>
      <c r="AJ870" s="241"/>
      <c r="AK870" s="241"/>
      <c r="AL870" s="241"/>
      <c r="AM870" s="241"/>
      <c r="AN870" s="241"/>
      <c r="AO870" s="241"/>
      <c r="AP870" s="241"/>
      <c r="AQ870" s="241"/>
      <c r="AR870" s="241"/>
      <c r="AS870" s="241"/>
      <c r="AT870" s="241"/>
      <c r="AU870" s="241"/>
      <c r="AV870" s="241"/>
      <c r="AW870" s="241"/>
      <c r="AX870" s="241"/>
      <c r="AY870" s="241"/>
      <c r="AZ870" s="241"/>
    </row>
    <row r="871" spans="1:52" ht="18" customHeight="1">
      <c r="A871" s="250"/>
      <c r="B871" s="241"/>
      <c r="C871" s="241"/>
      <c r="D871" s="241"/>
      <c r="E871" s="241"/>
      <c r="F871" s="241"/>
      <c r="G871" s="241"/>
      <c r="H871" s="241"/>
      <c r="I871" s="241"/>
      <c r="J871" s="241"/>
      <c r="K871" s="241"/>
      <c r="L871" s="241"/>
      <c r="M871" s="241"/>
      <c r="N871" s="241"/>
      <c r="O871" s="241"/>
      <c r="P871" s="241"/>
      <c r="Q871" s="241"/>
      <c r="R871" s="241"/>
      <c r="S871" s="241"/>
      <c r="T871" s="241"/>
      <c r="U871" s="241"/>
      <c r="V871" s="241"/>
      <c r="W871" s="241"/>
      <c r="X871" s="241"/>
      <c r="Y871" s="241"/>
      <c r="Z871" s="241"/>
      <c r="AA871" s="241"/>
      <c r="AB871" s="241"/>
      <c r="AC871" s="241"/>
      <c r="AD871" s="241"/>
      <c r="AE871" s="241"/>
      <c r="AF871" s="241"/>
      <c r="AG871" s="241"/>
      <c r="AH871" s="241"/>
      <c r="AI871" s="241"/>
      <c r="AJ871" s="241"/>
      <c r="AK871" s="241"/>
      <c r="AL871" s="241"/>
      <c r="AM871" s="241"/>
      <c r="AN871" s="241"/>
      <c r="AO871" s="241"/>
      <c r="AP871" s="241"/>
      <c r="AQ871" s="241"/>
      <c r="AR871" s="241"/>
      <c r="AS871" s="241"/>
      <c r="AT871" s="241"/>
      <c r="AU871" s="241"/>
      <c r="AV871" s="241"/>
      <c r="AW871" s="241"/>
      <c r="AX871" s="241"/>
      <c r="AY871" s="241"/>
      <c r="AZ871" s="241"/>
    </row>
    <row r="872" spans="1:52" ht="18" customHeight="1">
      <c r="A872" s="250"/>
      <c r="B872" s="241"/>
      <c r="C872" s="241"/>
      <c r="D872" s="241"/>
      <c r="E872" s="241"/>
      <c r="F872" s="241"/>
      <c r="G872" s="241"/>
      <c r="H872" s="241"/>
      <c r="I872" s="241"/>
      <c r="J872" s="241"/>
      <c r="K872" s="241"/>
      <c r="L872" s="241"/>
      <c r="M872" s="241"/>
      <c r="N872" s="241"/>
      <c r="O872" s="241"/>
      <c r="P872" s="241"/>
      <c r="Q872" s="241"/>
      <c r="R872" s="241"/>
      <c r="S872" s="241"/>
      <c r="T872" s="241"/>
      <c r="U872" s="241"/>
      <c r="V872" s="241"/>
      <c r="W872" s="241"/>
      <c r="X872" s="241"/>
      <c r="Y872" s="241"/>
      <c r="Z872" s="241"/>
      <c r="AA872" s="241"/>
      <c r="AB872" s="241"/>
      <c r="AC872" s="241"/>
      <c r="AD872" s="241"/>
      <c r="AE872" s="241"/>
      <c r="AF872" s="241"/>
      <c r="AG872" s="241"/>
      <c r="AH872" s="241"/>
      <c r="AI872" s="241"/>
      <c r="AJ872" s="241"/>
      <c r="AK872" s="241"/>
      <c r="AL872" s="241"/>
      <c r="AM872" s="241"/>
      <c r="AN872" s="241"/>
      <c r="AO872" s="241"/>
      <c r="AP872" s="241"/>
      <c r="AQ872" s="241"/>
      <c r="AR872" s="241"/>
      <c r="AS872" s="241"/>
      <c r="AT872" s="241"/>
      <c r="AU872" s="241"/>
      <c r="AV872" s="241"/>
      <c r="AW872" s="241"/>
      <c r="AX872" s="241"/>
      <c r="AY872" s="241"/>
      <c r="AZ872" s="241"/>
    </row>
    <row r="873" spans="1:52" ht="18" customHeight="1">
      <c r="A873" s="250"/>
      <c r="B873" s="241"/>
      <c r="C873" s="241"/>
      <c r="D873" s="241"/>
      <c r="E873" s="241"/>
      <c r="F873" s="241"/>
      <c r="G873" s="241"/>
      <c r="H873" s="241"/>
      <c r="I873" s="241"/>
      <c r="J873" s="241"/>
      <c r="K873" s="241"/>
      <c r="L873" s="241"/>
      <c r="M873" s="241"/>
      <c r="N873" s="241"/>
      <c r="O873" s="241"/>
      <c r="P873" s="241"/>
      <c r="Q873" s="241"/>
      <c r="R873" s="241"/>
      <c r="S873" s="241"/>
      <c r="T873" s="241"/>
      <c r="U873" s="241"/>
      <c r="V873" s="241"/>
      <c r="W873" s="241"/>
      <c r="X873" s="241"/>
      <c r="Y873" s="241"/>
      <c r="Z873" s="241"/>
      <c r="AA873" s="241"/>
      <c r="AB873" s="241"/>
      <c r="AC873" s="241"/>
      <c r="AD873" s="241"/>
      <c r="AE873" s="241"/>
      <c r="AF873" s="241"/>
      <c r="AG873" s="241"/>
      <c r="AH873" s="241"/>
      <c r="AI873" s="241"/>
      <c r="AJ873" s="241"/>
      <c r="AK873" s="241"/>
      <c r="AL873" s="241"/>
      <c r="AM873" s="241"/>
      <c r="AN873" s="241"/>
      <c r="AO873" s="241"/>
      <c r="AP873" s="241"/>
      <c r="AQ873" s="241"/>
      <c r="AR873" s="241"/>
      <c r="AS873" s="241"/>
      <c r="AT873" s="241"/>
      <c r="AU873" s="241"/>
      <c r="AV873" s="241"/>
      <c r="AW873" s="241"/>
      <c r="AX873" s="241"/>
      <c r="AY873" s="241"/>
      <c r="AZ873" s="241"/>
    </row>
    <row r="874" spans="1:52" ht="18" customHeight="1">
      <c r="A874" s="250"/>
      <c r="B874" s="241"/>
      <c r="C874" s="241"/>
      <c r="D874" s="241"/>
      <c r="E874" s="241"/>
      <c r="F874" s="241"/>
      <c r="G874" s="241"/>
      <c r="H874" s="241"/>
      <c r="I874" s="241"/>
      <c r="J874" s="241"/>
      <c r="K874" s="241"/>
      <c r="L874" s="241"/>
      <c r="M874" s="241"/>
      <c r="N874" s="241"/>
      <c r="O874" s="241"/>
      <c r="P874" s="241"/>
      <c r="Q874" s="241"/>
      <c r="R874" s="241"/>
      <c r="S874" s="241"/>
      <c r="T874" s="241"/>
      <c r="U874" s="241"/>
      <c r="V874" s="241"/>
      <c r="W874" s="241"/>
      <c r="X874" s="241"/>
      <c r="Y874" s="241"/>
      <c r="Z874" s="241"/>
      <c r="AA874" s="241"/>
      <c r="AB874" s="241"/>
      <c r="AC874" s="241"/>
      <c r="AD874" s="241"/>
      <c r="AE874" s="241"/>
      <c r="AF874" s="241"/>
      <c r="AG874" s="241"/>
      <c r="AH874" s="241"/>
      <c r="AI874" s="241"/>
      <c r="AJ874" s="241"/>
      <c r="AK874" s="241"/>
      <c r="AL874" s="241"/>
      <c r="AM874" s="241"/>
      <c r="AN874" s="241"/>
      <c r="AO874" s="241"/>
      <c r="AP874" s="241"/>
      <c r="AQ874" s="241"/>
      <c r="AR874" s="241"/>
      <c r="AS874" s="241"/>
      <c r="AT874" s="241"/>
      <c r="AU874" s="241"/>
      <c r="AV874" s="241"/>
      <c r="AW874" s="241"/>
      <c r="AX874" s="241"/>
      <c r="AY874" s="241"/>
      <c r="AZ874" s="241"/>
    </row>
    <row r="875" spans="1:52" ht="18" customHeight="1">
      <c r="A875" s="250"/>
      <c r="B875" s="241"/>
      <c r="C875" s="241"/>
      <c r="D875" s="241"/>
      <c r="E875" s="241"/>
      <c r="F875" s="241"/>
      <c r="G875" s="241"/>
      <c r="H875" s="241"/>
      <c r="I875" s="241"/>
      <c r="J875" s="241"/>
      <c r="K875" s="241"/>
      <c r="L875" s="241"/>
      <c r="M875" s="241"/>
      <c r="N875" s="241"/>
      <c r="O875" s="241"/>
      <c r="P875" s="241"/>
      <c r="Q875" s="241"/>
      <c r="R875" s="241"/>
      <c r="S875" s="241"/>
      <c r="T875" s="241"/>
      <c r="U875" s="241"/>
      <c r="V875" s="241"/>
      <c r="W875" s="241"/>
      <c r="X875" s="241"/>
      <c r="Y875" s="241"/>
      <c r="Z875" s="241"/>
      <c r="AA875" s="241"/>
      <c r="AB875" s="241"/>
      <c r="AC875" s="241"/>
      <c r="AD875" s="241"/>
      <c r="AE875" s="241"/>
      <c r="AF875" s="241"/>
      <c r="AG875" s="241"/>
      <c r="AH875" s="241"/>
      <c r="AI875" s="241"/>
      <c r="AJ875" s="241"/>
      <c r="AK875" s="241"/>
      <c r="AL875" s="241"/>
      <c r="AM875" s="241"/>
      <c r="AN875" s="241"/>
      <c r="AO875" s="241"/>
      <c r="AP875" s="241"/>
      <c r="AQ875" s="241"/>
      <c r="AR875" s="241"/>
      <c r="AS875" s="241"/>
      <c r="AT875" s="241"/>
      <c r="AU875" s="241"/>
      <c r="AV875" s="241"/>
      <c r="AW875" s="241"/>
      <c r="AX875" s="241"/>
      <c r="AY875" s="241"/>
      <c r="AZ875" s="241"/>
    </row>
    <row r="876" spans="1:52" ht="18" customHeight="1">
      <c r="A876" s="250"/>
      <c r="B876" s="241"/>
      <c r="C876" s="241"/>
      <c r="D876" s="241"/>
      <c r="E876" s="241"/>
      <c r="F876" s="241"/>
      <c r="G876" s="241"/>
      <c r="H876" s="241"/>
      <c r="I876" s="241"/>
      <c r="J876" s="241"/>
      <c r="K876" s="241"/>
      <c r="L876" s="241"/>
      <c r="M876" s="241"/>
      <c r="N876" s="241"/>
      <c r="O876" s="241"/>
      <c r="P876" s="241"/>
      <c r="Q876" s="241"/>
      <c r="R876" s="241"/>
      <c r="S876" s="241"/>
      <c r="T876" s="241"/>
      <c r="U876" s="241"/>
      <c r="V876" s="241"/>
      <c r="W876" s="241"/>
      <c r="X876" s="241"/>
      <c r="Y876" s="241"/>
      <c r="Z876" s="241"/>
      <c r="AA876" s="241"/>
      <c r="AB876" s="241"/>
      <c r="AC876" s="241"/>
      <c r="AD876" s="241"/>
      <c r="AE876" s="241"/>
      <c r="AF876" s="241"/>
      <c r="AG876" s="241"/>
      <c r="AH876" s="241"/>
      <c r="AI876" s="241"/>
      <c r="AJ876" s="241"/>
      <c r="AK876" s="241"/>
      <c r="AL876" s="241"/>
      <c r="AM876" s="241"/>
      <c r="AN876" s="241"/>
      <c r="AO876" s="241"/>
      <c r="AP876" s="241"/>
      <c r="AQ876" s="241"/>
      <c r="AR876" s="241"/>
      <c r="AS876" s="241"/>
      <c r="AT876" s="241"/>
      <c r="AU876" s="241"/>
      <c r="AV876" s="241"/>
      <c r="AW876" s="241"/>
      <c r="AX876" s="241"/>
      <c r="AY876" s="241"/>
      <c r="AZ876" s="241"/>
    </row>
    <row r="877" spans="1:52" ht="18" customHeight="1">
      <c r="A877" s="250"/>
      <c r="B877" s="241"/>
      <c r="C877" s="241"/>
      <c r="D877" s="241"/>
      <c r="E877" s="241"/>
      <c r="F877" s="241"/>
      <c r="G877" s="241"/>
      <c r="H877" s="241"/>
      <c r="I877" s="241"/>
      <c r="J877" s="241"/>
      <c r="K877" s="241"/>
      <c r="L877" s="241"/>
      <c r="M877" s="241"/>
      <c r="N877" s="241"/>
      <c r="O877" s="241"/>
      <c r="P877" s="241"/>
      <c r="Q877" s="241"/>
      <c r="R877" s="241"/>
      <c r="S877" s="241"/>
      <c r="T877" s="241"/>
      <c r="U877" s="241"/>
      <c r="V877" s="241"/>
      <c r="W877" s="241"/>
      <c r="X877" s="241"/>
      <c r="Y877" s="241"/>
      <c r="Z877" s="241"/>
      <c r="AA877" s="241"/>
      <c r="AB877" s="241"/>
      <c r="AC877" s="241"/>
      <c r="AD877" s="241"/>
      <c r="AE877" s="241"/>
      <c r="AF877" s="241"/>
      <c r="AG877" s="241"/>
      <c r="AH877" s="241"/>
      <c r="AI877" s="241"/>
      <c r="AJ877" s="241"/>
      <c r="AK877" s="241"/>
      <c r="AL877" s="241"/>
      <c r="AM877" s="241"/>
      <c r="AN877" s="241"/>
      <c r="AO877" s="241"/>
      <c r="AP877" s="241"/>
      <c r="AQ877" s="241"/>
      <c r="AR877" s="241"/>
      <c r="AS877" s="241"/>
      <c r="AT877" s="241"/>
      <c r="AU877" s="241"/>
      <c r="AV877" s="241"/>
      <c r="AW877" s="241"/>
      <c r="AX877" s="241"/>
      <c r="AY877" s="241"/>
      <c r="AZ877" s="241"/>
    </row>
    <row r="878" spans="1:52" ht="18" customHeight="1">
      <c r="A878" s="250"/>
      <c r="B878" s="241"/>
      <c r="C878" s="241"/>
      <c r="D878" s="241"/>
      <c r="E878" s="241"/>
      <c r="F878" s="241"/>
      <c r="G878" s="241"/>
      <c r="H878" s="241"/>
      <c r="I878" s="241"/>
      <c r="J878" s="241"/>
      <c r="K878" s="241"/>
      <c r="L878" s="241"/>
      <c r="M878" s="241"/>
      <c r="N878" s="241"/>
      <c r="O878" s="241"/>
      <c r="P878" s="241"/>
      <c r="Q878" s="241"/>
      <c r="R878" s="241"/>
      <c r="S878" s="241"/>
      <c r="T878" s="241"/>
      <c r="U878" s="241"/>
      <c r="V878" s="241"/>
      <c r="W878" s="241"/>
      <c r="X878" s="241"/>
      <c r="Y878" s="241"/>
      <c r="Z878" s="241"/>
      <c r="AA878" s="241"/>
      <c r="AB878" s="241"/>
      <c r="AC878" s="241"/>
      <c r="AD878" s="241"/>
      <c r="AE878" s="241"/>
      <c r="AF878" s="241"/>
      <c r="AG878" s="241"/>
      <c r="AH878" s="241"/>
      <c r="AI878" s="241"/>
      <c r="AJ878" s="241"/>
      <c r="AK878" s="241"/>
      <c r="AL878" s="241"/>
      <c r="AM878" s="241"/>
      <c r="AN878" s="241"/>
      <c r="AO878" s="241"/>
      <c r="AP878" s="241"/>
      <c r="AQ878" s="241"/>
      <c r="AR878" s="241"/>
      <c r="AS878" s="241"/>
      <c r="AT878" s="241"/>
      <c r="AU878" s="241"/>
      <c r="AV878" s="241"/>
      <c r="AW878" s="241"/>
      <c r="AX878" s="241"/>
      <c r="AY878" s="241"/>
      <c r="AZ878" s="241"/>
    </row>
    <row r="879" spans="1:52" ht="18" customHeight="1">
      <c r="A879" s="250"/>
      <c r="B879" s="241"/>
      <c r="C879" s="241"/>
      <c r="D879" s="241"/>
      <c r="E879" s="241"/>
      <c r="F879" s="241"/>
      <c r="G879" s="241"/>
      <c r="H879" s="241"/>
      <c r="I879" s="241"/>
      <c r="J879" s="241"/>
      <c r="K879" s="241"/>
      <c r="L879" s="241"/>
      <c r="M879" s="241"/>
      <c r="N879" s="241"/>
      <c r="O879" s="241"/>
      <c r="P879" s="241"/>
      <c r="Q879" s="241"/>
      <c r="R879" s="241"/>
      <c r="S879" s="241"/>
      <c r="T879" s="241"/>
      <c r="U879" s="241"/>
      <c r="V879" s="241"/>
      <c r="W879" s="241"/>
      <c r="X879" s="241"/>
      <c r="Y879" s="241"/>
      <c r="Z879" s="241"/>
      <c r="AA879" s="241"/>
      <c r="AB879" s="241"/>
      <c r="AC879" s="241"/>
      <c r="AD879" s="241"/>
      <c r="AE879" s="241"/>
      <c r="AF879" s="241"/>
      <c r="AG879" s="241"/>
      <c r="AH879" s="241"/>
      <c r="AI879" s="241"/>
      <c r="AJ879" s="241"/>
      <c r="AK879" s="241"/>
      <c r="AL879" s="241"/>
      <c r="AM879" s="241"/>
      <c r="AN879" s="241"/>
      <c r="AO879" s="241"/>
      <c r="AP879" s="241"/>
      <c r="AQ879" s="241"/>
      <c r="AR879" s="241"/>
      <c r="AS879" s="241"/>
      <c r="AT879" s="241"/>
      <c r="AU879" s="241"/>
      <c r="AV879" s="241"/>
      <c r="AW879" s="241"/>
      <c r="AX879" s="241"/>
      <c r="AY879" s="241"/>
      <c r="AZ879" s="241"/>
    </row>
    <row r="880" spans="1:52" ht="18" customHeight="1">
      <c r="A880" s="250"/>
      <c r="B880" s="241"/>
      <c r="C880" s="241"/>
      <c r="D880" s="241"/>
      <c r="E880" s="241"/>
      <c r="F880" s="241"/>
      <c r="G880" s="241"/>
      <c r="H880" s="241"/>
      <c r="I880" s="241"/>
      <c r="J880" s="241"/>
      <c r="K880" s="241"/>
      <c r="L880" s="241"/>
      <c r="M880" s="241"/>
      <c r="N880" s="241"/>
      <c r="O880" s="241"/>
      <c r="P880" s="241"/>
      <c r="Q880" s="241"/>
      <c r="R880" s="241"/>
      <c r="S880" s="241"/>
      <c r="T880" s="241"/>
      <c r="U880" s="241"/>
      <c r="V880" s="241"/>
      <c r="W880" s="241"/>
      <c r="X880" s="241"/>
      <c r="Y880" s="241"/>
      <c r="Z880" s="241"/>
      <c r="AA880" s="241"/>
      <c r="AB880" s="241"/>
      <c r="AC880" s="241"/>
      <c r="AD880" s="241"/>
      <c r="AE880" s="241"/>
      <c r="AF880" s="241"/>
      <c r="AG880" s="241"/>
      <c r="AH880" s="241"/>
      <c r="AI880" s="241"/>
      <c r="AJ880" s="241"/>
      <c r="AK880" s="241"/>
      <c r="AL880" s="241"/>
      <c r="AM880" s="241"/>
      <c r="AN880" s="241"/>
      <c r="AO880" s="241"/>
      <c r="AP880" s="241"/>
      <c r="AQ880" s="241"/>
      <c r="AR880" s="241"/>
      <c r="AS880" s="241"/>
      <c r="AT880" s="241"/>
      <c r="AU880" s="241"/>
      <c r="AV880" s="241"/>
      <c r="AW880" s="241"/>
      <c r="AX880" s="241"/>
      <c r="AY880" s="241"/>
      <c r="AZ880" s="241"/>
    </row>
    <row r="881" spans="1:52" ht="18" customHeight="1">
      <c r="A881" s="250"/>
      <c r="B881" s="241"/>
      <c r="C881" s="241"/>
      <c r="D881" s="241"/>
      <c r="E881" s="241"/>
      <c r="F881" s="241"/>
      <c r="G881" s="241"/>
      <c r="H881" s="241"/>
      <c r="I881" s="241"/>
      <c r="J881" s="241"/>
      <c r="K881" s="241"/>
      <c r="L881" s="241"/>
      <c r="M881" s="241"/>
      <c r="N881" s="241"/>
      <c r="O881" s="241"/>
      <c r="P881" s="241"/>
      <c r="Q881" s="241"/>
      <c r="R881" s="241"/>
      <c r="S881" s="241"/>
      <c r="T881" s="241"/>
      <c r="U881" s="241"/>
      <c r="V881" s="241"/>
      <c r="W881" s="241"/>
      <c r="X881" s="241"/>
      <c r="Y881" s="241"/>
      <c r="Z881" s="241"/>
      <c r="AA881" s="241"/>
      <c r="AB881" s="241"/>
      <c r="AC881" s="241"/>
      <c r="AD881" s="241"/>
      <c r="AE881" s="241"/>
      <c r="AF881" s="241"/>
      <c r="AG881" s="241"/>
      <c r="AH881" s="241"/>
      <c r="AI881" s="241"/>
      <c r="AJ881" s="241"/>
      <c r="AK881" s="241"/>
      <c r="AL881" s="241"/>
      <c r="AM881" s="241"/>
      <c r="AN881" s="241"/>
      <c r="AO881" s="241"/>
      <c r="AP881" s="241"/>
      <c r="AQ881" s="241"/>
      <c r="AR881" s="241"/>
      <c r="AS881" s="241"/>
      <c r="AT881" s="241"/>
      <c r="AU881" s="241"/>
      <c r="AV881" s="241"/>
      <c r="AW881" s="241"/>
      <c r="AX881" s="241"/>
      <c r="AY881" s="241"/>
      <c r="AZ881" s="241"/>
    </row>
    <row r="882" spans="1:52" ht="18" customHeight="1">
      <c r="A882" s="250"/>
      <c r="B882" s="241"/>
      <c r="C882" s="241"/>
      <c r="D882" s="241"/>
      <c r="E882" s="241"/>
      <c r="F882" s="241"/>
      <c r="G882" s="241"/>
      <c r="H882" s="241"/>
      <c r="I882" s="241"/>
      <c r="J882" s="241"/>
      <c r="K882" s="241"/>
      <c r="L882" s="241"/>
      <c r="M882" s="241"/>
      <c r="N882" s="241"/>
      <c r="O882" s="241"/>
      <c r="P882" s="241"/>
      <c r="Q882" s="241"/>
      <c r="R882" s="241"/>
      <c r="S882" s="241"/>
      <c r="T882" s="241"/>
      <c r="U882" s="241"/>
      <c r="V882" s="241"/>
      <c r="W882" s="241"/>
      <c r="X882" s="241"/>
      <c r="Y882" s="241"/>
      <c r="Z882" s="241"/>
      <c r="AA882" s="241"/>
      <c r="AB882" s="241"/>
      <c r="AC882" s="241"/>
      <c r="AD882" s="241"/>
      <c r="AE882" s="241"/>
      <c r="AF882" s="241"/>
      <c r="AG882" s="241"/>
      <c r="AH882" s="241"/>
      <c r="AI882" s="241"/>
      <c r="AJ882" s="241"/>
      <c r="AK882" s="241"/>
      <c r="AL882" s="241"/>
      <c r="AM882" s="241"/>
      <c r="AN882" s="241"/>
      <c r="AO882" s="241"/>
      <c r="AP882" s="241"/>
      <c r="AQ882" s="241"/>
      <c r="AR882" s="241"/>
      <c r="AS882" s="241"/>
      <c r="AT882" s="241"/>
      <c r="AU882" s="241"/>
      <c r="AV882" s="241"/>
      <c r="AW882" s="241"/>
      <c r="AX882" s="241"/>
      <c r="AY882" s="241"/>
      <c r="AZ882" s="241"/>
    </row>
    <row r="883" spans="1:52" ht="18" customHeight="1">
      <c r="A883" s="250"/>
      <c r="B883" s="241"/>
      <c r="C883" s="241"/>
      <c r="D883" s="241"/>
      <c r="E883" s="241"/>
      <c r="F883" s="241"/>
      <c r="G883" s="241"/>
      <c r="H883" s="241"/>
      <c r="I883" s="241"/>
      <c r="J883" s="241"/>
      <c r="K883" s="241"/>
      <c r="L883" s="241"/>
      <c r="M883" s="241"/>
      <c r="N883" s="241"/>
      <c r="O883" s="241"/>
      <c r="P883" s="241"/>
      <c r="Q883" s="241"/>
      <c r="R883" s="241"/>
      <c r="S883" s="241"/>
      <c r="T883" s="241"/>
      <c r="U883" s="241"/>
      <c r="V883" s="241"/>
      <c r="W883" s="241"/>
      <c r="X883" s="241"/>
      <c r="Y883" s="241"/>
      <c r="Z883" s="241"/>
      <c r="AA883" s="241"/>
      <c r="AB883" s="241"/>
      <c r="AC883" s="241"/>
      <c r="AD883" s="241"/>
      <c r="AE883" s="241"/>
      <c r="AF883" s="241"/>
      <c r="AG883" s="241"/>
      <c r="AH883" s="241"/>
      <c r="AI883" s="241"/>
      <c r="AJ883" s="241"/>
      <c r="AK883" s="241"/>
      <c r="AL883" s="241"/>
      <c r="AM883" s="241"/>
      <c r="AN883" s="241"/>
      <c r="AO883" s="241"/>
      <c r="AP883" s="241"/>
      <c r="AQ883" s="241"/>
      <c r="AR883" s="241"/>
      <c r="AS883" s="241"/>
      <c r="AT883" s="241"/>
      <c r="AU883" s="241"/>
      <c r="AV883" s="241"/>
      <c r="AW883" s="241"/>
      <c r="AX883" s="241"/>
      <c r="AY883" s="241"/>
      <c r="AZ883" s="241"/>
    </row>
    <row r="884" spans="1:52" ht="18" customHeight="1">
      <c r="A884" s="250"/>
      <c r="B884" s="241"/>
      <c r="C884" s="241"/>
      <c r="D884" s="241"/>
      <c r="E884" s="241"/>
      <c r="F884" s="241"/>
      <c r="G884" s="241"/>
      <c r="H884" s="241"/>
      <c r="I884" s="241"/>
      <c r="J884" s="241"/>
      <c r="K884" s="241"/>
      <c r="L884" s="241"/>
      <c r="M884" s="241"/>
      <c r="N884" s="241"/>
      <c r="O884" s="241"/>
      <c r="P884" s="241"/>
      <c r="Q884" s="241"/>
      <c r="R884" s="241"/>
      <c r="S884" s="241"/>
      <c r="T884" s="241"/>
      <c r="U884" s="241"/>
      <c r="V884" s="241"/>
      <c r="W884" s="241"/>
      <c r="X884" s="241"/>
      <c r="Y884" s="241"/>
      <c r="Z884" s="241"/>
      <c r="AA884" s="241"/>
      <c r="AB884" s="241"/>
      <c r="AC884" s="241"/>
      <c r="AD884" s="241"/>
      <c r="AE884" s="241"/>
      <c r="AF884" s="241"/>
      <c r="AG884" s="241"/>
      <c r="AH884" s="241"/>
      <c r="AI884" s="241"/>
      <c r="AJ884" s="241"/>
      <c r="AK884" s="241"/>
      <c r="AL884" s="241"/>
      <c r="AM884" s="241"/>
      <c r="AN884" s="241"/>
      <c r="AO884" s="241"/>
      <c r="AP884" s="241"/>
      <c r="AQ884" s="241"/>
      <c r="AR884" s="241"/>
      <c r="AS884" s="241"/>
      <c r="AT884" s="241"/>
      <c r="AU884" s="241"/>
      <c r="AV884" s="241"/>
      <c r="AW884" s="241"/>
      <c r="AX884" s="241"/>
      <c r="AY884" s="241"/>
      <c r="AZ884" s="241"/>
    </row>
    <row r="885" spans="1:52" ht="18" customHeight="1">
      <c r="A885" s="250"/>
      <c r="B885" s="241"/>
      <c r="C885" s="241"/>
      <c r="D885" s="241"/>
      <c r="E885" s="241"/>
      <c r="F885" s="241"/>
      <c r="G885" s="241"/>
      <c r="H885" s="241"/>
      <c r="I885" s="241"/>
      <c r="J885" s="241"/>
      <c r="K885" s="241"/>
      <c r="L885" s="241"/>
      <c r="M885" s="241"/>
      <c r="N885" s="241"/>
      <c r="O885" s="241"/>
      <c r="P885" s="241"/>
      <c r="Q885" s="241"/>
      <c r="R885" s="241"/>
      <c r="S885" s="241"/>
      <c r="T885" s="241"/>
      <c r="U885" s="241"/>
      <c r="V885" s="241"/>
      <c r="W885" s="241"/>
      <c r="X885" s="241"/>
      <c r="Y885" s="241"/>
      <c r="Z885" s="241"/>
      <c r="AA885" s="241"/>
      <c r="AB885" s="241"/>
      <c r="AC885" s="241"/>
      <c r="AD885" s="241"/>
      <c r="AE885" s="241"/>
      <c r="AF885" s="241"/>
      <c r="AG885" s="241"/>
      <c r="AH885" s="241"/>
      <c r="AI885" s="241"/>
      <c r="AJ885" s="241"/>
      <c r="AK885" s="241"/>
      <c r="AL885" s="241"/>
      <c r="AM885" s="241"/>
      <c r="AN885" s="241"/>
      <c r="AO885" s="241"/>
      <c r="AP885" s="241"/>
      <c r="AQ885" s="241"/>
      <c r="AR885" s="241"/>
      <c r="AS885" s="241"/>
      <c r="AT885" s="241"/>
      <c r="AU885" s="241"/>
      <c r="AV885" s="241"/>
      <c r="AW885" s="241"/>
      <c r="AX885" s="241"/>
      <c r="AY885" s="241"/>
      <c r="AZ885" s="241"/>
    </row>
    <row r="886" spans="1:52" ht="18" customHeight="1">
      <c r="A886" s="250"/>
      <c r="B886" s="241"/>
      <c r="C886" s="241"/>
      <c r="D886" s="241"/>
      <c r="E886" s="241"/>
      <c r="F886" s="241"/>
      <c r="G886" s="241"/>
      <c r="H886" s="241"/>
      <c r="I886" s="241"/>
      <c r="J886" s="241"/>
      <c r="K886" s="241"/>
      <c r="L886" s="241"/>
      <c r="M886" s="241"/>
      <c r="N886" s="241"/>
      <c r="O886" s="241"/>
      <c r="P886" s="241"/>
      <c r="Q886" s="241"/>
      <c r="R886" s="241"/>
      <c r="S886" s="241"/>
      <c r="T886" s="241"/>
      <c r="U886" s="241"/>
      <c r="V886" s="241"/>
      <c r="W886" s="241"/>
      <c r="X886" s="241"/>
      <c r="Y886" s="241"/>
      <c r="Z886" s="241"/>
      <c r="AA886" s="241"/>
      <c r="AB886" s="241"/>
      <c r="AC886" s="241"/>
      <c r="AD886" s="241"/>
      <c r="AE886" s="241"/>
      <c r="AF886" s="241"/>
      <c r="AG886" s="241"/>
      <c r="AH886" s="241"/>
      <c r="AI886" s="241"/>
      <c r="AJ886" s="241"/>
      <c r="AK886" s="241"/>
      <c r="AL886" s="241"/>
      <c r="AM886" s="241"/>
      <c r="AN886" s="241"/>
      <c r="AO886" s="241"/>
      <c r="AP886" s="241"/>
      <c r="AQ886" s="241"/>
      <c r="AR886" s="241"/>
      <c r="AS886" s="241"/>
      <c r="AT886" s="241"/>
      <c r="AU886" s="241"/>
      <c r="AV886" s="241"/>
      <c r="AW886" s="241"/>
      <c r="AX886" s="241"/>
      <c r="AY886" s="241"/>
      <c r="AZ886" s="241"/>
    </row>
    <row r="887" spans="1:52" ht="18" customHeight="1">
      <c r="A887" s="250"/>
      <c r="B887" s="241"/>
      <c r="C887" s="241"/>
      <c r="D887" s="241"/>
      <c r="E887" s="241"/>
      <c r="F887" s="241"/>
      <c r="G887" s="241"/>
      <c r="H887" s="241"/>
      <c r="I887" s="241"/>
      <c r="J887" s="241"/>
      <c r="K887" s="241"/>
      <c r="L887" s="241"/>
      <c r="M887" s="241"/>
      <c r="N887" s="241"/>
      <c r="O887" s="241"/>
      <c r="P887" s="241"/>
      <c r="Q887" s="241"/>
      <c r="R887" s="241"/>
      <c r="S887" s="241"/>
      <c r="T887" s="241"/>
      <c r="U887" s="241"/>
      <c r="V887" s="241"/>
      <c r="W887" s="241"/>
      <c r="X887" s="241"/>
      <c r="Y887" s="241"/>
      <c r="Z887" s="241"/>
      <c r="AA887" s="241"/>
      <c r="AB887" s="241"/>
      <c r="AC887" s="241"/>
      <c r="AD887" s="241"/>
      <c r="AE887" s="241"/>
      <c r="AF887" s="241"/>
      <c r="AG887" s="241"/>
      <c r="AH887" s="241"/>
      <c r="AI887" s="241"/>
      <c r="AJ887" s="241"/>
      <c r="AK887" s="241"/>
      <c r="AL887" s="241"/>
      <c r="AM887" s="241"/>
      <c r="AN887" s="241"/>
      <c r="AO887" s="241"/>
      <c r="AP887" s="241"/>
      <c r="AQ887" s="241"/>
      <c r="AR887" s="241"/>
      <c r="AS887" s="241"/>
      <c r="AT887" s="241"/>
      <c r="AU887" s="241"/>
      <c r="AV887" s="241"/>
      <c r="AW887" s="241"/>
      <c r="AX887" s="241"/>
      <c r="AY887" s="241"/>
      <c r="AZ887" s="241"/>
    </row>
    <row r="888" spans="1:52" ht="18" customHeight="1">
      <c r="A888" s="250"/>
      <c r="B888" s="241"/>
      <c r="C888" s="241"/>
      <c r="D888" s="241"/>
      <c r="E888" s="241"/>
      <c r="F888" s="241"/>
      <c r="G888" s="241"/>
      <c r="H888" s="241"/>
      <c r="I888" s="241"/>
      <c r="J888" s="241"/>
      <c r="K888" s="241"/>
      <c r="L888" s="241"/>
      <c r="M888" s="241"/>
      <c r="N888" s="241"/>
      <c r="O888" s="241"/>
      <c r="P888" s="241"/>
      <c r="Q888" s="241"/>
      <c r="R888" s="241"/>
      <c r="S888" s="241"/>
      <c r="T888" s="241"/>
      <c r="U888" s="241"/>
      <c r="V888" s="241"/>
      <c r="W888" s="241"/>
      <c r="X888" s="241"/>
      <c r="Y888" s="241"/>
      <c r="Z888" s="241"/>
      <c r="AA888" s="241"/>
      <c r="AB888" s="241"/>
      <c r="AC888" s="241"/>
      <c r="AD888" s="241"/>
      <c r="AE888" s="241"/>
      <c r="AF888" s="241"/>
      <c r="AG888" s="241"/>
      <c r="AH888" s="241"/>
      <c r="AI888" s="241"/>
      <c r="AJ888" s="241"/>
      <c r="AK888" s="241"/>
      <c r="AL888" s="241"/>
      <c r="AM888" s="241"/>
      <c r="AN888" s="241"/>
      <c r="AO888" s="241"/>
      <c r="AP888" s="241"/>
      <c r="AQ888" s="241"/>
      <c r="AR888" s="241"/>
      <c r="AS888" s="241"/>
      <c r="AT888" s="241"/>
      <c r="AU888" s="241"/>
      <c r="AV888" s="241"/>
      <c r="AW888" s="241"/>
      <c r="AX888" s="241"/>
      <c r="AY888" s="241"/>
      <c r="AZ888" s="241"/>
    </row>
    <row r="889" spans="1:52" ht="18" customHeight="1">
      <c r="A889" s="250"/>
      <c r="B889" s="241"/>
      <c r="C889" s="241"/>
      <c r="D889" s="241"/>
      <c r="E889" s="241"/>
      <c r="F889" s="241"/>
      <c r="G889" s="241"/>
      <c r="H889" s="241"/>
      <c r="I889" s="241"/>
      <c r="J889" s="241"/>
      <c r="K889" s="241"/>
      <c r="L889" s="241"/>
      <c r="M889" s="241"/>
      <c r="N889" s="241"/>
      <c r="O889" s="241"/>
      <c r="P889" s="241"/>
      <c r="Q889" s="241"/>
      <c r="R889" s="241"/>
      <c r="S889" s="241"/>
      <c r="T889" s="241"/>
      <c r="U889" s="241"/>
      <c r="V889" s="241"/>
      <c r="W889" s="241"/>
      <c r="X889" s="241"/>
      <c r="Y889" s="241"/>
      <c r="Z889" s="241"/>
      <c r="AA889" s="241"/>
      <c r="AB889" s="241"/>
      <c r="AC889" s="241"/>
      <c r="AD889" s="241"/>
      <c r="AE889" s="241"/>
      <c r="AF889" s="241"/>
      <c r="AG889" s="241"/>
      <c r="AH889" s="241"/>
      <c r="AI889" s="241"/>
      <c r="AJ889" s="241"/>
      <c r="AK889" s="241"/>
      <c r="AL889" s="241"/>
      <c r="AM889" s="241"/>
      <c r="AN889" s="241"/>
      <c r="AO889" s="241"/>
      <c r="AP889" s="241"/>
      <c r="AQ889" s="241"/>
      <c r="AR889" s="241"/>
      <c r="AS889" s="241"/>
      <c r="AT889" s="241"/>
      <c r="AU889" s="241"/>
      <c r="AV889" s="241"/>
      <c r="AW889" s="241"/>
      <c r="AX889" s="241"/>
      <c r="AY889" s="241"/>
      <c r="AZ889" s="241"/>
    </row>
    <row r="890" spans="1:52" ht="18" customHeight="1">
      <c r="A890" s="250"/>
      <c r="B890" s="241"/>
      <c r="C890" s="241"/>
      <c r="D890" s="241"/>
      <c r="E890" s="241"/>
      <c r="F890" s="241"/>
      <c r="G890" s="241"/>
      <c r="H890" s="241"/>
      <c r="I890" s="241"/>
      <c r="J890" s="241"/>
      <c r="K890" s="241"/>
      <c r="L890" s="241"/>
      <c r="M890" s="241"/>
      <c r="N890" s="241"/>
      <c r="O890" s="241"/>
      <c r="P890" s="241"/>
      <c r="Q890" s="241"/>
      <c r="R890" s="241"/>
      <c r="S890" s="241"/>
      <c r="T890" s="241"/>
      <c r="U890" s="241"/>
      <c r="V890" s="241"/>
      <c r="W890" s="241"/>
      <c r="X890" s="241"/>
      <c r="Y890" s="241"/>
      <c r="Z890" s="241"/>
      <c r="AA890" s="241"/>
      <c r="AB890" s="241"/>
      <c r="AC890" s="241"/>
      <c r="AD890" s="241"/>
      <c r="AE890" s="241"/>
      <c r="AF890" s="241"/>
      <c r="AG890" s="241"/>
      <c r="AH890" s="241"/>
      <c r="AI890" s="241"/>
      <c r="AJ890" s="241"/>
      <c r="AK890" s="241"/>
      <c r="AL890" s="241"/>
      <c r="AM890" s="241"/>
      <c r="AN890" s="241"/>
      <c r="AO890" s="241"/>
      <c r="AP890" s="241"/>
      <c r="AQ890" s="241"/>
      <c r="AR890" s="241"/>
      <c r="AS890" s="241"/>
      <c r="AT890" s="241"/>
      <c r="AU890" s="241"/>
      <c r="AV890" s="241"/>
      <c r="AW890" s="241"/>
      <c r="AX890" s="241"/>
      <c r="AY890" s="241"/>
      <c r="AZ890" s="241"/>
    </row>
    <row r="891" spans="1:52" ht="18" customHeight="1">
      <c r="A891" s="250"/>
      <c r="B891" s="241"/>
      <c r="C891" s="241"/>
      <c r="D891" s="241"/>
      <c r="E891" s="241"/>
      <c r="F891" s="241"/>
      <c r="G891" s="241"/>
      <c r="H891" s="241"/>
      <c r="I891" s="241"/>
      <c r="J891" s="241"/>
      <c r="K891" s="241"/>
      <c r="L891" s="241"/>
      <c r="M891" s="241"/>
      <c r="N891" s="241"/>
      <c r="O891" s="241"/>
      <c r="P891" s="241"/>
      <c r="Q891" s="241"/>
      <c r="R891" s="241"/>
      <c r="S891" s="241"/>
      <c r="T891" s="241"/>
      <c r="U891" s="241"/>
      <c r="V891" s="241"/>
      <c r="W891" s="241"/>
      <c r="X891" s="241"/>
      <c r="Y891" s="241"/>
      <c r="Z891" s="241"/>
      <c r="AA891" s="241"/>
      <c r="AB891" s="241"/>
      <c r="AC891" s="241"/>
      <c r="AD891" s="241"/>
      <c r="AE891" s="241"/>
      <c r="AF891" s="241"/>
      <c r="AG891" s="241"/>
      <c r="AH891" s="241"/>
      <c r="AI891" s="241"/>
      <c r="AJ891" s="241"/>
      <c r="AK891" s="241"/>
      <c r="AL891" s="241"/>
      <c r="AM891" s="241"/>
      <c r="AN891" s="241"/>
      <c r="AO891" s="241"/>
      <c r="AP891" s="241"/>
      <c r="AQ891" s="241"/>
      <c r="AR891" s="241"/>
      <c r="AS891" s="241"/>
      <c r="AT891" s="241"/>
      <c r="AU891" s="241"/>
      <c r="AV891" s="241"/>
      <c r="AW891" s="241"/>
      <c r="AX891" s="241"/>
      <c r="AY891" s="241"/>
      <c r="AZ891" s="241"/>
    </row>
    <row r="892" spans="1:52" ht="18" customHeight="1">
      <c r="A892" s="250"/>
      <c r="B892" s="241"/>
      <c r="C892" s="241"/>
      <c r="D892" s="241"/>
      <c r="E892" s="241"/>
      <c r="F892" s="241"/>
      <c r="G892" s="241"/>
      <c r="H892" s="241"/>
      <c r="I892" s="241"/>
      <c r="J892" s="241"/>
      <c r="K892" s="241"/>
      <c r="L892" s="241"/>
      <c r="M892" s="241"/>
      <c r="N892" s="241"/>
      <c r="O892" s="241"/>
      <c r="P892" s="241"/>
      <c r="Q892" s="241"/>
      <c r="R892" s="241"/>
      <c r="S892" s="241"/>
      <c r="T892" s="241"/>
      <c r="U892" s="241"/>
      <c r="V892" s="241"/>
      <c r="W892" s="241"/>
      <c r="X892" s="241"/>
      <c r="Y892" s="241"/>
      <c r="Z892" s="241"/>
      <c r="AA892" s="241"/>
      <c r="AB892" s="241"/>
      <c r="AC892" s="241"/>
      <c r="AD892" s="241"/>
      <c r="AE892" s="241"/>
      <c r="AF892" s="241"/>
      <c r="AG892" s="241"/>
      <c r="AH892" s="241"/>
      <c r="AI892" s="241"/>
      <c r="AJ892" s="241"/>
      <c r="AK892" s="241"/>
      <c r="AL892" s="241"/>
      <c r="AM892" s="241"/>
      <c r="AN892" s="241"/>
      <c r="AO892" s="241"/>
      <c r="AP892" s="241"/>
      <c r="AQ892" s="241"/>
      <c r="AR892" s="241"/>
      <c r="AS892" s="241"/>
      <c r="AT892" s="241"/>
      <c r="AU892" s="241"/>
      <c r="AV892" s="241"/>
      <c r="AW892" s="241"/>
      <c r="AX892" s="241"/>
      <c r="AY892" s="241"/>
      <c r="AZ892" s="241"/>
    </row>
    <row r="893" spans="1:52" ht="18" customHeight="1">
      <c r="A893" s="250"/>
      <c r="B893" s="241"/>
      <c r="C893" s="241"/>
      <c r="D893" s="241"/>
      <c r="E893" s="241"/>
      <c r="F893" s="241"/>
      <c r="G893" s="241"/>
      <c r="H893" s="241"/>
      <c r="I893" s="241"/>
      <c r="J893" s="241"/>
      <c r="K893" s="241"/>
      <c r="L893" s="241"/>
      <c r="M893" s="241"/>
      <c r="N893" s="241"/>
      <c r="O893" s="241"/>
      <c r="P893" s="241"/>
      <c r="Q893" s="241"/>
      <c r="R893" s="241"/>
      <c r="S893" s="241"/>
      <c r="T893" s="241"/>
      <c r="U893" s="241"/>
      <c r="V893" s="241"/>
      <c r="W893" s="241"/>
      <c r="X893" s="241"/>
      <c r="Y893" s="241"/>
      <c r="Z893" s="241"/>
      <c r="AA893" s="241"/>
      <c r="AB893" s="241"/>
      <c r="AC893" s="241"/>
      <c r="AD893" s="241"/>
      <c r="AE893" s="241"/>
      <c r="AF893" s="241"/>
      <c r="AG893" s="241"/>
      <c r="AH893" s="241"/>
      <c r="AI893" s="241"/>
      <c r="AJ893" s="241"/>
      <c r="AK893" s="241"/>
      <c r="AL893" s="241"/>
      <c r="AM893" s="241"/>
      <c r="AN893" s="241"/>
      <c r="AO893" s="241"/>
      <c r="AP893" s="241"/>
      <c r="AQ893" s="241"/>
      <c r="AR893" s="241"/>
      <c r="AS893" s="241"/>
      <c r="AT893" s="241"/>
      <c r="AU893" s="241"/>
      <c r="AV893" s="241"/>
      <c r="AW893" s="241"/>
      <c r="AX893" s="241"/>
      <c r="AY893" s="241"/>
      <c r="AZ893" s="241"/>
    </row>
    <row r="894" spans="1:52" ht="18" customHeight="1">
      <c r="A894" s="250"/>
      <c r="B894" s="241"/>
      <c r="C894" s="241"/>
      <c r="D894" s="241"/>
      <c r="E894" s="241"/>
      <c r="F894" s="241"/>
      <c r="G894" s="241"/>
      <c r="H894" s="241"/>
      <c r="I894" s="241"/>
      <c r="J894" s="241"/>
      <c r="K894" s="241"/>
      <c r="L894" s="241"/>
      <c r="M894" s="241"/>
      <c r="N894" s="241"/>
      <c r="O894" s="241"/>
      <c r="P894" s="241"/>
      <c r="Q894" s="241"/>
      <c r="R894" s="241"/>
      <c r="S894" s="241"/>
      <c r="T894" s="241"/>
      <c r="U894" s="241"/>
      <c r="V894" s="241"/>
      <c r="W894" s="241"/>
      <c r="X894" s="241"/>
      <c r="Y894" s="241"/>
      <c r="Z894" s="241"/>
      <c r="AA894" s="241"/>
      <c r="AB894" s="241"/>
      <c r="AC894" s="241"/>
      <c r="AD894" s="241"/>
      <c r="AE894" s="241"/>
      <c r="AF894" s="241"/>
      <c r="AG894" s="241"/>
      <c r="AH894" s="241"/>
      <c r="AI894" s="241"/>
      <c r="AJ894" s="241"/>
      <c r="AK894" s="241"/>
      <c r="AL894" s="241"/>
      <c r="AM894" s="241"/>
      <c r="AN894" s="241"/>
      <c r="AO894" s="241"/>
      <c r="AP894" s="241"/>
      <c r="AQ894" s="241"/>
      <c r="AR894" s="241"/>
      <c r="AS894" s="241"/>
      <c r="AT894" s="241"/>
      <c r="AU894" s="241"/>
      <c r="AV894" s="241"/>
      <c r="AW894" s="241"/>
      <c r="AX894" s="241"/>
      <c r="AY894" s="241"/>
      <c r="AZ894" s="241"/>
    </row>
    <row r="895" spans="1:52" ht="18" customHeight="1">
      <c r="A895" s="250"/>
      <c r="B895" s="241"/>
      <c r="C895" s="241"/>
      <c r="D895" s="241"/>
      <c r="E895" s="241"/>
      <c r="F895" s="241"/>
      <c r="G895" s="241"/>
      <c r="H895" s="241"/>
      <c r="I895" s="241"/>
      <c r="J895" s="241"/>
      <c r="K895" s="241"/>
      <c r="L895" s="241"/>
      <c r="M895" s="241"/>
      <c r="N895" s="241"/>
      <c r="O895" s="241"/>
      <c r="P895" s="241"/>
      <c r="Q895" s="241"/>
      <c r="R895" s="241"/>
      <c r="S895" s="241"/>
      <c r="T895" s="241"/>
      <c r="U895" s="241"/>
      <c r="V895" s="241"/>
      <c r="W895" s="241"/>
      <c r="X895" s="241"/>
      <c r="Y895" s="241"/>
      <c r="Z895" s="241"/>
      <c r="AA895" s="241"/>
      <c r="AB895" s="241"/>
      <c r="AC895" s="241"/>
      <c r="AD895" s="241"/>
      <c r="AE895" s="241"/>
      <c r="AF895" s="241"/>
      <c r="AG895" s="241"/>
      <c r="AH895" s="241"/>
      <c r="AI895" s="241"/>
      <c r="AJ895" s="241"/>
      <c r="AK895" s="241"/>
      <c r="AL895" s="241"/>
      <c r="AM895" s="241"/>
      <c r="AN895" s="241"/>
      <c r="AO895" s="241"/>
      <c r="AP895" s="241"/>
      <c r="AQ895" s="241"/>
      <c r="AR895" s="241"/>
      <c r="AS895" s="241"/>
      <c r="AT895" s="241"/>
      <c r="AU895" s="241"/>
      <c r="AV895" s="241"/>
      <c r="AW895" s="241"/>
      <c r="AX895" s="241"/>
      <c r="AY895" s="241"/>
      <c r="AZ895" s="241"/>
    </row>
    <row r="896" spans="1:52" ht="18" customHeight="1">
      <c r="A896" s="250"/>
      <c r="B896" s="241"/>
      <c r="C896" s="241"/>
      <c r="D896" s="241"/>
      <c r="E896" s="241"/>
      <c r="F896" s="241"/>
      <c r="G896" s="241"/>
      <c r="H896" s="241"/>
      <c r="I896" s="241"/>
      <c r="J896" s="241"/>
      <c r="K896" s="241"/>
      <c r="L896" s="241"/>
      <c r="M896" s="241"/>
      <c r="N896" s="241"/>
      <c r="O896" s="241"/>
      <c r="P896" s="241"/>
      <c r="Q896" s="241"/>
      <c r="R896" s="241"/>
      <c r="S896" s="241"/>
      <c r="T896" s="241"/>
      <c r="U896" s="241"/>
      <c r="V896" s="241"/>
      <c r="W896" s="241"/>
      <c r="X896" s="241"/>
      <c r="Y896" s="241"/>
      <c r="Z896" s="241"/>
      <c r="AA896" s="241"/>
      <c r="AB896" s="241"/>
      <c r="AC896" s="241"/>
      <c r="AD896" s="241"/>
      <c r="AE896" s="241"/>
      <c r="AF896" s="241"/>
      <c r="AG896" s="241"/>
      <c r="AH896" s="241"/>
      <c r="AI896" s="241"/>
      <c r="AJ896" s="241"/>
      <c r="AK896" s="241"/>
      <c r="AL896" s="241"/>
      <c r="AM896" s="241"/>
      <c r="AN896" s="241"/>
      <c r="AO896" s="241"/>
      <c r="AP896" s="241"/>
      <c r="AQ896" s="241"/>
      <c r="AR896" s="241"/>
      <c r="AS896" s="241"/>
      <c r="AT896" s="241"/>
      <c r="AU896" s="241"/>
      <c r="AV896" s="241"/>
      <c r="AW896" s="241"/>
      <c r="AX896" s="241"/>
      <c r="AY896" s="241"/>
      <c r="AZ896" s="241"/>
    </row>
    <row r="897" spans="1:52" ht="18" customHeight="1">
      <c r="A897" s="250"/>
      <c r="B897" s="241"/>
      <c r="C897" s="241"/>
      <c r="D897" s="241"/>
      <c r="E897" s="241"/>
      <c r="F897" s="241"/>
      <c r="G897" s="241"/>
      <c r="H897" s="241"/>
      <c r="I897" s="241"/>
      <c r="J897" s="241"/>
      <c r="K897" s="241"/>
      <c r="L897" s="241"/>
      <c r="M897" s="241"/>
      <c r="N897" s="241"/>
      <c r="O897" s="241"/>
      <c r="P897" s="241"/>
      <c r="Q897" s="241"/>
      <c r="R897" s="241"/>
      <c r="S897" s="241"/>
      <c r="T897" s="241"/>
      <c r="U897" s="241"/>
      <c r="V897" s="241"/>
      <c r="W897" s="241"/>
      <c r="X897" s="241"/>
      <c r="Y897" s="241"/>
      <c r="Z897" s="241"/>
      <c r="AA897" s="241"/>
      <c r="AB897" s="241"/>
      <c r="AC897" s="241"/>
      <c r="AD897" s="241"/>
      <c r="AE897" s="241"/>
      <c r="AF897" s="241"/>
      <c r="AG897" s="241"/>
      <c r="AH897" s="241"/>
      <c r="AI897" s="241"/>
      <c r="AJ897" s="241"/>
      <c r="AK897" s="241"/>
      <c r="AL897" s="241"/>
      <c r="AM897" s="241"/>
      <c r="AN897" s="241"/>
      <c r="AO897" s="241"/>
      <c r="AP897" s="241"/>
      <c r="AQ897" s="241"/>
      <c r="AR897" s="241"/>
      <c r="AS897" s="241"/>
      <c r="AT897" s="241"/>
      <c r="AU897" s="241"/>
      <c r="AV897" s="241"/>
      <c r="AW897" s="241"/>
      <c r="AX897" s="241"/>
      <c r="AY897" s="241"/>
      <c r="AZ897" s="241"/>
    </row>
    <row r="898" spans="1:52" ht="18" customHeight="1">
      <c r="A898" s="250"/>
      <c r="B898" s="241"/>
      <c r="C898" s="241"/>
      <c r="D898" s="241"/>
      <c r="E898" s="241"/>
      <c r="F898" s="241"/>
      <c r="G898" s="241"/>
      <c r="H898" s="241"/>
      <c r="I898" s="241"/>
      <c r="J898" s="241"/>
      <c r="K898" s="241"/>
      <c r="L898" s="241"/>
      <c r="M898" s="241"/>
      <c r="N898" s="241"/>
      <c r="O898" s="241"/>
      <c r="P898" s="241"/>
      <c r="Q898" s="241"/>
      <c r="R898" s="241"/>
      <c r="S898" s="241"/>
      <c r="T898" s="241"/>
      <c r="U898" s="241"/>
      <c r="V898" s="241"/>
      <c r="W898" s="241"/>
      <c r="X898" s="241"/>
      <c r="Y898" s="241"/>
      <c r="Z898" s="241"/>
      <c r="AA898" s="241"/>
      <c r="AB898" s="241"/>
      <c r="AC898" s="241"/>
      <c r="AD898" s="241"/>
      <c r="AE898" s="241"/>
      <c r="AF898" s="241"/>
      <c r="AG898" s="241"/>
      <c r="AH898" s="241"/>
      <c r="AI898" s="241"/>
      <c r="AJ898" s="241"/>
      <c r="AK898" s="241"/>
      <c r="AL898" s="241"/>
      <c r="AM898" s="241"/>
      <c r="AN898" s="241"/>
      <c r="AO898" s="241"/>
      <c r="AP898" s="241"/>
      <c r="AQ898" s="241"/>
      <c r="AR898" s="241"/>
      <c r="AS898" s="241"/>
      <c r="AT898" s="241"/>
      <c r="AU898" s="241"/>
      <c r="AV898" s="241"/>
      <c r="AW898" s="241"/>
      <c r="AX898" s="241"/>
      <c r="AY898" s="241"/>
      <c r="AZ898" s="241"/>
    </row>
    <row r="899" spans="1:52" ht="18" customHeight="1">
      <c r="A899" s="250"/>
      <c r="B899" s="241"/>
      <c r="C899" s="241"/>
      <c r="D899" s="241"/>
      <c r="E899" s="241"/>
      <c r="F899" s="241"/>
      <c r="G899" s="241"/>
      <c r="H899" s="241"/>
      <c r="I899" s="241"/>
      <c r="J899" s="241"/>
      <c r="K899" s="241"/>
      <c r="L899" s="241"/>
      <c r="M899" s="241"/>
      <c r="N899" s="241"/>
      <c r="O899" s="241"/>
      <c r="P899" s="241"/>
      <c r="Q899" s="241"/>
      <c r="R899" s="241"/>
      <c r="S899" s="241"/>
      <c r="T899" s="241"/>
      <c r="U899" s="241"/>
      <c r="V899" s="241"/>
      <c r="W899" s="241"/>
      <c r="X899" s="241"/>
      <c r="Y899" s="241"/>
      <c r="Z899" s="241"/>
      <c r="AA899" s="241"/>
      <c r="AB899" s="241"/>
      <c r="AC899" s="241"/>
      <c r="AD899" s="241"/>
      <c r="AE899" s="241"/>
      <c r="AF899" s="241"/>
      <c r="AG899" s="241"/>
      <c r="AH899" s="241"/>
      <c r="AI899" s="241"/>
      <c r="AJ899" s="241"/>
      <c r="AK899" s="241"/>
      <c r="AL899" s="241"/>
      <c r="AM899" s="241"/>
      <c r="AN899" s="241"/>
      <c r="AO899" s="241"/>
      <c r="AP899" s="241"/>
      <c r="AQ899" s="241"/>
      <c r="AR899" s="241"/>
      <c r="AS899" s="241"/>
      <c r="AT899" s="241"/>
      <c r="AU899" s="241"/>
      <c r="AV899" s="241"/>
      <c r="AW899" s="241"/>
      <c r="AX899" s="241"/>
      <c r="AY899" s="241"/>
      <c r="AZ899" s="241"/>
    </row>
    <row r="900" spans="1:52" ht="18" customHeight="1">
      <c r="A900" s="250"/>
      <c r="B900" s="241"/>
      <c r="C900" s="241"/>
      <c r="D900" s="241"/>
      <c r="E900" s="241"/>
      <c r="F900" s="241"/>
      <c r="G900" s="241"/>
      <c r="H900" s="241"/>
      <c r="I900" s="241"/>
      <c r="J900" s="241"/>
      <c r="K900" s="241"/>
      <c r="L900" s="241"/>
      <c r="M900" s="241"/>
      <c r="N900" s="241"/>
      <c r="O900" s="241"/>
      <c r="P900" s="241"/>
      <c r="Q900" s="241"/>
      <c r="R900" s="241"/>
      <c r="S900" s="241"/>
      <c r="T900" s="241"/>
      <c r="U900" s="241"/>
      <c r="V900" s="241"/>
      <c r="W900" s="241"/>
      <c r="X900" s="241"/>
      <c r="Y900" s="241"/>
      <c r="Z900" s="241"/>
      <c r="AA900" s="241"/>
      <c r="AB900" s="241"/>
      <c r="AC900" s="241"/>
      <c r="AD900" s="241"/>
      <c r="AE900" s="241"/>
      <c r="AF900" s="241"/>
      <c r="AG900" s="241"/>
      <c r="AH900" s="241"/>
      <c r="AI900" s="241"/>
      <c r="AJ900" s="241"/>
      <c r="AK900" s="241"/>
      <c r="AL900" s="241"/>
      <c r="AM900" s="241"/>
      <c r="AN900" s="241"/>
      <c r="AO900" s="241"/>
      <c r="AP900" s="241"/>
      <c r="AQ900" s="241"/>
      <c r="AR900" s="241"/>
      <c r="AS900" s="241"/>
      <c r="AT900" s="241"/>
      <c r="AU900" s="241"/>
      <c r="AV900" s="241"/>
      <c r="AW900" s="241"/>
      <c r="AX900" s="241"/>
      <c r="AY900" s="241"/>
      <c r="AZ900" s="241"/>
    </row>
    <row r="901" spans="1:52" ht="18" customHeight="1">
      <c r="A901" s="259"/>
      <c r="B901" s="244"/>
      <c r="C901" s="244"/>
      <c r="D901" s="244"/>
      <c r="E901" s="244"/>
      <c r="F901" s="244"/>
      <c r="G901" s="244"/>
      <c r="H901" s="244"/>
      <c r="I901" s="244"/>
      <c r="J901" s="244"/>
      <c r="K901" s="244"/>
      <c r="L901" s="244"/>
      <c r="M901" s="244"/>
      <c r="N901" s="244"/>
      <c r="O901" s="244"/>
      <c r="P901" s="244"/>
      <c r="Q901" s="244"/>
      <c r="R901" s="244"/>
      <c r="S901" s="244"/>
      <c r="T901" s="244"/>
      <c r="U901" s="244"/>
      <c r="V901" s="244"/>
      <c r="W901" s="244"/>
      <c r="X901" s="244"/>
      <c r="Y901" s="244"/>
      <c r="Z901" s="244"/>
      <c r="AA901" s="244"/>
      <c r="AB901" s="244"/>
      <c r="AC901" s="244"/>
      <c r="AD901" s="244"/>
      <c r="AE901" s="244"/>
      <c r="AF901" s="244"/>
      <c r="AG901" s="244"/>
      <c r="AH901" s="244"/>
      <c r="AI901" s="244"/>
      <c r="AJ901" s="244"/>
      <c r="AK901" s="244"/>
      <c r="AL901" s="244"/>
      <c r="AM901" s="244"/>
      <c r="AN901" s="244"/>
      <c r="AO901" s="244"/>
      <c r="AP901" s="244"/>
      <c r="AQ901" s="244"/>
      <c r="AR901" s="244"/>
      <c r="AS901" s="244"/>
      <c r="AT901" s="244"/>
      <c r="AU901" s="244"/>
      <c r="AV901" s="244"/>
      <c r="AW901" s="244"/>
      <c r="AX901" s="244"/>
      <c r="AY901" s="244"/>
      <c r="AZ901" s="244"/>
    </row>
    <row r="902" spans="1:52" ht="18" customHeight="1">
      <c r="A902" s="259"/>
      <c r="B902" s="244"/>
      <c r="C902" s="244"/>
      <c r="D902" s="244"/>
      <c r="E902" s="244"/>
      <c r="F902" s="244"/>
      <c r="G902" s="244"/>
      <c r="H902" s="244"/>
      <c r="I902" s="244"/>
      <c r="J902" s="244"/>
      <c r="K902" s="244"/>
      <c r="L902" s="244"/>
      <c r="M902" s="244"/>
      <c r="N902" s="244"/>
      <c r="O902" s="244"/>
      <c r="P902" s="244"/>
      <c r="Q902" s="244"/>
      <c r="R902" s="244"/>
      <c r="S902" s="244"/>
      <c r="T902" s="244"/>
      <c r="U902" s="244"/>
      <c r="V902" s="244"/>
      <c r="W902" s="244"/>
      <c r="X902" s="244"/>
      <c r="Y902" s="244"/>
      <c r="Z902" s="244"/>
      <c r="AA902" s="244"/>
      <c r="AB902" s="244"/>
      <c r="AC902" s="244"/>
      <c r="AD902" s="244"/>
      <c r="AE902" s="244"/>
      <c r="AF902" s="244"/>
      <c r="AG902" s="244"/>
      <c r="AH902" s="244"/>
      <c r="AI902" s="244"/>
      <c r="AJ902" s="244"/>
      <c r="AK902" s="244"/>
      <c r="AL902" s="244"/>
      <c r="AM902" s="244"/>
      <c r="AN902" s="244"/>
      <c r="AO902" s="244"/>
      <c r="AP902" s="244"/>
      <c r="AQ902" s="244"/>
      <c r="AR902" s="244"/>
      <c r="AS902" s="244"/>
      <c r="AT902" s="244"/>
      <c r="AU902" s="244"/>
      <c r="AV902" s="244"/>
      <c r="AW902" s="244"/>
      <c r="AX902" s="244"/>
      <c r="AY902" s="244"/>
      <c r="AZ902" s="244"/>
    </row>
    <row r="903" spans="1:52" ht="18" customHeight="1">
      <c r="A903" s="259"/>
      <c r="B903" s="244"/>
      <c r="C903" s="244"/>
      <c r="D903" s="244"/>
      <c r="E903" s="244"/>
      <c r="F903" s="244"/>
      <c r="G903" s="244"/>
      <c r="H903" s="244"/>
      <c r="I903" s="244"/>
      <c r="J903" s="244"/>
      <c r="K903" s="244"/>
      <c r="L903" s="244"/>
      <c r="M903" s="244"/>
      <c r="N903" s="244"/>
      <c r="O903" s="244"/>
      <c r="P903" s="244"/>
      <c r="Q903" s="244"/>
      <c r="R903" s="244"/>
      <c r="S903" s="244"/>
      <c r="T903" s="244"/>
      <c r="U903" s="244"/>
      <c r="V903" s="244"/>
      <c r="W903" s="244"/>
      <c r="X903" s="244"/>
      <c r="Y903" s="244"/>
      <c r="Z903" s="244"/>
      <c r="AA903" s="244"/>
      <c r="AB903" s="244"/>
      <c r="AC903" s="244"/>
      <c r="AD903" s="244"/>
      <c r="AE903" s="244"/>
      <c r="AF903" s="244"/>
      <c r="AG903" s="244"/>
      <c r="AH903" s="244"/>
      <c r="AI903" s="244"/>
      <c r="AJ903" s="244"/>
      <c r="AK903" s="244"/>
      <c r="AL903" s="244"/>
      <c r="AM903" s="244"/>
      <c r="AN903" s="244"/>
      <c r="AO903" s="244"/>
      <c r="AP903" s="244"/>
      <c r="AQ903" s="244"/>
      <c r="AR903" s="244"/>
      <c r="AS903" s="244"/>
      <c r="AT903" s="244"/>
      <c r="AU903" s="244"/>
      <c r="AV903" s="244"/>
      <c r="AW903" s="244"/>
      <c r="AX903" s="244"/>
      <c r="AY903" s="244"/>
      <c r="AZ903" s="244"/>
    </row>
    <row r="904" spans="1:52" ht="18" customHeight="1">
      <c r="A904" s="259"/>
      <c r="B904" s="244"/>
      <c r="C904" s="244"/>
      <c r="D904" s="244"/>
      <c r="E904" s="244"/>
      <c r="F904" s="244"/>
      <c r="G904" s="244"/>
      <c r="H904" s="244"/>
      <c r="I904" s="244"/>
      <c r="J904" s="244"/>
      <c r="K904" s="244"/>
      <c r="L904" s="244"/>
      <c r="M904" s="244"/>
      <c r="N904" s="244"/>
      <c r="O904" s="244"/>
      <c r="P904" s="244"/>
      <c r="Q904" s="244"/>
      <c r="R904" s="244"/>
      <c r="S904" s="244"/>
      <c r="T904" s="244"/>
      <c r="U904" s="244"/>
      <c r="V904" s="244"/>
      <c r="W904" s="244"/>
      <c r="X904" s="244"/>
      <c r="Y904" s="244"/>
      <c r="Z904" s="244"/>
      <c r="AA904" s="244"/>
      <c r="AB904" s="244"/>
      <c r="AC904" s="244"/>
      <c r="AD904" s="244"/>
      <c r="AE904" s="244"/>
      <c r="AF904" s="244"/>
      <c r="AG904" s="244"/>
      <c r="AH904" s="244"/>
      <c r="AI904" s="244"/>
      <c r="AJ904" s="244"/>
      <c r="AK904" s="244"/>
      <c r="AL904" s="244"/>
      <c r="AM904" s="244"/>
      <c r="AN904" s="244"/>
      <c r="AO904" s="244"/>
      <c r="AP904" s="244"/>
      <c r="AQ904" s="244"/>
      <c r="AR904" s="244"/>
      <c r="AS904" s="244"/>
      <c r="AT904" s="244"/>
      <c r="AU904" s="244"/>
      <c r="AV904" s="244"/>
      <c r="AW904" s="244"/>
      <c r="AX904" s="244"/>
      <c r="AY904" s="244"/>
      <c r="AZ904" s="244"/>
    </row>
    <row r="905" spans="1:52" ht="18" customHeight="1">
      <c r="A905" s="259"/>
      <c r="B905" s="244"/>
      <c r="C905" s="244"/>
      <c r="D905" s="244"/>
      <c r="E905" s="244"/>
      <c r="F905" s="244"/>
      <c r="G905" s="244"/>
      <c r="H905" s="244"/>
      <c r="I905" s="244"/>
      <c r="J905" s="244"/>
      <c r="K905" s="244"/>
      <c r="L905" s="244"/>
      <c r="M905" s="244"/>
      <c r="N905" s="244"/>
      <c r="O905" s="244"/>
      <c r="P905" s="244"/>
      <c r="Q905" s="244"/>
      <c r="R905" s="244"/>
      <c r="S905" s="244"/>
      <c r="T905" s="244"/>
      <c r="U905" s="244"/>
      <c r="V905" s="244"/>
      <c r="W905" s="244"/>
      <c r="X905" s="244"/>
      <c r="Y905" s="244"/>
      <c r="Z905" s="244"/>
      <c r="AA905" s="244"/>
      <c r="AB905" s="244"/>
      <c r="AC905" s="244"/>
      <c r="AD905" s="244"/>
      <c r="AE905" s="244"/>
      <c r="AF905" s="244"/>
      <c r="AG905" s="244"/>
      <c r="AH905" s="244"/>
      <c r="AI905" s="244"/>
      <c r="AJ905" s="244"/>
      <c r="AK905" s="244"/>
      <c r="AL905" s="244"/>
      <c r="AM905" s="244"/>
      <c r="AN905" s="244"/>
      <c r="AO905" s="244"/>
      <c r="AP905" s="244"/>
      <c r="AQ905" s="244"/>
      <c r="AR905" s="244"/>
      <c r="AS905" s="244"/>
      <c r="AT905" s="244"/>
      <c r="AU905" s="244"/>
      <c r="AV905" s="244"/>
      <c r="AW905" s="244"/>
      <c r="AX905" s="244"/>
      <c r="AY905" s="244"/>
      <c r="AZ905" s="244"/>
    </row>
    <row r="906" spans="1:52" ht="18" customHeight="1">
      <c r="A906" s="259"/>
      <c r="B906" s="244"/>
      <c r="C906" s="244"/>
      <c r="D906" s="244"/>
      <c r="E906" s="244"/>
      <c r="F906" s="244"/>
      <c r="G906" s="244"/>
      <c r="H906" s="244"/>
      <c r="I906" s="244"/>
      <c r="J906" s="244"/>
      <c r="K906" s="244"/>
      <c r="L906" s="244"/>
      <c r="M906" s="244"/>
      <c r="N906" s="244"/>
      <c r="O906" s="244"/>
      <c r="P906" s="244"/>
      <c r="Q906" s="244"/>
      <c r="R906" s="244"/>
      <c r="S906" s="244"/>
      <c r="T906" s="244"/>
      <c r="U906" s="244"/>
      <c r="V906" s="244"/>
      <c r="W906" s="244"/>
      <c r="X906" s="244"/>
      <c r="Y906" s="244"/>
      <c r="Z906" s="244"/>
      <c r="AA906" s="244"/>
      <c r="AB906" s="244"/>
      <c r="AC906" s="244"/>
      <c r="AD906" s="244"/>
      <c r="AE906" s="244"/>
      <c r="AF906" s="244"/>
      <c r="AG906" s="244"/>
      <c r="AH906" s="244"/>
      <c r="AI906" s="244"/>
      <c r="AJ906" s="244"/>
      <c r="AK906" s="244"/>
      <c r="AL906" s="244"/>
      <c r="AM906" s="244"/>
      <c r="AN906" s="244"/>
      <c r="AO906" s="244"/>
      <c r="AP906" s="244"/>
      <c r="AQ906" s="244"/>
      <c r="AR906" s="244"/>
      <c r="AS906" s="244"/>
      <c r="AT906" s="244"/>
      <c r="AU906" s="244"/>
      <c r="AV906" s="244"/>
      <c r="AW906" s="244"/>
      <c r="AX906" s="244"/>
      <c r="AY906" s="244"/>
      <c r="AZ906" s="244"/>
    </row>
    <row r="907" spans="1:52" ht="18" customHeight="1">
      <c r="A907" s="259"/>
      <c r="B907" s="244"/>
      <c r="C907" s="244"/>
      <c r="D907" s="244"/>
      <c r="E907" s="244"/>
      <c r="F907" s="244"/>
      <c r="G907" s="244"/>
      <c r="H907" s="244"/>
      <c r="I907" s="244"/>
      <c r="J907" s="244"/>
      <c r="K907" s="244"/>
      <c r="L907" s="244"/>
      <c r="M907" s="244"/>
      <c r="N907" s="244"/>
      <c r="O907" s="244"/>
      <c r="P907" s="244"/>
      <c r="Q907" s="244"/>
      <c r="R907" s="244"/>
      <c r="S907" s="244"/>
      <c r="T907" s="244"/>
      <c r="U907" s="244"/>
      <c r="V907" s="244"/>
      <c r="W907" s="244"/>
      <c r="X907" s="244"/>
      <c r="Y907" s="244"/>
      <c r="Z907" s="244"/>
      <c r="AA907" s="244"/>
      <c r="AB907" s="244"/>
      <c r="AC907" s="244"/>
      <c r="AD907" s="244"/>
      <c r="AE907" s="244"/>
      <c r="AF907" s="244"/>
      <c r="AG907" s="244"/>
      <c r="AH907" s="244"/>
      <c r="AI907" s="244"/>
      <c r="AJ907" s="244"/>
      <c r="AK907" s="244"/>
      <c r="AL907" s="244"/>
      <c r="AM907" s="244"/>
      <c r="AN907" s="244"/>
      <c r="AO907" s="244"/>
      <c r="AP907" s="244"/>
      <c r="AQ907" s="244"/>
      <c r="AR907" s="244"/>
      <c r="AS907" s="244"/>
      <c r="AT907" s="244"/>
      <c r="AU907" s="244"/>
      <c r="AV907" s="244"/>
      <c r="AW907" s="244"/>
      <c r="AX907" s="244"/>
      <c r="AY907" s="244"/>
      <c r="AZ907" s="244"/>
    </row>
    <row r="908" spans="1:52" ht="18" customHeight="1">
      <c r="A908" s="259"/>
      <c r="B908" s="244"/>
      <c r="C908" s="244"/>
      <c r="D908" s="244"/>
      <c r="E908" s="244"/>
      <c r="F908" s="244"/>
      <c r="G908" s="244"/>
      <c r="H908" s="244"/>
      <c r="I908" s="244"/>
      <c r="J908" s="244"/>
      <c r="K908" s="244"/>
      <c r="L908" s="244"/>
      <c r="M908" s="244"/>
      <c r="N908" s="244"/>
      <c r="O908" s="244"/>
      <c r="P908" s="244"/>
      <c r="Q908" s="244"/>
      <c r="R908" s="244"/>
      <c r="S908" s="244"/>
      <c r="T908" s="244"/>
      <c r="U908" s="244"/>
      <c r="V908" s="244"/>
      <c r="W908" s="244"/>
      <c r="X908" s="244"/>
      <c r="Y908" s="244"/>
      <c r="Z908" s="244"/>
      <c r="AA908" s="244"/>
      <c r="AB908" s="244"/>
      <c r="AC908" s="244"/>
      <c r="AD908" s="244"/>
      <c r="AE908" s="244"/>
      <c r="AF908" s="244"/>
      <c r="AG908" s="244"/>
      <c r="AH908" s="244"/>
      <c r="AI908" s="244"/>
      <c r="AJ908" s="244"/>
      <c r="AK908" s="244"/>
      <c r="AL908" s="244"/>
      <c r="AM908" s="244"/>
      <c r="AN908" s="244"/>
      <c r="AO908" s="244"/>
      <c r="AP908" s="244"/>
      <c r="AQ908" s="244"/>
      <c r="AR908" s="244"/>
      <c r="AS908" s="244"/>
      <c r="AT908" s="244"/>
      <c r="AU908" s="244"/>
      <c r="AV908" s="244"/>
      <c r="AW908" s="244"/>
      <c r="AX908" s="244"/>
      <c r="AY908" s="244"/>
      <c r="AZ908" s="244"/>
    </row>
    <row r="909" spans="1:52" ht="18" customHeight="1"/>
    <row r="910" spans="1:52" ht="18" customHeight="1"/>
    <row r="911" spans="1:52" ht="18" customHeight="1"/>
    <row r="912" spans="1:52" ht="18" customHeight="1"/>
    <row r="913" ht="18" customHeight="1"/>
    <row r="914" ht="18" customHeight="1"/>
    <row r="915" ht="18" customHeight="1"/>
    <row r="916" ht="18" customHeight="1"/>
    <row r="917" ht="18" customHeight="1"/>
    <row r="918" ht="18" customHeight="1"/>
    <row r="919" ht="18" customHeight="1"/>
    <row r="920" ht="18" customHeight="1"/>
    <row r="921" ht="18" customHeight="1"/>
    <row r="922" ht="18" customHeight="1"/>
    <row r="923" ht="18" customHeight="1"/>
    <row r="924" ht="18" customHeight="1"/>
    <row r="925" ht="18" customHeight="1"/>
    <row r="926" ht="18" customHeight="1"/>
    <row r="927" ht="18" customHeight="1"/>
    <row r="928" ht="18" customHeight="1"/>
    <row r="929" ht="18" customHeight="1"/>
    <row r="930" ht="18" customHeight="1"/>
    <row r="931" ht="18" customHeight="1"/>
    <row r="932" ht="18" customHeight="1"/>
    <row r="933" ht="18" customHeight="1"/>
    <row r="934" ht="18" customHeight="1"/>
    <row r="935" ht="18" customHeight="1"/>
    <row r="936" ht="18" customHeight="1"/>
    <row r="937" ht="18" customHeight="1"/>
    <row r="938" ht="18" customHeight="1"/>
    <row r="939" ht="18" customHeight="1"/>
    <row r="940" ht="18" customHeight="1"/>
    <row r="941" ht="18" customHeight="1"/>
    <row r="942" ht="18" customHeight="1"/>
    <row r="943" ht="18" customHeight="1"/>
    <row r="944" ht="18" customHeight="1"/>
    <row r="945" ht="18" customHeight="1"/>
    <row r="946" ht="18" customHeight="1"/>
    <row r="947" ht="18" customHeight="1"/>
    <row r="948" ht="18" customHeight="1"/>
    <row r="949" ht="18" customHeight="1"/>
    <row r="950" ht="18" customHeight="1"/>
    <row r="951" ht="18" customHeight="1"/>
    <row r="952" ht="18" customHeight="1"/>
    <row r="953" ht="18" customHeight="1"/>
    <row r="954" ht="18" customHeight="1"/>
    <row r="955" ht="18" customHeight="1"/>
    <row r="956" ht="18" customHeight="1"/>
    <row r="957" ht="18" customHeight="1"/>
    <row r="958" ht="18" customHeight="1"/>
    <row r="959" ht="18" customHeight="1"/>
    <row r="960" ht="18" customHeight="1"/>
    <row r="961" ht="18" customHeight="1"/>
    <row r="962" ht="18" customHeight="1"/>
    <row r="963" ht="18" customHeight="1"/>
    <row r="964" ht="18" customHeight="1"/>
    <row r="965" ht="18" customHeight="1"/>
    <row r="966" ht="18" customHeight="1"/>
    <row r="967" ht="18" customHeight="1"/>
    <row r="968" ht="18" customHeight="1"/>
    <row r="969" ht="18" customHeight="1"/>
    <row r="970" ht="18" customHeight="1"/>
    <row r="971" ht="18" customHeight="1"/>
    <row r="972" ht="18" customHeight="1"/>
    <row r="973" ht="18" customHeight="1"/>
    <row r="974" ht="18" customHeight="1"/>
    <row r="975" ht="18" customHeight="1"/>
    <row r="976" ht="18" customHeight="1"/>
    <row r="977" ht="18" customHeight="1"/>
    <row r="978" ht="18" customHeight="1"/>
    <row r="979" ht="18" customHeight="1"/>
    <row r="980" ht="18" customHeight="1"/>
    <row r="981" ht="18" customHeight="1"/>
    <row r="982" ht="18" customHeight="1"/>
    <row r="983" ht="18" customHeight="1"/>
    <row r="984" ht="18" customHeight="1"/>
    <row r="985" ht="18" customHeight="1"/>
    <row r="986" ht="18" customHeight="1"/>
    <row r="987" ht="18" customHeight="1"/>
    <row r="988" ht="18" customHeight="1"/>
    <row r="989" ht="18" customHeight="1"/>
    <row r="990" ht="18" customHeight="1"/>
    <row r="991" ht="18" customHeight="1"/>
    <row r="992" ht="18" customHeight="1"/>
    <row r="993" ht="18" customHeight="1"/>
    <row r="994" ht="18" customHeight="1"/>
    <row r="995" ht="18" customHeight="1"/>
    <row r="996" ht="18" customHeight="1"/>
    <row r="997" ht="18" customHeight="1"/>
    <row r="998" ht="18" customHeight="1"/>
    <row r="999" ht="18" customHeight="1"/>
    <row r="1000" ht="18" customHeight="1"/>
    <row r="1001" ht="18" customHeight="1"/>
    <row r="1002" ht="18" customHeight="1"/>
    <row r="1003" ht="18" customHeight="1"/>
    <row r="1004" ht="18" customHeight="1"/>
    <row r="1005" ht="18" customHeight="1"/>
    <row r="1006" ht="18" customHeight="1"/>
    <row r="1007" ht="18" customHeight="1"/>
    <row r="1008" ht="18" customHeight="1"/>
    <row r="1009" ht="18" customHeight="1"/>
    <row r="1010" ht="18" customHeight="1"/>
    <row r="1011" ht="18" customHeight="1"/>
    <row r="1012" ht="18" customHeight="1"/>
    <row r="1013" ht="18" customHeight="1"/>
    <row r="1014" ht="18" customHeight="1"/>
    <row r="1015" ht="18" customHeight="1"/>
    <row r="1016" ht="18" customHeight="1"/>
    <row r="1017" ht="18" customHeight="1"/>
    <row r="1018" ht="18" customHeight="1"/>
    <row r="1019" ht="18" customHeight="1"/>
    <row r="1020" ht="18" customHeight="1"/>
    <row r="1021" ht="18" customHeight="1"/>
    <row r="1022" ht="18" customHeight="1"/>
    <row r="1023" ht="18" customHeight="1"/>
    <row r="1024" ht="18" customHeight="1"/>
    <row r="1025" ht="18" customHeight="1"/>
    <row r="1026" ht="18" customHeight="1"/>
    <row r="1027" ht="18" customHeight="1"/>
    <row r="1028" ht="18" customHeight="1"/>
    <row r="1029" ht="18" customHeight="1"/>
    <row r="1030" ht="18" customHeight="1"/>
    <row r="1031" ht="18" customHeight="1"/>
    <row r="1032" ht="18" customHeight="1"/>
    <row r="1033" ht="18" customHeight="1"/>
    <row r="1034" ht="18" customHeight="1"/>
    <row r="1035" ht="18" customHeight="1"/>
    <row r="1036" ht="18" customHeight="1"/>
    <row r="1037" ht="18" customHeight="1"/>
    <row r="1038" ht="18" customHeight="1"/>
    <row r="1039" ht="18" customHeight="1"/>
    <row r="1040" ht="18" customHeight="1"/>
    <row r="1041" ht="18" customHeight="1"/>
    <row r="1042" ht="18" customHeight="1"/>
    <row r="1043" ht="18" customHeight="1"/>
    <row r="1044" ht="18" customHeight="1"/>
    <row r="1045" ht="18" customHeight="1"/>
    <row r="1046" ht="18" customHeight="1"/>
    <row r="1047" ht="18" customHeight="1"/>
    <row r="1048" ht="18" customHeight="1"/>
    <row r="1049" ht="18" customHeight="1"/>
    <row r="1050" ht="18" customHeight="1"/>
    <row r="1051" ht="18" customHeight="1"/>
    <row r="1052" ht="18" customHeight="1"/>
    <row r="1053" ht="18" customHeight="1"/>
    <row r="1054" ht="18" customHeight="1"/>
    <row r="1055" ht="18" customHeight="1"/>
    <row r="1056" ht="18" customHeight="1"/>
    <row r="1057" ht="18" customHeight="1"/>
    <row r="1058" ht="18" customHeight="1"/>
    <row r="1059" ht="18" customHeight="1"/>
    <row r="1060" ht="18" customHeight="1"/>
    <row r="1061" ht="18" customHeight="1"/>
    <row r="1062" ht="18" customHeight="1"/>
    <row r="1063" ht="15.75" customHeight="1"/>
    <row r="1064" ht="15.75" customHeight="1"/>
    <row r="1065" ht="15.75" customHeight="1"/>
    <row r="1066" ht="15.75" customHeight="1"/>
    <row r="1067" ht="15.75" customHeight="1"/>
    <row r="1068" ht="15.75" customHeight="1"/>
    <row r="1069" ht="15.75" customHeight="1"/>
    <row r="1070" ht="15.75" customHeight="1"/>
    <row r="1071" ht="15.75" customHeight="1"/>
    <row r="1072" ht="15.75" customHeight="1"/>
    <row r="1073" ht="15.75" customHeight="1"/>
    <row r="1074" ht="15.75" customHeight="1"/>
    <row r="1075" ht="15.75" customHeight="1"/>
    <row r="1076" ht="15.75" customHeight="1"/>
    <row r="1077" ht="15.75" customHeight="1"/>
    <row r="1078" ht="15.75" customHeight="1"/>
    <row r="1079" ht="15.75" customHeight="1"/>
    <row r="1080" ht="15.75" customHeight="1"/>
    <row r="1081" ht="15.75" customHeight="1"/>
    <row r="1082" ht="15.75" customHeight="1"/>
    <row r="1083" ht="15.75" customHeight="1"/>
    <row r="1084" ht="15.75" customHeight="1"/>
    <row r="1085" ht="15.75" customHeight="1"/>
    <row r="1086" ht="15.75" customHeight="1"/>
    <row r="1087" ht="15.75" customHeight="1"/>
    <row r="1088" ht="15.75" customHeight="1"/>
    <row r="1089" ht="15.75" customHeight="1"/>
    <row r="1090" ht="15.75" customHeight="1"/>
    <row r="1091" ht="15.75" customHeight="1"/>
    <row r="1092" ht="15.75" customHeight="1"/>
    <row r="1093" ht="15.75" customHeight="1"/>
    <row r="1094" ht="15.75" customHeight="1"/>
    <row r="1095" ht="15.75" customHeight="1"/>
    <row r="1096" ht="15.75" customHeight="1"/>
    <row r="1097" ht="15.75" customHeight="1"/>
    <row r="1098" ht="15.75" customHeight="1"/>
    <row r="1099" ht="15.75" customHeight="1"/>
    <row r="1100" ht="15.75" customHeight="1"/>
    <row r="1101" ht="15.75" customHeight="1"/>
    <row r="1102" ht="15.75" customHeight="1"/>
    <row r="1103" ht="15.75" customHeight="1"/>
    <row r="1104" ht="15.75" customHeight="1"/>
    <row r="1105" ht="15.75" customHeight="1"/>
    <row r="1106" ht="15.75" customHeight="1"/>
    <row r="1107" ht="15.75" customHeight="1"/>
    <row r="1108" ht="15.75" customHeight="1"/>
    <row r="1109" ht="15.75" customHeight="1"/>
    <row r="1110" ht="15.75" customHeight="1"/>
    <row r="1111" ht="15.75" customHeight="1"/>
    <row r="1112" ht="15.75" customHeight="1"/>
    <row r="1113" ht="15.75" customHeight="1"/>
    <row r="1114" ht="15.75" customHeight="1"/>
    <row r="1115" ht="15.75" customHeight="1"/>
    <row r="1116" ht="15.75" customHeight="1"/>
    <row r="1117" ht="15.75" customHeight="1"/>
    <row r="1118" ht="15.75" customHeight="1"/>
    <row r="1119" ht="15.75" customHeight="1"/>
    <row r="1120" ht="15.75" customHeight="1"/>
    <row r="1121" ht="15.75" customHeight="1"/>
    <row r="1122" ht="15.75" customHeight="1"/>
    <row r="1123" ht="15.75" customHeight="1"/>
    <row r="1124" ht="15.75" customHeight="1"/>
    <row r="1125" ht="15.75" customHeight="1"/>
    <row r="1126" ht="15.75" customHeight="1"/>
    <row r="1127" ht="15.75" customHeight="1"/>
    <row r="1128" ht="15.75" customHeight="1"/>
    <row r="1129" ht="15.75" customHeight="1"/>
    <row r="1130" ht="15.75" customHeight="1"/>
    <row r="1131" ht="15.75" customHeight="1"/>
    <row r="1132" ht="15.75" customHeight="1"/>
    <row r="1133" ht="15.75" customHeight="1"/>
    <row r="1134" ht="15.75" customHeight="1"/>
    <row r="1135" ht="15.75" customHeight="1"/>
    <row r="1136" ht="15.75" customHeight="1"/>
    <row r="1137" ht="15.75" customHeight="1"/>
    <row r="1138" ht="15.75" customHeight="1"/>
    <row r="1139" ht="15.75" customHeight="1"/>
    <row r="1140" ht="15.75" customHeight="1"/>
    <row r="1141" ht="15.75" customHeight="1"/>
    <row r="1142" ht="15.75" customHeight="1"/>
    <row r="1143" ht="15.75" customHeight="1"/>
    <row r="1144" ht="15.75" customHeight="1"/>
    <row r="1145" ht="15.75" customHeight="1"/>
    <row r="1146" ht="15.75" customHeight="1"/>
    <row r="1147" ht="15.75" customHeight="1"/>
    <row r="1148" ht="15.75" customHeight="1"/>
    <row r="1149" ht="15.75" customHeight="1"/>
    <row r="1150" ht="15.75" customHeight="1"/>
    <row r="1151" ht="15.75" customHeight="1"/>
    <row r="1152" ht="15.75" customHeight="1"/>
    <row r="1153" ht="15.75" customHeight="1"/>
    <row r="1154" ht="15.75" customHeight="1"/>
    <row r="1155" ht="15.75" customHeight="1"/>
    <row r="1156" ht="15.75" customHeight="1"/>
    <row r="1157" ht="15.75" customHeight="1"/>
    <row r="1158" ht="15.75" customHeight="1"/>
    <row r="1159" ht="15.75" customHeight="1"/>
    <row r="1160" ht="15.75" customHeight="1"/>
    <row r="1161" ht="15.75" customHeight="1"/>
    <row r="1162" ht="15.75" customHeight="1"/>
    <row r="1163" ht="15.75" customHeight="1"/>
    <row r="1164" ht="15.75" customHeight="1"/>
    <row r="1165" ht="15.75" customHeight="1"/>
    <row r="1166" ht="15.75" customHeight="1"/>
    <row r="1167" ht="15.75" customHeight="1"/>
    <row r="1168" ht="15.75" customHeight="1"/>
    <row r="1169" ht="15.75" customHeight="1"/>
    <row r="1170" ht="15.75" customHeight="1"/>
    <row r="1171" ht="15.75" customHeight="1"/>
    <row r="1172" ht="15.75" customHeight="1"/>
    <row r="1173" ht="15.75" customHeight="1"/>
    <row r="1174" ht="15.75" customHeight="1"/>
    <row r="1175" ht="15.75" customHeight="1"/>
    <row r="1176" ht="15.75" customHeight="1"/>
    <row r="1177" ht="15.75" customHeight="1"/>
    <row r="1178" ht="15.75" customHeight="1"/>
    <row r="1179" ht="15.75" customHeight="1"/>
    <row r="1180" ht="15.75" customHeight="1"/>
    <row r="1181" ht="15.75" customHeight="1"/>
    <row r="1182" ht="15.75" customHeight="1"/>
    <row r="1183" ht="15.75" customHeight="1"/>
    <row r="1184" ht="15.75" customHeight="1"/>
    <row r="1185" ht="15.75" customHeight="1"/>
    <row r="1186" ht="15.75" customHeight="1"/>
    <row r="1187" ht="15.75" customHeight="1"/>
    <row r="1188" ht="15.75" customHeight="1"/>
    <row r="1189" ht="15.75" customHeight="1"/>
    <row r="1190" ht="15.75" customHeight="1"/>
    <row r="1191" ht="15.75" customHeight="1"/>
    <row r="1192" ht="15.75" customHeight="1"/>
    <row r="1193" ht="15.75" customHeight="1"/>
    <row r="1194" ht="15.75" customHeight="1"/>
    <row r="1195" ht="15.75" customHeight="1"/>
    <row r="1196" ht="15.75" customHeight="1"/>
    <row r="1197" ht="15.75" customHeight="1"/>
    <row r="1198" ht="15.75" customHeight="1"/>
    <row r="1199" ht="15.75" customHeight="1"/>
    <row r="1200" ht="15.75" customHeight="1"/>
    <row r="1201" ht="15.75" customHeight="1"/>
    <row r="1202" ht="15.75" customHeight="1"/>
    <row r="1203" ht="15.75" customHeight="1"/>
    <row r="1204" ht="15.75" customHeight="1"/>
    <row r="1205" ht="15.75" customHeight="1"/>
    <row r="1206" ht="15.75" customHeight="1"/>
    <row r="1207" ht="15.75" customHeight="1"/>
    <row r="1208" ht="15.75" customHeight="1"/>
    <row r="1209" ht="15.75" customHeight="1"/>
    <row r="1210" ht="15.75" customHeight="1"/>
    <row r="1211" ht="15.75" customHeight="1"/>
    <row r="1212" ht="15.75" customHeight="1"/>
    <row r="1213" ht="15.75" customHeight="1"/>
    <row r="1214" ht="15.75" customHeight="1"/>
    <row r="1215" ht="15.75" customHeight="1"/>
    <row r="1216" ht="15.75" customHeight="1"/>
    <row r="1217" ht="15.75" customHeight="1"/>
    <row r="1218" ht="15.75" customHeight="1"/>
    <row r="1219" ht="15.75" customHeight="1"/>
    <row r="1220" ht="15.75" customHeight="1"/>
    <row r="1221" ht="15.75" customHeight="1"/>
    <row r="1222" ht="15.75" customHeight="1"/>
    <row r="1223" ht="15.75" customHeight="1"/>
    <row r="1224" ht="15.75" customHeight="1"/>
    <row r="1225" ht="15.75" customHeight="1"/>
    <row r="1226" ht="15.75" customHeight="1"/>
    <row r="1227" ht="15.75" customHeight="1"/>
    <row r="1228" ht="15.75" customHeight="1"/>
    <row r="1229" ht="15.75" customHeight="1"/>
    <row r="1230" ht="15.75" customHeight="1"/>
    <row r="1231" ht="15.75" customHeight="1"/>
    <row r="1232" ht="15.75" customHeight="1"/>
    <row r="1233" ht="15.75" customHeight="1"/>
    <row r="1234" ht="15.75" customHeight="1"/>
    <row r="1235" ht="15.75" customHeight="1"/>
    <row r="1236" ht="15.75" customHeight="1"/>
    <row r="1237" ht="15.75" customHeight="1"/>
    <row r="1238" ht="15.75" customHeight="1"/>
    <row r="1239" ht="15.75" customHeight="1"/>
    <row r="1240" ht="15.75" customHeight="1"/>
    <row r="1241" ht="15.75" customHeight="1"/>
    <row r="1242" ht="15.75" customHeight="1"/>
    <row r="1243" ht="15.75" customHeight="1"/>
    <row r="1244" ht="15.75" customHeight="1"/>
    <row r="1245" ht="15.75" customHeight="1"/>
    <row r="1246" ht="15.75" customHeight="1"/>
    <row r="1247" ht="15.75" customHeight="1"/>
    <row r="1248" ht="15.75" customHeight="1"/>
    <row r="1249" ht="15.75" customHeight="1"/>
    <row r="1250" ht="15.75" customHeight="1"/>
    <row r="1251" ht="15.75" customHeight="1"/>
    <row r="1252" ht="15.75" customHeight="1"/>
    <row r="1253" ht="15.75" customHeight="1"/>
    <row r="1254" ht="15.75" customHeight="1"/>
    <row r="1255" ht="15.75" customHeight="1"/>
    <row r="1256" ht="15.75" customHeight="1"/>
    <row r="1257" ht="15.75" customHeight="1"/>
    <row r="1258" ht="15.75" customHeight="1"/>
    <row r="1259" ht="15.75" customHeight="1"/>
    <row r="1260" ht="15.75" customHeight="1"/>
    <row r="1261" ht="15.75" customHeight="1"/>
    <row r="1262" ht="15.75" customHeight="1"/>
    <row r="1263" ht="15.75" customHeight="1"/>
    <row r="1264" ht="15.75" customHeight="1"/>
    <row r="1265" ht="15.75" customHeight="1"/>
    <row r="1266" ht="15.75" customHeight="1"/>
    <row r="1267" ht="15.75" customHeight="1"/>
    <row r="1268" ht="15.75" customHeight="1"/>
    <row r="1269" ht="15.75" customHeight="1"/>
    <row r="1270" ht="15.75" customHeight="1"/>
    <row r="1271" ht="15.75" customHeight="1"/>
    <row r="1272" ht="15.75" customHeight="1"/>
    <row r="1273" ht="15.75" customHeight="1"/>
    <row r="1274" ht="15.75" customHeight="1"/>
    <row r="1275" ht="15.75" customHeight="1"/>
    <row r="1276" ht="15.75" customHeight="1"/>
    <row r="1277" ht="15.75" customHeight="1"/>
    <row r="1278" ht="15.75" customHeight="1"/>
    <row r="1279" ht="15.75" customHeight="1"/>
    <row r="1280" ht="15.75" customHeight="1"/>
    <row r="1281" ht="15.75" customHeight="1"/>
    <row r="1282" ht="15.75" customHeight="1"/>
    <row r="1283" ht="15.75" customHeight="1"/>
    <row r="1284" ht="15.75" customHeight="1"/>
    <row r="1285" ht="15.75" customHeight="1"/>
    <row r="1286" ht="15.75" customHeight="1"/>
    <row r="1287" ht="15.75" customHeight="1"/>
    <row r="1288" ht="15.75" customHeight="1"/>
    <row r="1289" ht="15.75" customHeight="1"/>
    <row r="1290" ht="15.75" customHeight="1"/>
    <row r="1291" ht="15.75" customHeight="1"/>
    <row r="1292" ht="15.75" customHeight="1"/>
    <row r="1293" ht="15.75" customHeight="1"/>
    <row r="1294" ht="15.75" customHeight="1"/>
    <row r="1295" ht="15.75" customHeight="1"/>
    <row r="1296" ht="15.75" customHeight="1"/>
    <row r="1297" ht="15.75" customHeight="1"/>
    <row r="1298" ht="15.75" customHeight="1"/>
    <row r="1299" ht="15.75" customHeight="1"/>
    <row r="1300" ht="15.75" customHeight="1"/>
    <row r="1301" ht="15.75" customHeight="1"/>
    <row r="1302" ht="15.75" customHeight="1"/>
    <row r="1303" ht="15.75" customHeight="1"/>
    <row r="1304" ht="15.75" customHeight="1"/>
    <row r="1305" ht="15.75" customHeight="1"/>
    <row r="1306" ht="15.75" customHeight="1"/>
    <row r="1307" ht="15.75" customHeight="1"/>
    <row r="1308" ht="15.75" customHeight="1"/>
    <row r="1309" ht="15.75" customHeight="1"/>
    <row r="1310" ht="15.75" customHeight="1"/>
    <row r="1311" ht="15.75" customHeight="1"/>
    <row r="1312" ht="15.75" customHeight="1"/>
    <row r="1313" ht="15.75" customHeight="1"/>
    <row r="1314" ht="15.75" customHeight="1"/>
    <row r="1315" ht="15.75" customHeight="1"/>
    <row r="1316" ht="15.75" customHeight="1"/>
    <row r="1317" ht="15.75" customHeight="1"/>
    <row r="1318" ht="15.75" customHeight="1"/>
    <row r="1319" ht="15.75" customHeight="1"/>
    <row r="1320" ht="15.75" customHeight="1"/>
    <row r="1321" ht="15.75" customHeight="1"/>
    <row r="1322" ht="15.75" customHeight="1"/>
    <row r="1323" ht="15.75" customHeight="1"/>
    <row r="1324" ht="15.75" customHeight="1"/>
    <row r="1325" ht="15.75" customHeight="1"/>
    <row r="1326" ht="15.75" customHeight="1"/>
    <row r="1327" ht="15.75" customHeight="1"/>
    <row r="1328" ht="15.75" customHeight="1"/>
    <row r="1329" ht="15.75" customHeight="1"/>
    <row r="1330" ht="15.75" customHeight="1"/>
    <row r="1331" ht="15.75" customHeight="1"/>
    <row r="1332" ht="15.75" customHeight="1"/>
    <row r="1333" ht="15.75" customHeight="1"/>
    <row r="1334" ht="15.75" customHeight="1"/>
    <row r="1335" ht="15.75" customHeight="1"/>
    <row r="1336" ht="15.75" customHeight="1"/>
    <row r="1337" ht="15.75" customHeight="1"/>
    <row r="1338" ht="15.75" customHeight="1"/>
    <row r="1339" ht="15.75" customHeight="1"/>
    <row r="1340" ht="15.75" customHeight="1"/>
    <row r="1341" ht="15.75" customHeight="1"/>
    <row r="1342" ht="15.75" customHeight="1"/>
    <row r="1343" ht="15.75" customHeight="1"/>
    <row r="1344" ht="15.75" customHeight="1"/>
    <row r="1345" ht="15.75" customHeight="1"/>
    <row r="1346" ht="15.75" customHeight="1"/>
    <row r="1347" ht="15.75" customHeight="1"/>
    <row r="1348" ht="15.75" customHeight="1"/>
    <row r="1349" ht="15.75" customHeight="1"/>
    <row r="1350" ht="15.75" customHeight="1"/>
    <row r="1351" ht="15.75" customHeight="1"/>
    <row r="1352" ht="15.75" customHeight="1"/>
    <row r="1353" ht="15.75" customHeight="1"/>
    <row r="1354" ht="15.75" customHeight="1"/>
    <row r="1355" ht="15.75" customHeight="1"/>
    <row r="1356" ht="15.75" customHeight="1"/>
    <row r="1357" ht="15.75" customHeight="1"/>
    <row r="1358" ht="15.75" customHeight="1"/>
    <row r="1359" ht="15.75" customHeight="1"/>
    <row r="1360" ht="15.75" customHeight="1"/>
    <row r="1361" ht="15.75" customHeight="1"/>
    <row r="1362" ht="15.75" customHeight="1"/>
    <row r="1363" ht="15.75" customHeight="1"/>
    <row r="1364" ht="15.75" customHeight="1"/>
    <row r="1365" ht="15.75" customHeight="1"/>
    <row r="1366" ht="15.75" customHeight="1"/>
    <row r="1367" ht="15.75" customHeight="1"/>
    <row r="1368" ht="15.75" customHeight="1"/>
    <row r="1369" ht="15.75" customHeight="1"/>
    <row r="1370" ht="15.75" customHeight="1"/>
    <row r="1371" ht="15.75" customHeight="1"/>
    <row r="1372" ht="15.75" customHeight="1"/>
    <row r="1373" ht="15.75" customHeight="1"/>
    <row r="1374" ht="15.75" customHeight="1"/>
    <row r="1375" ht="15.75" customHeight="1"/>
    <row r="1376" ht="15.75" customHeight="1"/>
    <row r="1377" ht="15.75" customHeight="1"/>
    <row r="1378" ht="15.75" customHeight="1"/>
    <row r="1379" ht="15.75" customHeight="1"/>
    <row r="1380" ht="15.75" customHeight="1"/>
    <row r="1381" ht="15.75" customHeight="1"/>
    <row r="1382" ht="15.75" customHeight="1"/>
    <row r="1383" ht="15.75" customHeight="1"/>
    <row r="1384" ht="15.75" customHeight="1"/>
    <row r="1385" ht="15.75" customHeight="1"/>
    <row r="1386" ht="15.75" customHeight="1"/>
    <row r="1387" ht="15.75" customHeight="1"/>
    <row r="1388" ht="15.75" customHeight="1"/>
    <row r="1389" ht="15.75" customHeight="1"/>
    <row r="1390" ht="15.75" customHeight="1"/>
    <row r="1391" ht="15.75" customHeight="1"/>
    <row r="1392" ht="15.75" customHeight="1"/>
    <row r="1393" ht="15.75" customHeight="1"/>
    <row r="1394" ht="15.75" customHeight="1"/>
    <row r="1395" ht="15.75" customHeight="1"/>
    <row r="1396" ht="15.75" customHeight="1"/>
    <row r="1397" ht="15.75" customHeight="1"/>
    <row r="1398" ht="15.75" customHeight="1"/>
    <row r="1399" ht="15.75" customHeight="1"/>
    <row r="1400" ht="15.75" customHeight="1"/>
    <row r="1401" ht="15.75" customHeight="1"/>
    <row r="1402" ht="15.75" customHeight="1"/>
    <row r="1403" ht="15.75" customHeight="1"/>
    <row r="1404" ht="15.75" customHeight="1"/>
    <row r="1405" ht="15.75" customHeight="1"/>
    <row r="1406" ht="15.75" customHeight="1"/>
    <row r="1407" ht="15.75" customHeight="1"/>
    <row r="1408" ht="15.75" customHeight="1"/>
    <row r="1409" ht="15.75" customHeight="1"/>
    <row r="1410" ht="15.75" customHeight="1"/>
    <row r="1411" ht="15.75" customHeight="1"/>
    <row r="1412" ht="15.75" customHeight="1"/>
    <row r="1413" ht="15.75" customHeight="1"/>
    <row r="1414" ht="15.75" customHeight="1"/>
    <row r="1415" ht="15.75" customHeight="1"/>
    <row r="1416" ht="15.75" customHeight="1"/>
    <row r="1417" ht="15.75" customHeight="1"/>
    <row r="1418" ht="15.75" customHeight="1"/>
    <row r="1419" ht="15.75" customHeight="1"/>
    <row r="1420" ht="15.75" customHeight="1"/>
    <row r="1421" ht="15.75" customHeight="1"/>
    <row r="1422" ht="15.75" customHeight="1"/>
    <row r="1423" ht="15.75" customHeight="1"/>
    <row r="1424" ht="15.75" customHeight="1"/>
    <row r="1425" ht="15.75" customHeight="1"/>
    <row r="1426" ht="15.75" customHeight="1"/>
    <row r="1427" ht="15.75" customHeight="1"/>
    <row r="1428" ht="15.75" customHeight="1"/>
    <row r="1429" ht="15.75" customHeight="1"/>
    <row r="1430" ht="15.75" customHeight="1"/>
    <row r="1431" ht="15.75" customHeight="1"/>
    <row r="1432" ht="15.75" customHeight="1"/>
    <row r="1433" ht="15.75" customHeight="1"/>
    <row r="1434" ht="15.75" customHeight="1"/>
    <row r="1435" ht="15.75" customHeight="1"/>
    <row r="1436" ht="15.75" customHeight="1"/>
    <row r="1437" ht="15.75" customHeight="1"/>
    <row r="1438" ht="15.75" customHeight="1"/>
    <row r="1439" ht="15.75" customHeight="1"/>
    <row r="1440" ht="15.75" customHeight="1"/>
    <row r="1441" ht="15.75" customHeight="1"/>
    <row r="1442" ht="15.75" customHeight="1"/>
    <row r="1443" ht="15.75" customHeight="1"/>
    <row r="1444" ht="15.75" customHeight="1"/>
    <row r="1445" ht="15.75" customHeight="1"/>
    <row r="1446" ht="15.75" customHeight="1"/>
    <row r="1447" ht="15.75" customHeight="1"/>
    <row r="1448" ht="15.75" customHeight="1"/>
    <row r="1449" ht="15.75" customHeight="1"/>
    <row r="1450" ht="15.75" customHeight="1"/>
    <row r="1451" ht="15.75" customHeight="1"/>
    <row r="1452" ht="15.75" customHeight="1"/>
    <row r="1453" ht="15.75" customHeight="1"/>
    <row r="1454" ht="15.75" customHeight="1"/>
    <row r="1455" ht="15.75" customHeight="1"/>
    <row r="1456" ht="15.75" customHeight="1"/>
    <row r="1457" ht="15.75" customHeight="1"/>
    <row r="1458" ht="15.75" customHeight="1"/>
    <row r="1459" ht="15.75" customHeight="1"/>
    <row r="1460" ht="15.75" customHeight="1"/>
    <row r="1461" ht="15.75" customHeight="1"/>
    <row r="1462" ht="15.75" customHeight="1"/>
    <row r="1463" ht="15.75" customHeight="1"/>
    <row r="1464" ht="15.75" customHeight="1"/>
    <row r="1465" ht="15.75" customHeight="1"/>
    <row r="1466" ht="15.75" customHeight="1"/>
    <row r="1467" ht="15.75" customHeight="1"/>
    <row r="1468" ht="15.75" customHeight="1"/>
    <row r="1469" ht="15.75" customHeight="1"/>
    <row r="1470" ht="15.75" customHeight="1"/>
    <row r="1471" ht="15.75" customHeight="1"/>
    <row r="1472" ht="15.75" customHeight="1"/>
    <row r="1473" ht="15.75" customHeight="1"/>
    <row r="1474" ht="15.75" customHeight="1"/>
    <row r="1475" ht="15.75" customHeight="1"/>
    <row r="1476" ht="15.75" customHeight="1"/>
    <row r="1477" ht="15.75" customHeight="1"/>
    <row r="1478" ht="15.75" customHeight="1"/>
    <row r="1479" ht="15.75" customHeight="1"/>
    <row r="1480" ht="15.75" customHeight="1"/>
    <row r="1481" ht="15.75" customHeight="1"/>
    <row r="1482" ht="15.75" customHeight="1"/>
    <row r="1483" ht="15.75" customHeight="1"/>
    <row r="1484" ht="15.75" customHeight="1"/>
    <row r="1485" ht="15.75" customHeight="1"/>
    <row r="1486" ht="15.75" customHeight="1"/>
    <row r="1487" ht="15.75" customHeight="1"/>
    <row r="1488" ht="15.75" customHeight="1"/>
    <row r="1489" ht="15.75" customHeight="1"/>
    <row r="1490" ht="15.75" customHeight="1"/>
    <row r="1491" ht="15.75" customHeight="1"/>
    <row r="1492" ht="15.75" customHeight="1"/>
    <row r="1493" ht="15.75" customHeight="1"/>
    <row r="1494" ht="15.75" customHeight="1"/>
    <row r="1495" ht="15.75" customHeight="1"/>
    <row r="1496" ht="15.75" customHeight="1"/>
    <row r="1497" ht="15.75" customHeight="1"/>
    <row r="1498" ht="15.75" customHeight="1"/>
    <row r="1499" ht="15.75" customHeight="1"/>
    <row r="1500" ht="15.75" customHeight="1"/>
    <row r="1501" ht="15.75" customHeight="1"/>
    <row r="1502" ht="15.75" customHeight="1"/>
    <row r="1503" ht="15.75" customHeight="1"/>
    <row r="1504" ht="15.75" customHeight="1"/>
    <row r="1505" ht="15.75" customHeight="1"/>
    <row r="1506" ht="15.75" customHeight="1"/>
    <row r="1507" ht="15.75" customHeight="1"/>
    <row r="1508" ht="15.75" customHeight="1"/>
    <row r="1509" ht="15.75" customHeight="1"/>
    <row r="1510" ht="15.75" customHeight="1"/>
    <row r="1511" ht="15.75" customHeight="1"/>
    <row r="1512" ht="15.75" customHeight="1"/>
    <row r="1513" ht="15.75" customHeight="1"/>
    <row r="1514" ht="15.75" customHeight="1"/>
    <row r="1515" ht="15.75" customHeight="1"/>
    <row r="1516" ht="15.75" customHeight="1"/>
    <row r="1517" ht="15.75" customHeight="1"/>
    <row r="1518" ht="15.75" customHeight="1"/>
    <row r="1519" ht="15.75" customHeight="1"/>
    <row r="1520" ht="15.75" customHeight="1"/>
    <row r="1521" ht="15.75" customHeight="1"/>
    <row r="1522" ht="15.75" customHeight="1"/>
    <row r="1523" ht="15.75" customHeight="1"/>
    <row r="1524" ht="15.75" customHeight="1"/>
    <row r="1525" ht="15.75" customHeight="1"/>
    <row r="1526" ht="15.75" customHeight="1"/>
    <row r="1527" ht="15.75" customHeight="1"/>
    <row r="1528" ht="15.75" customHeight="1"/>
    <row r="1529" ht="15.75" customHeight="1"/>
    <row r="1530" ht="15.75" customHeight="1"/>
    <row r="1531" ht="15.75" customHeight="1"/>
    <row r="1532" ht="15.75" customHeight="1"/>
    <row r="1533" ht="15.75" customHeight="1"/>
    <row r="1534" ht="15.75" customHeight="1"/>
    <row r="1535" ht="15.75" customHeight="1"/>
    <row r="1536" ht="15.75" customHeight="1"/>
    <row r="1537" ht="15.75" customHeight="1"/>
    <row r="1538" ht="15.75" customHeight="1"/>
    <row r="1539" ht="15.75" customHeight="1"/>
    <row r="1540" ht="15.75" customHeight="1"/>
    <row r="1541" ht="15.75" customHeight="1"/>
    <row r="1542" ht="15.75" customHeight="1"/>
    <row r="1543" ht="15.75" customHeight="1"/>
    <row r="1544" ht="15.75" customHeight="1"/>
    <row r="1545" ht="15.75" customHeight="1"/>
    <row r="1546" ht="15.75" customHeight="1"/>
    <row r="1547" ht="15.75" customHeight="1"/>
    <row r="1548" ht="15.75" customHeight="1"/>
    <row r="1549" ht="15.75" customHeight="1"/>
    <row r="1550" ht="15.75" customHeight="1"/>
    <row r="1551" ht="15.75" customHeight="1"/>
    <row r="1552" ht="15.75" customHeight="1"/>
    <row r="1553" ht="15.75" customHeight="1"/>
    <row r="1554" ht="15.75" customHeight="1"/>
    <row r="1555" ht="15.75" customHeight="1"/>
    <row r="1556" ht="15.75" customHeight="1"/>
    <row r="1557" ht="15.75" customHeight="1"/>
    <row r="1558" ht="15.75" customHeight="1"/>
    <row r="1559" ht="15.75" customHeight="1"/>
    <row r="1560" ht="15.75" customHeight="1"/>
    <row r="1561" ht="15.75" customHeight="1"/>
    <row r="1562" ht="15.75" customHeight="1"/>
    <row r="1563" ht="15.75" customHeight="1"/>
    <row r="1564" ht="15.75" customHeight="1"/>
    <row r="1565" ht="15.75" customHeight="1"/>
    <row r="1566" ht="15.75" customHeight="1"/>
  </sheetData>
  <sheetProtection algorithmName="SHA-512" hashValue="7oAcVxZoCNBmmVdSSe8xbpZzEnodtXPH+bYzyNWm25UF3Whe8hS+B0ox/ktOgB0kQ6UbsANv1hnetb+bSi/pTg==" saltValue="yJBVy8ZGgqF/OydU7qOcJA==" spinCount="100000" sheet="1" formatColumns="0" formatRows="0"/>
  <mergeCells count="1530">
    <mergeCell ref="R26:R28"/>
    <mergeCell ref="D603:E603"/>
    <mergeCell ref="D604:E604"/>
    <mergeCell ref="D605:E605"/>
    <mergeCell ref="D606:E606"/>
    <mergeCell ref="D607:E607"/>
    <mergeCell ref="D608:E608"/>
    <mergeCell ref="D609:E609"/>
    <mergeCell ref="D610:E610"/>
    <mergeCell ref="D611:E611"/>
    <mergeCell ref="D595:E595"/>
    <mergeCell ref="D596:E596"/>
    <mergeCell ref="D597:E597"/>
    <mergeCell ref="D598:E598"/>
    <mergeCell ref="D599:E599"/>
    <mergeCell ref="D600:E600"/>
    <mergeCell ref="D612:E612"/>
    <mergeCell ref="D602:E602"/>
    <mergeCell ref="D559:E559"/>
    <mergeCell ref="D560:E560"/>
    <mergeCell ref="D561:E561"/>
    <mergeCell ref="D562:E562"/>
    <mergeCell ref="D583:E583"/>
    <mergeCell ref="D584:E584"/>
    <mergeCell ref="D585:E585"/>
    <mergeCell ref="D601:E601"/>
    <mergeCell ref="D485:E485"/>
    <mergeCell ref="D486:E486"/>
    <mergeCell ref="D487:E487"/>
    <mergeCell ref="D488:E488"/>
    <mergeCell ref="D489:E489"/>
    <mergeCell ref="D490:E490"/>
    <mergeCell ref="D581:E581"/>
    <mergeCell ref="D582:E582"/>
    <mergeCell ref="D565:E565"/>
    <mergeCell ref="D566:E566"/>
    <mergeCell ref="D567:E567"/>
    <mergeCell ref="D568:E568"/>
    <mergeCell ref="D569:E569"/>
    <mergeCell ref="D570:E570"/>
    <mergeCell ref="D571:E571"/>
    <mergeCell ref="D572:E572"/>
    <mergeCell ref="D573:E573"/>
    <mergeCell ref="D574:E574"/>
    <mergeCell ref="D575:E575"/>
    <mergeCell ref="D576:E576"/>
    <mergeCell ref="D577:E577"/>
    <mergeCell ref="D617:E617"/>
    <mergeCell ref="D618:E618"/>
    <mergeCell ref="D613:E613"/>
    <mergeCell ref="D614:E614"/>
    <mergeCell ref="D615:E615"/>
    <mergeCell ref="D616:E616"/>
    <mergeCell ref="D594:E594"/>
    <mergeCell ref="D586:E586"/>
    <mergeCell ref="D587:E587"/>
    <mergeCell ref="D588:E588"/>
    <mergeCell ref="D589:E589"/>
    <mergeCell ref="D590:E590"/>
    <mergeCell ref="D591:E591"/>
    <mergeCell ref="D592:E592"/>
    <mergeCell ref="D593:E593"/>
    <mergeCell ref="D541:E541"/>
    <mergeCell ref="D542:E542"/>
    <mergeCell ref="D543:E543"/>
    <mergeCell ref="D544:E544"/>
    <mergeCell ref="D545:E545"/>
    <mergeCell ref="D546:E546"/>
    <mergeCell ref="D547:E547"/>
    <mergeCell ref="D548:E548"/>
    <mergeCell ref="D549:E549"/>
    <mergeCell ref="D550:E550"/>
    <mergeCell ref="D551:E551"/>
    <mergeCell ref="D552:E552"/>
    <mergeCell ref="D553:E553"/>
    <mergeCell ref="D554:E554"/>
    <mergeCell ref="D555:E555"/>
    <mergeCell ref="D556:E556"/>
    <mergeCell ref="D557:E557"/>
    <mergeCell ref="D558:E558"/>
    <mergeCell ref="D563:E563"/>
    <mergeCell ref="D564:E564"/>
    <mergeCell ref="D578:E578"/>
    <mergeCell ref="D579:E579"/>
    <mergeCell ref="D580:E580"/>
    <mergeCell ref="D356:E356"/>
    <mergeCell ref="D357:E357"/>
    <mergeCell ref="D358:E358"/>
    <mergeCell ref="D359:E359"/>
    <mergeCell ref="D360:E360"/>
    <mergeCell ref="D361:E361"/>
    <mergeCell ref="D362:E362"/>
    <mergeCell ref="D363:E363"/>
    <mergeCell ref="D364:E364"/>
    <mergeCell ref="D365:E365"/>
    <mergeCell ref="D375:E375"/>
    <mergeCell ref="D376:E376"/>
    <mergeCell ref="D429:E429"/>
    <mergeCell ref="D430:E430"/>
    <mergeCell ref="D431:E431"/>
    <mergeCell ref="D494:E494"/>
    <mergeCell ref="D495:E495"/>
    <mergeCell ref="D366:E366"/>
    <mergeCell ref="D367:E367"/>
    <mergeCell ref="D368:E368"/>
    <mergeCell ref="D369:E369"/>
    <mergeCell ref="D370:E370"/>
    <mergeCell ref="D371:E371"/>
    <mergeCell ref="D372:E372"/>
    <mergeCell ref="D373:E373"/>
    <mergeCell ref="D374:E374"/>
    <mergeCell ref="D426:E426"/>
    <mergeCell ref="D427:E427"/>
    <mergeCell ref="D428:E428"/>
    <mergeCell ref="D466:E466"/>
    <mergeCell ref="D467:E467"/>
    <mergeCell ref="D468:E468"/>
    <mergeCell ref="D496:E496"/>
    <mergeCell ref="D497:E497"/>
    <mergeCell ref="D498:E498"/>
    <mergeCell ref="D499:E499"/>
    <mergeCell ref="D500:E500"/>
    <mergeCell ref="D501:E501"/>
    <mergeCell ref="D475:E475"/>
    <mergeCell ref="D476:E476"/>
    <mergeCell ref="D477:E477"/>
    <mergeCell ref="D478:E478"/>
    <mergeCell ref="D479:E479"/>
    <mergeCell ref="D480:E480"/>
    <mergeCell ref="D481:E481"/>
    <mergeCell ref="D482:E482"/>
    <mergeCell ref="B510:B512"/>
    <mergeCell ref="C510:C512"/>
    <mergeCell ref="D510:E512"/>
    <mergeCell ref="D483:E483"/>
    <mergeCell ref="D491:E491"/>
    <mergeCell ref="D492:E492"/>
    <mergeCell ref="D493:E493"/>
    <mergeCell ref="D484:E484"/>
    <mergeCell ref="B389:B391"/>
    <mergeCell ref="C389:C391"/>
    <mergeCell ref="D377:E377"/>
    <mergeCell ref="D378:E378"/>
    <mergeCell ref="D379:E379"/>
    <mergeCell ref="D380:E380"/>
    <mergeCell ref="D421:E421"/>
    <mergeCell ref="D422:E422"/>
    <mergeCell ref="D398:E398"/>
    <mergeCell ref="D399:E399"/>
    <mergeCell ref="D400:E400"/>
    <mergeCell ref="D401:E401"/>
    <mergeCell ref="D402:E402"/>
    <mergeCell ref="D403:E403"/>
    <mergeCell ref="D404:E404"/>
    <mergeCell ref="D405:E405"/>
    <mergeCell ref="D406:E406"/>
    <mergeCell ref="D389:E391"/>
    <mergeCell ref="D392:E392"/>
    <mergeCell ref="D393:E393"/>
    <mergeCell ref="D394:E394"/>
    <mergeCell ref="D395:E395"/>
    <mergeCell ref="D396:E396"/>
    <mergeCell ref="D397:E397"/>
    <mergeCell ref="D407:E407"/>
    <mergeCell ref="D408:E408"/>
    <mergeCell ref="D409:E409"/>
    <mergeCell ref="D410:E410"/>
    <mergeCell ref="D411:E411"/>
    <mergeCell ref="D339:E339"/>
    <mergeCell ref="D340:E340"/>
    <mergeCell ref="D341:E341"/>
    <mergeCell ref="D342:E342"/>
    <mergeCell ref="D343:E343"/>
    <mergeCell ref="D344:E344"/>
    <mergeCell ref="D345:E345"/>
    <mergeCell ref="D346:E346"/>
    <mergeCell ref="D347:E347"/>
    <mergeCell ref="D348:E348"/>
    <mergeCell ref="D349:E349"/>
    <mergeCell ref="D350:E350"/>
    <mergeCell ref="D351:E351"/>
    <mergeCell ref="D352:E352"/>
    <mergeCell ref="D353:E353"/>
    <mergeCell ref="D354:E354"/>
    <mergeCell ref="D355:E355"/>
    <mergeCell ref="D322:E322"/>
    <mergeCell ref="D323:E323"/>
    <mergeCell ref="D324:E324"/>
    <mergeCell ref="D325:E325"/>
    <mergeCell ref="D326:E326"/>
    <mergeCell ref="D327:E327"/>
    <mergeCell ref="D328:E328"/>
    <mergeCell ref="D329:E329"/>
    <mergeCell ref="D330:E330"/>
    <mergeCell ref="D331:E331"/>
    <mergeCell ref="D332:E332"/>
    <mergeCell ref="D333:E333"/>
    <mergeCell ref="D334:E334"/>
    <mergeCell ref="D335:E335"/>
    <mergeCell ref="D336:E336"/>
    <mergeCell ref="D337:E337"/>
    <mergeCell ref="D338:E338"/>
    <mergeCell ref="D305:E305"/>
    <mergeCell ref="D306:E306"/>
    <mergeCell ref="D307:E307"/>
    <mergeCell ref="D308:E308"/>
    <mergeCell ref="D309:E309"/>
    <mergeCell ref="D310:E310"/>
    <mergeCell ref="D311:E311"/>
    <mergeCell ref="D312:E312"/>
    <mergeCell ref="D313:E313"/>
    <mergeCell ref="D314:E314"/>
    <mergeCell ref="D315:E315"/>
    <mergeCell ref="D316:E316"/>
    <mergeCell ref="D317:E317"/>
    <mergeCell ref="D318:E318"/>
    <mergeCell ref="D319:E319"/>
    <mergeCell ref="D320:E320"/>
    <mergeCell ref="D321:E321"/>
    <mergeCell ref="D288:E288"/>
    <mergeCell ref="D289:E289"/>
    <mergeCell ref="D290:E290"/>
    <mergeCell ref="D291:E291"/>
    <mergeCell ref="D292:E292"/>
    <mergeCell ref="D293:E293"/>
    <mergeCell ref="D294:E294"/>
    <mergeCell ref="D295:E295"/>
    <mergeCell ref="D296:E296"/>
    <mergeCell ref="D297:E297"/>
    <mergeCell ref="D298:E298"/>
    <mergeCell ref="D299:E299"/>
    <mergeCell ref="D300:E300"/>
    <mergeCell ref="D301:E301"/>
    <mergeCell ref="D302:E302"/>
    <mergeCell ref="D303:E303"/>
    <mergeCell ref="D304:E304"/>
    <mergeCell ref="D271:E271"/>
    <mergeCell ref="D272:E272"/>
    <mergeCell ref="D273:E273"/>
    <mergeCell ref="D274:E274"/>
    <mergeCell ref="D275:E275"/>
    <mergeCell ref="D276:E276"/>
    <mergeCell ref="D277:E277"/>
    <mergeCell ref="D278:E278"/>
    <mergeCell ref="D279:E279"/>
    <mergeCell ref="D280:E280"/>
    <mergeCell ref="D281:E281"/>
    <mergeCell ref="D282:E282"/>
    <mergeCell ref="D283:E283"/>
    <mergeCell ref="D284:E284"/>
    <mergeCell ref="D285:E285"/>
    <mergeCell ref="D286:E286"/>
    <mergeCell ref="D287:E287"/>
    <mergeCell ref="B268:B270"/>
    <mergeCell ref="C268:C270"/>
    <mergeCell ref="D268:E270"/>
    <mergeCell ref="D245:E245"/>
    <mergeCell ref="D246:E246"/>
    <mergeCell ref="D247:E247"/>
    <mergeCell ref="D248:E248"/>
    <mergeCell ref="D249:E249"/>
    <mergeCell ref="D250:E250"/>
    <mergeCell ref="D251:E251"/>
    <mergeCell ref="D252:E252"/>
    <mergeCell ref="D253:E253"/>
    <mergeCell ref="D256:E256"/>
    <mergeCell ref="D257:E257"/>
    <mergeCell ref="D258:E258"/>
    <mergeCell ref="D259:E259"/>
    <mergeCell ref="I253:J253"/>
    <mergeCell ref="I254:J254"/>
    <mergeCell ref="I255:J255"/>
    <mergeCell ref="I256:J256"/>
    <mergeCell ref="I257:J257"/>
    <mergeCell ref="I258:J258"/>
    <mergeCell ref="I259:J259"/>
    <mergeCell ref="I269:J270"/>
    <mergeCell ref="D230:E230"/>
    <mergeCell ref="D231:E231"/>
    <mergeCell ref="D232:E232"/>
    <mergeCell ref="D233:E233"/>
    <mergeCell ref="D234:E234"/>
    <mergeCell ref="D235:E235"/>
    <mergeCell ref="D236:E236"/>
    <mergeCell ref="D237:E237"/>
    <mergeCell ref="D238:E238"/>
    <mergeCell ref="D239:E239"/>
    <mergeCell ref="D240:E240"/>
    <mergeCell ref="D241:E241"/>
    <mergeCell ref="D242:E242"/>
    <mergeCell ref="D243:E243"/>
    <mergeCell ref="D244:E244"/>
    <mergeCell ref="D254:E254"/>
    <mergeCell ref="D255:E255"/>
    <mergeCell ref="D213:E213"/>
    <mergeCell ref="D214:E214"/>
    <mergeCell ref="D215:E215"/>
    <mergeCell ref="D216:E216"/>
    <mergeCell ref="D217:E217"/>
    <mergeCell ref="D218:E218"/>
    <mergeCell ref="D219:E219"/>
    <mergeCell ref="D220:E220"/>
    <mergeCell ref="D221:E221"/>
    <mergeCell ref="D222:E222"/>
    <mergeCell ref="D223:E223"/>
    <mergeCell ref="D224:E224"/>
    <mergeCell ref="D225:E225"/>
    <mergeCell ref="D226:E226"/>
    <mergeCell ref="D227:E227"/>
    <mergeCell ref="D228:E228"/>
    <mergeCell ref="D229:E229"/>
    <mergeCell ref="D196:E196"/>
    <mergeCell ref="D197:E197"/>
    <mergeCell ref="D198:E198"/>
    <mergeCell ref="D199:E199"/>
    <mergeCell ref="D200:E200"/>
    <mergeCell ref="D201:E201"/>
    <mergeCell ref="D202:E202"/>
    <mergeCell ref="D203:E203"/>
    <mergeCell ref="D204:E204"/>
    <mergeCell ref="D205:E205"/>
    <mergeCell ref="D206:E206"/>
    <mergeCell ref="D207:E207"/>
    <mergeCell ref="D208:E208"/>
    <mergeCell ref="D209:E209"/>
    <mergeCell ref="D210:E210"/>
    <mergeCell ref="D211:E211"/>
    <mergeCell ref="D212:E212"/>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B147:B149"/>
    <mergeCell ref="C147:C149"/>
    <mergeCell ref="D147:E149"/>
    <mergeCell ref="O147:O149"/>
    <mergeCell ref="S147:S149"/>
    <mergeCell ref="T147:T149"/>
    <mergeCell ref="P147:P149"/>
    <mergeCell ref="D26:E28"/>
    <mergeCell ref="T26:T28"/>
    <mergeCell ref="S26:S28"/>
    <mergeCell ref="D44:E44"/>
    <mergeCell ref="D45:E45"/>
    <mergeCell ref="D46:E46"/>
    <mergeCell ref="D47:E47"/>
    <mergeCell ref="D48:E48"/>
    <mergeCell ref="D39:E39"/>
    <mergeCell ref="D40:E40"/>
    <mergeCell ref="D41:E41"/>
    <mergeCell ref="D42:E42"/>
    <mergeCell ref="D43:E43"/>
    <mergeCell ref="D29:E29"/>
    <mergeCell ref="D30:E30"/>
    <mergeCell ref="D34:E34"/>
    <mergeCell ref="D35:E35"/>
    <mergeCell ref="D36:E36"/>
    <mergeCell ref="D63:E63"/>
    <mergeCell ref="D64:E64"/>
    <mergeCell ref="D65:E65"/>
    <mergeCell ref="D66:E66"/>
    <mergeCell ref="D67:E67"/>
    <mergeCell ref="D59:E59"/>
    <mergeCell ref="D60:E60"/>
    <mergeCell ref="D61:E61"/>
    <mergeCell ref="D62:E62"/>
    <mergeCell ref="D54:E54"/>
    <mergeCell ref="D55:E55"/>
    <mergeCell ref="D56:E56"/>
    <mergeCell ref="D57:E57"/>
    <mergeCell ref="D58:E58"/>
    <mergeCell ref="D49:E49"/>
    <mergeCell ref="D50:E50"/>
    <mergeCell ref="D51:E51"/>
    <mergeCell ref="D52:E52"/>
    <mergeCell ref="D53:E53"/>
    <mergeCell ref="D82:E82"/>
    <mergeCell ref="D83:E83"/>
    <mergeCell ref="D84:E84"/>
    <mergeCell ref="D85:E85"/>
    <mergeCell ref="D86:E86"/>
    <mergeCell ref="D78:E78"/>
    <mergeCell ref="D79:E79"/>
    <mergeCell ref="D80:E80"/>
    <mergeCell ref="D81:E81"/>
    <mergeCell ref="D73:E73"/>
    <mergeCell ref="D74:E74"/>
    <mergeCell ref="D75:E75"/>
    <mergeCell ref="D76:E76"/>
    <mergeCell ref="D77:E77"/>
    <mergeCell ref="D68:E68"/>
    <mergeCell ref="D69:E69"/>
    <mergeCell ref="D70:E70"/>
    <mergeCell ref="D71:E71"/>
    <mergeCell ref="D72:E72"/>
    <mergeCell ref="D109:E109"/>
    <mergeCell ref="D110:E110"/>
    <mergeCell ref="D101:E101"/>
    <mergeCell ref="D102:E102"/>
    <mergeCell ref="D103:E103"/>
    <mergeCell ref="D104:E104"/>
    <mergeCell ref="D105:E105"/>
    <mergeCell ref="D97:E97"/>
    <mergeCell ref="D98:E98"/>
    <mergeCell ref="D99:E99"/>
    <mergeCell ref="D100:E100"/>
    <mergeCell ref="D92:E92"/>
    <mergeCell ref="D93:E93"/>
    <mergeCell ref="D94:E94"/>
    <mergeCell ref="D95:E95"/>
    <mergeCell ref="D96:E96"/>
    <mergeCell ref="D87:E87"/>
    <mergeCell ref="D88:E88"/>
    <mergeCell ref="D89:E89"/>
    <mergeCell ref="D90:E90"/>
    <mergeCell ref="D91:E91"/>
    <mergeCell ref="R510:R512"/>
    <mergeCell ref="O26:O28"/>
    <mergeCell ref="O510:O512"/>
    <mergeCell ref="S510:S512"/>
    <mergeCell ref="T510:T512"/>
    <mergeCell ref="D130:E130"/>
    <mergeCell ref="D131:E131"/>
    <mergeCell ref="D132:E132"/>
    <mergeCell ref="D133:E133"/>
    <mergeCell ref="D134:E134"/>
    <mergeCell ref="D125:E125"/>
    <mergeCell ref="D126:E126"/>
    <mergeCell ref="D127:E127"/>
    <mergeCell ref="D128:E128"/>
    <mergeCell ref="D129:E129"/>
    <mergeCell ref="D120:E120"/>
    <mergeCell ref="D121:E121"/>
    <mergeCell ref="D122:E122"/>
    <mergeCell ref="D123:E123"/>
    <mergeCell ref="D124:E124"/>
    <mergeCell ref="D116:E116"/>
    <mergeCell ref="D117:E117"/>
    <mergeCell ref="D118:E118"/>
    <mergeCell ref="D119:E119"/>
    <mergeCell ref="D111:E111"/>
    <mergeCell ref="D112:E112"/>
    <mergeCell ref="D113:E113"/>
    <mergeCell ref="D114:E114"/>
    <mergeCell ref="D115:E115"/>
    <mergeCell ref="D106:E106"/>
    <mergeCell ref="D107:E107"/>
    <mergeCell ref="D108:E108"/>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S268:S270"/>
    <mergeCell ref="T268:T270"/>
    <mergeCell ref="O268:O270"/>
    <mergeCell ref="R268:R270"/>
    <mergeCell ref="P268:P270"/>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619:E619"/>
    <mergeCell ref="D620:E620"/>
    <mergeCell ref="D621:E621"/>
    <mergeCell ref="D622:E622"/>
    <mergeCell ref="D513:E513"/>
    <mergeCell ref="D514:E514"/>
    <mergeCell ref="D515:E515"/>
    <mergeCell ref="D516:E516"/>
    <mergeCell ref="D517:E517"/>
    <mergeCell ref="D518:E518"/>
    <mergeCell ref="D519:E519"/>
    <mergeCell ref="D520:E520"/>
    <mergeCell ref="D521:E521"/>
    <mergeCell ref="D522:E522"/>
    <mergeCell ref="D523:E523"/>
    <mergeCell ref="D524:E524"/>
    <mergeCell ref="D525:E525"/>
    <mergeCell ref="D526:E526"/>
    <mergeCell ref="D527:E527"/>
    <mergeCell ref="D528:E528"/>
    <mergeCell ref="D529:E529"/>
    <mergeCell ref="D530:E530"/>
    <mergeCell ref="D531:E531"/>
    <mergeCell ref="D532:E532"/>
    <mergeCell ref="D533:E533"/>
    <mergeCell ref="D534:E534"/>
    <mergeCell ref="D535:E535"/>
    <mergeCell ref="D536:E536"/>
    <mergeCell ref="D537:E537"/>
    <mergeCell ref="D538:E538"/>
    <mergeCell ref="D539:E539"/>
    <mergeCell ref="D540:E540"/>
    <mergeCell ref="Q26:Q27"/>
    <mergeCell ref="P26:P28"/>
    <mergeCell ref="R147:R149"/>
    <mergeCell ref="Q147:Q148"/>
    <mergeCell ref="Q268:Q269"/>
    <mergeCell ref="F389:F391"/>
    <mergeCell ref="J389:J391"/>
    <mergeCell ref="P510:P512"/>
    <mergeCell ref="Q510:Q511"/>
    <mergeCell ref="G26:G28"/>
    <mergeCell ref="G147:G149"/>
    <mergeCell ref="G268:G270"/>
    <mergeCell ref="H268:J268"/>
    <mergeCell ref="K268:N268"/>
    <mergeCell ref="H269:H270"/>
    <mergeCell ref="K269:K270"/>
    <mergeCell ref="L269:L270"/>
    <mergeCell ref="F147:F149"/>
    <mergeCell ref="F268:F270"/>
    <mergeCell ref="K510:N510"/>
    <mergeCell ref="H511:H512"/>
    <mergeCell ref="K511:K512"/>
    <mergeCell ref="L511:L512"/>
    <mergeCell ref="I42:J42"/>
    <mergeCell ref="I43:J43"/>
    <mergeCell ref="I44:J44"/>
    <mergeCell ref="I45:J45"/>
    <mergeCell ref="I63:J63"/>
    <mergeCell ref="I64:J64"/>
    <mergeCell ref="I65:J65"/>
    <mergeCell ref="I66:J66"/>
    <mergeCell ref="I67:J67"/>
    <mergeCell ref="D135:E135"/>
    <mergeCell ref="D136:E136"/>
    <mergeCell ref="D137:E137"/>
    <mergeCell ref="D138:E138"/>
    <mergeCell ref="D150:E150"/>
    <mergeCell ref="D151:E151"/>
    <mergeCell ref="D447:E447"/>
    <mergeCell ref="D448:E448"/>
    <mergeCell ref="D449:E449"/>
    <mergeCell ref="D450:E450"/>
    <mergeCell ref="D451:E451"/>
    <mergeCell ref="D434:E434"/>
    <mergeCell ref="D435:E435"/>
    <mergeCell ref="D436:E436"/>
    <mergeCell ref="D437:E437"/>
    <mergeCell ref="D438:E438"/>
    <mergeCell ref="D439:E439"/>
    <mergeCell ref="D440:E440"/>
    <mergeCell ref="D441:E441"/>
    <mergeCell ref="D442:E442"/>
    <mergeCell ref="D412:E412"/>
    <mergeCell ref="D413:E413"/>
    <mergeCell ref="D414:E414"/>
    <mergeCell ref="D415:E415"/>
    <mergeCell ref="D416:E416"/>
    <mergeCell ref="D417:E417"/>
    <mergeCell ref="D418:E418"/>
    <mergeCell ref="D419:E419"/>
    <mergeCell ref="D420:E420"/>
    <mergeCell ref="D423:E423"/>
    <mergeCell ref="D424:E424"/>
    <mergeCell ref="D425:E425"/>
    <mergeCell ref="D470:E470"/>
    <mergeCell ref="D471:E471"/>
    <mergeCell ref="D472:E472"/>
    <mergeCell ref="D473:E473"/>
    <mergeCell ref="D474:E474"/>
    <mergeCell ref="D443:E443"/>
    <mergeCell ref="D444:E444"/>
    <mergeCell ref="D445:E445"/>
    <mergeCell ref="D446:E446"/>
    <mergeCell ref="D459:E459"/>
    <mergeCell ref="D460:E460"/>
    <mergeCell ref="D461:E461"/>
    <mergeCell ref="D462:E462"/>
    <mergeCell ref="D463:E463"/>
    <mergeCell ref="D464:E464"/>
    <mergeCell ref="D465:E465"/>
    <mergeCell ref="G389:G391"/>
    <mergeCell ref="D432:E432"/>
    <mergeCell ref="D433:E433"/>
    <mergeCell ref="D452:E452"/>
    <mergeCell ref="D453:E453"/>
    <mergeCell ref="D454:E454"/>
    <mergeCell ref="D455:E455"/>
    <mergeCell ref="D456:E456"/>
    <mergeCell ref="D457:E457"/>
    <mergeCell ref="D458:E458"/>
    <mergeCell ref="D469:E469"/>
    <mergeCell ref="F510:F512"/>
    <mergeCell ref="G510:G512"/>
    <mergeCell ref="H26:J26"/>
    <mergeCell ref="H27:H28"/>
    <mergeCell ref="K27:K28"/>
    <mergeCell ref="L27:L28"/>
    <mergeCell ref="K26:N26"/>
    <mergeCell ref="H147:J147"/>
    <mergeCell ref="K147:N147"/>
    <mergeCell ref="H148:H149"/>
    <mergeCell ref="K148:K149"/>
    <mergeCell ref="L148:L149"/>
    <mergeCell ref="H19:I19"/>
    <mergeCell ref="H18:I18"/>
    <mergeCell ref="H15:I15"/>
    <mergeCell ref="H14:I14"/>
    <mergeCell ref="I46:J46"/>
    <mergeCell ref="I47:J47"/>
    <mergeCell ref="I48:J48"/>
    <mergeCell ref="I49:J49"/>
    <mergeCell ref="I50:J50"/>
    <mergeCell ref="I51:J51"/>
    <mergeCell ref="I52:J52"/>
    <mergeCell ref="I53:J53"/>
    <mergeCell ref="I54:J54"/>
    <mergeCell ref="J14:K14"/>
    <mergeCell ref="J18:K18"/>
    <mergeCell ref="F26:F28"/>
    <mergeCell ref="J19:K19"/>
    <mergeCell ref="J15:K15"/>
    <mergeCell ref="I68:J68"/>
    <mergeCell ref="I69:J69"/>
    <mergeCell ref="B2:K2"/>
    <mergeCell ref="I27:J28"/>
    <mergeCell ref="I29:J29"/>
    <mergeCell ref="I30:J30"/>
    <mergeCell ref="I31:J31"/>
    <mergeCell ref="I32:J32"/>
    <mergeCell ref="I33:J33"/>
    <mergeCell ref="I34:J34"/>
    <mergeCell ref="I35:J35"/>
    <mergeCell ref="I36:J36"/>
    <mergeCell ref="I37:J37"/>
    <mergeCell ref="I38:J38"/>
    <mergeCell ref="I39:J39"/>
    <mergeCell ref="I40:J40"/>
    <mergeCell ref="I41:J41"/>
    <mergeCell ref="D37:E37"/>
    <mergeCell ref="D38:E38"/>
    <mergeCell ref="D31:E31"/>
    <mergeCell ref="D32:E32"/>
    <mergeCell ref="D33:E33"/>
    <mergeCell ref="B14:C14"/>
    <mergeCell ref="B15:C15"/>
    <mergeCell ref="F14:G14"/>
    <mergeCell ref="F15:G15"/>
    <mergeCell ref="F18:G18"/>
    <mergeCell ref="F19:G19"/>
    <mergeCell ref="B18:C18"/>
    <mergeCell ref="B19:C19"/>
    <mergeCell ref="B26:B28"/>
    <mergeCell ref="C26:C28"/>
    <mergeCell ref="G6:K6"/>
    <mergeCell ref="G8:K8"/>
    <mergeCell ref="I70:J70"/>
    <mergeCell ref="I71:J71"/>
    <mergeCell ref="I55:J55"/>
    <mergeCell ref="I56:J56"/>
    <mergeCell ref="I57:J57"/>
    <mergeCell ref="I58:J58"/>
    <mergeCell ref="I59:J59"/>
    <mergeCell ref="I60:J60"/>
    <mergeCell ref="I61:J61"/>
    <mergeCell ref="I62:J62"/>
    <mergeCell ref="I80:J80"/>
    <mergeCell ref="I81:J81"/>
    <mergeCell ref="I82:J82"/>
    <mergeCell ref="I83:J83"/>
    <mergeCell ref="I84:J84"/>
    <mergeCell ref="I85:J85"/>
    <mergeCell ref="I86:J86"/>
    <mergeCell ref="I87:J87"/>
    <mergeCell ref="I88:J88"/>
    <mergeCell ref="I72:J72"/>
    <mergeCell ref="I73:J73"/>
    <mergeCell ref="I74:J74"/>
    <mergeCell ref="I75:J75"/>
    <mergeCell ref="I76:J76"/>
    <mergeCell ref="I77:J77"/>
    <mergeCell ref="I78:J78"/>
    <mergeCell ref="I79:J79"/>
    <mergeCell ref="I98:J98"/>
    <mergeCell ref="I99:J99"/>
    <mergeCell ref="I100:J100"/>
    <mergeCell ref="I101:J101"/>
    <mergeCell ref="I102:J102"/>
    <mergeCell ref="I103:J103"/>
    <mergeCell ref="I104:J104"/>
    <mergeCell ref="I105:J105"/>
    <mergeCell ref="I89:J89"/>
    <mergeCell ref="I90:J90"/>
    <mergeCell ref="I91:J91"/>
    <mergeCell ref="I92:J92"/>
    <mergeCell ref="I93:J93"/>
    <mergeCell ref="I94:J94"/>
    <mergeCell ref="I95:J95"/>
    <mergeCell ref="I96:J96"/>
    <mergeCell ref="I97:J97"/>
    <mergeCell ref="I115:J115"/>
    <mergeCell ref="I116:J116"/>
    <mergeCell ref="I117:J117"/>
    <mergeCell ref="I118:J118"/>
    <mergeCell ref="I119:J119"/>
    <mergeCell ref="I120:J120"/>
    <mergeCell ref="I121:J121"/>
    <mergeCell ref="I122:J122"/>
    <mergeCell ref="I106:J106"/>
    <mergeCell ref="I107:J107"/>
    <mergeCell ref="I108:J108"/>
    <mergeCell ref="I109:J109"/>
    <mergeCell ref="I110:J110"/>
    <mergeCell ref="I111:J111"/>
    <mergeCell ref="I112:J112"/>
    <mergeCell ref="I113:J113"/>
    <mergeCell ref="I114:J114"/>
    <mergeCell ref="I148:J149"/>
    <mergeCell ref="I150:J150"/>
    <mergeCell ref="I151:J151"/>
    <mergeCell ref="I152:J152"/>
    <mergeCell ref="I153:J153"/>
    <mergeCell ref="I154:J154"/>
    <mergeCell ref="I155:J155"/>
    <mergeCell ref="I156:J156"/>
    <mergeCell ref="I157:J157"/>
    <mergeCell ref="I132:J132"/>
    <mergeCell ref="I133:J133"/>
    <mergeCell ref="I134:J134"/>
    <mergeCell ref="I135:J135"/>
    <mergeCell ref="I136:J136"/>
    <mergeCell ref="I137:J137"/>
    <mergeCell ref="I138:J138"/>
    <mergeCell ref="I123:J123"/>
    <mergeCell ref="I124:J124"/>
    <mergeCell ref="I125:J125"/>
    <mergeCell ref="I126:J126"/>
    <mergeCell ref="I127:J127"/>
    <mergeCell ref="I128:J128"/>
    <mergeCell ref="I129:J129"/>
    <mergeCell ref="I130:J130"/>
    <mergeCell ref="I131:J131"/>
    <mergeCell ref="I167:J167"/>
    <mergeCell ref="I168:J168"/>
    <mergeCell ref="I169:J169"/>
    <mergeCell ref="I170:J170"/>
    <mergeCell ref="I171:J171"/>
    <mergeCell ref="I172:J172"/>
    <mergeCell ref="I173:J173"/>
    <mergeCell ref="I174:J174"/>
    <mergeCell ref="I175:J175"/>
    <mergeCell ref="I158:J158"/>
    <mergeCell ref="I159:J159"/>
    <mergeCell ref="I160:J160"/>
    <mergeCell ref="I161:J161"/>
    <mergeCell ref="I162:J162"/>
    <mergeCell ref="I163:J163"/>
    <mergeCell ref="I164:J164"/>
    <mergeCell ref="I165:J165"/>
    <mergeCell ref="I166:J166"/>
    <mergeCell ref="I184:J184"/>
    <mergeCell ref="I185:J185"/>
    <mergeCell ref="I186:J186"/>
    <mergeCell ref="I187:J187"/>
    <mergeCell ref="I188:J188"/>
    <mergeCell ref="I189:J189"/>
    <mergeCell ref="I190:J190"/>
    <mergeCell ref="I191:J191"/>
    <mergeCell ref="I192:J192"/>
    <mergeCell ref="I176:J176"/>
    <mergeCell ref="I177:J177"/>
    <mergeCell ref="I178:J178"/>
    <mergeCell ref="I179:J179"/>
    <mergeCell ref="I180:J180"/>
    <mergeCell ref="I181:J181"/>
    <mergeCell ref="I182:J182"/>
    <mergeCell ref="I183:J183"/>
    <mergeCell ref="I201:J201"/>
    <mergeCell ref="I202:J202"/>
    <mergeCell ref="I203:J203"/>
    <mergeCell ref="I204:J204"/>
    <mergeCell ref="I205:J205"/>
    <mergeCell ref="I206:J206"/>
    <mergeCell ref="I207:J207"/>
    <mergeCell ref="I208:J208"/>
    <mergeCell ref="I209:J209"/>
    <mergeCell ref="I193:J193"/>
    <mergeCell ref="I194:J194"/>
    <mergeCell ref="I195:J195"/>
    <mergeCell ref="I196:J196"/>
    <mergeCell ref="I197:J197"/>
    <mergeCell ref="I198:J198"/>
    <mergeCell ref="I199:J199"/>
    <mergeCell ref="I200:J200"/>
    <mergeCell ref="I219:J219"/>
    <mergeCell ref="I220:J220"/>
    <mergeCell ref="I221:J221"/>
    <mergeCell ref="I222:J222"/>
    <mergeCell ref="I223:J223"/>
    <mergeCell ref="I224:J224"/>
    <mergeCell ref="I225:J225"/>
    <mergeCell ref="I226:J226"/>
    <mergeCell ref="I210:J210"/>
    <mergeCell ref="I211:J211"/>
    <mergeCell ref="I212:J212"/>
    <mergeCell ref="I213:J213"/>
    <mergeCell ref="I214:J214"/>
    <mergeCell ref="I215:J215"/>
    <mergeCell ref="I216:J216"/>
    <mergeCell ref="I217:J217"/>
    <mergeCell ref="I218:J218"/>
    <mergeCell ref="I236:J236"/>
    <mergeCell ref="I237:J237"/>
    <mergeCell ref="I238:J238"/>
    <mergeCell ref="I239:J239"/>
    <mergeCell ref="I240:J240"/>
    <mergeCell ref="I241:J241"/>
    <mergeCell ref="I242:J242"/>
    <mergeCell ref="I243:J243"/>
    <mergeCell ref="I227:J227"/>
    <mergeCell ref="I228:J228"/>
    <mergeCell ref="I229:J229"/>
    <mergeCell ref="I230:J230"/>
    <mergeCell ref="I231:J231"/>
    <mergeCell ref="I232:J232"/>
    <mergeCell ref="I233:J233"/>
    <mergeCell ref="I234:J234"/>
    <mergeCell ref="I235:J235"/>
    <mergeCell ref="I271:J271"/>
    <mergeCell ref="I272:J272"/>
    <mergeCell ref="I273:J273"/>
    <mergeCell ref="I274:J274"/>
    <mergeCell ref="I275:J275"/>
    <mergeCell ref="I276:J276"/>
    <mergeCell ref="I277:J277"/>
    <mergeCell ref="I244:J244"/>
    <mergeCell ref="I245:J245"/>
    <mergeCell ref="I246:J246"/>
    <mergeCell ref="I247:J247"/>
    <mergeCell ref="I248:J248"/>
    <mergeCell ref="I249:J249"/>
    <mergeCell ref="I250:J250"/>
    <mergeCell ref="I251:J251"/>
    <mergeCell ref="I252:J252"/>
    <mergeCell ref="I287:J287"/>
    <mergeCell ref="I288:J288"/>
    <mergeCell ref="I289:J289"/>
    <mergeCell ref="I290:J290"/>
    <mergeCell ref="I291:J291"/>
    <mergeCell ref="I292:J292"/>
    <mergeCell ref="I293:J293"/>
    <mergeCell ref="I294:J294"/>
    <mergeCell ref="I295:J295"/>
    <mergeCell ref="I278:J278"/>
    <mergeCell ref="I279:J279"/>
    <mergeCell ref="I280:J280"/>
    <mergeCell ref="I281:J281"/>
    <mergeCell ref="I282:J282"/>
    <mergeCell ref="I283:J283"/>
    <mergeCell ref="I284:J284"/>
    <mergeCell ref="I285:J285"/>
    <mergeCell ref="I286:J286"/>
    <mergeCell ref="I304:J304"/>
    <mergeCell ref="I305:J305"/>
    <mergeCell ref="I306:J306"/>
    <mergeCell ref="I307:J307"/>
    <mergeCell ref="I308:J308"/>
    <mergeCell ref="I309:J309"/>
    <mergeCell ref="I310:J310"/>
    <mergeCell ref="I311:J311"/>
    <mergeCell ref="I312:J312"/>
    <mergeCell ref="I296:J296"/>
    <mergeCell ref="I297:J297"/>
    <mergeCell ref="I298:J298"/>
    <mergeCell ref="I299:J299"/>
    <mergeCell ref="I300:J300"/>
    <mergeCell ref="I301:J301"/>
    <mergeCell ref="I302:J302"/>
    <mergeCell ref="I303:J303"/>
    <mergeCell ref="I321:J321"/>
    <mergeCell ref="I322:J322"/>
    <mergeCell ref="I323:J323"/>
    <mergeCell ref="I324:J324"/>
    <mergeCell ref="I325:J325"/>
    <mergeCell ref="I326:J326"/>
    <mergeCell ref="I327:J327"/>
    <mergeCell ref="I328:J328"/>
    <mergeCell ref="I329:J329"/>
    <mergeCell ref="I313:J313"/>
    <mergeCell ref="I314:J314"/>
    <mergeCell ref="I315:J315"/>
    <mergeCell ref="I316:J316"/>
    <mergeCell ref="I317:J317"/>
    <mergeCell ref="I318:J318"/>
    <mergeCell ref="I319:J319"/>
    <mergeCell ref="I320:J320"/>
    <mergeCell ref="I339:J339"/>
    <mergeCell ref="I340:J340"/>
    <mergeCell ref="I341:J341"/>
    <mergeCell ref="I342:J342"/>
    <mergeCell ref="I343:J343"/>
    <mergeCell ref="I344:J344"/>
    <mergeCell ref="I345:J345"/>
    <mergeCell ref="I346:J346"/>
    <mergeCell ref="I330:J330"/>
    <mergeCell ref="I331:J331"/>
    <mergeCell ref="I332:J332"/>
    <mergeCell ref="I333:J333"/>
    <mergeCell ref="I334:J334"/>
    <mergeCell ref="I335:J335"/>
    <mergeCell ref="I336:J336"/>
    <mergeCell ref="I337:J337"/>
    <mergeCell ref="I338:J338"/>
    <mergeCell ref="I356:J356"/>
    <mergeCell ref="I357:J357"/>
    <mergeCell ref="I358:J358"/>
    <mergeCell ref="I359:J359"/>
    <mergeCell ref="I360:J360"/>
    <mergeCell ref="I361:J361"/>
    <mergeCell ref="I362:J362"/>
    <mergeCell ref="I363:J363"/>
    <mergeCell ref="I347:J347"/>
    <mergeCell ref="I348:J348"/>
    <mergeCell ref="I349:J349"/>
    <mergeCell ref="I350:J350"/>
    <mergeCell ref="I351:J351"/>
    <mergeCell ref="I352:J352"/>
    <mergeCell ref="I353:J353"/>
    <mergeCell ref="I354:J354"/>
    <mergeCell ref="I355:J355"/>
    <mergeCell ref="I511:J512"/>
    <mergeCell ref="I513:J513"/>
    <mergeCell ref="I514:J514"/>
    <mergeCell ref="I515:J515"/>
    <mergeCell ref="I516:J516"/>
    <mergeCell ref="I517:J517"/>
    <mergeCell ref="I518:J518"/>
    <mergeCell ref="I519:J519"/>
    <mergeCell ref="I373:J373"/>
    <mergeCell ref="I374:J374"/>
    <mergeCell ref="I375:J375"/>
    <mergeCell ref="I376:J376"/>
    <mergeCell ref="I377:J377"/>
    <mergeCell ref="I378:J378"/>
    <mergeCell ref="I379:J379"/>
    <mergeCell ref="I380:J380"/>
    <mergeCell ref="I364:J364"/>
    <mergeCell ref="I365:J365"/>
    <mergeCell ref="I366:J366"/>
    <mergeCell ref="I367:J367"/>
    <mergeCell ref="I368:J368"/>
    <mergeCell ref="I369:J369"/>
    <mergeCell ref="I370:J370"/>
    <mergeCell ref="I371:J371"/>
    <mergeCell ref="I372:J372"/>
    <mergeCell ref="H510:J510"/>
    <mergeCell ref="I529:J529"/>
    <mergeCell ref="I530:J530"/>
    <mergeCell ref="I531:J531"/>
    <mergeCell ref="I532:J532"/>
    <mergeCell ref="I533:J533"/>
    <mergeCell ref="I534:J534"/>
    <mergeCell ref="I535:J535"/>
    <mergeCell ref="I536:J536"/>
    <mergeCell ref="I537:J537"/>
    <mergeCell ref="I520:J520"/>
    <mergeCell ref="I521:J521"/>
    <mergeCell ref="I522:J522"/>
    <mergeCell ref="I523:J523"/>
    <mergeCell ref="I524:J524"/>
    <mergeCell ref="I525:J525"/>
    <mergeCell ref="I526:J526"/>
    <mergeCell ref="I527:J527"/>
    <mergeCell ref="I528:J528"/>
    <mergeCell ref="I546:J546"/>
    <mergeCell ref="I547:J547"/>
    <mergeCell ref="I548:J548"/>
    <mergeCell ref="I549:J549"/>
    <mergeCell ref="I550:J550"/>
    <mergeCell ref="I551:J551"/>
    <mergeCell ref="I552:J552"/>
    <mergeCell ref="I553:J553"/>
    <mergeCell ref="I554:J554"/>
    <mergeCell ref="I538:J538"/>
    <mergeCell ref="I539:J539"/>
    <mergeCell ref="I540:J540"/>
    <mergeCell ref="I541:J541"/>
    <mergeCell ref="I542:J542"/>
    <mergeCell ref="I543:J543"/>
    <mergeCell ref="I544:J544"/>
    <mergeCell ref="I545:J545"/>
    <mergeCell ref="I563:J563"/>
    <mergeCell ref="I564:J564"/>
    <mergeCell ref="I565:J565"/>
    <mergeCell ref="I566:J566"/>
    <mergeCell ref="I567:J567"/>
    <mergeCell ref="I568:J568"/>
    <mergeCell ref="I569:J569"/>
    <mergeCell ref="I570:J570"/>
    <mergeCell ref="I571:J571"/>
    <mergeCell ref="I555:J555"/>
    <mergeCell ref="I556:J556"/>
    <mergeCell ref="I557:J557"/>
    <mergeCell ref="I558:J558"/>
    <mergeCell ref="I559:J559"/>
    <mergeCell ref="I560:J560"/>
    <mergeCell ref="I561:J561"/>
    <mergeCell ref="I562:J562"/>
    <mergeCell ref="I581:J581"/>
    <mergeCell ref="I582:J582"/>
    <mergeCell ref="I583:J583"/>
    <mergeCell ref="I584:J584"/>
    <mergeCell ref="I585:J585"/>
    <mergeCell ref="I586:J586"/>
    <mergeCell ref="I587:J587"/>
    <mergeCell ref="I588:J588"/>
    <mergeCell ref="I572:J572"/>
    <mergeCell ref="I573:J573"/>
    <mergeCell ref="I574:J574"/>
    <mergeCell ref="I575:J575"/>
    <mergeCell ref="I576:J576"/>
    <mergeCell ref="I577:J577"/>
    <mergeCell ref="I578:J578"/>
    <mergeCell ref="I579:J579"/>
    <mergeCell ref="I580:J580"/>
    <mergeCell ref="I598:J598"/>
    <mergeCell ref="I599:J599"/>
    <mergeCell ref="I600:J600"/>
    <mergeCell ref="I601:J601"/>
    <mergeCell ref="I602:J602"/>
    <mergeCell ref="I603:J603"/>
    <mergeCell ref="I604:J604"/>
    <mergeCell ref="I605:J605"/>
    <mergeCell ref="I589:J589"/>
    <mergeCell ref="I590:J590"/>
    <mergeCell ref="I591:J591"/>
    <mergeCell ref="I592:J592"/>
    <mergeCell ref="I593:J593"/>
    <mergeCell ref="I594:J594"/>
    <mergeCell ref="I595:J595"/>
    <mergeCell ref="I596:J596"/>
    <mergeCell ref="I597:J597"/>
    <mergeCell ref="I615:J615"/>
    <mergeCell ref="I616:J616"/>
    <mergeCell ref="I617:J617"/>
    <mergeCell ref="I618:J618"/>
    <mergeCell ref="I619:J619"/>
    <mergeCell ref="I620:J620"/>
    <mergeCell ref="I621:J621"/>
    <mergeCell ref="I622:J622"/>
    <mergeCell ref="I606:J606"/>
    <mergeCell ref="I607:J607"/>
    <mergeCell ref="I608:J608"/>
    <mergeCell ref="I609:J609"/>
    <mergeCell ref="I610:J610"/>
    <mergeCell ref="I611:J611"/>
    <mergeCell ref="I612:J612"/>
    <mergeCell ref="I613:J613"/>
    <mergeCell ref="I614:J614"/>
    <mergeCell ref="M529:N529"/>
    <mergeCell ref="M530:N530"/>
    <mergeCell ref="M531:N531"/>
    <mergeCell ref="M532:N532"/>
    <mergeCell ref="M533:N533"/>
    <mergeCell ref="M534:N534"/>
    <mergeCell ref="M535:N535"/>
    <mergeCell ref="M536:N536"/>
    <mergeCell ref="M537:N537"/>
    <mergeCell ref="H389:H390"/>
    <mergeCell ref="I389:I391"/>
    <mergeCell ref="K389:K391"/>
    <mergeCell ref="M27:N28"/>
    <mergeCell ref="M148:N149"/>
    <mergeCell ref="M269:N270"/>
    <mergeCell ref="M511:N512"/>
    <mergeCell ref="M513:N513"/>
    <mergeCell ref="M514:N514"/>
    <mergeCell ref="M515:N515"/>
    <mergeCell ref="M516:N516"/>
    <mergeCell ref="M517:N517"/>
    <mergeCell ref="M518:N518"/>
    <mergeCell ref="M519:N519"/>
    <mergeCell ref="M520:N520"/>
    <mergeCell ref="M521:N521"/>
    <mergeCell ref="M522:N522"/>
    <mergeCell ref="M523:N523"/>
    <mergeCell ref="M524:N524"/>
    <mergeCell ref="M525:N525"/>
    <mergeCell ref="M526:N526"/>
    <mergeCell ref="M527:N527"/>
    <mergeCell ref="M528:N528"/>
    <mergeCell ref="M546:N546"/>
    <mergeCell ref="M547:N547"/>
    <mergeCell ref="M548:N548"/>
    <mergeCell ref="M549:N549"/>
    <mergeCell ref="M550:N550"/>
    <mergeCell ref="M551:N551"/>
    <mergeCell ref="M552:N552"/>
    <mergeCell ref="M553:N553"/>
    <mergeCell ref="M554:N554"/>
    <mergeCell ref="M538:N538"/>
    <mergeCell ref="M539:N539"/>
    <mergeCell ref="M540:N540"/>
    <mergeCell ref="M541:N541"/>
    <mergeCell ref="M542:N542"/>
    <mergeCell ref="M543:N543"/>
    <mergeCell ref="M544:N544"/>
    <mergeCell ref="M545:N545"/>
    <mergeCell ref="M563:N563"/>
    <mergeCell ref="M564:N564"/>
    <mergeCell ref="M565:N565"/>
    <mergeCell ref="M566:N566"/>
    <mergeCell ref="M567:N567"/>
    <mergeCell ref="M568:N568"/>
    <mergeCell ref="M569:N569"/>
    <mergeCell ref="M570:N570"/>
    <mergeCell ref="M571:N571"/>
    <mergeCell ref="M555:N555"/>
    <mergeCell ref="M556:N556"/>
    <mergeCell ref="M557:N557"/>
    <mergeCell ref="M558:N558"/>
    <mergeCell ref="M559:N559"/>
    <mergeCell ref="M560:N560"/>
    <mergeCell ref="M561:N561"/>
    <mergeCell ref="M562:N562"/>
    <mergeCell ref="M590:N590"/>
    <mergeCell ref="M591:N591"/>
    <mergeCell ref="M592:N592"/>
    <mergeCell ref="M593:N593"/>
    <mergeCell ref="M594:N594"/>
    <mergeCell ref="M595:N595"/>
    <mergeCell ref="M596:N596"/>
    <mergeCell ref="M597:N597"/>
    <mergeCell ref="M581:N581"/>
    <mergeCell ref="M582:N582"/>
    <mergeCell ref="M583:N583"/>
    <mergeCell ref="M584:N584"/>
    <mergeCell ref="M585:N585"/>
    <mergeCell ref="M586:N586"/>
    <mergeCell ref="M587:N587"/>
    <mergeCell ref="M588:N588"/>
    <mergeCell ref="M572:N572"/>
    <mergeCell ref="M573:N573"/>
    <mergeCell ref="M574:N574"/>
    <mergeCell ref="M575:N575"/>
    <mergeCell ref="M576:N576"/>
    <mergeCell ref="M577:N577"/>
    <mergeCell ref="M578:N578"/>
    <mergeCell ref="M579:N579"/>
    <mergeCell ref="M580:N580"/>
    <mergeCell ref="M289:N289"/>
    <mergeCell ref="M290:N290"/>
    <mergeCell ref="M291:N291"/>
    <mergeCell ref="M292:N292"/>
    <mergeCell ref="M293:N293"/>
    <mergeCell ref="M294:N294"/>
    <mergeCell ref="M615:N615"/>
    <mergeCell ref="M616:N616"/>
    <mergeCell ref="M617:N617"/>
    <mergeCell ref="M618:N618"/>
    <mergeCell ref="M619:N619"/>
    <mergeCell ref="M620:N620"/>
    <mergeCell ref="M621:N621"/>
    <mergeCell ref="M622:N622"/>
    <mergeCell ref="M606:N606"/>
    <mergeCell ref="M607:N607"/>
    <mergeCell ref="M608:N608"/>
    <mergeCell ref="M609:N609"/>
    <mergeCell ref="M610:N610"/>
    <mergeCell ref="M611:N611"/>
    <mergeCell ref="M612:N612"/>
    <mergeCell ref="M613:N613"/>
    <mergeCell ref="M614:N614"/>
    <mergeCell ref="M598:N598"/>
    <mergeCell ref="M599:N599"/>
    <mergeCell ref="M600:N600"/>
    <mergeCell ref="M601:N601"/>
    <mergeCell ref="M602:N602"/>
    <mergeCell ref="M603:N603"/>
    <mergeCell ref="M604:N604"/>
    <mergeCell ref="M605:N605"/>
    <mergeCell ref="M589:N589"/>
    <mergeCell ref="M272:N272"/>
    <mergeCell ref="M273:N273"/>
    <mergeCell ref="M274:N274"/>
    <mergeCell ref="M275:N275"/>
    <mergeCell ref="M276:N276"/>
    <mergeCell ref="M277:N277"/>
    <mergeCell ref="M278:N278"/>
    <mergeCell ref="M279:N279"/>
    <mergeCell ref="M280:N280"/>
    <mergeCell ref="M281:N281"/>
    <mergeCell ref="M282:N282"/>
    <mergeCell ref="M283:N283"/>
    <mergeCell ref="M284:N284"/>
    <mergeCell ref="M285:N285"/>
    <mergeCell ref="M286:N286"/>
    <mergeCell ref="M287:N287"/>
    <mergeCell ref="M288:N288"/>
    <mergeCell ref="M303:N303"/>
    <mergeCell ref="M304:N304"/>
    <mergeCell ref="M305:N305"/>
    <mergeCell ref="M306:N306"/>
    <mergeCell ref="M307:N307"/>
    <mergeCell ref="M308:N308"/>
    <mergeCell ref="M309:N309"/>
    <mergeCell ref="M310:N310"/>
    <mergeCell ref="M311:N311"/>
    <mergeCell ref="M295:N295"/>
    <mergeCell ref="M296:N296"/>
    <mergeCell ref="M297:N297"/>
    <mergeCell ref="M298:N298"/>
    <mergeCell ref="M299:N299"/>
    <mergeCell ref="M300:N300"/>
    <mergeCell ref="M301:N301"/>
    <mergeCell ref="M302:N302"/>
    <mergeCell ref="M321:N321"/>
    <mergeCell ref="M322:N322"/>
    <mergeCell ref="M323:N323"/>
    <mergeCell ref="M324:N324"/>
    <mergeCell ref="M325:N325"/>
    <mergeCell ref="M326:N326"/>
    <mergeCell ref="M327:N327"/>
    <mergeCell ref="M328:N328"/>
    <mergeCell ref="M312:N312"/>
    <mergeCell ref="M313:N313"/>
    <mergeCell ref="M314:N314"/>
    <mergeCell ref="M315:N315"/>
    <mergeCell ref="M316:N316"/>
    <mergeCell ref="M317:N317"/>
    <mergeCell ref="M318:N318"/>
    <mergeCell ref="M319:N319"/>
    <mergeCell ref="M320:N320"/>
    <mergeCell ref="M338:N338"/>
    <mergeCell ref="M339:N339"/>
    <mergeCell ref="M340:N340"/>
    <mergeCell ref="M341:N341"/>
    <mergeCell ref="M342:N342"/>
    <mergeCell ref="M343:N343"/>
    <mergeCell ref="M344:N344"/>
    <mergeCell ref="M345:N345"/>
    <mergeCell ref="M329:N329"/>
    <mergeCell ref="M330:N330"/>
    <mergeCell ref="M331:N331"/>
    <mergeCell ref="M332:N332"/>
    <mergeCell ref="M333:N333"/>
    <mergeCell ref="M334:N334"/>
    <mergeCell ref="M335:N335"/>
    <mergeCell ref="M336:N336"/>
    <mergeCell ref="M337:N337"/>
    <mergeCell ref="M355:N355"/>
    <mergeCell ref="M356:N356"/>
    <mergeCell ref="M357:N357"/>
    <mergeCell ref="M358:N358"/>
    <mergeCell ref="M359:N359"/>
    <mergeCell ref="M360:N360"/>
    <mergeCell ref="M361:N361"/>
    <mergeCell ref="M362:N362"/>
    <mergeCell ref="M346:N346"/>
    <mergeCell ref="M347:N347"/>
    <mergeCell ref="M348:N348"/>
    <mergeCell ref="M349:N349"/>
    <mergeCell ref="M350:N350"/>
    <mergeCell ref="M351:N351"/>
    <mergeCell ref="M352:N352"/>
    <mergeCell ref="M353:N353"/>
    <mergeCell ref="M354:N354"/>
    <mergeCell ref="M372:N372"/>
    <mergeCell ref="M373:N373"/>
    <mergeCell ref="M374:N374"/>
    <mergeCell ref="M375:N375"/>
    <mergeCell ref="M376:N376"/>
    <mergeCell ref="M377:N377"/>
    <mergeCell ref="M378:N378"/>
    <mergeCell ref="M379:N379"/>
    <mergeCell ref="M380:N380"/>
    <mergeCell ref="M363:N363"/>
    <mergeCell ref="M364:N364"/>
    <mergeCell ref="M365:N365"/>
    <mergeCell ref="M366:N366"/>
    <mergeCell ref="M367:N367"/>
    <mergeCell ref="M368:N368"/>
    <mergeCell ref="M369:N369"/>
    <mergeCell ref="M370:N370"/>
    <mergeCell ref="M371:N371"/>
    <mergeCell ref="M171:N171"/>
    <mergeCell ref="M172:N172"/>
    <mergeCell ref="M173:N173"/>
    <mergeCell ref="M174:N174"/>
    <mergeCell ref="M175:N175"/>
    <mergeCell ref="M176:N176"/>
    <mergeCell ref="M177:N177"/>
    <mergeCell ref="M178:N178"/>
    <mergeCell ref="M179:N179"/>
    <mergeCell ref="M271:N271"/>
    <mergeCell ref="M150:N150"/>
    <mergeCell ref="M151:N151"/>
    <mergeCell ref="M152:N152"/>
    <mergeCell ref="M153:N153"/>
    <mergeCell ref="M154:N154"/>
    <mergeCell ref="M155:N155"/>
    <mergeCell ref="M156:N156"/>
    <mergeCell ref="M157:N157"/>
    <mergeCell ref="M158:N158"/>
    <mergeCell ref="M159:N159"/>
    <mergeCell ref="M160:N160"/>
    <mergeCell ref="M161:N161"/>
    <mergeCell ref="M162:N162"/>
    <mergeCell ref="M163:N163"/>
    <mergeCell ref="M164:N164"/>
    <mergeCell ref="M165:N165"/>
    <mergeCell ref="M166:N166"/>
    <mergeCell ref="M167:N167"/>
    <mergeCell ref="M168:N168"/>
    <mergeCell ref="M169:N169"/>
    <mergeCell ref="M170:N170"/>
    <mergeCell ref="M188:N188"/>
    <mergeCell ref="M189:N189"/>
    <mergeCell ref="M190:N190"/>
    <mergeCell ref="M191:N191"/>
    <mergeCell ref="M192:N192"/>
    <mergeCell ref="M193:N193"/>
    <mergeCell ref="M194:N194"/>
    <mergeCell ref="M195:N195"/>
    <mergeCell ref="M196:N196"/>
    <mergeCell ref="M180:N180"/>
    <mergeCell ref="M181:N181"/>
    <mergeCell ref="M182:N182"/>
    <mergeCell ref="M183:N183"/>
    <mergeCell ref="M184:N184"/>
    <mergeCell ref="M185:N185"/>
    <mergeCell ref="M186:N186"/>
    <mergeCell ref="M187:N187"/>
    <mergeCell ref="M205:N205"/>
    <mergeCell ref="M206:N206"/>
    <mergeCell ref="M207:N207"/>
    <mergeCell ref="M208:N208"/>
    <mergeCell ref="M209:N209"/>
    <mergeCell ref="M210:N210"/>
    <mergeCell ref="M211:N211"/>
    <mergeCell ref="M212:N212"/>
    <mergeCell ref="M213:N213"/>
    <mergeCell ref="M197:N197"/>
    <mergeCell ref="M198:N198"/>
    <mergeCell ref="M199:N199"/>
    <mergeCell ref="M200:N200"/>
    <mergeCell ref="M201:N201"/>
    <mergeCell ref="M202:N202"/>
    <mergeCell ref="M203:N203"/>
    <mergeCell ref="M204:N204"/>
    <mergeCell ref="M222:N222"/>
    <mergeCell ref="M223:N223"/>
    <mergeCell ref="M224:N224"/>
    <mergeCell ref="M225:N225"/>
    <mergeCell ref="M226:N226"/>
    <mergeCell ref="M227:N227"/>
    <mergeCell ref="M228:N228"/>
    <mergeCell ref="M229:N229"/>
    <mergeCell ref="M230:N230"/>
    <mergeCell ref="M214:N214"/>
    <mergeCell ref="M215:N215"/>
    <mergeCell ref="M216:N216"/>
    <mergeCell ref="M217:N217"/>
    <mergeCell ref="M218:N218"/>
    <mergeCell ref="M219:N219"/>
    <mergeCell ref="M220:N220"/>
    <mergeCell ref="M221:N221"/>
    <mergeCell ref="M240:N240"/>
    <mergeCell ref="M241:N241"/>
    <mergeCell ref="M242:N242"/>
    <mergeCell ref="M243:N243"/>
    <mergeCell ref="M244:N244"/>
    <mergeCell ref="M245:N245"/>
    <mergeCell ref="M246:N246"/>
    <mergeCell ref="M247:N247"/>
    <mergeCell ref="M231:N231"/>
    <mergeCell ref="M232:N232"/>
    <mergeCell ref="M233:N233"/>
    <mergeCell ref="M234:N234"/>
    <mergeCell ref="M235:N235"/>
    <mergeCell ref="M236:N236"/>
    <mergeCell ref="M237:N237"/>
    <mergeCell ref="M238:N238"/>
    <mergeCell ref="M239:N239"/>
    <mergeCell ref="M257:N257"/>
    <mergeCell ref="M258:N258"/>
    <mergeCell ref="M259:N259"/>
    <mergeCell ref="M29:N29"/>
    <mergeCell ref="M30:N30"/>
    <mergeCell ref="M31:N31"/>
    <mergeCell ref="M32:N32"/>
    <mergeCell ref="M33:N33"/>
    <mergeCell ref="M34:N34"/>
    <mergeCell ref="M35:N35"/>
    <mergeCell ref="M36:N36"/>
    <mergeCell ref="M37:N37"/>
    <mergeCell ref="M38:N38"/>
    <mergeCell ref="M39:N39"/>
    <mergeCell ref="M40:N40"/>
    <mergeCell ref="M41:N41"/>
    <mergeCell ref="M42:N42"/>
    <mergeCell ref="M43:N43"/>
    <mergeCell ref="M44:N44"/>
    <mergeCell ref="M45:N45"/>
    <mergeCell ref="M46:N46"/>
    <mergeCell ref="M47:N47"/>
    <mergeCell ref="M48:N48"/>
    <mergeCell ref="M248:N248"/>
    <mergeCell ref="M249:N249"/>
    <mergeCell ref="M250:N250"/>
    <mergeCell ref="M251:N251"/>
    <mergeCell ref="M252:N252"/>
    <mergeCell ref="M253:N253"/>
    <mergeCell ref="M254:N254"/>
    <mergeCell ref="M255:N255"/>
    <mergeCell ref="M256:N256"/>
    <mergeCell ref="M58:N58"/>
    <mergeCell ref="M59:N59"/>
    <mergeCell ref="M60:N60"/>
    <mergeCell ref="M61:N61"/>
    <mergeCell ref="M62:N62"/>
    <mergeCell ref="M63:N63"/>
    <mergeCell ref="M64:N64"/>
    <mergeCell ref="M65:N65"/>
    <mergeCell ref="M49:N49"/>
    <mergeCell ref="M50:N50"/>
    <mergeCell ref="M51:N51"/>
    <mergeCell ref="M52:N52"/>
    <mergeCell ref="M53:N53"/>
    <mergeCell ref="M54:N54"/>
    <mergeCell ref="M55:N55"/>
    <mergeCell ref="M56:N56"/>
    <mergeCell ref="M57:N57"/>
    <mergeCell ref="M75:N75"/>
    <mergeCell ref="M76:N76"/>
    <mergeCell ref="M77:N77"/>
    <mergeCell ref="M78:N78"/>
    <mergeCell ref="M79:N79"/>
    <mergeCell ref="M80:N80"/>
    <mergeCell ref="M81:N81"/>
    <mergeCell ref="M82:N82"/>
    <mergeCell ref="M66:N66"/>
    <mergeCell ref="M67:N67"/>
    <mergeCell ref="M68:N68"/>
    <mergeCell ref="M69:N69"/>
    <mergeCell ref="M70:N70"/>
    <mergeCell ref="M71:N71"/>
    <mergeCell ref="M72:N72"/>
    <mergeCell ref="M73:N73"/>
    <mergeCell ref="M74:N74"/>
    <mergeCell ref="M92:N92"/>
    <mergeCell ref="M93:N93"/>
    <mergeCell ref="M94:N94"/>
    <mergeCell ref="M95:N95"/>
    <mergeCell ref="M96:N96"/>
    <mergeCell ref="M97:N97"/>
    <mergeCell ref="M98:N98"/>
    <mergeCell ref="M99:N99"/>
    <mergeCell ref="M83:N83"/>
    <mergeCell ref="M84:N84"/>
    <mergeCell ref="M85:N85"/>
    <mergeCell ref="M86:N86"/>
    <mergeCell ref="M87:N87"/>
    <mergeCell ref="M88:N88"/>
    <mergeCell ref="M89:N89"/>
    <mergeCell ref="M90:N90"/>
    <mergeCell ref="M91:N91"/>
    <mergeCell ref="M109:N109"/>
    <mergeCell ref="M110:N110"/>
    <mergeCell ref="M111:N111"/>
    <mergeCell ref="M112:N112"/>
    <mergeCell ref="M113:N113"/>
    <mergeCell ref="M114:N114"/>
    <mergeCell ref="M115:N115"/>
    <mergeCell ref="M116:N116"/>
    <mergeCell ref="M117:N117"/>
    <mergeCell ref="M100:N100"/>
    <mergeCell ref="M101:N101"/>
    <mergeCell ref="M102:N102"/>
    <mergeCell ref="M103:N103"/>
    <mergeCell ref="M104:N104"/>
    <mergeCell ref="M105:N105"/>
    <mergeCell ref="M106:N106"/>
    <mergeCell ref="M107:N107"/>
    <mergeCell ref="M108:N108"/>
    <mergeCell ref="M135:N135"/>
    <mergeCell ref="M136:N136"/>
    <mergeCell ref="M137:N137"/>
    <mergeCell ref="M138:N138"/>
    <mergeCell ref="M126:N126"/>
    <mergeCell ref="M127:N127"/>
    <mergeCell ref="M128:N128"/>
    <mergeCell ref="M129:N129"/>
    <mergeCell ref="M130:N130"/>
    <mergeCell ref="M131:N131"/>
    <mergeCell ref="M132:N132"/>
    <mergeCell ref="M133:N133"/>
    <mergeCell ref="M134:N134"/>
    <mergeCell ref="M118:N118"/>
    <mergeCell ref="M119:N119"/>
    <mergeCell ref="M120:N120"/>
    <mergeCell ref="M121:N121"/>
    <mergeCell ref="M122:N122"/>
    <mergeCell ref="M123:N123"/>
    <mergeCell ref="M124:N124"/>
    <mergeCell ref="M125:N125"/>
  </mergeCells>
  <conditionalFormatting sqref="B17:C17 F17 K17:N17 D19:F19">
    <cfRule type="expression" dxfId="55" priority="178">
      <formula>$G$6="ID+C"</formula>
    </cfRule>
  </conditionalFormatting>
  <conditionalFormatting sqref="B422:K422 B442:K442 B462:K462 B482:K482">
    <cfRule type="expression" dxfId="54" priority="1">
      <formula>AND($B422="", $C422="", $D422="",$F422="", $G422="", $H422="")</formula>
    </cfRule>
  </conditionalFormatting>
  <conditionalFormatting sqref="B59:T59 B79:T79 B99:T99 B119:T119">
    <cfRule type="expression" dxfId="53" priority="5">
      <formula>AND($B59="", $C59="", $D59="", $E59="", $F59="", $G59="", $H59="", $K59="", $L59="")</formula>
    </cfRule>
  </conditionalFormatting>
  <conditionalFormatting sqref="B180:T180 B200:T200 B220:T220 B240:T240">
    <cfRule type="expression" dxfId="52" priority="4">
      <formula>AND($B180="", $C180="", $D180="", $E180="", $F180="", $G180="", $H180="", $K180="", $L180="")</formula>
    </cfRule>
  </conditionalFormatting>
  <conditionalFormatting sqref="B301:T301 B321:T321 B341:T341 B361:T361">
    <cfRule type="expression" dxfId="51" priority="3">
      <formula>AND($B301="", $C301="", $D301="", $E301="", $F301="", $G301="", $H301="", $K301="", $L301="")</formula>
    </cfRule>
  </conditionalFormatting>
  <conditionalFormatting sqref="B543:T543 B563:T563 B583:T583 B603:T603">
    <cfRule type="expression" dxfId="50" priority="2">
      <formula>AND($B543="", $C543="", $D543="", $E543="", $F543="", $G543="", $H543="", $K543="", $L543="")</formula>
    </cfRule>
  </conditionalFormatting>
  <conditionalFormatting sqref="D19:F19">
    <cfRule type="expression" dxfId="49" priority="182">
      <formula>$G$6="ID+C"</formula>
    </cfRule>
  </conditionalFormatting>
  <conditionalFormatting sqref="F787:F806">
    <cfRule type="containsText" dxfId="48" priority="162" operator="containsText" text="Manual Input">
      <formula>NOT(ISERROR(SEARCH("Manual Input",F787)))</formula>
    </cfRule>
  </conditionalFormatting>
  <conditionalFormatting sqref="F808:F817">
    <cfRule type="containsText" dxfId="47" priority="161" operator="containsText" text="Manual Input">
      <formula>NOT(ISERROR(SEARCH("Manual Input",F808)))</formula>
    </cfRule>
  </conditionalFormatting>
  <conditionalFormatting sqref="M12:M20 C13:O13 L14 N14:O14 L15:O17 B17:M17 L18 N18:O18 L19:O20">
    <cfRule type="expression" dxfId="46" priority="90">
      <formula>#REF!&lt;&gt;"Yes"</formula>
    </cfRule>
  </conditionalFormatting>
  <conditionalFormatting sqref="O29:T138 O150:T259 O513:T622 I392:K501 J392:K502 H15 J15 H19 J19 P139:T139 O140:T140 P260:T260 O261:T261 P381:T381 O382:T382 E502:K502 F503:K503 Q623:T623">
    <cfRule type="cellIs" dxfId="45" priority="120" operator="lessThan">
      <formula>0</formula>
    </cfRule>
  </conditionalFormatting>
  <conditionalFormatting sqref="O271:T380">
    <cfRule type="cellIs" dxfId="44" priority="60" operator="lessThan">
      <formula>0</formula>
    </cfRule>
  </conditionalFormatting>
  <conditionalFormatting sqref="O624:T624">
    <cfRule type="cellIs" dxfId="43" priority="24" operator="lessThan">
      <formula>0</formula>
    </cfRule>
  </conditionalFormatting>
  <dataValidations count="11">
    <dataValidation type="list" allowBlank="1" showInputMessage="1" showErrorMessage="1" sqref="D29:D138" xr:uid="{BD048B7A-6508-49B0-BAFD-B67A731CCC99}">
      <formula1>data_wateruseapp</formula1>
    </dataValidation>
    <dataValidation type="list" allowBlank="1" showInputMessage="1" showErrorMessage="1" sqref="G8:H8" xr:uid="{A0FDDB4D-B70A-4879-87A4-A65A1F05B538}">
      <formula1>data_genunits</formula1>
    </dataValidation>
    <dataValidation type="decimal" operator="greaterThanOrEqual" allowBlank="1" showInputMessage="1" showErrorMessage="1" sqref="D19:F19 D15:F15 F29:H138 F392:H501 F150:H259 K150:L259 F271:H380 K29:L138 K271:L380 K513:L622 F513:H622" xr:uid="{95842D75-6C40-44CD-A293-E94201599B9C}">
      <formula1>0</formula1>
    </dataValidation>
    <dataValidation type="list" allowBlank="1" showInputMessage="1" showErrorMessage="1" sqref="G6" xr:uid="{635A7B33-6F47-451B-A67C-6EE90059AE54}">
      <formula1>data_genpt</formula1>
    </dataValidation>
    <dataValidation type="whole" operator="greaterThan" allowBlank="1" showInputMessage="1" showErrorMessage="1" sqref="C392:C501 H382:N382 F140:N140 D623:S623 D139:S139 D381:S381 D260:S260 C29:C139 C150:C260 C271:C381 C513:C623" xr:uid="{C7C78EA1-4541-426F-823D-9938651E2EBB}">
      <formula1>0</formula1>
    </dataValidation>
    <dataValidation type="list" allowBlank="1" showInputMessage="1" showErrorMessage="1" sqref="D150:D259" xr:uid="{2CC7AE58-2F33-4C90-A872-3BDF090685D6}">
      <formula1>data_waterusekitch</formula1>
    </dataValidation>
    <dataValidation type="list" allowBlank="1" showInputMessage="1" showErrorMessage="1" sqref="D271:D380" xr:uid="{BE61D04D-49D1-4A0D-ACE7-D40B6265029B}">
      <formula1>data_wateruselabmed</formula1>
    </dataValidation>
    <dataValidation type="list" allowBlank="1" showInputMessage="1" showErrorMessage="1" sqref="D392:D501" xr:uid="{00061011-B8A4-49B8-A012-937CEE0AA78B}">
      <formula1>data_waterusehvac</formula1>
    </dataValidation>
    <dataValidation type="list" allowBlank="1" showInputMessage="1" showErrorMessage="1" sqref="E15:F15 E19:F19" xr:uid="{206BB4C2-46D9-4069-9779-AF584BA18C35}">
      <formula1>data_genaw</formula1>
    </dataValidation>
    <dataValidation type="list" allowBlank="1" showInputMessage="1" showErrorMessage="1" sqref="I513:J622" xr:uid="{B859E878-720C-4FD6-970D-B0905E86D4B5}">
      <formula1>data_dumipother</formula1>
    </dataValidation>
    <dataValidation operator="greaterThan" allowBlank="1" showInputMessage="1" showErrorMessage="1" sqref="O510:T512 O26:T28 O268:T270 O147:T149 F389:K391 U301:U361" xr:uid="{0A7DB232-DB6B-40F2-A780-EFC0F9B55725}"/>
  </dataValidations>
  <pageMargins left="0.7" right="0.7" top="0.75" bottom="0.75" header="0" footer="0"/>
  <pageSetup orientation="landscape" r:id="rId1"/>
  <drawing r:id="rId2"/>
  <legacy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40E80B-CDD2-4114-82EE-562F6EA9C7E6}">
  <sheetPr>
    <tabColor rgb="FF7F7F7F"/>
  </sheetPr>
  <dimension ref="A1:IB1566"/>
  <sheetViews>
    <sheetView showGridLines="0" zoomScaleNormal="100" workbookViewId="0">
      <selection activeCell="B2" sqref="B2:K2"/>
    </sheetView>
  </sheetViews>
  <sheetFormatPr defaultColWidth="9" defaultRowHeight="15" customHeight="1" outlineLevelRow="2"/>
  <cols>
    <col min="1" max="1" width="4.19921875" style="88" customWidth="1"/>
    <col min="2" max="3" width="9.69921875" style="26" customWidth="1"/>
    <col min="4" max="5" width="18.69921875" style="26" customWidth="1"/>
    <col min="6" max="16" width="9.69921875" style="26" customWidth="1"/>
    <col min="17" max="21" width="9" style="26" customWidth="1"/>
    <col min="22" max="16384" width="9" style="26"/>
  </cols>
  <sheetData>
    <row r="1" spans="1:236" s="1" customFormat="1" ht="19.95" customHeight="1">
      <c r="A1" s="250"/>
      <c r="B1" s="242"/>
      <c r="C1" s="242"/>
      <c r="D1" s="242"/>
      <c r="E1" s="251"/>
      <c r="F1" s="242"/>
      <c r="G1" s="242"/>
      <c r="H1" s="242"/>
      <c r="I1" s="242"/>
      <c r="J1" s="242"/>
      <c r="K1" s="242"/>
      <c r="L1" s="242"/>
      <c r="M1" s="242"/>
      <c r="N1" s="242"/>
      <c r="O1" s="242"/>
      <c r="P1" s="242"/>
      <c r="Q1" s="242"/>
      <c r="R1" s="242"/>
      <c r="S1" s="242"/>
      <c r="T1" s="242"/>
      <c r="U1" s="242"/>
      <c r="V1" s="242"/>
      <c r="W1" s="242"/>
      <c r="X1" s="242"/>
      <c r="Y1" s="242"/>
      <c r="Z1" s="242"/>
      <c r="AA1" s="242"/>
      <c r="AB1" s="242"/>
      <c r="AC1" s="242"/>
      <c r="AD1" s="242"/>
      <c r="AE1" s="242"/>
      <c r="AF1" s="242"/>
      <c r="AG1" s="242"/>
      <c r="AH1" s="242"/>
      <c r="AI1" s="242"/>
      <c r="AJ1" s="242"/>
      <c r="AK1" s="242"/>
      <c r="AL1" s="242"/>
      <c r="AM1" s="242"/>
      <c r="AN1" s="242"/>
      <c r="AO1" s="242"/>
      <c r="AP1" s="242"/>
      <c r="AQ1" s="242"/>
      <c r="AR1" s="242"/>
      <c r="AS1" s="242"/>
      <c r="AT1" s="242"/>
      <c r="AU1" s="242"/>
      <c r="AV1" s="242"/>
      <c r="AW1" s="242"/>
      <c r="AX1" s="242"/>
      <c r="AY1" s="242"/>
      <c r="AZ1" s="242"/>
      <c r="BA1" s="252"/>
      <c r="BB1" s="252"/>
      <c r="BC1" s="252"/>
      <c r="BD1" s="252"/>
      <c r="BE1" s="252"/>
      <c r="BF1" s="252"/>
      <c r="BG1" s="252"/>
      <c r="BH1" s="252"/>
      <c r="BI1" s="252"/>
      <c r="BJ1" s="252"/>
      <c r="BK1" s="252"/>
      <c r="BL1" s="252"/>
      <c r="BM1" s="252"/>
      <c r="BN1" s="252"/>
      <c r="BO1" s="252"/>
      <c r="BP1" s="252"/>
      <c r="BQ1" s="252"/>
      <c r="BR1" s="252"/>
      <c r="BS1" s="252"/>
      <c r="BT1" s="252"/>
      <c r="BU1" s="252"/>
      <c r="BV1" s="252"/>
      <c r="BW1" s="252"/>
      <c r="BX1" s="252"/>
      <c r="BY1" s="252"/>
      <c r="BZ1" s="252"/>
      <c r="CA1" s="252"/>
      <c r="CB1" s="252"/>
      <c r="CC1" s="252"/>
      <c r="CD1" s="252"/>
      <c r="CE1" s="252"/>
      <c r="CF1" s="252"/>
      <c r="CG1" s="252"/>
      <c r="CH1" s="252"/>
      <c r="CI1" s="252"/>
      <c r="CJ1" s="252"/>
      <c r="CK1" s="252"/>
      <c r="CL1" s="252"/>
      <c r="CM1" s="252"/>
      <c r="CN1" s="252"/>
      <c r="CO1" s="252"/>
      <c r="CP1" s="252"/>
      <c r="CQ1" s="252"/>
      <c r="CR1" s="252"/>
      <c r="CS1" s="252"/>
      <c r="CT1" s="252"/>
      <c r="CU1" s="252"/>
      <c r="CV1" s="252"/>
      <c r="CW1" s="252"/>
      <c r="CX1" s="252"/>
      <c r="CY1" s="252"/>
      <c r="CZ1" s="252"/>
      <c r="DA1" s="252"/>
      <c r="DB1" s="252"/>
      <c r="DC1" s="252"/>
      <c r="DD1" s="252"/>
      <c r="DE1" s="252"/>
      <c r="DF1" s="252"/>
      <c r="DG1" s="252"/>
      <c r="DH1" s="252"/>
      <c r="DI1" s="252"/>
      <c r="DJ1" s="252"/>
      <c r="DK1" s="252"/>
      <c r="DL1" s="252"/>
      <c r="DM1" s="252"/>
      <c r="DN1" s="252"/>
      <c r="DO1" s="252"/>
      <c r="DP1" s="252"/>
      <c r="DQ1" s="252"/>
      <c r="DR1" s="252"/>
      <c r="DS1" s="252"/>
      <c r="DT1" s="252"/>
      <c r="DU1" s="252"/>
      <c r="DV1" s="252"/>
      <c r="DW1" s="252"/>
      <c r="DX1" s="252"/>
      <c r="DY1" s="252"/>
      <c r="DZ1" s="252"/>
      <c r="EA1" s="252"/>
      <c r="EB1" s="252"/>
      <c r="EC1" s="252"/>
      <c r="ED1" s="252"/>
      <c r="EE1" s="252"/>
      <c r="EF1" s="252"/>
      <c r="EG1" s="252"/>
      <c r="EH1" s="252"/>
      <c r="EI1" s="252"/>
      <c r="EJ1" s="252"/>
      <c r="EK1" s="252"/>
      <c r="EL1" s="252"/>
      <c r="EM1" s="252"/>
      <c r="EN1" s="252"/>
      <c r="EO1" s="252"/>
      <c r="EP1" s="252"/>
      <c r="EQ1" s="252"/>
      <c r="ER1" s="252"/>
      <c r="ES1" s="252"/>
      <c r="ET1" s="252"/>
      <c r="EU1" s="252"/>
      <c r="EV1" s="252"/>
      <c r="EW1" s="252"/>
      <c r="EX1" s="252"/>
      <c r="EY1" s="252"/>
      <c r="EZ1" s="252"/>
      <c r="FA1" s="252"/>
      <c r="FB1" s="252"/>
      <c r="FC1" s="252"/>
      <c r="FD1" s="252"/>
      <c r="FE1" s="252"/>
      <c r="FF1" s="252"/>
      <c r="FG1" s="252"/>
      <c r="FH1" s="252"/>
      <c r="FI1" s="252"/>
      <c r="FJ1" s="252"/>
      <c r="FK1" s="252"/>
      <c r="FL1" s="252"/>
      <c r="FM1" s="252"/>
      <c r="FN1" s="252"/>
      <c r="FO1" s="252"/>
      <c r="FP1" s="252"/>
      <c r="FQ1" s="252"/>
      <c r="FR1" s="252"/>
      <c r="FS1" s="252"/>
      <c r="FT1" s="252"/>
      <c r="FU1" s="252"/>
      <c r="FV1" s="252"/>
      <c r="FW1" s="252"/>
      <c r="FX1" s="252"/>
      <c r="FY1" s="252"/>
      <c r="FZ1" s="252"/>
      <c r="GA1" s="252"/>
      <c r="GB1" s="252"/>
      <c r="GC1" s="252"/>
      <c r="GD1" s="252"/>
      <c r="GE1" s="252"/>
      <c r="GF1" s="252"/>
      <c r="GG1" s="252"/>
      <c r="GH1" s="252"/>
      <c r="GI1" s="252"/>
      <c r="GJ1" s="252"/>
      <c r="GK1" s="252"/>
      <c r="GL1" s="252"/>
      <c r="GM1" s="252"/>
      <c r="GN1" s="252"/>
      <c r="GO1" s="252"/>
      <c r="GP1" s="252"/>
      <c r="GQ1" s="252"/>
      <c r="GR1" s="252"/>
      <c r="GS1" s="252"/>
      <c r="GT1" s="252"/>
      <c r="GU1" s="252"/>
      <c r="GV1" s="252"/>
      <c r="GW1" s="252"/>
      <c r="GX1" s="252"/>
      <c r="GY1" s="252"/>
      <c r="GZ1" s="252"/>
      <c r="HA1" s="252"/>
      <c r="HB1" s="252"/>
      <c r="HC1" s="252"/>
      <c r="HD1" s="252"/>
      <c r="HE1" s="252"/>
      <c r="HF1" s="252"/>
      <c r="HG1" s="252"/>
      <c r="HH1" s="252"/>
      <c r="HI1" s="252"/>
      <c r="HJ1" s="252"/>
      <c r="HK1" s="252"/>
      <c r="HL1" s="252"/>
      <c r="HM1" s="252"/>
      <c r="HN1" s="252"/>
      <c r="HO1" s="252"/>
      <c r="HP1" s="252"/>
      <c r="HQ1" s="252"/>
      <c r="HR1" s="252"/>
      <c r="HS1" s="252"/>
      <c r="HT1" s="252"/>
      <c r="HU1" s="252"/>
      <c r="HV1" s="252"/>
      <c r="HW1" s="252"/>
      <c r="HX1" s="252"/>
      <c r="HY1" s="252"/>
    </row>
    <row r="2" spans="1:236" ht="94.95" customHeight="1">
      <c r="A2" s="250"/>
      <c r="B2" s="338" t="s">
        <v>381</v>
      </c>
      <c r="C2" s="339"/>
      <c r="D2" s="339"/>
      <c r="E2" s="339"/>
      <c r="F2" s="339"/>
      <c r="G2" s="339"/>
      <c r="H2" s="339"/>
      <c r="I2" s="339"/>
      <c r="J2" s="339"/>
      <c r="K2" s="340"/>
      <c r="L2" s="242"/>
      <c r="M2" s="242"/>
      <c r="N2" s="242"/>
      <c r="O2" s="242"/>
      <c r="P2" s="242"/>
      <c r="Q2" s="242"/>
      <c r="R2" s="242"/>
      <c r="S2" s="242"/>
      <c r="T2" s="241"/>
      <c r="U2" s="241"/>
      <c r="V2" s="241"/>
      <c r="W2" s="241"/>
      <c r="X2" s="241"/>
      <c r="Y2" s="241"/>
      <c r="Z2" s="241"/>
      <c r="AA2" s="241"/>
      <c r="AB2" s="241"/>
      <c r="AC2" s="241"/>
      <c r="AD2" s="241"/>
      <c r="AE2" s="241"/>
      <c r="AF2" s="241"/>
      <c r="AG2" s="241"/>
      <c r="AH2" s="241"/>
      <c r="AI2" s="241"/>
      <c r="AJ2" s="241"/>
      <c r="AK2" s="241"/>
      <c r="AL2" s="241"/>
      <c r="AM2" s="241"/>
      <c r="AN2" s="241"/>
      <c r="AO2" s="241"/>
      <c r="AP2" s="241"/>
      <c r="AQ2" s="241"/>
      <c r="AR2" s="241"/>
      <c r="AS2" s="241"/>
      <c r="AT2" s="241"/>
      <c r="AU2" s="241"/>
      <c r="AV2" s="241"/>
      <c r="AW2" s="241"/>
      <c r="AX2" s="241"/>
      <c r="AY2" s="241"/>
      <c r="AZ2" s="241"/>
      <c r="BA2" s="244"/>
      <c r="BB2" s="244"/>
      <c r="BC2" s="244"/>
      <c r="BD2" s="244"/>
      <c r="BE2" s="244"/>
      <c r="BF2" s="244"/>
      <c r="BG2" s="244"/>
      <c r="BH2" s="244"/>
      <c r="BI2" s="244"/>
      <c r="BJ2" s="244"/>
      <c r="BK2" s="244"/>
      <c r="BL2" s="244"/>
      <c r="BM2" s="244"/>
      <c r="BN2" s="244"/>
      <c r="BO2" s="244"/>
      <c r="BP2" s="244"/>
      <c r="BQ2" s="244"/>
      <c r="BR2" s="244"/>
      <c r="BS2" s="244"/>
      <c r="BT2" s="244"/>
      <c r="BU2" s="244"/>
      <c r="BV2" s="244"/>
      <c r="BW2" s="244"/>
      <c r="BX2" s="244"/>
      <c r="BY2" s="244"/>
      <c r="BZ2" s="244"/>
      <c r="CA2" s="244"/>
      <c r="CB2" s="244"/>
      <c r="CC2" s="244"/>
      <c r="CD2" s="244"/>
      <c r="CE2" s="244"/>
      <c r="CF2" s="244"/>
      <c r="CG2" s="244"/>
      <c r="CH2" s="244"/>
      <c r="CI2" s="244"/>
      <c r="CJ2" s="244"/>
      <c r="CK2" s="244"/>
      <c r="CL2" s="244"/>
      <c r="CM2" s="244"/>
      <c r="CN2" s="244"/>
      <c r="CO2" s="244"/>
      <c r="CP2" s="244"/>
      <c r="CQ2" s="244"/>
      <c r="CR2" s="244"/>
      <c r="CS2" s="244"/>
      <c r="CT2" s="244"/>
      <c r="CU2" s="244"/>
      <c r="CV2" s="244"/>
      <c r="CW2" s="244"/>
      <c r="CX2" s="244"/>
      <c r="CY2" s="244"/>
      <c r="CZ2" s="244"/>
      <c r="DA2" s="244"/>
      <c r="DB2" s="244"/>
      <c r="DC2" s="244"/>
      <c r="DD2" s="244"/>
      <c r="DE2" s="244"/>
      <c r="DF2" s="244"/>
      <c r="DG2" s="244"/>
      <c r="DH2" s="244"/>
      <c r="DI2" s="244"/>
      <c r="DJ2" s="244"/>
      <c r="DK2" s="244"/>
      <c r="DL2" s="244"/>
      <c r="DM2" s="244"/>
      <c r="DN2" s="244"/>
      <c r="DO2" s="244"/>
      <c r="DP2" s="244"/>
      <c r="DQ2" s="244"/>
      <c r="DR2" s="244"/>
      <c r="DS2" s="244"/>
      <c r="DT2" s="244"/>
      <c r="DU2" s="244"/>
      <c r="DV2" s="244"/>
      <c r="DW2" s="244"/>
      <c r="DX2" s="244"/>
      <c r="DY2" s="244"/>
      <c r="DZ2" s="244"/>
      <c r="EA2" s="244"/>
      <c r="EB2" s="244"/>
      <c r="EC2" s="244"/>
      <c r="ED2" s="244"/>
      <c r="EE2" s="244"/>
      <c r="EF2" s="244"/>
      <c r="EG2" s="244"/>
      <c r="EH2" s="244"/>
      <c r="EI2" s="244"/>
      <c r="EJ2" s="244"/>
      <c r="EK2" s="244"/>
      <c r="EL2" s="244"/>
      <c r="EM2" s="244"/>
      <c r="EN2" s="244"/>
      <c r="EO2" s="244"/>
      <c r="EP2" s="244"/>
      <c r="EQ2" s="244"/>
      <c r="ER2" s="244"/>
      <c r="ES2" s="244"/>
      <c r="ET2" s="244"/>
      <c r="EU2" s="244"/>
      <c r="EV2" s="244"/>
      <c r="EW2" s="244"/>
      <c r="EX2" s="244"/>
      <c r="EY2" s="244"/>
      <c r="EZ2" s="244"/>
      <c r="FA2" s="244"/>
      <c r="FB2" s="244"/>
      <c r="FC2" s="244"/>
      <c r="FD2" s="244"/>
      <c r="FE2" s="244"/>
      <c r="FF2" s="244"/>
      <c r="FG2" s="244"/>
      <c r="FH2" s="244"/>
      <c r="FI2" s="244"/>
      <c r="FJ2" s="244"/>
      <c r="FK2" s="244"/>
      <c r="FL2" s="244"/>
      <c r="FM2" s="244"/>
      <c r="FN2" s="244"/>
      <c r="FO2" s="244"/>
      <c r="FP2" s="244"/>
      <c r="FQ2" s="244"/>
      <c r="FR2" s="244"/>
      <c r="FS2" s="244"/>
      <c r="FT2" s="244"/>
      <c r="FU2" s="244"/>
      <c r="FV2" s="244"/>
      <c r="FW2" s="244"/>
      <c r="FX2" s="244"/>
      <c r="FY2" s="244"/>
      <c r="FZ2" s="244"/>
      <c r="GA2" s="244"/>
      <c r="GB2" s="244"/>
      <c r="GC2" s="244"/>
      <c r="GD2" s="244"/>
      <c r="GE2" s="244"/>
      <c r="GF2" s="244"/>
      <c r="GG2" s="244"/>
      <c r="GH2" s="244"/>
      <c r="GI2" s="244"/>
      <c r="GJ2" s="244"/>
      <c r="GK2" s="244"/>
      <c r="GL2" s="244"/>
      <c r="GM2" s="244"/>
      <c r="GN2" s="244"/>
      <c r="GO2" s="244"/>
      <c r="GP2" s="244"/>
      <c r="GQ2" s="244"/>
      <c r="GR2" s="244"/>
      <c r="GS2" s="244"/>
      <c r="GT2" s="244"/>
      <c r="GU2" s="244"/>
      <c r="GV2" s="244"/>
      <c r="GW2" s="244"/>
      <c r="GX2" s="244"/>
      <c r="GY2" s="244"/>
      <c r="GZ2" s="244"/>
      <c r="HA2" s="244"/>
      <c r="HB2" s="244"/>
      <c r="HC2" s="244"/>
      <c r="HD2" s="244"/>
      <c r="HE2" s="244"/>
      <c r="HF2" s="244"/>
      <c r="HG2" s="244"/>
      <c r="HH2" s="244"/>
      <c r="HI2" s="244"/>
      <c r="HJ2" s="244"/>
      <c r="HK2" s="244"/>
      <c r="HL2" s="244"/>
      <c r="HM2" s="244"/>
      <c r="HN2" s="244"/>
      <c r="HO2" s="244"/>
      <c r="HP2" s="244"/>
      <c r="HQ2" s="244"/>
      <c r="HR2" s="244"/>
      <c r="HS2" s="244"/>
      <c r="HT2" s="244"/>
      <c r="HU2" s="244"/>
      <c r="HV2" s="244"/>
      <c r="HW2" s="244"/>
      <c r="HX2" s="244"/>
      <c r="HY2" s="244"/>
      <c r="HZ2" s="244"/>
      <c r="IA2" s="244"/>
      <c r="IB2" s="244"/>
    </row>
    <row r="3" spans="1:236" ht="18" customHeight="1">
      <c r="A3" s="250"/>
      <c r="B3" s="241"/>
      <c r="C3" s="241"/>
      <c r="D3" s="241"/>
      <c r="E3" s="241"/>
      <c r="F3" s="241"/>
      <c r="G3" s="241"/>
      <c r="H3" s="241"/>
      <c r="I3" s="241"/>
      <c r="J3" s="241"/>
      <c r="K3" s="241"/>
      <c r="L3" s="241"/>
      <c r="M3" s="241"/>
      <c r="N3" s="242"/>
      <c r="O3" s="242"/>
      <c r="P3" s="242"/>
      <c r="Q3" s="242"/>
      <c r="R3" s="241"/>
      <c r="S3" s="241"/>
      <c r="T3" s="241"/>
      <c r="U3" s="241"/>
      <c r="V3" s="241"/>
      <c r="W3" s="241"/>
      <c r="X3" s="241"/>
      <c r="Y3" s="241"/>
      <c r="Z3" s="241"/>
      <c r="AA3" s="241"/>
      <c r="AB3" s="241"/>
      <c r="AC3" s="241"/>
      <c r="AD3" s="241"/>
      <c r="AE3" s="241"/>
      <c r="AF3" s="241"/>
      <c r="AG3" s="241"/>
      <c r="AH3" s="241"/>
      <c r="AI3" s="241"/>
      <c r="AJ3" s="241"/>
      <c r="AK3" s="241"/>
      <c r="AL3" s="241"/>
      <c r="AM3" s="241"/>
      <c r="AN3" s="241"/>
      <c r="AO3" s="241"/>
      <c r="AP3" s="241"/>
      <c r="AQ3" s="241"/>
      <c r="AR3" s="241"/>
      <c r="AS3" s="241"/>
      <c r="AT3" s="241"/>
      <c r="AU3" s="241"/>
      <c r="AV3" s="241"/>
      <c r="AW3" s="241"/>
      <c r="AX3" s="241"/>
      <c r="AY3" s="241"/>
      <c r="AZ3" s="241"/>
      <c r="BA3" s="244"/>
      <c r="BB3" s="244"/>
      <c r="BC3" s="244"/>
      <c r="BD3" s="244"/>
      <c r="BE3" s="244"/>
      <c r="BF3" s="244"/>
      <c r="BG3" s="244"/>
      <c r="BH3" s="244"/>
      <c r="BI3" s="244"/>
      <c r="BJ3" s="244"/>
      <c r="BK3" s="244"/>
      <c r="BL3" s="244"/>
      <c r="BM3" s="244"/>
      <c r="BN3" s="244"/>
      <c r="BO3" s="244"/>
      <c r="BP3" s="244"/>
      <c r="BQ3" s="244"/>
      <c r="BR3" s="244"/>
      <c r="BS3" s="244"/>
      <c r="BT3" s="244"/>
      <c r="BU3" s="244"/>
      <c r="BV3" s="244"/>
      <c r="BW3" s="244"/>
      <c r="BX3" s="244"/>
      <c r="BY3" s="244"/>
      <c r="BZ3" s="244"/>
      <c r="CA3" s="244"/>
      <c r="CB3" s="244"/>
      <c r="CC3" s="244"/>
      <c r="CD3" s="244"/>
      <c r="CE3" s="244"/>
      <c r="CF3" s="244"/>
      <c r="CG3" s="244"/>
      <c r="CH3" s="244"/>
      <c r="CI3" s="244"/>
      <c r="CJ3" s="244"/>
      <c r="CK3" s="244"/>
      <c r="CL3" s="244"/>
      <c r="CM3" s="244"/>
      <c r="CN3" s="244"/>
      <c r="CO3" s="244"/>
      <c r="CP3" s="244"/>
      <c r="CQ3" s="244"/>
      <c r="CR3" s="244"/>
      <c r="CS3" s="244"/>
      <c r="CT3" s="244"/>
      <c r="CU3" s="244"/>
      <c r="CV3" s="244"/>
      <c r="CW3" s="244"/>
      <c r="CX3" s="244"/>
      <c r="CY3" s="244"/>
      <c r="CZ3" s="244"/>
      <c r="DA3" s="244"/>
      <c r="DB3" s="244"/>
      <c r="DC3" s="244"/>
      <c r="DD3" s="244"/>
      <c r="DE3" s="244"/>
      <c r="DF3" s="244"/>
      <c r="DG3" s="244"/>
      <c r="DH3" s="244"/>
      <c r="DI3" s="244"/>
      <c r="DJ3" s="244"/>
      <c r="DK3" s="244"/>
      <c r="DL3" s="244"/>
      <c r="DM3" s="244"/>
      <c r="DN3" s="244"/>
      <c r="DO3" s="244"/>
      <c r="DP3" s="244"/>
      <c r="DQ3" s="244"/>
      <c r="DR3" s="244"/>
      <c r="DS3" s="244"/>
      <c r="DT3" s="244"/>
      <c r="DU3" s="244"/>
      <c r="DV3" s="244"/>
      <c r="DW3" s="244"/>
      <c r="DX3" s="244"/>
      <c r="DY3" s="244"/>
      <c r="DZ3" s="244"/>
      <c r="EA3" s="244"/>
      <c r="EB3" s="244"/>
      <c r="EC3" s="244"/>
      <c r="ED3" s="244"/>
      <c r="EE3" s="244"/>
      <c r="EF3" s="244"/>
      <c r="EG3" s="244"/>
      <c r="EH3" s="244"/>
      <c r="EI3" s="244"/>
      <c r="EJ3" s="244"/>
      <c r="EK3" s="244"/>
      <c r="EL3" s="244"/>
      <c r="EM3" s="244"/>
      <c r="EN3" s="244"/>
      <c r="EO3" s="244"/>
      <c r="EP3" s="244"/>
      <c r="EQ3" s="244"/>
      <c r="ER3" s="244"/>
      <c r="ES3" s="244"/>
      <c r="ET3" s="244"/>
      <c r="EU3" s="244"/>
      <c r="EV3" s="244"/>
      <c r="EW3" s="244"/>
      <c r="EX3" s="244"/>
      <c r="EY3" s="244"/>
      <c r="EZ3" s="244"/>
      <c r="FA3" s="244"/>
      <c r="FB3" s="244"/>
      <c r="FC3" s="244"/>
      <c r="FD3" s="244"/>
      <c r="FE3" s="244"/>
      <c r="FF3" s="244"/>
      <c r="FG3" s="244"/>
      <c r="FH3" s="244"/>
      <c r="FI3" s="244"/>
      <c r="FJ3" s="244"/>
      <c r="FK3" s="244"/>
      <c r="FL3" s="244"/>
      <c r="FM3" s="244"/>
      <c r="FN3" s="244"/>
      <c r="FO3" s="244"/>
      <c r="FP3" s="244"/>
      <c r="FQ3" s="244"/>
      <c r="FR3" s="244"/>
      <c r="FS3" s="244"/>
      <c r="FT3" s="244"/>
      <c r="FU3" s="244"/>
      <c r="FV3" s="244"/>
      <c r="FW3" s="244"/>
      <c r="FX3" s="244"/>
      <c r="FY3" s="244"/>
      <c r="FZ3" s="244"/>
      <c r="GA3" s="244"/>
      <c r="GB3" s="244"/>
      <c r="GC3" s="244"/>
      <c r="GD3" s="244"/>
      <c r="GE3" s="244"/>
      <c r="GF3" s="244"/>
      <c r="GG3" s="244"/>
      <c r="GH3" s="244"/>
      <c r="GI3" s="244"/>
      <c r="GJ3" s="244"/>
      <c r="GK3" s="244"/>
      <c r="GL3" s="244"/>
      <c r="GM3" s="244"/>
      <c r="GN3" s="244"/>
      <c r="GO3" s="244"/>
      <c r="GP3" s="244"/>
      <c r="GQ3" s="244"/>
      <c r="GR3" s="244"/>
      <c r="GS3" s="244"/>
      <c r="GT3" s="244"/>
      <c r="GU3" s="244"/>
      <c r="GV3" s="244"/>
      <c r="GW3" s="244"/>
      <c r="GX3" s="244"/>
      <c r="GY3" s="244"/>
      <c r="GZ3" s="244"/>
      <c r="HA3" s="244"/>
      <c r="HB3" s="244"/>
      <c r="HC3" s="244"/>
      <c r="HD3" s="244"/>
      <c r="HE3" s="244"/>
      <c r="HF3" s="244"/>
      <c r="HG3" s="244"/>
      <c r="HH3" s="244"/>
      <c r="HI3" s="244"/>
      <c r="HJ3" s="244"/>
      <c r="HK3" s="244"/>
      <c r="HL3" s="244"/>
      <c r="HM3" s="244"/>
      <c r="HN3" s="244"/>
      <c r="HO3" s="244"/>
      <c r="HP3" s="244"/>
      <c r="HQ3" s="244"/>
      <c r="HR3" s="244"/>
      <c r="HS3" s="244"/>
      <c r="HT3" s="244"/>
      <c r="HU3" s="244"/>
      <c r="HV3" s="244"/>
      <c r="HW3" s="244"/>
      <c r="HX3" s="244"/>
      <c r="HY3" s="244"/>
    </row>
    <row r="4" spans="1:236" ht="18" customHeight="1">
      <c r="A4" s="250"/>
      <c r="B4" s="142" t="s">
        <v>170</v>
      </c>
      <c r="C4" s="156"/>
      <c r="D4" s="143"/>
      <c r="E4" s="143"/>
      <c r="F4" s="143"/>
      <c r="G4" s="143"/>
      <c r="H4" s="143"/>
      <c r="I4" s="143"/>
      <c r="J4" s="143"/>
      <c r="K4" s="144"/>
      <c r="L4" s="242"/>
      <c r="M4" s="242"/>
      <c r="N4" s="242"/>
      <c r="O4" s="242"/>
      <c r="P4" s="242"/>
      <c r="Q4" s="242"/>
      <c r="R4" s="242"/>
      <c r="S4" s="242"/>
      <c r="T4" s="242"/>
      <c r="U4" s="241"/>
      <c r="V4" s="241"/>
      <c r="W4" s="241"/>
      <c r="X4" s="241"/>
      <c r="Y4" s="241"/>
      <c r="Z4" s="241"/>
      <c r="AA4" s="241"/>
      <c r="AB4" s="241"/>
      <c r="AC4" s="241"/>
      <c r="AD4" s="241"/>
      <c r="AE4" s="241"/>
      <c r="AF4" s="241"/>
      <c r="AG4" s="241"/>
      <c r="AH4" s="241"/>
      <c r="AI4" s="241"/>
      <c r="AJ4" s="241"/>
      <c r="AK4" s="241"/>
      <c r="AL4" s="241"/>
      <c r="AM4" s="241"/>
      <c r="AN4" s="241"/>
      <c r="AO4" s="241"/>
      <c r="AP4" s="241"/>
      <c r="AQ4" s="241"/>
      <c r="AR4" s="241"/>
      <c r="AS4" s="241"/>
      <c r="AT4" s="241"/>
      <c r="AU4" s="241"/>
      <c r="AV4" s="241"/>
      <c r="AW4" s="241"/>
      <c r="AX4" s="241"/>
      <c r="AY4" s="241"/>
      <c r="AZ4" s="241"/>
      <c r="BA4" s="244"/>
      <c r="BB4" s="244"/>
      <c r="BC4" s="244"/>
      <c r="BD4" s="244"/>
      <c r="BE4" s="244"/>
      <c r="BF4" s="244"/>
      <c r="BG4" s="244"/>
      <c r="BH4" s="244"/>
      <c r="BI4" s="244"/>
      <c r="BJ4" s="244"/>
      <c r="BK4" s="244"/>
      <c r="BL4" s="244"/>
      <c r="BM4" s="244"/>
      <c r="BN4" s="244"/>
      <c r="BO4" s="244"/>
      <c r="BP4" s="244"/>
      <c r="BQ4" s="244"/>
      <c r="BR4" s="244"/>
      <c r="BS4" s="244"/>
      <c r="BT4" s="244"/>
      <c r="BU4" s="244"/>
      <c r="BV4" s="244"/>
      <c r="BW4" s="244"/>
      <c r="BX4" s="244"/>
      <c r="BY4" s="244"/>
      <c r="BZ4" s="244"/>
      <c r="CA4" s="244"/>
      <c r="CB4" s="244"/>
      <c r="CC4" s="244"/>
      <c r="CD4" s="244"/>
      <c r="CE4" s="244"/>
      <c r="CF4" s="244"/>
      <c r="CG4" s="244"/>
      <c r="CH4" s="244"/>
      <c r="CI4" s="244"/>
      <c r="CJ4" s="244"/>
      <c r="CK4" s="244"/>
      <c r="CL4" s="244"/>
      <c r="CM4" s="244"/>
      <c r="CN4" s="244"/>
      <c r="CO4" s="244"/>
      <c r="CP4" s="244"/>
      <c r="CQ4" s="244"/>
      <c r="CR4" s="244"/>
      <c r="CS4" s="244"/>
      <c r="CT4" s="244"/>
      <c r="CU4" s="244"/>
      <c r="CV4" s="244"/>
      <c r="CW4" s="244"/>
      <c r="CX4" s="244"/>
      <c r="CY4" s="244"/>
      <c r="CZ4" s="244"/>
      <c r="DA4" s="244"/>
      <c r="DB4" s="244"/>
      <c r="DC4" s="244"/>
      <c r="DD4" s="244"/>
      <c r="DE4" s="244"/>
      <c r="DF4" s="244"/>
      <c r="DG4" s="244"/>
      <c r="DH4" s="244"/>
      <c r="DI4" s="244"/>
      <c r="DJ4" s="244"/>
      <c r="DK4" s="244"/>
      <c r="DL4" s="244"/>
      <c r="DM4" s="244"/>
      <c r="DN4" s="244"/>
      <c r="DO4" s="244"/>
      <c r="DP4" s="244"/>
      <c r="DQ4" s="244"/>
      <c r="DR4" s="244"/>
      <c r="DS4" s="244"/>
      <c r="DT4" s="244"/>
      <c r="DU4" s="244"/>
      <c r="DV4" s="244"/>
      <c r="DW4" s="244"/>
      <c r="DX4" s="244"/>
      <c r="DY4" s="244"/>
      <c r="DZ4" s="244"/>
      <c r="EA4" s="244"/>
      <c r="EB4" s="244"/>
      <c r="EC4" s="244"/>
      <c r="ED4" s="244"/>
      <c r="EE4" s="244"/>
      <c r="EF4" s="244"/>
      <c r="EG4" s="244"/>
      <c r="EH4" s="244"/>
      <c r="EI4" s="244"/>
      <c r="EJ4" s="244"/>
      <c r="EK4" s="244"/>
      <c r="EL4" s="244"/>
      <c r="EM4" s="244"/>
      <c r="EN4" s="244"/>
      <c r="EO4" s="244"/>
      <c r="EP4" s="244"/>
      <c r="EQ4" s="244"/>
      <c r="ER4" s="244"/>
      <c r="ES4" s="244"/>
      <c r="ET4" s="244"/>
      <c r="EU4" s="244"/>
      <c r="EV4" s="244"/>
      <c r="EW4" s="244"/>
      <c r="EX4" s="244"/>
      <c r="EY4" s="244"/>
      <c r="EZ4" s="244"/>
      <c r="FA4" s="244"/>
      <c r="FB4" s="244"/>
      <c r="FC4" s="244"/>
      <c r="FD4" s="244"/>
      <c r="FE4" s="244"/>
      <c r="FF4" s="244"/>
      <c r="FG4" s="244"/>
      <c r="FH4" s="244"/>
      <c r="FI4" s="244"/>
      <c r="FJ4" s="244"/>
      <c r="FK4" s="244"/>
      <c r="FL4" s="244"/>
      <c r="FM4" s="244"/>
      <c r="FN4" s="244"/>
      <c r="FO4" s="244"/>
      <c r="FP4" s="244"/>
      <c r="FQ4" s="244"/>
      <c r="FR4" s="244"/>
      <c r="FS4" s="244"/>
      <c r="FT4" s="244"/>
      <c r="FU4" s="244"/>
      <c r="FV4" s="244"/>
      <c r="FW4" s="244"/>
      <c r="FX4" s="244"/>
      <c r="FY4" s="244"/>
      <c r="FZ4" s="244"/>
      <c r="GA4" s="244"/>
      <c r="GB4" s="244"/>
      <c r="GC4" s="244"/>
      <c r="GD4" s="244"/>
      <c r="GE4" s="244"/>
      <c r="GF4" s="244"/>
      <c r="GG4" s="244"/>
      <c r="GH4" s="244"/>
      <c r="GI4" s="244"/>
      <c r="GJ4" s="244"/>
      <c r="GK4" s="244"/>
      <c r="GL4" s="244"/>
      <c r="GM4" s="244"/>
      <c r="GN4" s="244"/>
      <c r="GO4" s="244"/>
      <c r="GP4" s="244"/>
      <c r="GQ4" s="244"/>
      <c r="GR4" s="244"/>
      <c r="GS4" s="244"/>
      <c r="GT4" s="244"/>
      <c r="GU4" s="244"/>
      <c r="GV4" s="244"/>
      <c r="GW4" s="244"/>
      <c r="GX4" s="244"/>
      <c r="GY4" s="244"/>
      <c r="GZ4" s="244"/>
      <c r="HA4" s="244"/>
      <c r="HB4" s="244"/>
      <c r="HC4" s="244"/>
      <c r="HD4" s="244"/>
      <c r="HE4" s="244"/>
      <c r="HF4" s="244"/>
      <c r="HG4" s="244"/>
      <c r="HH4" s="244"/>
      <c r="HI4" s="244"/>
      <c r="HJ4" s="244"/>
      <c r="HK4" s="244"/>
      <c r="HL4" s="244"/>
      <c r="HM4" s="244"/>
      <c r="HN4" s="244"/>
      <c r="HO4" s="244"/>
      <c r="HP4" s="244"/>
      <c r="HQ4" s="244"/>
      <c r="HR4" s="244"/>
      <c r="HS4" s="244"/>
      <c r="HT4" s="244"/>
      <c r="HU4" s="244"/>
      <c r="HV4" s="244"/>
      <c r="HW4" s="244"/>
      <c r="HX4" s="244"/>
      <c r="HY4" s="244"/>
    </row>
    <row r="5" spans="1:236" ht="18" customHeight="1">
      <c r="A5" s="250"/>
      <c r="B5" s="241"/>
      <c r="C5" s="241"/>
      <c r="D5" s="241"/>
      <c r="E5" s="241"/>
      <c r="F5" s="241"/>
      <c r="G5" s="241"/>
      <c r="H5" s="241"/>
      <c r="I5" s="241"/>
      <c r="J5" s="241"/>
      <c r="K5" s="242"/>
      <c r="L5" s="242"/>
      <c r="M5" s="242"/>
      <c r="N5" s="242"/>
      <c r="O5" s="242"/>
      <c r="P5" s="242"/>
      <c r="Q5" s="241"/>
      <c r="R5" s="241"/>
      <c r="S5" s="241"/>
      <c r="T5" s="241"/>
      <c r="U5" s="241"/>
      <c r="V5" s="241"/>
      <c r="W5" s="241"/>
      <c r="X5" s="241"/>
      <c r="Y5" s="241"/>
      <c r="Z5" s="241"/>
      <c r="AA5" s="241"/>
      <c r="AB5" s="241"/>
      <c r="AC5" s="241"/>
      <c r="AD5" s="241"/>
      <c r="AE5" s="241"/>
      <c r="AF5" s="241"/>
      <c r="AG5" s="241"/>
      <c r="AH5" s="241"/>
      <c r="AI5" s="241"/>
      <c r="AJ5" s="241"/>
      <c r="AK5" s="241"/>
      <c r="AL5" s="241"/>
      <c r="AM5" s="241"/>
      <c r="AN5" s="241"/>
      <c r="AO5" s="241"/>
      <c r="AP5" s="241"/>
      <c r="AQ5" s="241"/>
      <c r="AR5" s="241"/>
      <c r="AS5" s="241"/>
      <c r="AT5" s="241"/>
      <c r="AU5" s="241"/>
      <c r="AV5" s="241"/>
      <c r="AW5" s="241"/>
      <c r="AX5" s="241"/>
      <c r="AY5" s="241"/>
      <c r="AZ5" s="241"/>
      <c r="BA5" s="244"/>
      <c r="BB5" s="244"/>
      <c r="BC5" s="244"/>
      <c r="BD5" s="244"/>
      <c r="BE5" s="244"/>
      <c r="BF5" s="244"/>
      <c r="BG5" s="244"/>
      <c r="BH5" s="244"/>
      <c r="BI5" s="244"/>
      <c r="BJ5" s="244"/>
      <c r="BK5" s="244"/>
      <c r="BL5" s="244"/>
      <c r="BM5" s="244"/>
      <c r="BN5" s="244"/>
      <c r="BO5" s="244"/>
      <c r="BP5" s="244"/>
      <c r="BQ5" s="244"/>
      <c r="BR5" s="244"/>
      <c r="BS5" s="244"/>
      <c r="BT5" s="244"/>
      <c r="BU5" s="244"/>
      <c r="BV5" s="244"/>
      <c r="BW5" s="244"/>
      <c r="BX5" s="244"/>
      <c r="BY5" s="244"/>
      <c r="BZ5" s="244"/>
      <c r="CA5" s="244"/>
      <c r="CB5" s="244"/>
      <c r="CC5" s="244"/>
      <c r="CD5" s="244"/>
      <c r="CE5" s="244"/>
      <c r="CF5" s="244"/>
      <c r="CG5" s="244"/>
      <c r="CH5" s="244"/>
      <c r="CI5" s="244"/>
      <c r="CJ5" s="244"/>
      <c r="CK5" s="244"/>
      <c r="CL5" s="244"/>
      <c r="CM5" s="244"/>
      <c r="CN5" s="244"/>
      <c r="CO5" s="244"/>
      <c r="CP5" s="244"/>
      <c r="CQ5" s="244"/>
      <c r="CR5" s="244"/>
      <c r="CS5" s="244"/>
      <c r="CT5" s="244"/>
      <c r="CU5" s="244"/>
      <c r="CV5" s="244"/>
      <c r="CW5" s="244"/>
      <c r="CX5" s="244"/>
      <c r="CY5" s="244"/>
      <c r="CZ5" s="244"/>
      <c r="DA5" s="244"/>
      <c r="DB5" s="244"/>
      <c r="DC5" s="244"/>
      <c r="DD5" s="244"/>
      <c r="DE5" s="244"/>
      <c r="DF5" s="244"/>
      <c r="DG5" s="244"/>
      <c r="DH5" s="244"/>
      <c r="DI5" s="244"/>
      <c r="DJ5" s="244"/>
      <c r="DK5" s="244"/>
      <c r="DL5" s="244"/>
      <c r="DM5" s="244"/>
      <c r="DN5" s="244"/>
      <c r="DO5" s="244"/>
      <c r="DP5" s="244"/>
      <c r="DQ5" s="244"/>
      <c r="DR5" s="244"/>
      <c r="DS5" s="244"/>
      <c r="DT5" s="244"/>
      <c r="DU5" s="244"/>
      <c r="DV5" s="244"/>
      <c r="DW5" s="244"/>
      <c r="DX5" s="244"/>
      <c r="DY5" s="244"/>
      <c r="DZ5" s="244"/>
      <c r="EA5" s="244"/>
      <c r="EB5" s="244"/>
      <c r="EC5" s="244"/>
      <c r="ED5" s="244"/>
      <c r="EE5" s="244"/>
      <c r="EF5" s="244"/>
      <c r="EG5" s="244"/>
      <c r="EH5" s="244"/>
      <c r="EI5" s="244"/>
      <c r="EJ5" s="244"/>
      <c r="EK5" s="244"/>
      <c r="EL5" s="244"/>
      <c r="EM5" s="244"/>
      <c r="EN5" s="244"/>
      <c r="EO5" s="244"/>
      <c r="EP5" s="244"/>
      <c r="EQ5" s="244"/>
      <c r="ER5" s="244"/>
      <c r="ES5" s="244"/>
      <c r="ET5" s="244"/>
      <c r="EU5" s="244"/>
      <c r="EV5" s="244"/>
      <c r="EW5" s="244"/>
      <c r="EX5" s="244"/>
      <c r="EY5" s="244"/>
      <c r="EZ5" s="244"/>
      <c r="FA5" s="244"/>
      <c r="FB5" s="244"/>
      <c r="FC5" s="244"/>
      <c r="FD5" s="244"/>
      <c r="FE5" s="244"/>
      <c r="FF5" s="244"/>
      <c r="FG5" s="244"/>
      <c r="FH5" s="244"/>
      <c r="FI5" s="244"/>
      <c r="FJ5" s="244"/>
      <c r="FK5" s="244"/>
      <c r="FL5" s="244"/>
      <c r="FM5" s="244"/>
      <c r="FN5" s="244"/>
      <c r="FO5" s="244"/>
      <c r="FP5" s="244"/>
      <c r="FQ5" s="244"/>
      <c r="FR5" s="244"/>
      <c r="FS5" s="244"/>
      <c r="FT5" s="244"/>
      <c r="FU5" s="244"/>
      <c r="FV5" s="244"/>
      <c r="FW5" s="244"/>
      <c r="FX5" s="244"/>
      <c r="FY5" s="244"/>
      <c r="FZ5" s="244"/>
      <c r="GA5" s="244"/>
      <c r="GB5" s="244"/>
      <c r="GC5" s="244"/>
      <c r="GD5" s="244"/>
      <c r="GE5" s="244"/>
      <c r="GF5" s="244"/>
      <c r="GG5" s="244"/>
      <c r="GH5" s="244"/>
      <c r="GI5" s="244"/>
      <c r="GJ5" s="244"/>
      <c r="GK5" s="244"/>
      <c r="GL5" s="244"/>
      <c r="GM5" s="244"/>
      <c r="GN5" s="244"/>
      <c r="GO5" s="244"/>
      <c r="GP5" s="244"/>
      <c r="GQ5" s="244"/>
      <c r="GR5" s="244"/>
      <c r="GS5" s="244"/>
      <c r="GT5" s="244"/>
      <c r="GU5" s="244"/>
      <c r="GV5" s="244"/>
      <c r="GW5" s="244"/>
      <c r="GX5" s="244"/>
      <c r="GY5" s="244"/>
      <c r="GZ5" s="244"/>
      <c r="HA5" s="244"/>
      <c r="HB5" s="244"/>
      <c r="HC5" s="244"/>
      <c r="HD5" s="244"/>
      <c r="HE5" s="244"/>
      <c r="HF5" s="244"/>
      <c r="HG5" s="244"/>
      <c r="HH5" s="244"/>
      <c r="HI5" s="244"/>
      <c r="HJ5" s="244"/>
      <c r="HK5" s="244"/>
      <c r="HL5" s="244"/>
      <c r="HM5" s="244"/>
      <c r="HN5" s="244"/>
      <c r="HO5" s="244"/>
      <c r="HP5" s="244"/>
      <c r="HQ5" s="244"/>
      <c r="HR5" s="244"/>
      <c r="HS5" s="244"/>
      <c r="HT5" s="244"/>
      <c r="HU5" s="244"/>
      <c r="HV5" s="244"/>
      <c r="HW5" s="244"/>
      <c r="HX5" s="244"/>
      <c r="HY5" s="244"/>
    </row>
    <row r="6" spans="1:236" ht="18" customHeight="1">
      <c r="A6" s="250"/>
      <c r="B6" s="180" t="s">
        <v>147</v>
      </c>
      <c r="C6" s="185"/>
      <c r="D6" s="177"/>
      <c r="E6" s="178"/>
      <c r="F6" s="178"/>
      <c r="G6" s="394" t="str">
        <f>IF(inputs_prjtyp&lt;&gt;"",inputs_prjtyp,"")</f>
        <v/>
      </c>
      <c r="H6" s="395"/>
      <c r="I6" s="395"/>
      <c r="J6" s="395"/>
      <c r="K6" s="396"/>
      <c r="L6" s="242"/>
      <c r="M6" s="242"/>
      <c r="N6" s="242"/>
      <c r="O6" s="242"/>
      <c r="P6" s="241"/>
      <c r="Q6" s="241"/>
      <c r="R6" s="241"/>
      <c r="S6" s="241"/>
      <c r="T6" s="241"/>
      <c r="U6" s="241"/>
      <c r="V6" s="241"/>
      <c r="W6" s="241"/>
      <c r="X6" s="241"/>
      <c r="Y6" s="241"/>
      <c r="Z6" s="241"/>
      <c r="AA6" s="241"/>
      <c r="AB6" s="241"/>
      <c r="AC6" s="241"/>
      <c r="AD6" s="241"/>
      <c r="AE6" s="241"/>
      <c r="AF6" s="241"/>
      <c r="AG6" s="241"/>
      <c r="AH6" s="241"/>
      <c r="AI6" s="241"/>
      <c r="AJ6" s="241"/>
      <c r="AK6" s="241"/>
      <c r="AL6" s="241"/>
      <c r="AM6" s="241"/>
      <c r="AN6" s="241"/>
      <c r="AO6" s="241"/>
      <c r="AP6" s="241"/>
      <c r="AQ6" s="241"/>
      <c r="AR6" s="241"/>
      <c r="AS6" s="241"/>
      <c r="AT6" s="241"/>
      <c r="AU6" s="241"/>
      <c r="AV6" s="241"/>
      <c r="AW6" s="241"/>
      <c r="AX6" s="241"/>
      <c r="AY6" s="241"/>
      <c r="AZ6" s="241"/>
      <c r="BA6" s="244"/>
      <c r="BB6" s="244"/>
      <c r="BC6" s="244"/>
      <c r="BD6" s="244"/>
      <c r="BE6" s="244"/>
      <c r="BF6" s="244"/>
      <c r="BG6" s="244"/>
      <c r="BH6" s="244"/>
      <c r="BI6" s="244"/>
      <c r="BJ6" s="244"/>
      <c r="BK6" s="244"/>
      <c r="BL6" s="244"/>
      <c r="BM6" s="244"/>
      <c r="BN6" s="244"/>
      <c r="BO6" s="244"/>
      <c r="BP6" s="244"/>
      <c r="BQ6" s="244"/>
      <c r="BR6" s="244"/>
      <c r="BS6" s="244"/>
      <c r="BT6" s="244"/>
      <c r="BU6" s="244"/>
      <c r="BV6" s="244"/>
      <c r="BW6" s="244"/>
      <c r="BX6" s="244"/>
      <c r="BY6" s="244"/>
      <c r="BZ6" s="244"/>
      <c r="CA6" s="244"/>
      <c r="CB6" s="244"/>
      <c r="CC6" s="244"/>
      <c r="CD6" s="244"/>
      <c r="CE6" s="244"/>
      <c r="CF6" s="244"/>
      <c r="CG6" s="244"/>
      <c r="CH6" s="244"/>
      <c r="CI6" s="244"/>
      <c r="CJ6" s="244"/>
      <c r="CK6" s="244"/>
      <c r="CL6" s="244"/>
      <c r="CM6" s="244"/>
      <c r="CN6" s="244"/>
      <c r="CO6" s="244"/>
      <c r="CP6" s="244"/>
      <c r="CQ6" s="244"/>
      <c r="CR6" s="244"/>
      <c r="CS6" s="244"/>
      <c r="CT6" s="244"/>
      <c r="CU6" s="244"/>
      <c r="CV6" s="244"/>
      <c r="CW6" s="244"/>
      <c r="CX6" s="244"/>
      <c r="CY6" s="244"/>
      <c r="CZ6" s="244"/>
      <c r="DA6" s="244"/>
      <c r="DB6" s="244"/>
      <c r="DC6" s="244"/>
      <c r="DD6" s="244"/>
      <c r="DE6" s="244"/>
      <c r="DF6" s="244"/>
      <c r="DG6" s="244"/>
      <c r="DH6" s="244"/>
      <c r="DI6" s="244"/>
      <c r="DJ6" s="244"/>
      <c r="DK6" s="244"/>
      <c r="DL6" s="244"/>
      <c r="DM6" s="244"/>
      <c r="DN6" s="244"/>
      <c r="DO6" s="244"/>
      <c r="DP6" s="244"/>
      <c r="DQ6" s="244"/>
      <c r="DR6" s="244"/>
      <c r="DS6" s="244"/>
      <c r="DT6" s="244"/>
      <c r="DU6" s="244"/>
      <c r="DV6" s="244"/>
      <c r="DW6" s="244"/>
      <c r="DX6" s="244"/>
      <c r="DY6" s="244"/>
      <c r="DZ6" s="244"/>
      <c r="EA6" s="244"/>
      <c r="EB6" s="244"/>
      <c r="EC6" s="244"/>
      <c r="ED6" s="244"/>
      <c r="EE6" s="244"/>
      <c r="EF6" s="244"/>
      <c r="EG6" s="244"/>
      <c r="EH6" s="244"/>
      <c r="EI6" s="244"/>
      <c r="EJ6" s="244"/>
      <c r="EK6" s="244"/>
      <c r="EL6" s="244"/>
      <c r="EM6" s="244"/>
      <c r="EN6" s="244"/>
      <c r="EO6" s="244"/>
      <c r="EP6" s="244"/>
      <c r="EQ6" s="244"/>
      <c r="ER6" s="244"/>
      <c r="ES6" s="244"/>
      <c r="ET6" s="244"/>
      <c r="EU6" s="244"/>
      <c r="EV6" s="244"/>
      <c r="EW6" s="244"/>
      <c r="EX6" s="244"/>
      <c r="EY6" s="244"/>
      <c r="EZ6" s="244"/>
      <c r="FA6" s="244"/>
      <c r="FB6" s="244"/>
      <c r="FC6" s="244"/>
      <c r="FD6" s="244"/>
      <c r="FE6" s="244"/>
      <c r="FF6" s="244"/>
      <c r="FG6" s="244"/>
      <c r="FH6" s="244"/>
      <c r="FI6" s="244"/>
      <c r="FJ6" s="244"/>
      <c r="FK6" s="244"/>
      <c r="FL6" s="244"/>
      <c r="FM6" s="244"/>
      <c r="FN6" s="244"/>
      <c r="FO6" s="244"/>
      <c r="FP6" s="244"/>
      <c r="FQ6" s="244"/>
      <c r="FR6" s="244"/>
      <c r="FS6" s="244"/>
      <c r="FT6" s="244"/>
      <c r="FU6" s="244"/>
      <c r="FV6" s="244"/>
      <c r="FW6" s="244"/>
      <c r="FX6" s="244"/>
      <c r="FY6" s="244"/>
      <c r="FZ6" s="244"/>
      <c r="GA6" s="244"/>
      <c r="GB6" s="244"/>
      <c r="GC6" s="244"/>
      <c r="GD6" s="244"/>
      <c r="GE6" s="244"/>
      <c r="GF6" s="244"/>
      <c r="GG6" s="244"/>
      <c r="GH6" s="244"/>
      <c r="GI6" s="244"/>
      <c r="GJ6" s="244"/>
      <c r="GK6" s="244"/>
      <c r="GL6" s="244"/>
      <c r="GM6" s="244"/>
      <c r="GN6" s="244"/>
      <c r="GO6" s="244"/>
      <c r="GP6" s="244"/>
      <c r="GQ6" s="244"/>
      <c r="GR6" s="244"/>
      <c r="GS6" s="244"/>
      <c r="GT6" s="244"/>
      <c r="GU6" s="244"/>
      <c r="GV6" s="244"/>
      <c r="GW6" s="244"/>
      <c r="GX6" s="244"/>
      <c r="GY6" s="244"/>
      <c r="GZ6" s="244"/>
      <c r="HA6" s="244"/>
      <c r="HB6" s="244"/>
      <c r="HC6" s="244"/>
      <c r="HD6" s="244"/>
      <c r="HE6" s="244"/>
      <c r="HF6" s="244"/>
      <c r="HG6" s="244"/>
      <c r="HH6" s="244"/>
      <c r="HI6" s="244"/>
      <c r="HJ6" s="244"/>
      <c r="HK6" s="244"/>
      <c r="HL6" s="244"/>
      <c r="HM6" s="244"/>
      <c r="HN6" s="244"/>
      <c r="HO6" s="244"/>
      <c r="HP6" s="244"/>
      <c r="HQ6" s="244"/>
      <c r="HR6" s="244"/>
      <c r="HS6" s="244"/>
      <c r="HT6" s="244"/>
      <c r="HU6" s="244"/>
      <c r="HV6" s="244"/>
      <c r="HW6" s="244"/>
      <c r="HX6" s="244"/>
      <c r="HY6" s="244"/>
    </row>
    <row r="7" spans="1:236" ht="18" customHeight="1">
      <c r="A7" s="250"/>
      <c r="B7" s="181"/>
      <c r="C7" s="181"/>
      <c r="D7" s="241"/>
      <c r="E7" s="241"/>
      <c r="F7" s="241"/>
      <c r="G7" s="241"/>
      <c r="H7" s="241"/>
      <c r="I7" s="242"/>
      <c r="J7" s="242"/>
      <c r="K7" s="242"/>
      <c r="L7" s="242"/>
      <c r="M7" s="242"/>
      <c r="N7" s="242"/>
      <c r="O7" s="242"/>
      <c r="P7" s="241"/>
      <c r="Q7" s="241"/>
      <c r="R7" s="241"/>
      <c r="S7" s="241"/>
      <c r="T7" s="241"/>
      <c r="U7" s="241"/>
      <c r="V7" s="241"/>
      <c r="W7" s="241"/>
      <c r="X7" s="241"/>
      <c r="Y7" s="241"/>
      <c r="Z7" s="241"/>
      <c r="AA7" s="241"/>
      <c r="AB7" s="241"/>
      <c r="AC7" s="241"/>
      <c r="AD7" s="241"/>
      <c r="AE7" s="241"/>
      <c r="AF7" s="241"/>
      <c r="AG7" s="241"/>
      <c r="AH7" s="241"/>
      <c r="AI7" s="241"/>
      <c r="AJ7" s="241"/>
      <c r="AK7" s="241"/>
      <c r="AL7" s="241"/>
      <c r="AM7" s="241"/>
      <c r="AN7" s="241"/>
      <c r="AO7" s="241"/>
      <c r="AP7" s="241"/>
      <c r="AQ7" s="241"/>
      <c r="AR7" s="241"/>
      <c r="AS7" s="241"/>
      <c r="AT7" s="241"/>
      <c r="AU7" s="241"/>
      <c r="AV7" s="241"/>
      <c r="AW7" s="241"/>
      <c r="AX7" s="241"/>
      <c r="AY7" s="241"/>
      <c r="AZ7" s="241"/>
      <c r="BA7" s="244"/>
      <c r="BB7" s="244"/>
      <c r="BC7" s="244"/>
      <c r="BD7" s="244"/>
      <c r="BE7" s="244"/>
      <c r="BF7" s="244"/>
      <c r="BG7" s="244"/>
      <c r="BH7" s="244"/>
      <c r="BI7" s="244"/>
      <c r="BJ7" s="244"/>
      <c r="BK7" s="244"/>
      <c r="BL7" s="244"/>
      <c r="BM7" s="244"/>
      <c r="BN7" s="244"/>
      <c r="BO7" s="244"/>
      <c r="BP7" s="244"/>
      <c r="BQ7" s="244"/>
      <c r="BR7" s="244"/>
      <c r="BS7" s="244"/>
      <c r="BT7" s="244"/>
      <c r="BU7" s="244"/>
      <c r="BV7" s="244"/>
      <c r="BW7" s="244"/>
      <c r="BX7" s="244"/>
      <c r="BY7" s="244"/>
      <c r="BZ7" s="244"/>
      <c r="CA7" s="244"/>
      <c r="CB7" s="244"/>
      <c r="CC7" s="244"/>
      <c r="CD7" s="244"/>
      <c r="CE7" s="244"/>
      <c r="CF7" s="244"/>
      <c r="CG7" s="244"/>
      <c r="CH7" s="244"/>
      <c r="CI7" s="244"/>
      <c r="CJ7" s="244"/>
      <c r="CK7" s="244"/>
      <c r="CL7" s="244"/>
      <c r="CM7" s="244"/>
      <c r="CN7" s="244"/>
      <c r="CO7" s="244"/>
      <c r="CP7" s="244"/>
      <c r="CQ7" s="244"/>
      <c r="CR7" s="244"/>
      <c r="CS7" s="244"/>
      <c r="CT7" s="244"/>
      <c r="CU7" s="244"/>
      <c r="CV7" s="244"/>
      <c r="CW7" s="244"/>
      <c r="CX7" s="244"/>
      <c r="CY7" s="244"/>
      <c r="CZ7" s="244"/>
      <c r="DA7" s="244"/>
      <c r="DB7" s="244"/>
      <c r="DC7" s="244"/>
      <c r="DD7" s="244"/>
      <c r="DE7" s="244"/>
      <c r="DF7" s="244"/>
      <c r="DG7" s="244"/>
      <c r="DH7" s="244"/>
      <c r="DI7" s="244"/>
      <c r="DJ7" s="244"/>
      <c r="DK7" s="244"/>
      <c r="DL7" s="244"/>
      <c r="DM7" s="244"/>
      <c r="DN7" s="244"/>
      <c r="DO7" s="244"/>
      <c r="DP7" s="244"/>
      <c r="DQ7" s="244"/>
      <c r="DR7" s="244"/>
      <c r="DS7" s="244"/>
      <c r="DT7" s="244"/>
      <c r="DU7" s="244"/>
      <c r="DV7" s="244"/>
      <c r="DW7" s="244"/>
      <c r="DX7" s="244"/>
      <c r="DY7" s="244"/>
      <c r="DZ7" s="244"/>
      <c r="EA7" s="244"/>
      <c r="EB7" s="244"/>
      <c r="EC7" s="244"/>
      <c r="ED7" s="244"/>
      <c r="EE7" s="244"/>
      <c r="EF7" s="244"/>
      <c r="EG7" s="244"/>
      <c r="EH7" s="244"/>
      <c r="EI7" s="244"/>
      <c r="EJ7" s="244"/>
      <c r="EK7" s="244"/>
      <c r="EL7" s="244"/>
      <c r="EM7" s="244"/>
      <c r="EN7" s="244"/>
      <c r="EO7" s="244"/>
      <c r="EP7" s="244"/>
      <c r="EQ7" s="244"/>
      <c r="ER7" s="244"/>
      <c r="ES7" s="244"/>
      <c r="ET7" s="244"/>
      <c r="EU7" s="244"/>
      <c r="EV7" s="244"/>
      <c r="EW7" s="244"/>
      <c r="EX7" s="244"/>
      <c r="EY7" s="244"/>
      <c r="EZ7" s="244"/>
      <c r="FA7" s="244"/>
      <c r="FB7" s="244"/>
      <c r="FC7" s="244"/>
      <c r="FD7" s="244"/>
      <c r="FE7" s="244"/>
      <c r="FF7" s="244"/>
      <c r="FG7" s="244"/>
      <c r="FH7" s="244"/>
      <c r="FI7" s="244"/>
      <c r="FJ7" s="244"/>
      <c r="FK7" s="244"/>
      <c r="FL7" s="244"/>
      <c r="FM7" s="244"/>
      <c r="FN7" s="244"/>
      <c r="FO7" s="244"/>
      <c r="FP7" s="244"/>
      <c r="FQ7" s="244"/>
      <c r="FR7" s="244"/>
      <c r="FS7" s="244"/>
      <c r="FT7" s="244"/>
      <c r="FU7" s="244"/>
      <c r="FV7" s="244"/>
      <c r="FW7" s="244"/>
      <c r="FX7" s="244"/>
      <c r="FY7" s="244"/>
      <c r="FZ7" s="244"/>
      <c r="GA7" s="244"/>
      <c r="GB7" s="244"/>
      <c r="GC7" s="244"/>
      <c r="GD7" s="244"/>
      <c r="GE7" s="244"/>
      <c r="GF7" s="244"/>
      <c r="GG7" s="244"/>
      <c r="GH7" s="244"/>
      <c r="GI7" s="244"/>
      <c r="GJ7" s="244"/>
      <c r="GK7" s="244"/>
      <c r="GL7" s="244"/>
      <c r="GM7" s="244"/>
      <c r="GN7" s="244"/>
      <c r="GO7" s="244"/>
      <c r="GP7" s="244"/>
      <c r="GQ7" s="244"/>
      <c r="GR7" s="244"/>
      <c r="GS7" s="244"/>
      <c r="GT7" s="244"/>
      <c r="GU7" s="244"/>
      <c r="GV7" s="244"/>
      <c r="GW7" s="244"/>
      <c r="GX7" s="244"/>
      <c r="GY7" s="244"/>
      <c r="GZ7" s="244"/>
      <c r="HA7" s="244"/>
      <c r="HB7" s="244"/>
      <c r="HC7" s="244"/>
      <c r="HD7" s="244"/>
      <c r="HE7" s="244"/>
      <c r="HF7" s="244"/>
      <c r="HG7" s="244"/>
      <c r="HH7" s="244"/>
      <c r="HI7" s="244"/>
      <c r="HJ7" s="244"/>
      <c r="HK7" s="244"/>
      <c r="HL7" s="244"/>
      <c r="HM7" s="244"/>
      <c r="HN7" s="244"/>
      <c r="HO7" s="244"/>
      <c r="HP7" s="244"/>
      <c r="HQ7" s="244"/>
      <c r="HR7" s="244"/>
      <c r="HS7" s="244"/>
      <c r="HT7" s="244"/>
      <c r="HU7" s="244"/>
      <c r="HV7" s="244"/>
      <c r="HW7" s="244"/>
      <c r="HX7" s="244"/>
      <c r="HY7" s="244"/>
    </row>
    <row r="8" spans="1:236" ht="18" customHeight="1">
      <c r="A8" s="250"/>
      <c r="B8" s="180" t="s">
        <v>149</v>
      </c>
      <c r="C8" s="185"/>
      <c r="D8" s="179"/>
      <c r="E8" s="178"/>
      <c r="F8" s="178"/>
      <c r="G8" s="394" t="str">
        <f>IF(inputs_units&lt;&gt;"",inputs_units,"")</f>
        <v/>
      </c>
      <c r="H8" s="395"/>
      <c r="I8" s="395"/>
      <c r="J8" s="395"/>
      <c r="K8" s="396"/>
      <c r="L8" s="242"/>
      <c r="M8" s="242"/>
      <c r="N8" s="242"/>
      <c r="O8" s="242"/>
      <c r="P8" s="241"/>
      <c r="Q8" s="241"/>
      <c r="R8" s="241"/>
      <c r="S8" s="241"/>
      <c r="T8" s="241"/>
      <c r="U8" s="241"/>
      <c r="V8" s="241"/>
      <c r="W8" s="241"/>
      <c r="X8" s="241"/>
      <c r="Y8" s="241"/>
      <c r="Z8" s="241"/>
      <c r="AA8" s="241"/>
      <c r="AB8" s="241"/>
      <c r="AC8" s="241"/>
      <c r="AD8" s="241"/>
      <c r="AE8" s="241"/>
      <c r="AF8" s="241"/>
      <c r="AG8" s="241"/>
      <c r="AH8" s="241"/>
      <c r="AI8" s="241"/>
      <c r="AJ8" s="241"/>
      <c r="AK8" s="241"/>
      <c r="AL8" s="241"/>
      <c r="AM8" s="241"/>
      <c r="AN8" s="241"/>
      <c r="AO8" s="241"/>
      <c r="AP8" s="241"/>
      <c r="AQ8" s="241"/>
      <c r="AR8" s="241"/>
      <c r="AS8" s="241"/>
      <c r="AT8" s="241"/>
      <c r="AU8" s="241"/>
      <c r="AV8" s="241"/>
      <c r="AW8" s="241"/>
      <c r="AX8" s="241"/>
      <c r="AY8" s="241"/>
      <c r="AZ8" s="241"/>
      <c r="BA8" s="244"/>
      <c r="BB8" s="244"/>
      <c r="BC8" s="244"/>
      <c r="BD8" s="244"/>
      <c r="BE8" s="244"/>
      <c r="BF8" s="244"/>
      <c r="BG8" s="244"/>
      <c r="BH8" s="244"/>
      <c r="BI8" s="244"/>
      <c r="BJ8" s="244"/>
      <c r="BK8" s="244"/>
      <c r="BL8" s="244"/>
      <c r="BM8" s="244"/>
      <c r="BN8" s="244"/>
      <c r="BO8" s="244"/>
      <c r="BP8" s="244"/>
      <c r="BQ8" s="244"/>
      <c r="BR8" s="244"/>
      <c r="BS8" s="244"/>
      <c r="BT8" s="244"/>
      <c r="BU8" s="244"/>
      <c r="BV8" s="244"/>
      <c r="BW8" s="244"/>
      <c r="BX8" s="244"/>
      <c r="BY8" s="244"/>
      <c r="BZ8" s="244"/>
      <c r="CA8" s="244"/>
      <c r="CB8" s="244"/>
      <c r="CC8" s="244"/>
      <c r="CD8" s="244"/>
      <c r="CE8" s="244"/>
      <c r="CF8" s="244"/>
      <c r="CG8" s="244"/>
      <c r="CH8" s="244"/>
      <c r="CI8" s="244"/>
      <c r="CJ8" s="244"/>
      <c r="CK8" s="244"/>
      <c r="CL8" s="244"/>
      <c r="CM8" s="244"/>
      <c r="CN8" s="244"/>
      <c r="CO8" s="244"/>
      <c r="CP8" s="244"/>
      <c r="CQ8" s="244"/>
      <c r="CR8" s="244"/>
      <c r="CS8" s="244"/>
      <c r="CT8" s="244"/>
      <c r="CU8" s="244"/>
      <c r="CV8" s="244"/>
      <c r="CW8" s="244"/>
      <c r="CX8" s="244"/>
      <c r="CY8" s="244"/>
      <c r="CZ8" s="244"/>
      <c r="DA8" s="244"/>
      <c r="DB8" s="244"/>
      <c r="DC8" s="244"/>
      <c r="DD8" s="244"/>
      <c r="DE8" s="244"/>
      <c r="DF8" s="244"/>
      <c r="DG8" s="244"/>
      <c r="DH8" s="244"/>
      <c r="DI8" s="244"/>
      <c r="DJ8" s="244"/>
      <c r="DK8" s="244"/>
      <c r="DL8" s="244"/>
      <c r="DM8" s="244"/>
      <c r="DN8" s="244"/>
      <c r="DO8" s="244"/>
      <c r="DP8" s="244"/>
      <c r="DQ8" s="244"/>
      <c r="DR8" s="244"/>
      <c r="DS8" s="244"/>
      <c r="DT8" s="244"/>
      <c r="DU8" s="244"/>
      <c r="DV8" s="244"/>
      <c r="DW8" s="244"/>
      <c r="DX8" s="244"/>
      <c r="DY8" s="244"/>
      <c r="DZ8" s="244"/>
      <c r="EA8" s="244"/>
      <c r="EB8" s="244"/>
      <c r="EC8" s="244"/>
      <c r="ED8" s="244"/>
      <c r="EE8" s="244"/>
      <c r="EF8" s="244"/>
      <c r="EG8" s="244"/>
      <c r="EH8" s="244"/>
      <c r="EI8" s="244"/>
      <c r="EJ8" s="244"/>
      <c r="EK8" s="244"/>
      <c r="EL8" s="244"/>
      <c r="EM8" s="244"/>
      <c r="EN8" s="244"/>
      <c r="EO8" s="244"/>
      <c r="EP8" s="244"/>
      <c r="EQ8" s="244"/>
      <c r="ER8" s="244"/>
      <c r="ES8" s="244"/>
      <c r="ET8" s="244"/>
      <c r="EU8" s="244"/>
      <c r="EV8" s="244"/>
      <c r="EW8" s="244"/>
      <c r="EX8" s="244"/>
      <c r="EY8" s="244"/>
      <c r="EZ8" s="244"/>
      <c r="FA8" s="244"/>
      <c r="FB8" s="244"/>
      <c r="FC8" s="244"/>
      <c r="FD8" s="244"/>
      <c r="FE8" s="244"/>
      <c r="FF8" s="244"/>
      <c r="FG8" s="244"/>
      <c r="FH8" s="244"/>
      <c r="FI8" s="244"/>
      <c r="FJ8" s="244"/>
      <c r="FK8" s="244"/>
      <c r="FL8" s="244"/>
      <c r="FM8" s="244"/>
      <c r="FN8" s="244"/>
      <c r="FO8" s="244"/>
      <c r="FP8" s="244"/>
      <c r="FQ8" s="244"/>
      <c r="FR8" s="244"/>
      <c r="FS8" s="244"/>
      <c r="FT8" s="244"/>
      <c r="FU8" s="244"/>
      <c r="FV8" s="244"/>
      <c r="FW8" s="244"/>
      <c r="FX8" s="244"/>
      <c r="FY8" s="244"/>
      <c r="FZ8" s="244"/>
      <c r="GA8" s="244"/>
      <c r="GB8" s="244"/>
      <c r="GC8" s="244"/>
      <c r="GD8" s="244"/>
      <c r="GE8" s="244"/>
      <c r="GF8" s="244"/>
      <c r="GG8" s="244"/>
      <c r="GH8" s="244"/>
      <c r="GI8" s="244"/>
      <c r="GJ8" s="244"/>
      <c r="GK8" s="244"/>
      <c r="GL8" s="244"/>
      <c r="GM8" s="244"/>
      <c r="GN8" s="244"/>
      <c r="GO8" s="244"/>
      <c r="GP8" s="244"/>
      <c r="GQ8" s="244"/>
      <c r="GR8" s="244"/>
      <c r="GS8" s="244"/>
      <c r="GT8" s="244"/>
      <c r="GU8" s="244"/>
      <c r="GV8" s="244"/>
      <c r="GW8" s="244"/>
      <c r="GX8" s="244"/>
      <c r="GY8" s="244"/>
      <c r="GZ8" s="244"/>
      <c r="HA8" s="244"/>
      <c r="HB8" s="244"/>
      <c r="HC8" s="244"/>
      <c r="HD8" s="244"/>
      <c r="HE8" s="244"/>
      <c r="HF8" s="244"/>
      <c r="HG8" s="244"/>
      <c r="HH8" s="244"/>
      <c r="HI8" s="244"/>
      <c r="HJ8" s="244"/>
      <c r="HK8" s="244"/>
      <c r="HL8" s="244"/>
      <c r="HM8" s="244"/>
      <c r="HN8" s="244"/>
      <c r="HO8" s="244"/>
      <c r="HP8" s="244"/>
      <c r="HQ8" s="244"/>
      <c r="HR8" s="244"/>
      <c r="HS8" s="244"/>
      <c r="HT8" s="244"/>
      <c r="HU8" s="244"/>
      <c r="HV8" s="244"/>
      <c r="HW8" s="244"/>
      <c r="HX8" s="244"/>
      <c r="HY8" s="244"/>
    </row>
    <row r="9" spans="1:236" ht="18" customHeight="1">
      <c r="A9" s="250"/>
      <c r="B9" s="181"/>
      <c r="C9" s="181"/>
      <c r="D9" s="241"/>
      <c r="E9" s="241"/>
      <c r="F9" s="241"/>
      <c r="G9" s="241"/>
      <c r="H9" s="241"/>
      <c r="I9" s="242"/>
      <c r="J9" s="242"/>
      <c r="K9" s="242"/>
      <c r="L9" s="242"/>
      <c r="M9" s="242"/>
      <c r="N9" s="242"/>
      <c r="O9" s="242"/>
      <c r="P9" s="241"/>
      <c r="Q9" s="241"/>
      <c r="R9" s="241"/>
      <c r="S9" s="241"/>
      <c r="T9" s="241"/>
      <c r="U9" s="241"/>
      <c r="V9" s="241"/>
      <c r="W9" s="241"/>
      <c r="X9" s="241"/>
      <c r="Y9" s="241"/>
      <c r="Z9" s="241"/>
      <c r="AA9" s="241"/>
      <c r="AB9" s="241"/>
      <c r="AC9" s="241"/>
      <c r="AD9" s="241"/>
      <c r="AE9" s="241"/>
      <c r="AF9" s="241"/>
      <c r="AG9" s="241"/>
      <c r="AH9" s="241"/>
      <c r="AI9" s="241"/>
      <c r="AJ9" s="241"/>
      <c r="AK9" s="241"/>
      <c r="AL9" s="241"/>
      <c r="AM9" s="241"/>
      <c r="AN9" s="241"/>
      <c r="AO9" s="241"/>
      <c r="AP9" s="241"/>
      <c r="AQ9" s="241"/>
      <c r="AR9" s="241"/>
      <c r="AS9" s="241"/>
      <c r="AT9" s="241"/>
      <c r="AU9" s="241"/>
      <c r="AV9" s="241"/>
      <c r="AW9" s="241"/>
      <c r="AX9" s="241"/>
      <c r="AY9" s="241"/>
      <c r="AZ9" s="241"/>
      <c r="BA9" s="244"/>
      <c r="BB9" s="244"/>
      <c r="BC9" s="244"/>
      <c r="BD9" s="244"/>
      <c r="BE9" s="244"/>
      <c r="BF9" s="244"/>
      <c r="BG9" s="244"/>
      <c r="BH9" s="244"/>
      <c r="BI9" s="244"/>
      <c r="BJ9" s="244"/>
      <c r="BK9" s="244"/>
      <c r="BL9" s="244"/>
      <c r="BM9" s="244"/>
      <c r="BN9" s="244"/>
      <c r="BO9" s="244"/>
      <c r="BP9" s="244"/>
      <c r="BQ9" s="244"/>
      <c r="BR9" s="244"/>
      <c r="BS9" s="244"/>
      <c r="BT9" s="244"/>
      <c r="BU9" s="244"/>
      <c r="BV9" s="244"/>
      <c r="BW9" s="244"/>
      <c r="BX9" s="244"/>
      <c r="BY9" s="244"/>
      <c r="BZ9" s="244"/>
      <c r="CA9" s="244"/>
      <c r="CB9" s="244"/>
      <c r="CC9" s="244"/>
      <c r="CD9" s="244"/>
      <c r="CE9" s="244"/>
      <c r="CF9" s="244"/>
      <c r="CG9" s="244"/>
      <c r="CH9" s="244"/>
      <c r="CI9" s="244"/>
      <c r="CJ9" s="244"/>
      <c r="CK9" s="244"/>
      <c r="CL9" s="244"/>
      <c r="CM9" s="244"/>
      <c r="CN9" s="244"/>
      <c r="CO9" s="244"/>
      <c r="CP9" s="244"/>
      <c r="CQ9" s="244"/>
      <c r="CR9" s="244"/>
      <c r="CS9" s="244"/>
      <c r="CT9" s="244"/>
      <c r="CU9" s="244"/>
      <c r="CV9" s="244"/>
      <c r="CW9" s="244"/>
      <c r="CX9" s="244"/>
      <c r="CY9" s="244"/>
      <c r="CZ9" s="244"/>
      <c r="DA9" s="244"/>
      <c r="DB9" s="244"/>
      <c r="DC9" s="244"/>
      <c r="DD9" s="244"/>
      <c r="DE9" s="244"/>
      <c r="DF9" s="244"/>
      <c r="DG9" s="244"/>
      <c r="DH9" s="244"/>
      <c r="DI9" s="244"/>
      <c r="DJ9" s="244"/>
      <c r="DK9" s="244"/>
      <c r="DL9" s="244"/>
      <c r="DM9" s="244"/>
      <c r="DN9" s="244"/>
      <c r="DO9" s="244"/>
      <c r="DP9" s="244"/>
      <c r="DQ9" s="244"/>
      <c r="DR9" s="244"/>
      <c r="DS9" s="244"/>
      <c r="DT9" s="244"/>
      <c r="DU9" s="244"/>
      <c r="DV9" s="244"/>
      <c r="DW9" s="244"/>
      <c r="DX9" s="244"/>
      <c r="DY9" s="244"/>
      <c r="DZ9" s="244"/>
      <c r="EA9" s="244"/>
      <c r="EB9" s="244"/>
      <c r="EC9" s="244"/>
      <c r="ED9" s="244"/>
      <c r="EE9" s="244"/>
      <c r="EF9" s="244"/>
      <c r="EG9" s="244"/>
      <c r="EH9" s="244"/>
      <c r="EI9" s="244"/>
      <c r="EJ9" s="244"/>
      <c r="EK9" s="244"/>
      <c r="EL9" s="244"/>
      <c r="EM9" s="244"/>
      <c r="EN9" s="244"/>
      <c r="EO9" s="244"/>
      <c r="EP9" s="244"/>
      <c r="EQ9" s="244"/>
      <c r="ER9" s="244"/>
      <c r="ES9" s="244"/>
      <c r="ET9" s="244"/>
      <c r="EU9" s="244"/>
      <c r="EV9" s="244"/>
      <c r="EW9" s="244"/>
      <c r="EX9" s="244"/>
      <c r="EY9" s="244"/>
      <c r="EZ9" s="244"/>
      <c r="FA9" s="244"/>
      <c r="FB9" s="244"/>
      <c r="FC9" s="244"/>
      <c r="FD9" s="244"/>
      <c r="FE9" s="244"/>
      <c r="FF9" s="244"/>
      <c r="FG9" s="244"/>
      <c r="FH9" s="244"/>
      <c r="FI9" s="244"/>
      <c r="FJ9" s="244"/>
      <c r="FK9" s="244"/>
      <c r="FL9" s="244"/>
      <c r="FM9" s="244"/>
      <c r="FN9" s="244"/>
      <c r="FO9" s="244"/>
      <c r="FP9" s="244"/>
      <c r="FQ9" s="244"/>
      <c r="FR9" s="244"/>
      <c r="FS9" s="244"/>
      <c r="FT9" s="244"/>
      <c r="FU9" s="244"/>
      <c r="FV9" s="244"/>
      <c r="FW9" s="244"/>
      <c r="FX9" s="244"/>
      <c r="FY9" s="244"/>
      <c r="FZ9" s="244"/>
      <c r="GA9" s="244"/>
      <c r="GB9" s="244"/>
      <c r="GC9" s="244"/>
      <c r="GD9" s="244"/>
      <c r="GE9" s="244"/>
      <c r="GF9" s="244"/>
      <c r="GG9" s="244"/>
      <c r="GH9" s="244"/>
      <c r="GI9" s="244"/>
      <c r="GJ9" s="244"/>
      <c r="GK9" s="244"/>
      <c r="GL9" s="244"/>
      <c r="GM9" s="244"/>
      <c r="GN9" s="244"/>
      <c r="GO9" s="244"/>
      <c r="GP9" s="244"/>
      <c r="GQ9" s="244"/>
      <c r="GR9" s="244"/>
      <c r="GS9" s="244"/>
      <c r="GT9" s="244"/>
      <c r="GU9" s="244"/>
      <c r="GV9" s="244"/>
      <c r="GW9" s="244"/>
      <c r="GX9" s="244"/>
      <c r="GY9" s="244"/>
      <c r="GZ9" s="244"/>
      <c r="HA9" s="244"/>
      <c r="HB9" s="244"/>
      <c r="HC9" s="244"/>
      <c r="HD9" s="244"/>
      <c r="HE9" s="244"/>
      <c r="HF9" s="244"/>
      <c r="HG9" s="244"/>
      <c r="HH9" s="244"/>
      <c r="HI9" s="244"/>
      <c r="HJ9" s="244"/>
      <c r="HK9" s="244"/>
      <c r="HL9" s="244"/>
      <c r="HM9" s="244"/>
      <c r="HN9" s="244"/>
      <c r="HO9" s="244"/>
      <c r="HP9" s="244"/>
      <c r="HQ9" s="244"/>
      <c r="HR9" s="244"/>
      <c r="HS9" s="244"/>
      <c r="HT9" s="244"/>
      <c r="HU9" s="244"/>
      <c r="HV9" s="244"/>
      <c r="HW9" s="244"/>
      <c r="HX9" s="244"/>
      <c r="HY9" s="244"/>
    </row>
    <row r="10" spans="1:236" ht="18" customHeight="1">
      <c r="A10" s="250"/>
      <c r="B10" s="241"/>
      <c r="C10" s="241"/>
      <c r="D10" s="241"/>
      <c r="E10" s="241"/>
      <c r="F10" s="241"/>
      <c r="G10" s="241"/>
      <c r="H10" s="241"/>
      <c r="I10" s="311"/>
      <c r="J10" s="242"/>
      <c r="K10" s="242"/>
      <c r="L10" s="242"/>
      <c r="M10" s="242"/>
      <c r="N10" s="242"/>
      <c r="O10" s="242"/>
      <c r="P10" s="242"/>
      <c r="Q10" s="242"/>
      <c r="R10" s="242"/>
      <c r="S10" s="242"/>
      <c r="T10" s="242"/>
      <c r="U10" s="242"/>
      <c r="V10" s="242"/>
      <c r="W10" s="242"/>
      <c r="X10" s="242"/>
      <c r="Y10" s="242"/>
      <c r="Z10" s="242"/>
      <c r="AA10" s="242"/>
      <c r="AB10" s="242"/>
      <c r="AC10" s="242"/>
      <c r="AD10" s="242"/>
      <c r="AE10" s="242"/>
      <c r="AF10" s="242"/>
      <c r="AG10" s="242"/>
      <c r="AH10" s="242"/>
      <c r="AI10" s="242"/>
      <c r="AJ10" s="242"/>
      <c r="AK10" s="242"/>
      <c r="AL10" s="242"/>
      <c r="AM10" s="242"/>
      <c r="AN10" s="242"/>
      <c r="AO10" s="242"/>
      <c r="AP10" s="242"/>
      <c r="AQ10" s="242"/>
      <c r="AR10" s="242"/>
      <c r="AS10" s="242"/>
      <c r="AT10" s="242"/>
      <c r="AU10" s="242"/>
      <c r="AV10" s="242"/>
      <c r="AW10" s="242"/>
      <c r="AX10" s="242"/>
      <c r="AY10" s="242"/>
      <c r="AZ10" s="242"/>
      <c r="BA10" s="244"/>
      <c r="BB10" s="244"/>
      <c r="BC10" s="244"/>
      <c r="BD10" s="244"/>
      <c r="BE10" s="244"/>
      <c r="BF10" s="244"/>
      <c r="BG10" s="244"/>
      <c r="BH10" s="244"/>
      <c r="BI10" s="244"/>
      <c r="BJ10" s="244"/>
      <c r="BK10" s="244"/>
      <c r="BL10" s="244"/>
      <c r="BM10" s="244"/>
      <c r="BN10" s="244"/>
      <c r="BO10" s="244"/>
      <c r="BP10" s="244"/>
      <c r="BQ10" s="244"/>
      <c r="BR10" s="244"/>
      <c r="BS10" s="244"/>
      <c r="BT10" s="244"/>
      <c r="BU10" s="244"/>
      <c r="BV10" s="244"/>
      <c r="BW10" s="244"/>
      <c r="BX10" s="244"/>
      <c r="BY10" s="244"/>
      <c r="BZ10" s="244"/>
      <c r="CA10" s="244"/>
      <c r="CB10" s="244"/>
      <c r="CC10" s="244"/>
      <c r="CD10" s="244"/>
      <c r="CE10" s="244"/>
      <c r="CF10" s="244"/>
      <c r="CG10" s="244"/>
      <c r="CH10" s="244"/>
      <c r="CI10" s="244"/>
      <c r="CJ10" s="244"/>
      <c r="CK10" s="244"/>
      <c r="CL10" s="244"/>
      <c r="CM10" s="244"/>
      <c r="CN10" s="244"/>
      <c r="CO10" s="244"/>
      <c r="CP10" s="244"/>
      <c r="CQ10" s="244"/>
      <c r="CR10" s="244"/>
      <c r="CS10" s="244"/>
      <c r="CT10" s="244"/>
      <c r="CU10" s="244"/>
      <c r="CV10" s="244"/>
      <c r="CW10" s="244"/>
      <c r="CX10" s="244"/>
      <c r="CY10" s="244"/>
      <c r="CZ10" s="244"/>
      <c r="DA10" s="244"/>
      <c r="DB10" s="244"/>
      <c r="DC10" s="244"/>
      <c r="DD10" s="244"/>
      <c r="DE10" s="244"/>
      <c r="DF10" s="244"/>
      <c r="DG10" s="244"/>
      <c r="DH10" s="244"/>
      <c r="DI10" s="244"/>
      <c r="DJ10" s="244"/>
      <c r="DK10" s="244"/>
      <c r="DL10" s="244"/>
      <c r="DM10" s="244"/>
      <c r="DN10" s="244"/>
      <c r="DO10" s="244"/>
      <c r="DP10" s="244"/>
      <c r="DQ10" s="244"/>
      <c r="DR10" s="244"/>
      <c r="DS10" s="244"/>
      <c r="DT10" s="244"/>
      <c r="DU10" s="244"/>
      <c r="DV10" s="244"/>
      <c r="DW10" s="244"/>
      <c r="DX10" s="244"/>
      <c r="DY10" s="244"/>
      <c r="DZ10" s="244"/>
      <c r="EA10" s="244"/>
      <c r="EB10" s="244"/>
      <c r="EC10" s="244"/>
      <c r="ED10" s="244"/>
      <c r="EE10" s="244"/>
      <c r="EF10" s="244"/>
      <c r="EG10" s="244"/>
      <c r="EH10" s="244"/>
      <c r="EI10" s="244"/>
      <c r="EJ10" s="244"/>
      <c r="EK10" s="244"/>
      <c r="EL10" s="244"/>
      <c r="EM10" s="244"/>
      <c r="EN10" s="244"/>
      <c r="EO10" s="244"/>
      <c r="EP10" s="244"/>
      <c r="EQ10" s="244"/>
      <c r="ER10" s="244"/>
      <c r="ES10" s="244"/>
      <c r="ET10" s="244"/>
      <c r="EU10" s="244"/>
      <c r="EV10" s="244"/>
      <c r="EW10" s="244"/>
      <c r="EX10" s="244"/>
      <c r="EY10" s="244"/>
      <c r="EZ10" s="244"/>
      <c r="FA10" s="244"/>
      <c r="FB10" s="244"/>
      <c r="FC10" s="244"/>
      <c r="FD10" s="244"/>
      <c r="FE10" s="244"/>
      <c r="FF10" s="244"/>
      <c r="FG10" s="244"/>
      <c r="FH10" s="244"/>
      <c r="FI10" s="244"/>
      <c r="FJ10" s="244"/>
      <c r="FK10" s="244"/>
      <c r="FL10" s="244"/>
      <c r="FM10" s="244"/>
      <c r="FN10" s="244"/>
      <c r="FO10" s="244"/>
      <c r="FP10" s="244"/>
      <c r="FQ10" s="244"/>
      <c r="FR10" s="244"/>
      <c r="FS10" s="244"/>
      <c r="FT10" s="244"/>
      <c r="FU10" s="244"/>
      <c r="FV10" s="244"/>
      <c r="FW10" s="244"/>
      <c r="FX10" s="244"/>
      <c r="FY10" s="244"/>
      <c r="FZ10" s="244"/>
      <c r="GA10" s="244"/>
      <c r="GB10" s="244"/>
      <c r="GC10" s="244"/>
      <c r="GD10" s="244"/>
      <c r="GE10" s="244"/>
      <c r="GF10" s="244"/>
      <c r="GG10" s="244"/>
      <c r="GH10" s="244"/>
      <c r="GI10" s="244"/>
      <c r="GJ10" s="244"/>
      <c r="GK10" s="244"/>
      <c r="GL10" s="244"/>
      <c r="GM10" s="244"/>
      <c r="GN10" s="244"/>
      <c r="GO10" s="244"/>
      <c r="GP10" s="244"/>
      <c r="GQ10" s="244"/>
      <c r="GR10" s="244"/>
      <c r="GS10" s="244"/>
      <c r="GT10" s="244"/>
      <c r="GU10" s="244"/>
      <c r="GV10" s="244"/>
      <c r="GW10" s="244"/>
      <c r="GX10" s="244"/>
      <c r="GY10" s="244"/>
      <c r="GZ10" s="244"/>
      <c r="HA10" s="244"/>
      <c r="HB10" s="244"/>
      <c r="HC10" s="244"/>
      <c r="HD10" s="244"/>
      <c r="HE10" s="244"/>
      <c r="HF10" s="244"/>
      <c r="HG10" s="244"/>
      <c r="HH10" s="244"/>
      <c r="HI10" s="244"/>
      <c r="HJ10" s="244"/>
      <c r="HK10" s="244"/>
      <c r="HL10" s="244"/>
      <c r="HM10" s="244"/>
      <c r="HN10" s="244"/>
      <c r="HO10" s="244"/>
      <c r="HP10" s="244"/>
      <c r="HQ10" s="244"/>
      <c r="HR10" s="244"/>
      <c r="HS10" s="244"/>
      <c r="HT10" s="244"/>
      <c r="HU10" s="244"/>
      <c r="HV10" s="244"/>
      <c r="HW10" s="244"/>
      <c r="HX10" s="244"/>
      <c r="HY10" s="244"/>
    </row>
    <row r="11" spans="1:236" ht="18" customHeight="1">
      <c r="A11" s="250"/>
      <c r="B11" s="142" t="s">
        <v>171</v>
      </c>
      <c r="C11" s="156"/>
      <c r="D11" s="143"/>
      <c r="E11" s="143"/>
      <c r="F11" s="143"/>
      <c r="G11" s="143"/>
      <c r="H11" s="143"/>
      <c r="I11" s="143"/>
      <c r="J11" s="143"/>
      <c r="K11" s="144"/>
      <c r="L11" s="242"/>
      <c r="M11" s="242"/>
      <c r="N11" s="242"/>
      <c r="O11" s="242"/>
      <c r="P11" s="242"/>
      <c r="Q11" s="242"/>
      <c r="R11" s="242"/>
      <c r="S11" s="242"/>
      <c r="T11" s="242"/>
      <c r="U11" s="242"/>
      <c r="V11" s="242"/>
      <c r="W11" s="242"/>
      <c r="X11" s="242"/>
      <c r="Y11" s="242"/>
      <c r="Z11" s="242"/>
      <c r="AA11" s="242"/>
      <c r="AB11" s="242"/>
      <c r="AC11" s="242"/>
      <c r="AD11" s="242"/>
      <c r="AE11" s="242"/>
      <c r="AF11" s="242"/>
      <c r="AG11" s="242"/>
      <c r="AH11" s="242"/>
      <c r="AI11" s="242"/>
      <c r="AJ11" s="242"/>
      <c r="AK11" s="242"/>
      <c r="AL11" s="242"/>
      <c r="AM11" s="242"/>
      <c r="AN11" s="242"/>
      <c r="AO11" s="242"/>
      <c r="AP11" s="242"/>
      <c r="AQ11" s="242"/>
      <c r="AR11" s="242"/>
      <c r="AS11" s="242"/>
      <c r="AT11" s="242"/>
      <c r="AU11" s="242"/>
      <c r="AV11" s="242"/>
      <c r="AW11" s="242"/>
      <c r="AX11" s="242"/>
      <c r="AY11" s="242"/>
      <c r="AZ11" s="242"/>
      <c r="BA11" s="244"/>
      <c r="BB11" s="244"/>
      <c r="BC11" s="244"/>
      <c r="BD11" s="244"/>
      <c r="BE11" s="244"/>
      <c r="BF11" s="244"/>
      <c r="BG11" s="244"/>
      <c r="BH11" s="244"/>
      <c r="BI11" s="244"/>
      <c r="BJ11" s="244"/>
      <c r="BK11" s="244"/>
      <c r="BL11" s="244"/>
      <c r="BM11" s="244"/>
      <c r="BN11" s="244"/>
      <c r="BO11" s="244"/>
      <c r="BP11" s="244"/>
      <c r="BQ11" s="244"/>
      <c r="BR11" s="244"/>
      <c r="BS11" s="244"/>
      <c r="BT11" s="244"/>
      <c r="BU11" s="244"/>
      <c r="BV11" s="244"/>
      <c r="BW11" s="244"/>
      <c r="BX11" s="244"/>
      <c r="BY11" s="244"/>
      <c r="BZ11" s="244"/>
      <c r="CA11" s="244"/>
      <c r="CB11" s="244"/>
      <c r="CC11" s="244"/>
      <c r="CD11" s="244"/>
      <c r="CE11" s="244"/>
      <c r="CF11" s="244"/>
      <c r="CG11" s="244"/>
      <c r="CH11" s="244"/>
      <c r="CI11" s="244"/>
      <c r="CJ11" s="244"/>
      <c r="CK11" s="244"/>
      <c r="CL11" s="244"/>
      <c r="CM11" s="244"/>
      <c r="CN11" s="244"/>
      <c r="CO11" s="244"/>
      <c r="CP11" s="244"/>
      <c r="CQ11" s="244"/>
      <c r="CR11" s="244"/>
      <c r="CS11" s="244"/>
      <c r="CT11" s="244"/>
      <c r="CU11" s="244"/>
      <c r="CV11" s="244"/>
      <c r="CW11" s="244"/>
      <c r="CX11" s="244"/>
      <c r="CY11" s="244"/>
      <c r="CZ11" s="244"/>
      <c r="DA11" s="244"/>
      <c r="DB11" s="244"/>
      <c r="DC11" s="244"/>
      <c r="DD11" s="244"/>
      <c r="DE11" s="244"/>
      <c r="DF11" s="244"/>
      <c r="DG11" s="244"/>
      <c r="DH11" s="244"/>
      <c r="DI11" s="244"/>
      <c r="DJ11" s="244"/>
      <c r="DK11" s="244"/>
      <c r="DL11" s="244"/>
      <c r="DM11" s="244"/>
      <c r="DN11" s="244"/>
      <c r="DO11" s="244"/>
      <c r="DP11" s="244"/>
      <c r="DQ11" s="244"/>
      <c r="DR11" s="244"/>
      <c r="DS11" s="244"/>
      <c r="DT11" s="244"/>
      <c r="DU11" s="244"/>
      <c r="DV11" s="244"/>
      <c r="DW11" s="244"/>
      <c r="DX11" s="244"/>
      <c r="DY11" s="244"/>
      <c r="DZ11" s="244"/>
      <c r="EA11" s="244"/>
      <c r="EB11" s="244"/>
      <c r="EC11" s="244"/>
      <c r="ED11" s="244"/>
      <c r="EE11" s="244"/>
      <c r="EF11" s="244"/>
      <c r="EG11" s="244"/>
      <c r="EH11" s="244"/>
      <c r="EI11" s="244"/>
      <c r="EJ11" s="244"/>
      <c r="EK11" s="244"/>
      <c r="EL11" s="244"/>
      <c r="EM11" s="244"/>
      <c r="EN11" s="244"/>
      <c r="EO11" s="244"/>
      <c r="EP11" s="244"/>
      <c r="EQ11" s="244"/>
      <c r="ER11" s="244"/>
      <c r="ES11" s="244"/>
      <c r="ET11" s="244"/>
      <c r="EU11" s="244"/>
      <c r="EV11" s="244"/>
      <c r="EW11" s="244"/>
      <c r="EX11" s="244"/>
      <c r="EY11" s="244"/>
      <c r="EZ11" s="244"/>
      <c r="FA11" s="244"/>
      <c r="FB11" s="244"/>
      <c r="FC11" s="244"/>
      <c r="FD11" s="244"/>
      <c r="FE11" s="244"/>
      <c r="FF11" s="244"/>
      <c r="FG11" s="244"/>
      <c r="FH11" s="244"/>
      <c r="FI11" s="244"/>
      <c r="FJ11" s="244"/>
      <c r="FK11" s="244"/>
      <c r="FL11" s="244"/>
      <c r="FM11" s="244"/>
      <c r="FN11" s="244"/>
      <c r="FO11" s="244"/>
      <c r="FP11" s="244"/>
      <c r="FQ11" s="244"/>
      <c r="FR11" s="244"/>
      <c r="FS11" s="244"/>
      <c r="FT11" s="244"/>
      <c r="FU11" s="244"/>
      <c r="FV11" s="244"/>
      <c r="FW11" s="244"/>
      <c r="FX11" s="244"/>
      <c r="FY11" s="244"/>
      <c r="FZ11" s="244"/>
      <c r="GA11" s="244"/>
      <c r="GB11" s="244"/>
      <c r="GC11" s="244"/>
      <c r="GD11" s="244"/>
      <c r="GE11" s="244"/>
      <c r="GF11" s="244"/>
      <c r="GG11" s="244"/>
      <c r="GH11" s="244"/>
      <c r="GI11" s="244"/>
      <c r="GJ11" s="244"/>
      <c r="GK11" s="244"/>
      <c r="GL11" s="244"/>
      <c r="GM11" s="244"/>
      <c r="GN11" s="244"/>
      <c r="GO11" s="244"/>
      <c r="GP11" s="244"/>
      <c r="GQ11" s="244"/>
      <c r="GR11" s="244"/>
      <c r="GS11" s="244"/>
      <c r="GT11" s="244"/>
      <c r="GU11" s="244"/>
      <c r="GV11" s="244"/>
      <c r="GW11" s="244"/>
      <c r="GX11" s="244"/>
      <c r="GY11" s="244"/>
      <c r="GZ11" s="244"/>
      <c r="HA11" s="244"/>
      <c r="HB11" s="244"/>
      <c r="HC11" s="244"/>
      <c r="HD11" s="244"/>
      <c r="HE11" s="244"/>
      <c r="HF11" s="244"/>
      <c r="HG11" s="244"/>
      <c r="HH11" s="244"/>
      <c r="HI11" s="244"/>
      <c r="HJ11" s="244"/>
      <c r="HK11" s="244"/>
      <c r="HL11" s="244"/>
      <c r="HM11" s="244"/>
      <c r="HN11" s="244"/>
      <c r="HO11" s="244"/>
      <c r="HP11" s="244"/>
      <c r="HQ11" s="244"/>
      <c r="HR11" s="244"/>
      <c r="HS11" s="244"/>
      <c r="HT11" s="244"/>
      <c r="HU11" s="244"/>
      <c r="HV11" s="244"/>
      <c r="HW11" s="244"/>
      <c r="HX11" s="244"/>
      <c r="HY11" s="244"/>
    </row>
    <row r="12" spans="1:236" ht="18" customHeight="1">
      <c r="A12" s="250"/>
      <c r="B12" s="241"/>
      <c r="C12" s="241"/>
      <c r="D12" s="241"/>
      <c r="E12" s="241"/>
      <c r="F12" s="241"/>
      <c r="G12" s="241"/>
      <c r="H12" s="241"/>
      <c r="I12" s="241"/>
      <c r="J12" s="242"/>
      <c r="K12" s="242"/>
      <c r="L12" s="242"/>
      <c r="M12" s="242"/>
      <c r="N12" s="242"/>
      <c r="O12" s="242"/>
      <c r="P12" s="242"/>
      <c r="Q12" s="242"/>
      <c r="R12" s="242"/>
      <c r="S12" s="242"/>
      <c r="T12" s="242"/>
      <c r="U12" s="242"/>
      <c r="V12" s="242"/>
      <c r="W12" s="242"/>
      <c r="X12" s="242"/>
      <c r="Y12" s="242"/>
      <c r="Z12" s="242"/>
      <c r="AA12" s="242"/>
      <c r="AB12" s="242"/>
      <c r="AC12" s="242"/>
      <c r="AD12" s="242"/>
      <c r="AE12" s="242"/>
      <c r="AF12" s="242"/>
      <c r="AG12" s="242"/>
      <c r="AH12" s="242"/>
      <c r="AI12" s="242"/>
      <c r="AJ12" s="242"/>
      <c r="AK12" s="242"/>
      <c r="AL12" s="242"/>
      <c r="AM12" s="242"/>
      <c r="AN12" s="242"/>
      <c r="AO12" s="242"/>
      <c r="AP12" s="242"/>
      <c r="AQ12" s="242"/>
      <c r="AR12" s="242"/>
      <c r="AS12" s="242"/>
      <c r="AT12" s="242"/>
      <c r="AU12" s="242"/>
      <c r="AV12" s="242"/>
      <c r="AW12" s="242"/>
      <c r="AX12" s="242"/>
      <c r="AY12" s="242"/>
      <c r="AZ12" s="242"/>
      <c r="BA12" s="244"/>
      <c r="BB12" s="244"/>
      <c r="BC12" s="244"/>
      <c r="BD12" s="244"/>
      <c r="BE12" s="244"/>
      <c r="BF12" s="244"/>
      <c r="BG12" s="244"/>
      <c r="BH12" s="244"/>
      <c r="BI12" s="244"/>
      <c r="BJ12" s="244"/>
      <c r="BK12" s="244"/>
      <c r="BL12" s="244"/>
      <c r="BM12" s="244"/>
      <c r="BN12" s="244"/>
      <c r="BO12" s="244"/>
      <c r="BP12" s="244"/>
      <c r="BQ12" s="244"/>
      <c r="BR12" s="244"/>
      <c r="BS12" s="244"/>
      <c r="BT12" s="244"/>
      <c r="BU12" s="244"/>
      <c r="BV12" s="244"/>
      <c r="BW12" s="244"/>
      <c r="BX12" s="244"/>
      <c r="BY12" s="244"/>
      <c r="BZ12" s="244"/>
      <c r="CA12" s="244"/>
      <c r="CB12" s="244"/>
      <c r="CC12" s="244"/>
      <c r="CD12" s="244"/>
      <c r="CE12" s="244"/>
      <c r="CF12" s="244"/>
      <c r="CG12" s="244"/>
      <c r="CH12" s="244"/>
      <c r="CI12" s="244"/>
      <c r="CJ12" s="244"/>
      <c r="CK12" s="244"/>
      <c r="CL12" s="244"/>
      <c r="CM12" s="244"/>
      <c r="CN12" s="244"/>
      <c r="CO12" s="244"/>
      <c r="CP12" s="244"/>
      <c r="CQ12" s="244"/>
      <c r="CR12" s="244"/>
      <c r="CS12" s="244"/>
      <c r="CT12" s="244"/>
      <c r="CU12" s="244"/>
      <c r="CV12" s="244"/>
      <c r="CW12" s="244"/>
      <c r="CX12" s="244"/>
      <c r="CY12" s="244"/>
      <c r="CZ12" s="244"/>
      <c r="DA12" s="244"/>
      <c r="DB12" s="244"/>
      <c r="DC12" s="244"/>
      <c r="DD12" s="244"/>
      <c r="DE12" s="244"/>
      <c r="DF12" s="244"/>
      <c r="DG12" s="244"/>
      <c r="DH12" s="244"/>
      <c r="DI12" s="244"/>
      <c r="DJ12" s="244"/>
      <c r="DK12" s="244"/>
      <c r="DL12" s="244"/>
      <c r="DM12" s="244"/>
      <c r="DN12" s="244"/>
      <c r="DO12" s="244"/>
      <c r="DP12" s="244"/>
      <c r="DQ12" s="244"/>
      <c r="DR12" s="244"/>
      <c r="DS12" s="244"/>
      <c r="DT12" s="244"/>
      <c r="DU12" s="244"/>
      <c r="DV12" s="244"/>
      <c r="DW12" s="244"/>
      <c r="DX12" s="244"/>
      <c r="DY12" s="244"/>
      <c r="DZ12" s="244"/>
      <c r="EA12" s="244"/>
      <c r="EB12" s="244"/>
      <c r="EC12" s="244"/>
      <c r="ED12" s="244"/>
      <c r="EE12" s="244"/>
      <c r="EF12" s="244"/>
      <c r="EG12" s="244"/>
      <c r="EH12" s="244"/>
      <c r="EI12" s="244"/>
      <c r="EJ12" s="244"/>
      <c r="EK12" s="244"/>
      <c r="EL12" s="244"/>
      <c r="EM12" s="244"/>
      <c r="EN12" s="244"/>
      <c r="EO12" s="244"/>
      <c r="EP12" s="244"/>
      <c r="EQ12" s="244"/>
      <c r="ER12" s="244"/>
      <c r="ES12" s="244"/>
      <c r="ET12" s="244"/>
      <c r="EU12" s="244"/>
      <c r="EV12" s="244"/>
      <c r="EW12" s="244"/>
      <c r="EX12" s="244"/>
      <c r="EY12" s="244"/>
      <c r="EZ12" s="244"/>
      <c r="FA12" s="244"/>
      <c r="FB12" s="244"/>
      <c r="FC12" s="244"/>
      <c r="FD12" s="244"/>
      <c r="FE12" s="244"/>
      <c r="FF12" s="244"/>
      <c r="FG12" s="244"/>
      <c r="FH12" s="244"/>
      <c r="FI12" s="244"/>
      <c r="FJ12" s="244"/>
      <c r="FK12" s="244"/>
      <c r="FL12" s="244"/>
      <c r="FM12" s="244"/>
      <c r="FN12" s="244"/>
      <c r="FO12" s="244"/>
      <c r="FP12" s="244"/>
      <c r="FQ12" s="244"/>
      <c r="FR12" s="244"/>
      <c r="FS12" s="244"/>
      <c r="FT12" s="244"/>
      <c r="FU12" s="244"/>
      <c r="FV12" s="244"/>
      <c r="FW12" s="244"/>
      <c r="FX12" s="244"/>
      <c r="FY12" s="244"/>
      <c r="FZ12" s="244"/>
      <c r="GA12" s="244"/>
      <c r="GB12" s="244"/>
      <c r="GC12" s="244"/>
      <c r="GD12" s="244"/>
      <c r="GE12" s="244"/>
      <c r="GF12" s="244"/>
      <c r="GG12" s="244"/>
      <c r="GH12" s="244"/>
      <c r="GI12" s="244"/>
      <c r="GJ12" s="244"/>
      <c r="GK12" s="244"/>
      <c r="GL12" s="244"/>
      <c r="GM12" s="244"/>
      <c r="GN12" s="244"/>
      <c r="GO12" s="244"/>
      <c r="GP12" s="244"/>
      <c r="GQ12" s="244"/>
      <c r="GR12" s="244"/>
      <c r="GS12" s="244"/>
      <c r="GT12" s="244"/>
      <c r="GU12" s="244"/>
      <c r="GV12" s="244"/>
      <c r="GW12" s="244"/>
      <c r="GX12" s="244"/>
      <c r="GY12" s="244"/>
      <c r="GZ12" s="244"/>
      <c r="HA12" s="244"/>
      <c r="HB12" s="244"/>
      <c r="HC12" s="244"/>
      <c r="HD12" s="244"/>
      <c r="HE12" s="244"/>
      <c r="HF12" s="244"/>
      <c r="HG12" s="244"/>
      <c r="HH12" s="244"/>
      <c r="HI12" s="244"/>
      <c r="HJ12" s="244"/>
      <c r="HK12" s="244"/>
      <c r="HL12" s="244"/>
      <c r="HM12" s="244"/>
      <c r="HN12" s="244"/>
      <c r="HO12" s="244"/>
      <c r="HP12" s="244"/>
      <c r="HQ12" s="244"/>
      <c r="HR12" s="244"/>
      <c r="HS12" s="244"/>
      <c r="HT12" s="244"/>
      <c r="HU12" s="244"/>
      <c r="HV12" s="244"/>
      <c r="HW12" s="244"/>
      <c r="HX12" s="244"/>
      <c r="HY12" s="244"/>
    </row>
    <row r="13" spans="1:236" s="71" customFormat="1" ht="18" customHeight="1">
      <c r="A13" s="250"/>
      <c r="B13" s="237" t="s">
        <v>152</v>
      </c>
      <c r="C13" s="235"/>
      <c r="D13" s="235"/>
      <c r="E13" s="235"/>
      <c r="F13" s="235"/>
      <c r="G13" s="235"/>
      <c r="H13" s="235"/>
      <c r="I13" s="235"/>
      <c r="J13" s="235"/>
      <c r="K13" s="236"/>
      <c r="L13" s="242"/>
      <c r="M13" s="242"/>
      <c r="N13" s="242"/>
      <c r="O13" s="242"/>
      <c r="P13" s="242"/>
      <c r="Q13" s="242"/>
      <c r="R13" s="242"/>
      <c r="S13" s="242"/>
      <c r="T13" s="242"/>
      <c r="U13" s="242"/>
      <c r="V13" s="242"/>
      <c r="W13" s="242"/>
      <c r="X13" s="242"/>
      <c r="Y13" s="242"/>
      <c r="Z13" s="242"/>
      <c r="AA13" s="242"/>
      <c r="AB13" s="242"/>
      <c r="AC13" s="242"/>
      <c r="AD13" s="242"/>
      <c r="AE13" s="242"/>
      <c r="AF13" s="242"/>
      <c r="AG13" s="242"/>
      <c r="AH13" s="242"/>
      <c r="AI13" s="242"/>
      <c r="AJ13" s="242"/>
      <c r="AK13" s="242"/>
      <c r="AL13" s="242"/>
      <c r="AM13" s="242"/>
      <c r="AN13" s="242"/>
      <c r="AO13" s="242"/>
      <c r="AP13" s="242"/>
      <c r="AQ13" s="242"/>
      <c r="AR13" s="242"/>
      <c r="AS13" s="242"/>
      <c r="AT13" s="242"/>
      <c r="AU13" s="242"/>
      <c r="AV13" s="242"/>
      <c r="AW13" s="242"/>
      <c r="AX13" s="242"/>
      <c r="AY13" s="242"/>
      <c r="AZ13" s="242"/>
      <c r="BA13" s="25"/>
      <c r="BB13" s="25"/>
      <c r="BC13" s="25"/>
      <c r="BD13" s="25"/>
      <c r="BE13" s="25"/>
      <c r="BF13" s="25"/>
      <c r="BG13" s="25"/>
      <c r="BH13" s="25"/>
      <c r="BI13" s="25"/>
      <c r="BJ13" s="25"/>
      <c r="BK13" s="25"/>
      <c r="BL13" s="25"/>
      <c r="BM13" s="25"/>
      <c r="BN13" s="25"/>
      <c r="BO13" s="25"/>
      <c r="BP13" s="25"/>
      <c r="BQ13" s="25"/>
      <c r="BR13" s="25"/>
      <c r="BS13" s="25"/>
      <c r="BT13" s="25"/>
      <c r="BU13" s="25"/>
      <c r="BV13" s="25"/>
      <c r="BW13" s="25"/>
      <c r="BX13" s="25"/>
      <c r="BY13" s="25"/>
      <c r="BZ13" s="25"/>
      <c r="CA13" s="25"/>
      <c r="CB13" s="25"/>
      <c r="CC13" s="25"/>
      <c r="CD13" s="25"/>
      <c r="CE13" s="25"/>
      <c r="CF13" s="25"/>
      <c r="CG13" s="25"/>
      <c r="CH13" s="25"/>
      <c r="CI13" s="25"/>
      <c r="CJ13" s="25"/>
      <c r="CK13" s="25"/>
      <c r="CL13" s="25"/>
      <c r="CM13" s="25"/>
      <c r="CN13" s="25"/>
      <c r="CO13" s="25"/>
      <c r="CP13" s="25"/>
      <c r="CQ13" s="25"/>
      <c r="CR13" s="25"/>
      <c r="CS13" s="25"/>
      <c r="CT13" s="25"/>
      <c r="CU13" s="25"/>
      <c r="CV13" s="25"/>
      <c r="CW13" s="25"/>
      <c r="CX13" s="25"/>
      <c r="CY13" s="25"/>
      <c r="CZ13" s="25"/>
      <c r="DA13" s="25"/>
      <c r="DB13" s="25"/>
      <c r="DC13" s="25"/>
      <c r="DD13" s="25"/>
      <c r="DE13" s="25"/>
      <c r="DF13" s="25"/>
      <c r="DG13" s="25"/>
      <c r="DH13" s="25"/>
      <c r="DI13" s="25"/>
      <c r="DJ13" s="25"/>
      <c r="DK13" s="25"/>
      <c r="DL13" s="25"/>
      <c r="DM13" s="25"/>
      <c r="DN13" s="25"/>
      <c r="DO13" s="25"/>
      <c r="DP13" s="25"/>
      <c r="DQ13" s="25"/>
      <c r="DR13" s="25"/>
      <c r="DS13" s="25"/>
      <c r="DT13" s="25"/>
      <c r="DU13" s="25"/>
      <c r="DV13" s="25"/>
      <c r="DW13" s="25"/>
      <c r="DX13" s="25"/>
      <c r="DY13" s="25"/>
      <c r="DZ13" s="25"/>
      <c r="EA13" s="25"/>
      <c r="EB13" s="25"/>
      <c r="EC13" s="25"/>
      <c r="ED13" s="25"/>
      <c r="EE13" s="25"/>
      <c r="EF13" s="25"/>
      <c r="EG13" s="25"/>
      <c r="EH13" s="25"/>
      <c r="EI13" s="25"/>
      <c r="EJ13" s="25"/>
      <c r="EK13" s="25"/>
      <c r="EL13" s="25"/>
      <c r="EM13" s="25"/>
      <c r="EN13" s="25"/>
      <c r="EO13" s="25"/>
      <c r="EP13" s="25"/>
      <c r="EQ13" s="25"/>
      <c r="ER13" s="25"/>
      <c r="ES13" s="25"/>
      <c r="ET13" s="25"/>
      <c r="EU13" s="25"/>
      <c r="EV13" s="25"/>
      <c r="EW13" s="25"/>
      <c r="EX13" s="25"/>
      <c r="EY13" s="25"/>
      <c r="EZ13" s="25"/>
      <c r="FA13" s="25"/>
      <c r="FB13" s="25"/>
      <c r="FC13" s="25"/>
      <c r="FD13" s="25"/>
      <c r="FE13" s="25"/>
      <c r="FF13" s="25"/>
      <c r="FG13" s="25"/>
      <c r="FH13" s="25"/>
      <c r="FI13" s="25"/>
      <c r="FJ13" s="25"/>
      <c r="FK13" s="25"/>
      <c r="FL13" s="25"/>
      <c r="FM13" s="25"/>
      <c r="FN13" s="25"/>
      <c r="FO13" s="25"/>
      <c r="FP13" s="25"/>
      <c r="FQ13" s="25"/>
      <c r="FR13" s="25"/>
      <c r="FS13" s="25"/>
      <c r="FT13" s="25"/>
      <c r="FU13" s="25"/>
      <c r="FV13" s="25"/>
      <c r="FW13" s="25"/>
      <c r="FX13" s="25"/>
      <c r="FY13" s="25"/>
      <c r="FZ13" s="25"/>
      <c r="GA13" s="25"/>
      <c r="GB13" s="25"/>
      <c r="GC13" s="25"/>
      <c r="GD13" s="25"/>
      <c r="GE13" s="25"/>
      <c r="GF13" s="25"/>
      <c r="GG13" s="25"/>
      <c r="GH13" s="25"/>
      <c r="GI13" s="25"/>
      <c r="GJ13" s="25"/>
      <c r="GK13" s="25"/>
      <c r="GL13" s="25"/>
      <c r="GM13" s="25"/>
      <c r="GN13" s="25"/>
      <c r="GO13" s="25"/>
      <c r="GP13" s="25"/>
      <c r="GQ13" s="25"/>
      <c r="GR13" s="25"/>
      <c r="GS13" s="25"/>
      <c r="GT13" s="25"/>
      <c r="GU13" s="25"/>
      <c r="GV13" s="25"/>
      <c r="GW13" s="25"/>
      <c r="GX13" s="25"/>
      <c r="GY13" s="25"/>
      <c r="GZ13" s="25"/>
      <c r="HA13" s="25"/>
      <c r="HB13" s="25"/>
      <c r="HC13" s="25"/>
      <c r="HD13" s="25"/>
      <c r="HE13" s="25"/>
      <c r="HF13" s="25"/>
      <c r="HG13" s="25"/>
      <c r="HH13" s="25"/>
      <c r="HI13" s="25"/>
      <c r="HJ13" s="25"/>
      <c r="HK13" s="25"/>
      <c r="HL13" s="25"/>
      <c r="HM13" s="25"/>
      <c r="HN13" s="25"/>
      <c r="HO13" s="25"/>
      <c r="HP13" s="25"/>
      <c r="HQ13" s="25"/>
      <c r="HR13" s="25"/>
      <c r="HS13" s="25"/>
      <c r="HT13" s="25"/>
      <c r="HU13" s="25"/>
      <c r="HV13" s="25"/>
      <c r="HW13" s="25"/>
      <c r="HX13" s="25"/>
      <c r="HY13" s="25"/>
    </row>
    <row r="14" spans="1:236" s="71" customFormat="1" ht="39.6">
      <c r="A14" s="250"/>
      <c r="B14" s="362" t="s">
        <v>153</v>
      </c>
      <c r="C14" s="362"/>
      <c r="D14" s="273" t="s">
        <v>292</v>
      </c>
      <c r="E14" s="273" t="s">
        <v>294</v>
      </c>
      <c r="F14" s="375" t="s">
        <v>293</v>
      </c>
      <c r="G14" s="376"/>
      <c r="H14" s="375" t="s">
        <v>295</v>
      </c>
      <c r="I14" s="376"/>
      <c r="J14" s="375" t="s">
        <v>296</v>
      </c>
      <c r="K14" s="376"/>
      <c r="L14" s="242"/>
      <c r="M14" s="242"/>
      <c r="N14" s="242"/>
      <c r="O14" s="242"/>
      <c r="P14" s="242"/>
      <c r="Q14" s="242"/>
      <c r="R14" s="242"/>
      <c r="S14" s="242"/>
      <c r="T14" s="242"/>
      <c r="U14" s="242"/>
      <c r="V14" s="242"/>
      <c r="W14" s="242"/>
      <c r="X14" s="242"/>
      <c r="Y14" s="242"/>
      <c r="Z14" s="242"/>
      <c r="AA14" s="242"/>
      <c r="AB14" s="242"/>
      <c r="AC14" s="242"/>
      <c r="AD14" s="242"/>
      <c r="AE14" s="242"/>
      <c r="AF14" s="242"/>
      <c r="AG14" s="242"/>
      <c r="AH14" s="242"/>
      <c r="AI14" s="242"/>
      <c r="AJ14" s="242"/>
      <c r="AK14" s="242"/>
      <c r="AL14" s="242"/>
      <c r="AM14" s="242"/>
      <c r="AN14" s="242"/>
      <c r="AO14" s="242"/>
      <c r="AP14" s="242"/>
      <c r="AQ14" s="242"/>
      <c r="AR14" s="242"/>
      <c r="AS14" s="242"/>
      <c r="AT14" s="242"/>
      <c r="AU14" s="242"/>
      <c r="AV14" s="242"/>
      <c r="AW14" s="242"/>
      <c r="AX14" s="242"/>
      <c r="AY14" s="242"/>
      <c r="AZ14" s="242"/>
      <c r="BA14" s="25"/>
      <c r="BB14" s="25"/>
      <c r="BC14" s="25"/>
      <c r="BD14" s="25"/>
      <c r="BE14" s="25"/>
      <c r="BF14" s="25"/>
      <c r="BG14" s="25"/>
      <c r="BH14" s="25"/>
      <c r="BI14" s="25"/>
      <c r="BJ14" s="25"/>
      <c r="BK14" s="25"/>
      <c r="BL14" s="25"/>
      <c r="BM14" s="25"/>
      <c r="BN14" s="25"/>
      <c r="BO14" s="25"/>
      <c r="BP14" s="25"/>
      <c r="BQ14" s="25"/>
      <c r="BR14" s="25"/>
      <c r="BS14" s="25"/>
      <c r="BT14" s="25"/>
      <c r="BU14" s="25"/>
      <c r="BV14" s="25"/>
      <c r="BW14" s="25"/>
      <c r="BX14" s="25"/>
      <c r="BY14" s="25"/>
      <c r="BZ14" s="25"/>
      <c r="CA14" s="25"/>
      <c r="CB14" s="25"/>
      <c r="CC14" s="25"/>
      <c r="CD14" s="25"/>
      <c r="CE14" s="25"/>
      <c r="CF14" s="25"/>
      <c r="CG14" s="25"/>
      <c r="CH14" s="25"/>
      <c r="CI14" s="25"/>
      <c r="CJ14" s="25"/>
      <c r="CK14" s="25"/>
      <c r="CL14" s="25"/>
      <c r="CM14" s="25"/>
      <c r="CN14" s="25"/>
      <c r="CO14" s="25"/>
      <c r="CP14" s="25"/>
      <c r="CQ14" s="25"/>
      <c r="CR14" s="25"/>
      <c r="CS14" s="25"/>
      <c r="CT14" s="25"/>
      <c r="CU14" s="25"/>
      <c r="CV14" s="25"/>
      <c r="CW14" s="25"/>
      <c r="CX14" s="25"/>
      <c r="CY14" s="25"/>
      <c r="CZ14" s="25"/>
      <c r="DA14" s="25"/>
      <c r="DB14" s="25"/>
      <c r="DC14" s="25"/>
      <c r="DD14" s="25"/>
      <c r="DE14" s="25"/>
      <c r="DF14" s="25"/>
      <c r="DG14" s="25"/>
      <c r="DH14" s="25"/>
      <c r="DI14" s="25"/>
      <c r="DJ14" s="25"/>
      <c r="DK14" s="25"/>
      <c r="DL14" s="25"/>
      <c r="DM14" s="25"/>
      <c r="DN14" s="25"/>
      <c r="DO14" s="25"/>
      <c r="DP14" s="25"/>
      <c r="DQ14" s="25"/>
      <c r="DR14" s="25"/>
      <c r="DS14" s="25"/>
      <c r="DT14" s="25"/>
      <c r="DU14" s="25"/>
      <c r="DV14" s="25"/>
      <c r="DW14" s="25"/>
      <c r="DX14" s="25"/>
      <c r="DY14" s="25"/>
      <c r="DZ14" s="25"/>
      <c r="EA14" s="25"/>
      <c r="EB14" s="25"/>
      <c r="EC14" s="25"/>
      <c r="ED14" s="25"/>
      <c r="EE14" s="25"/>
      <c r="EF14" s="25"/>
      <c r="EG14" s="25"/>
      <c r="EH14" s="25"/>
      <c r="EI14" s="25"/>
      <c r="EJ14" s="25"/>
      <c r="EK14" s="25"/>
      <c r="EL14" s="25"/>
      <c r="EM14" s="25"/>
      <c r="EN14" s="25"/>
      <c r="EO14" s="25"/>
      <c r="EP14" s="25"/>
      <c r="EQ14" s="25"/>
      <c r="ER14" s="25"/>
      <c r="ES14" s="25"/>
      <c r="ET14" s="25"/>
      <c r="EU14" s="25"/>
      <c r="EV14" s="25"/>
      <c r="EW14" s="25"/>
      <c r="EX14" s="25"/>
      <c r="EY14" s="25"/>
      <c r="EZ14" s="25"/>
      <c r="FA14" s="25"/>
      <c r="FB14" s="25"/>
      <c r="FC14" s="25"/>
      <c r="FD14" s="25"/>
      <c r="FE14" s="25"/>
      <c r="FF14" s="25"/>
      <c r="FG14" s="25"/>
      <c r="FH14" s="25"/>
      <c r="FI14" s="25"/>
      <c r="FJ14" s="25"/>
      <c r="FK14" s="25"/>
      <c r="FL14" s="25"/>
      <c r="FM14" s="25"/>
      <c r="FN14" s="25"/>
      <c r="FO14" s="25"/>
      <c r="FP14" s="25"/>
      <c r="FQ14" s="25"/>
      <c r="FR14" s="25"/>
      <c r="FS14" s="25"/>
      <c r="FT14" s="25"/>
      <c r="FU14" s="25"/>
      <c r="FV14" s="25"/>
      <c r="FW14" s="25"/>
      <c r="FX14" s="25"/>
      <c r="FY14" s="25"/>
      <c r="FZ14" s="25"/>
      <c r="GA14" s="25"/>
      <c r="GB14" s="25"/>
      <c r="GC14" s="25"/>
      <c r="GD14" s="25"/>
      <c r="GE14" s="25"/>
      <c r="GF14" s="25"/>
      <c r="GG14" s="25"/>
      <c r="GH14" s="25"/>
      <c r="GI14" s="25"/>
      <c r="GJ14" s="25"/>
      <c r="GK14" s="25"/>
      <c r="GL14" s="25"/>
      <c r="GM14" s="25"/>
      <c r="GN14" s="25"/>
      <c r="GO14" s="25"/>
      <c r="GP14" s="25"/>
      <c r="GQ14" s="25"/>
      <c r="GR14" s="25"/>
      <c r="GS14" s="25"/>
      <c r="GT14" s="25"/>
      <c r="GU14" s="25"/>
      <c r="GV14" s="25"/>
      <c r="GW14" s="25"/>
      <c r="GX14" s="25"/>
      <c r="GY14" s="25"/>
      <c r="GZ14" s="25"/>
      <c r="HA14" s="25"/>
      <c r="HB14" s="25"/>
      <c r="HC14" s="25"/>
      <c r="HD14" s="25"/>
      <c r="HE14" s="25"/>
      <c r="HF14" s="25"/>
      <c r="HG14" s="25"/>
      <c r="HH14" s="25"/>
      <c r="HI14" s="25"/>
      <c r="HJ14" s="25"/>
      <c r="HK14" s="25"/>
      <c r="HL14" s="25"/>
      <c r="HM14" s="25"/>
      <c r="HN14" s="25"/>
      <c r="HO14" s="25"/>
      <c r="HP14" s="25"/>
      <c r="HQ14" s="25"/>
      <c r="HR14" s="25"/>
      <c r="HS14" s="25"/>
      <c r="HT14" s="25"/>
      <c r="HU14" s="25"/>
      <c r="HV14" s="25"/>
      <c r="HW14" s="25"/>
      <c r="HX14" s="25"/>
      <c r="HY14" s="25"/>
    </row>
    <row r="15" spans="1:236" s="71" customFormat="1" ht="18" customHeight="1">
      <c r="A15" s="250"/>
      <c r="B15" s="403" t="str">
        <f>IF(logic_units&lt;&gt;"",INDEX(data_genunitsval,MATCH(logic_units,data_genunits,0)),"")</f>
        <v/>
      </c>
      <c r="C15" s="404"/>
      <c r="D15" s="316">
        <f>inputs_bdffwub</f>
        <v>0</v>
      </c>
      <c r="E15" s="316">
        <f>inputs_bdffwuwa</f>
        <v>0</v>
      </c>
      <c r="F15" s="392">
        <f>inputs_bdffwud</f>
        <v>0</v>
      </c>
      <c r="G15" s="393"/>
      <c r="H15" s="405">
        <f>IFERROR(IF(OR($D15&lt;&gt;"",$F15&lt;&gt;""),$D15-($F15),0),0)</f>
        <v>0</v>
      </c>
      <c r="I15" s="406"/>
      <c r="J15" s="407">
        <f>IFERROR($H15/$D15,0)</f>
        <v>0</v>
      </c>
      <c r="K15" s="407"/>
      <c r="L15" s="242"/>
      <c r="M15" s="242"/>
      <c r="N15" s="242"/>
      <c r="O15" s="242"/>
      <c r="P15" s="242"/>
      <c r="Q15" s="242"/>
      <c r="R15" s="242"/>
      <c r="S15" s="242"/>
      <c r="T15" s="242"/>
      <c r="U15" s="242"/>
      <c r="V15" s="242"/>
      <c r="W15" s="242"/>
      <c r="X15" s="242"/>
      <c r="Y15" s="242"/>
      <c r="Z15" s="242"/>
      <c r="AA15" s="242"/>
      <c r="AB15" s="242"/>
      <c r="AC15" s="242"/>
      <c r="AD15" s="242"/>
      <c r="AE15" s="242"/>
      <c r="AF15" s="242"/>
      <c r="AG15" s="242"/>
      <c r="AH15" s="242"/>
      <c r="AI15" s="242"/>
      <c r="AJ15" s="242"/>
      <c r="AK15" s="242"/>
      <c r="AL15" s="242"/>
      <c r="AM15" s="242"/>
      <c r="AN15" s="242"/>
      <c r="AO15" s="242"/>
      <c r="AP15" s="242"/>
      <c r="AQ15" s="242"/>
      <c r="AR15" s="242"/>
      <c r="AS15" s="242"/>
      <c r="AT15" s="242"/>
      <c r="AU15" s="242"/>
      <c r="AV15" s="242"/>
      <c r="AW15" s="242"/>
      <c r="AX15" s="242"/>
      <c r="AY15" s="242"/>
      <c r="AZ15" s="242"/>
      <c r="BA15" s="25"/>
      <c r="BB15" s="25"/>
      <c r="BC15" s="25"/>
      <c r="BD15" s="25"/>
      <c r="BE15" s="25"/>
      <c r="BF15" s="25"/>
      <c r="BG15" s="25"/>
      <c r="BH15" s="25"/>
      <c r="BI15" s="25"/>
      <c r="BJ15" s="25"/>
      <c r="BK15" s="25"/>
      <c r="BL15" s="25"/>
      <c r="BM15" s="25"/>
      <c r="BN15" s="25"/>
      <c r="BO15" s="25"/>
      <c r="BP15" s="25"/>
      <c r="BQ15" s="25"/>
      <c r="BR15" s="25"/>
      <c r="BS15" s="25"/>
      <c r="BT15" s="25"/>
      <c r="BU15" s="25"/>
      <c r="BV15" s="25"/>
      <c r="BW15" s="25"/>
      <c r="BX15" s="25"/>
      <c r="BY15" s="25"/>
      <c r="BZ15" s="25"/>
      <c r="CA15" s="25"/>
      <c r="CB15" s="25"/>
      <c r="CC15" s="25"/>
      <c r="CD15" s="25"/>
      <c r="CE15" s="25"/>
      <c r="CF15" s="25"/>
      <c r="CG15" s="25"/>
      <c r="CH15" s="25"/>
      <c r="CI15" s="25"/>
      <c r="CJ15" s="25"/>
      <c r="CK15" s="25"/>
      <c r="CL15" s="25"/>
      <c r="CM15" s="25"/>
      <c r="CN15" s="25"/>
      <c r="CO15" s="25"/>
      <c r="CP15" s="25"/>
      <c r="CQ15" s="25"/>
      <c r="CR15" s="25"/>
      <c r="CS15" s="25"/>
      <c r="CT15" s="25"/>
      <c r="CU15" s="25"/>
      <c r="CV15" s="25"/>
      <c r="CW15" s="25"/>
      <c r="CX15" s="25"/>
      <c r="CY15" s="25"/>
      <c r="CZ15" s="25"/>
      <c r="DA15" s="25"/>
      <c r="DB15" s="25"/>
      <c r="DC15" s="25"/>
      <c r="DD15" s="25"/>
      <c r="DE15" s="25"/>
      <c r="DF15" s="25"/>
      <c r="DG15" s="25"/>
      <c r="DH15" s="25"/>
      <c r="DI15" s="25"/>
      <c r="DJ15" s="25"/>
      <c r="DK15" s="25"/>
      <c r="DL15" s="25"/>
      <c r="DM15" s="25"/>
      <c r="DN15" s="25"/>
      <c r="DO15" s="25"/>
      <c r="DP15" s="25"/>
      <c r="DQ15" s="25"/>
      <c r="DR15" s="25"/>
      <c r="DS15" s="25"/>
      <c r="DT15" s="25"/>
      <c r="DU15" s="25"/>
      <c r="DV15" s="25"/>
      <c r="DW15" s="25"/>
      <c r="DX15" s="25"/>
      <c r="DY15" s="25"/>
      <c r="DZ15" s="25"/>
      <c r="EA15" s="25"/>
      <c r="EB15" s="25"/>
      <c r="EC15" s="25"/>
      <c r="ED15" s="25"/>
      <c r="EE15" s="25"/>
      <c r="EF15" s="25"/>
      <c r="EG15" s="25"/>
      <c r="EH15" s="25"/>
      <c r="EI15" s="25"/>
      <c r="EJ15" s="25"/>
      <c r="EK15" s="25"/>
      <c r="EL15" s="25"/>
      <c r="EM15" s="25"/>
      <c r="EN15" s="25"/>
      <c r="EO15" s="25"/>
      <c r="EP15" s="25"/>
      <c r="EQ15" s="25"/>
      <c r="ER15" s="25"/>
      <c r="ES15" s="25"/>
      <c r="ET15" s="25"/>
      <c r="EU15" s="25"/>
      <c r="EV15" s="25"/>
      <c r="EW15" s="25"/>
      <c r="EX15" s="25"/>
      <c r="EY15" s="25"/>
      <c r="EZ15" s="25"/>
      <c r="FA15" s="25"/>
      <c r="FB15" s="25"/>
      <c r="FC15" s="25"/>
      <c r="FD15" s="25"/>
      <c r="FE15" s="25"/>
      <c r="FF15" s="25"/>
      <c r="FG15" s="25"/>
      <c r="FH15" s="25"/>
      <c r="FI15" s="25"/>
      <c r="FJ15" s="25"/>
      <c r="FK15" s="25"/>
      <c r="FL15" s="25"/>
      <c r="FM15" s="25"/>
      <c r="FN15" s="25"/>
      <c r="FO15" s="25"/>
      <c r="FP15" s="25"/>
      <c r="FQ15" s="25"/>
      <c r="FR15" s="25"/>
      <c r="FS15" s="25"/>
      <c r="FT15" s="25"/>
      <c r="FU15" s="25"/>
      <c r="FV15" s="25"/>
      <c r="FW15" s="25"/>
      <c r="FX15" s="25"/>
      <c r="FY15" s="25"/>
      <c r="FZ15" s="25"/>
      <c r="GA15" s="25"/>
      <c r="GB15" s="25"/>
      <c r="GC15" s="25"/>
      <c r="GD15" s="25"/>
      <c r="GE15" s="25"/>
      <c r="GF15" s="25"/>
      <c r="GG15" s="25"/>
      <c r="GH15" s="25"/>
      <c r="GI15" s="25"/>
      <c r="GJ15" s="25"/>
      <c r="GK15" s="25"/>
      <c r="GL15" s="25"/>
      <c r="GM15" s="25"/>
      <c r="GN15" s="25"/>
      <c r="GO15" s="25"/>
      <c r="GP15" s="25"/>
      <c r="GQ15" s="25"/>
      <c r="GR15" s="25"/>
      <c r="GS15" s="25"/>
      <c r="GT15" s="25"/>
      <c r="GU15" s="25"/>
      <c r="GV15" s="25"/>
      <c r="GW15" s="25"/>
      <c r="GX15" s="25"/>
      <c r="GY15" s="25"/>
      <c r="GZ15" s="25"/>
      <c r="HA15" s="25"/>
      <c r="HB15" s="25"/>
      <c r="HC15" s="25"/>
      <c r="HD15" s="25"/>
      <c r="HE15" s="25"/>
      <c r="HF15" s="25"/>
      <c r="HG15" s="25"/>
      <c r="HH15" s="25"/>
      <c r="HI15" s="25"/>
      <c r="HJ15" s="25"/>
      <c r="HK15" s="25"/>
      <c r="HL15" s="25"/>
      <c r="HM15" s="25"/>
      <c r="HN15" s="25"/>
      <c r="HO15" s="25"/>
      <c r="HP15" s="25"/>
      <c r="HQ15" s="25"/>
      <c r="HR15" s="25"/>
      <c r="HS15" s="25"/>
      <c r="HT15" s="25"/>
      <c r="HU15" s="25"/>
      <c r="HV15" s="25"/>
      <c r="HW15" s="25"/>
      <c r="HX15" s="25"/>
      <c r="HY15" s="25"/>
    </row>
    <row r="16" spans="1:236" ht="18" customHeight="1">
      <c r="A16" s="250"/>
      <c r="B16" s="241"/>
      <c r="C16" s="241"/>
      <c r="D16" s="241"/>
      <c r="E16" s="241"/>
      <c r="F16" s="241"/>
      <c r="G16" s="241"/>
      <c r="H16" s="241"/>
      <c r="I16" s="241"/>
      <c r="J16" s="241"/>
      <c r="K16" s="241"/>
      <c r="L16" s="242"/>
      <c r="M16" s="242"/>
      <c r="N16" s="242"/>
      <c r="O16" s="242"/>
      <c r="P16" s="242"/>
      <c r="Q16" s="242"/>
      <c r="R16" s="242"/>
      <c r="S16" s="242"/>
      <c r="T16" s="242"/>
      <c r="U16" s="242"/>
      <c r="V16" s="242"/>
      <c r="W16" s="242"/>
      <c r="X16" s="242"/>
      <c r="Y16" s="242"/>
      <c r="Z16" s="242"/>
      <c r="AA16" s="242"/>
      <c r="AB16" s="242"/>
      <c r="AC16" s="242"/>
      <c r="AD16" s="242"/>
      <c r="AE16" s="242"/>
      <c r="AF16" s="242"/>
      <c r="AG16" s="242"/>
      <c r="AH16" s="242"/>
      <c r="AI16" s="242"/>
      <c r="AJ16" s="242"/>
      <c r="AK16" s="242"/>
      <c r="AL16" s="242"/>
      <c r="AM16" s="242"/>
      <c r="AN16" s="242"/>
      <c r="AO16" s="242"/>
      <c r="AP16" s="242"/>
      <c r="AQ16" s="242"/>
      <c r="AR16" s="242"/>
      <c r="AS16" s="242"/>
      <c r="AT16" s="242"/>
      <c r="AU16" s="242"/>
      <c r="AV16" s="242"/>
      <c r="AW16" s="242"/>
      <c r="AX16" s="242"/>
      <c r="AY16" s="242"/>
      <c r="AZ16" s="242"/>
      <c r="BA16" s="244"/>
      <c r="BB16" s="244"/>
      <c r="BC16" s="244"/>
      <c r="BD16" s="244"/>
      <c r="BE16" s="244"/>
      <c r="BF16" s="244"/>
      <c r="BG16" s="244"/>
      <c r="BH16" s="244"/>
      <c r="BI16" s="244"/>
      <c r="BJ16" s="244"/>
      <c r="BK16" s="244"/>
      <c r="BL16" s="244"/>
      <c r="BM16" s="244"/>
      <c r="BN16" s="244"/>
      <c r="BO16" s="244"/>
      <c r="BP16" s="244"/>
      <c r="BQ16" s="244"/>
      <c r="BR16" s="244"/>
      <c r="BS16" s="244"/>
      <c r="BT16" s="244"/>
      <c r="BU16" s="244"/>
      <c r="BV16" s="244"/>
      <c r="BW16" s="244"/>
      <c r="BX16" s="244"/>
      <c r="BY16" s="244"/>
      <c r="BZ16" s="244"/>
      <c r="CA16" s="244"/>
      <c r="CB16" s="244"/>
      <c r="CC16" s="244"/>
      <c r="CD16" s="244"/>
      <c r="CE16" s="244"/>
      <c r="CF16" s="244"/>
      <c r="CG16" s="244"/>
      <c r="CH16" s="244"/>
      <c r="CI16" s="244"/>
      <c r="CJ16" s="244"/>
      <c r="CK16" s="244"/>
      <c r="CL16" s="244"/>
      <c r="CM16" s="244"/>
      <c r="CN16" s="244"/>
      <c r="CO16" s="244"/>
      <c r="CP16" s="244"/>
      <c r="CQ16" s="244"/>
      <c r="CR16" s="244"/>
      <c r="CS16" s="244"/>
      <c r="CT16" s="244"/>
      <c r="CU16" s="244"/>
      <c r="CV16" s="244"/>
      <c r="CW16" s="244"/>
      <c r="CX16" s="244"/>
      <c r="CY16" s="244"/>
      <c r="CZ16" s="244"/>
      <c r="DA16" s="244"/>
      <c r="DB16" s="244"/>
      <c r="DC16" s="244"/>
      <c r="DD16" s="244"/>
      <c r="DE16" s="244"/>
      <c r="DF16" s="244"/>
      <c r="DG16" s="244"/>
      <c r="DH16" s="244"/>
      <c r="DI16" s="244"/>
      <c r="DJ16" s="244"/>
      <c r="DK16" s="244"/>
      <c r="DL16" s="244"/>
      <c r="DM16" s="244"/>
      <c r="DN16" s="244"/>
      <c r="DO16" s="244"/>
      <c r="DP16" s="244"/>
      <c r="DQ16" s="244"/>
      <c r="DR16" s="244"/>
      <c r="DS16" s="244"/>
      <c r="DT16" s="244"/>
      <c r="DU16" s="244"/>
      <c r="DV16" s="244"/>
      <c r="DW16" s="244"/>
      <c r="DX16" s="244"/>
      <c r="DY16" s="244"/>
      <c r="DZ16" s="244"/>
      <c r="EA16" s="244"/>
      <c r="EB16" s="244"/>
      <c r="EC16" s="244"/>
      <c r="ED16" s="244"/>
      <c r="EE16" s="244"/>
      <c r="EF16" s="244"/>
      <c r="EG16" s="244"/>
      <c r="EH16" s="244"/>
      <c r="EI16" s="244"/>
      <c r="EJ16" s="244"/>
      <c r="EK16" s="244"/>
      <c r="EL16" s="244"/>
      <c r="EM16" s="244"/>
      <c r="EN16" s="244"/>
      <c r="EO16" s="244"/>
      <c r="EP16" s="244"/>
      <c r="EQ16" s="244"/>
      <c r="ER16" s="244"/>
      <c r="ES16" s="244"/>
      <c r="ET16" s="244"/>
      <c r="EU16" s="244"/>
      <c r="EV16" s="244"/>
      <c r="EW16" s="244"/>
      <c r="EX16" s="244"/>
      <c r="EY16" s="244"/>
      <c r="EZ16" s="244"/>
      <c r="FA16" s="244"/>
      <c r="FB16" s="244"/>
      <c r="FC16" s="244"/>
      <c r="FD16" s="244"/>
      <c r="FE16" s="244"/>
      <c r="FF16" s="244"/>
      <c r="FG16" s="244"/>
      <c r="FH16" s="244"/>
      <c r="FI16" s="244"/>
      <c r="FJ16" s="244"/>
      <c r="FK16" s="244"/>
      <c r="FL16" s="244"/>
      <c r="FM16" s="244"/>
      <c r="FN16" s="244"/>
      <c r="FO16" s="244"/>
      <c r="FP16" s="244"/>
      <c r="FQ16" s="244"/>
      <c r="FR16" s="244"/>
      <c r="FS16" s="244"/>
      <c r="FT16" s="244"/>
      <c r="FU16" s="244"/>
      <c r="FV16" s="244"/>
      <c r="FW16" s="244"/>
      <c r="FX16" s="244"/>
      <c r="FY16" s="244"/>
      <c r="FZ16" s="244"/>
      <c r="GA16" s="244"/>
      <c r="GB16" s="244"/>
      <c r="GC16" s="244"/>
      <c r="GD16" s="244"/>
      <c r="GE16" s="244"/>
      <c r="GF16" s="244"/>
      <c r="GG16" s="244"/>
      <c r="GH16" s="244"/>
      <c r="GI16" s="244"/>
      <c r="GJ16" s="244"/>
      <c r="GK16" s="244"/>
      <c r="GL16" s="244"/>
      <c r="GM16" s="244"/>
      <c r="GN16" s="244"/>
      <c r="GO16" s="244"/>
      <c r="GP16" s="244"/>
      <c r="GQ16" s="244"/>
      <c r="GR16" s="244"/>
      <c r="GS16" s="244"/>
      <c r="GT16" s="244"/>
      <c r="GU16" s="244"/>
      <c r="GV16" s="244"/>
      <c r="GW16" s="244"/>
      <c r="GX16" s="244"/>
      <c r="GY16" s="244"/>
      <c r="GZ16" s="244"/>
      <c r="HA16" s="244"/>
      <c r="HB16" s="244"/>
      <c r="HC16" s="244"/>
      <c r="HD16" s="244"/>
      <c r="HE16" s="244"/>
      <c r="HF16" s="244"/>
      <c r="HG16" s="244"/>
      <c r="HH16" s="244"/>
      <c r="HI16" s="244"/>
      <c r="HJ16" s="244"/>
      <c r="HK16" s="244"/>
      <c r="HL16" s="244"/>
      <c r="HM16" s="244"/>
      <c r="HN16" s="244"/>
      <c r="HO16" s="244"/>
      <c r="HP16" s="244"/>
      <c r="HQ16" s="244"/>
      <c r="HR16" s="244"/>
      <c r="HS16" s="244"/>
      <c r="HT16" s="244"/>
      <c r="HU16" s="244"/>
      <c r="HV16" s="244"/>
      <c r="HW16" s="244"/>
      <c r="HX16" s="244"/>
      <c r="HY16" s="244"/>
    </row>
    <row r="17" spans="1:52" s="71" customFormat="1" ht="18" customHeight="1">
      <c r="A17" s="250"/>
      <c r="B17" s="152" t="s">
        <v>154</v>
      </c>
      <c r="C17" s="153"/>
      <c r="D17" s="235"/>
      <c r="E17" s="235"/>
      <c r="F17" s="235"/>
      <c r="G17" s="235"/>
      <c r="H17" s="235"/>
      <c r="I17" s="235"/>
      <c r="J17" s="235"/>
      <c r="K17" s="236"/>
      <c r="L17" s="242"/>
      <c r="M17" s="242"/>
      <c r="N17" s="242"/>
      <c r="O17" s="242"/>
      <c r="P17" s="242"/>
      <c r="Q17" s="242"/>
      <c r="R17" s="242"/>
      <c r="S17" s="242"/>
      <c r="T17" s="242"/>
      <c r="U17" s="242"/>
      <c r="V17" s="242"/>
      <c r="W17" s="242"/>
      <c r="X17" s="242"/>
      <c r="Y17" s="242"/>
      <c r="Z17" s="242"/>
      <c r="AA17" s="242"/>
      <c r="AB17" s="242"/>
      <c r="AC17" s="242"/>
      <c r="AD17" s="242"/>
      <c r="AE17" s="242"/>
      <c r="AF17" s="242"/>
      <c r="AG17" s="242"/>
      <c r="AH17" s="242"/>
      <c r="AI17" s="242"/>
      <c r="AJ17" s="242"/>
      <c r="AK17" s="242"/>
      <c r="AL17" s="242"/>
      <c r="AM17" s="242"/>
      <c r="AN17" s="242"/>
      <c r="AO17" s="242"/>
      <c r="AP17" s="242"/>
      <c r="AQ17" s="242"/>
      <c r="AR17" s="242"/>
      <c r="AS17" s="242"/>
      <c r="AT17" s="242"/>
      <c r="AU17" s="242"/>
      <c r="AV17" s="242"/>
      <c r="AW17" s="242"/>
      <c r="AX17" s="242"/>
      <c r="AY17" s="242"/>
      <c r="AZ17" s="242"/>
    </row>
    <row r="18" spans="1:52" s="71" customFormat="1" ht="39.6">
      <c r="A18" s="250"/>
      <c r="B18" s="408" t="s">
        <v>153</v>
      </c>
      <c r="C18" s="409"/>
      <c r="D18" s="273" t="s">
        <v>292</v>
      </c>
      <c r="E18" s="273" t="s">
        <v>294</v>
      </c>
      <c r="F18" s="375" t="s">
        <v>293</v>
      </c>
      <c r="G18" s="376"/>
      <c r="H18" s="375" t="s">
        <v>295</v>
      </c>
      <c r="I18" s="376"/>
      <c r="J18" s="375" t="s">
        <v>296</v>
      </c>
      <c r="K18" s="376"/>
      <c r="L18" s="242"/>
      <c r="M18" s="242"/>
      <c r="N18" s="242"/>
      <c r="O18" s="242"/>
      <c r="P18" s="242"/>
      <c r="Q18" s="242"/>
      <c r="R18" s="242"/>
      <c r="S18" s="242"/>
      <c r="T18" s="242"/>
      <c r="U18" s="242"/>
      <c r="V18" s="242"/>
      <c r="W18" s="242"/>
      <c r="X18" s="242"/>
      <c r="Y18" s="242"/>
      <c r="Z18" s="242"/>
      <c r="AA18" s="242"/>
      <c r="AB18" s="242"/>
      <c r="AC18" s="242"/>
      <c r="AD18" s="242"/>
      <c r="AE18" s="242"/>
      <c r="AF18" s="242"/>
      <c r="AG18" s="242"/>
      <c r="AH18" s="242"/>
      <c r="AI18" s="242"/>
      <c r="AJ18" s="242"/>
      <c r="AK18" s="242"/>
      <c r="AL18" s="242"/>
      <c r="AM18" s="242"/>
      <c r="AN18" s="242"/>
      <c r="AO18" s="242"/>
      <c r="AP18" s="242"/>
      <c r="AQ18" s="242"/>
      <c r="AR18" s="242"/>
      <c r="AS18" s="242"/>
      <c r="AT18" s="242"/>
      <c r="AU18" s="242"/>
      <c r="AV18" s="242"/>
      <c r="AW18" s="242"/>
      <c r="AX18" s="242"/>
      <c r="AY18" s="242"/>
      <c r="AZ18" s="242"/>
    </row>
    <row r="19" spans="1:52" s="71" customFormat="1" ht="18" customHeight="1">
      <c r="A19" s="250"/>
      <c r="B19" s="403" t="str">
        <f>IF(logic_units&lt;&gt;"",INDEX(data_genunitsval,MATCH(logic_units,data_genunits,0)),"")</f>
        <v/>
      </c>
      <c r="C19" s="404"/>
      <c r="D19" s="316">
        <f>inputs_bdoutwub</f>
        <v>0</v>
      </c>
      <c r="E19" s="316">
        <f>inputs_bdoutwuwa</f>
        <v>0</v>
      </c>
      <c r="F19" s="392">
        <f>inputs_bdoutwud</f>
        <v>0</v>
      </c>
      <c r="G19" s="393"/>
      <c r="H19" s="405">
        <f>IFERROR(IF(OR($D19&lt;&gt;"",$F19&lt;&gt;""),$D19-($F19),0),0)</f>
        <v>0</v>
      </c>
      <c r="I19" s="406"/>
      <c r="J19" s="407">
        <f>IFERROR($H19/$D19,0)</f>
        <v>0</v>
      </c>
      <c r="K19" s="407"/>
      <c r="L19" s="242"/>
      <c r="M19" s="242"/>
      <c r="N19" s="242"/>
      <c r="O19" s="242"/>
      <c r="P19" s="242"/>
      <c r="Q19" s="242"/>
      <c r="R19" s="242"/>
      <c r="S19" s="242"/>
      <c r="T19" s="242"/>
      <c r="U19" s="242"/>
      <c r="V19" s="242"/>
      <c r="W19" s="242"/>
      <c r="X19" s="242"/>
      <c r="Y19" s="242"/>
      <c r="Z19" s="242"/>
      <c r="AA19" s="242"/>
      <c r="AB19" s="242"/>
      <c r="AC19" s="242"/>
      <c r="AD19" s="242"/>
      <c r="AE19" s="242"/>
      <c r="AF19" s="242"/>
      <c r="AG19" s="242"/>
      <c r="AH19" s="242"/>
      <c r="AI19" s="242"/>
      <c r="AJ19" s="242"/>
      <c r="AK19" s="242"/>
      <c r="AL19" s="242"/>
      <c r="AM19" s="242"/>
      <c r="AN19" s="242"/>
      <c r="AO19" s="242"/>
      <c r="AP19" s="242"/>
      <c r="AQ19" s="242"/>
      <c r="AR19" s="242"/>
      <c r="AS19" s="242"/>
      <c r="AT19" s="242"/>
      <c r="AU19" s="242"/>
      <c r="AV19" s="242"/>
      <c r="AW19" s="242"/>
      <c r="AX19" s="242"/>
      <c r="AY19" s="242"/>
      <c r="AZ19" s="242"/>
    </row>
    <row r="20" spans="1:52" ht="18" customHeight="1">
      <c r="A20" s="250"/>
      <c r="B20" s="241"/>
      <c r="C20" s="241"/>
      <c r="D20" s="241"/>
      <c r="E20" s="241"/>
      <c r="F20" s="241"/>
      <c r="G20" s="241"/>
      <c r="H20" s="241"/>
      <c r="I20" s="241"/>
      <c r="J20" s="242"/>
      <c r="K20" s="242"/>
      <c r="L20" s="242"/>
      <c r="M20" s="242"/>
      <c r="N20" s="242"/>
      <c r="O20" s="242"/>
      <c r="P20" s="242"/>
      <c r="Q20" s="242"/>
      <c r="R20" s="242"/>
      <c r="S20" s="242"/>
      <c r="T20" s="242"/>
      <c r="U20" s="242"/>
      <c r="V20" s="242"/>
      <c r="W20" s="242"/>
      <c r="X20" s="242"/>
      <c r="Y20" s="242"/>
      <c r="Z20" s="242"/>
      <c r="AA20" s="242"/>
      <c r="AB20" s="242"/>
      <c r="AC20" s="242"/>
      <c r="AD20" s="242"/>
      <c r="AE20" s="242"/>
      <c r="AF20" s="242"/>
      <c r="AG20" s="242"/>
      <c r="AH20" s="242"/>
      <c r="AI20" s="242"/>
      <c r="AJ20" s="242"/>
      <c r="AK20" s="242"/>
      <c r="AL20" s="242"/>
      <c r="AM20" s="242"/>
      <c r="AN20" s="242"/>
      <c r="AO20" s="242"/>
      <c r="AP20" s="242"/>
      <c r="AQ20" s="242"/>
      <c r="AR20" s="242"/>
      <c r="AS20" s="242"/>
      <c r="AT20" s="242"/>
      <c r="AU20" s="242"/>
      <c r="AV20" s="242"/>
      <c r="AW20" s="242"/>
      <c r="AX20" s="242"/>
      <c r="AY20" s="242"/>
      <c r="AZ20" s="242"/>
    </row>
    <row r="21" spans="1:52" ht="18" customHeight="1">
      <c r="A21" s="250"/>
      <c r="B21" s="241"/>
      <c r="C21" s="241"/>
      <c r="D21" s="241"/>
      <c r="E21" s="241"/>
      <c r="F21" s="241"/>
      <c r="G21" s="241"/>
      <c r="H21" s="241"/>
      <c r="I21" s="241"/>
      <c r="J21" s="242"/>
      <c r="K21" s="242"/>
      <c r="L21" s="242"/>
      <c r="M21" s="242"/>
      <c r="N21" s="242"/>
      <c r="O21" s="242"/>
      <c r="P21" s="242"/>
      <c r="Q21" s="241"/>
      <c r="R21" s="241"/>
      <c r="S21" s="241"/>
      <c r="T21" s="241"/>
      <c r="U21" s="241"/>
      <c r="V21" s="241"/>
      <c r="W21" s="241"/>
      <c r="X21" s="241"/>
      <c r="Y21" s="241"/>
      <c r="Z21" s="241"/>
      <c r="AA21" s="241"/>
      <c r="AB21" s="241"/>
      <c r="AC21" s="241"/>
      <c r="AD21" s="241"/>
      <c r="AE21" s="241"/>
      <c r="AF21" s="241"/>
      <c r="AG21" s="241"/>
      <c r="AH21" s="241"/>
      <c r="AI21" s="241"/>
      <c r="AJ21" s="241"/>
      <c r="AK21" s="241"/>
      <c r="AL21" s="241"/>
      <c r="AM21" s="241"/>
      <c r="AN21" s="241"/>
      <c r="AO21" s="241"/>
      <c r="AP21" s="241"/>
      <c r="AQ21" s="241"/>
      <c r="AR21" s="241"/>
      <c r="AS21" s="241"/>
      <c r="AT21" s="241"/>
      <c r="AU21" s="241"/>
      <c r="AV21" s="241"/>
      <c r="AW21" s="241"/>
      <c r="AX21" s="241"/>
      <c r="AY21" s="241"/>
      <c r="AZ21" s="241"/>
    </row>
    <row r="22" spans="1:52" ht="18" customHeight="1">
      <c r="A22" s="250"/>
      <c r="B22" s="142" t="s">
        <v>172</v>
      </c>
      <c r="C22" s="156"/>
      <c r="D22" s="143"/>
      <c r="E22" s="143"/>
      <c r="F22" s="143"/>
      <c r="G22" s="143"/>
      <c r="H22" s="143"/>
      <c r="I22" s="143"/>
      <c r="J22" s="143"/>
      <c r="K22" s="143"/>
      <c r="L22" s="143"/>
      <c r="M22" s="143"/>
      <c r="N22" s="143"/>
      <c r="O22" s="143"/>
      <c r="P22" s="143"/>
      <c r="Q22" s="143"/>
      <c r="R22" s="143"/>
      <c r="S22" s="143"/>
      <c r="T22" s="144"/>
      <c r="U22" s="241"/>
      <c r="V22" s="241"/>
      <c r="W22" s="241"/>
      <c r="X22" s="241"/>
      <c r="Y22" s="241"/>
      <c r="Z22" s="241"/>
      <c r="AA22" s="241"/>
      <c r="AB22" s="241"/>
      <c r="AC22" s="241"/>
      <c r="AD22" s="241"/>
      <c r="AE22" s="241"/>
      <c r="AF22" s="241"/>
      <c r="AG22" s="241"/>
      <c r="AH22" s="241"/>
      <c r="AI22" s="241"/>
      <c r="AJ22" s="241"/>
      <c r="AK22" s="241"/>
      <c r="AL22" s="241"/>
      <c r="AM22" s="241"/>
      <c r="AN22" s="241"/>
      <c r="AO22" s="241"/>
      <c r="AP22" s="241"/>
      <c r="AQ22" s="241"/>
      <c r="AR22" s="241"/>
      <c r="AS22" s="241"/>
      <c r="AT22" s="241"/>
      <c r="AU22" s="241"/>
      <c r="AV22" s="241"/>
      <c r="AW22" s="241"/>
      <c r="AX22" s="241"/>
      <c r="AY22" s="241"/>
      <c r="AZ22" s="241"/>
    </row>
    <row r="23" spans="1:52" ht="18" customHeight="1">
      <c r="A23" s="232"/>
      <c r="B23" s="232"/>
      <c r="C23" s="232"/>
      <c r="D23" s="232"/>
      <c r="E23" s="232"/>
      <c r="F23" s="232"/>
      <c r="G23" s="232"/>
      <c r="H23" s="232"/>
      <c r="I23" s="232"/>
      <c r="J23" s="232"/>
      <c r="K23" s="232"/>
      <c r="L23" s="232"/>
      <c r="M23" s="232"/>
      <c r="N23" s="232"/>
      <c r="O23" s="232"/>
      <c r="P23" s="242"/>
      <c r="Q23" s="241"/>
      <c r="R23" s="241"/>
      <c r="S23" s="241"/>
      <c r="T23" s="241"/>
      <c r="U23" s="241"/>
      <c r="V23" s="241"/>
      <c r="W23" s="241"/>
      <c r="X23" s="241"/>
      <c r="Y23" s="241"/>
      <c r="Z23" s="241"/>
      <c r="AA23" s="241"/>
      <c r="AB23" s="241"/>
      <c r="AC23" s="241"/>
      <c r="AD23" s="241"/>
      <c r="AE23" s="241"/>
      <c r="AF23" s="241"/>
      <c r="AG23" s="241"/>
      <c r="AH23" s="241"/>
      <c r="AI23" s="241"/>
      <c r="AJ23" s="241"/>
      <c r="AK23" s="241"/>
      <c r="AL23" s="241"/>
      <c r="AM23" s="241"/>
      <c r="AN23" s="241"/>
      <c r="AO23" s="241"/>
      <c r="AP23" s="241"/>
      <c r="AQ23" s="241"/>
      <c r="AR23" s="241"/>
      <c r="AS23" s="241"/>
      <c r="AT23" s="241"/>
      <c r="AU23" s="241"/>
      <c r="AV23" s="241"/>
      <c r="AW23" s="241"/>
      <c r="AX23" s="241"/>
      <c r="AY23" s="241"/>
      <c r="AZ23" s="241"/>
    </row>
    <row r="24" spans="1:52" s="244" customFormat="1" ht="17.399999999999999" customHeight="1">
      <c r="A24" s="175"/>
      <c r="B24" s="240" t="s">
        <v>156</v>
      </c>
      <c r="C24" s="241"/>
      <c r="D24" s="241"/>
      <c r="E24" s="241"/>
      <c r="F24" s="241"/>
      <c r="G24" s="242"/>
      <c r="H24" s="242"/>
      <c r="I24" s="242"/>
      <c r="J24" s="242"/>
      <c r="K24" s="242"/>
      <c r="L24" s="243"/>
      <c r="M24" s="243"/>
      <c r="N24" s="243"/>
      <c r="O24" s="243"/>
      <c r="P24" s="243"/>
      <c r="Q24" s="243"/>
      <c r="R24" s="241"/>
      <c r="S24" s="243"/>
      <c r="T24" s="243"/>
      <c r="U24" s="241"/>
      <c r="V24" s="241"/>
      <c r="W24" s="241"/>
      <c r="X24" s="241"/>
      <c r="Y24" s="241"/>
      <c r="Z24" s="241"/>
      <c r="AA24" s="241"/>
      <c r="AB24" s="241"/>
      <c r="AC24" s="241"/>
      <c r="AD24" s="241"/>
      <c r="AE24" s="241"/>
      <c r="AF24" s="241"/>
      <c r="AG24" s="241"/>
      <c r="AH24" s="241"/>
      <c r="AI24" s="241"/>
      <c r="AJ24" s="241"/>
      <c r="AK24" s="241"/>
      <c r="AL24" s="241"/>
      <c r="AM24" s="241"/>
      <c r="AN24" s="241"/>
      <c r="AO24" s="241"/>
      <c r="AP24" s="241"/>
      <c r="AQ24" s="241"/>
      <c r="AR24" s="241"/>
      <c r="AS24" s="241"/>
      <c r="AT24" s="241"/>
      <c r="AU24" s="241"/>
      <c r="AV24" s="241"/>
      <c r="AW24" s="241"/>
      <c r="AX24" s="241"/>
      <c r="AY24" s="241"/>
      <c r="AZ24" s="241"/>
    </row>
    <row r="25" spans="1:52" s="71" customFormat="1" ht="18" customHeight="1">
      <c r="A25" s="250"/>
      <c r="B25" s="152" t="s">
        <v>157</v>
      </c>
      <c r="C25" s="153"/>
      <c r="D25" s="153"/>
      <c r="E25" s="153"/>
      <c r="F25" s="153"/>
      <c r="G25" s="153"/>
      <c r="H25" s="152" t="s">
        <v>158</v>
      </c>
      <c r="I25" s="234"/>
      <c r="J25" s="234"/>
      <c r="K25" s="234"/>
      <c r="L25" s="234"/>
      <c r="M25" s="234"/>
      <c r="N25" s="234"/>
      <c r="O25" s="152" t="s">
        <v>348</v>
      </c>
      <c r="P25" s="234"/>
      <c r="Q25" s="234"/>
      <c r="R25" s="234"/>
      <c r="S25" s="234"/>
      <c r="T25" s="186"/>
      <c r="U25" s="241"/>
      <c r="V25" s="241"/>
      <c r="W25" s="241"/>
      <c r="X25" s="241"/>
      <c r="Y25" s="241"/>
      <c r="Z25" s="241"/>
      <c r="AA25" s="241"/>
      <c r="AB25" s="241"/>
      <c r="AC25" s="241"/>
      <c r="AD25" s="241"/>
      <c r="AE25" s="241"/>
      <c r="AF25" s="241"/>
      <c r="AG25" s="241"/>
      <c r="AH25" s="241"/>
      <c r="AI25" s="241"/>
      <c r="AJ25" s="241"/>
      <c r="AK25" s="241"/>
      <c r="AL25" s="241"/>
      <c r="AM25" s="241"/>
      <c r="AN25" s="241"/>
      <c r="AO25" s="241"/>
      <c r="AP25" s="241"/>
      <c r="AQ25" s="241"/>
      <c r="AR25" s="241"/>
      <c r="AS25" s="241"/>
      <c r="AT25" s="241"/>
      <c r="AU25" s="241"/>
      <c r="AV25" s="241"/>
      <c r="AW25" s="241"/>
      <c r="AX25" s="241"/>
      <c r="AY25" s="241"/>
      <c r="AZ25" s="241"/>
    </row>
    <row r="26" spans="1:52" s="71" customFormat="1" ht="18" customHeight="1">
      <c r="A26" s="175" t="s">
        <v>159</v>
      </c>
      <c r="B26" s="366" t="s">
        <v>160</v>
      </c>
      <c r="C26" s="366" t="s">
        <v>161</v>
      </c>
      <c r="D26" s="381" t="s">
        <v>162</v>
      </c>
      <c r="E26" s="382"/>
      <c r="F26" s="366" t="s">
        <v>315</v>
      </c>
      <c r="G26" s="366" t="s">
        <v>349</v>
      </c>
      <c r="H26" s="357" t="s">
        <v>318</v>
      </c>
      <c r="I26" s="358"/>
      <c r="J26" s="359"/>
      <c r="K26" s="370" t="s">
        <v>347</v>
      </c>
      <c r="L26" s="371"/>
      <c r="M26" s="371"/>
      <c r="N26" s="372"/>
      <c r="O26" s="348" t="str">
        <f>CONCATENATE("Annual Water Use Baseline
(",(IF(inputs_units&lt;&gt;"",INDEX(data_genunitsvol,MATCH(inputs_units,data_genunits,0)),"unit")),")")</f>
        <v>Annual Water Use Baseline
(unit)</v>
      </c>
      <c r="P26" s="348" t="str">
        <f>CONCATENATE("Annual Water Use Design w/o Alt. Water
(",(IF(inputs_units&lt;&gt;"",INDEX(data_genunitsvol,MATCH(inputs_units,data_genunits,0)),"unit")),")")</f>
        <v>Annual Water Use Design w/o Alt. Water
(unit)</v>
      </c>
      <c r="Q26" s="346" t="str">
        <f>CONCATENATE("Annual Alternative Water Use
(",(IF(inputs_units&lt;&gt;"",INDEX(data_genunitsvol,MATCH(inputs_units,data_genunits,0)),"unit")),")")</f>
        <v>Annual Alternative Water Use
(unit)</v>
      </c>
      <c r="R26" s="348" t="str">
        <f>CONCATENATE("Annual Water Use Design
(",(IF(inputs_units&lt;&gt;"",INDEX(data_genunitsvol,MATCH(inputs_units,data_genunits,0)),"unit")),")")</f>
        <v>Annual Water Use Design
(unit)</v>
      </c>
      <c r="S26" s="348" t="str">
        <f>CONCATENATE("Annual Water Use Savings 
(",(IF(inputs_units&lt;&gt;"",INDEX(data_genunitsvol,MATCH(inputs_units,data_genunits,0)),"unit")),")")</f>
        <v>Annual Water Use Savings 
(unit)</v>
      </c>
      <c r="T26" s="348" t="s">
        <v>360</v>
      </c>
      <c r="U26" s="241"/>
      <c r="V26" s="241"/>
      <c r="W26" s="241"/>
      <c r="X26" s="241"/>
      <c r="Y26" s="241"/>
      <c r="Z26" s="241"/>
      <c r="AA26" s="241"/>
      <c r="AB26" s="241"/>
      <c r="AC26" s="241"/>
      <c r="AD26" s="241"/>
      <c r="AE26" s="241"/>
      <c r="AF26" s="241"/>
      <c r="AG26" s="241"/>
      <c r="AH26" s="241"/>
      <c r="AI26" s="241"/>
      <c r="AJ26" s="241"/>
      <c r="AK26" s="241"/>
      <c r="AL26" s="241"/>
      <c r="AM26" s="241"/>
      <c r="AN26" s="241"/>
      <c r="AO26" s="241"/>
      <c r="AP26" s="241"/>
      <c r="AQ26" s="241"/>
      <c r="AR26" s="241"/>
      <c r="AS26" s="241"/>
      <c r="AT26" s="241"/>
      <c r="AU26" s="241"/>
      <c r="AV26" s="241"/>
      <c r="AW26" s="241"/>
      <c r="AX26" s="241"/>
      <c r="AY26" s="241"/>
      <c r="AZ26" s="241"/>
    </row>
    <row r="27" spans="1:52" s="71" customFormat="1" ht="18" customHeight="1">
      <c r="A27" s="175"/>
      <c r="B27" s="367"/>
      <c r="C27" s="367"/>
      <c r="D27" s="383"/>
      <c r="E27" s="384"/>
      <c r="F27" s="367"/>
      <c r="G27" s="367"/>
      <c r="H27" s="348" t="s">
        <v>346</v>
      </c>
      <c r="I27" s="351" t="s">
        <v>153</v>
      </c>
      <c r="J27" s="352"/>
      <c r="K27" s="348" t="s">
        <v>163</v>
      </c>
      <c r="L27" s="348" t="s">
        <v>164</v>
      </c>
      <c r="M27" s="351" t="s">
        <v>153</v>
      </c>
      <c r="N27" s="352"/>
      <c r="O27" s="349"/>
      <c r="P27" s="349"/>
      <c r="Q27" s="347"/>
      <c r="R27" s="349"/>
      <c r="S27" s="349"/>
      <c r="T27" s="349"/>
      <c r="U27" s="241"/>
      <c r="V27" s="241"/>
      <c r="W27" s="241"/>
      <c r="X27" s="241"/>
      <c r="Y27" s="241"/>
      <c r="Z27" s="241"/>
      <c r="AA27" s="241"/>
      <c r="AB27" s="241"/>
      <c r="AC27" s="241"/>
      <c r="AD27" s="241"/>
      <c r="AE27" s="241"/>
      <c r="AF27" s="241"/>
      <c r="AG27" s="241"/>
      <c r="AH27" s="241"/>
      <c r="AI27" s="241"/>
      <c r="AJ27" s="241"/>
      <c r="AK27" s="241"/>
      <c r="AL27" s="241"/>
      <c r="AM27" s="241"/>
      <c r="AN27" s="241"/>
      <c r="AO27" s="241"/>
      <c r="AP27" s="241"/>
      <c r="AQ27" s="241"/>
      <c r="AR27" s="241"/>
      <c r="AS27" s="241"/>
      <c r="AT27" s="241"/>
      <c r="AU27" s="241"/>
      <c r="AV27" s="241"/>
      <c r="AW27" s="241"/>
      <c r="AX27" s="241"/>
      <c r="AY27" s="241"/>
      <c r="AZ27" s="241"/>
    </row>
    <row r="28" spans="1:52" s="71" customFormat="1" ht="18" customHeight="1">
      <c r="A28" s="175"/>
      <c r="B28" s="368"/>
      <c r="C28" s="368"/>
      <c r="D28" s="385"/>
      <c r="E28" s="386"/>
      <c r="F28" s="368"/>
      <c r="G28" s="368"/>
      <c r="H28" s="350"/>
      <c r="I28" s="353"/>
      <c r="J28" s="354"/>
      <c r="K28" s="350"/>
      <c r="L28" s="350"/>
      <c r="M28" s="353"/>
      <c r="N28" s="354"/>
      <c r="O28" s="350"/>
      <c r="P28" s="350"/>
      <c r="Q28" s="301" t="s">
        <v>298</v>
      </c>
      <c r="R28" s="350"/>
      <c r="S28" s="350"/>
      <c r="T28" s="350"/>
      <c r="U28" s="241"/>
      <c r="V28" s="241"/>
      <c r="W28" s="241"/>
      <c r="X28" s="241"/>
      <c r="Y28" s="241"/>
      <c r="Z28" s="241"/>
      <c r="AA28" s="241"/>
      <c r="AB28" s="241"/>
      <c r="AC28" s="241"/>
      <c r="AD28" s="241"/>
      <c r="AE28" s="241"/>
      <c r="AF28" s="241"/>
      <c r="AG28" s="241"/>
      <c r="AH28" s="241"/>
      <c r="AI28" s="241"/>
      <c r="AJ28" s="241"/>
      <c r="AK28" s="241"/>
      <c r="AL28" s="241"/>
      <c r="AM28" s="241"/>
      <c r="AN28" s="241"/>
      <c r="AO28" s="241"/>
      <c r="AP28" s="241"/>
      <c r="AQ28" s="241"/>
      <c r="AR28" s="241"/>
      <c r="AS28" s="241"/>
      <c r="AT28" s="241"/>
      <c r="AU28" s="241"/>
      <c r="AV28" s="241"/>
      <c r="AW28" s="241"/>
      <c r="AX28" s="241"/>
      <c r="AY28" s="241"/>
      <c r="AZ28" s="241"/>
    </row>
    <row r="29" spans="1:52" s="71" customFormat="1" ht="18" customHeight="1">
      <c r="A29" s="175">
        <v>1</v>
      </c>
      <c r="B29" s="312" t="str">
        <f>(IF('Inputs Whole-Project Water Use'!B29&lt;&gt;"",'Inputs Whole-Project Water Use'!B29,""))</f>
        <v/>
      </c>
      <c r="C29" s="313" t="str">
        <f>IF(AND(D29&lt;&gt;"",'Inputs Whole-Project Water Use'!C29=""),1,IF('Inputs Whole-Project Water Use'!C29&lt;&gt;"",'Inputs Whole-Project Water Use'!C29,""))</f>
        <v/>
      </c>
      <c r="D29" s="397" t="str">
        <f>IF('Inputs Whole-Project Water Use'!D29&lt;&gt;"",'Inputs Whole-Project Water Use'!D29,"")</f>
        <v/>
      </c>
      <c r="E29" s="398"/>
      <c r="F29" s="314" t="str">
        <f>IF('Inputs Whole-Project Water Use'!F29&lt;&gt;"",'Inputs Whole-Project Water Use'!F29,"")</f>
        <v/>
      </c>
      <c r="G29" s="314" t="str">
        <f>IF('Inputs Whole-Project Water Use'!G29&lt;&gt;"",'Inputs Whole-Project Water Use'!G29,"")</f>
        <v/>
      </c>
      <c r="H29" s="315" t="str">
        <f>IF('Inputs Whole-Project Water Use'!H29&lt;&gt;"",'Inputs Whole-Project Water Use'!H29,"")</f>
        <v/>
      </c>
      <c r="I29" s="390" t="str">
        <f t="shared" ref="I29:I58" si="0">IFERROR(IF(logic_units&lt;&gt;"SI Units",INDEX(data_dumip,MATCH($D29,data_waterusetypes,0)),INDEX(data_dumsi,MATCH($D29,data_waterusetypes,0))),"")</f>
        <v/>
      </c>
      <c r="J29" s="391"/>
      <c r="K29" s="316" t="str">
        <f>IF('Inputs Whole-Project Water Use'!K29&lt;&gt;"",'Inputs Whole-Project Water Use'!K29,"")</f>
        <v/>
      </c>
      <c r="L29" s="316" t="str">
        <f>IF('Inputs Whole-Project Water Use'!L29&lt;&gt;"",'Inputs Whole-Project Water Use'!L29,"")</f>
        <v/>
      </c>
      <c r="M29" s="390" t="str">
        <f t="shared" ref="M29:M58" si="1">IFERROR(IF(logic_units&lt;&gt;"SI Units",INDEX(data_wurip,MATCH($D29,data_waterusetypes,0)),INDEX(data_wursi,MATCH($D29,data_waterusetypes,0))),"")</f>
        <v/>
      </c>
      <c r="N29" s="391"/>
      <c r="O29" s="225" t="str">
        <f>IFERROR(IF(OR($F29&lt;&gt;"",$G29&lt;&gt;"",$H29&lt;&gt;"",K29&lt;&gt;""),$C29*$F29*$G29*$H29*K29,""),"")</f>
        <v/>
      </c>
      <c r="P29" s="225" t="str">
        <f>IFERROR(IF(OR($F29&lt;&gt;"",$G29&lt;&gt;"",$H29&lt;&gt;"",L29&lt;&gt;""),$C29*$F29*$G29*$H29*L29,""),"")</f>
        <v/>
      </c>
      <c r="Q29" s="289" t="str">
        <f>IF(AND(D29&lt;&gt;"",'Inputs Whole-Project Water Use'!Q29=""),0,IF('Inputs Whole-Project Water Use'!Q29&lt;&gt;"",'Inputs Whole-Project Water Use'!Q29,""))</f>
        <v/>
      </c>
      <c r="R29" s="225" t="str">
        <f>IFERROR(IF(P29&lt;&gt;"",(P29-Q29),""),"")</f>
        <v/>
      </c>
      <c r="S29" s="225" t="str">
        <f>IFERROR(IF(OR(O29&lt;&gt;"",P29&lt;&gt;""),O29-R29,""),"")</f>
        <v/>
      </c>
      <c r="T29" s="231" t="str">
        <f>IFERROR(S29/O29,"")</f>
        <v/>
      </c>
      <c r="U29" s="241"/>
      <c r="V29" s="241"/>
      <c r="W29" s="241"/>
      <c r="X29" s="241"/>
      <c r="Y29" s="241"/>
      <c r="Z29" s="241"/>
      <c r="AA29" s="241"/>
      <c r="AB29" s="241"/>
      <c r="AC29" s="241"/>
      <c r="AD29" s="241"/>
      <c r="AE29" s="241"/>
      <c r="AF29" s="241"/>
      <c r="AG29" s="241"/>
      <c r="AH29" s="241"/>
      <c r="AI29" s="241"/>
      <c r="AJ29" s="241"/>
      <c r="AK29" s="241"/>
      <c r="AL29" s="241"/>
      <c r="AM29" s="241"/>
      <c r="AN29" s="241"/>
      <c r="AO29" s="241"/>
      <c r="AP29" s="241"/>
      <c r="AQ29" s="241"/>
      <c r="AR29" s="241"/>
      <c r="AS29" s="241"/>
      <c r="AT29" s="241"/>
      <c r="AU29" s="241"/>
      <c r="AV29" s="241"/>
      <c r="AW29" s="241"/>
      <c r="AX29" s="241"/>
      <c r="AY29" s="241"/>
      <c r="AZ29" s="241"/>
    </row>
    <row r="30" spans="1:52" s="71" customFormat="1" ht="18" customHeight="1">
      <c r="A30" s="175">
        <v>2</v>
      </c>
      <c r="B30" s="312" t="str">
        <f>(IF('Inputs Whole-Project Water Use'!B30&lt;&gt;"",'Inputs Whole-Project Water Use'!B30,""))</f>
        <v/>
      </c>
      <c r="C30" s="313" t="str">
        <f>IF(AND(D30&lt;&gt;"",'Inputs Whole-Project Water Use'!C30=""),1,IF('Inputs Whole-Project Water Use'!C30&lt;&gt;"",'Inputs Whole-Project Water Use'!C30,""))</f>
        <v/>
      </c>
      <c r="D30" s="397" t="str">
        <f>IF('Inputs Whole-Project Water Use'!D30&lt;&gt;"",'Inputs Whole-Project Water Use'!D30,"")</f>
        <v/>
      </c>
      <c r="E30" s="398"/>
      <c r="F30" s="314" t="str">
        <f>IF('Inputs Whole-Project Water Use'!F30&lt;&gt;"",'Inputs Whole-Project Water Use'!F30,"")</f>
        <v/>
      </c>
      <c r="G30" s="314" t="str">
        <f>IF('Inputs Whole-Project Water Use'!G30&lt;&gt;"",'Inputs Whole-Project Water Use'!G30,"")</f>
        <v/>
      </c>
      <c r="H30" s="315" t="str">
        <f>IF('Inputs Whole-Project Water Use'!H30&lt;&gt;"",'Inputs Whole-Project Water Use'!H30,"")</f>
        <v/>
      </c>
      <c r="I30" s="390" t="str">
        <f t="shared" si="0"/>
        <v/>
      </c>
      <c r="J30" s="391"/>
      <c r="K30" s="316" t="str">
        <f>IF('Inputs Whole-Project Water Use'!K30&lt;&gt;"",'Inputs Whole-Project Water Use'!K30,"")</f>
        <v/>
      </c>
      <c r="L30" s="316" t="str">
        <f>IF('Inputs Whole-Project Water Use'!L30&lt;&gt;"",'Inputs Whole-Project Water Use'!L30,"")</f>
        <v/>
      </c>
      <c r="M30" s="390" t="str">
        <f t="shared" si="1"/>
        <v/>
      </c>
      <c r="N30" s="391"/>
      <c r="O30" s="225" t="str">
        <f t="shared" ref="O30:O91" si="2">IFERROR(IF(OR($F30&lt;&gt;"",$G30&lt;&gt;"",$H30&lt;&gt;"",K30&lt;&gt;""),$C30*$F30*$G30*$H30*K30,""),"")</f>
        <v/>
      </c>
      <c r="P30" s="225" t="str">
        <f t="shared" ref="P30:P91" si="3">IFERROR(IF(OR($F30&lt;&gt;"",$G30&lt;&gt;"",$H30&lt;&gt;"",L30&lt;&gt;""),$C30*$F30*$G30*$H30*L30,""),"")</f>
        <v/>
      </c>
      <c r="Q30" s="289" t="str">
        <f>IF(AND(D30&lt;&gt;"",'Inputs Whole-Project Water Use'!Q30=""),0,IF('Inputs Whole-Project Water Use'!Q30&lt;&gt;"",'Inputs Whole-Project Water Use'!Q30,""))</f>
        <v/>
      </c>
      <c r="R30" s="225" t="str">
        <f t="shared" ref="R30:R93" si="4">IFERROR(IF(P30&lt;&gt;"",(P30-Q30),""),"")</f>
        <v/>
      </c>
      <c r="S30" s="225" t="str">
        <f t="shared" ref="S30:S93" si="5">IFERROR(IF(OR(O30&lt;&gt;"",P30&lt;&gt;""),O30-R30,""),"")</f>
        <v/>
      </c>
      <c r="T30" s="231" t="str">
        <f t="shared" ref="T30:T93" si="6">IFERROR(S30/O30,"")</f>
        <v/>
      </c>
      <c r="U30" s="241"/>
      <c r="V30" s="241"/>
      <c r="W30" s="241"/>
      <c r="X30" s="241"/>
      <c r="Y30" s="241"/>
      <c r="Z30" s="241"/>
      <c r="AA30" s="241"/>
      <c r="AB30" s="241"/>
      <c r="AC30" s="241"/>
      <c r="AD30" s="241"/>
      <c r="AE30" s="241"/>
      <c r="AF30" s="241"/>
      <c r="AG30" s="241"/>
      <c r="AH30" s="241"/>
      <c r="AI30" s="241"/>
      <c r="AJ30" s="241"/>
      <c r="AK30" s="241"/>
      <c r="AL30" s="241"/>
      <c r="AM30" s="241"/>
      <c r="AN30" s="241"/>
      <c r="AO30" s="241"/>
      <c r="AP30" s="241"/>
      <c r="AQ30" s="241"/>
      <c r="AR30" s="241"/>
      <c r="AS30" s="241"/>
      <c r="AT30" s="241"/>
      <c r="AU30" s="241"/>
      <c r="AV30" s="241"/>
      <c r="AW30" s="241"/>
      <c r="AX30" s="241"/>
      <c r="AY30" s="241"/>
      <c r="AZ30" s="241"/>
    </row>
    <row r="31" spans="1:52" s="71" customFormat="1" ht="18" customHeight="1">
      <c r="A31" s="175">
        <v>3</v>
      </c>
      <c r="B31" s="312" t="str">
        <f>(IF('Inputs Whole-Project Water Use'!B31&lt;&gt;"",'Inputs Whole-Project Water Use'!B31,""))</f>
        <v/>
      </c>
      <c r="C31" s="313" t="str">
        <f>IF(AND(D31&lt;&gt;"",'Inputs Whole-Project Water Use'!C31=""),1,IF('Inputs Whole-Project Water Use'!C31&lt;&gt;"",'Inputs Whole-Project Water Use'!C31,""))</f>
        <v/>
      </c>
      <c r="D31" s="397" t="str">
        <f>IF('Inputs Whole-Project Water Use'!D31&lt;&gt;"",'Inputs Whole-Project Water Use'!D31,"")</f>
        <v/>
      </c>
      <c r="E31" s="398"/>
      <c r="F31" s="314" t="str">
        <f>IF('Inputs Whole-Project Water Use'!F31&lt;&gt;"",'Inputs Whole-Project Water Use'!F31,"")</f>
        <v/>
      </c>
      <c r="G31" s="314" t="str">
        <f>IF('Inputs Whole-Project Water Use'!G31&lt;&gt;"",'Inputs Whole-Project Water Use'!G31,"")</f>
        <v/>
      </c>
      <c r="H31" s="315" t="str">
        <f>IF('Inputs Whole-Project Water Use'!H31&lt;&gt;"",'Inputs Whole-Project Water Use'!H31,"")</f>
        <v/>
      </c>
      <c r="I31" s="390" t="str">
        <f t="shared" si="0"/>
        <v/>
      </c>
      <c r="J31" s="391"/>
      <c r="K31" s="316" t="str">
        <f>IF('Inputs Whole-Project Water Use'!K31&lt;&gt;"",'Inputs Whole-Project Water Use'!K31,"")</f>
        <v/>
      </c>
      <c r="L31" s="316" t="str">
        <f>IF('Inputs Whole-Project Water Use'!L31&lt;&gt;"",'Inputs Whole-Project Water Use'!L31,"")</f>
        <v/>
      </c>
      <c r="M31" s="390" t="str">
        <f t="shared" si="1"/>
        <v/>
      </c>
      <c r="N31" s="391"/>
      <c r="O31" s="225" t="str">
        <f t="shared" si="2"/>
        <v/>
      </c>
      <c r="P31" s="225" t="str">
        <f t="shared" si="3"/>
        <v/>
      </c>
      <c r="Q31" s="289" t="str">
        <f>IF(AND(D31&lt;&gt;"",'Inputs Whole-Project Water Use'!Q31=""),0,IF('Inputs Whole-Project Water Use'!Q31&lt;&gt;"",'Inputs Whole-Project Water Use'!Q31,""))</f>
        <v/>
      </c>
      <c r="R31" s="225" t="str">
        <f t="shared" si="4"/>
        <v/>
      </c>
      <c r="S31" s="225" t="str">
        <f t="shared" si="5"/>
        <v/>
      </c>
      <c r="T31" s="231" t="str">
        <f t="shared" si="6"/>
        <v/>
      </c>
      <c r="U31" s="241"/>
      <c r="V31" s="241"/>
      <c r="W31" s="241"/>
      <c r="X31" s="241"/>
      <c r="Y31" s="241"/>
      <c r="Z31" s="241"/>
      <c r="AA31" s="241"/>
      <c r="AB31" s="241"/>
      <c r="AC31" s="241"/>
      <c r="AD31" s="241"/>
      <c r="AE31" s="241"/>
      <c r="AF31" s="241"/>
      <c r="AG31" s="241"/>
      <c r="AH31" s="241"/>
      <c r="AI31" s="241"/>
      <c r="AJ31" s="241"/>
      <c r="AK31" s="241"/>
      <c r="AL31" s="241"/>
      <c r="AM31" s="241"/>
      <c r="AN31" s="241"/>
      <c r="AO31" s="241"/>
      <c r="AP31" s="241"/>
      <c r="AQ31" s="241"/>
      <c r="AR31" s="241"/>
      <c r="AS31" s="241"/>
      <c r="AT31" s="241"/>
      <c r="AU31" s="241"/>
      <c r="AV31" s="241"/>
      <c r="AW31" s="241"/>
      <c r="AX31" s="241"/>
      <c r="AY31" s="241"/>
      <c r="AZ31" s="241"/>
    </row>
    <row r="32" spans="1:52" s="71" customFormat="1" ht="18" customHeight="1">
      <c r="A32" s="175">
        <v>4</v>
      </c>
      <c r="B32" s="312" t="str">
        <f>(IF('Inputs Whole-Project Water Use'!B32&lt;&gt;"",'Inputs Whole-Project Water Use'!B32,""))</f>
        <v/>
      </c>
      <c r="C32" s="313" t="str">
        <f>IF(AND(D32&lt;&gt;"",'Inputs Whole-Project Water Use'!C32=""),1,IF('Inputs Whole-Project Water Use'!C32&lt;&gt;"",'Inputs Whole-Project Water Use'!C32,""))</f>
        <v/>
      </c>
      <c r="D32" s="397" t="str">
        <f>IF('Inputs Whole-Project Water Use'!D32&lt;&gt;"",'Inputs Whole-Project Water Use'!D32,"")</f>
        <v/>
      </c>
      <c r="E32" s="398"/>
      <c r="F32" s="314" t="str">
        <f>IF('Inputs Whole-Project Water Use'!F32&lt;&gt;"",'Inputs Whole-Project Water Use'!F32,"")</f>
        <v/>
      </c>
      <c r="G32" s="314" t="str">
        <f>IF('Inputs Whole-Project Water Use'!G32&lt;&gt;"",'Inputs Whole-Project Water Use'!G32,"")</f>
        <v/>
      </c>
      <c r="H32" s="315" t="str">
        <f>IF('Inputs Whole-Project Water Use'!H32&lt;&gt;"",'Inputs Whole-Project Water Use'!H32,"")</f>
        <v/>
      </c>
      <c r="I32" s="390" t="str">
        <f t="shared" si="0"/>
        <v/>
      </c>
      <c r="J32" s="391"/>
      <c r="K32" s="316" t="str">
        <f>IF('Inputs Whole-Project Water Use'!K32&lt;&gt;"",'Inputs Whole-Project Water Use'!K32,"")</f>
        <v/>
      </c>
      <c r="L32" s="316" t="str">
        <f>IF('Inputs Whole-Project Water Use'!L32&lt;&gt;"",'Inputs Whole-Project Water Use'!L32,"")</f>
        <v/>
      </c>
      <c r="M32" s="390" t="str">
        <f t="shared" si="1"/>
        <v/>
      </c>
      <c r="N32" s="391"/>
      <c r="O32" s="225" t="str">
        <f t="shared" si="2"/>
        <v/>
      </c>
      <c r="P32" s="225" t="str">
        <f t="shared" si="3"/>
        <v/>
      </c>
      <c r="Q32" s="289" t="str">
        <f>IF(AND(D32&lt;&gt;"",'Inputs Whole-Project Water Use'!Q32=""),0,IF('Inputs Whole-Project Water Use'!Q32&lt;&gt;"",'Inputs Whole-Project Water Use'!Q32,""))</f>
        <v/>
      </c>
      <c r="R32" s="225" t="str">
        <f t="shared" si="4"/>
        <v/>
      </c>
      <c r="S32" s="225" t="str">
        <f t="shared" si="5"/>
        <v/>
      </c>
      <c r="T32" s="231" t="str">
        <f t="shared" si="6"/>
        <v/>
      </c>
      <c r="U32" s="241"/>
      <c r="V32" s="241"/>
      <c r="W32" s="241"/>
      <c r="X32" s="241"/>
      <c r="Y32" s="241"/>
      <c r="Z32" s="241"/>
      <c r="AA32" s="241"/>
      <c r="AB32" s="241"/>
      <c r="AC32" s="241"/>
      <c r="AD32" s="241"/>
      <c r="AE32" s="241"/>
      <c r="AF32" s="241"/>
      <c r="AG32" s="241"/>
      <c r="AH32" s="241"/>
      <c r="AI32" s="241"/>
      <c r="AJ32" s="241"/>
      <c r="AK32" s="241"/>
      <c r="AL32" s="241"/>
      <c r="AM32" s="241"/>
      <c r="AN32" s="241"/>
      <c r="AO32" s="241"/>
      <c r="AP32" s="241"/>
      <c r="AQ32" s="241"/>
      <c r="AR32" s="241"/>
      <c r="AS32" s="241"/>
      <c r="AT32" s="241"/>
      <c r="AU32" s="241"/>
      <c r="AV32" s="241"/>
      <c r="AW32" s="241"/>
      <c r="AX32" s="241"/>
      <c r="AY32" s="241"/>
      <c r="AZ32" s="241"/>
    </row>
    <row r="33" spans="1:52" s="71" customFormat="1" ht="18" customHeight="1">
      <c r="A33" s="175">
        <v>5</v>
      </c>
      <c r="B33" s="312" t="str">
        <f>(IF('Inputs Whole-Project Water Use'!B33&lt;&gt;"",'Inputs Whole-Project Water Use'!B33,""))</f>
        <v/>
      </c>
      <c r="C33" s="313" t="str">
        <f>IF(AND(D33&lt;&gt;"",'Inputs Whole-Project Water Use'!C33=""),1,IF('Inputs Whole-Project Water Use'!C33&lt;&gt;"",'Inputs Whole-Project Water Use'!C33,""))</f>
        <v/>
      </c>
      <c r="D33" s="397" t="str">
        <f>IF('Inputs Whole-Project Water Use'!D33&lt;&gt;"",'Inputs Whole-Project Water Use'!D33,"")</f>
        <v/>
      </c>
      <c r="E33" s="398"/>
      <c r="F33" s="314" t="str">
        <f>IF('Inputs Whole-Project Water Use'!F33&lt;&gt;"",'Inputs Whole-Project Water Use'!F33,"")</f>
        <v/>
      </c>
      <c r="G33" s="314" t="str">
        <f>IF('Inputs Whole-Project Water Use'!G33&lt;&gt;"",'Inputs Whole-Project Water Use'!G33,"")</f>
        <v/>
      </c>
      <c r="H33" s="315" t="str">
        <f>IF('Inputs Whole-Project Water Use'!H33&lt;&gt;"",'Inputs Whole-Project Water Use'!H33,"")</f>
        <v/>
      </c>
      <c r="I33" s="390" t="str">
        <f t="shared" si="0"/>
        <v/>
      </c>
      <c r="J33" s="391"/>
      <c r="K33" s="316" t="str">
        <f>IF('Inputs Whole-Project Water Use'!K33&lt;&gt;"",'Inputs Whole-Project Water Use'!K33,"")</f>
        <v/>
      </c>
      <c r="L33" s="316" t="str">
        <f>IF('Inputs Whole-Project Water Use'!L33&lt;&gt;"",'Inputs Whole-Project Water Use'!L33,"")</f>
        <v/>
      </c>
      <c r="M33" s="390" t="str">
        <f t="shared" si="1"/>
        <v/>
      </c>
      <c r="N33" s="391"/>
      <c r="O33" s="225" t="str">
        <f t="shared" si="2"/>
        <v/>
      </c>
      <c r="P33" s="225" t="str">
        <f t="shared" si="3"/>
        <v/>
      </c>
      <c r="Q33" s="289" t="str">
        <f>IF(AND(D33&lt;&gt;"",'Inputs Whole-Project Water Use'!Q33=""),0,IF('Inputs Whole-Project Water Use'!Q33&lt;&gt;"",'Inputs Whole-Project Water Use'!Q33,""))</f>
        <v/>
      </c>
      <c r="R33" s="225" t="str">
        <f t="shared" si="4"/>
        <v/>
      </c>
      <c r="S33" s="225" t="str">
        <f>IFERROR(IF(OR(O33&lt;&gt;"",P33&lt;&gt;""),O33-R33,""),"")</f>
        <v/>
      </c>
      <c r="T33" s="231" t="str">
        <f t="shared" si="6"/>
        <v/>
      </c>
      <c r="U33" s="241"/>
      <c r="V33" s="241"/>
      <c r="W33" s="241"/>
      <c r="X33" s="241"/>
      <c r="Y33" s="241"/>
      <c r="Z33" s="241"/>
      <c r="AA33" s="241"/>
      <c r="AB33" s="241"/>
      <c r="AC33" s="241"/>
      <c r="AD33" s="241"/>
      <c r="AE33" s="241"/>
      <c r="AF33" s="241"/>
      <c r="AG33" s="241"/>
      <c r="AH33" s="241"/>
      <c r="AI33" s="241"/>
      <c r="AJ33" s="241"/>
      <c r="AK33" s="241"/>
      <c r="AL33" s="241"/>
      <c r="AM33" s="241"/>
      <c r="AN33" s="241"/>
      <c r="AO33" s="241"/>
      <c r="AP33" s="241"/>
      <c r="AQ33" s="241"/>
      <c r="AR33" s="241"/>
      <c r="AS33" s="241"/>
      <c r="AT33" s="241"/>
      <c r="AU33" s="241"/>
      <c r="AV33" s="241"/>
      <c r="AW33" s="241"/>
      <c r="AX33" s="241"/>
      <c r="AY33" s="241"/>
      <c r="AZ33" s="241"/>
    </row>
    <row r="34" spans="1:52" s="71" customFormat="1" ht="18" customHeight="1">
      <c r="A34" s="175">
        <v>6</v>
      </c>
      <c r="B34" s="312" t="str">
        <f>(IF('Inputs Whole-Project Water Use'!B34&lt;&gt;"",'Inputs Whole-Project Water Use'!B34,""))</f>
        <v/>
      </c>
      <c r="C34" s="313" t="str">
        <f>IF(AND(D34&lt;&gt;"",'Inputs Whole-Project Water Use'!C34=""),1,IF('Inputs Whole-Project Water Use'!C34&lt;&gt;"",'Inputs Whole-Project Water Use'!C34,""))</f>
        <v/>
      </c>
      <c r="D34" s="397" t="str">
        <f>IF('Inputs Whole-Project Water Use'!D34&lt;&gt;"",'Inputs Whole-Project Water Use'!D34,"")</f>
        <v/>
      </c>
      <c r="E34" s="398"/>
      <c r="F34" s="314" t="str">
        <f>IF('Inputs Whole-Project Water Use'!F34&lt;&gt;"",'Inputs Whole-Project Water Use'!F34,"")</f>
        <v/>
      </c>
      <c r="G34" s="314" t="str">
        <f>IF('Inputs Whole-Project Water Use'!G34&lt;&gt;"",'Inputs Whole-Project Water Use'!G34,"")</f>
        <v/>
      </c>
      <c r="H34" s="315" t="str">
        <f>IF('Inputs Whole-Project Water Use'!H34&lt;&gt;"",'Inputs Whole-Project Water Use'!H34,"")</f>
        <v/>
      </c>
      <c r="I34" s="390" t="str">
        <f t="shared" si="0"/>
        <v/>
      </c>
      <c r="J34" s="391"/>
      <c r="K34" s="316" t="str">
        <f>IF('Inputs Whole-Project Water Use'!K34&lt;&gt;"",'Inputs Whole-Project Water Use'!K34,"")</f>
        <v/>
      </c>
      <c r="L34" s="316" t="str">
        <f>IF('Inputs Whole-Project Water Use'!L34&lt;&gt;"",'Inputs Whole-Project Water Use'!L34,"")</f>
        <v/>
      </c>
      <c r="M34" s="390" t="str">
        <f t="shared" si="1"/>
        <v/>
      </c>
      <c r="N34" s="391"/>
      <c r="O34" s="225" t="str">
        <f t="shared" si="2"/>
        <v/>
      </c>
      <c r="P34" s="225" t="str">
        <f t="shared" si="3"/>
        <v/>
      </c>
      <c r="Q34" s="289" t="str">
        <f>IF(AND(D34&lt;&gt;"",'Inputs Whole-Project Water Use'!Q34=""),0,IF('Inputs Whole-Project Water Use'!Q34&lt;&gt;"",'Inputs Whole-Project Water Use'!Q34,""))</f>
        <v/>
      </c>
      <c r="R34" s="225" t="str">
        <f t="shared" si="4"/>
        <v/>
      </c>
      <c r="S34" s="225" t="str">
        <f t="shared" si="5"/>
        <v/>
      </c>
      <c r="T34" s="231" t="str">
        <f t="shared" si="6"/>
        <v/>
      </c>
      <c r="U34" s="241"/>
      <c r="V34" s="241"/>
      <c r="W34" s="241"/>
      <c r="X34" s="241"/>
      <c r="Y34" s="241"/>
      <c r="Z34" s="241"/>
      <c r="AA34" s="241"/>
      <c r="AB34" s="241"/>
      <c r="AC34" s="241"/>
      <c r="AD34" s="241"/>
      <c r="AE34" s="241"/>
      <c r="AF34" s="241"/>
      <c r="AG34" s="241"/>
      <c r="AH34" s="241"/>
      <c r="AI34" s="241"/>
      <c r="AJ34" s="241"/>
      <c r="AK34" s="241"/>
      <c r="AL34" s="241"/>
      <c r="AM34" s="241"/>
      <c r="AN34" s="241"/>
      <c r="AO34" s="241"/>
      <c r="AP34" s="241"/>
      <c r="AQ34" s="241"/>
      <c r="AR34" s="241"/>
      <c r="AS34" s="241"/>
      <c r="AT34" s="241"/>
      <c r="AU34" s="241"/>
      <c r="AV34" s="241"/>
      <c r="AW34" s="241"/>
      <c r="AX34" s="241"/>
      <c r="AY34" s="241"/>
      <c r="AZ34" s="241"/>
    </row>
    <row r="35" spans="1:52" s="71" customFormat="1" ht="18" customHeight="1">
      <c r="A35" s="175">
        <v>7</v>
      </c>
      <c r="B35" s="312" t="str">
        <f>(IF('Inputs Whole-Project Water Use'!B35&lt;&gt;"",'Inputs Whole-Project Water Use'!B35,""))</f>
        <v/>
      </c>
      <c r="C35" s="313" t="str">
        <f>IF(AND(D35&lt;&gt;"",'Inputs Whole-Project Water Use'!C35=""),1,IF('Inputs Whole-Project Water Use'!C35&lt;&gt;"",'Inputs Whole-Project Water Use'!C35,""))</f>
        <v/>
      </c>
      <c r="D35" s="397" t="str">
        <f>IF('Inputs Whole-Project Water Use'!D35&lt;&gt;"",'Inputs Whole-Project Water Use'!D35,"")</f>
        <v/>
      </c>
      <c r="E35" s="398"/>
      <c r="F35" s="314" t="str">
        <f>IF('Inputs Whole-Project Water Use'!F35&lt;&gt;"",'Inputs Whole-Project Water Use'!F35,"")</f>
        <v/>
      </c>
      <c r="G35" s="314" t="str">
        <f>IF('Inputs Whole-Project Water Use'!G35&lt;&gt;"",'Inputs Whole-Project Water Use'!G35,"")</f>
        <v/>
      </c>
      <c r="H35" s="315" t="str">
        <f>IF('Inputs Whole-Project Water Use'!H35&lt;&gt;"",'Inputs Whole-Project Water Use'!H35,"")</f>
        <v/>
      </c>
      <c r="I35" s="390" t="str">
        <f t="shared" si="0"/>
        <v/>
      </c>
      <c r="J35" s="391"/>
      <c r="K35" s="316" t="str">
        <f>IF('Inputs Whole-Project Water Use'!K35&lt;&gt;"",'Inputs Whole-Project Water Use'!K35,"")</f>
        <v/>
      </c>
      <c r="L35" s="316" t="str">
        <f>IF('Inputs Whole-Project Water Use'!L35&lt;&gt;"",'Inputs Whole-Project Water Use'!L35,"")</f>
        <v/>
      </c>
      <c r="M35" s="390" t="str">
        <f t="shared" si="1"/>
        <v/>
      </c>
      <c r="N35" s="391"/>
      <c r="O35" s="225" t="str">
        <f t="shared" si="2"/>
        <v/>
      </c>
      <c r="P35" s="225" t="str">
        <f t="shared" si="3"/>
        <v/>
      </c>
      <c r="Q35" s="289" t="str">
        <f>IF(AND(D35&lt;&gt;"",'Inputs Whole-Project Water Use'!Q35=""),0,IF('Inputs Whole-Project Water Use'!Q35&lt;&gt;"",'Inputs Whole-Project Water Use'!Q35,""))</f>
        <v/>
      </c>
      <c r="R35" s="225" t="str">
        <f t="shared" si="4"/>
        <v/>
      </c>
      <c r="S35" s="225" t="str">
        <f t="shared" si="5"/>
        <v/>
      </c>
      <c r="T35" s="231" t="str">
        <f t="shared" si="6"/>
        <v/>
      </c>
      <c r="U35" s="241"/>
      <c r="V35" s="241"/>
      <c r="W35" s="241"/>
      <c r="X35" s="241"/>
      <c r="Y35" s="241"/>
      <c r="Z35" s="241"/>
      <c r="AA35" s="241"/>
      <c r="AB35" s="241"/>
      <c r="AC35" s="241"/>
      <c r="AD35" s="241"/>
      <c r="AE35" s="241"/>
      <c r="AF35" s="241"/>
      <c r="AG35" s="241"/>
      <c r="AH35" s="241"/>
      <c r="AI35" s="241"/>
      <c r="AJ35" s="241"/>
      <c r="AK35" s="241"/>
      <c r="AL35" s="241"/>
      <c r="AM35" s="241"/>
      <c r="AN35" s="241"/>
      <c r="AO35" s="241"/>
      <c r="AP35" s="241"/>
      <c r="AQ35" s="241"/>
      <c r="AR35" s="241"/>
      <c r="AS35" s="241"/>
      <c r="AT35" s="241"/>
      <c r="AU35" s="241"/>
      <c r="AV35" s="241"/>
      <c r="AW35" s="241"/>
      <c r="AX35" s="241"/>
      <c r="AY35" s="241"/>
      <c r="AZ35" s="241"/>
    </row>
    <row r="36" spans="1:52" s="71" customFormat="1" ht="18" customHeight="1">
      <c r="A36" s="175">
        <v>8</v>
      </c>
      <c r="B36" s="312" t="str">
        <f>(IF('Inputs Whole-Project Water Use'!B36&lt;&gt;"",'Inputs Whole-Project Water Use'!B36,""))</f>
        <v/>
      </c>
      <c r="C36" s="313" t="str">
        <f>IF(AND(D36&lt;&gt;"",'Inputs Whole-Project Water Use'!C36=""),1,IF('Inputs Whole-Project Water Use'!C36&lt;&gt;"",'Inputs Whole-Project Water Use'!C36,""))</f>
        <v/>
      </c>
      <c r="D36" s="397" t="str">
        <f>IF('Inputs Whole-Project Water Use'!D36&lt;&gt;"",'Inputs Whole-Project Water Use'!D36,"")</f>
        <v/>
      </c>
      <c r="E36" s="398"/>
      <c r="F36" s="314" t="str">
        <f>IF('Inputs Whole-Project Water Use'!F36&lt;&gt;"",'Inputs Whole-Project Water Use'!F36,"")</f>
        <v/>
      </c>
      <c r="G36" s="314" t="str">
        <f>IF('Inputs Whole-Project Water Use'!G36&lt;&gt;"",'Inputs Whole-Project Water Use'!G36,"")</f>
        <v/>
      </c>
      <c r="H36" s="315" t="str">
        <f>IF('Inputs Whole-Project Water Use'!H36&lt;&gt;"",'Inputs Whole-Project Water Use'!H36,"")</f>
        <v/>
      </c>
      <c r="I36" s="390" t="str">
        <f t="shared" si="0"/>
        <v/>
      </c>
      <c r="J36" s="391"/>
      <c r="K36" s="316" t="str">
        <f>IF('Inputs Whole-Project Water Use'!K36&lt;&gt;"",'Inputs Whole-Project Water Use'!K36,"")</f>
        <v/>
      </c>
      <c r="L36" s="316" t="str">
        <f>IF('Inputs Whole-Project Water Use'!L36&lt;&gt;"",'Inputs Whole-Project Water Use'!L36,"")</f>
        <v/>
      </c>
      <c r="M36" s="390" t="str">
        <f t="shared" si="1"/>
        <v/>
      </c>
      <c r="N36" s="391"/>
      <c r="O36" s="225" t="str">
        <f t="shared" si="2"/>
        <v/>
      </c>
      <c r="P36" s="225" t="str">
        <f t="shared" si="3"/>
        <v/>
      </c>
      <c r="Q36" s="289" t="str">
        <f>IF(AND(D36&lt;&gt;"",'Inputs Whole-Project Water Use'!Q36=""),0,IF('Inputs Whole-Project Water Use'!Q36&lt;&gt;"",'Inputs Whole-Project Water Use'!Q36,""))</f>
        <v/>
      </c>
      <c r="R36" s="225" t="str">
        <f t="shared" si="4"/>
        <v/>
      </c>
      <c r="S36" s="225" t="str">
        <f t="shared" si="5"/>
        <v/>
      </c>
      <c r="T36" s="231" t="str">
        <f t="shared" si="6"/>
        <v/>
      </c>
      <c r="U36" s="241"/>
      <c r="V36" s="241"/>
      <c r="W36" s="241"/>
      <c r="X36" s="241"/>
      <c r="Y36" s="241"/>
      <c r="Z36" s="241"/>
      <c r="AA36" s="241"/>
      <c r="AB36" s="241"/>
      <c r="AC36" s="241"/>
      <c r="AD36" s="241"/>
      <c r="AE36" s="241"/>
      <c r="AF36" s="241"/>
      <c r="AG36" s="241"/>
      <c r="AH36" s="241"/>
      <c r="AI36" s="241"/>
      <c r="AJ36" s="241"/>
      <c r="AK36" s="241"/>
      <c r="AL36" s="241"/>
      <c r="AM36" s="241"/>
      <c r="AN36" s="241"/>
      <c r="AO36" s="241"/>
      <c r="AP36" s="241"/>
      <c r="AQ36" s="241"/>
      <c r="AR36" s="241"/>
      <c r="AS36" s="241"/>
      <c r="AT36" s="241"/>
      <c r="AU36" s="241"/>
      <c r="AV36" s="241"/>
      <c r="AW36" s="241"/>
      <c r="AX36" s="241"/>
      <c r="AY36" s="241"/>
      <c r="AZ36" s="241"/>
    </row>
    <row r="37" spans="1:52" s="71" customFormat="1" ht="18" customHeight="1">
      <c r="A37" s="175">
        <v>9</v>
      </c>
      <c r="B37" s="312" t="str">
        <f>(IF('Inputs Whole-Project Water Use'!B37&lt;&gt;"",'Inputs Whole-Project Water Use'!B37,""))</f>
        <v/>
      </c>
      <c r="C37" s="313" t="str">
        <f>IF(AND(D37&lt;&gt;"",'Inputs Whole-Project Water Use'!C37=""),1,IF('Inputs Whole-Project Water Use'!C37&lt;&gt;"",'Inputs Whole-Project Water Use'!C37,""))</f>
        <v/>
      </c>
      <c r="D37" s="397" t="str">
        <f>IF('Inputs Whole-Project Water Use'!D37&lt;&gt;"",'Inputs Whole-Project Water Use'!D37,"")</f>
        <v/>
      </c>
      <c r="E37" s="398"/>
      <c r="F37" s="314" t="str">
        <f>IF('Inputs Whole-Project Water Use'!F37&lt;&gt;"",'Inputs Whole-Project Water Use'!F37,"")</f>
        <v/>
      </c>
      <c r="G37" s="314" t="str">
        <f>IF('Inputs Whole-Project Water Use'!G37&lt;&gt;"",'Inputs Whole-Project Water Use'!G37,"")</f>
        <v/>
      </c>
      <c r="H37" s="315" t="str">
        <f>IF('Inputs Whole-Project Water Use'!H37&lt;&gt;"",'Inputs Whole-Project Water Use'!H37,"")</f>
        <v/>
      </c>
      <c r="I37" s="390" t="str">
        <f t="shared" si="0"/>
        <v/>
      </c>
      <c r="J37" s="391"/>
      <c r="K37" s="316" t="str">
        <f>IF('Inputs Whole-Project Water Use'!K37&lt;&gt;"",'Inputs Whole-Project Water Use'!K37,"")</f>
        <v/>
      </c>
      <c r="L37" s="316" t="str">
        <f>IF('Inputs Whole-Project Water Use'!L37&lt;&gt;"",'Inputs Whole-Project Water Use'!L37,"")</f>
        <v/>
      </c>
      <c r="M37" s="390" t="str">
        <f t="shared" si="1"/>
        <v/>
      </c>
      <c r="N37" s="391"/>
      <c r="O37" s="225" t="str">
        <f t="shared" si="2"/>
        <v/>
      </c>
      <c r="P37" s="225" t="str">
        <f t="shared" si="3"/>
        <v/>
      </c>
      <c r="Q37" s="289" t="str">
        <f>IF(AND(D37&lt;&gt;"",'Inputs Whole-Project Water Use'!Q37=""),0,IF('Inputs Whole-Project Water Use'!Q37&lt;&gt;"",'Inputs Whole-Project Water Use'!Q37,""))</f>
        <v/>
      </c>
      <c r="R37" s="225" t="str">
        <f t="shared" si="4"/>
        <v/>
      </c>
      <c r="S37" s="225" t="str">
        <f t="shared" si="5"/>
        <v/>
      </c>
      <c r="T37" s="231" t="str">
        <f t="shared" si="6"/>
        <v/>
      </c>
      <c r="U37" s="241"/>
      <c r="V37" s="241"/>
      <c r="W37" s="241"/>
      <c r="X37" s="241"/>
      <c r="Y37" s="241"/>
      <c r="Z37" s="241"/>
      <c r="AA37" s="241"/>
      <c r="AB37" s="241"/>
      <c r="AC37" s="241"/>
      <c r="AD37" s="241"/>
      <c r="AE37" s="241"/>
      <c r="AF37" s="241"/>
      <c r="AG37" s="241"/>
      <c r="AH37" s="241"/>
      <c r="AI37" s="241"/>
      <c r="AJ37" s="241"/>
      <c r="AK37" s="241"/>
      <c r="AL37" s="241"/>
      <c r="AM37" s="241"/>
      <c r="AN37" s="241"/>
      <c r="AO37" s="241"/>
      <c r="AP37" s="241"/>
      <c r="AQ37" s="241"/>
      <c r="AR37" s="241"/>
      <c r="AS37" s="241"/>
      <c r="AT37" s="241"/>
      <c r="AU37" s="241"/>
      <c r="AV37" s="241"/>
      <c r="AW37" s="241"/>
      <c r="AX37" s="241"/>
      <c r="AY37" s="241"/>
      <c r="AZ37" s="241"/>
    </row>
    <row r="38" spans="1:52" s="71" customFormat="1" ht="18" customHeight="1">
      <c r="A38" s="175">
        <v>10</v>
      </c>
      <c r="B38" s="312" t="str">
        <f>(IF('Inputs Whole-Project Water Use'!B38&lt;&gt;"",'Inputs Whole-Project Water Use'!B38,""))</f>
        <v/>
      </c>
      <c r="C38" s="313" t="str">
        <f>IF(AND(D38&lt;&gt;"",'Inputs Whole-Project Water Use'!C38=""),1,IF('Inputs Whole-Project Water Use'!C38&lt;&gt;"",'Inputs Whole-Project Water Use'!C38,""))</f>
        <v/>
      </c>
      <c r="D38" s="397" t="str">
        <f>IF('Inputs Whole-Project Water Use'!D38&lt;&gt;"",'Inputs Whole-Project Water Use'!D38,"")</f>
        <v/>
      </c>
      <c r="E38" s="398"/>
      <c r="F38" s="314" t="str">
        <f>IF('Inputs Whole-Project Water Use'!F38&lt;&gt;"",'Inputs Whole-Project Water Use'!F38,"")</f>
        <v/>
      </c>
      <c r="G38" s="314" t="str">
        <f>IF('Inputs Whole-Project Water Use'!G38&lt;&gt;"",'Inputs Whole-Project Water Use'!G38,"")</f>
        <v/>
      </c>
      <c r="H38" s="315" t="str">
        <f>IF('Inputs Whole-Project Water Use'!H38&lt;&gt;"",'Inputs Whole-Project Water Use'!H38,"")</f>
        <v/>
      </c>
      <c r="I38" s="390" t="str">
        <f t="shared" si="0"/>
        <v/>
      </c>
      <c r="J38" s="391"/>
      <c r="K38" s="316" t="str">
        <f>IF('Inputs Whole-Project Water Use'!K38&lt;&gt;"",'Inputs Whole-Project Water Use'!K38,"")</f>
        <v/>
      </c>
      <c r="L38" s="316" t="str">
        <f>IF('Inputs Whole-Project Water Use'!L38&lt;&gt;"",'Inputs Whole-Project Water Use'!L38,"")</f>
        <v/>
      </c>
      <c r="M38" s="390" t="str">
        <f t="shared" si="1"/>
        <v/>
      </c>
      <c r="N38" s="391"/>
      <c r="O38" s="225" t="str">
        <f t="shared" si="2"/>
        <v/>
      </c>
      <c r="P38" s="225" t="str">
        <f t="shared" si="3"/>
        <v/>
      </c>
      <c r="Q38" s="289" t="str">
        <f>IF(AND(D38&lt;&gt;"",'Inputs Whole-Project Water Use'!Q38=""),0,IF('Inputs Whole-Project Water Use'!Q38&lt;&gt;"",'Inputs Whole-Project Water Use'!Q38,""))</f>
        <v/>
      </c>
      <c r="R38" s="225" t="str">
        <f t="shared" si="4"/>
        <v/>
      </c>
      <c r="S38" s="225" t="str">
        <f t="shared" si="5"/>
        <v/>
      </c>
      <c r="T38" s="231" t="str">
        <f t="shared" si="6"/>
        <v/>
      </c>
      <c r="U38" s="176" t="s">
        <v>165</v>
      </c>
      <c r="V38" s="241"/>
      <c r="W38" s="241"/>
      <c r="X38" s="241"/>
      <c r="Y38" s="241"/>
      <c r="Z38" s="241"/>
      <c r="AA38" s="241"/>
      <c r="AB38" s="241"/>
      <c r="AC38" s="241"/>
      <c r="AD38" s="241"/>
      <c r="AE38" s="241"/>
      <c r="AF38" s="241"/>
      <c r="AG38" s="241"/>
      <c r="AH38" s="241"/>
      <c r="AI38" s="241"/>
      <c r="AJ38" s="241"/>
      <c r="AK38" s="241"/>
      <c r="AL38" s="241"/>
      <c r="AM38" s="241"/>
      <c r="AN38" s="241"/>
      <c r="AO38" s="241"/>
      <c r="AP38" s="241"/>
      <c r="AQ38" s="241"/>
      <c r="AR38" s="241"/>
      <c r="AS38" s="241"/>
      <c r="AT38" s="241"/>
      <c r="AU38" s="241"/>
      <c r="AV38" s="241"/>
      <c r="AW38" s="241"/>
      <c r="AX38" s="241"/>
      <c r="AY38" s="241"/>
      <c r="AZ38" s="241"/>
    </row>
    <row r="39" spans="1:52" s="71" customFormat="1" ht="18" hidden="1" customHeight="1" outlineLevel="1">
      <c r="A39" s="175">
        <v>11</v>
      </c>
      <c r="B39" s="312" t="str">
        <f>(IF('Inputs Whole-Project Water Use'!B39&lt;&gt;"",'Inputs Whole-Project Water Use'!B39,""))</f>
        <v/>
      </c>
      <c r="C39" s="313" t="str">
        <f>IF(AND(D39&lt;&gt;"",'Inputs Whole-Project Water Use'!C39=""),1,IF('Inputs Whole-Project Water Use'!C39&lt;&gt;"",'Inputs Whole-Project Water Use'!C39,""))</f>
        <v/>
      </c>
      <c r="D39" s="397" t="str">
        <f>IF('Inputs Whole-Project Water Use'!D39&lt;&gt;"",'Inputs Whole-Project Water Use'!D39,"")</f>
        <v/>
      </c>
      <c r="E39" s="398"/>
      <c r="F39" s="314" t="str">
        <f>IF('Inputs Whole-Project Water Use'!F39&lt;&gt;"",'Inputs Whole-Project Water Use'!F39,"")</f>
        <v/>
      </c>
      <c r="G39" s="314" t="str">
        <f>IF('Inputs Whole-Project Water Use'!G39&lt;&gt;"",'Inputs Whole-Project Water Use'!G39,"")</f>
        <v/>
      </c>
      <c r="H39" s="315" t="str">
        <f>IF('Inputs Whole-Project Water Use'!H39&lt;&gt;"",'Inputs Whole-Project Water Use'!H39,"")</f>
        <v/>
      </c>
      <c r="I39" s="390" t="str">
        <f t="shared" si="0"/>
        <v/>
      </c>
      <c r="J39" s="391"/>
      <c r="K39" s="316" t="str">
        <f>IF('Inputs Whole-Project Water Use'!K39&lt;&gt;"",'Inputs Whole-Project Water Use'!K39,"")</f>
        <v/>
      </c>
      <c r="L39" s="316" t="str">
        <f>IF('Inputs Whole-Project Water Use'!L39&lt;&gt;"",'Inputs Whole-Project Water Use'!L39,"")</f>
        <v/>
      </c>
      <c r="M39" s="390" t="str">
        <f t="shared" si="1"/>
        <v/>
      </c>
      <c r="N39" s="391"/>
      <c r="O39" s="225" t="str">
        <f t="shared" si="2"/>
        <v/>
      </c>
      <c r="P39" s="225" t="str">
        <f t="shared" si="3"/>
        <v/>
      </c>
      <c r="Q39" s="289" t="str">
        <f>IF(AND(D39&lt;&gt;"",'Inputs Whole-Project Water Use'!Q39=""),0,IF('Inputs Whole-Project Water Use'!Q39&lt;&gt;"",'Inputs Whole-Project Water Use'!Q39,""))</f>
        <v/>
      </c>
      <c r="R39" s="225" t="str">
        <f t="shared" si="4"/>
        <v/>
      </c>
      <c r="S39" s="225" t="str">
        <f t="shared" si="5"/>
        <v/>
      </c>
      <c r="T39" s="231" t="str">
        <f t="shared" si="6"/>
        <v/>
      </c>
      <c r="U39" s="241"/>
      <c r="V39" s="241"/>
      <c r="W39" s="241"/>
      <c r="X39" s="241"/>
      <c r="Y39" s="241"/>
      <c r="Z39" s="241"/>
      <c r="AA39" s="241"/>
      <c r="AB39" s="241"/>
      <c r="AC39" s="241"/>
      <c r="AD39" s="241"/>
      <c r="AE39" s="241"/>
      <c r="AF39" s="241"/>
      <c r="AG39" s="241"/>
      <c r="AH39" s="241"/>
      <c r="AI39" s="241"/>
      <c r="AJ39" s="241"/>
      <c r="AK39" s="241"/>
      <c r="AL39" s="241"/>
      <c r="AM39" s="241"/>
      <c r="AN39" s="241"/>
      <c r="AO39" s="241"/>
      <c r="AP39" s="241"/>
      <c r="AQ39" s="241"/>
      <c r="AR39" s="241"/>
      <c r="AS39" s="241"/>
      <c r="AT39" s="241"/>
      <c r="AU39" s="241"/>
      <c r="AV39" s="241"/>
      <c r="AW39" s="241"/>
      <c r="AX39" s="241"/>
      <c r="AY39" s="241"/>
      <c r="AZ39" s="241"/>
    </row>
    <row r="40" spans="1:52" s="71" customFormat="1" ht="18" hidden="1" customHeight="1" outlineLevel="1">
      <c r="A40" s="175">
        <v>12</v>
      </c>
      <c r="B40" s="312" t="str">
        <f>(IF('Inputs Whole-Project Water Use'!B40&lt;&gt;"",'Inputs Whole-Project Water Use'!B40,""))</f>
        <v/>
      </c>
      <c r="C40" s="313" t="str">
        <f>IF(AND(D40&lt;&gt;"",'Inputs Whole-Project Water Use'!C40=""),1,IF('Inputs Whole-Project Water Use'!C40&lt;&gt;"",'Inputs Whole-Project Water Use'!C40,""))</f>
        <v/>
      </c>
      <c r="D40" s="397" t="str">
        <f>IF('Inputs Whole-Project Water Use'!D40&lt;&gt;"",'Inputs Whole-Project Water Use'!D40,"")</f>
        <v/>
      </c>
      <c r="E40" s="398"/>
      <c r="F40" s="314" t="str">
        <f>IF('Inputs Whole-Project Water Use'!F40&lt;&gt;"",'Inputs Whole-Project Water Use'!F40,"")</f>
        <v/>
      </c>
      <c r="G40" s="314" t="str">
        <f>IF('Inputs Whole-Project Water Use'!G40&lt;&gt;"",'Inputs Whole-Project Water Use'!G40,"")</f>
        <v/>
      </c>
      <c r="H40" s="315" t="str">
        <f>IF('Inputs Whole-Project Water Use'!H40&lt;&gt;"",'Inputs Whole-Project Water Use'!H40,"")</f>
        <v/>
      </c>
      <c r="I40" s="390" t="str">
        <f t="shared" si="0"/>
        <v/>
      </c>
      <c r="J40" s="391"/>
      <c r="K40" s="316" t="str">
        <f>IF('Inputs Whole-Project Water Use'!K40&lt;&gt;"",'Inputs Whole-Project Water Use'!K40,"")</f>
        <v/>
      </c>
      <c r="L40" s="316" t="str">
        <f>IF('Inputs Whole-Project Water Use'!L40&lt;&gt;"",'Inputs Whole-Project Water Use'!L40,"")</f>
        <v/>
      </c>
      <c r="M40" s="390" t="str">
        <f t="shared" si="1"/>
        <v/>
      </c>
      <c r="N40" s="391"/>
      <c r="O40" s="225" t="str">
        <f t="shared" si="2"/>
        <v/>
      </c>
      <c r="P40" s="225" t="str">
        <f t="shared" si="3"/>
        <v/>
      </c>
      <c r="Q40" s="289" t="str">
        <f>IF(AND(D40&lt;&gt;"",'Inputs Whole-Project Water Use'!Q40=""),0,IF('Inputs Whole-Project Water Use'!Q40&lt;&gt;"",'Inputs Whole-Project Water Use'!Q40,""))</f>
        <v/>
      </c>
      <c r="R40" s="225" t="str">
        <f t="shared" si="4"/>
        <v/>
      </c>
      <c r="S40" s="225" t="str">
        <f t="shared" si="5"/>
        <v/>
      </c>
      <c r="T40" s="231" t="str">
        <f t="shared" si="6"/>
        <v/>
      </c>
      <c r="U40" s="241"/>
      <c r="V40" s="241"/>
      <c r="W40" s="241"/>
      <c r="X40" s="241"/>
      <c r="Y40" s="241"/>
      <c r="Z40" s="241"/>
      <c r="AA40" s="241"/>
      <c r="AB40" s="241"/>
      <c r="AC40" s="241"/>
      <c r="AD40" s="241"/>
      <c r="AE40" s="241"/>
      <c r="AF40" s="241"/>
      <c r="AG40" s="241"/>
      <c r="AH40" s="241"/>
      <c r="AI40" s="241"/>
      <c r="AJ40" s="241"/>
      <c r="AK40" s="241"/>
      <c r="AL40" s="241"/>
      <c r="AM40" s="241"/>
      <c r="AN40" s="241"/>
      <c r="AO40" s="241"/>
      <c r="AP40" s="241"/>
      <c r="AQ40" s="241"/>
      <c r="AR40" s="241"/>
      <c r="AS40" s="241"/>
      <c r="AT40" s="241"/>
      <c r="AU40" s="241"/>
      <c r="AV40" s="241"/>
      <c r="AW40" s="241"/>
      <c r="AX40" s="241"/>
      <c r="AY40" s="241"/>
      <c r="AZ40" s="241"/>
    </row>
    <row r="41" spans="1:52" s="71" customFormat="1" ht="18" hidden="1" customHeight="1" outlineLevel="1">
      <c r="A41" s="175">
        <v>13</v>
      </c>
      <c r="B41" s="312" t="str">
        <f>(IF('Inputs Whole-Project Water Use'!B41&lt;&gt;"",'Inputs Whole-Project Water Use'!B41,""))</f>
        <v/>
      </c>
      <c r="C41" s="313" t="str">
        <f>IF(AND(D41&lt;&gt;"",'Inputs Whole-Project Water Use'!C41=""),1,IF('Inputs Whole-Project Water Use'!C41&lt;&gt;"",'Inputs Whole-Project Water Use'!C41,""))</f>
        <v/>
      </c>
      <c r="D41" s="397" t="str">
        <f>IF('Inputs Whole-Project Water Use'!D41&lt;&gt;"",'Inputs Whole-Project Water Use'!D41,"")</f>
        <v/>
      </c>
      <c r="E41" s="398"/>
      <c r="F41" s="314" t="str">
        <f>IF('Inputs Whole-Project Water Use'!F41&lt;&gt;"",'Inputs Whole-Project Water Use'!F41,"")</f>
        <v/>
      </c>
      <c r="G41" s="314" t="str">
        <f>IF('Inputs Whole-Project Water Use'!G41&lt;&gt;"",'Inputs Whole-Project Water Use'!G41,"")</f>
        <v/>
      </c>
      <c r="H41" s="315" t="str">
        <f>IF('Inputs Whole-Project Water Use'!H41&lt;&gt;"",'Inputs Whole-Project Water Use'!H41,"")</f>
        <v/>
      </c>
      <c r="I41" s="390" t="str">
        <f t="shared" si="0"/>
        <v/>
      </c>
      <c r="J41" s="391"/>
      <c r="K41" s="316" t="str">
        <f>IF('Inputs Whole-Project Water Use'!K41&lt;&gt;"",'Inputs Whole-Project Water Use'!K41,"")</f>
        <v/>
      </c>
      <c r="L41" s="316" t="str">
        <f>IF('Inputs Whole-Project Water Use'!L41&lt;&gt;"",'Inputs Whole-Project Water Use'!L41,"")</f>
        <v/>
      </c>
      <c r="M41" s="390" t="str">
        <f t="shared" si="1"/>
        <v/>
      </c>
      <c r="N41" s="391"/>
      <c r="O41" s="225" t="str">
        <f t="shared" si="2"/>
        <v/>
      </c>
      <c r="P41" s="225" t="str">
        <f t="shared" si="3"/>
        <v/>
      </c>
      <c r="Q41" s="289" t="str">
        <f>IF(AND(D41&lt;&gt;"",'Inputs Whole-Project Water Use'!Q41=""),0,IF('Inputs Whole-Project Water Use'!Q41&lt;&gt;"",'Inputs Whole-Project Water Use'!Q41,""))</f>
        <v/>
      </c>
      <c r="R41" s="225" t="str">
        <f t="shared" si="4"/>
        <v/>
      </c>
      <c r="S41" s="225" t="str">
        <f t="shared" si="5"/>
        <v/>
      </c>
      <c r="T41" s="231" t="str">
        <f t="shared" si="6"/>
        <v/>
      </c>
      <c r="U41" s="241"/>
      <c r="V41" s="241"/>
      <c r="W41" s="241"/>
      <c r="X41" s="241"/>
      <c r="Y41" s="241"/>
      <c r="Z41" s="241"/>
      <c r="AA41" s="241"/>
      <c r="AB41" s="241"/>
      <c r="AC41" s="241"/>
      <c r="AD41" s="241"/>
      <c r="AE41" s="241"/>
      <c r="AF41" s="241"/>
      <c r="AG41" s="241"/>
      <c r="AH41" s="241"/>
      <c r="AI41" s="241"/>
      <c r="AJ41" s="241"/>
      <c r="AK41" s="241"/>
      <c r="AL41" s="241"/>
      <c r="AM41" s="241"/>
      <c r="AN41" s="241"/>
      <c r="AO41" s="241"/>
      <c r="AP41" s="241"/>
      <c r="AQ41" s="241"/>
      <c r="AR41" s="241"/>
      <c r="AS41" s="241"/>
      <c r="AT41" s="241"/>
      <c r="AU41" s="241"/>
      <c r="AV41" s="241"/>
      <c r="AW41" s="241"/>
      <c r="AX41" s="241"/>
      <c r="AY41" s="241"/>
      <c r="AZ41" s="241"/>
    </row>
    <row r="42" spans="1:52" s="71" customFormat="1" ht="18" hidden="1" customHeight="1" outlineLevel="1">
      <c r="A42" s="175">
        <v>14</v>
      </c>
      <c r="B42" s="312" t="str">
        <f>(IF('Inputs Whole-Project Water Use'!B42&lt;&gt;"",'Inputs Whole-Project Water Use'!B42,""))</f>
        <v/>
      </c>
      <c r="C42" s="313" t="str">
        <f>IF(AND(D42&lt;&gt;"",'Inputs Whole-Project Water Use'!C42=""),1,IF('Inputs Whole-Project Water Use'!C42&lt;&gt;"",'Inputs Whole-Project Water Use'!C42,""))</f>
        <v/>
      </c>
      <c r="D42" s="397" t="str">
        <f>IF('Inputs Whole-Project Water Use'!D42&lt;&gt;"",'Inputs Whole-Project Water Use'!D42,"")</f>
        <v/>
      </c>
      <c r="E42" s="398"/>
      <c r="F42" s="314" t="str">
        <f>IF('Inputs Whole-Project Water Use'!F42&lt;&gt;"",'Inputs Whole-Project Water Use'!F42,"")</f>
        <v/>
      </c>
      <c r="G42" s="314" t="str">
        <f>IF('Inputs Whole-Project Water Use'!G42&lt;&gt;"",'Inputs Whole-Project Water Use'!G42,"")</f>
        <v/>
      </c>
      <c r="H42" s="315" t="str">
        <f>IF('Inputs Whole-Project Water Use'!H42&lt;&gt;"",'Inputs Whole-Project Water Use'!H42,"")</f>
        <v/>
      </c>
      <c r="I42" s="390" t="str">
        <f t="shared" si="0"/>
        <v/>
      </c>
      <c r="J42" s="391"/>
      <c r="K42" s="316" t="str">
        <f>IF('Inputs Whole-Project Water Use'!K42&lt;&gt;"",'Inputs Whole-Project Water Use'!K42,"")</f>
        <v/>
      </c>
      <c r="L42" s="316" t="str">
        <f>IF('Inputs Whole-Project Water Use'!L42&lt;&gt;"",'Inputs Whole-Project Water Use'!L42,"")</f>
        <v/>
      </c>
      <c r="M42" s="390" t="str">
        <f t="shared" si="1"/>
        <v/>
      </c>
      <c r="N42" s="391"/>
      <c r="O42" s="225" t="str">
        <f t="shared" si="2"/>
        <v/>
      </c>
      <c r="P42" s="225" t="str">
        <f t="shared" si="3"/>
        <v/>
      </c>
      <c r="Q42" s="289" t="str">
        <f>IF(AND(D42&lt;&gt;"",'Inputs Whole-Project Water Use'!Q42=""),0,IF('Inputs Whole-Project Water Use'!Q42&lt;&gt;"",'Inputs Whole-Project Water Use'!Q42,""))</f>
        <v/>
      </c>
      <c r="R42" s="225" t="str">
        <f t="shared" si="4"/>
        <v/>
      </c>
      <c r="S42" s="225" t="str">
        <f t="shared" si="5"/>
        <v/>
      </c>
      <c r="T42" s="231" t="str">
        <f t="shared" si="6"/>
        <v/>
      </c>
      <c r="U42" s="241"/>
      <c r="V42" s="241"/>
      <c r="W42" s="241"/>
      <c r="X42" s="241"/>
      <c r="Y42" s="241"/>
      <c r="Z42" s="241"/>
      <c r="AA42" s="241"/>
      <c r="AB42" s="241"/>
      <c r="AC42" s="241"/>
      <c r="AD42" s="241"/>
      <c r="AE42" s="241"/>
      <c r="AF42" s="241"/>
      <c r="AG42" s="241"/>
      <c r="AH42" s="241"/>
      <c r="AI42" s="241"/>
      <c r="AJ42" s="241"/>
      <c r="AK42" s="241"/>
      <c r="AL42" s="241"/>
      <c r="AM42" s="241"/>
      <c r="AN42" s="241"/>
      <c r="AO42" s="241"/>
      <c r="AP42" s="241"/>
      <c r="AQ42" s="241"/>
      <c r="AR42" s="241"/>
      <c r="AS42" s="241"/>
      <c r="AT42" s="241"/>
      <c r="AU42" s="241"/>
      <c r="AV42" s="241"/>
      <c r="AW42" s="241"/>
      <c r="AX42" s="241"/>
      <c r="AY42" s="241"/>
      <c r="AZ42" s="241"/>
    </row>
    <row r="43" spans="1:52" s="71" customFormat="1" ht="18" hidden="1" customHeight="1" outlineLevel="1">
      <c r="A43" s="175">
        <v>15</v>
      </c>
      <c r="B43" s="312" t="str">
        <f>(IF('Inputs Whole-Project Water Use'!B43&lt;&gt;"",'Inputs Whole-Project Water Use'!B43,""))</f>
        <v/>
      </c>
      <c r="C43" s="313" t="str">
        <f>IF(AND(D43&lt;&gt;"",'Inputs Whole-Project Water Use'!C43=""),1,IF('Inputs Whole-Project Water Use'!C43&lt;&gt;"",'Inputs Whole-Project Water Use'!C43,""))</f>
        <v/>
      </c>
      <c r="D43" s="397" t="str">
        <f>IF('Inputs Whole-Project Water Use'!D43&lt;&gt;"",'Inputs Whole-Project Water Use'!D43,"")</f>
        <v/>
      </c>
      <c r="E43" s="398"/>
      <c r="F43" s="314" t="str">
        <f>IF('Inputs Whole-Project Water Use'!F43&lt;&gt;"",'Inputs Whole-Project Water Use'!F43,"")</f>
        <v/>
      </c>
      <c r="G43" s="314" t="str">
        <f>IF('Inputs Whole-Project Water Use'!G43&lt;&gt;"",'Inputs Whole-Project Water Use'!G43,"")</f>
        <v/>
      </c>
      <c r="H43" s="315" t="str">
        <f>IF('Inputs Whole-Project Water Use'!H43&lt;&gt;"",'Inputs Whole-Project Water Use'!H43,"")</f>
        <v/>
      </c>
      <c r="I43" s="390" t="str">
        <f t="shared" si="0"/>
        <v/>
      </c>
      <c r="J43" s="391"/>
      <c r="K43" s="316" t="str">
        <f>IF('Inputs Whole-Project Water Use'!K43&lt;&gt;"",'Inputs Whole-Project Water Use'!K43,"")</f>
        <v/>
      </c>
      <c r="L43" s="316" t="str">
        <f>IF('Inputs Whole-Project Water Use'!L43&lt;&gt;"",'Inputs Whole-Project Water Use'!L43,"")</f>
        <v/>
      </c>
      <c r="M43" s="390" t="str">
        <f t="shared" si="1"/>
        <v/>
      </c>
      <c r="N43" s="391"/>
      <c r="O43" s="225" t="str">
        <f t="shared" si="2"/>
        <v/>
      </c>
      <c r="P43" s="225" t="str">
        <f t="shared" si="3"/>
        <v/>
      </c>
      <c r="Q43" s="289" t="str">
        <f>IF(AND(D43&lt;&gt;"",'Inputs Whole-Project Water Use'!Q43=""),0,IF('Inputs Whole-Project Water Use'!Q43&lt;&gt;"",'Inputs Whole-Project Water Use'!Q43,""))</f>
        <v/>
      </c>
      <c r="R43" s="225" t="str">
        <f t="shared" si="4"/>
        <v/>
      </c>
      <c r="S43" s="225" t="str">
        <f t="shared" si="5"/>
        <v/>
      </c>
      <c r="T43" s="231" t="str">
        <f t="shared" si="6"/>
        <v/>
      </c>
      <c r="U43" s="241"/>
      <c r="V43" s="241"/>
      <c r="W43" s="241"/>
      <c r="X43" s="241"/>
      <c r="Y43" s="241"/>
      <c r="Z43" s="241"/>
      <c r="AA43" s="241"/>
      <c r="AB43" s="241"/>
      <c r="AC43" s="241"/>
      <c r="AD43" s="241"/>
      <c r="AE43" s="241"/>
      <c r="AF43" s="241"/>
      <c r="AG43" s="241"/>
      <c r="AH43" s="241"/>
      <c r="AI43" s="241"/>
      <c r="AJ43" s="241"/>
      <c r="AK43" s="241"/>
      <c r="AL43" s="241"/>
      <c r="AM43" s="241"/>
      <c r="AN43" s="241"/>
      <c r="AO43" s="241"/>
      <c r="AP43" s="241"/>
      <c r="AQ43" s="241"/>
      <c r="AR43" s="241"/>
      <c r="AS43" s="241"/>
      <c r="AT43" s="241"/>
      <c r="AU43" s="241"/>
      <c r="AV43" s="241"/>
      <c r="AW43" s="241"/>
      <c r="AX43" s="241"/>
      <c r="AY43" s="241"/>
      <c r="AZ43" s="241"/>
    </row>
    <row r="44" spans="1:52" s="71" customFormat="1" ht="18" hidden="1" customHeight="1" outlineLevel="1">
      <c r="A44" s="175">
        <v>16</v>
      </c>
      <c r="B44" s="312" t="str">
        <f>(IF('Inputs Whole-Project Water Use'!B44&lt;&gt;"",'Inputs Whole-Project Water Use'!B44,""))</f>
        <v/>
      </c>
      <c r="C44" s="313" t="str">
        <f>IF(AND(D44&lt;&gt;"",'Inputs Whole-Project Water Use'!C44=""),1,IF('Inputs Whole-Project Water Use'!C44&lt;&gt;"",'Inputs Whole-Project Water Use'!C44,""))</f>
        <v/>
      </c>
      <c r="D44" s="397" t="str">
        <f>IF('Inputs Whole-Project Water Use'!D44&lt;&gt;"",'Inputs Whole-Project Water Use'!D44,"")</f>
        <v/>
      </c>
      <c r="E44" s="398"/>
      <c r="F44" s="314" t="str">
        <f>IF('Inputs Whole-Project Water Use'!F44&lt;&gt;"",'Inputs Whole-Project Water Use'!F44,"")</f>
        <v/>
      </c>
      <c r="G44" s="314" t="str">
        <f>IF('Inputs Whole-Project Water Use'!G44&lt;&gt;"",'Inputs Whole-Project Water Use'!G44,"")</f>
        <v/>
      </c>
      <c r="H44" s="315" t="str">
        <f>IF('Inputs Whole-Project Water Use'!H44&lt;&gt;"",'Inputs Whole-Project Water Use'!H44,"")</f>
        <v/>
      </c>
      <c r="I44" s="390" t="str">
        <f t="shared" si="0"/>
        <v/>
      </c>
      <c r="J44" s="391"/>
      <c r="K44" s="316" t="str">
        <f>IF('Inputs Whole-Project Water Use'!K44&lt;&gt;"",'Inputs Whole-Project Water Use'!K44,"")</f>
        <v/>
      </c>
      <c r="L44" s="316" t="str">
        <f>IF('Inputs Whole-Project Water Use'!L44&lt;&gt;"",'Inputs Whole-Project Water Use'!L44,"")</f>
        <v/>
      </c>
      <c r="M44" s="390" t="str">
        <f t="shared" si="1"/>
        <v/>
      </c>
      <c r="N44" s="391"/>
      <c r="O44" s="225" t="str">
        <f t="shared" si="2"/>
        <v/>
      </c>
      <c r="P44" s="225" t="str">
        <f t="shared" si="3"/>
        <v/>
      </c>
      <c r="Q44" s="289" t="str">
        <f>IF(AND(D44&lt;&gt;"",'Inputs Whole-Project Water Use'!Q44=""),0,IF('Inputs Whole-Project Water Use'!Q44&lt;&gt;"",'Inputs Whole-Project Water Use'!Q44,""))</f>
        <v/>
      </c>
      <c r="R44" s="225" t="str">
        <f t="shared" si="4"/>
        <v/>
      </c>
      <c r="S44" s="225" t="str">
        <f t="shared" si="5"/>
        <v/>
      </c>
      <c r="T44" s="231" t="str">
        <f t="shared" si="6"/>
        <v/>
      </c>
      <c r="U44" s="241"/>
      <c r="V44" s="241"/>
      <c r="W44" s="241"/>
      <c r="X44" s="241"/>
      <c r="Y44" s="241"/>
      <c r="Z44" s="241"/>
      <c r="AA44" s="241"/>
      <c r="AB44" s="241"/>
      <c r="AC44" s="241"/>
      <c r="AD44" s="241"/>
      <c r="AE44" s="241"/>
      <c r="AF44" s="241"/>
      <c r="AG44" s="241"/>
      <c r="AH44" s="241"/>
      <c r="AI44" s="241"/>
      <c r="AJ44" s="241"/>
      <c r="AK44" s="241"/>
      <c r="AL44" s="241"/>
      <c r="AM44" s="241"/>
      <c r="AN44" s="241"/>
      <c r="AO44" s="241"/>
      <c r="AP44" s="241"/>
      <c r="AQ44" s="241"/>
      <c r="AR44" s="241"/>
      <c r="AS44" s="241"/>
      <c r="AT44" s="241"/>
      <c r="AU44" s="241"/>
      <c r="AV44" s="241"/>
      <c r="AW44" s="241"/>
      <c r="AX44" s="241"/>
      <c r="AY44" s="241"/>
      <c r="AZ44" s="241"/>
    </row>
    <row r="45" spans="1:52" s="71" customFormat="1" ht="18" hidden="1" customHeight="1" outlineLevel="1">
      <c r="A45" s="175">
        <v>17</v>
      </c>
      <c r="B45" s="312" t="str">
        <f>(IF('Inputs Whole-Project Water Use'!B45&lt;&gt;"",'Inputs Whole-Project Water Use'!B45,""))</f>
        <v/>
      </c>
      <c r="C45" s="313" t="str">
        <f>IF(AND(D45&lt;&gt;"",'Inputs Whole-Project Water Use'!C45=""),1,IF('Inputs Whole-Project Water Use'!C45&lt;&gt;"",'Inputs Whole-Project Water Use'!C45,""))</f>
        <v/>
      </c>
      <c r="D45" s="397" t="str">
        <f>IF('Inputs Whole-Project Water Use'!D45&lt;&gt;"",'Inputs Whole-Project Water Use'!D45,"")</f>
        <v/>
      </c>
      <c r="E45" s="398"/>
      <c r="F45" s="314" t="str">
        <f>IF('Inputs Whole-Project Water Use'!F45&lt;&gt;"",'Inputs Whole-Project Water Use'!F45,"")</f>
        <v/>
      </c>
      <c r="G45" s="314" t="str">
        <f>IF('Inputs Whole-Project Water Use'!G45&lt;&gt;"",'Inputs Whole-Project Water Use'!G45,"")</f>
        <v/>
      </c>
      <c r="H45" s="315" t="str">
        <f>IF('Inputs Whole-Project Water Use'!H45&lt;&gt;"",'Inputs Whole-Project Water Use'!H45,"")</f>
        <v/>
      </c>
      <c r="I45" s="390" t="str">
        <f t="shared" si="0"/>
        <v/>
      </c>
      <c r="J45" s="391"/>
      <c r="K45" s="316" t="str">
        <f>IF('Inputs Whole-Project Water Use'!K45&lt;&gt;"",'Inputs Whole-Project Water Use'!K45,"")</f>
        <v/>
      </c>
      <c r="L45" s="316" t="str">
        <f>IF('Inputs Whole-Project Water Use'!L45&lt;&gt;"",'Inputs Whole-Project Water Use'!L45,"")</f>
        <v/>
      </c>
      <c r="M45" s="390" t="str">
        <f t="shared" si="1"/>
        <v/>
      </c>
      <c r="N45" s="391"/>
      <c r="O45" s="225" t="str">
        <f t="shared" si="2"/>
        <v/>
      </c>
      <c r="P45" s="225" t="str">
        <f t="shared" si="3"/>
        <v/>
      </c>
      <c r="Q45" s="289" t="str">
        <f>IF(AND(D45&lt;&gt;"",'Inputs Whole-Project Water Use'!Q45=""),0,IF('Inputs Whole-Project Water Use'!Q45&lt;&gt;"",'Inputs Whole-Project Water Use'!Q45,""))</f>
        <v/>
      </c>
      <c r="R45" s="225" t="str">
        <f t="shared" si="4"/>
        <v/>
      </c>
      <c r="S45" s="225" t="str">
        <f t="shared" si="5"/>
        <v/>
      </c>
      <c r="T45" s="231" t="str">
        <f t="shared" si="6"/>
        <v/>
      </c>
      <c r="U45" s="241"/>
      <c r="V45" s="241"/>
      <c r="W45" s="241"/>
      <c r="X45" s="241"/>
      <c r="Y45" s="241"/>
      <c r="Z45" s="241"/>
      <c r="AA45" s="241"/>
      <c r="AB45" s="241"/>
      <c r="AC45" s="241"/>
      <c r="AD45" s="241"/>
      <c r="AE45" s="241"/>
      <c r="AF45" s="241"/>
      <c r="AG45" s="241"/>
      <c r="AH45" s="241"/>
      <c r="AI45" s="241"/>
      <c r="AJ45" s="241"/>
      <c r="AK45" s="241"/>
      <c r="AL45" s="241"/>
      <c r="AM45" s="241"/>
      <c r="AN45" s="241"/>
      <c r="AO45" s="241"/>
      <c r="AP45" s="241"/>
      <c r="AQ45" s="241"/>
      <c r="AR45" s="241"/>
      <c r="AS45" s="241"/>
      <c r="AT45" s="241"/>
      <c r="AU45" s="241"/>
      <c r="AV45" s="241"/>
      <c r="AW45" s="241"/>
      <c r="AX45" s="241"/>
      <c r="AY45" s="241"/>
      <c r="AZ45" s="241"/>
    </row>
    <row r="46" spans="1:52" s="71" customFormat="1" ht="18" hidden="1" customHeight="1" outlineLevel="1">
      <c r="A46" s="175">
        <v>18</v>
      </c>
      <c r="B46" s="312" t="str">
        <f>(IF('Inputs Whole-Project Water Use'!B46&lt;&gt;"",'Inputs Whole-Project Water Use'!B46,""))</f>
        <v/>
      </c>
      <c r="C46" s="313" t="str">
        <f>IF(AND(D46&lt;&gt;"",'Inputs Whole-Project Water Use'!C46=""),1,IF('Inputs Whole-Project Water Use'!C46&lt;&gt;"",'Inputs Whole-Project Water Use'!C46,""))</f>
        <v/>
      </c>
      <c r="D46" s="397" t="str">
        <f>IF('Inputs Whole-Project Water Use'!D46&lt;&gt;"",'Inputs Whole-Project Water Use'!D46,"")</f>
        <v/>
      </c>
      <c r="E46" s="398"/>
      <c r="F46" s="314" t="str">
        <f>IF('Inputs Whole-Project Water Use'!F46&lt;&gt;"",'Inputs Whole-Project Water Use'!F46,"")</f>
        <v/>
      </c>
      <c r="G46" s="314" t="str">
        <f>IF('Inputs Whole-Project Water Use'!G46&lt;&gt;"",'Inputs Whole-Project Water Use'!G46,"")</f>
        <v/>
      </c>
      <c r="H46" s="315" t="str">
        <f>IF('Inputs Whole-Project Water Use'!H46&lt;&gt;"",'Inputs Whole-Project Water Use'!H46,"")</f>
        <v/>
      </c>
      <c r="I46" s="390" t="str">
        <f t="shared" si="0"/>
        <v/>
      </c>
      <c r="J46" s="391"/>
      <c r="K46" s="316" t="str">
        <f>IF('Inputs Whole-Project Water Use'!K46&lt;&gt;"",'Inputs Whole-Project Water Use'!K46,"")</f>
        <v/>
      </c>
      <c r="L46" s="316" t="str">
        <f>IF('Inputs Whole-Project Water Use'!L46&lt;&gt;"",'Inputs Whole-Project Water Use'!L46,"")</f>
        <v/>
      </c>
      <c r="M46" s="390" t="str">
        <f t="shared" si="1"/>
        <v/>
      </c>
      <c r="N46" s="391"/>
      <c r="O46" s="225" t="str">
        <f t="shared" si="2"/>
        <v/>
      </c>
      <c r="P46" s="225" t="str">
        <f t="shared" si="3"/>
        <v/>
      </c>
      <c r="Q46" s="289" t="str">
        <f>IF(AND(D46&lt;&gt;"",'Inputs Whole-Project Water Use'!Q46=""),0,IF('Inputs Whole-Project Water Use'!Q46&lt;&gt;"",'Inputs Whole-Project Water Use'!Q46,""))</f>
        <v/>
      </c>
      <c r="R46" s="225" t="str">
        <f t="shared" si="4"/>
        <v/>
      </c>
      <c r="S46" s="225" t="str">
        <f t="shared" si="5"/>
        <v/>
      </c>
      <c r="T46" s="231" t="str">
        <f t="shared" si="6"/>
        <v/>
      </c>
      <c r="U46" s="241"/>
      <c r="V46" s="241"/>
      <c r="W46" s="241"/>
      <c r="X46" s="241"/>
      <c r="Y46" s="241"/>
      <c r="Z46" s="241"/>
      <c r="AA46" s="241"/>
      <c r="AB46" s="241"/>
      <c r="AC46" s="241"/>
      <c r="AD46" s="241"/>
      <c r="AE46" s="241"/>
      <c r="AF46" s="241"/>
      <c r="AG46" s="241"/>
      <c r="AH46" s="241"/>
      <c r="AI46" s="241"/>
      <c r="AJ46" s="241"/>
      <c r="AK46" s="241"/>
      <c r="AL46" s="241"/>
      <c r="AM46" s="241"/>
      <c r="AN46" s="241"/>
      <c r="AO46" s="241"/>
      <c r="AP46" s="241"/>
      <c r="AQ46" s="241"/>
      <c r="AR46" s="241"/>
      <c r="AS46" s="241"/>
      <c r="AT46" s="241"/>
      <c r="AU46" s="241"/>
      <c r="AV46" s="241"/>
      <c r="AW46" s="241"/>
      <c r="AX46" s="241"/>
      <c r="AY46" s="241"/>
      <c r="AZ46" s="241"/>
    </row>
    <row r="47" spans="1:52" s="71" customFormat="1" ht="18" hidden="1" customHeight="1" outlineLevel="1">
      <c r="A47" s="175">
        <v>19</v>
      </c>
      <c r="B47" s="312" t="str">
        <f>(IF('Inputs Whole-Project Water Use'!B47&lt;&gt;"",'Inputs Whole-Project Water Use'!B47,""))</f>
        <v/>
      </c>
      <c r="C47" s="313" t="str">
        <f>IF(AND(D47&lt;&gt;"",'Inputs Whole-Project Water Use'!C47=""),1,IF('Inputs Whole-Project Water Use'!C47&lt;&gt;"",'Inputs Whole-Project Water Use'!C47,""))</f>
        <v/>
      </c>
      <c r="D47" s="397" t="str">
        <f>IF('Inputs Whole-Project Water Use'!D47&lt;&gt;"",'Inputs Whole-Project Water Use'!D47,"")</f>
        <v/>
      </c>
      <c r="E47" s="398"/>
      <c r="F47" s="314" t="str">
        <f>IF('Inputs Whole-Project Water Use'!F47&lt;&gt;"",'Inputs Whole-Project Water Use'!F47,"")</f>
        <v/>
      </c>
      <c r="G47" s="314" t="str">
        <f>IF('Inputs Whole-Project Water Use'!G47&lt;&gt;"",'Inputs Whole-Project Water Use'!G47,"")</f>
        <v/>
      </c>
      <c r="H47" s="315" t="str">
        <f>IF('Inputs Whole-Project Water Use'!H47&lt;&gt;"",'Inputs Whole-Project Water Use'!H47,"")</f>
        <v/>
      </c>
      <c r="I47" s="390" t="str">
        <f t="shared" si="0"/>
        <v/>
      </c>
      <c r="J47" s="391"/>
      <c r="K47" s="316" t="str">
        <f>IF('Inputs Whole-Project Water Use'!K47&lt;&gt;"",'Inputs Whole-Project Water Use'!K47,"")</f>
        <v/>
      </c>
      <c r="L47" s="316" t="str">
        <f>IF('Inputs Whole-Project Water Use'!L47&lt;&gt;"",'Inputs Whole-Project Water Use'!L47,"")</f>
        <v/>
      </c>
      <c r="M47" s="390" t="str">
        <f t="shared" si="1"/>
        <v/>
      </c>
      <c r="N47" s="391"/>
      <c r="O47" s="225" t="str">
        <f t="shared" si="2"/>
        <v/>
      </c>
      <c r="P47" s="225" t="str">
        <f t="shared" si="3"/>
        <v/>
      </c>
      <c r="Q47" s="289" t="str">
        <f>IF(AND(D47&lt;&gt;"",'Inputs Whole-Project Water Use'!Q47=""),0,IF('Inputs Whole-Project Water Use'!Q47&lt;&gt;"",'Inputs Whole-Project Water Use'!Q47,""))</f>
        <v/>
      </c>
      <c r="R47" s="225" t="str">
        <f t="shared" si="4"/>
        <v/>
      </c>
      <c r="S47" s="225" t="str">
        <f t="shared" si="5"/>
        <v/>
      </c>
      <c r="T47" s="231" t="str">
        <f t="shared" si="6"/>
        <v/>
      </c>
      <c r="U47" s="241"/>
      <c r="V47" s="241"/>
      <c r="W47" s="241"/>
      <c r="X47" s="241"/>
      <c r="Y47" s="241"/>
      <c r="Z47" s="241"/>
      <c r="AA47" s="241"/>
      <c r="AB47" s="241"/>
      <c r="AC47" s="241"/>
      <c r="AD47" s="241"/>
      <c r="AE47" s="241"/>
      <c r="AF47" s="241"/>
      <c r="AG47" s="241"/>
      <c r="AH47" s="241"/>
      <c r="AI47" s="241"/>
      <c r="AJ47" s="241"/>
      <c r="AK47" s="241"/>
      <c r="AL47" s="241"/>
      <c r="AM47" s="241"/>
      <c r="AN47" s="241"/>
      <c r="AO47" s="241"/>
      <c r="AP47" s="241"/>
      <c r="AQ47" s="241"/>
      <c r="AR47" s="241"/>
      <c r="AS47" s="241"/>
      <c r="AT47" s="241"/>
      <c r="AU47" s="241"/>
      <c r="AV47" s="241"/>
      <c r="AW47" s="241"/>
      <c r="AX47" s="241"/>
      <c r="AY47" s="241"/>
      <c r="AZ47" s="241"/>
    </row>
    <row r="48" spans="1:52" s="71" customFormat="1" ht="18" hidden="1" customHeight="1" outlineLevel="1">
      <c r="A48" s="175">
        <v>20</v>
      </c>
      <c r="B48" s="312" t="str">
        <f>(IF('Inputs Whole-Project Water Use'!B48&lt;&gt;"",'Inputs Whole-Project Water Use'!B48,""))</f>
        <v/>
      </c>
      <c r="C48" s="313" t="str">
        <f>IF(AND(D48&lt;&gt;"",'Inputs Whole-Project Water Use'!C48=""),1,IF('Inputs Whole-Project Water Use'!C48&lt;&gt;"",'Inputs Whole-Project Water Use'!C48,""))</f>
        <v/>
      </c>
      <c r="D48" s="397" t="str">
        <f>IF('Inputs Whole-Project Water Use'!D48&lt;&gt;"",'Inputs Whole-Project Water Use'!D48,"")</f>
        <v/>
      </c>
      <c r="E48" s="398"/>
      <c r="F48" s="314" t="str">
        <f>IF('Inputs Whole-Project Water Use'!F48&lt;&gt;"",'Inputs Whole-Project Water Use'!F48,"")</f>
        <v/>
      </c>
      <c r="G48" s="314" t="str">
        <f>IF('Inputs Whole-Project Water Use'!G48&lt;&gt;"",'Inputs Whole-Project Water Use'!G48,"")</f>
        <v/>
      </c>
      <c r="H48" s="315" t="str">
        <f>IF('Inputs Whole-Project Water Use'!H48&lt;&gt;"",'Inputs Whole-Project Water Use'!H48,"")</f>
        <v/>
      </c>
      <c r="I48" s="390" t="str">
        <f t="shared" si="0"/>
        <v/>
      </c>
      <c r="J48" s="391"/>
      <c r="K48" s="316" t="str">
        <f>IF('Inputs Whole-Project Water Use'!K48&lt;&gt;"",'Inputs Whole-Project Water Use'!K48,"")</f>
        <v/>
      </c>
      <c r="L48" s="316" t="str">
        <f>IF('Inputs Whole-Project Water Use'!L48&lt;&gt;"",'Inputs Whole-Project Water Use'!L48,"")</f>
        <v/>
      </c>
      <c r="M48" s="390" t="str">
        <f t="shared" si="1"/>
        <v/>
      </c>
      <c r="N48" s="391"/>
      <c r="O48" s="225" t="str">
        <f t="shared" si="2"/>
        <v/>
      </c>
      <c r="P48" s="225" t="str">
        <f t="shared" si="3"/>
        <v/>
      </c>
      <c r="Q48" s="289" t="str">
        <f>IF(AND(D48&lt;&gt;"",'Inputs Whole-Project Water Use'!Q48=""),0,IF('Inputs Whole-Project Water Use'!Q48&lt;&gt;"",'Inputs Whole-Project Water Use'!Q48,""))</f>
        <v/>
      </c>
      <c r="R48" s="225" t="str">
        <f t="shared" si="4"/>
        <v/>
      </c>
      <c r="S48" s="225" t="str">
        <f t="shared" si="5"/>
        <v/>
      </c>
      <c r="T48" s="231" t="str">
        <f t="shared" si="6"/>
        <v/>
      </c>
      <c r="U48" s="241"/>
      <c r="V48" s="241"/>
      <c r="W48" s="241"/>
      <c r="X48" s="241"/>
      <c r="Y48" s="241"/>
      <c r="Z48" s="241"/>
      <c r="AA48" s="241"/>
      <c r="AB48" s="241"/>
      <c r="AC48" s="241"/>
      <c r="AD48" s="241"/>
      <c r="AE48" s="241"/>
      <c r="AF48" s="241"/>
      <c r="AG48" s="241"/>
      <c r="AH48" s="241"/>
      <c r="AI48" s="241"/>
      <c r="AJ48" s="241"/>
      <c r="AK48" s="241"/>
      <c r="AL48" s="241"/>
      <c r="AM48" s="241"/>
      <c r="AN48" s="241"/>
      <c r="AO48" s="241"/>
      <c r="AP48" s="241"/>
      <c r="AQ48" s="241"/>
      <c r="AR48" s="241"/>
      <c r="AS48" s="241"/>
      <c r="AT48" s="241"/>
      <c r="AU48" s="241"/>
      <c r="AV48" s="241"/>
      <c r="AW48" s="241"/>
      <c r="AX48" s="241"/>
      <c r="AY48" s="241"/>
      <c r="AZ48" s="241"/>
    </row>
    <row r="49" spans="1:52" s="71" customFormat="1" ht="18" hidden="1" customHeight="1" outlineLevel="1">
      <c r="A49" s="175">
        <v>21</v>
      </c>
      <c r="B49" s="312" t="str">
        <f>(IF('Inputs Whole-Project Water Use'!B49&lt;&gt;"",'Inputs Whole-Project Water Use'!B49,""))</f>
        <v/>
      </c>
      <c r="C49" s="313" t="str">
        <f>IF(AND(D49&lt;&gt;"",'Inputs Whole-Project Water Use'!C49=""),1,IF('Inputs Whole-Project Water Use'!C49&lt;&gt;"",'Inputs Whole-Project Water Use'!C49,""))</f>
        <v/>
      </c>
      <c r="D49" s="397" t="str">
        <f>IF('Inputs Whole-Project Water Use'!D49&lt;&gt;"",'Inputs Whole-Project Water Use'!D49,"")</f>
        <v/>
      </c>
      <c r="E49" s="398"/>
      <c r="F49" s="314" t="str">
        <f>IF('Inputs Whole-Project Water Use'!F49&lt;&gt;"",'Inputs Whole-Project Water Use'!F49,"")</f>
        <v/>
      </c>
      <c r="G49" s="314" t="str">
        <f>IF('Inputs Whole-Project Water Use'!G49&lt;&gt;"",'Inputs Whole-Project Water Use'!G49,"")</f>
        <v/>
      </c>
      <c r="H49" s="315" t="str">
        <f>IF('Inputs Whole-Project Water Use'!H49&lt;&gt;"",'Inputs Whole-Project Water Use'!H49,"")</f>
        <v/>
      </c>
      <c r="I49" s="390" t="str">
        <f t="shared" si="0"/>
        <v/>
      </c>
      <c r="J49" s="391"/>
      <c r="K49" s="316" t="str">
        <f>IF('Inputs Whole-Project Water Use'!K49&lt;&gt;"",'Inputs Whole-Project Water Use'!K49,"")</f>
        <v/>
      </c>
      <c r="L49" s="316" t="str">
        <f>IF('Inputs Whole-Project Water Use'!L49&lt;&gt;"",'Inputs Whole-Project Water Use'!L49,"")</f>
        <v/>
      </c>
      <c r="M49" s="390" t="str">
        <f t="shared" si="1"/>
        <v/>
      </c>
      <c r="N49" s="391"/>
      <c r="O49" s="225" t="str">
        <f t="shared" si="2"/>
        <v/>
      </c>
      <c r="P49" s="225" t="str">
        <f t="shared" si="3"/>
        <v/>
      </c>
      <c r="Q49" s="289" t="str">
        <f>IF(AND(D49&lt;&gt;"",'Inputs Whole-Project Water Use'!Q49=""),0,IF('Inputs Whole-Project Water Use'!Q49&lt;&gt;"",'Inputs Whole-Project Water Use'!Q49,""))</f>
        <v/>
      </c>
      <c r="R49" s="225" t="str">
        <f t="shared" si="4"/>
        <v/>
      </c>
      <c r="S49" s="225" t="str">
        <f t="shared" si="5"/>
        <v/>
      </c>
      <c r="T49" s="231" t="str">
        <f t="shared" si="6"/>
        <v/>
      </c>
      <c r="U49" s="241"/>
      <c r="V49" s="241"/>
      <c r="W49" s="241"/>
      <c r="X49" s="241"/>
      <c r="Y49" s="241"/>
      <c r="Z49" s="241"/>
      <c r="AA49" s="241"/>
      <c r="AB49" s="241"/>
      <c r="AC49" s="241"/>
      <c r="AD49" s="241"/>
      <c r="AE49" s="241"/>
      <c r="AF49" s="241"/>
      <c r="AG49" s="241"/>
      <c r="AH49" s="241"/>
      <c r="AI49" s="241"/>
      <c r="AJ49" s="241"/>
      <c r="AK49" s="241"/>
      <c r="AL49" s="241"/>
      <c r="AM49" s="241"/>
      <c r="AN49" s="241"/>
      <c r="AO49" s="241"/>
      <c r="AP49" s="241"/>
      <c r="AQ49" s="241"/>
      <c r="AR49" s="241"/>
      <c r="AS49" s="241"/>
      <c r="AT49" s="241"/>
      <c r="AU49" s="241"/>
      <c r="AV49" s="241"/>
      <c r="AW49" s="241"/>
      <c r="AX49" s="241"/>
      <c r="AY49" s="241"/>
      <c r="AZ49" s="241"/>
    </row>
    <row r="50" spans="1:52" s="71" customFormat="1" ht="18" hidden="1" customHeight="1" outlineLevel="1">
      <c r="A50" s="175">
        <v>22</v>
      </c>
      <c r="B50" s="312" t="str">
        <f>(IF('Inputs Whole-Project Water Use'!B50&lt;&gt;"",'Inputs Whole-Project Water Use'!B50,""))</f>
        <v/>
      </c>
      <c r="C50" s="313" t="str">
        <f>IF(AND(D50&lt;&gt;"",'Inputs Whole-Project Water Use'!C50=""),1,IF('Inputs Whole-Project Water Use'!C50&lt;&gt;"",'Inputs Whole-Project Water Use'!C50,""))</f>
        <v/>
      </c>
      <c r="D50" s="397" t="str">
        <f>IF('Inputs Whole-Project Water Use'!D50&lt;&gt;"",'Inputs Whole-Project Water Use'!D50,"")</f>
        <v/>
      </c>
      <c r="E50" s="398"/>
      <c r="F50" s="314" t="str">
        <f>IF('Inputs Whole-Project Water Use'!F50&lt;&gt;"",'Inputs Whole-Project Water Use'!F50,"")</f>
        <v/>
      </c>
      <c r="G50" s="314" t="str">
        <f>IF('Inputs Whole-Project Water Use'!G50&lt;&gt;"",'Inputs Whole-Project Water Use'!G50,"")</f>
        <v/>
      </c>
      <c r="H50" s="315" t="str">
        <f>IF('Inputs Whole-Project Water Use'!H50&lt;&gt;"",'Inputs Whole-Project Water Use'!H50,"")</f>
        <v/>
      </c>
      <c r="I50" s="390" t="str">
        <f t="shared" si="0"/>
        <v/>
      </c>
      <c r="J50" s="391"/>
      <c r="K50" s="316" t="str">
        <f>IF('Inputs Whole-Project Water Use'!K50&lt;&gt;"",'Inputs Whole-Project Water Use'!K50,"")</f>
        <v/>
      </c>
      <c r="L50" s="316" t="str">
        <f>IF('Inputs Whole-Project Water Use'!L50&lt;&gt;"",'Inputs Whole-Project Water Use'!L50,"")</f>
        <v/>
      </c>
      <c r="M50" s="390" t="str">
        <f t="shared" si="1"/>
        <v/>
      </c>
      <c r="N50" s="391"/>
      <c r="O50" s="225" t="str">
        <f t="shared" si="2"/>
        <v/>
      </c>
      <c r="P50" s="225" t="str">
        <f t="shared" si="3"/>
        <v/>
      </c>
      <c r="Q50" s="289" t="str">
        <f>IF(AND(D50&lt;&gt;"",'Inputs Whole-Project Water Use'!Q50=""),0,IF('Inputs Whole-Project Water Use'!Q50&lt;&gt;"",'Inputs Whole-Project Water Use'!Q50,""))</f>
        <v/>
      </c>
      <c r="R50" s="225" t="str">
        <f t="shared" si="4"/>
        <v/>
      </c>
      <c r="S50" s="225" t="str">
        <f t="shared" si="5"/>
        <v/>
      </c>
      <c r="T50" s="231" t="str">
        <f t="shared" si="6"/>
        <v/>
      </c>
      <c r="U50" s="241"/>
      <c r="V50" s="241"/>
      <c r="W50" s="241"/>
      <c r="X50" s="241"/>
      <c r="Y50" s="241"/>
      <c r="Z50" s="241"/>
      <c r="AA50" s="241"/>
      <c r="AB50" s="241"/>
      <c r="AC50" s="241"/>
      <c r="AD50" s="241"/>
      <c r="AE50" s="241"/>
      <c r="AF50" s="241"/>
      <c r="AG50" s="241"/>
      <c r="AH50" s="241"/>
      <c r="AI50" s="241"/>
      <c r="AJ50" s="241"/>
      <c r="AK50" s="241"/>
      <c r="AL50" s="241"/>
      <c r="AM50" s="241"/>
      <c r="AN50" s="241"/>
      <c r="AO50" s="241"/>
      <c r="AP50" s="241"/>
      <c r="AQ50" s="241"/>
      <c r="AR50" s="241"/>
      <c r="AS50" s="241"/>
      <c r="AT50" s="241"/>
      <c r="AU50" s="241"/>
      <c r="AV50" s="241"/>
      <c r="AW50" s="241"/>
      <c r="AX50" s="241"/>
      <c r="AY50" s="241"/>
      <c r="AZ50" s="241"/>
    </row>
    <row r="51" spans="1:52" s="71" customFormat="1" ht="18" hidden="1" customHeight="1" outlineLevel="1">
      <c r="A51" s="175">
        <v>23</v>
      </c>
      <c r="B51" s="312" t="str">
        <f>(IF('Inputs Whole-Project Water Use'!B51&lt;&gt;"",'Inputs Whole-Project Water Use'!B51,""))</f>
        <v/>
      </c>
      <c r="C51" s="313" t="str">
        <f>IF(AND(D51&lt;&gt;"",'Inputs Whole-Project Water Use'!C51=""),1,IF('Inputs Whole-Project Water Use'!C51&lt;&gt;"",'Inputs Whole-Project Water Use'!C51,""))</f>
        <v/>
      </c>
      <c r="D51" s="397" t="str">
        <f>IF('Inputs Whole-Project Water Use'!D51&lt;&gt;"",'Inputs Whole-Project Water Use'!D51,"")</f>
        <v/>
      </c>
      <c r="E51" s="398"/>
      <c r="F51" s="314" t="str">
        <f>IF('Inputs Whole-Project Water Use'!F51&lt;&gt;"",'Inputs Whole-Project Water Use'!F51,"")</f>
        <v/>
      </c>
      <c r="G51" s="314" t="str">
        <f>IF('Inputs Whole-Project Water Use'!G51&lt;&gt;"",'Inputs Whole-Project Water Use'!G51,"")</f>
        <v/>
      </c>
      <c r="H51" s="315" t="str">
        <f>IF('Inputs Whole-Project Water Use'!H51&lt;&gt;"",'Inputs Whole-Project Water Use'!H51,"")</f>
        <v/>
      </c>
      <c r="I51" s="390" t="str">
        <f t="shared" si="0"/>
        <v/>
      </c>
      <c r="J51" s="391"/>
      <c r="K51" s="316" t="str">
        <f>IF('Inputs Whole-Project Water Use'!K51&lt;&gt;"",'Inputs Whole-Project Water Use'!K51,"")</f>
        <v/>
      </c>
      <c r="L51" s="316" t="str">
        <f>IF('Inputs Whole-Project Water Use'!L51&lt;&gt;"",'Inputs Whole-Project Water Use'!L51,"")</f>
        <v/>
      </c>
      <c r="M51" s="390" t="str">
        <f t="shared" si="1"/>
        <v/>
      </c>
      <c r="N51" s="391"/>
      <c r="O51" s="225" t="str">
        <f t="shared" si="2"/>
        <v/>
      </c>
      <c r="P51" s="225" t="str">
        <f t="shared" si="3"/>
        <v/>
      </c>
      <c r="Q51" s="289" t="str">
        <f>IF(AND(D51&lt;&gt;"",'Inputs Whole-Project Water Use'!Q51=""),0,IF('Inputs Whole-Project Water Use'!Q51&lt;&gt;"",'Inputs Whole-Project Water Use'!Q51,""))</f>
        <v/>
      </c>
      <c r="R51" s="225" t="str">
        <f t="shared" si="4"/>
        <v/>
      </c>
      <c r="S51" s="225" t="str">
        <f t="shared" si="5"/>
        <v/>
      </c>
      <c r="T51" s="231" t="str">
        <f t="shared" si="6"/>
        <v/>
      </c>
      <c r="U51" s="241"/>
      <c r="V51" s="241"/>
      <c r="W51" s="241"/>
      <c r="X51" s="241"/>
      <c r="Y51" s="241"/>
      <c r="Z51" s="241"/>
      <c r="AA51" s="241"/>
      <c r="AB51" s="241"/>
      <c r="AC51" s="241"/>
      <c r="AD51" s="241"/>
      <c r="AE51" s="241"/>
      <c r="AF51" s="241"/>
      <c r="AG51" s="241"/>
      <c r="AH51" s="241"/>
      <c r="AI51" s="241"/>
      <c r="AJ51" s="241"/>
      <c r="AK51" s="241"/>
      <c r="AL51" s="241"/>
      <c r="AM51" s="241"/>
      <c r="AN51" s="241"/>
      <c r="AO51" s="241"/>
      <c r="AP51" s="241"/>
      <c r="AQ51" s="241"/>
      <c r="AR51" s="241"/>
      <c r="AS51" s="241"/>
      <c r="AT51" s="241"/>
      <c r="AU51" s="241"/>
      <c r="AV51" s="241"/>
      <c r="AW51" s="241"/>
      <c r="AX51" s="241"/>
      <c r="AY51" s="241"/>
      <c r="AZ51" s="241"/>
    </row>
    <row r="52" spans="1:52" s="71" customFormat="1" ht="18" hidden="1" customHeight="1" outlineLevel="1">
      <c r="A52" s="175">
        <v>24</v>
      </c>
      <c r="B52" s="312" t="str">
        <f>(IF('Inputs Whole-Project Water Use'!B52&lt;&gt;"",'Inputs Whole-Project Water Use'!B52,""))</f>
        <v/>
      </c>
      <c r="C52" s="313" t="str">
        <f>IF(AND(D52&lt;&gt;"",'Inputs Whole-Project Water Use'!C52=""),1,IF('Inputs Whole-Project Water Use'!C52&lt;&gt;"",'Inputs Whole-Project Water Use'!C52,""))</f>
        <v/>
      </c>
      <c r="D52" s="397" t="str">
        <f>IF('Inputs Whole-Project Water Use'!D52&lt;&gt;"",'Inputs Whole-Project Water Use'!D52,"")</f>
        <v/>
      </c>
      <c r="E52" s="398"/>
      <c r="F52" s="314" t="str">
        <f>IF('Inputs Whole-Project Water Use'!F52&lt;&gt;"",'Inputs Whole-Project Water Use'!F52,"")</f>
        <v/>
      </c>
      <c r="G52" s="314" t="str">
        <f>IF('Inputs Whole-Project Water Use'!G52&lt;&gt;"",'Inputs Whole-Project Water Use'!G52,"")</f>
        <v/>
      </c>
      <c r="H52" s="315" t="str">
        <f>IF('Inputs Whole-Project Water Use'!H52&lt;&gt;"",'Inputs Whole-Project Water Use'!H52,"")</f>
        <v/>
      </c>
      <c r="I52" s="390" t="str">
        <f t="shared" si="0"/>
        <v/>
      </c>
      <c r="J52" s="391"/>
      <c r="K52" s="316" t="str">
        <f>IF('Inputs Whole-Project Water Use'!K52&lt;&gt;"",'Inputs Whole-Project Water Use'!K52,"")</f>
        <v/>
      </c>
      <c r="L52" s="316" t="str">
        <f>IF('Inputs Whole-Project Water Use'!L52&lt;&gt;"",'Inputs Whole-Project Water Use'!L52,"")</f>
        <v/>
      </c>
      <c r="M52" s="390" t="str">
        <f t="shared" si="1"/>
        <v/>
      </c>
      <c r="N52" s="391"/>
      <c r="O52" s="225" t="str">
        <f t="shared" si="2"/>
        <v/>
      </c>
      <c r="P52" s="225" t="str">
        <f t="shared" si="3"/>
        <v/>
      </c>
      <c r="Q52" s="289" t="str">
        <f>IF(AND(D52&lt;&gt;"",'Inputs Whole-Project Water Use'!Q52=""),0,IF('Inputs Whole-Project Water Use'!Q52&lt;&gt;"",'Inputs Whole-Project Water Use'!Q52,""))</f>
        <v/>
      </c>
      <c r="R52" s="225" t="str">
        <f t="shared" si="4"/>
        <v/>
      </c>
      <c r="S52" s="225" t="str">
        <f t="shared" si="5"/>
        <v/>
      </c>
      <c r="T52" s="231" t="str">
        <f t="shared" si="6"/>
        <v/>
      </c>
      <c r="U52" s="241"/>
      <c r="V52" s="241"/>
      <c r="W52" s="241"/>
      <c r="X52" s="241"/>
      <c r="Y52" s="241"/>
      <c r="Z52" s="241"/>
      <c r="AA52" s="241"/>
      <c r="AB52" s="241"/>
      <c r="AC52" s="241"/>
      <c r="AD52" s="241"/>
      <c r="AE52" s="241"/>
      <c r="AF52" s="241"/>
      <c r="AG52" s="241"/>
      <c r="AH52" s="241"/>
      <c r="AI52" s="241"/>
      <c r="AJ52" s="241"/>
      <c r="AK52" s="241"/>
      <c r="AL52" s="241"/>
      <c r="AM52" s="241"/>
      <c r="AN52" s="241"/>
      <c r="AO52" s="241"/>
      <c r="AP52" s="241"/>
      <c r="AQ52" s="241"/>
      <c r="AR52" s="241"/>
      <c r="AS52" s="241"/>
      <c r="AT52" s="241"/>
      <c r="AU52" s="241"/>
      <c r="AV52" s="241"/>
      <c r="AW52" s="241"/>
      <c r="AX52" s="241"/>
      <c r="AY52" s="241"/>
      <c r="AZ52" s="241"/>
    </row>
    <row r="53" spans="1:52" s="71" customFormat="1" ht="18" hidden="1" customHeight="1" outlineLevel="1">
      <c r="A53" s="175">
        <v>25</v>
      </c>
      <c r="B53" s="312" t="str">
        <f>(IF('Inputs Whole-Project Water Use'!B53&lt;&gt;"",'Inputs Whole-Project Water Use'!B53,""))</f>
        <v/>
      </c>
      <c r="C53" s="313" t="str">
        <f>IF(AND(D53&lt;&gt;"",'Inputs Whole-Project Water Use'!C53=""),1,IF('Inputs Whole-Project Water Use'!C53&lt;&gt;"",'Inputs Whole-Project Water Use'!C53,""))</f>
        <v/>
      </c>
      <c r="D53" s="397" t="str">
        <f>IF('Inputs Whole-Project Water Use'!D53&lt;&gt;"",'Inputs Whole-Project Water Use'!D53,"")</f>
        <v/>
      </c>
      <c r="E53" s="398"/>
      <c r="F53" s="314" t="str">
        <f>IF('Inputs Whole-Project Water Use'!F53&lt;&gt;"",'Inputs Whole-Project Water Use'!F53,"")</f>
        <v/>
      </c>
      <c r="G53" s="314" t="str">
        <f>IF('Inputs Whole-Project Water Use'!G53&lt;&gt;"",'Inputs Whole-Project Water Use'!G53,"")</f>
        <v/>
      </c>
      <c r="H53" s="315" t="str">
        <f>IF('Inputs Whole-Project Water Use'!H53&lt;&gt;"",'Inputs Whole-Project Water Use'!H53,"")</f>
        <v/>
      </c>
      <c r="I53" s="390" t="str">
        <f t="shared" si="0"/>
        <v/>
      </c>
      <c r="J53" s="391"/>
      <c r="K53" s="316" t="str">
        <f>IF('Inputs Whole-Project Water Use'!K53&lt;&gt;"",'Inputs Whole-Project Water Use'!K53,"")</f>
        <v/>
      </c>
      <c r="L53" s="316" t="str">
        <f>IF('Inputs Whole-Project Water Use'!L53&lt;&gt;"",'Inputs Whole-Project Water Use'!L53,"")</f>
        <v/>
      </c>
      <c r="M53" s="390" t="str">
        <f t="shared" si="1"/>
        <v/>
      </c>
      <c r="N53" s="391"/>
      <c r="O53" s="225" t="str">
        <f t="shared" si="2"/>
        <v/>
      </c>
      <c r="P53" s="225" t="str">
        <f t="shared" si="3"/>
        <v/>
      </c>
      <c r="Q53" s="289" t="str">
        <f>IF(AND(D53&lt;&gt;"",'Inputs Whole-Project Water Use'!Q53=""),0,IF('Inputs Whole-Project Water Use'!Q53&lt;&gt;"",'Inputs Whole-Project Water Use'!Q53,""))</f>
        <v/>
      </c>
      <c r="R53" s="225" t="str">
        <f t="shared" si="4"/>
        <v/>
      </c>
      <c r="S53" s="225" t="str">
        <f t="shared" si="5"/>
        <v/>
      </c>
      <c r="T53" s="231" t="str">
        <f t="shared" si="6"/>
        <v/>
      </c>
      <c r="U53" s="241"/>
      <c r="V53" s="241"/>
      <c r="W53" s="241"/>
      <c r="X53" s="241"/>
      <c r="Y53" s="241"/>
      <c r="Z53" s="241"/>
      <c r="AA53" s="241"/>
      <c r="AB53" s="241"/>
      <c r="AC53" s="241"/>
      <c r="AD53" s="241"/>
      <c r="AE53" s="241"/>
      <c r="AF53" s="241"/>
      <c r="AG53" s="241"/>
      <c r="AH53" s="241"/>
      <c r="AI53" s="241"/>
      <c r="AJ53" s="241"/>
      <c r="AK53" s="241"/>
      <c r="AL53" s="241"/>
      <c r="AM53" s="241"/>
      <c r="AN53" s="241"/>
      <c r="AO53" s="241"/>
      <c r="AP53" s="241"/>
      <c r="AQ53" s="241"/>
      <c r="AR53" s="241"/>
      <c r="AS53" s="241"/>
      <c r="AT53" s="241"/>
      <c r="AU53" s="241"/>
      <c r="AV53" s="241"/>
      <c r="AW53" s="241"/>
      <c r="AX53" s="241"/>
      <c r="AY53" s="241"/>
      <c r="AZ53" s="241"/>
    </row>
    <row r="54" spans="1:52" s="71" customFormat="1" ht="18" hidden="1" customHeight="1" outlineLevel="1">
      <c r="A54" s="175">
        <v>26</v>
      </c>
      <c r="B54" s="312" t="str">
        <f>(IF('Inputs Whole-Project Water Use'!B54&lt;&gt;"",'Inputs Whole-Project Water Use'!B54,""))</f>
        <v/>
      </c>
      <c r="C54" s="313" t="str">
        <f>IF(AND(D54&lt;&gt;"",'Inputs Whole-Project Water Use'!C54=""),1,IF('Inputs Whole-Project Water Use'!C54&lt;&gt;"",'Inputs Whole-Project Water Use'!C54,""))</f>
        <v/>
      </c>
      <c r="D54" s="397" t="str">
        <f>IF('Inputs Whole-Project Water Use'!D54&lt;&gt;"",'Inputs Whole-Project Water Use'!D54,"")</f>
        <v/>
      </c>
      <c r="E54" s="398"/>
      <c r="F54" s="314" t="str">
        <f>IF('Inputs Whole-Project Water Use'!F54&lt;&gt;"",'Inputs Whole-Project Water Use'!F54,"")</f>
        <v/>
      </c>
      <c r="G54" s="314" t="str">
        <f>IF('Inputs Whole-Project Water Use'!G54&lt;&gt;"",'Inputs Whole-Project Water Use'!G54,"")</f>
        <v/>
      </c>
      <c r="H54" s="315" t="str">
        <f>IF('Inputs Whole-Project Water Use'!H54&lt;&gt;"",'Inputs Whole-Project Water Use'!H54,"")</f>
        <v/>
      </c>
      <c r="I54" s="390" t="str">
        <f t="shared" si="0"/>
        <v/>
      </c>
      <c r="J54" s="391"/>
      <c r="K54" s="316" t="str">
        <f>IF('Inputs Whole-Project Water Use'!K54&lt;&gt;"",'Inputs Whole-Project Water Use'!K54,"")</f>
        <v/>
      </c>
      <c r="L54" s="316" t="str">
        <f>IF('Inputs Whole-Project Water Use'!L54&lt;&gt;"",'Inputs Whole-Project Water Use'!L54,"")</f>
        <v/>
      </c>
      <c r="M54" s="390" t="str">
        <f t="shared" si="1"/>
        <v/>
      </c>
      <c r="N54" s="391"/>
      <c r="O54" s="225" t="str">
        <f t="shared" si="2"/>
        <v/>
      </c>
      <c r="P54" s="225" t="str">
        <f t="shared" si="3"/>
        <v/>
      </c>
      <c r="Q54" s="289" t="str">
        <f>IF(AND(D54&lt;&gt;"",'Inputs Whole-Project Water Use'!Q54=""),0,IF('Inputs Whole-Project Water Use'!Q54&lt;&gt;"",'Inputs Whole-Project Water Use'!Q54,""))</f>
        <v/>
      </c>
      <c r="R54" s="225" t="str">
        <f t="shared" si="4"/>
        <v/>
      </c>
      <c r="S54" s="225" t="str">
        <f t="shared" si="5"/>
        <v/>
      </c>
      <c r="T54" s="231" t="str">
        <f t="shared" si="6"/>
        <v/>
      </c>
      <c r="U54" s="241"/>
      <c r="V54" s="241"/>
      <c r="W54" s="241"/>
      <c r="X54" s="241"/>
      <c r="Y54" s="241"/>
      <c r="Z54" s="241"/>
      <c r="AA54" s="241"/>
      <c r="AB54" s="241"/>
      <c r="AC54" s="241"/>
      <c r="AD54" s="241"/>
      <c r="AE54" s="241"/>
      <c r="AF54" s="241"/>
      <c r="AG54" s="241"/>
      <c r="AH54" s="241"/>
      <c r="AI54" s="241"/>
      <c r="AJ54" s="241"/>
      <c r="AK54" s="241"/>
      <c r="AL54" s="241"/>
      <c r="AM54" s="241"/>
      <c r="AN54" s="241"/>
      <c r="AO54" s="241"/>
      <c r="AP54" s="241"/>
      <c r="AQ54" s="241"/>
      <c r="AR54" s="241"/>
      <c r="AS54" s="241"/>
      <c r="AT54" s="241"/>
      <c r="AU54" s="241"/>
      <c r="AV54" s="241"/>
      <c r="AW54" s="241"/>
      <c r="AX54" s="241"/>
      <c r="AY54" s="241"/>
      <c r="AZ54" s="241"/>
    </row>
    <row r="55" spans="1:52" s="71" customFormat="1" ht="18" hidden="1" customHeight="1" outlineLevel="1">
      <c r="A55" s="175">
        <v>27</v>
      </c>
      <c r="B55" s="312" t="str">
        <f>(IF('Inputs Whole-Project Water Use'!B55&lt;&gt;"",'Inputs Whole-Project Water Use'!B55,""))</f>
        <v/>
      </c>
      <c r="C55" s="313" t="str">
        <f>IF(AND(D55&lt;&gt;"",'Inputs Whole-Project Water Use'!C55=""),1,IF('Inputs Whole-Project Water Use'!C55&lt;&gt;"",'Inputs Whole-Project Water Use'!C55,""))</f>
        <v/>
      </c>
      <c r="D55" s="397" t="str">
        <f>IF('Inputs Whole-Project Water Use'!D55&lt;&gt;"",'Inputs Whole-Project Water Use'!D55,"")</f>
        <v/>
      </c>
      <c r="E55" s="398"/>
      <c r="F55" s="314" t="str">
        <f>IF('Inputs Whole-Project Water Use'!F55&lt;&gt;"",'Inputs Whole-Project Water Use'!F55,"")</f>
        <v/>
      </c>
      <c r="G55" s="314" t="str">
        <f>IF('Inputs Whole-Project Water Use'!G55&lt;&gt;"",'Inputs Whole-Project Water Use'!G55,"")</f>
        <v/>
      </c>
      <c r="H55" s="315" t="str">
        <f>IF('Inputs Whole-Project Water Use'!H55&lt;&gt;"",'Inputs Whole-Project Water Use'!H55,"")</f>
        <v/>
      </c>
      <c r="I55" s="390" t="str">
        <f t="shared" si="0"/>
        <v/>
      </c>
      <c r="J55" s="391"/>
      <c r="K55" s="316" t="str">
        <f>IF('Inputs Whole-Project Water Use'!K55&lt;&gt;"",'Inputs Whole-Project Water Use'!K55,"")</f>
        <v/>
      </c>
      <c r="L55" s="316" t="str">
        <f>IF('Inputs Whole-Project Water Use'!L55&lt;&gt;"",'Inputs Whole-Project Water Use'!L55,"")</f>
        <v/>
      </c>
      <c r="M55" s="390" t="str">
        <f t="shared" si="1"/>
        <v/>
      </c>
      <c r="N55" s="391"/>
      <c r="O55" s="225" t="str">
        <f t="shared" si="2"/>
        <v/>
      </c>
      <c r="P55" s="225" t="str">
        <f t="shared" si="3"/>
        <v/>
      </c>
      <c r="Q55" s="289" t="str">
        <f>IF(AND(D55&lt;&gt;"",'Inputs Whole-Project Water Use'!Q55=""),0,IF('Inputs Whole-Project Water Use'!Q55&lt;&gt;"",'Inputs Whole-Project Water Use'!Q55,""))</f>
        <v/>
      </c>
      <c r="R55" s="225" t="str">
        <f t="shared" si="4"/>
        <v/>
      </c>
      <c r="S55" s="225" t="str">
        <f t="shared" si="5"/>
        <v/>
      </c>
      <c r="T55" s="231" t="str">
        <f t="shared" si="6"/>
        <v/>
      </c>
      <c r="U55" s="241"/>
      <c r="V55" s="241"/>
      <c r="W55" s="241"/>
      <c r="X55" s="241"/>
      <c r="Y55" s="241"/>
      <c r="Z55" s="241"/>
      <c r="AA55" s="241"/>
      <c r="AB55" s="241"/>
      <c r="AC55" s="241"/>
      <c r="AD55" s="241"/>
      <c r="AE55" s="241"/>
      <c r="AF55" s="241"/>
      <c r="AG55" s="241"/>
      <c r="AH55" s="241"/>
      <c r="AI55" s="241"/>
      <c r="AJ55" s="241"/>
      <c r="AK55" s="241"/>
      <c r="AL55" s="241"/>
      <c r="AM55" s="241"/>
      <c r="AN55" s="241"/>
      <c r="AO55" s="241"/>
      <c r="AP55" s="241"/>
      <c r="AQ55" s="241"/>
      <c r="AR55" s="241"/>
      <c r="AS55" s="241"/>
      <c r="AT55" s="241"/>
      <c r="AU55" s="241"/>
      <c r="AV55" s="241"/>
      <c r="AW55" s="241"/>
      <c r="AX55" s="241"/>
      <c r="AY55" s="241"/>
      <c r="AZ55" s="241"/>
    </row>
    <row r="56" spans="1:52" s="71" customFormat="1" ht="18" hidden="1" customHeight="1" outlineLevel="1">
      <c r="A56" s="175">
        <v>28</v>
      </c>
      <c r="B56" s="312" t="str">
        <f>(IF('Inputs Whole-Project Water Use'!B56&lt;&gt;"",'Inputs Whole-Project Water Use'!B56,""))</f>
        <v/>
      </c>
      <c r="C56" s="313" t="str">
        <f>IF(AND(D56&lt;&gt;"",'Inputs Whole-Project Water Use'!C56=""),1,IF('Inputs Whole-Project Water Use'!C56&lt;&gt;"",'Inputs Whole-Project Water Use'!C56,""))</f>
        <v/>
      </c>
      <c r="D56" s="397" t="str">
        <f>IF('Inputs Whole-Project Water Use'!D56&lt;&gt;"",'Inputs Whole-Project Water Use'!D56,"")</f>
        <v/>
      </c>
      <c r="E56" s="398"/>
      <c r="F56" s="314" t="str">
        <f>IF('Inputs Whole-Project Water Use'!F56&lt;&gt;"",'Inputs Whole-Project Water Use'!F56,"")</f>
        <v/>
      </c>
      <c r="G56" s="314" t="str">
        <f>IF('Inputs Whole-Project Water Use'!G56&lt;&gt;"",'Inputs Whole-Project Water Use'!G56,"")</f>
        <v/>
      </c>
      <c r="H56" s="315" t="str">
        <f>IF('Inputs Whole-Project Water Use'!H56&lt;&gt;"",'Inputs Whole-Project Water Use'!H56,"")</f>
        <v/>
      </c>
      <c r="I56" s="390" t="str">
        <f t="shared" si="0"/>
        <v/>
      </c>
      <c r="J56" s="391"/>
      <c r="K56" s="316" t="str">
        <f>IF('Inputs Whole-Project Water Use'!K56&lt;&gt;"",'Inputs Whole-Project Water Use'!K56,"")</f>
        <v/>
      </c>
      <c r="L56" s="316" t="str">
        <f>IF('Inputs Whole-Project Water Use'!L56&lt;&gt;"",'Inputs Whole-Project Water Use'!L56,"")</f>
        <v/>
      </c>
      <c r="M56" s="390" t="str">
        <f t="shared" si="1"/>
        <v/>
      </c>
      <c r="N56" s="391"/>
      <c r="O56" s="225" t="str">
        <f t="shared" si="2"/>
        <v/>
      </c>
      <c r="P56" s="225" t="str">
        <f t="shared" si="3"/>
        <v/>
      </c>
      <c r="Q56" s="289" t="str">
        <f>IF(AND(D56&lt;&gt;"",'Inputs Whole-Project Water Use'!Q56=""),0,IF('Inputs Whole-Project Water Use'!Q56&lt;&gt;"",'Inputs Whole-Project Water Use'!Q56,""))</f>
        <v/>
      </c>
      <c r="R56" s="225" t="str">
        <f t="shared" si="4"/>
        <v/>
      </c>
      <c r="S56" s="225" t="str">
        <f t="shared" si="5"/>
        <v/>
      </c>
      <c r="T56" s="231" t="str">
        <f t="shared" si="6"/>
        <v/>
      </c>
      <c r="U56" s="241"/>
      <c r="V56" s="241"/>
      <c r="W56" s="241"/>
      <c r="X56" s="241"/>
      <c r="Y56" s="241"/>
      <c r="Z56" s="241"/>
      <c r="AA56" s="241"/>
      <c r="AB56" s="241"/>
      <c r="AC56" s="241"/>
      <c r="AD56" s="241"/>
      <c r="AE56" s="241"/>
      <c r="AF56" s="241"/>
      <c r="AG56" s="241"/>
      <c r="AH56" s="241"/>
      <c r="AI56" s="241"/>
      <c r="AJ56" s="241"/>
      <c r="AK56" s="241"/>
      <c r="AL56" s="241"/>
      <c r="AM56" s="241"/>
      <c r="AN56" s="241"/>
      <c r="AO56" s="241"/>
      <c r="AP56" s="241"/>
      <c r="AQ56" s="241"/>
      <c r="AR56" s="241"/>
      <c r="AS56" s="241"/>
      <c r="AT56" s="241"/>
      <c r="AU56" s="241"/>
      <c r="AV56" s="241"/>
      <c r="AW56" s="241"/>
      <c r="AX56" s="241"/>
      <c r="AY56" s="241"/>
      <c r="AZ56" s="241"/>
    </row>
    <row r="57" spans="1:52" s="71" customFormat="1" ht="18" hidden="1" customHeight="1" outlineLevel="1">
      <c r="A57" s="175">
        <v>29</v>
      </c>
      <c r="B57" s="312" t="str">
        <f>(IF('Inputs Whole-Project Water Use'!B57&lt;&gt;"",'Inputs Whole-Project Water Use'!B57,""))</f>
        <v/>
      </c>
      <c r="C57" s="313" t="str">
        <f>IF(AND(D57&lt;&gt;"",'Inputs Whole-Project Water Use'!C57=""),1,IF('Inputs Whole-Project Water Use'!C57&lt;&gt;"",'Inputs Whole-Project Water Use'!C57,""))</f>
        <v/>
      </c>
      <c r="D57" s="397" t="str">
        <f>IF('Inputs Whole-Project Water Use'!D57&lt;&gt;"",'Inputs Whole-Project Water Use'!D57,"")</f>
        <v/>
      </c>
      <c r="E57" s="398"/>
      <c r="F57" s="314" t="str">
        <f>IF('Inputs Whole-Project Water Use'!F57&lt;&gt;"",'Inputs Whole-Project Water Use'!F57,"")</f>
        <v/>
      </c>
      <c r="G57" s="314" t="str">
        <f>IF('Inputs Whole-Project Water Use'!G57&lt;&gt;"",'Inputs Whole-Project Water Use'!G57,"")</f>
        <v/>
      </c>
      <c r="H57" s="315" t="str">
        <f>IF('Inputs Whole-Project Water Use'!H57&lt;&gt;"",'Inputs Whole-Project Water Use'!H57,"")</f>
        <v/>
      </c>
      <c r="I57" s="390" t="str">
        <f t="shared" si="0"/>
        <v/>
      </c>
      <c r="J57" s="391"/>
      <c r="K57" s="316" t="str">
        <f>IF('Inputs Whole-Project Water Use'!K57&lt;&gt;"",'Inputs Whole-Project Water Use'!K57,"")</f>
        <v/>
      </c>
      <c r="L57" s="316" t="str">
        <f>IF('Inputs Whole-Project Water Use'!L57&lt;&gt;"",'Inputs Whole-Project Water Use'!L57,"")</f>
        <v/>
      </c>
      <c r="M57" s="390" t="str">
        <f t="shared" si="1"/>
        <v/>
      </c>
      <c r="N57" s="391"/>
      <c r="O57" s="225" t="str">
        <f t="shared" si="2"/>
        <v/>
      </c>
      <c r="P57" s="225" t="str">
        <f t="shared" si="3"/>
        <v/>
      </c>
      <c r="Q57" s="289" t="str">
        <f>IF(AND(D57&lt;&gt;"",'Inputs Whole-Project Water Use'!Q57=""),0,IF('Inputs Whole-Project Water Use'!Q57&lt;&gt;"",'Inputs Whole-Project Water Use'!Q57,""))</f>
        <v/>
      </c>
      <c r="R57" s="225" t="str">
        <f t="shared" si="4"/>
        <v/>
      </c>
      <c r="S57" s="225" t="str">
        <f t="shared" si="5"/>
        <v/>
      </c>
      <c r="T57" s="231" t="str">
        <f t="shared" si="6"/>
        <v/>
      </c>
      <c r="U57" s="241"/>
      <c r="V57" s="241"/>
      <c r="W57" s="241"/>
      <c r="X57" s="241"/>
      <c r="Y57" s="241"/>
      <c r="Z57" s="241"/>
      <c r="AA57" s="241"/>
      <c r="AB57" s="241"/>
      <c r="AC57" s="241"/>
      <c r="AD57" s="241"/>
      <c r="AE57" s="241"/>
      <c r="AF57" s="241"/>
      <c r="AG57" s="241"/>
      <c r="AH57" s="241"/>
      <c r="AI57" s="241"/>
      <c r="AJ57" s="241"/>
      <c r="AK57" s="241"/>
      <c r="AL57" s="241"/>
      <c r="AM57" s="241"/>
      <c r="AN57" s="241"/>
      <c r="AO57" s="241"/>
      <c r="AP57" s="241"/>
      <c r="AQ57" s="241"/>
      <c r="AR57" s="241"/>
      <c r="AS57" s="241"/>
      <c r="AT57" s="241"/>
      <c r="AU57" s="241"/>
      <c r="AV57" s="241"/>
      <c r="AW57" s="241"/>
      <c r="AX57" s="241"/>
      <c r="AY57" s="241"/>
      <c r="AZ57" s="241"/>
    </row>
    <row r="58" spans="1:52" s="71" customFormat="1" ht="18" hidden="1" customHeight="1" outlineLevel="1">
      <c r="A58" s="175">
        <v>30</v>
      </c>
      <c r="B58" s="312" t="str">
        <f>(IF('Inputs Whole-Project Water Use'!B58&lt;&gt;"",'Inputs Whole-Project Water Use'!B58,""))</f>
        <v/>
      </c>
      <c r="C58" s="313" t="str">
        <f>IF(AND(D58&lt;&gt;"",'Inputs Whole-Project Water Use'!C58=""),1,IF('Inputs Whole-Project Water Use'!C58&lt;&gt;"",'Inputs Whole-Project Water Use'!C58,""))</f>
        <v/>
      </c>
      <c r="D58" s="397" t="str">
        <f>IF('Inputs Whole-Project Water Use'!D58&lt;&gt;"",'Inputs Whole-Project Water Use'!D58,"")</f>
        <v/>
      </c>
      <c r="E58" s="398"/>
      <c r="F58" s="314" t="str">
        <f>IF('Inputs Whole-Project Water Use'!F58&lt;&gt;"",'Inputs Whole-Project Water Use'!F58,"")</f>
        <v/>
      </c>
      <c r="G58" s="314" t="str">
        <f>IF('Inputs Whole-Project Water Use'!G58&lt;&gt;"",'Inputs Whole-Project Water Use'!G58,"")</f>
        <v/>
      </c>
      <c r="H58" s="315" t="str">
        <f>IF('Inputs Whole-Project Water Use'!H58&lt;&gt;"",'Inputs Whole-Project Water Use'!H58,"")</f>
        <v/>
      </c>
      <c r="I58" s="390" t="str">
        <f t="shared" si="0"/>
        <v/>
      </c>
      <c r="J58" s="391"/>
      <c r="K58" s="316" t="str">
        <f>IF('Inputs Whole-Project Water Use'!K58&lt;&gt;"",'Inputs Whole-Project Water Use'!K58,"")</f>
        <v/>
      </c>
      <c r="L58" s="316" t="str">
        <f>IF('Inputs Whole-Project Water Use'!L58&lt;&gt;"",'Inputs Whole-Project Water Use'!L58,"")</f>
        <v/>
      </c>
      <c r="M58" s="390" t="str">
        <f t="shared" si="1"/>
        <v/>
      </c>
      <c r="N58" s="391"/>
      <c r="O58" s="225" t="str">
        <f t="shared" si="2"/>
        <v/>
      </c>
      <c r="P58" s="225" t="str">
        <f t="shared" si="3"/>
        <v/>
      </c>
      <c r="Q58" s="289" t="str">
        <f>IF(AND(D58&lt;&gt;"",'Inputs Whole-Project Water Use'!Q58=""),0,IF('Inputs Whole-Project Water Use'!Q58&lt;&gt;"",'Inputs Whole-Project Water Use'!Q58,""))</f>
        <v/>
      </c>
      <c r="R58" s="225" t="str">
        <f t="shared" si="4"/>
        <v/>
      </c>
      <c r="S58" s="225" t="str">
        <f t="shared" si="5"/>
        <v/>
      </c>
      <c r="T58" s="231" t="str">
        <f t="shared" si="6"/>
        <v/>
      </c>
      <c r="U58" s="241"/>
      <c r="V58" s="241"/>
      <c r="W58" s="241"/>
      <c r="X58" s="241"/>
      <c r="Y58" s="241"/>
      <c r="Z58" s="241"/>
      <c r="AA58" s="241"/>
      <c r="AB58" s="241"/>
      <c r="AC58" s="241"/>
      <c r="AD58" s="241"/>
      <c r="AE58" s="241"/>
      <c r="AF58" s="241"/>
      <c r="AG58" s="241"/>
      <c r="AH58" s="241"/>
      <c r="AI58" s="241"/>
      <c r="AJ58" s="241"/>
      <c r="AK58" s="241"/>
      <c r="AL58" s="241"/>
      <c r="AM58" s="241"/>
      <c r="AN58" s="241"/>
      <c r="AO58" s="241"/>
      <c r="AP58" s="241"/>
      <c r="AQ58" s="241"/>
      <c r="AR58" s="241"/>
      <c r="AS58" s="241"/>
      <c r="AT58" s="241"/>
      <c r="AU58" s="241"/>
      <c r="AV58" s="241"/>
      <c r="AW58" s="241"/>
      <c r="AX58" s="241"/>
      <c r="AY58" s="241"/>
      <c r="AZ58" s="241"/>
    </row>
    <row r="59" spans="1:52" s="71" customFormat="1" ht="18" hidden="1" customHeight="1" outlineLevel="1">
      <c r="A59" s="175">
        <v>31</v>
      </c>
      <c r="B59" s="312" t="str">
        <f>(IF('Inputs Whole-Project Water Use'!B59&lt;&gt;"",'Inputs Whole-Project Water Use'!B59,""))</f>
        <v/>
      </c>
      <c r="C59" s="313" t="str">
        <f>IF(AND(D59&lt;&gt;"",'Inputs Whole-Project Water Use'!C59=""),1,IF('Inputs Whole-Project Water Use'!C59&lt;&gt;"",'Inputs Whole-Project Water Use'!C59,""))</f>
        <v/>
      </c>
      <c r="D59" s="397" t="str">
        <f>IF('Inputs Whole-Project Water Use'!D59&lt;&gt;"",'Inputs Whole-Project Water Use'!D59,"")</f>
        <v/>
      </c>
      <c r="E59" s="398"/>
      <c r="F59" s="314" t="str">
        <f>IF('Inputs Whole-Project Water Use'!F59&lt;&gt;"",'Inputs Whole-Project Water Use'!F59,"")</f>
        <v/>
      </c>
      <c r="G59" s="314" t="str">
        <f>IF('Inputs Whole-Project Water Use'!G59&lt;&gt;"",'Inputs Whole-Project Water Use'!G59,"")</f>
        <v/>
      </c>
      <c r="H59" s="315" t="str">
        <f>IF('Inputs Whole-Project Water Use'!H59&lt;&gt;"",'Inputs Whole-Project Water Use'!H59,"")</f>
        <v/>
      </c>
      <c r="I59" s="390" t="str">
        <f t="shared" ref="I59:I78" si="7">IFERROR(IF(logic_units&lt;&gt;"SI Units",INDEX(data_dumip,MATCH($D59,data_waterusetypes,0)),INDEX(data_dumsi,MATCH($D59,data_waterusetypes,0))),"")</f>
        <v/>
      </c>
      <c r="J59" s="391"/>
      <c r="K59" s="316" t="str">
        <f>IF('Inputs Whole-Project Water Use'!K59&lt;&gt;"",'Inputs Whole-Project Water Use'!K59,"")</f>
        <v/>
      </c>
      <c r="L59" s="316" t="str">
        <f>IF('Inputs Whole-Project Water Use'!L59&lt;&gt;"",'Inputs Whole-Project Water Use'!L59,"")</f>
        <v/>
      </c>
      <c r="M59" s="390" t="str">
        <f t="shared" ref="M59:M78" si="8">IFERROR(IF(logic_units&lt;&gt;"SI Units",INDEX(data_wurip,MATCH($D59,data_waterusetypes,0)),INDEX(data_wursi,MATCH($D59,data_waterusetypes,0))),"")</f>
        <v/>
      </c>
      <c r="N59" s="391"/>
      <c r="O59" s="225" t="str">
        <f t="shared" si="2"/>
        <v/>
      </c>
      <c r="P59" s="225" t="str">
        <f t="shared" si="3"/>
        <v/>
      </c>
      <c r="Q59" s="289" t="str">
        <f>IF(AND(D59&lt;&gt;"",'Inputs Whole-Project Water Use'!Q59=""),0,IF('Inputs Whole-Project Water Use'!Q59&lt;&gt;"",'Inputs Whole-Project Water Use'!Q59,""))</f>
        <v/>
      </c>
      <c r="R59" s="225" t="str">
        <f t="shared" si="4"/>
        <v/>
      </c>
      <c r="S59" s="225" t="str">
        <f t="shared" si="5"/>
        <v/>
      </c>
      <c r="T59" s="231" t="str">
        <f t="shared" si="6"/>
        <v/>
      </c>
      <c r="U59" s="176" t="s">
        <v>165</v>
      </c>
      <c r="V59" s="241"/>
      <c r="W59" s="241"/>
      <c r="X59" s="241"/>
      <c r="Y59" s="241"/>
      <c r="Z59" s="241"/>
      <c r="AA59" s="241"/>
      <c r="AB59" s="241"/>
      <c r="AC59" s="241"/>
      <c r="AD59" s="241"/>
      <c r="AE59" s="241"/>
      <c r="AF59" s="241"/>
      <c r="AG59" s="241"/>
      <c r="AH59" s="241"/>
      <c r="AI59" s="241"/>
      <c r="AJ59" s="241"/>
      <c r="AK59" s="241"/>
      <c r="AL59" s="241"/>
      <c r="AM59" s="241"/>
      <c r="AN59" s="241"/>
      <c r="AO59" s="241"/>
      <c r="AP59" s="241"/>
      <c r="AQ59" s="241"/>
      <c r="AR59" s="241"/>
      <c r="AS59" s="241"/>
      <c r="AT59" s="241"/>
      <c r="AU59" s="241"/>
      <c r="AV59" s="241"/>
      <c r="AW59" s="241"/>
      <c r="AX59" s="241"/>
      <c r="AY59" s="241"/>
      <c r="AZ59" s="241"/>
    </row>
    <row r="60" spans="1:52" s="71" customFormat="1" ht="18" hidden="1" customHeight="1" outlineLevel="2">
      <c r="A60" s="175">
        <v>32</v>
      </c>
      <c r="B60" s="312" t="str">
        <f>(IF('Inputs Whole-Project Water Use'!B60&lt;&gt;"",'Inputs Whole-Project Water Use'!B60,""))</f>
        <v/>
      </c>
      <c r="C60" s="313" t="str">
        <f>IF(AND(D60&lt;&gt;"",'Inputs Whole-Project Water Use'!C60=""),1,IF('Inputs Whole-Project Water Use'!C60&lt;&gt;"",'Inputs Whole-Project Water Use'!C60,""))</f>
        <v/>
      </c>
      <c r="D60" s="397" t="str">
        <f>IF('Inputs Whole-Project Water Use'!D60&lt;&gt;"",'Inputs Whole-Project Water Use'!D60,"")</f>
        <v/>
      </c>
      <c r="E60" s="398"/>
      <c r="F60" s="314" t="str">
        <f>IF('Inputs Whole-Project Water Use'!F60&lt;&gt;"",'Inputs Whole-Project Water Use'!F60,"")</f>
        <v/>
      </c>
      <c r="G60" s="314" t="str">
        <f>IF('Inputs Whole-Project Water Use'!G60&lt;&gt;"",'Inputs Whole-Project Water Use'!G60,"")</f>
        <v/>
      </c>
      <c r="H60" s="315" t="str">
        <f>IF('Inputs Whole-Project Water Use'!H60&lt;&gt;"",'Inputs Whole-Project Water Use'!H60,"")</f>
        <v/>
      </c>
      <c r="I60" s="390" t="str">
        <f t="shared" si="7"/>
        <v/>
      </c>
      <c r="J60" s="391"/>
      <c r="K60" s="316" t="str">
        <f>IF('Inputs Whole-Project Water Use'!K60&lt;&gt;"",'Inputs Whole-Project Water Use'!K60,"")</f>
        <v/>
      </c>
      <c r="L60" s="316" t="str">
        <f>IF('Inputs Whole-Project Water Use'!L60&lt;&gt;"",'Inputs Whole-Project Water Use'!L60,"")</f>
        <v/>
      </c>
      <c r="M60" s="390" t="str">
        <f t="shared" si="8"/>
        <v/>
      </c>
      <c r="N60" s="391"/>
      <c r="O60" s="225" t="str">
        <f t="shared" si="2"/>
        <v/>
      </c>
      <c r="P60" s="225" t="str">
        <f t="shared" si="3"/>
        <v/>
      </c>
      <c r="Q60" s="289" t="str">
        <f>IF(AND(D60&lt;&gt;"",'Inputs Whole-Project Water Use'!Q60=""),0,IF('Inputs Whole-Project Water Use'!Q60&lt;&gt;"",'Inputs Whole-Project Water Use'!Q60,""))</f>
        <v/>
      </c>
      <c r="R60" s="225" t="str">
        <f t="shared" si="4"/>
        <v/>
      </c>
      <c r="S60" s="225" t="str">
        <f t="shared" si="5"/>
        <v/>
      </c>
      <c r="T60" s="231" t="str">
        <f t="shared" si="6"/>
        <v/>
      </c>
      <c r="U60" s="241"/>
      <c r="V60" s="241"/>
      <c r="W60" s="241"/>
      <c r="X60" s="241"/>
      <c r="Y60" s="241"/>
      <c r="Z60" s="241"/>
      <c r="AA60" s="241"/>
      <c r="AB60" s="241"/>
      <c r="AC60" s="241"/>
      <c r="AD60" s="241"/>
      <c r="AE60" s="241"/>
      <c r="AF60" s="241"/>
      <c r="AG60" s="241"/>
      <c r="AH60" s="241"/>
      <c r="AI60" s="241"/>
      <c r="AJ60" s="241"/>
      <c r="AK60" s="241"/>
      <c r="AL60" s="241"/>
      <c r="AM60" s="241"/>
      <c r="AN60" s="241"/>
      <c r="AO60" s="241"/>
      <c r="AP60" s="241"/>
      <c r="AQ60" s="241"/>
      <c r="AR60" s="241"/>
      <c r="AS60" s="241"/>
      <c r="AT60" s="241"/>
      <c r="AU60" s="241"/>
      <c r="AV60" s="241"/>
      <c r="AW60" s="241"/>
      <c r="AX60" s="241"/>
      <c r="AY60" s="241"/>
      <c r="AZ60" s="241"/>
    </row>
    <row r="61" spans="1:52" s="71" customFormat="1" ht="18" hidden="1" customHeight="1" outlineLevel="2">
      <c r="A61" s="175">
        <v>33</v>
      </c>
      <c r="B61" s="312" t="str">
        <f>(IF('Inputs Whole-Project Water Use'!B61&lt;&gt;"",'Inputs Whole-Project Water Use'!B61,""))</f>
        <v/>
      </c>
      <c r="C61" s="313" t="str">
        <f>IF(AND(D61&lt;&gt;"",'Inputs Whole-Project Water Use'!C61=""),1,IF('Inputs Whole-Project Water Use'!C61&lt;&gt;"",'Inputs Whole-Project Water Use'!C61,""))</f>
        <v/>
      </c>
      <c r="D61" s="397" t="str">
        <f>IF('Inputs Whole-Project Water Use'!D61&lt;&gt;"",'Inputs Whole-Project Water Use'!D61,"")</f>
        <v/>
      </c>
      <c r="E61" s="398"/>
      <c r="F61" s="314" t="str">
        <f>IF('Inputs Whole-Project Water Use'!F61&lt;&gt;"",'Inputs Whole-Project Water Use'!F61,"")</f>
        <v/>
      </c>
      <c r="G61" s="314" t="str">
        <f>IF('Inputs Whole-Project Water Use'!G61&lt;&gt;"",'Inputs Whole-Project Water Use'!G61,"")</f>
        <v/>
      </c>
      <c r="H61" s="315" t="str">
        <f>IF('Inputs Whole-Project Water Use'!H61&lt;&gt;"",'Inputs Whole-Project Water Use'!H61,"")</f>
        <v/>
      </c>
      <c r="I61" s="390" t="str">
        <f t="shared" si="7"/>
        <v/>
      </c>
      <c r="J61" s="391"/>
      <c r="K61" s="316" t="str">
        <f>IF('Inputs Whole-Project Water Use'!K61&lt;&gt;"",'Inputs Whole-Project Water Use'!K61,"")</f>
        <v/>
      </c>
      <c r="L61" s="316" t="str">
        <f>IF('Inputs Whole-Project Water Use'!L61&lt;&gt;"",'Inputs Whole-Project Water Use'!L61,"")</f>
        <v/>
      </c>
      <c r="M61" s="390" t="str">
        <f t="shared" si="8"/>
        <v/>
      </c>
      <c r="N61" s="391"/>
      <c r="O61" s="225" t="str">
        <f t="shared" si="2"/>
        <v/>
      </c>
      <c r="P61" s="225" t="str">
        <f t="shared" si="3"/>
        <v/>
      </c>
      <c r="Q61" s="289" t="str">
        <f>IF(AND(D61&lt;&gt;"",'Inputs Whole-Project Water Use'!Q61=""),0,IF('Inputs Whole-Project Water Use'!Q61&lt;&gt;"",'Inputs Whole-Project Water Use'!Q61,""))</f>
        <v/>
      </c>
      <c r="R61" s="225" t="str">
        <f t="shared" si="4"/>
        <v/>
      </c>
      <c r="S61" s="225" t="str">
        <f t="shared" si="5"/>
        <v/>
      </c>
      <c r="T61" s="231" t="str">
        <f t="shared" si="6"/>
        <v/>
      </c>
      <c r="U61" s="241"/>
      <c r="V61" s="241"/>
      <c r="W61" s="241"/>
      <c r="X61" s="241"/>
      <c r="Y61" s="241"/>
      <c r="Z61" s="241"/>
      <c r="AA61" s="241"/>
      <c r="AB61" s="241"/>
      <c r="AC61" s="241"/>
      <c r="AD61" s="241"/>
      <c r="AE61" s="241"/>
      <c r="AF61" s="241"/>
      <c r="AG61" s="241"/>
      <c r="AH61" s="241"/>
      <c r="AI61" s="241"/>
      <c r="AJ61" s="241"/>
      <c r="AK61" s="241"/>
      <c r="AL61" s="241"/>
      <c r="AM61" s="241"/>
      <c r="AN61" s="241"/>
      <c r="AO61" s="241"/>
      <c r="AP61" s="241"/>
      <c r="AQ61" s="241"/>
      <c r="AR61" s="241"/>
      <c r="AS61" s="241"/>
      <c r="AT61" s="241"/>
      <c r="AU61" s="241"/>
      <c r="AV61" s="241"/>
      <c r="AW61" s="241"/>
      <c r="AX61" s="241"/>
      <c r="AY61" s="241"/>
      <c r="AZ61" s="241"/>
    </row>
    <row r="62" spans="1:52" s="71" customFormat="1" ht="18" hidden="1" customHeight="1" outlineLevel="2">
      <c r="A62" s="175">
        <v>34</v>
      </c>
      <c r="B62" s="312" t="str">
        <f>(IF('Inputs Whole-Project Water Use'!B62&lt;&gt;"",'Inputs Whole-Project Water Use'!B62,""))</f>
        <v/>
      </c>
      <c r="C62" s="313" t="str">
        <f>IF(AND(D62&lt;&gt;"",'Inputs Whole-Project Water Use'!C62=""),1,IF('Inputs Whole-Project Water Use'!C62&lt;&gt;"",'Inputs Whole-Project Water Use'!C62,""))</f>
        <v/>
      </c>
      <c r="D62" s="397" t="str">
        <f>IF('Inputs Whole-Project Water Use'!D62&lt;&gt;"",'Inputs Whole-Project Water Use'!D62,"")</f>
        <v/>
      </c>
      <c r="E62" s="398"/>
      <c r="F62" s="314" t="str">
        <f>IF('Inputs Whole-Project Water Use'!F62&lt;&gt;"",'Inputs Whole-Project Water Use'!F62,"")</f>
        <v/>
      </c>
      <c r="G62" s="314" t="str">
        <f>IF('Inputs Whole-Project Water Use'!G62&lt;&gt;"",'Inputs Whole-Project Water Use'!G62,"")</f>
        <v/>
      </c>
      <c r="H62" s="315" t="str">
        <f>IF('Inputs Whole-Project Water Use'!H62&lt;&gt;"",'Inputs Whole-Project Water Use'!H62,"")</f>
        <v/>
      </c>
      <c r="I62" s="390" t="str">
        <f t="shared" si="7"/>
        <v/>
      </c>
      <c r="J62" s="391"/>
      <c r="K62" s="316" t="str">
        <f>IF('Inputs Whole-Project Water Use'!K62&lt;&gt;"",'Inputs Whole-Project Water Use'!K62,"")</f>
        <v/>
      </c>
      <c r="L62" s="316" t="str">
        <f>IF('Inputs Whole-Project Water Use'!L62&lt;&gt;"",'Inputs Whole-Project Water Use'!L62,"")</f>
        <v/>
      </c>
      <c r="M62" s="390" t="str">
        <f t="shared" si="8"/>
        <v/>
      </c>
      <c r="N62" s="391"/>
      <c r="O62" s="225" t="str">
        <f t="shared" si="2"/>
        <v/>
      </c>
      <c r="P62" s="225" t="str">
        <f t="shared" si="3"/>
        <v/>
      </c>
      <c r="Q62" s="289" t="str">
        <f>IF(AND(D62&lt;&gt;"",'Inputs Whole-Project Water Use'!Q62=""),0,IF('Inputs Whole-Project Water Use'!Q62&lt;&gt;"",'Inputs Whole-Project Water Use'!Q62,""))</f>
        <v/>
      </c>
      <c r="R62" s="225" t="str">
        <f t="shared" si="4"/>
        <v/>
      </c>
      <c r="S62" s="225" t="str">
        <f t="shared" si="5"/>
        <v/>
      </c>
      <c r="T62" s="231" t="str">
        <f t="shared" si="6"/>
        <v/>
      </c>
      <c r="U62" s="241"/>
      <c r="V62" s="241"/>
      <c r="W62" s="241"/>
      <c r="X62" s="241"/>
      <c r="Y62" s="241"/>
      <c r="Z62" s="241"/>
      <c r="AA62" s="241"/>
      <c r="AB62" s="241"/>
      <c r="AC62" s="241"/>
      <c r="AD62" s="241"/>
      <c r="AE62" s="241"/>
      <c r="AF62" s="241"/>
      <c r="AG62" s="241"/>
      <c r="AH62" s="241"/>
      <c r="AI62" s="241"/>
      <c r="AJ62" s="241"/>
      <c r="AK62" s="241"/>
      <c r="AL62" s="241"/>
      <c r="AM62" s="241"/>
      <c r="AN62" s="241"/>
      <c r="AO62" s="241"/>
      <c r="AP62" s="241"/>
      <c r="AQ62" s="241"/>
      <c r="AR62" s="241"/>
      <c r="AS62" s="241"/>
      <c r="AT62" s="241"/>
      <c r="AU62" s="241"/>
      <c r="AV62" s="241"/>
      <c r="AW62" s="241"/>
      <c r="AX62" s="241"/>
      <c r="AY62" s="241"/>
      <c r="AZ62" s="241"/>
    </row>
    <row r="63" spans="1:52" s="71" customFormat="1" ht="18" hidden="1" customHeight="1" outlineLevel="2">
      <c r="A63" s="175">
        <v>35</v>
      </c>
      <c r="B63" s="312" t="str">
        <f>(IF('Inputs Whole-Project Water Use'!B63&lt;&gt;"",'Inputs Whole-Project Water Use'!B63,""))</f>
        <v/>
      </c>
      <c r="C63" s="313" t="str">
        <f>IF(AND(D63&lt;&gt;"",'Inputs Whole-Project Water Use'!C63=""),1,IF('Inputs Whole-Project Water Use'!C63&lt;&gt;"",'Inputs Whole-Project Water Use'!C63,""))</f>
        <v/>
      </c>
      <c r="D63" s="397" t="str">
        <f>IF('Inputs Whole-Project Water Use'!D63&lt;&gt;"",'Inputs Whole-Project Water Use'!D63,"")</f>
        <v/>
      </c>
      <c r="E63" s="398"/>
      <c r="F63" s="314" t="str">
        <f>IF('Inputs Whole-Project Water Use'!F63&lt;&gt;"",'Inputs Whole-Project Water Use'!F63,"")</f>
        <v/>
      </c>
      <c r="G63" s="314" t="str">
        <f>IF('Inputs Whole-Project Water Use'!G63&lt;&gt;"",'Inputs Whole-Project Water Use'!G63,"")</f>
        <v/>
      </c>
      <c r="H63" s="315" t="str">
        <f>IF('Inputs Whole-Project Water Use'!H63&lt;&gt;"",'Inputs Whole-Project Water Use'!H63,"")</f>
        <v/>
      </c>
      <c r="I63" s="390" t="str">
        <f t="shared" si="7"/>
        <v/>
      </c>
      <c r="J63" s="391"/>
      <c r="K63" s="316" t="str">
        <f>IF('Inputs Whole-Project Water Use'!K63&lt;&gt;"",'Inputs Whole-Project Water Use'!K63,"")</f>
        <v/>
      </c>
      <c r="L63" s="316" t="str">
        <f>IF('Inputs Whole-Project Water Use'!L63&lt;&gt;"",'Inputs Whole-Project Water Use'!L63,"")</f>
        <v/>
      </c>
      <c r="M63" s="390" t="str">
        <f t="shared" si="8"/>
        <v/>
      </c>
      <c r="N63" s="391"/>
      <c r="O63" s="225" t="str">
        <f t="shared" si="2"/>
        <v/>
      </c>
      <c r="P63" s="225" t="str">
        <f t="shared" si="3"/>
        <v/>
      </c>
      <c r="Q63" s="289" t="str">
        <f>IF(AND(D63&lt;&gt;"",'Inputs Whole-Project Water Use'!Q63=""),0,IF('Inputs Whole-Project Water Use'!Q63&lt;&gt;"",'Inputs Whole-Project Water Use'!Q63,""))</f>
        <v/>
      </c>
      <c r="R63" s="225" t="str">
        <f t="shared" si="4"/>
        <v/>
      </c>
      <c r="S63" s="225" t="str">
        <f t="shared" si="5"/>
        <v/>
      </c>
      <c r="T63" s="231" t="str">
        <f t="shared" si="6"/>
        <v/>
      </c>
      <c r="U63" s="241"/>
      <c r="V63" s="241"/>
      <c r="W63" s="241"/>
      <c r="X63" s="241"/>
      <c r="Y63" s="241"/>
      <c r="Z63" s="241"/>
      <c r="AA63" s="241"/>
      <c r="AB63" s="241"/>
      <c r="AC63" s="241"/>
      <c r="AD63" s="241"/>
      <c r="AE63" s="241"/>
      <c r="AF63" s="241"/>
      <c r="AG63" s="241"/>
      <c r="AH63" s="241"/>
      <c r="AI63" s="241"/>
      <c r="AJ63" s="241"/>
      <c r="AK63" s="241"/>
      <c r="AL63" s="241"/>
      <c r="AM63" s="241"/>
      <c r="AN63" s="241"/>
      <c r="AO63" s="241"/>
      <c r="AP63" s="241"/>
      <c r="AQ63" s="241"/>
      <c r="AR63" s="241"/>
      <c r="AS63" s="241"/>
      <c r="AT63" s="241"/>
      <c r="AU63" s="241"/>
      <c r="AV63" s="241"/>
      <c r="AW63" s="241"/>
      <c r="AX63" s="241"/>
      <c r="AY63" s="241"/>
      <c r="AZ63" s="241"/>
    </row>
    <row r="64" spans="1:52" s="71" customFormat="1" ht="18" hidden="1" customHeight="1" outlineLevel="2">
      <c r="A64" s="175">
        <v>36</v>
      </c>
      <c r="B64" s="312" t="str">
        <f>(IF('Inputs Whole-Project Water Use'!B64&lt;&gt;"",'Inputs Whole-Project Water Use'!B64,""))</f>
        <v/>
      </c>
      <c r="C64" s="313" t="str">
        <f>IF(AND(D64&lt;&gt;"",'Inputs Whole-Project Water Use'!C64=""),1,IF('Inputs Whole-Project Water Use'!C64&lt;&gt;"",'Inputs Whole-Project Water Use'!C64,""))</f>
        <v/>
      </c>
      <c r="D64" s="397" t="str">
        <f>IF('Inputs Whole-Project Water Use'!D64&lt;&gt;"",'Inputs Whole-Project Water Use'!D64,"")</f>
        <v/>
      </c>
      <c r="E64" s="398"/>
      <c r="F64" s="314" t="str">
        <f>IF('Inputs Whole-Project Water Use'!F64&lt;&gt;"",'Inputs Whole-Project Water Use'!F64,"")</f>
        <v/>
      </c>
      <c r="G64" s="314" t="str">
        <f>IF('Inputs Whole-Project Water Use'!G64&lt;&gt;"",'Inputs Whole-Project Water Use'!G64,"")</f>
        <v/>
      </c>
      <c r="H64" s="315" t="str">
        <f>IF('Inputs Whole-Project Water Use'!H64&lt;&gt;"",'Inputs Whole-Project Water Use'!H64,"")</f>
        <v/>
      </c>
      <c r="I64" s="390" t="str">
        <f t="shared" si="7"/>
        <v/>
      </c>
      <c r="J64" s="391"/>
      <c r="K64" s="316" t="str">
        <f>IF('Inputs Whole-Project Water Use'!K64&lt;&gt;"",'Inputs Whole-Project Water Use'!K64,"")</f>
        <v/>
      </c>
      <c r="L64" s="316" t="str">
        <f>IF('Inputs Whole-Project Water Use'!L64&lt;&gt;"",'Inputs Whole-Project Water Use'!L64,"")</f>
        <v/>
      </c>
      <c r="M64" s="390" t="str">
        <f t="shared" si="8"/>
        <v/>
      </c>
      <c r="N64" s="391"/>
      <c r="O64" s="225" t="str">
        <f t="shared" si="2"/>
        <v/>
      </c>
      <c r="P64" s="225" t="str">
        <f t="shared" si="3"/>
        <v/>
      </c>
      <c r="Q64" s="289" t="str">
        <f>IF(AND(D64&lt;&gt;"",'Inputs Whole-Project Water Use'!Q64=""),0,IF('Inputs Whole-Project Water Use'!Q64&lt;&gt;"",'Inputs Whole-Project Water Use'!Q64,""))</f>
        <v/>
      </c>
      <c r="R64" s="225" t="str">
        <f t="shared" si="4"/>
        <v/>
      </c>
      <c r="S64" s="225" t="str">
        <f t="shared" si="5"/>
        <v/>
      </c>
      <c r="T64" s="231" t="str">
        <f t="shared" si="6"/>
        <v/>
      </c>
      <c r="U64" s="241"/>
      <c r="V64" s="241"/>
      <c r="W64" s="241"/>
      <c r="X64" s="241"/>
      <c r="Y64" s="241"/>
      <c r="Z64" s="241"/>
      <c r="AA64" s="241"/>
      <c r="AB64" s="241"/>
      <c r="AC64" s="241"/>
      <c r="AD64" s="241"/>
      <c r="AE64" s="241"/>
      <c r="AF64" s="241"/>
      <c r="AG64" s="241"/>
      <c r="AH64" s="241"/>
      <c r="AI64" s="241"/>
      <c r="AJ64" s="241"/>
      <c r="AK64" s="241"/>
      <c r="AL64" s="241"/>
      <c r="AM64" s="241"/>
      <c r="AN64" s="241"/>
      <c r="AO64" s="241"/>
      <c r="AP64" s="241"/>
      <c r="AQ64" s="241"/>
      <c r="AR64" s="241"/>
      <c r="AS64" s="241"/>
      <c r="AT64" s="241"/>
      <c r="AU64" s="241"/>
      <c r="AV64" s="241"/>
      <c r="AW64" s="241"/>
      <c r="AX64" s="241"/>
      <c r="AY64" s="241"/>
      <c r="AZ64" s="241"/>
    </row>
    <row r="65" spans="1:52" s="71" customFormat="1" ht="18" hidden="1" customHeight="1" outlineLevel="2">
      <c r="A65" s="175">
        <v>37</v>
      </c>
      <c r="B65" s="312" t="str">
        <f>(IF('Inputs Whole-Project Water Use'!B65&lt;&gt;"",'Inputs Whole-Project Water Use'!B65,""))</f>
        <v/>
      </c>
      <c r="C65" s="313" t="str">
        <f>IF(AND(D65&lt;&gt;"",'Inputs Whole-Project Water Use'!C65=""),1,IF('Inputs Whole-Project Water Use'!C65&lt;&gt;"",'Inputs Whole-Project Water Use'!C65,""))</f>
        <v/>
      </c>
      <c r="D65" s="397" t="str">
        <f>IF('Inputs Whole-Project Water Use'!D65&lt;&gt;"",'Inputs Whole-Project Water Use'!D65,"")</f>
        <v/>
      </c>
      <c r="E65" s="398"/>
      <c r="F65" s="314" t="str">
        <f>IF('Inputs Whole-Project Water Use'!F65&lt;&gt;"",'Inputs Whole-Project Water Use'!F65,"")</f>
        <v/>
      </c>
      <c r="G65" s="314" t="str">
        <f>IF('Inputs Whole-Project Water Use'!G65&lt;&gt;"",'Inputs Whole-Project Water Use'!G65,"")</f>
        <v/>
      </c>
      <c r="H65" s="315" t="str">
        <f>IF('Inputs Whole-Project Water Use'!H65&lt;&gt;"",'Inputs Whole-Project Water Use'!H65,"")</f>
        <v/>
      </c>
      <c r="I65" s="390" t="str">
        <f t="shared" si="7"/>
        <v/>
      </c>
      <c r="J65" s="391"/>
      <c r="K65" s="316" t="str">
        <f>IF('Inputs Whole-Project Water Use'!K65&lt;&gt;"",'Inputs Whole-Project Water Use'!K65,"")</f>
        <v/>
      </c>
      <c r="L65" s="316" t="str">
        <f>IF('Inputs Whole-Project Water Use'!L65&lt;&gt;"",'Inputs Whole-Project Water Use'!L65,"")</f>
        <v/>
      </c>
      <c r="M65" s="390" t="str">
        <f t="shared" si="8"/>
        <v/>
      </c>
      <c r="N65" s="391"/>
      <c r="O65" s="225" t="str">
        <f t="shared" si="2"/>
        <v/>
      </c>
      <c r="P65" s="225" t="str">
        <f t="shared" si="3"/>
        <v/>
      </c>
      <c r="Q65" s="289" t="str">
        <f>IF(AND(D65&lt;&gt;"",'Inputs Whole-Project Water Use'!Q65=""),0,IF('Inputs Whole-Project Water Use'!Q65&lt;&gt;"",'Inputs Whole-Project Water Use'!Q65,""))</f>
        <v/>
      </c>
      <c r="R65" s="225" t="str">
        <f t="shared" si="4"/>
        <v/>
      </c>
      <c r="S65" s="225" t="str">
        <f t="shared" si="5"/>
        <v/>
      </c>
      <c r="T65" s="231" t="str">
        <f t="shared" si="6"/>
        <v/>
      </c>
      <c r="U65" s="241"/>
      <c r="V65" s="241"/>
      <c r="W65" s="241"/>
      <c r="X65" s="241"/>
      <c r="Y65" s="241"/>
      <c r="Z65" s="241"/>
      <c r="AA65" s="241"/>
      <c r="AB65" s="241"/>
      <c r="AC65" s="241"/>
      <c r="AD65" s="241"/>
      <c r="AE65" s="241"/>
      <c r="AF65" s="241"/>
      <c r="AG65" s="241"/>
      <c r="AH65" s="241"/>
      <c r="AI65" s="241"/>
      <c r="AJ65" s="241"/>
      <c r="AK65" s="241"/>
      <c r="AL65" s="241"/>
      <c r="AM65" s="241"/>
      <c r="AN65" s="241"/>
      <c r="AO65" s="241"/>
      <c r="AP65" s="241"/>
      <c r="AQ65" s="241"/>
      <c r="AR65" s="241"/>
      <c r="AS65" s="241"/>
      <c r="AT65" s="241"/>
      <c r="AU65" s="241"/>
      <c r="AV65" s="241"/>
      <c r="AW65" s="241"/>
      <c r="AX65" s="241"/>
      <c r="AY65" s="241"/>
      <c r="AZ65" s="241"/>
    </row>
    <row r="66" spans="1:52" s="71" customFormat="1" ht="18" hidden="1" customHeight="1" outlineLevel="2">
      <c r="A66" s="175">
        <v>38</v>
      </c>
      <c r="B66" s="312" t="str">
        <f>(IF('Inputs Whole-Project Water Use'!B66&lt;&gt;"",'Inputs Whole-Project Water Use'!B66,""))</f>
        <v/>
      </c>
      <c r="C66" s="313" t="str">
        <f>IF(AND(D66&lt;&gt;"",'Inputs Whole-Project Water Use'!C66=""),1,IF('Inputs Whole-Project Water Use'!C66&lt;&gt;"",'Inputs Whole-Project Water Use'!C66,""))</f>
        <v/>
      </c>
      <c r="D66" s="397" t="str">
        <f>IF('Inputs Whole-Project Water Use'!D66&lt;&gt;"",'Inputs Whole-Project Water Use'!D66,"")</f>
        <v/>
      </c>
      <c r="E66" s="398"/>
      <c r="F66" s="314" t="str">
        <f>IF('Inputs Whole-Project Water Use'!F66&lt;&gt;"",'Inputs Whole-Project Water Use'!F66,"")</f>
        <v/>
      </c>
      <c r="G66" s="314" t="str">
        <f>IF('Inputs Whole-Project Water Use'!G66&lt;&gt;"",'Inputs Whole-Project Water Use'!G66,"")</f>
        <v/>
      </c>
      <c r="H66" s="315" t="str">
        <f>IF('Inputs Whole-Project Water Use'!H66&lt;&gt;"",'Inputs Whole-Project Water Use'!H66,"")</f>
        <v/>
      </c>
      <c r="I66" s="390" t="str">
        <f t="shared" si="7"/>
        <v/>
      </c>
      <c r="J66" s="391"/>
      <c r="K66" s="316" t="str">
        <f>IF('Inputs Whole-Project Water Use'!K66&lt;&gt;"",'Inputs Whole-Project Water Use'!K66,"")</f>
        <v/>
      </c>
      <c r="L66" s="316" t="str">
        <f>IF('Inputs Whole-Project Water Use'!L66&lt;&gt;"",'Inputs Whole-Project Water Use'!L66,"")</f>
        <v/>
      </c>
      <c r="M66" s="390" t="str">
        <f t="shared" si="8"/>
        <v/>
      </c>
      <c r="N66" s="391"/>
      <c r="O66" s="225" t="str">
        <f t="shared" si="2"/>
        <v/>
      </c>
      <c r="P66" s="225" t="str">
        <f t="shared" si="3"/>
        <v/>
      </c>
      <c r="Q66" s="289" t="str">
        <f>IF(AND(D66&lt;&gt;"",'Inputs Whole-Project Water Use'!Q66=""),0,IF('Inputs Whole-Project Water Use'!Q66&lt;&gt;"",'Inputs Whole-Project Water Use'!Q66,""))</f>
        <v/>
      </c>
      <c r="R66" s="225" t="str">
        <f t="shared" si="4"/>
        <v/>
      </c>
      <c r="S66" s="225" t="str">
        <f t="shared" si="5"/>
        <v/>
      </c>
      <c r="T66" s="231" t="str">
        <f t="shared" si="6"/>
        <v/>
      </c>
      <c r="U66" s="241"/>
      <c r="V66" s="241"/>
      <c r="W66" s="241"/>
      <c r="X66" s="241"/>
      <c r="Y66" s="241"/>
      <c r="Z66" s="241"/>
      <c r="AA66" s="241"/>
      <c r="AB66" s="241"/>
      <c r="AC66" s="241"/>
      <c r="AD66" s="241"/>
      <c r="AE66" s="241"/>
      <c r="AF66" s="241"/>
      <c r="AG66" s="241"/>
      <c r="AH66" s="241"/>
      <c r="AI66" s="241"/>
      <c r="AJ66" s="241"/>
      <c r="AK66" s="241"/>
      <c r="AL66" s="241"/>
      <c r="AM66" s="241"/>
      <c r="AN66" s="241"/>
      <c r="AO66" s="241"/>
      <c r="AP66" s="241"/>
      <c r="AQ66" s="241"/>
      <c r="AR66" s="241"/>
      <c r="AS66" s="241"/>
      <c r="AT66" s="241"/>
      <c r="AU66" s="241"/>
      <c r="AV66" s="241"/>
      <c r="AW66" s="241"/>
      <c r="AX66" s="241"/>
      <c r="AY66" s="241"/>
      <c r="AZ66" s="241"/>
    </row>
    <row r="67" spans="1:52" s="71" customFormat="1" ht="18" hidden="1" customHeight="1" outlineLevel="2">
      <c r="A67" s="175">
        <v>39</v>
      </c>
      <c r="B67" s="312" t="str">
        <f>(IF('Inputs Whole-Project Water Use'!B67&lt;&gt;"",'Inputs Whole-Project Water Use'!B67,""))</f>
        <v/>
      </c>
      <c r="C67" s="313" t="str">
        <f>IF(AND(D67&lt;&gt;"",'Inputs Whole-Project Water Use'!C67=""),1,IF('Inputs Whole-Project Water Use'!C67&lt;&gt;"",'Inputs Whole-Project Water Use'!C67,""))</f>
        <v/>
      </c>
      <c r="D67" s="397" t="str">
        <f>IF('Inputs Whole-Project Water Use'!D67&lt;&gt;"",'Inputs Whole-Project Water Use'!D67,"")</f>
        <v/>
      </c>
      <c r="E67" s="398"/>
      <c r="F67" s="314" t="str">
        <f>IF('Inputs Whole-Project Water Use'!F67&lt;&gt;"",'Inputs Whole-Project Water Use'!F67,"")</f>
        <v/>
      </c>
      <c r="G67" s="314" t="str">
        <f>IF('Inputs Whole-Project Water Use'!G67&lt;&gt;"",'Inputs Whole-Project Water Use'!G67,"")</f>
        <v/>
      </c>
      <c r="H67" s="315" t="str">
        <f>IF('Inputs Whole-Project Water Use'!H67&lt;&gt;"",'Inputs Whole-Project Water Use'!H67,"")</f>
        <v/>
      </c>
      <c r="I67" s="390" t="str">
        <f t="shared" si="7"/>
        <v/>
      </c>
      <c r="J67" s="391"/>
      <c r="K67" s="316" t="str">
        <f>IF('Inputs Whole-Project Water Use'!K67&lt;&gt;"",'Inputs Whole-Project Water Use'!K67,"")</f>
        <v/>
      </c>
      <c r="L67" s="316" t="str">
        <f>IF('Inputs Whole-Project Water Use'!L67&lt;&gt;"",'Inputs Whole-Project Water Use'!L67,"")</f>
        <v/>
      </c>
      <c r="M67" s="390" t="str">
        <f t="shared" si="8"/>
        <v/>
      </c>
      <c r="N67" s="391"/>
      <c r="O67" s="225" t="str">
        <f t="shared" si="2"/>
        <v/>
      </c>
      <c r="P67" s="225" t="str">
        <f t="shared" si="3"/>
        <v/>
      </c>
      <c r="Q67" s="289" t="str">
        <f>IF(AND(D67&lt;&gt;"",'Inputs Whole-Project Water Use'!Q67=""),0,IF('Inputs Whole-Project Water Use'!Q67&lt;&gt;"",'Inputs Whole-Project Water Use'!Q67,""))</f>
        <v/>
      </c>
      <c r="R67" s="225" t="str">
        <f t="shared" si="4"/>
        <v/>
      </c>
      <c r="S67" s="225" t="str">
        <f t="shared" si="5"/>
        <v/>
      </c>
      <c r="T67" s="231" t="str">
        <f t="shared" si="6"/>
        <v/>
      </c>
      <c r="U67" s="241"/>
      <c r="V67" s="241"/>
      <c r="W67" s="241"/>
      <c r="X67" s="241"/>
      <c r="Y67" s="241"/>
      <c r="Z67" s="241"/>
      <c r="AA67" s="241"/>
      <c r="AB67" s="241"/>
      <c r="AC67" s="241"/>
      <c r="AD67" s="241"/>
      <c r="AE67" s="241"/>
      <c r="AF67" s="241"/>
      <c r="AG67" s="241"/>
      <c r="AH67" s="241"/>
      <c r="AI67" s="241"/>
      <c r="AJ67" s="241"/>
      <c r="AK67" s="241"/>
      <c r="AL67" s="241"/>
      <c r="AM67" s="241"/>
      <c r="AN67" s="241"/>
      <c r="AO67" s="241"/>
      <c r="AP67" s="241"/>
      <c r="AQ67" s="241"/>
      <c r="AR67" s="241"/>
      <c r="AS67" s="241"/>
      <c r="AT67" s="241"/>
      <c r="AU67" s="241"/>
      <c r="AV67" s="241"/>
      <c r="AW67" s="241"/>
      <c r="AX67" s="241"/>
      <c r="AY67" s="241"/>
      <c r="AZ67" s="241"/>
    </row>
    <row r="68" spans="1:52" s="71" customFormat="1" ht="18" hidden="1" customHeight="1" outlineLevel="2">
      <c r="A68" s="175">
        <v>40</v>
      </c>
      <c r="B68" s="312" t="str">
        <f>(IF('Inputs Whole-Project Water Use'!B68&lt;&gt;"",'Inputs Whole-Project Water Use'!B68,""))</f>
        <v/>
      </c>
      <c r="C68" s="313" t="str">
        <f>IF(AND(D68&lt;&gt;"",'Inputs Whole-Project Water Use'!C68=""),1,IF('Inputs Whole-Project Water Use'!C68&lt;&gt;"",'Inputs Whole-Project Water Use'!C68,""))</f>
        <v/>
      </c>
      <c r="D68" s="397" t="str">
        <f>IF('Inputs Whole-Project Water Use'!D68&lt;&gt;"",'Inputs Whole-Project Water Use'!D68,"")</f>
        <v/>
      </c>
      <c r="E68" s="398"/>
      <c r="F68" s="314" t="str">
        <f>IF('Inputs Whole-Project Water Use'!F68&lt;&gt;"",'Inputs Whole-Project Water Use'!F68,"")</f>
        <v/>
      </c>
      <c r="G68" s="314" t="str">
        <f>IF('Inputs Whole-Project Water Use'!G68&lt;&gt;"",'Inputs Whole-Project Water Use'!G68,"")</f>
        <v/>
      </c>
      <c r="H68" s="315" t="str">
        <f>IF('Inputs Whole-Project Water Use'!H68&lt;&gt;"",'Inputs Whole-Project Water Use'!H68,"")</f>
        <v/>
      </c>
      <c r="I68" s="390" t="str">
        <f t="shared" si="7"/>
        <v/>
      </c>
      <c r="J68" s="391"/>
      <c r="K68" s="316" t="str">
        <f>IF('Inputs Whole-Project Water Use'!K68&lt;&gt;"",'Inputs Whole-Project Water Use'!K68,"")</f>
        <v/>
      </c>
      <c r="L68" s="316" t="str">
        <f>IF('Inputs Whole-Project Water Use'!L68&lt;&gt;"",'Inputs Whole-Project Water Use'!L68,"")</f>
        <v/>
      </c>
      <c r="M68" s="390" t="str">
        <f t="shared" si="8"/>
        <v/>
      </c>
      <c r="N68" s="391"/>
      <c r="O68" s="225" t="str">
        <f t="shared" si="2"/>
        <v/>
      </c>
      <c r="P68" s="225" t="str">
        <f t="shared" si="3"/>
        <v/>
      </c>
      <c r="Q68" s="289" t="str">
        <f>IF(AND(D68&lt;&gt;"",'Inputs Whole-Project Water Use'!Q68=""),0,IF('Inputs Whole-Project Water Use'!Q68&lt;&gt;"",'Inputs Whole-Project Water Use'!Q68,""))</f>
        <v/>
      </c>
      <c r="R68" s="225" t="str">
        <f t="shared" si="4"/>
        <v/>
      </c>
      <c r="S68" s="225" t="str">
        <f t="shared" si="5"/>
        <v/>
      </c>
      <c r="T68" s="231" t="str">
        <f t="shared" si="6"/>
        <v/>
      </c>
      <c r="U68" s="241"/>
      <c r="V68" s="241"/>
      <c r="W68" s="241"/>
      <c r="X68" s="241"/>
      <c r="Y68" s="241"/>
      <c r="Z68" s="241"/>
      <c r="AA68" s="241"/>
      <c r="AB68" s="241"/>
      <c r="AC68" s="241"/>
      <c r="AD68" s="241"/>
      <c r="AE68" s="241"/>
      <c r="AF68" s="241"/>
      <c r="AG68" s="241"/>
      <c r="AH68" s="241"/>
      <c r="AI68" s="241"/>
      <c r="AJ68" s="241"/>
      <c r="AK68" s="241"/>
      <c r="AL68" s="241"/>
      <c r="AM68" s="241"/>
      <c r="AN68" s="241"/>
      <c r="AO68" s="241"/>
      <c r="AP68" s="241"/>
      <c r="AQ68" s="241"/>
      <c r="AR68" s="241"/>
      <c r="AS68" s="241"/>
      <c r="AT68" s="241"/>
      <c r="AU68" s="241"/>
      <c r="AV68" s="241"/>
      <c r="AW68" s="241"/>
      <c r="AX68" s="241"/>
      <c r="AY68" s="241"/>
      <c r="AZ68" s="241"/>
    </row>
    <row r="69" spans="1:52" s="71" customFormat="1" ht="18" hidden="1" customHeight="1" outlineLevel="2">
      <c r="A69" s="175">
        <v>41</v>
      </c>
      <c r="B69" s="312" t="str">
        <f>(IF('Inputs Whole-Project Water Use'!B69&lt;&gt;"",'Inputs Whole-Project Water Use'!B69,""))</f>
        <v/>
      </c>
      <c r="C69" s="313" t="str">
        <f>IF(AND(D69&lt;&gt;"",'Inputs Whole-Project Water Use'!C69=""),1,IF('Inputs Whole-Project Water Use'!C69&lt;&gt;"",'Inputs Whole-Project Water Use'!C69,""))</f>
        <v/>
      </c>
      <c r="D69" s="397" t="str">
        <f>IF('Inputs Whole-Project Water Use'!D69&lt;&gt;"",'Inputs Whole-Project Water Use'!D69,"")</f>
        <v/>
      </c>
      <c r="E69" s="398"/>
      <c r="F69" s="314" t="str">
        <f>IF('Inputs Whole-Project Water Use'!F69&lt;&gt;"",'Inputs Whole-Project Water Use'!F69,"")</f>
        <v/>
      </c>
      <c r="G69" s="314" t="str">
        <f>IF('Inputs Whole-Project Water Use'!G69&lt;&gt;"",'Inputs Whole-Project Water Use'!G69,"")</f>
        <v/>
      </c>
      <c r="H69" s="315" t="str">
        <f>IF('Inputs Whole-Project Water Use'!H69&lt;&gt;"",'Inputs Whole-Project Water Use'!H69,"")</f>
        <v/>
      </c>
      <c r="I69" s="390" t="str">
        <f t="shared" si="7"/>
        <v/>
      </c>
      <c r="J69" s="391"/>
      <c r="K69" s="316" t="str">
        <f>IF('Inputs Whole-Project Water Use'!K69&lt;&gt;"",'Inputs Whole-Project Water Use'!K69,"")</f>
        <v/>
      </c>
      <c r="L69" s="316" t="str">
        <f>IF('Inputs Whole-Project Water Use'!L69&lt;&gt;"",'Inputs Whole-Project Water Use'!L69,"")</f>
        <v/>
      </c>
      <c r="M69" s="390" t="str">
        <f t="shared" si="8"/>
        <v/>
      </c>
      <c r="N69" s="391"/>
      <c r="O69" s="225" t="str">
        <f t="shared" si="2"/>
        <v/>
      </c>
      <c r="P69" s="225" t="str">
        <f t="shared" si="3"/>
        <v/>
      </c>
      <c r="Q69" s="289" t="str">
        <f>IF(AND(D69&lt;&gt;"",'Inputs Whole-Project Water Use'!Q69=""),0,IF('Inputs Whole-Project Water Use'!Q69&lt;&gt;"",'Inputs Whole-Project Water Use'!Q69,""))</f>
        <v/>
      </c>
      <c r="R69" s="225" t="str">
        <f t="shared" si="4"/>
        <v/>
      </c>
      <c r="S69" s="225" t="str">
        <f t="shared" si="5"/>
        <v/>
      </c>
      <c r="T69" s="231" t="str">
        <f t="shared" si="6"/>
        <v/>
      </c>
      <c r="U69" s="241"/>
      <c r="V69" s="241"/>
      <c r="W69" s="241"/>
      <c r="X69" s="241"/>
      <c r="Y69" s="241"/>
      <c r="Z69" s="241"/>
      <c r="AA69" s="241"/>
      <c r="AB69" s="241"/>
      <c r="AC69" s="241"/>
      <c r="AD69" s="241"/>
      <c r="AE69" s="241"/>
      <c r="AF69" s="241"/>
      <c r="AG69" s="241"/>
      <c r="AH69" s="241"/>
      <c r="AI69" s="241"/>
      <c r="AJ69" s="241"/>
      <c r="AK69" s="241"/>
      <c r="AL69" s="241"/>
      <c r="AM69" s="241"/>
      <c r="AN69" s="241"/>
      <c r="AO69" s="241"/>
      <c r="AP69" s="241"/>
      <c r="AQ69" s="241"/>
      <c r="AR69" s="241"/>
      <c r="AS69" s="241"/>
      <c r="AT69" s="241"/>
      <c r="AU69" s="241"/>
      <c r="AV69" s="241"/>
      <c r="AW69" s="241"/>
      <c r="AX69" s="241"/>
      <c r="AY69" s="241"/>
      <c r="AZ69" s="241"/>
    </row>
    <row r="70" spans="1:52" s="71" customFormat="1" ht="18" hidden="1" customHeight="1" outlineLevel="2">
      <c r="A70" s="175">
        <v>42</v>
      </c>
      <c r="B70" s="312" t="str">
        <f>(IF('Inputs Whole-Project Water Use'!B70&lt;&gt;"",'Inputs Whole-Project Water Use'!B70,""))</f>
        <v/>
      </c>
      <c r="C70" s="313" t="str">
        <f>IF(AND(D70&lt;&gt;"",'Inputs Whole-Project Water Use'!C70=""),1,IF('Inputs Whole-Project Water Use'!C70&lt;&gt;"",'Inputs Whole-Project Water Use'!C70,""))</f>
        <v/>
      </c>
      <c r="D70" s="397" t="str">
        <f>IF('Inputs Whole-Project Water Use'!D70&lt;&gt;"",'Inputs Whole-Project Water Use'!D70,"")</f>
        <v/>
      </c>
      <c r="E70" s="398"/>
      <c r="F70" s="314" t="str">
        <f>IF('Inputs Whole-Project Water Use'!F70&lt;&gt;"",'Inputs Whole-Project Water Use'!F70,"")</f>
        <v/>
      </c>
      <c r="G70" s="314" t="str">
        <f>IF('Inputs Whole-Project Water Use'!G70&lt;&gt;"",'Inputs Whole-Project Water Use'!G70,"")</f>
        <v/>
      </c>
      <c r="H70" s="315" t="str">
        <f>IF('Inputs Whole-Project Water Use'!H70&lt;&gt;"",'Inputs Whole-Project Water Use'!H70,"")</f>
        <v/>
      </c>
      <c r="I70" s="390" t="str">
        <f t="shared" si="7"/>
        <v/>
      </c>
      <c r="J70" s="391"/>
      <c r="K70" s="316" t="str">
        <f>IF('Inputs Whole-Project Water Use'!K70&lt;&gt;"",'Inputs Whole-Project Water Use'!K70,"")</f>
        <v/>
      </c>
      <c r="L70" s="316" t="str">
        <f>IF('Inputs Whole-Project Water Use'!L70&lt;&gt;"",'Inputs Whole-Project Water Use'!L70,"")</f>
        <v/>
      </c>
      <c r="M70" s="390" t="str">
        <f t="shared" si="8"/>
        <v/>
      </c>
      <c r="N70" s="391"/>
      <c r="O70" s="225" t="str">
        <f t="shared" si="2"/>
        <v/>
      </c>
      <c r="P70" s="225" t="str">
        <f t="shared" si="3"/>
        <v/>
      </c>
      <c r="Q70" s="289" t="str">
        <f>IF(AND(D70&lt;&gt;"",'Inputs Whole-Project Water Use'!Q70=""),0,IF('Inputs Whole-Project Water Use'!Q70&lt;&gt;"",'Inputs Whole-Project Water Use'!Q70,""))</f>
        <v/>
      </c>
      <c r="R70" s="225" t="str">
        <f t="shared" si="4"/>
        <v/>
      </c>
      <c r="S70" s="225" t="str">
        <f t="shared" si="5"/>
        <v/>
      </c>
      <c r="T70" s="231" t="str">
        <f t="shared" si="6"/>
        <v/>
      </c>
      <c r="U70" s="241"/>
      <c r="V70" s="241"/>
      <c r="W70" s="241"/>
      <c r="X70" s="241"/>
      <c r="Y70" s="241"/>
      <c r="Z70" s="241"/>
      <c r="AA70" s="241"/>
      <c r="AB70" s="241"/>
      <c r="AC70" s="241"/>
      <c r="AD70" s="241"/>
      <c r="AE70" s="241"/>
      <c r="AF70" s="241"/>
      <c r="AG70" s="241"/>
      <c r="AH70" s="241"/>
      <c r="AI70" s="241"/>
      <c r="AJ70" s="241"/>
      <c r="AK70" s="241"/>
      <c r="AL70" s="241"/>
      <c r="AM70" s="241"/>
      <c r="AN70" s="241"/>
      <c r="AO70" s="241"/>
      <c r="AP70" s="241"/>
      <c r="AQ70" s="241"/>
      <c r="AR70" s="241"/>
      <c r="AS70" s="241"/>
      <c r="AT70" s="241"/>
      <c r="AU70" s="241"/>
      <c r="AV70" s="241"/>
      <c r="AW70" s="241"/>
      <c r="AX70" s="241"/>
      <c r="AY70" s="241"/>
      <c r="AZ70" s="241"/>
    </row>
    <row r="71" spans="1:52" s="71" customFormat="1" ht="18" hidden="1" customHeight="1" outlineLevel="2">
      <c r="A71" s="175">
        <v>43</v>
      </c>
      <c r="B71" s="312" t="str">
        <f>(IF('Inputs Whole-Project Water Use'!B71&lt;&gt;"",'Inputs Whole-Project Water Use'!B71,""))</f>
        <v/>
      </c>
      <c r="C71" s="313" t="str">
        <f>IF(AND(D71&lt;&gt;"",'Inputs Whole-Project Water Use'!C71=""),1,IF('Inputs Whole-Project Water Use'!C71&lt;&gt;"",'Inputs Whole-Project Water Use'!C71,""))</f>
        <v/>
      </c>
      <c r="D71" s="397" t="str">
        <f>IF('Inputs Whole-Project Water Use'!D71&lt;&gt;"",'Inputs Whole-Project Water Use'!D71,"")</f>
        <v/>
      </c>
      <c r="E71" s="398"/>
      <c r="F71" s="314" t="str">
        <f>IF('Inputs Whole-Project Water Use'!F71&lt;&gt;"",'Inputs Whole-Project Water Use'!F71,"")</f>
        <v/>
      </c>
      <c r="G71" s="314" t="str">
        <f>IF('Inputs Whole-Project Water Use'!G71&lt;&gt;"",'Inputs Whole-Project Water Use'!G71,"")</f>
        <v/>
      </c>
      <c r="H71" s="315" t="str">
        <f>IF('Inputs Whole-Project Water Use'!H71&lt;&gt;"",'Inputs Whole-Project Water Use'!H71,"")</f>
        <v/>
      </c>
      <c r="I71" s="390" t="str">
        <f t="shared" si="7"/>
        <v/>
      </c>
      <c r="J71" s="391"/>
      <c r="K71" s="316" t="str">
        <f>IF('Inputs Whole-Project Water Use'!K71&lt;&gt;"",'Inputs Whole-Project Water Use'!K71,"")</f>
        <v/>
      </c>
      <c r="L71" s="316" t="str">
        <f>IF('Inputs Whole-Project Water Use'!L71&lt;&gt;"",'Inputs Whole-Project Water Use'!L71,"")</f>
        <v/>
      </c>
      <c r="M71" s="390" t="str">
        <f t="shared" si="8"/>
        <v/>
      </c>
      <c r="N71" s="391"/>
      <c r="O71" s="225" t="str">
        <f t="shared" si="2"/>
        <v/>
      </c>
      <c r="P71" s="225" t="str">
        <f t="shared" si="3"/>
        <v/>
      </c>
      <c r="Q71" s="289" t="str">
        <f>IF(AND(D71&lt;&gt;"",'Inputs Whole-Project Water Use'!Q71=""),0,IF('Inputs Whole-Project Water Use'!Q71&lt;&gt;"",'Inputs Whole-Project Water Use'!Q71,""))</f>
        <v/>
      </c>
      <c r="R71" s="225" t="str">
        <f t="shared" si="4"/>
        <v/>
      </c>
      <c r="S71" s="225" t="str">
        <f t="shared" si="5"/>
        <v/>
      </c>
      <c r="T71" s="231" t="str">
        <f t="shared" si="6"/>
        <v/>
      </c>
      <c r="U71" s="241"/>
      <c r="V71" s="241"/>
      <c r="W71" s="241"/>
      <c r="X71" s="241"/>
      <c r="Y71" s="241"/>
      <c r="Z71" s="241"/>
      <c r="AA71" s="241"/>
      <c r="AB71" s="241"/>
      <c r="AC71" s="241"/>
      <c r="AD71" s="241"/>
      <c r="AE71" s="241"/>
      <c r="AF71" s="241"/>
      <c r="AG71" s="241"/>
      <c r="AH71" s="241"/>
      <c r="AI71" s="241"/>
      <c r="AJ71" s="241"/>
      <c r="AK71" s="241"/>
      <c r="AL71" s="241"/>
      <c r="AM71" s="241"/>
      <c r="AN71" s="241"/>
      <c r="AO71" s="241"/>
      <c r="AP71" s="241"/>
      <c r="AQ71" s="241"/>
      <c r="AR71" s="241"/>
      <c r="AS71" s="241"/>
      <c r="AT71" s="241"/>
      <c r="AU71" s="241"/>
      <c r="AV71" s="241"/>
      <c r="AW71" s="241"/>
      <c r="AX71" s="241"/>
      <c r="AY71" s="241"/>
      <c r="AZ71" s="241"/>
    </row>
    <row r="72" spans="1:52" s="71" customFormat="1" ht="18" hidden="1" customHeight="1" outlineLevel="2">
      <c r="A72" s="175">
        <v>44</v>
      </c>
      <c r="B72" s="312" t="str">
        <f>(IF('Inputs Whole-Project Water Use'!B72&lt;&gt;"",'Inputs Whole-Project Water Use'!B72,""))</f>
        <v/>
      </c>
      <c r="C72" s="313" t="str">
        <f>IF(AND(D72&lt;&gt;"",'Inputs Whole-Project Water Use'!C72=""),1,IF('Inputs Whole-Project Water Use'!C72&lt;&gt;"",'Inputs Whole-Project Water Use'!C72,""))</f>
        <v/>
      </c>
      <c r="D72" s="397" t="str">
        <f>IF('Inputs Whole-Project Water Use'!D72&lt;&gt;"",'Inputs Whole-Project Water Use'!D72,"")</f>
        <v/>
      </c>
      <c r="E72" s="398"/>
      <c r="F72" s="314" t="str">
        <f>IF('Inputs Whole-Project Water Use'!F72&lt;&gt;"",'Inputs Whole-Project Water Use'!F72,"")</f>
        <v/>
      </c>
      <c r="G72" s="314" t="str">
        <f>IF('Inputs Whole-Project Water Use'!G72&lt;&gt;"",'Inputs Whole-Project Water Use'!G72,"")</f>
        <v/>
      </c>
      <c r="H72" s="315" t="str">
        <f>IF('Inputs Whole-Project Water Use'!H72&lt;&gt;"",'Inputs Whole-Project Water Use'!H72,"")</f>
        <v/>
      </c>
      <c r="I72" s="390" t="str">
        <f t="shared" si="7"/>
        <v/>
      </c>
      <c r="J72" s="391"/>
      <c r="K72" s="316" t="str">
        <f>IF('Inputs Whole-Project Water Use'!K72&lt;&gt;"",'Inputs Whole-Project Water Use'!K72,"")</f>
        <v/>
      </c>
      <c r="L72" s="316" t="str">
        <f>IF('Inputs Whole-Project Water Use'!L72&lt;&gt;"",'Inputs Whole-Project Water Use'!L72,"")</f>
        <v/>
      </c>
      <c r="M72" s="390" t="str">
        <f t="shared" si="8"/>
        <v/>
      </c>
      <c r="N72" s="391"/>
      <c r="O72" s="225" t="str">
        <f t="shared" si="2"/>
        <v/>
      </c>
      <c r="P72" s="225" t="str">
        <f t="shared" si="3"/>
        <v/>
      </c>
      <c r="Q72" s="289" t="str">
        <f>IF(AND(D72&lt;&gt;"",'Inputs Whole-Project Water Use'!Q72=""),0,IF('Inputs Whole-Project Water Use'!Q72&lt;&gt;"",'Inputs Whole-Project Water Use'!Q72,""))</f>
        <v/>
      </c>
      <c r="R72" s="225" t="str">
        <f t="shared" si="4"/>
        <v/>
      </c>
      <c r="S72" s="225" t="str">
        <f t="shared" si="5"/>
        <v/>
      </c>
      <c r="T72" s="231" t="str">
        <f t="shared" si="6"/>
        <v/>
      </c>
      <c r="U72" s="241"/>
      <c r="V72" s="241"/>
      <c r="W72" s="241"/>
      <c r="X72" s="241"/>
      <c r="Y72" s="241"/>
      <c r="Z72" s="241"/>
      <c r="AA72" s="241"/>
      <c r="AB72" s="241"/>
      <c r="AC72" s="241"/>
      <c r="AD72" s="241"/>
      <c r="AE72" s="241"/>
      <c r="AF72" s="241"/>
      <c r="AG72" s="241"/>
      <c r="AH72" s="241"/>
      <c r="AI72" s="241"/>
      <c r="AJ72" s="241"/>
      <c r="AK72" s="241"/>
      <c r="AL72" s="241"/>
      <c r="AM72" s="241"/>
      <c r="AN72" s="241"/>
      <c r="AO72" s="241"/>
      <c r="AP72" s="241"/>
      <c r="AQ72" s="241"/>
      <c r="AR72" s="241"/>
      <c r="AS72" s="241"/>
      <c r="AT72" s="241"/>
      <c r="AU72" s="241"/>
      <c r="AV72" s="241"/>
      <c r="AW72" s="241"/>
      <c r="AX72" s="241"/>
      <c r="AY72" s="241"/>
      <c r="AZ72" s="241"/>
    </row>
    <row r="73" spans="1:52" s="71" customFormat="1" ht="18" hidden="1" customHeight="1" outlineLevel="2">
      <c r="A73" s="175">
        <v>45</v>
      </c>
      <c r="B73" s="312" t="str">
        <f>(IF('Inputs Whole-Project Water Use'!B73&lt;&gt;"",'Inputs Whole-Project Water Use'!B73,""))</f>
        <v/>
      </c>
      <c r="C73" s="313" t="str">
        <f>IF(AND(D73&lt;&gt;"",'Inputs Whole-Project Water Use'!C73=""),1,IF('Inputs Whole-Project Water Use'!C73&lt;&gt;"",'Inputs Whole-Project Water Use'!C73,""))</f>
        <v/>
      </c>
      <c r="D73" s="397" t="str">
        <f>IF('Inputs Whole-Project Water Use'!D73&lt;&gt;"",'Inputs Whole-Project Water Use'!D73,"")</f>
        <v/>
      </c>
      <c r="E73" s="398"/>
      <c r="F73" s="314" t="str">
        <f>IF('Inputs Whole-Project Water Use'!F73&lt;&gt;"",'Inputs Whole-Project Water Use'!F73,"")</f>
        <v/>
      </c>
      <c r="G73" s="314" t="str">
        <f>IF('Inputs Whole-Project Water Use'!G73&lt;&gt;"",'Inputs Whole-Project Water Use'!G73,"")</f>
        <v/>
      </c>
      <c r="H73" s="315" t="str">
        <f>IF('Inputs Whole-Project Water Use'!H73&lt;&gt;"",'Inputs Whole-Project Water Use'!H73,"")</f>
        <v/>
      </c>
      <c r="I73" s="390" t="str">
        <f t="shared" si="7"/>
        <v/>
      </c>
      <c r="J73" s="391"/>
      <c r="K73" s="316" t="str">
        <f>IF('Inputs Whole-Project Water Use'!K73&lt;&gt;"",'Inputs Whole-Project Water Use'!K73,"")</f>
        <v/>
      </c>
      <c r="L73" s="316" t="str">
        <f>IF('Inputs Whole-Project Water Use'!L73&lt;&gt;"",'Inputs Whole-Project Water Use'!L73,"")</f>
        <v/>
      </c>
      <c r="M73" s="390" t="str">
        <f t="shared" si="8"/>
        <v/>
      </c>
      <c r="N73" s="391"/>
      <c r="O73" s="225" t="str">
        <f t="shared" si="2"/>
        <v/>
      </c>
      <c r="P73" s="225" t="str">
        <f t="shared" si="3"/>
        <v/>
      </c>
      <c r="Q73" s="289" t="str">
        <f>IF(AND(D73&lt;&gt;"",'Inputs Whole-Project Water Use'!Q73=""),0,IF('Inputs Whole-Project Water Use'!Q73&lt;&gt;"",'Inputs Whole-Project Water Use'!Q73,""))</f>
        <v/>
      </c>
      <c r="R73" s="225" t="str">
        <f t="shared" si="4"/>
        <v/>
      </c>
      <c r="S73" s="225" t="str">
        <f t="shared" si="5"/>
        <v/>
      </c>
      <c r="T73" s="231" t="str">
        <f t="shared" si="6"/>
        <v/>
      </c>
      <c r="U73" s="241"/>
      <c r="V73" s="241"/>
      <c r="W73" s="241"/>
      <c r="X73" s="241"/>
      <c r="Y73" s="241"/>
      <c r="Z73" s="241"/>
      <c r="AA73" s="241"/>
      <c r="AB73" s="241"/>
      <c r="AC73" s="241"/>
      <c r="AD73" s="241"/>
      <c r="AE73" s="241"/>
      <c r="AF73" s="241"/>
      <c r="AG73" s="241"/>
      <c r="AH73" s="241"/>
      <c r="AI73" s="241"/>
      <c r="AJ73" s="241"/>
      <c r="AK73" s="241"/>
      <c r="AL73" s="241"/>
      <c r="AM73" s="241"/>
      <c r="AN73" s="241"/>
      <c r="AO73" s="241"/>
      <c r="AP73" s="241"/>
      <c r="AQ73" s="241"/>
      <c r="AR73" s="241"/>
      <c r="AS73" s="241"/>
      <c r="AT73" s="241"/>
      <c r="AU73" s="241"/>
      <c r="AV73" s="241"/>
      <c r="AW73" s="241"/>
      <c r="AX73" s="241"/>
      <c r="AY73" s="241"/>
      <c r="AZ73" s="241"/>
    </row>
    <row r="74" spans="1:52" s="71" customFormat="1" ht="18" hidden="1" customHeight="1" outlineLevel="2">
      <c r="A74" s="175">
        <v>46</v>
      </c>
      <c r="B74" s="312" t="str">
        <f>(IF('Inputs Whole-Project Water Use'!B74&lt;&gt;"",'Inputs Whole-Project Water Use'!B74,""))</f>
        <v/>
      </c>
      <c r="C74" s="313" t="str">
        <f>IF(AND(D74&lt;&gt;"",'Inputs Whole-Project Water Use'!C74=""),1,IF('Inputs Whole-Project Water Use'!C74&lt;&gt;"",'Inputs Whole-Project Water Use'!C74,""))</f>
        <v/>
      </c>
      <c r="D74" s="397" t="str">
        <f>IF('Inputs Whole-Project Water Use'!D74&lt;&gt;"",'Inputs Whole-Project Water Use'!D74,"")</f>
        <v/>
      </c>
      <c r="E74" s="398"/>
      <c r="F74" s="314" t="str">
        <f>IF('Inputs Whole-Project Water Use'!F74&lt;&gt;"",'Inputs Whole-Project Water Use'!F74,"")</f>
        <v/>
      </c>
      <c r="G74" s="314" t="str">
        <f>IF('Inputs Whole-Project Water Use'!G74&lt;&gt;"",'Inputs Whole-Project Water Use'!G74,"")</f>
        <v/>
      </c>
      <c r="H74" s="315" t="str">
        <f>IF('Inputs Whole-Project Water Use'!H74&lt;&gt;"",'Inputs Whole-Project Water Use'!H74,"")</f>
        <v/>
      </c>
      <c r="I74" s="390" t="str">
        <f t="shared" si="7"/>
        <v/>
      </c>
      <c r="J74" s="391"/>
      <c r="K74" s="316" t="str">
        <f>IF('Inputs Whole-Project Water Use'!K74&lt;&gt;"",'Inputs Whole-Project Water Use'!K74,"")</f>
        <v/>
      </c>
      <c r="L74" s="316" t="str">
        <f>IF('Inputs Whole-Project Water Use'!L74&lt;&gt;"",'Inputs Whole-Project Water Use'!L74,"")</f>
        <v/>
      </c>
      <c r="M74" s="390" t="str">
        <f t="shared" si="8"/>
        <v/>
      </c>
      <c r="N74" s="391"/>
      <c r="O74" s="225" t="str">
        <f t="shared" si="2"/>
        <v/>
      </c>
      <c r="P74" s="225" t="str">
        <f t="shared" si="3"/>
        <v/>
      </c>
      <c r="Q74" s="289" t="str">
        <f>IF(AND(D74&lt;&gt;"",'Inputs Whole-Project Water Use'!Q74=""),0,IF('Inputs Whole-Project Water Use'!Q74&lt;&gt;"",'Inputs Whole-Project Water Use'!Q74,""))</f>
        <v/>
      </c>
      <c r="R74" s="225" t="str">
        <f t="shared" si="4"/>
        <v/>
      </c>
      <c r="S74" s="225" t="str">
        <f t="shared" si="5"/>
        <v/>
      </c>
      <c r="T74" s="231" t="str">
        <f t="shared" si="6"/>
        <v/>
      </c>
      <c r="U74" s="241"/>
      <c r="V74" s="241"/>
      <c r="W74" s="241"/>
      <c r="X74" s="241"/>
      <c r="Y74" s="241"/>
      <c r="Z74" s="241"/>
      <c r="AA74" s="241"/>
      <c r="AB74" s="241"/>
      <c r="AC74" s="241"/>
      <c r="AD74" s="241"/>
      <c r="AE74" s="241"/>
      <c r="AF74" s="241"/>
      <c r="AG74" s="241"/>
      <c r="AH74" s="241"/>
      <c r="AI74" s="241"/>
      <c r="AJ74" s="241"/>
      <c r="AK74" s="241"/>
      <c r="AL74" s="241"/>
      <c r="AM74" s="241"/>
      <c r="AN74" s="241"/>
      <c r="AO74" s="241"/>
      <c r="AP74" s="241"/>
      <c r="AQ74" s="241"/>
      <c r="AR74" s="241"/>
      <c r="AS74" s="241"/>
      <c r="AT74" s="241"/>
      <c r="AU74" s="241"/>
      <c r="AV74" s="241"/>
      <c r="AW74" s="241"/>
      <c r="AX74" s="241"/>
      <c r="AY74" s="241"/>
      <c r="AZ74" s="241"/>
    </row>
    <row r="75" spans="1:52" s="71" customFormat="1" ht="18" hidden="1" customHeight="1" outlineLevel="2">
      <c r="A75" s="175">
        <v>47</v>
      </c>
      <c r="B75" s="312" t="str">
        <f>(IF('Inputs Whole-Project Water Use'!B75&lt;&gt;"",'Inputs Whole-Project Water Use'!B75,""))</f>
        <v/>
      </c>
      <c r="C75" s="313" t="str">
        <f>IF(AND(D75&lt;&gt;"",'Inputs Whole-Project Water Use'!C75=""),1,IF('Inputs Whole-Project Water Use'!C75&lt;&gt;"",'Inputs Whole-Project Water Use'!C75,""))</f>
        <v/>
      </c>
      <c r="D75" s="397" t="str">
        <f>IF('Inputs Whole-Project Water Use'!D75&lt;&gt;"",'Inputs Whole-Project Water Use'!D75,"")</f>
        <v/>
      </c>
      <c r="E75" s="398"/>
      <c r="F75" s="314" t="str">
        <f>IF('Inputs Whole-Project Water Use'!F75&lt;&gt;"",'Inputs Whole-Project Water Use'!F75,"")</f>
        <v/>
      </c>
      <c r="G75" s="314" t="str">
        <f>IF('Inputs Whole-Project Water Use'!G75&lt;&gt;"",'Inputs Whole-Project Water Use'!G75,"")</f>
        <v/>
      </c>
      <c r="H75" s="315" t="str">
        <f>IF('Inputs Whole-Project Water Use'!H75&lt;&gt;"",'Inputs Whole-Project Water Use'!H75,"")</f>
        <v/>
      </c>
      <c r="I75" s="390" t="str">
        <f t="shared" si="7"/>
        <v/>
      </c>
      <c r="J75" s="391"/>
      <c r="K75" s="316" t="str">
        <f>IF('Inputs Whole-Project Water Use'!K75&lt;&gt;"",'Inputs Whole-Project Water Use'!K75,"")</f>
        <v/>
      </c>
      <c r="L75" s="316" t="str">
        <f>IF('Inputs Whole-Project Water Use'!L75&lt;&gt;"",'Inputs Whole-Project Water Use'!L75,"")</f>
        <v/>
      </c>
      <c r="M75" s="390" t="str">
        <f t="shared" si="8"/>
        <v/>
      </c>
      <c r="N75" s="391"/>
      <c r="O75" s="225" t="str">
        <f t="shared" si="2"/>
        <v/>
      </c>
      <c r="P75" s="225" t="str">
        <f t="shared" si="3"/>
        <v/>
      </c>
      <c r="Q75" s="289" t="str">
        <f>IF(AND(D75&lt;&gt;"",'Inputs Whole-Project Water Use'!Q75=""),0,IF('Inputs Whole-Project Water Use'!Q75&lt;&gt;"",'Inputs Whole-Project Water Use'!Q75,""))</f>
        <v/>
      </c>
      <c r="R75" s="225" t="str">
        <f t="shared" si="4"/>
        <v/>
      </c>
      <c r="S75" s="225" t="str">
        <f t="shared" si="5"/>
        <v/>
      </c>
      <c r="T75" s="231" t="str">
        <f t="shared" si="6"/>
        <v/>
      </c>
      <c r="U75" s="241"/>
      <c r="V75" s="241"/>
      <c r="W75" s="241"/>
      <c r="X75" s="241"/>
      <c r="Y75" s="241"/>
      <c r="Z75" s="241"/>
      <c r="AA75" s="241"/>
      <c r="AB75" s="241"/>
      <c r="AC75" s="241"/>
      <c r="AD75" s="241"/>
      <c r="AE75" s="241"/>
      <c r="AF75" s="241"/>
      <c r="AG75" s="241"/>
      <c r="AH75" s="241"/>
      <c r="AI75" s="241"/>
      <c r="AJ75" s="241"/>
      <c r="AK75" s="241"/>
      <c r="AL75" s="241"/>
      <c r="AM75" s="241"/>
      <c r="AN75" s="241"/>
      <c r="AO75" s="241"/>
      <c r="AP75" s="241"/>
      <c r="AQ75" s="241"/>
      <c r="AR75" s="241"/>
      <c r="AS75" s="241"/>
      <c r="AT75" s="241"/>
      <c r="AU75" s="241"/>
      <c r="AV75" s="241"/>
      <c r="AW75" s="241"/>
      <c r="AX75" s="241"/>
      <c r="AY75" s="241"/>
      <c r="AZ75" s="241"/>
    </row>
    <row r="76" spans="1:52" s="71" customFormat="1" ht="18" hidden="1" customHeight="1" outlineLevel="2">
      <c r="A76" s="175">
        <v>48</v>
      </c>
      <c r="B76" s="312" t="str">
        <f>(IF('Inputs Whole-Project Water Use'!B76&lt;&gt;"",'Inputs Whole-Project Water Use'!B76,""))</f>
        <v/>
      </c>
      <c r="C76" s="313" t="str">
        <f>IF(AND(D76&lt;&gt;"",'Inputs Whole-Project Water Use'!C76=""),1,IF('Inputs Whole-Project Water Use'!C76&lt;&gt;"",'Inputs Whole-Project Water Use'!C76,""))</f>
        <v/>
      </c>
      <c r="D76" s="397" t="str">
        <f>IF('Inputs Whole-Project Water Use'!D76&lt;&gt;"",'Inputs Whole-Project Water Use'!D76,"")</f>
        <v/>
      </c>
      <c r="E76" s="398"/>
      <c r="F76" s="314" t="str">
        <f>IF('Inputs Whole-Project Water Use'!F76&lt;&gt;"",'Inputs Whole-Project Water Use'!F76,"")</f>
        <v/>
      </c>
      <c r="G76" s="314" t="str">
        <f>IF('Inputs Whole-Project Water Use'!G76&lt;&gt;"",'Inputs Whole-Project Water Use'!G76,"")</f>
        <v/>
      </c>
      <c r="H76" s="315" t="str">
        <f>IF('Inputs Whole-Project Water Use'!H76&lt;&gt;"",'Inputs Whole-Project Water Use'!H76,"")</f>
        <v/>
      </c>
      <c r="I76" s="390" t="str">
        <f t="shared" si="7"/>
        <v/>
      </c>
      <c r="J76" s="391"/>
      <c r="K76" s="316" t="str">
        <f>IF('Inputs Whole-Project Water Use'!K76&lt;&gt;"",'Inputs Whole-Project Water Use'!K76,"")</f>
        <v/>
      </c>
      <c r="L76" s="316" t="str">
        <f>IF('Inputs Whole-Project Water Use'!L76&lt;&gt;"",'Inputs Whole-Project Water Use'!L76,"")</f>
        <v/>
      </c>
      <c r="M76" s="390" t="str">
        <f t="shared" si="8"/>
        <v/>
      </c>
      <c r="N76" s="391"/>
      <c r="O76" s="225" t="str">
        <f t="shared" si="2"/>
        <v/>
      </c>
      <c r="P76" s="225" t="str">
        <f t="shared" si="3"/>
        <v/>
      </c>
      <c r="Q76" s="289" t="str">
        <f>IF(AND(D76&lt;&gt;"",'Inputs Whole-Project Water Use'!Q76=""),0,IF('Inputs Whole-Project Water Use'!Q76&lt;&gt;"",'Inputs Whole-Project Water Use'!Q76,""))</f>
        <v/>
      </c>
      <c r="R76" s="225" t="str">
        <f t="shared" si="4"/>
        <v/>
      </c>
      <c r="S76" s="225" t="str">
        <f t="shared" si="5"/>
        <v/>
      </c>
      <c r="T76" s="231" t="str">
        <f t="shared" si="6"/>
        <v/>
      </c>
      <c r="U76" s="241"/>
      <c r="V76" s="241"/>
      <c r="W76" s="241"/>
      <c r="X76" s="241"/>
      <c r="Y76" s="241"/>
      <c r="Z76" s="241"/>
      <c r="AA76" s="241"/>
      <c r="AB76" s="241"/>
      <c r="AC76" s="241"/>
      <c r="AD76" s="241"/>
      <c r="AE76" s="241"/>
      <c r="AF76" s="241"/>
      <c r="AG76" s="241"/>
      <c r="AH76" s="241"/>
      <c r="AI76" s="241"/>
      <c r="AJ76" s="241"/>
      <c r="AK76" s="241"/>
      <c r="AL76" s="241"/>
      <c r="AM76" s="241"/>
      <c r="AN76" s="241"/>
      <c r="AO76" s="241"/>
      <c r="AP76" s="241"/>
      <c r="AQ76" s="241"/>
      <c r="AR76" s="241"/>
      <c r="AS76" s="241"/>
      <c r="AT76" s="241"/>
      <c r="AU76" s="241"/>
      <c r="AV76" s="241"/>
      <c r="AW76" s="241"/>
      <c r="AX76" s="241"/>
      <c r="AY76" s="241"/>
      <c r="AZ76" s="241"/>
    </row>
    <row r="77" spans="1:52" s="71" customFormat="1" ht="18" hidden="1" customHeight="1" outlineLevel="2">
      <c r="A77" s="175">
        <v>49</v>
      </c>
      <c r="B77" s="312" t="str">
        <f>(IF('Inputs Whole-Project Water Use'!B77&lt;&gt;"",'Inputs Whole-Project Water Use'!B77,""))</f>
        <v/>
      </c>
      <c r="C77" s="313" t="str">
        <f>IF(AND(D77&lt;&gt;"",'Inputs Whole-Project Water Use'!C77=""),1,IF('Inputs Whole-Project Water Use'!C77&lt;&gt;"",'Inputs Whole-Project Water Use'!C77,""))</f>
        <v/>
      </c>
      <c r="D77" s="397" t="str">
        <f>IF('Inputs Whole-Project Water Use'!D77&lt;&gt;"",'Inputs Whole-Project Water Use'!D77,"")</f>
        <v/>
      </c>
      <c r="E77" s="398"/>
      <c r="F77" s="314" t="str">
        <f>IF('Inputs Whole-Project Water Use'!F77&lt;&gt;"",'Inputs Whole-Project Water Use'!F77,"")</f>
        <v/>
      </c>
      <c r="G77" s="314" t="str">
        <f>IF('Inputs Whole-Project Water Use'!G77&lt;&gt;"",'Inputs Whole-Project Water Use'!G77,"")</f>
        <v/>
      </c>
      <c r="H77" s="315" t="str">
        <f>IF('Inputs Whole-Project Water Use'!H77&lt;&gt;"",'Inputs Whole-Project Water Use'!H77,"")</f>
        <v/>
      </c>
      <c r="I77" s="390" t="str">
        <f t="shared" si="7"/>
        <v/>
      </c>
      <c r="J77" s="391"/>
      <c r="K77" s="316" t="str">
        <f>IF('Inputs Whole-Project Water Use'!K77&lt;&gt;"",'Inputs Whole-Project Water Use'!K77,"")</f>
        <v/>
      </c>
      <c r="L77" s="316" t="str">
        <f>IF('Inputs Whole-Project Water Use'!L77&lt;&gt;"",'Inputs Whole-Project Water Use'!L77,"")</f>
        <v/>
      </c>
      <c r="M77" s="390" t="str">
        <f t="shared" si="8"/>
        <v/>
      </c>
      <c r="N77" s="391"/>
      <c r="O77" s="225" t="str">
        <f t="shared" si="2"/>
        <v/>
      </c>
      <c r="P77" s="225" t="str">
        <f t="shared" si="3"/>
        <v/>
      </c>
      <c r="Q77" s="289" t="str">
        <f>IF(AND(D77&lt;&gt;"",'Inputs Whole-Project Water Use'!Q77=""),0,IF('Inputs Whole-Project Water Use'!Q77&lt;&gt;"",'Inputs Whole-Project Water Use'!Q77,""))</f>
        <v/>
      </c>
      <c r="R77" s="225" t="str">
        <f t="shared" si="4"/>
        <v/>
      </c>
      <c r="S77" s="225" t="str">
        <f t="shared" si="5"/>
        <v/>
      </c>
      <c r="T77" s="231" t="str">
        <f t="shared" si="6"/>
        <v/>
      </c>
      <c r="U77" s="241"/>
      <c r="V77" s="241"/>
      <c r="W77" s="241"/>
      <c r="X77" s="241"/>
      <c r="Y77" s="241"/>
      <c r="Z77" s="241"/>
      <c r="AA77" s="241"/>
      <c r="AB77" s="241"/>
      <c r="AC77" s="241"/>
      <c r="AD77" s="241"/>
      <c r="AE77" s="241"/>
      <c r="AF77" s="241"/>
      <c r="AG77" s="241"/>
      <c r="AH77" s="241"/>
      <c r="AI77" s="241"/>
      <c r="AJ77" s="241"/>
      <c r="AK77" s="241"/>
      <c r="AL77" s="241"/>
      <c r="AM77" s="241"/>
      <c r="AN77" s="241"/>
      <c r="AO77" s="241"/>
      <c r="AP77" s="241"/>
      <c r="AQ77" s="241"/>
      <c r="AR77" s="241"/>
      <c r="AS77" s="241"/>
      <c r="AT77" s="241"/>
      <c r="AU77" s="241"/>
      <c r="AV77" s="241"/>
      <c r="AW77" s="241"/>
      <c r="AX77" s="241"/>
      <c r="AY77" s="241"/>
      <c r="AZ77" s="241"/>
    </row>
    <row r="78" spans="1:52" s="71" customFormat="1" ht="18" hidden="1" customHeight="1" outlineLevel="2">
      <c r="A78" s="175">
        <v>50</v>
      </c>
      <c r="B78" s="312" t="str">
        <f>(IF('Inputs Whole-Project Water Use'!B78&lt;&gt;"",'Inputs Whole-Project Water Use'!B78,""))</f>
        <v/>
      </c>
      <c r="C78" s="313" t="str">
        <f>IF(AND(D78&lt;&gt;"",'Inputs Whole-Project Water Use'!C78=""),1,IF('Inputs Whole-Project Water Use'!C78&lt;&gt;"",'Inputs Whole-Project Water Use'!C78,""))</f>
        <v/>
      </c>
      <c r="D78" s="397" t="str">
        <f>IF('Inputs Whole-Project Water Use'!D78&lt;&gt;"",'Inputs Whole-Project Water Use'!D78,"")</f>
        <v/>
      </c>
      <c r="E78" s="398"/>
      <c r="F78" s="314" t="str">
        <f>IF('Inputs Whole-Project Water Use'!F78&lt;&gt;"",'Inputs Whole-Project Water Use'!F78,"")</f>
        <v/>
      </c>
      <c r="G78" s="314" t="str">
        <f>IF('Inputs Whole-Project Water Use'!G78&lt;&gt;"",'Inputs Whole-Project Water Use'!G78,"")</f>
        <v/>
      </c>
      <c r="H78" s="315" t="str">
        <f>IF('Inputs Whole-Project Water Use'!H78&lt;&gt;"",'Inputs Whole-Project Water Use'!H78,"")</f>
        <v/>
      </c>
      <c r="I78" s="390" t="str">
        <f t="shared" si="7"/>
        <v/>
      </c>
      <c r="J78" s="391"/>
      <c r="K78" s="316" t="str">
        <f>IF('Inputs Whole-Project Water Use'!K78&lt;&gt;"",'Inputs Whole-Project Water Use'!K78,"")</f>
        <v/>
      </c>
      <c r="L78" s="316" t="str">
        <f>IF('Inputs Whole-Project Water Use'!L78&lt;&gt;"",'Inputs Whole-Project Water Use'!L78,"")</f>
        <v/>
      </c>
      <c r="M78" s="390" t="str">
        <f t="shared" si="8"/>
        <v/>
      </c>
      <c r="N78" s="391"/>
      <c r="O78" s="225" t="str">
        <f t="shared" si="2"/>
        <v/>
      </c>
      <c r="P78" s="225" t="str">
        <f t="shared" si="3"/>
        <v/>
      </c>
      <c r="Q78" s="289" t="str">
        <f>IF(AND(D78&lt;&gt;"",'Inputs Whole-Project Water Use'!Q78=""),0,IF('Inputs Whole-Project Water Use'!Q78&lt;&gt;"",'Inputs Whole-Project Water Use'!Q78,""))</f>
        <v/>
      </c>
      <c r="R78" s="225" t="str">
        <f t="shared" si="4"/>
        <v/>
      </c>
      <c r="S78" s="225" t="str">
        <f t="shared" si="5"/>
        <v/>
      </c>
      <c r="T78" s="231" t="str">
        <f t="shared" si="6"/>
        <v/>
      </c>
      <c r="U78" s="241"/>
      <c r="V78" s="241"/>
      <c r="W78" s="241"/>
      <c r="X78" s="241"/>
      <c r="Y78" s="241"/>
      <c r="Z78" s="241"/>
      <c r="AA78" s="241"/>
      <c r="AB78" s="241"/>
      <c r="AC78" s="241"/>
      <c r="AD78" s="241"/>
      <c r="AE78" s="241"/>
      <c r="AF78" s="241"/>
      <c r="AG78" s="241"/>
      <c r="AH78" s="241"/>
      <c r="AI78" s="241"/>
      <c r="AJ78" s="241"/>
      <c r="AK78" s="241"/>
      <c r="AL78" s="241"/>
      <c r="AM78" s="241"/>
      <c r="AN78" s="241"/>
      <c r="AO78" s="241"/>
      <c r="AP78" s="241"/>
      <c r="AQ78" s="241"/>
      <c r="AR78" s="241"/>
      <c r="AS78" s="241"/>
      <c r="AT78" s="241"/>
      <c r="AU78" s="241"/>
      <c r="AV78" s="241"/>
      <c r="AW78" s="241"/>
      <c r="AX78" s="241"/>
      <c r="AY78" s="241"/>
      <c r="AZ78" s="241"/>
    </row>
    <row r="79" spans="1:52" s="71" customFormat="1" ht="18" hidden="1" customHeight="1" outlineLevel="1" collapsed="1">
      <c r="A79" s="175">
        <v>51</v>
      </c>
      <c r="B79" s="312" t="str">
        <f>(IF('Inputs Whole-Project Water Use'!B79&lt;&gt;"",'Inputs Whole-Project Water Use'!B79,""))</f>
        <v/>
      </c>
      <c r="C79" s="313" t="str">
        <f>IF(AND(D79&lt;&gt;"",'Inputs Whole-Project Water Use'!C79=""),1,IF('Inputs Whole-Project Water Use'!C79&lt;&gt;"",'Inputs Whole-Project Water Use'!C79,""))</f>
        <v/>
      </c>
      <c r="D79" s="397" t="str">
        <f>IF('Inputs Whole-Project Water Use'!D79&lt;&gt;"",'Inputs Whole-Project Water Use'!D79,"")</f>
        <v/>
      </c>
      <c r="E79" s="398"/>
      <c r="F79" s="314" t="str">
        <f>IF('Inputs Whole-Project Water Use'!F79&lt;&gt;"",'Inputs Whole-Project Water Use'!F79,"")</f>
        <v/>
      </c>
      <c r="G79" s="314" t="str">
        <f>IF('Inputs Whole-Project Water Use'!G79&lt;&gt;"",'Inputs Whole-Project Water Use'!G79,"")</f>
        <v/>
      </c>
      <c r="H79" s="315" t="str">
        <f>IF('Inputs Whole-Project Water Use'!H79&lt;&gt;"",'Inputs Whole-Project Water Use'!H79,"")</f>
        <v/>
      </c>
      <c r="I79" s="390" t="str">
        <f t="shared" ref="I79:I98" si="9">IFERROR(IF(logic_units&lt;&gt;"SI Units",INDEX(data_dumip,MATCH($D79,data_waterusetypes,0)),INDEX(data_dumsi,MATCH($D79,data_waterusetypes,0))),"")</f>
        <v/>
      </c>
      <c r="J79" s="391"/>
      <c r="K79" s="316" t="str">
        <f>IF('Inputs Whole-Project Water Use'!K79&lt;&gt;"",'Inputs Whole-Project Water Use'!K79,"")</f>
        <v/>
      </c>
      <c r="L79" s="316" t="str">
        <f>IF('Inputs Whole-Project Water Use'!L79&lt;&gt;"",'Inputs Whole-Project Water Use'!L79,"")</f>
        <v/>
      </c>
      <c r="M79" s="390" t="str">
        <f t="shared" ref="M79:M98" si="10">IFERROR(IF(logic_units&lt;&gt;"SI Units",INDEX(data_wurip,MATCH($D79,data_waterusetypes,0)),INDEX(data_wursi,MATCH($D79,data_waterusetypes,0))),"")</f>
        <v/>
      </c>
      <c r="N79" s="391"/>
      <c r="O79" s="225" t="str">
        <f t="shared" si="2"/>
        <v/>
      </c>
      <c r="P79" s="225" t="str">
        <f t="shared" si="3"/>
        <v/>
      </c>
      <c r="Q79" s="289" t="str">
        <f>IF(AND(D79&lt;&gt;"",'Inputs Whole-Project Water Use'!Q79=""),0,IF('Inputs Whole-Project Water Use'!Q79&lt;&gt;"",'Inputs Whole-Project Water Use'!Q79,""))</f>
        <v/>
      </c>
      <c r="R79" s="225" t="str">
        <f t="shared" si="4"/>
        <v/>
      </c>
      <c r="S79" s="225" t="str">
        <f t="shared" si="5"/>
        <v/>
      </c>
      <c r="T79" s="231" t="str">
        <f t="shared" si="6"/>
        <v/>
      </c>
      <c r="U79" s="176" t="s">
        <v>165</v>
      </c>
      <c r="V79" s="241"/>
      <c r="W79" s="241"/>
      <c r="X79" s="241"/>
      <c r="Y79" s="241"/>
      <c r="Z79" s="241"/>
      <c r="AA79" s="241"/>
      <c r="AB79" s="241"/>
      <c r="AC79" s="241"/>
      <c r="AD79" s="241"/>
      <c r="AE79" s="241"/>
      <c r="AF79" s="241"/>
      <c r="AG79" s="241"/>
      <c r="AH79" s="241"/>
      <c r="AI79" s="241"/>
      <c r="AJ79" s="241"/>
      <c r="AK79" s="241"/>
      <c r="AL79" s="241"/>
      <c r="AM79" s="241"/>
      <c r="AN79" s="241"/>
      <c r="AO79" s="241"/>
      <c r="AP79" s="241"/>
      <c r="AQ79" s="241"/>
      <c r="AR79" s="241"/>
      <c r="AS79" s="241"/>
      <c r="AT79" s="241"/>
      <c r="AU79" s="241"/>
      <c r="AV79" s="241"/>
      <c r="AW79" s="241"/>
      <c r="AX79" s="241"/>
      <c r="AY79" s="241"/>
      <c r="AZ79" s="241"/>
    </row>
    <row r="80" spans="1:52" s="71" customFormat="1" ht="18" hidden="1" customHeight="1" outlineLevel="2">
      <c r="A80" s="175">
        <v>52</v>
      </c>
      <c r="B80" s="312" t="str">
        <f>(IF('Inputs Whole-Project Water Use'!B80&lt;&gt;"",'Inputs Whole-Project Water Use'!B80,""))</f>
        <v/>
      </c>
      <c r="C80" s="313" t="str">
        <f>IF(AND(D80&lt;&gt;"",'Inputs Whole-Project Water Use'!C80=""),1,IF('Inputs Whole-Project Water Use'!C80&lt;&gt;"",'Inputs Whole-Project Water Use'!C80,""))</f>
        <v/>
      </c>
      <c r="D80" s="397" t="str">
        <f>IF('Inputs Whole-Project Water Use'!D80&lt;&gt;"",'Inputs Whole-Project Water Use'!D80,"")</f>
        <v/>
      </c>
      <c r="E80" s="398"/>
      <c r="F80" s="314" t="str">
        <f>IF('Inputs Whole-Project Water Use'!F80&lt;&gt;"",'Inputs Whole-Project Water Use'!F80,"")</f>
        <v/>
      </c>
      <c r="G80" s="314" t="str">
        <f>IF('Inputs Whole-Project Water Use'!G80&lt;&gt;"",'Inputs Whole-Project Water Use'!G80,"")</f>
        <v/>
      </c>
      <c r="H80" s="315" t="str">
        <f>IF('Inputs Whole-Project Water Use'!H80&lt;&gt;"",'Inputs Whole-Project Water Use'!H80,"")</f>
        <v/>
      </c>
      <c r="I80" s="390" t="str">
        <f t="shared" si="9"/>
        <v/>
      </c>
      <c r="J80" s="391"/>
      <c r="K80" s="316" t="str">
        <f>IF('Inputs Whole-Project Water Use'!K80&lt;&gt;"",'Inputs Whole-Project Water Use'!K80,"")</f>
        <v/>
      </c>
      <c r="L80" s="316" t="str">
        <f>IF('Inputs Whole-Project Water Use'!L80&lt;&gt;"",'Inputs Whole-Project Water Use'!L80,"")</f>
        <v/>
      </c>
      <c r="M80" s="390" t="str">
        <f t="shared" si="10"/>
        <v/>
      </c>
      <c r="N80" s="391"/>
      <c r="O80" s="225" t="str">
        <f t="shared" si="2"/>
        <v/>
      </c>
      <c r="P80" s="225" t="str">
        <f t="shared" si="3"/>
        <v/>
      </c>
      <c r="Q80" s="289" t="str">
        <f>IF(AND(D80&lt;&gt;"",'Inputs Whole-Project Water Use'!Q80=""),0,IF('Inputs Whole-Project Water Use'!Q80&lt;&gt;"",'Inputs Whole-Project Water Use'!Q80,""))</f>
        <v/>
      </c>
      <c r="R80" s="225" t="str">
        <f t="shared" si="4"/>
        <v/>
      </c>
      <c r="S80" s="225" t="str">
        <f t="shared" si="5"/>
        <v/>
      </c>
      <c r="T80" s="231" t="str">
        <f t="shared" si="6"/>
        <v/>
      </c>
      <c r="U80" s="241"/>
      <c r="V80" s="241"/>
      <c r="W80" s="241"/>
      <c r="X80" s="241"/>
      <c r="Y80" s="241"/>
      <c r="Z80" s="241"/>
      <c r="AA80" s="241"/>
      <c r="AB80" s="241"/>
      <c r="AC80" s="241"/>
      <c r="AD80" s="241"/>
      <c r="AE80" s="241"/>
      <c r="AF80" s="241"/>
      <c r="AG80" s="241"/>
      <c r="AH80" s="241"/>
      <c r="AI80" s="241"/>
      <c r="AJ80" s="241"/>
      <c r="AK80" s="241"/>
      <c r="AL80" s="241"/>
      <c r="AM80" s="241"/>
      <c r="AN80" s="241"/>
      <c r="AO80" s="241"/>
      <c r="AP80" s="241"/>
      <c r="AQ80" s="241"/>
      <c r="AR80" s="241"/>
      <c r="AS80" s="241"/>
      <c r="AT80" s="241"/>
      <c r="AU80" s="241"/>
      <c r="AV80" s="241"/>
      <c r="AW80" s="241"/>
      <c r="AX80" s="241"/>
      <c r="AY80" s="241"/>
      <c r="AZ80" s="241"/>
    </row>
    <row r="81" spans="1:52" s="71" customFormat="1" ht="18" hidden="1" customHeight="1" outlineLevel="2">
      <c r="A81" s="175">
        <v>53</v>
      </c>
      <c r="B81" s="312" t="str">
        <f>(IF('Inputs Whole-Project Water Use'!B81&lt;&gt;"",'Inputs Whole-Project Water Use'!B81,""))</f>
        <v/>
      </c>
      <c r="C81" s="313" t="str">
        <f>IF(AND(D81&lt;&gt;"",'Inputs Whole-Project Water Use'!C81=""),1,IF('Inputs Whole-Project Water Use'!C81&lt;&gt;"",'Inputs Whole-Project Water Use'!C81,""))</f>
        <v/>
      </c>
      <c r="D81" s="397" t="str">
        <f>IF('Inputs Whole-Project Water Use'!D81&lt;&gt;"",'Inputs Whole-Project Water Use'!D81,"")</f>
        <v/>
      </c>
      <c r="E81" s="398"/>
      <c r="F81" s="314" t="str">
        <f>IF('Inputs Whole-Project Water Use'!F81&lt;&gt;"",'Inputs Whole-Project Water Use'!F81,"")</f>
        <v/>
      </c>
      <c r="G81" s="314" t="str">
        <f>IF('Inputs Whole-Project Water Use'!G81&lt;&gt;"",'Inputs Whole-Project Water Use'!G81,"")</f>
        <v/>
      </c>
      <c r="H81" s="315" t="str">
        <f>IF('Inputs Whole-Project Water Use'!H81&lt;&gt;"",'Inputs Whole-Project Water Use'!H81,"")</f>
        <v/>
      </c>
      <c r="I81" s="390" t="str">
        <f t="shared" si="9"/>
        <v/>
      </c>
      <c r="J81" s="391"/>
      <c r="K81" s="316" t="str">
        <f>IF('Inputs Whole-Project Water Use'!K81&lt;&gt;"",'Inputs Whole-Project Water Use'!K81,"")</f>
        <v/>
      </c>
      <c r="L81" s="316" t="str">
        <f>IF('Inputs Whole-Project Water Use'!L81&lt;&gt;"",'Inputs Whole-Project Water Use'!L81,"")</f>
        <v/>
      </c>
      <c r="M81" s="390" t="str">
        <f t="shared" si="10"/>
        <v/>
      </c>
      <c r="N81" s="391"/>
      <c r="O81" s="225" t="str">
        <f t="shared" si="2"/>
        <v/>
      </c>
      <c r="P81" s="225" t="str">
        <f t="shared" si="3"/>
        <v/>
      </c>
      <c r="Q81" s="289" t="str">
        <f>IF(AND(D81&lt;&gt;"",'Inputs Whole-Project Water Use'!Q81=""),0,IF('Inputs Whole-Project Water Use'!Q81&lt;&gt;"",'Inputs Whole-Project Water Use'!Q81,""))</f>
        <v/>
      </c>
      <c r="R81" s="225" t="str">
        <f t="shared" si="4"/>
        <v/>
      </c>
      <c r="S81" s="225" t="str">
        <f t="shared" si="5"/>
        <v/>
      </c>
      <c r="T81" s="231" t="str">
        <f t="shared" si="6"/>
        <v/>
      </c>
      <c r="U81" s="241"/>
      <c r="V81" s="241"/>
      <c r="W81" s="241"/>
      <c r="X81" s="241"/>
      <c r="Y81" s="241"/>
      <c r="Z81" s="241"/>
      <c r="AA81" s="241"/>
      <c r="AB81" s="241"/>
      <c r="AC81" s="241"/>
      <c r="AD81" s="241"/>
      <c r="AE81" s="241"/>
      <c r="AF81" s="241"/>
      <c r="AG81" s="241"/>
      <c r="AH81" s="241"/>
      <c r="AI81" s="241"/>
      <c r="AJ81" s="241"/>
      <c r="AK81" s="241"/>
      <c r="AL81" s="241"/>
      <c r="AM81" s="241"/>
      <c r="AN81" s="241"/>
      <c r="AO81" s="241"/>
      <c r="AP81" s="241"/>
      <c r="AQ81" s="241"/>
      <c r="AR81" s="241"/>
      <c r="AS81" s="241"/>
      <c r="AT81" s="241"/>
      <c r="AU81" s="241"/>
      <c r="AV81" s="241"/>
      <c r="AW81" s="241"/>
      <c r="AX81" s="241"/>
      <c r="AY81" s="241"/>
      <c r="AZ81" s="241"/>
    </row>
    <row r="82" spans="1:52" s="71" customFormat="1" ht="18" hidden="1" customHeight="1" outlineLevel="2">
      <c r="A82" s="175">
        <v>54</v>
      </c>
      <c r="B82" s="312" t="str">
        <f>(IF('Inputs Whole-Project Water Use'!B82&lt;&gt;"",'Inputs Whole-Project Water Use'!B82,""))</f>
        <v/>
      </c>
      <c r="C82" s="313" t="str">
        <f>IF(AND(D82&lt;&gt;"",'Inputs Whole-Project Water Use'!C82=""),1,IF('Inputs Whole-Project Water Use'!C82&lt;&gt;"",'Inputs Whole-Project Water Use'!C82,""))</f>
        <v/>
      </c>
      <c r="D82" s="397" t="str">
        <f>IF('Inputs Whole-Project Water Use'!D82&lt;&gt;"",'Inputs Whole-Project Water Use'!D82,"")</f>
        <v/>
      </c>
      <c r="E82" s="398"/>
      <c r="F82" s="314" t="str">
        <f>IF('Inputs Whole-Project Water Use'!F82&lt;&gt;"",'Inputs Whole-Project Water Use'!F82,"")</f>
        <v/>
      </c>
      <c r="G82" s="314" t="str">
        <f>IF('Inputs Whole-Project Water Use'!G82&lt;&gt;"",'Inputs Whole-Project Water Use'!G82,"")</f>
        <v/>
      </c>
      <c r="H82" s="315" t="str">
        <f>IF('Inputs Whole-Project Water Use'!H82&lt;&gt;"",'Inputs Whole-Project Water Use'!H82,"")</f>
        <v/>
      </c>
      <c r="I82" s="390" t="str">
        <f t="shared" si="9"/>
        <v/>
      </c>
      <c r="J82" s="391"/>
      <c r="K82" s="316" t="str">
        <f>IF('Inputs Whole-Project Water Use'!K82&lt;&gt;"",'Inputs Whole-Project Water Use'!K82,"")</f>
        <v/>
      </c>
      <c r="L82" s="316" t="str">
        <f>IF('Inputs Whole-Project Water Use'!L82&lt;&gt;"",'Inputs Whole-Project Water Use'!L82,"")</f>
        <v/>
      </c>
      <c r="M82" s="390" t="str">
        <f t="shared" si="10"/>
        <v/>
      </c>
      <c r="N82" s="391"/>
      <c r="O82" s="225" t="str">
        <f t="shared" si="2"/>
        <v/>
      </c>
      <c r="P82" s="225" t="str">
        <f t="shared" si="3"/>
        <v/>
      </c>
      <c r="Q82" s="289" t="str">
        <f>IF(AND(D82&lt;&gt;"",'Inputs Whole-Project Water Use'!Q82=""),0,IF('Inputs Whole-Project Water Use'!Q82&lt;&gt;"",'Inputs Whole-Project Water Use'!Q82,""))</f>
        <v/>
      </c>
      <c r="R82" s="225" t="str">
        <f t="shared" si="4"/>
        <v/>
      </c>
      <c r="S82" s="225" t="str">
        <f t="shared" si="5"/>
        <v/>
      </c>
      <c r="T82" s="231" t="str">
        <f t="shared" si="6"/>
        <v/>
      </c>
      <c r="U82" s="241"/>
      <c r="V82" s="241"/>
      <c r="W82" s="241"/>
      <c r="X82" s="241"/>
      <c r="Y82" s="241"/>
      <c r="Z82" s="241"/>
      <c r="AA82" s="241"/>
      <c r="AB82" s="241"/>
      <c r="AC82" s="241"/>
      <c r="AD82" s="241"/>
      <c r="AE82" s="241"/>
      <c r="AF82" s="241"/>
      <c r="AG82" s="241"/>
      <c r="AH82" s="241"/>
      <c r="AI82" s="241"/>
      <c r="AJ82" s="241"/>
      <c r="AK82" s="241"/>
      <c r="AL82" s="241"/>
      <c r="AM82" s="241"/>
      <c r="AN82" s="241"/>
      <c r="AO82" s="241"/>
      <c r="AP82" s="241"/>
      <c r="AQ82" s="241"/>
      <c r="AR82" s="241"/>
      <c r="AS82" s="241"/>
      <c r="AT82" s="241"/>
      <c r="AU82" s="241"/>
      <c r="AV82" s="241"/>
      <c r="AW82" s="241"/>
      <c r="AX82" s="241"/>
      <c r="AY82" s="241"/>
      <c r="AZ82" s="241"/>
    </row>
    <row r="83" spans="1:52" s="71" customFormat="1" ht="18" hidden="1" customHeight="1" outlineLevel="2">
      <c r="A83" s="175">
        <v>55</v>
      </c>
      <c r="B83" s="312" t="str">
        <f>(IF('Inputs Whole-Project Water Use'!B83&lt;&gt;"",'Inputs Whole-Project Water Use'!B83,""))</f>
        <v/>
      </c>
      <c r="C83" s="313" t="str">
        <f>IF(AND(D83&lt;&gt;"",'Inputs Whole-Project Water Use'!C83=""),1,IF('Inputs Whole-Project Water Use'!C83&lt;&gt;"",'Inputs Whole-Project Water Use'!C83,""))</f>
        <v/>
      </c>
      <c r="D83" s="397" t="str">
        <f>IF('Inputs Whole-Project Water Use'!D83&lt;&gt;"",'Inputs Whole-Project Water Use'!D83,"")</f>
        <v/>
      </c>
      <c r="E83" s="398"/>
      <c r="F83" s="314" t="str">
        <f>IF('Inputs Whole-Project Water Use'!F83&lt;&gt;"",'Inputs Whole-Project Water Use'!F83,"")</f>
        <v/>
      </c>
      <c r="G83" s="314" t="str">
        <f>IF('Inputs Whole-Project Water Use'!G83&lt;&gt;"",'Inputs Whole-Project Water Use'!G83,"")</f>
        <v/>
      </c>
      <c r="H83" s="315" t="str">
        <f>IF('Inputs Whole-Project Water Use'!H83&lt;&gt;"",'Inputs Whole-Project Water Use'!H83,"")</f>
        <v/>
      </c>
      <c r="I83" s="390" t="str">
        <f t="shared" si="9"/>
        <v/>
      </c>
      <c r="J83" s="391"/>
      <c r="K83" s="316" t="str">
        <f>IF('Inputs Whole-Project Water Use'!K83&lt;&gt;"",'Inputs Whole-Project Water Use'!K83,"")</f>
        <v/>
      </c>
      <c r="L83" s="316" t="str">
        <f>IF('Inputs Whole-Project Water Use'!L83&lt;&gt;"",'Inputs Whole-Project Water Use'!L83,"")</f>
        <v/>
      </c>
      <c r="M83" s="390" t="str">
        <f t="shared" si="10"/>
        <v/>
      </c>
      <c r="N83" s="391"/>
      <c r="O83" s="225" t="str">
        <f t="shared" si="2"/>
        <v/>
      </c>
      <c r="P83" s="225" t="str">
        <f t="shared" si="3"/>
        <v/>
      </c>
      <c r="Q83" s="289" t="str">
        <f>IF(AND(D83&lt;&gt;"",'Inputs Whole-Project Water Use'!Q83=""),0,IF('Inputs Whole-Project Water Use'!Q83&lt;&gt;"",'Inputs Whole-Project Water Use'!Q83,""))</f>
        <v/>
      </c>
      <c r="R83" s="225" t="str">
        <f t="shared" si="4"/>
        <v/>
      </c>
      <c r="S83" s="225" t="str">
        <f t="shared" si="5"/>
        <v/>
      </c>
      <c r="T83" s="231" t="str">
        <f t="shared" si="6"/>
        <v/>
      </c>
      <c r="U83" s="241"/>
      <c r="V83" s="241"/>
      <c r="W83" s="241"/>
      <c r="X83" s="241"/>
      <c r="Y83" s="241"/>
      <c r="Z83" s="241"/>
      <c r="AA83" s="241"/>
      <c r="AB83" s="241"/>
      <c r="AC83" s="241"/>
      <c r="AD83" s="241"/>
      <c r="AE83" s="241"/>
      <c r="AF83" s="241"/>
      <c r="AG83" s="241"/>
      <c r="AH83" s="241"/>
      <c r="AI83" s="241"/>
      <c r="AJ83" s="241"/>
      <c r="AK83" s="241"/>
      <c r="AL83" s="241"/>
      <c r="AM83" s="241"/>
      <c r="AN83" s="241"/>
      <c r="AO83" s="241"/>
      <c r="AP83" s="241"/>
      <c r="AQ83" s="241"/>
      <c r="AR83" s="241"/>
      <c r="AS83" s="241"/>
      <c r="AT83" s="241"/>
      <c r="AU83" s="241"/>
      <c r="AV83" s="241"/>
      <c r="AW83" s="241"/>
      <c r="AX83" s="241"/>
      <c r="AY83" s="241"/>
      <c r="AZ83" s="241"/>
    </row>
    <row r="84" spans="1:52" s="71" customFormat="1" ht="18" hidden="1" customHeight="1" outlineLevel="2">
      <c r="A84" s="175">
        <v>56</v>
      </c>
      <c r="B84" s="312" t="str">
        <f>(IF('Inputs Whole-Project Water Use'!B84&lt;&gt;"",'Inputs Whole-Project Water Use'!B84,""))</f>
        <v/>
      </c>
      <c r="C84" s="313" t="str">
        <f>IF(AND(D84&lt;&gt;"",'Inputs Whole-Project Water Use'!C84=""),1,IF('Inputs Whole-Project Water Use'!C84&lt;&gt;"",'Inputs Whole-Project Water Use'!C84,""))</f>
        <v/>
      </c>
      <c r="D84" s="397" t="str">
        <f>IF('Inputs Whole-Project Water Use'!D84&lt;&gt;"",'Inputs Whole-Project Water Use'!D84,"")</f>
        <v/>
      </c>
      <c r="E84" s="398"/>
      <c r="F84" s="314" t="str">
        <f>IF('Inputs Whole-Project Water Use'!F84&lt;&gt;"",'Inputs Whole-Project Water Use'!F84,"")</f>
        <v/>
      </c>
      <c r="G84" s="314" t="str">
        <f>IF('Inputs Whole-Project Water Use'!G84&lt;&gt;"",'Inputs Whole-Project Water Use'!G84,"")</f>
        <v/>
      </c>
      <c r="H84" s="315" t="str">
        <f>IF('Inputs Whole-Project Water Use'!H84&lt;&gt;"",'Inputs Whole-Project Water Use'!H84,"")</f>
        <v/>
      </c>
      <c r="I84" s="390" t="str">
        <f t="shared" si="9"/>
        <v/>
      </c>
      <c r="J84" s="391"/>
      <c r="K84" s="316" t="str">
        <f>IF('Inputs Whole-Project Water Use'!K84&lt;&gt;"",'Inputs Whole-Project Water Use'!K84,"")</f>
        <v/>
      </c>
      <c r="L84" s="316" t="str">
        <f>IF('Inputs Whole-Project Water Use'!L84&lt;&gt;"",'Inputs Whole-Project Water Use'!L84,"")</f>
        <v/>
      </c>
      <c r="M84" s="390" t="str">
        <f t="shared" si="10"/>
        <v/>
      </c>
      <c r="N84" s="391"/>
      <c r="O84" s="225" t="str">
        <f t="shared" si="2"/>
        <v/>
      </c>
      <c r="P84" s="225" t="str">
        <f t="shared" si="3"/>
        <v/>
      </c>
      <c r="Q84" s="289" t="str">
        <f>IF(AND(D84&lt;&gt;"",'Inputs Whole-Project Water Use'!Q84=""),0,IF('Inputs Whole-Project Water Use'!Q84&lt;&gt;"",'Inputs Whole-Project Water Use'!Q84,""))</f>
        <v/>
      </c>
      <c r="R84" s="225" t="str">
        <f t="shared" si="4"/>
        <v/>
      </c>
      <c r="S84" s="225" t="str">
        <f t="shared" si="5"/>
        <v/>
      </c>
      <c r="T84" s="231" t="str">
        <f t="shared" si="6"/>
        <v/>
      </c>
      <c r="U84" s="241"/>
      <c r="V84" s="241"/>
      <c r="W84" s="241"/>
      <c r="X84" s="241"/>
      <c r="Y84" s="241"/>
      <c r="Z84" s="241"/>
      <c r="AA84" s="241"/>
      <c r="AB84" s="241"/>
      <c r="AC84" s="241"/>
      <c r="AD84" s="241"/>
      <c r="AE84" s="241"/>
      <c r="AF84" s="241"/>
      <c r="AG84" s="241"/>
      <c r="AH84" s="241"/>
      <c r="AI84" s="241"/>
      <c r="AJ84" s="241"/>
      <c r="AK84" s="241"/>
      <c r="AL84" s="241"/>
      <c r="AM84" s="241"/>
      <c r="AN84" s="241"/>
      <c r="AO84" s="241"/>
      <c r="AP84" s="241"/>
      <c r="AQ84" s="241"/>
      <c r="AR84" s="241"/>
      <c r="AS84" s="241"/>
      <c r="AT84" s="241"/>
      <c r="AU84" s="241"/>
      <c r="AV84" s="241"/>
      <c r="AW84" s="241"/>
      <c r="AX84" s="241"/>
      <c r="AY84" s="241"/>
      <c r="AZ84" s="241"/>
    </row>
    <row r="85" spans="1:52" s="71" customFormat="1" ht="18" hidden="1" customHeight="1" outlineLevel="2">
      <c r="A85" s="175">
        <v>57</v>
      </c>
      <c r="B85" s="312" t="str">
        <f>(IF('Inputs Whole-Project Water Use'!B85&lt;&gt;"",'Inputs Whole-Project Water Use'!B85,""))</f>
        <v/>
      </c>
      <c r="C85" s="313" t="str">
        <f>IF(AND(D85&lt;&gt;"",'Inputs Whole-Project Water Use'!C85=""),1,IF('Inputs Whole-Project Water Use'!C85&lt;&gt;"",'Inputs Whole-Project Water Use'!C85,""))</f>
        <v/>
      </c>
      <c r="D85" s="397" t="str">
        <f>IF('Inputs Whole-Project Water Use'!D85&lt;&gt;"",'Inputs Whole-Project Water Use'!D85,"")</f>
        <v/>
      </c>
      <c r="E85" s="398"/>
      <c r="F85" s="314" t="str">
        <f>IF('Inputs Whole-Project Water Use'!F85&lt;&gt;"",'Inputs Whole-Project Water Use'!F85,"")</f>
        <v/>
      </c>
      <c r="G85" s="314" t="str">
        <f>IF('Inputs Whole-Project Water Use'!G85&lt;&gt;"",'Inputs Whole-Project Water Use'!G85,"")</f>
        <v/>
      </c>
      <c r="H85" s="315" t="str">
        <f>IF('Inputs Whole-Project Water Use'!H85&lt;&gt;"",'Inputs Whole-Project Water Use'!H85,"")</f>
        <v/>
      </c>
      <c r="I85" s="390" t="str">
        <f t="shared" si="9"/>
        <v/>
      </c>
      <c r="J85" s="391"/>
      <c r="K85" s="316" t="str">
        <f>IF('Inputs Whole-Project Water Use'!K85&lt;&gt;"",'Inputs Whole-Project Water Use'!K85,"")</f>
        <v/>
      </c>
      <c r="L85" s="316" t="str">
        <f>IF('Inputs Whole-Project Water Use'!L85&lt;&gt;"",'Inputs Whole-Project Water Use'!L85,"")</f>
        <v/>
      </c>
      <c r="M85" s="390" t="str">
        <f t="shared" si="10"/>
        <v/>
      </c>
      <c r="N85" s="391"/>
      <c r="O85" s="225" t="str">
        <f t="shared" si="2"/>
        <v/>
      </c>
      <c r="P85" s="225" t="str">
        <f t="shared" si="3"/>
        <v/>
      </c>
      <c r="Q85" s="289" t="str">
        <f>IF(AND(D85&lt;&gt;"",'Inputs Whole-Project Water Use'!Q85=""),0,IF('Inputs Whole-Project Water Use'!Q85&lt;&gt;"",'Inputs Whole-Project Water Use'!Q85,""))</f>
        <v/>
      </c>
      <c r="R85" s="225" t="str">
        <f t="shared" si="4"/>
        <v/>
      </c>
      <c r="S85" s="225" t="str">
        <f t="shared" si="5"/>
        <v/>
      </c>
      <c r="T85" s="231" t="str">
        <f t="shared" si="6"/>
        <v/>
      </c>
      <c r="U85" s="241"/>
      <c r="V85" s="241"/>
      <c r="W85" s="241"/>
      <c r="X85" s="241"/>
      <c r="Y85" s="241"/>
      <c r="Z85" s="241"/>
      <c r="AA85" s="241"/>
      <c r="AB85" s="241"/>
      <c r="AC85" s="241"/>
      <c r="AD85" s="241"/>
      <c r="AE85" s="241"/>
      <c r="AF85" s="241"/>
      <c r="AG85" s="241"/>
      <c r="AH85" s="241"/>
      <c r="AI85" s="241"/>
      <c r="AJ85" s="241"/>
      <c r="AK85" s="241"/>
      <c r="AL85" s="241"/>
      <c r="AM85" s="241"/>
      <c r="AN85" s="241"/>
      <c r="AO85" s="241"/>
      <c r="AP85" s="241"/>
      <c r="AQ85" s="241"/>
      <c r="AR85" s="241"/>
      <c r="AS85" s="241"/>
      <c r="AT85" s="241"/>
      <c r="AU85" s="241"/>
      <c r="AV85" s="241"/>
      <c r="AW85" s="241"/>
      <c r="AX85" s="241"/>
      <c r="AY85" s="241"/>
      <c r="AZ85" s="241"/>
    </row>
    <row r="86" spans="1:52" s="71" customFormat="1" ht="18" hidden="1" customHeight="1" outlineLevel="2">
      <c r="A86" s="175">
        <v>58</v>
      </c>
      <c r="B86" s="312" t="str">
        <f>(IF('Inputs Whole-Project Water Use'!B86&lt;&gt;"",'Inputs Whole-Project Water Use'!B86,""))</f>
        <v/>
      </c>
      <c r="C86" s="313" t="str">
        <f>IF(AND(D86&lt;&gt;"",'Inputs Whole-Project Water Use'!C86=""),1,IF('Inputs Whole-Project Water Use'!C86&lt;&gt;"",'Inputs Whole-Project Water Use'!C86,""))</f>
        <v/>
      </c>
      <c r="D86" s="397" t="str">
        <f>IF('Inputs Whole-Project Water Use'!D86&lt;&gt;"",'Inputs Whole-Project Water Use'!D86,"")</f>
        <v/>
      </c>
      <c r="E86" s="398"/>
      <c r="F86" s="314" t="str">
        <f>IF('Inputs Whole-Project Water Use'!F86&lt;&gt;"",'Inputs Whole-Project Water Use'!F86,"")</f>
        <v/>
      </c>
      <c r="G86" s="314" t="str">
        <f>IF('Inputs Whole-Project Water Use'!G86&lt;&gt;"",'Inputs Whole-Project Water Use'!G86,"")</f>
        <v/>
      </c>
      <c r="H86" s="315" t="str">
        <f>IF('Inputs Whole-Project Water Use'!H86&lt;&gt;"",'Inputs Whole-Project Water Use'!H86,"")</f>
        <v/>
      </c>
      <c r="I86" s="390" t="str">
        <f t="shared" si="9"/>
        <v/>
      </c>
      <c r="J86" s="391"/>
      <c r="K86" s="316" t="str">
        <f>IF('Inputs Whole-Project Water Use'!K86&lt;&gt;"",'Inputs Whole-Project Water Use'!K86,"")</f>
        <v/>
      </c>
      <c r="L86" s="316" t="str">
        <f>IF('Inputs Whole-Project Water Use'!L86&lt;&gt;"",'Inputs Whole-Project Water Use'!L86,"")</f>
        <v/>
      </c>
      <c r="M86" s="390" t="str">
        <f t="shared" si="10"/>
        <v/>
      </c>
      <c r="N86" s="391"/>
      <c r="O86" s="225" t="str">
        <f t="shared" si="2"/>
        <v/>
      </c>
      <c r="P86" s="225" t="str">
        <f t="shared" si="3"/>
        <v/>
      </c>
      <c r="Q86" s="289" t="str">
        <f>IF(AND(D86&lt;&gt;"",'Inputs Whole-Project Water Use'!Q86=""),0,IF('Inputs Whole-Project Water Use'!Q86&lt;&gt;"",'Inputs Whole-Project Water Use'!Q86,""))</f>
        <v/>
      </c>
      <c r="R86" s="225" t="str">
        <f t="shared" si="4"/>
        <v/>
      </c>
      <c r="S86" s="225" t="str">
        <f t="shared" si="5"/>
        <v/>
      </c>
      <c r="T86" s="231" t="str">
        <f t="shared" si="6"/>
        <v/>
      </c>
      <c r="U86" s="241"/>
      <c r="V86" s="241"/>
      <c r="W86" s="241"/>
      <c r="X86" s="241"/>
      <c r="Y86" s="241"/>
      <c r="Z86" s="241"/>
      <c r="AA86" s="241"/>
      <c r="AB86" s="241"/>
      <c r="AC86" s="241"/>
      <c r="AD86" s="241"/>
      <c r="AE86" s="241"/>
      <c r="AF86" s="241"/>
      <c r="AG86" s="241"/>
      <c r="AH86" s="241"/>
      <c r="AI86" s="241"/>
      <c r="AJ86" s="241"/>
      <c r="AK86" s="241"/>
      <c r="AL86" s="241"/>
      <c r="AM86" s="241"/>
      <c r="AN86" s="241"/>
      <c r="AO86" s="241"/>
      <c r="AP86" s="241"/>
      <c r="AQ86" s="241"/>
      <c r="AR86" s="241"/>
      <c r="AS86" s="241"/>
      <c r="AT86" s="241"/>
      <c r="AU86" s="241"/>
      <c r="AV86" s="241"/>
      <c r="AW86" s="241"/>
      <c r="AX86" s="241"/>
      <c r="AY86" s="241"/>
      <c r="AZ86" s="241"/>
    </row>
    <row r="87" spans="1:52" s="71" customFormat="1" ht="18" hidden="1" customHeight="1" outlineLevel="2">
      <c r="A87" s="175">
        <v>59</v>
      </c>
      <c r="B87" s="312" t="str">
        <f>(IF('Inputs Whole-Project Water Use'!B87&lt;&gt;"",'Inputs Whole-Project Water Use'!B87,""))</f>
        <v/>
      </c>
      <c r="C87" s="313" t="str">
        <f>IF(AND(D87&lt;&gt;"",'Inputs Whole-Project Water Use'!C87=""),1,IF('Inputs Whole-Project Water Use'!C87&lt;&gt;"",'Inputs Whole-Project Water Use'!C87,""))</f>
        <v/>
      </c>
      <c r="D87" s="397" t="str">
        <f>IF('Inputs Whole-Project Water Use'!D87&lt;&gt;"",'Inputs Whole-Project Water Use'!D87,"")</f>
        <v/>
      </c>
      <c r="E87" s="398"/>
      <c r="F87" s="314" t="str">
        <f>IF('Inputs Whole-Project Water Use'!F87&lt;&gt;"",'Inputs Whole-Project Water Use'!F87,"")</f>
        <v/>
      </c>
      <c r="G87" s="314" t="str">
        <f>IF('Inputs Whole-Project Water Use'!G87&lt;&gt;"",'Inputs Whole-Project Water Use'!G87,"")</f>
        <v/>
      </c>
      <c r="H87" s="315" t="str">
        <f>IF('Inputs Whole-Project Water Use'!H87&lt;&gt;"",'Inputs Whole-Project Water Use'!H87,"")</f>
        <v/>
      </c>
      <c r="I87" s="390" t="str">
        <f t="shared" si="9"/>
        <v/>
      </c>
      <c r="J87" s="391"/>
      <c r="K87" s="316" t="str">
        <f>IF('Inputs Whole-Project Water Use'!K87&lt;&gt;"",'Inputs Whole-Project Water Use'!K87,"")</f>
        <v/>
      </c>
      <c r="L87" s="316" t="str">
        <f>IF('Inputs Whole-Project Water Use'!L87&lt;&gt;"",'Inputs Whole-Project Water Use'!L87,"")</f>
        <v/>
      </c>
      <c r="M87" s="390" t="str">
        <f t="shared" si="10"/>
        <v/>
      </c>
      <c r="N87" s="391"/>
      <c r="O87" s="225" t="str">
        <f t="shared" si="2"/>
        <v/>
      </c>
      <c r="P87" s="225" t="str">
        <f t="shared" si="3"/>
        <v/>
      </c>
      <c r="Q87" s="289" t="str">
        <f>IF(AND(D87&lt;&gt;"",'Inputs Whole-Project Water Use'!Q87=""),0,IF('Inputs Whole-Project Water Use'!Q87&lt;&gt;"",'Inputs Whole-Project Water Use'!Q87,""))</f>
        <v/>
      </c>
      <c r="R87" s="225" t="str">
        <f t="shared" si="4"/>
        <v/>
      </c>
      <c r="S87" s="225" t="str">
        <f t="shared" si="5"/>
        <v/>
      </c>
      <c r="T87" s="231" t="str">
        <f t="shared" si="6"/>
        <v/>
      </c>
      <c r="U87" s="241"/>
      <c r="V87" s="241"/>
      <c r="W87" s="241"/>
      <c r="X87" s="241"/>
      <c r="Y87" s="241"/>
      <c r="Z87" s="241"/>
      <c r="AA87" s="241"/>
      <c r="AB87" s="241"/>
      <c r="AC87" s="241"/>
      <c r="AD87" s="241"/>
      <c r="AE87" s="241"/>
      <c r="AF87" s="241"/>
      <c r="AG87" s="241"/>
      <c r="AH87" s="241"/>
      <c r="AI87" s="241"/>
      <c r="AJ87" s="241"/>
      <c r="AK87" s="241"/>
      <c r="AL87" s="241"/>
      <c r="AM87" s="241"/>
      <c r="AN87" s="241"/>
      <c r="AO87" s="241"/>
      <c r="AP87" s="241"/>
      <c r="AQ87" s="241"/>
      <c r="AR87" s="241"/>
      <c r="AS87" s="241"/>
      <c r="AT87" s="241"/>
      <c r="AU87" s="241"/>
      <c r="AV87" s="241"/>
      <c r="AW87" s="241"/>
      <c r="AX87" s="241"/>
      <c r="AY87" s="241"/>
      <c r="AZ87" s="241"/>
    </row>
    <row r="88" spans="1:52" s="71" customFormat="1" ht="18" hidden="1" customHeight="1" outlineLevel="2">
      <c r="A88" s="175">
        <v>60</v>
      </c>
      <c r="B88" s="312" t="str">
        <f>(IF('Inputs Whole-Project Water Use'!B88&lt;&gt;"",'Inputs Whole-Project Water Use'!B88,""))</f>
        <v/>
      </c>
      <c r="C88" s="313" t="str">
        <f>IF(AND(D88&lt;&gt;"",'Inputs Whole-Project Water Use'!C88=""),1,IF('Inputs Whole-Project Water Use'!C88&lt;&gt;"",'Inputs Whole-Project Water Use'!C88,""))</f>
        <v/>
      </c>
      <c r="D88" s="397" t="str">
        <f>IF('Inputs Whole-Project Water Use'!D88&lt;&gt;"",'Inputs Whole-Project Water Use'!D88,"")</f>
        <v/>
      </c>
      <c r="E88" s="398"/>
      <c r="F88" s="314" t="str">
        <f>IF('Inputs Whole-Project Water Use'!F88&lt;&gt;"",'Inputs Whole-Project Water Use'!F88,"")</f>
        <v/>
      </c>
      <c r="G88" s="314" t="str">
        <f>IF('Inputs Whole-Project Water Use'!G88&lt;&gt;"",'Inputs Whole-Project Water Use'!G88,"")</f>
        <v/>
      </c>
      <c r="H88" s="315" t="str">
        <f>IF('Inputs Whole-Project Water Use'!H88&lt;&gt;"",'Inputs Whole-Project Water Use'!H88,"")</f>
        <v/>
      </c>
      <c r="I88" s="390" t="str">
        <f t="shared" si="9"/>
        <v/>
      </c>
      <c r="J88" s="391"/>
      <c r="K88" s="316" t="str">
        <f>IF('Inputs Whole-Project Water Use'!K88&lt;&gt;"",'Inputs Whole-Project Water Use'!K88,"")</f>
        <v/>
      </c>
      <c r="L88" s="316" t="str">
        <f>IF('Inputs Whole-Project Water Use'!L88&lt;&gt;"",'Inputs Whole-Project Water Use'!L88,"")</f>
        <v/>
      </c>
      <c r="M88" s="390" t="str">
        <f t="shared" si="10"/>
        <v/>
      </c>
      <c r="N88" s="391"/>
      <c r="O88" s="225" t="str">
        <f t="shared" si="2"/>
        <v/>
      </c>
      <c r="P88" s="225" t="str">
        <f t="shared" si="3"/>
        <v/>
      </c>
      <c r="Q88" s="289" t="str">
        <f>IF(AND(D88&lt;&gt;"",'Inputs Whole-Project Water Use'!Q88=""),0,IF('Inputs Whole-Project Water Use'!Q88&lt;&gt;"",'Inputs Whole-Project Water Use'!Q88,""))</f>
        <v/>
      </c>
      <c r="R88" s="225" t="str">
        <f t="shared" si="4"/>
        <v/>
      </c>
      <c r="S88" s="225" t="str">
        <f t="shared" si="5"/>
        <v/>
      </c>
      <c r="T88" s="231" t="str">
        <f t="shared" si="6"/>
        <v/>
      </c>
      <c r="U88" s="241"/>
      <c r="V88" s="241"/>
      <c r="W88" s="241"/>
      <c r="X88" s="241"/>
      <c r="Y88" s="241"/>
      <c r="Z88" s="241"/>
      <c r="AA88" s="241"/>
      <c r="AB88" s="241"/>
      <c r="AC88" s="241"/>
      <c r="AD88" s="241"/>
      <c r="AE88" s="241"/>
      <c r="AF88" s="241"/>
      <c r="AG88" s="241"/>
      <c r="AH88" s="241"/>
      <c r="AI88" s="241"/>
      <c r="AJ88" s="241"/>
      <c r="AK88" s="241"/>
      <c r="AL88" s="241"/>
      <c r="AM88" s="241"/>
      <c r="AN88" s="241"/>
      <c r="AO88" s="241"/>
      <c r="AP88" s="241"/>
      <c r="AQ88" s="241"/>
      <c r="AR88" s="241"/>
      <c r="AS88" s="241"/>
      <c r="AT88" s="241"/>
      <c r="AU88" s="241"/>
      <c r="AV88" s="241"/>
      <c r="AW88" s="241"/>
      <c r="AX88" s="241"/>
      <c r="AY88" s="241"/>
      <c r="AZ88" s="241"/>
    </row>
    <row r="89" spans="1:52" s="71" customFormat="1" ht="18" hidden="1" customHeight="1" outlineLevel="2">
      <c r="A89" s="175">
        <v>61</v>
      </c>
      <c r="B89" s="312" t="str">
        <f>(IF('Inputs Whole-Project Water Use'!B89&lt;&gt;"",'Inputs Whole-Project Water Use'!B89,""))</f>
        <v/>
      </c>
      <c r="C89" s="313" t="str">
        <f>IF(AND(D89&lt;&gt;"",'Inputs Whole-Project Water Use'!C89=""),1,IF('Inputs Whole-Project Water Use'!C89&lt;&gt;"",'Inputs Whole-Project Water Use'!C89,""))</f>
        <v/>
      </c>
      <c r="D89" s="397" t="str">
        <f>IF('Inputs Whole-Project Water Use'!D89&lt;&gt;"",'Inputs Whole-Project Water Use'!D89,"")</f>
        <v/>
      </c>
      <c r="E89" s="398"/>
      <c r="F89" s="314" t="str">
        <f>IF('Inputs Whole-Project Water Use'!F89&lt;&gt;"",'Inputs Whole-Project Water Use'!F89,"")</f>
        <v/>
      </c>
      <c r="G89" s="314" t="str">
        <f>IF('Inputs Whole-Project Water Use'!G89&lt;&gt;"",'Inputs Whole-Project Water Use'!G89,"")</f>
        <v/>
      </c>
      <c r="H89" s="315" t="str">
        <f>IF('Inputs Whole-Project Water Use'!H89&lt;&gt;"",'Inputs Whole-Project Water Use'!H89,"")</f>
        <v/>
      </c>
      <c r="I89" s="390" t="str">
        <f t="shared" si="9"/>
        <v/>
      </c>
      <c r="J89" s="391"/>
      <c r="K89" s="316" t="str">
        <f>IF('Inputs Whole-Project Water Use'!K89&lt;&gt;"",'Inputs Whole-Project Water Use'!K89,"")</f>
        <v/>
      </c>
      <c r="L89" s="316" t="str">
        <f>IF('Inputs Whole-Project Water Use'!L89&lt;&gt;"",'Inputs Whole-Project Water Use'!L89,"")</f>
        <v/>
      </c>
      <c r="M89" s="390" t="str">
        <f t="shared" si="10"/>
        <v/>
      </c>
      <c r="N89" s="391"/>
      <c r="O89" s="225" t="str">
        <f t="shared" si="2"/>
        <v/>
      </c>
      <c r="P89" s="225" t="str">
        <f t="shared" si="3"/>
        <v/>
      </c>
      <c r="Q89" s="289" t="str">
        <f>IF(AND(D89&lt;&gt;"",'Inputs Whole-Project Water Use'!Q89=""),0,IF('Inputs Whole-Project Water Use'!Q89&lt;&gt;"",'Inputs Whole-Project Water Use'!Q89,""))</f>
        <v/>
      </c>
      <c r="R89" s="225" t="str">
        <f t="shared" si="4"/>
        <v/>
      </c>
      <c r="S89" s="225" t="str">
        <f t="shared" si="5"/>
        <v/>
      </c>
      <c r="T89" s="231" t="str">
        <f t="shared" si="6"/>
        <v/>
      </c>
      <c r="U89" s="241"/>
      <c r="V89" s="241"/>
      <c r="W89" s="241"/>
      <c r="X89" s="241"/>
      <c r="Y89" s="241"/>
      <c r="Z89" s="241"/>
      <c r="AA89" s="241"/>
      <c r="AB89" s="241"/>
      <c r="AC89" s="241"/>
      <c r="AD89" s="241"/>
      <c r="AE89" s="241"/>
      <c r="AF89" s="241"/>
      <c r="AG89" s="241"/>
      <c r="AH89" s="241"/>
      <c r="AI89" s="241"/>
      <c r="AJ89" s="241"/>
      <c r="AK89" s="241"/>
      <c r="AL89" s="241"/>
      <c r="AM89" s="241"/>
      <c r="AN89" s="241"/>
      <c r="AO89" s="241"/>
      <c r="AP89" s="241"/>
      <c r="AQ89" s="241"/>
      <c r="AR89" s="241"/>
      <c r="AS89" s="241"/>
      <c r="AT89" s="241"/>
      <c r="AU89" s="241"/>
      <c r="AV89" s="241"/>
      <c r="AW89" s="241"/>
      <c r="AX89" s="241"/>
      <c r="AY89" s="241"/>
      <c r="AZ89" s="241"/>
    </row>
    <row r="90" spans="1:52" s="71" customFormat="1" ht="18" hidden="1" customHeight="1" outlineLevel="2">
      <c r="A90" s="175">
        <v>62</v>
      </c>
      <c r="B90" s="312" t="str">
        <f>(IF('Inputs Whole-Project Water Use'!B90&lt;&gt;"",'Inputs Whole-Project Water Use'!B90,""))</f>
        <v/>
      </c>
      <c r="C90" s="313" t="str">
        <f>IF(AND(D90&lt;&gt;"",'Inputs Whole-Project Water Use'!C90=""),1,IF('Inputs Whole-Project Water Use'!C90&lt;&gt;"",'Inputs Whole-Project Water Use'!C90,""))</f>
        <v/>
      </c>
      <c r="D90" s="397" t="str">
        <f>IF('Inputs Whole-Project Water Use'!D90&lt;&gt;"",'Inputs Whole-Project Water Use'!D90,"")</f>
        <v/>
      </c>
      <c r="E90" s="398"/>
      <c r="F90" s="314" t="str">
        <f>IF('Inputs Whole-Project Water Use'!F90&lt;&gt;"",'Inputs Whole-Project Water Use'!F90,"")</f>
        <v/>
      </c>
      <c r="G90" s="314" t="str">
        <f>IF('Inputs Whole-Project Water Use'!G90&lt;&gt;"",'Inputs Whole-Project Water Use'!G90,"")</f>
        <v/>
      </c>
      <c r="H90" s="315" t="str">
        <f>IF('Inputs Whole-Project Water Use'!H90&lt;&gt;"",'Inputs Whole-Project Water Use'!H90,"")</f>
        <v/>
      </c>
      <c r="I90" s="390" t="str">
        <f t="shared" si="9"/>
        <v/>
      </c>
      <c r="J90" s="391"/>
      <c r="K90" s="316" t="str">
        <f>IF('Inputs Whole-Project Water Use'!K90&lt;&gt;"",'Inputs Whole-Project Water Use'!K90,"")</f>
        <v/>
      </c>
      <c r="L90" s="316" t="str">
        <f>IF('Inputs Whole-Project Water Use'!L90&lt;&gt;"",'Inputs Whole-Project Water Use'!L90,"")</f>
        <v/>
      </c>
      <c r="M90" s="390" t="str">
        <f t="shared" si="10"/>
        <v/>
      </c>
      <c r="N90" s="391"/>
      <c r="O90" s="225" t="str">
        <f t="shared" si="2"/>
        <v/>
      </c>
      <c r="P90" s="225" t="str">
        <f t="shared" si="3"/>
        <v/>
      </c>
      <c r="Q90" s="289" t="str">
        <f>IF(AND(D90&lt;&gt;"",'Inputs Whole-Project Water Use'!Q90=""),0,IF('Inputs Whole-Project Water Use'!Q90&lt;&gt;"",'Inputs Whole-Project Water Use'!Q90,""))</f>
        <v/>
      </c>
      <c r="R90" s="225" t="str">
        <f t="shared" si="4"/>
        <v/>
      </c>
      <c r="S90" s="225" t="str">
        <f t="shared" si="5"/>
        <v/>
      </c>
      <c r="T90" s="231" t="str">
        <f t="shared" si="6"/>
        <v/>
      </c>
      <c r="U90" s="241"/>
      <c r="V90" s="241"/>
      <c r="W90" s="241"/>
      <c r="X90" s="241"/>
      <c r="Y90" s="241"/>
      <c r="Z90" s="241"/>
      <c r="AA90" s="241"/>
      <c r="AB90" s="241"/>
      <c r="AC90" s="241"/>
      <c r="AD90" s="241"/>
      <c r="AE90" s="241"/>
      <c r="AF90" s="241"/>
      <c r="AG90" s="241"/>
      <c r="AH90" s="241"/>
      <c r="AI90" s="241"/>
      <c r="AJ90" s="241"/>
      <c r="AK90" s="241"/>
      <c r="AL90" s="241"/>
      <c r="AM90" s="241"/>
      <c r="AN90" s="241"/>
      <c r="AO90" s="241"/>
      <c r="AP90" s="241"/>
      <c r="AQ90" s="241"/>
      <c r="AR90" s="241"/>
      <c r="AS90" s="241"/>
      <c r="AT90" s="241"/>
      <c r="AU90" s="241"/>
      <c r="AV90" s="241"/>
      <c r="AW90" s="241"/>
      <c r="AX90" s="241"/>
      <c r="AY90" s="241"/>
      <c r="AZ90" s="241"/>
    </row>
    <row r="91" spans="1:52" s="71" customFormat="1" ht="18" hidden="1" customHeight="1" outlineLevel="2">
      <c r="A91" s="175">
        <v>63</v>
      </c>
      <c r="B91" s="312" t="str">
        <f>(IF('Inputs Whole-Project Water Use'!B91&lt;&gt;"",'Inputs Whole-Project Water Use'!B91,""))</f>
        <v/>
      </c>
      <c r="C91" s="313" t="str">
        <f>IF(AND(D91&lt;&gt;"",'Inputs Whole-Project Water Use'!C91=""),1,IF('Inputs Whole-Project Water Use'!C91&lt;&gt;"",'Inputs Whole-Project Water Use'!C91,""))</f>
        <v/>
      </c>
      <c r="D91" s="397" t="str">
        <f>IF('Inputs Whole-Project Water Use'!D91&lt;&gt;"",'Inputs Whole-Project Water Use'!D91,"")</f>
        <v/>
      </c>
      <c r="E91" s="398"/>
      <c r="F91" s="314" t="str">
        <f>IF('Inputs Whole-Project Water Use'!F91&lt;&gt;"",'Inputs Whole-Project Water Use'!F91,"")</f>
        <v/>
      </c>
      <c r="G91" s="314" t="str">
        <f>IF('Inputs Whole-Project Water Use'!G91&lt;&gt;"",'Inputs Whole-Project Water Use'!G91,"")</f>
        <v/>
      </c>
      <c r="H91" s="315" t="str">
        <f>IF('Inputs Whole-Project Water Use'!H91&lt;&gt;"",'Inputs Whole-Project Water Use'!H91,"")</f>
        <v/>
      </c>
      <c r="I91" s="390" t="str">
        <f t="shared" si="9"/>
        <v/>
      </c>
      <c r="J91" s="391"/>
      <c r="K91" s="316" t="str">
        <f>IF('Inputs Whole-Project Water Use'!K91&lt;&gt;"",'Inputs Whole-Project Water Use'!K91,"")</f>
        <v/>
      </c>
      <c r="L91" s="316" t="str">
        <f>IF('Inputs Whole-Project Water Use'!L91&lt;&gt;"",'Inputs Whole-Project Water Use'!L91,"")</f>
        <v/>
      </c>
      <c r="M91" s="390" t="str">
        <f t="shared" si="10"/>
        <v/>
      </c>
      <c r="N91" s="391"/>
      <c r="O91" s="225" t="str">
        <f t="shared" si="2"/>
        <v/>
      </c>
      <c r="P91" s="225" t="str">
        <f t="shared" si="3"/>
        <v/>
      </c>
      <c r="Q91" s="289" t="str">
        <f>IF(AND(D91&lt;&gt;"",'Inputs Whole-Project Water Use'!Q91=""),0,IF('Inputs Whole-Project Water Use'!Q91&lt;&gt;"",'Inputs Whole-Project Water Use'!Q91,""))</f>
        <v/>
      </c>
      <c r="R91" s="225" t="str">
        <f t="shared" si="4"/>
        <v/>
      </c>
      <c r="S91" s="225" t="str">
        <f t="shared" si="5"/>
        <v/>
      </c>
      <c r="T91" s="231" t="str">
        <f t="shared" si="6"/>
        <v/>
      </c>
      <c r="U91" s="241"/>
      <c r="V91" s="241"/>
      <c r="W91" s="241"/>
      <c r="X91" s="241"/>
      <c r="Y91" s="241"/>
      <c r="Z91" s="241"/>
      <c r="AA91" s="241"/>
      <c r="AB91" s="241"/>
      <c r="AC91" s="241"/>
      <c r="AD91" s="241"/>
      <c r="AE91" s="241"/>
      <c r="AF91" s="241"/>
      <c r="AG91" s="241"/>
      <c r="AH91" s="241"/>
      <c r="AI91" s="241"/>
      <c r="AJ91" s="241"/>
      <c r="AK91" s="241"/>
      <c r="AL91" s="241"/>
      <c r="AM91" s="241"/>
      <c r="AN91" s="241"/>
      <c r="AO91" s="241"/>
      <c r="AP91" s="241"/>
      <c r="AQ91" s="241"/>
      <c r="AR91" s="241"/>
      <c r="AS91" s="241"/>
      <c r="AT91" s="241"/>
      <c r="AU91" s="241"/>
      <c r="AV91" s="241"/>
      <c r="AW91" s="241"/>
      <c r="AX91" s="241"/>
      <c r="AY91" s="241"/>
      <c r="AZ91" s="241"/>
    </row>
    <row r="92" spans="1:52" s="71" customFormat="1" ht="18" hidden="1" customHeight="1" outlineLevel="2">
      <c r="A92" s="175">
        <v>64</v>
      </c>
      <c r="B92" s="312" t="str">
        <f>(IF('Inputs Whole-Project Water Use'!B92&lt;&gt;"",'Inputs Whole-Project Water Use'!B92,""))</f>
        <v/>
      </c>
      <c r="C92" s="313" t="str">
        <f>IF(AND(D92&lt;&gt;"",'Inputs Whole-Project Water Use'!C92=""),1,IF('Inputs Whole-Project Water Use'!C92&lt;&gt;"",'Inputs Whole-Project Water Use'!C92,""))</f>
        <v/>
      </c>
      <c r="D92" s="397" t="str">
        <f>IF('Inputs Whole-Project Water Use'!D92&lt;&gt;"",'Inputs Whole-Project Water Use'!D92,"")</f>
        <v/>
      </c>
      <c r="E92" s="398"/>
      <c r="F92" s="314" t="str">
        <f>IF('Inputs Whole-Project Water Use'!F92&lt;&gt;"",'Inputs Whole-Project Water Use'!F92,"")</f>
        <v/>
      </c>
      <c r="G92" s="314" t="str">
        <f>IF('Inputs Whole-Project Water Use'!G92&lt;&gt;"",'Inputs Whole-Project Water Use'!G92,"")</f>
        <v/>
      </c>
      <c r="H92" s="315" t="str">
        <f>IF('Inputs Whole-Project Water Use'!H92&lt;&gt;"",'Inputs Whole-Project Water Use'!H92,"")</f>
        <v/>
      </c>
      <c r="I92" s="390" t="str">
        <f t="shared" si="9"/>
        <v/>
      </c>
      <c r="J92" s="391"/>
      <c r="K92" s="316" t="str">
        <f>IF('Inputs Whole-Project Water Use'!K92&lt;&gt;"",'Inputs Whole-Project Water Use'!K92,"")</f>
        <v/>
      </c>
      <c r="L92" s="316" t="str">
        <f>IF('Inputs Whole-Project Water Use'!L92&lt;&gt;"",'Inputs Whole-Project Water Use'!L92,"")</f>
        <v/>
      </c>
      <c r="M92" s="390" t="str">
        <f t="shared" si="10"/>
        <v/>
      </c>
      <c r="N92" s="391"/>
      <c r="O92" s="225" t="str">
        <f t="shared" ref="O92:O138" si="11">IFERROR(IF(OR($F92&lt;&gt;"",$G92&lt;&gt;"",$H92&lt;&gt;"",K92&lt;&gt;""),$C92*$F92*$G92*$H92*K92,""),"")</f>
        <v/>
      </c>
      <c r="P92" s="225" t="str">
        <f t="shared" ref="P92:P138" si="12">IFERROR(IF(OR($F92&lt;&gt;"",$G92&lt;&gt;"",$H92&lt;&gt;"",L92&lt;&gt;""),$C92*$F92*$G92*$H92*L92,""),"")</f>
        <v/>
      </c>
      <c r="Q92" s="289" t="str">
        <f>IF(AND(D92&lt;&gt;"",'Inputs Whole-Project Water Use'!Q92=""),0,IF('Inputs Whole-Project Water Use'!Q92&lt;&gt;"",'Inputs Whole-Project Water Use'!Q92,""))</f>
        <v/>
      </c>
      <c r="R92" s="225" t="str">
        <f t="shared" si="4"/>
        <v/>
      </c>
      <c r="S92" s="225" t="str">
        <f t="shared" si="5"/>
        <v/>
      </c>
      <c r="T92" s="231" t="str">
        <f t="shared" si="6"/>
        <v/>
      </c>
      <c r="U92" s="241"/>
      <c r="V92" s="241"/>
      <c r="W92" s="241"/>
      <c r="X92" s="241"/>
      <c r="Y92" s="241"/>
      <c r="Z92" s="241"/>
      <c r="AA92" s="241"/>
      <c r="AB92" s="241"/>
      <c r="AC92" s="241"/>
      <c r="AD92" s="241"/>
      <c r="AE92" s="241"/>
      <c r="AF92" s="241"/>
      <c r="AG92" s="241"/>
      <c r="AH92" s="241"/>
      <c r="AI92" s="241"/>
      <c r="AJ92" s="241"/>
      <c r="AK92" s="241"/>
      <c r="AL92" s="241"/>
      <c r="AM92" s="241"/>
      <c r="AN92" s="241"/>
      <c r="AO92" s="241"/>
      <c r="AP92" s="241"/>
      <c r="AQ92" s="241"/>
      <c r="AR92" s="241"/>
      <c r="AS92" s="241"/>
      <c r="AT92" s="241"/>
      <c r="AU92" s="241"/>
      <c r="AV92" s="241"/>
      <c r="AW92" s="241"/>
      <c r="AX92" s="241"/>
      <c r="AY92" s="241"/>
      <c r="AZ92" s="241"/>
    </row>
    <row r="93" spans="1:52" s="71" customFormat="1" ht="18" hidden="1" customHeight="1" outlineLevel="2">
      <c r="A93" s="175">
        <v>65</v>
      </c>
      <c r="B93" s="312" t="str">
        <f>(IF('Inputs Whole-Project Water Use'!B93&lt;&gt;"",'Inputs Whole-Project Water Use'!B93,""))</f>
        <v/>
      </c>
      <c r="C93" s="313" t="str">
        <f>IF(AND(D93&lt;&gt;"",'Inputs Whole-Project Water Use'!C93=""),1,IF('Inputs Whole-Project Water Use'!C93&lt;&gt;"",'Inputs Whole-Project Water Use'!C93,""))</f>
        <v/>
      </c>
      <c r="D93" s="397" t="str">
        <f>IF('Inputs Whole-Project Water Use'!D93&lt;&gt;"",'Inputs Whole-Project Water Use'!D93,"")</f>
        <v/>
      </c>
      <c r="E93" s="398"/>
      <c r="F93" s="314" t="str">
        <f>IF('Inputs Whole-Project Water Use'!F93&lt;&gt;"",'Inputs Whole-Project Water Use'!F93,"")</f>
        <v/>
      </c>
      <c r="G93" s="314" t="str">
        <f>IF('Inputs Whole-Project Water Use'!G93&lt;&gt;"",'Inputs Whole-Project Water Use'!G93,"")</f>
        <v/>
      </c>
      <c r="H93" s="315" t="str">
        <f>IF('Inputs Whole-Project Water Use'!H93&lt;&gt;"",'Inputs Whole-Project Water Use'!H93,"")</f>
        <v/>
      </c>
      <c r="I93" s="390" t="str">
        <f t="shared" si="9"/>
        <v/>
      </c>
      <c r="J93" s="391"/>
      <c r="K93" s="316" t="str">
        <f>IF('Inputs Whole-Project Water Use'!K93&lt;&gt;"",'Inputs Whole-Project Water Use'!K93,"")</f>
        <v/>
      </c>
      <c r="L93" s="316" t="str">
        <f>IF('Inputs Whole-Project Water Use'!L93&lt;&gt;"",'Inputs Whole-Project Water Use'!L93,"")</f>
        <v/>
      </c>
      <c r="M93" s="390" t="str">
        <f t="shared" si="10"/>
        <v/>
      </c>
      <c r="N93" s="391"/>
      <c r="O93" s="225" t="str">
        <f t="shared" si="11"/>
        <v/>
      </c>
      <c r="P93" s="225" t="str">
        <f t="shared" si="12"/>
        <v/>
      </c>
      <c r="Q93" s="289" t="str">
        <f>IF(AND(D93&lt;&gt;"",'Inputs Whole-Project Water Use'!Q93=""),0,IF('Inputs Whole-Project Water Use'!Q93&lt;&gt;"",'Inputs Whole-Project Water Use'!Q93,""))</f>
        <v/>
      </c>
      <c r="R93" s="225" t="str">
        <f t="shared" si="4"/>
        <v/>
      </c>
      <c r="S93" s="225" t="str">
        <f t="shared" si="5"/>
        <v/>
      </c>
      <c r="T93" s="231" t="str">
        <f t="shared" si="6"/>
        <v/>
      </c>
      <c r="U93" s="241"/>
      <c r="V93" s="241"/>
      <c r="W93" s="241"/>
      <c r="X93" s="241"/>
      <c r="Y93" s="241"/>
      <c r="Z93" s="241"/>
      <c r="AA93" s="241"/>
      <c r="AB93" s="241"/>
      <c r="AC93" s="241"/>
      <c r="AD93" s="241"/>
      <c r="AE93" s="241"/>
      <c r="AF93" s="241"/>
      <c r="AG93" s="241"/>
      <c r="AH93" s="241"/>
      <c r="AI93" s="241"/>
      <c r="AJ93" s="241"/>
      <c r="AK93" s="241"/>
      <c r="AL93" s="241"/>
      <c r="AM93" s="241"/>
      <c r="AN93" s="241"/>
      <c r="AO93" s="241"/>
      <c r="AP93" s="241"/>
      <c r="AQ93" s="241"/>
      <c r="AR93" s="241"/>
      <c r="AS93" s="241"/>
      <c r="AT93" s="241"/>
      <c r="AU93" s="241"/>
      <c r="AV93" s="241"/>
      <c r="AW93" s="241"/>
      <c r="AX93" s="241"/>
      <c r="AY93" s="241"/>
      <c r="AZ93" s="241"/>
    </row>
    <row r="94" spans="1:52" s="71" customFormat="1" ht="18" hidden="1" customHeight="1" outlineLevel="2">
      <c r="A94" s="175">
        <v>66</v>
      </c>
      <c r="B94" s="312" t="str">
        <f>(IF('Inputs Whole-Project Water Use'!B94&lt;&gt;"",'Inputs Whole-Project Water Use'!B94,""))</f>
        <v/>
      </c>
      <c r="C94" s="313" t="str">
        <f>IF(AND(D94&lt;&gt;"",'Inputs Whole-Project Water Use'!C94=""),1,IF('Inputs Whole-Project Water Use'!C94&lt;&gt;"",'Inputs Whole-Project Water Use'!C94,""))</f>
        <v/>
      </c>
      <c r="D94" s="397" t="str">
        <f>IF('Inputs Whole-Project Water Use'!D94&lt;&gt;"",'Inputs Whole-Project Water Use'!D94,"")</f>
        <v/>
      </c>
      <c r="E94" s="398"/>
      <c r="F94" s="314" t="str">
        <f>IF('Inputs Whole-Project Water Use'!F94&lt;&gt;"",'Inputs Whole-Project Water Use'!F94,"")</f>
        <v/>
      </c>
      <c r="G94" s="314" t="str">
        <f>IF('Inputs Whole-Project Water Use'!G94&lt;&gt;"",'Inputs Whole-Project Water Use'!G94,"")</f>
        <v/>
      </c>
      <c r="H94" s="315" t="str">
        <f>IF('Inputs Whole-Project Water Use'!H94&lt;&gt;"",'Inputs Whole-Project Water Use'!H94,"")</f>
        <v/>
      </c>
      <c r="I94" s="390" t="str">
        <f t="shared" si="9"/>
        <v/>
      </c>
      <c r="J94" s="391"/>
      <c r="K94" s="316" t="str">
        <f>IF('Inputs Whole-Project Water Use'!K94&lt;&gt;"",'Inputs Whole-Project Water Use'!K94,"")</f>
        <v/>
      </c>
      <c r="L94" s="316" t="str">
        <f>IF('Inputs Whole-Project Water Use'!L94&lt;&gt;"",'Inputs Whole-Project Water Use'!L94,"")</f>
        <v/>
      </c>
      <c r="M94" s="390" t="str">
        <f t="shared" si="10"/>
        <v/>
      </c>
      <c r="N94" s="391"/>
      <c r="O94" s="225" t="str">
        <f t="shared" si="11"/>
        <v/>
      </c>
      <c r="P94" s="225" t="str">
        <f t="shared" si="12"/>
        <v/>
      </c>
      <c r="Q94" s="289" t="str">
        <f>IF(AND(D94&lt;&gt;"",'Inputs Whole-Project Water Use'!Q94=""),0,IF('Inputs Whole-Project Water Use'!Q94&lt;&gt;"",'Inputs Whole-Project Water Use'!Q94,""))</f>
        <v/>
      </c>
      <c r="R94" s="225" t="str">
        <f t="shared" ref="R94:R138" si="13">IFERROR(IF(P94&lt;&gt;"",(P94-Q94),""),"")</f>
        <v/>
      </c>
      <c r="S94" s="225" t="str">
        <f t="shared" ref="S94:S138" si="14">IFERROR(IF(OR(O94&lt;&gt;"",P94&lt;&gt;""),O94-R94,""),"")</f>
        <v/>
      </c>
      <c r="T94" s="231" t="str">
        <f t="shared" ref="T94:T138" si="15">IFERROR(S94/O94,"")</f>
        <v/>
      </c>
      <c r="U94" s="241"/>
      <c r="V94" s="241"/>
      <c r="W94" s="241"/>
      <c r="X94" s="241"/>
      <c r="Y94" s="241"/>
      <c r="Z94" s="241"/>
      <c r="AA94" s="241"/>
      <c r="AB94" s="241"/>
      <c r="AC94" s="241"/>
      <c r="AD94" s="241"/>
      <c r="AE94" s="241"/>
      <c r="AF94" s="241"/>
      <c r="AG94" s="241"/>
      <c r="AH94" s="241"/>
      <c r="AI94" s="241"/>
      <c r="AJ94" s="241"/>
      <c r="AK94" s="241"/>
      <c r="AL94" s="241"/>
      <c r="AM94" s="241"/>
      <c r="AN94" s="241"/>
      <c r="AO94" s="241"/>
      <c r="AP94" s="241"/>
      <c r="AQ94" s="241"/>
      <c r="AR94" s="241"/>
      <c r="AS94" s="241"/>
      <c r="AT94" s="241"/>
      <c r="AU94" s="241"/>
      <c r="AV94" s="241"/>
      <c r="AW94" s="241"/>
      <c r="AX94" s="241"/>
      <c r="AY94" s="241"/>
      <c r="AZ94" s="241"/>
    </row>
    <row r="95" spans="1:52" s="71" customFormat="1" ht="18" hidden="1" customHeight="1" outlineLevel="2">
      <c r="A95" s="175">
        <v>67</v>
      </c>
      <c r="B95" s="312" t="str">
        <f>(IF('Inputs Whole-Project Water Use'!B95&lt;&gt;"",'Inputs Whole-Project Water Use'!B95,""))</f>
        <v/>
      </c>
      <c r="C95" s="313" t="str">
        <f>IF(AND(D95&lt;&gt;"",'Inputs Whole-Project Water Use'!C95=""),1,IF('Inputs Whole-Project Water Use'!C95&lt;&gt;"",'Inputs Whole-Project Water Use'!C95,""))</f>
        <v/>
      </c>
      <c r="D95" s="397" t="str">
        <f>IF('Inputs Whole-Project Water Use'!D95&lt;&gt;"",'Inputs Whole-Project Water Use'!D95,"")</f>
        <v/>
      </c>
      <c r="E95" s="398"/>
      <c r="F95" s="314" t="str">
        <f>IF('Inputs Whole-Project Water Use'!F95&lt;&gt;"",'Inputs Whole-Project Water Use'!F95,"")</f>
        <v/>
      </c>
      <c r="G95" s="314" t="str">
        <f>IF('Inputs Whole-Project Water Use'!G95&lt;&gt;"",'Inputs Whole-Project Water Use'!G95,"")</f>
        <v/>
      </c>
      <c r="H95" s="315" t="str">
        <f>IF('Inputs Whole-Project Water Use'!H95&lt;&gt;"",'Inputs Whole-Project Water Use'!H95,"")</f>
        <v/>
      </c>
      <c r="I95" s="390" t="str">
        <f t="shared" si="9"/>
        <v/>
      </c>
      <c r="J95" s="391"/>
      <c r="K95" s="316" t="str">
        <f>IF('Inputs Whole-Project Water Use'!K95&lt;&gt;"",'Inputs Whole-Project Water Use'!K95,"")</f>
        <v/>
      </c>
      <c r="L95" s="316" t="str">
        <f>IF('Inputs Whole-Project Water Use'!L95&lt;&gt;"",'Inputs Whole-Project Water Use'!L95,"")</f>
        <v/>
      </c>
      <c r="M95" s="390" t="str">
        <f t="shared" si="10"/>
        <v/>
      </c>
      <c r="N95" s="391"/>
      <c r="O95" s="225" t="str">
        <f t="shared" si="11"/>
        <v/>
      </c>
      <c r="P95" s="225" t="str">
        <f t="shared" si="12"/>
        <v/>
      </c>
      <c r="Q95" s="289" t="str">
        <f>IF(AND(D95&lt;&gt;"",'Inputs Whole-Project Water Use'!Q95=""),0,IF('Inputs Whole-Project Water Use'!Q95&lt;&gt;"",'Inputs Whole-Project Water Use'!Q95,""))</f>
        <v/>
      </c>
      <c r="R95" s="225" t="str">
        <f t="shared" si="13"/>
        <v/>
      </c>
      <c r="S95" s="225" t="str">
        <f t="shared" si="14"/>
        <v/>
      </c>
      <c r="T95" s="231" t="str">
        <f t="shared" si="15"/>
        <v/>
      </c>
      <c r="U95" s="241"/>
      <c r="V95" s="241"/>
      <c r="W95" s="241"/>
      <c r="X95" s="241"/>
      <c r="Y95" s="241"/>
      <c r="Z95" s="241"/>
      <c r="AA95" s="241"/>
      <c r="AB95" s="241"/>
      <c r="AC95" s="241"/>
      <c r="AD95" s="241"/>
      <c r="AE95" s="241"/>
      <c r="AF95" s="241"/>
      <c r="AG95" s="241"/>
      <c r="AH95" s="241"/>
      <c r="AI95" s="241"/>
      <c r="AJ95" s="241"/>
      <c r="AK95" s="241"/>
      <c r="AL95" s="241"/>
      <c r="AM95" s="241"/>
      <c r="AN95" s="241"/>
      <c r="AO95" s="241"/>
      <c r="AP95" s="241"/>
      <c r="AQ95" s="241"/>
      <c r="AR95" s="241"/>
      <c r="AS95" s="241"/>
      <c r="AT95" s="241"/>
      <c r="AU95" s="241"/>
      <c r="AV95" s="241"/>
      <c r="AW95" s="241"/>
      <c r="AX95" s="241"/>
      <c r="AY95" s="241"/>
      <c r="AZ95" s="241"/>
    </row>
    <row r="96" spans="1:52" s="71" customFormat="1" ht="18" hidden="1" customHeight="1" outlineLevel="2">
      <c r="A96" s="175">
        <v>68</v>
      </c>
      <c r="B96" s="312" t="str">
        <f>(IF('Inputs Whole-Project Water Use'!B96&lt;&gt;"",'Inputs Whole-Project Water Use'!B96,""))</f>
        <v/>
      </c>
      <c r="C96" s="313" t="str">
        <f>IF(AND(D96&lt;&gt;"",'Inputs Whole-Project Water Use'!C96=""),1,IF('Inputs Whole-Project Water Use'!C96&lt;&gt;"",'Inputs Whole-Project Water Use'!C96,""))</f>
        <v/>
      </c>
      <c r="D96" s="397" t="str">
        <f>IF('Inputs Whole-Project Water Use'!D96&lt;&gt;"",'Inputs Whole-Project Water Use'!D96,"")</f>
        <v/>
      </c>
      <c r="E96" s="398"/>
      <c r="F96" s="314" t="str">
        <f>IF('Inputs Whole-Project Water Use'!F96&lt;&gt;"",'Inputs Whole-Project Water Use'!F96,"")</f>
        <v/>
      </c>
      <c r="G96" s="314" t="str">
        <f>IF('Inputs Whole-Project Water Use'!G96&lt;&gt;"",'Inputs Whole-Project Water Use'!G96,"")</f>
        <v/>
      </c>
      <c r="H96" s="315" t="str">
        <f>IF('Inputs Whole-Project Water Use'!H96&lt;&gt;"",'Inputs Whole-Project Water Use'!H96,"")</f>
        <v/>
      </c>
      <c r="I96" s="390" t="str">
        <f t="shared" si="9"/>
        <v/>
      </c>
      <c r="J96" s="391"/>
      <c r="K96" s="316" t="str">
        <f>IF('Inputs Whole-Project Water Use'!K96&lt;&gt;"",'Inputs Whole-Project Water Use'!K96,"")</f>
        <v/>
      </c>
      <c r="L96" s="316" t="str">
        <f>IF('Inputs Whole-Project Water Use'!L96&lt;&gt;"",'Inputs Whole-Project Water Use'!L96,"")</f>
        <v/>
      </c>
      <c r="M96" s="390" t="str">
        <f t="shared" si="10"/>
        <v/>
      </c>
      <c r="N96" s="391"/>
      <c r="O96" s="225" t="str">
        <f t="shared" si="11"/>
        <v/>
      </c>
      <c r="P96" s="225" t="str">
        <f t="shared" si="12"/>
        <v/>
      </c>
      <c r="Q96" s="289" t="str">
        <f>IF(AND(D96&lt;&gt;"",'Inputs Whole-Project Water Use'!Q96=""),0,IF('Inputs Whole-Project Water Use'!Q96&lt;&gt;"",'Inputs Whole-Project Water Use'!Q96,""))</f>
        <v/>
      </c>
      <c r="R96" s="225" t="str">
        <f t="shared" si="13"/>
        <v/>
      </c>
      <c r="S96" s="225" t="str">
        <f t="shared" si="14"/>
        <v/>
      </c>
      <c r="T96" s="231" t="str">
        <f t="shared" si="15"/>
        <v/>
      </c>
      <c r="U96" s="241"/>
      <c r="V96" s="241"/>
      <c r="W96" s="241"/>
      <c r="X96" s="241"/>
      <c r="Y96" s="241"/>
      <c r="Z96" s="241"/>
      <c r="AA96" s="241"/>
      <c r="AB96" s="241"/>
      <c r="AC96" s="241"/>
      <c r="AD96" s="241"/>
      <c r="AE96" s="241"/>
      <c r="AF96" s="241"/>
      <c r="AG96" s="241"/>
      <c r="AH96" s="241"/>
      <c r="AI96" s="241"/>
      <c r="AJ96" s="241"/>
      <c r="AK96" s="241"/>
      <c r="AL96" s="241"/>
      <c r="AM96" s="241"/>
      <c r="AN96" s="241"/>
      <c r="AO96" s="241"/>
      <c r="AP96" s="241"/>
      <c r="AQ96" s="241"/>
      <c r="AR96" s="241"/>
      <c r="AS96" s="241"/>
      <c r="AT96" s="241"/>
      <c r="AU96" s="241"/>
      <c r="AV96" s="241"/>
      <c r="AW96" s="241"/>
      <c r="AX96" s="241"/>
      <c r="AY96" s="241"/>
      <c r="AZ96" s="241"/>
    </row>
    <row r="97" spans="1:52" s="71" customFormat="1" ht="18" hidden="1" customHeight="1" outlineLevel="2">
      <c r="A97" s="175">
        <v>69</v>
      </c>
      <c r="B97" s="312" t="str">
        <f>(IF('Inputs Whole-Project Water Use'!B97&lt;&gt;"",'Inputs Whole-Project Water Use'!B97,""))</f>
        <v/>
      </c>
      <c r="C97" s="313" t="str">
        <f>IF(AND(D97&lt;&gt;"",'Inputs Whole-Project Water Use'!C97=""),1,IF('Inputs Whole-Project Water Use'!C97&lt;&gt;"",'Inputs Whole-Project Water Use'!C97,""))</f>
        <v/>
      </c>
      <c r="D97" s="397" t="str">
        <f>IF('Inputs Whole-Project Water Use'!D97&lt;&gt;"",'Inputs Whole-Project Water Use'!D97,"")</f>
        <v/>
      </c>
      <c r="E97" s="398"/>
      <c r="F97" s="314" t="str">
        <f>IF('Inputs Whole-Project Water Use'!F97&lt;&gt;"",'Inputs Whole-Project Water Use'!F97,"")</f>
        <v/>
      </c>
      <c r="G97" s="314" t="str">
        <f>IF('Inputs Whole-Project Water Use'!G97&lt;&gt;"",'Inputs Whole-Project Water Use'!G97,"")</f>
        <v/>
      </c>
      <c r="H97" s="315" t="str">
        <f>IF('Inputs Whole-Project Water Use'!H97&lt;&gt;"",'Inputs Whole-Project Water Use'!H97,"")</f>
        <v/>
      </c>
      <c r="I97" s="390" t="str">
        <f t="shared" si="9"/>
        <v/>
      </c>
      <c r="J97" s="391"/>
      <c r="K97" s="316" t="str">
        <f>IF('Inputs Whole-Project Water Use'!K97&lt;&gt;"",'Inputs Whole-Project Water Use'!K97,"")</f>
        <v/>
      </c>
      <c r="L97" s="316" t="str">
        <f>IF('Inputs Whole-Project Water Use'!L97&lt;&gt;"",'Inputs Whole-Project Water Use'!L97,"")</f>
        <v/>
      </c>
      <c r="M97" s="390" t="str">
        <f t="shared" si="10"/>
        <v/>
      </c>
      <c r="N97" s="391"/>
      <c r="O97" s="225" t="str">
        <f t="shared" si="11"/>
        <v/>
      </c>
      <c r="P97" s="225" t="str">
        <f t="shared" si="12"/>
        <v/>
      </c>
      <c r="Q97" s="289" t="str">
        <f>IF(AND(D97&lt;&gt;"",'Inputs Whole-Project Water Use'!Q97=""),0,IF('Inputs Whole-Project Water Use'!Q97&lt;&gt;"",'Inputs Whole-Project Water Use'!Q97,""))</f>
        <v/>
      </c>
      <c r="R97" s="225" t="str">
        <f t="shared" si="13"/>
        <v/>
      </c>
      <c r="S97" s="225" t="str">
        <f t="shared" si="14"/>
        <v/>
      </c>
      <c r="T97" s="231" t="str">
        <f t="shared" si="15"/>
        <v/>
      </c>
      <c r="U97" s="241"/>
      <c r="V97" s="241"/>
      <c r="W97" s="241"/>
      <c r="X97" s="241"/>
      <c r="Y97" s="241"/>
      <c r="Z97" s="241"/>
      <c r="AA97" s="241"/>
      <c r="AB97" s="241"/>
      <c r="AC97" s="241"/>
      <c r="AD97" s="241"/>
      <c r="AE97" s="241"/>
      <c r="AF97" s="241"/>
      <c r="AG97" s="241"/>
      <c r="AH97" s="241"/>
      <c r="AI97" s="241"/>
      <c r="AJ97" s="241"/>
      <c r="AK97" s="241"/>
      <c r="AL97" s="241"/>
      <c r="AM97" s="241"/>
      <c r="AN97" s="241"/>
      <c r="AO97" s="241"/>
      <c r="AP97" s="241"/>
      <c r="AQ97" s="241"/>
      <c r="AR97" s="241"/>
      <c r="AS97" s="241"/>
      <c r="AT97" s="241"/>
      <c r="AU97" s="241"/>
      <c r="AV97" s="241"/>
      <c r="AW97" s="241"/>
      <c r="AX97" s="241"/>
      <c r="AY97" s="241"/>
      <c r="AZ97" s="241"/>
    </row>
    <row r="98" spans="1:52" s="71" customFormat="1" ht="18" hidden="1" customHeight="1" outlineLevel="2">
      <c r="A98" s="175">
        <v>70</v>
      </c>
      <c r="B98" s="312" t="str">
        <f>(IF('Inputs Whole-Project Water Use'!B98&lt;&gt;"",'Inputs Whole-Project Water Use'!B98,""))</f>
        <v/>
      </c>
      <c r="C98" s="313" t="str">
        <f>IF(AND(D98&lt;&gt;"",'Inputs Whole-Project Water Use'!C98=""),1,IF('Inputs Whole-Project Water Use'!C98&lt;&gt;"",'Inputs Whole-Project Water Use'!C98,""))</f>
        <v/>
      </c>
      <c r="D98" s="397" t="str">
        <f>IF('Inputs Whole-Project Water Use'!D98&lt;&gt;"",'Inputs Whole-Project Water Use'!D98,"")</f>
        <v/>
      </c>
      <c r="E98" s="398"/>
      <c r="F98" s="314" t="str">
        <f>IF('Inputs Whole-Project Water Use'!F98&lt;&gt;"",'Inputs Whole-Project Water Use'!F98,"")</f>
        <v/>
      </c>
      <c r="G98" s="314" t="str">
        <f>IF('Inputs Whole-Project Water Use'!G98&lt;&gt;"",'Inputs Whole-Project Water Use'!G98,"")</f>
        <v/>
      </c>
      <c r="H98" s="315" t="str">
        <f>IF('Inputs Whole-Project Water Use'!H98&lt;&gt;"",'Inputs Whole-Project Water Use'!H98,"")</f>
        <v/>
      </c>
      <c r="I98" s="390" t="str">
        <f t="shared" si="9"/>
        <v/>
      </c>
      <c r="J98" s="391"/>
      <c r="K98" s="316" t="str">
        <f>IF('Inputs Whole-Project Water Use'!K98&lt;&gt;"",'Inputs Whole-Project Water Use'!K98,"")</f>
        <v/>
      </c>
      <c r="L98" s="316" t="str">
        <f>IF('Inputs Whole-Project Water Use'!L98&lt;&gt;"",'Inputs Whole-Project Water Use'!L98,"")</f>
        <v/>
      </c>
      <c r="M98" s="390" t="str">
        <f t="shared" si="10"/>
        <v/>
      </c>
      <c r="N98" s="391"/>
      <c r="O98" s="225" t="str">
        <f t="shared" si="11"/>
        <v/>
      </c>
      <c r="P98" s="225" t="str">
        <f t="shared" si="12"/>
        <v/>
      </c>
      <c r="Q98" s="289" t="str">
        <f>IF(AND(D98&lt;&gt;"",'Inputs Whole-Project Water Use'!Q98=""),0,IF('Inputs Whole-Project Water Use'!Q98&lt;&gt;"",'Inputs Whole-Project Water Use'!Q98,""))</f>
        <v/>
      </c>
      <c r="R98" s="225" t="str">
        <f t="shared" si="13"/>
        <v/>
      </c>
      <c r="S98" s="225" t="str">
        <f t="shared" si="14"/>
        <v/>
      </c>
      <c r="T98" s="231" t="str">
        <f t="shared" si="15"/>
        <v/>
      </c>
      <c r="U98" s="241"/>
      <c r="V98" s="241"/>
      <c r="W98" s="241"/>
      <c r="X98" s="241"/>
      <c r="Y98" s="241"/>
      <c r="Z98" s="241"/>
      <c r="AA98" s="241"/>
      <c r="AB98" s="241"/>
      <c r="AC98" s="241"/>
      <c r="AD98" s="241"/>
      <c r="AE98" s="241"/>
      <c r="AF98" s="241"/>
      <c r="AG98" s="241"/>
      <c r="AH98" s="241"/>
      <c r="AI98" s="241"/>
      <c r="AJ98" s="241"/>
      <c r="AK98" s="241"/>
      <c r="AL98" s="241"/>
      <c r="AM98" s="241"/>
      <c r="AN98" s="241"/>
      <c r="AO98" s="241"/>
      <c r="AP98" s="241"/>
      <c r="AQ98" s="241"/>
      <c r="AR98" s="241"/>
      <c r="AS98" s="241"/>
      <c r="AT98" s="241"/>
      <c r="AU98" s="241"/>
      <c r="AV98" s="241"/>
      <c r="AW98" s="241"/>
      <c r="AX98" s="241"/>
      <c r="AY98" s="241"/>
      <c r="AZ98" s="241"/>
    </row>
    <row r="99" spans="1:52" s="71" customFormat="1" ht="18" hidden="1" customHeight="1" outlineLevel="1" collapsed="1">
      <c r="A99" s="175">
        <v>71</v>
      </c>
      <c r="B99" s="312" t="str">
        <f>(IF('Inputs Whole-Project Water Use'!B99&lt;&gt;"",'Inputs Whole-Project Water Use'!B99,""))</f>
        <v/>
      </c>
      <c r="C99" s="313" t="str">
        <f>IF(AND(D99&lt;&gt;"",'Inputs Whole-Project Water Use'!C99=""),1,IF('Inputs Whole-Project Water Use'!C99&lt;&gt;"",'Inputs Whole-Project Water Use'!C99,""))</f>
        <v/>
      </c>
      <c r="D99" s="397" t="str">
        <f>IF('Inputs Whole-Project Water Use'!D99&lt;&gt;"",'Inputs Whole-Project Water Use'!D99,"")</f>
        <v/>
      </c>
      <c r="E99" s="398"/>
      <c r="F99" s="314" t="str">
        <f>IF('Inputs Whole-Project Water Use'!F99&lt;&gt;"",'Inputs Whole-Project Water Use'!F99,"")</f>
        <v/>
      </c>
      <c r="G99" s="314" t="str">
        <f>IF('Inputs Whole-Project Water Use'!G99&lt;&gt;"",'Inputs Whole-Project Water Use'!G99,"")</f>
        <v/>
      </c>
      <c r="H99" s="315" t="str">
        <f>IF('Inputs Whole-Project Water Use'!H99&lt;&gt;"",'Inputs Whole-Project Water Use'!H99,"")</f>
        <v/>
      </c>
      <c r="I99" s="390" t="str">
        <f t="shared" ref="I99:I118" si="16">IFERROR(IF(logic_units&lt;&gt;"SI Units",INDEX(data_dumip,MATCH($D99,data_waterusetypes,0)),INDEX(data_dumsi,MATCH($D99,data_waterusetypes,0))),"")</f>
        <v/>
      </c>
      <c r="J99" s="391"/>
      <c r="K99" s="316" t="str">
        <f>IF('Inputs Whole-Project Water Use'!K99&lt;&gt;"",'Inputs Whole-Project Water Use'!K99,"")</f>
        <v/>
      </c>
      <c r="L99" s="316" t="str">
        <f>IF('Inputs Whole-Project Water Use'!L99&lt;&gt;"",'Inputs Whole-Project Water Use'!L99,"")</f>
        <v/>
      </c>
      <c r="M99" s="390" t="str">
        <f t="shared" ref="M99:M118" si="17">IFERROR(IF(logic_units&lt;&gt;"SI Units",INDEX(data_wurip,MATCH($D99,data_waterusetypes,0)),INDEX(data_wursi,MATCH($D99,data_waterusetypes,0))),"")</f>
        <v/>
      </c>
      <c r="N99" s="391"/>
      <c r="O99" s="225" t="str">
        <f t="shared" si="11"/>
        <v/>
      </c>
      <c r="P99" s="225" t="str">
        <f t="shared" si="12"/>
        <v/>
      </c>
      <c r="Q99" s="289" t="str">
        <f>IF(AND(D99&lt;&gt;"",'Inputs Whole-Project Water Use'!Q99=""),0,IF('Inputs Whole-Project Water Use'!Q99&lt;&gt;"",'Inputs Whole-Project Water Use'!Q99,""))</f>
        <v/>
      </c>
      <c r="R99" s="225" t="str">
        <f t="shared" si="13"/>
        <v/>
      </c>
      <c r="S99" s="225" t="str">
        <f t="shared" si="14"/>
        <v/>
      </c>
      <c r="T99" s="231" t="str">
        <f t="shared" si="15"/>
        <v/>
      </c>
      <c r="U99" s="176" t="s">
        <v>165</v>
      </c>
      <c r="V99" s="241"/>
      <c r="W99" s="241"/>
      <c r="X99" s="241"/>
      <c r="Y99" s="241"/>
      <c r="Z99" s="241"/>
      <c r="AA99" s="241"/>
      <c r="AB99" s="241"/>
      <c r="AC99" s="241"/>
      <c r="AD99" s="241"/>
      <c r="AE99" s="241"/>
      <c r="AF99" s="241"/>
      <c r="AG99" s="241"/>
      <c r="AH99" s="241"/>
      <c r="AI99" s="241"/>
      <c r="AJ99" s="241"/>
      <c r="AK99" s="241"/>
      <c r="AL99" s="241"/>
      <c r="AM99" s="241"/>
      <c r="AN99" s="241"/>
      <c r="AO99" s="241"/>
      <c r="AP99" s="241"/>
      <c r="AQ99" s="241"/>
      <c r="AR99" s="241"/>
      <c r="AS99" s="241"/>
      <c r="AT99" s="241"/>
      <c r="AU99" s="241"/>
      <c r="AV99" s="241"/>
      <c r="AW99" s="241"/>
      <c r="AX99" s="241"/>
      <c r="AY99" s="241"/>
      <c r="AZ99" s="241"/>
    </row>
    <row r="100" spans="1:52" s="71" customFormat="1" ht="18" hidden="1" customHeight="1" outlineLevel="2">
      <c r="A100" s="175">
        <v>72</v>
      </c>
      <c r="B100" s="312" t="str">
        <f>(IF('Inputs Whole-Project Water Use'!B100&lt;&gt;"",'Inputs Whole-Project Water Use'!B100,""))</f>
        <v/>
      </c>
      <c r="C100" s="313" t="str">
        <f>IF(AND(D100&lt;&gt;"",'Inputs Whole-Project Water Use'!C100=""),1,IF('Inputs Whole-Project Water Use'!C100&lt;&gt;"",'Inputs Whole-Project Water Use'!C100,""))</f>
        <v/>
      </c>
      <c r="D100" s="397" t="str">
        <f>IF('Inputs Whole-Project Water Use'!D100&lt;&gt;"",'Inputs Whole-Project Water Use'!D100,"")</f>
        <v/>
      </c>
      <c r="E100" s="398"/>
      <c r="F100" s="314" t="str">
        <f>IF('Inputs Whole-Project Water Use'!F100&lt;&gt;"",'Inputs Whole-Project Water Use'!F100,"")</f>
        <v/>
      </c>
      <c r="G100" s="314" t="str">
        <f>IF('Inputs Whole-Project Water Use'!G100&lt;&gt;"",'Inputs Whole-Project Water Use'!G100,"")</f>
        <v/>
      </c>
      <c r="H100" s="315" t="str">
        <f>IF('Inputs Whole-Project Water Use'!H100&lt;&gt;"",'Inputs Whole-Project Water Use'!H100,"")</f>
        <v/>
      </c>
      <c r="I100" s="390" t="str">
        <f t="shared" si="16"/>
        <v/>
      </c>
      <c r="J100" s="391"/>
      <c r="K100" s="316" t="str">
        <f>IF('Inputs Whole-Project Water Use'!K100&lt;&gt;"",'Inputs Whole-Project Water Use'!K100,"")</f>
        <v/>
      </c>
      <c r="L100" s="316" t="str">
        <f>IF('Inputs Whole-Project Water Use'!L100&lt;&gt;"",'Inputs Whole-Project Water Use'!L100,"")</f>
        <v/>
      </c>
      <c r="M100" s="390" t="str">
        <f t="shared" si="17"/>
        <v/>
      </c>
      <c r="N100" s="391"/>
      <c r="O100" s="225" t="str">
        <f t="shared" si="11"/>
        <v/>
      </c>
      <c r="P100" s="225" t="str">
        <f t="shared" si="12"/>
        <v/>
      </c>
      <c r="Q100" s="289" t="str">
        <f>IF(AND(D100&lt;&gt;"",'Inputs Whole-Project Water Use'!Q100=""),0,IF('Inputs Whole-Project Water Use'!Q100&lt;&gt;"",'Inputs Whole-Project Water Use'!Q100,""))</f>
        <v/>
      </c>
      <c r="R100" s="225" t="str">
        <f t="shared" si="13"/>
        <v/>
      </c>
      <c r="S100" s="225" t="str">
        <f t="shared" si="14"/>
        <v/>
      </c>
      <c r="T100" s="231" t="str">
        <f t="shared" si="15"/>
        <v/>
      </c>
      <c r="U100" s="241"/>
      <c r="V100" s="241"/>
      <c r="W100" s="241"/>
      <c r="X100" s="241"/>
      <c r="Y100" s="241"/>
      <c r="Z100" s="241"/>
      <c r="AA100" s="241"/>
      <c r="AB100" s="241"/>
      <c r="AC100" s="241"/>
      <c r="AD100" s="241"/>
      <c r="AE100" s="241"/>
      <c r="AF100" s="241"/>
      <c r="AG100" s="241"/>
      <c r="AH100" s="241"/>
      <c r="AI100" s="241"/>
      <c r="AJ100" s="241"/>
      <c r="AK100" s="241"/>
      <c r="AL100" s="241"/>
      <c r="AM100" s="241"/>
      <c r="AN100" s="241"/>
      <c r="AO100" s="241"/>
      <c r="AP100" s="241"/>
      <c r="AQ100" s="241"/>
      <c r="AR100" s="241"/>
      <c r="AS100" s="241"/>
      <c r="AT100" s="241"/>
      <c r="AU100" s="241"/>
      <c r="AV100" s="241"/>
      <c r="AW100" s="241"/>
      <c r="AX100" s="241"/>
      <c r="AY100" s="241"/>
      <c r="AZ100" s="241"/>
    </row>
    <row r="101" spans="1:52" s="71" customFormat="1" ht="18" hidden="1" customHeight="1" outlineLevel="2">
      <c r="A101" s="175">
        <v>73</v>
      </c>
      <c r="B101" s="312" t="str">
        <f>(IF('Inputs Whole-Project Water Use'!B101&lt;&gt;"",'Inputs Whole-Project Water Use'!B101,""))</f>
        <v/>
      </c>
      <c r="C101" s="313" t="str">
        <f>IF(AND(D101&lt;&gt;"",'Inputs Whole-Project Water Use'!C101=""),1,IF('Inputs Whole-Project Water Use'!C101&lt;&gt;"",'Inputs Whole-Project Water Use'!C101,""))</f>
        <v/>
      </c>
      <c r="D101" s="397" t="str">
        <f>IF('Inputs Whole-Project Water Use'!D101&lt;&gt;"",'Inputs Whole-Project Water Use'!D101,"")</f>
        <v/>
      </c>
      <c r="E101" s="398"/>
      <c r="F101" s="314" t="str">
        <f>IF('Inputs Whole-Project Water Use'!F101&lt;&gt;"",'Inputs Whole-Project Water Use'!F101,"")</f>
        <v/>
      </c>
      <c r="G101" s="314" t="str">
        <f>IF('Inputs Whole-Project Water Use'!G101&lt;&gt;"",'Inputs Whole-Project Water Use'!G101,"")</f>
        <v/>
      </c>
      <c r="H101" s="315" t="str">
        <f>IF('Inputs Whole-Project Water Use'!H101&lt;&gt;"",'Inputs Whole-Project Water Use'!H101,"")</f>
        <v/>
      </c>
      <c r="I101" s="390" t="str">
        <f t="shared" si="16"/>
        <v/>
      </c>
      <c r="J101" s="391"/>
      <c r="K101" s="316" t="str">
        <f>IF('Inputs Whole-Project Water Use'!K101&lt;&gt;"",'Inputs Whole-Project Water Use'!K101,"")</f>
        <v/>
      </c>
      <c r="L101" s="316" t="str">
        <f>IF('Inputs Whole-Project Water Use'!L101&lt;&gt;"",'Inputs Whole-Project Water Use'!L101,"")</f>
        <v/>
      </c>
      <c r="M101" s="390" t="str">
        <f t="shared" si="17"/>
        <v/>
      </c>
      <c r="N101" s="391"/>
      <c r="O101" s="225" t="str">
        <f t="shared" si="11"/>
        <v/>
      </c>
      <c r="P101" s="225" t="str">
        <f t="shared" si="12"/>
        <v/>
      </c>
      <c r="Q101" s="289" t="str">
        <f>IF(AND(D101&lt;&gt;"",'Inputs Whole-Project Water Use'!Q101=""),0,IF('Inputs Whole-Project Water Use'!Q101&lt;&gt;"",'Inputs Whole-Project Water Use'!Q101,""))</f>
        <v/>
      </c>
      <c r="R101" s="225" t="str">
        <f t="shared" si="13"/>
        <v/>
      </c>
      <c r="S101" s="225" t="str">
        <f t="shared" si="14"/>
        <v/>
      </c>
      <c r="T101" s="231" t="str">
        <f t="shared" si="15"/>
        <v/>
      </c>
      <c r="U101" s="241"/>
      <c r="V101" s="241"/>
      <c r="W101" s="241"/>
      <c r="X101" s="241"/>
      <c r="Y101" s="241"/>
      <c r="Z101" s="241"/>
      <c r="AA101" s="241"/>
      <c r="AB101" s="241"/>
      <c r="AC101" s="241"/>
      <c r="AD101" s="241"/>
      <c r="AE101" s="241"/>
      <c r="AF101" s="241"/>
      <c r="AG101" s="241"/>
      <c r="AH101" s="241"/>
      <c r="AI101" s="241"/>
      <c r="AJ101" s="241"/>
      <c r="AK101" s="241"/>
      <c r="AL101" s="241"/>
      <c r="AM101" s="241"/>
      <c r="AN101" s="241"/>
      <c r="AO101" s="241"/>
      <c r="AP101" s="241"/>
      <c r="AQ101" s="241"/>
      <c r="AR101" s="241"/>
      <c r="AS101" s="241"/>
      <c r="AT101" s="241"/>
      <c r="AU101" s="241"/>
      <c r="AV101" s="241"/>
      <c r="AW101" s="241"/>
      <c r="AX101" s="241"/>
      <c r="AY101" s="241"/>
      <c r="AZ101" s="241"/>
    </row>
    <row r="102" spans="1:52" s="71" customFormat="1" ht="18" hidden="1" customHeight="1" outlineLevel="2">
      <c r="A102" s="175">
        <v>74</v>
      </c>
      <c r="B102" s="312" t="str">
        <f>(IF('Inputs Whole-Project Water Use'!B102&lt;&gt;"",'Inputs Whole-Project Water Use'!B102,""))</f>
        <v/>
      </c>
      <c r="C102" s="313" t="str">
        <f>IF(AND(D102&lt;&gt;"",'Inputs Whole-Project Water Use'!C102=""),1,IF('Inputs Whole-Project Water Use'!C102&lt;&gt;"",'Inputs Whole-Project Water Use'!C102,""))</f>
        <v/>
      </c>
      <c r="D102" s="397" t="str">
        <f>IF('Inputs Whole-Project Water Use'!D102&lt;&gt;"",'Inputs Whole-Project Water Use'!D102,"")</f>
        <v/>
      </c>
      <c r="E102" s="398"/>
      <c r="F102" s="314" t="str">
        <f>IF('Inputs Whole-Project Water Use'!F102&lt;&gt;"",'Inputs Whole-Project Water Use'!F102,"")</f>
        <v/>
      </c>
      <c r="G102" s="314" t="str">
        <f>IF('Inputs Whole-Project Water Use'!G102&lt;&gt;"",'Inputs Whole-Project Water Use'!G102,"")</f>
        <v/>
      </c>
      <c r="H102" s="315" t="str">
        <f>IF('Inputs Whole-Project Water Use'!H102&lt;&gt;"",'Inputs Whole-Project Water Use'!H102,"")</f>
        <v/>
      </c>
      <c r="I102" s="390" t="str">
        <f t="shared" si="16"/>
        <v/>
      </c>
      <c r="J102" s="391"/>
      <c r="K102" s="316" t="str">
        <f>IF('Inputs Whole-Project Water Use'!K102&lt;&gt;"",'Inputs Whole-Project Water Use'!K102,"")</f>
        <v/>
      </c>
      <c r="L102" s="316" t="str">
        <f>IF('Inputs Whole-Project Water Use'!L102&lt;&gt;"",'Inputs Whole-Project Water Use'!L102,"")</f>
        <v/>
      </c>
      <c r="M102" s="390" t="str">
        <f t="shared" si="17"/>
        <v/>
      </c>
      <c r="N102" s="391"/>
      <c r="O102" s="225" t="str">
        <f t="shared" si="11"/>
        <v/>
      </c>
      <c r="P102" s="225" t="str">
        <f t="shared" si="12"/>
        <v/>
      </c>
      <c r="Q102" s="289" t="str">
        <f>IF(AND(D102&lt;&gt;"",'Inputs Whole-Project Water Use'!Q102=""),0,IF('Inputs Whole-Project Water Use'!Q102&lt;&gt;"",'Inputs Whole-Project Water Use'!Q102,""))</f>
        <v/>
      </c>
      <c r="R102" s="225" t="str">
        <f t="shared" si="13"/>
        <v/>
      </c>
      <c r="S102" s="225" t="str">
        <f t="shared" si="14"/>
        <v/>
      </c>
      <c r="T102" s="231" t="str">
        <f t="shared" si="15"/>
        <v/>
      </c>
      <c r="U102" s="241"/>
      <c r="V102" s="241"/>
      <c r="W102" s="241"/>
      <c r="X102" s="241"/>
      <c r="Y102" s="241"/>
      <c r="Z102" s="241"/>
      <c r="AA102" s="241"/>
      <c r="AB102" s="241"/>
      <c r="AC102" s="241"/>
      <c r="AD102" s="241"/>
      <c r="AE102" s="241"/>
      <c r="AF102" s="241"/>
      <c r="AG102" s="241"/>
      <c r="AH102" s="241"/>
      <c r="AI102" s="241"/>
      <c r="AJ102" s="241"/>
      <c r="AK102" s="241"/>
      <c r="AL102" s="241"/>
      <c r="AM102" s="241"/>
      <c r="AN102" s="241"/>
      <c r="AO102" s="241"/>
      <c r="AP102" s="241"/>
      <c r="AQ102" s="241"/>
      <c r="AR102" s="241"/>
      <c r="AS102" s="241"/>
      <c r="AT102" s="241"/>
      <c r="AU102" s="241"/>
      <c r="AV102" s="241"/>
      <c r="AW102" s="241"/>
      <c r="AX102" s="241"/>
      <c r="AY102" s="241"/>
      <c r="AZ102" s="241"/>
    </row>
    <row r="103" spans="1:52" s="71" customFormat="1" ht="18" hidden="1" customHeight="1" outlineLevel="2">
      <c r="A103" s="175">
        <v>75</v>
      </c>
      <c r="B103" s="312" t="str">
        <f>(IF('Inputs Whole-Project Water Use'!B103&lt;&gt;"",'Inputs Whole-Project Water Use'!B103,""))</f>
        <v/>
      </c>
      <c r="C103" s="313" t="str">
        <f>IF(AND(D103&lt;&gt;"",'Inputs Whole-Project Water Use'!C103=""),1,IF('Inputs Whole-Project Water Use'!C103&lt;&gt;"",'Inputs Whole-Project Water Use'!C103,""))</f>
        <v/>
      </c>
      <c r="D103" s="397" t="str">
        <f>IF('Inputs Whole-Project Water Use'!D103&lt;&gt;"",'Inputs Whole-Project Water Use'!D103,"")</f>
        <v/>
      </c>
      <c r="E103" s="398"/>
      <c r="F103" s="314" t="str">
        <f>IF('Inputs Whole-Project Water Use'!F103&lt;&gt;"",'Inputs Whole-Project Water Use'!F103,"")</f>
        <v/>
      </c>
      <c r="G103" s="314" t="str">
        <f>IF('Inputs Whole-Project Water Use'!G103&lt;&gt;"",'Inputs Whole-Project Water Use'!G103,"")</f>
        <v/>
      </c>
      <c r="H103" s="315" t="str">
        <f>IF('Inputs Whole-Project Water Use'!H103&lt;&gt;"",'Inputs Whole-Project Water Use'!H103,"")</f>
        <v/>
      </c>
      <c r="I103" s="390" t="str">
        <f t="shared" si="16"/>
        <v/>
      </c>
      <c r="J103" s="391"/>
      <c r="K103" s="316" t="str">
        <f>IF('Inputs Whole-Project Water Use'!K103&lt;&gt;"",'Inputs Whole-Project Water Use'!K103,"")</f>
        <v/>
      </c>
      <c r="L103" s="316" t="str">
        <f>IF('Inputs Whole-Project Water Use'!L103&lt;&gt;"",'Inputs Whole-Project Water Use'!L103,"")</f>
        <v/>
      </c>
      <c r="M103" s="390" t="str">
        <f t="shared" si="17"/>
        <v/>
      </c>
      <c r="N103" s="391"/>
      <c r="O103" s="225" t="str">
        <f t="shared" si="11"/>
        <v/>
      </c>
      <c r="P103" s="225" t="str">
        <f t="shared" si="12"/>
        <v/>
      </c>
      <c r="Q103" s="289" t="str">
        <f>IF(AND(D103&lt;&gt;"",'Inputs Whole-Project Water Use'!Q103=""),0,IF('Inputs Whole-Project Water Use'!Q103&lt;&gt;"",'Inputs Whole-Project Water Use'!Q103,""))</f>
        <v/>
      </c>
      <c r="R103" s="225" t="str">
        <f t="shared" si="13"/>
        <v/>
      </c>
      <c r="S103" s="225" t="str">
        <f t="shared" si="14"/>
        <v/>
      </c>
      <c r="T103" s="231" t="str">
        <f t="shared" si="15"/>
        <v/>
      </c>
      <c r="U103" s="241"/>
      <c r="V103" s="241"/>
      <c r="W103" s="241"/>
      <c r="X103" s="241"/>
      <c r="Y103" s="241"/>
      <c r="Z103" s="241"/>
      <c r="AA103" s="241"/>
      <c r="AB103" s="241"/>
      <c r="AC103" s="241"/>
      <c r="AD103" s="241"/>
      <c r="AE103" s="241"/>
      <c r="AF103" s="241"/>
      <c r="AG103" s="241"/>
      <c r="AH103" s="241"/>
      <c r="AI103" s="241"/>
      <c r="AJ103" s="241"/>
      <c r="AK103" s="241"/>
      <c r="AL103" s="241"/>
      <c r="AM103" s="241"/>
      <c r="AN103" s="241"/>
      <c r="AO103" s="241"/>
      <c r="AP103" s="241"/>
      <c r="AQ103" s="241"/>
      <c r="AR103" s="241"/>
      <c r="AS103" s="241"/>
      <c r="AT103" s="241"/>
      <c r="AU103" s="241"/>
      <c r="AV103" s="241"/>
      <c r="AW103" s="241"/>
      <c r="AX103" s="241"/>
      <c r="AY103" s="241"/>
      <c r="AZ103" s="241"/>
    </row>
    <row r="104" spans="1:52" s="71" customFormat="1" ht="18" hidden="1" customHeight="1" outlineLevel="2">
      <c r="A104" s="175">
        <v>76</v>
      </c>
      <c r="B104" s="312" t="str">
        <f>(IF('Inputs Whole-Project Water Use'!B104&lt;&gt;"",'Inputs Whole-Project Water Use'!B104,""))</f>
        <v/>
      </c>
      <c r="C104" s="313" t="str">
        <f>IF(AND(D104&lt;&gt;"",'Inputs Whole-Project Water Use'!C104=""),1,IF('Inputs Whole-Project Water Use'!C104&lt;&gt;"",'Inputs Whole-Project Water Use'!C104,""))</f>
        <v/>
      </c>
      <c r="D104" s="397" t="str">
        <f>IF('Inputs Whole-Project Water Use'!D104&lt;&gt;"",'Inputs Whole-Project Water Use'!D104,"")</f>
        <v/>
      </c>
      <c r="E104" s="398"/>
      <c r="F104" s="314" t="str">
        <f>IF('Inputs Whole-Project Water Use'!F104&lt;&gt;"",'Inputs Whole-Project Water Use'!F104,"")</f>
        <v/>
      </c>
      <c r="G104" s="314" t="str">
        <f>IF('Inputs Whole-Project Water Use'!G104&lt;&gt;"",'Inputs Whole-Project Water Use'!G104,"")</f>
        <v/>
      </c>
      <c r="H104" s="315" t="str">
        <f>IF('Inputs Whole-Project Water Use'!H104&lt;&gt;"",'Inputs Whole-Project Water Use'!H104,"")</f>
        <v/>
      </c>
      <c r="I104" s="390" t="str">
        <f t="shared" si="16"/>
        <v/>
      </c>
      <c r="J104" s="391"/>
      <c r="K104" s="316" t="str">
        <f>IF('Inputs Whole-Project Water Use'!K104&lt;&gt;"",'Inputs Whole-Project Water Use'!K104,"")</f>
        <v/>
      </c>
      <c r="L104" s="316" t="str">
        <f>IF('Inputs Whole-Project Water Use'!L104&lt;&gt;"",'Inputs Whole-Project Water Use'!L104,"")</f>
        <v/>
      </c>
      <c r="M104" s="390" t="str">
        <f t="shared" si="17"/>
        <v/>
      </c>
      <c r="N104" s="391"/>
      <c r="O104" s="225" t="str">
        <f t="shared" si="11"/>
        <v/>
      </c>
      <c r="P104" s="225" t="str">
        <f t="shared" si="12"/>
        <v/>
      </c>
      <c r="Q104" s="289" t="str">
        <f>IF(AND(D104&lt;&gt;"",'Inputs Whole-Project Water Use'!Q104=""),0,IF('Inputs Whole-Project Water Use'!Q104&lt;&gt;"",'Inputs Whole-Project Water Use'!Q104,""))</f>
        <v/>
      </c>
      <c r="R104" s="225" t="str">
        <f t="shared" si="13"/>
        <v/>
      </c>
      <c r="S104" s="225" t="str">
        <f t="shared" si="14"/>
        <v/>
      </c>
      <c r="T104" s="231" t="str">
        <f t="shared" si="15"/>
        <v/>
      </c>
      <c r="U104" s="241"/>
      <c r="V104" s="241"/>
      <c r="W104" s="241"/>
      <c r="X104" s="241"/>
      <c r="Y104" s="241"/>
      <c r="Z104" s="241"/>
      <c r="AA104" s="241"/>
      <c r="AB104" s="241"/>
      <c r="AC104" s="241"/>
      <c r="AD104" s="241"/>
      <c r="AE104" s="241"/>
      <c r="AF104" s="241"/>
      <c r="AG104" s="241"/>
      <c r="AH104" s="241"/>
      <c r="AI104" s="241"/>
      <c r="AJ104" s="241"/>
      <c r="AK104" s="241"/>
      <c r="AL104" s="241"/>
      <c r="AM104" s="241"/>
      <c r="AN104" s="241"/>
      <c r="AO104" s="241"/>
      <c r="AP104" s="241"/>
      <c r="AQ104" s="241"/>
      <c r="AR104" s="241"/>
      <c r="AS104" s="241"/>
      <c r="AT104" s="241"/>
      <c r="AU104" s="241"/>
      <c r="AV104" s="241"/>
      <c r="AW104" s="241"/>
      <c r="AX104" s="241"/>
      <c r="AY104" s="241"/>
      <c r="AZ104" s="241"/>
    </row>
    <row r="105" spans="1:52" s="71" customFormat="1" ht="18" hidden="1" customHeight="1" outlineLevel="2">
      <c r="A105" s="175">
        <v>77</v>
      </c>
      <c r="B105" s="312" t="str">
        <f>(IF('Inputs Whole-Project Water Use'!B105&lt;&gt;"",'Inputs Whole-Project Water Use'!B105,""))</f>
        <v/>
      </c>
      <c r="C105" s="313" t="str">
        <f>IF(AND(D105&lt;&gt;"",'Inputs Whole-Project Water Use'!C105=""),1,IF('Inputs Whole-Project Water Use'!C105&lt;&gt;"",'Inputs Whole-Project Water Use'!C105,""))</f>
        <v/>
      </c>
      <c r="D105" s="397" t="str">
        <f>IF('Inputs Whole-Project Water Use'!D105&lt;&gt;"",'Inputs Whole-Project Water Use'!D105,"")</f>
        <v/>
      </c>
      <c r="E105" s="398"/>
      <c r="F105" s="314" t="str">
        <f>IF('Inputs Whole-Project Water Use'!F105&lt;&gt;"",'Inputs Whole-Project Water Use'!F105,"")</f>
        <v/>
      </c>
      <c r="G105" s="314" t="str">
        <f>IF('Inputs Whole-Project Water Use'!G105&lt;&gt;"",'Inputs Whole-Project Water Use'!G105,"")</f>
        <v/>
      </c>
      <c r="H105" s="315" t="str">
        <f>IF('Inputs Whole-Project Water Use'!H105&lt;&gt;"",'Inputs Whole-Project Water Use'!H105,"")</f>
        <v/>
      </c>
      <c r="I105" s="390" t="str">
        <f t="shared" si="16"/>
        <v/>
      </c>
      <c r="J105" s="391"/>
      <c r="K105" s="316" t="str">
        <f>IF('Inputs Whole-Project Water Use'!K105&lt;&gt;"",'Inputs Whole-Project Water Use'!K105,"")</f>
        <v/>
      </c>
      <c r="L105" s="316" t="str">
        <f>IF('Inputs Whole-Project Water Use'!L105&lt;&gt;"",'Inputs Whole-Project Water Use'!L105,"")</f>
        <v/>
      </c>
      <c r="M105" s="390" t="str">
        <f t="shared" si="17"/>
        <v/>
      </c>
      <c r="N105" s="391"/>
      <c r="O105" s="225" t="str">
        <f t="shared" si="11"/>
        <v/>
      </c>
      <c r="P105" s="225" t="str">
        <f t="shared" si="12"/>
        <v/>
      </c>
      <c r="Q105" s="289" t="str">
        <f>IF(AND(D105&lt;&gt;"",'Inputs Whole-Project Water Use'!Q105=""),0,IF('Inputs Whole-Project Water Use'!Q105&lt;&gt;"",'Inputs Whole-Project Water Use'!Q105,""))</f>
        <v/>
      </c>
      <c r="R105" s="225" t="str">
        <f t="shared" si="13"/>
        <v/>
      </c>
      <c r="S105" s="225" t="str">
        <f t="shared" si="14"/>
        <v/>
      </c>
      <c r="T105" s="231" t="str">
        <f t="shared" si="15"/>
        <v/>
      </c>
      <c r="U105" s="241"/>
      <c r="V105" s="241"/>
      <c r="W105" s="241"/>
      <c r="X105" s="241"/>
      <c r="Y105" s="241"/>
      <c r="Z105" s="241"/>
      <c r="AA105" s="241"/>
      <c r="AB105" s="241"/>
      <c r="AC105" s="241"/>
      <c r="AD105" s="241"/>
      <c r="AE105" s="241"/>
      <c r="AF105" s="241"/>
      <c r="AG105" s="241"/>
      <c r="AH105" s="241"/>
      <c r="AI105" s="241"/>
      <c r="AJ105" s="241"/>
      <c r="AK105" s="241"/>
      <c r="AL105" s="241"/>
      <c r="AM105" s="241"/>
      <c r="AN105" s="241"/>
      <c r="AO105" s="241"/>
      <c r="AP105" s="241"/>
      <c r="AQ105" s="241"/>
      <c r="AR105" s="241"/>
      <c r="AS105" s="241"/>
      <c r="AT105" s="241"/>
      <c r="AU105" s="241"/>
      <c r="AV105" s="241"/>
      <c r="AW105" s="241"/>
      <c r="AX105" s="241"/>
      <c r="AY105" s="241"/>
      <c r="AZ105" s="241"/>
    </row>
    <row r="106" spans="1:52" s="71" customFormat="1" ht="18" hidden="1" customHeight="1" outlineLevel="2">
      <c r="A106" s="175">
        <v>78</v>
      </c>
      <c r="B106" s="312" t="str">
        <f>(IF('Inputs Whole-Project Water Use'!B106&lt;&gt;"",'Inputs Whole-Project Water Use'!B106,""))</f>
        <v/>
      </c>
      <c r="C106" s="313" t="str">
        <f>IF(AND(D106&lt;&gt;"",'Inputs Whole-Project Water Use'!C106=""),1,IF('Inputs Whole-Project Water Use'!C106&lt;&gt;"",'Inputs Whole-Project Water Use'!C106,""))</f>
        <v/>
      </c>
      <c r="D106" s="397" t="str">
        <f>IF('Inputs Whole-Project Water Use'!D106&lt;&gt;"",'Inputs Whole-Project Water Use'!D106,"")</f>
        <v/>
      </c>
      <c r="E106" s="398"/>
      <c r="F106" s="314" t="str">
        <f>IF('Inputs Whole-Project Water Use'!F106&lt;&gt;"",'Inputs Whole-Project Water Use'!F106,"")</f>
        <v/>
      </c>
      <c r="G106" s="314" t="str">
        <f>IF('Inputs Whole-Project Water Use'!G106&lt;&gt;"",'Inputs Whole-Project Water Use'!G106,"")</f>
        <v/>
      </c>
      <c r="H106" s="315" t="str">
        <f>IF('Inputs Whole-Project Water Use'!H106&lt;&gt;"",'Inputs Whole-Project Water Use'!H106,"")</f>
        <v/>
      </c>
      <c r="I106" s="390" t="str">
        <f t="shared" si="16"/>
        <v/>
      </c>
      <c r="J106" s="391"/>
      <c r="K106" s="316" t="str">
        <f>IF('Inputs Whole-Project Water Use'!K106&lt;&gt;"",'Inputs Whole-Project Water Use'!K106,"")</f>
        <v/>
      </c>
      <c r="L106" s="316" t="str">
        <f>IF('Inputs Whole-Project Water Use'!L106&lt;&gt;"",'Inputs Whole-Project Water Use'!L106,"")</f>
        <v/>
      </c>
      <c r="M106" s="390" t="str">
        <f t="shared" si="17"/>
        <v/>
      </c>
      <c r="N106" s="391"/>
      <c r="O106" s="225" t="str">
        <f t="shared" si="11"/>
        <v/>
      </c>
      <c r="P106" s="225" t="str">
        <f t="shared" si="12"/>
        <v/>
      </c>
      <c r="Q106" s="289" t="str">
        <f>IF(AND(D106&lt;&gt;"",'Inputs Whole-Project Water Use'!Q106=""),0,IF('Inputs Whole-Project Water Use'!Q106&lt;&gt;"",'Inputs Whole-Project Water Use'!Q106,""))</f>
        <v/>
      </c>
      <c r="R106" s="225" t="str">
        <f t="shared" si="13"/>
        <v/>
      </c>
      <c r="S106" s="225" t="str">
        <f t="shared" si="14"/>
        <v/>
      </c>
      <c r="T106" s="231" t="str">
        <f t="shared" si="15"/>
        <v/>
      </c>
      <c r="U106" s="241"/>
      <c r="V106" s="241"/>
      <c r="W106" s="241"/>
      <c r="X106" s="241"/>
      <c r="Y106" s="241"/>
      <c r="Z106" s="241"/>
      <c r="AA106" s="241"/>
      <c r="AB106" s="241"/>
      <c r="AC106" s="241"/>
      <c r="AD106" s="241"/>
      <c r="AE106" s="241"/>
      <c r="AF106" s="241"/>
      <c r="AG106" s="241"/>
      <c r="AH106" s="241"/>
      <c r="AI106" s="241"/>
      <c r="AJ106" s="241"/>
      <c r="AK106" s="241"/>
      <c r="AL106" s="241"/>
      <c r="AM106" s="241"/>
      <c r="AN106" s="241"/>
      <c r="AO106" s="241"/>
      <c r="AP106" s="241"/>
      <c r="AQ106" s="241"/>
      <c r="AR106" s="241"/>
      <c r="AS106" s="241"/>
      <c r="AT106" s="241"/>
      <c r="AU106" s="241"/>
      <c r="AV106" s="241"/>
      <c r="AW106" s="241"/>
      <c r="AX106" s="241"/>
      <c r="AY106" s="241"/>
      <c r="AZ106" s="241"/>
    </row>
    <row r="107" spans="1:52" s="71" customFormat="1" ht="18" hidden="1" customHeight="1" outlineLevel="2">
      <c r="A107" s="175">
        <v>79</v>
      </c>
      <c r="B107" s="312" t="str">
        <f>(IF('Inputs Whole-Project Water Use'!B107&lt;&gt;"",'Inputs Whole-Project Water Use'!B107,""))</f>
        <v/>
      </c>
      <c r="C107" s="313" t="str">
        <f>IF(AND(D107&lt;&gt;"",'Inputs Whole-Project Water Use'!C107=""),1,IF('Inputs Whole-Project Water Use'!C107&lt;&gt;"",'Inputs Whole-Project Water Use'!C107,""))</f>
        <v/>
      </c>
      <c r="D107" s="397" t="str">
        <f>IF('Inputs Whole-Project Water Use'!D107&lt;&gt;"",'Inputs Whole-Project Water Use'!D107,"")</f>
        <v/>
      </c>
      <c r="E107" s="398"/>
      <c r="F107" s="314" t="str">
        <f>IF('Inputs Whole-Project Water Use'!F107&lt;&gt;"",'Inputs Whole-Project Water Use'!F107,"")</f>
        <v/>
      </c>
      <c r="G107" s="314" t="str">
        <f>IF('Inputs Whole-Project Water Use'!G107&lt;&gt;"",'Inputs Whole-Project Water Use'!G107,"")</f>
        <v/>
      </c>
      <c r="H107" s="315" t="str">
        <f>IF('Inputs Whole-Project Water Use'!H107&lt;&gt;"",'Inputs Whole-Project Water Use'!H107,"")</f>
        <v/>
      </c>
      <c r="I107" s="390" t="str">
        <f t="shared" si="16"/>
        <v/>
      </c>
      <c r="J107" s="391"/>
      <c r="K107" s="316" t="str">
        <f>IF('Inputs Whole-Project Water Use'!K107&lt;&gt;"",'Inputs Whole-Project Water Use'!K107,"")</f>
        <v/>
      </c>
      <c r="L107" s="316" t="str">
        <f>IF('Inputs Whole-Project Water Use'!L107&lt;&gt;"",'Inputs Whole-Project Water Use'!L107,"")</f>
        <v/>
      </c>
      <c r="M107" s="390" t="str">
        <f t="shared" si="17"/>
        <v/>
      </c>
      <c r="N107" s="391"/>
      <c r="O107" s="225" t="str">
        <f t="shared" si="11"/>
        <v/>
      </c>
      <c r="P107" s="225" t="str">
        <f t="shared" si="12"/>
        <v/>
      </c>
      <c r="Q107" s="289" t="str">
        <f>IF(AND(D107&lt;&gt;"",'Inputs Whole-Project Water Use'!Q107=""),0,IF('Inputs Whole-Project Water Use'!Q107&lt;&gt;"",'Inputs Whole-Project Water Use'!Q107,""))</f>
        <v/>
      </c>
      <c r="R107" s="225" t="str">
        <f t="shared" si="13"/>
        <v/>
      </c>
      <c r="S107" s="225" t="str">
        <f t="shared" si="14"/>
        <v/>
      </c>
      <c r="T107" s="231" t="str">
        <f t="shared" si="15"/>
        <v/>
      </c>
      <c r="U107" s="241"/>
      <c r="V107" s="241"/>
      <c r="W107" s="241"/>
      <c r="X107" s="241"/>
      <c r="Y107" s="241"/>
      <c r="Z107" s="241"/>
      <c r="AA107" s="241"/>
      <c r="AB107" s="241"/>
      <c r="AC107" s="241"/>
      <c r="AD107" s="241"/>
      <c r="AE107" s="241"/>
      <c r="AF107" s="241"/>
      <c r="AG107" s="241"/>
      <c r="AH107" s="241"/>
      <c r="AI107" s="241"/>
      <c r="AJ107" s="241"/>
      <c r="AK107" s="241"/>
      <c r="AL107" s="241"/>
      <c r="AM107" s="241"/>
      <c r="AN107" s="241"/>
      <c r="AO107" s="241"/>
      <c r="AP107" s="241"/>
      <c r="AQ107" s="241"/>
      <c r="AR107" s="241"/>
      <c r="AS107" s="241"/>
      <c r="AT107" s="241"/>
      <c r="AU107" s="241"/>
      <c r="AV107" s="241"/>
      <c r="AW107" s="241"/>
      <c r="AX107" s="241"/>
      <c r="AY107" s="241"/>
      <c r="AZ107" s="241"/>
    </row>
    <row r="108" spans="1:52" s="71" customFormat="1" ht="18" hidden="1" customHeight="1" outlineLevel="2">
      <c r="A108" s="175">
        <v>80</v>
      </c>
      <c r="B108" s="312" t="str">
        <f>(IF('Inputs Whole-Project Water Use'!B108&lt;&gt;"",'Inputs Whole-Project Water Use'!B108,""))</f>
        <v/>
      </c>
      <c r="C108" s="313" t="str">
        <f>IF(AND(D108&lt;&gt;"",'Inputs Whole-Project Water Use'!C108=""),1,IF('Inputs Whole-Project Water Use'!C108&lt;&gt;"",'Inputs Whole-Project Water Use'!C108,""))</f>
        <v/>
      </c>
      <c r="D108" s="397" t="str">
        <f>IF('Inputs Whole-Project Water Use'!D108&lt;&gt;"",'Inputs Whole-Project Water Use'!D108,"")</f>
        <v/>
      </c>
      <c r="E108" s="398"/>
      <c r="F108" s="314" t="str">
        <f>IF('Inputs Whole-Project Water Use'!F108&lt;&gt;"",'Inputs Whole-Project Water Use'!F108,"")</f>
        <v/>
      </c>
      <c r="G108" s="314" t="str">
        <f>IF('Inputs Whole-Project Water Use'!G108&lt;&gt;"",'Inputs Whole-Project Water Use'!G108,"")</f>
        <v/>
      </c>
      <c r="H108" s="315" t="str">
        <f>IF('Inputs Whole-Project Water Use'!H108&lt;&gt;"",'Inputs Whole-Project Water Use'!H108,"")</f>
        <v/>
      </c>
      <c r="I108" s="390" t="str">
        <f t="shared" si="16"/>
        <v/>
      </c>
      <c r="J108" s="391"/>
      <c r="K108" s="316" t="str">
        <f>IF('Inputs Whole-Project Water Use'!K108&lt;&gt;"",'Inputs Whole-Project Water Use'!K108,"")</f>
        <v/>
      </c>
      <c r="L108" s="316" t="str">
        <f>IF('Inputs Whole-Project Water Use'!L108&lt;&gt;"",'Inputs Whole-Project Water Use'!L108,"")</f>
        <v/>
      </c>
      <c r="M108" s="390" t="str">
        <f t="shared" si="17"/>
        <v/>
      </c>
      <c r="N108" s="391"/>
      <c r="O108" s="225" t="str">
        <f t="shared" si="11"/>
        <v/>
      </c>
      <c r="P108" s="225" t="str">
        <f t="shared" si="12"/>
        <v/>
      </c>
      <c r="Q108" s="289" t="str">
        <f>IF(AND(D108&lt;&gt;"",'Inputs Whole-Project Water Use'!Q108=""),0,IF('Inputs Whole-Project Water Use'!Q108&lt;&gt;"",'Inputs Whole-Project Water Use'!Q108,""))</f>
        <v/>
      </c>
      <c r="R108" s="225" t="str">
        <f t="shared" si="13"/>
        <v/>
      </c>
      <c r="S108" s="225" t="str">
        <f t="shared" si="14"/>
        <v/>
      </c>
      <c r="T108" s="231" t="str">
        <f t="shared" si="15"/>
        <v/>
      </c>
      <c r="U108" s="241"/>
      <c r="V108" s="241"/>
      <c r="W108" s="241"/>
      <c r="X108" s="241"/>
      <c r="Y108" s="241"/>
      <c r="Z108" s="241"/>
      <c r="AA108" s="241"/>
      <c r="AB108" s="241"/>
      <c r="AC108" s="241"/>
      <c r="AD108" s="241"/>
      <c r="AE108" s="241"/>
      <c r="AF108" s="241"/>
      <c r="AG108" s="241"/>
      <c r="AH108" s="241"/>
      <c r="AI108" s="241"/>
      <c r="AJ108" s="241"/>
      <c r="AK108" s="241"/>
      <c r="AL108" s="241"/>
      <c r="AM108" s="241"/>
      <c r="AN108" s="241"/>
      <c r="AO108" s="241"/>
      <c r="AP108" s="241"/>
      <c r="AQ108" s="241"/>
      <c r="AR108" s="241"/>
      <c r="AS108" s="241"/>
      <c r="AT108" s="241"/>
      <c r="AU108" s="241"/>
      <c r="AV108" s="241"/>
      <c r="AW108" s="241"/>
      <c r="AX108" s="241"/>
      <c r="AY108" s="241"/>
      <c r="AZ108" s="241"/>
    </row>
    <row r="109" spans="1:52" s="71" customFormat="1" ht="18" hidden="1" customHeight="1" outlineLevel="2">
      <c r="A109" s="175">
        <v>81</v>
      </c>
      <c r="B109" s="312" t="str">
        <f>(IF('Inputs Whole-Project Water Use'!B109&lt;&gt;"",'Inputs Whole-Project Water Use'!B109,""))</f>
        <v/>
      </c>
      <c r="C109" s="313" t="str">
        <f>IF(AND(D109&lt;&gt;"",'Inputs Whole-Project Water Use'!C109=""),1,IF('Inputs Whole-Project Water Use'!C109&lt;&gt;"",'Inputs Whole-Project Water Use'!C109,""))</f>
        <v/>
      </c>
      <c r="D109" s="397" t="str">
        <f>IF('Inputs Whole-Project Water Use'!D109&lt;&gt;"",'Inputs Whole-Project Water Use'!D109,"")</f>
        <v/>
      </c>
      <c r="E109" s="398"/>
      <c r="F109" s="314" t="str">
        <f>IF('Inputs Whole-Project Water Use'!F109&lt;&gt;"",'Inputs Whole-Project Water Use'!F109,"")</f>
        <v/>
      </c>
      <c r="G109" s="314" t="str">
        <f>IF('Inputs Whole-Project Water Use'!G109&lt;&gt;"",'Inputs Whole-Project Water Use'!G109,"")</f>
        <v/>
      </c>
      <c r="H109" s="315" t="str">
        <f>IF('Inputs Whole-Project Water Use'!H109&lt;&gt;"",'Inputs Whole-Project Water Use'!H109,"")</f>
        <v/>
      </c>
      <c r="I109" s="390" t="str">
        <f t="shared" si="16"/>
        <v/>
      </c>
      <c r="J109" s="391"/>
      <c r="K109" s="316" t="str">
        <f>IF('Inputs Whole-Project Water Use'!K109&lt;&gt;"",'Inputs Whole-Project Water Use'!K109,"")</f>
        <v/>
      </c>
      <c r="L109" s="316" t="str">
        <f>IF('Inputs Whole-Project Water Use'!L109&lt;&gt;"",'Inputs Whole-Project Water Use'!L109,"")</f>
        <v/>
      </c>
      <c r="M109" s="390" t="str">
        <f t="shared" si="17"/>
        <v/>
      </c>
      <c r="N109" s="391"/>
      <c r="O109" s="225" t="str">
        <f t="shared" si="11"/>
        <v/>
      </c>
      <c r="P109" s="225" t="str">
        <f t="shared" si="12"/>
        <v/>
      </c>
      <c r="Q109" s="289" t="str">
        <f>IF(AND(D109&lt;&gt;"",'Inputs Whole-Project Water Use'!Q109=""),0,IF('Inputs Whole-Project Water Use'!Q109&lt;&gt;"",'Inputs Whole-Project Water Use'!Q109,""))</f>
        <v/>
      </c>
      <c r="R109" s="225" t="str">
        <f t="shared" si="13"/>
        <v/>
      </c>
      <c r="S109" s="225" t="str">
        <f t="shared" si="14"/>
        <v/>
      </c>
      <c r="T109" s="231" t="str">
        <f t="shared" si="15"/>
        <v/>
      </c>
      <c r="U109" s="241"/>
      <c r="V109" s="241"/>
      <c r="W109" s="241"/>
      <c r="X109" s="241"/>
      <c r="Y109" s="241"/>
      <c r="Z109" s="241"/>
      <c r="AA109" s="241"/>
      <c r="AB109" s="241"/>
      <c r="AC109" s="241"/>
      <c r="AD109" s="241"/>
      <c r="AE109" s="241"/>
      <c r="AF109" s="241"/>
      <c r="AG109" s="241"/>
      <c r="AH109" s="241"/>
      <c r="AI109" s="241"/>
      <c r="AJ109" s="241"/>
      <c r="AK109" s="241"/>
      <c r="AL109" s="241"/>
      <c r="AM109" s="241"/>
      <c r="AN109" s="241"/>
      <c r="AO109" s="241"/>
      <c r="AP109" s="241"/>
      <c r="AQ109" s="241"/>
      <c r="AR109" s="241"/>
      <c r="AS109" s="241"/>
      <c r="AT109" s="241"/>
      <c r="AU109" s="241"/>
      <c r="AV109" s="241"/>
      <c r="AW109" s="241"/>
      <c r="AX109" s="241"/>
      <c r="AY109" s="241"/>
      <c r="AZ109" s="241"/>
    </row>
    <row r="110" spans="1:52" s="71" customFormat="1" ht="18" hidden="1" customHeight="1" outlineLevel="2">
      <c r="A110" s="175">
        <v>82</v>
      </c>
      <c r="B110" s="312" t="str">
        <f>(IF('Inputs Whole-Project Water Use'!B110&lt;&gt;"",'Inputs Whole-Project Water Use'!B110,""))</f>
        <v/>
      </c>
      <c r="C110" s="313" t="str">
        <f>IF(AND(D110&lt;&gt;"",'Inputs Whole-Project Water Use'!C110=""),1,IF('Inputs Whole-Project Water Use'!C110&lt;&gt;"",'Inputs Whole-Project Water Use'!C110,""))</f>
        <v/>
      </c>
      <c r="D110" s="397" t="str">
        <f>IF('Inputs Whole-Project Water Use'!D110&lt;&gt;"",'Inputs Whole-Project Water Use'!D110,"")</f>
        <v/>
      </c>
      <c r="E110" s="398"/>
      <c r="F110" s="314" t="str">
        <f>IF('Inputs Whole-Project Water Use'!F110&lt;&gt;"",'Inputs Whole-Project Water Use'!F110,"")</f>
        <v/>
      </c>
      <c r="G110" s="314" t="str">
        <f>IF('Inputs Whole-Project Water Use'!G110&lt;&gt;"",'Inputs Whole-Project Water Use'!G110,"")</f>
        <v/>
      </c>
      <c r="H110" s="315" t="str">
        <f>IF('Inputs Whole-Project Water Use'!H110&lt;&gt;"",'Inputs Whole-Project Water Use'!H110,"")</f>
        <v/>
      </c>
      <c r="I110" s="390" t="str">
        <f t="shared" si="16"/>
        <v/>
      </c>
      <c r="J110" s="391"/>
      <c r="K110" s="316" t="str">
        <f>IF('Inputs Whole-Project Water Use'!K110&lt;&gt;"",'Inputs Whole-Project Water Use'!K110,"")</f>
        <v/>
      </c>
      <c r="L110" s="316" t="str">
        <f>IF('Inputs Whole-Project Water Use'!L110&lt;&gt;"",'Inputs Whole-Project Water Use'!L110,"")</f>
        <v/>
      </c>
      <c r="M110" s="390" t="str">
        <f t="shared" si="17"/>
        <v/>
      </c>
      <c r="N110" s="391"/>
      <c r="O110" s="225" t="str">
        <f t="shared" si="11"/>
        <v/>
      </c>
      <c r="P110" s="225" t="str">
        <f t="shared" si="12"/>
        <v/>
      </c>
      <c r="Q110" s="289" t="str">
        <f>IF(AND(D110&lt;&gt;"",'Inputs Whole-Project Water Use'!Q110=""),0,IF('Inputs Whole-Project Water Use'!Q110&lt;&gt;"",'Inputs Whole-Project Water Use'!Q110,""))</f>
        <v/>
      </c>
      <c r="R110" s="225" t="str">
        <f t="shared" si="13"/>
        <v/>
      </c>
      <c r="S110" s="225" t="str">
        <f t="shared" si="14"/>
        <v/>
      </c>
      <c r="T110" s="231" t="str">
        <f t="shared" si="15"/>
        <v/>
      </c>
      <c r="U110" s="241"/>
      <c r="V110" s="241"/>
      <c r="W110" s="241"/>
      <c r="X110" s="241"/>
      <c r="Y110" s="241"/>
      <c r="Z110" s="241"/>
      <c r="AA110" s="241"/>
      <c r="AB110" s="241"/>
      <c r="AC110" s="241"/>
      <c r="AD110" s="241"/>
      <c r="AE110" s="241"/>
      <c r="AF110" s="241"/>
      <c r="AG110" s="241"/>
      <c r="AH110" s="241"/>
      <c r="AI110" s="241"/>
      <c r="AJ110" s="241"/>
      <c r="AK110" s="241"/>
      <c r="AL110" s="241"/>
      <c r="AM110" s="241"/>
      <c r="AN110" s="241"/>
      <c r="AO110" s="241"/>
      <c r="AP110" s="241"/>
      <c r="AQ110" s="241"/>
      <c r="AR110" s="241"/>
      <c r="AS110" s="241"/>
      <c r="AT110" s="241"/>
      <c r="AU110" s="241"/>
      <c r="AV110" s="241"/>
      <c r="AW110" s="241"/>
      <c r="AX110" s="241"/>
      <c r="AY110" s="241"/>
      <c r="AZ110" s="241"/>
    </row>
    <row r="111" spans="1:52" s="71" customFormat="1" ht="18" hidden="1" customHeight="1" outlineLevel="2">
      <c r="A111" s="175">
        <v>83</v>
      </c>
      <c r="B111" s="312" t="str">
        <f>(IF('Inputs Whole-Project Water Use'!B111&lt;&gt;"",'Inputs Whole-Project Water Use'!B111,""))</f>
        <v/>
      </c>
      <c r="C111" s="313" t="str">
        <f>IF(AND(D111&lt;&gt;"",'Inputs Whole-Project Water Use'!C111=""),1,IF('Inputs Whole-Project Water Use'!C111&lt;&gt;"",'Inputs Whole-Project Water Use'!C111,""))</f>
        <v/>
      </c>
      <c r="D111" s="397" t="str">
        <f>IF('Inputs Whole-Project Water Use'!D111&lt;&gt;"",'Inputs Whole-Project Water Use'!D111,"")</f>
        <v/>
      </c>
      <c r="E111" s="398"/>
      <c r="F111" s="314" t="str">
        <f>IF('Inputs Whole-Project Water Use'!F111&lt;&gt;"",'Inputs Whole-Project Water Use'!F111,"")</f>
        <v/>
      </c>
      <c r="G111" s="314" t="str">
        <f>IF('Inputs Whole-Project Water Use'!G111&lt;&gt;"",'Inputs Whole-Project Water Use'!G111,"")</f>
        <v/>
      </c>
      <c r="H111" s="315" t="str">
        <f>IF('Inputs Whole-Project Water Use'!H111&lt;&gt;"",'Inputs Whole-Project Water Use'!H111,"")</f>
        <v/>
      </c>
      <c r="I111" s="390" t="str">
        <f t="shared" si="16"/>
        <v/>
      </c>
      <c r="J111" s="391"/>
      <c r="K111" s="316" t="str">
        <f>IF('Inputs Whole-Project Water Use'!K111&lt;&gt;"",'Inputs Whole-Project Water Use'!K111,"")</f>
        <v/>
      </c>
      <c r="L111" s="316" t="str">
        <f>IF('Inputs Whole-Project Water Use'!L111&lt;&gt;"",'Inputs Whole-Project Water Use'!L111,"")</f>
        <v/>
      </c>
      <c r="M111" s="390" t="str">
        <f t="shared" si="17"/>
        <v/>
      </c>
      <c r="N111" s="391"/>
      <c r="O111" s="225" t="str">
        <f t="shared" si="11"/>
        <v/>
      </c>
      <c r="P111" s="225" t="str">
        <f t="shared" si="12"/>
        <v/>
      </c>
      <c r="Q111" s="289" t="str">
        <f>IF(AND(D111&lt;&gt;"",'Inputs Whole-Project Water Use'!Q111=""),0,IF('Inputs Whole-Project Water Use'!Q111&lt;&gt;"",'Inputs Whole-Project Water Use'!Q111,""))</f>
        <v/>
      </c>
      <c r="R111" s="225" t="str">
        <f t="shared" si="13"/>
        <v/>
      </c>
      <c r="S111" s="225" t="str">
        <f t="shared" si="14"/>
        <v/>
      </c>
      <c r="T111" s="231" t="str">
        <f t="shared" si="15"/>
        <v/>
      </c>
      <c r="U111" s="241"/>
      <c r="V111" s="241"/>
      <c r="W111" s="241"/>
      <c r="X111" s="241"/>
      <c r="Y111" s="241"/>
      <c r="Z111" s="241"/>
      <c r="AA111" s="241"/>
      <c r="AB111" s="241"/>
      <c r="AC111" s="241"/>
      <c r="AD111" s="241"/>
      <c r="AE111" s="241"/>
      <c r="AF111" s="241"/>
      <c r="AG111" s="241"/>
      <c r="AH111" s="241"/>
      <c r="AI111" s="241"/>
      <c r="AJ111" s="241"/>
      <c r="AK111" s="241"/>
      <c r="AL111" s="241"/>
      <c r="AM111" s="241"/>
      <c r="AN111" s="241"/>
      <c r="AO111" s="241"/>
      <c r="AP111" s="241"/>
      <c r="AQ111" s="241"/>
      <c r="AR111" s="241"/>
      <c r="AS111" s="241"/>
      <c r="AT111" s="241"/>
      <c r="AU111" s="241"/>
      <c r="AV111" s="241"/>
      <c r="AW111" s="241"/>
      <c r="AX111" s="241"/>
      <c r="AY111" s="241"/>
      <c r="AZ111" s="241"/>
    </row>
    <row r="112" spans="1:52" s="71" customFormat="1" ht="18" hidden="1" customHeight="1" outlineLevel="2">
      <c r="A112" s="175">
        <v>84</v>
      </c>
      <c r="B112" s="312" t="str">
        <f>(IF('Inputs Whole-Project Water Use'!B112&lt;&gt;"",'Inputs Whole-Project Water Use'!B112,""))</f>
        <v/>
      </c>
      <c r="C112" s="313" t="str">
        <f>IF(AND(D112&lt;&gt;"",'Inputs Whole-Project Water Use'!C112=""),1,IF('Inputs Whole-Project Water Use'!C112&lt;&gt;"",'Inputs Whole-Project Water Use'!C112,""))</f>
        <v/>
      </c>
      <c r="D112" s="397" t="str">
        <f>IF('Inputs Whole-Project Water Use'!D112&lt;&gt;"",'Inputs Whole-Project Water Use'!D112,"")</f>
        <v/>
      </c>
      <c r="E112" s="398"/>
      <c r="F112" s="314" t="str">
        <f>IF('Inputs Whole-Project Water Use'!F112&lt;&gt;"",'Inputs Whole-Project Water Use'!F112,"")</f>
        <v/>
      </c>
      <c r="G112" s="314" t="str">
        <f>IF('Inputs Whole-Project Water Use'!G112&lt;&gt;"",'Inputs Whole-Project Water Use'!G112,"")</f>
        <v/>
      </c>
      <c r="H112" s="315" t="str">
        <f>IF('Inputs Whole-Project Water Use'!H112&lt;&gt;"",'Inputs Whole-Project Water Use'!H112,"")</f>
        <v/>
      </c>
      <c r="I112" s="390" t="str">
        <f t="shared" si="16"/>
        <v/>
      </c>
      <c r="J112" s="391"/>
      <c r="K112" s="316" t="str">
        <f>IF('Inputs Whole-Project Water Use'!K112&lt;&gt;"",'Inputs Whole-Project Water Use'!K112,"")</f>
        <v/>
      </c>
      <c r="L112" s="316" t="str">
        <f>IF('Inputs Whole-Project Water Use'!L112&lt;&gt;"",'Inputs Whole-Project Water Use'!L112,"")</f>
        <v/>
      </c>
      <c r="M112" s="390" t="str">
        <f t="shared" si="17"/>
        <v/>
      </c>
      <c r="N112" s="391"/>
      <c r="O112" s="225" t="str">
        <f t="shared" si="11"/>
        <v/>
      </c>
      <c r="P112" s="225" t="str">
        <f t="shared" si="12"/>
        <v/>
      </c>
      <c r="Q112" s="289" t="str">
        <f>IF(AND(D112&lt;&gt;"",'Inputs Whole-Project Water Use'!Q112=""),0,IF('Inputs Whole-Project Water Use'!Q112&lt;&gt;"",'Inputs Whole-Project Water Use'!Q112,""))</f>
        <v/>
      </c>
      <c r="R112" s="225" t="str">
        <f t="shared" si="13"/>
        <v/>
      </c>
      <c r="S112" s="225" t="str">
        <f t="shared" si="14"/>
        <v/>
      </c>
      <c r="T112" s="231" t="str">
        <f t="shared" si="15"/>
        <v/>
      </c>
      <c r="U112" s="241"/>
      <c r="V112" s="241"/>
      <c r="W112" s="241"/>
      <c r="X112" s="241"/>
      <c r="Y112" s="241"/>
      <c r="Z112" s="241"/>
      <c r="AA112" s="241"/>
      <c r="AB112" s="241"/>
      <c r="AC112" s="241"/>
      <c r="AD112" s="241"/>
      <c r="AE112" s="241"/>
      <c r="AF112" s="241"/>
      <c r="AG112" s="241"/>
      <c r="AH112" s="241"/>
      <c r="AI112" s="241"/>
      <c r="AJ112" s="241"/>
      <c r="AK112" s="241"/>
      <c r="AL112" s="241"/>
      <c r="AM112" s="241"/>
      <c r="AN112" s="241"/>
      <c r="AO112" s="241"/>
      <c r="AP112" s="241"/>
      <c r="AQ112" s="241"/>
      <c r="AR112" s="241"/>
      <c r="AS112" s="241"/>
      <c r="AT112" s="241"/>
      <c r="AU112" s="241"/>
      <c r="AV112" s="241"/>
      <c r="AW112" s="241"/>
      <c r="AX112" s="241"/>
      <c r="AY112" s="241"/>
      <c r="AZ112" s="241"/>
    </row>
    <row r="113" spans="1:52" s="71" customFormat="1" ht="18" hidden="1" customHeight="1" outlineLevel="2">
      <c r="A113" s="175">
        <v>85</v>
      </c>
      <c r="B113" s="312" t="str">
        <f>(IF('Inputs Whole-Project Water Use'!B113&lt;&gt;"",'Inputs Whole-Project Water Use'!B113,""))</f>
        <v/>
      </c>
      <c r="C113" s="313" t="str">
        <f>IF(AND(D113&lt;&gt;"",'Inputs Whole-Project Water Use'!C113=""),1,IF('Inputs Whole-Project Water Use'!C113&lt;&gt;"",'Inputs Whole-Project Water Use'!C113,""))</f>
        <v/>
      </c>
      <c r="D113" s="397" t="str">
        <f>IF('Inputs Whole-Project Water Use'!D113&lt;&gt;"",'Inputs Whole-Project Water Use'!D113,"")</f>
        <v/>
      </c>
      <c r="E113" s="398"/>
      <c r="F113" s="314" t="str">
        <f>IF('Inputs Whole-Project Water Use'!F113&lt;&gt;"",'Inputs Whole-Project Water Use'!F113,"")</f>
        <v/>
      </c>
      <c r="G113" s="314" t="str">
        <f>IF('Inputs Whole-Project Water Use'!G113&lt;&gt;"",'Inputs Whole-Project Water Use'!G113,"")</f>
        <v/>
      </c>
      <c r="H113" s="315" t="str">
        <f>IF('Inputs Whole-Project Water Use'!H113&lt;&gt;"",'Inputs Whole-Project Water Use'!H113,"")</f>
        <v/>
      </c>
      <c r="I113" s="390" t="str">
        <f t="shared" si="16"/>
        <v/>
      </c>
      <c r="J113" s="391"/>
      <c r="K113" s="316" t="str">
        <f>IF('Inputs Whole-Project Water Use'!K113&lt;&gt;"",'Inputs Whole-Project Water Use'!K113,"")</f>
        <v/>
      </c>
      <c r="L113" s="316" t="str">
        <f>IF('Inputs Whole-Project Water Use'!L113&lt;&gt;"",'Inputs Whole-Project Water Use'!L113,"")</f>
        <v/>
      </c>
      <c r="M113" s="390" t="str">
        <f t="shared" si="17"/>
        <v/>
      </c>
      <c r="N113" s="391"/>
      <c r="O113" s="225" t="str">
        <f t="shared" si="11"/>
        <v/>
      </c>
      <c r="P113" s="225" t="str">
        <f t="shared" si="12"/>
        <v/>
      </c>
      <c r="Q113" s="289" t="str">
        <f>IF(AND(D113&lt;&gt;"",'Inputs Whole-Project Water Use'!Q113=""),0,IF('Inputs Whole-Project Water Use'!Q113&lt;&gt;"",'Inputs Whole-Project Water Use'!Q113,""))</f>
        <v/>
      </c>
      <c r="R113" s="225" t="str">
        <f t="shared" si="13"/>
        <v/>
      </c>
      <c r="S113" s="225" t="str">
        <f t="shared" si="14"/>
        <v/>
      </c>
      <c r="T113" s="231" t="str">
        <f t="shared" si="15"/>
        <v/>
      </c>
      <c r="U113" s="241"/>
      <c r="V113" s="241"/>
      <c r="W113" s="241"/>
      <c r="X113" s="241"/>
      <c r="Y113" s="241"/>
      <c r="Z113" s="241"/>
      <c r="AA113" s="241"/>
      <c r="AB113" s="241"/>
      <c r="AC113" s="241"/>
      <c r="AD113" s="241"/>
      <c r="AE113" s="241"/>
      <c r="AF113" s="241"/>
      <c r="AG113" s="241"/>
      <c r="AH113" s="241"/>
      <c r="AI113" s="241"/>
      <c r="AJ113" s="241"/>
      <c r="AK113" s="241"/>
      <c r="AL113" s="241"/>
      <c r="AM113" s="241"/>
      <c r="AN113" s="241"/>
      <c r="AO113" s="241"/>
      <c r="AP113" s="241"/>
      <c r="AQ113" s="241"/>
      <c r="AR113" s="241"/>
      <c r="AS113" s="241"/>
      <c r="AT113" s="241"/>
      <c r="AU113" s="241"/>
      <c r="AV113" s="241"/>
      <c r="AW113" s="241"/>
      <c r="AX113" s="241"/>
      <c r="AY113" s="241"/>
      <c r="AZ113" s="241"/>
    </row>
    <row r="114" spans="1:52" s="71" customFormat="1" ht="18" hidden="1" customHeight="1" outlineLevel="2">
      <c r="A114" s="175">
        <v>86</v>
      </c>
      <c r="B114" s="312" t="str">
        <f>(IF('Inputs Whole-Project Water Use'!B114&lt;&gt;"",'Inputs Whole-Project Water Use'!B114,""))</f>
        <v/>
      </c>
      <c r="C114" s="313" t="str">
        <f>IF(AND(D114&lt;&gt;"",'Inputs Whole-Project Water Use'!C114=""),1,IF('Inputs Whole-Project Water Use'!C114&lt;&gt;"",'Inputs Whole-Project Water Use'!C114,""))</f>
        <v/>
      </c>
      <c r="D114" s="397" t="str">
        <f>IF('Inputs Whole-Project Water Use'!D114&lt;&gt;"",'Inputs Whole-Project Water Use'!D114,"")</f>
        <v/>
      </c>
      <c r="E114" s="398"/>
      <c r="F114" s="314" t="str">
        <f>IF('Inputs Whole-Project Water Use'!F114&lt;&gt;"",'Inputs Whole-Project Water Use'!F114,"")</f>
        <v/>
      </c>
      <c r="G114" s="314" t="str">
        <f>IF('Inputs Whole-Project Water Use'!G114&lt;&gt;"",'Inputs Whole-Project Water Use'!G114,"")</f>
        <v/>
      </c>
      <c r="H114" s="315" t="str">
        <f>IF('Inputs Whole-Project Water Use'!H114&lt;&gt;"",'Inputs Whole-Project Water Use'!H114,"")</f>
        <v/>
      </c>
      <c r="I114" s="390" t="str">
        <f t="shared" si="16"/>
        <v/>
      </c>
      <c r="J114" s="391"/>
      <c r="K114" s="316" t="str">
        <f>IF('Inputs Whole-Project Water Use'!K114&lt;&gt;"",'Inputs Whole-Project Water Use'!K114,"")</f>
        <v/>
      </c>
      <c r="L114" s="316" t="str">
        <f>IF('Inputs Whole-Project Water Use'!L114&lt;&gt;"",'Inputs Whole-Project Water Use'!L114,"")</f>
        <v/>
      </c>
      <c r="M114" s="390" t="str">
        <f t="shared" si="17"/>
        <v/>
      </c>
      <c r="N114" s="391"/>
      <c r="O114" s="225" t="str">
        <f t="shared" si="11"/>
        <v/>
      </c>
      <c r="P114" s="225" t="str">
        <f t="shared" si="12"/>
        <v/>
      </c>
      <c r="Q114" s="289" t="str">
        <f>IF(AND(D114&lt;&gt;"",'Inputs Whole-Project Water Use'!Q114=""),0,IF('Inputs Whole-Project Water Use'!Q114&lt;&gt;"",'Inputs Whole-Project Water Use'!Q114,""))</f>
        <v/>
      </c>
      <c r="R114" s="225" t="str">
        <f t="shared" si="13"/>
        <v/>
      </c>
      <c r="S114" s="225" t="str">
        <f t="shared" si="14"/>
        <v/>
      </c>
      <c r="T114" s="231" t="str">
        <f t="shared" si="15"/>
        <v/>
      </c>
      <c r="U114" s="241"/>
      <c r="V114" s="241"/>
      <c r="W114" s="241"/>
      <c r="X114" s="241"/>
      <c r="Y114" s="241"/>
      <c r="Z114" s="241"/>
      <c r="AA114" s="241"/>
      <c r="AB114" s="241"/>
      <c r="AC114" s="241"/>
      <c r="AD114" s="241"/>
      <c r="AE114" s="241"/>
      <c r="AF114" s="241"/>
      <c r="AG114" s="241"/>
      <c r="AH114" s="241"/>
      <c r="AI114" s="241"/>
      <c r="AJ114" s="241"/>
      <c r="AK114" s="241"/>
      <c r="AL114" s="241"/>
      <c r="AM114" s="241"/>
      <c r="AN114" s="241"/>
      <c r="AO114" s="241"/>
      <c r="AP114" s="241"/>
      <c r="AQ114" s="241"/>
      <c r="AR114" s="241"/>
      <c r="AS114" s="241"/>
      <c r="AT114" s="241"/>
      <c r="AU114" s="241"/>
      <c r="AV114" s="241"/>
      <c r="AW114" s="241"/>
      <c r="AX114" s="241"/>
      <c r="AY114" s="241"/>
      <c r="AZ114" s="241"/>
    </row>
    <row r="115" spans="1:52" s="71" customFormat="1" ht="18" hidden="1" customHeight="1" outlineLevel="2">
      <c r="A115" s="175">
        <v>87</v>
      </c>
      <c r="B115" s="312" t="str">
        <f>(IF('Inputs Whole-Project Water Use'!B115&lt;&gt;"",'Inputs Whole-Project Water Use'!B115,""))</f>
        <v/>
      </c>
      <c r="C115" s="313" t="str">
        <f>IF(AND(D115&lt;&gt;"",'Inputs Whole-Project Water Use'!C115=""),1,IF('Inputs Whole-Project Water Use'!C115&lt;&gt;"",'Inputs Whole-Project Water Use'!C115,""))</f>
        <v/>
      </c>
      <c r="D115" s="397" t="str">
        <f>IF('Inputs Whole-Project Water Use'!D115&lt;&gt;"",'Inputs Whole-Project Water Use'!D115,"")</f>
        <v/>
      </c>
      <c r="E115" s="398"/>
      <c r="F115" s="314" t="str">
        <f>IF('Inputs Whole-Project Water Use'!F115&lt;&gt;"",'Inputs Whole-Project Water Use'!F115,"")</f>
        <v/>
      </c>
      <c r="G115" s="314" t="str">
        <f>IF('Inputs Whole-Project Water Use'!G115&lt;&gt;"",'Inputs Whole-Project Water Use'!G115,"")</f>
        <v/>
      </c>
      <c r="H115" s="315" t="str">
        <f>IF('Inputs Whole-Project Water Use'!H115&lt;&gt;"",'Inputs Whole-Project Water Use'!H115,"")</f>
        <v/>
      </c>
      <c r="I115" s="390" t="str">
        <f t="shared" si="16"/>
        <v/>
      </c>
      <c r="J115" s="391"/>
      <c r="K115" s="316" t="str">
        <f>IF('Inputs Whole-Project Water Use'!K115&lt;&gt;"",'Inputs Whole-Project Water Use'!K115,"")</f>
        <v/>
      </c>
      <c r="L115" s="316" t="str">
        <f>IF('Inputs Whole-Project Water Use'!L115&lt;&gt;"",'Inputs Whole-Project Water Use'!L115,"")</f>
        <v/>
      </c>
      <c r="M115" s="390" t="str">
        <f t="shared" si="17"/>
        <v/>
      </c>
      <c r="N115" s="391"/>
      <c r="O115" s="225" t="str">
        <f t="shared" si="11"/>
        <v/>
      </c>
      <c r="P115" s="225" t="str">
        <f t="shared" si="12"/>
        <v/>
      </c>
      <c r="Q115" s="289" t="str">
        <f>IF(AND(D115&lt;&gt;"",'Inputs Whole-Project Water Use'!Q115=""),0,IF('Inputs Whole-Project Water Use'!Q115&lt;&gt;"",'Inputs Whole-Project Water Use'!Q115,""))</f>
        <v/>
      </c>
      <c r="R115" s="225" t="str">
        <f t="shared" si="13"/>
        <v/>
      </c>
      <c r="S115" s="225" t="str">
        <f t="shared" si="14"/>
        <v/>
      </c>
      <c r="T115" s="231" t="str">
        <f t="shared" si="15"/>
        <v/>
      </c>
      <c r="U115" s="241"/>
      <c r="V115" s="241"/>
      <c r="W115" s="241"/>
      <c r="X115" s="241"/>
      <c r="Y115" s="241"/>
      <c r="Z115" s="241"/>
      <c r="AA115" s="241"/>
      <c r="AB115" s="241"/>
      <c r="AC115" s="241"/>
      <c r="AD115" s="241"/>
      <c r="AE115" s="241"/>
      <c r="AF115" s="241"/>
      <c r="AG115" s="241"/>
      <c r="AH115" s="241"/>
      <c r="AI115" s="241"/>
      <c r="AJ115" s="241"/>
      <c r="AK115" s="241"/>
      <c r="AL115" s="241"/>
      <c r="AM115" s="241"/>
      <c r="AN115" s="241"/>
      <c r="AO115" s="241"/>
      <c r="AP115" s="241"/>
      <c r="AQ115" s="241"/>
      <c r="AR115" s="241"/>
      <c r="AS115" s="241"/>
      <c r="AT115" s="241"/>
      <c r="AU115" s="241"/>
      <c r="AV115" s="241"/>
      <c r="AW115" s="241"/>
      <c r="AX115" s="241"/>
      <c r="AY115" s="241"/>
      <c r="AZ115" s="241"/>
    </row>
    <row r="116" spans="1:52" s="71" customFormat="1" ht="18" hidden="1" customHeight="1" outlineLevel="2">
      <c r="A116" s="175">
        <v>88</v>
      </c>
      <c r="B116" s="312" t="str">
        <f>(IF('Inputs Whole-Project Water Use'!B116&lt;&gt;"",'Inputs Whole-Project Water Use'!B116,""))</f>
        <v/>
      </c>
      <c r="C116" s="313" t="str">
        <f>IF(AND(D116&lt;&gt;"",'Inputs Whole-Project Water Use'!C116=""),1,IF('Inputs Whole-Project Water Use'!C116&lt;&gt;"",'Inputs Whole-Project Water Use'!C116,""))</f>
        <v/>
      </c>
      <c r="D116" s="397" t="str">
        <f>IF('Inputs Whole-Project Water Use'!D116&lt;&gt;"",'Inputs Whole-Project Water Use'!D116,"")</f>
        <v/>
      </c>
      <c r="E116" s="398"/>
      <c r="F116" s="314" t="str">
        <f>IF('Inputs Whole-Project Water Use'!F116&lt;&gt;"",'Inputs Whole-Project Water Use'!F116,"")</f>
        <v/>
      </c>
      <c r="G116" s="314" t="str">
        <f>IF('Inputs Whole-Project Water Use'!G116&lt;&gt;"",'Inputs Whole-Project Water Use'!G116,"")</f>
        <v/>
      </c>
      <c r="H116" s="315" t="str">
        <f>IF('Inputs Whole-Project Water Use'!H116&lt;&gt;"",'Inputs Whole-Project Water Use'!H116,"")</f>
        <v/>
      </c>
      <c r="I116" s="390" t="str">
        <f t="shared" si="16"/>
        <v/>
      </c>
      <c r="J116" s="391"/>
      <c r="K116" s="316" t="str">
        <f>IF('Inputs Whole-Project Water Use'!K116&lt;&gt;"",'Inputs Whole-Project Water Use'!K116,"")</f>
        <v/>
      </c>
      <c r="L116" s="316" t="str">
        <f>IF('Inputs Whole-Project Water Use'!L116&lt;&gt;"",'Inputs Whole-Project Water Use'!L116,"")</f>
        <v/>
      </c>
      <c r="M116" s="390" t="str">
        <f t="shared" si="17"/>
        <v/>
      </c>
      <c r="N116" s="391"/>
      <c r="O116" s="225" t="str">
        <f t="shared" si="11"/>
        <v/>
      </c>
      <c r="P116" s="225" t="str">
        <f t="shared" si="12"/>
        <v/>
      </c>
      <c r="Q116" s="289" t="str">
        <f>IF(AND(D116&lt;&gt;"",'Inputs Whole-Project Water Use'!Q116=""),0,IF('Inputs Whole-Project Water Use'!Q116&lt;&gt;"",'Inputs Whole-Project Water Use'!Q116,""))</f>
        <v/>
      </c>
      <c r="R116" s="225" t="str">
        <f t="shared" si="13"/>
        <v/>
      </c>
      <c r="S116" s="225" t="str">
        <f t="shared" si="14"/>
        <v/>
      </c>
      <c r="T116" s="231" t="str">
        <f t="shared" si="15"/>
        <v/>
      </c>
      <c r="U116" s="241"/>
      <c r="V116" s="241"/>
      <c r="W116" s="241"/>
      <c r="X116" s="241"/>
      <c r="Y116" s="241"/>
      <c r="Z116" s="241"/>
      <c r="AA116" s="241"/>
      <c r="AB116" s="241"/>
      <c r="AC116" s="241"/>
      <c r="AD116" s="241"/>
      <c r="AE116" s="241"/>
      <c r="AF116" s="241"/>
      <c r="AG116" s="241"/>
      <c r="AH116" s="241"/>
      <c r="AI116" s="241"/>
      <c r="AJ116" s="241"/>
      <c r="AK116" s="241"/>
      <c r="AL116" s="241"/>
      <c r="AM116" s="241"/>
      <c r="AN116" s="241"/>
      <c r="AO116" s="241"/>
      <c r="AP116" s="241"/>
      <c r="AQ116" s="241"/>
      <c r="AR116" s="241"/>
      <c r="AS116" s="241"/>
      <c r="AT116" s="241"/>
      <c r="AU116" s="241"/>
      <c r="AV116" s="241"/>
      <c r="AW116" s="241"/>
      <c r="AX116" s="241"/>
      <c r="AY116" s="241"/>
      <c r="AZ116" s="241"/>
    </row>
    <row r="117" spans="1:52" s="71" customFormat="1" ht="18" hidden="1" customHeight="1" outlineLevel="2">
      <c r="A117" s="175">
        <v>89</v>
      </c>
      <c r="B117" s="312" t="str">
        <f>(IF('Inputs Whole-Project Water Use'!B117&lt;&gt;"",'Inputs Whole-Project Water Use'!B117,""))</f>
        <v/>
      </c>
      <c r="C117" s="313" t="str">
        <f>IF(AND(D117&lt;&gt;"",'Inputs Whole-Project Water Use'!C117=""),1,IF('Inputs Whole-Project Water Use'!C117&lt;&gt;"",'Inputs Whole-Project Water Use'!C117,""))</f>
        <v/>
      </c>
      <c r="D117" s="397" t="str">
        <f>IF('Inputs Whole-Project Water Use'!D117&lt;&gt;"",'Inputs Whole-Project Water Use'!D117,"")</f>
        <v/>
      </c>
      <c r="E117" s="398"/>
      <c r="F117" s="314" t="str">
        <f>IF('Inputs Whole-Project Water Use'!F117&lt;&gt;"",'Inputs Whole-Project Water Use'!F117,"")</f>
        <v/>
      </c>
      <c r="G117" s="314" t="str">
        <f>IF('Inputs Whole-Project Water Use'!G117&lt;&gt;"",'Inputs Whole-Project Water Use'!G117,"")</f>
        <v/>
      </c>
      <c r="H117" s="315" t="str">
        <f>IF('Inputs Whole-Project Water Use'!H117&lt;&gt;"",'Inputs Whole-Project Water Use'!H117,"")</f>
        <v/>
      </c>
      <c r="I117" s="390" t="str">
        <f t="shared" si="16"/>
        <v/>
      </c>
      <c r="J117" s="391"/>
      <c r="K117" s="316" t="str">
        <f>IF('Inputs Whole-Project Water Use'!K117&lt;&gt;"",'Inputs Whole-Project Water Use'!K117,"")</f>
        <v/>
      </c>
      <c r="L117" s="316" t="str">
        <f>IF('Inputs Whole-Project Water Use'!L117&lt;&gt;"",'Inputs Whole-Project Water Use'!L117,"")</f>
        <v/>
      </c>
      <c r="M117" s="390" t="str">
        <f t="shared" si="17"/>
        <v/>
      </c>
      <c r="N117" s="391"/>
      <c r="O117" s="225" t="str">
        <f t="shared" si="11"/>
        <v/>
      </c>
      <c r="P117" s="225" t="str">
        <f t="shared" si="12"/>
        <v/>
      </c>
      <c r="Q117" s="289" t="str">
        <f>IF(AND(D117&lt;&gt;"",'Inputs Whole-Project Water Use'!Q117=""),0,IF('Inputs Whole-Project Water Use'!Q117&lt;&gt;"",'Inputs Whole-Project Water Use'!Q117,""))</f>
        <v/>
      </c>
      <c r="R117" s="225" t="str">
        <f t="shared" si="13"/>
        <v/>
      </c>
      <c r="S117" s="225" t="str">
        <f t="shared" si="14"/>
        <v/>
      </c>
      <c r="T117" s="231" t="str">
        <f t="shared" si="15"/>
        <v/>
      </c>
      <c r="U117" s="241"/>
      <c r="V117" s="241"/>
      <c r="W117" s="241"/>
      <c r="X117" s="241"/>
      <c r="Y117" s="241"/>
      <c r="Z117" s="241"/>
      <c r="AA117" s="241"/>
      <c r="AB117" s="241"/>
      <c r="AC117" s="241"/>
      <c r="AD117" s="241"/>
      <c r="AE117" s="241"/>
      <c r="AF117" s="241"/>
      <c r="AG117" s="241"/>
      <c r="AH117" s="241"/>
      <c r="AI117" s="241"/>
      <c r="AJ117" s="241"/>
      <c r="AK117" s="241"/>
      <c r="AL117" s="241"/>
      <c r="AM117" s="241"/>
      <c r="AN117" s="241"/>
      <c r="AO117" s="241"/>
      <c r="AP117" s="241"/>
      <c r="AQ117" s="241"/>
      <c r="AR117" s="241"/>
      <c r="AS117" s="241"/>
      <c r="AT117" s="241"/>
      <c r="AU117" s="241"/>
      <c r="AV117" s="241"/>
      <c r="AW117" s="241"/>
      <c r="AX117" s="241"/>
      <c r="AY117" s="241"/>
      <c r="AZ117" s="241"/>
    </row>
    <row r="118" spans="1:52" s="71" customFormat="1" ht="18" hidden="1" customHeight="1" outlineLevel="2">
      <c r="A118" s="175">
        <v>90</v>
      </c>
      <c r="B118" s="312" t="str">
        <f>(IF('Inputs Whole-Project Water Use'!B118&lt;&gt;"",'Inputs Whole-Project Water Use'!B118,""))</f>
        <v/>
      </c>
      <c r="C118" s="313" t="str">
        <f>IF(AND(D118&lt;&gt;"",'Inputs Whole-Project Water Use'!C118=""),1,IF('Inputs Whole-Project Water Use'!C118&lt;&gt;"",'Inputs Whole-Project Water Use'!C118,""))</f>
        <v/>
      </c>
      <c r="D118" s="397" t="str">
        <f>IF('Inputs Whole-Project Water Use'!D118&lt;&gt;"",'Inputs Whole-Project Water Use'!D118,"")</f>
        <v/>
      </c>
      <c r="E118" s="398"/>
      <c r="F118" s="314" t="str">
        <f>IF('Inputs Whole-Project Water Use'!F118&lt;&gt;"",'Inputs Whole-Project Water Use'!F118,"")</f>
        <v/>
      </c>
      <c r="G118" s="314" t="str">
        <f>IF('Inputs Whole-Project Water Use'!G118&lt;&gt;"",'Inputs Whole-Project Water Use'!G118,"")</f>
        <v/>
      </c>
      <c r="H118" s="315" t="str">
        <f>IF('Inputs Whole-Project Water Use'!H118&lt;&gt;"",'Inputs Whole-Project Water Use'!H118,"")</f>
        <v/>
      </c>
      <c r="I118" s="390" t="str">
        <f t="shared" si="16"/>
        <v/>
      </c>
      <c r="J118" s="391"/>
      <c r="K118" s="316" t="str">
        <f>IF('Inputs Whole-Project Water Use'!K118&lt;&gt;"",'Inputs Whole-Project Water Use'!K118,"")</f>
        <v/>
      </c>
      <c r="L118" s="316" t="str">
        <f>IF('Inputs Whole-Project Water Use'!L118&lt;&gt;"",'Inputs Whole-Project Water Use'!L118,"")</f>
        <v/>
      </c>
      <c r="M118" s="390" t="str">
        <f t="shared" si="17"/>
        <v/>
      </c>
      <c r="N118" s="391"/>
      <c r="O118" s="225" t="str">
        <f t="shared" si="11"/>
        <v/>
      </c>
      <c r="P118" s="225" t="str">
        <f t="shared" si="12"/>
        <v/>
      </c>
      <c r="Q118" s="289" t="str">
        <f>IF(AND(D118&lt;&gt;"",'Inputs Whole-Project Water Use'!Q118=""),0,IF('Inputs Whole-Project Water Use'!Q118&lt;&gt;"",'Inputs Whole-Project Water Use'!Q118,""))</f>
        <v/>
      </c>
      <c r="R118" s="225" t="str">
        <f t="shared" si="13"/>
        <v/>
      </c>
      <c r="S118" s="225" t="str">
        <f t="shared" si="14"/>
        <v/>
      </c>
      <c r="T118" s="231" t="str">
        <f t="shared" si="15"/>
        <v/>
      </c>
      <c r="U118" s="241"/>
      <c r="V118" s="241"/>
      <c r="W118" s="241"/>
      <c r="X118" s="241"/>
      <c r="Y118" s="241"/>
      <c r="Z118" s="241"/>
      <c r="AA118" s="241"/>
      <c r="AB118" s="241"/>
      <c r="AC118" s="241"/>
      <c r="AD118" s="241"/>
      <c r="AE118" s="241"/>
      <c r="AF118" s="241"/>
      <c r="AG118" s="241"/>
      <c r="AH118" s="241"/>
      <c r="AI118" s="241"/>
      <c r="AJ118" s="241"/>
      <c r="AK118" s="241"/>
      <c r="AL118" s="241"/>
      <c r="AM118" s="241"/>
      <c r="AN118" s="241"/>
      <c r="AO118" s="241"/>
      <c r="AP118" s="241"/>
      <c r="AQ118" s="241"/>
      <c r="AR118" s="241"/>
      <c r="AS118" s="241"/>
      <c r="AT118" s="241"/>
      <c r="AU118" s="241"/>
      <c r="AV118" s="241"/>
      <c r="AW118" s="241"/>
      <c r="AX118" s="241"/>
      <c r="AY118" s="241"/>
      <c r="AZ118" s="241"/>
    </row>
    <row r="119" spans="1:52" s="71" customFormat="1" ht="18" hidden="1" customHeight="1" outlineLevel="1" collapsed="1">
      <c r="A119" s="175">
        <v>91</v>
      </c>
      <c r="B119" s="312" t="str">
        <f>(IF('Inputs Whole-Project Water Use'!B119&lt;&gt;"",'Inputs Whole-Project Water Use'!B119,""))</f>
        <v/>
      </c>
      <c r="C119" s="313" t="str">
        <f>IF(AND(D119&lt;&gt;"",'Inputs Whole-Project Water Use'!C119=""),1,IF('Inputs Whole-Project Water Use'!C119&lt;&gt;"",'Inputs Whole-Project Water Use'!C119,""))</f>
        <v/>
      </c>
      <c r="D119" s="397" t="str">
        <f>IF('Inputs Whole-Project Water Use'!D119&lt;&gt;"",'Inputs Whole-Project Water Use'!D119,"")</f>
        <v/>
      </c>
      <c r="E119" s="398"/>
      <c r="F119" s="314" t="str">
        <f>IF('Inputs Whole-Project Water Use'!F119&lt;&gt;"",'Inputs Whole-Project Water Use'!F119,"")</f>
        <v/>
      </c>
      <c r="G119" s="314" t="str">
        <f>IF('Inputs Whole-Project Water Use'!G119&lt;&gt;"",'Inputs Whole-Project Water Use'!G119,"")</f>
        <v/>
      </c>
      <c r="H119" s="315" t="str">
        <f>IF('Inputs Whole-Project Water Use'!H119&lt;&gt;"",'Inputs Whole-Project Water Use'!H119,"")</f>
        <v/>
      </c>
      <c r="I119" s="390" t="str">
        <f t="shared" ref="I119:I138" si="18">IFERROR(IF(logic_units&lt;&gt;"SI Units",INDEX(data_dumip,MATCH($D119,data_waterusetypes,0)),INDEX(data_dumsi,MATCH($D119,data_waterusetypes,0))),"")</f>
        <v/>
      </c>
      <c r="J119" s="391"/>
      <c r="K119" s="316" t="str">
        <f>IF('Inputs Whole-Project Water Use'!K119&lt;&gt;"",'Inputs Whole-Project Water Use'!K119,"")</f>
        <v/>
      </c>
      <c r="L119" s="316" t="str">
        <f>IF('Inputs Whole-Project Water Use'!L119&lt;&gt;"",'Inputs Whole-Project Water Use'!L119,"")</f>
        <v/>
      </c>
      <c r="M119" s="390" t="str">
        <f t="shared" ref="M119:M138" si="19">IFERROR(IF(logic_units&lt;&gt;"SI Units",INDEX(data_wurip,MATCH($D119,data_waterusetypes,0)),INDEX(data_wursi,MATCH($D119,data_waterusetypes,0))),"")</f>
        <v/>
      </c>
      <c r="N119" s="391"/>
      <c r="O119" s="225" t="str">
        <f t="shared" si="11"/>
        <v/>
      </c>
      <c r="P119" s="225" t="str">
        <f t="shared" si="12"/>
        <v/>
      </c>
      <c r="Q119" s="289" t="str">
        <f>IF(AND(D119&lt;&gt;"",'Inputs Whole-Project Water Use'!Q119=""),0,IF('Inputs Whole-Project Water Use'!Q119&lt;&gt;"",'Inputs Whole-Project Water Use'!Q119,""))</f>
        <v/>
      </c>
      <c r="R119" s="225" t="str">
        <f t="shared" si="13"/>
        <v/>
      </c>
      <c r="S119" s="225" t="str">
        <f t="shared" si="14"/>
        <v/>
      </c>
      <c r="T119" s="231" t="str">
        <f t="shared" si="15"/>
        <v/>
      </c>
      <c r="U119" s="176" t="s">
        <v>165</v>
      </c>
      <c r="V119" s="241"/>
      <c r="W119" s="241"/>
      <c r="X119" s="241"/>
      <c r="Y119" s="241"/>
      <c r="Z119" s="241"/>
      <c r="AA119" s="241"/>
      <c r="AB119" s="241"/>
      <c r="AC119" s="241"/>
      <c r="AD119" s="241"/>
      <c r="AE119" s="241"/>
      <c r="AF119" s="241"/>
      <c r="AG119" s="241"/>
      <c r="AH119" s="241"/>
      <c r="AI119" s="241"/>
      <c r="AJ119" s="241"/>
      <c r="AK119" s="241"/>
      <c r="AL119" s="241"/>
      <c r="AM119" s="241"/>
      <c r="AN119" s="241"/>
      <c r="AO119" s="241"/>
      <c r="AP119" s="241"/>
      <c r="AQ119" s="241"/>
      <c r="AR119" s="241"/>
      <c r="AS119" s="241"/>
      <c r="AT119" s="241"/>
      <c r="AU119" s="241"/>
      <c r="AV119" s="241"/>
      <c r="AW119" s="241"/>
      <c r="AX119" s="241"/>
      <c r="AY119" s="241"/>
      <c r="AZ119" s="241"/>
    </row>
    <row r="120" spans="1:52" s="71" customFormat="1" ht="18" hidden="1" customHeight="1" outlineLevel="2">
      <c r="A120" s="175">
        <v>92</v>
      </c>
      <c r="B120" s="312" t="str">
        <f>(IF('Inputs Whole-Project Water Use'!B120&lt;&gt;"",'Inputs Whole-Project Water Use'!B120,""))</f>
        <v/>
      </c>
      <c r="C120" s="313" t="str">
        <f>IF(AND(D120&lt;&gt;"",'Inputs Whole-Project Water Use'!C120=""),1,IF('Inputs Whole-Project Water Use'!C120&lt;&gt;"",'Inputs Whole-Project Water Use'!C120,""))</f>
        <v/>
      </c>
      <c r="D120" s="397" t="str">
        <f>IF('Inputs Whole-Project Water Use'!D120&lt;&gt;"",'Inputs Whole-Project Water Use'!D120,"")</f>
        <v/>
      </c>
      <c r="E120" s="398"/>
      <c r="F120" s="314" t="str">
        <f>IF('Inputs Whole-Project Water Use'!F120&lt;&gt;"",'Inputs Whole-Project Water Use'!F120,"")</f>
        <v/>
      </c>
      <c r="G120" s="314" t="str">
        <f>IF('Inputs Whole-Project Water Use'!G120&lt;&gt;"",'Inputs Whole-Project Water Use'!G120,"")</f>
        <v/>
      </c>
      <c r="H120" s="315" t="str">
        <f>IF('Inputs Whole-Project Water Use'!H120&lt;&gt;"",'Inputs Whole-Project Water Use'!H120,"")</f>
        <v/>
      </c>
      <c r="I120" s="390" t="str">
        <f t="shared" si="18"/>
        <v/>
      </c>
      <c r="J120" s="391"/>
      <c r="K120" s="316" t="str">
        <f>IF('Inputs Whole-Project Water Use'!K120&lt;&gt;"",'Inputs Whole-Project Water Use'!K120,"")</f>
        <v/>
      </c>
      <c r="L120" s="316" t="str">
        <f>IF('Inputs Whole-Project Water Use'!L120&lt;&gt;"",'Inputs Whole-Project Water Use'!L120,"")</f>
        <v/>
      </c>
      <c r="M120" s="390" t="str">
        <f t="shared" si="19"/>
        <v/>
      </c>
      <c r="N120" s="391"/>
      <c r="O120" s="225" t="str">
        <f t="shared" si="11"/>
        <v/>
      </c>
      <c r="P120" s="225" t="str">
        <f t="shared" si="12"/>
        <v/>
      </c>
      <c r="Q120" s="289" t="str">
        <f>IF(AND(D120&lt;&gt;"",'Inputs Whole-Project Water Use'!Q120=""),0,IF('Inputs Whole-Project Water Use'!Q120&lt;&gt;"",'Inputs Whole-Project Water Use'!Q120,""))</f>
        <v/>
      </c>
      <c r="R120" s="225" t="str">
        <f t="shared" si="13"/>
        <v/>
      </c>
      <c r="S120" s="225" t="str">
        <f t="shared" si="14"/>
        <v/>
      </c>
      <c r="T120" s="231" t="str">
        <f t="shared" si="15"/>
        <v/>
      </c>
      <c r="U120" s="241"/>
      <c r="V120" s="241"/>
      <c r="W120" s="241"/>
      <c r="X120" s="241"/>
      <c r="Y120" s="241"/>
      <c r="Z120" s="241"/>
      <c r="AA120" s="241"/>
      <c r="AB120" s="241"/>
      <c r="AC120" s="241"/>
      <c r="AD120" s="241"/>
      <c r="AE120" s="241"/>
      <c r="AF120" s="241"/>
      <c r="AG120" s="241"/>
      <c r="AH120" s="241"/>
      <c r="AI120" s="241"/>
      <c r="AJ120" s="241"/>
      <c r="AK120" s="241"/>
      <c r="AL120" s="241"/>
      <c r="AM120" s="241"/>
      <c r="AN120" s="241"/>
      <c r="AO120" s="241"/>
      <c r="AP120" s="241"/>
      <c r="AQ120" s="241"/>
      <c r="AR120" s="241"/>
      <c r="AS120" s="241"/>
      <c r="AT120" s="241"/>
      <c r="AU120" s="241"/>
      <c r="AV120" s="241"/>
      <c r="AW120" s="241"/>
      <c r="AX120" s="241"/>
      <c r="AY120" s="241"/>
      <c r="AZ120" s="241"/>
    </row>
    <row r="121" spans="1:52" s="71" customFormat="1" ht="18" hidden="1" customHeight="1" outlineLevel="2">
      <c r="A121" s="175">
        <v>93</v>
      </c>
      <c r="B121" s="312" t="str">
        <f>(IF('Inputs Whole-Project Water Use'!B121&lt;&gt;"",'Inputs Whole-Project Water Use'!B121,""))</f>
        <v/>
      </c>
      <c r="C121" s="313" t="str">
        <f>IF(AND(D121&lt;&gt;"",'Inputs Whole-Project Water Use'!C121=""),1,IF('Inputs Whole-Project Water Use'!C121&lt;&gt;"",'Inputs Whole-Project Water Use'!C121,""))</f>
        <v/>
      </c>
      <c r="D121" s="397" t="str">
        <f>IF('Inputs Whole-Project Water Use'!D121&lt;&gt;"",'Inputs Whole-Project Water Use'!D121,"")</f>
        <v/>
      </c>
      <c r="E121" s="398"/>
      <c r="F121" s="314" t="str">
        <f>IF('Inputs Whole-Project Water Use'!F121&lt;&gt;"",'Inputs Whole-Project Water Use'!F121,"")</f>
        <v/>
      </c>
      <c r="G121" s="314" t="str">
        <f>IF('Inputs Whole-Project Water Use'!G121&lt;&gt;"",'Inputs Whole-Project Water Use'!G121,"")</f>
        <v/>
      </c>
      <c r="H121" s="315" t="str">
        <f>IF('Inputs Whole-Project Water Use'!H121&lt;&gt;"",'Inputs Whole-Project Water Use'!H121,"")</f>
        <v/>
      </c>
      <c r="I121" s="390" t="str">
        <f t="shared" si="18"/>
        <v/>
      </c>
      <c r="J121" s="391"/>
      <c r="K121" s="316" t="str">
        <f>IF('Inputs Whole-Project Water Use'!K121&lt;&gt;"",'Inputs Whole-Project Water Use'!K121,"")</f>
        <v/>
      </c>
      <c r="L121" s="316" t="str">
        <f>IF('Inputs Whole-Project Water Use'!L121&lt;&gt;"",'Inputs Whole-Project Water Use'!L121,"")</f>
        <v/>
      </c>
      <c r="M121" s="390" t="str">
        <f t="shared" si="19"/>
        <v/>
      </c>
      <c r="N121" s="391"/>
      <c r="O121" s="225" t="str">
        <f t="shared" si="11"/>
        <v/>
      </c>
      <c r="P121" s="225" t="str">
        <f t="shared" si="12"/>
        <v/>
      </c>
      <c r="Q121" s="289" t="str">
        <f>IF(AND(D121&lt;&gt;"",'Inputs Whole-Project Water Use'!Q121=""),0,IF('Inputs Whole-Project Water Use'!Q121&lt;&gt;"",'Inputs Whole-Project Water Use'!Q121,""))</f>
        <v/>
      </c>
      <c r="R121" s="225" t="str">
        <f t="shared" si="13"/>
        <v/>
      </c>
      <c r="S121" s="225" t="str">
        <f t="shared" si="14"/>
        <v/>
      </c>
      <c r="T121" s="231" t="str">
        <f t="shared" si="15"/>
        <v/>
      </c>
      <c r="U121" s="241"/>
      <c r="V121" s="241"/>
      <c r="W121" s="241"/>
      <c r="X121" s="241"/>
      <c r="Y121" s="241"/>
      <c r="Z121" s="241"/>
      <c r="AA121" s="241"/>
      <c r="AB121" s="241"/>
      <c r="AC121" s="241"/>
      <c r="AD121" s="241"/>
      <c r="AE121" s="241"/>
      <c r="AF121" s="241"/>
      <c r="AG121" s="241"/>
      <c r="AH121" s="241"/>
      <c r="AI121" s="241"/>
      <c r="AJ121" s="241"/>
      <c r="AK121" s="241"/>
      <c r="AL121" s="241"/>
      <c r="AM121" s="241"/>
      <c r="AN121" s="241"/>
      <c r="AO121" s="241"/>
      <c r="AP121" s="241"/>
      <c r="AQ121" s="241"/>
      <c r="AR121" s="241"/>
      <c r="AS121" s="241"/>
      <c r="AT121" s="241"/>
      <c r="AU121" s="241"/>
      <c r="AV121" s="241"/>
      <c r="AW121" s="241"/>
      <c r="AX121" s="241"/>
      <c r="AY121" s="241"/>
      <c r="AZ121" s="241"/>
    </row>
    <row r="122" spans="1:52" s="71" customFormat="1" ht="18" hidden="1" customHeight="1" outlineLevel="2">
      <c r="A122" s="175">
        <v>94</v>
      </c>
      <c r="B122" s="312" t="str">
        <f>(IF('Inputs Whole-Project Water Use'!B122&lt;&gt;"",'Inputs Whole-Project Water Use'!B122,""))</f>
        <v/>
      </c>
      <c r="C122" s="313" t="str">
        <f>IF(AND(D122&lt;&gt;"",'Inputs Whole-Project Water Use'!C122=""),1,IF('Inputs Whole-Project Water Use'!C122&lt;&gt;"",'Inputs Whole-Project Water Use'!C122,""))</f>
        <v/>
      </c>
      <c r="D122" s="397" t="str">
        <f>IF('Inputs Whole-Project Water Use'!D122&lt;&gt;"",'Inputs Whole-Project Water Use'!D122,"")</f>
        <v/>
      </c>
      <c r="E122" s="398"/>
      <c r="F122" s="314" t="str">
        <f>IF('Inputs Whole-Project Water Use'!F122&lt;&gt;"",'Inputs Whole-Project Water Use'!F122,"")</f>
        <v/>
      </c>
      <c r="G122" s="314" t="str">
        <f>IF('Inputs Whole-Project Water Use'!G122&lt;&gt;"",'Inputs Whole-Project Water Use'!G122,"")</f>
        <v/>
      </c>
      <c r="H122" s="315" t="str">
        <f>IF('Inputs Whole-Project Water Use'!H122&lt;&gt;"",'Inputs Whole-Project Water Use'!H122,"")</f>
        <v/>
      </c>
      <c r="I122" s="390" t="str">
        <f t="shared" si="18"/>
        <v/>
      </c>
      <c r="J122" s="391"/>
      <c r="K122" s="316" t="str">
        <f>IF('Inputs Whole-Project Water Use'!K122&lt;&gt;"",'Inputs Whole-Project Water Use'!K122,"")</f>
        <v/>
      </c>
      <c r="L122" s="316" t="str">
        <f>IF('Inputs Whole-Project Water Use'!L122&lt;&gt;"",'Inputs Whole-Project Water Use'!L122,"")</f>
        <v/>
      </c>
      <c r="M122" s="390" t="str">
        <f t="shared" si="19"/>
        <v/>
      </c>
      <c r="N122" s="391"/>
      <c r="O122" s="225" t="str">
        <f t="shared" si="11"/>
        <v/>
      </c>
      <c r="P122" s="225" t="str">
        <f t="shared" si="12"/>
        <v/>
      </c>
      <c r="Q122" s="289" t="str">
        <f>IF(AND(D122&lt;&gt;"",'Inputs Whole-Project Water Use'!Q122=""),0,IF('Inputs Whole-Project Water Use'!Q122&lt;&gt;"",'Inputs Whole-Project Water Use'!Q122,""))</f>
        <v/>
      </c>
      <c r="R122" s="225" t="str">
        <f t="shared" si="13"/>
        <v/>
      </c>
      <c r="S122" s="225" t="str">
        <f t="shared" si="14"/>
        <v/>
      </c>
      <c r="T122" s="231" t="str">
        <f t="shared" si="15"/>
        <v/>
      </c>
      <c r="U122" s="241"/>
      <c r="V122" s="241"/>
      <c r="W122" s="241"/>
      <c r="X122" s="241"/>
      <c r="Y122" s="241"/>
      <c r="Z122" s="241"/>
      <c r="AA122" s="241"/>
      <c r="AB122" s="241"/>
      <c r="AC122" s="241"/>
      <c r="AD122" s="241"/>
      <c r="AE122" s="241"/>
      <c r="AF122" s="241"/>
      <c r="AG122" s="241"/>
      <c r="AH122" s="241"/>
      <c r="AI122" s="241"/>
      <c r="AJ122" s="241"/>
      <c r="AK122" s="241"/>
      <c r="AL122" s="241"/>
      <c r="AM122" s="241"/>
      <c r="AN122" s="241"/>
      <c r="AO122" s="241"/>
      <c r="AP122" s="241"/>
      <c r="AQ122" s="241"/>
      <c r="AR122" s="241"/>
      <c r="AS122" s="241"/>
      <c r="AT122" s="241"/>
      <c r="AU122" s="241"/>
      <c r="AV122" s="241"/>
      <c r="AW122" s="241"/>
      <c r="AX122" s="241"/>
      <c r="AY122" s="241"/>
      <c r="AZ122" s="241"/>
    </row>
    <row r="123" spans="1:52" s="71" customFormat="1" ht="18" hidden="1" customHeight="1" outlineLevel="2">
      <c r="A123" s="175">
        <v>95</v>
      </c>
      <c r="B123" s="312" t="str">
        <f>(IF('Inputs Whole-Project Water Use'!B123&lt;&gt;"",'Inputs Whole-Project Water Use'!B123,""))</f>
        <v/>
      </c>
      <c r="C123" s="313" t="str">
        <f>IF(AND(D123&lt;&gt;"",'Inputs Whole-Project Water Use'!C123=""),1,IF('Inputs Whole-Project Water Use'!C123&lt;&gt;"",'Inputs Whole-Project Water Use'!C123,""))</f>
        <v/>
      </c>
      <c r="D123" s="397" t="str">
        <f>IF('Inputs Whole-Project Water Use'!D123&lt;&gt;"",'Inputs Whole-Project Water Use'!D123,"")</f>
        <v/>
      </c>
      <c r="E123" s="398"/>
      <c r="F123" s="314" t="str">
        <f>IF('Inputs Whole-Project Water Use'!F123&lt;&gt;"",'Inputs Whole-Project Water Use'!F123,"")</f>
        <v/>
      </c>
      <c r="G123" s="314" t="str">
        <f>IF('Inputs Whole-Project Water Use'!G123&lt;&gt;"",'Inputs Whole-Project Water Use'!G123,"")</f>
        <v/>
      </c>
      <c r="H123" s="315" t="str">
        <f>IF('Inputs Whole-Project Water Use'!H123&lt;&gt;"",'Inputs Whole-Project Water Use'!H123,"")</f>
        <v/>
      </c>
      <c r="I123" s="390" t="str">
        <f t="shared" si="18"/>
        <v/>
      </c>
      <c r="J123" s="391"/>
      <c r="K123" s="316" t="str">
        <f>IF('Inputs Whole-Project Water Use'!K123&lt;&gt;"",'Inputs Whole-Project Water Use'!K123,"")</f>
        <v/>
      </c>
      <c r="L123" s="316" t="str">
        <f>IF('Inputs Whole-Project Water Use'!L123&lt;&gt;"",'Inputs Whole-Project Water Use'!L123,"")</f>
        <v/>
      </c>
      <c r="M123" s="390" t="str">
        <f t="shared" si="19"/>
        <v/>
      </c>
      <c r="N123" s="391"/>
      <c r="O123" s="225" t="str">
        <f t="shared" si="11"/>
        <v/>
      </c>
      <c r="P123" s="225" t="str">
        <f t="shared" si="12"/>
        <v/>
      </c>
      <c r="Q123" s="289" t="str">
        <f>IF(AND(D123&lt;&gt;"",'Inputs Whole-Project Water Use'!Q123=""),0,IF('Inputs Whole-Project Water Use'!Q123&lt;&gt;"",'Inputs Whole-Project Water Use'!Q123,""))</f>
        <v/>
      </c>
      <c r="R123" s="225" t="str">
        <f t="shared" si="13"/>
        <v/>
      </c>
      <c r="S123" s="225" t="str">
        <f t="shared" si="14"/>
        <v/>
      </c>
      <c r="T123" s="231" t="str">
        <f t="shared" si="15"/>
        <v/>
      </c>
      <c r="U123" s="241"/>
      <c r="V123" s="241"/>
      <c r="W123" s="241"/>
      <c r="X123" s="241"/>
      <c r="Y123" s="241"/>
      <c r="Z123" s="241"/>
      <c r="AA123" s="241"/>
      <c r="AB123" s="241"/>
      <c r="AC123" s="241"/>
      <c r="AD123" s="241"/>
      <c r="AE123" s="241"/>
      <c r="AF123" s="241"/>
      <c r="AG123" s="241"/>
      <c r="AH123" s="241"/>
      <c r="AI123" s="241"/>
      <c r="AJ123" s="241"/>
      <c r="AK123" s="241"/>
      <c r="AL123" s="241"/>
      <c r="AM123" s="241"/>
      <c r="AN123" s="241"/>
      <c r="AO123" s="241"/>
      <c r="AP123" s="241"/>
      <c r="AQ123" s="241"/>
      <c r="AR123" s="241"/>
      <c r="AS123" s="241"/>
      <c r="AT123" s="241"/>
      <c r="AU123" s="241"/>
      <c r="AV123" s="241"/>
      <c r="AW123" s="241"/>
      <c r="AX123" s="241"/>
      <c r="AY123" s="241"/>
      <c r="AZ123" s="241"/>
    </row>
    <row r="124" spans="1:52" s="71" customFormat="1" ht="18" hidden="1" customHeight="1" outlineLevel="2">
      <c r="A124" s="175">
        <v>96</v>
      </c>
      <c r="B124" s="312" t="str">
        <f>(IF('Inputs Whole-Project Water Use'!B124&lt;&gt;"",'Inputs Whole-Project Water Use'!B124,""))</f>
        <v/>
      </c>
      <c r="C124" s="313" t="str">
        <f>IF(AND(D124&lt;&gt;"",'Inputs Whole-Project Water Use'!C124=""),1,IF('Inputs Whole-Project Water Use'!C124&lt;&gt;"",'Inputs Whole-Project Water Use'!C124,""))</f>
        <v/>
      </c>
      <c r="D124" s="397" t="str">
        <f>IF('Inputs Whole-Project Water Use'!D124&lt;&gt;"",'Inputs Whole-Project Water Use'!D124,"")</f>
        <v/>
      </c>
      <c r="E124" s="398"/>
      <c r="F124" s="314" t="str">
        <f>IF('Inputs Whole-Project Water Use'!F124&lt;&gt;"",'Inputs Whole-Project Water Use'!F124,"")</f>
        <v/>
      </c>
      <c r="G124" s="314" t="str">
        <f>IF('Inputs Whole-Project Water Use'!G124&lt;&gt;"",'Inputs Whole-Project Water Use'!G124,"")</f>
        <v/>
      </c>
      <c r="H124" s="315" t="str">
        <f>IF('Inputs Whole-Project Water Use'!H124&lt;&gt;"",'Inputs Whole-Project Water Use'!H124,"")</f>
        <v/>
      </c>
      <c r="I124" s="390" t="str">
        <f t="shared" si="18"/>
        <v/>
      </c>
      <c r="J124" s="391"/>
      <c r="K124" s="316" t="str">
        <f>IF('Inputs Whole-Project Water Use'!K124&lt;&gt;"",'Inputs Whole-Project Water Use'!K124,"")</f>
        <v/>
      </c>
      <c r="L124" s="316" t="str">
        <f>IF('Inputs Whole-Project Water Use'!L124&lt;&gt;"",'Inputs Whole-Project Water Use'!L124,"")</f>
        <v/>
      </c>
      <c r="M124" s="390" t="str">
        <f t="shared" si="19"/>
        <v/>
      </c>
      <c r="N124" s="391"/>
      <c r="O124" s="225" t="str">
        <f t="shared" si="11"/>
        <v/>
      </c>
      <c r="P124" s="225" t="str">
        <f t="shared" si="12"/>
        <v/>
      </c>
      <c r="Q124" s="289" t="str">
        <f>IF(AND(D124&lt;&gt;"",'Inputs Whole-Project Water Use'!Q124=""),0,IF('Inputs Whole-Project Water Use'!Q124&lt;&gt;"",'Inputs Whole-Project Water Use'!Q124,""))</f>
        <v/>
      </c>
      <c r="R124" s="225" t="str">
        <f t="shared" si="13"/>
        <v/>
      </c>
      <c r="S124" s="225" t="str">
        <f t="shared" si="14"/>
        <v/>
      </c>
      <c r="T124" s="231" t="str">
        <f t="shared" si="15"/>
        <v/>
      </c>
      <c r="U124" s="241"/>
      <c r="V124" s="241"/>
      <c r="W124" s="241"/>
      <c r="X124" s="241"/>
      <c r="Y124" s="241"/>
      <c r="Z124" s="241"/>
      <c r="AA124" s="241"/>
      <c r="AB124" s="241"/>
      <c r="AC124" s="241"/>
      <c r="AD124" s="241"/>
      <c r="AE124" s="241"/>
      <c r="AF124" s="241"/>
      <c r="AG124" s="241"/>
      <c r="AH124" s="241"/>
      <c r="AI124" s="241"/>
      <c r="AJ124" s="241"/>
      <c r="AK124" s="241"/>
      <c r="AL124" s="241"/>
      <c r="AM124" s="241"/>
      <c r="AN124" s="241"/>
      <c r="AO124" s="241"/>
      <c r="AP124" s="241"/>
      <c r="AQ124" s="241"/>
      <c r="AR124" s="241"/>
      <c r="AS124" s="241"/>
      <c r="AT124" s="241"/>
      <c r="AU124" s="241"/>
      <c r="AV124" s="241"/>
      <c r="AW124" s="241"/>
      <c r="AX124" s="241"/>
      <c r="AY124" s="241"/>
      <c r="AZ124" s="241"/>
    </row>
    <row r="125" spans="1:52" s="71" customFormat="1" ht="18" hidden="1" customHeight="1" outlineLevel="2">
      <c r="A125" s="175">
        <v>97</v>
      </c>
      <c r="B125" s="312" t="str">
        <f>(IF('Inputs Whole-Project Water Use'!B125&lt;&gt;"",'Inputs Whole-Project Water Use'!B125,""))</f>
        <v/>
      </c>
      <c r="C125" s="313" t="str">
        <f>IF(AND(D125&lt;&gt;"",'Inputs Whole-Project Water Use'!C125=""),1,IF('Inputs Whole-Project Water Use'!C125&lt;&gt;"",'Inputs Whole-Project Water Use'!C125,""))</f>
        <v/>
      </c>
      <c r="D125" s="397" t="str">
        <f>IF('Inputs Whole-Project Water Use'!D125&lt;&gt;"",'Inputs Whole-Project Water Use'!D125,"")</f>
        <v/>
      </c>
      <c r="E125" s="398"/>
      <c r="F125" s="314" t="str">
        <f>IF('Inputs Whole-Project Water Use'!F125&lt;&gt;"",'Inputs Whole-Project Water Use'!F125,"")</f>
        <v/>
      </c>
      <c r="G125" s="314" t="str">
        <f>IF('Inputs Whole-Project Water Use'!G125&lt;&gt;"",'Inputs Whole-Project Water Use'!G125,"")</f>
        <v/>
      </c>
      <c r="H125" s="315" t="str">
        <f>IF('Inputs Whole-Project Water Use'!H125&lt;&gt;"",'Inputs Whole-Project Water Use'!H125,"")</f>
        <v/>
      </c>
      <c r="I125" s="390" t="str">
        <f t="shared" si="18"/>
        <v/>
      </c>
      <c r="J125" s="391"/>
      <c r="K125" s="316" t="str">
        <f>IF('Inputs Whole-Project Water Use'!K125&lt;&gt;"",'Inputs Whole-Project Water Use'!K125,"")</f>
        <v/>
      </c>
      <c r="L125" s="316" t="str">
        <f>IF('Inputs Whole-Project Water Use'!L125&lt;&gt;"",'Inputs Whole-Project Water Use'!L125,"")</f>
        <v/>
      </c>
      <c r="M125" s="390" t="str">
        <f t="shared" si="19"/>
        <v/>
      </c>
      <c r="N125" s="391"/>
      <c r="O125" s="225" t="str">
        <f t="shared" si="11"/>
        <v/>
      </c>
      <c r="P125" s="225" t="str">
        <f t="shared" si="12"/>
        <v/>
      </c>
      <c r="Q125" s="289" t="str">
        <f>IF(AND(D125&lt;&gt;"",'Inputs Whole-Project Water Use'!Q125=""),0,IF('Inputs Whole-Project Water Use'!Q125&lt;&gt;"",'Inputs Whole-Project Water Use'!Q125,""))</f>
        <v/>
      </c>
      <c r="R125" s="225" t="str">
        <f t="shared" si="13"/>
        <v/>
      </c>
      <c r="S125" s="225" t="str">
        <f t="shared" si="14"/>
        <v/>
      </c>
      <c r="T125" s="231" t="str">
        <f t="shared" si="15"/>
        <v/>
      </c>
      <c r="U125" s="241"/>
      <c r="V125" s="241"/>
      <c r="W125" s="241"/>
      <c r="X125" s="241"/>
      <c r="Y125" s="241"/>
      <c r="Z125" s="241"/>
      <c r="AA125" s="241"/>
      <c r="AB125" s="241"/>
      <c r="AC125" s="241"/>
      <c r="AD125" s="241"/>
      <c r="AE125" s="241"/>
      <c r="AF125" s="241"/>
      <c r="AG125" s="241"/>
      <c r="AH125" s="241"/>
      <c r="AI125" s="241"/>
      <c r="AJ125" s="241"/>
      <c r="AK125" s="241"/>
      <c r="AL125" s="241"/>
      <c r="AM125" s="241"/>
      <c r="AN125" s="241"/>
      <c r="AO125" s="241"/>
      <c r="AP125" s="241"/>
      <c r="AQ125" s="241"/>
      <c r="AR125" s="241"/>
      <c r="AS125" s="241"/>
      <c r="AT125" s="241"/>
      <c r="AU125" s="241"/>
      <c r="AV125" s="241"/>
      <c r="AW125" s="241"/>
      <c r="AX125" s="241"/>
      <c r="AY125" s="241"/>
      <c r="AZ125" s="241"/>
    </row>
    <row r="126" spans="1:52" s="71" customFormat="1" ht="18" hidden="1" customHeight="1" outlineLevel="2">
      <c r="A126" s="175">
        <v>98</v>
      </c>
      <c r="B126" s="312" t="str">
        <f>(IF('Inputs Whole-Project Water Use'!B126&lt;&gt;"",'Inputs Whole-Project Water Use'!B126,""))</f>
        <v/>
      </c>
      <c r="C126" s="313" t="str">
        <f>IF(AND(D126&lt;&gt;"",'Inputs Whole-Project Water Use'!C126=""),1,IF('Inputs Whole-Project Water Use'!C126&lt;&gt;"",'Inputs Whole-Project Water Use'!C126,""))</f>
        <v/>
      </c>
      <c r="D126" s="397" t="str">
        <f>IF('Inputs Whole-Project Water Use'!D126&lt;&gt;"",'Inputs Whole-Project Water Use'!D126,"")</f>
        <v/>
      </c>
      <c r="E126" s="398"/>
      <c r="F126" s="314" t="str">
        <f>IF('Inputs Whole-Project Water Use'!F126&lt;&gt;"",'Inputs Whole-Project Water Use'!F126,"")</f>
        <v/>
      </c>
      <c r="G126" s="314" t="str">
        <f>IF('Inputs Whole-Project Water Use'!G126&lt;&gt;"",'Inputs Whole-Project Water Use'!G126,"")</f>
        <v/>
      </c>
      <c r="H126" s="315" t="str">
        <f>IF('Inputs Whole-Project Water Use'!H126&lt;&gt;"",'Inputs Whole-Project Water Use'!H126,"")</f>
        <v/>
      </c>
      <c r="I126" s="390" t="str">
        <f t="shared" si="18"/>
        <v/>
      </c>
      <c r="J126" s="391"/>
      <c r="K126" s="316" t="str">
        <f>IF('Inputs Whole-Project Water Use'!K126&lt;&gt;"",'Inputs Whole-Project Water Use'!K126,"")</f>
        <v/>
      </c>
      <c r="L126" s="316" t="str">
        <f>IF('Inputs Whole-Project Water Use'!L126&lt;&gt;"",'Inputs Whole-Project Water Use'!L126,"")</f>
        <v/>
      </c>
      <c r="M126" s="390" t="str">
        <f t="shared" si="19"/>
        <v/>
      </c>
      <c r="N126" s="391"/>
      <c r="O126" s="225" t="str">
        <f t="shared" si="11"/>
        <v/>
      </c>
      <c r="P126" s="225" t="str">
        <f t="shared" si="12"/>
        <v/>
      </c>
      <c r="Q126" s="289" t="str">
        <f>IF(AND(D126&lt;&gt;"",'Inputs Whole-Project Water Use'!Q126=""),0,IF('Inputs Whole-Project Water Use'!Q126&lt;&gt;"",'Inputs Whole-Project Water Use'!Q126,""))</f>
        <v/>
      </c>
      <c r="R126" s="225" t="str">
        <f t="shared" si="13"/>
        <v/>
      </c>
      <c r="S126" s="225" t="str">
        <f t="shared" si="14"/>
        <v/>
      </c>
      <c r="T126" s="231" t="str">
        <f t="shared" si="15"/>
        <v/>
      </c>
      <c r="U126" s="241"/>
      <c r="V126" s="241"/>
      <c r="W126" s="241"/>
      <c r="X126" s="241"/>
      <c r="Y126" s="241"/>
      <c r="Z126" s="241"/>
      <c r="AA126" s="241"/>
      <c r="AB126" s="241"/>
      <c r="AC126" s="241"/>
      <c r="AD126" s="241"/>
      <c r="AE126" s="241"/>
      <c r="AF126" s="241"/>
      <c r="AG126" s="241"/>
      <c r="AH126" s="241"/>
      <c r="AI126" s="241"/>
      <c r="AJ126" s="241"/>
      <c r="AK126" s="241"/>
      <c r="AL126" s="241"/>
      <c r="AM126" s="241"/>
      <c r="AN126" s="241"/>
      <c r="AO126" s="241"/>
      <c r="AP126" s="241"/>
      <c r="AQ126" s="241"/>
      <c r="AR126" s="241"/>
      <c r="AS126" s="241"/>
      <c r="AT126" s="241"/>
      <c r="AU126" s="241"/>
      <c r="AV126" s="241"/>
      <c r="AW126" s="241"/>
      <c r="AX126" s="241"/>
      <c r="AY126" s="241"/>
      <c r="AZ126" s="241"/>
    </row>
    <row r="127" spans="1:52" s="71" customFormat="1" ht="18" hidden="1" customHeight="1" outlineLevel="2">
      <c r="A127" s="175">
        <v>99</v>
      </c>
      <c r="B127" s="312" t="str">
        <f>(IF('Inputs Whole-Project Water Use'!B127&lt;&gt;"",'Inputs Whole-Project Water Use'!B127,""))</f>
        <v/>
      </c>
      <c r="C127" s="313" t="str">
        <f>IF(AND(D127&lt;&gt;"",'Inputs Whole-Project Water Use'!C127=""),1,IF('Inputs Whole-Project Water Use'!C127&lt;&gt;"",'Inputs Whole-Project Water Use'!C127,""))</f>
        <v/>
      </c>
      <c r="D127" s="397" t="str">
        <f>IF('Inputs Whole-Project Water Use'!D127&lt;&gt;"",'Inputs Whole-Project Water Use'!D127,"")</f>
        <v/>
      </c>
      <c r="E127" s="398"/>
      <c r="F127" s="314" t="str">
        <f>IF('Inputs Whole-Project Water Use'!F127&lt;&gt;"",'Inputs Whole-Project Water Use'!F127,"")</f>
        <v/>
      </c>
      <c r="G127" s="314" t="str">
        <f>IF('Inputs Whole-Project Water Use'!G127&lt;&gt;"",'Inputs Whole-Project Water Use'!G127,"")</f>
        <v/>
      </c>
      <c r="H127" s="315" t="str">
        <f>IF('Inputs Whole-Project Water Use'!H127&lt;&gt;"",'Inputs Whole-Project Water Use'!H127,"")</f>
        <v/>
      </c>
      <c r="I127" s="390" t="str">
        <f t="shared" si="18"/>
        <v/>
      </c>
      <c r="J127" s="391"/>
      <c r="K127" s="316" t="str">
        <f>IF('Inputs Whole-Project Water Use'!K127&lt;&gt;"",'Inputs Whole-Project Water Use'!K127,"")</f>
        <v/>
      </c>
      <c r="L127" s="316" t="str">
        <f>IF('Inputs Whole-Project Water Use'!L127&lt;&gt;"",'Inputs Whole-Project Water Use'!L127,"")</f>
        <v/>
      </c>
      <c r="M127" s="390" t="str">
        <f t="shared" si="19"/>
        <v/>
      </c>
      <c r="N127" s="391"/>
      <c r="O127" s="225" t="str">
        <f t="shared" si="11"/>
        <v/>
      </c>
      <c r="P127" s="225" t="str">
        <f t="shared" si="12"/>
        <v/>
      </c>
      <c r="Q127" s="289" t="str">
        <f>IF(AND(D127&lt;&gt;"",'Inputs Whole-Project Water Use'!Q127=""),0,IF('Inputs Whole-Project Water Use'!Q127&lt;&gt;"",'Inputs Whole-Project Water Use'!Q127,""))</f>
        <v/>
      </c>
      <c r="R127" s="225" t="str">
        <f t="shared" si="13"/>
        <v/>
      </c>
      <c r="S127" s="225" t="str">
        <f t="shared" si="14"/>
        <v/>
      </c>
      <c r="T127" s="231" t="str">
        <f t="shared" si="15"/>
        <v/>
      </c>
      <c r="U127" s="241"/>
      <c r="V127" s="241"/>
      <c r="W127" s="241"/>
      <c r="X127" s="241"/>
      <c r="Y127" s="241"/>
      <c r="Z127" s="241"/>
      <c r="AA127" s="241"/>
      <c r="AB127" s="241"/>
      <c r="AC127" s="241"/>
      <c r="AD127" s="241"/>
      <c r="AE127" s="241"/>
      <c r="AF127" s="241"/>
      <c r="AG127" s="241"/>
      <c r="AH127" s="241"/>
      <c r="AI127" s="241"/>
      <c r="AJ127" s="241"/>
      <c r="AK127" s="241"/>
      <c r="AL127" s="241"/>
      <c r="AM127" s="241"/>
      <c r="AN127" s="241"/>
      <c r="AO127" s="241"/>
      <c r="AP127" s="241"/>
      <c r="AQ127" s="241"/>
      <c r="AR127" s="241"/>
      <c r="AS127" s="241"/>
      <c r="AT127" s="241"/>
      <c r="AU127" s="241"/>
      <c r="AV127" s="241"/>
      <c r="AW127" s="241"/>
      <c r="AX127" s="241"/>
      <c r="AY127" s="241"/>
      <c r="AZ127" s="241"/>
    </row>
    <row r="128" spans="1:52" s="71" customFormat="1" ht="18" hidden="1" customHeight="1" outlineLevel="2">
      <c r="A128" s="175">
        <v>100</v>
      </c>
      <c r="B128" s="312" t="str">
        <f>(IF('Inputs Whole-Project Water Use'!B128&lt;&gt;"",'Inputs Whole-Project Water Use'!B128,""))</f>
        <v/>
      </c>
      <c r="C128" s="313" t="str">
        <f>IF(AND(D128&lt;&gt;"",'Inputs Whole-Project Water Use'!C128=""),1,IF('Inputs Whole-Project Water Use'!C128&lt;&gt;"",'Inputs Whole-Project Water Use'!C128,""))</f>
        <v/>
      </c>
      <c r="D128" s="397" t="str">
        <f>IF('Inputs Whole-Project Water Use'!D128&lt;&gt;"",'Inputs Whole-Project Water Use'!D128,"")</f>
        <v/>
      </c>
      <c r="E128" s="398"/>
      <c r="F128" s="314" t="str">
        <f>IF('Inputs Whole-Project Water Use'!F128&lt;&gt;"",'Inputs Whole-Project Water Use'!F128,"")</f>
        <v/>
      </c>
      <c r="G128" s="314" t="str">
        <f>IF('Inputs Whole-Project Water Use'!G128&lt;&gt;"",'Inputs Whole-Project Water Use'!G128,"")</f>
        <v/>
      </c>
      <c r="H128" s="315" t="str">
        <f>IF('Inputs Whole-Project Water Use'!H128&lt;&gt;"",'Inputs Whole-Project Water Use'!H128,"")</f>
        <v/>
      </c>
      <c r="I128" s="390" t="str">
        <f t="shared" si="18"/>
        <v/>
      </c>
      <c r="J128" s="391"/>
      <c r="K128" s="316" t="str">
        <f>IF('Inputs Whole-Project Water Use'!K128&lt;&gt;"",'Inputs Whole-Project Water Use'!K128,"")</f>
        <v/>
      </c>
      <c r="L128" s="316" t="str">
        <f>IF('Inputs Whole-Project Water Use'!L128&lt;&gt;"",'Inputs Whole-Project Water Use'!L128,"")</f>
        <v/>
      </c>
      <c r="M128" s="390" t="str">
        <f t="shared" si="19"/>
        <v/>
      </c>
      <c r="N128" s="391"/>
      <c r="O128" s="225" t="str">
        <f t="shared" si="11"/>
        <v/>
      </c>
      <c r="P128" s="225" t="str">
        <f t="shared" si="12"/>
        <v/>
      </c>
      <c r="Q128" s="289" t="str">
        <f>IF(AND(D128&lt;&gt;"",'Inputs Whole-Project Water Use'!Q128=""),0,IF('Inputs Whole-Project Water Use'!Q128&lt;&gt;"",'Inputs Whole-Project Water Use'!Q128,""))</f>
        <v/>
      </c>
      <c r="R128" s="225" t="str">
        <f t="shared" si="13"/>
        <v/>
      </c>
      <c r="S128" s="225" t="str">
        <f t="shared" si="14"/>
        <v/>
      </c>
      <c r="T128" s="231" t="str">
        <f t="shared" si="15"/>
        <v/>
      </c>
      <c r="U128" s="241"/>
      <c r="V128" s="241"/>
      <c r="W128" s="241"/>
      <c r="X128" s="241"/>
      <c r="Y128" s="241"/>
      <c r="Z128" s="241"/>
      <c r="AA128" s="241"/>
      <c r="AB128" s="241"/>
      <c r="AC128" s="241"/>
      <c r="AD128" s="241"/>
      <c r="AE128" s="241"/>
      <c r="AF128" s="241"/>
      <c r="AG128" s="241"/>
      <c r="AH128" s="241"/>
      <c r="AI128" s="241"/>
      <c r="AJ128" s="241"/>
      <c r="AK128" s="241"/>
      <c r="AL128" s="241"/>
      <c r="AM128" s="241"/>
      <c r="AN128" s="241"/>
      <c r="AO128" s="241"/>
      <c r="AP128" s="241"/>
      <c r="AQ128" s="241"/>
      <c r="AR128" s="241"/>
      <c r="AS128" s="241"/>
      <c r="AT128" s="241"/>
      <c r="AU128" s="241"/>
      <c r="AV128" s="241"/>
      <c r="AW128" s="241"/>
      <c r="AX128" s="241"/>
      <c r="AY128" s="241"/>
      <c r="AZ128" s="241"/>
    </row>
    <row r="129" spans="1:52" s="71" customFormat="1" ht="18" hidden="1" customHeight="1" outlineLevel="2">
      <c r="A129" s="175">
        <v>101</v>
      </c>
      <c r="B129" s="312" t="str">
        <f>(IF('Inputs Whole-Project Water Use'!B129&lt;&gt;"",'Inputs Whole-Project Water Use'!B129,""))</f>
        <v/>
      </c>
      <c r="C129" s="313" t="str">
        <f>IF(AND(D129&lt;&gt;"",'Inputs Whole-Project Water Use'!C129=""),1,IF('Inputs Whole-Project Water Use'!C129&lt;&gt;"",'Inputs Whole-Project Water Use'!C129,""))</f>
        <v/>
      </c>
      <c r="D129" s="397" t="str">
        <f>IF('Inputs Whole-Project Water Use'!D129&lt;&gt;"",'Inputs Whole-Project Water Use'!D129,"")</f>
        <v/>
      </c>
      <c r="E129" s="398"/>
      <c r="F129" s="314" t="str">
        <f>IF('Inputs Whole-Project Water Use'!F129&lt;&gt;"",'Inputs Whole-Project Water Use'!F129,"")</f>
        <v/>
      </c>
      <c r="G129" s="314" t="str">
        <f>IF('Inputs Whole-Project Water Use'!G129&lt;&gt;"",'Inputs Whole-Project Water Use'!G129,"")</f>
        <v/>
      </c>
      <c r="H129" s="315" t="str">
        <f>IF('Inputs Whole-Project Water Use'!H129&lt;&gt;"",'Inputs Whole-Project Water Use'!H129,"")</f>
        <v/>
      </c>
      <c r="I129" s="390" t="str">
        <f t="shared" si="18"/>
        <v/>
      </c>
      <c r="J129" s="391"/>
      <c r="K129" s="316" t="str">
        <f>IF('Inputs Whole-Project Water Use'!K129&lt;&gt;"",'Inputs Whole-Project Water Use'!K129,"")</f>
        <v/>
      </c>
      <c r="L129" s="316" t="str">
        <f>IF('Inputs Whole-Project Water Use'!L129&lt;&gt;"",'Inputs Whole-Project Water Use'!L129,"")</f>
        <v/>
      </c>
      <c r="M129" s="390" t="str">
        <f t="shared" si="19"/>
        <v/>
      </c>
      <c r="N129" s="391"/>
      <c r="O129" s="225" t="str">
        <f t="shared" si="11"/>
        <v/>
      </c>
      <c r="P129" s="225" t="str">
        <f t="shared" si="12"/>
        <v/>
      </c>
      <c r="Q129" s="289" t="str">
        <f>IF(AND(D129&lt;&gt;"",'Inputs Whole-Project Water Use'!Q129=""),0,IF('Inputs Whole-Project Water Use'!Q129&lt;&gt;"",'Inputs Whole-Project Water Use'!Q129,""))</f>
        <v/>
      </c>
      <c r="R129" s="225" t="str">
        <f t="shared" si="13"/>
        <v/>
      </c>
      <c r="S129" s="225" t="str">
        <f t="shared" si="14"/>
        <v/>
      </c>
      <c r="T129" s="231" t="str">
        <f t="shared" si="15"/>
        <v/>
      </c>
      <c r="U129" s="241"/>
      <c r="V129" s="241"/>
      <c r="W129" s="241"/>
      <c r="X129" s="241"/>
      <c r="Y129" s="241"/>
      <c r="Z129" s="241"/>
      <c r="AA129" s="241"/>
      <c r="AB129" s="241"/>
      <c r="AC129" s="241"/>
      <c r="AD129" s="241"/>
      <c r="AE129" s="241"/>
      <c r="AF129" s="241"/>
      <c r="AG129" s="241"/>
      <c r="AH129" s="241"/>
      <c r="AI129" s="241"/>
      <c r="AJ129" s="241"/>
      <c r="AK129" s="241"/>
      <c r="AL129" s="241"/>
      <c r="AM129" s="241"/>
      <c r="AN129" s="241"/>
      <c r="AO129" s="241"/>
      <c r="AP129" s="241"/>
      <c r="AQ129" s="241"/>
      <c r="AR129" s="241"/>
      <c r="AS129" s="241"/>
      <c r="AT129" s="241"/>
      <c r="AU129" s="241"/>
      <c r="AV129" s="241"/>
      <c r="AW129" s="241"/>
      <c r="AX129" s="241"/>
      <c r="AY129" s="241"/>
      <c r="AZ129" s="241"/>
    </row>
    <row r="130" spans="1:52" s="71" customFormat="1" ht="18" hidden="1" customHeight="1" outlineLevel="2">
      <c r="A130" s="175">
        <v>102</v>
      </c>
      <c r="B130" s="312" t="str">
        <f>(IF('Inputs Whole-Project Water Use'!B130&lt;&gt;"",'Inputs Whole-Project Water Use'!B130,""))</f>
        <v/>
      </c>
      <c r="C130" s="313" t="str">
        <f>IF(AND(D130&lt;&gt;"",'Inputs Whole-Project Water Use'!C130=""),1,IF('Inputs Whole-Project Water Use'!C130&lt;&gt;"",'Inputs Whole-Project Water Use'!C130,""))</f>
        <v/>
      </c>
      <c r="D130" s="397" t="str">
        <f>IF('Inputs Whole-Project Water Use'!D130&lt;&gt;"",'Inputs Whole-Project Water Use'!D130,"")</f>
        <v/>
      </c>
      <c r="E130" s="398"/>
      <c r="F130" s="314" t="str">
        <f>IF('Inputs Whole-Project Water Use'!F130&lt;&gt;"",'Inputs Whole-Project Water Use'!F130,"")</f>
        <v/>
      </c>
      <c r="G130" s="314" t="str">
        <f>IF('Inputs Whole-Project Water Use'!G130&lt;&gt;"",'Inputs Whole-Project Water Use'!G130,"")</f>
        <v/>
      </c>
      <c r="H130" s="315" t="str">
        <f>IF('Inputs Whole-Project Water Use'!H130&lt;&gt;"",'Inputs Whole-Project Water Use'!H130,"")</f>
        <v/>
      </c>
      <c r="I130" s="390" t="str">
        <f t="shared" si="18"/>
        <v/>
      </c>
      <c r="J130" s="391"/>
      <c r="K130" s="316" t="str">
        <f>IF('Inputs Whole-Project Water Use'!K130&lt;&gt;"",'Inputs Whole-Project Water Use'!K130,"")</f>
        <v/>
      </c>
      <c r="L130" s="316" t="str">
        <f>IF('Inputs Whole-Project Water Use'!L130&lt;&gt;"",'Inputs Whole-Project Water Use'!L130,"")</f>
        <v/>
      </c>
      <c r="M130" s="390" t="str">
        <f t="shared" si="19"/>
        <v/>
      </c>
      <c r="N130" s="391"/>
      <c r="O130" s="225" t="str">
        <f t="shared" si="11"/>
        <v/>
      </c>
      <c r="P130" s="225" t="str">
        <f t="shared" si="12"/>
        <v/>
      </c>
      <c r="Q130" s="289" t="str">
        <f>IF(AND(D130&lt;&gt;"",'Inputs Whole-Project Water Use'!Q130=""),0,IF('Inputs Whole-Project Water Use'!Q130&lt;&gt;"",'Inputs Whole-Project Water Use'!Q130,""))</f>
        <v/>
      </c>
      <c r="R130" s="225" t="str">
        <f t="shared" si="13"/>
        <v/>
      </c>
      <c r="S130" s="225" t="str">
        <f t="shared" si="14"/>
        <v/>
      </c>
      <c r="T130" s="231" t="str">
        <f t="shared" si="15"/>
        <v/>
      </c>
      <c r="U130" s="241"/>
      <c r="V130" s="241"/>
      <c r="W130" s="241"/>
      <c r="X130" s="241"/>
      <c r="Y130" s="241"/>
      <c r="Z130" s="241"/>
      <c r="AA130" s="241"/>
      <c r="AB130" s="241"/>
      <c r="AC130" s="241"/>
      <c r="AD130" s="241"/>
      <c r="AE130" s="241"/>
      <c r="AF130" s="241"/>
      <c r="AG130" s="241"/>
      <c r="AH130" s="241"/>
      <c r="AI130" s="241"/>
      <c r="AJ130" s="241"/>
      <c r="AK130" s="241"/>
      <c r="AL130" s="241"/>
      <c r="AM130" s="241"/>
      <c r="AN130" s="241"/>
      <c r="AO130" s="241"/>
      <c r="AP130" s="241"/>
      <c r="AQ130" s="241"/>
      <c r="AR130" s="241"/>
      <c r="AS130" s="241"/>
      <c r="AT130" s="241"/>
      <c r="AU130" s="241"/>
      <c r="AV130" s="241"/>
      <c r="AW130" s="241"/>
      <c r="AX130" s="241"/>
      <c r="AY130" s="241"/>
      <c r="AZ130" s="241"/>
    </row>
    <row r="131" spans="1:52" s="71" customFormat="1" ht="18" hidden="1" customHeight="1" outlineLevel="2">
      <c r="A131" s="175">
        <v>103</v>
      </c>
      <c r="B131" s="312" t="str">
        <f>(IF('Inputs Whole-Project Water Use'!B131&lt;&gt;"",'Inputs Whole-Project Water Use'!B131,""))</f>
        <v/>
      </c>
      <c r="C131" s="313" t="str">
        <f>IF(AND(D131&lt;&gt;"",'Inputs Whole-Project Water Use'!C131=""),1,IF('Inputs Whole-Project Water Use'!C131&lt;&gt;"",'Inputs Whole-Project Water Use'!C131,""))</f>
        <v/>
      </c>
      <c r="D131" s="397" t="str">
        <f>IF('Inputs Whole-Project Water Use'!D131&lt;&gt;"",'Inputs Whole-Project Water Use'!D131,"")</f>
        <v/>
      </c>
      <c r="E131" s="398"/>
      <c r="F131" s="314" t="str">
        <f>IF('Inputs Whole-Project Water Use'!F131&lt;&gt;"",'Inputs Whole-Project Water Use'!F131,"")</f>
        <v/>
      </c>
      <c r="G131" s="314" t="str">
        <f>IF('Inputs Whole-Project Water Use'!G131&lt;&gt;"",'Inputs Whole-Project Water Use'!G131,"")</f>
        <v/>
      </c>
      <c r="H131" s="315" t="str">
        <f>IF('Inputs Whole-Project Water Use'!H131&lt;&gt;"",'Inputs Whole-Project Water Use'!H131,"")</f>
        <v/>
      </c>
      <c r="I131" s="390" t="str">
        <f t="shared" si="18"/>
        <v/>
      </c>
      <c r="J131" s="391"/>
      <c r="K131" s="316" t="str">
        <f>IF('Inputs Whole-Project Water Use'!K131&lt;&gt;"",'Inputs Whole-Project Water Use'!K131,"")</f>
        <v/>
      </c>
      <c r="L131" s="316" t="str">
        <f>IF('Inputs Whole-Project Water Use'!L131&lt;&gt;"",'Inputs Whole-Project Water Use'!L131,"")</f>
        <v/>
      </c>
      <c r="M131" s="390" t="str">
        <f t="shared" si="19"/>
        <v/>
      </c>
      <c r="N131" s="391"/>
      <c r="O131" s="225" t="str">
        <f t="shared" si="11"/>
        <v/>
      </c>
      <c r="P131" s="225" t="str">
        <f t="shared" si="12"/>
        <v/>
      </c>
      <c r="Q131" s="289" t="str">
        <f>IF(AND(D131&lt;&gt;"",'Inputs Whole-Project Water Use'!Q131=""),0,IF('Inputs Whole-Project Water Use'!Q131&lt;&gt;"",'Inputs Whole-Project Water Use'!Q131,""))</f>
        <v/>
      </c>
      <c r="R131" s="225" t="str">
        <f t="shared" si="13"/>
        <v/>
      </c>
      <c r="S131" s="225" t="str">
        <f t="shared" si="14"/>
        <v/>
      </c>
      <c r="T131" s="231" t="str">
        <f t="shared" si="15"/>
        <v/>
      </c>
      <c r="U131" s="241"/>
      <c r="V131" s="241"/>
      <c r="W131" s="241"/>
      <c r="X131" s="241"/>
      <c r="Y131" s="241"/>
      <c r="Z131" s="241"/>
      <c r="AA131" s="241"/>
      <c r="AB131" s="241"/>
      <c r="AC131" s="241"/>
      <c r="AD131" s="241"/>
      <c r="AE131" s="241"/>
      <c r="AF131" s="241"/>
      <c r="AG131" s="241"/>
      <c r="AH131" s="241"/>
      <c r="AI131" s="241"/>
      <c r="AJ131" s="241"/>
      <c r="AK131" s="241"/>
      <c r="AL131" s="241"/>
      <c r="AM131" s="241"/>
      <c r="AN131" s="241"/>
      <c r="AO131" s="241"/>
      <c r="AP131" s="241"/>
      <c r="AQ131" s="241"/>
      <c r="AR131" s="241"/>
      <c r="AS131" s="241"/>
      <c r="AT131" s="241"/>
      <c r="AU131" s="241"/>
      <c r="AV131" s="241"/>
      <c r="AW131" s="241"/>
      <c r="AX131" s="241"/>
      <c r="AY131" s="241"/>
      <c r="AZ131" s="241"/>
    </row>
    <row r="132" spans="1:52" s="71" customFormat="1" ht="18" hidden="1" customHeight="1" outlineLevel="2">
      <c r="A132" s="175">
        <v>104</v>
      </c>
      <c r="B132" s="312" t="str">
        <f>(IF('Inputs Whole-Project Water Use'!B132&lt;&gt;"",'Inputs Whole-Project Water Use'!B132,""))</f>
        <v/>
      </c>
      <c r="C132" s="313" t="str">
        <f>IF(AND(D132&lt;&gt;"",'Inputs Whole-Project Water Use'!C132=""),1,IF('Inputs Whole-Project Water Use'!C132&lt;&gt;"",'Inputs Whole-Project Water Use'!C132,""))</f>
        <v/>
      </c>
      <c r="D132" s="397" t="str">
        <f>IF('Inputs Whole-Project Water Use'!D132&lt;&gt;"",'Inputs Whole-Project Water Use'!D132,"")</f>
        <v/>
      </c>
      <c r="E132" s="398"/>
      <c r="F132" s="314" t="str">
        <f>IF('Inputs Whole-Project Water Use'!F132&lt;&gt;"",'Inputs Whole-Project Water Use'!F132,"")</f>
        <v/>
      </c>
      <c r="G132" s="314" t="str">
        <f>IF('Inputs Whole-Project Water Use'!G132&lt;&gt;"",'Inputs Whole-Project Water Use'!G132,"")</f>
        <v/>
      </c>
      <c r="H132" s="315" t="str">
        <f>IF('Inputs Whole-Project Water Use'!H132&lt;&gt;"",'Inputs Whole-Project Water Use'!H132,"")</f>
        <v/>
      </c>
      <c r="I132" s="390" t="str">
        <f t="shared" si="18"/>
        <v/>
      </c>
      <c r="J132" s="391"/>
      <c r="K132" s="316" t="str">
        <f>IF('Inputs Whole-Project Water Use'!K132&lt;&gt;"",'Inputs Whole-Project Water Use'!K132,"")</f>
        <v/>
      </c>
      <c r="L132" s="316" t="str">
        <f>IF('Inputs Whole-Project Water Use'!L132&lt;&gt;"",'Inputs Whole-Project Water Use'!L132,"")</f>
        <v/>
      </c>
      <c r="M132" s="390" t="str">
        <f t="shared" si="19"/>
        <v/>
      </c>
      <c r="N132" s="391"/>
      <c r="O132" s="225" t="str">
        <f t="shared" si="11"/>
        <v/>
      </c>
      <c r="P132" s="225" t="str">
        <f t="shared" si="12"/>
        <v/>
      </c>
      <c r="Q132" s="289" t="str">
        <f>IF(AND(D132&lt;&gt;"",'Inputs Whole-Project Water Use'!Q132=""),0,IF('Inputs Whole-Project Water Use'!Q132&lt;&gt;"",'Inputs Whole-Project Water Use'!Q132,""))</f>
        <v/>
      </c>
      <c r="R132" s="225" t="str">
        <f t="shared" si="13"/>
        <v/>
      </c>
      <c r="S132" s="225" t="str">
        <f t="shared" si="14"/>
        <v/>
      </c>
      <c r="T132" s="231" t="str">
        <f t="shared" si="15"/>
        <v/>
      </c>
      <c r="U132" s="241"/>
      <c r="V132" s="241"/>
      <c r="W132" s="241"/>
      <c r="X132" s="241"/>
      <c r="Y132" s="241"/>
      <c r="Z132" s="241"/>
      <c r="AA132" s="241"/>
      <c r="AB132" s="241"/>
      <c r="AC132" s="241"/>
      <c r="AD132" s="241"/>
      <c r="AE132" s="241"/>
      <c r="AF132" s="241"/>
      <c r="AG132" s="241"/>
      <c r="AH132" s="241"/>
      <c r="AI132" s="241"/>
      <c r="AJ132" s="241"/>
      <c r="AK132" s="241"/>
      <c r="AL132" s="241"/>
      <c r="AM132" s="241"/>
      <c r="AN132" s="241"/>
      <c r="AO132" s="241"/>
      <c r="AP132" s="241"/>
      <c r="AQ132" s="241"/>
      <c r="AR132" s="241"/>
      <c r="AS132" s="241"/>
      <c r="AT132" s="241"/>
      <c r="AU132" s="241"/>
      <c r="AV132" s="241"/>
      <c r="AW132" s="241"/>
      <c r="AX132" s="241"/>
      <c r="AY132" s="241"/>
      <c r="AZ132" s="241"/>
    </row>
    <row r="133" spans="1:52" s="71" customFormat="1" ht="18" hidden="1" customHeight="1" outlineLevel="2">
      <c r="A133" s="175">
        <v>105</v>
      </c>
      <c r="B133" s="312" t="str">
        <f>(IF('Inputs Whole-Project Water Use'!B133&lt;&gt;"",'Inputs Whole-Project Water Use'!B133,""))</f>
        <v/>
      </c>
      <c r="C133" s="313" t="str">
        <f>IF(AND(D133&lt;&gt;"",'Inputs Whole-Project Water Use'!C133=""),1,IF('Inputs Whole-Project Water Use'!C133&lt;&gt;"",'Inputs Whole-Project Water Use'!C133,""))</f>
        <v/>
      </c>
      <c r="D133" s="397" t="str">
        <f>IF('Inputs Whole-Project Water Use'!D133&lt;&gt;"",'Inputs Whole-Project Water Use'!D133,"")</f>
        <v/>
      </c>
      <c r="E133" s="398"/>
      <c r="F133" s="314" t="str">
        <f>IF('Inputs Whole-Project Water Use'!F133&lt;&gt;"",'Inputs Whole-Project Water Use'!F133,"")</f>
        <v/>
      </c>
      <c r="G133" s="314" t="str">
        <f>IF('Inputs Whole-Project Water Use'!G133&lt;&gt;"",'Inputs Whole-Project Water Use'!G133,"")</f>
        <v/>
      </c>
      <c r="H133" s="315" t="str">
        <f>IF('Inputs Whole-Project Water Use'!H133&lt;&gt;"",'Inputs Whole-Project Water Use'!H133,"")</f>
        <v/>
      </c>
      <c r="I133" s="390" t="str">
        <f t="shared" si="18"/>
        <v/>
      </c>
      <c r="J133" s="391"/>
      <c r="K133" s="316" t="str">
        <f>IF('Inputs Whole-Project Water Use'!K133&lt;&gt;"",'Inputs Whole-Project Water Use'!K133,"")</f>
        <v/>
      </c>
      <c r="L133" s="316" t="str">
        <f>IF('Inputs Whole-Project Water Use'!L133&lt;&gt;"",'Inputs Whole-Project Water Use'!L133,"")</f>
        <v/>
      </c>
      <c r="M133" s="390" t="str">
        <f t="shared" si="19"/>
        <v/>
      </c>
      <c r="N133" s="391"/>
      <c r="O133" s="225" t="str">
        <f t="shared" si="11"/>
        <v/>
      </c>
      <c r="P133" s="225" t="str">
        <f t="shared" si="12"/>
        <v/>
      </c>
      <c r="Q133" s="289" t="str">
        <f>IF(AND(D133&lt;&gt;"",'Inputs Whole-Project Water Use'!Q133=""),0,IF('Inputs Whole-Project Water Use'!Q133&lt;&gt;"",'Inputs Whole-Project Water Use'!Q133,""))</f>
        <v/>
      </c>
      <c r="R133" s="225" t="str">
        <f t="shared" si="13"/>
        <v/>
      </c>
      <c r="S133" s="225" t="str">
        <f t="shared" si="14"/>
        <v/>
      </c>
      <c r="T133" s="231" t="str">
        <f t="shared" si="15"/>
        <v/>
      </c>
      <c r="U133" s="241"/>
      <c r="V133" s="241"/>
      <c r="W133" s="241"/>
      <c r="X133" s="241"/>
      <c r="Y133" s="241"/>
      <c r="Z133" s="241"/>
      <c r="AA133" s="241"/>
      <c r="AB133" s="241"/>
      <c r="AC133" s="241"/>
      <c r="AD133" s="241"/>
      <c r="AE133" s="241"/>
      <c r="AF133" s="241"/>
      <c r="AG133" s="241"/>
      <c r="AH133" s="241"/>
      <c r="AI133" s="241"/>
      <c r="AJ133" s="241"/>
      <c r="AK133" s="241"/>
      <c r="AL133" s="241"/>
      <c r="AM133" s="241"/>
      <c r="AN133" s="241"/>
      <c r="AO133" s="241"/>
      <c r="AP133" s="241"/>
      <c r="AQ133" s="241"/>
      <c r="AR133" s="241"/>
      <c r="AS133" s="241"/>
      <c r="AT133" s="241"/>
      <c r="AU133" s="241"/>
      <c r="AV133" s="241"/>
      <c r="AW133" s="241"/>
      <c r="AX133" s="241"/>
      <c r="AY133" s="241"/>
      <c r="AZ133" s="241"/>
    </row>
    <row r="134" spans="1:52" s="71" customFormat="1" ht="18" hidden="1" customHeight="1" outlineLevel="2">
      <c r="A134" s="175">
        <v>106</v>
      </c>
      <c r="B134" s="312" t="str">
        <f>(IF('Inputs Whole-Project Water Use'!B134&lt;&gt;"",'Inputs Whole-Project Water Use'!B134,""))</f>
        <v/>
      </c>
      <c r="C134" s="313" t="str">
        <f>IF(AND(D134&lt;&gt;"",'Inputs Whole-Project Water Use'!C134=""),1,IF('Inputs Whole-Project Water Use'!C134&lt;&gt;"",'Inputs Whole-Project Water Use'!C134,""))</f>
        <v/>
      </c>
      <c r="D134" s="397" t="str">
        <f>IF('Inputs Whole-Project Water Use'!D134&lt;&gt;"",'Inputs Whole-Project Water Use'!D134,"")</f>
        <v/>
      </c>
      <c r="E134" s="398"/>
      <c r="F134" s="314" t="str">
        <f>IF('Inputs Whole-Project Water Use'!F134&lt;&gt;"",'Inputs Whole-Project Water Use'!F134,"")</f>
        <v/>
      </c>
      <c r="G134" s="314" t="str">
        <f>IF('Inputs Whole-Project Water Use'!G134&lt;&gt;"",'Inputs Whole-Project Water Use'!G134,"")</f>
        <v/>
      </c>
      <c r="H134" s="315" t="str">
        <f>IF('Inputs Whole-Project Water Use'!H134&lt;&gt;"",'Inputs Whole-Project Water Use'!H134,"")</f>
        <v/>
      </c>
      <c r="I134" s="390" t="str">
        <f t="shared" si="18"/>
        <v/>
      </c>
      <c r="J134" s="391"/>
      <c r="K134" s="316" t="str">
        <f>IF('Inputs Whole-Project Water Use'!K134&lt;&gt;"",'Inputs Whole-Project Water Use'!K134,"")</f>
        <v/>
      </c>
      <c r="L134" s="316" t="str">
        <f>IF('Inputs Whole-Project Water Use'!L134&lt;&gt;"",'Inputs Whole-Project Water Use'!L134,"")</f>
        <v/>
      </c>
      <c r="M134" s="390" t="str">
        <f t="shared" si="19"/>
        <v/>
      </c>
      <c r="N134" s="391"/>
      <c r="O134" s="225" t="str">
        <f t="shared" si="11"/>
        <v/>
      </c>
      <c r="P134" s="225" t="str">
        <f t="shared" si="12"/>
        <v/>
      </c>
      <c r="Q134" s="289" t="str">
        <f>IF(AND(D134&lt;&gt;"",'Inputs Whole-Project Water Use'!Q134=""),0,IF('Inputs Whole-Project Water Use'!Q134&lt;&gt;"",'Inputs Whole-Project Water Use'!Q134,""))</f>
        <v/>
      </c>
      <c r="R134" s="225" t="str">
        <f t="shared" si="13"/>
        <v/>
      </c>
      <c r="S134" s="225" t="str">
        <f t="shared" si="14"/>
        <v/>
      </c>
      <c r="T134" s="231" t="str">
        <f t="shared" si="15"/>
        <v/>
      </c>
      <c r="U134" s="241"/>
      <c r="V134" s="241"/>
      <c r="W134" s="241"/>
      <c r="X134" s="241"/>
      <c r="Y134" s="241"/>
      <c r="Z134" s="241"/>
      <c r="AA134" s="241"/>
      <c r="AB134" s="241"/>
      <c r="AC134" s="241"/>
      <c r="AD134" s="241"/>
      <c r="AE134" s="241"/>
      <c r="AF134" s="241"/>
      <c r="AG134" s="241"/>
      <c r="AH134" s="241"/>
      <c r="AI134" s="241"/>
      <c r="AJ134" s="241"/>
      <c r="AK134" s="241"/>
      <c r="AL134" s="241"/>
      <c r="AM134" s="241"/>
      <c r="AN134" s="241"/>
      <c r="AO134" s="241"/>
      <c r="AP134" s="241"/>
      <c r="AQ134" s="241"/>
      <c r="AR134" s="241"/>
      <c r="AS134" s="241"/>
      <c r="AT134" s="241"/>
      <c r="AU134" s="241"/>
      <c r="AV134" s="241"/>
      <c r="AW134" s="241"/>
      <c r="AX134" s="241"/>
      <c r="AY134" s="241"/>
      <c r="AZ134" s="241"/>
    </row>
    <row r="135" spans="1:52" s="71" customFormat="1" ht="18" hidden="1" customHeight="1" outlineLevel="2">
      <c r="A135" s="175">
        <v>107</v>
      </c>
      <c r="B135" s="312" t="str">
        <f>(IF('Inputs Whole-Project Water Use'!B135&lt;&gt;"",'Inputs Whole-Project Water Use'!B135,""))</f>
        <v/>
      </c>
      <c r="C135" s="313" t="str">
        <f>IF(AND(D135&lt;&gt;"",'Inputs Whole-Project Water Use'!C135=""),1,IF('Inputs Whole-Project Water Use'!C135&lt;&gt;"",'Inputs Whole-Project Water Use'!C135,""))</f>
        <v/>
      </c>
      <c r="D135" s="397" t="str">
        <f>IF('Inputs Whole-Project Water Use'!D135&lt;&gt;"",'Inputs Whole-Project Water Use'!D135,"")</f>
        <v/>
      </c>
      <c r="E135" s="398"/>
      <c r="F135" s="314" t="str">
        <f>IF('Inputs Whole-Project Water Use'!F135&lt;&gt;"",'Inputs Whole-Project Water Use'!F135,"")</f>
        <v/>
      </c>
      <c r="G135" s="314" t="str">
        <f>IF('Inputs Whole-Project Water Use'!G135&lt;&gt;"",'Inputs Whole-Project Water Use'!G135,"")</f>
        <v/>
      </c>
      <c r="H135" s="315" t="str">
        <f>IF('Inputs Whole-Project Water Use'!H135&lt;&gt;"",'Inputs Whole-Project Water Use'!H135,"")</f>
        <v/>
      </c>
      <c r="I135" s="390" t="str">
        <f t="shared" si="18"/>
        <v/>
      </c>
      <c r="J135" s="391"/>
      <c r="K135" s="316" t="str">
        <f>IF('Inputs Whole-Project Water Use'!K135&lt;&gt;"",'Inputs Whole-Project Water Use'!K135,"")</f>
        <v/>
      </c>
      <c r="L135" s="316" t="str">
        <f>IF('Inputs Whole-Project Water Use'!L135&lt;&gt;"",'Inputs Whole-Project Water Use'!L135,"")</f>
        <v/>
      </c>
      <c r="M135" s="390" t="str">
        <f t="shared" si="19"/>
        <v/>
      </c>
      <c r="N135" s="391"/>
      <c r="O135" s="225" t="str">
        <f t="shared" si="11"/>
        <v/>
      </c>
      <c r="P135" s="225" t="str">
        <f t="shared" si="12"/>
        <v/>
      </c>
      <c r="Q135" s="289" t="str">
        <f>IF(AND(D135&lt;&gt;"",'Inputs Whole-Project Water Use'!Q135=""),0,IF('Inputs Whole-Project Water Use'!Q135&lt;&gt;"",'Inputs Whole-Project Water Use'!Q135,""))</f>
        <v/>
      </c>
      <c r="R135" s="225" t="str">
        <f t="shared" si="13"/>
        <v/>
      </c>
      <c r="S135" s="225" t="str">
        <f t="shared" si="14"/>
        <v/>
      </c>
      <c r="T135" s="231" t="str">
        <f t="shared" si="15"/>
        <v/>
      </c>
      <c r="U135" s="241"/>
      <c r="V135" s="241"/>
      <c r="W135" s="241"/>
      <c r="X135" s="241"/>
      <c r="Y135" s="241"/>
      <c r="Z135" s="241"/>
      <c r="AA135" s="241"/>
      <c r="AB135" s="241"/>
      <c r="AC135" s="241"/>
      <c r="AD135" s="241"/>
      <c r="AE135" s="241"/>
      <c r="AF135" s="241"/>
      <c r="AG135" s="241"/>
      <c r="AH135" s="241"/>
      <c r="AI135" s="241"/>
      <c r="AJ135" s="241"/>
      <c r="AK135" s="241"/>
      <c r="AL135" s="241"/>
      <c r="AM135" s="241"/>
      <c r="AN135" s="241"/>
      <c r="AO135" s="241"/>
      <c r="AP135" s="241"/>
      <c r="AQ135" s="241"/>
      <c r="AR135" s="241"/>
      <c r="AS135" s="241"/>
      <c r="AT135" s="241"/>
      <c r="AU135" s="241"/>
      <c r="AV135" s="241"/>
      <c r="AW135" s="241"/>
      <c r="AX135" s="241"/>
      <c r="AY135" s="241"/>
      <c r="AZ135" s="241"/>
    </row>
    <row r="136" spans="1:52" s="71" customFormat="1" ht="18" hidden="1" customHeight="1" outlineLevel="2">
      <c r="A136" s="175">
        <v>108</v>
      </c>
      <c r="B136" s="312" t="str">
        <f>(IF('Inputs Whole-Project Water Use'!B136&lt;&gt;"",'Inputs Whole-Project Water Use'!B136,""))</f>
        <v/>
      </c>
      <c r="C136" s="313" t="str">
        <f>IF(AND(D136&lt;&gt;"",'Inputs Whole-Project Water Use'!C136=""),1,IF('Inputs Whole-Project Water Use'!C136&lt;&gt;"",'Inputs Whole-Project Water Use'!C136,""))</f>
        <v/>
      </c>
      <c r="D136" s="397" t="str">
        <f>IF('Inputs Whole-Project Water Use'!D136&lt;&gt;"",'Inputs Whole-Project Water Use'!D136,"")</f>
        <v/>
      </c>
      <c r="E136" s="398"/>
      <c r="F136" s="314" t="str">
        <f>IF('Inputs Whole-Project Water Use'!F136&lt;&gt;"",'Inputs Whole-Project Water Use'!F136,"")</f>
        <v/>
      </c>
      <c r="G136" s="314" t="str">
        <f>IF('Inputs Whole-Project Water Use'!G136&lt;&gt;"",'Inputs Whole-Project Water Use'!G136,"")</f>
        <v/>
      </c>
      <c r="H136" s="315" t="str">
        <f>IF('Inputs Whole-Project Water Use'!H136&lt;&gt;"",'Inputs Whole-Project Water Use'!H136,"")</f>
        <v/>
      </c>
      <c r="I136" s="390" t="str">
        <f t="shared" si="18"/>
        <v/>
      </c>
      <c r="J136" s="391"/>
      <c r="K136" s="316" t="str">
        <f>IF('Inputs Whole-Project Water Use'!K136&lt;&gt;"",'Inputs Whole-Project Water Use'!K136,"")</f>
        <v/>
      </c>
      <c r="L136" s="316" t="str">
        <f>IF('Inputs Whole-Project Water Use'!L136&lt;&gt;"",'Inputs Whole-Project Water Use'!L136,"")</f>
        <v/>
      </c>
      <c r="M136" s="390" t="str">
        <f t="shared" si="19"/>
        <v/>
      </c>
      <c r="N136" s="391"/>
      <c r="O136" s="225" t="str">
        <f t="shared" si="11"/>
        <v/>
      </c>
      <c r="P136" s="225" t="str">
        <f t="shared" si="12"/>
        <v/>
      </c>
      <c r="Q136" s="289" t="str">
        <f>IF(AND(D136&lt;&gt;"",'Inputs Whole-Project Water Use'!Q136=""),0,IF('Inputs Whole-Project Water Use'!Q136&lt;&gt;"",'Inputs Whole-Project Water Use'!Q136,""))</f>
        <v/>
      </c>
      <c r="R136" s="225" t="str">
        <f t="shared" si="13"/>
        <v/>
      </c>
      <c r="S136" s="225" t="str">
        <f t="shared" si="14"/>
        <v/>
      </c>
      <c r="T136" s="231" t="str">
        <f t="shared" si="15"/>
        <v/>
      </c>
      <c r="U136" s="241"/>
      <c r="V136" s="241"/>
      <c r="W136" s="241"/>
      <c r="X136" s="241"/>
      <c r="Y136" s="241"/>
      <c r="Z136" s="241"/>
      <c r="AA136" s="241"/>
      <c r="AB136" s="241"/>
      <c r="AC136" s="241"/>
      <c r="AD136" s="241"/>
      <c r="AE136" s="241"/>
      <c r="AF136" s="241"/>
      <c r="AG136" s="241"/>
      <c r="AH136" s="241"/>
      <c r="AI136" s="241"/>
      <c r="AJ136" s="241"/>
      <c r="AK136" s="241"/>
      <c r="AL136" s="241"/>
      <c r="AM136" s="241"/>
      <c r="AN136" s="241"/>
      <c r="AO136" s="241"/>
      <c r="AP136" s="241"/>
      <c r="AQ136" s="241"/>
      <c r="AR136" s="241"/>
      <c r="AS136" s="241"/>
      <c r="AT136" s="241"/>
      <c r="AU136" s="241"/>
      <c r="AV136" s="241"/>
      <c r="AW136" s="241"/>
      <c r="AX136" s="241"/>
      <c r="AY136" s="241"/>
      <c r="AZ136" s="241"/>
    </row>
    <row r="137" spans="1:52" s="71" customFormat="1" ht="18" hidden="1" customHeight="1" outlineLevel="2">
      <c r="A137" s="175">
        <v>109</v>
      </c>
      <c r="B137" s="312" t="str">
        <f>(IF('Inputs Whole-Project Water Use'!B137&lt;&gt;"",'Inputs Whole-Project Water Use'!B137,""))</f>
        <v/>
      </c>
      <c r="C137" s="313" t="str">
        <f>IF(AND(D137&lt;&gt;"",'Inputs Whole-Project Water Use'!C137=""),1,IF('Inputs Whole-Project Water Use'!C137&lt;&gt;"",'Inputs Whole-Project Water Use'!C137,""))</f>
        <v/>
      </c>
      <c r="D137" s="397" t="str">
        <f>IF('Inputs Whole-Project Water Use'!D137&lt;&gt;"",'Inputs Whole-Project Water Use'!D137,"")</f>
        <v/>
      </c>
      <c r="E137" s="398"/>
      <c r="F137" s="314" t="str">
        <f>IF('Inputs Whole-Project Water Use'!F137&lt;&gt;"",'Inputs Whole-Project Water Use'!F137,"")</f>
        <v/>
      </c>
      <c r="G137" s="314" t="str">
        <f>IF('Inputs Whole-Project Water Use'!G137&lt;&gt;"",'Inputs Whole-Project Water Use'!G137,"")</f>
        <v/>
      </c>
      <c r="H137" s="315" t="str">
        <f>IF('Inputs Whole-Project Water Use'!H137&lt;&gt;"",'Inputs Whole-Project Water Use'!H137,"")</f>
        <v/>
      </c>
      <c r="I137" s="390" t="str">
        <f t="shared" si="18"/>
        <v/>
      </c>
      <c r="J137" s="391"/>
      <c r="K137" s="316" t="str">
        <f>IF('Inputs Whole-Project Water Use'!K137&lt;&gt;"",'Inputs Whole-Project Water Use'!K137,"")</f>
        <v/>
      </c>
      <c r="L137" s="316" t="str">
        <f>IF('Inputs Whole-Project Water Use'!L137&lt;&gt;"",'Inputs Whole-Project Water Use'!L137,"")</f>
        <v/>
      </c>
      <c r="M137" s="390" t="str">
        <f t="shared" si="19"/>
        <v/>
      </c>
      <c r="N137" s="391"/>
      <c r="O137" s="225" t="str">
        <f t="shared" si="11"/>
        <v/>
      </c>
      <c r="P137" s="225" t="str">
        <f t="shared" si="12"/>
        <v/>
      </c>
      <c r="Q137" s="289" t="str">
        <f>IF(AND(D137&lt;&gt;"",'Inputs Whole-Project Water Use'!Q137=""),0,IF('Inputs Whole-Project Water Use'!Q137&lt;&gt;"",'Inputs Whole-Project Water Use'!Q137,""))</f>
        <v/>
      </c>
      <c r="R137" s="225" t="str">
        <f t="shared" si="13"/>
        <v/>
      </c>
      <c r="S137" s="225" t="str">
        <f t="shared" si="14"/>
        <v/>
      </c>
      <c r="T137" s="231" t="str">
        <f t="shared" si="15"/>
        <v/>
      </c>
      <c r="U137" s="241"/>
      <c r="V137" s="241"/>
      <c r="W137" s="241"/>
      <c r="X137" s="241"/>
      <c r="Y137" s="241"/>
      <c r="Z137" s="241"/>
      <c r="AA137" s="241"/>
      <c r="AB137" s="241"/>
      <c r="AC137" s="241"/>
      <c r="AD137" s="241"/>
      <c r="AE137" s="241"/>
      <c r="AF137" s="241"/>
      <c r="AG137" s="241"/>
      <c r="AH137" s="241"/>
      <c r="AI137" s="241"/>
      <c r="AJ137" s="241"/>
      <c r="AK137" s="241"/>
      <c r="AL137" s="241"/>
      <c r="AM137" s="241"/>
      <c r="AN137" s="241"/>
      <c r="AO137" s="241"/>
      <c r="AP137" s="241"/>
      <c r="AQ137" s="241"/>
      <c r="AR137" s="241"/>
      <c r="AS137" s="241"/>
      <c r="AT137" s="241"/>
      <c r="AU137" s="241"/>
      <c r="AV137" s="241"/>
      <c r="AW137" s="241"/>
      <c r="AX137" s="241"/>
      <c r="AY137" s="241"/>
      <c r="AZ137" s="241"/>
    </row>
    <row r="138" spans="1:52" s="71" customFormat="1" ht="18" hidden="1" customHeight="1" outlineLevel="2">
      <c r="A138" s="175">
        <v>110</v>
      </c>
      <c r="B138" s="312" t="str">
        <f>(IF('Inputs Whole-Project Water Use'!B138&lt;&gt;"",'Inputs Whole-Project Water Use'!B138,""))</f>
        <v/>
      </c>
      <c r="C138" s="313" t="str">
        <f>IF(AND(D138&lt;&gt;"",'Inputs Whole-Project Water Use'!C138=""),1,IF('Inputs Whole-Project Water Use'!C138&lt;&gt;"",'Inputs Whole-Project Water Use'!C138,""))</f>
        <v/>
      </c>
      <c r="D138" s="397" t="str">
        <f>IF('Inputs Whole-Project Water Use'!D138&lt;&gt;"",'Inputs Whole-Project Water Use'!D138,"")</f>
        <v/>
      </c>
      <c r="E138" s="398"/>
      <c r="F138" s="314" t="str">
        <f>IF('Inputs Whole-Project Water Use'!F138&lt;&gt;"",'Inputs Whole-Project Water Use'!F138,"")</f>
        <v/>
      </c>
      <c r="G138" s="314" t="str">
        <f>IF('Inputs Whole-Project Water Use'!G138&lt;&gt;"",'Inputs Whole-Project Water Use'!G138,"")</f>
        <v/>
      </c>
      <c r="H138" s="315" t="str">
        <f>IF('Inputs Whole-Project Water Use'!H138&lt;&gt;"",'Inputs Whole-Project Water Use'!H138,"")</f>
        <v/>
      </c>
      <c r="I138" s="390" t="str">
        <f t="shared" si="18"/>
        <v/>
      </c>
      <c r="J138" s="391"/>
      <c r="K138" s="316" t="str">
        <f>IF('Inputs Whole-Project Water Use'!K138&lt;&gt;"",'Inputs Whole-Project Water Use'!K138,"")</f>
        <v/>
      </c>
      <c r="L138" s="316" t="str">
        <f>IF('Inputs Whole-Project Water Use'!L138&lt;&gt;"",'Inputs Whole-Project Water Use'!L138,"")</f>
        <v/>
      </c>
      <c r="M138" s="390" t="str">
        <f t="shared" si="19"/>
        <v/>
      </c>
      <c r="N138" s="391"/>
      <c r="O138" s="225" t="str">
        <f t="shared" si="11"/>
        <v/>
      </c>
      <c r="P138" s="225" t="str">
        <f t="shared" si="12"/>
        <v/>
      </c>
      <c r="Q138" s="289" t="str">
        <f>IF(AND(D138&lt;&gt;"",'Inputs Whole-Project Water Use'!Q138=""),0,IF('Inputs Whole-Project Water Use'!Q138&lt;&gt;"",'Inputs Whole-Project Water Use'!Q138,""))</f>
        <v/>
      </c>
      <c r="R138" s="225" t="str">
        <f t="shared" si="13"/>
        <v/>
      </c>
      <c r="S138" s="225" t="str">
        <f t="shared" si="14"/>
        <v/>
      </c>
      <c r="T138" s="231" t="str">
        <f t="shared" si="15"/>
        <v/>
      </c>
      <c r="U138" s="241"/>
      <c r="V138" s="241"/>
      <c r="W138" s="241"/>
      <c r="X138" s="241"/>
      <c r="Y138" s="241"/>
      <c r="Z138" s="241"/>
      <c r="AA138" s="241"/>
      <c r="AB138" s="241"/>
      <c r="AC138" s="241"/>
      <c r="AD138" s="241"/>
      <c r="AE138" s="241"/>
      <c r="AF138" s="241"/>
      <c r="AG138" s="241"/>
      <c r="AH138" s="241"/>
      <c r="AI138" s="241"/>
      <c r="AJ138" s="241"/>
      <c r="AK138" s="241"/>
      <c r="AL138" s="241"/>
      <c r="AM138" s="241"/>
      <c r="AN138" s="241"/>
      <c r="AO138" s="241"/>
      <c r="AP138" s="241"/>
      <c r="AQ138" s="241"/>
      <c r="AR138" s="241"/>
      <c r="AS138" s="241"/>
      <c r="AT138" s="241"/>
      <c r="AU138" s="241"/>
      <c r="AV138" s="241"/>
      <c r="AW138" s="241"/>
      <c r="AX138" s="241"/>
      <c r="AY138" s="241"/>
      <c r="AZ138" s="241"/>
    </row>
    <row r="139" spans="1:52" s="71" customFormat="1" ht="15" hidden="1" customHeight="1" outlineLevel="1" collapsed="1">
      <c r="A139" s="288"/>
      <c r="B139" s="302"/>
      <c r="C139" s="300"/>
      <c r="D139" s="300"/>
      <c r="E139" s="300"/>
      <c r="F139" s="300"/>
      <c r="G139" s="300"/>
      <c r="H139" s="300"/>
      <c r="I139" s="300"/>
      <c r="J139" s="257"/>
      <c r="K139" s="300"/>
      <c r="L139" s="300"/>
      <c r="M139" s="300"/>
      <c r="N139" s="257"/>
      <c r="O139" s="300"/>
      <c r="P139" s="300"/>
      <c r="Q139" s="300"/>
      <c r="R139" s="257"/>
      <c r="S139" s="300"/>
      <c r="T139" s="295"/>
      <c r="U139" s="176"/>
      <c r="V139" s="241"/>
      <c r="W139" s="241"/>
      <c r="X139" s="241"/>
      <c r="Y139" s="241"/>
      <c r="Z139" s="241"/>
      <c r="AA139" s="241"/>
      <c r="AB139" s="241"/>
      <c r="AC139" s="241"/>
      <c r="AD139" s="241"/>
      <c r="AE139" s="241"/>
      <c r="AF139" s="241"/>
      <c r="AG139" s="241"/>
      <c r="AH139" s="241"/>
      <c r="AI139" s="241"/>
      <c r="AJ139" s="241"/>
      <c r="AK139" s="241"/>
      <c r="AL139" s="241"/>
      <c r="AM139" s="241"/>
      <c r="AN139" s="241"/>
      <c r="AO139" s="241"/>
      <c r="AP139" s="241"/>
      <c r="AQ139" s="241"/>
      <c r="AR139" s="241"/>
      <c r="AS139" s="241"/>
      <c r="AT139" s="241"/>
      <c r="AU139" s="241"/>
      <c r="AV139" s="241"/>
      <c r="AW139" s="241"/>
      <c r="AX139" s="241"/>
      <c r="AY139" s="241"/>
      <c r="AZ139" s="241"/>
    </row>
    <row r="140" spans="1:52" ht="18" customHeight="1" collapsed="1">
      <c r="A140" s="250"/>
      <c r="B140" s="152" t="str">
        <f>'Inputs Whole-Project Water Use'!B140</f>
        <v>Total Annual Appliance Water Use | Water Use Savings (unit)</v>
      </c>
      <c r="C140" s="153"/>
      <c r="D140" s="153"/>
      <c r="E140" s="257"/>
      <c r="F140" s="257"/>
      <c r="G140" s="257"/>
      <c r="H140" s="257"/>
      <c r="I140" s="257"/>
      <c r="J140" s="257"/>
      <c r="K140" s="257"/>
      <c r="L140" s="257"/>
      <c r="M140" s="257"/>
      <c r="N140" s="257"/>
      <c r="O140" s="309">
        <f>SUM(logic_appawub)</f>
        <v>0</v>
      </c>
      <c r="P140" s="309">
        <f>SUM(logic_appawudwoaw)</f>
        <v>0</v>
      </c>
      <c r="Q140" s="309">
        <f>SUM(logic_appawuawa)</f>
        <v>0</v>
      </c>
      <c r="R140" s="309">
        <f>SUM(logic_appawud)</f>
        <v>0</v>
      </c>
      <c r="S140" s="309">
        <f>SUM(logic_appawusa)</f>
        <v>0</v>
      </c>
      <c r="T140" s="231">
        <f>IFERROR(S140/O140,0)</f>
        <v>0</v>
      </c>
      <c r="U140" s="241"/>
      <c r="V140" s="241"/>
      <c r="W140" s="241"/>
      <c r="X140" s="241"/>
      <c r="Y140" s="241"/>
      <c r="Z140" s="241"/>
      <c r="AA140" s="241"/>
      <c r="AB140" s="241"/>
      <c r="AC140" s="241"/>
      <c r="AD140" s="241"/>
      <c r="AE140" s="241"/>
      <c r="AF140" s="241"/>
      <c r="AG140" s="241"/>
      <c r="AH140" s="241"/>
      <c r="AI140" s="241"/>
      <c r="AJ140" s="241"/>
      <c r="AK140" s="241"/>
      <c r="AL140" s="241"/>
      <c r="AM140" s="241"/>
      <c r="AN140" s="241"/>
      <c r="AO140" s="241"/>
      <c r="AP140" s="241"/>
      <c r="AQ140" s="241"/>
      <c r="AR140" s="241"/>
      <c r="AS140" s="241"/>
      <c r="AT140" s="241"/>
      <c r="AU140" s="241"/>
      <c r="AV140" s="241"/>
      <c r="AW140" s="241"/>
      <c r="AX140" s="241"/>
      <c r="AY140" s="241"/>
      <c r="AZ140" s="241"/>
    </row>
    <row r="141" spans="1:52" ht="18" customHeight="1">
      <c r="A141" s="250"/>
      <c r="B141" s="250"/>
      <c r="C141" s="250"/>
      <c r="D141" s="250"/>
      <c r="E141" s="250"/>
      <c r="F141" s="250"/>
      <c r="G141" s="250"/>
      <c r="H141" s="250"/>
      <c r="I141" s="250"/>
      <c r="J141" s="250"/>
      <c r="K141" s="250"/>
      <c r="L141" s="250"/>
      <c r="M141" s="250"/>
      <c r="N141" s="250"/>
      <c r="O141" s="317"/>
      <c r="P141" s="317"/>
      <c r="Q141" s="317"/>
      <c r="R141" s="317"/>
      <c r="S141" s="317"/>
      <c r="T141" s="317"/>
      <c r="U141" s="241"/>
      <c r="V141" s="241"/>
      <c r="W141" s="241"/>
      <c r="X141" s="241"/>
      <c r="Y141" s="241"/>
      <c r="Z141" s="241"/>
      <c r="AA141" s="241"/>
      <c r="AB141" s="241"/>
      <c r="AC141" s="241"/>
      <c r="AD141" s="241"/>
      <c r="AE141" s="241"/>
      <c r="AF141" s="241"/>
      <c r="AG141" s="241"/>
      <c r="AH141" s="241"/>
      <c r="AI141" s="241"/>
      <c r="AJ141" s="241"/>
      <c r="AK141" s="241"/>
      <c r="AL141" s="241"/>
      <c r="AM141" s="241"/>
      <c r="AN141" s="241"/>
      <c r="AO141" s="241"/>
      <c r="AP141" s="241"/>
      <c r="AQ141" s="241"/>
      <c r="AR141" s="241"/>
      <c r="AS141" s="241"/>
      <c r="AT141" s="241"/>
      <c r="AU141" s="241"/>
      <c r="AV141" s="241"/>
      <c r="AW141" s="241"/>
      <c r="AX141" s="241"/>
      <c r="AY141" s="241"/>
      <c r="AZ141" s="241"/>
    </row>
    <row r="142" spans="1:52" ht="18" customHeight="1">
      <c r="A142" s="250"/>
      <c r="B142" s="250"/>
      <c r="C142" s="250"/>
      <c r="D142" s="250"/>
      <c r="E142" s="250"/>
      <c r="F142" s="250"/>
      <c r="G142" s="250"/>
      <c r="H142" s="250"/>
      <c r="I142" s="250"/>
      <c r="J142" s="250"/>
      <c r="K142" s="250"/>
      <c r="L142" s="250"/>
      <c r="M142" s="250"/>
      <c r="N142" s="250"/>
      <c r="O142" s="250"/>
      <c r="P142" s="250"/>
      <c r="Q142" s="242"/>
      <c r="R142" s="241"/>
      <c r="S142" s="241"/>
      <c r="T142" s="241"/>
      <c r="U142" s="241"/>
      <c r="V142" s="241"/>
      <c r="W142" s="241"/>
      <c r="X142" s="241"/>
      <c r="Y142" s="241"/>
      <c r="Z142" s="241"/>
      <c r="AA142" s="241"/>
      <c r="AB142" s="241"/>
      <c r="AC142" s="241"/>
      <c r="AD142" s="241"/>
      <c r="AE142" s="241"/>
      <c r="AF142" s="241"/>
      <c r="AG142" s="241"/>
      <c r="AH142" s="241"/>
      <c r="AI142" s="241"/>
      <c r="AJ142" s="241"/>
      <c r="AK142" s="241"/>
      <c r="AL142" s="241"/>
      <c r="AM142" s="241"/>
      <c r="AN142" s="241"/>
      <c r="AO142" s="241"/>
      <c r="AP142" s="241"/>
      <c r="AQ142" s="241"/>
      <c r="AR142" s="241"/>
      <c r="AS142" s="241"/>
      <c r="AT142" s="241"/>
      <c r="AU142" s="241"/>
      <c r="AV142" s="241"/>
      <c r="AW142" s="241"/>
      <c r="AX142" s="241"/>
      <c r="AY142" s="241"/>
      <c r="AZ142" s="241"/>
    </row>
    <row r="143" spans="1:52" ht="18" customHeight="1">
      <c r="A143" s="250"/>
      <c r="B143" s="142" t="s">
        <v>173</v>
      </c>
      <c r="C143" s="156"/>
      <c r="D143" s="143"/>
      <c r="E143" s="143"/>
      <c r="F143" s="143"/>
      <c r="G143" s="143"/>
      <c r="H143" s="143"/>
      <c r="I143" s="143"/>
      <c r="J143" s="143"/>
      <c r="K143" s="143"/>
      <c r="L143" s="143"/>
      <c r="M143" s="143"/>
      <c r="N143" s="143"/>
      <c r="O143" s="143"/>
      <c r="P143" s="143"/>
      <c r="Q143" s="143"/>
      <c r="R143" s="143"/>
      <c r="S143" s="143"/>
      <c r="T143" s="144"/>
      <c r="U143" s="241"/>
      <c r="V143" s="241"/>
      <c r="W143" s="241"/>
      <c r="X143" s="241"/>
      <c r="Y143" s="241"/>
      <c r="Z143" s="241"/>
      <c r="AA143" s="241"/>
      <c r="AB143" s="241"/>
      <c r="AC143" s="241"/>
      <c r="AD143" s="241"/>
      <c r="AE143" s="241"/>
      <c r="AF143" s="241"/>
      <c r="AG143" s="241"/>
      <c r="AH143" s="241"/>
      <c r="AI143" s="241"/>
      <c r="AJ143" s="241"/>
      <c r="AK143" s="241"/>
      <c r="AL143" s="241"/>
      <c r="AM143" s="241"/>
      <c r="AN143" s="241"/>
      <c r="AO143" s="241"/>
      <c r="AP143" s="241"/>
      <c r="AQ143" s="241"/>
      <c r="AR143" s="241"/>
      <c r="AS143" s="241"/>
      <c r="AT143" s="241"/>
      <c r="AU143" s="241"/>
      <c r="AV143" s="241"/>
      <c r="AW143" s="241"/>
      <c r="AX143" s="241"/>
      <c r="AY143" s="241"/>
      <c r="AZ143" s="241"/>
    </row>
    <row r="144" spans="1:52" ht="18" customHeight="1">
      <c r="A144" s="232"/>
      <c r="B144" s="232"/>
      <c r="C144" s="232"/>
      <c r="D144" s="232"/>
      <c r="E144" s="232"/>
      <c r="F144" s="232"/>
      <c r="G144" s="232"/>
      <c r="H144" s="232"/>
      <c r="I144" s="232"/>
      <c r="J144" s="232"/>
      <c r="K144" s="232"/>
      <c r="L144" s="232"/>
      <c r="M144" s="232"/>
      <c r="N144" s="232"/>
      <c r="O144" s="232"/>
      <c r="P144" s="242"/>
      <c r="Q144" s="241"/>
      <c r="R144" s="241"/>
      <c r="S144" s="241"/>
      <c r="T144" s="241"/>
      <c r="U144" s="241"/>
      <c r="V144" s="241"/>
      <c r="W144" s="241"/>
      <c r="X144" s="241"/>
      <c r="Y144" s="241"/>
      <c r="Z144" s="241"/>
      <c r="AA144" s="241"/>
      <c r="AB144" s="241"/>
      <c r="AC144" s="241"/>
      <c r="AD144" s="241"/>
      <c r="AE144" s="241"/>
      <c r="AF144" s="241"/>
      <c r="AG144" s="241"/>
      <c r="AH144" s="241"/>
      <c r="AI144" s="241"/>
      <c r="AJ144" s="241"/>
      <c r="AK144" s="241"/>
      <c r="AL144" s="241"/>
      <c r="AM144" s="241"/>
      <c r="AN144" s="241"/>
      <c r="AO144" s="241"/>
      <c r="AP144" s="241"/>
      <c r="AQ144" s="241"/>
      <c r="AR144" s="241"/>
      <c r="AS144" s="241"/>
      <c r="AT144" s="241"/>
      <c r="AU144" s="241"/>
      <c r="AV144" s="241"/>
      <c r="AW144" s="241"/>
      <c r="AX144" s="241"/>
      <c r="AY144" s="241"/>
      <c r="AZ144" s="241"/>
    </row>
    <row r="145" spans="1:52" s="244" customFormat="1" ht="17.399999999999999" customHeight="1">
      <c r="A145" s="175"/>
      <c r="B145" s="240" t="s">
        <v>156</v>
      </c>
      <c r="C145" s="241"/>
      <c r="D145" s="241"/>
      <c r="E145" s="241"/>
      <c r="F145" s="241"/>
      <c r="G145" s="242"/>
      <c r="H145" s="242"/>
      <c r="I145" s="242"/>
      <c r="J145" s="242"/>
      <c r="K145" s="242"/>
      <c r="L145" s="243"/>
      <c r="M145" s="243"/>
      <c r="N145" s="243"/>
      <c r="O145" s="243"/>
      <c r="P145" s="243"/>
      <c r="Q145" s="243"/>
      <c r="R145" s="241"/>
      <c r="S145" s="243"/>
      <c r="T145" s="243"/>
      <c r="U145" s="241"/>
      <c r="V145" s="241"/>
      <c r="W145" s="241"/>
      <c r="X145" s="241"/>
      <c r="Y145" s="241"/>
      <c r="Z145" s="241"/>
      <c r="AA145" s="241"/>
      <c r="AB145" s="241"/>
      <c r="AC145" s="241"/>
      <c r="AD145" s="241"/>
      <c r="AE145" s="241"/>
      <c r="AF145" s="241"/>
      <c r="AG145" s="241"/>
      <c r="AH145" s="241"/>
      <c r="AI145" s="241"/>
      <c r="AJ145" s="241"/>
      <c r="AK145" s="241"/>
      <c r="AL145" s="241"/>
      <c r="AM145" s="241"/>
      <c r="AN145" s="241"/>
      <c r="AO145" s="241"/>
      <c r="AP145" s="241"/>
      <c r="AQ145" s="241"/>
      <c r="AR145" s="241"/>
      <c r="AS145" s="241"/>
      <c r="AT145" s="241"/>
      <c r="AU145" s="241"/>
      <c r="AV145" s="241"/>
      <c r="AW145" s="241"/>
      <c r="AX145" s="241"/>
      <c r="AY145" s="241"/>
      <c r="AZ145" s="241"/>
    </row>
    <row r="146" spans="1:52" s="71" customFormat="1" ht="18" customHeight="1">
      <c r="A146" s="250"/>
      <c r="B146" s="152" t="s">
        <v>157</v>
      </c>
      <c r="C146" s="153"/>
      <c r="D146" s="153"/>
      <c r="E146" s="153"/>
      <c r="F146" s="153"/>
      <c r="G146" s="153"/>
      <c r="H146" s="152" t="s">
        <v>158</v>
      </c>
      <c r="I146" s="234"/>
      <c r="J146" s="234"/>
      <c r="K146" s="234"/>
      <c r="L146" s="234"/>
      <c r="M146" s="234"/>
      <c r="N146" s="234"/>
      <c r="O146" s="152" t="s">
        <v>348</v>
      </c>
      <c r="P146" s="234"/>
      <c r="Q146" s="234"/>
      <c r="R146" s="234"/>
      <c r="S146" s="234"/>
      <c r="T146" s="186"/>
      <c r="U146" s="241"/>
      <c r="V146" s="241"/>
      <c r="W146" s="241"/>
      <c r="X146" s="241"/>
      <c r="Y146" s="241"/>
      <c r="Z146" s="241"/>
      <c r="AA146" s="241"/>
      <c r="AB146" s="241"/>
      <c r="AC146" s="241"/>
      <c r="AD146" s="241"/>
      <c r="AE146" s="241"/>
      <c r="AF146" s="241"/>
      <c r="AG146" s="241"/>
      <c r="AH146" s="241"/>
      <c r="AI146" s="241"/>
      <c r="AJ146" s="241"/>
      <c r="AK146" s="241"/>
      <c r="AL146" s="241"/>
      <c r="AM146" s="241"/>
      <c r="AN146" s="241"/>
      <c r="AO146" s="241"/>
      <c r="AP146" s="241"/>
      <c r="AQ146" s="241"/>
      <c r="AR146" s="241"/>
      <c r="AS146" s="241"/>
      <c r="AT146" s="241"/>
      <c r="AU146" s="241"/>
      <c r="AV146" s="241"/>
      <c r="AW146" s="241"/>
      <c r="AX146" s="241"/>
      <c r="AY146" s="241"/>
      <c r="AZ146" s="241"/>
    </row>
    <row r="147" spans="1:52" s="71" customFormat="1" ht="18" customHeight="1">
      <c r="A147" s="175" t="s">
        <v>159</v>
      </c>
      <c r="B147" s="366" t="s">
        <v>160</v>
      </c>
      <c r="C147" s="366" t="s">
        <v>161</v>
      </c>
      <c r="D147" s="381" t="s">
        <v>162</v>
      </c>
      <c r="E147" s="382"/>
      <c r="F147" s="366" t="s">
        <v>315</v>
      </c>
      <c r="G147" s="366" t="s">
        <v>349</v>
      </c>
      <c r="H147" s="357" t="s">
        <v>318</v>
      </c>
      <c r="I147" s="358"/>
      <c r="J147" s="359"/>
      <c r="K147" s="370" t="s">
        <v>347</v>
      </c>
      <c r="L147" s="371"/>
      <c r="M147" s="371"/>
      <c r="N147" s="372"/>
      <c r="O147" s="348" t="str">
        <f>CONCATENATE("Annual Water Use Baseline
(",(IF(inputs_units&lt;&gt;"",INDEX(data_genunitsvol,MATCH(inputs_units,data_genunits,0)),"unit")),")")</f>
        <v>Annual Water Use Baseline
(unit)</v>
      </c>
      <c r="P147" s="348" t="str">
        <f>CONCATENATE("Annual Water Use Design w/o Alt. Water
(",(IF(inputs_units&lt;&gt;"",INDEX(data_genunitsvol,MATCH(inputs_units,data_genunits,0)),"unit")),")")</f>
        <v>Annual Water Use Design w/o Alt. Water
(unit)</v>
      </c>
      <c r="Q147" s="346" t="str">
        <f>CONCATENATE("Annual Alternative Water Use
(",(IF(inputs_units&lt;&gt;"",INDEX(data_genunitsvol,MATCH(inputs_units,data_genunits,0)),"unit")),")")</f>
        <v>Annual Alternative Water Use
(unit)</v>
      </c>
      <c r="R147" s="348" t="str">
        <f>CONCATENATE("Annual Water Use Design
(",(IF(inputs_units&lt;&gt;"",INDEX(data_genunitsvol,MATCH(inputs_units,data_genunits,0)),"unit")),")")</f>
        <v>Annual Water Use Design
(unit)</v>
      </c>
      <c r="S147" s="348" t="str">
        <f>CONCATENATE("Annual Water Use Savings 
(",(IF(inputs_units&lt;&gt;"",INDEX(data_genunitsvol,MATCH(inputs_units,data_genunits,0)),"unit")),")")</f>
        <v>Annual Water Use Savings 
(unit)</v>
      </c>
      <c r="T147" s="348" t="s">
        <v>360</v>
      </c>
      <c r="U147" s="241"/>
      <c r="V147" s="241"/>
      <c r="W147" s="241"/>
      <c r="X147" s="241"/>
      <c r="Y147" s="241"/>
      <c r="Z147" s="241"/>
      <c r="AA147" s="241"/>
      <c r="AB147" s="241"/>
      <c r="AC147" s="241"/>
      <c r="AD147" s="241"/>
      <c r="AE147" s="241"/>
      <c r="AF147" s="241"/>
      <c r="AG147" s="241"/>
      <c r="AH147" s="241"/>
      <c r="AI147" s="241"/>
      <c r="AJ147" s="241"/>
      <c r="AK147" s="241"/>
      <c r="AL147" s="241"/>
      <c r="AM147" s="241"/>
      <c r="AN147" s="241"/>
      <c r="AO147" s="241"/>
      <c r="AP147" s="241"/>
      <c r="AQ147" s="241"/>
      <c r="AR147" s="241"/>
      <c r="AS147" s="241"/>
      <c r="AT147" s="241"/>
      <c r="AU147" s="241"/>
      <c r="AV147" s="241"/>
      <c r="AW147" s="241"/>
      <c r="AX147" s="241"/>
      <c r="AY147" s="241"/>
      <c r="AZ147" s="241"/>
    </row>
    <row r="148" spans="1:52" s="71" customFormat="1" ht="18" customHeight="1">
      <c r="A148" s="175"/>
      <c r="B148" s="367"/>
      <c r="C148" s="367"/>
      <c r="D148" s="383"/>
      <c r="E148" s="384"/>
      <c r="F148" s="367"/>
      <c r="G148" s="367"/>
      <c r="H148" s="348" t="s">
        <v>346</v>
      </c>
      <c r="I148" s="351" t="s">
        <v>153</v>
      </c>
      <c r="J148" s="352"/>
      <c r="K148" s="348" t="s">
        <v>163</v>
      </c>
      <c r="L148" s="348" t="s">
        <v>164</v>
      </c>
      <c r="M148" s="351" t="s">
        <v>153</v>
      </c>
      <c r="N148" s="352"/>
      <c r="O148" s="349"/>
      <c r="P148" s="349"/>
      <c r="Q148" s="347"/>
      <c r="R148" s="349"/>
      <c r="S148" s="349"/>
      <c r="T148" s="349"/>
      <c r="U148" s="241"/>
      <c r="V148" s="241"/>
      <c r="W148" s="241"/>
      <c r="X148" s="241"/>
      <c r="Y148" s="241"/>
      <c r="Z148" s="241"/>
      <c r="AA148" s="241"/>
      <c r="AB148" s="241"/>
      <c r="AC148" s="241"/>
      <c r="AD148" s="241"/>
      <c r="AE148" s="241"/>
      <c r="AF148" s="241"/>
      <c r="AG148" s="241"/>
      <c r="AH148" s="241"/>
      <c r="AI148" s="241"/>
      <c r="AJ148" s="241"/>
      <c r="AK148" s="241"/>
      <c r="AL148" s="241"/>
      <c r="AM148" s="241"/>
      <c r="AN148" s="241"/>
      <c r="AO148" s="241"/>
      <c r="AP148" s="241"/>
      <c r="AQ148" s="241"/>
      <c r="AR148" s="241"/>
      <c r="AS148" s="241"/>
      <c r="AT148" s="241"/>
      <c r="AU148" s="241"/>
      <c r="AV148" s="241"/>
      <c r="AW148" s="241"/>
      <c r="AX148" s="241"/>
      <c r="AY148" s="241"/>
      <c r="AZ148" s="241"/>
    </row>
    <row r="149" spans="1:52" s="71" customFormat="1" ht="18" customHeight="1">
      <c r="A149" s="175"/>
      <c r="B149" s="368"/>
      <c r="C149" s="368"/>
      <c r="D149" s="385"/>
      <c r="E149" s="386"/>
      <c r="F149" s="368"/>
      <c r="G149" s="368"/>
      <c r="H149" s="350"/>
      <c r="I149" s="353"/>
      <c r="J149" s="354"/>
      <c r="K149" s="350"/>
      <c r="L149" s="350"/>
      <c r="M149" s="353"/>
      <c r="N149" s="354"/>
      <c r="O149" s="350"/>
      <c r="P149" s="350"/>
      <c r="Q149" s="301" t="s">
        <v>298</v>
      </c>
      <c r="R149" s="350"/>
      <c r="S149" s="350"/>
      <c r="T149" s="350"/>
      <c r="U149" s="241"/>
      <c r="V149" s="241"/>
      <c r="W149" s="241"/>
      <c r="X149" s="241"/>
      <c r="Y149" s="241"/>
      <c r="Z149" s="241"/>
      <c r="AA149" s="241"/>
      <c r="AB149" s="241"/>
      <c r="AC149" s="241"/>
      <c r="AD149" s="241"/>
      <c r="AE149" s="241"/>
      <c r="AF149" s="241"/>
      <c r="AG149" s="241"/>
      <c r="AH149" s="241"/>
      <c r="AI149" s="241"/>
      <c r="AJ149" s="241"/>
      <c r="AK149" s="241"/>
      <c r="AL149" s="241"/>
      <c r="AM149" s="241"/>
      <c r="AN149" s="241"/>
      <c r="AO149" s="241"/>
      <c r="AP149" s="241"/>
      <c r="AQ149" s="241"/>
      <c r="AR149" s="241"/>
      <c r="AS149" s="241"/>
      <c r="AT149" s="241"/>
      <c r="AU149" s="241"/>
      <c r="AV149" s="241"/>
      <c r="AW149" s="241"/>
      <c r="AX149" s="241"/>
      <c r="AY149" s="241"/>
      <c r="AZ149" s="241"/>
    </row>
    <row r="150" spans="1:52" s="71" customFormat="1" ht="18" customHeight="1">
      <c r="A150" s="175">
        <v>1</v>
      </c>
      <c r="B150" s="312" t="str">
        <f>(IF('Inputs Whole-Project Water Use'!B150&lt;&gt;"",'Inputs Whole-Project Water Use'!B150,""))</f>
        <v/>
      </c>
      <c r="C150" s="313" t="str">
        <f>IF(AND(D150&lt;&gt;"",'Inputs Whole-Project Water Use'!C150=""),1,IF('Inputs Whole-Project Water Use'!C150&lt;&gt;"",'Inputs Whole-Project Water Use'!C150,""))</f>
        <v/>
      </c>
      <c r="D150" s="397" t="str">
        <f>IF('Inputs Whole-Project Water Use'!D150&lt;&gt;"",'Inputs Whole-Project Water Use'!D150,"")</f>
        <v/>
      </c>
      <c r="E150" s="398"/>
      <c r="F150" s="314" t="str">
        <f>IF('Inputs Whole-Project Water Use'!F150&lt;&gt;"",'Inputs Whole-Project Water Use'!F150,"")</f>
        <v/>
      </c>
      <c r="G150" s="314" t="str">
        <f>IF('Inputs Whole-Project Water Use'!G150&lt;&gt;"",'Inputs Whole-Project Water Use'!G150,"")</f>
        <v/>
      </c>
      <c r="H150" s="315" t="str">
        <f>IF('Inputs Whole-Project Water Use'!H150&lt;&gt;"",'Inputs Whole-Project Water Use'!H150,"")</f>
        <v/>
      </c>
      <c r="I150" s="390" t="str">
        <f t="shared" ref="I150:I213" si="20">IFERROR(IF(logic_units&lt;&gt;"SI Units",INDEX(data_dumip,MATCH($D150,data_waterusetypes,0)),INDEX(data_dumsi,MATCH($D150,data_waterusetypes,0))),"")</f>
        <v/>
      </c>
      <c r="J150" s="391"/>
      <c r="K150" s="316" t="str">
        <f>IF('Inputs Whole-Project Water Use'!K150&lt;&gt;"",'Inputs Whole-Project Water Use'!K150,"")</f>
        <v/>
      </c>
      <c r="L150" s="316" t="str">
        <f>IF('Inputs Whole-Project Water Use'!L150&lt;&gt;"",'Inputs Whole-Project Water Use'!L150,"")</f>
        <v/>
      </c>
      <c r="M150" s="390" t="str">
        <f t="shared" ref="M150:M213" si="21">IFERROR(IF(logic_units&lt;&gt;"SI Units",INDEX(data_wurip,MATCH($D150,data_waterusetypes,0)),INDEX(data_wursi,MATCH($D150,data_waterusetypes,0))),"")</f>
        <v/>
      </c>
      <c r="N150" s="391"/>
      <c r="O150" s="225" t="str">
        <f>IFERROR(IF(OR($F150&lt;&gt;"",$G150&lt;&gt;"",$H150&lt;&gt;"",K150&lt;&gt;""),$C150*$F150*$G150*$H150*K150,""),"")</f>
        <v/>
      </c>
      <c r="P150" s="225" t="str">
        <f>IFERROR(IF(OR($F150&lt;&gt;"",$G150&lt;&gt;"",$H150&lt;&gt;"",L150&lt;&gt;""),$C150*$F150*$G150*$H150*L150,""),"")</f>
        <v/>
      </c>
      <c r="Q150" s="289" t="str">
        <f>IF(AND(D150&lt;&gt;"",'Inputs Whole-Project Water Use'!Q150=""),0,IF('Inputs Whole-Project Water Use'!Q150&lt;&gt;"",'Inputs Whole-Project Water Use'!Q150,""))</f>
        <v/>
      </c>
      <c r="R150" s="225" t="str">
        <f>IFERROR(IF(P150&lt;&gt;"",(P150-Q150),""),"")</f>
        <v/>
      </c>
      <c r="S150" s="225" t="str">
        <f>IFERROR(IF(OR(O150&lt;&gt;"",P150&lt;&gt;""),O150-R150,""),"")</f>
        <v/>
      </c>
      <c r="T150" s="231" t="str">
        <f>IFERROR(S150/O150,"")</f>
        <v/>
      </c>
      <c r="U150" s="241"/>
      <c r="V150" s="241"/>
      <c r="W150" s="241"/>
      <c r="X150" s="241"/>
      <c r="Y150" s="241"/>
      <c r="Z150" s="241"/>
      <c r="AA150" s="241"/>
      <c r="AB150" s="241"/>
      <c r="AC150" s="241"/>
      <c r="AD150" s="241"/>
      <c r="AE150" s="241"/>
      <c r="AF150" s="241"/>
      <c r="AG150" s="241"/>
      <c r="AH150" s="241"/>
      <c r="AI150" s="241"/>
      <c r="AJ150" s="241"/>
      <c r="AK150" s="241"/>
      <c r="AL150" s="241"/>
      <c r="AM150" s="241"/>
      <c r="AN150" s="241"/>
      <c r="AO150" s="241"/>
      <c r="AP150" s="241"/>
      <c r="AQ150" s="241"/>
      <c r="AR150" s="241"/>
      <c r="AS150" s="241"/>
      <c r="AT150" s="241"/>
      <c r="AU150" s="241"/>
      <c r="AV150" s="241"/>
      <c r="AW150" s="241"/>
      <c r="AX150" s="241"/>
      <c r="AY150" s="241"/>
      <c r="AZ150" s="241"/>
    </row>
    <row r="151" spans="1:52" s="71" customFormat="1" ht="18" customHeight="1">
      <c r="A151" s="175">
        <v>2</v>
      </c>
      <c r="B151" s="312" t="str">
        <f>(IF('Inputs Whole-Project Water Use'!B151&lt;&gt;"",'Inputs Whole-Project Water Use'!B151,""))</f>
        <v/>
      </c>
      <c r="C151" s="313" t="str">
        <f>IF(AND(D151&lt;&gt;"",'Inputs Whole-Project Water Use'!C151=""),1,IF('Inputs Whole-Project Water Use'!C151&lt;&gt;"",'Inputs Whole-Project Water Use'!C151,""))</f>
        <v/>
      </c>
      <c r="D151" s="397" t="str">
        <f>IF('Inputs Whole-Project Water Use'!D151&lt;&gt;"",'Inputs Whole-Project Water Use'!D151,"")</f>
        <v/>
      </c>
      <c r="E151" s="398"/>
      <c r="F151" s="314" t="str">
        <f>IF('Inputs Whole-Project Water Use'!F151&lt;&gt;"",'Inputs Whole-Project Water Use'!F151,"")</f>
        <v/>
      </c>
      <c r="G151" s="314" t="str">
        <f>IF('Inputs Whole-Project Water Use'!G151&lt;&gt;"",'Inputs Whole-Project Water Use'!G151,"")</f>
        <v/>
      </c>
      <c r="H151" s="315" t="str">
        <f>IF('Inputs Whole-Project Water Use'!H151&lt;&gt;"",'Inputs Whole-Project Water Use'!H151,"")</f>
        <v/>
      </c>
      <c r="I151" s="390" t="str">
        <f t="shared" si="20"/>
        <v/>
      </c>
      <c r="J151" s="391"/>
      <c r="K151" s="316" t="str">
        <f>IF('Inputs Whole-Project Water Use'!K151&lt;&gt;"",'Inputs Whole-Project Water Use'!K151,"")</f>
        <v/>
      </c>
      <c r="L151" s="316" t="str">
        <f>IF('Inputs Whole-Project Water Use'!L151&lt;&gt;"",'Inputs Whole-Project Water Use'!L151,"")</f>
        <v/>
      </c>
      <c r="M151" s="390" t="str">
        <f t="shared" si="21"/>
        <v/>
      </c>
      <c r="N151" s="391"/>
      <c r="O151" s="225" t="str">
        <f t="shared" ref="O151:O214" si="22">IFERROR(IF(OR($F151&lt;&gt;"",$G151&lt;&gt;"",$H151&lt;&gt;"",K151&lt;&gt;""),$C151*$F151*$G151*$H151*K151,""),"")</f>
        <v/>
      </c>
      <c r="P151" s="225" t="str">
        <f t="shared" ref="P151:P214" si="23">IFERROR(IF(OR($F151&lt;&gt;"",$G151&lt;&gt;"",$H151&lt;&gt;"",L151&lt;&gt;""),$C151*$F151*$G151*$H151*L151,""),"")</f>
        <v/>
      </c>
      <c r="Q151" s="289" t="str">
        <f>IF(AND(D151&lt;&gt;"",'Inputs Whole-Project Water Use'!Q151=""),0,IF('Inputs Whole-Project Water Use'!Q151&lt;&gt;"",'Inputs Whole-Project Water Use'!Q151,""))</f>
        <v/>
      </c>
      <c r="R151" s="225" t="str">
        <f t="shared" ref="R151:R214" si="24">IFERROR(IF(P151&lt;&gt;"",(P151-Q151),""),"")</f>
        <v/>
      </c>
      <c r="S151" s="225" t="str">
        <f t="shared" ref="S151:S214" si="25">IFERROR(IF(OR(O151&lt;&gt;"",P151&lt;&gt;""),O151-R151,""),"")</f>
        <v/>
      </c>
      <c r="T151" s="231" t="str">
        <f t="shared" ref="T151:T214" si="26">IFERROR(S151/O151,"")</f>
        <v/>
      </c>
      <c r="U151" s="241"/>
      <c r="V151" s="241"/>
      <c r="W151" s="241"/>
      <c r="X151" s="241"/>
      <c r="Y151" s="241"/>
      <c r="Z151" s="241"/>
      <c r="AA151" s="241"/>
      <c r="AB151" s="241"/>
      <c r="AC151" s="241"/>
      <c r="AD151" s="241"/>
      <c r="AE151" s="241"/>
      <c r="AF151" s="241"/>
      <c r="AG151" s="241"/>
      <c r="AH151" s="241"/>
      <c r="AI151" s="241"/>
      <c r="AJ151" s="241"/>
      <c r="AK151" s="241"/>
      <c r="AL151" s="241"/>
      <c r="AM151" s="241"/>
      <c r="AN151" s="241"/>
      <c r="AO151" s="241"/>
      <c r="AP151" s="241"/>
      <c r="AQ151" s="241"/>
      <c r="AR151" s="241"/>
      <c r="AS151" s="241"/>
      <c r="AT151" s="241"/>
      <c r="AU151" s="241"/>
      <c r="AV151" s="241"/>
      <c r="AW151" s="241"/>
      <c r="AX151" s="241"/>
      <c r="AY151" s="241"/>
      <c r="AZ151" s="241"/>
    </row>
    <row r="152" spans="1:52" s="71" customFormat="1" ht="18" customHeight="1">
      <c r="A152" s="175">
        <v>3</v>
      </c>
      <c r="B152" s="312" t="str">
        <f>(IF('Inputs Whole-Project Water Use'!B152&lt;&gt;"",'Inputs Whole-Project Water Use'!B152,""))</f>
        <v/>
      </c>
      <c r="C152" s="313" t="str">
        <f>IF(AND(D152&lt;&gt;"",'Inputs Whole-Project Water Use'!C152=""),1,IF('Inputs Whole-Project Water Use'!C152&lt;&gt;"",'Inputs Whole-Project Water Use'!C152,""))</f>
        <v/>
      </c>
      <c r="D152" s="397" t="str">
        <f>IF('Inputs Whole-Project Water Use'!D152&lt;&gt;"",'Inputs Whole-Project Water Use'!D152,"")</f>
        <v/>
      </c>
      <c r="E152" s="398"/>
      <c r="F152" s="314" t="str">
        <f>IF('Inputs Whole-Project Water Use'!F152&lt;&gt;"",'Inputs Whole-Project Water Use'!F152,"")</f>
        <v/>
      </c>
      <c r="G152" s="314" t="str">
        <f>IF('Inputs Whole-Project Water Use'!G152&lt;&gt;"",'Inputs Whole-Project Water Use'!G152,"")</f>
        <v/>
      </c>
      <c r="H152" s="315" t="str">
        <f>IF('Inputs Whole-Project Water Use'!H152&lt;&gt;"",'Inputs Whole-Project Water Use'!H152,"")</f>
        <v/>
      </c>
      <c r="I152" s="390" t="str">
        <f t="shared" si="20"/>
        <v/>
      </c>
      <c r="J152" s="391"/>
      <c r="K152" s="316" t="str">
        <f>IF('Inputs Whole-Project Water Use'!K152&lt;&gt;"",'Inputs Whole-Project Water Use'!K152,"")</f>
        <v/>
      </c>
      <c r="L152" s="316" t="str">
        <f>IF('Inputs Whole-Project Water Use'!L152&lt;&gt;"",'Inputs Whole-Project Water Use'!L152,"")</f>
        <v/>
      </c>
      <c r="M152" s="390" t="str">
        <f t="shared" si="21"/>
        <v/>
      </c>
      <c r="N152" s="391"/>
      <c r="O152" s="225" t="str">
        <f t="shared" si="22"/>
        <v/>
      </c>
      <c r="P152" s="225" t="str">
        <f t="shared" si="23"/>
        <v/>
      </c>
      <c r="Q152" s="289" t="str">
        <f>IF(AND(D152&lt;&gt;"",'Inputs Whole-Project Water Use'!Q152=""),0,IF('Inputs Whole-Project Water Use'!Q152&lt;&gt;"",'Inputs Whole-Project Water Use'!Q152,""))</f>
        <v/>
      </c>
      <c r="R152" s="225" t="str">
        <f t="shared" si="24"/>
        <v/>
      </c>
      <c r="S152" s="225" t="str">
        <f t="shared" si="25"/>
        <v/>
      </c>
      <c r="T152" s="231" t="str">
        <f t="shared" si="26"/>
        <v/>
      </c>
      <c r="U152" s="241"/>
      <c r="V152" s="241"/>
      <c r="W152" s="241"/>
      <c r="X152" s="241"/>
      <c r="Y152" s="241"/>
      <c r="Z152" s="241"/>
      <c r="AA152" s="241"/>
      <c r="AB152" s="241"/>
      <c r="AC152" s="241"/>
      <c r="AD152" s="241"/>
      <c r="AE152" s="241"/>
      <c r="AF152" s="241"/>
      <c r="AG152" s="241"/>
      <c r="AH152" s="241"/>
      <c r="AI152" s="241"/>
      <c r="AJ152" s="241"/>
      <c r="AK152" s="241"/>
      <c r="AL152" s="241"/>
      <c r="AM152" s="241"/>
      <c r="AN152" s="241"/>
      <c r="AO152" s="241"/>
      <c r="AP152" s="241"/>
      <c r="AQ152" s="241"/>
      <c r="AR152" s="241"/>
      <c r="AS152" s="241"/>
      <c r="AT152" s="241"/>
      <c r="AU152" s="241"/>
      <c r="AV152" s="241"/>
      <c r="AW152" s="241"/>
      <c r="AX152" s="241"/>
      <c r="AY152" s="241"/>
      <c r="AZ152" s="241"/>
    </row>
    <row r="153" spans="1:52" s="71" customFormat="1" ht="18" customHeight="1">
      <c r="A153" s="175">
        <v>4</v>
      </c>
      <c r="B153" s="312" t="str">
        <f>(IF('Inputs Whole-Project Water Use'!B153&lt;&gt;"",'Inputs Whole-Project Water Use'!B153,""))</f>
        <v/>
      </c>
      <c r="C153" s="313" t="str">
        <f>IF(AND(D153&lt;&gt;"",'Inputs Whole-Project Water Use'!C153=""),1,IF('Inputs Whole-Project Water Use'!C153&lt;&gt;"",'Inputs Whole-Project Water Use'!C153,""))</f>
        <v/>
      </c>
      <c r="D153" s="397" t="str">
        <f>IF('Inputs Whole-Project Water Use'!D153&lt;&gt;"",'Inputs Whole-Project Water Use'!D153,"")</f>
        <v/>
      </c>
      <c r="E153" s="398"/>
      <c r="F153" s="314" t="str">
        <f>IF('Inputs Whole-Project Water Use'!F153&lt;&gt;"",'Inputs Whole-Project Water Use'!F153,"")</f>
        <v/>
      </c>
      <c r="G153" s="314" t="str">
        <f>IF('Inputs Whole-Project Water Use'!G153&lt;&gt;"",'Inputs Whole-Project Water Use'!G153,"")</f>
        <v/>
      </c>
      <c r="H153" s="315" t="str">
        <f>IF('Inputs Whole-Project Water Use'!H153&lt;&gt;"",'Inputs Whole-Project Water Use'!H153,"")</f>
        <v/>
      </c>
      <c r="I153" s="390" t="str">
        <f t="shared" si="20"/>
        <v/>
      </c>
      <c r="J153" s="391"/>
      <c r="K153" s="316" t="str">
        <f>IF('Inputs Whole-Project Water Use'!K153&lt;&gt;"",'Inputs Whole-Project Water Use'!K153,"")</f>
        <v/>
      </c>
      <c r="L153" s="316" t="str">
        <f>IF('Inputs Whole-Project Water Use'!L153&lt;&gt;"",'Inputs Whole-Project Water Use'!L153,"")</f>
        <v/>
      </c>
      <c r="M153" s="390" t="str">
        <f t="shared" si="21"/>
        <v/>
      </c>
      <c r="N153" s="391"/>
      <c r="O153" s="225" t="str">
        <f t="shared" si="22"/>
        <v/>
      </c>
      <c r="P153" s="225" t="str">
        <f t="shared" si="23"/>
        <v/>
      </c>
      <c r="Q153" s="289" t="str">
        <f>IF(AND(D153&lt;&gt;"",'Inputs Whole-Project Water Use'!Q153=""),0,IF('Inputs Whole-Project Water Use'!Q153&lt;&gt;"",'Inputs Whole-Project Water Use'!Q153,""))</f>
        <v/>
      </c>
      <c r="R153" s="225" t="str">
        <f t="shared" si="24"/>
        <v/>
      </c>
      <c r="S153" s="225" t="str">
        <f t="shared" si="25"/>
        <v/>
      </c>
      <c r="T153" s="231" t="str">
        <f t="shared" si="26"/>
        <v/>
      </c>
      <c r="U153" s="241"/>
      <c r="V153" s="241"/>
      <c r="W153" s="241"/>
      <c r="X153" s="241"/>
      <c r="Y153" s="241"/>
      <c r="Z153" s="241"/>
      <c r="AA153" s="241"/>
      <c r="AB153" s="241"/>
      <c r="AC153" s="241"/>
      <c r="AD153" s="241"/>
      <c r="AE153" s="241"/>
      <c r="AF153" s="241"/>
      <c r="AG153" s="241"/>
      <c r="AH153" s="241"/>
      <c r="AI153" s="241"/>
      <c r="AJ153" s="241"/>
      <c r="AK153" s="241"/>
      <c r="AL153" s="241"/>
      <c r="AM153" s="241"/>
      <c r="AN153" s="241"/>
      <c r="AO153" s="241"/>
      <c r="AP153" s="241"/>
      <c r="AQ153" s="241"/>
      <c r="AR153" s="241"/>
      <c r="AS153" s="241"/>
      <c r="AT153" s="241"/>
      <c r="AU153" s="241"/>
      <c r="AV153" s="241"/>
      <c r="AW153" s="241"/>
      <c r="AX153" s="241"/>
      <c r="AY153" s="241"/>
      <c r="AZ153" s="241"/>
    </row>
    <row r="154" spans="1:52" s="71" customFormat="1" ht="18" customHeight="1">
      <c r="A154" s="175">
        <v>5</v>
      </c>
      <c r="B154" s="312" t="str">
        <f>(IF('Inputs Whole-Project Water Use'!B154&lt;&gt;"",'Inputs Whole-Project Water Use'!B154,""))</f>
        <v/>
      </c>
      <c r="C154" s="313" t="str">
        <f>IF(AND(D154&lt;&gt;"",'Inputs Whole-Project Water Use'!C154=""),1,IF('Inputs Whole-Project Water Use'!C154&lt;&gt;"",'Inputs Whole-Project Water Use'!C154,""))</f>
        <v/>
      </c>
      <c r="D154" s="397" t="str">
        <f>IF('Inputs Whole-Project Water Use'!D154&lt;&gt;"",'Inputs Whole-Project Water Use'!D154,"")</f>
        <v/>
      </c>
      <c r="E154" s="398"/>
      <c r="F154" s="314" t="str">
        <f>IF('Inputs Whole-Project Water Use'!F154&lt;&gt;"",'Inputs Whole-Project Water Use'!F154,"")</f>
        <v/>
      </c>
      <c r="G154" s="314" t="str">
        <f>IF('Inputs Whole-Project Water Use'!G154&lt;&gt;"",'Inputs Whole-Project Water Use'!G154,"")</f>
        <v/>
      </c>
      <c r="H154" s="315" t="str">
        <f>IF('Inputs Whole-Project Water Use'!H154&lt;&gt;"",'Inputs Whole-Project Water Use'!H154,"")</f>
        <v/>
      </c>
      <c r="I154" s="390" t="str">
        <f t="shared" si="20"/>
        <v/>
      </c>
      <c r="J154" s="391"/>
      <c r="K154" s="316" t="str">
        <f>IF('Inputs Whole-Project Water Use'!K154&lt;&gt;"",'Inputs Whole-Project Water Use'!K154,"")</f>
        <v/>
      </c>
      <c r="L154" s="316" t="str">
        <f>IF('Inputs Whole-Project Water Use'!L154&lt;&gt;"",'Inputs Whole-Project Water Use'!L154,"")</f>
        <v/>
      </c>
      <c r="M154" s="390" t="str">
        <f t="shared" si="21"/>
        <v/>
      </c>
      <c r="N154" s="391"/>
      <c r="O154" s="225" t="str">
        <f t="shared" si="22"/>
        <v/>
      </c>
      <c r="P154" s="225" t="str">
        <f t="shared" si="23"/>
        <v/>
      </c>
      <c r="Q154" s="289" t="str">
        <f>IF(AND(D154&lt;&gt;"",'Inputs Whole-Project Water Use'!Q154=""),0,IF('Inputs Whole-Project Water Use'!Q154&lt;&gt;"",'Inputs Whole-Project Water Use'!Q154,""))</f>
        <v/>
      </c>
      <c r="R154" s="225" t="str">
        <f t="shared" si="24"/>
        <v/>
      </c>
      <c r="S154" s="225" t="str">
        <f t="shared" si="25"/>
        <v/>
      </c>
      <c r="T154" s="231" t="str">
        <f t="shared" si="26"/>
        <v/>
      </c>
      <c r="U154" s="241"/>
      <c r="V154" s="241"/>
      <c r="W154" s="241"/>
      <c r="X154" s="241"/>
      <c r="Y154" s="241"/>
      <c r="Z154" s="241"/>
      <c r="AA154" s="241"/>
      <c r="AB154" s="241"/>
      <c r="AC154" s="241"/>
      <c r="AD154" s="241"/>
      <c r="AE154" s="241"/>
      <c r="AF154" s="241"/>
      <c r="AG154" s="241"/>
      <c r="AH154" s="241"/>
      <c r="AI154" s="241"/>
      <c r="AJ154" s="241"/>
      <c r="AK154" s="241"/>
      <c r="AL154" s="241"/>
      <c r="AM154" s="241"/>
      <c r="AN154" s="241"/>
      <c r="AO154" s="241"/>
      <c r="AP154" s="241"/>
      <c r="AQ154" s="241"/>
      <c r="AR154" s="241"/>
      <c r="AS154" s="241"/>
      <c r="AT154" s="241"/>
      <c r="AU154" s="241"/>
      <c r="AV154" s="241"/>
      <c r="AW154" s="241"/>
      <c r="AX154" s="241"/>
      <c r="AY154" s="241"/>
      <c r="AZ154" s="241"/>
    </row>
    <row r="155" spans="1:52" s="71" customFormat="1" ht="18" customHeight="1">
      <c r="A155" s="175">
        <v>6</v>
      </c>
      <c r="B155" s="312" t="str">
        <f>(IF('Inputs Whole-Project Water Use'!B155&lt;&gt;"",'Inputs Whole-Project Water Use'!B155,""))</f>
        <v/>
      </c>
      <c r="C155" s="313" t="str">
        <f>IF(AND(D155&lt;&gt;"",'Inputs Whole-Project Water Use'!C155=""),1,IF('Inputs Whole-Project Water Use'!C155&lt;&gt;"",'Inputs Whole-Project Water Use'!C155,""))</f>
        <v/>
      </c>
      <c r="D155" s="397" t="str">
        <f>IF('Inputs Whole-Project Water Use'!D155&lt;&gt;"",'Inputs Whole-Project Water Use'!D155,"")</f>
        <v/>
      </c>
      <c r="E155" s="398"/>
      <c r="F155" s="314" t="str">
        <f>IF('Inputs Whole-Project Water Use'!F155&lt;&gt;"",'Inputs Whole-Project Water Use'!F155,"")</f>
        <v/>
      </c>
      <c r="G155" s="314" t="str">
        <f>IF('Inputs Whole-Project Water Use'!G155&lt;&gt;"",'Inputs Whole-Project Water Use'!G155,"")</f>
        <v/>
      </c>
      <c r="H155" s="315" t="str">
        <f>IF('Inputs Whole-Project Water Use'!H155&lt;&gt;"",'Inputs Whole-Project Water Use'!H155,"")</f>
        <v/>
      </c>
      <c r="I155" s="390" t="str">
        <f t="shared" si="20"/>
        <v/>
      </c>
      <c r="J155" s="391"/>
      <c r="K155" s="316" t="str">
        <f>IF('Inputs Whole-Project Water Use'!K155&lt;&gt;"",'Inputs Whole-Project Water Use'!K155,"")</f>
        <v/>
      </c>
      <c r="L155" s="316" t="str">
        <f>IF('Inputs Whole-Project Water Use'!L155&lt;&gt;"",'Inputs Whole-Project Water Use'!L155,"")</f>
        <v/>
      </c>
      <c r="M155" s="390" t="str">
        <f t="shared" si="21"/>
        <v/>
      </c>
      <c r="N155" s="391"/>
      <c r="O155" s="225" t="str">
        <f t="shared" si="22"/>
        <v/>
      </c>
      <c r="P155" s="225" t="str">
        <f t="shared" si="23"/>
        <v/>
      </c>
      <c r="Q155" s="289" t="str">
        <f>IF(AND(D155&lt;&gt;"",'Inputs Whole-Project Water Use'!Q155=""),0,IF('Inputs Whole-Project Water Use'!Q155&lt;&gt;"",'Inputs Whole-Project Water Use'!Q155,""))</f>
        <v/>
      </c>
      <c r="R155" s="225" t="str">
        <f t="shared" si="24"/>
        <v/>
      </c>
      <c r="S155" s="225" t="str">
        <f t="shared" si="25"/>
        <v/>
      </c>
      <c r="T155" s="231" t="str">
        <f t="shared" si="26"/>
        <v/>
      </c>
      <c r="U155" s="241"/>
      <c r="V155" s="241"/>
      <c r="W155" s="241"/>
      <c r="X155" s="241"/>
      <c r="Y155" s="241"/>
      <c r="Z155" s="241"/>
      <c r="AA155" s="241"/>
      <c r="AB155" s="241"/>
      <c r="AC155" s="241"/>
      <c r="AD155" s="241"/>
      <c r="AE155" s="241"/>
      <c r="AF155" s="241"/>
      <c r="AG155" s="241"/>
      <c r="AH155" s="241"/>
      <c r="AI155" s="241"/>
      <c r="AJ155" s="241"/>
      <c r="AK155" s="241"/>
      <c r="AL155" s="241"/>
      <c r="AM155" s="241"/>
      <c r="AN155" s="241"/>
      <c r="AO155" s="241"/>
      <c r="AP155" s="241"/>
      <c r="AQ155" s="241"/>
      <c r="AR155" s="241"/>
      <c r="AS155" s="241"/>
      <c r="AT155" s="241"/>
      <c r="AU155" s="241"/>
      <c r="AV155" s="241"/>
      <c r="AW155" s="241"/>
      <c r="AX155" s="241"/>
      <c r="AY155" s="241"/>
      <c r="AZ155" s="241"/>
    </row>
    <row r="156" spans="1:52" s="71" customFormat="1" ht="18" customHeight="1">
      <c r="A156" s="175">
        <v>7</v>
      </c>
      <c r="B156" s="312" t="str">
        <f>(IF('Inputs Whole-Project Water Use'!B156&lt;&gt;"",'Inputs Whole-Project Water Use'!B156,""))</f>
        <v/>
      </c>
      <c r="C156" s="313" t="str">
        <f>IF(AND(D156&lt;&gt;"",'Inputs Whole-Project Water Use'!C156=""),1,IF('Inputs Whole-Project Water Use'!C156&lt;&gt;"",'Inputs Whole-Project Water Use'!C156,""))</f>
        <v/>
      </c>
      <c r="D156" s="397" t="str">
        <f>IF('Inputs Whole-Project Water Use'!D156&lt;&gt;"",'Inputs Whole-Project Water Use'!D156,"")</f>
        <v/>
      </c>
      <c r="E156" s="398"/>
      <c r="F156" s="314" t="str">
        <f>IF('Inputs Whole-Project Water Use'!F156&lt;&gt;"",'Inputs Whole-Project Water Use'!F156,"")</f>
        <v/>
      </c>
      <c r="G156" s="314" t="str">
        <f>IF('Inputs Whole-Project Water Use'!G156&lt;&gt;"",'Inputs Whole-Project Water Use'!G156,"")</f>
        <v/>
      </c>
      <c r="H156" s="315" t="str">
        <f>IF('Inputs Whole-Project Water Use'!H156&lt;&gt;"",'Inputs Whole-Project Water Use'!H156,"")</f>
        <v/>
      </c>
      <c r="I156" s="390" t="str">
        <f t="shared" si="20"/>
        <v/>
      </c>
      <c r="J156" s="391"/>
      <c r="K156" s="316" t="str">
        <f>IF('Inputs Whole-Project Water Use'!K156&lt;&gt;"",'Inputs Whole-Project Water Use'!K156,"")</f>
        <v/>
      </c>
      <c r="L156" s="316" t="str">
        <f>IF('Inputs Whole-Project Water Use'!L156&lt;&gt;"",'Inputs Whole-Project Water Use'!L156,"")</f>
        <v/>
      </c>
      <c r="M156" s="390" t="str">
        <f t="shared" si="21"/>
        <v/>
      </c>
      <c r="N156" s="391"/>
      <c r="O156" s="225" t="str">
        <f t="shared" si="22"/>
        <v/>
      </c>
      <c r="P156" s="225" t="str">
        <f t="shared" si="23"/>
        <v/>
      </c>
      <c r="Q156" s="289" t="str">
        <f>IF(AND(D156&lt;&gt;"",'Inputs Whole-Project Water Use'!Q156=""),0,IF('Inputs Whole-Project Water Use'!Q156&lt;&gt;"",'Inputs Whole-Project Water Use'!Q156,""))</f>
        <v/>
      </c>
      <c r="R156" s="225" t="str">
        <f t="shared" si="24"/>
        <v/>
      </c>
      <c r="S156" s="225" t="str">
        <f t="shared" si="25"/>
        <v/>
      </c>
      <c r="T156" s="231" t="str">
        <f t="shared" si="26"/>
        <v/>
      </c>
      <c r="U156" s="241"/>
      <c r="V156" s="241"/>
      <c r="W156" s="241"/>
      <c r="X156" s="241"/>
      <c r="Y156" s="241"/>
      <c r="Z156" s="241"/>
      <c r="AA156" s="241"/>
      <c r="AB156" s="241"/>
      <c r="AC156" s="241"/>
      <c r="AD156" s="241"/>
      <c r="AE156" s="241"/>
      <c r="AF156" s="241"/>
      <c r="AG156" s="241"/>
      <c r="AH156" s="241"/>
      <c r="AI156" s="241"/>
      <c r="AJ156" s="241"/>
      <c r="AK156" s="241"/>
      <c r="AL156" s="241"/>
      <c r="AM156" s="241"/>
      <c r="AN156" s="241"/>
      <c r="AO156" s="241"/>
      <c r="AP156" s="241"/>
      <c r="AQ156" s="241"/>
      <c r="AR156" s="241"/>
      <c r="AS156" s="241"/>
      <c r="AT156" s="241"/>
      <c r="AU156" s="241"/>
      <c r="AV156" s="241"/>
      <c r="AW156" s="241"/>
      <c r="AX156" s="241"/>
      <c r="AY156" s="241"/>
      <c r="AZ156" s="241"/>
    </row>
    <row r="157" spans="1:52" s="71" customFormat="1" ht="18" customHeight="1">
      <c r="A157" s="175">
        <v>8</v>
      </c>
      <c r="B157" s="312" t="str">
        <f>(IF('Inputs Whole-Project Water Use'!B157&lt;&gt;"",'Inputs Whole-Project Water Use'!B157,""))</f>
        <v/>
      </c>
      <c r="C157" s="313" t="str">
        <f>IF(AND(D157&lt;&gt;"",'Inputs Whole-Project Water Use'!C157=""),1,IF('Inputs Whole-Project Water Use'!C157&lt;&gt;"",'Inputs Whole-Project Water Use'!C157,""))</f>
        <v/>
      </c>
      <c r="D157" s="397" t="str">
        <f>IF('Inputs Whole-Project Water Use'!D157&lt;&gt;"",'Inputs Whole-Project Water Use'!D157,"")</f>
        <v/>
      </c>
      <c r="E157" s="398"/>
      <c r="F157" s="314" t="str">
        <f>IF('Inputs Whole-Project Water Use'!F157&lt;&gt;"",'Inputs Whole-Project Water Use'!F157,"")</f>
        <v/>
      </c>
      <c r="G157" s="314" t="str">
        <f>IF('Inputs Whole-Project Water Use'!G157&lt;&gt;"",'Inputs Whole-Project Water Use'!G157,"")</f>
        <v/>
      </c>
      <c r="H157" s="315" t="str">
        <f>IF('Inputs Whole-Project Water Use'!H157&lt;&gt;"",'Inputs Whole-Project Water Use'!H157,"")</f>
        <v/>
      </c>
      <c r="I157" s="390" t="str">
        <f t="shared" si="20"/>
        <v/>
      </c>
      <c r="J157" s="391"/>
      <c r="K157" s="316" t="str">
        <f>IF('Inputs Whole-Project Water Use'!K157&lt;&gt;"",'Inputs Whole-Project Water Use'!K157,"")</f>
        <v/>
      </c>
      <c r="L157" s="316" t="str">
        <f>IF('Inputs Whole-Project Water Use'!L157&lt;&gt;"",'Inputs Whole-Project Water Use'!L157,"")</f>
        <v/>
      </c>
      <c r="M157" s="390" t="str">
        <f t="shared" si="21"/>
        <v/>
      </c>
      <c r="N157" s="391"/>
      <c r="O157" s="225" t="str">
        <f t="shared" si="22"/>
        <v/>
      </c>
      <c r="P157" s="225" t="str">
        <f t="shared" si="23"/>
        <v/>
      </c>
      <c r="Q157" s="289" t="str">
        <f>IF(AND(D157&lt;&gt;"",'Inputs Whole-Project Water Use'!Q157=""),0,IF('Inputs Whole-Project Water Use'!Q157&lt;&gt;"",'Inputs Whole-Project Water Use'!Q157,""))</f>
        <v/>
      </c>
      <c r="R157" s="225" t="str">
        <f t="shared" si="24"/>
        <v/>
      </c>
      <c r="S157" s="225" t="str">
        <f t="shared" si="25"/>
        <v/>
      </c>
      <c r="T157" s="231" t="str">
        <f t="shared" si="26"/>
        <v/>
      </c>
      <c r="U157" s="241"/>
      <c r="V157" s="241"/>
      <c r="W157" s="241"/>
      <c r="X157" s="241"/>
      <c r="Y157" s="241"/>
      <c r="Z157" s="241"/>
      <c r="AA157" s="241"/>
      <c r="AB157" s="241"/>
      <c r="AC157" s="241"/>
      <c r="AD157" s="241"/>
      <c r="AE157" s="241"/>
      <c r="AF157" s="241"/>
      <c r="AG157" s="241"/>
      <c r="AH157" s="241"/>
      <c r="AI157" s="241"/>
      <c r="AJ157" s="241"/>
      <c r="AK157" s="241"/>
      <c r="AL157" s="241"/>
      <c r="AM157" s="241"/>
      <c r="AN157" s="241"/>
      <c r="AO157" s="241"/>
      <c r="AP157" s="241"/>
      <c r="AQ157" s="241"/>
      <c r="AR157" s="241"/>
      <c r="AS157" s="241"/>
      <c r="AT157" s="241"/>
      <c r="AU157" s="241"/>
      <c r="AV157" s="241"/>
      <c r="AW157" s="241"/>
      <c r="AX157" s="241"/>
      <c r="AY157" s="241"/>
      <c r="AZ157" s="241"/>
    </row>
    <row r="158" spans="1:52" s="71" customFormat="1" ht="18" customHeight="1">
      <c r="A158" s="175">
        <v>9</v>
      </c>
      <c r="B158" s="312" t="str">
        <f>(IF('Inputs Whole-Project Water Use'!B158&lt;&gt;"",'Inputs Whole-Project Water Use'!B158,""))</f>
        <v/>
      </c>
      <c r="C158" s="313" t="str">
        <f>IF(AND(D158&lt;&gt;"",'Inputs Whole-Project Water Use'!C158=""),1,IF('Inputs Whole-Project Water Use'!C158&lt;&gt;"",'Inputs Whole-Project Water Use'!C158,""))</f>
        <v/>
      </c>
      <c r="D158" s="397" t="str">
        <f>IF('Inputs Whole-Project Water Use'!D158&lt;&gt;"",'Inputs Whole-Project Water Use'!D158,"")</f>
        <v/>
      </c>
      <c r="E158" s="398"/>
      <c r="F158" s="314" t="str">
        <f>IF('Inputs Whole-Project Water Use'!F158&lt;&gt;"",'Inputs Whole-Project Water Use'!F158,"")</f>
        <v/>
      </c>
      <c r="G158" s="314" t="str">
        <f>IF('Inputs Whole-Project Water Use'!G158&lt;&gt;"",'Inputs Whole-Project Water Use'!G158,"")</f>
        <v/>
      </c>
      <c r="H158" s="315" t="str">
        <f>IF('Inputs Whole-Project Water Use'!H158&lt;&gt;"",'Inputs Whole-Project Water Use'!H158,"")</f>
        <v/>
      </c>
      <c r="I158" s="390" t="str">
        <f t="shared" si="20"/>
        <v/>
      </c>
      <c r="J158" s="391"/>
      <c r="K158" s="316" t="str">
        <f>IF('Inputs Whole-Project Water Use'!K158&lt;&gt;"",'Inputs Whole-Project Water Use'!K158,"")</f>
        <v/>
      </c>
      <c r="L158" s="316" t="str">
        <f>IF('Inputs Whole-Project Water Use'!L158&lt;&gt;"",'Inputs Whole-Project Water Use'!L158,"")</f>
        <v/>
      </c>
      <c r="M158" s="390" t="str">
        <f t="shared" si="21"/>
        <v/>
      </c>
      <c r="N158" s="391"/>
      <c r="O158" s="225" t="str">
        <f t="shared" si="22"/>
        <v/>
      </c>
      <c r="P158" s="225" t="str">
        <f t="shared" si="23"/>
        <v/>
      </c>
      <c r="Q158" s="289" t="str">
        <f>IF(AND(D158&lt;&gt;"",'Inputs Whole-Project Water Use'!Q158=""),0,IF('Inputs Whole-Project Water Use'!Q158&lt;&gt;"",'Inputs Whole-Project Water Use'!Q158,""))</f>
        <v/>
      </c>
      <c r="R158" s="225" t="str">
        <f t="shared" si="24"/>
        <v/>
      </c>
      <c r="S158" s="225" t="str">
        <f t="shared" si="25"/>
        <v/>
      </c>
      <c r="T158" s="231" t="str">
        <f t="shared" si="26"/>
        <v/>
      </c>
      <c r="U158" s="241"/>
      <c r="V158" s="241"/>
      <c r="W158" s="241"/>
      <c r="X158" s="241"/>
      <c r="Y158" s="241"/>
      <c r="Z158" s="241"/>
      <c r="AA158" s="241"/>
      <c r="AB158" s="241"/>
      <c r="AC158" s="241"/>
      <c r="AD158" s="241"/>
      <c r="AE158" s="241"/>
      <c r="AF158" s="241"/>
      <c r="AG158" s="241"/>
      <c r="AH158" s="241"/>
      <c r="AI158" s="241"/>
      <c r="AJ158" s="241"/>
      <c r="AK158" s="241"/>
      <c r="AL158" s="241"/>
      <c r="AM158" s="241"/>
      <c r="AN158" s="241"/>
      <c r="AO158" s="241"/>
      <c r="AP158" s="241"/>
      <c r="AQ158" s="241"/>
      <c r="AR158" s="241"/>
      <c r="AS158" s="241"/>
      <c r="AT158" s="241"/>
      <c r="AU158" s="241"/>
      <c r="AV158" s="241"/>
      <c r="AW158" s="241"/>
      <c r="AX158" s="241"/>
      <c r="AY158" s="241"/>
      <c r="AZ158" s="241"/>
    </row>
    <row r="159" spans="1:52" s="71" customFormat="1" ht="18" customHeight="1">
      <c r="A159" s="175">
        <v>10</v>
      </c>
      <c r="B159" s="312" t="str">
        <f>(IF('Inputs Whole-Project Water Use'!B159&lt;&gt;"",'Inputs Whole-Project Water Use'!B159,""))</f>
        <v/>
      </c>
      <c r="C159" s="313" t="str">
        <f>IF(AND(D159&lt;&gt;"",'Inputs Whole-Project Water Use'!C159=""),1,IF('Inputs Whole-Project Water Use'!C159&lt;&gt;"",'Inputs Whole-Project Water Use'!C159,""))</f>
        <v/>
      </c>
      <c r="D159" s="397" t="str">
        <f>IF('Inputs Whole-Project Water Use'!D159&lt;&gt;"",'Inputs Whole-Project Water Use'!D159,"")</f>
        <v/>
      </c>
      <c r="E159" s="398"/>
      <c r="F159" s="314" t="str">
        <f>IF('Inputs Whole-Project Water Use'!F159&lt;&gt;"",'Inputs Whole-Project Water Use'!F159,"")</f>
        <v/>
      </c>
      <c r="G159" s="314" t="str">
        <f>IF('Inputs Whole-Project Water Use'!G159&lt;&gt;"",'Inputs Whole-Project Water Use'!G159,"")</f>
        <v/>
      </c>
      <c r="H159" s="315" t="str">
        <f>IF('Inputs Whole-Project Water Use'!H159&lt;&gt;"",'Inputs Whole-Project Water Use'!H159,"")</f>
        <v/>
      </c>
      <c r="I159" s="390" t="str">
        <f t="shared" si="20"/>
        <v/>
      </c>
      <c r="J159" s="391"/>
      <c r="K159" s="316" t="str">
        <f>IF('Inputs Whole-Project Water Use'!K159&lt;&gt;"",'Inputs Whole-Project Water Use'!K159,"")</f>
        <v/>
      </c>
      <c r="L159" s="316" t="str">
        <f>IF('Inputs Whole-Project Water Use'!L159&lt;&gt;"",'Inputs Whole-Project Water Use'!L159,"")</f>
        <v/>
      </c>
      <c r="M159" s="390" t="str">
        <f t="shared" si="21"/>
        <v/>
      </c>
      <c r="N159" s="391"/>
      <c r="O159" s="225" t="str">
        <f t="shared" si="22"/>
        <v/>
      </c>
      <c r="P159" s="225" t="str">
        <f t="shared" si="23"/>
        <v/>
      </c>
      <c r="Q159" s="289" t="str">
        <f>IF(AND(D159&lt;&gt;"",'Inputs Whole-Project Water Use'!Q159=""),0,IF('Inputs Whole-Project Water Use'!Q159&lt;&gt;"",'Inputs Whole-Project Water Use'!Q159,""))</f>
        <v/>
      </c>
      <c r="R159" s="225" t="str">
        <f t="shared" si="24"/>
        <v/>
      </c>
      <c r="S159" s="225" t="str">
        <f t="shared" si="25"/>
        <v/>
      </c>
      <c r="T159" s="231" t="str">
        <f t="shared" si="26"/>
        <v/>
      </c>
      <c r="U159" s="176" t="s">
        <v>165</v>
      </c>
      <c r="V159" s="241"/>
      <c r="W159" s="241"/>
      <c r="X159" s="241"/>
      <c r="Y159" s="241"/>
      <c r="Z159" s="241"/>
      <c r="AA159" s="241"/>
      <c r="AB159" s="241"/>
      <c r="AC159" s="241"/>
      <c r="AD159" s="241"/>
      <c r="AE159" s="241"/>
      <c r="AF159" s="241"/>
      <c r="AG159" s="241"/>
      <c r="AH159" s="241"/>
      <c r="AI159" s="241"/>
      <c r="AJ159" s="241"/>
      <c r="AK159" s="241"/>
      <c r="AL159" s="241"/>
      <c r="AM159" s="241"/>
      <c r="AN159" s="241"/>
      <c r="AO159" s="241"/>
      <c r="AP159" s="241"/>
      <c r="AQ159" s="241"/>
      <c r="AR159" s="241"/>
      <c r="AS159" s="241"/>
      <c r="AT159" s="241"/>
      <c r="AU159" s="241"/>
      <c r="AV159" s="241"/>
      <c r="AW159" s="241"/>
      <c r="AX159" s="241"/>
      <c r="AY159" s="241"/>
      <c r="AZ159" s="241"/>
    </row>
    <row r="160" spans="1:52" s="71" customFormat="1" ht="18" hidden="1" customHeight="1" outlineLevel="1">
      <c r="A160" s="175">
        <v>11</v>
      </c>
      <c r="B160" s="312" t="str">
        <f>(IF('Inputs Whole-Project Water Use'!B160&lt;&gt;"",'Inputs Whole-Project Water Use'!B160,""))</f>
        <v/>
      </c>
      <c r="C160" s="313" t="str">
        <f>IF(AND(D160&lt;&gt;"",'Inputs Whole-Project Water Use'!C160=""),1,IF('Inputs Whole-Project Water Use'!C160&lt;&gt;"",'Inputs Whole-Project Water Use'!C160,""))</f>
        <v/>
      </c>
      <c r="D160" s="397" t="str">
        <f>IF('Inputs Whole-Project Water Use'!D160&lt;&gt;"",'Inputs Whole-Project Water Use'!D160,"")</f>
        <v/>
      </c>
      <c r="E160" s="398"/>
      <c r="F160" s="314" t="str">
        <f>IF('Inputs Whole-Project Water Use'!F160&lt;&gt;"",'Inputs Whole-Project Water Use'!F160,"")</f>
        <v/>
      </c>
      <c r="G160" s="314" t="str">
        <f>IF('Inputs Whole-Project Water Use'!G160&lt;&gt;"",'Inputs Whole-Project Water Use'!G160,"")</f>
        <v/>
      </c>
      <c r="H160" s="315" t="str">
        <f>IF('Inputs Whole-Project Water Use'!H160&lt;&gt;"",'Inputs Whole-Project Water Use'!H160,"")</f>
        <v/>
      </c>
      <c r="I160" s="390" t="str">
        <f t="shared" si="20"/>
        <v/>
      </c>
      <c r="J160" s="391"/>
      <c r="K160" s="316" t="str">
        <f>IF('Inputs Whole-Project Water Use'!K160&lt;&gt;"",'Inputs Whole-Project Water Use'!K160,"")</f>
        <v/>
      </c>
      <c r="L160" s="316" t="str">
        <f>IF('Inputs Whole-Project Water Use'!L160&lt;&gt;"",'Inputs Whole-Project Water Use'!L160,"")</f>
        <v/>
      </c>
      <c r="M160" s="390" t="str">
        <f t="shared" si="21"/>
        <v/>
      </c>
      <c r="N160" s="391"/>
      <c r="O160" s="225" t="str">
        <f t="shared" si="22"/>
        <v/>
      </c>
      <c r="P160" s="225" t="str">
        <f t="shared" si="23"/>
        <v/>
      </c>
      <c r="Q160" s="289" t="str">
        <f>IF(AND(D160&lt;&gt;"",'Inputs Whole-Project Water Use'!Q160=""),0,IF('Inputs Whole-Project Water Use'!Q160&lt;&gt;"",'Inputs Whole-Project Water Use'!Q160,""))</f>
        <v/>
      </c>
      <c r="R160" s="225" t="str">
        <f t="shared" si="24"/>
        <v/>
      </c>
      <c r="S160" s="225" t="str">
        <f t="shared" si="25"/>
        <v/>
      </c>
      <c r="T160" s="231" t="str">
        <f t="shared" si="26"/>
        <v/>
      </c>
      <c r="U160" s="241"/>
      <c r="V160" s="241"/>
      <c r="W160" s="241"/>
      <c r="X160" s="241"/>
      <c r="Y160" s="241"/>
      <c r="Z160" s="241"/>
      <c r="AA160" s="241"/>
      <c r="AB160" s="241"/>
      <c r="AC160" s="241"/>
      <c r="AD160" s="241"/>
      <c r="AE160" s="241"/>
      <c r="AF160" s="241"/>
      <c r="AG160" s="241"/>
      <c r="AH160" s="241"/>
      <c r="AI160" s="241"/>
      <c r="AJ160" s="241"/>
      <c r="AK160" s="241"/>
      <c r="AL160" s="241"/>
      <c r="AM160" s="241"/>
      <c r="AN160" s="241"/>
      <c r="AO160" s="241"/>
      <c r="AP160" s="241"/>
      <c r="AQ160" s="241"/>
      <c r="AR160" s="241"/>
      <c r="AS160" s="241"/>
      <c r="AT160" s="241"/>
      <c r="AU160" s="241"/>
      <c r="AV160" s="241"/>
      <c r="AW160" s="241"/>
      <c r="AX160" s="241"/>
      <c r="AY160" s="241"/>
      <c r="AZ160" s="241"/>
    </row>
    <row r="161" spans="1:52" s="71" customFormat="1" ht="18" hidden="1" customHeight="1" outlineLevel="1">
      <c r="A161" s="175">
        <v>12</v>
      </c>
      <c r="B161" s="312" t="str">
        <f>(IF('Inputs Whole-Project Water Use'!B161&lt;&gt;"",'Inputs Whole-Project Water Use'!B161,""))</f>
        <v/>
      </c>
      <c r="C161" s="313" t="str">
        <f>IF(AND(D161&lt;&gt;"",'Inputs Whole-Project Water Use'!C161=""),1,IF('Inputs Whole-Project Water Use'!C161&lt;&gt;"",'Inputs Whole-Project Water Use'!C161,""))</f>
        <v/>
      </c>
      <c r="D161" s="397" t="str">
        <f>IF('Inputs Whole-Project Water Use'!D161&lt;&gt;"",'Inputs Whole-Project Water Use'!D161,"")</f>
        <v/>
      </c>
      <c r="E161" s="398"/>
      <c r="F161" s="314" t="str">
        <f>IF('Inputs Whole-Project Water Use'!F161&lt;&gt;"",'Inputs Whole-Project Water Use'!F161,"")</f>
        <v/>
      </c>
      <c r="G161" s="314" t="str">
        <f>IF('Inputs Whole-Project Water Use'!G161&lt;&gt;"",'Inputs Whole-Project Water Use'!G161,"")</f>
        <v/>
      </c>
      <c r="H161" s="315" t="str">
        <f>IF('Inputs Whole-Project Water Use'!H161&lt;&gt;"",'Inputs Whole-Project Water Use'!H161,"")</f>
        <v/>
      </c>
      <c r="I161" s="390" t="str">
        <f t="shared" si="20"/>
        <v/>
      </c>
      <c r="J161" s="391"/>
      <c r="K161" s="316" t="str">
        <f>IF('Inputs Whole-Project Water Use'!K161&lt;&gt;"",'Inputs Whole-Project Water Use'!K161,"")</f>
        <v/>
      </c>
      <c r="L161" s="316" t="str">
        <f>IF('Inputs Whole-Project Water Use'!L161&lt;&gt;"",'Inputs Whole-Project Water Use'!L161,"")</f>
        <v/>
      </c>
      <c r="M161" s="390" t="str">
        <f t="shared" si="21"/>
        <v/>
      </c>
      <c r="N161" s="391"/>
      <c r="O161" s="225" t="str">
        <f t="shared" si="22"/>
        <v/>
      </c>
      <c r="P161" s="225" t="str">
        <f t="shared" si="23"/>
        <v/>
      </c>
      <c r="Q161" s="289" t="str">
        <f>IF(AND(D161&lt;&gt;"",'Inputs Whole-Project Water Use'!Q161=""),0,IF('Inputs Whole-Project Water Use'!Q161&lt;&gt;"",'Inputs Whole-Project Water Use'!Q161,""))</f>
        <v/>
      </c>
      <c r="R161" s="225" t="str">
        <f t="shared" si="24"/>
        <v/>
      </c>
      <c r="S161" s="225" t="str">
        <f t="shared" si="25"/>
        <v/>
      </c>
      <c r="T161" s="231" t="str">
        <f t="shared" si="26"/>
        <v/>
      </c>
      <c r="U161" s="241"/>
      <c r="V161" s="241"/>
      <c r="W161" s="241"/>
      <c r="X161" s="241"/>
      <c r="Y161" s="241"/>
      <c r="Z161" s="241"/>
      <c r="AA161" s="241"/>
      <c r="AB161" s="241"/>
      <c r="AC161" s="241"/>
      <c r="AD161" s="241"/>
      <c r="AE161" s="241"/>
      <c r="AF161" s="241"/>
      <c r="AG161" s="241"/>
      <c r="AH161" s="241"/>
      <c r="AI161" s="241"/>
      <c r="AJ161" s="241"/>
      <c r="AK161" s="241"/>
      <c r="AL161" s="241"/>
      <c r="AM161" s="241"/>
      <c r="AN161" s="241"/>
      <c r="AO161" s="241"/>
      <c r="AP161" s="241"/>
      <c r="AQ161" s="241"/>
      <c r="AR161" s="241"/>
      <c r="AS161" s="241"/>
      <c r="AT161" s="241"/>
      <c r="AU161" s="241"/>
      <c r="AV161" s="241"/>
      <c r="AW161" s="241"/>
      <c r="AX161" s="241"/>
      <c r="AY161" s="241"/>
      <c r="AZ161" s="241"/>
    </row>
    <row r="162" spans="1:52" s="71" customFormat="1" ht="18" hidden="1" customHeight="1" outlineLevel="1">
      <c r="A162" s="175">
        <v>13</v>
      </c>
      <c r="B162" s="312" t="str">
        <f>(IF('Inputs Whole-Project Water Use'!B162&lt;&gt;"",'Inputs Whole-Project Water Use'!B162,""))</f>
        <v/>
      </c>
      <c r="C162" s="313" t="str">
        <f>IF(AND(D162&lt;&gt;"",'Inputs Whole-Project Water Use'!C162=""),1,IF('Inputs Whole-Project Water Use'!C162&lt;&gt;"",'Inputs Whole-Project Water Use'!C162,""))</f>
        <v/>
      </c>
      <c r="D162" s="397" t="str">
        <f>IF('Inputs Whole-Project Water Use'!D162&lt;&gt;"",'Inputs Whole-Project Water Use'!D162,"")</f>
        <v/>
      </c>
      <c r="E162" s="398"/>
      <c r="F162" s="314" t="str">
        <f>IF('Inputs Whole-Project Water Use'!F162&lt;&gt;"",'Inputs Whole-Project Water Use'!F162,"")</f>
        <v/>
      </c>
      <c r="G162" s="314" t="str">
        <f>IF('Inputs Whole-Project Water Use'!G162&lt;&gt;"",'Inputs Whole-Project Water Use'!G162,"")</f>
        <v/>
      </c>
      <c r="H162" s="315" t="str">
        <f>IF('Inputs Whole-Project Water Use'!H162&lt;&gt;"",'Inputs Whole-Project Water Use'!H162,"")</f>
        <v/>
      </c>
      <c r="I162" s="390" t="str">
        <f t="shared" si="20"/>
        <v/>
      </c>
      <c r="J162" s="391"/>
      <c r="K162" s="316" t="str">
        <f>IF('Inputs Whole-Project Water Use'!K162&lt;&gt;"",'Inputs Whole-Project Water Use'!K162,"")</f>
        <v/>
      </c>
      <c r="L162" s="316" t="str">
        <f>IF('Inputs Whole-Project Water Use'!L162&lt;&gt;"",'Inputs Whole-Project Water Use'!L162,"")</f>
        <v/>
      </c>
      <c r="M162" s="390" t="str">
        <f t="shared" si="21"/>
        <v/>
      </c>
      <c r="N162" s="391"/>
      <c r="O162" s="225" t="str">
        <f t="shared" si="22"/>
        <v/>
      </c>
      <c r="P162" s="225" t="str">
        <f t="shared" si="23"/>
        <v/>
      </c>
      <c r="Q162" s="289" t="str">
        <f>IF(AND(D162&lt;&gt;"",'Inputs Whole-Project Water Use'!Q162=""),0,IF('Inputs Whole-Project Water Use'!Q162&lt;&gt;"",'Inputs Whole-Project Water Use'!Q162,""))</f>
        <v/>
      </c>
      <c r="R162" s="225" t="str">
        <f t="shared" si="24"/>
        <v/>
      </c>
      <c r="S162" s="225" t="str">
        <f t="shared" si="25"/>
        <v/>
      </c>
      <c r="T162" s="231" t="str">
        <f t="shared" si="26"/>
        <v/>
      </c>
      <c r="U162" s="241"/>
      <c r="V162" s="241"/>
      <c r="W162" s="241"/>
      <c r="X162" s="241"/>
      <c r="Y162" s="241"/>
      <c r="Z162" s="241"/>
      <c r="AA162" s="241"/>
      <c r="AB162" s="241"/>
      <c r="AC162" s="241"/>
      <c r="AD162" s="241"/>
      <c r="AE162" s="241"/>
      <c r="AF162" s="241"/>
      <c r="AG162" s="241"/>
      <c r="AH162" s="241"/>
      <c r="AI162" s="241"/>
      <c r="AJ162" s="241"/>
      <c r="AK162" s="241"/>
      <c r="AL162" s="241"/>
      <c r="AM162" s="241"/>
      <c r="AN162" s="241"/>
      <c r="AO162" s="241"/>
      <c r="AP162" s="241"/>
      <c r="AQ162" s="241"/>
      <c r="AR162" s="241"/>
      <c r="AS162" s="241"/>
      <c r="AT162" s="241"/>
      <c r="AU162" s="241"/>
      <c r="AV162" s="241"/>
      <c r="AW162" s="241"/>
      <c r="AX162" s="241"/>
      <c r="AY162" s="241"/>
      <c r="AZ162" s="241"/>
    </row>
    <row r="163" spans="1:52" s="71" customFormat="1" ht="18" hidden="1" customHeight="1" outlineLevel="1">
      <c r="A163" s="175">
        <v>14</v>
      </c>
      <c r="B163" s="312" t="str">
        <f>(IF('Inputs Whole-Project Water Use'!B163&lt;&gt;"",'Inputs Whole-Project Water Use'!B163,""))</f>
        <v/>
      </c>
      <c r="C163" s="313" t="str">
        <f>IF(AND(D163&lt;&gt;"",'Inputs Whole-Project Water Use'!C163=""),1,IF('Inputs Whole-Project Water Use'!C163&lt;&gt;"",'Inputs Whole-Project Water Use'!C163,""))</f>
        <v/>
      </c>
      <c r="D163" s="397" t="str">
        <f>IF('Inputs Whole-Project Water Use'!D163&lt;&gt;"",'Inputs Whole-Project Water Use'!D163,"")</f>
        <v/>
      </c>
      <c r="E163" s="398"/>
      <c r="F163" s="314" t="str">
        <f>IF('Inputs Whole-Project Water Use'!F163&lt;&gt;"",'Inputs Whole-Project Water Use'!F163,"")</f>
        <v/>
      </c>
      <c r="G163" s="314" t="str">
        <f>IF('Inputs Whole-Project Water Use'!G163&lt;&gt;"",'Inputs Whole-Project Water Use'!G163,"")</f>
        <v/>
      </c>
      <c r="H163" s="315" t="str">
        <f>IF('Inputs Whole-Project Water Use'!H163&lt;&gt;"",'Inputs Whole-Project Water Use'!H163,"")</f>
        <v/>
      </c>
      <c r="I163" s="390" t="str">
        <f t="shared" si="20"/>
        <v/>
      </c>
      <c r="J163" s="391"/>
      <c r="K163" s="316" t="str">
        <f>IF('Inputs Whole-Project Water Use'!K163&lt;&gt;"",'Inputs Whole-Project Water Use'!K163,"")</f>
        <v/>
      </c>
      <c r="L163" s="316" t="str">
        <f>IF('Inputs Whole-Project Water Use'!L163&lt;&gt;"",'Inputs Whole-Project Water Use'!L163,"")</f>
        <v/>
      </c>
      <c r="M163" s="390" t="str">
        <f t="shared" si="21"/>
        <v/>
      </c>
      <c r="N163" s="391"/>
      <c r="O163" s="225" t="str">
        <f t="shared" si="22"/>
        <v/>
      </c>
      <c r="P163" s="225" t="str">
        <f t="shared" si="23"/>
        <v/>
      </c>
      <c r="Q163" s="289" t="str">
        <f>IF(AND(D163&lt;&gt;"",'Inputs Whole-Project Water Use'!Q163=""),0,IF('Inputs Whole-Project Water Use'!Q163&lt;&gt;"",'Inputs Whole-Project Water Use'!Q163,""))</f>
        <v/>
      </c>
      <c r="R163" s="225" t="str">
        <f t="shared" si="24"/>
        <v/>
      </c>
      <c r="S163" s="225" t="str">
        <f t="shared" si="25"/>
        <v/>
      </c>
      <c r="T163" s="231" t="str">
        <f t="shared" si="26"/>
        <v/>
      </c>
      <c r="U163" s="241"/>
      <c r="V163" s="241"/>
      <c r="W163" s="241"/>
      <c r="X163" s="241"/>
      <c r="Y163" s="241"/>
      <c r="Z163" s="241"/>
      <c r="AA163" s="241"/>
      <c r="AB163" s="241"/>
      <c r="AC163" s="241"/>
      <c r="AD163" s="241"/>
      <c r="AE163" s="241"/>
      <c r="AF163" s="241"/>
      <c r="AG163" s="241"/>
      <c r="AH163" s="241"/>
      <c r="AI163" s="241"/>
      <c r="AJ163" s="241"/>
      <c r="AK163" s="241"/>
      <c r="AL163" s="241"/>
      <c r="AM163" s="241"/>
      <c r="AN163" s="241"/>
      <c r="AO163" s="241"/>
      <c r="AP163" s="241"/>
      <c r="AQ163" s="241"/>
      <c r="AR163" s="241"/>
      <c r="AS163" s="241"/>
      <c r="AT163" s="241"/>
      <c r="AU163" s="241"/>
      <c r="AV163" s="241"/>
      <c r="AW163" s="241"/>
      <c r="AX163" s="241"/>
      <c r="AY163" s="241"/>
      <c r="AZ163" s="241"/>
    </row>
    <row r="164" spans="1:52" s="71" customFormat="1" ht="18" hidden="1" customHeight="1" outlineLevel="1">
      <c r="A164" s="175">
        <v>15</v>
      </c>
      <c r="B164" s="312" t="str">
        <f>(IF('Inputs Whole-Project Water Use'!B164&lt;&gt;"",'Inputs Whole-Project Water Use'!B164,""))</f>
        <v/>
      </c>
      <c r="C164" s="313" t="str">
        <f>IF(AND(D164&lt;&gt;"",'Inputs Whole-Project Water Use'!C164=""),1,IF('Inputs Whole-Project Water Use'!C164&lt;&gt;"",'Inputs Whole-Project Water Use'!C164,""))</f>
        <v/>
      </c>
      <c r="D164" s="397" t="str">
        <f>IF('Inputs Whole-Project Water Use'!D164&lt;&gt;"",'Inputs Whole-Project Water Use'!D164,"")</f>
        <v/>
      </c>
      <c r="E164" s="398"/>
      <c r="F164" s="314" t="str">
        <f>IF('Inputs Whole-Project Water Use'!F164&lt;&gt;"",'Inputs Whole-Project Water Use'!F164,"")</f>
        <v/>
      </c>
      <c r="G164" s="314" t="str">
        <f>IF('Inputs Whole-Project Water Use'!G164&lt;&gt;"",'Inputs Whole-Project Water Use'!G164,"")</f>
        <v/>
      </c>
      <c r="H164" s="315" t="str">
        <f>IF('Inputs Whole-Project Water Use'!H164&lt;&gt;"",'Inputs Whole-Project Water Use'!H164,"")</f>
        <v/>
      </c>
      <c r="I164" s="390" t="str">
        <f t="shared" si="20"/>
        <v/>
      </c>
      <c r="J164" s="391"/>
      <c r="K164" s="316" t="str">
        <f>IF('Inputs Whole-Project Water Use'!K164&lt;&gt;"",'Inputs Whole-Project Water Use'!K164,"")</f>
        <v/>
      </c>
      <c r="L164" s="316" t="str">
        <f>IF('Inputs Whole-Project Water Use'!L164&lt;&gt;"",'Inputs Whole-Project Water Use'!L164,"")</f>
        <v/>
      </c>
      <c r="M164" s="390" t="str">
        <f t="shared" si="21"/>
        <v/>
      </c>
      <c r="N164" s="391"/>
      <c r="O164" s="225" t="str">
        <f t="shared" si="22"/>
        <v/>
      </c>
      <c r="P164" s="225" t="str">
        <f t="shared" si="23"/>
        <v/>
      </c>
      <c r="Q164" s="289" t="str">
        <f>IF(AND(D164&lt;&gt;"",'Inputs Whole-Project Water Use'!Q164=""),0,IF('Inputs Whole-Project Water Use'!Q164&lt;&gt;"",'Inputs Whole-Project Water Use'!Q164,""))</f>
        <v/>
      </c>
      <c r="R164" s="225" t="str">
        <f t="shared" si="24"/>
        <v/>
      </c>
      <c r="S164" s="225" t="str">
        <f t="shared" si="25"/>
        <v/>
      </c>
      <c r="T164" s="231" t="str">
        <f t="shared" si="26"/>
        <v/>
      </c>
      <c r="U164" s="241"/>
      <c r="V164" s="241"/>
      <c r="W164" s="241"/>
      <c r="X164" s="241"/>
      <c r="Y164" s="241"/>
      <c r="Z164" s="241"/>
      <c r="AA164" s="241"/>
      <c r="AB164" s="241"/>
      <c r="AC164" s="241"/>
      <c r="AD164" s="241"/>
      <c r="AE164" s="241"/>
      <c r="AF164" s="241"/>
      <c r="AG164" s="241"/>
      <c r="AH164" s="241"/>
      <c r="AI164" s="241"/>
      <c r="AJ164" s="241"/>
      <c r="AK164" s="241"/>
      <c r="AL164" s="241"/>
      <c r="AM164" s="241"/>
      <c r="AN164" s="241"/>
      <c r="AO164" s="241"/>
      <c r="AP164" s="241"/>
      <c r="AQ164" s="241"/>
      <c r="AR164" s="241"/>
      <c r="AS164" s="241"/>
      <c r="AT164" s="241"/>
      <c r="AU164" s="241"/>
      <c r="AV164" s="241"/>
      <c r="AW164" s="241"/>
      <c r="AX164" s="241"/>
      <c r="AY164" s="241"/>
      <c r="AZ164" s="241"/>
    </row>
    <row r="165" spans="1:52" s="71" customFormat="1" ht="18" hidden="1" customHeight="1" outlineLevel="1">
      <c r="A165" s="175">
        <v>16</v>
      </c>
      <c r="B165" s="312" t="str">
        <f>(IF('Inputs Whole-Project Water Use'!B165&lt;&gt;"",'Inputs Whole-Project Water Use'!B165,""))</f>
        <v/>
      </c>
      <c r="C165" s="313" t="str">
        <f>IF(AND(D165&lt;&gt;"",'Inputs Whole-Project Water Use'!C165=""),1,IF('Inputs Whole-Project Water Use'!C165&lt;&gt;"",'Inputs Whole-Project Water Use'!C165,""))</f>
        <v/>
      </c>
      <c r="D165" s="397" t="str">
        <f>IF('Inputs Whole-Project Water Use'!D165&lt;&gt;"",'Inputs Whole-Project Water Use'!D165,"")</f>
        <v/>
      </c>
      <c r="E165" s="398"/>
      <c r="F165" s="314" t="str">
        <f>IF('Inputs Whole-Project Water Use'!F165&lt;&gt;"",'Inputs Whole-Project Water Use'!F165,"")</f>
        <v/>
      </c>
      <c r="G165" s="314" t="str">
        <f>IF('Inputs Whole-Project Water Use'!G165&lt;&gt;"",'Inputs Whole-Project Water Use'!G165,"")</f>
        <v/>
      </c>
      <c r="H165" s="315" t="str">
        <f>IF('Inputs Whole-Project Water Use'!H165&lt;&gt;"",'Inputs Whole-Project Water Use'!H165,"")</f>
        <v/>
      </c>
      <c r="I165" s="390" t="str">
        <f t="shared" si="20"/>
        <v/>
      </c>
      <c r="J165" s="391"/>
      <c r="K165" s="316" t="str">
        <f>IF('Inputs Whole-Project Water Use'!K165&lt;&gt;"",'Inputs Whole-Project Water Use'!K165,"")</f>
        <v/>
      </c>
      <c r="L165" s="316" t="str">
        <f>IF('Inputs Whole-Project Water Use'!L165&lt;&gt;"",'Inputs Whole-Project Water Use'!L165,"")</f>
        <v/>
      </c>
      <c r="M165" s="390" t="str">
        <f t="shared" si="21"/>
        <v/>
      </c>
      <c r="N165" s="391"/>
      <c r="O165" s="225" t="str">
        <f t="shared" si="22"/>
        <v/>
      </c>
      <c r="P165" s="225" t="str">
        <f t="shared" si="23"/>
        <v/>
      </c>
      <c r="Q165" s="289" t="str">
        <f>IF(AND(D165&lt;&gt;"",'Inputs Whole-Project Water Use'!Q165=""),0,IF('Inputs Whole-Project Water Use'!Q165&lt;&gt;"",'Inputs Whole-Project Water Use'!Q165,""))</f>
        <v/>
      </c>
      <c r="R165" s="225" t="str">
        <f t="shared" si="24"/>
        <v/>
      </c>
      <c r="S165" s="225" t="str">
        <f t="shared" si="25"/>
        <v/>
      </c>
      <c r="T165" s="231" t="str">
        <f t="shared" si="26"/>
        <v/>
      </c>
      <c r="U165" s="241"/>
      <c r="V165" s="241"/>
      <c r="W165" s="241"/>
      <c r="X165" s="241"/>
      <c r="Y165" s="241"/>
      <c r="Z165" s="241"/>
      <c r="AA165" s="241"/>
      <c r="AB165" s="241"/>
      <c r="AC165" s="241"/>
      <c r="AD165" s="241"/>
      <c r="AE165" s="241"/>
      <c r="AF165" s="241"/>
      <c r="AG165" s="241"/>
      <c r="AH165" s="241"/>
      <c r="AI165" s="241"/>
      <c r="AJ165" s="241"/>
      <c r="AK165" s="241"/>
      <c r="AL165" s="241"/>
      <c r="AM165" s="241"/>
      <c r="AN165" s="241"/>
      <c r="AO165" s="241"/>
      <c r="AP165" s="241"/>
      <c r="AQ165" s="241"/>
      <c r="AR165" s="241"/>
      <c r="AS165" s="241"/>
      <c r="AT165" s="241"/>
      <c r="AU165" s="241"/>
      <c r="AV165" s="241"/>
      <c r="AW165" s="241"/>
      <c r="AX165" s="241"/>
      <c r="AY165" s="241"/>
      <c r="AZ165" s="241"/>
    </row>
    <row r="166" spans="1:52" s="71" customFormat="1" ht="18" hidden="1" customHeight="1" outlineLevel="1">
      <c r="A166" s="175">
        <v>17</v>
      </c>
      <c r="B166" s="312" t="str">
        <f>(IF('Inputs Whole-Project Water Use'!B166&lt;&gt;"",'Inputs Whole-Project Water Use'!B166,""))</f>
        <v/>
      </c>
      <c r="C166" s="313" t="str">
        <f>IF(AND(D166&lt;&gt;"",'Inputs Whole-Project Water Use'!C166=""),1,IF('Inputs Whole-Project Water Use'!C166&lt;&gt;"",'Inputs Whole-Project Water Use'!C166,""))</f>
        <v/>
      </c>
      <c r="D166" s="397" t="str">
        <f>IF('Inputs Whole-Project Water Use'!D166&lt;&gt;"",'Inputs Whole-Project Water Use'!D166,"")</f>
        <v/>
      </c>
      <c r="E166" s="398"/>
      <c r="F166" s="314" t="str">
        <f>IF('Inputs Whole-Project Water Use'!F166&lt;&gt;"",'Inputs Whole-Project Water Use'!F166,"")</f>
        <v/>
      </c>
      <c r="G166" s="314" t="str">
        <f>IF('Inputs Whole-Project Water Use'!G166&lt;&gt;"",'Inputs Whole-Project Water Use'!G166,"")</f>
        <v/>
      </c>
      <c r="H166" s="315" t="str">
        <f>IF('Inputs Whole-Project Water Use'!H166&lt;&gt;"",'Inputs Whole-Project Water Use'!H166,"")</f>
        <v/>
      </c>
      <c r="I166" s="390" t="str">
        <f t="shared" si="20"/>
        <v/>
      </c>
      <c r="J166" s="391"/>
      <c r="K166" s="316" t="str">
        <f>IF('Inputs Whole-Project Water Use'!K166&lt;&gt;"",'Inputs Whole-Project Water Use'!K166,"")</f>
        <v/>
      </c>
      <c r="L166" s="316" t="str">
        <f>IF('Inputs Whole-Project Water Use'!L166&lt;&gt;"",'Inputs Whole-Project Water Use'!L166,"")</f>
        <v/>
      </c>
      <c r="M166" s="390" t="str">
        <f t="shared" si="21"/>
        <v/>
      </c>
      <c r="N166" s="391"/>
      <c r="O166" s="225" t="str">
        <f t="shared" si="22"/>
        <v/>
      </c>
      <c r="P166" s="225" t="str">
        <f t="shared" si="23"/>
        <v/>
      </c>
      <c r="Q166" s="289" t="str">
        <f>IF(AND(D166&lt;&gt;"",'Inputs Whole-Project Water Use'!Q166=""),0,IF('Inputs Whole-Project Water Use'!Q166&lt;&gt;"",'Inputs Whole-Project Water Use'!Q166,""))</f>
        <v/>
      </c>
      <c r="R166" s="225" t="str">
        <f t="shared" si="24"/>
        <v/>
      </c>
      <c r="S166" s="225" t="str">
        <f t="shared" si="25"/>
        <v/>
      </c>
      <c r="T166" s="231" t="str">
        <f t="shared" si="26"/>
        <v/>
      </c>
      <c r="U166" s="241"/>
      <c r="V166" s="241"/>
      <c r="W166" s="241"/>
      <c r="X166" s="241"/>
      <c r="Y166" s="241"/>
      <c r="Z166" s="241"/>
      <c r="AA166" s="241"/>
      <c r="AB166" s="241"/>
      <c r="AC166" s="241"/>
      <c r="AD166" s="241"/>
      <c r="AE166" s="241"/>
      <c r="AF166" s="241"/>
      <c r="AG166" s="241"/>
      <c r="AH166" s="241"/>
      <c r="AI166" s="241"/>
      <c r="AJ166" s="241"/>
      <c r="AK166" s="241"/>
      <c r="AL166" s="241"/>
      <c r="AM166" s="241"/>
      <c r="AN166" s="241"/>
      <c r="AO166" s="241"/>
      <c r="AP166" s="241"/>
      <c r="AQ166" s="241"/>
      <c r="AR166" s="241"/>
      <c r="AS166" s="241"/>
      <c r="AT166" s="241"/>
      <c r="AU166" s="241"/>
      <c r="AV166" s="241"/>
      <c r="AW166" s="241"/>
      <c r="AX166" s="241"/>
      <c r="AY166" s="241"/>
      <c r="AZ166" s="241"/>
    </row>
    <row r="167" spans="1:52" s="71" customFormat="1" ht="18" hidden="1" customHeight="1" outlineLevel="1">
      <c r="A167" s="175">
        <v>18</v>
      </c>
      <c r="B167" s="312" t="str">
        <f>(IF('Inputs Whole-Project Water Use'!B167&lt;&gt;"",'Inputs Whole-Project Water Use'!B167,""))</f>
        <v/>
      </c>
      <c r="C167" s="313" t="str">
        <f>IF(AND(D167&lt;&gt;"",'Inputs Whole-Project Water Use'!C167=""),1,IF('Inputs Whole-Project Water Use'!C167&lt;&gt;"",'Inputs Whole-Project Water Use'!C167,""))</f>
        <v/>
      </c>
      <c r="D167" s="397" t="str">
        <f>IF('Inputs Whole-Project Water Use'!D167&lt;&gt;"",'Inputs Whole-Project Water Use'!D167,"")</f>
        <v/>
      </c>
      <c r="E167" s="398"/>
      <c r="F167" s="314" t="str">
        <f>IF('Inputs Whole-Project Water Use'!F167&lt;&gt;"",'Inputs Whole-Project Water Use'!F167,"")</f>
        <v/>
      </c>
      <c r="G167" s="314" t="str">
        <f>IF('Inputs Whole-Project Water Use'!G167&lt;&gt;"",'Inputs Whole-Project Water Use'!G167,"")</f>
        <v/>
      </c>
      <c r="H167" s="315" t="str">
        <f>IF('Inputs Whole-Project Water Use'!H167&lt;&gt;"",'Inputs Whole-Project Water Use'!H167,"")</f>
        <v/>
      </c>
      <c r="I167" s="390" t="str">
        <f t="shared" si="20"/>
        <v/>
      </c>
      <c r="J167" s="391"/>
      <c r="K167" s="316" t="str">
        <f>IF('Inputs Whole-Project Water Use'!K167&lt;&gt;"",'Inputs Whole-Project Water Use'!K167,"")</f>
        <v/>
      </c>
      <c r="L167" s="316" t="str">
        <f>IF('Inputs Whole-Project Water Use'!L167&lt;&gt;"",'Inputs Whole-Project Water Use'!L167,"")</f>
        <v/>
      </c>
      <c r="M167" s="390" t="str">
        <f t="shared" si="21"/>
        <v/>
      </c>
      <c r="N167" s="391"/>
      <c r="O167" s="225" t="str">
        <f t="shared" si="22"/>
        <v/>
      </c>
      <c r="P167" s="225" t="str">
        <f t="shared" si="23"/>
        <v/>
      </c>
      <c r="Q167" s="289" t="str">
        <f>IF(AND(D167&lt;&gt;"",'Inputs Whole-Project Water Use'!Q167=""),0,IF('Inputs Whole-Project Water Use'!Q167&lt;&gt;"",'Inputs Whole-Project Water Use'!Q167,""))</f>
        <v/>
      </c>
      <c r="R167" s="225" t="str">
        <f t="shared" si="24"/>
        <v/>
      </c>
      <c r="S167" s="225" t="str">
        <f t="shared" si="25"/>
        <v/>
      </c>
      <c r="T167" s="231" t="str">
        <f t="shared" si="26"/>
        <v/>
      </c>
      <c r="U167" s="241"/>
      <c r="V167" s="241"/>
      <c r="W167" s="241"/>
      <c r="X167" s="241"/>
      <c r="Y167" s="241"/>
      <c r="Z167" s="241"/>
      <c r="AA167" s="241"/>
      <c r="AB167" s="241"/>
      <c r="AC167" s="241"/>
      <c r="AD167" s="241"/>
      <c r="AE167" s="241"/>
      <c r="AF167" s="241"/>
      <c r="AG167" s="241"/>
      <c r="AH167" s="241"/>
      <c r="AI167" s="241"/>
      <c r="AJ167" s="241"/>
      <c r="AK167" s="241"/>
      <c r="AL167" s="241"/>
      <c r="AM167" s="241"/>
      <c r="AN167" s="241"/>
      <c r="AO167" s="241"/>
      <c r="AP167" s="241"/>
      <c r="AQ167" s="241"/>
      <c r="AR167" s="241"/>
      <c r="AS167" s="241"/>
      <c r="AT167" s="241"/>
      <c r="AU167" s="241"/>
      <c r="AV167" s="241"/>
      <c r="AW167" s="241"/>
      <c r="AX167" s="241"/>
      <c r="AY167" s="241"/>
      <c r="AZ167" s="241"/>
    </row>
    <row r="168" spans="1:52" s="71" customFormat="1" ht="18" hidden="1" customHeight="1" outlineLevel="1">
      <c r="A168" s="175">
        <v>19</v>
      </c>
      <c r="B168" s="312" t="str">
        <f>(IF('Inputs Whole-Project Water Use'!B168&lt;&gt;"",'Inputs Whole-Project Water Use'!B168,""))</f>
        <v/>
      </c>
      <c r="C168" s="313" t="str">
        <f>IF(AND(D168&lt;&gt;"",'Inputs Whole-Project Water Use'!C168=""),1,IF('Inputs Whole-Project Water Use'!C168&lt;&gt;"",'Inputs Whole-Project Water Use'!C168,""))</f>
        <v/>
      </c>
      <c r="D168" s="397" t="str">
        <f>IF('Inputs Whole-Project Water Use'!D168&lt;&gt;"",'Inputs Whole-Project Water Use'!D168,"")</f>
        <v/>
      </c>
      <c r="E168" s="398"/>
      <c r="F168" s="314" t="str">
        <f>IF('Inputs Whole-Project Water Use'!F168&lt;&gt;"",'Inputs Whole-Project Water Use'!F168,"")</f>
        <v/>
      </c>
      <c r="G168" s="314" t="str">
        <f>IF('Inputs Whole-Project Water Use'!G168&lt;&gt;"",'Inputs Whole-Project Water Use'!G168,"")</f>
        <v/>
      </c>
      <c r="H168" s="315" t="str">
        <f>IF('Inputs Whole-Project Water Use'!H168&lt;&gt;"",'Inputs Whole-Project Water Use'!H168,"")</f>
        <v/>
      </c>
      <c r="I168" s="390" t="str">
        <f t="shared" si="20"/>
        <v/>
      </c>
      <c r="J168" s="391"/>
      <c r="K168" s="316" t="str">
        <f>IF('Inputs Whole-Project Water Use'!K168&lt;&gt;"",'Inputs Whole-Project Water Use'!K168,"")</f>
        <v/>
      </c>
      <c r="L168" s="316" t="str">
        <f>IF('Inputs Whole-Project Water Use'!L168&lt;&gt;"",'Inputs Whole-Project Water Use'!L168,"")</f>
        <v/>
      </c>
      <c r="M168" s="390" t="str">
        <f t="shared" si="21"/>
        <v/>
      </c>
      <c r="N168" s="391"/>
      <c r="O168" s="225" t="str">
        <f t="shared" si="22"/>
        <v/>
      </c>
      <c r="P168" s="225" t="str">
        <f t="shared" si="23"/>
        <v/>
      </c>
      <c r="Q168" s="289" t="str">
        <f>IF(AND(D168&lt;&gt;"",'Inputs Whole-Project Water Use'!Q168=""),0,IF('Inputs Whole-Project Water Use'!Q168&lt;&gt;"",'Inputs Whole-Project Water Use'!Q168,""))</f>
        <v/>
      </c>
      <c r="R168" s="225" t="str">
        <f t="shared" si="24"/>
        <v/>
      </c>
      <c r="S168" s="225" t="str">
        <f t="shared" si="25"/>
        <v/>
      </c>
      <c r="T168" s="231" t="str">
        <f t="shared" si="26"/>
        <v/>
      </c>
      <c r="U168" s="241"/>
      <c r="V168" s="241"/>
      <c r="W168" s="241"/>
      <c r="X168" s="241"/>
      <c r="Y168" s="241"/>
      <c r="Z168" s="241"/>
      <c r="AA168" s="241"/>
      <c r="AB168" s="241"/>
      <c r="AC168" s="241"/>
      <c r="AD168" s="241"/>
      <c r="AE168" s="241"/>
      <c r="AF168" s="241"/>
      <c r="AG168" s="241"/>
      <c r="AH168" s="241"/>
      <c r="AI168" s="241"/>
      <c r="AJ168" s="241"/>
      <c r="AK168" s="241"/>
      <c r="AL168" s="241"/>
      <c r="AM168" s="241"/>
      <c r="AN168" s="241"/>
      <c r="AO168" s="241"/>
      <c r="AP168" s="241"/>
      <c r="AQ168" s="241"/>
      <c r="AR168" s="241"/>
      <c r="AS168" s="241"/>
      <c r="AT168" s="241"/>
      <c r="AU168" s="241"/>
      <c r="AV168" s="241"/>
      <c r="AW168" s="241"/>
      <c r="AX168" s="241"/>
      <c r="AY168" s="241"/>
      <c r="AZ168" s="241"/>
    </row>
    <row r="169" spans="1:52" s="71" customFormat="1" ht="18" hidden="1" customHeight="1" outlineLevel="1">
      <c r="A169" s="175">
        <v>20</v>
      </c>
      <c r="B169" s="312" t="str">
        <f>(IF('Inputs Whole-Project Water Use'!B169&lt;&gt;"",'Inputs Whole-Project Water Use'!B169,""))</f>
        <v/>
      </c>
      <c r="C169" s="313" t="str">
        <f>IF(AND(D169&lt;&gt;"",'Inputs Whole-Project Water Use'!C169=""),1,IF('Inputs Whole-Project Water Use'!C169&lt;&gt;"",'Inputs Whole-Project Water Use'!C169,""))</f>
        <v/>
      </c>
      <c r="D169" s="397" t="str">
        <f>IF('Inputs Whole-Project Water Use'!D169&lt;&gt;"",'Inputs Whole-Project Water Use'!D169,"")</f>
        <v/>
      </c>
      <c r="E169" s="398"/>
      <c r="F169" s="314" t="str">
        <f>IF('Inputs Whole-Project Water Use'!F169&lt;&gt;"",'Inputs Whole-Project Water Use'!F169,"")</f>
        <v/>
      </c>
      <c r="G169" s="314" t="str">
        <f>IF('Inputs Whole-Project Water Use'!G169&lt;&gt;"",'Inputs Whole-Project Water Use'!G169,"")</f>
        <v/>
      </c>
      <c r="H169" s="315" t="str">
        <f>IF('Inputs Whole-Project Water Use'!H169&lt;&gt;"",'Inputs Whole-Project Water Use'!H169,"")</f>
        <v/>
      </c>
      <c r="I169" s="390" t="str">
        <f t="shared" si="20"/>
        <v/>
      </c>
      <c r="J169" s="391"/>
      <c r="K169" s="316" t="str">
        <f>IF('Inputs Whole-Project Water Use'!K169&lt;&gt;"",'Inputs Whole-Project Water Use'!K169,"")</f>
        <v/>
      </c>
      <c r="L169" s="316" t="str">
        <f>IF('Inputs Whole-Project Water Use'!L169&lt;&gt;"",'Inputs Whole-Project Water Use'!L169,"")</f>
        <v/>
      </c>
      <c r="M169" s="390" t="str">
        <f t="shared" si="21"/>
        <v/>
      </c>
      <c r="N169" s="391"/>
      <c r="O169" s="225" t="str">
        <f t="shared" si="22"/>
        <v/>
      </c>
      <c r="P169" s="225" t="str">
        <f t="shared" si="23"/>
        <v/>
      </c>
      <c r="Q169" s="289" t="str">
        <f>IF(AND(D169&lt;&gt;"",'Inputs Whole-Project Water Use'!Q169=""),0,IF('Inputs Whole-Project Water Use'!Q169&lt;&gt;"",'Inputs Whole-Project Water Use'!Q169,""))</f>
        <v/>
      </c>
      <c r="R169" s="225" t="str">
        <f t="shared" si="24"/>
        <v/>
      </c>
      <c r="S169" s="225" t="str">
        <f t="shared" si="25"/>
        <v/>
      </c>
      <c r="T169" s="231" t="str">
        <f t="shared" si="26"/>
        <v/>
      </c>
      <c r="U169" s="241"/>
      <c r="V169" s="241"/>
      <c r="W169" s="241"/>
      <c r="X169" s="241"/>
      <c r="Y169" s="241"/>
      <c r="Z169" s="241"/>
      <c r="AA169" s="241"/>
      <c r="AB169" s="241"/>
      <c r="AC169" s="241"/>
      <c r="AD169" s="241"/>
      <c r="AE169" s="241"/>
      <c r="AF169" s="241"/>
      <c r="AG169" s="241"/>
      <c r="AH169" s="241"/>
      <c r="AI169" s="241"/>
      <c r="AJ169" s="241"/>
      <c r="AK169" s="241"/>
      <c r="AL169" s="241"/>
      <c r="AM169" s="241"/>
      <c r="AN169" s="241"/>
      <c r="AO169" s="241"/>
      <c r="AP169" s="241"/>
      <c r="AQ169" s="241"/>
      <c r="AR169" s="241"/>
      <c r="AS169" s="241"/>
      <c r="AT169" s="241"/>
      <c r="AU169" s="241"/>
      <c r="AV169" s="241"/>
      <c r="AW169" s="241"/>
      <c r="AX169" s="241"/>
      <c r="AY169" s="241"/>
      <c r="AZ169" s="241"/>
    </row>
    <row r="170" spans="1:52" s="71" customFormat="1" ht="18" hidden="1" customHeight="1" outlineLevel="1">
      <c r="A170" s="175">
        <v>21</v>
      </c>
      <c r="B170" s="312" t="str">
        <f>(IF('Inputs Whole-Project Water Use'!B170&lt;&gt;"",'Inputs Whole-Project Water Use'!B170,""))</f>
        <v/>
      </c>
      <c r="C170" s="313" t="str">
        <f>IF(AND(D170&lt;&gt;"",'Inputs Whole-Project Water Use'!C170=""),1,IF('Inputs Whole-Project Water Use'!C170&lt;&gt;"",'Inputs Whole-Project Water Use'!C170,""))</f>
        <v/>
      </c>
      <c r="D170" s="397" t="str">
        <f>IF('Inputs Whole-Project Water Use'!D170&lt;&gt;"",'Inputs Whole-Project Water Use'!D170,"")</f>
        <v/>
      </c>
      <c r="E170" s="398"/>
      <c r="F170" s="314" t="str">
        <f>IF('Inputs Whole-Project Water Use'!F170&lt;&gt;"",'Inputs Whole-Project Water Use'!F170,"")</f>
        <v/>
      </c>
      <c r="G170" s="314" t="str">
        <f>IF('Inputs Whole-Project Water Use'!G170&lt;&gt;"",'Inputs Whole-Project Water Use'!G170,"")</f>
        <v/>
      </c>
      <c r="H170" s="315" t="str">
        <f>IF('Inputs Whole-Project Water Use'!H170&lt;&gt;"",'Inputs Whole-Project Water Use'!H170,"")</f>
        <v/>
      </c>
      <c r="I170" s="390" t="str">
        <f t="shared" si="20"/>
        <v/>
      </c>
      <c r="J170" s="391"/>
      <c r="K170" s="316" t="str">
        <f>IF('Inputs Whole-Project Water Use'!K170&lt;&gt;"",'Inputs Whole-Project Water Use'!K170,"")</f>
        <v/>
      </c>
      <c r="L170" s="316" t="str">
        <f>IF('Inputs Whole-Project Water Use'!L170&lt;&gt;"",'Inputs Whole-Project Water Use'!L170,"")</f>
        <v/>
      </c>
      <c r="M170" s="390" t="str">
        <f t="shared" si="21"/>
        <v/>
      </c>
      <c r="N170" s="391"/>
      <c r="O170" s="225" t="str">
        <f t="shared" si="22"/>
        <v/>
      </c>
      <c r="P170" s="225" t="str">
        <f t="shared" si="23"/>
        <v/>
      </c>
      <c r="Q170" s="289" t="str">
        <f>IF(AND(D170&lt;&gt;"",'Inputs Whole-Project Water Use'!Q170=""),0,IF('Inputs Whole-Project Water Use'!Q170&lt;&gt;"",'Inputs Whole-Project Water Use'!Q170,""))</f>
        <v/>
      </c>
      <c r="R170" s="225" t="str">
        <f t="shared" si="24"/>
        <v/>
      </c>
      <c r="S170" s="225" t="str">
        <f t="shared" si="25"/>
        <v/>
      </c>
      <c r="T170" s="231" t="str">
        <f t="shared" si="26"/>
        <v/>
      </c>
      <c r="U170" s="241"/>
      <c r="V170" s="241"/>
      <c r="W170" s="241"/>
      <c r="X170" s="241"/>
      <c r="Y170" s="241"/>
      <c r="Z170" s="241"/>
      <c r="AA170" s="241"/>
      <c r="AB170" s="241"/>
      <c r="AC170" s="241"/>
      <c r="AD170" s="241"/>
      <c r="AE170" s="241"/>
      <c r="AF170" s="241"/>
      <c r="AG170" s="241"/>
      <c r="AH170" s="241"/>
      <c r="AI170" s="241"/>
      <c r="AJ170" s="241"/>
      <c r="AK170" s="241"/>
      <c r="AL170" s="241"/>
      <c r="AM170" s="241"/>
      <c r="AN170" s="241"/>
      <c r="AO170" s="241"/>
      <c r="AP170" s="241"/>
      <c r="AQ170" s="241"/>
      <c r="AR170" s="241"/>
      <c r="AS170" s="241"/>
      <c r="AT170" s="241"/>
      <c r="AU170" s="241"/>
      <c r="AV170" s="241"/>
      <c r="AW170" s="241"/>
      <c r="AX170" s="241"/>
      <c r="AY170" s="241"/>
      <c r="AZ170" s="241"/>
    </row>
    <row r="171" spans="1:52" s="71" customFormat="1" ht="18" hidden="1" customHeight="1" outlineLevel="1">
      <c r="A171" s="175">
        <v>22</v>
      </c>
      <c r="B171" s="312" t="str">
        <f>(IF('Inputs Whole-Project Water Use'!B171&lt;&gt;"",'Inputs Whole-Project Water Use'!B171,""))</f>
        <v/>
      </c>
      <c r="C171" s="313" t="str">
        <f>IF(AND(D171&lt;&gt;"",'Inputs Whole-Project Water Use'!C171=""),1,IF('Inputs Whole-Project Water Use'!C171&lt;&gt;"",'Inputs Whole-Project Water Use'!C171,""))</f>
        <v/>
      </c>
      <c r="D171" s="397" t="str">
        <f>IF('Inputs Whole-Project Water Use'!D171&lt;&gt;"",'Inputs Whole-Project Water Use'!D171,"")</f>
        <v/>
      </c>
      <c r="E171" s="398"/>
      <c r="F171" s="314" t="str">
        <f>IF('Inputs Whole-Project Water Use'!F171&lt;&gt;"",'Inputs Whole-Project Water Use'!F171,"")</f>
        <v/>
      </c>
      <c r="G171" s="314" t="str">
        <f>IF('Inputs Whole-Project Water Use'!G171&lt;&gt;"",'Inputs Whole-Project Water Use'!G171,"")</f>
        <v/>
      </c>
      <c r="H171" s="315" t="str">
        <f>IF('Inputs Whole-Project Water Use'!H171&lt;&gt;"",'Inputs Whole-Project Water Use'!H171,"")</f>
        <v/>
      </c>
      <c r="I171" s="390" t="str">
        <f t="shared" si="20"/>
        <v/>
      </c>
      <c r="J171" s="391"/>
      <c r="K171" s="316" t="str">
        <f>IF('Inputs Whole-Project Water Use'!K171&lt;&gt;"",'Inputs Whole-Project Water Use'!K171,"")</f>
        <v/>
      </c>
      <c r="L171" s="316" t="str">
        <f>IF('Inputs Whole-Project Water Use'!L171&lt;&gt;"",'Inputs Whole-Project Water Use'!L171,"")</f>
        <v/>
      </c>
      <c r="M171" s="390" t="str">
        <f t="shared" si="21"/>
        <v/>
      </c>
      <c r="N171" s="391"/>
      <c r="O171" s="225" t="str">
        <f t="shared" si="22"/>
        <v/>
      </c>
      <c r="P171" s="225" t="str">
        <f t="shared" si="23"/>
        <v/>
      </c>
      <c r="Q171" s="289" t="str">
        <f>IF(AND(D171&lt;&gt;"",'Inputs Whole-Project Water Use'!Q171=""),0,IF('Inputs Whole-Project Water Use'!Q171&lt;&gt;"",'Inputs Whole-Project Water Use'!Q171,""))</f>
        <v/>
      </c>
      <c r="R171" s="225" t="str">
        <f t="shared" si="24"/>
        <v/>
      </c>
      <c r="S171" s="225" t="str">
        <f t="shared" si="25"/>
        <v/>
      </c>
      <c r="T171" s="231" t="str">
        <f t="shared" si="26"/>
        <v/>
      </c>
      <c r="U171" s="241"/>
      <c r="V171" s="241"/>
      <c r="W171" s="241"/>
      <c r="X171" s="241"/>
      <c r="Y171" s="241"/>
      <c r="Z171" s="241"/>
      <c r="AA171" s="241"/>
      <c r="AB171" s="241"/>
      <c r="AC171" s="241"/>
      <c r="AD171" s="241"/>
      <c r="AE171" s="241"/>
      <c r="AF171" s="241"/>
      <c r="AG171" s="241"/>
      <c r="AH171" s="241"/>
      <c r="AI171" s="241"/>
      <c r="AJ171" s="241"/>
      <c r="AK171" s="241"/>
      <c r="AL171" s="241"/>
      <c r="AM171" s="241"/>
      <c r="AN171" s="241"/>
      <c r="AO171" s="241"/>
      <c r="AP171" s="241"/>
      <c r="AQ171" s="241"/>
      <c r="AR171" s="241"/>
      <c r="AS171" s="241"/>
      <c r="AT171" s="241"/>
      <c r="AU171" s="241"/>
      <c r="AV171" s="241"/>
      <c r="AW171" s="241"/>
      <c r="AX171" s="241"/>
      <c r="AY171" s="241"/>
      <c r="AZ171" s="241"/>
    </row>
    <row r="172" spans="1:52" s="71" customFormat="1" ht="18" hidden="1" customHeight="1" outlineLevel="1">
      <c r="A172" s="175">
        <v>23</v>
      </c>
      <c r="B172" s="312" t="str">
        <f>(IF('Inputs Whole-Project Water Use'!B172&lt;&gt;"",'Inputs Whole-Project Water Use'!B172,""))</f>
        <v/>
      </c>
      <c r="C172" s="313" t="str">
        <f>IF(AND(D172&lt;&gt;"",'Inputs Whole-Project Water Use'!C172=""),1,IF('Inputs Whole-Project Water Use'!C172&lt;&gt;"",'Inputs Whole-Project Water Use'!C172,""))</f>
        <v/>
      </c>
      <c r="D172" s="397" t="str">
        <f>IF('Inputs Whole-Project Water Use'!D172&lt;&gt;"",'Inputs Whole-Project Water Use'!D172,"")</f>
        <v/>
      </c>
      <c r="E172" s="398"/>
      <c r="F172" s="314" t="str">
        <f>IF('Inputs Whole-Project Water Use'!F172&lt;&gt;"",'Inputs Whole-Project Water Use'!F172,"")</f>
        <v/>
      </c>
      <c r="G172" s="314" t="str">
        <f>IF('Inputs Whole-Project Water Use'!G172&lt;&gt;"",'Inputs Whole-Project Water Use'!G172,"")</f>
        <v/>
      </c>
      <c r="H172" s="315" t="str">
        <f>IF('Inputs Whole-Project Water Use'!H172&lt;&gt;"",'Inputs Whole-Project Water Use'!H172,"")</f>
        <v/>
      </c>
      <c r="I172" s="390" t="str">
        <f t="shared" si="20"/>
        <v/>
      </c>
      <c r="J172" s="391"/>
      <c r="K172" s="316" t="str">
        <f>IF('Inputs Whole-Project Water Use'!K172&lt;&gt;"",'Inputs Whole-Project Water Use'!K172,"")</f>
        <v/>
      </c>
      <c r="L172" s="316" t="str">
        <f>IF('Inputs Whole-Project Water Use'!L172&lt;&gt;"",'Inputs Whole-Project Water Use'!L172,"")</f>
        <v/>
      </c>
      <c r="M172" s="390" t="str">
        <f t="shared" si="21"/>
        <v/>
      </c>
      <c r="N172" s="391"/>
      <c r="O172" s="225" t="str">
        <f t="shared" si="22"/>
        <v/>
      </c>
      <c r="P172" s="225" t="str">
        <f t="shared" si="23"/>
        <v/>
      </c>
      <c r="Q172" s="289" t="str">
        <f>IF(AND(D172&lt;&gt;"",'Inputs Whole-Project Water Use'!Q172=""),0,IF('Inputs Whole-Project Water Use'!Q172&lt;&gt;"",'Inputs Whole-Project Water Use'!Q172,""))</f>
        <v/>
      </c>
      <c r="R172" s="225" t="str">
        <f t="shared" si="24"/>
        <v/>
      </c>
      <c r="S172" s="225" t="str">
        <f t="shared" si="25"/>
        <v/>
      </c>
      <c r="T172" s="231" t="str">
        <f t="shared" si="26"/>
        <v/>
      </c>
      <c r="U172" s="241"/>
      <c r="V172" s="241"/>
      <c r="W172" s="241"/>
      <c r="X172" s="241"/>
      <c r="Y172" s="241"/>
      <c r="Z172" s="241"/>
      <c r="AA172" s="241"/>
      <c r="AB172" s="241"/>
      <c r="AC172" s="241"/>
      <c r="AD172" s="241"/>
      <c r="AE172" s="241"/>
      <c r="AF172" s="241"/>
      <c r="AG172" s="241"/>
      <c r="AH172" s="241"/>
      <c r="AI172" s="241"/>
      <c r="AJ172" s="241"/>
      <c r="AK172" s="241"/>
      <c r="AL172" s="241"/>
      <c r="AM172" s="241"/>
      <c r="AN172" s="241"/>
      <c r="AO172" s="241"/>
      <c r="AP172" s="241"/>
      <c r="AQ172" s="241"/>
      <c r="AR172" s="241"/>
      <c r="AS172" s="241"/>
      <c r="AT172" s="241"/>
      <c r="AU172" s="241"/>
      <c r="AV172" s="241"/>
      <c r="AW172" s="241"/>
      <c r="AX172" s="241"/>
      <c r="AY172" s="241"/>
      <c r="AZ172" s="241"/>
    </row>
    <row r="173" spans="1:52" s="71" customFormat="1" ht="18" hidden="1" customHeight="1" outlineLevel="1">
      <c r="A173" s="175">
        <v>24</v>
      </c>
      <c r="B173" s="312" t="str">
        <f>(IF('Inputs Whole-Project Water Use'!B173&lt;&gt;"",'Inputs Whole-Project Water Use'!B173,""))</f>
        <v/>
      </c>
      <c r="C173" s="313" t="str">
        <f>IF(AND(D173&lt;&gt;"",'Inputs Whole-Project Water Use'!C173=""),1,IF('Inputs Whole-Project Water Use'!C173&lt;&gt;"",'Inputs Whole-Project Water Use'!C173,""))</f>
        <v/>
      </c>
      <c r="D173" s="397" t="str">
        <f>IF('Inputs Whole-Project Water Use'!D173&lt;&gt;"",'Inputs Whole-Project Water Use'!D173,"")</f>
        <v/>
      </c>
      <c r="E173" s="398"/>
      <c r="F173" s="314" t="str">
        <f>IF('Inputs Whole-Project Water Use'!F173&lt;&gt;"",'Inputs Whole-Project Water Use'!F173,"")</f>
        <v/>
      </c>
      <c r="G173" s="314" t="str">
        <f>IF('Inputs Whole-Project Water Use'!G173&lt;&gt;"",'Inputs Whole-Project Water Use'!G173,"")</f>
        <v/>
      </c>
      <c r="H173" s="315" t="str">
        <f>IF('Inputs Whole-Project Water Use'!H173&lt;&gt;"",'Inputs Whole-Project Water Use'!H173,"")</f>
        <v/>
      </c>
      <c r="I173" s="390" t="str">
        <f t="shared" si="20"/>
        <v/>
      </c>
      <c r="J173" s="391"/>
      <c r="K173" s="316" t="str">
        <f>IF('Inputs Whole-Project Water Use'!K173&lt;&gt;"",'Inputs Whole-Project Water Use'!K173,"")</f>
        <v/>
      </c>
      <c r="L173" s="316" t="str">
        <f>IF('Inputs Whole-Project Water Use'!L173&lt;&gt;"",'Inputs Whole-Project Water Use'!L173,"")</f>
        <v/>
      </c>
      <c r="M173" s="390" t="str">
        <f t="shared" si="21"/>
        <v/>
      </c>
      <c r="N173" s="391"/>
      <c r="O173" s="225" t="str">
        <f t="shared" si="22"/>
        <v/>
      </c>
      <c r="P173" s="225" t="str">
        <f t="shared" si="23"/>
        <v/>
      </c>
      <c r="Q173" s="289" t="str">
        <f>IF(AND(D173&lt;&gt;"",'Inputs Whole-Project Water Use'!Q173=""),0,IF('Inputs Whole-Project Water Use'!Q173&lt;&gt;"",'Inputs Whole-Project Water Use'!Q173,""))</f>
        <v/>
      </c>
      <c r="R173" s="225" t="str">
        <f t="shared" si="24"/>
        <v/>
      </c>
      <c r="S173" s="225" t="str">
        <f t="shared" si="25"/>
        <v/>
      </c>
      <c r="T173" s="231" t="str">
        <f t="shared" si="26"/>
        <v/>
      </c>
      <c r="U173" s="241"/>
      <c r="V173" s="241"/>
      <c r="W173" s="241"/>
      <c r="X173" s="241"/>
      <c r="Y173" s="241"/>
      <c r="Z173" s="241"/>
      <c r="AA173" s="241"/>
      <c r="AB173" s="241"/>
      <c r="AC173" s="241"/>
      <c r="AD173" s="241"/>
      <c r="AE173" s="241"/>
      <c r="AF173" s="241"/>
      <c r="AG173" s="241"/>
      <c r="AH173" s="241"/>
      <c r="AI173" s="241"/>
      <c r="AJ173" s="241"/>
      <c r="AK173" s="241"/>
      <c r="AL173" s="241"/>
      <c r="AM173" s="241"/>
      <c r="AN173" s="241"/>
      <c r="AO173" s="241"/>
      <c r="AP173" s="241"/>
      <c r="AQ173" s="241"/>
      <c r="AR173" s="241"/>
      <c r="AS173" s="241"/>
      <c r="AT173" s="241"/>
      <c r="AU173" s="241"/>
      <c r="AV173" s="241"/>
      <c r="AW173" s="241"/>
      <c r="AX173" s="241"/>
      <c r="AY173" s="241"/>
      <c r="AZ173" s="241"/>
    </row>
    <row r="174" spans="1:52" s="71" customFormat="1" ht="18" hidden="1" customHeight="1" outlineLevel="1">
      <c r="A174" s="175">
        <v>25</v>
      </c>
      <c r="B174" s="312" t="str">
        <f>(IF('Inputs Whole-Project Water Use'!B174&lt;&gt;"",'Inputs Whole-Project Water Use'!B174,""))</f>
        <v/>
      </c>
      <c r="C174" s="313" t="str">
        <f>IF(AND(D174&lt;&gt;"",'Inputs Whole-Project Water Use'!C174=""),1,IF('Inputs Whole-Project Water Use'!C174&lt;&gt;"",'Inputs Whole-Project Water Use'!C174,""))</f>
        <v/>
      </c>
      <c r="D174" s="397" t="str">
        <f>IF('Inputs Whole-Project Water Use'!D174&lt;&gt;"",'Inputs Whole-Project Water Use'!D174,"")</f>
        <v/>
      </c>
      <c r="E174" s="398"/>
      <c r="F174" s="314" t="str">
        <f>IF('Inputs Whole-Project Water Use'!F174&lt;&gt;"",'Inputs Whole-Project Water Use'!F174,"")</f>
        <v/>
      </c>
      <c r="G174" s="314" t="str">
        <f>IF('Inputs Whole-Project Water Use'!G174&lt;&gt;"",'Inputs Whole-Project Water Use'!G174,"")</f>
        <v/>
      </c>
      <c r="H174" s="315" t="str">
        <f>IF('Inputs Whole-Project Water Use'!H174&lt;&gt;"",'Inputs Whole-Project Water Use'!H174,"")</f>
        <v/>
      </c>
      <c r="I174" s="390" t="str">
        <f t="shared" si="20"/>
        <v/>
      </c>
      <c r="J174" s="391"/>
      <c r="K174" s="316" t="str">
        <f>IF('Inputs Whole-Project Water Use'!K174&lt;&gt;"",'Inputs Whole-Project Water Use'!K174,"")</f>
        <v/>
      </c>
      <c r="L174" s="316" t="str">
        <f>IF('Inputs Whole-Project Water Use'!L174&lt;&gt;"",'Inputs Whole-Project Water Use'!L174,"")</f>
        <v/>
      </c>
      <c r="M174" s="390" t="str">
        <f t="shared" si="21"/>
        <v/>
      </c>
      <c r="N174" s="391"/>
      <c r="O174" s="225" t="str">
        <f t="shared" si="22"/>
        <v/>
      </c>
      <c r="P174" s="225" t="str">
        <f t="shared" si="23"/>
        <v/>
      </c>
      <c r="Q174" s="289" t="str">
        <f>IF(AND(D174&lt;&gt;"",'Inputs Whole-Project Water Use'!Q174=""),0,IF('Inputs Whole-Project Water Use'!Q174&lt;&gt;"",'Inputs Whole-Project Water Use'!Q174,""))</f>
        <v/>
      </c>
      <c r="R174" s="225" t="str">
        <f t="shared" si="24"/>
        <v/>
      </c>
      <c r="S174" s="225" t="str">
        <f t="shared" si="25"/>
        <v/>
      </c>
      <c r="T174" s="231" t="str">
        <f t="shared" si="26"/>
        <v/>
      </c>
      <c r="U174" s="241"/>
      <c r="V174" s="241"/>
      <c r="W174" s="241"/>
      <c r="X174" s="241"/>
      <c r="Y174" s="241"/>
      <c r="Z174" s="241"/>
      <c r="AA174" s="241"/>
      <c r="AB174" s="241"/>
      <c r="AC174" s="241"/>
      <c r="AD174" s="241"/>
      <c r="AE174" s="241"/>
      <c r="AF174" s="241"/>
      <c r="AG174" s="241"/>
      <c r="AH174" s="241"/>
      <c r="AI174" s="241"/>
      <c r="AJ174" s="241"/>
      <c r="AK174" s="241"/>
      <c r="AL174" s="241"/>
      <c r="AM174" s="241"/>
      <c r="AN174" s="241"/>
      <c r="AO174" s="241"/>
      <c r="AP174" s="241"/>
      <c r="AQ174" s="241"/>
      <c r="AR174" s="241"/>
      <c r="AS174" s="241"/>
      <c r="AT174" s="241"/>
      <c r="AU174" s="241"/>
      <c r="AV174" s="241"/>
      <c r="AW174" s="241"/>
      <c r="AX174" s="241"/>
      <c r="AY174" s="241"/>
      <c r="AZ174" s="241"/>
    </row>
    <row r="175" spans="1:52" s="71" customFormat="1" ht="18" hidden="1" customHeight="1" outlineLevel="1">
      <c r="A175" s="175">
        <v>26</v>
      </c>
      <c r="B175" s="312" t="str">
        <f>(IF('Inputs Whole-Project Water Use'!B175&lt;&gt;"",'Inputs Whole-Project Water Use'!B175,""))</f>
        <v/>
      </c>
      <c r="C175" s="313" t="str">
        <f>IF(AND(D175&lt;&gt;"",'Inputs Whole-Project Water Use'!C175=""),1,IF('Inputs Whole-Project Water Use'!C175&lt;&gt;"",'Inputs Whole-Project Water Use'!C175,""))</f>
        <v/>
      </c>
      <c r="D175" s="397" t="str">
        <f>IF('Inputs Whole-Project Water Use'!D175&lt;&gt;"",'Inputs Whole-Project Water Use'!D175,"")</f>
        <v/>
      </c>
      <c r="E175" s="398"/>
      <c r="F175" s="314" t="str">
        <f>IF('Inputs Whole-Project Water Use'!F175&lt;&gt;"",'Inputs Whole-Project Water Use'!F175,"")</f>
        <v/>
      </c>
      <c r="G175" s="314" t="str">
        <f>IF('Inputs Whole-Project Water Use'!G175&lt;&gt;"",'Inputs Whole-Project Water Use'!G175,"")</f>
        <v/>
      </c>
      <c r="H175" s="315" t="str">
        <f>IF('Inputs Whole-Project Water Use'!H175&lt;&gt;"",'Inputs Whole-Project Water Use'!H175,"")</f>
        <v/>
      </c>
      <c r="I175" s="390" t="str">
        <f t="shared" si="20"/>
        <v/>
      </c>
      <c r="J175" s="391"/>
      <c r="K175" s="316" t="str">
        <f>IF('Inputs Whole-Project Water Use'!K175&lt;&gt;"",'Inputs Whole-Project Water Use'!K175,"")</f>
        <v/>
      </c>
      <c r="L175" s="316" t="str">
        <f>IF('Inputs Whole-Project Water Use'!L175&lt;&gt;"",'Inputs Whole-Project Water Use'!L175,"")</f>
        <v/>
      </c>
      <c r="M175" s="390" t="str">
        <f t="shared" si="21"/>
        <v/>
      </c>
      <c r="N175" s="391"/>
      <c r="O175" s="225" t="str">
        <f t="shared" si="22"/>
        <v/>
      </c>
      <c r="P175" s="225" t="str">
        <f t="shared" si="23"/>
        <v/>
      </c>
      <c r="Q175" s="289" t="str">
        <f>IF(AND(D175&lt;&gt;"",'Inputs Whole-Project Water Use'!Q175=""),0,IF('Inputs Whole-Project Water Use'!Q175&lt;&gt;"",'Inputs Whole-Project Water Use'!Q175,""))</f>
        <v/>
      </c>
      <c r="R175" s="225" t="str">
        <f t="shared" si="24"/>
        <v/>
      </c>
      <c r="S175" s="225" t="str">
        <f t="shared" si="25"/>
        <v/>
      </c>
      <c r="T175" s="231" t="str">
        <f t="shared" si="26"/>
        <v/>
      </c>
      <c r="U175" s="241"/>
      <c r="V175" s="241"/>
      <c r="W175" s="241"/>
      <c r="X175" s="241"/>
      <c r="Y175" s="241"/>
      <c r="Z175" s="241"/>
      <c r="AA175" s="241"/>
      <c r="AB175" s="241"/>
      <c r="AC175" s="241"/>
      <c r="AD175" s="241"/>
      <c r="AE175" s="241"/>
      <c r="AF175" s="241"/>
      <c r="AG175" s="241"/>
      <c r="AH175" s="241"/>
      <c r="AI175" s="241"/>
      <c r="AJ175" s="241"/>
      <c r="AK175" s="241"/>
      <c r="AL175" s="241"/>
      <c r="AM175" s="241"/>
      <c r="AN175" s="241"/>
      <c r="AO175" s="241"/>
      <c r="AP175" s="241"/>
      <c r="AQ175" s="241"/>
      <c r="AR175" s="241"/>
      <c r="AS175" s="241"/>
      <c r="AT175" s="241"/>
      <c r="AU175" s="241"/>
      <c r="AV175" s="241"/>
      <c r="AW175" s="241"/>
      <c r="AX175" s="241"/>
      <c r="AY175" s="241"/>
      <c r="AZ175" s="241"/>
    </row>
    <row r="176" spans="1:52" s="71" customFormat="1" ht="18" hidden="1" customHeight="1" outlineLevel="1">
      <c r="A176" s="175">
        <v>27</v>
      </c>
      <c r="B176" s="312" t="str">
        <f>(IF('Inputs Whole-Project Water Use'!B176&lt;&gt;"",'Inputs Whole-Project Water Use'!B176,""))</f>
        <v/>
      </c>
      <c r="C176" s="313" t="str">
        <f>IF(AND(D176&lt;&gt;"",'Inputs Whole-Project Water Use'!C176=""),1,IF('Inputs Whole-Project Water Use'!C176&lt;&gt;"",'Inputs Whole-Project Water Use'!C176,""))</f>
        <v/>
      </c>
      <c r="D176" s="397" t="str">
        <f>IF('Inputs Whole-Project Water Use'!D176&lt;&gt;"",'Inputs Whole-Project Water Use'!D176,"")</f>
        <v/>
      </c>
      <c r="E176" s="398"/>
      <c r="F176" s="314" t="str">
        <f>IF('Inputs Whole-Project Water Use'!F176&lt;&gt;"",'Inputs Whole-Project Water Use'!F176,"")</f>
        <v/>
      </c>
      <c r="G176" s="314" t="str">
        <f>IF('Inputs Whole-Project Water Use'!G176&lt;&gt;"",'Inputs Whole-Project Water Use'!G176,"")</f>
        <v/>
      </c>
      <c r="H176" s="315" t="str">
        <f>IF('Inputs Whole-Project Water Use'!H176&lt;&gt;"",'Inputs Whole-Project Water Use'!H176,"")</f>
        <v/>
      </c>
      <c r="I176" s="390" t="str">
        <f t="shared" si="20"/>
        <v/>
      </c>
      <c r="J176" s="391"/>
      <c r="K176" s="316" t="str">
        <f>IF('Inputs Whole-Project Water Use'!K176&lt;&gt;"",'Inputs Whole-Project Water Use'!K176,"")</f>
        <v/>
      </c>
      <c r="L176" s="316" t="str">
        <f>IF('Inputs Whole-Project Water Use'!L176&lt;&gt;"",'Inputs Whole-Project Water Use'!L176,"")</f>
        <v/>
      </c>
      <c r="M176" s="390" t="str">
        <f t="shared" si="21"/>
        <v/>
      </c>
      <c r="N176" s="391"/>
      <c r="O176" s="225" t="str">
        <f t="shared" si="22"/>
        <v/>
      </c>
      <c r="P176" s="225" t="str">
        <f t="shared" si="23"/>
        <v/>
      </c>
      <c r="Q176" s="289" t="str">
        <f>IF(AND(D176&lt;&gt;"",'Inputs Whole-Project Water Use'!Q176=""),0,IF('Inputs Whole-Project Water Use'!Q176&lt;&gt;"",'Inputs Whole-Project Water Use'!Q176,""))</f>
        <v/>
      </c>
      <c r="R176" s="225" t="str">
        <f t="shared" si="24"/>
        <v/>
      </c>
      <c r="S176" s="225" t="str">
        <f t="shared" si="25"/>
        <v/>
      </c>
      <c r="T176" s="231" t="str">
        <f t="shared" si="26"/>
        <v/>
      </c>
      <c r="U176" s="241"/>
      <c r="V176" s="241"/>
      <c r="W176" s="241"/>
      <c r="X176" s="241"/>
      <c r="Y176" s="241"/>
      <c r="Z176" s="241"/>
      <c r="AA176" s="241"/>
      <c r="AB176" s="241"/>
      <c r="AC176" s="241"/>
      <c r="AD176" s="241"/>
      <c r="AE176" s="241"/>
      <c r="AF176" s="241"/>
      <c r="AG176" s="241"/>
      <c r="AH176" s="241"/>
      <c r="AI176" s="241"/>
      <c r="AJ176" s="241"/>
      <c r="AK176" s="241"/>
      <c r="AL176" s="241"/>
      <c r="AM176" s="241"/>
      <c r="AN176" s="241"/>
      <c r="AO176" s="241"/>
      <c r="AP176" s="241"/>
      <c r="AQ176" s="241"/>
      <c r="AR176" s="241"/>
      <c r="AS176" s="241"/>
      <c r="AT176" s="241"/>
      <c r="AU176" s="241"/>
      <c r="AV176" s="241"/>
      <c r="AW176" s="241"/>
      <c r="AX176" s="241"/>
      <c r="AY176" s="241"/>
      <c r="AZ176" s="241"/>
    </row>
    <row r="177" spans="1:52" s="71" customFormat="1" ht="18" hidden="1" customHeight="1" outlineLevel="1">
      <c r="A177" s="175">
        <v>28</v>
      </c>
      <c r="B177" s="312" t="str">
        <f>(IF('Inputs Whole-Project Water Use'!B177&lt;&gt;"",'Inputs Whole-Project Water Use'!B177,""))</f>
        <v/>
      </c>
      <c r="C177" s="313" t="str">
        <f>IF(AND(D177&lt;&gt;"",'Inputs Whole-Project Water Use'!C177=""),1,IF('Inputs Whole-Project Water Use'!C177&lt;&gt;"",'Inputs Whole-Project Water Use'!C177,""))</f>
        <v/>
      </c>
      <c r="D177" s="397" t="str">
        <f>IF('Inputs Whole-Project Water Use'!D177&lt;&gt;"",'Inputs Whole-Project Water Use'!D177,"")</f>
        <v/>
      </c>
      <c r="E177" s="398"/>
      <c r="F177" s="314" t="str">
        <f>IF('Inputs Whole-Project Water Use'!F177&lt;&gt;"",'Inputs Whole-Project Water Use'!F177,"")</f>
        <v/>
      </c>
      <c r="G177" s="314" t="str">
        <f>IF('Inputs Whole-Project Water Use'!G177&lt;&gt;"",'Inputs Whole-Project Water Use'!G177,"")</f>
        <v/>
      </c>
      <c r="H177" s="315" t="str">
        <f>IF('Inputs Whole-Project Water Use'!H177&lt;&gt;"",'Inputs Whole-Project Water Use'!H177,"")</f>
        <v/>
      </c>
      <c r="I177" s="390" t="str">
        <f t="shared" si="20"/>
        <v/>
      </c>
      <c r="J177" s="391"/>
      <c r="K177" s="316" t="str">
        <f>IF('Inputs Whole-Project Water Use'!K177&lt;&gt;"",'Inputs Whole-Project Water Use'!K177,"")</f>
        <v/>
      </c>
      <c r="L177" s="316" t="str">
        <f>IF('Inputs Whole-Project Water Use'!L177&lt;&gt;"",'Inputs Whole-Project Water Use'!L177,"")</f>
        <v/>
      </c>
      <c r="M177" s="390" t="str">
        <f t="shared" si="21"/>
        <v/>
      </c>
      <c r="N177" s="391"/>
      <c r="O177" s="225" t="str">
        <f t="shared" si="22"/>
        <v/>
      </c>
      <c r="P177" s="225" t="str">
        <f t="shared" si="23"/>
        <v/>
      </c>
      <c r="Q177" s="289" t="str">
        <f>IF(AND(D177&lt;&gt;"",'Inputs Whole-Project Water Use'!Q177=""),0,IF('Inputs Whole-Project Water Use'!Q177&lt;&gt;"",'Inputs Whole-Project Water Use'!Q177,""))</f>
        <v/>
      </c>
      <c r="R177" s="225" t="str">
        <f t="shared" si="24"/>
        <v/>
      </c>
      <c r="S177" s="225" t="str">
        <f t="shared" si="25"/>
        <v/>
      </c>
      <c r="T177" s="231" t="str">
        <f t="shared" si="26"/>
        <v/>
      </c>
      <c r="U177" s="241"/>
      <c r="V177" s="241"/>
      <c r="W177" s="241"/>
      <c r="X177" s="241"/>
      <c r="Y177" s="241"/>
      <c r="Z177" s="241"/>
      <c r="AA177" s="241"/>
      <c r="AB177" s="241"/>
      <c r="AC177" s="241"/>
      <c r="AD177" s="241"/>
      <c r="AE177" s="241"/>
      <c r="AF177" s="241"/>
      <c r="AG177" s="241"/>
      <c r="AH177" s="241"/>
      <c r="AI177" s="241"/>
      <c r="AJ177" s="241"/>
      <c r="AK177" s="241"/>
      <c r="AL177" s="241"/>
      <c r="AM177" s="241"/>
      <c r="AN177" s="241"/>
      <c r="AO177" s="241"/>
      <c r="AP177" s="241"/>
      <c r="AQ177" s="241"/>
      <c r="AR177" s="241"/>
      <c r="AS177" s="241"/>
      <c r="AT177" s="241"/>
      <c r="AU177" s="241"/>
      <c r="AV177" s="241"/>
      <c r="AW177" s="241"/>
      <c r="AX177" s="241"/>
      <c r="AY177" s="241"/>
      <c r="AZ177" s="241"/>
    </row>
    <row r="178" spans="1:52" s="71" customFormat="1" ht="18" hidden="1" customHeight="1" outlineLevel="1">
      <c r="A178" s="175">
        <v>29</v>
      </c>
      <c r="B178" s="312" t="str">
        <f>(IF('Inputs Whole-Project Water Use'!B178&lt;&gt;"",'Inputs Whole-Project Water Use'!B178,""))</f>
        <v/>
      </c>
      <c r="C178" s="313" t="str">
        <f>IF(AND(D178&lt;&gt;"",'Inputs Whole-Project Water Use'!C178=""),1,IF('Inputs Whole-Project Water Use'!C178&lt;&gt;"",'Inputs Whole-Project Water Use'!C178,""))</f>
        <v/>
      </c>
      <c r="D178" s="397" t="str">
        <f>IF('Inputs Whole-Project Water Use'!D178&lt;&gt;"",'Inputs Whole-Project Water Use'!D178,"")</f>
        <v/>
      </c>
      <c r="E178" s="398"/>
      <c r="F178" s="314" t="str">
        <f>IF('Inputs Whole-Project Water Use'!F178&lt;&gt;"",'Inputs Whole-Project Water Use'!F178,"")</f>
        <v/>
      </c>
      <c r="G178" s="314" t="str">
        <f>IF('Inputs Whole-Project Water Use'!G178&lt;&gt;"",'Inputs Whole-Project Water Use'!G178,"")</f>
        <v/>
      </c>
      <c r="H178" s="315" t="str">
        <f>IF('Inputs Whole-Project Water Use'!H178&lt;&gt;"",'Inputs Whole-Project Water Use'!H178,"")</f>
        <v/>
      </c>
      <c r="I178" s="390" t="str">
        <f t="shared" si="20"/>
        <v/>
      </c>
      <c r="J178" s="391"/>
      <c r="K178" s="316" t="str">
        <f>IF('Inputs Whole-Project Water Use'!K178&lt;&gt;"",'Inputs Whole-Project Water Use'!K178,"")</f>
        <v/>
      </c>
      <c r="L178" s="316" t="str">
        <f>IF('Inputs Whole-Project Water Use'!L178&lt;&gt;"",'Inputs Whole-Project Water Use'!L178,"")</f>
        <v/>
      </c>
      <c r="M178" s="390" t="str">
        <f t="shared" si="21"/>
        <v/>
      </c>
      <c r="N178" s="391"/>
      <c r="O178" s="225" t="str">
        <f t="shared" si="22"/>
        <v/>
      </c>
      <c r="P178" s="225" t="str">
        <f t="shared" si="23"/>
        <v/>
      </c>
      <c r="Q178" s="289" t="str">
        <f>IF(AND(D178&lt;&gt;"",'Inputs Whole-Project Water Use'!Q178=""),0,IF('Inputs Whole-Project Water Use'!Q178&lt;&gt;"",'Inputs Whole-Project Water Use'!Q178,""))</f>
        <v/>
      </c>
      <c r="R178" s="225" t="str">
        <f t="shared" si="24"/>
        <v/>
      </c>
      <c r="S178" s="225" t="str">
        <f t="shared" si="25"/>
        <v/>
      </c>
      <c r="T178" s="231" t="str">
        <f t="shared" si="26"/>
        <v/>
      </c>
      <c r="U178" s="241"/>
      <c r="V178" s="241"/>
      <c r="W178" s="241"/>
      <c r="X178" s="241"/>
      <c r="Y178" s="241"/>
      <c r="Z178" s="241"/>
      <c r="AA178" s="241"/>
      <c r="AB178" s="241"/>
      <c r="AC178" s="241"/>
      <c r="AD178" s="241"/>
      <c r="AE178" s="241"/>
      <c r="AF178" s="241"/>
      <c r="AG178" s="241"/>
      <c r="AH178" s="241"/>
      <c r="AI178" s="241"/>
      <c r="AJ178" s="241"/>
      <c r="AK178" s="241"/>
      <c r="AL178" s="241"/>
      <c r="AM178" s="241"/>
      <c r="AN178" s="241"/>
      <c r="AO178" s="241"/>
      <c r="AP178" s="241"/>
      <c r="AQ178" s="241"/>
      <c r="AR178" s="241"/>
      <c r="AS178" s="241"/>
      <c r="AT178" s="241"/>
      <c r="AU178" s="241"/>
      <c r="AV178" s="241"/>
      <c r="AW178" s="241"/>
      <c r="AX178" s="241"/>
      <c r="AY178" s="241"/>
      <c r="AZ178" s="241"/>
    </row>
    <row r="179" spans="1:52" s="71" customFormat="1" ht="18" hidden="1" customHeight="1" outlineLevel="1">
      <c r="A179" s="175">
        <v>30</v>
      </c>
      <c r="B179" s="312" t="str">
        <f>(IF('Inputs Whole-Project Water Use'!B179&lt;&gt;"",'Inputs Whole-Project Water Use'!B179,""))</f>
        <v/>
      </c>
      <c r="C179" s="313" t="str">
        <f>IF(AND(D179&lt;&gt;"",'Inputs Whole-Project Water Use'!C179=""),1,IF('Inputs Whole-Project Water Use'!C179&lt;&gt;"",'Inputs Whole-Project Water Use'!C179,""))</f>
        <v/>
      </c>
      <c r="D179" s="397" t="str">
        <f>IF('Inputs Whole-Project Water Use'!D179&lt;&gt;"",'Inputs Whole-Project Water Use'!D179,"")</f>
        <v/>
      </c>
      <c r="E179" s="398"/>
      <c r="F179" s="314" t="str">
        <f>IF('Inputs Whole-Project Water Use'!F179&lt;&gt;"",'Inputs Whole-Project Water Use'!F179,"")</f>
        <v/>
      </c>
      <c r="G179" s="314" t="str">
        <f>IF('Inputs Whole-Project Water Use'!G179&lt;&gt;"",'Inputs Whole-Project Water Use'!G179,"")</f>
        <v/>
      </c>
      <c r="H179" s="315" t="str">
        <f>IF('Inputs Whole-Project Water Use'!H179&lt;&gt;"",'Inputs Whole-Project Water Use'!H179,"")</f>
        <v/>
      </c>
      <c r="I179" s="390" t="str">
        <f t="shared" si="20"/>
        <v/>
      </c>
      <c r="J179" s="391"/>
      <c r="K179" s="316" t="str">
        <f>IF('Inputs Whole-Project Water Use'!K179&lt;&gt;"",'Inputs Whole-Project Water Use'!K179,"")</f>
        <v/>
      </c>
      <c r="L179" s="316" t="str">
        <f>IF('Inputs Whole-Project Water Use'!L179&lt;&gt;"",'Inputs Whole-Project Water Use'!L179,"")</f>
        <v/>
      </c>
      <c r="M179" s="390" t="str">
        <f t="shared" si="21"/>
        <v/>
      </c>
      <c r="N179" s="391"/>
      <c r="O179" s="225" t="str">
        <f t="shared" si="22"/>
        <v/>
      </c>
      <c r="P179" s="225" t="str">
        <f t="shared" si="23"/>
        <v/>
      </c>
      <c r="Q179" s="289" t="str">
        <f>IF(AND(D179&lt;&gt;"",'Inputs Whole-Project Water Use'!Q179=""),0,IF('Inputs Whole-Project Water Use'!Q179&lt;&gt;"",'Inputs Whole-Project Water Use'!Q179,""))</f>
        <v/>
      </c>
      <c r="R179" s="225" t="str">
        <f t="shared" si="24"/>
        <v/>
      </c>
      <c r="S179" s="225" t="str">
        <f t="shared" si="25"/>
        <v/>
      </c>
      <c r="T179" s="231" t="str">
        <f t="shared" si="26"/>
        <v/>
      </c>
      <c r="U179" s="241"/>
      <c r="V179" s="241"/>
      <c r="W179" s="241"/>
      <c r="X179" s="241"/>
      <c r="Y179" s="241"/>
      <c r="Z179" s="241"/>
      <c r="AA179" s="241"/>
      <c r="AB179" s="241"/>
      <c r="AC179" s="241"/>
      <c r="AD179" s="241"/>
      <c r="AE179" s="241"/>
      <c r="AF179" s="241"/>
      <c r="AG179" s="241"/>
      <c r="AH179" s="241"/>
      <c r="AI179" s="241"/>
      <c r="AJ179" s="241"/>
      <c r="AK179" s="241"/>
      <c r="AL179" s="241"/>
      <c r="AM179" s="241"/>
      <c r="AN179" s="241"/>
      <c r="AO179" s="241"/>
      <c r="AP179" s="241"/>
      <c r="AQ179" s="241"/>
      <c r="AR179" s="241"/>
      <c r="AS179" s="241"/>
      <c r="AT179" s="241"/>
      <c r="AU179" s="241"/>
      <c r="AV179" s="241"/>
      <c r="AW179" s="241"/>
      <c r="AX179" s="241"/>
      <c r="AY179" s="241"/>
      <c r="AZ179" s="241"/>
    </row>
    <row r="180" spans="1:52" s="71" customFormat="1" ht="18" hidden="1" customHeight="1" outlineLevel="1">
      <c r="A180" s="175">
        <v>31</v>
      </c>
      <c r="B180" s="312" t="str">
        <f>(IF('Inputs Whole-Project Water Use'!B180&lt;&gt;"",'Inputs Whole-Project Water Use'!B180,""))</f>
        <v/>
      </c>
      <c r="C180" s="313" t="str">
        <f>IF(AND(D180&lt;&gt;"",'Inputs Whole-Project Water Use'!C180=""),1,IF('Inputs Whole-Project Water Use'!C180&lt;&gt;"",'Inputs Whole-Project Water Use'!C180,""))</f>
        <v/>
      </c>
      <c r="D180" s="397" t="str">
        <f>IF('Inputs Whole-Project Water Use'!D180&lt;&gt;"",'Inputs Whole-Project Water Use'!D180,"")</f>
        <v/>
      </c>
      <c r="E180" s="398"/>
      <c r="F180" s="314" t="str">
        <f>IF('Inputs Whole-Project Water Use'!F180&lt;&gt;"",'Inputs Whole-Project Water Use'!F180,"")</f>
        <v/>
      </c>
      <c r="G180" s="314" t="str">
        <f>IF('Inputs Whole-Project Water Use'!G180&lt;&gt;"",'Inputs Whole-Project Water Use'!G180,"")</f>
        <v/>
      </c>
      <c r="H180" s="315" t="str">
        <f>IF('Inputs Whole-Project Water Use'!H180&lt;&gt;"",'Inputs Whole-Project Water Use'!H180,"")</f>
        <v/>
      </c>
      <c r="I180" s="390" t="str">
        <f t="shared" si="20"/>
        <v/>
      </c>
      <c r="J180" s="391"/>
      <c r="K180" s="316" t="str">
        <f>IF('Inputs Whole-Project Water Use'!K180&lt;&gt;"",'Inputs Whole-Project Water Use'!K180,"")</f>
        <v/>
      </c>
      <c r="L180" s="316" t="str">
        <f>IF('Inputs Whole-Project Water Use'!L180&lt;&gt;"",'Inputs Whole-Project Water Use'!L180,"")</f>
        <v/>
      </c>
      <c r="M180" s="390" t="str">
        <f t="shared" si="21"/>
        <v/>
      </c>
      <c r="N180" s="391"/>
      <c r="O180" s="225" t="str">
        <f t="shared" si="22"/>
        <v/>
      </c>
      <c r="P180" s="225" t="str">
        <f t="shared" si="23"/>
        <v/>
      </c>
      <c r="Q180" s="289" t="str">
        <f>IF(AND(D180&lt;&gt;"",'Inputs Whole-Project Water Use'!Q180=""),0,IF('Inputs Whole-Project Water Use'!Q180&lt;&gt;"",'Inputs Whole-Project Water Use'!Q180,""))</f>
        <v/>
      </c>
      <c r="R180" s="225" t="str">
        <f t="shared" si="24"/>
        <v/>
      </c>
      <c r="S180" s="225" t="str">
        <f t="shared" si="25"/>
        <v/>
      </c>
      <c r="T180" s="231" t="str">
        <f t="shared" si="26"/>
        <v/>
      </c>
      <c r="U180" s="176" t="s">
        <v>165</v>
      </c>
      <c r="V180" s="241"/>
      <c r="W180" s="241"/>
      <c r="X180" s="241"/>
      <c r="Y180" s="241"/>
      <c r="Z180" s="241"/>
      <c r="AA180" s="241"/>
      <c r="AB180" s="241"/>
      <c r="AC180" s="241"/>
      <c r="AD180" s="241"/>
      <c r="AE180" s="241"/>
      <c r="AF180" s="241"/>
      <c r="AG180" s="241"/>
      <c r="AH180" s="241"/>
      <c r="AI180" s="241"/>
      <c r="AJ180" s="241"/>
      <c r="AK180" s="241"/>
      <c r="AL180" s="241"/>
      <c r="AM180" s="241"/>
      <c r="AN180" s="241"/>
      <c r="AO180" s="241"/>
      <c r="AP180" s="241"/>
      <c r="AQ180" s="241"/>
      <c r="AR180" s="241"/>
      <c r="AS180" s="241"/>
      <c r="AT180" s="241"/>
      <c r="AU180" s="241"/>
      <c r="AV180" s="241"/>
      <c r="AW180" s="241"/>
      <c r="AX180" s="241"/>
      <c r="AY180" s="241"/>
      <c r="AZ180" s="241"/>
    </row>
    <row r="181" spans="1:52" s="71" customFormat="1" ht="18" hidden="1" customHeight="1" outlineLevel="2">
      <c r="A181" s="175">
        <v>32</v>
      </c>
      <c r="B181" s="312" t="str">
        <f>(IF('Inputs Whole-Project Water Use'!B181&lt;&gt;"",'Inputs Whole-Project Water Use'!B181,""))</f>
        <v/>
      </c>
      <c r="C181" s="313" t="str">
        <f>IF(AND(D181&lt;&gt;"",'Inputs Whole-Project Water Use'!C181=""),1,IF('Inputs Whole-Project Water Use'!C181&lt;&gt;"",'Inputs Whole-Project Water Use'!C181,""))</f>
        <v/>
      </c>
      <c r="D181" s="397" t="str">
        <f>IF('Inputs Whole-Project Water Use'!D181&lt;&gt;"",'Inputs Whole-Project Water Use'!D181,"")</f>
        <v/>
      </c>
      <c r="E181" s="398"/>
      <c r="F181" s="314" t="str">
        <f>IF('Inputs Whole-Project Water Use'!F181&lt;&gt;"",'Inputs Whole-Project Water Use'!F181,"")</f>
        <v/>
      </c>
      <c r="G181" s="314" t="str">
        <f>IF('Inputs Whole-Project Water Use'!G181&lt;&gt;"",'Inputs Whole-Project Water Use'!G181,"")</f>
        <v/>
      </c>
      <c r="H181" s="315" t="str">
        <f>IF('Inputs Whole-Project Water Use'!H181&lt;&gt;"",'Inputs Whole-Project Water Use'!H181,"")</f>
        <v/>
      </c>
      <c r="I181" s="390" t="str">
        <f t="shared" si="20"/>
        <v/>
      </c>
      <c r="J181" s="391"/>
      <c r="K181" s="316" t="str">
        <f>IF('Inputs Whole-Project Water Use'!K181&lt;&gt;"",'Inputs Whole-Project Water Use'!K181,"")</f>
        <v/>
      </c>
      <c r="L181" s="316" t="str">
        <f>IF('Inputs Whole-Project Water Use'!L181&lt;&gt;"",'Inputs Whole-Project Water Use'!L181,"")</f>
        <v/>
      </c>
      <c r="M181" s="390" t="str">
        <f t="shared" si="21"/>
        <v/>
      </c>
      <c r="N181" s="391"/>
      <c r="O181" s="225" t="str">
        <f t="shared" si="22"/>
        <v/>
      </c>
      <c r="P181" s="225" t="str">
        <f t="shared" si="23"/>
        <v/>
      </c>
      <c r="Q181" s="289" t="str">
        <f>IF(AND(D181&lt;&gt;"",'Inputs Whole-Project Water Use'!Q181=""),0,IF('Inputs Whole-Project Water Use'!Q181&lt;&gt;"",'Inputs Whole-Project Water Use'!Q181,""))</f>
        <v/>
      </c>
      <c r="R181" s="225" t="str">
        <f t="shared" si="24"/>
        <v/>
      </c>
      <c r="S181" s="225" t="str">
        <f t="shared" si="25"/>
        <v/>
      </c>
      <c r="T181" s="231" t="str">
        <f t="shared" si="26"/>
        <v/>
      </c>
      <c r="U181" s="241"/>
      <c r="V181" s="241"/>
      <c r="W181" s="241"/>
      <c r="X181" s="241"/>
      <c r="Y181" s="241"/>
      <c r="Z181" s="241"/>
      <c r="AA181" s="241"/>
      <c r="AB181" s="241"/>
      <c r="AC181" s="241"/>
      <c r="AD181" s="241"/>
      <c r="AE181" s="241"/>
      <c r="AF181" s="241"/>
      <c r="AG181" s="241"/>
      <c r="AH181" s="241"/>
      <c r="AI181" s="241"/>
      <c r="AJ181" s="241"/>
      <c r="AK181" s="241"/>
      <c r="AL181" s="241"/>
      <c r="AM181" s="241"/>
      <c r="AN181" s="241"/>
      <c r="AO181" s="241"/>
      <c r="AP181" s="241"/>
      <c r="AQ181" s="241"/>
      <c r="AR181" s="241"/>
      <c r="AS181" s="241"/>
      <c r="AT181" s="241"/>
      <c r="AU181" s="241"/>
      <c r="AV181" s="241"/>
      <c r="AW181" s="241"/>
      <c r="AX181" s="241"/>
      <c r="AY181" s="241"/>
      <c r="AZ181" s="241"/>
    </row>
    <row r="182" spans="1:52" s="71" customFormat="1" ht="18" hidden="1" customHeight="1" outlineLevel="2">
      <c r="A182" s="175">
        <v>33</v>
      </c>
      <c r="B182" s="312" t="str">
        <f>(IF('Inputs Whole-Project Water Use'!B182&lt;&gt;"",'Inputs Whole-Project Water Use'!B182,""))</f>
        <v/>
      </c>
      <c r="C182" s="313" t="str">
        <f>IF(AND(D182&lt;&gt;"",'Inputs Whole-Project Water Use'!C182=""),1,IF('Inputs Whole-Project Water Use'!C182&lt;&gt;"",'Inputs Whole-Project Water Use'!C182,""))</f>
        <v/>
      </c>
      <c r="D182" s="397" t="str">
        <f>IF('Inputs Whole-Project Water Use'!D182&lt;&gt;"",'Inputs Whole-Project Water Use'!D182,"")</f>
        <v/>
      </c>
      <c r="E182" s="398"/>
      <c r="F182" s="314" t="str">
        <f>IF('Inputs Whole-Project Water Use'!F182&lt;&gt;"",'Inputs Whole-Project Water Use'!F182,"")</f>
        <v/>
      </c>
      <c r="G182" s="314" t="str">
        <f>IF('Inputs Whole-Project Water Use'!G182&lt;&gt;"",'Inputs Whole-Project Water Use'!G182,"")</f>
        <v/>
      </c>
      <c r="H182" s="315" t="str">
        <f>IF('Inputs Whole-Project Water Use'!H182&lt;&gt;"",'Inputs Whole-Project Water Use'!H182,"")</f>
        <v/>
      </c>
      <c r="I182" s="390" t="str">
        <f t="shared" si="20"/>
        <v/>
      </c>
      <c r="J182" s="391"/>
      <c r="K182" s="316" t="str">
        <f>IF('Inputs Whole-Project Water Use'!K182&lt;&gt;"",'Inputs Whole-Project Water Use'!K182,"")</f>
        <v/>
      </c>
      <c r="L182" s="316" t="str">
        <f>IF('Inputs Whole-Project Water Use'!L182&lt;&gt;"",'Inputs Whole-Project Water Use'!L182,"")</f>
        <v/>
      </c>
      <c r="M182" s="390" t="str">
        <f t="shared" si="21"/>
        <v/>
      </c>
      <c r="N182" s="391"/>
      <c r="O182" s="225" t="str">
        <f t="shared" si="22"/>
        <v/>
      </c>
      <c r="P182" s="225" t="str">
        <f t="shared" si="23"/>
        <v/>
      </c>
      <c r="Q182" s="289" t="str">
        <f>IF(AND(D182&lt;&gt;"",'Inputs Whole-Project Water Use'!Q182=""),0,IF('Inputs Whole-Project Water Use'!Q182&lt;&gt;"",'Inputs Whole-Project Water Use'!Q182,""))</f>
        <v/>
      </c>
      <c r="R182" s="225" t="str">
        <f t="shared" si="24"/>
        <v/>
      </c>
      <c r="S182" s="225" t="str">
        <f t="shared" si="25"/>
        <v/>
      </c>
      <c r="T182" s="231" t="str">
        <f t="shared" si="26"/>
        <v/>
      </c>
      <c r="U182" s="241"/>
      <c r="V182" s="241"/>
      <c r="W182" s="241"/>
      <c r="X182" s="241"/>
      <c r="Y182" s="241"/>
      <c r="Z182" s="241"/>
      <c r="AA182" s="241"/>
      <c r="AB182" s="241"/>
      <c r="AC182" s="241"/>
      <c r="AD182" s="241"/>
      <c r="AE182" s="241"/>
      <c r="AF182" s="241"/>
      <c r="AG182" s="241"/>
      <c r="AH182" s="241"/>
      <c r="AI182" s="241"/>
      <c r="AJ182" s="241"/>
      <c r="AK182" s="241"/>
      <c r="AL182" s="241"/>
      <c r="AM182" s="241"/>
      <c r="AN182" s="241"/>
      <c r="AO182" s="241"/>
      <c r="AP182" s="241"/>
      <c r="AQ182" s="241"/>
      <c r="AR182" s="241"/>
      <c r="AS182" s="241"/>
      <c r="AT182" s="241"/>
      <c r="AU182" s="241"/>
      <c r="AV182" s="241"/>
      <c r="AW182" s="241"/>
      <c r="AX182" s="241"/>
      <c r="AY182" s="241"/>
      <c r="AZ182" s="241"/>
    </row>
    <row r="183" spans="1:52" s="71" customFormat="1" ht="18" hidden="1" customHeight="1" outlineLevel="2">
      <c r="A183" s="175">
        <v>34</v>
      </c>
      <c r="B183" s="312" t="str">
        <f>(IF('Inputs Whole-Project Water Use'!B183&lt;&gt;"",'Inputs Whole-Project Water Use'!B183,""))</f>
        <v/>
      </c>
      <c r="C183" s="313" t="str">
        <f>IF(AND(D183&lt;&gt;"",'Inputs Whole-Project Water Use'!C183=""),1,IF('Inputs Whole-Project Water Use'!C183&lt;&gt;"",'Inputs Whole-Project Water Use'!C183,""))</f>
        <v/>
      </c>
      <c r="D183" s="397" t="str">
        <f>IF('Inputs Whole-Project Water Use'!D183&lt;&gt;"",'Inputs Whole-Project Water Use'!D183,"")</f>
        <v/>
      </c>
      <c r="E183" s="398"/>
      <c r="F183" s="314" t="str">
        <f>IF('Inputs Whole-Project Water Use'!F183&lt;&gt;"",'Inputs Whole-Project Water Use'!F183,"")</f>
        <v/>
      </c>
      <c r="G183" s="314" t="str">
        <f>IF('Inputs Whole-Project Water Use'!G183&lt;&gt;"",'Inputs Whole-Project Water Use'!G183,"")</f>
        <v/>
      </c>
      <c r="H183" s="315" t="str">
        <f>IF('Inputs Whole-Project Water Use'!H183&lt;&gt;"",'Inputs Whole-Project Water Use'!H183,"")</f>
        <v/>
      </c>
      <c r="I183" s="390" t="str">
        <f t="shared" si="20"/>
        <v/>
      </c>
      <c r="J183" s="391"/>
      <c r="K183" s="316" t="str">
        <f>IF('Inputs Whole-Project Water Use'!K183&lt;&gt;"",'Inputs Whole-Project Water Use'!K183,"")</f>
        <v/>
      </c>
      <c r="L183" s="316" t="str">
        <f>IF('Inputs Whole-Project Water Use'!L183&lt;&gt;"",'Inputs Whole-Project Water Use'!L183,"")</f>
        <v/>
      </c>
      <c r="M183" s="390" t="str">
        <f t="shared" si="21"/>
        <v/>
      </c>
      <c r="N183" s="391"/>
      <c r="O183" s="225" t="str">
        <f t="shared" si="22"/>
        <v/>
      </c>
      <c r="P183" s="225" t="str">
        <f t="shared" si="23"/>
        <v/>
      </c>
      <c r="Q183" s="289" t="str">
        <f>IF(AND(D183&lt;&gt;"",'Inputs Whole-Project Water Use'!Q183=""),0,IF('Inputs Whole-Project Water Use'!Q183&lt;&gt;"",'Inputs Whole-Project Water Use'!Q183,""))</f>
        <v/>
      </c>
      <c r="R183" s="225" t="str">
        <f t="shared" si="24"/>
        <v/>
      </c>
      <c r="S183" s="225" t="str">
        <f t="shared" si="25"/>
        <v/>
      </c>
      <c r="T183" s="231" t="str">
        <f t="shared" si="26"/>
        <v/>
      </c>
      <c r="U183" s="241"/>
      <c r="V183" s="241"/>
      <c r="W183" s="241"/>
      <c r="X183" s="241"/>
      <c r="Y183" s="241"/>
      <c r="Z183" s="241"/>
      <c r="AA183" s="241"/>
      <c r="AB183" s="241"/>
      <c r="AC183" s="241"/>
      <c r="AD183" s="241"/>
      <c r="AE183" s="241"/>
      <c r="AF183" s="241"/>
      <c r="AG183" s="241"/>
      <c r="AH183" s="241"/>
      <c r="AI183" s="241"/>
      <c r="AJ183" s="241"/>
      <c r="AK183" s="241"/>
      <c r="AL183" s="241"/>
      <c r="AM183" s="241"/>
      <c r="AN183" s="241"/>
      <c r="AO183" s="241"/>
      <c r="AP183" s="241"/>
      <c r="AQ183" s="241"/>
      <c r="AR183" s="241"/>
      <c r="AS183" s="241"/>
      <c r="AT183" s="241"/>
      <c r="AU183" s="241"/>
      <c r="AV183" s="241"/>
      <c r="AW183" s="241"/>
      <c r="AX183" s="241"/>
      <c r="AY183" s="241"/>
      <c r="AZ183" s="241"/>
    </row>
    <row r="184" spans="1:52" s="71" customFormat="1" ht="18" hidden="1" customHeight="1" outlineLevel="2">
      <c r="A184" s="175">
        <v>35</v>
      </c>
      <c r="B184" s="312" t="str">
        <f>(IF('Inputs Whole-Project Water Use'!B184&lt;&gt;"",'Inputs Whole-Project Water Use'!B184,""))</f>
        <v/>
      </c>
      <c r="C184" s="313" t="str">
        <f>IF(AND(D184&lt;&gt;"",'Inputs Whole-Project Water Use'!C184=""),1,IF('Inputs Whole-Project Water Use'!C184&lt;&gt;"",'Inputs Whole-Project Water Use'!C184,""))</f>
        <v/>
      </c>
      <c r="D184" s="397" t="str">
        <f>IF('Inputs Whole-Project Water Use'!D184&lt;&gt;"",'Inputs Whole-Project Water Use'!D184,"")</f>
        <v/>
      </c>
      <c r="E184" s="398"/>
      <c r="F184" s="314" t="str">
        <f>IF('Inputs Whole-Project Water Use'!F184&lt;&gt;"",'Inputs Whole-Project Water Use'!F184,"")</f>
        <v/>
      </c>
      <c r="G184" s="314" t="str">
        <f>IF('Inputs Whole-Project Water Use'!G184&lt;&gt;"",'Inputs Whole-Project Water Use'!G184,"")</f>
        <v/>
      </c>
      <c r="H184" s="315" t="str">
        <f>IF('Inputs Whole-Project Water Use'!H184&lt;&gt;"",'Inputs Whole-Project Water Use'!H184,"")</f>
        <v/>
      </c>
      <c r="I184" s="390" t="str">
        <f t="shared" si="20"/>
        <v/>
      </c>
      <c r="J184" s="391"/>
      <c r="K184" s="316" t="str">
        <f>IF('Inputs Whole-Project Water Use'!K184&lt;&gt;"",'Inputs Whole-Project Water Use'!K184,"")</f>
        <v/>
      </c>
      <c r="L184" s="316" t="str">
        <f>IF('Inputs Whole-Project Water Use'!L184&lt;&gt;"",'Inputs Whole-Project Water Use'!L184,"")</f>
        <v/>
      </c>
      <c r="M184" s="390" t="str">
        <f t="shared" si="21"/>
        <v/>
      </c>
      <c r="N184" s="391"/>
      <c r="O184" s="225" t="str">
        <f t="shared" si="22"/>
        <v/>
      </c>
      <c r="P184" s="225" t="str">
        <f t="shared" si="23"/>
        <v/>
      </c>
      <c r="Q184" s="289" t="str">
        <f>IF(AND(D184&lt;&gt;"",'Inputs Whole-Project Water Use'!Q184=""),0,IF('Inputs Whole-Project Water Use'!Q184&lt;&gt;"",'Inputs Whole-Project Water Use'!Q184,""))</f>
        <v/>
      </c>
      <c r="R184" s="225" t="str">
        <f t="shared" si="24"/>
        <v/>
      </c>
      <c r="S184" s="225" t="str">
        <f t="shared" si="25"/>
        <v/>
      </c>
      <c r="T184" s="231" t="str">
        <f t="shared" si="26"/>
        <v/>
      </c>
      <c r="U184" s="241"/>
      <c r="V184" s="241"/>
      <c r="W184" s="241"/>
      <c r="X184" s="241"/>
      <c r="Y184" s="241"/>
      <c r="Z184" s="241"/>
      <c r="AA184" s="241"/>
      <c r="AB184" s="241"/>
      <c r="AC184" s="241"/>
      <c r="AD184" s="241"/>
      <c r="AE184" s="241"/>
      <c r="AF184" s="241"/>
      <c r="AG184" s="241"/>
      <c r="AH184" s="241"/>
      <c r="AI184" s="241"/>
      <c r="AJ184" s="241"/>
      <c r="AK184" s="241"/>
      <c r="AL184" s="241"/>
      <c r="AM184" s="241"/>
      <c r="AN184" s="241"/>
      <c r="AO184" s="241"/>
      <c r="AP184" s="241"/>
      <c r="AQ184" s="241"/>
      <c r="AR184" s="241"/>
      <c r="AS184" s="241"/>
      <c r="AT184" s="241"/>
      <c r="AU184" s="241"/>
      <c r="AV184" s="241"/>
      <c r="AW184" s="241"/>
      <c r="AX184" s="241"/>
      <c r="AY184" s="241"/>
      <c r="AZ184" s="241"/>
    </row>
    <row r="185" spans="1:52" s="71" customFormat="1" ht="18" hidden="1" customHeight="1" outlineLevel="2">
      <c r="A185" s="175">
        <v>36</v>
      </c>
      <c r="B185" s="312" t="str">
        <f>(IF('Inputs Whole-Project Water Use'!B185&lt;&gt;"",'Inputs Whole-Project Water Use'!B185,""))</f>
        <v/>
      </c>
      <c r="C185" s="313" t="str">
        <f>IF(AND(D185&lt;&gt;"",'Inputs Whole-Project Water Use'!C185=""),1,IF('Inputs Whole-Project Water Use'!C185&lt;&gt;"",'Inputs Whole-Project Water Use'!C185,""))</f>
        <v/>
      </c>
      <c r="D185" s="397" t="str">
        <f>IF('Inputs Whole-Project Water Use'!D185&lt;&gt;"",'Inputs Whole-Project Water Use'!D185,"")</f>
        <v/>
      </c>
      <c r="E185" s="398"/>
      <c r="F185" s="314" t="str">
        <f>IF('Inputs Whole-Project Water Use'!F185&lt;&gt;"",'Inputs Whole-Project Water Use'!F185,"")</f>
        <v/>
      </c>
      <c r="G185" s="314" t="str">
        <f>IF('Inputs Whole-Project Water Use'!G185&lt;&gt;"",'Inputs Whole-Project Water Use'!G185,"")</f>
        <v/>
      </c>
      <c r="H185" s="315" t="str">
        <f>IF('Inputs Whole-Project Water Use'!H185&lt;&gt;"",'Inputs Whole-Project Water Use'!H185,"")</f>
        <v/>
      </c>
      <c r="I185" s="390" t="str">
        <f t="shared" si="20"/>
        <v/>
      </c>
      <c r="J185" s="391"/>
      <c r="K185" s="316" t="str">
        <f>IF('Inputs Whole-Project Water Use'!K185&lt;&gt;"",'Inputs Whole-Project Water Use'!K185,"")</f>
        <v/>
      </c>
      <c r="L185" s="316" t="str">
        <f>IF('Inputs Whole-Project Water Use'!L185&lt;&gt;"",'Inputs Whole-Project Water Use'!L185,"")</f>
        <v/>
      </c>
      <c r="M185" s="390" t="str">
        <f t="shared" si="21"/>
        <v/>
      </c>
      <c r="N185" s="391"/>
      <c r="O185" s="225" t="str">
        <f t="shared" si="22"/>
        <v/>
      </c>
      <c r="P185" s="225" t="str">
        <f t="shared" si="23"/>
        <v/>
      </c>
      <c r="Q185" s="289" t="str">
        <f>IF(AND(D185&lt;&gt;"",'Inputs Whole-Project Water Use'!Q185=""),0,IF('Inputs Whole-Project Water Use'!Q185&lt;&gt;"",'Inputs Whole-Project Water Use'!Q185,""))</f>
        <v/>
      </c>
      <c r="R185" s="225" t="str">
        <f t="shared" si="24"/>
        <v/>
      </c>
      <c r="S185" s="225" t="str">
        <f t="shared" si="25"/>
        <v/>
      </c>
      <c r="T185" s="231" t="str">
        <f t="shared" si="26"/>
        <v/>
      </c>
      <c r="U185" s="241"/>
      <c r="V185" s="241"/>
      <c r="W185" s="241"/>
      <c r="X185" s="241"/>
      <c r="Y185" s="241"/>
      <c r="Z185" s="241"/>
      <c r="AA185" s="241"/>
      <c r="AB185" s="241"/>
      <c r="AC185" s="241"/>
      <c r="AD185" s="241"/>
      <c r="AE185" s="241"/>
      <c r="AF185" s="241"/>
      <c r="AG185" s="241"/>
      <c r="AH185" s="241"/>
      <c r="AI185" s="241"/>
      <c r="AJ185" s="241"/>
      <c r="AK185" s="241"/>
      <c r="AL185" s="241"/>
      <c r="AM185" s="241"/>
      <c r="AN185" s="241"/>
      <c r="AO185" s="241"/>
      <c r="AP185" s="241"/>
      <c r="AQ185" s="241"/>
      <c r="AR185" s="241"/>
      <c r="AS185" s="241"/>
      <c r="AT185" s="241"/>
      <c r="AU185" s="241"/>
      <c r="AV185" s="241"/>
      <c r="AW185" s="241"/>
      <c r="AX185" s="241"/>
      <c r="AY185" s="241"/>
      <c r="AZ185" s="241"/>
    </row>
    <row r="186" spans="1:52" s="71" customFormat="1" ht="18" hidden="1" customHeight="1" outlineLevel="2">
      <c r="A186" s="175">
        <v>37</v>
      </c>
      <c r="B186" s="312" t="str">
        <f>(IF('Inputs Whole-Project Water Use'!B186&lt;&gt;"",'Inputs Whole-Project Water Use'!B186,""))</f>
        <v/>
      </c>
      <c r="C186" s="313" t="str">
        <f>IF(AND(D186&lt;&gt;"",'Inputs Whole-Project Water Use'!C186=""),1,IF('Inputs Whole-Project Water Use'!C186&lt;&gt;"",'Inputs Whole-Project Water Use'!C186,""))</f>
        <v/>
      </c>
      <c r="D186" s="397" t="str">
        <f>IF('Inputs Whole-Project Water Use'!D186&lt;&gt;"",'Inputs Whole-Project Water Use'!D186,"")</f>
        <v/>
      </c>
      <c r="E186" s="398"/>
      <c r="F186" s="314" t="str">
        <f>IF('Inputs Whole-Project Water Use'!F186&lt;&gt;"",'Inputs Whole-Project Water Use'!F186,"")</f>
        <v/>
      </c>
      <c r="G186" s="314" t="str">
        <f>IF('Inputs Whole-Project Water Use'!G186&lt;&gt;"",'Inputs Whole-Project Water Use'!G186,"")</f>
        <v/>
      </c>
      <c r="H186" s="315" t="str">
        <f>IF('Inputs Whole-Project Water Use'!H186&lt;&gt;"",'Inputs Whole-Project Water Use'!H186,"")</f>
        <v/>
      </c>
      <c r="I186" s="390" t="str">
        <f t="shared" si="20"/>
        <v/>
      </c>
      <c r="J186" s="391"/>
      <c r="K186" s="316" t="str">
        <f>IF('Inputs Whole-Project Water Use'!K186&lt;&gt;"",'Inputs Whole-Project Water Use'!K186,"")</f>
        <v/>
      </c>
      <c r="L186" s="316" t="str">
        <f>IF('Inputs Whole-Project Water Use'!L186&lt;&gt;"",'Inputs Whole-Project Water Use'!L186,"")</f>
        <v/>
      </c>
      <c r="M186" s="390" t="str">
        <f t="shared" si="21"/>
        <v/>
      </c>
      <c r="N186" s="391"/>
      <c r="O186" s="225" t="str">
        <f t="shared" si="22"/>
        <v/>
      </c>
      <c r="P186" s="225" t="str">
        <f t="shared" si="23"/>
        <v/>
      </c>
      <c r="Q186" s="289" t="str">
        <f>IF(AND(D186&lt;&gt;"",'Inputs Whole-Project Water Use'!Q186=""),0,IF('Inputs Whole-Project Water Use'!Q186&lt;&gt;"",'Inputs Whole-Project Water Use'!Q186,""))</f>
        <v/>
      </c>
      <c r="R186" s="225" t="str">
        <f t="shared" si="24"/>
        <v/>
      </c>
      <c r="S186" s="225" t="str">
        <f t="shared" si="25"/>
        <v/>
      </c>
      <c r="T186" s="231" t="str">
        <f t="shared" si="26"/>
        <v/>
      </c>
      <c r="U186" s="241"/>
      <c r="V186" s="241"/>
      <c r="W186" s="241"/>
      <c r="X186" s="241"/>
      <c r="Y186" s="241"/>
      <c r="Z186" s="241"/>
      <c r="AA186" s="241"/>
      <c r="AB186" s="241"/>
      <c r="AC186" s="241"/>
      <c r="AD186" s="241"/>
      <c r="AE186" s="241"/>
      <c r="AF186" s="241"/>
      <c r="AG186" s="241"/>
      <c r="AH186" s="241"/>
      <c r="AI186" s="241"/>
      <c r="AJ186" s="241"/>
      <c r="AK186" s="241"/>
      <c r="AL186" s="241"/>
      <c r="AM186" s="241"/>
      <c r="AN186" s="241"/>
      <c r="AO186" s="241"/>
      <c r="AP186" s="241"/>
      <c r="AQ186" s="241"/>
      <c r="AR186" s="241"/>
      <c r="AS186" s="241"/>
      <c r="AT186" s="241"/>
      <c r="AU186" s="241"/>
      <c r="AV186" s="241"/>
      <c r="AW186" s="241"/>
      <c r="AX186" s="241"/>
      <c r="AY186" s="241"/>
      <c r="AZ186" s="241"/>
    </row>
    <row r="187" spans="1:52" s="71" customFormat="1" ht="18" hidden="1" customHeight="1" outlineLevel="2">
      <c r="A187" s="175">
        <v>38</v>
      </c>
      <c r="B187" s="312" t="str">
        <f>(IF('Inputs Whole-Project Water Use'!B187&lt;&gt;"",'Inputs Whole-Project Water Use'!B187,""))</f>
        <v/>
      </c>
      <c r="C187" s="313" t="str">
        <f>IF(AND(D187&lt;&gt;"",'Inputs Whole-Project Water Use'!C187=""),1,IF('Inputs Whole-Project Water Use'!C187&lt;&gt;"",'Inputs Whole-Project Water Use'!C187,""))</f>
        <v/>
      </c>
      <c r="D187" s="397" t="str">
        <f>IF('Inputs Whole-Project Water Use'!D187&lt;&gt;"",'Inputs Whole-Project Water Use'!D187,"")</f>
        <v/>
      </c>
      <c r="E187" s="398"/>
      <c r="F187" s="314" t="str">
        <f>IF('Inputs Whole-Project Water Use'!F187&lt;&gt;"",'Inputs Whole-Project Water Use'!F187,"")</f>
        <v/>
      </c>
      <c r="G187" s="314" t="str">
        <f>IF('Inputs Whole-Project Water Use'!G187&lt;&gt;"",'Inputs Whole-Project Water Use'!G187,"")</f>
        <v/>
      </c>
      <c r="H187" s="315" t="str">
        <f>IF('Inputs Whole-Project Water Use'!H187&lt;&gt;"",'Inputs Whole-Project Water Use'!H187,"")</f>
        <v/>
      </c>
      <c r="I187" s="390" t="str">
        <f t="shared" si="20"/>
        <v/>
      </c>
      <c r="J187" s="391"/>
      <c r="K187" s="316" t="str">
        <f>IF('Inputs Whole-Project Water Use'!K187&lt;&gt;"",'Inputs Whole-Project Water Use'!K187,"")</f>
        <v/>
      </c>
      <c r="L187" s="316" t="str">
        <f>IF('Inputs Whole-Project Water Use'!L187&lt;&gt;"",'Inputs Whole-Project Water Use'!L187,"")</f>
        <v/>
      </c>
      <c r="M187" s="390" t="str">
        <f t="shared" si="21"/>
        <v/>
      </c>
      <c r="N187" s="391"/>
      <c r="O187" s="225" t="str">
        <f t="shared" si="22"/>
        <v/>
      </c>
      <c r="P187" s="225" t="str">
        <f t="shared" si="23"/>
        <v/>
      </c>
      <c r="Q187" s="289" t="str">
        <f>IF(AND(D187&lt;&gt;"",'Inputs Whole-Project Water Use'!Q187=""),0,IF('Inputs Whole-Project Water Use'!Q187&lt;&gt;"",'Inputs Whole-Project Water Use'!Q187,""))</f>
        <v/>
      </c>
      <c r="R187" s="225" t="str">
        <f t="shared" si="24"/>
        <v/>
      </c>
      <c r="S187" s="225" t="str">
        <f t="shared" si="25"/>
        <v/>
      </c>
      <c r="T187" s="231" t="str">
        <f t="shared" si="26"/>
        <v/>
      </c>
      <c r="U187" s="241"/>
      <c r="V187" s="241"/>
      <c r="W187" s="241"/>
      <c r="X187" s="241"/>
      <c r="Y187" s="241"/>
      <c r="Z187" s="241"/>
      <c r="AA187" s="241"/>
      <c r="AB187" s="241"/>
      <c r="AC187" s="241"/>
      <c r="AD187" s="241"/>
      <c r="AE187" s="241"/>
      <c r="AF187" s="241"/>
      <c r="AG187" s="241"/>
      <c r="AH187" s="241"/>
      <c r="AI187" s="241"/>
      <c r="AJ187" s="241"/>
      <c r="AK187" s="241"/>
      <c r="AL187" s="241"/>
      <c r="AM187" s="241"/>
      <c r="AN187" s="241"/>
      <c r="AO187" s="241"/>
      <c r="AP187" s="241"/>
      <c r="AQ187" s="241"/>
      <c r="AR187" s="241"/>
      <c r="AS187" s="241"/>
      <c r="AT187" s="241"/>
      <c r="AU187" s="241"/>
      <c r="AV187" s="241"/>
      <c r="AW187" s="241"/>
      <c r="AX187" s="241"/>
      <c r="AY187" s="241"/>
      <c r="AZ187" s="241"/>
    </row>
    <row r="188" spans="1:52" s="71" customFormat="1" ht="18" hidden="1" customHeight="1" outlineLevel="2">
      <c r="A188" s="175">
        <v>39</v>
      </c>
      <c r="B188" s="312" t="str">
        <f>(IF('Inputs Whole-Project Water Use'!B188&lt;&gt;"",'Inputs Whole-Project Water Use'!B188,""))</f>
        <v/>
      </c>
      <c r="C188" s="313" t="str">
        <f>IF(AND(D188&lt;&gt;"",'Inputs Whole-Project Water Use'!C188=""),1,IF('Inputs Whole-Project Water Use'!C188&lt;&gt;"",'Inputs Whole-Project Water Use'!C188,""))</f>
        <v/>
      </c>
      <c r="D188" s="397" t="str">
        <f>IF('Inputs Whole-Project Water Use'!D188&lt;&gt;"",'Inputs Whole-Project Water Use'!D188,"")</f>
        <v/>
      </c>
      <c r="E188" s="398"/>
      <c r="F188" s="314" t="str">
        <f>IF('Inputs Whole-Project Water Use'!F188&lt;&gt;"",'Inputs Whole-Project Water Use'!F188,"")</f>
        <v/>
      </c>
      <c r="G188" s="314" t="str">
        <f>IF('Inputs Whole-Project Water Use'!G188&lt;&gt;"",'Inputs Whole-Project Water Use'!G188,"")</f>
        <v/>
      </c>
      <c r="H188" s="315" t="str">
        <f>IF('Inputs Whole-Project Water Use'!H188&lt;&gt;"",'Inputs Whole-Project Water Use'!H188,"")</f>
        <v/>
      </c>
      <c r="I188" s="390" t="str">
        <f t="shared" si="20"/>
        <v/>
      </c>
      <c r="J188" s="391"/>
      <c r="K188" s="316" t="str">
        <f>IF('Inputs Whole-Project Water Use'!K188&lt;&gt;"",'Inputs Whole-Project Water Use'!K188,"")</f>
        <v/>
      </c>
      <c r="L188" s="316" t="str">
        <f>IF('Inputs Whole-Project Water Use'!L188&lt;&gt;"",'Inputs Whole-Project Water Use'!L188,"")</f>
        <v/>
      </c>
      <c r="M188" s="390" t="str">
        <f t="shared" si="21"/>
        <v/>
      </c>
      <c r="N188" s="391"/>
      <c r="O188" s="225" t="str">
        <f t="shared" si="22"/>
        <v/>
      </c>
      <c r="P188" s="225" t="str">
        <f t="shared" si="23"/>
        <v/>
      </c>
      <c r="Q188" s="289" t="str">
        <f>IF(AND(D188&lt;&gt;"",'Inputs Whole-Project Water Use'!Q188=""),0,IF('Inputs Whole-Project Water Use'!Q188&lt;&gt;"",'Inputs Whole-Project Water Use'!Q188,""))</f>
        <v/>
      </c>
      <c r="R188" s="225" t="str">
        <f t="shared" si="24"/>
        <v/>
      </c>
      <c r="S188" s="225" t="str">
        <f t="shared" si="25"/>
        <v/>
      </c>
      <c r="T188" s="231" t="str">
        <f t="shared" si="26"/>
        <v/>
      </c>
      <c r="U188" s="241"/>
      <c r="V188" s="241"/>
      <c r="W188" s="241"/>
      <c r="X188" s="241"/>
      <c r="Y188" s="241"/>
      <c r="Z188" s="241"/>
      <c r="AA188" s="241"/>
      <c r="AB188" s="241"/>
      <c r="AC188" s="241"/>
      <c r="AD188" s="241"/>
      <c r="AE188" s="241"/>
      <c r="AF188" s="241"/>
      <c r="AG188" s="241"/>
      <c r="AH188" s="241"/>
      <c r="AI188" s="241"/>
      <c r="AJ188" s="241"/>
      <c r="AK188" s="241"/>
      <c r="AL188" s="241"/>
      <c r="AM188" s="241"/>
      <c r="AN188" s="241"/>
      <c r="AO188" s="241"/>
      <c r="AP188" s="241"/>
      <c r="AQ188" s="241"/>
      <c r="AR188" s="241"/>
      <c r="AS188" s="241"/>
      <c r="AT188" s="241"/>
      <c r="AU188" s="241"/>
      <c r="AV188" s="241"/>
      <c r="AW188" s="241"/>
      <c r="AX188" s="241"/>
      <c r="AY188" s="241"/>
      <c r="AZ188" s="241"/>
    </row>
    <row r="189" spans="1:52" s="71" customFormat="1" ht="18" hidden="1" customHeight="1" outlineLevel="2">
      <c r="A189" s="175">
        <v>40</v>
      </c>
      <c r="B189" s="312" t="str">
        <f>(IF('Inputs Whole-Project Water Use'!B189&lt;&gt;"",'Inputs Whole-Project Water Use'!B189,""))</f>
        <v/>
      </c>
      <c r="C189" s="313" t="str">
        <f>IF(AND(D189&lt;&gt;"",'Inputs Whole-Project Water Use'!C189=""),1,IF('Inputs Whole-Project Water Use'!C189&lt;&gt;"",'Inputs Whole-Project Water Use'!C189,""))</f>
        <v/>
      </c>
      <c r="D189" s="397" t="str">
        <f>IF('Inputs Whole-Project Water Use'!D189&lt;&gt;"",'Inputs Whole-Project Water Use'!D189,"")</f>
        <v/>
      </c>
      <c r="E189" s="398"/>
      <c r="F189" s="314" t="str">
        <f>IF('Inputs Whole-Project Water Use'!F189&lt;&gt;"",'Inputs Whole-Project Water Use'!F189,"")</f>
        <v/>
      </c>
      <c r="G189" s="314" t="str">
        <f>IF('Inputs Whole-Project Water Use'!G189&lt;&gt;"",'Inputs Whole-Project Water Use'!G189,"")</f>
        <v/>
      </c>
      <c r="H189" s="315" t="str">
        <f>IF('Inputs Whole-Project Water Use'!H189&lt;&gt;"",'Inputs Whole-Project Water Use'!H189,"")</f>
        <v/>
      </c>
      <c r="I189" s="390" t="str">
        <f t="shared" si="20"/>
        <v/>
      </c>
      <c r="J189" s="391"/>
      <c r="K189" s="316" t="str">
        <f>IF('Inputs Whole-Project Water Use'!K189&lt;&gt;"",'Inputs Whole-Project Water Use'!K189,"")</f>
        <v/>
      </c>
      <c r="L189" s="316" t="str">
        <f>IF('Inputs Whole-Project Water Use'!L189&lt;&gt;"",'Inputs Whole-Project Water Use'!L189,"")</f>
        <v/>
      </c>
      <c r="M189" s="390" t="str">
        <f t="shared" si="21"/>
        <v/>
      </c>
      <c r="N189" s="391"/>
      <c r="O189" s="225" t="str">
        <f t="shared" si="22"/>
        <v/>
      </c>
      <c r="P189" s="225" t="str">
        <f t="shared" si="23"/>
        <v/>
      </c>
      <c r="Q189" s="289" t="str">
        <f>IF(AND(D189&lt;&gt;"",'Inputs Whole-Project Water Use'!Q189=""),0,IF('Inputs Whole-Project Water Use'!Q189&lt;&gt;"",'Inputs Whole-Project Water Use'!Q189,""))</f>
        <v/>
      </c>
      <c r="R189" s="225" t="str">
        <f t="shared" si="24"/>
        <v/>
      </c>
      <c r="S189" s="225" t="str">
        <f t="shared" si="25"/>
        <v/>
      </c>
      <c r="T189" s="231" t="str">
        <f t="shared" si="26"/>
        <v/>
      </c>
      <c r="U189" s="241"/>
      <c r="V189" s="241"/>
      <c r="W189" s="241"/>
      <c r="X189" s="241"/>
      <c r="Y189" s="241"/>
      <c r="Z189" s="241"/>
      <c r="AA189" s="241"/>
      <c r="AB189" s="241"/>
      <c r="AC189" s="241"/>
      <c r="AD189" s="241"/>
      <c r="AE189" s="241"/>
      <c r="AF189" s="241"/>
      <c r="AG189" s="241"/>
      <c r="AH189" s="241"/>
      <c r="AI189" s="241"/>
      <c r="AJ189" s="241"/>
      <c r="AK189" s="241"/>
      <c r="AL189" s="241"/>
      <c r="AM189" s="241"/>
      <c r="AN189" s="241"/>
      <c r="AO189" s="241"/>
      <c r="AP189" s="241"/>
      <c r="AQ189" s="241"/>
      <c r="AR189" s="241"/>
      <c r="AS189" s="241"/>
      <c r="AT189" s="241"/>
      <c r="AU189" s="241"/>
      <c r="AV189" s="241"/>
      <c r="AW189" s="241"/>
      <c r="AX189" s="241"/>
      <c r="AY189" s="241"/>
      <c r="AZ189" s="241"/>
    </row>
    <row r="190" spans="1:52" s="71" customFormat="1" ht="18" hidden="1" customHeight="1" outlineLevel="2">
      <c r="A190" s="175">
        <v>41</v>
      </c>
      <c r="B190" s="312" t="str">
        <f>(IF('Inputs Whole-Project Water Use'!B190&lt;&gt;"",'Inputs Whole-Project Water Use'!B190,""))</f>
        <v/>
      </c>
      <c r="C190" s="313" t="str">
        <f>IF(AND(D190&lt;&gt;"",'Inputs Whole-Project Water Use'!C190=""),1,IF('Inputs Whole-Project Water Use'!C190&lt;&gt;"",'Inputs Whole-Project Water Use'!C190,""))</f>
        <v/>
      </c>
      <c r="D190" s="397" t="str">
        <f>IF('Inputs Whole-Project Water Use'!D190&lt;&gt;"",'Inputs Whole-Project Water Use'!D190,"")</f>
        <v/>
      </c>
      <c r="E190" s="398"/>
      <c r="F190" s="314" t="str">
        <f>IF('Inputs Whole-Project Water Use'!F190&lt;&gt;"",'Inputs Whole-Project Water Use'!F190,"")</f>
        <v/>
      </c>
      <c r="G190" s="314" t="str">
        <f>IF('Inputs Whole-Project Water Use'!G190&lt;&gt;"",'Inputs Whole-Project Water Use'!G190,"")</f>
        <v/>
      </c>
      <c r="H190" s="315" t="str">
        <f>IF('Inputs Whole-Project Water Use'!H190&lt;&gt;"",'Inputs Whole-Project Water Use'!H190,"")</f>
        <v/>
      </c>
      <c r="I190" s="390" t="str">
        <f t="shared" si="20"/>
        <v/>
      </c>
      <c r="J190" s="391"/>
      <c r="K190" s="316" t="str">
        <f>IF('Inputs Whole-Project Water Use'!K190&lt;&gt;"",'Inputs Whole-Project Water Use'!K190,"")</f>
        <v/>
      </c>
      <c r="L190" s="316" t="str">
        <f>IF('Inputs Whole-Project Water Use'!L190&lt;&gt;"",'Inputs Whole-Project Water Use'!L190,"")</f>
        <v/>
      </c>
      <c r="M190" s="390" t="str">
        <f t="shared" si="21"/>
        <v/>
      </c>
      <c r="N190" s="391"/>
      <c r="O190" s="225" t="str">
        <f t="shared" si="22"/>
        <v/>
      </c>
      <c r="P190" s="225" t="str">
        <f t="shared" si="23"/>
        <v/>
      </c>
      <c r="Q190" s="289" t="str">
        <f>IF(AND(D190&lt;&gt;"",'Inputs Whole-Project Water Use'!Q190=""),0,IF('Inputs Whole-Project Water Use'!Q190&lt;&gt;"",'Inputs Whole-Project Water Use'!Q190,""))</f>
        <v/>
      </c>
      <c r="R190" s="225" t="str">
        <f t="shared" si="24"/>
        <v/>
      </c>
      <c r="S190" s="225" t="str">
        <f t="shared" si="25"/>
        <v/>
      </c>
      <c r="T190" s="231" t="str">
        <f t="shared" si="26"/>
        <v/>
      </c>
      <c r="U190" s="241"/>
      <c r="V190" s="241"/>
      <c r="W190" s="241"/>
      <c r="X190" s="241"/>
      <c r="Y190" s="241"/>
      <c r="Z190" s="241"/>
      <c r="AA190" s="241"/>
      <c r="AB190" s="241"/>
      <c r="AC190" s="241"/>
      <c r="AD190" s="241"/>
      <c r="AE190" s="241"/>
      <c r="AF190" s="241"/>
      <c r="AG190" s="241"/>
      <c r="AH190" s="241"/>
      <c r="AI190" s="241"/>
      <c r="AJ190" s="241"/>
      <c r="AK190" s="241"/>
      <c r="AL190" s="241"/>
      <c r="AM190" s="241"/>
      <c r="AN190" s="241"/>
      <c r="AO190" s="241"/>
      <c r="AP190" s="241"/>
      <c r="AQ190" s="241"/>
      <c r="AR190" s="241"/>
      <c r="AS190" s="241"/>
      <c r="AT190" s="241"/>
      <c r="AU190" s="241"/>
      <c r="AV190" s="241"/>
      <c r="AW190" s="241"/>
      <c r="AX190" s="241"/>
      <c r="AY190" s="241"/>
      <c r="AZ190" s="241"/>
    </row>
    <row r="191" spans="1:52" s="71" customFormat="1" ht="18" hidden="1" customHeight="1" outlineLevel="2">
      <c r="A191" s="175">
        <v>42</v>
      </c>
      <c r="B191" s="312" t="str">
        <f>(IF('Inputs Whole-Project Water Use'!B191&lt;&gt;"",'Inputs Whole-Project Water Use'!B191,""))</f>
        <v/>
      </c>
      <c r="C191" s="313" t="str">
        <f>IF(AND(D191&lt;&gt;"",'Inputs Whole-Project Water Use'!C191=""),1,IF('Inputs Whole-Project Water Use'!C191&lt;&gt;"",'Inputs Whole-Project Water Use'!C191,""))</f>
        <v/>
      </c>
      <c r="D191" s="397" t="str">
        <f>IF('Inputs Whole-Project Water Use'!D191&lt;&gt;"",'Inputs Whole-Project Water Use'!D191,"")</f>
        <v/>
      </c>
      <c r="E191" s="398"/>
      <c r="F191" s="314" t="str">
        <f>IF('Inputs Whole-Project Water Use'!F191&lt;&gt;"",'Inputs Whole-Project Water Use'!F191,"")</f>
        <v/>
      </c>
      <c r="G191" s="314" t="str">
        <f>IF('Inputs Whole-Project Water Use'!G191&lt;&gt;"",'Inputs Whole-Project Water Use'!G191,"")</f>
        <v/>
      </c>
      <c r="H191" s="315" t="str">
        <f>IF('Inputs Whole-Project Water Use'!H191&lt;&gt;"",'Inputs Whole-Project Water Use'!H191,"")</f>
        <v/>
      </c>
      <c r="I191" s="390" t="str">
        <f t="shared" si="20"/>
        <v/>
      </c>
      <c r="J191" s="391"/>
      <c r="K191" s="316" t="str">
        <f>IF('Inputs Whole-Project Water Use'!K191&lt;&gt;"",'Inputs Whole-Project Water Use'!K191,"")</f>
        <v/>
      </c>
      <c r="L191" s="316" t="str">
        <f>IF('Inputs Whole-Project Water Use'!L191&lt;&gt;"",'Inputs Whole-Project Water Use'!L191,"")</f>
        <v/>
      </c>
      <c r="M191" s="390" t="str">
        <f t="shared" si="21"/>
        <v/>
      </c>
      <c r="N191" s="391"/>
      <c r="O191" s="225" t="str">
        <f t="shared" si="22"/>
        <v/>
      </c>
      <c r="P191" s="225" t="str">
        <f t="shared" si="23"/>
        <v/>
      </c>
      <c r="Q191" s="289" t="str">
        <f>IF(AND(D191&lt;&gt;"",'Inputs Whole-Project Water Use'!Q191=""),0,IF('Inputs Whole-Project Water Use'!Q191&lt;&gt;"",'Inputs Whole-Project Water Use'!Q191,""))</f>
        <v/>
      </c>
      <c r="R191" s="225" t="str">
        <f t="shared" si="24"/>
        <v/>
      </c>
      <c r="S191" s="225" t="str">
        <f t="shared" si="25"/>
        <v/>
      </c>
      <c r="T191" s="231" t="str">
        <f t="shared" si="26"/>
        <v/>
      </c>
      <c r="U191" s="241"/>
      <c r="V191" s="241"/>
      <c r="W191" s="241"/>
      <c r="X191" s="241"/>
      <c r="Y191" s="241"/>
      <c r="Z191" s="241"/>
      <c r="AA191" s="241"/>
      <c r="AB191" s="241"/>
      <c r="AC191" s="241"/>
      <c r="AD191" s="241"/>
      <c r="AE191" s="241"/>
      <c r="AF191" s="241"/>
      <c r="AG191" s="241"/>
      <c r="AH191" s="241"/>
      <c r="AI191" s="241"/>
      <c r="AJ191" s="241"/>
      <c r="AK191" s="241"/>
      <c r="AL191" s="241"/>
      <c r="AM191" s="241"/>
      <c r="AN191" s="241"/>
      <c r="AO191" s="241"/>
      <c r="AP191" s="241"/>
      <c r="AQ191" s="241"/>
      <c r="AR191" s="241"/>
      <c r="AS191" s="241"/>
      <c r="AT191" s="241"/>
      <c r="AU191" s="241"/>
      <c r="AV191" s="241"/>
      <c r="AW191" s="241"/>
      <c r="AX191" s="241"/>
      <c r="AY191" s="241"/>
      <c r="AZ191" s="241"/>
    </row>
    <row r="192" spans="1:52" s="71" customFormat="1" ht="18" hidden="1" customHeight="1" outlineLevel="2">
      <c r="A192" s="175">
        <v>43</v>
      </c>
      <c r="B192" s="312" t="str">
        <f>(IF('Inputs Whole-Project Water Use'!B192&lt;&gt;"",'Inputs Whole-Project Water Use'!B192,""))</f>
        <v/>
      </c>
      <c r="C192" s="313" t="str">
        <f>IF(AND(D192&lt;&gt;"",'Inputs Whole-Project Water Use'!C192=""),1,IF('Inputs Whole-Project Water Use'!C192&lt;&gt;"",'Inputs Whole-Project Water Use'!C192,""))</f>
        <v/>
      </c>
      <c r="D192" s="397" t="str">
        <f>IF('Inputs Whole-Project Water Use'!D192&lt;&gt;"",'Inputs Whole-Project Water Use'!D192,"")</f>
        <v/>
      </c>
      <c r="E192" s="398"/>
      <c r="F192" s="314" t="str">
        <f>IF('Inputs Whole-Project Water Use'!F192&lt;&gt;"",'Inputs Whole-Project Water Use'!F192,"")</f>
        <v/>
      </c>
      <c r="G192" s="314" t="str">
        <f>IF('Inputs Whole-Project Water Use'!G192&lt;&gt;"",'Inputs Whole-Project Water Use'!G192,"")</f>
        <v/>
      </c>
      <c r="H192" s="315" t="str">
        <f>IF('Inputs Whole-Project Water Use'!H192&lt;&gt;"",'Inputs Whole-Project Water Use'!H192,"")</f>
        <v/>
      </c>
      <c r="I192" s="390" t="str">
        <f t="shared" si="20"/>
        <v/>
      </c>
      <c r="J192" s="391"/>
      <c r="K192" s="316" t="str">
        <f>IF('Inputs Whole-Project Water Use'!K192&lt;&gt;"",'Inputs Whole-Project Water Use'!K192,"")</f>
        <v/>
      </c>
      <c r="L192" s="316" t="str">
        <f>IF('Inputs Whole-Project Water Use'!L192&lt;&gt;"",'Inputs Whole-Project Water Use'!L192,"")</f>
        <v/>
      </c>
      <c r="M192" s="390" t="str">
        <f t="shared" si="21"/>
        <v/>
      </c>
      <c r="N192" s="391"/>
      <c r="O192" s="225" t="str">
        <f t="shared" si="22"/>
        <v/>
      </c>
      <c r="P192" s="225" t="str">
        <f t="shared" si="23"/>
        <v/>
      </c>
      <c r="Q192" s="289" t="str">
        <f>IF(AND(D192&lt;&gt;"",'Inputs Whole-Project Water Use'!Q192=""),0,IF('Inputs Whole-Project Water Use'!Q192&lt;&gt;"",'Inputs Whole-Project Water Use'!Q192,""))</f>
        <v/>
      </c>
      <c r="R192" s="225" t="str">
        <f t="shared" si="24"/>
        <v/>
      </c>
      <c r="S192" s="225" t="str">
        <f t="shared" si="25"/>
        <v/>
      </c>
      <c r="T192" s="231" t="str">
        <f t="shared" si="26"/>
        <v/>
      </c>
      <c r="U192" s="241"/>
      <c r="V192" s="241"/>
      <c r="W192" s="241"/>
      <c r="X192" s="241"/>
      <c r="Y192" s="241"/>
      <c r="Z192" s="241"/>
      <c r="AA192" s="241"/>
      <c r="AB192" s="241"/>
      <c r="AC192" s="241"/>
      <c r="AD192" s="241"/>
      <c r="AE192" s="241"/>
      <c r="AF192" s="241"/>
      <c r="AG192" s="241"/>
      <c r="AH192" s="241"/>
      <c r="AI192" s="241"/>
      <c r="AJ192" s="241"/>
      <c r="AK192" s="241"/>
      <c r="AL192" s="241"/>
      <c r="AM192" s="241"/>
      <c r="AN192" s="241"/>
      <c r="AO192" s="241"/>
      <c r="AP192" s="241"/>
      <c r="AQ192" s="241"/>
      <c r="AR192" s="241"/>
      <c r="AS192" s="241"/>
      <c r="AT192" s="241"/>
      <c r="AU192" s="241"/>
      <c r="AV192" s="241"/>
      <c r="AW192" s="241"/>
      <c r="AX192" s="241"/>
      <c r="AY192" s="241"/>
      <c r="AZ192" s="241"/>
    </row>
    <row r="193" spans="1:52" s="71" customFormat="1" ht="18" hidden="1" customHeight="1" outlineLevel="2">
      <c r="A193" s="175">
        <v>44</v>
      </c>
      <c r="B193" s="312" t="str">
        <f>(IF('Inputs Whole-Project Water Use'!B193&lt;&gt;"",'Inputs Whole-Project Water Use'!B193,""))</f>
        <v/>
      </c>
      <c r="C193" s="313" t="str">
        <f>IF(AND(D193&lt;&gt;"",'Inputs Whole-Project Water Use'!C193=""),1,IF('Inputs Whole-Project Water Use'!C193&lt;&gt;"",'Inputs Whole-Project Water Use'!C193,""))</f>
        <v/>
      </c>
      <c r="D193" s="397" t="str">
        <f>IF('Inputs Whole-Project Water Use'!D193&lt;&gt;"",'Inputs Whole-Project Water Use'!D193,"")</f>
        <v/>
      </c>
      <c r="E193" s="398"/>
      <c r="F193" s="314" t="str">
        <f>IF('Inputs Whole-Project Water Use'!F193&lt;&gt;"",'Inputs Whole-Project Water Use'!F193,"")</f>
        <v/>
      </c>
      <c r="G193" s="314" t="str">
        <f>IF('Inputs Whole-Project Water Use'!G193&lt;&gt;"",'Inputs Whole-Project Water Use'!G193,"")</f>
        <v/>
      </c>
      <c r="H193" s="315" t="str">
        <f>IF('Inputs Whole-Project Water Use'!H193&lt;&gt;"",'Inputs Whole-Project Water Use'!H193,"")</f>
        <v/>
      </c>
      <c r="I193" s="390" t="str">
        <f t="shared" si="20"/>
        <v/>
      </c>
      <c r="J193" s="391"/>
      <c r="K193" s="316" t="str">
        <f>IF('Inputs Whole-Project Water Use'!K193&lt;&gt;"",'Inputs Whole-Project Water Use'!K193,"")</f>
        <v/>
      </c>
      <c r="L193" s="316" t="str">
        <f>IF('Inputs Whole-Project Water Use'!L193&lt;&gt;"",'Inputs Whole-Project Water Use'!L193,"")</f>
        <v/>
      </c>
      <c r="M193" s="390" t="str">
        <f t="shared" si="21"/>
        <v/>
      </c>
      <c r="N193" s="391"/>
      <c r="O193" s="225" t="str">
        <f t="shared" si="22"/>
        <v/>
      </c>
      <c r="P193" s="225" t="str">
        <f t="shared" si="23"/>
        <v/>
      </c>
      <c r="Q193" s="289" t="str">
        <f>IF(AND(D193&lt;&gt;"",'Inputs Whole-Project Water Use'!Q193=""),0,IF('Inputs Whole-Project Water Use'!Q193&lt;&gt;"",'Inputs Whole-Project Water Use'!Q193,""))</f>
        <v/>
      </c>
      <c r="R193" s="225" t="str">
        <f t="shared" si="24"/>
        <v/>
      </c>
      <c r="S193" s="225" t="str">
        <f t="shared" si="25"/>
        <v/>
      </c>
      <c r="T193" s="231" t="str">
        <f t="shared" si="26"/>
        <v/>
      </c>
      <c r="U193" s="241"/>
      <c r="V193" s="241"/>
      <c r="W193" s="241"/>
      <c r="X193" s="241"/>
      <c r="Y193" s="241"/>
      <c r="Z193" s="241"/>
      <c r="AA193" s="241"/>
      <c r="AB193" s="241"/>
      <c r="AC193" s="241"/>
      <c r="AD193" s="241"/>
      <c r="AE193" s="241"/>
      <c r="AF193" s="241"/>
      <c r="AG193" s="241"/>
      <c r="AH193" s="241"/>
      <c r="AI193" s="241"/>
      <c r="AJ193" s="241"/>
      <c r="AK193" s="241"/>
      <c r="AL193" s="241"/>
      <c r="AM193" s="241"/>
      <c r="AN193" s="241"/>
      <c r="AO193" s="241"/>
      <c r="AP193" s="241"/>
      <c r="AQ193" s="241"/>
      <c r="AR193" s="241"/>
      <c r="AS193" s="241"/>
      <c r="AT193" s="241"/>
      <c r="AU193" s="241"/>
      <c r="AV193" s="241"/>
      <c r="AW193" s="241"/>
      <c r="AX193" s="241"/>
      <c r="AY193" s="241"/>
      <c r="AZ193" s="241"/>
    </row>
    <row r="194" spans="1:52" s="71" customFormat="1" ht="18" hidden="1" customHeight="1" outlineLevel="2">
      <c r="A194" s="175">
        <v>45</v>
      </c>
      <c r="B194" s="312" t="str">
        <f>(IF('Inputs Whole-Project Water Use'!B194&lt;&gt;"",'Inputs Whole-Project Water Use'!B194,""))</f>
        <v/>
      </c>
      <c r="C194" s="313" t="str">
        <f>IF(AND(D194&lt;&gt;"",'Inputs Whole-Project Water Use'!C194=""),1,IF('Inputs Whole-Project Water Use'!C194&lt;&gt;"",'Inputs Whole-Project Water Use'!C194,""))</f>
        <v/>
      </c>
      <c r="D194" s="397" t="str">
        <f>IF('Inputs Whole-Project Water Use'!D194&lt;&gt;"",'Inputs Whole-Project Water Use'!D194,"")</f>
        <v/>
      </c>
      <c r="E194" s="398"/>
      <c r="F194" s="314" t="str">
        <f>IF('Inputs Whole-Project Water Use'!F194&lt;&gt;"",'Inputs Whole-Project Water Use'!F194,"")</f>
        <v/>
      </c>
      <c r="G194" s="314" t="str">
        <f>IF('Inputs Whole-Project Water Use'!G194&lt;&gt;"",'Inputs Whole-Project Water Use'!G194,"")</f>
        <v/>
      </c>
      <c r="H194" s="315" t="str">
        <f>IF('Inputs Whole-Project Water Use'!H194&lt;&gt;"",'Inputs Whole-Project Water Use'!H194,"")</f>
        <v/>
      </c>
      <c r="I194" s="390" t="str">
        <f t="shared" si="20"/>
        <v/>
      </c>
      <c r="J194" s="391"/>
      <c r="K194" s="316" t="str">
        <f>IF('Inputs Whole-Project Water Use'!K194&lt;&gt;"",'Inputs Whole-Project Water Use'!K194,"")</f>
        <v/>
      </c>
      <c r="L194" s="316" t="str">
        <f>IF('Inputs Whole-Project Water Use'!L194&lt;&gt;"",'Inputs Whole-Project Water Use'!L194,"")</f>
        <v/>
      </c>
      <c r="M194" s="390" t="str">
        <f t="shared" si="21"/>
        <v/>
      </c>
      <c r="N194" s="391"/>
      <c r="O194" s="225" t="str">
        <f t="shared" si="22"/>
        <v/>
      </c>
      <c r="P194" s="225" t="str">
        <f t="shared" si="23"/>
        <v/>
      </c>
      <c r="Q194" s="289" t="str">
        <f>IF(AND(D194&lt;&gt;"",'Inputs Whole-Project Water Use'!Q194=""),0,IF('Inputs Whole-Project Water Use'!Q194&lt;&gt;"",'Inputs Whole-Project Water Use'!Q194,""))</f>
        <v/>
      </c>
      <c r="R194" s="225" t="str">
        <f t="shared" si="24"/>
        <v/>
      </c>
      <c r="S194" s="225" t="str">
        <f t="shared" si="25"/>
        <v/>
      </c>
      <c r="T194" s="231" t="str">
        <f t="shared" si="26"/>
        <v/>
      </c>
      <c r="U194" s="241"/>
      <c r="V194" s="241"/>
      <c r="W194" s="241"/>
      <c r="X194" s="241"/>
      <c r="Y194" s="241"/>
      <c r="Z194" s="241"/>
      <c r="AA194" s="241"/>
      <c r="AB194" s="241"/>
      <c r="AC194" s="241"/>
      <c r="AD194" s="241"/>
      <c r="AE194" s="241"/>
      <c r="AF194" s="241"/>
      <c r="AG194" s="241"/>
      <c r="AH194" s="241"/>
      <c r="AI194" s="241"/>
      <c r="AJ194" s="241"/>
      <c r="AK194" s="241"/>
      <c r="AL194" s="241"/>
      <c r="AM194" s="241"/>
      <c r="AN194" s="241"/>
      <c r="AO194" s="241"/>
      <c r="AP194" s="241"/>
      <c r="AQ194" s="241"/>
      <c r="AR194" s="241"/>
      <c r="AS194" s="241"/>
      <c r="AT194" s="241"/>
      <c r="AU194" s="241"/>
      <c r="AV194" s="241"/>
      <c r="AW194" s="241"/>
      <c r="AX194" s="241"/>
      <c r="AY194" s="241"/>
      <c r="AZ194" s="241"/>
    </row>
    <row r="195" spans="1:52" s="71" customFormat="1" ht="18" hidden="1" customHeight="1" outlineLevel="2">
      <c r="A195" s="175">
        <v>46</v>
      </c>
      <c r="B195" s="312" t="str">
        <f>(IF('Inputs Whole-Project Water Use'!B195&lt;&gt;"",'Inputs Whole-Project Water Use'!B195,""))</f>
        <v/>
      </c>
      <c r="C195" s="313" t="str">
        <f>IF(AND(D195&lt;&gt;"",'Inputs Whole-Project Water Use'!C195=""),1,IF('Inputs Whole-Project Water Use'!C195&lt;&gt;"",'Inputs Whole-Project Water Use'!C195,""))</f>
        <v/>
      </c>
      <c r="D195" s="397" t="str">
        <f>IF('Inputs Whole-Project Water Use'!D195&lt;&gt;"",'Inputs Whole-Project Water Use'!D195,"")</f>
        <v/>
      </c>
      <c r="E195" s="398"/>
      <c r="F195" s="314" t="str">
        <f>IF('Inputs Whole-Project Water Use'!F195&lt;&gt;"",'Inputs Whole-Project Water Use'!F195,"")</f>
        <v/>
      </c>
      <c r="G195" s="314" t="str">
        <f>IF('Inputs Whole-Project Water Use'!G195&lt;&gt;"",'Inputs Whole-Project Water Use'!G195,"")</f>
        <v/>
      </c>
      <c r="H195" s="315" t="str">
        <f>IF('Inputs Whole-Project Water Use'!H195&lt;&gt;"",'Inputs Whole-Project Water Use'!H195,"")</f>
        <v/>
      </c>
      <c r="I195" s="390" t="str">
        <f t="shared" si="20"/>
        <v/>
      </c>
      <c r="J195" s="391"/>
      <c r="K195" s="316" t="str">
        <f>IF('Inputs Whole-Project Water Use'!K195&lt;&gt;"",'Inputs Whole-Project Water Use'!K195,"")</f>
        <v/>
      </c>
      <c r="L195" s="316" t="str">
        <f>IF('Inputs Whole-Project Water Use'!L195&lt;&gt;"",'Inputs Whole-Project Water Use'!L195,"")</f>
        <v/>
      </c>
      <c r="M195" s="390" t="str">
        <f t="shared" si="21"/>
        <v/>
      </c>
      <c r="N195" s="391"/>
      <c r="O195" s="225" t="str">
        <f t="shared" si="22"/>
        <v/>
      </c>
      <c r="P195" s="225" t="str">
        <f t="shared" si="23"/>
        <v/>
      </c>
      <c r="Q195" s="289" t="str">
        <f>IF(AND(D195&lt;&gt;"",'Inputs Whole-Project Water Use'!Q195=""),0,IF('Inputs Whole-Project Water Use'!Q195&lt;&gt;"",'Inputs Whole-Project Water Use'!Q195,""))</f>
        <v/>
      </c>
      <c r="R195" s="225" t="str">
        <f t="shared" si="24"/>
        <v/>
      </c>
      <c r="S195" s="225" t="str">
        <f t="shared" si="25"/>
        <v/>
      </c>
      <c r="T195" s="231" t="str">
        <f t="shared" si="26"/>
        <v/>
      </c>
      <c r="U195" s="241"/>
      <c r="V195" s="241"/>
      <c r="W195" s="241"/>
      <c r="X195" s="241"/>
      <c r="Y195" s="241"/>
      <c r="Z195" s="241"/>
      <c r="AA195" s="241"/>
      <c r="AB195" s="241"/>
      <c r="AC195" s="241"/>
      <c r="AD195" s="241"/>
      <c r="AE195" s="241"/>
      <c r="AF195" s="241"/>
      <c r="AG195" s="241"/>
      <c r="AH195" s="241"/>
      <c r="AI195" s="241"/>
      <c r="AJ195" s="241"/>
      <c r="AK195" s="241"/>
      <c r="AL195" s="241"/>
      <c r="AM195" s="241"/>
      <c r="AN195" s="241"/>
      <c r="AO195" s="241"/>
      <c r="AP195" s="241"/>
      <c r="AQ195" s="241"/>
      <c r="AR195" s="241"/>
      <c r="AS195" s="241"/>
      <c r="AT195" s="241"/>
      <c r="AU195" s="241"/>
      <c r="AV195" s="241"/>
      <c r="AW195" s="241"/>
      <c r="AX195" s="241"/>
      <c r="AY195" s="241"/>
      <c r="AZ195" s="241"/>
    </row>
    <row r="196" spans="1:52" s="71" customFormat="1" ht="18" hidden="1" customHeight="1" outlineLevel="2">
      <c r="A196" s="175">
        <v>47</v>
      </c>
      <c r="B196" s="312" t="str">
        <f>(IF('Inputs Whole-Project Water Use'!B196&lt;&gt;"",'Inputs Whole-Project Water Use'!B196,""))</f>
        <v/>
      </c>
      <c r="C196" s="313" t="str">
        <f>IF(AND(D196&lt;&gt;"",'Inputs Whole-Project Water Use'!C196=""),1,IF('Inputs Whole-Project Water Use'!C196&lt;&gt;"",'Inputs Whole-Project Water Use'!C196,""))</f>
        <v/>
      </c>
      <c r="D196" s="397" t="str">
        <f>IF('Inputs Whole-Project Water Use'!D196&lt;&gt;"",'Inputs Whole-Project Water Use'!D196,"")</f>
        <v/>
      </c>
      <c r="E196" s="398"/>
      <c r="F196" s="314" t="str">
        <f>IF('Inputs Whole-Project Water Use'!F196&lt;&gt;"",'Inputs Whole-Project Water Use'!F196,"")</f>
        <v/>
      </c>
      <c r="G196" s="314" t="str">
        <f>IF('Inputs Whole-Project Water Use'!G196&lt;&gt;"",'Inputs Whole-Project Water Use'!G196,"")</f>
        <v/>
      </c>
      <c r="H196" s="315" t="str">
        <f>IF('Inputs Whole-Project Water Use'!H196&lt;&gt;"",'Inputs Whole-Project Water Use'!H196,"")</f>
        <v/>
      </c>
      <c r="I196" s="390" t="str">
        <f t="shared" si="20"/>
        <v/>
      </c>
      <c r="J196" s="391"/>
      <c r="K196" s="316" t="str">
        <f>IF('Inputs Whole-Project Water Use'!K196&lt;&gt;"",'Inputs Whole-Project Water Use'!K196,"")</f>
        <v/>
      </c>
      <c r="L196" s="316" t="str">
        <f>IF('Inputs Whole-Project Water Use'!L196&lt;&gt;"",'Inputs Whole-Project Water Use'!L196,"")</f>
        <v/>
      </c>
      <c r="M196" s="390" t="str">
        <f t="shared" si="21"/>
        <v/>
      </c>
      <c r="N196" s="391"/>
      <c r="O196" s="225" t="str">
        <f t="shared" si="22"/>
        <v/>
      </c>
      <c r="P196" s="225" t="str">
        <f t="shared" si="23"/>
        <v/>
      </c>
      <c r="Q196" s="289" t="str">
        <f>IF(AND(D196&lt;&gt;"",'Inputs Whole-Project Water Use'!Q196=""),0,IF('Inputs Whole-Project Water Use'!Q196&lt;&gt;"",'Inputs Whole-Project Water Use'!Q196,""))</f>
        <v/>
      </c>
      <c r="R196" s="225" t="str">
        <f t="shared" si="24"/>
        <v/>
      </c>
      <c r="S196" s="225" t="str">
        <f t="shared" si="25"/>
        <v/>
      </c>
      <c r="T196" s="231" t="str">
        <f t="shared" si="26"/>
        <v/>
      </c>
      <c r="U196" s="241"/>
      <c r="V196" s="241"/>
      <c r="W196" s="241"/>
      <c r="X196" s="241"/>
      <c r="Y196" s="241"/>
      <c r="Z196" s="241"/>
      <c r="AA196" s="241"/>
      <c r="AB196" s="241"/>
      <c r="AC196" s="241"/>
      <c r="AD196" s="241"/>
      <c r="AE196" s="241"/>
      <c r="AF196" s="241"/>
      <c r="AG196" s="241"/>
      <c r="AH196" s="241"/>
      <c r="AI196" s="241"/>
      <c r="AJ196" s="241"/>
      <c r="AK196" s="241"/>
      <c r="AL196" s="241"/>
      <c r="AM196" s="241"/>
      <c r="AN196" s="241"/>
      <c r="AO196" s="241"/>
      <c r="AP196" s="241"/>
      <c r="AQ196" s="241"/>
      <c r="AR196" s="241"/>
      <c r="AS196" s="241"/>
      <c r="AT196" s="241"/>
      <c r="AU196" s="241"/>
      <c r="AV196" s="241"/>
      <c r="AW196" s="241"/>
      <c r="AX196" s="241"/>
      <c r="AY196" s="241"/>
      <c r="AZ196" s="241"/>
    </row>
    <row r="197" spans="1:52" s="71" customFormat="1" ht="18" hidden="1" customHeight="1" outlineLevel="2">
      <c r="A197" s="175">
        <v>48</v>
      </c>
      <c r="B197" s="312" t="str">
        <f>(IF('Inputs Whole-Project Water Use'!B197&lt;&gt;"",'Inputs Whole-Project Water Use'!B197,""))</f>
        <v/>
      </c>
      <c r="C197" s="313" t="str">
        <f>IF(AND(D197&lt;&gt;"",'Inputs Whole-Project Water Use'!C197=""),1,IF('Inputs Whole-Project Water Use'!C197&lt;&gt;"",'Inputs Whole-Project Water Use'!C197,""))</f>
        <v/>
      </c>
      <c r="D197" s="397" t="str">
        <f>IF('Inputs Whole-Project Water Use'!D197&lt;&gt;"",'Inputs Whole-Project Water Use'!D197,"")</f>
        <v/>
      </c>
      <c r="E197" s="398"/>
      <c r="F197" s="314" t="str">
        <f>IF('Inputs Whole-Project Water Use'!F197&lt;&gt;"",'Inputs Whole-Project Water Use'!F197,"")</f>
        <v/>
      </c>
      <c r="G197" s="314" t="str">
        <f>IF('Inputs Whole-Project Water Use'!G197&lt;&gt;"",'Inputs Whole-Project Water Use'!G197,"")</f>
        <v/>
      </c>
      <c r="H197" s="315" t="str">
        <f>IF('Inputs Whole-Project Water Use'!H197&lt;&gt;"",'Inputs Whole-Project Water Use'!H197,"")</f>
        <v/>
      </c>
      <c r="I197" s="390" t="str">
        <f t="shared" si="20"/>
        <v/>
      </c>
      <c r="J197" s="391"/>
      <c r="K197" s="316" t="str">
        <f>IF('Inputs Whole-Project Water Use'!K197&lt;&gt;"",'Inputs Whole-Project Water Use'!K197,"")</f>
        <v/>
      </c>
      <c r="L197" s="316" t="str">
        <f>IF('Inputs Whole-Project Water Use'!L197&lt;&gt;"",'Inputs Whole-Project Water Use'!L197,"")</f>
        <v/>
      </c>
      <c r="M197" s="390" t="str">
        <f t="shared" si="21"/>
        <v/>
      </c>
      <c r="N197" s="391"/>
      <c r="O197" s="225" t="str">
        <f t="shared" si="22"/>
        <v/>
      </c>
      <c r="P197" s="225" t="str">
        <f t="shared" si="23"/>
        <v/>
      </c>
      <c r="Q197" s="289" t="str">
        <f>IF(AND(D197&lt;&gt;"",'Inputs Whole-Project Water Use'!Q197=""),0,IF('Inputs Whole-Project Water Use'!Q197&lt;&gt;"",'Inputs Whole-Project Water Use'!Q197,""))</f>
        <v/>
      </c>
      <c r="R197" s="225" t="str">
        <f t="shared" si="24"/>
        <v/>
      </c>
      <c r="S197" s="225" t="str">
        <f t="shared" si="25"/>
        <v/>
      </c>
      <c r="T197" s="231" t="str">
        <f t="shared" si="26"/>
        <v/>
      </c>
      <c r="U197" s="241"/>
      <c r="V197" s="241"/>
      <c r="W197" s="241"/>
      <c r="X197" s="241"/>
      <c r="Y197" s="241"/>
      <c r="Z197" s="241"/>
      <c r="AA197" s="241"/>
      <c r="AB197" s="241"/>
      <c r="AC197" s="241"/>
      <c r="AD197" s="241"/>
      <c r="AE197" s="241"/>
      <c r="AF197" s="241"/>
      <c r="AG197" s="241"/>
      <c r="AH197" s="241"/>
      <c r="AI197" s="241"/>
      <c r="AJ197" s="241"/>
      <c r="AK197" s="241"/>
      <c r="AL197" s="241"/>
      <c r="AM197" s="241"/>
      <c r="AN197" s="241"/>
      <c r="AO197" s="241"/>
      <c r="AP197" s="241"/>
      <c r="AQ197" s="241"/>
      <c r="AR197" s="241"/>
      <c r="AS197" s="241"/>
      <c r="AT197" s="241"/>
      <c r="AU197" s="241"/>
      <c r="AV197" s="241"/>
      <c r="AW197" s="241"/>
      <c r="AX197" s="241"/>
      <c r="AY197" s="241"/>
      <c r="AZ197" s="241"/>
    </row>
    <row r="198" spans="1:52" s="71" customFormat="1" ht="18" hidden="1" customHeight="1" outlineLevel="2">
      <c r="A198" s="175">
        <v>49</v>
      </c>
      <c r="B198" s="312" t="str">
        <f>(IF('Inputs Whole-Project Water Use'!B198&lt;&gt;"",'Inputs Whole-Project Water Use'!B198,""))</f>
        <v/>
      </c>
      <c r="C198" s="313" t="str">
        <f>IF(AND(D198&lt;&gt;"",'Inputs Whole-Project Water Use'!C198=""),1,IF('Inputs Whole-Project Water Use'!C198&lt;&gt;"",'Inputs Whole-Project Water Use'!C198,""))</f>
        <v/>
      </c>
      <c r="D198" s="397" t="str">
        <f>IF('Inputs Whole-Project Water Use'!D198&lt;&gt;"",'Inputs Whole-Project Water Use'!D198,"")</f>
        <v/>
      </c>
      <c r="E198" s="398"/>
      <c r="F198" s="314" t="str">
        <f>IF('Inputs Whole-Project Water Use'!F198&lt;&gt;"",'Inputs Whole-Project Water Use'!F198,"")</f>
        <v/>
      </c>
      <c r="G198" s="314" t="str">
        <f>IF('Inputs Whole-Project Water Use'!G198&lt;&gt;"",'Inputs Whole-Project Water Use'!G198,"")</f>
        <v/>
      </c>
      <c r="H198" s="315" t="str">
        <f>IF('Inputs Whole-Project Water Use'!H198&lt;&gt;"",'Inputs Whole-Project Water Use'!H198,"")</f>
        <v/>
      </c>
      <c r="I198" s="390" t="str">
        <f t="shared" si="20"/>
        <v/>
      </c>
      <c r="J198" s="391"/>
      <c r="K198" s="316" t="str">
        <f>IF('Inputs Whole-Project Water Use'!K198&lt;&gt;"",'Inputs Whole-Project Water Use'!K198,"")</f>
        <v/>
      </c>
      <c r="L198" s="316" t="str">
        <f>IF('Inputs Whole-Project Water Use'!L198&lt;&gt;"",'Inputs Whole-Project Water Use'!L198,"")</f>
        <v/>
      </c>
      <c r="M198" s="390" t="str">
        <f t="shared" si="21"/>
        <v/>
      </c>
      <c r="N198" s="391"/>
      <c r="O198" s="225" t="str">
        <f t="shared" si="22"/>
        <v/>
      </c>
      <c r="P198" s="225" t="str">
        <f t="shared" si="23"/>
        <v/>
      </c>
      <c r="Q198" s="289" t="str">
        <f>IF(AND(D198&lt;&gt;"",'Inputs Whole-Project Water Use'!Q198=""),0,IF('Inputs Whole-Project Water Use'!Q198&lt;&gt;"",'Inputs Whole-Project Water Use'!Q198,""))</f>
        <v/>
      </c>
      <c r="R198" s="225" t="str">
        <f t="shared" si="24"/>
        <v/>
      </c>
      <c r="S198" s="225" t="str">
        <f t="shared" si="25"/>
        <v/>
      </c>
      <c r="T198" s="231" t="str">
        <f t="shared" si="26"/>
        <v/>
      </c>
      <c r="U198" s="241"/>
      <c r="V198" s="241"/>
      <c r="W198" s="241"/>
      <c r="X198" s="241"/>
      <c r="Y198" s="241"/>
      <c r="Z198" s="241"/>
      <c r="AA198" s="241"/>
      <c r="AB198" s="241"/>
      <c r="AC198" s="241"/>
      <c r="AD198" s="241"/>
      <c r="AE198" s="241"/>
      <c r="AF198" s="241"/>
      <c r="AG198" s="241"/>
      <c r="AH198" s="241"/>
      <c r="AI198" s="241"/>
      <c r="AJ198" s="241"/>
      <c r="AK198" s="241"/>
      <c r="AL198" s="241"/>
      <c r="AM198" s="241"/>
      <c r="AN198" s="241"/>
      <c r="AO198" s="241"/>
      <c r="AP198" s="241"/>
      <c r="AQ198" s="241"/>
      <c r="AR198" s="241"/>
      <c r="AS198" s="241"/>
      <c r="AT198" s="241"/>
      <c r="AU198" s="241"/>
      <c r="AV198" s="241"/>
      <c r="AW198" s="241"/>
      <c r="AX198" s="241"/>
      <c r="AY198" s="241"/>
      <c r="AZ198" s="241"/>
    </row>
    <row r="199" spans="1:52" s="71" customFormat="1" ht="18" hidden="1" customHeight="1" outlineLevel="2">
      <c r="A199" s="175">
        <v>50</v>
      </c>
      <c r="B199" s="312" t="str">
        <f>(IF('Inputs Whole-Project Water Use'!B199&lt;&gt;"",'Inputs Whole-Project Water Use'!B199,""))</f>
        <v/>
      </c>
      <c r="C199" s="313" t="str">
        <f>IF(AND(D199&lt;&gt;"",'Inputs Whole-Project Water Use'!C199=""),1,IF('Inputs Whole-Project Water Use'!C199&lt;&gt;"",'Inputs Whole-Project Water Use'!C199,""))</f>
        <v/>
      </c>
      <c r="D199" s="397" t="str">
        <f>IF('Inputs Whole-Project Water Use'!D199&lt;&gt;"",'Inputs Whole-Project Water Use'!D199,"")</f>
        <v/>
      </c>
      <c r="E199" s="398"/>
      <c r="F199" s="314" t="str">
        <f>IF('Inputs Whole-Project Water Use'!F199&lt;&gt;"",'Inputs Whole-Project Water Use'!F199,"")</f>
        <v/>
      </c>
      <c r="G199" s="314" t="str">
        <f>IF('Inputs Whole-Project Water Use'!G199&lt;&gt;"",'Inputs Whole-Project Water Use'!G199,"")</f>
        <v/>
      </c>
      <c r="H199" s="315" t="str">
        <f>IF('Inputs Whole-Project Water Use'!H199&lt;&gt;"",'Inputs Whole-Project Water Use'!H199,"")</f>
        <v/>
      </c>
      <c r="I199" s="390" t="str">
        <f t="shared" si="20"/>
        <v/>
      </c>
      <c r="J199" s="391"/>
      <c r="K199" s="316" t="str">
        <f>IF('Inputs Whole-Project Water Use'!K199&lt;&gt;"",'Inputs Whole-Project Water Use'!K199,"")</f>
        <v/>
      </c>
      <c r="L199" s="316" t="str">
        <f>IF('Inputs Whole-Project Water Use'!L199&lt;&gt;"",'Inputs Whole-Project Water Use'!L199,"")</f>
        <v/>
      </c>
      <c r="M199" s="390" t="str">
        <f t="shared" si="21"/>
        <v/>
      </c>
      <c r="N199" s="391"/>
      <c r="O199" s="225" t="str">
        <f t="shared" si="22"/>
        <v/>
      </c>
      <c r="P199" s="225" t="str">
        <f t="shared" si="23"/>
        <v/>
      </c>
      <c r="Q199" s="289" t="str">
        <f>IF(AND(D199&lt;&gt;"",'Inputs Whole-Project Water Use'!Q199=""),0,IF('Inputs Whole-Project Water Use'!Q199&lt;&gt;"",'Inputs Whole-Project Water Use'!Q199,""))</f>
        <v/>
      </c>
      <c r="R199" s="225" t="str">
        <f t="shared" si="24"/>
        <v/>
      </c>
      <c r="S199" s="225" t="str">
        <f t="shared" si="25"/>
        <v/>
      </c>
      <c r="T199" s="231" t="str">
        <f t="shared" si="26"/>
        <v/>
      </c>
      <c r="U199" s="241"/>
      <c r="V199" s="241"/>
      <c r="W199" s="241"/>
      <c r="X199" s="241"/>
      <c r="Y199" s="241"/>
      <c r="Z199" s="241"/>
      <c r="AA199" s="241"/>
      <c r="AB199" s="241"/>
      <c r="AC199" s="241"/>
      <c r="AD199" s="241"/>
      <c r="AE199" s="241"/>
      <c r="AF199" s="241"/>
      <c r="AG199" s="241"/>
      <c r="AH199" s="241"/>
      <c r="AI199" s="241"/>
      <c r="AJ199" s="241"/>
      <c r="AK199" s="241"/>
      <c r="AL199" s="241"/>
      <c r="AM199" s="241"/>
      <c r="AN199" s="241"/>
      <c r="AO199" s="241"/>
      <c r="AP199" s="241"/>
      <c r="AQ199" s="241"/>
      <c r="AR199" s="241"/>
      <c r="AS199" s="241"/>
      <c r="AT199" s="241"/>
      <c r="AU199" s="241"/>
      <c r="AV199" s="241"/>
      <c r="AW199" s="241"/>
      <c r="AX199" s="241"/>
      <c r="AY199" s="241"/>
      <c r="AZ199" s="241"/>
    </row>
    <row r="200" spans="1:52" s="71" customFormat="1" ht="18" hidden="1" customHeight="1" outlineLevel="1" collapsed="1">
      <c r="A200" s="175">
        <v>51</v>
      </c>
      <c r="B200" s="312" t="str">
        <f>(IF('Inputs Whole-Project Water Use'!B200&lt;&gt;"",'Inputs Whole-Project Water Use'!B200,""))</f>
        <v/>
      </c>
      <c r="C200" s="313" t="str">
        <f>IF(AND(D200&lt;&gt;"",'Inputs Whole-Project Water Use'!C200=""),1,IF('Inputs Whole-Project Water Use'!C200&lt;&gt;"",'Inputs Whole-Project Water Use'!C200,""))</f>
        <v/>
      </c>
      <c r="D200" s="397" t="str">
        <f>IF('Inputs Whole-Project Water Use'!D200&lt;&gt;"",'Inputs Whole-Project Water Use'!D200,"")</f>
        <v/>
      </c>
      <c r="E200" s="398"/>
      <c r="F200" s="314" t="str">
        <f>IF('Inputs Whole-Project Water Use'!F200&lt;&gt;"",'Inputs Whole-Project Water Use'!F200,"")</f>
        <v/>
      </c>
      <c r="G200" s="314" t="str">
        <f>IF('Inputs Whole-Project Water Use'!G200&lt;&gt;"",'Inputs Whole-Project Water Use'!G200,"")</f>
        <v/>
      </c>
      <c r="H200" s="315" t="str">
        <f>IF('Inputs Whole-Project Water Use'!H200&lt;&gt;"",'Inputs Whole-Project Water Use'!H200,"")</f>
        <v/>
      </c>
      <c r="I200" s="390" t="str">
        <f t="shared" si="20"/>
        <v/>
      </c>
      <c r="J200" s="391"/>
      <c r="K200" s="316" t="str">
        <f>IF('Inputs Whole-Project Water Use'!K200&lt;&gt;"",'Inputs Whole-Project Water Use'!K200,"")</f>
        <v/>
      </c>
      <c r="L200" s="316" t="str">
        <f>IF('Inputs Whole-Project Water Use'!L200&lt;&gt;"",'Inputs Whole-Project Water Use'!L200,"")</f>
        <v/>
      </c>
      <c r="M200" s="390" t="str">
        <f t="shared" si="21"/>
        <v/>
      </c>
      <c r="N200" s="391"/>
      <c r="O200" s="225" t="str">
        <f t="shared" si="22"/>
        <v/>
      </c>
      <c r="P200" s="225" t="str">
        <f t="shared" si="23"/>
        <v/>
      </c>
      <c r="Q200" s="289" t="str">
        <f>IF(AND(D200&lt;&gt;"",'Inputs Whole-Project Water Use'!Q200=""),0,IF('Inputs Whole-Project Water Use'!Q200&lt;&gt;"",'Inputs Whole-Project Water Use'!Q200,""))</f>
        <v/>
      </c>
      <c r="R200" s="225" t="str">
        <f t="shared" si="24"/>
        <v/>
      </c>
      <c r="S200" s="225" t="str">
        <f t="shared" si="25"/>
        <v/>
      </c>
      <c r="T200" s="231" t="str">
        <f t="shared" si="26"/>
        <v/>
      </c>
      <c r="U200" s="176" t="s">
        <v>165</v>
      </c>
      <c r="V200" s="241"/>
      <c r="W200" s="241"/>
      <c r="X200" s="241"/>
      <c r="Y200" s="241"/>
      <c r="Z200" s="241"/>
      <c r="AA200" s="241"/>
      <c r="AB200" s="241"/>
      <c r="AC200" s="241"/>
      <c r="AD200" s="241"/>
      <c r="AE200" s="241"/>
      <c r="AF200" s="241"/>
      <c r="AG200" s="241"/>
      <c r="AH200" s="241"/>
      <c r="AI200" s="241"/>
      <c r="AJ200" s="241"/>
      <c r="AK200" s="241"/>
      <c r="AL200" s="241"/>
      <c r="AM200" s="241"/>
      <c r="AN200" s="241"/>
      <c r="AO200" s="241"/>
      <c r="AP200" s="241"/>
      <c r="AQ200" s="241"/>
      <c r="AR200" s="241"/>
      <c r="AS200" s="241"/>
      <c r="AT200" s="241"/>
      <c r="AU200" s="241"/>
      <c r="AV200" s="241"/>
      <c r="AW200" s="241"/>
      <c r="AX200" s="241"/>
      <c r="AY200" s="241"/>
      <c r="AZ200" s="241"/>
    </row>
    <row r="201" spans="1:52" s="71" customFormat="1" ht="18" hidden="1" customHeight="1" outlineLevel="2">
      <c r="A201" s="175">
        <v>52</v>
      </c>
      <c r="B201" s="312" t="str">
        <f>(IF('Inputs Whole-Project Water Use'!B201&lt;&gt;"",'Inputs Whole-Project Water Use'!B201,""))</f>
        <v/>
      </c>
      <c r="C201" s="313" t="str">
        <f>IF(AND(D201&lt;&gt;"",'Inputs Whole-Project Water Use'!C201=""),1,IF('Inputs Whole-Project Water Use'!C201&lt;&gt;"",'Inputs Whole-Project Water Use'!C201,""))</f>
        <v/>
      </c>
      <c r="D201" s="397" t="str">
        <f>IF('Inputs Whole-Project Water Use'!D201&lt;&gt;"",'Inputs Whole-Project Water Use'!D201,"")</f>
        <v/>
      </c>
      <c r="E201" s="398"/>
      <c r="F201" s="314" t="str">
        <f>IF('Inputs Whole-Project Water Use'!F201&lt;&gt;"",'Inputs Whole-Project Water Use'!F201,"")</f>
        <v/>
      </c>
      <c r="G201" s="314" t="str">
        <f>IF('Inputs Whole-Project Water Use'!G201&lt;&gt;"",'Inputs Whole-Project Water Use'!G201,"")</f>
        <v/>
      </c>
      <c r="H201" s="315" t="str">
        <f>IF('Inputs Whole-Project Water Use'!H201&lt;&gt;"",'Inputs Whole-Project Water Use'!H201,"")</f>
        <v/>
      </c>
      <c r="I201" s="390" t="str">
        <f t="shared" si="20"/>
        <v/>
      </c>
      <c r="J201" s="391"/>
      <c r="K201" s="316" t="str">
        <f>IF('Inputs Whole-Project Water Use'!K201&lt;&gt;"",'Inputs Whole-Project Water Use'!K201,"")</f>
        <v/>
      </c>
      <c r="L201" s="316" t="str">
        <f>IF('Inputs Whole-Project Water Use'!L201&lt;&gt;"",'Inputs Whole-Project Water Use'!L201,"")</f>
        <v/>
      </c>
      <c r="M201" s="390" t="str">
        <f t="shared" si="21"/>
        <v/>
      </c>
      <c r="N201" s="391"/>
      <c r="O201" s="225" t="str">
        <f t="shared" si="22"/>
        <v/>
      </c>
      <c r="P201" s="225" t="str">
        <f t="shared" si="23"/>
        <v/>
      </c>
      <c r="Q201" s="289" t="str">
        <f>IF(AND(D201&lt;&gt;"",'Inputs Whole-Project Water Use'!Q201=""),0,IF('Inputs Whole-Project Water Use'!Q201&lt;&gt;"",'Inputs Whole-Project Water Use'!Q201,""))</f>
        <v/>
      </c>
      <c r="R201" s="225" t="str">
        <f t="shared" si="24"/>
        <v/>
      </c>
      <c r="S201" s="225" t="str">
        <f t="shared" si="25"/>
        <v/>
      </c>
      <c r="T201" s="231" t="str">
        <f t="shared" si="26"/>
        <v/>
      </c>
      <c r="U201" s="241"/>
      <c r="V201" s="241"/>
      <c r="W201" s="241"/>
      <c r="X201" s="241"/>
      <c r="Y201" s="241"/>
      <c r="Z201" s="241"/>
      <c r="AA201" s="241"/>
      <c r="AB201" s="241"/>
      <c r="AC201" s="241"/>
      <c r="AD201" s="241"/>
      <c r="AE201" s="241"/>
      <c r="AF201" s="241"/>
      <c r="AG201" s="241"/>
      <c r="AH201" s="241"/>
      <c r="AI201" s="241"/>
      <c r="AJ201" s="241"/>
      <c r="AK201" s="241"/>
      <c r="AL201" s="241"/>
      <c r="AM201" s="241"/>
      <c r="AN201" s="241"/>
      <c r="AO201" s="241"/>
      <c r="AP201" s="241"/>
      <c r="AQ201" s="241"/>
      <c r="AR201" s="241"/>
      <c r="AS201" s="241"/>
      <c r="AT201" s="241"/>
      <c r="AU201" s="241"/>
      <c r="AV201" s="241"/>
      <c r="AW201" s="241"/>
      <c r="AX201" s="241"/>
      <c r="AY201" s="241"/>
      <c r="AZ201" s="241"/>
    </row>
    <row r="202" spans="1:52" s="71" customFormat="1" ht="18" hidden="1" customHeight="1" outlineLevel="2">
      <c r="A202" s="175">
        <v>53</v>
      </c>
      <c r="B202" s="312" t="str">
        <f>(IF('Inputs Whole-Project Water Use'!B202&lt;&gt;"",'Inputs Whole-Project Water Use'!B202,""))</f>
        <v/>
      </c>
      <c r="C202" s="313" t="str">
        <f>IF(AND(D202&lt;&gt;"",'Inputs Whole-Project Water Use'!C202=""),1,IF('Inputs Whole-Project Water Use'!C202&lt;&gt;"",'Inputs Whole-Project Water Use'!C202,""))</f>
        <v/>
      </c>
      <c r="D202" s="397" t="str">
        <f>IF('Inputs Whole-Project Water Use'!D202&lt;&gt;"",'Inputs Whole-Project Water Use'!D202,"")</f>
        <v/>
      </c>
      <c r="E202" s="398"/>
      <c r="F202" s="314" t="str">
        <f>IF('Inputs Whole-Project Water Use'!F202&lt;&gt;"",'Inputs Whole-Project Water Use'!F202,"")</f>
        <v/>
      </c>
      <c r="G202" s="314" t="str">
        <f>IF('Inputs Whole-Project Water Use'!G202&lt;&gt;"",'Inputs Whole-Project Water Use'!G202,"")</f>
        <v/>
      </c>
      <c r="H202" s="315" t="str">
        <f>IF('Inputs Whole-Project Water Use'!H202&lt;&gt;"",'Inputs Whole-Project Water Use'!H202,"")</f>
        <v/>
      </c>
      <c r="I202" s="390" t="str">
        <f t="shared" si="20"/>
        <v/>
      </c>
      <c r="J202" s="391"/>
      <c r="K202" s="316" t="str">
        <f>IF('Inputs Whole-Project Water Use'!K202&lt;&gt;"",'Inputs Whole-Project Water Use'!K202,"")</f>
        <v/>
      </c>
      <c r="L202" s="316" t="str">
        <f>IF('Inputs Whole-Project Water Use'!L202&lt;&gt;"",'Inputs Whole-Project Water Use'!L202,"")</f>
        <v/>
      </c>
      <c r="M202" s="390" t="str">
        <f t="shared" si="21"/>
        <v/>
      </c>
      <c r="N202" s="391"/>
      <c r="O202" s="225" t="str">
        <f t="shared" si="22"/>
        <v/>
      </c>
      <c r="P202" s="225" t="str">
        <f t="shared" si="23"/>
        <v/>
      </c>
      <c r="Q202" s="289" t="str">
        <f>IF(AND(D202&lt;&gt;"",'Inputs Whole-Project Water Use'!Q202=""),0,IF('Inputs Whole-Project Water Use'!Q202&lt;&gt;"",'Inputs Whole-Project Water Use'!Q202,""))</f>
        <v/>
      </c>
      <c r="R202" s="225" t="str">
        <f t="shared" si="24"/>
        <v/>
      </c>
      <c r="S202" s="225" t="str">
        <f t="shared" si="25"/>
        <v/>
      </c>
      <c r="T202" s="231" t="str">
        <f t="shared" si="26"/>
        <v/>
      </c>
      <c r="U202" s="241"/>
      <c r="V202" s="241"/>
      <c r="W202" s="241"/>
      <c r="X202" s="241"/>
      <c r="Y202" s="241"/>
      <c r="Z202" s="241"/>
      <c r="AA202" s="241"/>
      <c r="AB202" s="241"/>
      <c r="AC202" s="241"/>
      <c r="AD202" s="241"/>
      <c r="AE202" s="241"/>
      <c r="AF202" s="241"/>
      <c r="AG202" s="241"/>
      <c r="AH202" s="241"/>
      <c r="AI202" s="241"/>
      <c r="AJ202" s="241"/>
      <c r="AK202" s="241"/>
      <c r="AL202" s="241"/>
      <c r="AM202" s="241"/>
      <c r="AN202" s="241"/>
      <c r="AO202" s="241"/>
      <c r="AP202" s="241"/>
      <c r="AQ202" s="241"/>
      <c r="AR202" s="241"/>
      <c r="AS202" s="241"/>
      <c r="AT202" s="241"/>
      <c r="AU202" s="241"/>
      <c r="AV202" s="241"/>
      <c r="AW202" s="241"/>
      <c r="AX202" s="241"/>
      <c r="AY202" s="241"/>
      <c r="AZ202" s="241"/>
    </row>
    <row r="203" spans="1:52" s="71" customFormat="1" ht="18" hidden="1" customHeight="1" outlineLevel="2">
      <c r="A203" s="175">
        <v>54</v>
      </c>
      <c r="B203" s="312" t="str">
        <f>(IF('Inputs Whole-Project Water Use'!B203&lt;&gt;"",'Inputs Whole-Project Water Use'!B203,""))</f>
        <v/>
      </c>
      <c r="C203" s="313" t="str">
        <f>IF(AND(D203&lt;&gt;"",'Inputs Whole-Project Water Use'!C203=""),1,IF('Inputs Whole-Project Water Use'!C203&lt;&gt;"",'Inputs Whole-Project Water Use'!C203,""))</f>
        <v/>
      </c>
      <c r="D203" s="397" t="str">
        <f>IF('Inputs Whole-Project Water Use'!D203&lt;&gt;"",'Inputs Whole-Project Water Use'!D203,"")</f>
        <v/>
      </c>
      <c r="E203" s="398"/>
      <c r="F203" s="314" t="str">
        <f>IF('Inputs Whole-Project Water Use'!F203&lt;&gt;"",'Inputs Whole-Project Water Use'!F203,"")</f>
        <v/>
      </c>
      <c r="G203" s="314" t="str">
        <f>IF('Inputs Whole-Project Water Use'!G203&lt;&gt;"",'Inputs Whole-Project Water Use'!G203,"")</f>
        <v/>
      </c>
      <c r="H203" s="315" t="str">
        <f>IF('Inputs Whole-Project Water Use'!H203&lt;&gt;"",'Inputs Whole-Project Water Use'!H203,"")</f>
        <v/>
      </c>
      <c r="I203" s="390" t="str">
        <f t="shared" si="20"/>
        <v/>
      </c>
      <c r="J203" s="391"/>
      <c r="K203" s="316" t="str">
        <f>IF('Inputs Whole-Project Water Use'!K203&lt;&gt;"",'Inputs Whole-Project Water Use'!K203,"")</f>
        <v/>
      </c>
      <c r="L203" s="316" t="str">
        <f>IF('Inputs Whole-Project Water Use'!L203&lt;&gt;"",'Inputs Whole-Project Water Use'!L203,"")</f>
        <v/>
      </c>
      <c r="M203" s="390" t="str">
        <f t="shared" si="21"/>
        <v/>
      </c>
      <c r="N203" s="391"/>
      <c r="O203" s="225" t="str">
        <f t="shared" si="22"/>
        <v/>
      </c>
      <c r="P203" s="225" t="str">
        <f t="shared" si="23"/>
        <v/>
      </c>
      <c r="Q203" s="289" t="str">
        <f>IF(AND(D203&lt;&gt;"",'Inputs Whole-Project Water Use'!Q203=""),0,IF('Inputs Whole-Project Water Use'!Q203&lt;&gt;"",'Inputs Whole-Project Water Use'!Q203,""))</f>
        <v/>
      </c>
      <c r="R203" s="225" t="str">
        <f t="shared" si="24"/>
        <v/>
      </c>
      <c r="S203" s="225" t="str">
        <f t="shared" si="25"/>
        <v/>
      </c>
      <c r="T203" s="231" t="str">
        <f t="shared" si="26"/>
        <v/>
      </c>
      <c r="U203" s="241"/>
      <c r="V203" s="241"/>
      <c r="W203" s="241"/>
      <c r="X203" s="241"/>
      <c r="Y203" s="241"/>
      <c r="Z203" s="241"/>
      <c r="AA203" s="241"/>
      <c r="AB203" s="241"/>
      <c r="AC203" s="241"/>
      <c r="AD203" s="241"/>
      <c r="AE203" s="241"/>
      <c r="AF203" s="241"/>
      <c r="AG203" s="241"/>
      <c r="AH203" s="241"/>
      <c r="AI203" s="241"/>
      <c r="AJ203" s="241"/>
      <c r="AK203" s="241"/>
      <c r="AL203" s="241"/>
      <c r="AM203" s="241"/>
      <c r="AN203" s="241"/>
      <c r="AO203" s="241"/>
      <c r="AP203" s="241"/>
      <c r="AQ203" s="241"/>
      <c r="AR203" s="241"/>
      <c r="AS203" s="241"/>
      <c r="AT203" s="241"/>
      <c r="AU203" s="241"/>
      <c r="AV203" s="241"/>
      <c r="AW203" s="241"/>
      <c r="AX203" s="241"/>
      <c r="AY203" s="241"/>
      <c r="AZ203" s="241"/>
    </row>
    <row r="204" spans="1:52" s="71" customFormat="1" ht="18" hidden="1" customHeight="1" outlineLevel="2">
      <c r="A204" s="175">
        <v>55</v>
      </c>
      <c r="B204" s="312" t="str">
        <f>(IF('Inputs Whole-Project Water Use'!B204&lt;&gt;"",'Inputs Whole-Project Water Use'!B204,""))</f>
        <v/>
      </c>
      <c r="C204" s="313" t="str">
        <f>IF(AND(D204&lt;&gt;"",'Inputs Whole-Project Water Use'!C204=""),1,IF('Inputs Whole-Project Water Use'!C204&lt;&gt;"",'Inputs Whole-Project Water Use'!C204,""))</f>
        <v/>
      </c>
      <c r="D204" s="397" t="str">
        <f>IF('Inputs Whole-Project Water Use'!D204&lt;&gt;"",'Inputs Whole-Project Water Use'!D204,"")</f>
        <v/>
      </c>
      <c r="E204" s="398"/>
      <c r="F204" s="314" t="str">
        <f>IF('Inputs Whole-Project Water Use'!F204&lt;&gt;"",'Inputs Whole-Project Water Use'!F204,"")</f>
        <v/>
      </c>
      <c r="G204" s="314" t="str">
        <f>IF('Inputs Whole-Project Water Use'!G204&lt;&gt;"",'Inputs Whole-Project Water Use'!G204,"")</f>
        <v/>
      </c>
      <c r="H204" s="315" t="str">
        <f>IF('Inputs Whole-Project Water Use'!H204&lt;&gt;"",'Inputs Whole-Project Water Use'!H204,"")</f>
        <v/>
      </c>
      <c r="I204" s="390" t="str">
        <f t="shared" si="20"/>
        <v/>
      </c>
      <c r="J204" s="391"/>
      <c r="K204" s="316" t="str">
        <f>IF('Inputs Whole-Project Water Use'!K204&lt;&gt;"",'Inputs Whole-Project Water Use'!K204,"")</f>
        <v/>
      </c>
      <c r="L204" s="316" t="str">
        <f>IF('Inputs Whole-Project Water Use'!L204&lt;&gt;"",'Inputs Whole-Project Water Use'!L204,"")</f>
        <v/>
      </c>
      <c r="M204" s="390" t="str">
        <f t="shared" si="21"/>
        <v/>
      </c>
      <c r="N204" s="391"/>
      <c r="O204" s="225" t="str">
        <f t="shared" si="22"/>
        <v/>
      </c>
      <c r="P204" s="225" t="str">
        <f t="shared" si="23"/>
        <v/>
      </c>
      <c r="Q204" s="289" t="str">
        <f>IF(AND(D204&lt;&gt;"",'Inputs Whole-Project Water Use'!Q204=""),0,IF('Inputs Whole-Project Water Use'!Q204&lt;&gt;"",'Inputs Whole-Project Water Use'!Q204,""))</f>
        <v/>
      </c>
      <c r="R204" s="225" t="str">
        <f t="shared" si="24"/>
        <v/>
      </c>
      <c r="S204" s="225" t="str">
        <f t="shared" si="25"/>
        <v/>
      </c>
      <c r="T204" s="231" t="str">
        <f t="shared" si="26"/>
        <v/>
      </c>
      <c r="U204" s="241"/>
      <c r="V204" s="241"/>
      <c r="W204" s="241"/>
      <c r="X204" s="241"/>
      <c r="Y204" s="241"/>
      <c r="Z204" s="241"/>
      <c r="AA204" s="241"/>
      <c r="AB204" s="241"/>
      <c r="AC204" s="241"/>
      <c r="AD204" s="241"/>
      <c r="AE204" s="241"/>
      <c r="AF204" s="241"/>
      <c r="AG204" s="241"/>
      <c r="AH204" s="241"/>
      <c r="AI204" s="241"/>
      <c r="AJ204" s="241"/>
      <c r="AK204" s="241"/>
      <c r="AL204" s="241"/>
      <c r="AM204" s="241"/>
      <c r="AN204" s="241"/>
      <c r="AO204" s="241"/>
      <c r="AP204" s="241"/>
      <c r="AQ204" s="241"/>
      <c r="AR204" s="241"/>
      <c r="AS204" s="241"/>
      <c r="AT204" s="241"/>
      <c r="AU204" s="241"/>
      <c r="AV204" s="241"/>
      <c r="AW204" s="241"/>
      <c r="AX204" s="241"/>
      <c r="AY204" s="241"/>
      <c r="AZ204" s="241"/>
    </row>
    <row r="205" spans="1:52" s="71" customFormat="1" ht="18" hidden="1" customHeight="1" outlineLevel="2">
      <c r="A205" s="175">
        <v>56</v>
      </c>
      <c r="B205" s="312" t="str">
        <f>(IF('Inputs Whole-Project Water Use'!B205&lt;&gt;"",'Inputs Whole-Project Water Use'!B205,""))</f>
        <v/>
      </c>
      <c r="C205" s="313" t="str">
        <f>IF(AND(D205&lt;&gt;"",'Inputs Whole-Project Water Use'!C205=""),1,IF('Inputs Whole-Project Water Use'!C205&lt;&gt;"",'Inputs Whole-Project Water Use'!C205,""))</f>
        <v/>
      </c>
      <c r="D205" s="397" t="str">
        <f>IF('Inputs Whole-Project Water Use'!D205&lt;&gt;"",'Inputs Whole-Project Water Use'!D205,"")</f>
        <v/>
      </c>
      <c r="E205" s="398"/>
      <c r="F205" s="314" t="str">
        <f>IF('Inputs Whole-Project Water Use'!F205&lt;&gt;"",'Inputs Whole-Project Water Use'!F205,"")</f>
        <v/>
      </c>
      <c r="G205" s="314" t="str">
        <f>IF('Inputs Whole-Project Water Use'!G205&lt;&gt;"",'Inputs Whole-Project Water Use'!G205,"")</f>
        <v/>
      </c>
      <c r="H205" s="315" t="str">
        <f>IF('Inputs Whole-Project Water Use'!H205&lt;&gt;"",'Inputs Whole-Project Water Use'!H205,"")</f>
        <v/>
      </c>
      <c r="I205" s="390" t="str">
        <f t="shared" si="20"/>
        <v/>
      </c>
      <c r="J205" s="391"/>
      <c r="K205" s="316" t="str">
        <f>IF('Inputs Whole-Project Water Use'!K205&lt;&gt;"",'Inputs Whole-Project Water Use'!K205,"")</f>
        <v/>
      </c>
      <c r="L205" s="316" t="str">
        <f>IF('Inputs Whole-Project Water Use'!L205&lt;&gt;"",'Inputs Whole-Project Water Use'!L205,"")</f>
        <v/>
      </c>
      <c r="M205" s="390" t="str">
        <f t="shared" si="21"/>
        <v/>
      </c>
      <c r="N205" s="391"/>
      <c r="O205" s="225" t="str">
        <f t="shared" si="22"/>
        <v/>
      </c>
      <c r="P205" s="225" t="str">
        <f t="shared" si="23"/>
        <v/>
      </c>
      <c r="Q205" s="289" t="str">
        <f>IF(AND(D205&lt;&gt;"",'Inputs Whole-Project Water Use'!Q205=""),0,IF('Inputs Whole-Project Water Use'!Q205&lt;&gt;"",'Inputs Whole-Project Water Use'!Q205,""))</f>
        <v/>
      </c>
      <c r="R205" s="225" t="str">
        <f t="shared" si="24"/>
        <v/>
      </c>
      <c r="S205" s="225" t="str">
        <f t="shared" si="25"/>
        <v/>
      </c>
      <c r="T205" s="231" t="str">
        <f t="shared" si="26"/>
        <v/>
      </c>
      <c r="U205" s="241"/>
      <c r="V205" s="241"/>
      <c r="W205" s="241"/>
      <c r="X205" s="241"/>
      <c r="Y205" s="241"/>
      <c r="Z205" s="241"/>
      <c r="AA205" s="241"/>
      <c r="AB205" s="241"/>
      <c r="AC205" s="241"/>
      <c r="AD205" s="241"/>
      <c r="AE205" s="241"/>
      <c r="AF205" s="241"/>
      <c r="AG205" s="241"/>
      <c r="AH205" s="241"/>
      <c r="AI205" s="241"/>
      <c r="AJ205" s="241"/>
      <c r="AK205" s="241"/>
      <c r="AL205" s="241"/>
      <c r="AM205" s="241"/>
      <c r="AN205" s="241"/>
      <c r="AO205" s="241"/>
      <c r="AP205" s="241"/>
      <c r="AQ205" s="241"/>
      <c r="AR205" s="241"/>
      <c r="AS205" s="241"/>
      <c r="AT205" s="241"/>
      <c r="AU205" s="241"/>
      <c r="AV205" s="241"/>
      <c r="AW205" s="241"/>
      <c r="AX205" s="241"/>
      <c r="AY205" s="241"/>
      <c r="AZ205" s="241"/>
    </row>
    <row r="206" spans="1:52" s="71" customFormat="1" ht="18" hidden="1" customHeight="1" outlineLevel="2">
      <c r="A206" s="175">
        <v>57</v>
      </c>
      <c r="B206" s="312" t="str">
        <f>(IF('Inputs Whole-Project Water Use'!B206&lt;&gt;"",'Inputs Whole-Project Water Use'!B206,""))</f>
        <v/>
      </c>
      <c r="C206" s="313" t="str">
        <f>IF(AND(D206&lt;&gt;"",'Inputs Whole-Project Water Use'!C206=""),1,IF('Inputs Whole-Project Water Use'!C206&lt;&gt;"",'Inputs Whole-Project Water Use'!C206,""))</f>
        <v/>
      </c>
      <c r="D206" s="397" t="str">
        <f>IF('Inputs Whole-Project Water Use'!D206&lt;&gt;"",'Inputs Whole-Project Water Use'!D206,"")</f>
        <v/>
      </c>
      <c r="E206" s="398"/>
      <c r="F206" s="314" t="str">
        <f>IF('Inputs Whole-Project Water Use'!F206&lt;&gt;"",'Inputs Whole-Project Water Use'!F206,"")</f>
        <v/>
      </c>
      <c r="G206" s="314" t="str">
        <f>IF('Inputs Whole-Project Water Use'!G206&lt;&gt;"",'Inputs Whole-Project Water Use'!G206,"")</f>
        <v/>
      </c>
      <c r="H206" s="315" t="str">
        <f>IF('Inputs Whole-Project Water Use'!H206&lt;&gt;"",'Inputs Whole-Project Water Use'!H206,"")</f>
        <v/>
      </c>
      <c r="I206" s="390" t="str">
        <f t="shared" si="20"/>
        <v/>
      </c>
      <c r="J206" s="391"/>
      <c r="K206" s="316" t="str">
        <f>IF('Inputs Whole-Project Water Use'!K206&lt;&gt;"",'Inputs Whole-Project Water Use'!K206,"")</f>
        <v/>
      </c>
      <c r="L206" s="316" t="str">
        <f>IF('Inputs Whole-Project Water Use'!L206&lt;&gt;"",'Inputs Whole-Project Water Use'!L206,"")</f>
        <v/>
      </c>
      <c r="M206" s="390" t="str">
        <f t="shared" si="21"/>
        <v/>
      </c>
      <c r="N206" s="391"/>
      <c r="O206" s="225" t="str">
        <f t="shared" si="22"/>
        <v/>
      </c>
      <c r="P206" s="225" t="str">
        <f t="shared" si="23"/>
        <v/>
      </c>
      <c r="Q206" s="289" t="str">
        <f>IF(AND(D206&lt;&gt;"",'Inputs Whole-Project Water Use'!Q206=""),0,IF('Inputs Whole-Project Water Use'!Q206&lt;&gt;"",'Inputs Whole-Project Water Use'!Q206,""))</f>
        <v/>
      </c>
      <c r="R206" s="225" t="str">
        <f t="shared" si="24"/>
        <v/>
      </c>
      <c r="S206" s="225" t="str">
        <f t="shared" si="25"/>
        <v/>
      </c>
      <c r="T206" s="231" t="str">
        <f t="shared" si="26"/>
        <v/>
      </c>
      <c r="U206" s="241"/>
      <c r="V206" s="241"/>
      <c r="W206" s="241"/>
      <c r="X206" s="241"/>
      <c r="Y206" s="241"/>
      <c r="Z206" s="241"/>
      <c r="AA206" s="241"/>
      <c r="AB206" s="241"/>
      <c r="AC206" s="241"/>
      <c r="AD206" s="241"/>
      <c r="AE206" s="241"/>
      <c r="AF206" s="241"/>
      <c r="AG206" s="241"/>
      <c r="AH206" s="241"/>
      <c r="AI206" s="241"/>
      <c r="AJ206" s="241"/>
      <c r="AK206" s="241"/>
      <c r="AL206" s="241"/>
      <c r="AM206" s="241"/>
      <c r="AN206" s="241"/>
      <c r="AO206" s="241"/>
      <c r="AP206" s="241"/>
      <c r="AQ206" s="241"/>
      <c r="AR206" s="241"/>
      <c r="AS206" s="241"/>
      <c r="AT206" s="241"/>
      <c r="AU206" s="241"/>
      <c r="AV206" s="241"/>
      <c r="AW206" s="241"/>
      <c r="AX206" s="241"/>
      <c r="AY206" s="241"/>
      <c r="AZ206" s="241"/>
    </row>
    <row r="207" spans="1:52" s="71" customFormat="1" ht="18" hidden="1" customHeight="1" outlineLevel="2">
      <c r="A207" s="175">
        <v>58</v>
      </c>
      <c r="B207" s="312" t="str">
        <f>(IF('Inputs Whole-Project Water Use'!B207&lt;&gt;"",'Inputs Whole-Project Water Use'!B207,""))</f>
        <v/>
      </c>
      <c r="C207" s="313" t="str">
        <f>IF(AND(D207&lt;&gt;"",'Inputs Whole-Project Water Use'!C207=""),1,IF('Inputs Whole-Project Water Use'!C207&lt;&gt;"",'Inputs Whole-Project Water Use'!C207,""))</f>
        <v/>
      </c>
      <c r="D207" s="397" t="str">
        <f>IF('Inputs Whole-Project Water Use'!D207&lt;&gt;"",'Inputs Whole-Project Water Use'!D207,"")</f>
        <v/>
      </c>
      <c r="E207" s="398"/>
      <c r="F207" s="314" t="str">
        <f>IF('Inputs Whole-Project Water Use'!F207&lt;&gt;"",'Inputs Whole-Project Water Use'!F207,"")</f>
        <v/>
      </c>
      <c r="G207" s="314" t="str">
        <f>IF('Inputs Whole-Project Water Use'!G207&lt;&gt;"",'Inputs Whole-Project Water Use'!G207,"")</f>
        <v/>
      </c>
      <c r="H207" s="315" t="str">
        <f>IF('Inputs Whole-Project Water Use'!H207&lt;&gt;"",'Inputs Whole-Project Water Use'!H207,"")</f>
        <v/>
      </c>
      <c r="I207" s="390" t="str">
        <f t="shared" si="20"/>
        <v/>
      </c>
      <c r="J207" s="391"/>
      <c r="K207" s="316" t="str">
        <f>IF('Inputs Whole-Project Water Use'!K207&lt;&gt;"",'Inputs Whole-Project Water Use'!K207,"")</f>
        <v/>
      </c>
      <c r="L207" s="316" t="str">
        <f>IF('Inputs Whole-Project Water Use'!L207&lt;&gt;"",'Inputs Whole-Project Water Use'!L207,"")</f>
        <v/>
      </c>
      <c r="M207" s="390" t="str">
        <f t="shared" si="21"/>
        <v/>
      </c>
      <c r="N207" s="391"/>
      <c r="O207" s="225" t="str">
        <f t="shared" si="22"/>
        <v/>
      </c>
      <c r="P207" s="225" t="str">
        <f t="shared" si="23"/>
        <v/>
      </c>
      <c r="Q207" s="289" t="str">
        <f>IF(AND(D207&lt;&gt;"",'Inputs Whole-Project Water Use'!Q207=""),0,IF('Inputs Whole-Project Water Use'!Q207&lt;&gt;"",'Inputs Whole-Project Water Use'!Q207,""))</f>
        <v/>
      </c>
      <c r="R207" s="225" t="str">
        <f t="shared" si="24"/>
        <v/>
      </c>
      <c r="S207" s="225" t="str">
        <f t="shared" si="25"/>
        <v/>
      </c>
      <c r="T207" s="231" t="str">
        <f t="shared" si="26"/>
        <v/>
      </c>
      <c r="U207" s="241"/>
      <c r="V207" s="241"/>
      <c r="W207" s="241"/>
      <c r="X207" s="241"/>
      <c r="Y207" s="241"/>
      <c r="Z207" s="241"/>
      <c r="AA207" s="241"/>
      <c r="AB207" s="241"/>
      <c r="AC207" s="241"/>
      <c r="AD207" s="241"/>
      <c r="AE207" s="241"/>
      <c r="AF207" s="241"/>
      <c r="AG207" s="241"/>
      <c r="AH207" s="241"/>
      <c r="AI207" s="241"/>
      <c r="AJ207" s="241"/>
      <c r="AK207" s="241"/>
      <c r="AL207" s="241"/>
      <c r="AM207" s="241"/>
      <c r="AN207" s="241"/>
      <c r="AO207" s="241"/>
      <c r="AP207" s="241"/>
      <c r="AQ207" s="241"/>
      <c r="AR207" s="241"/>
      <c r="AS207" s="241"/>
      <c r="AT207" s="241"/>
      <c r="AU207" s="241"/>
      <c r="AV207" s="241"/>
      <c r="AW207" s="241"/>
      <c r="AX207" s="241"/>
      <c r="AY207" s="241"/>
      <c r="AZ207" s="241"/>
    </row>
    <row r="208" spans="1:52" s="71" customFormat="1" ht="18" hidden="1" customHeight="1" outlineLevel="2">
      <c r="A208" s="175">
        <v>59</v>
      </c>
      <c r="B208" s="312" t="str">
        <f>(IF('Inputs Whole-Project Water Use'!B208&lt;&gt;"",'Inputs Whole-Project Water Use'!B208,""))</f>
        <v/>
      </c>
      <c r="C208" s="313" t="str">
        <f>IF(AND(D208&lt;&gt;"",'Inputs Whole-Project Water Use'!C208=""),1,IF('Inputs Whole-Project Water Use'!C208&lt;&gt;"",'Inputs Whole-Project Water Use'!C208,""))</f>
        <v/>
      </c>
      <c r="D208" s="397" t="str">
        <f>IF('Inputs Whole-Project Water Use'!D208&lt;&gt;"",'Inputs Whole-Project Water Use'!D208,"")</f>
        <v/>
      </c>
      <c r="E208" s="398"/>
      <c r="F208" s="314" t="str">
        <f>IF('Inputs Whole-Project Water Use'!F208&lt;&gt;"",'Inputs Whole-Project Water Use'!F208,"")</f>
        <v/>
      </c>
      <c r="G208" s="314" t="str">
        <f>IF('Inputs Whole-Project Water Use'!G208&lt;&gt;"",'Inputs Whole-Project Water Use'!G208,"")</f>
        <v/>
      </c>
      <c r="H208" s="315" t="str">
        <f>IF('Inputs Whole-Project Water Use'!H208&lt;&gt;"",'Inputs Whole-Project Water Use'!H208,"")</f>
        <v/>
      </c>
      <c r="I208" s="390" t="str">
        <f t="shared" si="20"/>
        <v/>
      </c>
      <c r="J208" s="391"/>
      <c r="K208" s="316" t="str">
        <f>IF('Inputs Whole-Project Water Use'!K208&lt;&gt;"",'Inputs Whole-Project Water Use'!K208,"")</f>
        <v/>
      </c>
      <c r="L208" s="316" t="str">
        <f>IF('Inputs Whole-Project Water Use'!L208&lt;&gt;"",'Inputs Whole-Project Water Use'!L208,"")</f>
        <v/>
      </c>
      <c r="M208" s="390" t="str">
        <f t="shared" si="21"/>
        <v/>
      </c>
      <c r="N208" s="391"/>
      <c r="O208" s="225" t="str">
        <f t="shared" si="22"/>
        <v/>
      </c>
      <c r="P208" s="225" t="str">
        <f t="shared" si="23"/>
        <v/>
      </c>
      <c r="Q208" s="289" t="str">
        <f>IF(AND(D208&lt;&gt;"",'Inputs Whole-Project Water Use'!Q208=""),0,IF('Inputs Whole-Project Water Use'!Q208&lt;&gt;"",'Inputs Whole-Project Water Use'!Q208,""))</f>
        <v/>
      </c>
      <c r="R208" s="225" t="str">
        <f t="shared" si="24"/>
        <v/>
      </c>
      <c r="S208" s="225" t="str">
        <f t="shared" si="25"/>
        <v/>
      </c>
      <c r="T208" s="231" t="str">
        <f t="shared" si="26"/>
        <v/>
      </c>
      <c r="U208" s="241"/>
      <c r="V208" s="241"/>
      <c r="W208" s="241"/>
      <c r="X208" s="241"/>
      <c r="Y208" s="241"/>
      <c r="Z208" s="241"/>
      <c r="AA208" s="241"/>
      <c r="AB208" s="241"/>
      <c r="AC208" s="241"/>
      <c r="AD208" s="241"/>
      <c r="AE208" s="241"/>
      <c r="AF208" s="241"/>
      <c r="AG208" s="241"/>
      <c r="AH208" s="241"/>
      <c r="AI208" s="241"/>
      <c r="AJ208" s="241"/>
      <c r="AK208" s="241"/>
      <c r="AL208" s="241"/>
      <c r="AM208" s="241"/>
      <c r="AN208" s="241"/>
      <c r="AO208" s="241"/>
      <c r="AP208" s="241"/>
      <c r="AQ208" s="241"/>
      <c r="AR208" s="241"/>
      <c r="AS208" s="241"/>
      <c r="AT208" s="241"/>
      <c r="AU208" s="241"/>
      <c r="AV208" s="241"/>
      <c r="AW208" s="241"/>
      <c r="AX208" s="241"/>
      <c r="AY208" s="241"/>
      <c r="AZ208" s="241"/>
    </row>
    <row r="209" spans="1:52" s="71" customFormat="1" ht="18" hidden="1" customHeight="1" outlineLevel="2">
      <c r="A209" s="175">
        <v>60</v>
      </c>
      <c r="B209" s="312" t="str">
        <f>(IF('Inputs Whole-Project Water Use'!B209&lt;&gt;"",'Inputs Whole-Project Water Use'!B209,""))</f>
        <v/>
      </c>
      <c r="C209" s="313" t="str">
        <f>IF(AND(D209&lt;&gt;"",'Inputs Whole-Project Water Use'!C209=""),1,IF('Inputs Whole-Project Water Use'!C209&lt;&gt;"",'Inputs Whole-Project Water Use'!C209,""))</f>
        <v/>
      </c>
      <c r="D209" s="397" t="str">
        <f>IF('Inputs Whole-Project Water Use'!D209&lt;&gt;"",'Inputs Whole-Project Water Use'!D209,"")</f>
        <v/>
      </c>
      <c r="E209" s="398"/>
      <c r="F209" s="314" t="str">
        <f>IF('Inputs Whole-Project Water Use'!F209&lt;&gt;"",'Inputs Whole-Project Water Use'!F209,"")</f>
        <v/>
      </c>
      <c r="G209" s="314" t="str">
        <f>IF('Inputs Whole-Project Water Use'!G209&lt;&gt;"",'Inputs Whole-Project Water Use'!G209,"")</f>
        <v/>
      </c>
      <c r="H209" s="315" t="str">
        <f>IF('Inputs Whole-Project Water Use'!H209&lt;&gt;"",'Inputs Whole-Project Water Use'!H209,"")</f>
        <v/>
      </c>
      <c r="I209" s="390" t="str">
        <f t="shared" si="20"/>
        <v/>
      </c>
      <c r="J209" s="391"/>
      <c r="K209" s="316" t="str">
        <f>IF('Inputs Whole-Project Water Use'!K209&lt;&gt;"",'Inputs Whole-Project Water Use'!K209,"")</f>
        <v/>
      </c>
      <c r="L209" s="316" t="str">
        <f>IF('Inputs Whole-Project Water Use'!L209&lt;&gt;"",'Inputs Whole-Project Water Use'!L209,"")</f>
        <v/>
      </c>
      <c r="M209" s="390" t="str">
        <f t="shared" si="21"/>
        <v/>
      </c>
      <c r="N209" s="391"/>
      <c r="O209" s="225" t="str">
        <f t="shared" si="22"/>
        <v/>
      </c>
      <c r="P209" s="225" t="str">
        <f t="shared" si="23"/>
        <v/>
      </c>
      <c r="Q209" s="289" t="str">
        <f>IF(AND(D209&lt;&gt;"",'Inputs Whole-Project Water Use'!Q209=""),0,IF('Inputs Whole-Project Water Use'!Q209&lt;&gt;"",'Inputs Whole-Project Water Use'!Q209,""))</f>
        <v/>
      </c>
      <c r="R209" s="225" t="str">
        <f t="shared" si="24"/>
        <v/>
      </c>
      <c r="S209" s="225" t="str">
        <f t="shared" si="25"/>
        <v/>
      </c>
      <c r="T209" s="231" t="str">
        <f t="shared" si="26"/>
        <v/>
      </c>
      <c r="U209" s="241"/>
      <c r="V209" s="241"/>
      <c r="W209" s="241"/>
      <c r="X209" s="241"/>
      <c r="Y209" s="241"/>
      <c r="Z209" s="241"/>
      <c r="AA209" s="241"/>
      <c r="AB209" s="241"/>
      <c r="AC209" s="241"/>
      <c r="AD209" s="241"/>
      <c r="AE209" s="241"/>
      <c r="AF209" s="241"/>
      <c r="AG209" s="241"/>
      <c r="AH209" s="241"/>
      <c r="AI209" s="241"/>
      <c r="AJ209" s="241"/>
      <c r="AK209" s="241"/>
      <c r="AL209" s="241"/>
      <c r="AM209" s="241"/>
      <c r="AN209" s="241"/>
      <c r="AO209" s="241"/>
      <c r="AP209" s="241"/>
      <c r="AQ209" s="241"/>
      <c r="AR209" s="241"/>
      <c r="AS209" s="241"/>
      <c r="AT209" s="241"/>
      <c r="AU209" s="241"/>
      <c r="AV209" s="241"/>
      <c r="AW209" s="241"/>
      <c r="AX209" s="241"/>
      <c r="AY209" s="241"/>
      <c r="AZ209" s="241"/>
    </row>
    <row r="210" spans="1:52" s="71" customFormat="1" ht="18" hidden="1" customHeight="1" outlineLevel="2">
      <c r="A210" s="175">
        <v>61</v>
      </c>
      <c r="B210" s="312" t="str">
        <f>(IF('Inputs Whole-Project Water Use'!B210&lt;&gt;"",'Inputs Whole-Project Water Use'!B210,""))</f>
        <v/>
      </c>
      <c r="C210" s="313" t="str">
        <f>IF(AND(D210&lt;&gt;"",'Inputs Whole-Project Water Use'!C210=""),1,IF('Inputs Whole-Project Water Use'!C210&lt;&gt;"",'Inputs Whole-Project Water Use'!C210,""))</f>
        <v/>
      </c>
      <c r="D210" s="397" t="str">
        <f>IF('Inputs Whole-Project Water Use'!D210&lt;&gt;"",'Inputs Whole-Project Water Use'!D210,"")</f>
        <v/>
      </c>
      <c r="E210" s="398"/>
      <c r="F210" s="314" t="str">
        <f>IF('Inputs Whole-Project Water Use'!F210&lt;&gt;"",'Inputs Whole-Project Water Use'!F210,"")</f>
        <v/>
      </c>
      <c r="G210" s="314" t="str">
        <f>IF('Inputs Whole-Project Water Use'!G210&lt;&gt;"",'Inputs Whole-Project Water Use'!G210,"")</f>
        <v/>
      </c>
      <c r="H210" s="315" t="str">
        <f>IF('Inputs Whole-Project Water Use'!H210&lt;&gt;"",'Inputs Whole-Project Water Use'!H210,"")</f>
        <v/>
      </c>
      <c r="I210" s="390" t="str">
        <f t="shared" si="20"/>
        <v/>
      </c>
      <c r="J210" s="391"/>
      <c r="K210" s="316" t="str">
        <f>IF('Inputs Whole-Project Water Use'!K210&lt;&gt;"",'Inputs Whole-Project Water Use'!K210,"")</f>
        <v/>
      </c>
      <c r="L210" s="316" t="str">
        <f>IF('Inputs Whole-Project Water Use'!L210&lt;&gt;"",'Inputs Whole-Project Water Use'!L210,"")</f>
        <v/>
      </c>
      <c r="M210" s="390" t="str">
        <f t="shared" si="21"/>
        <v/>
      </c>
      <c r="N210" s="391"/>
      <c r="O210" s="225" t="str">
        <f t="shared" si="22"/>
        <v/>
      </c>
      <c r="P210" s="225" t="str">
        <f t="shared" si="23"/>
        <v/>
      </c>
      <c r="Q210" s="289" t="str">
        <f>IF(AND(D210&lt;&gt;"",'Inputs Whole-Project Water Use'!Q210=""),0,IF('Inputs Whole-Project Water Use'!Q210&lt;&gt;"",'Inputs Whole-Project Water Use'!Q210,""))</f>
        <v/>
      </c>
      <c r="R210" s="225" t="str">
        <f t="shared" si="24"/>
        <v/>
      </c>
      <c r="S210" s="225" t="str">
        <f t="shared" si="25"/>
        <v/>
      </c>
      <c r="T210" s="231" t="str">
        <f t="shared" si="26"/>
        <v/>
      </c>
      <c r="U210" s="241"/>
      <c r="V210" s="241"/>
      <c r="W210" s="241"/>
      <c r="X210" s="241"/>
      <c r="Y210" s="241"/>
      <c r="Z210" s="241"/>
      <c r="AA210" s="241"/>
      <c r="AB210" s="241"/>
      <c r="AC210" s="241"/>
      <c r="AD210" s="241"/>
      <c r="AE210" s="241"/>
      <c r="AF210" s="241"/>
      <c r="AG210" s="241"/>
      <c r="AH210" s="241"/>
      <c r="AI210" s="241"/>
      <c r="AJ210" s="241"/>
      <c r="AK210" s="241"/>
      <c r="AL210" s="241"/>
      <c r="AM210" s="241"/>
      <c r="AN210" s="241"/>
      <c r="AO210" s="241"/>
      <c r="AP210" s="241"/>
      <c r="AQ210" s="241"/>
      <c r="AR210" s="241"/>
      <c r="AS210" s="241"/>
      <c r="AT210" s="241"/>
      <c r="AU210" s="241"/>
      <c r="AV210" s="241"/>
      <c r="AW210" s="241"/>
      <c r="AX210" s="241"/>
      <c r="AY210" s="241"/>
      <c r="AZ210" s="241"/>
    </row>
    <row r="211" spans="1:52" s="71" customFormat="1" ht="18" hidden="1" customHeight="1" outlineLevel="2">
      <c r="A211" s="175">
        <v>62</v>
      </c>
      <c r="B211" s="312" t="str">
        <f>(IF('Inputs Whole-Project Water Use'!B211&lt;&gt;"",'Inputs Whole-Project Water Use'!B211,""))</f>
        <v/>
      </c>
      <c r="C211" s="313" t="str">
        <f>IF(AND(D211&lt;&gt;"",'Inputs Whole-Project Water Use'!C211=""),1,IF('Inputs Whole-Project Water Use'!C211&lt;&gt;"",'Inputs Whole-Project Water Use'!C211,""))</f>
        <v/>
      </c>
      <c r="D211" s="397" t="str">
        <f>IF('Inputs Whole-Project Water Use'!D211&lt;&gt;"",'Inputs Whole-Project Water Use'!D211,"")</f>
        <v/>
      </c>
      <c r="E211" s="398"/>
      <c r="F211" s="314" t="str">
        <f>IF('Inputs Whole-Project Water Use'!F211&lt;&gt;"",'Inputs Whole-Project Water Use'!F211,"")</f>
        <v/>
      </c>
      <c r="G211" s="314" t="str">
        <f>IF('Inputs Whole-Project Water Use'!G211&lt;&gt;"",'Inputs Whole-Project Water Use'!G211,"")</f>
        <v/>
      </c>
      <c r="H211" s="315" t="str">
        <f>IF('Inputs Whole-Project Water Use'!H211&lt;&gt;"",'Inputs Whole-Project Water Use'!H211,"")</f>
        <v/>
      </c>
      <c r="I211" s="390" t="str">
        <f t="shared" si="20"/>
        <v/>
      </c>
      <c r="J211" s="391"/>
      <c r="K211" s="316" t="str">
        <f>IF('Inputs Whole-Project Water Use'!K211&lt;&gt;"",'Inputs Whole-Project Water Use'!K211,"")</f>
        <v/>
      </c>
      <c r="L211" s="316" t="str">
        <f>IF('Inputs Whole-Project Water Use'!L211&lt;&gt;"",'Inputs Whole-Project Water Use'!L211,"")</f>
        <v/>
      </c>
      <c r="M211" s="390" t="str">
        <f t="shared" si="21"/>
        <v/>
      </c>
      <c r="N211" s="391"/>
      <c r="O211" s="225" t="str">
        <f t="shared" si="22"/>
        <v/>
      </c>
      <c r="P211" s="225" t="str">
        <f t="shared" si="23"/>
        <v/>
      </c>
      <c r="Q211" s="289" t="str">
        <f>IF(AND(D211&lt;&gt;"",'Inputs Whole-Project Water Use'!Q211=""),0,IF('Inputs Whole-Project Water Use'!Q211&lt;&gt;"",'Inputs Whole-Project Water Use'!Q211,""))</f>
        <v/>
      </c>
      <c r="R211" s="225" t="str">
        <f t="shared" si="24"/>
        <v/>
      </c>
      <c r="S211" s="225" t="str">
        <f t="shared" si="25"/>
        <v/>
      </c>
      <c r="T211" s="231" t="str">
        <f t="shared" si="26"/>
        <v/>
      </c>
      <c r="U211" s="241"/>
      <c r="V211" s="241"/>
      <c r="W211" s="241"/>
      <c r="X211" s="241"/>
      <c r="Y211" s="241"/>
      <c r="Z211" s="241"/>
      <c r="AA211" s="241"/>
      <c r="AB211" s="241"/>
      <c r="AC211" s="241"/>
      <c r="AD211" s="241"/>
      <c r="AE211" s="241"/>
      <c r="AF211" s="241"/>
      <c r="AG211" s="241"/>
      <c r="AH211" s="241"/>
      <c r="AI211" s="241"/>
      <c r="AJ211" s="241"/>
      <c r="AK211" s="241"/>
      <c r="AL211" s="241"/>
      <c r="AM211" s="241"/>
      <c r="AN211" s="241"/>
      <c r="AO211" s="241"/>
      <c r="AP211" s="241"/>
      <c r="AQ211" s="241"/>
      <c r="AR211" s="241"/>
      <c r="AS211" s="241"/>
      <c r="AT211" s="241"/>
      <c r="AU211" s="241"/>
      <c r="AV211" s="241"/>
      <c r="AW211" s="241"/>
      <c r="AX211" s="241"/>
      <c r="AY211" s="241"/>
      <c r="AZ211" s="241"/>
    </row>
    <row r="212" spans="1:52" s="71" customFormat="1" ht="18" hidden="1" customHeight="1" outlineLevel="2">
      <c r="A212" s="175">
        <v>63</v>
      </c>
      <c r="B212" s="312" t="str">
        <f>(IF('Inputs Whole-Project Water Use'!B212&lt;&gt;"",'Inputs Whole-Project Water Use'!B212,""))</f>
        <v/>
      </c>
      <c r="C212" s="313" t="str">
        <f>IF(AND(D212&lt;&gt;"",'Inputs Whole-Project Water Use'!C212=""),1,IF('Inputs Whole-Project Water Use'!C212&lt;&gt;"",'Inputs Whole-Project Water Use'!C212,""))</f>
        <v/>
      </c>
      <c r="D212" s="397" t="str">
        <f>IF('Inputs Whole-Project Water Use'!D212&lt;&gt;"",'Inputs Whole-Project Water Use'!D212,"")</f>
        <v/>
      </c>
      <c r="E212" s="398"/>
      <c r="F212" s="314" t="str">
        <f>IF('Inputs Whole-Project Water Use'!F212&lt;&gt;"",'Inputs Whole-Project Water Use'!F212,"")</f>
        <v/>
      </c>
      <c r="G212" s="314" t="str">
        <f>IF('Inputs Whole-Project Water Use'!G212&lt;&gt;"",'Inputs Whole-Project Water Use'!G212,"")</f>
        <v/>
      </c>
      <c r="H212" s="315" t="str">
        <f>IF('Inputs Whole-Project Water Use'!H212&lt;&gt;"",'Inputs Whole-Project Water Use'!H212,"")</f>
        <v/>
      </c>
      <c r="I212" s="390" t="str">
        <f t="shared" si="20"/>
        <v/>
      </c>
      <c r="J212" s="391"/>
      <c r="K212" s="316" t="str">
        <f>IF('Inputs Whole-Project Water Use'!K212&lt;&gt;"",'Inputs Whole-Project Water Use'!K212,"")</f>
        <v/>
      </c>
      <c r="L212" s="316" t="str">
        <f>IF('Inputs Whole-Project Water Use'!L212&lt;&gt;"",'Inputs Whole-Project Water Use'!L212,"")</f>
        <v/>
      </c>
      <c r="M212" s="390" t="str">
        <f t="shared" si="21"/>
        <v/>
      </c>
      <c r="N212" s="391"/>
      <c r="O212" s="225" t="str">
        <f t="shared" si="22"/>
        <v/>
      </c>
      <c r="P212" s="225" t="str">
        <f t="shared" si="23"/>
        <v/>
      </c>
      <c r="Q212" s="289" t="str">
        <f>IF(AND(D212&lt;&gt;"",'Inputs Whole-Project Water Use'!Q212=""),0,IF('Inputs Whole-Project Water Use'!Q212&lt;&gt;"",'Inputs Whole-Project Water Use'!Q212,""))</f>
        <v/>
      </c>
      <c r="R212" s="225" t="str">
        <f t="shared" si="24"/>
        <v/>
      </c>
      <c r="S212" s="225" t="str">
        <f t="shared" si="25"/>
        <v/>
      </c>
      <c r="T212" s="231" t="str">
        <f t="shared" si="26"/>
        <v/>
      </c>
      <c r="U212" s="241"/>
      <c r="V212" s="241"/>
      <c r="W212" s="241"/>
      <c r="X212" s="241"/>
      <c r="Y212" s="241"/>
      <c r="Z212" s="241"/>
      <c r="AA212" s="241"/>
      <c r="AB212" s="241"/>
      <c r="AC212" s="241"/>
      <c r="AD212" s="241"/>
      <c r="AE212" s="241"/>
      <c r="AF212" s="241"/>
      <c r="AG212" s="241"/>
      <c r="AH212" s="241"/>
      <c r="AI212" s="241"/>
      <c r="AJ212" s="241"/>
      <c r="AK212" s="241"/>
      <c r="AL212" s="241"/>
      <c r="AM212" s="241"/>
      <c r="AN212" s="241"/>
      <c r="AO212" s="241"/>
      <c r="AP212" s="241"/>
      <c r="AQ212" s="241"/>
      <c r="AR212" s="241"/>
      <c r="AS212" s="241"/>
      <c r="AT212" s="241"/>
      <c r="AU212" s="241"/>
      <c r="AV212" s="241"/>
      <c r="AW212" s="241"/>
      <c r="AX212" s="241"/>
      <c r="AY212" s="241"/>
      <c r="AZ212" s="241"/>
    </row>
    <row r="213" spans="1:52" s="71" customFormat="1" ht="18" hidden="1" customHeight="1" outlineLevel="2">
      <c r="A213" s="175">
        <v>64</v>
      </c>
      <c r="B213" s="312" t="str">
        <f>(IF('Inputs Whole-Project Water Use'!B213&lt;&gt;"",'Inputs Whole-Project Water Use'!B213,""))</f>
        <v/>
      </c>
      <c r="C213" s="313" t="str">
        <f>IF(AND(D213&lt;&gt;"",'Inputs Whole-Project Water Use'!C213=""),1,IF('Inputs Whole-Project Water Use'!C213&lt;&gt;"",'Inputs Whole-Project Water Use'!C213,""))</f>
        <v/>
      </c>
      <c r="D213" s="397" t="str">
        <f>IF('Inputs Whole-Project Water Use'!D213&lt;&gt;"",'Inputs Whole-Project Water Use'!D213,"")</f>
        <v/>
      </c>
      <c r="E213" s="398"/>
      <c r="F213" s="314" t="str">
        <f>IF('Inputs Whole-Project Water Use'!F213&lt;&gt;"",'Inputs Whole-Project Water Use'!F213,"")</f>
        <v/>
      </c>
      <c r="G213" s="314" t="str">
        <f>IF('Inputs Whole-Project Water Use'!G213&lt;&gt;"",'Inputs Whole-Project Water Use'!G213,"")</f>
        <v/>
      </c>
      <c r="H213" s="315" t="str">
        <f>IF('Inputs Whole-Project Water Use'!H213&lt;&gt;"",'Inputs Whole-Project Water Use'!H213,"")</f>
        <v/>
      </c>
      <c r="I213" s="390" t="str">
        <f t="shared" si="20"/>
        <v/>
      </c>
      <c r="J213" s="391"/>
      <c r="K213" s="316" t="str">
        <f>IF('Inputs Whole-Project Water Use'!K213&lt;&gt;"",'Inputs Whole-Project Water Use'!K213,"")</f>
        <v/>
      </c>
      <c r="L213" s="316" t="str">
        <f>IF('Inputs Whole-Project Water Use'!L213&lt;&gt;"",'Inputs Whole-Project Water Use'!L213,"")</f>
        <v/>
      </c>
      <c r="M213" s="390" t="str">
        <f t="shared" si="21"/>
        <v/>
      </c>
      <c r="N213" s="391"/>
      <c r="O213" s="225" t="str">
        <f t="shared" si="22"/>
        <v/>
      </c>
      <c r="P213" s="225" t="str">
        <f t="shared" si="23"/>
        <v/>
      </c>
      <c r="Q213" s="289" t="str">
        <f>IF(AND(D213&lt;&gt;"",'Inputs Whole-Project Water Use'!Q213=""),0,IF('Inputs Whole-Project Water Use'!Q213&lt;&gt;"",'Inputs Whole-Project Water Use'!Q213,""))</f>
        <v/>
      </c>
      <c r="R213" s="225" t="str">
        <f t="shared" si="24"/>
        <v/>
      </c>
      <c r="S213" s="225" t="str">
        <f t="shared" si="25"/>
        <v/>
      </c>
      <c r="T213" s="231" t="str">
        <f t="shared" si="26"/>
        <v/>
      </c>
      <c r="U213" s="241"/>
      <c r="V213" s="241"/>
      <c r="W213" s="241"/>
      <c r="X213" s="241"/>
      <c r="Y213" s="241"/>
      <c r="Z213" s="241"/>
      <c r="AA213" s="241"/>
      <c r="AB213" s="241"/>
      <c r="AC213" s="241"/>
      <c r="AD213" s="241"/>
      <c r="AE213" s="241"/>
      <c r="AF213" s="241"/>
      <c r="AG213" s="241"/>
      <c r="AH213" s="241"/>
      <c r="AI213" s="241"/>
      <c r="AJ213" s="241"/>
      <c r="AK213" s="241"/>
      <c r="AL213" s="241"/>
      <c r="AM213" s="241"/>
      <c r="AN213" s="241"/>
      <c r="AO213" s="241"/>
      <c r="AP213" s="241"/>
      <c r="AQ213" s="241"/>
      <c r="AR213" s="241"/>
      <c r="AS213" s="241"/>
      <c r="AT213" s="241"/>
      <c r="AU213" s="241"/>
      <c r="AV213" s="241"/>
      <c r="AW213" s="241"/>
      <c r="AX213" s="241"/>
      <c r="AY213" s="241"/>
      <c r="AZ213" s="241"/>
    </row>
    <row r="214" spans="1:52" s="71" customFormat="1" ht="18" hidden="1" customHeight="1" outlineLevel="2">
      <c r="A214" s="175">
        <v>65</v>
      </c>
      <c r="B214" s="312" t="str">
        <f>(IF('Inputs Whole-Project Water Use'!B214&lt;&gt;"",'Inputs Whole-Project Water Use'!B214,""))</f>
        <v/>
      </c>
      <c r="C214" s="313" t="str">
        <f>IF(AND(D214&lt;&gt;"",'Inputs Whole-Project Water Use'!C214=""),1,IF('Inputs Whole-Project Water Use'!C214&lt;&gt;"",'Inputs Whole-Project Water Use'!C214,""))</f>
        <v/>
      </c>
      <c r="D214" s="397" t="str">
        <f>IF('Inputs Whole-Project Water Use'!D214&lt;&gt;"",'Inputs Whole-Project Water Use'!D214,"")</f>
        <v/>
      </c>
      <c r="E214" s="398"/>
      <c r="F214" s="314" t="str">
        <f>IF('Inputs Whole-Project Water Use'!F214&lt;&gt;"",'Inputs Whole-Project Water Use'!F214,"")</f>
        <v/>
      </c>
      <c r="G214" s="314" t="str">
        <f>IF('Inputs Whole-Project Water Use'!G214&lt;&gt;"",'Inputs Whole-Project Water Use'!G214,"")</f>
        <v/>
      </c>
      <c r="H214" s="315" t="str">
        <f>IF('Inputs Whole-Project Water Use'!H214&lt;&gt;"",'Inputs Whole-Project Water Use'!H214,"")</f>
        <v/>
      </c>
      <c r="I214" s="390" t="str">
        <f t="shared" ref="I214:I259" si="27">IFERROR(IF(logic_units&lt;&gt;"SI Units",INDEX(data_dumip,MATCH($D214,data_waterusetypes,0)),INDEX(data_dumsi,MATCH($D214,data_waterusetypes,0))),"")</f>
        <v/>
      </c>
      <c r="J214" s="391"/>
      <c r="K214" s="316" t="str">
        <f>IF('Inputs Whole-Project Water Use'!K214&lt;&gt;"",'Inputs Whole-Project Water Use'!K214,"")</f>
        <v/>
      </c>
      <c r="L214" s="316" t="str">
        <f>IF('Inputs Whole-Project Water Use'!L214&lt;&gt;"",'Inputs Whole-Project Water Use'!L214,"")</f>
        <v/>
      </c>
      <c r="M214" s="390" t="str">
        <f t="shared" ref="M214:M259" si="28">IFERROR(IF(logic_units&lt;&gt;"SI Units",INDEX(data_wurip,MATCH($D214,data_waterusetypes,0)),INDEX(data_wursi,MATCH($D214,data_waterusetypes,0))),"")</f>
        <v/>
      </c>
      <c r="N214" s="391"/>
      <c r="O214" s="225" t="str">
        <f t="shared" si="22"/>
        <v/>
      </c>
      <c r="P214" s="225" t="str">
        <f t="shared" si="23"/>
        <v/>
      </c>
      <c r="Q214" s="289" t="str">
        <f>IF(AND(D214&lt;&gt;"",'Inputs Whole-Project Water Use'!Q214=""),0,IF('Inputs Whole-Project Water Use'!Q214&lt;&gt;"",'Inputs Whole-Project Water Use'!Q214,""))</f>
        <v/>
      </c>
      <c r="R214" s="225" t="str">
        <f t="shared" si="24"/>
        <v/>
      </c>
      <c r="S214" s="225" t="str">
        <f t="shared" si="25"/>
        <v/>
      </c>
      <c r="T214" s="231" t="str">
        <f t="shared" si="26"/>
        <v/>
      </c>
      <c r="U214" s="241"/>
      <c r="V214" s="241"/>
      <c r="W214" s="241"/>
      <c r="X214" s="241"/>
      <c r="Y214" s="241"/>
      <c r="Z214" s="241"/>
      <c r="AA214" s="241"/>
      <c r="AB214" s="241"/>
      <c r="AC214" s="241"/>
      <c r="AD214" s="241"/>
      <c r="AE214" s="241"/>
      <c r="AF214" s="241"/>
      <c r="AG214" s="241"/>
      <c r="AH214" s="241"/>
      <c r="AI214" s="241"/>
      <c r="AJ214" s="241"/>
      <c r="AK214" s="241"/>
      <c r="AL214" s="241"/>
      <c r="AM214" s="241"/>
      <c r="AN214" s="241"/>
      <c r="AO214" s="241"/>
      <c r="AP214" s="241"/>
      <c r="AQ214" s="241"/>
      <c r="AR214" s="241"/>
      <c r="AS214" s="241"/>
      <c r="AT214" s="241"/>
      <c r="AU214" s="241"/>
      <c r="AV214" s="241"/>
      <c r="AW214" s="241"/>
      <c r="AX214" s="241"/>
      <c r="AY214" s="241"/>
      <c r="AZ214" s="241"/>
    </row>
    <row r="215" spans="1:52" s="71" customFormat="1" ht="18" hidden="1" customHeight="1" outlineLevel="2">
      <c r="A215" s="175">
        <v>66</v>
      </c>
      <c r="B215" s="312" t="str">
        <f>(IF('Inputs Whole-Project Water Use'!B215&lt;&gt;"",'Inputs Whole-Project Water Use'!B215,""))</f>
        <v/>
      </c>
      <c r="C215" s="313" t="str">
        <f>IF(AND(D215&lt;&gt;"",'Inputs Whole-Project Water Use'!C215=""),1,IF('Inputs Whole-Project Water Use'!C215&lt;&gt;"",'Inputs Whole-Project Water Use'!C215,""))</f>
        <v/>
      </c>
      <c r="D215" s="397" t="str">
        <f>IF('Inputs Whole-Project Water Use'!D215&lt;&gt;"",'Inputs Whole-Project Water Use'!D215,"")</f>
        <v/>
      </c>
      <c r="E215" s="398"/>
      <c r="F215" s="314" t="str">
        <f>IF('Inputs Whole-Project Water Use'!F215&lt;&gt;"",'Inputs Whole-Project Water Use'!F215,"")</f>
        <v/>
      </c>
      <c r="G215" s="314" t="str">
        <f>IF('Inputs Whole-Project Water Use'!G215&lt;&gt;"",'Inputs Whole-Project Water Use'!G215,"")</f>
        <v/>
      </c>
      <c r="H215" s="315" t="str">
        <f>IF('Inputs Whole-Project Water Use'!H215&lt;&gt;"",'Inputs Whole-Project Water Use'!H215,"")</f>
        <v/>
      </c>
      <c r="I215" s="390" t="str">
        <f t="shared" si="27"/>
        <v/>
      </c>
      <c r="J215" s="391"/>
      <c r="K215" s="316" t="str">
        <f>IF('Inputs Whole-Project Water Use'!K215&lt;&gt;"",'Inputs Whole-Project Water Use'!K215,"")</f>
        <v/>
      </c>
      <c r="L215" s="316" t="str">
        <f>IF('Inputs Whole-Project Water Use'!L215&lt;&gt;"",'Inputs Whole-Project Water Use'!L215,"")</f>
        <v/>
      </c>
      <c r="M215" s="390" t="str">
        <f t="shared" si="28"/>
        <v/>
      </c>
      <c r="N215" s="391"/>
      <c r="O215" s="225" t="str">
        <f t="shared" ref="O215:O259" si="29">IFERROR(IF(OR($F215&lt;&gt;"",$G215&lt;&gt;"",$H215&lt;&gt;"",K215&lt;&gt;""),$C215*$F215*$G215*$H215*K215,""),"")</f>
        <v/>
      </c>
      <c r="P215" s="225" t="str">
        <f t="shared" ref="P215:P259" si="30">IFERROR(IF(OR($F215&lt;&gt;"",$G215&lt;&gt;"",$H215&lt;&gt;"",L215&lt;&gt;""),$C215*$F215*$G215*$H215*L215,""),"")</f>
        <v/>
      </c>
      <c r="Q215" s="289" t="str">
        <f>IF(AND(D215&lt;&gt;"",'Inputs Whole-Project Water Use'!Q215=""),0,IF('Inputs Whole-Project Water Use'!Q215&lt;&gt;"",'Inputs Whole-Project Water Use'!Q215,""))</f>
        <v/>
      </c>
      <c r="R215" s="225" t="str">
        <f t="shared" ref="R215:R259" si="31">IFERROR(IF(P215&lt;&gt;"",(P215-Q215),""),"")</f>
        <v/>
      </c>
      <c r="S215" s="225" t="str">
        <f t="shared" ref="S215:S259" si="32">IFERROR(IF(OR(O215&lt;&gt;"",P215&lt;&gt;""),O215-R215,""),"")</f>
        <v/>
      </c>
      <c r="T215" s="231" t="str">
        <f t="shared" ref="T215:T259" si="33">IFERROR(S215/O215,"")</f>
        <v/>
      </c>
      <c r="U215" s="241"/>
      <c r="V215" s="241"/>
      <c r="W215" s="241"/>
      <c r="X215" s="241"/>
      <c r="Y215" s="241"/>
      <c r="Z215" s="241"/>
      <c r="AA215" s="241"/>
      <c r="AB215" s="241"/>
      <c r="AC215" s="241"/>
      <c r="AD215" s="241"/>
      <c r="AE215" s="241"/>
      <c r="AF215" s="241"/>
      <c r="AG215" s="241"/>
      <c r="AH215" s="241"/>
      <c r="AI215" s="241"/>
      <c r="AJ215" s="241"/>
      <c r="AK215" s="241"/>
      <c r="AL215" s="241"/>
      <c r="AM215" s="241"/>
      <c r="AN215" s="241"/>
      <c r="AO215" s="241"/>
      <c r="AP215" s="241"/>
      <c r="AQ215" s="241"/>
      <c r="AR215" s="241"/>
      <c r="AS215" s="241"/>
      <c r="AT215" s="241"/>
      <c r="AU215" s="241"/>
      <c r="AV215" s="241"/>
      <c r="AW215" s="241"/>
      <c r="AX215" s="241"/>
      <c r="AY215" s="241"/>
      <c r="AZ215" s="241"/>
    </row>
    <row r="216" spans="1:52" s="71" customFormat="1" ht="18" hidden="1" customHeight="1" outlineLevel="2">
      <c r="A216" s="175">
        <v>67</v>
      </c>
      <c r="B216" s="312" t="str">
        <f>(IF('Inputs Whole-Project Water Use'!B216&lt;&gt;"",'Inputs Whole-Project Water Use'!B216,""))</f>
        <v/>
      </c>
      <c r="C216" s="313" t="str">
        <f>IF(AND(D216&lt;&gt;"",'Inputs Whole-Project Water Use'!C216=""),1,IF('Inputs Whole-Project Water Use'!C216&lt;&gt;"",'Inputs Whole-Project Water Use'!C216,""))</f>
        <v/>
      </c>
      <c r="D216" s="397" t="str">
        <f>IF('Inputs Whole-Project Water Use'!D216&lt;&gt;"",'Inputs Whole-Project Water Use'!D216,"")</f>
        <v/>
      </c>
      <c r="E216" s="398"/>
      <c r="F216" s="314" t="str">
        <f>IF('Inputs Whole-Project Water Use'!F216&lt;&gt;"",'Inputs Whole-Project Water Use'!F216,"")</f>
        <v/>
      </c>
      <c r="G216" s="314" t="str">
        <f>IF('Inputs Whole-Project Water Use'!G216&lt;&gt;"",'Inputs Whole-Project Water Use'!G216,"")</f>
        <v/>
      </c>
      <c r="H216" s="315" t="str">
        <f>IF('Inputs Whole-Project Water Use'!H216&lt;&gt;"",'Inputs Whole-Project Water Use'!H216,"")</f>
        <v/>
      </c>
      <c r="I216" s="390" t="str">
        <f t="shared" si="27"/>
        <v/>
      </c>
      <c r="J216" s="391"/>
      <c r="K216" s="316" t="str">
        <f>IF('Inputs Whole-Project Water Use'!K216&lt;&gt;"",'Inputs Whole-Project Water Use'!K216,"")</f>
        <v/>
      </c>
      <c r="L216" s="316" t="str">
        <f>IF('Inputs Whole-Project Water Use'!L216&lt;&gt;"",'Inputs Whole-Project Water Use'!L216,"")</f>
        <v/>
      </c>
      <c r="M216" s="390" t="str">
        <f t="shared" si="28"/>
        <v/>
      </c>
      <c r="N216" s="391"/>
      <c r="O216" s="225" t="str">
        <f t="shared" si="29"/>
        <v/>
      </c>
      <c r="P216" s="225" t="str">
        <f t="shared" si="30"/>
        <v/>
      </c>
      <c r="Q216" s="289" t="str">
        <f>IF(AND(D216&lt;&gt;"",'Inputs Whole-Project Water Use'!Q216=""),0,IF('Inputs Whole-Project Water Use'!Q216&lt;&gt;"",'Inputs Whole-Project Water Use'!Q216,""))</f>
        <v/>
      </c>
      <c r="R216" s="225" t="str">
        <f t="shared" si="31"/>
        <v/>
      </c>
      <c r="S216" s="225" t="str">
        <f t="shared" si="32"/>
        <v/>
      </c>
      <c r="T216" s="231" t="str">
        <f t="shared" si="33"/>
        <v/>
      </c>
      <c r="U216" s="241"/>
      <c r="V216" s="241"/>
      <c r="W216" s="241"/>
      <c r="X216" s="241"/>
      <c r="Y216" s="241"/>
      <c r="Z216" s="241"/>
      <c r="AA216" s="241"/>
      <c r="AB216" s="241"/>
      <c r="AC216" s="241"/>
      <c r="AD216" s="241"/>
      <c r="AE216" s="241"/>
      <c r="AF216" s="241"/>
      <c r="AG216" s="241"/>
      <c r="AH216" s="241"/>
      <c r="AI216" s="241"/>
      <c r="AJ216" s="241"/>
      <c r="AK216" s="241"/>
      <c r="AL216" s="241"/>
      <c r="AM216" s="241"/>
      <c r="AN216" s="241"/>
      <c r="AO216" s="241"/>
      <c r="AP216" s="241"/>
      <c r="AQ216" s="241"/>
      <c r="AR216" s="241"/>
      <c r="AS216" s="241"/>
      <c r="AT216" s="241"/>
      <c r="AU216" s="241"/>
      <c r="AV216" s="241"/>
      <c r="AW216" s="241"/>
      <c r="AX216" s="241"/>
      <c r="AY216" s="241"/>
      <c r="AZ216" s="241"/>
    </row>
    <row r="217" spans="1:52" s="71" customFormat="1" ht="18" hidden="1" customHeight="1" outlineLevel="2">
      <c r="A217" s="175">
        <v>68</v>
      </c>
      <c r="B217" s="312" t="str">
        <f>(IF('Inputs Whole-Project Water Use'!B217&lt;&gt;"",'Inputs Whole-Project Water Use'!B217,""))</f>
        <v/>
      </c>
      <c r="C217" s="313" t="str">
        <f>IF(AND(D217&lt;&gt;"",'Inputs Whole-Project Water Use'!C217=""),1,IF('Inputs Whole-Project Water Use'!C217&lt;&gt;"",'Inputs Whole-Project Water Use'!C217,""))</f>
        <v/>
      </c>
      <c r="D217" s="397" t="str">
        <f>IF('Inputs Whole-Project Water Use'!D217&lt;&gt;"",'Inputs Whole-Project Water Use'!D217,"")</f>
        <v/>
      </c>
      <c r="E217" s="398"/>
      <c r="F217" s="314" t="str">
        <f>IF('Inputs Whole-Project Water Use'!F217&lt;&gt;"",'Inputs Whole-Project Water Use'!F217,"")</f>
        <v/>
      </c>
      <c r="G217" s="314" t="str">
        <f>IF('Inputs Whole-Project Water Use'!G217&lt;&gt;"",'Inputs Whole-Project Water Use'!G217,"")</f>
        <v/>
      </c>
      <c r="H217" s="315" t="str">
        <f>IF('Inputs Whole-Project Water Use'!H217&lt;&gt;"",'Inputs Whole-Project Water Use'!H217,"")</f>
        <v/>
      </c>
      <c r="I217" s="390" t="str">
        <f t="shared" si="27"/>
        <v/>
      </c>
      <c r="J217" s="391"/>
      <c r="K217" s="316" t="str">
        <f>IF('Inputs Whole-Project Water Use'!K217&lt;&gt;"",'Inputs Whole-Project Water Use'!K217,"")</f>
        <v/>
      </c>
      <c r="L217" s="316" t="str">
        <f>IF('Inputs Whole-Project Water Use'!L217&lt;&gt;"",'Inputs Whole-Project Water Use'!L217,"")</f>
        <v/>
      </c>
      <c r="M217" s="390" t="str">
        <f t="shared" si="28"/>
        <v/>
      </c>
      <c r="N217" s="391"/>
      <c r="O217" s="225" t="str">
        <f t="shared" si="29"/>
        <v/>
      </c>
      <c r="P217" s="225" t="str">
        <f t="shared" si="30"/>
        <v/>
      </c>
      <c r="Q217" s="289" t="str">
        <f>IF(AND(D217&lt;&gt;"",'Inputs Whole-Project Water Use'!Q217=""),0,IF('Inputs Whole-Project Water Use'!Q217&lt;&gt;"",'Inputs Whole-Project Water Use'!Q217,""))</f>
        <v/>
      </c>
      <c r="R217" s="225" t="str">
        <f t="shared" si="31"/>
        <v/>
      </c>
      <c r="S217" s="225" t="str">
        <f t="shared" si="32"/>
        <v/>
      </c>
      <c r="T217" s="231" t="str">
        <f t="shared" si="33"/>
        <v/>
      </c>
      <c r="U217" s="241"/>
      <c r="V217" s="241"/>
      <c r="W217" s="241"/>
      <c r="X217" s="241"/>
      <c r="Y217" s="241"/>
      <c r="Z217" s="241"/>
      <c r="AA217" s="241"/>
      <c r="AB217" s="241"/>
      <c r="AC217" s="241"/>
      <c r="AD217" s="241"/>
      <c r="AE217" s="241"/>
      <c r="AF217" s="241"/>
      <c r="AG217" s="241"/>
      <c r="AH217" s="241"/>
      <c r="AI217" s="241"/>
      <c r="AJ217" s="241"/>
      <c r="AK217" s="241"/>
      <c r="AL217" s="241"/>
      <c r="AM217" s="241"/>
      <c r="AN217" s="241"/>
      <c r="AO217" s="241"/>
      <c r="AP217" s="241"/>
      <c r="AQ217" s="241"/>
      <c r="AR217" s="241"/>
      <c r="AS217" s="241"/>
      <c r="AT217" s="241"/>
      <c r="AU217" s="241"/>
      <c r="AV217" s="241"/>
      <c r="AW217" s="241"/>
      <c r="AX217" s="241"/>
      <c r="AY217" s="241"/>
      <c r="AZ217" s="241"/>
    </row>
    <row r="218" spans="1:52" s="71" customFormat="1" ht="18" hidden="1" customHeight="1" outlineLevel="2">
      <c r="A218" s="175">
        <v>69</v>
      </c>
      <c r="B218" s="312" t="str">
        <f>(IF('Inputs Whole-Project Water Use'!B218&lt;&gt;"",'Inputs Whole-Project Water Use'!B218,""))</f>
        <v/>
      </c>
      <c r="C218" s="313" t="str">
        <f>IF(AND(D218&lt;&gt;"",'Inputs Whole-Project Water Use'!C218=""),1,IF('Inputs Whole-Project Water Use'!C218&lt;&gt;"",'Inputs Whole-Project Water Use'!C218,""))</f>
        <v/>
      </c>
      <c r="D218" s="397" t="str">
        <f>IF('Inputs Whole-Project Water Use'!D218&lt;&gt;"",'Inputs Whole-Project Water Use'!D218,"")</f>
        <v/>
      </c>
      <c r="E218" s="398"/>
      <c r="F218" s="314" t="str">
        <f>IF('Inputs Whole-Project Water Use'!F218&lt;&gt;"",'Inputs Whole-Project Water Use'!F218,"")</f>
        <v/>
      </c>
      <c r="G218" s="314" t="str">
        <f>IF('Inputs Whole-Project Water Use'!G218&lt;&gt;"",'Inputs Whole-Project Water Use'!G218,"")</f>
        <v/>
      </c>
      <c r="H218" s="315" t="str">
        <f>IF('Inputs Whole-Project Water Use'!H218&lt;&gt;"",'Inputs Whole-Project Water Use'!H218,"")</f>
        <v/>
      </c>
      <c r="I218" s="390" t="str">
        <f t="shared" si="27"/>
        <v/>
      </c>
      <c r="J218" s="391"/>
      <c r="K218" s="316" t="str">
        <f>IF('Inputs Whole-Project Water Use'!K218&lt;&gt;"",'Inputs Whole-Project Water Use'!K218,"")</f>
        <v/>
      </c>
      <c r="L218" s="316" t="str">
        <f>IF('Inputs Whole-Project Water Use'!L218&lt;&gt;"",'Inputs Whole-Project Water Use'!L218,"")</f>
        <v/>
      </c>
      <c r="M218" s="390" t="str">
        <f t="shared" si="28"/>
        <v/>
      </c>
      <c r="N218" s="391"/>
      <c r="O218" s="225" t="str">
        <f t="shared" si="29"/>
        <v/>
      </c>
      <c r="P218" s="225" t="str">
        <f t="shared" si="30"/>
        <v/>
      </c>
      <c r="Q218" s="289" t="str">
        <f>IF(AND(D218&lt;&gt;"",'Inputs Whole-Project Water Use'!Q218=""),0,IF('Inputs Whole-Project Water Use'!Q218&lt;&gt;"",'Inputs Whole-Project Water Use'!Q218,""))</f>
        <v/>
      </c>
      <c r="R218" s="225" t="str">
        <f t="shared" si="31"/>
        <v/>
      </c>
      <c r="S218" s="225" t="str">
        <f t="shared" si="32"/>
        <v/>
      </c>
      <c r="T218" s="231" t="str">
        <f t="shared" si="33"/>
        <v/>
      </c>
      <c r="U218" s="241"/>
      <c r="V218" s="241"/>
      <c r="W218" s="241"/>
      <c r="X218" s="241"/>
      <c r="Y218" s="241"/>
      <c r="Z218" s="241"/>
      <c r="AA218" s="241"/>
      <c r="AB218" s="241"/>
      <c r="AC218" s="241"/>
      <c r="AD218" s="241"/>
      <c r="AE218" s="241"/>
      <c r="AF218" s="241"/>
      <c r="AG218" s="241"/>
      <c r="AH218" s="241"/>
      <c r="AI218" s="241"/>
      <c r="AJ218" s="241"/>
      <c r="AK218" s="241"/>
      <c r="AL218" s="241"/>
      <c r="AM218" s="241"/>
      <c r="AN218" s="241"/>
      <c r="AO218" s="241"/>
      <c r="AP218" s="241"/>
      <c r="AQ218" s="241"/>
      <c r="AR218" s="241"/>
      <c r="AS218" s="241"/>
      <c r="AT218" s="241"/>
      <c r="AU218" s="241"/>
      <c r="AV218" s="241"/>
      <c r="AW218" s="241"/>
      <c r="AX218" s="241"/>
      <c r="AY218" s="241"/>
      <c r="AZ218" s="241"/>
    </row>
    <row r="219" spans="1:52" s="71" customFormat="1" ht="18" hidden="1" customHeight="1" outlineLevel="2">
      <c r="A219" s="175">
        <v>70</v>
      </c>
      <c r="B219" s="312" t="str">
        <f>(IF('Inputs Whole-Project Water Use'!B219&lt;&gt;"",'Inputs Whole-Project Water Use'!B219,""))</f>
        <v/>
      </c>
      <c r="C219" s="313" t="str">
        <f>IF(AND(D219&lt;&gt;"",'Inputs Whole-Project Water Use'!C219=""),1,IF('Inputs Whole-Project Water Use'!C219&lt;&gt;"",'Inputs Whole-Project Water Use'!C219,""))</f>
        <v/>
      </c>
      <c r="D219" s="397" t="str">
        <f>IF('Inputs Whole-Project Water Use'!D219&lt;&gt;"",'Inputs Whole-Project Water Use'!D219,"")</f>
        <v/>
      </c>
      <c r="E219" s="398"/>
      <c r="F219" s="314" t="str">
        <f>IF('Inputs Whole-Project Water Use'!F219&lt;&gt;"",'Inputs Whole-Project Water Use'!F219,"")</f>
        <v/>
      </c>
      <c r="G219" s="314" t="str">
        <f>IF('Inputs Whole-Project Water Use'!G219&lt;&gt;"",'Inputs Whole-Project Water Use'!G219,"")</f>
        <v/>
      </c>
      <c r="H219" s="315" t="str">
        <f>IF('Inputs Whole-Project Water Use'!H219&lt;&gt;"",'Inputs Whole-Project Water Use'!H219,"")</f>
        <v/>
      </c>
      <c r="I219" s="390" t="str">
        <f t="shared" si="27"/>
        <v/>
      </c>
      <c r="J219" s="391"/>
      <c r="K219" s="316" t="str">
        <f>IF('Inputs Whole-Project Water Use'!K219&lt;&gt;"",'Inputs Whole-Project Water Use'!K219,"")</f>
        <v/>
      </c>
      <c r="L219" s="316" t="str">
        <f>IF('Inputs Whole-Project Water Use'!L219&lt;&gt;"",'Inputs Whole-Project Water Use'!L219,"")</f>
        <v/>
      </c>
      <c r="M219" s="390" t="str">
        <f t="shared" si="28"/>
        <v/>
      </c>
      <c r="N219" s="391"/>
      <c r="O219" s="225" t="str">
        <f t="shared" si="29"/>
        <v/>
      </c>
      <c r="P219" s="225" t="str">
        <f t="shared" si="30"/>
        <v/>
      </c>
      <c r="Q219" s="289" t="str">
        <f>IF(AND(D219&lt;&gt;"",'Inputs Whole-Project Water Use'!Q219=""),0,IF('Inputs Whole-Project Water Use'!Q219&lt;&gt;"",'Inputs Whole-Project Water Use'!Q219,""))</f>
        <v/>
      </c>
      <c r="R219" s="225" t="str">
        <f t="shared" si="31"/>
        <v/>
      </c>
      <c r="S219" s="225" t="str">
        <f t="shared" si="32"/>
        <v/>
      </c>
      <c r="T219" s="231" t="str">
        <f t="shared" si="33"/>
        <v/>
      </c>
      <c r="U219" s="241"/>
      <c r="V219" s="241"/>
      <c r="W219" s="241"/>
      <c r="X219" s="241"/>
      <c r="Y219" s="241"/>
      <c r="Z219" s="241"/>
      <c r="AA219" s="241"/>
      <c r="AB219" s="241"/>
      <c r="AC219" s="241"/>
      <c r="AD219" s="241"/>
      <c r="AE219" s="241"/>
      <c r="AF219" s="241"/>
      <c r="AG219" s="241"/>
      <c r="AH219" s="241"/>
      <c r="AI219" s="241"/>
      <c r="AJ219" s="241"/>
      <c r="AK219" s="241"/>
      <c r="AL219" s="241"/>
      <c r="AM219" s="241"/>
      <c r="AN219" s="241"/>
      <c r="AO219" s="241"/>
      <c r="AP219" s="241"/>
      <c r="AQ219" s="241"/>
      <c r="AR219" s="241"/>
      <c r="AS219" s="241"/>
      <c r="AT219" s="241"/>
      <c r="AU219" s="241"/>
      <c r="AV219" s="241"/>
      <c r="AW219" s="241"/>
      <c r="AX219" s="241"/>
      <c r="AY219" s="241"/>
      <c r="AZ219" s="241"/>
    </row>
    <row r="220" spans="1:52" s="71" customFormat="1" ht="18" hidden="1" customHeight="1" outlineLevel="1" collapsed="1">
      <c r="A220" s="175">
        <v>71</v>
      </c>
      <c r="B220" s="312" t="str">
        <f>(IF('Inputs Whole-Project Water Use'!B220&lt;&gt;"",'Inputs Whole-Project Water Use'!B220,""))</f>
        <v/>
      </c>
      <c r="C220" s="313" t="str">
        <f>IF(AND(D220&lt;&gt;"",'Inputs Whole-Project Water Use'!C220=""),1,IF('Inputs Whole-Project Water Use'!C220&lt;&gt;"",'Inputs Whole-Project Water Use'!C220,""))</f>
        <v/>
      </c>
      <c r="D220" s="397" t="str">
        <f>IF('Inputs Whole-Project Water Use'!D220&lt;&gt;"",'Inputs Whole-Project Water Use'!D220,"")</f>
        <v/>
      </c>
      <c r="E220" s="398"/>
      <c r="F220" s="314" t="str">
        <f>IF('Inputs Whole-Project Water Use'!F220&lt;&gt;"",'Inputs Whole-Project Water Use'!F220,"")</f>
        <v/>
      </c>
      <c r="G220" s="314" t="str">
        <f>IF('Inputs Whole-Project Water Use'!G220&lt;&gt;"",'Inputs Whole-Project Water Use'!G220,"")</f>
        <v/>
      </c>
      <c r="H220" s="315" t="str">
        <f>IF('Inputs Whole-Project Water Use'!H220&lt;&gt;"",'Inputs Whole-Project Water Use'!H220,"")</f>
        <v/>
      </c>
      <c r="I220" s="390" t="str">
        <f t="shared" si="27"/>
        <v/>
      </c>
      <c r="J220" s="391"/>
      <c r="K220" s="316" t="str">
        <f>IF('Inputs Whole-Project Water Use'!K220&lt;&gt;"",'Inputs Whole-Project Water Use'!K220,"")</f>
        <v/>
      </c>
      <c r="L220" s="316" t="str">
        <f>IF('Inputs Whole-Project Water Use'!L220&lt;&gt;"",'Inputs Whole-Project Water Use'!L220,"")</f>
        <v/>
      </c>
      <c r="M220" s="390" t="str">
        <f t="shared" si="28"/>
        <v/>
      </c>
      <c r="N220" s="391"/>
      <c r="O220" s="225" t="str">
        <f t="shared" si="29"/>
        <v/>
      </c>
      <c r="P220" s="225" t="str">
        <f t="shared" si="30"/>
        <v/>
      </c>
      <c r="Q220" s="289" t="str">
        <f>IF(AND(D220&lt;&gt;"",'Inputs Whole-Project Water Use'!Q220=""),0,IF('Inputs Whole-Project Water Use'!Q220&lt;&gt;"",'Inputs Whole-Project Water Use'!Q220,""))</f>
        <v/>
      </c>
      <c r="R220" s="225" t="str">
        <f t="shared" si="31"/>
        <v/>
      </c>
      <c r="S220" s="225" t="str">
        <f t="shared" si="32"/>
        <v/>
      </c>
      <c r="T220" s="231" t="str">
        <f t="shared" si="33"/>
        <v/>
      </c>
      <c r="U220" s="176" t="s">
        <v>165</v>
      </c>
      <c r="V220" s="241"/>
      <c r="W220" s="241"/>
      <c r="X220" s="241"/>
      <c r="Y220" s="241"/>
      <c r="Z220" s="241"/>
      <c r="AA220" s="241"/>
      <c r="AB220" s="241"/>
      <c r="AC220" s="241"/>
      <c r="AD220" s="241"/>
      <c r="AE220" s="241"/>
      <c r="AF220" s="241"/>
      <c r="AG220" s="241"/>
      <c r="AH220" s="241"/>
      <c r="AI220" s="241"/>
      <c r="AJ220" s="241"/>
      <c r="AK220" s="241"/>
      <c r="AL220" s="241"/>
      <c r="AM220" s="241"/>
      <c r="AN220" s="241"/>
      <c r="AO220" s="241"/>
      <c r="AP220" s="241"/>
      <c r="AQ220" s="241"/>
      <c r="AR220" s="241"/>
      <c r="AS220" s="241"/>
      <c r="AT220" s="241"/>
      <c r="AU220" s="241"/>
      <c r="AV220" s="241"/>
      <c r="AW220" s="241"/>
      <c r="AX220" s="241"/>
      <c r="AY220" s="241"/>
      <c r="AZ220" s="241"/>
    </row>
    <row r="221" spans="1:52" s="71" customFormat="1" ht="18" hidden="1" customHeight="1" outlineLevel="2">
      <c r="A221" s="175">
        <v>72</v>
      </c>
      <c r="B221" s="312" t="str">
        <f>(IF('Inputs Whole-Project Water Use'!B221&lt;&gt;"",'Inputs Whole-Project Water Use'!B221,""))</f>
        <v/>
      </c>
      <c r="C221" s="313" t="str">
        <f>IF(AND(D221&lt;&gt;"",'Inputs Whole-Project Water Use'!C221=""),1,IF('Inputs Whole-Project Water Use'!C221&lt;&gt;"",'Inputs Whole-Project Water Use'!C221,""))</f>
        <v/>
      </c>
      <c r="D221" s="397" t="str">
        <f>IF('Inputs Whole-Project Water Use'!D221&lt;&gt;"",'Inputs Whole-Project Water Use'!D221,"")</f>
        <v/>
      </c>
      <c r="E221" s="398"/>
      <c r="F221" s="314" t="str">
        <f>IF('Inputs Whole-Project Water Use'!F221&lt;&gt;"",'Inputs Whole-Project Water Use'!F221,"")</f>
        <v/>
      </c>
      <c r="G221" s="314" t="str">
        <f>IF('Inputs Whole-Project Water Use'!G221&lt;&gt;"",'Inputs Whole-Project Water Use'!G221,"")</f>
        <v/>
      </c>
      <c r="H221" s="315" t="str">
        <f>IF('Inputs Whole-Project Water Use'!H221&lt;&gt;"",'Inputs Whole-Project Water Use'!H221,"")</f>
        <v/>
      </c>
      <c r="I221" s="390" t="str">
        <f t="shared" si="27"/>
        <v/>
      </c>
      <c r="J221" s="391"/>
      <c r="K221" s="316" t="str">
        <f>IF('Inputs Whole-Project Water Use'!K221&lt;&gt;"",'Inputs Whole-Project Water Use'!K221,"")</f>
        <v/>
      </c>
      <c r="L221" s="316" t="str">
        <f>IF('Inputs Whole-Project Water Use'!L221&lt;&gt;"",'Inputs Whole-Project Water Use'!L221,"")</f>
        <v/>
      </c>
      <c r="M221" s="390" t="str">
        <f t="shared" si="28"/>
        <v/>
      </c>
      <c r="N221" s="391"/>
      <c r="O221" s="225" t="str">
        <f t="shared" si="29"/>
        <v/>
      </c>
      <c r="P221" s="225" t="str">
        <f t="shared" si="30"/>
        <v/>
      </c>
      <c r="Q221" s="289" t="str">
        <f>IF(AND(D221&lt;&gt;"",'Inputs Whole-Project Water Use'!Q221=""),0,IF('Inputs Whole-Project Water Use'!Q221&lt;&gt;"",'Inputs Whole-Project Water Use'!Q221,""))</f>
        <v/>
      </c>
      <c r="R221" s="225" t="str">
        <f t="shared" si="31"/>
        <v/>
      </c>
      <c r="S221" s="225" t="str">
        <f t="shared" si="32"/>
        <v/>
      </c>
      <c r="T221" s="231" t="str">
        <f t="shared" si="33"/>
        <v/>
      </c>
      <c r="U221" s="241"/>
      <c r="V221" s="241"/>
      <c r="W221" s="241"/>
      <c r="X221" s="241"/>
      <c r="Y221" s="241"/>
      <c r="Z221" s="241"/>
      <c r="AA221" s="241"/>
      <c r="AB221" s="241"/>
      <c r="AC221" s="241"/>
      <c r="AD221" s="241"/>
      <c r="AE221" s="241"/>
      <c r="AF221" s="241"/>
      <c r="AG221" s="241"/>
      <c r="AH221" s="241"/>
      <c r="AI221" s="241"/>
      <c r="AJ221" s="241"/>
      <c r="AK221" s="241"/>
      <c r="AL221" s="241"/>
      <c r="AM221" s="241"/>
      <c r="AN221" s="241"/>
      <c r="AO221" s="241"/>
      <c r="AP221" s="241"/>
      <c r="AQ221" s="241"/>
      <c r="AR221" s="241"/>
      <c r="AS221" s="241"/>
      <c r="AT221" s="241"/>
      <c r="AU221" s="241"/>
      <c r="AV221" s="241"/>
      <c r="AW221" s="241"/>
      <c r="AX221" s="241"/>
      <c r="AY221" s="241"/>
      <c r="AZ221" s="241"/>
    </row>
    <row r="222" spans="1:52" s="71" customFormat="1" ht="18" hidden="1" customHeight="1" outlineLevel="2">
      <c r="A222" s="175">
        <v>73</v>
      </c>
      <c r="B222" s="312" t="str">
        <f>(IF('Inputs Whole-Project Water Use'!B222&lt;&gt;"",'Inputs Whole-Project Water Use'!B222,""))</f>
        <v/>
      </c>
      <c r="C222" s="313" t="str">
        <f>IF(AND(D222&lt;&gt;"",'Inputs Whole-Project Water Use'!C222=""),1,IF('Inputs Whole-Project Water Use'!C222&lt;&gt;"",'Inputs Whole-Project Water Use'!C222,""))</f>
        <v/>
      </c>
      <c r="D222" s="397" t="str">
        <f>IF('Inputs Whole-Project Water Use'!D222&lt;&gt;"",'Inputs Whole-Project Water Use'!D222,"")</f>
        <v/>
      </c>
      <c r="E222" s="398"/>
      <c r="F222" s="314" t="str">
        <f>IF('Inputs Whole-Project Water Use'!F222&lt;&gt;"",'Inputs Whole-Project Water Use'!F222,"")</f>
        <v/>
      </c>
      <c r="G222" s="314" t="str">
        <f>IF('Inputs Whole-Project Water Use'!G222&lt;&gt;"",'Inputs Whole-Project Water Use'!G222,"")</f>
        <v/>
      </c>
      <c r="H222" s="315" t="str">
        <f>IF('Inputs Whole-Project Water Use'!H222&lt;&gt;"",'Inputs Whole-Project Water Use'!H222,"")</f>
        <v/>
      </c>
      <c r="I222" s="390" t="str">
        <f t="shared" si="27"/>
        <v/>
      </c>
      <c r="J222" s="391"/>
      <c r="K222" s="316" t="str">
        <f>IF('Inputs Whole-Project Water Use'!K222&lt;&gt;"",'Inputs Whole-Project Water Use'!K222,"")</f>
        <v/>
      </c>
      <c r="L222" s="316" t="str">
        <f>IF('Inputs Whole-Project Water Use'!L222&lt;&gt;"",'Inputs Whole-Project Water Use'!L222,"")</f>
        <v/>
      </c>
      <c r="M222" s="390" t="str">
        <f t="shared" si="28"/>
        <v/>
      </c>
      <c r="N222" s="391"/>
      <c r="O222" s="225" t="str">
        <f t="shared" si="29"/>
        <v/>
      </c>
      <c r="P222" s="225" t="str">
        <f t="shared" si="30"/>
        <v/>
      </c>
      <c r="Q222" s="289" t="str">
        <f>IF(AND(D222&lt;&gt;"",'Inputs Whole-Project Water Use'!Q222=""),0,IF('Inputs Whole-Project Water Use'!Q222&lt;&gt;"",'Inputs Whole-Project Water Use'!Q222,""))</f>
        <v/>
      </c>
      <c r="R222" s="225" t="str">
        <f t="shared" si="31"/>
        <v/>
      </c>
      <c r="S222" s="225" t="str">
        <f t="shared" si="32"/>
        <v/>
      </c>
      <c r="T222" s="231" t="str">
        <f t="shared" si="33"/>
        <v/>
      </c>
      <c r="U222" s="241"/>
      <c r="V222" s="241"/>
      <c r="W222" s="241"/>
      <c r="X222" s="241"/>
      <c r="Y222" s="241"/>
      <c r="Z222" s="241"/>
      <c r="AA222" s="241"/>
      <c r="AB222" s="241"/>
      <c r="AC222" s="241"/>
      <c r="AD222" s="241"/>
      <c r="AE222" s="241"/>
      <c r="AF222" s="241"/>
      <c r="AG222" s="241"/>
      <c r="AH222" s="241"/>
      <c r="AI222" s="241"/>
      <c r="AJ222" s="241"/>
      <c r="AK222" s="241"/>
      <c r="AL222" s="241"/>
      <c r="AM222" s="241"/>
      <c r="AN222" s="241"/>
      <c r="AO222" s="241"/>
      <c r="AP222" s="241"/>
      <c r="AQ222" s="241"/>
      <c r="AR222" s="241"/>
      <c r="AS222" s="241"/>
      <c r="AT222" s="241"/>
      <c r="AU222" s="241"/>
      <c r="AV222" s="241"/>
      <c r="AW222" s="241"/>
      <c r="AX222" s="241"/>
      <c r="AY222" s="241"/>
      <c r="AZ222" s="241"/>
    </row>
    <row r="223" spans="1:52" s="71" customFormat="1" ht="18" hidden="1" customHeight="1" outlineLevel="2">
      <c r="A223" s="175">
        <v>74</v>
      </c>
      <c r="B223" s="312" t="str">
        <f>(IF('Inputs Whole-Project Water Use'!B223&lt;&gt;"",'Inputs Whole-Project Water Use'!B223,""))</f>
        <v/>
      </c>
      <c r="C223" s="313" t="str">
        <f>IF(AND(D223&lt;&gt;"",'Inputs Whole-Project Water Use'!C223=""),1,IF('Inputs Whole-Project Water Use'!C223&lt;&gt;"",'Inputs Whole-Project Water Use'!C223,""))</f>
        <v/>
      </c>
      <c r="D223" s="397" t="str">
        <f>IF('Inputs Whole-Project Water Use'!D223&lt;&gt;"",'Inputs Whole-Project Water Use'!D223,"")</f>
        <v/>
      </c>
      <c r="E223" s="398"/>
      <c r="F223" s="314" t="str">
        <f>IF('Inputs Whole-Project Water Use'!F223&lt;&gt;"",'Inputs Whole-Project Water Use'!F223,"")</f>
        <v/>
      </c>
      <c r="G223" s="314" t="str">
        <f>IF('Inputs Whole-Project Water Use'!G223&lt;&gt;"",'Inputs Whole-Project Water Use'!G223,"")</f>
        <v/>
      </c>
      <c r="H223" s="315" t="str">
        <f>IF('Inputs Whole-Project Water Use'!H223&lt;&gt;"",'Inputs Whole-Project Water Use'!H223,"")</f>
        <v/>
      </c>
      <c r="I223" s="390" t="str">
        <f t="shared" si="27"/>
        <v/>
      </c>
      <c r="J223" s="391"/>
      <c r="K223" s="316" t="str">
        <f>IF('Inputs Whole-Project Water Use'!K223&lt;&gt;"",'Inputs Whole-Project Water Use'!K223,"")</f>
        <v/>
      </c>
      <c r="L223" s="316" t="str">
        <f>IF('Inputs Whole-Project Water Use'!L223&lt;&gt;"",'Inputs Whole-Project Water Use'!L223,"")</f>
        <v/>
      </c>
      <c r="M223" s="390" t="str">
        <f t="shared" si="28"/>
        <v/>
      </c>
      <c r="N223" s="391"/>
      <c r="O223" s="225" t="str">
        <f t="shared" si="29"/>
        <v/>
      </c>
      <c r="P223" s="225" t="str">
        <f t="shared" si="30"/>
        <v/>
      </c>
      <c r="Q223" s="289" t="str">
        <f>IF(AND(D223&lt;&gt;"",'Inputs Whole-Project Water Use'!Q223=""),0,IF('Inputs Whole-Project Water Use'!Q223&lt;&gt;"",'Inputs Whole-Project Water Use'!Q223,""))</f>
        <v/>
      </c>
      <c r="R223" s="225" t="str">
        <f t="shared" si="31"/>
        <v/>
      </c>
      <c r="S223" s="225" t="str">
        <f t="shared" si="32"/>
        <v/>
      </c>
      <c r="T223" s="231" t="str">
        <f t="shared" si="33"/>
        <v/>
      </c>
      <c r="U223" s="241"/>
      <c r="V223" s="241"/>
      <c r="W223" s="241"/>
      <c r="X223" s="241"/>
      <c r="Y223" s="241"/>
      <c r="Z223" s="241"/>
      <c r="AA223" s="241"/>
      <c r="AB223" s="241"/>
      <c r="AC223" s="241"/>
      <c r="AD223" s="241"/>
      <c r="AE223" s="241"/>
      <c r="AF223" s="241"/>
      <c r="AG223" s="241"/>
      <c r="AH223" s="241"/>
      <c r="AI223" s="241"/>
      <c r="AJ223" s="241"/>
      <c r="AK223" s="241"/>
      <c r="AL223" s="241"/>
      <c r="AM223" s="241"/>
      <c r="AN223" s="241"/>
      <c r="AO223" s="241"/>
      <c r="AP223" s="241"/>
      <c r="AQ223" s="241"/>
      <c r="AR223" s="241"/>
      <c r="AS223" s="241"/>
      <c r="AT223" s="241"/>
      <c r="AU223" s="241"/>
      <c r="AV223" s="241"/>
      <c r="AW223" s="241"/>
      <c r="AX223" s="241"/>
      <c r="AY223" s="241"/>
      <c r="AZ223" s="241"/>
    </row>
    <row r="224" spans="1:52" s="71" customFormat="1" ht="18" hidden="1" customHeight="1" outlineLevel="2">
      <c r="A224" s="175">
        <v>75</v>
      </c>
      <c r="B224" s="312" t="str">
        <f>(IF('Inputs Whole-Project Water Use'!B224&lt;&gt;"",'Inputs Whole-Project Water Use'!B224,""))</f>
        <v/>
      </c>
      <c r="C224" s="313" t="str">
        <f>IF(AND(D224&lt;&gt;"",'Inputs Whole-Project Water Use'!C224=""),1,IF('Inputs Whole-Project Water Use'!C224&lt;&gt;"",'Inputs Whole-Project Water Use'!C224,""))</f>
        <v/>
      </c>
      <c r="D224" s="397" t="str">
        <f>IF('Inputs Whole-Project Water Use'!D224&lt;&gt;"",'Inputs Whole-Project Water Use'!D224,"")</f>
        <v/>
      </c>
      <c r="E224" s="398"/>
      <c r="F224" s="314" t="str">
        <f>IF('Inputs Whole-Project Water Use'!F224&lt;&gt;"",'Inputs Whole-Project Water Use'!F224,"")</f>
        <v/>
      </c>
      <c r="G224" s="314" t="str">
        <f>IF('Inputs Whole-Project Water Use'!G224&lt;&gt;"",'Inputs Whole-Project Water Use'!G224,"")</f>
        <v/>
      </c>
      <c r="H224" s="315" t="str">
        <f>IF('Inputs Whole-Project Water Use'!H224&lt;&gt;"",'Inputs Whole-Project Water Use'!H224,"")</f>
        <v/>
      </c>
      <c r="I224" s="390" t="str">
        <f t="shared" si="27"/>
        <v/>
      </c>
      <c r="J224" s="391"/>
      <c r="K224" s="316" t="str">
        <f>IF('Inputs Whole-Project Water Use'!K224&lt;&gt;"",'Inputs Whole-Project Water Use'!K224,"")</f>
        <v/>
      </c>
      <c r="L224" s="316" t="str">
        <f>IF('Inputs Whole-Project Water Use'!L224&lt;&gt;"",'Inputs Whole-Project Water Use'!L224,"")</f>
        <v/>
      </c>
      <c r="M224" s="390" t="str">
        <f t="shared" si="28"/>
        <v/>
      </c>
      <c r="N224" s="391"/>
      <c r="O224" s="225" t="str">
        <f t="shared" si="29"/>
        <v/>
      </c>
      <c r="P224" s="225" t="str">
        <f t="shared" si="30"/>
        <v/>
      </c>
      <c r="Q224" s="289" t="str">
        <f>IF(AND(D224&lt;&gt;"",'Inputs Whole-Project Water Use'!Q224=""),0,IF('Inputs Whole-Project Water Use'!Q224&lt;&gt;"",'Inputs Whole-Project Water Use'!Q224,""))</f>
        <v/>
      </c>
      <c r="R224" s="225" t="str">
        <f t="shared" si="31"/>
        <v/>
      </c>
      <c r="S224" s="225" t="str">
        <f t="shared" si="32"/>
        <v/>
      </c>
      <c r="T224" s="231" t="str">
        <f t="shared" si="33"/>
        <v/>
      </c>
      <c r="U224" s="241"/>
      <c r="V224" s="241"/>
      <c r="W224" s="241"/>
      <c r="X224" s="241"/>
      <c r="Y224" s="241"/>
      <c r="Z224" s="241"/>
      <c r="AA224" s="241"/>
      <c r="AB224" s="241"/>
      <c r="AC224" s="241"/>
      <c r="AD224" s="241"/>
      <c r="AE224" s="241"/>
      <c r="AF224" s="241"/>
      <c r="AG224" s="241"/>
      <c r="AH224" s="241"/>
      <c r="AI224" s="241"/>
      <c r="AJ224" s="241"/>
      <c r="AK224" s="241"/>
      <c r="AL224" s="241"/>
      <c r="AM224" s="241"/>
      <c r="AN224" s="241"/>
      <c r="AO224" s="241"/>
      <c r="AP224" s="241"/>
      <c r="AQ224" s="241"/>
      <c r="AR224" s="241"/>
      <c r="AS224" s="241"/>
      <c r="AT224" s="241"/>
      <c r="AU224" s="241"/>
      <c r="AV224" s="241"/>
      <c r="AW224" s="241"/>
      <c r="AX224" s="241"/>
      <c r="AY224" s="241"/>
      <c r="AZ224" s="241"/>
    </row>
    <row r="225" spans="1:52" s="71" customFormat="1" ht="18" hidden="1" customHeight="1" outlineLevel="2">
      <c r="A225" s="175">
        <v>76</v>
      </c>
      <c r="B225" s="312" t="str">
        <f>(IF('Inputs Whole-Project Water Use'!B225&lt;&gt;"",'Inputs Whole-Project Water Use'!B225,""))</f>
        <v/>
      </c>
      <c r="C225" s="313" t="str">
        <f>IF(AND(D225&lt;&gt;"",'Inputs Whole-Project Water Use'!C225=""),1,IF('Inputs Whole-Project Water Use'!C225&lt;&gt;"",'Inputs Whole-Project Water Use'!C225,""))</f>
        <v/>
      </c>
      <c r="D225" s="397" t="str">
        <f>IF('Inputs Whole-Project Water Use'!D225&lt;&gt;"",'Inputs Whole-Project Water Use'!D225,"")</f>
        <v/>
      </c>
      <c r="E225" s="398"/>
      <c r="F225" s="314" t="str">
        <f>IF('Inputs Whole-Project Water Use'!F225&lt;&gt;"",'Inputs Whole-Project Water Use'!F225,"")</f>
        <v/>
      </c>
      <c r="G225" s="314" t="str">
        <f>IF('Inputs Whole-Project Water Use'!G225&lt;&gt;"",'Inputs Whole-Project Water Use'!G225,"")</f>
        <v/>
      </c>
      <c r="H225" s="315" t="str">
        <f>IF('Inputs Whole-Project Water Use'!H225&lt;&gt;"",'Inputs Whole-Project Water Use'!H225,"")</f>
        <v/>
      </c>
      <c r="I225" s="390" t="str">
        <f t="shared" si="27"/>
        <v/>
      </c>
      <c r="J225" s="391"/>
      <c r="K225" s="316" t="str">
        <f>IF('Inputs Whole-Project Water Use'!K225&lt;&gt;"",'Inputs Whole-Project Water Use'!K225,"")</f>
        <v/>
      </c>
      <c r="L225" s="316" t="str">
        <f>IF('Inputs Whole-Project Water Use'!L225&lt;&gt;"",'Inputs Whole-Project Water Use'!L225,"")</f>
        <v/>
      </c>
      <c r="M225" s="390" t="str">
        <f t="shared" si="28"/>
        <v/>
      </c>
      <c r="N225" s="391"/>
      <c r="O225" s="225" t="str">
        <f t="shared" si="29"/>
        <v/>
      </c>
      <c r="P225" s="225" t="str">
        <f t="shared" si="30"/>
        <v/>
      </c>
      <c r="Q225" s="289" t="str">
        <f>IF(AND(D225&lt;&gt;"",'Inputs Whole-Project Water Use'!Q225=""),0,IF('Inputs Whole-Project Water Use'!Q225&lt;&gt;"",'Inputs Whole-Project Water Use'!Q225,""))</f>
        <v/>
      </c>
      <c r="R225" s="225" t="str">
        <f t="shared" si="31"/>
        <v/>
      </c>
      <c r="S225" s="225" t="str">
        <f t="shared" si="32"/>
        <v/>
      </c>
      <c r="T225" s="231" t="str">
        <f t="shared" si="33"/>
        <v/>
      </c>
      <c r="U225" s="241"/>
      <c r="V225" s="241"/>
      <c r="W225" s="241"/>
      <c r="X225" s="241"/>
      <c r="Y225" s="241"/>
      <c r="Z225" s="241"/>
      <c r="AA225" s="241"/>
      <c r="AB225" s="241"/>
      <c r="AC225" s="241"/>
      <c r="AD225" s="241"/>
      <c r="AE225" s="241"/>
      <c r="AF225" s="241"/>
      <c r="AG225" s="241"/>
      <c r="AH225" s="241"/>
      <c r="AI225" s="241"/>
      <c r="AJ225" s="241"/>
      <c r="AK225" s="241"/>
      <c r="AL225" s="241"/>
      <c r="AM225" s="241"/>
      <c r="AN225" s="241"/>
      <c r="AO225" s="241"/>
      <c r="AP225" s="241"/>
      <c r="AQ225" s="241"/>
      <c r="AR225" s="241"/>
      <c r="AS225" s="241"/>
      <c r="AT225" s="241"/>
      <c r="AU225" s="241"/>
      <c r="AV225" s="241"/>
      <c r="AW225" s="241"/>
      <c r="AX225" s="241"/>
      <c r="AY225" s="241"/>
      <c r="AZ225" s="241"/>
    </row>
    <row r="226" spans="1:52" s="71" customFormat="1" ht="18" hidden="1" customHeight="1" outlineLevel="2">
      <c r="A226" s="175">
        <v>77</v>
      </c>
      <c r="B226" s="312" t="str">
        <f>(IF('Inputs Whole-Project Water Use'!B226&lt;&gt;"",'Inputs Whole-Project Water Use'!B226,""))</f>
        <v/>
      </c>
      <c r="C226" s="313" t="str">
        <f>IF(AND(D226&lt;&gt;"",'Inputs Whole-Project Water Use'!C226=""),1,IF('Inputs Whole-Project Water Use'!C226&lt;&gt;"",'Inputs Whole-Project Water Use'!C226,""))</f>
        <v/>
      </c>
      <c r="D226" s="397" t="str">
        <f>IF('Inputs Whole-Project Water Use'!D226&lt;&gt;"",'Inputs Whole-Project Water Use'!D226,"")</f>
        <v/>
      </c>
      <c r="E226" s="398"/>
      <c r="F226" s="314" t="str">
        <f>IF('Inputs Whole-Project Water Use'!F226&lt;&gt;"",'Inputs Whole-Project Water Use'!F226,"")</f>
        <v/>
      </c>
      <c r="G226" s="314" t="str">
        <f>IF('Inputs Whole-Project Water Use'!G226&lt;&gt;"",'Inputs Whole-Project Water Use'!G226,"")</f>
        <v/>
      </c>
      <c r="H226" s="315" t="str">
        <f>IF('Inputs Whole-Project Water Use'!H226&lt;&gt;"",'Inputs Whole-Project Water Use'!H226,"")</f>
        <v/>
      </c>
      <c r="I226" s="390" t="str">
        <f t="shared" si="27"/>
        <v/>
      </c>
      <c r="J226" s="391"/>
      <c r="K226" s="316" t="str">
        <f>IF('Inputs Whole-Project Water Use'!K226&lt;&gt;"",'Inputs Whole-Project Water Use'!K226,"")</f>
        <v/>
      </c>
      <c r="L226" s="316" t="str">
        <f>IF('Inputs Whole-Project Water Use'!L226&lt;&gt;"",'Inputs Whole-Project Water Use'!L226,"")</f>
        <v/>
      </c>
      <c r="M226" s="390" t="str">
        <f t="shared" si="28"/>
        <v/>
      </c>
      <c r="N226" s="391"/>
      <c r="O226" s="225" t="str">
        <f t="shared" si="29"/>
        <v/>
      </c>
      <c r="P226" s="225" t="str">
        <f t="shared" si="30"/>
        <v/>
      </c>
      <c r="Q226" s="289" t="str">
        <f>IF(AND(D226&lt;&gt;"",'Inputs Whole-Project Water Use'!Q226=""),0,IF('Inputs Whole-Project Water Use'!Q226&lt;&gt;"",'Inputs Whole-Project Water Use'!Q226,""))</f>
        <v/>
      </c>
      <c r="R226" s="225" t="str">
        <f t="shared" si="31"/>
        <v/>
      </c>
      <c r="S226" s="225" t="str">
        <f t="shared" si="32"/>
        <v/>
      </c>
      <c r="T226" s="231" t="str">
        <f t="shared" si="33"/>
        <v/>
      </c>
      <c r="U226" s="241"/>
      <c r="V226" s="241"/>
      <c r="W226" s="241"/>
      <c r="X226" s="241"/>
      <c r="Y226" s="241"/>
      <c r="Z226" s="241"/>
      <c r="AA226" s="241"/>
      <c r="AB226" s="241"/>
      <c r="AC226" s="241"/>
      <c r="AD226" s="241"/>
      <c r="AE226" s="241"/>
      <c r="AF226" s="241"/>
      <c r="AG226" s="241"/>
      <c r="AH226" s="241"/>
      <c r="AI226" s="241"/>
      <c r="AJ226" s="241"/>
      <c r="AK226" s="241"/>
      <c r="AL226" s="241"/>
      <c r="AM226" s="241"/>
      <c r="AN226" s="241"/>
      <c r="AO226" s="241"/>
      <c r="AP226" s="241"/>
      <c r="AQ226" s="241"/>
      <c r="AR226" s="241"/>
      <c r="AS226" s="241"/>
      <c r="AT226" s="241"/>
      <c r="AU226" s="241"/>
      <c r="AV226" s="241"/>
      <c r="AW226" s="241"/>
      <c r="AX226" s="241"/>
      <c r="AY226" s="241"/>
      <c r="AZ226" s="241"/>
    </row>
    <row r="227" spans="1:52" s="71" customFormat="1" ht="18" hidden="1" customHeight="1" outlineLevel="2">
      <c r="A227" s="175">
        <v>78</v>
      </c>
      <c r="B227" s="312" t="str">
        <f>(IF('Inputs Whole-Project Water Use'!B227&lt;&gt;"",'Inputs Whole-Project Water Use'!B227,""))</f>
        <v/>
      </c>
      <c r="C227" s="313" t="str">
        <f>IF(AND(D227&lt;&gt;"",'Inputs Whole-Project Water Use'!C227=""),1,IF('Inputs Whole-Project Water Use'!C227&lt;&gt;"",'Inputs Whole-Project Water Use'!C227,""))</f>
        <v/>
      </c>
      <c r="D227" s="397" t="str">
        <f>IF('Inputs Whole-Project Water Use'!D227&lt;&gt;"",'Inputs Whole-Project Water Use'!D227,"")</f>
        <v/>
      </c>
      <c r="E227" s="398"/>
      <c r="F227" s="314" t="str">
        <f>IF('Inputs Whole-Project Water Use'!F227&lt;&gt;"",'Inputs Whole-Project Water Use'!F227,"")</f>
        <v/>
      </c>
      <c r="G227" s="314" t="str">
        <f>IF('Inputs Whole-Project Water Use'!G227&lt;&gt;"",'Inputs Whole-Project Water Use'!G227,"")</f>
        <v/>
      </c>
      <c r="H227" s="315" t="str">
        <f>IF('Inputs Whole-Project Water Use'!H227&lt;&gt;"",'Inputs Whole-Project Water Use'!H227,"")</f>
        <v/>
      </c>
      <c r="I227" s="390" t="str">
        <f t="shared" si="27"/>
        <v/>
      </c>
      <c r="J227" s="391"/>
      <c r="K227" s="316" t="str">
        <f>IF('Inputs Whole-Project Water Use'!K227&lt;&gt;"",'Inputs Whole-Project Water Use'!K227,"")</f>
        <v/>
      </c>
      <c r="L227" s="316" t="str">
        <f>IF('Inputs Whole-Project Water Use'!L227&lt;&gt;"",'Inputs Whole-Project Water Use'!L227,"")</f>
        <v/>
      </c>
      <c r="M227" s="390" t="str">
        <f t="shared" si="28"/>
        <v/>
      </c>
      <c r="N227" s="391"/>
      <c r="O227" s="225" t="str">
        <f t="shared" si="29"/>
        <v/>
      </c>
      <c r="P227" s="225" t="str">
        <f t="shared" si="30"/>
        <v/>
      </c>
      <c r="Q227" s="289" t="str">
        <f>IF(AND(D227&lt;&gt;"",'Inputs Whole-Project Water Use'!Q227=""),0,IF('Inputs Whole-Project Water Use'!Q227&lt;&gt;"",'Inputs Whole-Project Water Use'!Q227,""))</f>
        <v/>
      </c>
      <c r="R227" s="225" t="str">
        <f t="shared" si="31"/>
        <v/>
      </c>
      <c r="S227" s="225" t="str">
        <f t="shared" si="32"/>
        <v/>
      </c>
      <c r="T227" s="231" t="str">
        <f t="shared" si="33"/>
        <v/>
      </c>
      <c r="U227" s="241"/>
      <c r="V227" s="241"/>
      <c r="W227" s="241"/>
      <c r="X227" s="241"/>
      <c r="Y227" s="241"/>
      <c r="Z227" s="241"/>
      <c r="AA227" s="241"/>
      <c r="AB227" s="241"/>
      <c r="AC227" s="241"/>
      <c r="AD227" s="241"/>
      <c r="AE227" s="241"/>
      <c r="AF227" s="241"/>
      <c r="AG227" s="241"/>
      <c r="AH227" s="241"/>
      <c r="AI227" s="241"/>
      <c r="AJ227" s="241"/>
      <c r="AK227" s="241"/>
      <c r="AL227" s="241"/>
      <c r="AM227" s="241"/>
      <c r="AN227" s="241"/>
      <c r="AO227" s="241"/>
      <c r="AP227" s="241"/>
      <c r="AQ227" s="241"/>
      <c r="AR227" s="241"/>
      <c r="AS227" s="241"/>
      <c r="AT227" s="241"/>
      <c r="AU227" s="241"/>
      <c r="AV227" s="241"/>
      <c r="AW227" s="241"/>
      <c r="AX227" s="241"/>
      <c r="AY227" s="241"/>
      <c r="AZ227" s="241"/>
    </row>
    <row r="228" spans="1:52" s="71" customFormat="1" ht="18" hidden="1" customHeight="1" outlineLevel="2">
      <c r="A228" s="175">
        <v>79</v>
      </c>
      <c r="B228" s="312" t="str">
        <f>(IF('Inputs Whole-Project Water Use'!B228&lt;&gt;"",'Inputs Whole-Project Water Use'!B228,""))</f>
        <v/>
      </c>
      <c r="C228" s="313" t="str">
        <f>IF(AND(D228&lt;&gt;"",'Inputs Whole-Project Water Use'!C228=""),1,IF('Inputs Whole-Project Water Use'!C228&lt;&gt;"",'Inputs Whole-Project Water Use'!C228,""))</f>
        <v/>
      </c>
      <c r="D228" s="397" t="str">
        <f>IF('Inputs Whole-Project Water Use'!D228&lt;&gt;"",'Inputs Whole-Project Water Use'!D228,"")</f>
        <v/>
      </c>
      <c r="E228" s="398"/>
      <c r="F228" s="314" t="str">
        <f>IF('Inputs Whole-Project Water Use'!F228&lt;&gt;"",'Inputs Whole-Project Water Use'!F228,"")</f>
        <v/>
      </c>
      <c r="G228" s="314" t="str">
        <f>IF('Inputs Whole-Project Water Use'!G228&lt;&gt;"",'Inputs Whole-Project Water Use'!G228,"")</f>
        <v/>
      </c>
      <c r="H228" s="315" t="str">
        <f>IF('Inputs Whole-Project Water Use'!H228&lt;&gt;"",'Inputs Whole-Project Water Use'!H228,"")</f>
        <v/>
      </c>
      <c r="I228" s="390" t="str">
        <f t="shared" si="27"/>
        <v/>
      </c>
      <c r="J228" s="391"/>
      <c r="K228" s="316" t="str">
        <f>IF('Inputs Whole-Project Water Use'!K228&lt;&gt;"",'Inputs Whole-Project Water Use'!K228,"")</f>
        <v/>
      </c>
      <c r="L228" s="316" t="str">
        <f>IF('Inputs Whole-Project Water Use'!L228&lt;&gt;"",'Inputs Whole-Project Water Use'!L228,"")</f>
        <v/>
      </c>
      <c r="M228" s="390" t="str">
        <f t="shared" si="28"/>
        <v/>
      </c>
      <c r="N228" s="391"/>
      <c r="O228" s="225" t="str">
        <f t="shared" si="29"/>
        <v/>
      </c>
      <c r="P228" s="225" t="str">
        <f t="shared" si="30"/>
        <v/>
      </c>
      <c r="Q228" s="289" t="str">
        <f>IF(AND(D228&lt;&gt;"",'Inputs Whole-Project Water Use'!Q228=""),0,IF('Inputs Whole-Project Water Use'!Q228&lt;&gt;"",'Inputs Whole-Project Water Use'!Q228,""))</f>
        <v/>
      </c>
      <c r="R228" s="225" t="str">
        <f t="shared" si="31"/>
        <v/>
      </c>
      <c r="S228" s="225" t="str">
        <f t="shared" si="32"/>
        <v/>
      </c>
      <c r="T228" s="231" t="str">
        <f t="shared" si="33"/>
        <v/>
      </c>
      <c r="U228" s="241"/>
      <c r="V228" s="241"/>
      <c r="W228" s="241"/>
      <c r="X228" s="241"/>
      <c r="Y228" s="241"/>
      <c r="Z228" s="241"/>
      <c r="AA228" s="241"/>
      <c r="AB228" s="241"/>
      <c r="AC228" s="241"/>
      <c r="AD228" s="241"/>
      <c r="AE228" s="241"/>
      <c r="AF228" s="241"/>
      <c r="AG228" s="241"/>
      <c r="AH228" s="241"/>
      <c r="AI228" s="241"/>
      <c r="AJ228" s="241"/>
      <c r="AK228" s="241"/>
      <c r="AL228" s="241"/>
      <c r="AM228" s="241"/>
      <c r="AN228" s="241"/>
      <c r="AO228" s="241"/>
      <c r="AP228" s="241"/>
      <c r="AQ228" s="241"/>
      <c r="AR228" s="241"/>
      <c r="AS228" s="241"/>
      <c r="AT228" s="241"/>
      <c r="AU228" s="241"/>
      <c r="AV228" s="241"/>
      <c r="AW228" s="241"/>
      <c r="AX228" s="241"/>
      <c r="AY228" s="241"/>
      <c r="AZ228" s="241"/>
    </row>
    <row r="229" spans="1:52" s="71" customFormat="1" ht="18" hidden="1" customHeight="1" outlineLevel="2">
      <c r="A229" s="175">
        <v>80</v>
      </c>
      <c r="B229" s="312" t="str">
        <f>(IF('Inputs Whole-Project Water Use'!B229&lt;&gt;"",'Inputs Whole-Project Water Use'!B229,""))</f>
        <v/>
      </c>
      <c r="C229" s="313" t="str">
        <f>IF(AND(D229&lt;&gt;"",'Inputs Whole-Project Water Use'!C229=""),1,IF('Inputs Whole-Project Water Use'!C229&lt;&gt;"",'Inputs Whole-Project Water Use'!C229,""))</f>
        <v/>
      </c>
      <c r="D229" s="397" t="str">
        <f>IF('Inputs Whole-Project Water Use'!D229&lt;&gt;"",'Inputs Whole-Project Water Use'!D229,"")</f>
        <v/>
      </c>
      <c r="E229" s="398"/>
      <c r="F229" s="314" t="str">
        <f>IF('Inputs Whole-Project Water Use'!F229&lt;&gt;"",'Inputs Whole-Project Water Use'!F229,"")</f>
        <v/>
      </c>
      <c r="G229" s="314" t="str">
        <f>IF('Inputs Whole-Project Water Use'!G229&lt;&gt;"",'Inputs Whole-Project Water Use'!G229,"")</f>
        <v/>
      </c>
      <c r="H229" s="315" t="str">
        <f>IF('Inputs Whole-Project Water Use'!H229&lt;&gt;"",'Inputs Whole-Project Water Use'!H229,"")</f>
        <v/>
      </c>
      <c r="I229" s="390" t="str">
        <f t="shared" si="27"/>
        <v/>
      </c>
      <c r="J229" s="391"/>
      <c r="K229" s="316" t="str">
        <f>IF('Inputs Whole-Project Water Use'!K229&lt;&gt;"",'Inputs Whole-Project Water Use'!K229,"")</f>
        <v/>
      </c>
      <c r="L229" s="316" t="str">
        <f>IF('Inputs Whole-Project Water Use'!L229&lt;&gt;"",'Inputs Whole-Project Water Use'!L229,"")</f>
        <v/>
      </c>
      <c r="M229" s="390" t="str">
        <f t="shared" si="28"/>
        <v/>
      </c>
      <c r="N229" s="391"/>
      <c r="O229" s="225" t="str">
        <f t="shared" si="29"/>
        <v/>
      </c>
      <c r="P229" s="225" t="str">
        <f t="shared" si="30"/>
        <v/>
      </c>
      <c r="Q229" s="289" t="str">
        <f>IF(AND(D229&lt;&gt;"",'Inputs Whole-Project Water Use'!Q229=""),0,IF('Inputs Whole-Project Water Use'!Q229&lt;&gt;"",'Inputs Whole-Project Water Use'!Q229,""))</f>
        <v/>
      </c>
      <c r="R229" s="225" t="str">
        <f t="shared" si="31"/>
        <v/>
      </c>
      <c r="S229" s="225" t="str">
        <f t="shared" si="32"/>
        <v/>
      </c>
      <c r="T229" s="231" t="str">
        <f t="shared" si="33"/>
        <v/>
      </c>
      <c r="U229" s="241"/>
      <c r="V229" s="241"/>
      <c r="W229" s="241"/>
      <c r="X229" s="241"/>
      <c r="Y229" s="241"/>
      <c r="Z229" s="241"/>
      <c r="AA229" s="241"/>
      <c r="AB229" s="241"/>
      <c r="AC229" s="241"/>
      <c r="AD229" s="241"/>
      <c r="AE229" s="241"/>
      <c r="AF229" s="241"/>
      <c r="AG229" s="241"/>
      <c r="AH229" s="241"/>
      <c r="AI229" s="241"/>
      <c r="AJ229" s="241"/>
      <c r="AK229" s="241"/>
      <c r="AL229" s="241"/>
      <c r="AM229" s="241"/>
      <c r="AN229" s="241"/>
      <c r="AO229" s="241"/>
      <c r="AP229" s="241"/>
      <c r="AQ229" s="241"/>
      <c r="AR229" s="241"/>
      <c r="AS229" s="241"/>
      <c r="AT229" s="241"/>
      <c r="AU229" s="241"/>
      <c r="AV229" s="241"/>
      <c r="AW229" s="241"/>
      <c r="AX229" s="241"/>
      <c r="AY229" s="241"/>
      <c r="AZ229" s="241"/>
    </row>
    <row r="230" spans="1:52" s="71" customFormat="1" ht="18" hidden="1" customHeight="1" outlineLevel="2">
      <c r="A230" s="175">
        <v>81</v>
      </c>
      <c r="B230" s="312" t="str">
        <f>(IF('Inputs Whole-Project Water Use'!B230&lt;&gt;"",'Inputs Whole-Project Water Use'!B230,""))</f>
        <v/>
      </c>
      <c r="C230" s="313" t="str">
        <f>IF(AND(D230&lt;&gt;"",'Inputs Whole-Project Water Use'!C230=""),1,IF('Inputs Whole-Project Water Use'!C230&lt;&gt;"",'Inputs Whole-Project Water Use'!C230,""))</f>
        <v/>
      </c>
      <c r="D230" s="397" t="str">
        <f>IF('Inputs Whole-Project Water Use'!D230&lt;&gt;"",'Inputs Whole-Project Water Use'!D230,"")</f>
        <v/>
      </c>
      <c r="E230" s="398"/>
      <c r="F230" s="314" t="str">
        <f>IF('Inputs Whole-Project Water Use'!F230&lt;&gt;"",'Inputs Whole-Project Water Use'!F230,"")</f>
        <v/>
      </c>
      <c r="G230" s="314" t="str">
        <f>IF('Inputs Whole-Project Water Use'!G230&lt;&gt;"",'Inputs Whole-Project Water Use'!G230,"")</f>
        <v/>
      </c>
      <c r="H230" s="315" t="str">
        <f>IF('Inputs Whole-Project Water Use'!H230&lt;&gt;"",'Inputs Whole-Project Water Use'!H230,"")</f>
        <v/>
      </c>
      <c r="I230" s="390" t="str">
        <f t="shared" si="27"/>
        <v/>
      </c>
      <c r="J230" s="391"/>
      <c r="K230" s="316" t="str">
        <f>IF('Inputs Whole-Project Water Use'!K230&lt;&gt;"",'Inputs Whole-Project Water Use'!K230,"")</f>
        <v/>
      </c>
      <c r="L230" s="316" t="str">
        <f>IF('Inputs Whole-Project Water Use'!L230&lt;&gt;"",'Inputs Whole-Project Water Use'!L230,"")</f>
        <v/>
      </c>
      <c r="M230" s="390" t="str">
        <f t="shared" si="28"/>
        <v/>
      </c>
      <c r="N230" s="391"/>
      <c r="O230" s="225" t="str">
        <f t="shared" si="29"/>
        <v/>
      </c>
      <c r="P230" s="225" t="str">
        <f t="shared" si="30"/>
        <v/>
      </c>
      <c r="Q230" s="289" t="str">
        <f>IF(AND(D230&lt;&gt;"",'Inputs Whole-Project Water Use'!Q230=""),0,IF('Inputs Whole-Project Water Use'!Q230&lt;&gt;"",'Inputs Whole-Project Water Use'!Q230,""))</f>
        <v/>
      </c>
      <c r="R230" s="225" t="str">
        <f t="shared" si="31"/>
        <v/>
      </c>
      <c r="S230" s="225" t="str">
        <f t="shared" si="32"/>
        <v/>
      </c>
      <c r="T230" s="231" t="str">
        <f t="shared" si="33"/>
        <v/>
      </c>
      <c r="U230" s="241"/>
      <c r="V230" s="241"/>
      <c r="W230" s="241"/>
      <c r="X230" s="241"/>
      <c r="Y230" s="241"/>
      <c r="Z230" s="241"/>
      <c r="AA230" s="241"/>
      <c r="AB230" s="241"/>
      <c r="AC230" s="241"/>
      <c r="AD230" s="241"/>
      <c r="AE230" s="241"/>
      <c r="AF230" s="241"/>
      <c r="AG230" s="241"/>
      <c r="AH230" s="241"/>
      <c r="AI230" s="241"/>
      <c r="AJ230" s="241"/>
      <c r="AK230" s="241"/>
      <c r="AL230" s="241"/>
      <c r="AM230" s="241"/>
      <c r="AN230" s="241"/>
      <c r="AO230" s="241"/>
      <c r="AP230" s="241"/>
      <c r="AQ230" s="241"/>
      <c r="AR230" s="241"/>
      <c r="AS230" s="241"/>
      <c r="AT230" s="241"/>
      <c r="AU230" s="241"/>
      <c r="AV230" s="241"/>
      <c r="AW230" s="241"/>
      <c r="AX230" s="241"/>
      <c r="AY230" s="241"/>
      <c r="AZ230" s="241"/>
    </row>
    <row r="231" spans="1:52" s="71" customFormat="1" ht="18" hidden="1" customHeight="1" outlineLevel="2">
      <c r="A231" s="175">
        <v>82</v>
      </c>
      <c r="B231" s="312" t="str">
        <f>(IF('Inputs Whole-Project Water Use'!B231&lt;&gt;"",'Inputs Whole-Project Water Use'!B231,""))</f>
        <v/>
      </c>
      <c r="C231" s="313" t="str">
        <f>IF(AND(D231&lt;&gt;"",'Inputs Whole-Project Water Use'!C231=""),1,IF('Inputs Whole-Project Water Use'!C231&lt;&gt;"",'Inputs Whole-Project Water Use'!C231,""))</f>
        <v/>
      </c>
      <c r="D231" s="397" t="str">
        <f>IF('Inputs Whole-Project Water Use'!D231&lt;&gt;"",'Inputs Whole-Project Water Use'!D231,"")</f>
        <v/>
      </c>
      <c r="E231" s="398"/>
      <c r="F231" s="314" t="str">
        <f>IF('Inputs Whole-Project Water Use'!F231&lt;&gt;"",'Inputs Whole-Project Water Use'!F231,"")</f>
        <v/>
      </c>
      <c r="G231" s="314" t="str">
        <f>IF('Inputs Whole-Project Water Use'!G231&lt;&gt;"",'Inputs Whole-Project Water Use'!G231,"")</f>
        <v/>
      </c>
      <c r="H231" s="315" t="str">
        <f>IF('Inputs Whole-Project Water Use'!H231&lt;&gt;"",'Inputs Whole-Project Water Use'!H231,"")</f>
        <v/>
      </c>
      <c r="I231" s="390" t="str">
        <f t="shared" si="27"/>
        <v/>
      </c>
      <c r="J231" s="391"/>
      <c r="K231" s="316" t="str">
        <f>IF('Inputs Whole-Project Water Use'!K231&lt;&gt;"",'Inputs Whole-Project Water Use'!K231,"")</f>
        <v/>
      </c>
      <c r="L231" s="316" t="str">
        <f>IF('Inputs Whole-Project Water Use'!L231&lt;&gt;"",'Inputs Whole-Project Water Use'!L231,"")</f>
        <v/>
      </c>
      <c r="M231" s="390" t="str">
        <f t="shared" si="28"/>
        <v/>
      </c>
      <c r="N231" s="391"/>
      <c r="O231" s="225" t="str">
        <f t="shared" si="29"/>
        <v/>
      </c>
      <c r="P231" s="225" t="str">
        <f t="shared" si="30"/>
        <v/>
      </c>
      <c r="Q231" s="289" t="str">
        <f>IF(AND(D231&lt;&gt;"",'Inputs Whole-Project Water Use'!Q231=""),0,IF('Inputs Whole-Project Water Use'!Q231&lt;&gt;"",'Inputs Whole-Project Water Use'!Q231,""))</f>
        <v/>
      </c>
      <c r="R231" s="225" t="str">
        <f t="shared" si="31"/>
        <v/>
      </c>
      <c r="S231" s="225" t="str">
        <f t="shared" si="32"/>
        <v/>
      </c>
      <c r="T231" s="231" t="str">
        <f t="shared" si="33"/>
        <v/>
      </c>
      <c r="U231" s="241"/>
      <c r="V231" s="241"/>
      <c r="W231" s="241"/>
      <c r="X231" s="241"/>
      <c r="Y231" s="241"/>
      <c r="Z231" s="241"/>
      <c r="AA231" s="241"/>
      <c r="AB231" s="241"/>
      <c r="AC231" s="241"/>
      <c r="AD231" s="241"/>
      <c r="AE231" s="241"/>
      <c r="AF231" s="241"/>
      <c r="AG231" s="241"/>
      <c r="AH231" s="241"/>
      <c r="AI231" s="241"/>
      <c r="AJ231" s="241"/>
      <c r="AK231" s="241"/>
      <c r="AL231" s="241"/>
      <c r="AM231" s="241"/>
      <c r="AN231" s="241"/>
      <c r="AO231" s="241"/>
      <c r="AP231" s="241"/>
      <c r="AQ231" s="241"/>
      <c r="AR231" s="241"/>
      <c r="AS231" s="241"/>
      <c r="AT231" s="241"/>
      <c r="AU231" s="241"/>
      <c r="AV231" s="241"/>
      <c r="AW231" s="241"/>
      <c r="AX231" s="241"/>
      <c r="AY231" s="241"/>
      <c r="AZ231" s="241"/>
    </row>
    <row r="232" spans="1:52" s="71" customFormat="1" ht="18" hidden="1" customHeight="1" outlineLevel="2">
      <c r="A232" s="175">
        <v>83</v>
      </c>
      <c r="B232" s="312" t="str">
        <f>(IF('Inputs Whole-Project Water Use'!B232&lt;&gt;"",'Inputs Whole-Project Water Use'!B232,""))</f>
        <v/>
      </c>
      <c r="C232" s="313" t="str">
        <f>IF(AND(D232&lt;&gt;"",'Inputs Whole-Project Water Use'!C232=""),1,IF('Inputs Whole-Project Water Use'!C232&lt;&gt;"",'Inputs Whole-Project Water Use'!C232,""))</f>
        <v/>
      </c>
      <c r="D232" s="397" t="str">
        <f>IF('Inputs Whole-Project Water Use'!D232&lt;&gt;"",'Inputs Whole-Project Water Use'!D232,"")</f>
        <v/>
      </c>
      <c r="E232" s="398"/>
      <c r="F232" s="314" t="str">
        <f>IF('Inputs Whole-Project Water Use'!F232&lt;&gt;"",'Inputs Whole-Project Water Use'!F232,"")</f>
        <v/>
      </c>
      <c r="G232" s="314" t="str">
        <f>IF('Inputs Whole-Project Water Use'!G232&lt;&gt;"",'Inputs Whole-Project Water Use'!G232,"")</f>
        <v/>
      </c>
      <c r="H232" s="315" t="str">
        <f>IF('Inputs Whole-Project Water Use'!H232&lt;&gt;"",'Inputs Whole-Project Water Use'!H232,"")</f>
        <v/>
      </c>
      <c r="I232" s="390" t="str">
        <f t="shared" si="27"/>
        <v/>
      </c>
      <c r="J232" s="391"/>
      <c r="K232" s="316" t="str">
        <f>IF('Inputs Whole-Project Water Use'!K232&lt;&gt;"",'Inputs Whole-Project Water Use'!K232,"")</f>
        <v/>
      </c>
      <c r="L232" s="316" t="str">
        <f>IF('Inputs Whole-Project Water Use'!L232&lt;&gt;"",'Inputs Whole-Project Water Use'!L232,"")</f>
        <v/>
      </c>
      <c r="M232" s="390" t="str">
        <f t="shared" si="28"/>
        <v/>
      </c>
      <c r="N232" s="391"/>
      <c r="O232" s="225" t="str">
        <f t="shared" si="29"/>
        <v/>
      </c>
      <c r="P232" s="225" t="str">
        <f t="shared" si="30"/>
        <v/>
      </c>
      <c r="Q232" s="289" t="str">
        <f>IF(AND(D232&lt;&gt;"",'Inputs Whole-Project Water Use'!Q232=""),0,IF('Inputs Whole-Project Water Use'!Q232&lt;&gt;"",'Inputs Whole-Project Water Use'!Q232,""))</f>
        <v/>
      </c>
      <c r="R232" s="225" t="str">
        <f t="shared" si="31"/>
        <v/>
      </c>
      <c r="S232" s="225" t="str">
        <f t="shared" si="32"/>
        <v/>
      </c>
      <c r="T232" s="231" t="str">
        <f t="shared" si="33"/>
        <v/>
      </c>
      <c r="U232" s="241"/>
      <c r="V232" s="241"/>
      <c r="W232" s="241"/>
      <c r="X232" s="241"/>
      <c r="Y232" s="241"/>
      <c r="Z232" s="241"/>
      <c r="AA232" s="241"/>
      <c r="AB232" s="241"/>
      <c r="AC232" s="241"/>
      <c r="AD232" s="241"/>
      <c r="AE232" s="241"/>
      <c r="AF232" s="241"/>
      <c r="AG232" s="241"/>
      <c r="AH232" s="241"/>
      <c r="AI232" s="241"/>
      <c r="AJ232" s="241"/>
      <c r="AK232" s="241"/>
      <c r="AL232" s="241"/>
      <c r="AM232" s="241"/>
      <c r="AN232" s="241"/>
      <c r="AO232" s="241"/>
      <c r="AP232" s="241"/>
      <c r="AQ232" s="241"/>
      <c r="AR232" s="241"/>
      <c r="AS232" s="241"/>
      <c r="AT232" s="241"/>
      <c r="AU232" s="241"/>
      <c r="AV232" s="241"/>
      <c r="AW232" s="241"/>
      <c r="AX232" s="241"/>
      <c r="AY232" s="241"/>
      <c r="AZ232" s="241"/>
    </row>
    <row r="233" spans="1:52" s="71" customFormat="1" ht="18" hidden="1" customHeight="1" outlineLevel="2">
      <c r="A233" s="175">
        <v>84</v>
      </c>
      <c r="B233" s="312" t="str">
        <f>(IF('Inputs Whole-Project Water Use'!B233&lt;&gt;"",'Inputs Whole-Project Water Use'!B233,""))</f>
        <v/>
      </c>
      <c r="C233" s="313" t="str">
        <f>IF(AND(D233&lt;&gt;"",'Inputs Whole-Project Water Use'!C233=""),1,IF('Inputs Whole-Project Water Use'!C233&lt;&gt;"",'Inputs Whole-Project Water Use'!C233,""))</f>
        <v/>
      </c>
      <c r="D233" s="397" t="str">
        <f>IF('Inputs Whole-Project Water Use'!D233&lt;&gt;"",'Inputs Whole-Project Water Use'!D233,"")</f>
        <v/>
      </c>
      <c r="E233" s="398"/>
      <c r="F233" s="314" t="str">
        <f>IF('Inputs Whole-Project Water Use'!F233&lt;&gt;"",'Inputs Whole-Project Water Use'!F233,"")</f>
        <v/>
      </c>
      <c r="G233" s="314" t="str">
        <f>IF('Inputs Whole-Project Water Use'!G233&lt;&gt;"",'Inputs Whole-Project Water Use'!G233,"")</f>
        <v/>
      </c>
      <c r="H233" s="315" t="str">
        <f>IF('Inputs Whole-Project Water Use'!H233&lt;&gt;"",'Inputs Whole-Project Water Use'!H233,"")</f>
        <v/>
      </c>
      <c r="I233" s="390" t="str">
        <f t="shared" si="27"/>
        <v/>
      </c>
      <c r="J233" s="391"/>
      <c r="K233" s="316" t="str">
        <f>IF('Inputs Whole-Project Water Use'!K233&lt;&gt;"",'Inputs Whole-Project Water Use'!K233,"")</f>
        <v/>
      </c>
      <c r="L233" s="316" t="str">
        <f>IF('Inputs Whole-Project Water Use'!L233&lt;&gt;"",'Inputs Whole-Project Water Use'!L233,"")</f>
        <v/>
      </c>
      <c r="M233" s="390" t="str">
        <f t="shared" si="28"/>
        <v/>
      </c>
      <c r="N233" s="391"/>
      <c r="O233" s="225" t="str">
        <f t="shared" si="29"/>
        <v/>
      </c>
      <c r="P233" s="225" t="str">
        <f t="shared" si="30"/>
        <v/>
      </c>
      <c r="Q233" s="289" t="str">
        <f>IF(AND(D233&lt;&gt;"",'Inputs Whole-Project Water Use'!Q233=""),0,IF('Inputs Whole-Project Water Use'!Q233&lt;&gt;"",'Inputs Whole-Project Water Use'!Q233,""))</f>
        <v/>
      </c>
      <c r="R233" s="225" t="str">
        <f t="shared" si="31"/>
        <v/>
      </c>
      <c r="S233" s="225" t="str">
        <f t="shared" si="32"/>
        <v/>
      </c>
      <c r="T233" s="231" t="str">
        <f t="shared" si="33"/>
        <v/>
      </c>
      <c r="U233" s="241"/>
      <c r="V233" s="241"/>
      <c r="W233" s="241"/>
      <c r="X233" s="241"/>
      <c r="Y233" s="241"/>
      <c r="Z233" s="241"/>
      <c r="AA233" s="241"/>
      <c r="AB233" s="241"/>
      <c r="AC233" s="241"/>
      <c r="AD233" s="241"/>
      <c r="AE233" s="241"/>
      <c r="AF233" s="241"/>
      <c r="AG233" s="241"/>
      <c r="AH233" s="241"/>
      <c r="AI233" s="241"/>
      <c r="AJ233" s="241"/>
      <c r="AK233" s="241"/>
      <c r="AL233" s="241"/>
      <c r="AM233" s="241"/>
      <c r="AN233" s="241"/>
      <c r="AO233" s="241"/>
      <c r="AP233" s="241"/>
      <c r="AQ233" s="241"/>
      <c r="AR233" s="241"/>
      <c r="AS233" s="241"/>
      <c r="AT233" s="241"/>
      <c r="AU233" s="241"/>
      <c r="AV233" s="241"/>
      <c r="AW233" s="241"/>
      <c r="AX233" s="241"/>
      <c r="AY233" s="241"/>
      <c r="AZ233" s="241"/>
    </row>
    <row r="234" spans="1:52" s="71" customFormat="1" ht="18" hidden="1" customHeight="1" outlineLevel="2">
      <c r="A234" s="175">
        <v>85</v>
      </c>
      <c r="B234" s="312" t="str">
        <f>(IF('Inputs Whole-Project Water Use'!B234&lt;&gt;"",'Inputs Whole-Project Water Use'!B234,""))</f>
        <v/>
      </c>
      <c r="C234" s="313" t="str">
        <f>IF(AND(D234&lt;&gt;"",'Inputs Whole-Project Water Use'!C234=""),1,IF('Inputs Whole-Project Water Use'!C234&lt;&gt;"",'Inputs Whole-Project Water Use'!C234,""))</f>
        <v/>
      </c>
      <c r="D234" s="397" t="str">
        <f>IF('Inputs Whole-Project Water Use'!D234&lt;&gt;"",'Inputs Whole-Project Water Use'!D234,"")</f>
        <v/>
      </c>
      <c r="E234" s="398"/>
      <c r="F234" s="314" t="str">
        <f>IF('Inputs Whole-Project Water Use'!F234&lt;&gt;"",'Inputs Whole-Project Water Use'!F234,"")</f>
        <v/>
      </c>
      <c r="G234" s="314" t="str">
        <f>IF('Inputs Whole-Project Water Use'!G234&lt;&gt;"",'Inputs Whole-Project Water Use'!G234,"")</f>
        <v/>
      </c>
      <c r="H234" s="315" t="str">
        <f>IF('Inputs Whole-Project Water Use'!H234&lt;&gt;"",'Inputs Whole-Project Water Use'!H234,"")</f>
        <v/>
      </c>
      <c r="I234" s="390" t="str">
        <f t="shared" si="27"/>
        <v/>
      </c>
      <c r="J234" s="391"/>
      <c r="K234" s="316" t="str">
        <f>IF('Inputs Whole-Project Water Use'!K234&lt;&gt;"",'Inputs Whole-Project Water Use'!K234,"")</f>
        <v/>
      </c>
      <c r="L234" s="316" t="str">
        <f>IF('Inputs Whole-Project Water Use'!L234&lt;&gt;"",'Inputs Whole-Project Water Use'!L234,"")</f>
        <v/>
      </c>
      <c r="M234" s="390" t="str">
        <f t="shared" si="28"/>
        <v/>
      </c>
      <c r="N234" s="391"/>
      <c r="O234" s="225" t="str">
        <f t="shared" si="29"/>
        <v/>
      </c>
      <c r="P234" s="225" t="str">
        <f t="shared" si="30"/>
        <v/>
      </c>
      <c r="Q234" s="289" t="str">
        <f>IF(AND(D234&lt;&gt;"",'Inputs Whole-Project Water Use'!Q234=""),0,IF('Inputs Whole-Project Water Use'!Q234&lt;&gt;"",'Inputs Whole-Project Water Use'!Q234,""))</f>
        <v/>
      </c>
      <c r="R234" s="225" t="str">
        <f t="shared" si="31"/>
        <v/>
      </c>
      <c r="S234" s="225" t="str">
        <f t="shared" si="32"/>
        <v/>
      </c>
      <c r="T234" s="231" t="str">
        <f t="shared" si="33"/>
        <v/>
      </c>
      <c r="U234" s="241"/>
      <c r="V234" s="241"/>
      <c r="W234" s="241"/>
      <c r="X234" s="241"/>
      <c r="Y234" s="241"/>
      <c r="Z234" s="241"/>
      <c r="AA234" s="241"/>
      <c r="AB234" s="241"/>
      <c r="AC234" s="241"/>
      <c r="AD234" s="241"/>
      <c r="AE234" s="241"/>
      <c r="AF234" s="241"/>
      <c r="AG234" s="241"/>
      <c r="AH234" s="241"/>
      <c r="AI234" s="241"/>
      <c r="AJ234" s="241"/>
      <c r="AK234" s="241"/>
      <c r="AL234" s="241"/>
      <c r="AM234" s="241"/>
      <c r="AN234" s="241"/>
      <c r="AO234" s="241"/>
      <c r="AP234" s="241"/>
      <c r="AQ234" s="241"/>
      <c r="AR234" s="241"/>
      <c r="AS234" s="241"/>
      <c r="AT234" s="241"/>
      <c r="AU234" s="241"/>
      <c r="AV234" s="241"/>
      <c r="AW234" s="241"/>
      <c r="AX234" s="241"/>
      <c r="AY234" s="241"/>
      <c r="AZ234" s="241"/>
    </row>
    <row r="235" spans="1:52" s="71" customFormat="1" ht="18" hidden="1" customHeight="1" outlineLevel="2">
      <c r="A235" s="175">
        <v>86</v>
      </c>
      <c r="B235" s="312" t="str">
        <f>(IF('Inputs Whole-Project Water Use'!B235&lt;&gt;"",'Inputs Whole-Project Water Use'!B235,""))</f>
        <v/>
      </c>
      <c r="C235" s="313" t="str">
        <f>IF(AND(D235&lt;&gt;"",'Inputs Whole-Project Water Use'!C235=""),1,IF('Inputs Whole-Project Water Use'!C235&lt;&gt;"",'Inputs Whole-Project Water Use'!C235,""))</f>
        <v/>
      </c>
      <c r="D235" s="397" t="str">
        <f>IF('Inputs Whole-Project Water Use'!D235&lt;&gt;"",'Inputs Whole-Project Water Use'!D235,"")</f>
        <v/>
      </c>
      <c r="E235" s="398"/>
      <c r="F235" s="314" t="str">
        <f>IF('Inputs Whole-Project Water Use'!F235&lt;&gt;"",'Inputs Whole-Project Water Use'!F235,"")</f>
        <v/>
      </c>
      <c r="G235" s="314" t="str">
        <f>IF('Inputs Whole-Project Water Use'!G235&lt;&gt;"",'Inputs Whole-Project Water Use'!G235,"")</f>
        <v/>
      </c>
      <c r="H235" s="315" t="str">
        <f>IF('Inputs Whole-Project Water Use'!H235&lt;&gt;"",'Inputs Whole-Project Water Use'!H235,"")</f>
        <v/>
      </c>
      <c r="I235" s="390" t="str">
        <f t="shared" si="27"/>
        <v/>
      </c>
      <c r="J235" s="391"/>
      <c r="K235" s="316" t="str">
        <f>IF('Inputs Whole-Project Water Use'!K235&lt;&gt;"",'Inputs Whole-Project Water Use'!K235,"")</f>
        <v/>
      </c>
      <c r="L235" s="316" t="str">
        <f>IF('Inputs Whole-Project Water Use'!L235&lt;&gt;"",'Inputs Whole-Project Water Use'!L235,"")</f>
        <v/>
      </c>
      <c r="M235" s="390" t="str">
        <f t="shared" si="28"/>
        <v/>
      </c>
      <c r="N235" s="391"/>
      <c r="O235" s="225" t="str">
        <f t="shared" si="29"/>
        <v/>
      </c>
      <c r="P235" s="225" t="str">
        <f t="shared" si="30"/>
        <v/>
      </c>
      <c r="Q235" s="289" t="str">
        <f>IF(AND(D235&lt;&gt;"",'Inputs Whole-Project Water Use'!Q235=""),0,IF('Inputs Whole-Project Water Use'!Q235&lt;&gt;"",'Inputs Whole-Project Water Use'!Q235,""))</f>
        <v/>
      </c>
      <c r="R235" s="225" t="str">
        <f t="shared" si="31"/>
        <v/>
      </c>
      <c r="S235" s="225" t="str">
        <f t="shared" si="32"/>
        <v/>
      </c>
      <c r="T235" s="231" t="str">
        <f t="shared" si="33"/>
        <v/>
      </c>
      <c r="U235" s="241"/>
      <c r="V235" s="241"/>
      <c r="W235" s="241"/>
      <c r="X235" s="241"/>
      <c r="Y235" s="241"/>
      <c r="Z235" s="241"/>
      <c r="AA235" s="241"/>
      <c r="AB235" s="241"/>
      <c r="AC235" s="241"/>
      <c r="AD235" s="241"/>
      <c r="AE235" s="241"/>
      <c r="AF235" s="241"/>
      <c r="AG235" s="241"/>
      <c r="AH235" s="241"/>
      <c r="AI235" s="241"/>
      <c r="AJ235" s="241"/>
      <c r="AK235" s="241"/>
      <c r="AL235" s="241"/>
      <c r="AM235" s="241"/>
      <c r="AN235" s="241"/>
      <c r="AO235" s="241"/>
      <c r="AP235" s="241"/>
      <c r="AQ235" s="241"/>
      <c r="AR235" s="241"/>
      <c r="AS235" s="241"/>
      <c r="AT235" s="241"/>
      <c r="AU235" s="241"/>
      <c r="AV235" s="241"/>
      <c r="AW235" s="241"/>
      <c r="AX235" s="241"/>
      <c r="AY235" s="241"/>
      <c r="AZ235" s="241"/>
    </row>
    <row r="236" spans="1:52" s="71" customFormat="1" ht="18" hidden="1" customHeight="1" outlineLevel="2">
      <c r="A236" s="175">
        <v>87</v>
      </c>
      <c r="B236" s="312" t="str">
        <f>(IF('Inputs Whole-Project Water Use'!B236&lt;&gt;"",'Inputs Whole-Project Water Use'!B236,""))</f>
        <v/>
      </c>
      <c r="C236" s="313" t="str">
        <f>IF(AND(D236&lt;&gt;"",'Inputs Whole-Project Water Use'!C236=""),1,IF('Inputs Whole-Project Water Use'!C236&lt;&gt;"",'Inputs Whole-Project Water Use'!C236,""))</f>
        <v/>
      </c>
      <c r="D236" s="397" t="str">
        <f>IF('Inputs Whole-Project Water Use'!D236&lt;&gt;"",'Inputs Whole-Project Water Use'!D236,"")</f>
        <v/>
      </c>
      <c r="E236" s="398"/>
      <c r="F236" s="314" t="str">
        <f>IF('Inputs Whole-Project Water Use'!F236&lt;&gt;"",'Inputs Whole-Project Water Use'!F236,"")</f>
        <v/>
      </c>
      <c r="G236" s="314" t="str">
        <f>IF('Inputs Whole-Project Water Use'!G236&lt;&gt;"",'Inputs Whole-Project Water Use'!G236,"")</f>
        <v/>
      </c>
      <c r="H236" s="315" t="str">
        <f>IF('Inputs Whole-Project Water Use'!H236&lt;&gt;"",'Inputs Whole-Project Water Use'!H236,"")</f>
        <v/>
      </c>
      <c r="I236" s="390" t="str">
        <f t="shared" si="27"/>
        <v/>
      </c>
      <c r="J236" s="391"/>
      <c r="K236" s="316" t="str">
        <f>IF('Inputs Whole-Project Water Use'!K236&lt;&gt;"",'Inputs Whole-Project Water Use'!K236,"")</f>
        <v/>
      </c>
      <c r="L236" s="316" t="str">
        <f>IF('Inputs Whole-Project Water Use'!L236&lt;&gt;"",'Inputs Whole-Project Water Use'!L236,"")</f>
        <v/>
      </c>
      <c r="M236" s="390" t="str">
        <f t="shared" si="28"/>
        <v/>
      </c>
      <c r="N236" s="391"/>
      <c r="O236" s="225" t="str">
        <f t="shared" si="29"/>
        <v/>
      </c>
      <c r="P236" s="225" t="str">
        <f t="shared" si="30"/>
        <v/>
      </c>
      <c r="Q236" s="289" t="str">
        <f>IF(AND(D236&lt;&gt;"",'Inputs Whole-Project Water Use'!Q236=""),0,IF('Inputs Whole-Project Water Use'!Q236&lt;&gt;"",'Inputs Whole-Project Water Use'!Q236,""))</f>
        <v/>
      </c>
      <c r="R236" s="225" t="str">
        <f t="shared" si="31"/>
        <v/>
      </c>
      <c r="S236" s="225" t="str">
        <f t="shared" si="32"/>
        <v/>
      </c>
      <c r="T236" s="231" t="str">
        <f t="shared" si="33"/>
        <v/>
      </c>
      <c r="U236" s="241"/>
      <c r="V236" s="241"/>
      <c r="W236" s="241"/>
      <c r="X236" s="241"/>
      <c r="Y236" s="241"/>
      <c r="Z236" s="241"/>
      <c r="AA236" s="241"/>
      <c r="AB236" s="241"/>
      <c r="AC236" s="241"/>
      <c r="AD236" s="241"/>
      <c r="AE236" s="241"/>
      <c r="AF236" s="241"/>
      <c r="AG236" s="241"/>
      <c r="AH236" s="241"/>
      <c r="AI236" s="241"/>
      <c r="AJ236" s="241"/>
      <c r="AK236" s="241"/>
      <c r="AL236" s="241"/>
      <c r="AM236" s="241"/>
      <c r="AN236" s="241"/>
      <c r="AO236" s="241"/>
      <c r="AP236" s="241"/>
      <c r="AQ236" s="241"/>
      <c r="AR236" s="241"/>
      <c r="AS236" s="241"/>
      <c r="AT236" s="241"/>
      <c r="AU236" s="241"/>
      <c r="AV236" s="241"/>
      <c r="AW236" s="241"/>
      <c r="AX236" s="241"/>
      <c r="AY236" s="241"/>
      <c r="AZ236" s="241"/>
    </row>
    <row r="237" spans="1:52" s="71" customFormat="1" ht="18" hidden="1" customHeight="1" outlineLevel="2">
      <c r="A237" s="175">
        <v>88</v>
      </c>
      <c r="B237" s="312" t="str">
        <f>(IF('Inputs Whole-Project Water Use'!B237&lt;&gt;"",'Inputs Whole-Project Water Use'!B237,""))</f>
        <v/>
      </c>
      <c r="C237" s="313" t="str">
        <f>IF(AND(D237&lt;&gt;"",'Inputs Whole-Project Water Use'!C237=""),1,IF('Inputs Whole-Project Water Use'!C237&lt;&gt;"",'Inputs Whole-Project Water Use'!C237,""))</f>
        <v/>
      </c>
      <c r="D237" s="397" t="str">
        <f>IF('Inputs Whole-Project Water Use'!D237&lt;&gt;"",'Inputs Whole-Project Water Use'!D237,"")</f>
        <v/>
      </c>
      <c r="E237" s="398"/>
      <c r="F237" s="314" t="str">
        <f>IF('Inputs Whole-Project Water Use'!F237&lt;&gt;"",'Inputs Whole-Project Water Use'!F237,"")</f>
        <v/>
      </c>
      <c r="G237" s="314" t="str">
        <f>IF('Inputs Whole-Project Water Use'!G237&lt;&gt;"",'Inputs Whole-Project Water Use'!G237,"")</f>
        <v/>
      </c>
      <c r="H237" s="315" t="str">
        <f>IF('Inputs Whole-Project Water Use'!H237&lt;&gt;"",'Inputs Whole-Project Water Use'!H237,"")</f>
        <v/>
      </c>
      <c r="I237" s="390" t="str">
        <f t="shared" si="27"/>
        <v/>
      </c>
      <c r="J237" s="391"/>
      <c r="K237" s="316" t="str">
        <f>IF('Inputs Whole-Project Water Use'!K237&lt;&gt;"",'Inputs Whole-Project Water Use'!K237,"")</f>
        <v/>
      </c>
      <c r="L237" s="316" t="str">
        <f>IF('Inputs Whole-Project Water Use'!L237&lt;&gt;"",'Inputs Whole-Project Water Use'!L237,"")</f>
        <v/>
      </c>
      <c r="M237" s="390" t="str">
        <f t="shared" si="28"/>
        <v/>
      </c>
      <c r="N237" s="391"/>
      <c r="O237" s="225" t="str">
        <f t="shared" si="29"/>
        <v/>
      </c>
      <c r="P237" s="225" t="str">
        <f t="shared" si="30"/>
        <v/>
      </c>
      <c r="Q237" s="289" t="str">
        <f>IF(AND(D237&lt;&gt;"",'Inputs Whole-Project Water Use'!Q237=""),0,IF('Inputs Whole-Project Water Use'!Q237&lt;&gt;"",'Inputs Whole-Project Water Use'!Q237,""))</f>
        <v/>
      </c>
      <c r="R237" s="225" t="str">
        <f t="shared" si="31"/>
        <v/>
      </c>
      <c r="S237" s="225" t="str">
        <f t="shared" si="32"/>
        <v/>
      </c>
      <c r="T237" s="231" t="str">
        <f t="shared" si="33"/>
        <v/>
      </c>
      <c r="U237" s="241"/>
      <c r="V237" s="241"/>
      <c r="W237" s="241"/>
      <c r="X237" s="241"/>
      <c r="Y237" s="241"/>
      <c r="Z237" s="241"/>
      <c r="AA237" s="241"/>
      <c r="AB237" s="241"/>
      <c r="AC237" s="241"/>
      <c r="AD237" s="241"/>
      <c r="AE237" s="241"/>
      <c r="AF237" s="241"/>
      <c r="AG237" s="241"/>
      <c r="AH237" s="241"/>
      <c r="AI237" s="241"/>
      <c r="AJ237" s="241"/>
      <c r="AK237" s="241"/>
      <c r="AL237" s="241"/>
      <c r="AM237" s="241"/>
      <c r="AN237" s="241"/>
      <c r="AO237" s="241"/>
      <c r="AP237" s="241"/>
      <c r="AQ237" s="241"/>
      <c r="AR237" s="241"/>
      <c r="AS237" s="241"/>
      <c r="AT237" s="241"/>
      <c r="AU237" s="241"/>
      <c r="AV237" s="241"/>
      <c r="AW237" s="241"/>
      <c r="AX237" s="241"/>
      <c r="AY237" s="241"/>
      <c r="AZ237" s="241"/>
    </row>
    <row r="238" spans="1:52" s="71" customFormat="1" ht="18" hidden="1" customHeight="1" outlineLevel="2">
      <c r="A238" s="175">
        <v>89</v>
      </c>
      <c r="B238" s="312" t="str">
        <f>(IF('Inputs Whole-Project Water Use'!B238&lt;&gt;"",'Inputs Whole-Project Water Use'!B238,""))</f>
        <v/>
      </c>
      <c r="C238" s="313" t="str">
        <f>IF(AND(D238&lt;&gt;"",'Inputs Whole-Project Water Use'!C238=""),1,IF('Inputs Whole-Project Water Use'!C238&lt;&gt;"",'Inputs Whole-Project Water Use'!C238,""))</f>
        <v/>
      </c>
      <c r="D238" s="397" t="str">
        <f>IF('Inputs Whole-Project Water Use'!D238&lt;&gt;"",'Inputs Whole-Project Water Use'!D238,"")</f>
        <v/>
      </c>
      <c r="E238" s="398"/>
      <c r="F238" s="314" t="str">
        <f>IF('Inputs Whole-Project Water Use'!F238&lt;&gt;"",'Inputs Whole-Project Water Use'!F238,"")</f>
        <v/>
      </c>
      <c r="G238" s="314" t="str">
        <f>IF('Inputs Whole-Project Water Use'!G238&lt;&gt;"",'Inputs Whole-Project Water Use'!G238,"")</f>
        <v/>
      </c>
      <c r="H238" s="315" t="str">
        <f>IF('Inputs Whole-Project Water Use'!H238&lt;&gt;"",'Inputs Whole-Project Water Use'!H238,"")</f>
        <v/>
      </c>
      <c r="I238" s="390" t="str">
        <f t="shared" si="27"/>
        <v/>
      </c>
      <c r="J238" s="391"/>
      <c r="K238" s="316" t="str">
        <f>IF('Inputs Whole-Project Water Use'!K238&lt;&gt;"",'Inputs Whole-Project Water Use'!K238,"")</f>
        <v/>
      </c>
      <c r="L238" s="316" t="str">
        <f>IF('Inputs Whole-Project Water Use'!L238&lt;&gt;"",'Inputs Whole-Project Water Use'!L238,"")</f>
        <v/>
      </c>
      <c r="M238" s="390" t="str">
        <f t="shared" si="28"/>
        <v/>
      </c>
      <c r="N238" s="391"/>
      <c r="O238" s="225" t="str">
        <f t="shared" si="29"/>
        <v/>
      </c>
      <c r="P238" s="225" t="str">
        <f t="shared" si="30"/>
        <v/>
      </c>
      <c r="Q238" s="289" t="str">
        <f>IF(AND(D238&lt;&gt;"",'Inputs Whole-Project Water Use'!Q238=""),0,IF('Inputs Whole-Project Water Use'!Q238&lt;&gt;"",'Inputs Whole-Project Water Use'!Q238,""))</f>
        <v/>
      </c>
      <c r="R238" s="225" t="str">
        <f t="shared" si="31"/>
        <v/>
      </c>
      <c r="S238" s="225" t="str">
        <f t="shared" si="32"/>
        <v/>
      </c>
      <c r="T238" s="231" t="str">
        <f t="shared" si="33"/>
        <v/>
      </c>
      <c r="U238" s="241"/>
      <c r="V238" s="241"/>
      <c r="W238" s="241"/>
      <c r="X238" s="241"/>
      <c r="Y238" s="241"/>
      <c r="Z238" s="241"/>
      <c r="AA238" s="241"/>
      <c r="AB238" s="241"/>
      <c r="AC238" s="241"/>
      <c r="AD238" s="241"/>
      <c r="AE238" s="241"/>
      <c r="AF238" s="241"/>
      <c r="AG238" s="241"/>
      <c r="AH238" s="241"/>
      <c r="AI238" s="241"/>
      <c r="AJ238" s="241"/>
      <c r="AK238" s="241"/>
      <c r="AL238" s="241"/>
      <c r="AM238" s="241"/>
      <c r="AN238" s="241"/>
      <c r="AO238" s="241"/>
      <c r="AP238" s="241"/>
      <c r="AQ238" s="241"/>
      <c r="AR238" s="241"/>
      <c r="AS238" s="241"/>
      <c r="AT238" s="241"/>
      <c r="AU238" s="241"/>
      <c r="AV238" s="241"/>
      <c r="AW238" s="241"/>
      <c r="AX238" s="241"/>
      <c r="AY238" s="241"/>
      <c r="AZ238" s="241"/>
    </row>
    <row r="239" spans="1:52" s="71" customFormat="1" ht="18" hidden="1" customHeight="1" outlineLevel="2">
      <c r="A239" s="175">
        <v>90</v>
      </c>
      <c r="B239" s="312" t="str">
        <f>(IF('Inputs Whole-Project Water Use'!B239&lt;&gt;"",'Inputs Whole-Project Water Use'!B239,""))</f>
        <v/>
      </c>
      <c r="C239" s="313" t="str">
        <f>IF(AND(D239&lt;&gt;"",'Inputs Whole-Project Water Use'!C239=""),1,IF('Inputs Whole-Project Water Use'!C239&lt;&gt;"",'Inputs Whole-Project Water Use'!C239,""))</f>
        <v/>
      </c>
      <c r="D239" s="397" t="str">
        <f>IF('Inputs Whole-Project Water Use'!D239&lt;&gt;"",'Inputs Whole-Project Water Use'!D239,"")</f>
        <v/>
      </c>
      <c r="E239" s="398"/>
      <c r="F239" s="314" t="str">
        <f>IF('Inputs Whole-Project Water Use'!F239&lt;&gt;"",'Inputs Whole-Project Water Use'!F239,"")</f>
        <v/>
      </c>
      <c r="G239" s="314" t="str">
        <f>IF('Inputs Whole-Project Water Use'!G239&lt;&gt;"",'Inputs Whole-Project Water Use'!G239,"")</f>
        <v/>
      </c>
      <c r="H239" s="315" t="str">
        <f>IF('Inputs Whole-Project Water Use'!H239&lt;&gt;"",'Inputs Whole-Project Water Use'!H239,"")</f>
        <v/>
      </c>
      <c r="I239" s="390" t="str">
        <f t="shared" si="27"/>
        <v/>
      </c>
      <c r="J239" s="391"/>
      <c r="K239" s="316" t="str">
        <f>IF('Inputs Whole-Project Water Use'!K239&lt;&gt;"",'Inputs Whole-Project Water Use'!K239,"")</f>
        <v/>
      </c>
      <c r="L239" s="316" t="str">
        <f>IF('Inputs Whole-Project Water Use'!L239&lt;&gt;"",'Inputs Whole-Project Water Use'!L239,"")</f>
        <v/>
      </c>
      <c r="M239" s="390" t="str">
        <f t="shared" si="28"/>
        <v/>
      </c>
      <c r="N239" s="391"/>
      <c r="O239" s="225" t="str">
        <f t="shared" si="29"/>
        <v/>
      </c>
      <c r="P239" s="225" t="str">
        <f t="shared" si="30"/>
        <v/>
      </c>
      <c r="Q239" s="289" t="str">
        <f>IF(AND(D239&lt;&gt;"",'Inputs Whole-Project Water Use'!Q239=""),0,IF('Inputs Whole-Project Water Use'!Q239&lt;&gt;"",'Inputs Whole-Project Water Use'!Q239,""))</f>
        <v/>
      </c>
      <c r="R239" s="225" t="str">
        <f t="shared" si="31"/>
        <v/>
      </c>
      <c r="S239" s="225" t="str">
        <f t="shared" si="32"/>
        <v/>
      </c>
      <c r="T239" s="231" t="str">
        <f t="shared" si="33"/>
        <v/>
      </c>
      <c r="U239" s="241"/>
      <c r="V239" s="241"/>
      <c r="W239" s="241"/>
      <c r="X239" s="241"/>
      <c r="Y239" s="241"/>
      <c r="Z239" s="241"/>
      <c r="AA239" s="241"/>
      <c r="AB239" s="241"/>
      <c r="AC239" s="241"/>
      <c r="AD239" s="241"/>
      <c r="AE239" s="241"/>
      <c r="AF239" s="241"/>
      <c r="AG239" s="241"/>
      <c r="AH239" s="241"/>
      <c r="AI239" s="241"/>
      <c r="AJ239" s="241"/>
      <c r="AK239" s="241"/>
      <c r="AL239" s="241"/>
      <c r="AM239" s="241"/>
      <c r="AN239" s="241"/>
      <c r="AO239" s="241"/>
      <c r="AP239" s="241"/>
      <c r="AQ239" s="241"/>
      <c r="AR239" s="241"/>
      <c r="AS239" s="241"/>
      <c r="AT239" s="241"/>
      <c r="AU239" s="241"/>
      <c r="AV239" s="241"/>
      <c r="AW239" s="241"/>
      <c r="AX239" s="241"/>
      <c r="AY239" s="241"/>
      <c r="AZ239" s="241"/>
    </row>
    <row r="240" spans="1:52" s="71" customFormat="1" ht="18" hidden="1" customHeight="1" outlineLevel="1" collapsed="1">
      <c r="A240" s="175">
        <v>91</v>
      </c>
      <c r="B240" s="312" t="str">
        <f>(IF('Inputs Whole-Project Water Use'!B240&lt;&gt;"",'Inputs Whole-Project Water Use'!B240,""))</f>
        <v/>
      </c>
      <c r="C240" s="313" t="str">
        <f>IF(AND(D240&lt;&gt;"",'Inputs Whole-Project Water Use'!C240=""),1,IF('Inputs Whole-Project Water Use'!C240&lt;&gt;"",'Inputs Whole-Project Water Use'!C240,""))</f>
        <v/>
      </c>
      <c r="D240" s="397" t="str">
        <f>IF('Inputs Whole-Project Water Use'!D240&lt;&gt;"",'Inputs Whole-Project Water Use'!D240,"")</f>
        <v/>
      </c>
      <c r="E240" s="398"/>
      <c r="F240" s="314" t="str">
        <f>IF('Inputs Whole-Project Water Use'!F240&lt;&gt;"",'Inputs Whole-Project Water Use'!F240,"")</f>
        <v/>
      </c>
      <c r="G240" s="314" t="str">
        <f>IF('Inputs Whole-Project Water Use'!G240&lt;&gt;"",'Inputs Whole-Project Water Use'!G240,"")</f>
        <v/>
      </c>
      <c r="H240" s="315" t="str">
        <f>IF('Inputs Whole-Project Water Use'!H240&lt;&gt;"",'Inputs Whole-Project Water Use'!H240,"")</f>
        <v/>
      </c>
      <c r="I240" s="390" t="str">
        <f t="shared" si="27"/>
        <v/>
      </c>
      <c r="J240" s="391"/>
      <c r="K240" s="316" t="str">
        <f>IF('Inputs Whole-Project Water Use'!K240&lt;&gt;"",'Inputs Whole-Project Water Use'!K240,"")</f>
        <v/>
      </c>
      <c r="L240" s="316" t="str">
        <f>IF('Inputs Whole-Project Water Use'!L240&lt;&gt;"",'Inputs Whole-Project Water Use'!L240,"")</f>
        <v/>
      </c>
      <c r="M240" s="390" t="str">
        <f t="shared" si="28"/>
        <v/>
      </c>
      <c r="N240" s="391"/>
      <c r="O240" s="225" t="str">
        <f t="shared" si="29"/>
        <v/>
      </c>
      <c r="P240" s="225" t="str">
        <f t="shared" si="30"/>
        <v/>
      </c>
      <c r="Q240" s="289" t="str">
        <f>IF(AND(D240&lt;&gt;"",'Inputs Whole-Project Water Use'!Q240=""),0,IF('Inputs Whole-Project Water Use'!Q240&lt;&gt;"",'Inputs Whole-Project Water Use'!Q240,""))</f>
        <v/>
      </c>
      <c r="R240" s="225" t="str">
        <f t="shared" si="31"/>
        <v/>
      </c>
      <c r="S240" s="225" t="str">
        <f t="shared" si="32"/>
        <v/>
      </c>
      <c r="T240" s="231" t="str">
        <f t="shared" si="33"/>
        <v/>
      </c>
      <c r="U240" s="176" t="s">
        <v>165</v>
      </c>
      <c r="V240" s="241"/>
      <c r="W240" s="241"/>
      <c r="X240" s="241"/>
      <c r="Y240" s="241"/>
      <c r="Z240" s="241"/>
      <c r="AA240" s="241"/>
      <c r="AB240" s="241"/>
      <c r="AC240" s="241"/>
      <c r="AD240" s="241"/>
      <c r="AE240" s="241"/>
      <c r="AF240" s="241"/>
      <c r="AG240" s="241"/>
      <c r="AH240" s="241"/>
      <c r="AI240" s="241"/>
      <c r="AJ240" s="241"/>
      <c r="AK240" s="241"/>
      <c r="AL240" s="241"/>
      <c r="AM240" s="241"/>
      <c r="AN240" s="241"/>
      <c r="AO240" s="241"/>
      <c r="AP240" s="241"/>
      <c r="AQ240" s="241"/>
      <c r="AR240" s="241"/>
      <c r="AS240" s="241"/>
      <c r="AT240" s="241"/>
      <c r="AU240" s="241"/>
      <c r="AV240" s="241"/>
      <c r="AW240" s="241"/>
      <c r="AX240" s="241"/>
      <c r="AY240" s="241"/>
      <c r="AZ240" s="241"/>
    </row>
    <row r="241" spans="1:52" s="71" customFormat="1" ht="18" hidden="1" customHeight="1" outlineLevel="2">
      <c r="A241" s="175">
        <v>92</v>
      </c>
      <c r="B241" s="312" t="str">
        <f>(IF('Inputs Whole-Project Water Use'!B241&lt;&gt;"",'Inputs Whole-Project Water Use'!B241,""))</f>
        <v/>
      </c>
      <c r="C241" s="313" t="str">
        <f>IF(AND(D241&lt;&gt;"",'Inputs Whole-Project Water Use'!C241=""),1,IF('Inputs Whole-Project Water Use'!C241&lt;&gt;"",'Inputs Whole-Project Water Use'!C241,""))</f>
        <v/>
      </c>
      <c r="D241" s="397" t="str">
        <f>IF('Inputs Whole-Project Water Use'!D241&lt;&gt;"",'Inputs Whole-Project Water Use'!D241,"")</f>
        <v/>
      </c>
      <c r="E241" s="398"/>
      <c r="F241" s="314" t="str">
        <f>IF('Inputs Whole-Project Water Use'!F241&lt;&gt;"",'Inputs Whole-Project Water Use'!F241,"")</f>
        <v/>
      </c>
      <c r="G241" s="314" t="str">
        <f>IF('Inputs Whole-Project Water Use'!G241&lt;&gt;"",'Inputs Whole-Project Water Use'!G241,"")</f>
        <v/>
      </c>
      <c r="H241" s="315" t="str">
        <f>IF('Inputs Whole-Project Water Use'!H241&lt;&gt;"",'Inputs Whole-Project Water Use'!H241,"")</f>
        <v/>
      </c>
      <c r="I241" s="390" t="str">
        <f t="shared" si="27"/>
        <v/>
      </c>
      <c r="J241" s="391"/>
      <c r="K241" s="316" t="str">
        <f>IF('Inputs Whole-Project Water Use'!K241&lt;&gt;"",'Inputs Whole-Project Water Use'!K241,"")</f>
        <v/>
      </c>
      <c r="L241" s="316" t="str">
        <f>IF('Inputs Whole-Project Water Use'!L241&lt;&gt;"",'Inputs Whole-Project Water Use'!L241,"")</f>
        <v/>
      </c>
      <c r="M241" s="390" t="str">
        <f t="shared" si="28"/>
        <v/>
      </c>
      <c r="N241" s="391"/>
      <c r="O241" s="225" t="str">
        <f t="shared" si="29"/>
        <v/>
      </c>
      <c r="P241" s="225" t="str">
        <f t="shared" si="30"/>
        <v/>
      </c>
      <c r="Q241" s="289" t="str">
        <f>IF(AND(D241&lt;&gt;"",'Inputs Whole-Project Water Use'!Q241=""),0,IF('Inputs Whole-Project Water Use'!Q241&lt;&gt;"",'Inputs Whole-Project Water Use'!Q241,""))</f>
        <v/>
      </c>
      <c r="R241" s="225" t="str">
        <f t="shared" si="31"/>
        <v/>
      </c>
      <c r="S241" s="225" t="str">
        <f t="shared" si="32"/>
        <v/>
      </c>
      <c r="T241" s="231" t="str">
        <f t="shared" si="33"/>
        <v/>
      </c>
      <c r="U241" s="241"/>
      <c r="V241" s="241"/>
      <c r="W241" s="241"/>
      <c r="X241" s="241"/>
      <c r="Y241" s="241"/>
      <c r="Z241" s="241"/>
      <c r="AA241" s="241"/>
      <c r="AB241" s="241"/>
      <c r="AC241" s="241"/>
      <c r="AD241" s="241"/>
      <c r="AE241" s="241"/>
      <c r="AF241" s="241"/>
      <c r="AG241" s="241"/>
      <c r="AH241" s="241"/>
      <c r="AI241" s="241"/>
      <c r="AJ241" s="241"/>
      <c r="AK241" s="241"/>
      <c r="AL241" s="241"/>
      <c r="AM241" s="241"/>
      <c r="AN241" s="241"/>
      <c r="AO241" s="241"/>
      <c r="AP241" s="241"/>
      <c r="AQ241" s="241"/>
      <c r="AR241" s="241"/>
      <c r="AS241" s="241"/>
      <c r="AT241" s="241"/>
      <c r="AU241" s="241"/>
      <c r="AV241" s="241"/>
      <c r="AW241" s="241"/>
      <c r="AX241" s="241"/>
      <c r="AY241" s="241"/>
      <c r="AZ241" s="241"/>
    </row>
    <row r="242" spans="1:52" s="71" customFormat="1" ht="18" hidden="1" customHeight="1" outlineLevel="2">
      <c r="A242" s="175">
        <v>93</v>
      </c>
      <c r="B242" s="312" t="str">
        <f>(IF('Inputs Whole-Project Water Use'!B242&lt;&gt;"",'Inputs Whole-Project Water Use'!B242,""))</f>
        <v/>
      </c>
      <c r="C242" s="313" t="str">
        <f>IF(AND(D242&lt;&gt;"",'Inputs Whole-Project Water Use'!C242=""),1,IF('Inputs Whole-Project Water Use'!C242&lt;&gt;"",'Inputs Whole-Project Water Use'!C242,""))</f>
        <v/>
      </c>
      <c r="D242" s="397" t="str">
        <f>IF('Inputs Whole-Project Water Use'!D242&lt;&gt;"",'Inputs Whole-Project Water Use'!D242,"")</f>
        <v/>
      </c>
      <c r="E242" s="398"/>
      <c r="F242" s="314" t="str">
        <f>IF('Inputs Whole-Project Water Use'!F242&lt;&gt;"",'Inputs Whole-Project Water Use'!F242,"")</f>
        <v/>
      </c>
      <c r="G242" s="314" t="str">
        <f>IF('Inputs Whole-Project Water Use'!G242&lt;&gt;"",'Inputs Whole-Project Water Use'!G242,"")</f>
        <v/>
      </c>
      <c r="H242" s="315" t="str">
        <f>IF('Inputs Whole-Project Water Use'!H242&lt;&gt;"",'Inputs Whole-Project Water Use'!H242,"")</f>
        <v/>
      </c>
      <c r="I242" s="390" t="str">
        <f t="shared" si="27"/>
        <v/>
      </c>
      <c r="J242" s="391"/>
      <c r="K242" s="316" t="str">
        <f>IF('Inputs Whole-Project Water Use'!K242&lt;&gt;"",'Inputs Whole-Project Water Use'!K242,"")</f>
        <v/>
      </c>
      <c r="L242" s="316" t="str">
        <f>IF('Inputs Whole-Project Water Use'!L242&lt;&gt;"",'Inputs Whole-Project Water Use'!L242,"")</f>
        <v/>
      </c>
      <c r="M242" s="390" t="str">
        <f t="shared" si="28"/>
        <v/>
      </c>
      <c r="N242" s="391"/>
      <c r="O242" s="225" t="str">
        <f t="shared" si="29"/>
        <v/>
      </c>
      <c r="P242" s="225" t="str">
        <f t="shared" si="30"/>
        <v/>
      </c>
      <c r="Q242" s="289" t="str">
        <f>IF(AND(D242&lt;&gt;"",'Inputs Whole-Project Water Use'!Q242=""),0,IF('Inputs Whole-Project Water Use'!Q242&lt;&gt;"",'Inputs Whole-Project Water Use'!Q242,""))</f>
        <v/>
      </c>
      <c r="R242" s="225" t="str">
        <f t="shared" si="31"/>
        <v/>
      </c>
      <c r="S242" s="225" t="str">
        <f t="shared" si="32"/>
        <v/>
      </c>
      <c r="T242" s="231" t="str">
        <f t="shared" si="33"/>
        <v/>
      </c>
      <c r="U242" s="241"/>
      <c r="V242" s="241"/>
      <c r="W242" s="241"/>
      <c r="X242" s="241"/>
      <c r="Y242" s="241"/>
      <c r="Z242" s="241"/>
      <c r="AA242" s="241"/>
      <c r="AB242" s="241"/>
      <c r="AC242" s="241"/>
      <c r="AD242" s="241"/>
      <c r="AE242" s="241"/>
      <c r="AF242" s="241"/>
      <c r="AG242" s="241"/>
      <c r="AH242" s="241"/>
      <c r="AI242" s="241"/>
      <c r="AJ242" s="241"/>
      <c r="AK242" s="241"/>
      <c r="AL242" s="241"/>
      <c r="AM242" s="241"/>
      <c r="AN242" s="241"/>
      <c r="AO242" s="241"/>
      <c r="AP242" s="241"/>
      <c r="AQ242" s="241"/>
      <c r="AR242" s="241"/>
      <c r="AS242" s="241"/>
      <c r="AT242" s="241"/>
      <c r="AU242" s="241"/>
      <c r="AV242" s="241"/>
      <c r="AW242" s="241"/>
      <c r="AX242" s="241"/>
      <c r="AY242" s="241"/>
      <c r="AZ242" s="241"/>
    </row>
    <row r="243" spans="1:52" s="71" customFormat="1" ht="18" hidden="1" customHeight="1" outlineLevel="2">
      <c r="A243" s="175">
        <v>94</v>
      </c>
      <c r="B243" s="312" t="str">
        <f>(IF('Inputs Whole-Project Water Use'!B243&lt;&gt;"",'Inputs Whole-Project Water Use'!B243,""))</f>
        <v/>
      </c>
      <c r="C243" s="313" t="str">
        <f>IF(AND(D243&lt;&gt;"",'Inputs Whole-Project Water Use'!C243=""),1,IF('Inputs Whole-Project Water Use'!C243&lt;&gt;"",'Inputs Whole-Project Water Use'!C243,""))</f>
        <v/>
      </c>
      <c r="D243" s="397" t="str">
        <f>IF('Inputs Whole-Project Water Use'!D243&lt;&gt;"",'Inputs Whole-Project Water Use'!D243,"")</f>
        <v/>
      </c>
      <c r="E243" s="398"/>
      <c r="F243" s="314" t="str">
        <f>IF('Inputs Whole-Project Water Use'!F243&lt;&gt;"",'Inputs Whole-Project Water Use'!F243,"")</f>
        <v/>
      </c>
      <c r="G243" s="314" t="str">
        <f>IF('Inputs Whole-Project Water Use'!G243&lt;&gt;"",'Inputs Whole-Project Water Use'!G243,"")</f>
        <v/>
      </c>
      <c r="H243" s="315" t="str">
        <f>IF('Inputs Whole-Project Water Use'!H243&lt;&gt;"",'Inputs Whole-Project Water Use'!H243,"")</f>
        <v/>
      </c>
      <c r="I243" s="390" t="str">
        <f t="shared" si="27"/>
        <v/>
      </c>
      <c r="J243" s="391"/>
      <c r="K243" s="316" t="str">
        <f>IF('Inputs Whole-Project Water Use'!K243&lt;&gt;"",'Inputs Whole-Project Water Use'!K243,"")</f>
        <v/>
      </c>
      <c r="L243" s="316" t="str">
        <f>IF('Inputs Whole-Project Water Use'!L243&lt;&gt;"",'Inputs Whole-Project Water Use'!L243,"")</f>
        <v/>
      </c>
      <c r="M243" s="390" t="str">
        <f t="shared" si="28"/>
        <v/>
      </c>
      <c r="N243" s="391"/>
      <c r="O243" s="225" t="str">
        <f t="shared" si="29"/>
        <v/>
      </c>
      <c r="P243" s="225" t="str">
        <f t="shared" si="30"/>
        <v/>
      </c>
      <c r="Q243" s="289" t="str">
        <f>IF(AND(D243&lt;&gt;"",'Inputs Whole-Project Water Use'!Q243=""),0,IF('Inputs Whole-Project Water Use'!Q243&lt;&gt;"",'Inputs Whole-Project Water Use'!Q243,""))</f>
        <v/>
      </c>
      <c r="R243" s="225" t="str">
        <f t="shared" si="31"/>
        <v/>
      </c>
      <c r="S243" s="225" t="str">
        <f t="shared" si="32"/>
        <v/>
      </c>
      <c r="T243" s="231" t="str">
        <f t="shared" si="33"/>
        <v/>
      </c>
      <c r="U243" s="241"/>
      <c r="V243" s="241"/>
      <c r="W243" s="241"/>
      <c r="X243" s="241"/>
      <c r="Y243" s="241"/>
      <c r="Z243" s="241"/>
      <c r="AA243" s="241"/>
      <c r="AB243" s="241"/>
      <c r="AC243" s="241"/>
      <c r="AD243" s="241"/>
      <c r="AE243" s="241"/>
      <c r="AF243" s="241"/>
      <c r="AG243" s="241"/>
      <c r="AH243" s="241"/>
      <c r="AI243" s="241"/>
      <c r="AJ243" s="241"/>
      <c r="AK243" s="241"/>
      <c r="AL243" s="241"/>
      <c r="AM243" s="241"/>
      <c r="AN243" s="241"/>
      <c r="AO243" s="241"/>
      <c r="AP243" s="241"/>
      <c r="AQ243" s="241"/>
      <c r="AR243" s="241"/>
      <c r="AS243" s="241"/>
      <c r="AT243" s="241"/>
      <c r="AU243" s="241"/>
      <c r="AV243" s="241"/>
      <c r="AW243" s="241"/>
      <c r="AX243" s="241"/>
      <c r="AY243" s="241"/>
      <c r="AZ243" s="241"/>
    </row>
    <row r="244" spans="1:52" s="71" customFormat="1" ht="18" hidden="1" customHeight="1" outlineLevel="2">
      <c r="A244" s="175">
        <v>95</v>
      </c>
      <c r="B244" s="312" t="str">
        <f>(IF('Inputs Whole-Project Water Use'!B244&lt;&gt;"",'Inputs Whole-Project Water Use'!B244,""))</f>
        <v/>
      </c>
      <c r="C244" s="313" t="str">
        <f>IF(AND(D244&lt;&gt;"",'Inputs Whole-Project Water Use'!C244=""),1,IF('Inputs Whole-Project Water Use'!C244&lt;&gt;"",'Inputs Whole-Project Water Use'!C244,""))</f>
        <v/>
      </c>
      <c r="D244" s="397" t="str">
        <f>IF('Inputs Whole-Project Water Use'!D244&lt;&gt;"",'Inputs Whole-Project Water Use'!D244,"")</f>
        <v/>
      </c>
      <c r="E244" s="398"/>
      <c r="F244" s="314" t="str">
        <f>IF('Inputs Whole-Project Water Use'!F244&lt;&gt;"",'Inputs Whole-Project Water Use'!F244,"")</f>
        <v/>
      </c>
      <c r="G244" s="314" t="str">
        <f>IF('Inputs Whole-Project Water Use'!G244&lt;&gt;"",'Inputs Whole-Project Water Use'!G244,"")</f>
        <v/>
      </c>
      <c r="H244" s="315" t="str">
        <f>IF('Inputs Whole-Project Water Use'!H244&lt;&gt;"",'Inputs Whole-Project Water Use'!H244,"")</f>
        <v/>
      </c>
      <c r="I244" s="390" t="str">
        <f t="shared" si="27"/>
        <v/>
      </c>
      <c r="J244" s="391"/>
      <c r="K244" s="316" t="str">
        <f>IF('Inputs Whole-Project Water Use'!K244&lt;&gt;"",'Inputs Whole-Project Water Use'!K244,"")</f>
        <v/>
      </c>
      <c r="L244" s="316" t="str">
        <f>IF('Inputs Whole-Project Water Use'!L244&lt;&gt;"",'Inputs Whole-Project Water Use'!L244,"")</f>
        <v/>
      </c>
      <c r="M244" s="390" t="str">
        <f t="shared" si="28"/>
        <v/>
      </c>
      <c r="N244" s="391"/>
      <c r="O244" s="225" t="str">
        <f t="shared" si="29"/>
        <v/>
      </c>
      <c r="P244" s="225" t="str">
        <f t="shared" si="30"/>
        <v/>
      </c>
      <c r="Q244" s="289" t="str">
        <f>IF(AND(D244&lt;&gt;"",'Inputs Whole-Project Water Use'!Q244=""),0,IF('Inputs Whole-Project Water Use'!Q244&lt;&gt;"",'Inputs Whole-Project Water Use'!Q244,""))</f>
        <v/>
      </c>
      <c r="R244" s="225" t="str">
        <f t="shared" si="31"/>
        <v/>
      </c>
      <c r="S244" s="225" t="str">
        <f t="shared" si="32"/>
        <v/>
      </c>
      <c r="T244" s="231" t="str">
        <f t="shared" si="33"/>
        <v/>
      </c>
      <c r="U244" s="241"/>
      <c r="V244" s="241"/>
      <c r="W244" s="241"/>
      <c r="X244" s="241"/>
      <c r="Y244" s="241"/>
      <c r="Z244" s="241"/>
      <c r="AA244" s="241"/>
      <c r="AB244" s="241"/>
      <c r="AC244" s="241"/>
      <c r="AD244" s="241"/>
      <c r="AE244" s="241"/>
      <c r="AF244" s="241"/>
      <c r="AG244" s="241"/>
      <c r="AH244" s="241"/>
      <c r="AI244" s="241"/>
      <c r="AJ244" s="241"/>
      <c r="AK244" s="241"/>
      <c r="AL244" s="241"/>
      <c r="AM244" s="241"/>
      <c r="AN244" s="241"/>
      <c r="AO244" s="241"/>
      <c r="AP244" s="241"/>
      <c r="AQ244" s="241"/>
      <c r="AR244" s="241"/>
      <c r="AS244" s="241"/>
      <c r="AT244" s="241"/>
      <c r="AU244" s="241"/>
      <c r="AV244" s="241"/>
      <c r="AW244" s="241"/>
      <c r="AX244" s="241"/>
      <c r="AY244" s="241"/>
      <c r="AZ244" s="241"/>
    </row>
    <row r="245" spans="1:52" s="71" customFormat="1" ht="18" hidden="1" customHeight="1" outlineLevel="2">
      <c r="A245" s="175">
        <v>96</v>
      </c>
      <c r="B245" s="312" t="str">
        <f>(IF('Inputs Whole-Project Water Use'!B245&lt;&gt;"",'Inputs Whole-Project Water Use'!B245,""))</f>
        <v/>
      </c>
      <c r="C245" s="313" t="str">
        <f>IF(AND(D245&lt;&gt;"",'Inputs Whole-Project Water Use'!C245=""),1,IF('Inputs Whole-Project Water Use'!C245&lt;&gt;"",'Inputs Whole-Project Water Use'!C245,""))</f>
        <v/>
      </c>
      <c r="D245" s="397" t="str">
        <f>IF('Inputs Whole-Project Water Use'!D245&lt;&gt;"",'Inputs Whole-Project Water Use'!D245,"")</f>
        <v/>
      </c>
      <c r="E245" s="398"/>
      <c r="F245" s="314" t="str">
        <f>IF('Inputs Whole-Project Water Use'!F245&lt;&gt;"",'Inputs Whole-Project Water Use'!F245,"")</f>
        <v/>
      </c>
      <c r="G245" s="314" t="str">
        <f>IF('Inputs Whole-Project Water Use'!G245&lt;&gt;"",'Inputs Whole-Project Water Use'!G245,"")</f>
        <v/>
      </c>
      <c r="H245" s="315" t="str">
        <f>IF('Inputs Whole-Project Water Use'!H245&lt;&gt;"",'Inputs Whole-Project Water Use'!H245,"")</f>
        <v/>
      </c>
      <c r="I245" s="390" t="str">
        <f t="shared" si="27"/>
        <v/>
      </c>
      <c r="J245" s="391"/>
      <c r="K245" s="316" t="str">
        <f>IF('Inputs Whole-Project Water Use'!K245&lt;&gt;"",'Inputs Whole-Project Water Use'!K245,"")</f>
        <v/>
      </c>
      <c r="L245" s="316" t="str">
        <f>IF('Inputs Whole-Project Water Use'!L245&lt;&gt;"",'Inputs Whole-Project Water Use'!L245,"")</f>
        <v/>
      </c>
      <c r="M245" s="390" t="str">
        <f t="shared" si="28"/>
        <v/>
      </c>
      <c r="N245" s="391"/>
      <c r="O245" s="225" t="str">
        <f t="shared" si="29"/>
        <v/>
      </c>
      <c r="P245" s="225" t="str">
        <f t="shared" si="30"/>
        <v/>
      </c>
      <c r="Q245" s="289" t="str">
        <f>IF(AND(D245&lt;&gt;"",'Inputs Whole-Project Water Use'!Q245=""),0,IF('Inputs Whole-Project Water Use'!Q245&lt;&gt;"",'Inputs Whole-Project Water Use'!Q245,""))</f>
        <v/>
      </c>
      <c r="R245" s="225" t="str">
        <f t="shared" si="31"/>
        <v/>
      </c>
      <c r="S245" s="225" t="str">
        <f t="shared" si="32"/>
        <v/>
      </c>
      <c r="T245" s="231" t="str">
        <f t="shared" si="33"/>
        <v/>
      </c>
      <c r="U245" s="241"/>
      <c r="V245" s="241"/>
      <c r="W245" s="241"/>
      <c r="X245" s="241"/>
      <c r="Y245" s="241"/>
      <c r="Z245" s="241"/>
      <c r="AA245" s="241"/>
      <c r="AB245" s="241"/>
      <c r="AC245" s="241"/>
      <c r="AD245" s="241"/>
      <c r="AE245" s="241"/>
      <c r="AF245" s="241"/>
      <c r="AG245" s="241"/>
      <c r="AH245" s="241"/>
      <c r="AI245" s="241"/>
      <c r="AJ245" s="241"/>
      <c r="AK245" s="241"/>
      <c r="AL245" s="241"/>
      <c r="AM245" s="241"/>
      <c r="AN245" s="241"/>
      <c r="AO245" s="241"/>
      <c r="AP245" s="241"/>
      <c r="AQ245" s="241"/>
      <c r="AR245" s="241"/>
      <c r="AS245" s="241"/>
      <c r="AT245" s="241"/>
      <c r="AU245" s="241"/>
      <c r="AV245" s="241"/>
      <c r="AW245" s="241"/>
      <c r="AX245" s="241"/>
      <c r="AY245" s="241"/>
      <c r="AZ245" s="241"/>
    </row>
    <row r="246" spans="1:52" s="71" customFormat="1" ht="18" hidden="1" customHeight="1" outlineLevel="2">
      <c r="A246" s="175">
        <v>97</v>
      </c>
      <c r="B246" s="312" t="str">
        <f>(IF('Inputs Whole-Project Water Use'!B246&lt;&gt;"",'Inputs Whole-Project Water Use'!B246,""))</f>
        <v/>
      </c>
      <c r="C246" s="313" t="str">
        <f>IF(AND(D246&lt;&gt;"",'Inputs Whole-Project Water Use'!C246=""),1,IF('Inputs Whole-Project Water Use'!C246&lt;&gt;"",'Inputs Whole-Project Water Use'!C246,""))</f>
        <v/>
      </c>
      <c r="D246" s="397" t="str">
        <f>IF('Inputs Whole-Project Water Use'!D246&lt;&gt;"",'Inputs Whole-Project Water Use'!D246,"")</f>
        <v/>
      </c>
      <c r="E246" s="398"/>
      <c r="F246" s="314" t="str">
        <f>IF('Inputs Whole-Project Water Use'!F246&lt;&gt;"",'Inputs Whole-Project Water Use'!F246,"")</f>
        <v/>
      </c>
      <c r="G246" s="314" t="str">
        <f>IF('Inputs Whole-Project Water Use'!G246&lt;&gt;"",'Inputs Whole-Project Water Use'!G246,"")</f>
        <v/>
      </c>
      <c r="H246" s="315" t="str">
        <f>IF('Inputs Whole-Project Water Use'!H246&lt;&gt;"",'Inputs Whole-Project Water Use'!H246,"")</f>
        <v/>
      </c>
      <c r="I246" s="390" t="str">
        <f t="shared" si="27"/>
        <v/>
      </c>
      <c r="J246" s="391"/>
      <c r="K246" s="316" t="str">
        <f>IF('Inputs Whole-Project Water Use'!K246&lt;&gt;"",'Inputs Whole-Project Water Use'!K246,"")</f>
        <v/>
      </c>
      <c r="L246" s="316" t="str">
        <f>IF('Inputs Whole-Project Water Use'!L246&lt;&gt;"",'Inputs Whole-Project Water Use'!L246,"")</f>
        <v/>
      </c>
      <c r="M246" s="390" t="str">
        <f t="shared" si="28"/>
        <v/>
      </c>
      <c r="N246" s="391"/>
      <c r="O246" s="225" t="str">
        <f t="shared" si="29"/>
        <v/>
      </c>
      <c r="P246" s="225" t="str">
        <f t="shared" si="30"/>
        <v/>
      </c>
      <c r="Q246" s="289" t="str">
        <f>IF(AND(D246&lt;&gt;"",'Inputs Whole-Project Water Use'!Q246=""),0,IF('Inputs Whole-Project Water Use'!Q246&lt;&gt;"",'Inputs Whole-Project Water Use'!Q246,""))</f>
        <v/>
      </c>
      <c r="R246" s="225" t="str">
        <f t="shared" si="31"/>
        <v/>
      </c>
      <c r="S246" s="225" t="str">
        <f t="shared" si="32"/>
        <v/>
      </c>
      <c r="T246" s="231" t="str">
        <f t="shared" si="33"/>
        <v/>
      </c>
      <c r="U246" s="241"/>
      <c r="V246" s="241"/>
      <c r="W246" s="241"/>
      <c r="X246" s="241"/>
      <c r="Y246" s="241"/>
      <c r="Z246" s="241"/>
      <c r="AA246" s="241"/>
      <c r="AB246" s="241"/>
      <c r="AC246" s="241"/>
      <c r="AD246" s="241"/>
      <c r="AE246" s="241"/>
      <c r="AF246" s="241"/>
      <c r="AG246" s="241"/>
      <c r="AH246" s="241"/>
      <c r="AI246" s="241"/>
      <c r="AJ246" s="241"/>
      <c r="AK246" s="241"/>
      <c r="AL246" s="241"/>
      <c r="AM246" s="241"/>
      <c r="AN246" s="241"/>
      <c r="AO246" s="241"/>
      <c r="AP246" s="241"/>
      <c r="AQ246" s="241"/>
      <c r="AR246" s="241"/>
      <c r="AS246" s="241"/>
      <c r="AT246" s="241"/>
      <c r="AU246" s="241"/>
      <c r="AV246" s="241"/>
      <c r="AW246" s="241"/>
      <c r="AX246" s="241"/>
      <c r="AY246" s="241"/>
      <c r="AZ246" s="241"/>
    </row>
    <row r="247" spans="1:52" s="71" customFormat="1" ht="18" hidden="1" customHeight="1" outlineLevel="2">
      <c r="A247" s="175">
        <v>98</v>
      </c>
      <c r="B247" s="312" t="str">
        <f>(IF('Inputs Whole-Project Water Use'!B247&lt;&gt;"",'Inputs Whole-Project Water Use'!B247,""))</f>
        <v/>
      </c>
      <c r="C247" s="313" t="str">
        <f>IF(AND(D247&lt;&gt;"",'Inputs Whole-Project Water Use'!C247=""),1,IF('Inputs Whole-Project Water Use'!C247&lt;&gt;"",'Inputs Whole-Project Water Use'!C247,""))</f>
        <v/>
      </c>
      <c r="D247" s="397" t="str">
        <f>IF('Inputs Whole-Project Water Use'!D247&lt;&gt;"",'Inputs Whole-Project Water Use'!D247,"")</f>
        <v/>
      </c>
      <c r="E247" s="398"/>
      <c r="F247" s="314" t="str">
        <f>IF('Inputs Whole-Project Water Use'!F247&lt;&gt;"",'Inputs Whole-Project Water Use'!F247,"")</f>
        <v/>
      </c>
      <c r="G247" s="314" t="str">
        <f>IF('Inputs Whole-Project Water Use'!G247&lt;&gt;"",'Inputs Whole-Project Water Use'!G247,"")</f>
        <v/>
      </c>
      <c r="H247" s="315" t="str">
        <f>IF('Inputs Whole-Project Water Use'!H247&lt;&gt;"",'Inputs Whole-Project Water Use'!H247,"")</f>
        <v/>
      </c>
      <c r="I247" s="390" t="str">
        <f t="shared" si="27"/>
        <v/>
      </c>
      <c r="J247" s="391"/>
      <c r="K247" s="316" t="str">
        <f>IF('Inputs Whole-Project Water Use'!K247&lt;&gt;"",'Inputs Whole-Project Water Use'!K247,"")</f>
        <v/>
      </c>
      <c r="L247" s="316" t="str">
        <f>IF('Inputs Whole-Project Water Use'!L247&lt;&gt;"",'Inputs Whole-Project Water Use'!L247,"")</f>
        <v/>
      </c>
      <c r="M247" s="390" t="str">
        <f t="shared" si="28"/>
        <v/>
      </c>
      <c r="N247" s="391"/>
      <c r="O247" s="225" t="str">
        <f t="shared" si="29"/>
        <v/>
      </c>
      <c r="P247" s="225" t="str">
        <f t="shared" si="30"/>
        <v/>
      </c>
      <c r="Q247" s="289" t="str">
        <f>IF(AND(D247&lt;&gt;"",'Inputs Whole-Project Water Use'!Q247=""),0,IF('Inputs Whole-Project Water Use'!Q247&lt;&gt;"",'Inputs Whole-Project Water Use'!Q247,""))</f>
        <v/>
      </c>
      <c r="R247" s="225" t="str">
        <f t="shared" si="31"/>
        <v/>
      </c>
      <c r="S247" s="225" t="str">
        <f t="shared" si="32"/>
        <v/>
      </c>
      <c r="T247" s="231" t="str">
        <f t="shared" si="33"/>
        <v/>
      </c>
      <c r="U247" s="241"/>
      <c r="V247" s="241"/>
      <c r="W247" s="241"/>
      <c r="X247" s="241"/>
      <c r="Y247" s="241"/>
      <c r="Z247" s="241"/>
      <c r="AA247" s="241"/>
      <c r="AB247" s="241"/>
      <c r="AC247" s="241"/>
      <c r="AD247" s="241"/>
      <c r="AE247" s="241"/>
      <c r="AF247" s="241"/>
      <c r="AG247" s="241"/>
      <c r="AH247" s="241"/>
      <c r="AI247" s="241"/>
      <c r="AJ247" s="241"/>
      <c r="AK247" s="241"/>
      <c r="AL247" s="241"/>
      <c r="AM247" s="241"/>
      <c r="AN247" s="241"/>
      <c r="AO247" s="241"/>
      <c r="AP247" s="241"/>
      <c r="AQ247" s="241"/>
      <c r="AR247" s="241"/>
      <c r="AS247" s="241"/>
      <c r="AT247" s="241"/>
      <c r="AU247" s="241"/>
      <c r="AV247" s="241"/>
      <c r="AW247" s="241"/>
      <c r="AX247" s="241"/>
      <c r="AY247" s="241"/>
      <c r="AZ247" s="241"/>
    </row>
    <row r="248" spans="1:52" s="71" customFormat="1" ht="18" hidden="1" customHeight="1" outlineLevel="2">
      <c r="A248" s="175">
        <v>99</v>
      </c>
      <c r="B248" s="312" t="str">
        <f>(IF('Inputs Whole-Project Water Use'!B248&lt;&gt;"",'Inputs Whole-Project Water Use'!B248,""))</f>
        <v/>
      </c>
      <c r="C248" s="313" t="str">
        <f>IF(AND(D248&lt;&gt;"",'Inputs Whole-Project Water Use'!C248=""),1,IF('Inputs Whole-Project Water Use'!C248&lt;&gt;"",'Inputs Whole-Project Water Use'!C248,""))</f>
        <v/>
      </c>
      <c r="D248" s="397" t="str">
        <f>IF('Inputs Whole-Project Water Use'!D248&lt;&gt;"",'Inputs Whole-Project Water Use'!D248,"")</f>
        <v/>
      </c>
      <c r="E248" s="398"/>
      <c r="F248" s="314" t="str">
        <f>IF('Inputs Whole-Project Water Use'!F248&lt;&gt;"",'Inputs Whole-Project Water Use'!F248,"")</f>
        <v/>
      </c>
      <c r="G248" s="314" t="str">
        <f>IF('Inputs Whole-Project Water Use'!G248&lt;&gt;"",'Inputs Whole-Project Water Use'!G248,"")</f>
        <v/>
      </c>
      <c r="H248" s="315" t="str">
        <f>IF('Inputs Whole-Project Water Use'!H248&lt;&gt;"",'Inputs Whole-Project Water Use'!H248,"")</f>
        <v/>
      </c>
      <c r="I248" s="390" t="str">
        <f t="shared" si="27"/>
        <v/>
      </c>
      <c r="J248" s="391"/>
      <c r="K248" s="316" t="str">
        <f>IF('Inputs Whole-Project Water Use'!K248&lt;&gt;"",'Inputs Whole-Project Water Use'!K248,"")</f>
        <v/>
      </c>
      <c r="L248" s="316" t="str">
        <f>IF('Inputs Whole-Project Water Use'!L248&lt;&gt;"",'Inputs Whole-Project Water Use'!L248,"")</f>
        <v/>
      </c>
      <c r="M248" s="390" t="str">
        <f t="shared" si="28"/>
        <v/>
      </c>
      <c r="N248" s="391"/>
      <c r="O248" s="225" t="str">
        <f t="shared" si="29"/>
        <v/>
      </c>
      <c r="P248" s="225" t="str">
        <f t="shared" si="30"/>
        <v/>
      </c>
      <c r="Q248" s="289" t="str">
        <f>IF(AND(D248&lt;&gt;"",'Inputs Whole-Project Water Use'!Q248=""),0,IF('Inputs Whole-Project Water Use'!Q248&lt;&gt;"",'Inputs Whole-Project Water Use'!Q248,""))</f>
        <v/>
      </c>
      <c r="R248" s="225" t="str">
        <f t="shared" si="31"/>
        <v/>
      </c>
      <c r="S248" s="225" t="str">
        <f t="shared" si="32"/>
        <v/>
      </c>
      <c r="T248" s="231" t="str">
        <f t="shared" si="33"/>
        <v/>
      </c>
      <c r="U248" s="241"/>
      <c r="V248" s="241"/>
      <c r="W248" s="241"/>
      <c r="X248" s="241"/>
      <c r="Y248" s="241"/>
      <c r="Z248" s="241"/>
      <c r="AA248" s="241"/>
      <c r="AB248" s="241"/>
      <c r="AC248" s="241"/>
      <c r="AD248" s="241"/>
      <c r="AE248" s="241"/>
      <c r="AF248" s="241"/>
      <c r="AG248" s="241"/>
      <c r="AH248" s="241"/>
      <c r="AI248" s="241"/>
      <c r="AJ248" s="241"/>
      <c r="AK248" s="241"/>
      <c r="AL248" s="241"/>
      <c r="AM248" s="241"/>
      <c r="AN248" s="241"/>
      <c r="AO248" s="241"/>
      <c r="AP248" s="241"/>
      <c r="AQ248" s="241"/>
      <c r="AR248" s="241"/>
      <c r="AS248" s="241"/>
      <c r="AT248" s="241"/>
      <c r="AU248" s="241"/>
      <c r="AV248" s="241"/>
      <c r="AW248" s="241"/>
      <c r="AX248" s="241"/>
      <c r="AY248" s="241"/>
      <c r="AZ248" s="241"/>
    </row>
    <row r="249" spans="1:52" s="71" customFormat="1" ht="18" hidden="1" customHeight="1" outlineLevel="2">
      <c r="A249" s="175">
        <v>100</v>
      </c>
      <c r="B249" s="312" t="str">
        <f>(IF('Inputs Whole-Project Water Use'!B249&lt;&gt;"",'Inputs Whole-Project Water Use'!B249,""))</f>
        <v/>
      </c>
      <c r="C249" s="313" t="str">
        <f>IF(AND(D249&lt;&gt;"",'Inputs Whole-Project Water Use'!C249=""),1,IF('Inputs Whole-Project Water Use'!C249&lt;&gt;"",'Inputs Whole-Project Water Use'!C249,""))</f>
        <v/>
      </c>
      <c r="D249" s="397" t="str">
        <f>IF('Inputs Whole-Project Water Use'!D249&lt;&gt;"",'Inputs Whole-Project Water Use'!D249,"")</f>
        <v/>
      </c>
      <c r="E249" s="398"/>
      <c r="F249" s="314" t="str">
        <f>IF('Inputs Whole-Project Water Use'!F249&lt;&gt;"",'Inputs Whole-Project Water Use'!F249,"")</f>
        <v/>
      </c>
      <c r="G249" s="314" t="str">
        <f>IF('Inputs Whole-Project Water Use'!G249&lt;&gt;"",'Inputs Whole-Project Water Use'!G249,"")</f>
        <v/>
      </c>
      <c r="H249" s="315" t="str">
        <f>IF('Inputs Whole-Project Water Use'!H249&lt;&gt;"",'Inputs Whole-Project Water Use'!H249,"")</f>
        <v/>
      </c>
      <c r="I249" s="390" t="str">
        <f t="shared" si="27"/>
        <v/>
      </c>
      <c r="J249" s="391"/>
      <c r="K249" s="316" t="str">
        <f>IF('Inputs Whole-Project Water Use'!K249&lt;&gt;"",'Inputs Whole-Project Water Use'!K249,"")</f>
        <v/>
      </c>
      <c r="L249" s="316" t="str">
        <f>IF('Inputs Whole-Project Water Use'!L249&lt;&gt;"",'Inputs Whole-Project Water Use'!L249,"")</f>
        <v/>
      </c>
      <c r="M249" s="390" t="str">
        <f t="shared" si="28"/>
        <v/>
      </c>
      <c r="N249" s="391"/>
      <c r="O249" s="225" t="str">
        <f t="shared" si="29"/>
        <v/>
      </c>
      <c r="P249" s="225" t="str">
        <f t="shared" si="30"/>
        <v/>
      </c>
      <c r="Q249" s="289" t="str">
        <f>IF(AND(D249&lt;&gt;"",'Inputs Whole-Project Water Use'!Q249=""),0,IF('Inputs Whole-Project Water Use'!Q249&lt;&gt;"",'Inputs Whole-Project Water Use'!Q249,""))</f>
        <v/>
      </c>
      <c r="R249" s="225" t="str">
        <f t="shared" si="31"/>
        <v/>
      </c>
      <c r="S249" s="225" t="str">
        <f t="shared" si="32"/>
        <v/>
      </c>
      <c r="T249" s="231" t="str">
        <f t="shared" si="33"/>
        <v/>
      </c>
      <c r="U249" s="241"/>
      <c r="V249" s="241"/>
      <c r="W249" s="241"/>
      <c r="X249" s="241"/>
      <c r="Y249" s="241"/>
      <c r="Z249" s="241"/>
      <c r="AA249" s="241"/>
      <c r="AB249" s="241"/>
      <c r="AC249" s="241"/>
      <c r="AD249" s="241"/>
      <c r="AE249" s="241"/>
      <c r="AF249" s="241"/>
      <c r="AG249" s="241"/>
      <c r="AH249" s="241"/>
      <c r="AI249" s="241"/>
      <c r="AJ249" s="241"/>
      <c r="AK249" s="241"/>
      <c r="AL249" s="241"/>
      <c r="AM249" s="241"/>
      <c r="AN249" s="241"/>
      <c r="AO249" s="241"/>
      <c r="AP249" s="241"/>
      <c r="AQ249" s="241"/>
      <c r="AR249" s="241"/>
      <c r="AS249" s="241"/>
      <c r="AT249" s="241"/>
      <c r="AU249" s="241"/>
      <c r="AV249" s="241"/>
      <c r="AW249" s="241"/>
      <c r="AX249" s="241"/>
      <c r="AY249" s="241"/>
      <c r="AZ249" s="241"/>
    </row>
    <row r="250" spans="1:52" s="71" customFormat="1" ht="18" hidden="1" customHeight="1" outlineLevel="2">
      <c r="A250" s="175">
        <v>101</v>
      </c>
      <c r="B250" s="312" t="str">
        <f>(IF('Inputs Whole-Project Water Use'!B250&lt;&gt;"",'Inputs Whole-Project Water Use'!B250,""))</f>
        <v/>
      </c>
      <c r="C250" s="313" t="str">
        <f>IF(AND(D250&lt;&gt;"",'Inputs Whole-Project Water Use'!C250=""),1,IF('Inputs Whole-Project Water Use'!C250&lt;&gt;"",'Inputs Whole-Project Water Use'!C250,""))</f>
        <v/>
      </c>
      <c r="D250" s="397" t="str">
        <f>IF('Inputs Whole-Project Water Use'!D250&lt;&gt;"",'Inputs Whole-Project Water Use'!D250,"")</f>
        <v/>
      </c>
      <c r="E250" s="398"/>
      <c r="F250" s="314" t="str">
        <f>IF('Inputs Whole-Project Water Use'!F250&lt;&gt;"",'Inputs Whole-Project Water Use'!F250,"")</f>
        <v/>
      </c>
      <c r="G250" s="314" t="str">
        <f>IF('Inputs Whole-Project Water Use'!G250&lt;&gt;"",'Inputs Whole-Project Water Use'!G250,"")</f>
        <v/>
      </c>
      <c r="H250" s="315" t="str">
        <f>IF('Inputs Whole-Project Water Use'!H250&lt;&gt;"",'Inputs Whole-Project Water Use'!H250,"")</f>
        <v/>
      </c>
      <c r="I250" s="390" t="str">
        <f t="shared" si="27"/>
        <v/>
      </c>
      <c r="J250" s="391"/>
      <c r="K250" s="316" t="str">
        <f>IF('Inputs Whole-Project Water Use'!K250&lt;&gt;"",'Inputs Whole-Project Water Use'!K250,"")</f>
        <v/>
      </c>
      <c r="L250" s="316" t="str">
        <f>IF('Inputs Whole-Project Water Use'!L250&lt;&gt;"",'Inputs Whole-Project Water Use'!L250,"")</f>
        <v/>
      </c>
      <c r="M250" s="390" t="str">
        <f t="shared" si="28"/>
        <v/>
      </c>
      <c r="N250" s="391"/>
      <c r="O250" s="225" t="str">
        <f t="shared" si="29"/>
        <v/>
      </c>
      <c r="P250" s="225" t="str">
        <f t="shared" si="30"/>
        <v/>
      </c>
      <c r="Q250" s="289" t="str">
        <f>IF(AND(D250&lt;&gt;"",'Inputs Whole-Project Water Use'!Q250=""),0,IF('Inputs Whole-Project Water Use'!Q250&lt;&gt;"",'Inputs Whole-Project Water Use'!Q250,""))</f>
        <v/>
      </c>
      <c r="R250" s="225" t="str">
        <f t="shared" si="31"/>
        <v/>
      </c>
      <c r="S250" s="225" t="str">
        <f t="shared" si="32"/>
        <v/>
      </c>
      <c r="T250" s="231" t="str">
        <f t="shared" si="33"/>
        <v/>
      </c>
      <c r="U250" s="241"/>
      <c r="V250" s="241"/>
      <c r="W250" s="241"/>
      <c r="X250" s="241"/>
      <c r="Y250" s="241"/>
      <c r="Z250" s="241"/>
      <c r="AA250" s="241"/>
      <c r="AB250" s="241"/>
      <c r="AC250" s="241"/>
      <c r="AD250" s="241"/>
      <c r="AE250" s="241"/>
      <c r="AF250" s="241"/>
      <c r="AG250" s="241"/>
      <c r="AH250" s="241"/>
      <c r="AI250" s="241"/>
      <c r="AJ250" s="241"/>
      <c r="AK250" s="241"/>
      <c r="AL250" s="241"/>
      <c r="AM250" s="241"/>
      <c r="AN250" s="241"/>
      <c r="AO250" s="241"/>
      <c r="AP250" s="241"/>
      <c r="AQ250" s="241"/>
      <c r="AR250" s="241"/>
      <c r="AS250" s="241"/>
      <c r="AT250" s="241"/>
      <c r="AU250" s="241"/>
      <c r="AV250" s="241"/>
      <c r="AW250" s="241"/>
      <c r="AX250" s="241"/>
      <c r="AY250" s="241"/>
      <c r="AZ250" s="241"/>
    </row>
    <row r="251" spans="1:52" s="71" customFormat="1" ht="18" hidden="1" customHeight="1" outlineLevel="2">
      <c r="A251" s="175">
        <v>102</v>
      </c>
      <c r="B251" s="312" t="str">
        <f>(IF('Inputs Whole-Project Water Use'!B251&lt;&gt;"",'Inputs Whole-Project Water Use'!B251,""))</f>
        <v/>
      </c>
      <c r="C251" s="313" t="str">
        <f>IF(AND(D251&lt;&gt;"",'Inputs Whole-Project Water Use'!C251=""),1,IF('Inputs Whole-Project Water Use'!C251&lt;&gt;"",'Inputs Whole-Project Water Use'!C251,""))</f>
        <v/>
      </c>
      <c r="D251" s="397" t="str">
        <f>IF('Inputs Whole-Project Water Use'!D251&lt;&gt;"",'Inputs Whole-Project Water Use'!D251,"")</f>
        <v/>
      </c>
      <c r="E251" s="398"/>
      <c r="F251" s="314" t="str">
        <f>IF('Inputs Whole-Project Water Use'!F251&lt;&gt;"",'Inputs Whole-Project Water Use'!F251,"")</f>
        <v/>
      </c>
      <c r="G251" s="314" t="str">
        <f>IF('Inputs Whole-Project Water Use'!G251&lt;&gt;"",'Inputs Whole-Project Water Use'!G251,"")</f>
        <v/>
      </c>
      <c r="H251" s="315" t="str">
        <f>IF('Inputs Whole-Project Water Use'!H251&lt;&gt;"",'Inputs Whole-Project Water Use'!H251,"")</f>
        <v/>
      </c>
      <c r="I251" s="390" t="str">
        <f t="shared" si="27"/>
        <v/>
      </c>
      <c r="J251" s="391"/>
      <c r="K251" s="316" t="str">
        <f>IF('Inputs Whole-Project Water Use'!K251&lt;&gt;"",'Inputs Whole-Project Water Use'!K251,"")</f>
        <v/>
      </c>
      <c r="L251" s="316" t="str">
        <f>IF('Inputs Whole-Project Water Use'!L251&lt;&gt;"",'Inputs Whole-Project Water Use'!L251,"")</f>
        <v/>
      </c>
      <c r="M251" s="390" t="str">
        <f t="shared" si="28"/>
        <v/>
      </c>
      <c r="N251" s="391"/>
      <c r="O251" s="225" t="str">
        <f t="shared" si="29"/>
        <v/>
      </c>
      <c r="P251" s="225" t="str">
        <f t="shared" si="30"/>
        <v/>
      </c>
      <c r="Q251" s="289" t="str">
        <f>IF(AND(D251&lt;&gt;"",'Inputs Whole-Project Water Use'!Q251=""),0,IF('Inputs Whole-Project Water Use'!Q251&lt;&gt;"",'Inputs Whole-Project Water Use'!Q251,""))</f>
        <v/>
      </c>
      <c r="R251" s="225" t="str">
        <f t="shared" si="31"/>
        <v/>
      </c>
      <c r="S251" s="225" t="str">
        <f t="shared" si="32"/>
        <v/>
      </c>
      <c r="T251" s="231" t="str">
        <f t="shared" si="33"/>
        <v/>
      </c>
      <c r="U251" s="241"/>
      <c r="V251" s="241"/>
      <c r="W251" s="241"/>
      <c r="X251" s="241"/>
      <c r="Y251" s="241"/>
      <c r="Z251" s="241"/>
      <c r="AA251" s="241"/>
      <c r="AB251" s="241"/>
      <c r="AC251" s="241"/>
      <c r="AD251" s="241"/>
      <c r="AE251" s="241"/>
      <c r="AF251" s="241"/>
      <c r="AG251" s="241"/>
      <c r="AH251" s="241"/>
      <c r="AI251" s="241"/>
      <c r="AJ251" s="241"/>
      <c r="AK251" s="241"/>
      <c r="AL251" s="241"/>
      <c r="AM251" s="241"/>
      <c r="AN251" s="241"/>
      <c r="AO251" s="241"/>
      <c r="AP251" s="241"/>
      <c r="AQ251" s="241"/>
      <c r="AR251" s="241"/>
      <c r="AS251" s="241"/>
      <c r="AT251" s="241"/>
      <c r="AU251" s="241"/>
      <c r="AV251" s="241"/>
      <c r="AW251" s="241"/>
      <c r="AX251" s="241"/>
      <c r="AY251" s="241"/>
      <c r="AZ251" s="241"/>
    </row>
    <row r="252" spans="1:52" s="71" customFormat="1" ht="18" hidden="1" customHeight="1" outlineLevel="2">
      <c r="A252" s="175">
        <v>103</v>
      </c>
      <c r="B252" s="312" t="str">
        <f>(IF('Inputs Whole-Project Water Use'!B252&lt;&gt;"",'Inputs Whole-Project Water Use'!B252,""))</f>
        <v/>
      </c>
      <c r="C252" s="313" t="str">
        <f>IF(AND(D252&lt;&gt;"",'Inputs Whole-Project Water Use'!C252=""),1,IF('Inputs Whole-Project Water Use'!C252&lt;&gt;"",'Inputs Whole-Project Water Use'!C252,""))</f>
        <v/>
      </c>
      <c r="D252" s="397" t="str">
        <f>IF('Inputs Whole-Project Water Use'!D252&lt;&gt;"",'Inputs Whole-Project Water Use'!D252,"")</f>
        <v/>
      </c>
      <c r="E252" s="398"/>
      <c r="F252" s="314" t="str">
        <f>IF('Inputs Whole-Project Water Use'!F252&lt;&gt;"",'Inputs Whole-Project Water Use'!F252,"")</f>
        <v/>
      </c>
      <c r="G252" s="314" t="str">
        <f>IF('Inputs Whole-Project Water Use'!G252&lt;&gt;"",'Inputs Whole-Project Water Use'!G252,"")</f>
        <v/>
      </c>
      <c r="H252" s="315" t="str">
        <f>IF('Inputs Whole-Project Water Use'!H252&lt;&gt;"",'Inputs Whole-Project Water Use'!H252,"")</f>
        <v/>
      </c>
      <c r="I252" s="390" t="str">
        <f t="shared" si="27"/>
        <v/>
      </c>
      <c r="J252" s="391"/>
      <c r="K252" s="316" t="str">
        <f>IF('Inputs Whole-Project Water Use'!K252&lt;&gt;"",'Inputs Whole-Project Water Use'!K252,"")</f>
        <v/>
      </c>
      <c r="L252" s="316" t="str">
        <f>IF('Inputs Whole-Project Water Use'!L252&lt;&gt;"",'Inputs Whole-Project Water Use'!L252,"")</f>
        <v/>
      </c>
      <c r="M252" s="390" t="str">
        <f t="shared" si="28"/>
        <v/>
      </c>
      <c r="N252" s="391"/>
      <c r="O252" s="225" t="str">
        <f t="shared" si="29"/>
        <v/>
      </c>
      <c r="P252" s="225" t="str">
        <f t="shared" si="30"/>
        <v/>
      </c>
      <c r="Q252" s="289" t="str">
        <f>IF(AND(D252&lt;&gt;"",'Inputs Whole-Project Water Use'!Q252=""),0,IF('Inputs Whole-Project Water Use'!Q252&lt;&gt;"",'Inputs Whole-Project Water Use'!Q252,""))</f>
        <v/>
      </c>
      <c r="R252" s="225" t="str">
        <f t="shared" si="31"/>
        <v/>
      </c>
      <c r="S252" s="225" t="str">
        <f t="shared" si="32"/>
        <v/>
      </c>
      <c r="T252" s="231" t="str">
        <f t="shared" si="33"/>
        <v/>
      </c>
      <c r="U252" s="241"/>
      <c r="V252" s="241"/>
      <c r="W252" s="241"/>
      <c r="X252" s="241"/>
      <c r="Y252" s="241"/>
      <c r="Z252" s="241"/>
      <c r="AA252" s="241"/>
      <c r="AB252" s="241"/>
      <c r="AC252" s="241"/>
      <c r="AD252" s="241"/>
      <c r="AE252" s="241"/>
      <c r="AF252" s="241"/>
      <c r="AG252" s="241"/>
      <c r="AH252" s="241"/>
      <c r="AI252" s="241"/>
      <c r="AJ252" s="241"/>
      <c r="AK252" s="241"/>
      <c r="AL252" s="241"/>
      <c r="AM252" s="241"/>
      <c r="AN252" s="241"/>
      <c r="AO252" s="241"/>
      <c r="AP252" s="241"/>
      <c r="AQ252" s="241"/>
      <c r="AR252" s="241"/>
      <c r="AS252" s="241"/>
      <c r="AT252" s="241"/>
      <c r="AU252" s="241"/>
      <c r="AV252" s="241"/>
      <c r="AW252" s="241"/>
      <c r="AX252" s="241"/>
      <c r="AY252" s="241"/>
      <c r="AZ252" s="241"/>
    </row>
    <row r="253" spans="1:52" s="71" customFormat="1" ht="18" hidden="1" customHeight="1" outlineLevel="2">
      <c r="A253" s="175">
        <v>104</v>
      </c>
      <c r="B253" s="312" t="str">
        <f>(IF('Inputs Whole-Project Water Use'!B253&lt;&gt;"",'Inputs Whole-Project Water Use'!B253,""))</f>
        <v/>
      </c>
      <c r="C253" s="313" t="str">
        <f>IF(AND(D253&lt;&gt;"",'Inputs Whole-Project Water Use'!C253=""),1,IF('Inputs Whole-Project Water Use'!C253&lt;&gt;"",'Inputs Whole-Project Water Use'!C253,""))</f>
        <v/>
      </c>
      <c r="D253" s="397" t="str">
        <f>IF('Inputs Whole-Project Water Use'!D253&lt;&gt;"",'Inputs Whole-Project Water Use'!D253,"")</f>
        <v/>
      </c>
      <c r="E253" s="398"/>
      <c r="F253" s="314" t="str">
        <f>IF('Inputs Whole-Project Water Use'!F253&lt;&gt;"",'Inputs Whole-Project Water Use'!F253,"")</f>
        <v/>
      </c>
      <c r="G253" s="314" t="str">
        <f>IF('Inputs Whole-Project Water Use'!G253&lt;&gt;"",'Inputs Whole-Project Water Use'!G253,"")</f>
        <v/>
      </c>
      <c r="H253" s="315" t="str">
        <f>IF('Inputs Whole-Project Water Use'!H253&lt;&gt;"",'Inputs Whole-Project Water Use'!H253,"")</f>
        <v/>
      </c>
      <c r="I253" s="390" t="str">
        <f t="shared" si="27"/>
        <v/>
      </c>
      <c r="J253" s="391"/>
      <c r="K253" s="316" t="str">
        <f>IF('Inputs Whole-Project Water Use'!K253&lt;&gt;"",'Inputs Whole-Project Water Use'!K253,"")</f>
        <v/>
      </c>
      <c r="L253" s="316" t="str">
        <f>IF('Inputs Whole-Project Water Use'!L253&lt;&gt;"",'Inputs Whole-Project Water Use'!L253,"")</f>
        <v/>
      </c>
      <c r="M253" s="390" t="str">
        <f t="shared" si="28"/>
        <v/>
      </c>
      <c r="N253" s="391"/>
      <c r="O253" s="225" t="str">
        <f t="shared" si="29"/>
        <v/>
      </c>
      <c r="P253" s="225" t="str">
        <f t="shared" si="30"/>
        <v/>
      </c>
      <c r="Q253" s="289" t="str">
        <f>IF(AND(D253&lt;&gt;"",'Inputs Whole-Project Water Use'!Q253=""),0,IF('Inputs Whole-Project Water Use'!Q253&lt;&gt;"",'Inputs Whole-Project Water Use'!Q253,""))</f>
        <v/>
      </c>
      <c r="R253" s="225" t="str">
        <f t="shared" si="31"/>
        <v/>
      </c>
      <c r="S253" s="225" t="str">
        <f t="shared" si="32"/>
        <v/>
      </c>
      <c r="T253" s="231" t="str">
        <f t="shared" si="33"/>
        <v/>
      </c>
      <c r="U253" s="241"/>
      <c r="V253" s="241"/>
      <c r="W253" s="241"/>
      <c r="X253" s="241"/>
      <c r="Y253" s="241"/>
      <c r="Z253" s="241"/>
      <c r="AA253" s="241"/>
      <c r="AB253" s="241"/>
      <c r="AC253" s="241"/>
      <c r="AD253" s="241"/>
      <c r="AE253" s="241"/>
      <c r="AF253" s="241"/>
      <c r="AG253" s="241"/>
      <c r="AH253" s="241"/>
      <c r="AI253" s="241"/>
      <c r="AJ253" s="241"/>
      <c r="AK253" s="241"/>
      <c r="AL253" s="241"/>
      <c r="AM253" s="241"/>
      <c r="AN253" s="241"/>
      <c r="AO253" s="241"/>
      <c r="AP253" s="241"/>
      <c r="AQ253" s="241"/>
      <c r="AR253" s="241"/>
      <c r="AS253" s="241"/>
      <c r="AT253" s="241"/>
      <c r="AU253" s="241"/>
      <c r="AV253" s="241"/>
      <c r="AW253" s="241"/>
      <c r="AX253" s="241"/>
      <c r="AY253" s="241"/>
      <c r="AZ253" s="241"/>
    </row>
    <row r="254" spans="1:52" s="71" customFormat="1" ht="18" hidden="1" customHeight="1" outlineLevel="2">
      <c r="A254" s="175">
        <v>105</v>
      </c>
      <c r="B254" s="312" t="str">
        <f>(IF('Inputs Whole-Project Water Use'!B254&lt;&gt;"",'Inputs Whole-Project Water Use'!B254,""))</f>
        <v/>
      </c>
      <c r="C254" s="313" t="str">
        <f>IF(AND(D254&lt;&gt;"",'Inputs Whole-Project Water Use'!C254=""),1,IF('Inputs Whole-Project Water Use'!C254&lt;&gt;"",'Inputs Whole-Project Water Use'!C254,""))</f>
        <v/>
      </c>
      <c r="D254" s="397" t="str">
        <f>IF('Inputs Whole-Project Water Use'!D254&lt;&gt;"",'Inputs Whole-Project Water Use'!D254,"")</f>
        <v/>
      </c>
      <c r="E254" s="398"/>
      <c r="F254" s="314" t="str">
        <f>IF('Inputs Whole-Project Water Use'!F254&lt;&gt;"",'Inputs Whole-Project Water Use'!F254,"")</f>
        <v/>
      </c>
      <c r="G254" s="314" t="str">
        <f>IF('Inputs Whole-Project Water Use'!G254&lt;&gt;"",'Inputs Whole-Project Water Use'!G254,"")</f>
        <v/>
      </c>
      <c r="H254" s="315" t="str">
        <f>IF('Inputs Whole-Project Water Use'!H254&lt;&gt;"",'Inputs Whole-Project Water Use'!H254,"")</f>
        <v/>
      </c>
      <c r="I254" s="390" t="str">
        <f t="shared" si="27"/>
        <v/>
      </c>
      <c r="J254" s="391"/>
      <c r="K254" s="316" t="str">
        <f>IF('Inputs Whole-Project Water Use'!K254&lt;&gt;"",'Inputs Whole-Project Water Use'!K254,"")</f>
        <v/>
      </c>
      <c r="L254" s="316" t="str">
        <f>IF('Inputs Whole-Project Water Use'!L254&lt;&gt;"",'Inputs Whole-Project Water Use'!L254,"")</f>
        <v/>
      </c>
      <c r="M254" s="390" t="str">
        <f t="shared" si="28"/>
        <v/>
      </c>
      <c r="N254" s="391"/>
      <c r="O254" s="225" t="str">
        <f t="shared" si="29"/>
        <v/>
      </c>
      <c r="P254" s="225" t="str">
        <f t="shared" si="30"/>
        <v/>
      </c>
      <c r="Q254" s="289" t="str">
        <f>IF(AND(D254&lt;&gt;"",'Inputs Whole-Project Water Use'!Q254=""),0,IF('Inputs Whole-Project Water Use'!Q254&lt;&gt;"",'Inputs Whole-Project Water Use'!Q254,""))</f>
        <v/>
      </c>
      <c r="R254" s="225" t="str">
        <f t="shared" si="31"/>
        <v/>
      </c>
      <c r="S254" s="225" t="str">
        <f t="shared" si="32"/>
        <v/>
      </c>
      <c r="T254" s="231" t="str">
        <f t="shared" si="33"/>
        <v/>
      </c>
      <c r="U254" s="241"/>
      <c r="V254" s="241"/>
      <c r="W254" s="241"/>
      <c r="X254" s="241"/>
      <c r="Y254" s="241"/>
      <c r="Z254" s="241"/>
      <c r="AA254" s="241"/>
      <c r="AB254" s="241"/>
      <c r="AC254" s="241"/>
      <c r="AD254" s="241"/>
      <c r="AE254" s="241"/>
      <c r="AF254" s="241"/>
      <c r="AG254" s="241"/>
      <c r="AH254" s="241"/>
      <c r="AI254" s="241"/>
      <c r="AJ254" s="241"/>
      <c r="AK254" s="241"/>
      <c r="AL254" s="241"/>
      <c r="AM254" s="241"/>
      <c r="AN254" s="241"/>
      <c r="AO254" s="241"/>
      <c r="AP254" s="241"/>
      <c r="AQ254" s="241"/>
      <c r="AR254" s="241"/>
      <c r="AS254" s="241"/>
      <c r="AT254" s="241"/>
      <c r="AU254" s="241"/>
      <c r="AV254" s="241"/>
      <c r="AW254" s="241"/>
      <c r="AX254" s="241"/>
      <c r="AY254" s="241"/>
      <c r="AZ254" s="241"/>
    </row>
    <row r="255" spans="1:52" s="71" customFormat="1" ht="18" hidden="1" customHeight="1" outlineLevel="2">
      <c r="A255" s="175">
        <v>106</v>
      </c>
      <c r="B255" s="312" t="str">
        <f>(IF('Inputs Whole-Project Water Use'!B255&lt;&gt;"",'Inputs Whole-Project Water Use'!B255,""))</f>
        <v/>
      </c>
      <c r="C255" s="313" t="str">
        <f>IF(AND(D255&lt;&gt;"",'Inputs Whole-Project Water Use'!C255=""),1,IF('Inputs Whole-Project Water Use'!C255&lt;&gt;"",'Inputs Whole-Project Water Use'!C255,""))</f>
        <v/>
      </c>
      <c r="D255" s="397" t="str">
        <f>IF('Inputs Whole-Project Water Use'!D255&lt;&gt;"",'Inputs Whole-Project Water Use'!D255,"")</f>
        <v/>
      </c>
      <c r="E255" s="398"/>
      <c r="F255" s="314" t="str">
        <f>IF('Inputs Whole-Project Water Use'!F255&lt;&gt;"",'Inputs Whole-Project Water Use'!F255,"")</f>
        <v/>
      </c>
      <c r="G255" s="314" t="str">
        <f>IF('Inputs Whole-Project Water Use'!G255&lt;&gt;"",'Inputs Whole-Project Water Use'!G255,"")</f>
        <v/>
      </c>
      <c r="H255" s="315" t="str">
        <f>IF('Inputs Whole-Project Water Use'!H255&lt;&gt;"",'Inputs Whole-Project Water Use'!H255,"")</f>
        <v/>
      </c>
      <c r="I255" s="390" t="str">
        <f t="shared" si="27"/>
        <v/>
      </c>
      <c r="J255" s="391"/>
      <c r="K255" s="316" t="str">
        <f>IF('Inputs Whole-Project Water Use'!K255&lt;&gt;"",'Inputs Whole-Project Water Use'!K255,"")</f>
        <v/>
      </c>
      <c r="L255" s="316" t="str">
        <f>IF('Inputs Whole-Project Water Use'!L255&lt;&gt;"",'Inputs Whole-Project Water Use'!L255,"")</f>
        <v/>
      </c>
      <c r="M255" s="390" t="str">
        <f t="shared" si="28"/>
        <v/>
      </c>
      <c r="N255" s="391"/>
      <c r="O255" s="225" t="str">
        <f t="shared" si="29"/>
        <v/>
      </c>
      <c r="P255" s="225" t="str">
        <f t="shared" si="30"/>
        <v/>
      </c>
      <c r="Q255" s="289" t="str">
        <f>IF(AND(D255&lt;&gt;"",'Inputs Whole-Project Water Use'!Q255=""),0,IF('Inputs Whole-Project Water Use'!Q255&lt;&gt;"",'Inputs Whole-Project Water Use'!Q255,""))</f>
        <v/>
      </c>
      <c r="R255" s="225" t="str">
        <f t="shared" si="31"/>
        <v/>
      </c>
      <c r="S255" s="225" t="str">
        <f t="shared" si="32"/>
        <v/>
      </c>
      <c r="T255" s="231" t="str">
        <f t="shared" si="33"/>
        <v/>
      </c>
      <c r="U255" s="241"/>
      <c r="V255" s="241"/>
      <c r="W255" s="241"/>
      <c r="X255" s="241"/>
      <c r="Y255" s="241"/>
      <c r="Z255" s="241"/>
      <c r="AA255" s="241"/>
      <c r="AB255" s="241"/>
      <c r="AC255" s="241"/>
      <c r="AD255" s="241"/>
      <c r="AE255" s="241"/>
      <c r="AF255" s="241"/>
      <c r="AG255" s="241"/>
      <c r="AH255" s="241"/>
      <c r="AI255" s="241"/>
      <c r="AJ255" s="241"/>
      <c r="AK255" s="241"/>
      <c r="AL255" s="241"/>
      <c r="AM255" s="241"/>
      <c r="AN255" s="241"/>
      <c r="AO255" s="241"/>
      <c r="AP255" s="241"/>
      <c r="AQ255" s="241"/>
      <c r="AR255" s="241"/>
      <c r="AS255" s="241"/>
      <c r="AT255" s="241"/>
      <c r="AU255" s="241"/>
      <c r="AV255" s="241"/>
      <c r="AW255" s="241"/>
      <c r="AX255" s="241"/>
      <c r="AY255" s="241"/>
      <c r="AZ255" s="241"/>
    </row>
    <row r="256" spans="1:52" s="71" customFormat="1" ht="18" hidden="1" customHeight="1" outlineLevel="2">
      <c r="A256" s="175">
        <v>107</v>
      </c>
      <c r="B256" s="312" t="str">
        <f>(IF('Inputs Whole-Project Water Use'!B256&lt;&gt;"",'Inputs Whole-Project Water Use'!B256,""))</f>
        <v/>
      </c>
      <c r="C256" s="313" t="str">
        <f>IF(AND(D256&lt;&gt;"",'Inputs Whole-Project Water Use'!C256=""),1,IF('Inputs Whole-Project Water Use'!C256&lt;&gt;"",'Inputs Whole-Project Water Use'!C256,""))</f>
        <v/>
      </c>
      <c r="D256" s="397" t="str">
        <f>IF('Inputs Whole-Project Water Use'!D256&lt;&gt;"",'Inputs Whole-Project Water Use'!D256,"")</f>
        <v/>
      </c>
      <c r="E256" s="398"/>
      <c r="F256" s="314" t="str">
        <f>IF('Inputs Whole-Project Water Use'!F256&lt;&gt;"",'Inputs Whole-Project Water Use'!F256,"")</f>
        <v/>
      </c>
      <c r="G256" s="314" t="str">
        <f>IF('Inputs Whole-Project Water Use'!G256&lt;&gt;"",'Inputs Whole-Project Water Use'!G256,"")</f>
        <v/>
      </c>
      <c r="H256" s="315" t="str">
        <f>IF('Inputs Whole-Project Water Use'!H256&lt;&gt;"",'Inputs Whole-Project Water Use'!H256,"")</f>
        <v/>
      </c>
      <c r="I256" s="390" t="str">
        <f t="shared" si="27"/>
        <v/>
      </c>
      <c r="J256" s="391"/>
      <c r="K256" s="316" t="str">
        <f>IF('Inputs Whole-Project Water Use'!K256&lt;&gt;"",'Inputs Whole-Project Water Use'!K256,"")</f>
        <v/>
      </c>
      <c r="L256" s="316" t="str">
        <f>IF('Inputs Whole-Project Water Use'!L256&lt;&gt;"",'Inputs Whole-Project Water Use'!L256,"")</f>
        <v/>
      </c>
      <c r="M256" s="390" t="str">
        <f t="shared" si="28"/>
        <v/>
      </c>
      <c r="N256" s="391"/>
      <c r="O256" s="225" t="str">
        <f t="shared" si="29"/>
        <v/>
      </c>
      <c r="P256" s="225" t="str">
        <f t="shared" si="30"/>
        <v/>
      </c>
      <c r="Q256" s="289" t="str">
        <f>IF(AND(D256&lt;&gt;"",'Inputs Whole-Project Water Use'!Q256=""),0,IF('Inputs Whole-Project Water Use'!Q256&lt;&gt;"",'Inputs Whole-Project Water Use'!Q256,""))</f>
        <v/>
      </c>
      <c r="R256" s="225" t="str">
        <f t="shared" si="31"/>
        <v/>
      </c>
      <c r="S256" s="225" t="str">
        <f t="shared" si="32"/>
        <v/>
      </c>
      <c r="T256" s="231" t="str">
        <f t="shared" si="33"/>
        <v/>
      </c>
      <c r="U256" s="241"/>
      <c r="V256" s="241"/>
      <c r="W256" s="241"/>
      <c r="X256" s="241"/>
      <c r="Y256" s="241"/>
      <c r="Z256" s="241"/>
      <c r="AA256" s="241"/>
      <c r="AB256" s="241"/>
      <c r="AC256" s="241"/>
      <c r="AD256" s="241"/>
      <c r="AE256" s="241"/>
      <c r="AF256" s="241"/>
      <c r="AG256" s="241"/>
      <c r="AH256" s="241"/>
      <c r="AI256" s="241"/>
      <c r="AJ256" s="241"/>
      <c r="AK256" s="241"/>
      <c r="AL256" s="241"/>
      <c r="AM256" s="241"/>
      <c r="AN256" s="241"/>
      <c r="AO256" s="241"/>
      <c r="AP256" s="241"/>
      <c r="AQ256" s="241"/>
      <c r="AR256" s="241"/>
      <c r="AS256" s="241"/>
      <c r="AT256" s="241"/>
      <c r="AU256" s="241"/>
      <c r="AV256" s="241"/>
      <c r="AW256" s="241"/>
      <c r="AX256" s="241"/>
      <c r="AY256" s="241"/>
      <c r="AZ256" s="241"/>
    </row>
    <row r="257" spans="1:52" s="71" customFormat="1" ht="18" hidden="1" customHeight="1" outlineLevel="2">
      <c r="A257" s="175">
        <v>108</v>
      </c>
      <c r="B257" s="312" t="str">
        <f>(IF('Inputs Whole-Project Water Use'!B257&lt;&gt;"",'Inputs Whole-Project Water Use'!B257,""))</f>
        <v/>
      </c>
      <c r="C257" s="313" t="str">
        <f>IF(AND(D257&lt;&gt;"",'Inputs Whole-Project Water Use'!C257=""),1,IF('Inputs Whole-Project Water Use'!C257&lt;&gt;"",'Inputs Whole-Project Water Use'!C257,""))</f>
        <v/>
      </c>
      <c r="D257" s="397" t="str">
        <f>IF('Inputs Whole-Project Water Use'!D257&lt;&gt;"",'Inputs Whole-Project Water Use'!D257,"")</f>
        <v/>
      </c>
      <c r="E257" s="398"/>
      <c r="F257" s="314" t="str">
        <f>IF('Inputs Whole-Project Water Use'!F257&lt;&gt;"",'Inputs Whole-Project Water Use'!F257,"")</f>
        <v/>
      </c>
      <c r="G257" s="314" t="str">
        <f>IF('Inputs Whole-Project Water Use'!G257&lt;&gt;"",'Inputs Whole-Project Water Use'!G257,"")</f>
        <v/>
      </c>
      <c r="H257" s="315" t="str">
        <f>IF('Inputs Whole-Project Water Use'!H257&lt;&gt;"",'Inputs Whole-Project Water Use'!H257,"")</f>
        <v/>
      </c>
      <c r="I257" s="390" t="str">
        <f t="shared" si="27"/>
        <v/>
      </c>
      <c r="J257" s="391"/>
      <c r="K257" s="316" t="str">
        <f>IF('Inputs Whole-Project Water Use'!K257&lt;&gt;"",'Inputs Whole-Project Water Use'!K257,"")</f>
        <v/>
      </c>
      <c r="L257" s="316" t="str">
        <f>IF('Inputs Whole-Project Water Use'!L257&lt;&gt;"",'Inputs Whole-Project Water Use'!L257,"")</f>
        <v/>
      </c>
      <c r="M257" s="390" t="str">
        <f t="shared" si="28"/>
        <v/>
      </c>
      <c r="N257" s="391"/>
      <c r="O257" s="225" t="str">
        <f t="shared" si="29"/>
        <v/>
      </c>
      <c r="P257" s="225" t="str">
        <f t="shared" si="30"/>
        <v/>
      </c>
      <c r="Q257" s="289" t="str">
        <f>IF(AND(D257&lt;&gt;"",'Inputs Whole-Project Water Use'!Q257=""),0,IF('Inputs Whole-Project Water Use'!Q257&lt;&gt;"",'Inputs Whole-Project Water Use'!Q257,""))</f>
        <v/>
      </c>
      <c r="R257" s="225" t="str">
        <f t="shared" si="31"/>
        <v/>
      </c>
      <c r="S257" s="225" t="str">
        <f t="shared" si="32"/>
        <v/>
      </c>
      <c r="T257" s="231" t="str">
        <f t="shared" si="33"/>
        <v/>
      </c>
      <c r="U257" s="241"/>
      <c r="V257" s="241"/>
      <c r="W257" s="241"/>
      <c r="X257" s="241"/>
      <c r="Y257" s="241"/>
      <c r="Z257" s="241"/>
      <c r="AA257" s="241"/>
      <c r="AB257" s="241"/>
      <c r="AC257" s="241"/>
      <c r="AD257" s="241"/>
      <c r="AE257" s="241"/>
      <c r="AF257" s="241"/>
      <c r="AG257" s="241"/>
      <c r="AH257" s="241"/>
      <c r="AI257" s="241"/>
      <c r="AJ257" s="241"/>
      <c r="AK257" s="241"/>
      <c r="AL257" s="241"/>
      <c r="AM257" s="241"/>
      <c r="AN257" s="241"/>
      <c r="AO257" s="241"/>
      <c r="AP257" s="241"/>
      <c r="AQ257" s="241"/>
      <c r="AR257" s="241"/>
      <c r="AS257" s="241"/>
      <c r="AT257" s="241"/>
      <c r="AU257" s="241"/>
      <c r="AV257" s="241"/>
      <c r="AW257" s="241"/>
      <c r="AX257" s="241"/>
      <c r="AY257" s="241"/>
      <c r="AZ257" s="241"/>
    </row>
    <row r="258" spans="1:52" s="71" customFormat="1" ht="18" hidden="1" customHeight="1" outlineLevel="2">
      <c r="A258" s="175">
        <v>109</v>
      </c>
      <c r="B258" s="312" t="str">
        <f>(IF('Inputs Whole-Project Water Use'!B258&lt;&gt;"",'Inputs Whole-Project Water Use'!B258,""))</f>
        <v/>
      </c>
      <c r="C258" s="313" t="str">
        <f>IF(AND(D258&lt;&gt;"",'Inputs Whole-Project Water Use'!C258=""),1,IF('Inputs Whole-Project Water Use'!C258&lt;&gt;"",'Inputs Whole-Project Water Use'!C258,""))</f>
        <v/>
      </c>
      <c r="D258" s="397" t="str">
        <f>IF('Inputs Whole-Project Water Use'!D258&lt;&gt;"",'Inputs Whole-Project Water Use'!D258,"")</f>
        <v/>
      </c>
      <c r="E258" s="398"/>
      <c r="F258" s="314" t="str">
        <f>IF('Inputs Whole-Project Water Use'!F258&lt;&gt;"",'Inputs Whole-Project Water Use'!F258,"")</f>
        <v/>
      </c>
      <c r="G258" s="314" t="str">
        <f>IF('Inputs Whole-Project Water Use'!G258&lt;&gt;"",'Inputs Whole-Project Water Use'!G258,"")</f>
        <v/>
      </c>
      <c r="H258" s="315" t="str">
        <f>IF('Inputs Whole-Project Water Use'!H258&lt;&gt;"",'Inputs Whole-Project Water Use'!H258,"")</f>
        <v/>
      </c>
      <c r="I258" s="390" t="str">
        <f t="shared" si="27"/>
        <v/>
      </c>
      <c r="J258" s="391"/>
      <c r="K258" s="316" t="str">
        <f>IF('Inputs Whole-Project Water Use'!K258&lt;&gt;"",'Inputs Whole-Project Water Use'!K258,"")</f>
        <v/>
      </c>
      <c r="L258" s="316" t="str">
        <f>IF('Inputs Whole-Project Water Use'!L258&lt;&gt;"",'Inputs Whole-Project Water Use'!L258,"")</f>
        <v/>
      </c>
      <c r="M258" s="390" t="str">
        <f t="shared" si="28"/>
        <v/>
      </c>
      <c r="N258" s="391"/>
      <c r="O258" s="225" t="str">
        <f t="shared" si="29"/>
        <v/>
      </c>
      <c r="P258" s="225" t="str">
        <f t="shared" si="30"/>
        <v/>
      </c>
      <c r="Q258" s="289" t="str">
        <f>IF(AND(D258&lt;&gt;"",'Inputs Whole-Project Water Use'!Q258=""),0,IF('Inputs Whole-Project Water Use'!Q258&lt;&gt;"",'Inputs Whole-Project Water Use'!Q258,""))</f>
        <v/>
      </c>
      <c r="R258" s="225" t="str">
        <f t="shared" si="31"/>
        <v/>
      </c>
      <c r="S258" s="225" t="str">
        <f t="shared" si="32"/>
        <v/>
      </c>
      <c r="T258" s="231" t="str">
        <f t="shared" si="33"/>
        <v/>
      </c>
      <c r="U258" s="241"/>
      <c r="V258" s="241"/>
      <c r="W258" s="241"/>
      <c r="X258" s="241"/>
      <c r="Y258" s="241"/>
      <c r="Z258" s="241"/>
      <c r="AA258" s="241"/>
      <c r="AB258" s="241"/>
      <c r="AC258" s="241"/>
      <c r="AD258" s="241"/>
      <c r="AE258" s="241"/>
      <c r="AF258" s="241"/>
      <c r="AG258" s="241"/>
      <c r="AH258" s="241"/>
      <c r="AI258" s="241"/>
      <c r="AJ258" s="241"/>
      <c r="AK258" s="241"/>
      <c r="AL258" s="241"/>
      <c r="AM258" s="241"/>
      <c r="AN258" s="241"/>
      <c r="AO258" s="241"/>
      <c r="AP258" s="241"/>
      <c r="AQ258" s="241"/>
      <c r="AR258" s="241"/>
      <c r="AS258" s="241"/>
      <c r="AT258" s="241"/>
      <c r="AU258" s="241"/>
      <c r="AV258" s="241"/>
      <c r="AW258" s="241"/>
      <c r="AX258" s="241"/>
      <c r="AY258" s="241"/>
      <c r="AZ258" s="241"/>
    </row>
    <row r="259" spans="1:52" s="71" customFormat="1" ht="18" hidden="1" customHeight="1" outlineLevel="2">
      <c r="A259" s="175">
        <v>110</v>
      </c>
      <c r="B259" s="312" t="str">
        <f>(IF('Inputs Whole-Project Water Use'!B259&lt;&gt;"",'Inputs Whole-Project Water Use'!B259,""))</f>
        <v/>
      </c>
      <c r="C259" s="313" t="str">
        <f>IF(AND(D259&lt;&gt;"",'Inputs Whole-Project Water Use'!C259=""),1,IF('Inputs Whole-Project Water Use'!C259&lt;&gt;"",'Inputs Whole-Project Water Use'!C259,""))</f>
        <v/>
      </c>
      <c r="D259" s="397" t="str">
        <f>IF('Inputs Whole-Project Water Use'!D259&lt;&gt;"",'Inputs Whole-Project Water Use'!D259,"")</f>
        <v/>
      </c>
      <c r="E259" s="398"/>
      <c r="F259" s="314" t="str">
        <f>IF('Inputs Whole-Project Water Use'!F259&lt;&gt;"",'Inputs Whole-Project Water Use'!F259,"")</f>
        <v/>
      </c>
      <c r="G259" s="314" t="str">
        <f>IF('Inputs Whole-Project Water Use'!G259&lt;&gt;"",'Inputs Whole-Project Water Use'!G259,"")</f>
        <v/>
      </c>
      <c r="H259" s="315" t="str">
        <f>IF('Inputs Whole-Project Water Use'!H259&lt;&gt;"",'Inputs Whole-Project Water Use'!H259,"")</f>
        <v/>
      </c>
      <c r="I259" s="390" t="str">
        <f t="shared" si="27"/>
        <v/>
      </c>
      <c r="J259" s="391"/>
      <c r="K259" s="316" t="str">
        <f>IF('Inputs Whole-Project Water Use'!K259&lt;&gt;"",'Inputs Whole-Project Water Use'!K259,"")</f>
        <v/>
      </c>
      <c r="L259" s="316" t="str">
        <f>IF('Inputs Whole-Project Water Use'!L259&lt;&gt;"",'Inputs Whole-Project Water Use'!L259,"")</f>
        <v/>
      </c>
      <c r="M259" s="390" t="str">
        <f t="shared" si="28"/>
        <v/>
      </c>
      <c r="N259" s="391"/>
      <c r="O259" s="225" t="str">
        <f t="shared" si="29"/>
        <v/>
      </c>
      <c r="P259" s="225" t="str">
        <f t="shared" si="30"/>
        <v/>
      </c>
      <c r="Q259" s="289" t="str">
        <f>IF(AND(D259&lt;&gt;"",'Inputs Whole-Project Water Use'!Q259=""),0,IF('Inputs Whole-Project Water Use'!Q259&lt;&gt;"",'Inputs Whole-Project Water Use'!Q259,""))</f>
        <v/>
      </c>
      <c r="R259" s="225" t="str">
        <f t="shared" si="31"/>
        <v/>
      </c>
      <c r="S259" s="225" t="str">
        <f t="shared" si="32"/>
        <v/>
      </c>
      <c r="T259" s="231" t="str">
        <f t="shared" si="33"/>
        <v/>
      </c>
      <c r="U259" s="241"/>
      <c r="V259" s="241"/>
      <c r="W259" s="241"/>
      <c r="X259" s="241"/>
      <c r="Y259" s="241"/>
      <c r="Z259" s="241"/>
      <c r="AA259" s="241"/>
      <c r="AB259" s="241"/>
      <c r="AC259" s="241"/>
      <c r="AD259" s="241"/>
      <c r="AE259" s="241"/>
      <c r="AF259" s="241"/>
      <c r="AG259" s="241"/>
      <c r="AH259" s="241"/>
      <c r="AI259" s="241"/>
      <c r="AJ259" s="241"/>
      <c r="AK259" s="241"/>
      <c r="AL259" s="241"/>
      <c r="AM259" s="241"/>
      <c r="AN259" s="241"/>
      <c r="AO259" s="241"/>
      <c r="AP259" s="241"/>
      <c r="AQ259" s="241"/>
      <c r="AR259" s="241"/>
      <c r="AS259" s="241"/>
      <c r="AT259" s="241"/>
      <c r="AU259" s="241"/>
      <c r="AV259" s="241"/>
      <c r="AW259" s="241"/>
      <c r="AX259" s="241"/>
      <c r="AY259" s="241"/>
      <c r="AZ259" s="241"/>
    </row>
    <row r="260" spans="1:52" s="71" customFormat="1" ht="15" hidden="1" customHeight="1" outlineLevel="1" collapsed="1">
      <c r="A260" s="288"/>
      <c r="B260" s="302"/>
      <c r="C260" s="300"/>
      <c r="D260" s="300"/>
      <c r="E260" s="300"/>
      <c r="F260" s="300"/>
      <c r="G260" s="300"/>
      <c r="H260" s="300"/>
      <c r="I260" s="300"/>
      <c r="J260" s="257"/>
      <c r="K260" s="300"/>
      <c r="L260" s="300"/>
      <c r="M260" s="300"/>
      <c r="N260" s="257"/>
      <c r="O260" s="300"/>
      <c r="P260" s="300"/>
      <c r="Q260" s="300"/>
      <c r="R260" s="257"/>
      <c r="S260" s="300"/>
      <c r="T260" s="295"/>
      <c r="U260" s="176"/>
      <c r="V260" s="241"/>
      <c r="W260" s="241"/>
      <c r="X260" s="241"/>
      <c r="Y260" s="241"/>
      <c r="Z260" s="241"/>
      <c r="AA260" s="241"/>
      <c r="AB260" s="241"/>
      <c r="AC260" s="241"/>
      <c r="AD260" s="241"/>
      <c r="AE260" s="241"/>
      <c r="AF260" s="241"/>
      <c r="AG260" s="241"/>
      <c r="AH260" s="241"/>
      <c r="AI260" s="241"/>
      <c r="AJ260" s="241"/>
      <c r="AK260" s="241"/>
      <c r="AL260" s="241"/>
      <c r="AM260" s="241"/>
      <c r="AN260" s="241"/>
      <c r="AO260" s="241"/>
      <c r="AP260" s="241"/>
      <c r="AQ260" s="241"/>
      <c r="AR260" s="241"/>
      <c r="AS260" s="241"/>
      <c r="AT260" s="241"/>
      <c r="AU260" s="241"/>
      <c r="AV260" s="241"/>
      <c r="AW260" s="241"/>
      <c r="AX260" s="241"/>
      <c r="AY260" s="241"/>
      <c r="AZ260" s="241"/>
    </row>
    <row r="261" spans="1:52" ht="18" customHeight="1" collapsed="1">
      <c r="A261" s="250"/>
      <c r="B261" s="152" t="str">
        <f>'Inputs Whole-Project Water Use'!B261</f>
        <v>Total Annual Kitchen Water Use | Water Use Savings (unit)</v>
      </c>
      <c r="C261" s="153"/>
      <c r="D261" s="153"/>
      <c r="E261" s="257"/>
      <c r="F261" s="257"/>
      <c r="G261" s="257"/>
      <c r="H261" s="257"/>
      <c r="I261" s="257"/>
      <c r="J261" s="257"/>
      <c r="K261" s="257"/>
      <c r="L261" s="257"/>
      <c r="M261" s="257"/>
      <c r="N261" s="257"/>
      <c r="O261" s="309">
        <f>SUM(logic_kitchawub)</f>
        <v>0</v>
      </c>
      <c r="P261" s="309">
        <f>SUM(logic_kitchawudwoaw)</f>
        <v>0</v>
      </c>
      <c r="Q261" s="309">
        <f>SUM(logic_kitchawuawa)</f>
        <v>0</v>
      </c>
      <c r="R261" s="309">
        <f>SUM(logic_kitchawud)</f>
        <v>0</v>
      </c>
      <c r="S261" s="309">
        <f>SUM(logic_kitchawusa)</f>
        <v>0</v>
      </c>
      <c r="T261" s="231">
        <f>IFERROR(S261/O261,0)</f>
        <v>0</v>
      </c>
      <c r="U261" s="241"/>
      <c r="V261" s="241"/>
      <c r="W261" s="241"/>
      <c r="X261" s="241"/>
      <c r="Y261" s="241"/>
      <c r="Z261" s="241"/>
      <c r="AA261" s="241"/>
      <c r="AB261" s="241"/>
      <c r="AC261" s="241"/>
      <c r="AD261" s="241"/>
      <c r="AE261" s="241"/>
      <c r="AF261" s="241"/>
      <c r="AG261" s="241"/>
      <c r="AH261" s="241"/>
      <c r="AI261" s="241"/>
      <c r="AJ261" s="241"/>
      <c r="AK261" s="241"/>
      <c r="AL261" s="241"/>
      <c r="AM261" s="241"/>
      <c r="AN261" s="241"/>
      <c r="AO261" s="241"/>
      <c r="AP261" s="241"/>
      <c r="AQ261" s="241"/>
      <c r="AR261" s="241"/>
      <c r="AS261" s="241"/>
      <c r="AT261" s="241"/>
      <c r="AU261" s="241"/>
      <c r="AV261" s="241"/>
      <c r="AW261" s="241"/>
      <c r="AX261" s="241"/>
      <c r="AY261" s="241"/>
      <c r="AZ261" s="241"/>
    </row>
    <row r="262" spans="1:52" ht="18" customHeight="1">
      <c r="A262" s="250"/>
      <c r="B262" s="250"/>
      <c r="C262" s="250"/>
      <c r="D262" s="250"/>
      <c r="E262" s="250"/>
      <c r="F262" s="250"/>
      <c r="G262" s="250"/>
      <c r="H262" s="250"/>
      <c r="I262" s="250"/>
      <c r="J262" s="250"/>
      <c r="K262" s="250"/>
      <c r="L262" s="250"/>
      <c r="M262" s="250"/>
      <c r="N262" s="250"/>
      <c r="O262" s="250"/>
      <c r="P262" s="250"/>
      <c r="Q262" s="241"/>
      <c r="R262" s="318"/>
      <c r="S262" s="318"/>
      <c r="T262" s="241"/>
      <c r="U262" s="241"/>
      <c r="V262" s="241"/>
      <c r="W262" s="241"/>
      <c r="X262" s="241"/>
      <c r="Y262" s="241"/>
      <c r="Z262" s="241"/>
      <c r="AA262" s="241"/>
      <c r="AB262" s="241"/>
      <c r="AC262" s="241"/>
      <c r="AD262" s="241"/>
      <c r="AE262" s="241"/>
      <c r="AF262" s="241"/>
      <c r="AG262" s="241"/>
      <c r="AH262" s="241"/>
      <c r="AI262" s="241"/>
      <c r="AJ262" s="241"/>
      <c r="AK262" s="241"/>
      <c r="AL262" s="241"/>
      <c r="AM262" s="241"/>
      <c r="AN262" s="241"/>
      <c r="AO262" s="241"/>
      <c r="AP262" s="241"/>
      <c r="AQ262" s="241"/>
      <c r="AR262" s="241"/>
      <c r="AS262" s="241"/>
      <c r="AT262" s="241"/>
      <c r="AU262" s="241"/>
      <c r="AV262" s="241"/>
      <c r="AW262" s="241"/>
      <c r="AX262" s="241"/>
      <c r="AY262" s="241"/>
      <c r="AZ262" s="241"/>
    </row>
    <row r="263" spans="1:52" ht="18" customHeight="1">
      <c r="A263" s="250"/>
      <c r="B263" s="250"/>
      <c r="C263" s="250"/>
      <c r="D263" s="250"/>
      <c r="E263" s="250"/>
      <c r="F263" s="250"/>
      <c r="G263" s="250"/>
      <c r="H263" s="250"/>
      <c r="I263" s="250"/>
      <c r="J263" s="250"/>
      <c r="K263" s="250"/>
      <c r="L263" s="250"/>
      <c r="M263" s="250"/>
      <c r="N263" s="250"/>
      <c r="O263" s="250"/>
      <c r="P263" s="250"/>
      <c r="Q263" s="241"/>
      <c r="R263" s="241"/>
      <c r="S263" s="241"/>
      <c r="T263" s="241"/>
      <c r="U263" s="241"/>
      <c r="V263" s="241"/>
      <c r="W263" s="241"/>
      <c r="X263" s="241"/>
      <c r="Y263" s="241"/>
      <c r="Z263" s="241"/>
      <c r="AA263" s="241"/>
      <c r="AB263" s="241"/>
      <c r="AC263" s="241"/>
      <c r="AD263" s="241"/>
      <c r="AE263" s="241"/>
      <c r="AF263" s="241"/>
      <c r="AG263" s="241"/>
      <c r="AH263" s="241"/>
      <c r="AI263" s="241"/>
      <c r="AJ263" s="241"/>
      <c r="AK263" s="241"/>
      <c r="AL263" s="241"/>
      <c r="AM263" s="241"/>
      <c r="AN263" s="241"/>
      <c r="AO263" s="241"/>
      <c r="AP263" s="241"/>
      <c r="AQ263" s="241"/>
      <c r="AR263" s="241"/>
      <c r="AS263" s="241"/>
      <c r="AT263" s="241"/>
      <c r="AU263" s="241"/>
      <c r="AV263" s="241"/>
      <c r="AW263" s="241"/>
      <c r="AX263" s="241"/>
      <c r="AY263" s="241"/>
      <c r="AZ263" s="241"/>
    </row>
    <row r="264" spans="1:52" ht="18" customHeight="1">
      <c r="A264" s="250"/>
      <c r="B264" s="142" t="s">
        <v>174</v>
      </c>
      <c r="C264" s="156"/>
      <c r="D264" s="143"/>
      <c r="E264" s="143"/>
      <c r="F264" s="143"/>
      <c r="G264" s="143"/>
      <c r="H264" s="143"/>
      <c r="I264" s="143"/>
      <c r="J264" s="143"/>
      <c r="K264" s="143"/>
      <c r="L264" s="143"/>
      <c r="M264" s="143"/>
      <c r="N264" s="143"/>
      <c r="O264" s="143"/>
      <c r="P264" s="143"/>
      <c r="Q264" s="143"/>
      <c r="R264" s="143"/>
      <c r="S264" s="143"/>
      <c r="T264" s="144"/>
      <c r="U264" s="241"/>
      <c r="V264" s="241"/>
      <c r="W264" s="241"/>
      <c r="X264" s="241"/>
      <c r="Y264" s="241"/>
      <c r="Z264" s="241"/>
      <c r="AA264" s="241"/>
      <c r="AB264" s="241"/>
      <c r="AC264" s="241"/>
      <c r="AD264" s="241"/>
      <c r="AE264" s="241"/>
      <c r="AF264" s="241"/>
      <c r="AG264" s="241"/>
      <c r="AH264" s="241"/>
      <c r="AI264" s="241"/>
      <c r="AJ264" s="241"/>
      <c r="AK264" s="241"/>
      <c r="AL264" s="241"/>
      <c r="AM264" s="241"/>
      <c r="AN264" s="241"/>
      <c r="AO264" s="241"/>
      <c r="AP264" s="241"/>
      <c r="AQ264" s="241"/>
      <c r="AR264" s="241"/>
      <c r="AS264" s="241"/>
      <c r="AT264" s="241"/>
      <c r="AU264" s="241"/>
      <c r="AV264" s="241"/>
      <c r="AW264" s="241"/>
      <c r="AX264" s="241"/>
      <c r="AY264" s="241"/>
      <c r="AZ264" s="241"/>
    </row>
    <row r="265" spans="1:52" ht="18" customHeight="1">
      <c r="A265" s="232"/>
      <c r="B265" s="232"/>
      <c r="C265" s="232"/>
      <c r="D265" s="232"/>
      <c r="E265" s="232"/>
      <c r="F265" s="232"/>
      <c r="G265" s="232"/>
      <c r="H265" s="232"/>
      <c r="I265" s="232"/>
      <c r="J265" s="232"/>
      <c r="K265" s="232"/>
      <c r="L265" s="232"/>
      <c r="M265" s="232"/>
      <c r="N265" s="232"/>
      <c r="O265" s="232"/>
      <c r="P265" s="242"/>
      <c r="Q265" s="241"/>
      <c r="R265" s="241"/>
      <c r="S265" s="241"/>
      <c r="T265" s="241"/>
      <c r="U265" s="241"/>
      <c r="V265" s="241"/>
      <c r="W265" s="241"/>
      <c r="X265" s="241"/>
      <c r="Y265" s="241"/>
      <c r="Z265" s="241"/>
      <c r="AA265" s="241"/>
      <c r="AB265" s="241"/>
      <c r="AC265" s="241"/>
      <c r="AD265" s="241"/>
      <c r="AE265" s="241"/>
      <c r="AF265" s="241"/>
      <c r="AG265" s="241"/>
      <c r="AH265" s="241"/>
      <c r="AI265" s="241"/>
      <c r="AJ265" s="241"/>
      <c r="AK265" s="241"/>
      <c r="AL265" s="241"/>
      <c r="AM265" s="241"/>
      <c r="AN265" s="241"/>
      <c r="AO265" s="241"/>
      <c r="AP265" s="241"/>
      <c r="AQ265" s="241"/>
      <c r="AR265" s="241"/>
      <c r="AS265" s="241"/>
      <c r="AT265" s="241"/>
      <c r="AU265" s="241"/>
      <c r="AV265" s="241"/>
      <c r="AW265" s="241"/>
      <c r="AX265" s="241"/>
      <c r="AY265" s="241"/>
      <c r="AZ265" s="241"/>
    </row>
    <row r="266" spans="1:52" s="244" customFormat="1" ht="17.399999999999999" customHeight="1">
      <c r="A266" s="175"/>
      <c r="B266" s="240" t="s">
        <v>156</v>
      </c>
      <c r="C266" s="241"/>
      <c r="D266" s="241"/>
      <c r="E266" s="241"/>
      <c r="F266" s="241"/>
      <c r="G266" s="242"/>
      <c r="H266" s="242"/>
      <c r="I266" s="242"/>
      <c r="J266" s="242"/>
      <c r="K266" s="242"/>
      <c r="L266" s="243"/>
      <c r="M266" s="243"/>
      <c r="N266" s="243"/>
      <c r="O266" s="243"/>
      <c r="P266" s="243"/>
      <c r="Q266" s="243"/>
      <c r="R266" s="241"/>
      <c r="S266" s="243"/>
      <c r="T266" s="243"/>
      <c r="U266" s="241"/>
      <c r="V266" s="241"/>
      <c r="W266" s="241"/>
      <c r="X266" s="241"/>
      <c r="Y266" s="241"/>
      <c r="Z266" s="241"/>
      <c r="AA266" s="241"/>
      <c r="AB266" s="241"/>
      <c r="AC266" s="241"/>
      <c r="AD266" s="241"/>
      <c r="AE266" s="241"/>
      <c r="AF266" s="241"/>
      <c r="AG266" s="241"/>
      <c r="AH266" s="241"/>
      <c r="AI266" s="241"/>
      <c r="AJ266" s="241"/>
      <c r="AK266" s="241"/>
      <c r="AL266" s="241"/>
      <c r="AM266" s="241"/>
      <c r="AN266" s="241"/>
      <c r="AO266" s="241"/>
      <c r="AP266" s="241"/>
      <c r="AQ266" s="241"/>
      <c r="AR266" s="241"/>
      <c r="AS266" s="241"/>
      <c r="AT266" s="241"/>
      <c r="AU266" s="241"/>
      <c r="AV266" s="241"/>
      <c r="AW266" s="241"/>
      <c r="AX266" s="241"/>
      <c r="AY266" s="241"/>
      <c r="AZ266" s="241"/>
    </row>
    <row r="267" spans="1:52" s="71" customFormat="1" ht="18" customHeight="1">
      <c r="A267" s="250"/>
      <c r="B267" s="152" t="s">
        <v>157</v>
      </c>
      <c r="C267" s="153"/>
      <c r="D267" s="153"/>
      <c r="E267" s="153"/>
      <c r="F267" s="153"/>
      <c r="G267" s="153"/>
      <c r="H267" s="152" t="s">
        <v>158</v>
      </c>
      <c r="I267" s="234"/>
      <c r="J267" s="234"/>
      <c r="K267" s="234"/>
      <c r="L267" s="234"/>
      <c r="M267" s="234"/>
      <c r="N267" s="234"/>
      <c r="O267" s="152" t="s">
        <v>348</v>
      </c>
      <c r="P267" s="234"/>
      <c r="Q267" s="234"/>
      <c r="R267" s="234"/>
      <c r="S267" s="234"/>
      <c r="T267" s="186"/>
      <c r="U267" s="241"/>
      <c r="V267" s="241"/>
      <c r="W267" s="241"/>
      <c r="X267" s="241"/>
      <c r="Y267" s="241"/>
      <c r="Z267" s="241"/>
      <c r="AA267" s="241"/>
      <c r="AB267" s="241"/>
      <c r="AC267" s="241"/>
      <c r="AD267" s="241"/>
      <c r="AE267" s="241"/>
      <c r="AF267" s="241"/>
      <c r="AG267" s="241"/>
      <c r="AH267" s="241"/>
      <c r="AI267" s="241"/>
      <c r="AJ267" s="241"/>
      <c r="AK267" s="241"/>
      <c r="AL267" s="241"/>
      <c r="AM267" s="241"/>
      <c r="AN267" s="241"/>
      <c r="AO267" s="241"/>
      <c r="AP267" s="241"/>
      <c r="AQ267" s="241"/>
      <c r="AR267" s="241"/>
      <c r="AS267" s="241"/>
      <c r="AT267" s="241"/>
      <c r="AU267" s="241"/>
      <c r="AV267" s="241"/>
      <c r="AW267" s="241"/>
      <c r="AX267" s="241"/>
      <c r="AY267" s="241"/>
      <c r="AZ267" s="241"/>
    </row>
    <row r="268" spans="1:52" s="71" customFormat="1" ht="18" customHeight="1">
      <c r="A268" s="175" t="s">
        <v>159</v>
      </c>
      <c r="B268" s="366" t="s">
        <v>160</v>
      </c>
      <c r="C268" s="366" t="s">
        <v>161</v>
      </c>
      <c r="D268" s="381" t="s">
        <v>162</v>
      </c>
      <c r="E268" s="382"/>
      <c r="F268" s="366" t="s">
        <v>315</v>
      </c>
      <c r="G268" s="366" t="s">
        <v>349</v>
      </c>
      <c r="H268" s="357" t="s">
        <v>318</v>
      </c>
      <c r="I268" s="358"/>
      <c r="J268" s="359"/>
      <c r="K268" s="370" t="s">
        <v>347</v>
      </c>
      <c r="L268" s="371"/>
      <c r="M268" s="371"/>
      <c r="N268" s="372"/>
      <c r="O268" s="348" t="str">
        <f>CONCATENATE("Annual Water Use Baseline
(",(IF(inputs_units&lt;&gt;"",INDEX(data_genunitsvol,MATCH(inputs_units,data_genunits,0)),"unit")),")")</f>
        <v>Annual Water Use Baseline
(unit)</v>
      </c>
      <c r="P268" s="348" t="str">
        <f>CONCATENATE("Annual Water Use Design w/o Alt. Water
(",(IF(inputs_units&lt;&gt;"",INDEX(data_genunitsvol,MATCH(inputs_units,data_genunits,0)),"unit")),")")</f>
        <v>Annual Water Use Design w/o Alt. Water
(unit)</v>
      </c>
      <c r="Q268" s="346" t="str">
        <f>CONCATENATE("Annual Alternative Water Use
(",(IF(inputs_units&lt;&gt;"",INDEX(data_genunitsvol,MATCH(inputs_units,data_genunits,0)),"unit")),")")</f>
        <v>Annual Alternative Water Use
(unit)</v>
      </c>
      <c r="R268" s="348" t="str">
        <f>CONCATENATE("Annual Water Use Design
(",(IF(inputs_units&lt;&gt;"",INDEX(data_genunitsvol,MATCH(inputs_units,data_genunits,0)),"unit")),")")</f>
        <v>Annual Water Use Design
(unit)</v>
      </c>
      <c r="S268" s="348" t="str">
        <f>CONCATENATE("Annual Water Use Savings 
(",(IF(inputs_units&lt;&gt;"",INDEX(data_genunitsvol,MATCH(inputs_units,data_genunits,0)),"unit")),")")</f>
        <v>Annual Water Use Savings 
(unit)</v>
      </c>
      <c r="T268" s="348" t="s">
        <v>360</v>
      </c>
      <c r="U268" s="241"/>
      <c r="V268" s="241"/>
      <c r="W268" s="241"/>
      <c r="X268" s="241"/>
      <c r="Y268" s="241"/>
      <c r="Z268" s="241"/>
      <c r="AA268" s="241"/>
      <c r="AB268" s="241"/>
      <c r="AC268" s="241"/>
      <c r="AD268" s="241"/>
      <c r="AE268" s="241"/>
      <c r="AF268" s="241"/>
      <c r="AG268" s="241"/>
      <c r="AH268" s="241"/>
      <c r="AI268" s="241"/>
      <c r="AJ268" s="241"/>
      <c r="AK268" s="241"/>
      <c r="AL268" s="241"/>
      <c r="AM268" s="241"/>
      <c r="AN268" s="241"/>
      <c r="AO268" s="241"/>
      <c r="AP268" s="241"/>
      <c r="AQ268" s="241"/>
      <c r="AR268" s="241"/>
      <c r="AS268" s="241"/>
      <c r="AT268" s="241"/>
      <c r="AU268" s="241"/>
      <c r="AV268" s="241"/>
      <c r="AW268" s="241"/>
      <c r="AX268" s="241"/>
      <c r="AY268" s="241"/>
      <c r="AZ268" s="241"/>
    </row>
    <row r="269" spans="1:52" s="71" customFormat="1" ht="18" customHeight="1">
      <c r="A269" s="175"/>
      <c r="B269" s="367"/>
      <c r="C269" s="367"/>
      <c r="D269" s="383"/>
      <c r="E269" s="384"/>
      <c r="F269" s="367"/>
      <c r="G269" s="367"/>
      <c r="H269" s="348" t="s">
        <v>346</v>
      </c>
      <c r="I269" s="351" t="s">
        <v>153</v>
      </c>
      <c r="J269" s="352"/>
      <c r="K269" s="348" t="s">
        <v>163</v>
      </c>
      <c r="L269" s="348" t="s">
        <v>164</v>
      </c>
      <c r="M269" s="351" t="s">
        <v>153</v>
      </c>
      <c r="N269" s="352"/>
      <c r="O269" s="349"/>
      <c r="P269" s="349"/>
      <c r="Q269" s="347"/>
      <c r="R269" s="349"/>
      <c r="S269" s="349"/>
      <c r="T269" s="349"/>
      <c r="U269" s="241"/>
      <c r="V269" s="241"/>
      <c r="W269" s="241"/>
      <c r="X269" s="241"/>
      <c r="Y269" s="241"/>
      <c r="Z269" s="241"/>
      <c r="AA269" s="241"/>
      <c r="AB269" s="241"/>
      <c r="AC269" s="241"/>
      <c r="AD269" s="241"/>
      <c r="AE269" s="241"/>
      <c r="AF269" s="241"/>
      <c r="AG269" s="241"/>
      <c r="AH269" s="241"/>
      <c r="AI269" s="241"/>
      <c r="AJ269" s="241"/>
      <c r="AK269" s="241"/>
      <c r="AL269" s="241"/>
      <c r="AM269" s="241"/>
      <c r="AN269" s="241"/>
      <c r="AO269" s="241"/>
      <c r="AP269" s="241"/>
      <c r="AQ269" s="241"/>
      <c r="AR269" s="241"/>
      <c r="AS269" s="241"/>
      <c r="AT269" s="241"/>
      <c r="AU269" s="241"/>
      <c r="AV269" s="241"/>
      <c r="AW269" s="241"/>
      <c r="AX269" s="241"/>
      <c r="AY269" s="241"/>
      <c r="AZ269" s="241"/>
    </row>
    <row r="270" spans="1:52" s="71" customFormat="1" ht="18" customHeight="1">
      <c r="A270" s="175"/>
      <c r="B270" s="368"/>
      <c r="C270" s="368"/>
      <c r="D270" s="385"/>
      <c r="E270" s="386"/>
      <c r="F270" s="368"/>
      <c r="G270" s="368"/>
      <c r="H270" s="350"/>
      <c r="I270" s="353"/>
      <c r="J270" s="354"/>
      <c r="K270" s="350"/>
      <c r="L270" s="350"/>
      <c r="M270" s="353"/>
      <c r="N270" s="354"/>
      <c r="O270" s="350"/>
      <c r="P270" s="350"/>
      <c r="Q270" s="301" t="s">
        <v>298</v>
      </c>
      <c r="R270" s="350"/>
      <c r="S270" s="350"/>
      <c r="T270" s="350"/>
      <c r="U270" s="241"/>
      <c r="V270" s="241"/>
      <c r="W270" s="241"/>
      <c r="X270" s="241"/>
      <c r="Y270" s="241"/>
      <c r="Z270" s="241"/>
      <c r="AA270" s="241"/>
      <c r="AB270" s="241"/>
      <c r="AC270" s="241"/>
      <c r="AD270" s="241"/>
      <c r="AE270" s="241"/>
      <c r="AF270" s="241"/>
      <c r="AG270" s="241"/>
      <c r="AH270" s="241"/>
      <c r="AI270" s="241"/>
      <c r="AJ270" s="241"/>
      <c r="AK270" s="241"/>
      <c r="AL270" s="241"/>
      <c r="AM270" s="241"/>
      <c r="AN270" s="241"/>
      <c r="AO270" s="241"/>
      <c r="AP270" s="241"/>
      <c r="AQ270" s="241"/>
      <c r="AR270" s="241"/>
      <c r="AS270" s="241"/>
      <c r="AT270" s="241"/>
      <c r="AU270" s="241"/>
      <c r="AV270" s="241"/>
      <c r="AW270" s="241"/>
      <c r="AX270" s="241"/>
      <c r="AY270" s="241"/>
      <c r="AZ270" s="241"/>
    </row>
    <row r="271" spans="1:52" s="71" customFormat="1" ht="18" customHeight="1">
      <c r="A271" s="175">
        <v>1</v>
      </c>
      <c r="B271" s="312" t="str">
        <f>(IF('Inputs Whole-Project Water Use'!B271&lt;&gt;"",'Inputs Whole-Project Water Use'!B271,""))</f>
        <v/>
      </c>
      <c r="C271" s="313" t="str">
        <f>IF(AND(D271&lt;&gt;"",'Inputs Whole-Project Water Use'!C271=""),1,IF('Inputs Whole-Project Water Use'!C271&lt;&gt;"",'Inputs Whole-Project Water Use'!C271,""))</f>
        <v/>
      </c>
      <c r="D271" s="397" t="str">
        <f>IF('Inputs Whole-Project Water Use'!D271&lt;&gt;"",'Inputs Whole-Project Water Use'!D271,"")</f>
        <v/>
      </c>
      <c r="E271" s="398"/>
      <c r="F271" s="314" t="str">
        <f>IF('Inputs Whole-Project Water Use'!F271&lt;&gt;"",'Inputs Whole-Project Water Use'!F271,"")</f>
        <v/>
      </c>
      <c r="G271" s="314" t="str">
        <f>IF('Inputs Whole-Project Water Use'!G271&lt;&gt;"",'Inputs Whole-Project Water Use'!G271,"")</f>
        <v/>
      </c>
      <c r="H271" s="315" t="str">
        <f>IF('Inputs Whole-Project Water Use'!H271&lt;&gt;"",'Inputs Whole-Project Water Use'!H271,"")</f>
        <v/>
      </c>
      <c r="I271" s="390" t="str">
        <f t="shared" ref="I271:I334" si="34">IFERROR(IF(logic_units&lt;&gt;"SI Units",INDEX(data_dumip,MATCH($D271,data_waterusetypes,0)),INDEX(data_dumsi,MATCH($D271,data_waterusetypes,0))),"")</f>
        <v/>
      </c>
      <c r="J271" s="391"/>
      <c r="K271" s="316" t="str">
        <f>IF('Inputs Whole-Project Water Use'!K271&lt;&gt;"",'Inputs Whole-Project Water Use'!K271,"")</f>
        <v/>
      </c>
      <c r="L271" s="316" t="str">
        <f>IF('Inputs Whole-Project Water Use'!L271&lt;&gt;"",'Inputs Whole-Project Water Use'!L271,"")</f>
        <v/>
      </c>
      <c r="M271" s="390" t="str">
        <f t="shared" ref="M271:M334" si="35">IFERROR(IF(logic_units&lt;&gt;"SI Units",INDEX(data_wurip,MATCH($D271,data_waterusetypes,0)),INDEX(data_wursi,MATCH($D271,data_waterusetypes,0))),"")</f>
        <v/>
      </c>
      <c r="N271" s="391"/>
      <c r="O271" s="225" t="str">
        <f>IFERROR(IF(OR($F271&lt;&gt;"",$G271&lt;&gt;"",$H271&lt;&gt;"",K271&lt;&gt;""),$C271*$F271*$G271*$H271*K271,""),"")</f>
        <v/>
      </c>
      <c r="P271" s="225" t="str">
        <f>IFERROR(IF(OR($F271&lt;&gt;"",$G271&lt;&gt;"",$H271&lt;&gt;"",L271&lt;&gt;""),$C271*$F271*$G271*$H271*L271,""),"")</f>
        <v/>
      </c>
      <c r="Q271" s="289" t="str">
        <f>IF(AND(D271&lt;&gt;"",'Inputs Whole-Project Water Use'!Q271=""),0,IF('Inputs Whole-Project Water Use'!Q271&lt;&gt;"",'Inputs Whole-Project Water Use'!Q271,""))</f>
        <v/>
      </c>
      <c r="R271" s="225" t="str">
        <f>IFERROR(IF(P271&lt;&gt;"",(P271-Q271),""),"")</f>
        <v/>
      </c>
      <c r="S271" s="225" t="str">
        <f>IFERROR(IF(OR(O271&lt;&gt;"",P271&lt;&gt;""),O271-R271,""),"")</f>
        <v/>
      </c>
      <c r="T271" s="231" t="str">
        <f>IFERROR(S271/O271,"")</f>
        <v/>
      </c>
      <c r="U271" s="241"/>
      <c r="V271" s="241"/>
      <c r="W271" s="241"/>
      <c r="X271" s="241"/>
      <c r="Y271" s="241"/>
      <c r="Z271" s="241"/>
      <c r="AA271" s="241"/>
      <c r="AB271" s="241"/>
      <c r="AC271" s="241"/>
      <c r="AD271" s="241"/>
      <c r="AE271" s="241"/>
      <c r="AF271" s="241"/>
      <c r="AG271" s="241"/>
      <c r="AH271" s="241"/>
      <c r="AI271" s="241"/>
      <c r="AJ271" s="241"/>
      <c r="AK271" s="241"/>
      <c r="AL271" s="241"/>
      <c r="AM271" s="241"/>
      <c r="AN271" s="241"/>
      <c r="AO271" s="241"/>
      <c r="AP271" s="241"/>
      <c r="AQ271" s="241"/>
      <c r="AR271" s="241"/>
      <c r="AS271" s="241"/>
      <c r="AT271" s="241"/>
      <c r="AU271" s="241"/>
      <c r="AV271" s="241"/>
      <c r="AW271" s="241"/>
      <c r="AX271" s="241"/>
      <c r="AY271" s="241"/>
      <c r="AZ271" s="241"/>
    </row>
    <row r="272" spans="1:52" s="71" customFormat="1" ht="18" customHeight="1">
      <c r="A272" s="175">
        <v>2</v>
      </c>
      <c r="B272" s="312" t="str">
        <f>(IF('Inputs Whole-Project Water Use'!B272&lt;&gt;"",'Inputs Whole-Project Water Use'!B272,""))</f>
        <v/>
      </c>
      <c r="C272" s="313" t="str">
        <f>IF(AND(D272&lt;&gt;"",'Inputs Whole-Project Water Use'!C272=""),1,IF('Inputs Whole-Project Water Use'!C272&lt;&gt;"",'Inputs Whole-Project Water Use'!C272,""))</f>
        <v/>
      </c>
      <c r="D272" s="397" t="str">
        <f>IF('Inputs Whole-Project Water Use'!D272&lt;&gt;"",'Inputs Whole-Project Water Use'!D272,"")</f>
        <v/>
      </c>
      <c r="E272" s="398"/>
      <c r="F272" s="314" t="str">
        <f>IF('Inputs Whole-Project Water Use'!F272&lt;&gt;"",'Inputs Whole-Project Water Use'!F272,"")</f>
        <v/>
      </c>
      <c r="G272" s="314" t="str">
        <f>IF('Inputs Whole-Project Water Use'!G272&lt;&gt;"",'Inputs Whole-Project Water Use'!G272,"")</f>
        <v/>
      </c>
      <c r="H272" s="315" t="str">
        <f>IF('Inputs Whole-Project Water Use'!H272&lt;&gt;"",'Inputs Whole-Project Water Use'!H272,"")</f>
        <v/>
      </c>
      <c r="I272" s="390" t="str">
        <f t="shared" si="34"/>
        <v/>
      </c>
      <c r="J272" s="391"/>
      <c r="K272" s="316" t="str">
        <f>IF('Inputs Whole-Project Water Use'!K272&lt;&gt;"",'Inputs Whole-Project Water Use'!K272,"")</f>
        <v/>
      </c>
      <c r="L272" s="316" t="str">
        <f>IF('Inputs Whole-Project Water Use'!L272&lt;&gt;"",'Inputs Whole-Project Water Use'!L272,"")</f>
        <v/>
      </c>
      <c r="M272" s="390" t="str">
        <f t="shared" si="35"/>
        <v/>
      </c>
      <c r="N272" s="391"/>
      <c r="O272" s="225" t="str">
        <f t="shared" ref="O272:O335" si="36">IFERROR(IF(OR($F272&lt;&gt;"",$G272&lt;&gt;"",$H272&lt;&gt;"",K272&lt;&gt;""),$C272*$F272*$G272*$H272*K272,""),"")</f>
        <v/>
      </c>
      <c r="P272" s="225" t="str">
        <f t="shared" ref="P272:P335" si="37">IFERROR(IF(OR($F272&lt;&gt;"",$G272&lt;&gt;"",$H272&lt;&gt;"",L272&lt;&gt;""),$C272*$F272*$G272*$H272*L272,""),"")</f>
        <v/>
      </c>
      <c r="Q272" s="289" t="str">
        <f>IF(AND(D272&lt;&gt;"",'Inputs Whole-Project Water Use'!Q272=""),0,IF('Inputs Whole-Project Water Use'!Q272&lt;&gt;"",'Inputs Whole-Project Water Use'!Q272,""))</f>
        <v/>
      </c>
      <c r="R272" s="225" t="str">
        <f t="shared" ref="R272:R335" si="38">IFERROR(IF(P272&lt;&gt;"",(P272-Q272),""),"")</f>
        <v/>
      </c>
      <c r="S272" s="225" t="str">
        <f t="shared" ref="S272:S335" si="39">IFERROR(IF(OR(O272&lt;&gt;"",P272&lt;&gt;""),O272-R272,""),"")</f>
        <v/>
      </c>
      <c r="T272" s="231" t="str">
        <f t="shared" ref="T272:T335" si="40">IFERROR(S272/O272,"")</f>
        <v/>
      </c>
      <c r="U272" s="241"/>
      <c r="V272" s="241"/>
      <c r="W272" s="241"/>
      <c r="X272" s="241"/>
      <c r="Y272" s="241"/>
      <c r="Z272" s="241"/>
      <c r="AA272" s="241"/>
      <c r="AB272" s="241"/>
      <c r="AC272" s="241"/>
      <c r="AD272" s="241"/>
      <c r="AE272" s="241"/>
      <c r="AF272" s="241"/>
      <c r="AG272" s="241"/>
      <c r="AH272" s="241"/>
      <c r="AI272" s="241"/>
      <c r="AJ272" s="241"/>
      <c r="AK272" s="241"/>
      <c r="AL272" s="241"/>
      <c r="AM272" s="241"/>
      <c r="AN272" s="241"/>
      <c r="AO272" s="241"/>
      <c r="AP272" s="241"/>
      <c r="AQ272" s="241"/>
      <c r="AR272" s="241"/>
      <c r="AS272" s="241"/>
      <c r="AT272" s="241"/>
      <c r="AU272" s="241"/>
      <c r="AV272" s="241"/>
      <c r="AW272" s="241"/>
      <c r="AX272" s="241"/>
      <c r="AY272" s="241"/>
      <c r="AZ272" s="241"/>
    </row>
    <row r="273" spans="1:52" s="71" customFormat="1" ht="18" customHeight="1">
      <c r="A273" s="175">
        <v>3</v>
      </c>
      <c r="B273" s="312" t="str">
        <f>(IF('Inputs Whole-Project Water Use'!B273&lt;&gt;"",'Inputs Whole-Project Water Use'!B273,""))</f>
        <v/>
      </c>
      <c r="C273" s="313" t="str">
        <f>IF(AND(D273&lt;&gt;"",'Inputs Whole-Project Water Use'!C273=""),1,IF('Inputs Whole-Project Water Use'!C273&lt;&gt;"",'Inputs Whole-Project Water Use'!C273,""))</f>
        <v/>
      </c>
      <c r="D273" s="397" t="str">
        <f>IF('Inputs Whole-Project Water Use'!D273&lt;&gt;"",'Inputs Whole-Project Water Use'!D273,"")</f>
        <v/>
      </c>
      <c r="E273" s="398"/>
      <c r="F273" s="314" t="str">
        <f>IF('Inputs Whole-Project Water Use'!F273&lt;&gt;"",'Inputs Whole-Project Water Use'!F273,"")</f>
        <v/>
      </c>
      <c r="G273" s="314" t="str">
        <f>IF('Inputs Whole-Project Water Use'!G273&lt;&gt;"",'Inputs Whole-Project Water Use'!G273,"")</f>
        <v/>
      </c>
      <c r="H273" s="315" t="str">
        <f>IF('Inputs Whole-Project Water Use'!H273&lt;&gt;"",'Inputs Whole-Project Water Use'!H273,"")</f>
        <v/>
      </c>
      <c r="I273" s="390" t="str">
        <f t="shared" si="34"/>
        <v/>
      </c>
      <c r="J273" s="391"/>
      <c r="K273" s="316" t="str">
        <f>IF('Inputs Whole-Project Water Use'!K273&lt;&gt;"",'Inputs Whole-Project Water Use'!K273,"")</f>
        <v/>
      </c>
      <c r="L273" s="316" t="str">
        <f>IF('Inputs Whole-Project Water Use'!L273&lt;&gt;"",'Inputs Whole-Project Water Use'!L273,"")</f>
        <v/>
      </c>
      <c r="M273" s="390" t="str">
        <f t="shared" si="35"/>
        <v/>
      </c>
      <c r="N273" s="391"/>
      <c r="O273" s="225" t="str">
        <f t="shared" si="36"/>
        <v/>
      </c>
      <c r="P273" s="225" t="str">
        <f t="shared" si="37"/>
        <v/>
      </c>
      <c r="Q273" s="289" t="str">
        <f>IF(AND(D273&lt;&gt;"",'Inputs Whole-Project Water Use'!Q273=""),0,IF('Inputs Whole-Project Water Use'!Q273&lt;&gt;"",'Inputs Whole-Project Water Use'!Q273,""))</f>
        <v/>
      </c>
      <c r="R273" s="225" t="str">
        <f t="shared" si="38"/>
        <v/>
      </c>
      <c r="S273" s="225" t="str">
        <f t="shared" si="39"/>
        <v/>
      </c>
      <c r="T273" s="231" t="str">
        <f t="shared" si="40"/>
        <v/>
      </c>
      <c r="U273" s="241"/>
      <c r="V273" s="241"/>
      <c r="W273" s="241"/>
      <c r="X273" s="241"/>
      <c r="Y273" s="241"/>
      <c r="Z273" s="241"/>
      <c r="AA273" s="241"/>
      <c r="AB273" s="241"/>
      <c r="AC273" s="241"/>
      <c r="AD273" s="241"/>
      <c r="AE273" s="241"/>
      <c r="AF273" s="241"/>
      <c r="AG273" s="241"/>
      <c r="AH273" s="241"/>
      <c r="AI273" s="241"/>
      <c r="AJ273" s="241"/>
      <c r="AK273" s="241"/>
      <c r="AL273" s="241"/>
      <c r="AM273" s="241"/>
      <c r="AN273" s="241"/>
      <c r="AO273" s="241"/>
      <c r="AP273" s="241"/>
      <c r="AQ273" s="241"/>
      <c r="AR273" s="241"/>
      <c r="AS273" s="241"/>
      <c r="AT273" s="241"/>
      <c r="AU273" s="241"/>
      <c r="AV273" s="241"/>
      <c r="AW273" s="241"/>
      <c r="AX273" s="241"/>
      <c r="AY273" s="241"/>
      <c r="AZ273" s="241"/>
    </row>
    <row r="274" spans="1:52" s="71" customFormat="1" ht="18" customHeight="1">
      <c r="A274" s="175">
        <v>4</v>
      </c>
      <c r="B274" s="312" t="str">
        <f>(IF('Inputs Whole-Project Water Use'!B274&lt;&gt;"",'Inputs Whole-Project Water Use'!B274,""))</f>
        <v/>
      </c>
      <c r="C274" s="313" t="str">
        <f>IF(AND(D274&lt;&gt;"",'Inputs Whole-Project Water Use'!C274=""),1,IF('Inputs Whole-Project Water Use'!C274&lt;&gt;"",'Inputs Whole-Project Water Use'!C274,""))</f>
        <v/>
      </c>
      <c r="D274" s="397" t="str">
        <f>IF('Inputs Whole-Project Water Use'!D274&lt;&gt;"",'Inputs Whole-Project Water Use'!D274,"")</f>
        <v/>
      </c>
      <c r="E274" s="398"/>
      <c r="F274" s="314" t="str">
        <f>IF('Inputs Whole-Project Water Use'!F274&lt;&gt;"",'Inputs Whole-Project Water Use'!F274,"")</f>
        <v/>
      </c>
      <c r="G274" s="314" t="str">
        <f>IF('Inputs Whole-Project Water Use'!G274&lt;&gt;"",'Inputs Whole-Project Water Use'!G274,"")</f>
        <v/>
      </c>
      <c r="H274" s="315" t="str">
        <f>IF('Inputs Whole-Project Water Use'!H274&lt;&gt;"",'Inputs Whole-Project Water Use'!H274,"")</f>
        <v/>
      </c>
      <c r="I274" s="390" t="str">
        <f t="shared" si="34"/>
        <v/>
      </c>
      <c r="J274" s="391"/>
      <c r="K274" s="316" t="str">
        <f>IF('Inputs Whole-Project Water Use'!K274&lt;&gt;"",'Inputs Whole-Project Water Use'!K274,"")</f>
        <v/>
      </c>
      <c r="L274" s="316" t="str">
        <f>IF('Inputs Whole-Project Water Use'!L274&lt;&gt;"",'Inputs Whole-Project Water Use'!L274,"")</f>
        <v/>
      </c>
      <c r="M274" s="390" t="str">
        <f t="shared" si="35"/>
        <v/>
      </c>
      <c r="N274" s="391"/>
      <c r="O274" s="225" t="str">
        <f t="shared" si="36"/>
        <v/>
      </c>
      <c r="P274" s="225" t="str">
        <f t="shared" si="37"/>
        <v/>
      </c>
      <c r="Q274" s="289" t="str">
        <f>IF(AND(D274&lt;&gt;"",'Inputs Whole-Project Water Use'!Q274=""),0,IF('Inputs Whole-Project Water Use'!Q274&lt;&gt;"",'Inputs Whole-Project Water Use'!Q274,""))</f>
        <v/>
      </c>
      <c r="R274" s="225" t="str">
        <f t="shared" si="38"/>
        <v/>
      </c>
      <c r="S274" s="225" t="str">
        <f t="shared" si="39"/>
        <v/>
      </c>
      <c r="T274" s="231" t="str">
        <f t="shared" si="40"/>
        <v/>
      </c>
      <c r="U274" s="241"/>
      <c r="V274" s="241"/>
      <c r="W274" s="241"/>
      <c r="X274" s="241"/>
      <c r="Y274" s="241"/>
      <c r="Z274" s="241"/>
      <c r="AA274" s="241"/>
      <c r="AB274" s="241"/>
      <c r="AC274" s="241"/>
      <c r="AD274" s="241"/>
      <c r="AE274" s="241"/>
      <c r="AF274" s="241"/>
      <c r="AG274" s="241"/>
      <c r="AH274" s="241"/>
      <c r="AI274" s="241"/>
      <c r="AJ274" s="241"/>
      <c r="AK274" s="241"/>
      <c r="AL274" s="241"/>
      <c r="AM274" s="241"/>
      <c r="AN274" s="241"/>
      <c r="AO274" s="241"/>
      <c r="AP274" s="241"/>
      <c r="AQ274" s="241"/>
      <c r="AR274" s="241"/>
      <c r="AS274" s="241"/>
      <c r="AT274" s="241"/>
      <c r="AU274" s="241"/>
      <c r="AV274" s="241"/>
      <c r="AW274" s="241"/>
      <c r="AX274" s="241"/>
      <c r="AY274" s="241"/>
      <c r="AZ274" s="241"/>
    </row>
    <row r="275" spans="1:52" s="71" customFormat="1" ht="18" customHeight="1">
      <c r="A275" s="175">
        <v>5</v>
      </c>
      <c r="B275" s="312" t="str">
        <f>(IF('Inputs Whole-Project Water Use'!B275&lt;&gt;"",'Inputs Whole-Project Water Use'!B275,""))</f>
        <v/>
      </c>
      <c r="C275" s="313" t="str">
        <f>IF(AND(D275&lt;&gt;"",'Inputs Whole-Project Water Use'!C275=""),1,IF('Inputs Whole-Project Water Use'!C275&lt;&gt;"",'Inputs Whole-Project Water Use'!C275,""))</f>
        <v/>
      </c>
      <c r="D275" s="397" t="str">
        <f>IF('Inputs Whole-Project Water Use'!D275&lt;&gt;"",'Inputs Whole-Project Water Use'!D275,"")</f>
        <v/>
      </c>
      <c r="E275" s="398"/>
      <c r="F275" s="314" t="str">
        <f>IF('Inputs Whole-Project Water Use'!F275&lt;&gt;"",'Inputs Whole-Project Water Use'!F275,"")</f>
        <v/>
      </c>
      <c r="G275" s="314" t="str">
        <f>IF('Inputs Whole-Project Water Use'!G275&lt;&gt;"",'Inputs Whole-Project Water Use'!G275,"")</f>
        <v/>
      </c>
      <c r="H275" s="315" t="str">
        <f>IF('Inputs Whole-Project Water Use'!H275&lt;&gt;"",'Inputs Whole-Project Water Use'!H275,"")</f>
        <v/>
      </c>
      <c r="I275" s="390" t="str">
        <f t="shared" si="34"/>
        <v/>
      </c>
      <c r="J275" s="391"/>
      <c r="K275" s="316" t="str">
        <f>IF('Inputs Whole-Project Water Use'!K275&lt;&gt;"",'Inputs Whole-Project Water Use'!K275,"")</f>
        <v/>
      </c>
      <c r="L275" s="316" t="str">
        <f>IF('Inputs Whole-Project Water Use'!L275&lt;&gt;"",'Inputs Whole-Project Water Use'!L275,"")</f>
        <v/>
      </c>
      <c r="M275" s="390" t="str">
        <f t="shared" si="35"/>
        <v/>
      </c>
      <c r="N275" s="391"/>
      <c r="O275" s="225" t="str">
        <f t="shared" si="36"/>
        <v/>
      </c>
      <c r="P275" s="225" t="str">
        <f t="shared" si="37"/>
        <v/>
      </c>
      <c r="Q275" s="289" t="str">
        <f>IF(AND(D275&lt;&gt;"",'Inputs Whole-Project Water Use'!Q275=""),0,IF('Inputs Whole-Project Water Use'!Q275&lt;&gt;"",'Inputs Whole-Project Water Use'!Q275,""))</f>
        <v/>
      </c>
      <c r="R275" s="225" t="str">
        <f t="shared" si="38"/>
        <v/>
      </c>
      <c r="S275" s="225" t="str">
        <f t="shared" si="39"/>
        <v/>
      </c>
      <c r="T275" s="231" t="str">
        <f t="shared" si="40"/>
        <v/>
      </c>
      <c r="U275" s="241"/>
      <c r="V275" s="241"/>
      <c r="W275" s="241"/>
      <c r="X275" s="241"/>
      <c r="Y275" s="241"/>
      <c r="Z275" s="241"/>
      <c r="AA275" s="241"/>
      <c r="AB275" s="241"/>
      <c r="AC275" s="241"/>
      <c r="AD275" s="241"/>
      <c r="AE275" s="241"/>
      <c r="AF275" s="241"/>
      <c r="AG275" s="241"/>
      <c r="AH275" s="241"/>
      <c r="AI275" s="241"/>
      <c r="AJ275" s="241"/>
      <c r="AK275" s="241"/>
      <c r="AL275" s="241"/>
      <c r="AM275" s="241"/>
      <c r="AN275" s="241"/>
      <c r="AO275" s="241"/>
      <c r="AP275" s="241"/>
      <c r="AQ275" s="241"/>
      <c r="AR275" s="241"/>
      <c r="AS275" s="241"/>
      <c r="AT275" s="241"/>
      <c r="AU275" s="241"/>
      <c r="AV275" s="241"/>
      <c r="AW275" s="241"/>
      <c r="AX275" s="241"/>
      <c r="AY275" s="241"/>
      <c r="AZ275" s="241"/>
    </row>
    <row r="276" spans="1:52" s="71" customFormat="1" ht="18" customHeight="1">
      <c r="A276" s="175">
        <v>6</v>
      </c>
      <c r="B276" s="312" t="str">
        <f>(IF('Inputs Whole-Project Water Use'!B276&lt;&gt;"",'Inputs Whole-Project Water Use'!B276,""))</f>
        <v/>
      </c>
      <c r="C276" s="313" t="str">
        <f>IF(AND(D276&lt;&gt;"",'Inputs Whole-Project Water Use'!C276=""),1,IF('Inputs Whole-Project Water Use'!C276&lt;&gt;"",'Inputs Whole-Project Water Use'!C276,""))</f>
        <v/>
      </c>
      <c r="D276" s="397" t="str">
        <f>IF('Inputs Whole-Project Water Use'!D276&lt;&gt;"",'Inputs Whole-Project Water Use'!D276,"")</f>
        <v/>
      </c>
      <c r="E276" s="398"/>
      <c r="F276" s="314" t="str">
        <f>IF('Inputs Whole-Project Water Use'!F276&lt;&gt;"",'Inputs Whole-Project Water Use'!F276,"")</f>
        <v/>
      </c>
      <c r="G276" s="314" t="str">
        <f>IF('Inputs Whole-Project Water Use'!G276&lt;&gt;"",'Inputs Whole-Project Water Use'!G276,"")</f>
        <v/>
      </c>
      <c r="H276" s="315" t="str">
        <f>IF('Inputs Whole-Project Water Use'!H276&lt;&gt;"",'Inputs Whole-Project Water Use'!H276,"")</f>
        <v/>
      </c>
      <c r="I276" s="390" t="str">
        <f t="shared" si="34"/>
        <v/>
      </c>
      <c r="J276" s="391"/>
      <c r="K276" s="316" t="str">
        <f>IF('Inputs Whole-Project Water Use'!K276&lt;&gt;"",'Inputs Whole-Project Water Use'!K276,"")</f>
        <v/>
      </c>
      <c r="L276" s="316" t="str">
        <f>IF('Inputs Whole-Project Water Use'!L276&lt;&gt;"",'Inputs Whole-Project Water Use'!L276,"")</f>
        <v/>
      </c>
      <c r="M276" s="390" t="str">
        <f t="shared" si="35"/>
        <v/>
      </c>
      <c r="N276" s="391"/>
      <c r="O276" s="225" t="str">
        <f t="shared" si="36"/>
        <v/>
      </c>
      <c r="P276" s="225" t="str">
        <f t="shared" si="37"/>
        <v/>
      </c>
      <c r="Q276" s="289" t="str">
        <f>IF(AND(D276&lt;&gt;"",'Inputs Whole-Project Water Use'!Q276=""),0,IF('Inputs Whole-Project Water Use'!Q276&lt;&gt;"",'Inputs Whole-Project Water Use'!Q276,""))</f>
        <v/>
      </c>
      <c r="R276" s="225" t="str">
        <f t="shared" si="38"/>
        <v/>
      </c>
      <c r="S276" s="225" t="str">
        <f t="shared" si="39"/>
        <v/>
      </c>
      <c r="T276" s="231" t="str">
        <f t="shared" si="40"/>
        <v/>
      </c>
      <c r="U276" s="241"/>
      <c r="V276" s="241"/>
      <c r="W276" s="241"/>
      <c r="X276" s="241"/>
      <c r="Y276" s="241"/>
      <c r="Z276" s="241"/>
      <c r="AA276" s="241"/>
      <c r="AB276" s="241"/>
      <c r="AC276" s="241"/>
      <c r="AD276" s="241"/>
      <c r="AE276" s="241"/>
      <c r="AF276" s="241"/>
      <c r="AG276" s="241"/>
      <c r="AH276" s="241"/>
      <c r="AI276" s="241"/>
      <c r="AJ276" s="241"/>
      <c r="AK276" s="241"/>
      <c r="AL276" s="241"/>
      <c r="AM276" s="241"/>
      <c r="AN276" s="241"/>
      <c r="AO276" s="241"/>
      <c r="AP276" s="241"/>
      <c r="AQ276" s="241"/>
      <c r="AR276" s="241"/>
      <c r="AS276" s="241"/>
      <c r="AT276" s="241"/>
      <c r="AU276" s="241"/>
      <c r="AV276" s="241"/>
      <c r="AW276" s="241"/>
      <c r="AX276" s="241"/>
      <c r="AY276" s="241"/>
      <c r="AZ276" s="241"/>
    </row>
    <row r="277" spans="1:52" s="71" customFormat="1" ht="18" customHeight="1">
      <c r="A277" s="175">
        <v>7</v>
      </c>
      <c r="B277" s="312" t="str">
        <f>(IF('Inputs Whole-Project Water Use'!B277&lt;&gt;"",'Inputs Whole-Project Water Use'!B277,""))</f>
        <v/>
      </c>
      <c r="C277" s="313" t="str">
        <f>IF(AND(D277&lt;&gt;"",'Inputs Whole-Project Water Use'!C277=""),1,IF('Inputs Whole-Project Water Use'!C277&lt;&gt;"",'Inputs Whole-Project Water Use'!C277,""))</f>
        <v/>
      </c>
      <c r="D277" s="397" t="str">
        <f>IF('Inputs Whole-Project Water Use'!D277&lt;&gt;"",'Inputs Whole-Project Water Use'!D277,"")</f>
        <v/>
      </c>
      <c r="E277" s="398"/>
      <c r="F277" s="314" t="str">
        <f>IF('Inputs Whole-Project Water Use'!F277&lt;&gt;"",'Inputs Whole-Project Water Use'!F277,"")</f>
        <v/>
      </c>
      <c r="G277" s="314" t="str">
        <f>IF('Inputs Whole-Project Water Use'!G277&lt;&gt;"",'Inputs Whole-Project Water Use'!G277,"")</f>
        <v/>
      </c>
      <c r="H277" s="315" t="str">
        <f>IF('Inputs Whole-Project Water Use'!H277&lt;&gt;"",'Inputs Whole-Project Water Use'!H277,"")</f>
        <v/>
      </c>
      <c r="I277" s="390" t="str">
        <f t="shared" si="34"/>
        <v/>
      </c>
      <c r="J277" s="391"/>
      <c r="K277" s="316" t="str">
        <f>IF('Inputs Whole-Project Water Use'!K277&lt;&gt;"",'Inputs Whole-Project Water Use'!K277,"")</f>
        <v/>
      </c>
      <c r="L277" s="316" t="str">
        <f>IF('Inputs Whole-Project Water Use'!L277&lt;&gt;"",'Inputs Whole-Project Water Use'!L277,"")</f>
        <v/>
      </c>
      <c r="M277" s="390" t="str">
        <f t="shared" si="35"/>
        <v/>
      </c>
      <c r="N277" s="391"/>
      <c r="O277" s="225" t="str">
        <f t="shared" si="36"/>
        <v/>
      </c>
      <c r="P277" s="225" t="str">
        <f t="shared" si="37"/>
        <v/>
      </c>
      <c r="Q277" s="289" t="str">
        <f>IF(AND(D277&lt;&gt;"",'Inputs Whole-Project Water Use'!Q277=""),0,IF('Inputs Whole-Project Water Use'!Q277&lt;&gt;"",'Inputs Whole-Project Water Use'!Q277,""))</f>
        <v/>
      </c>
      <c r="R277" s="225" t="str">
        <f t="shared" si="38"/>
        <v/>
      </c>
      <c r="S277" s="225" t="str">
        <f t="shared" si="39"/>
        <v/>
      </c>
      <c r="T277" s="231" t="str">
        <f t="shared" si="40"/>
        <v/>
      </c>
      <c r="U277" s="241"/>
      <c r="V277" s="241"/>
      <c r="W277" s="241"/>
      <c r="X277" s="241"/>
      <c r="Y277" s="241"/>
      <c r="Z277" s="241"/>
      <c r="AA277" s="241"/>
      <c r="AB277" s="241"/>
      <c r="AC277" s="241"/>
      <c r="AD277" s="241"/>
      <c r="AE277" s="241"/>
      <c r="AF277" s="241"/>
      <c r="AG277" s="241"/>
      <c r="AH277" s="241"/>
      <c r="AI277" s="241"/>
      <c r="AJ277" s="241"/>
      <c r="AK277" s="241"/>
      <c r="AL277" s="241"/>
      <c r="AM277" s="241"/>
      <c r="AN277" s="241"/>
      <c r="AO277" s="241"/>
      <c r="AP277" s="241"/>
      <c r="AQ277" s="241"/>
      <c r="AR277" s="241"/>
      <c r="AS277" s="241"/>
      <c r="AT277" s="241"/>
      <c r="AU277" s="241"/>
      <c r="AV277" s="241"/>
      <c r="AW277" s="241"/>
      <c r="AX277" s="241"/>
      <c r="AY277" s="241"/>
      <c r="AZ277" s="241"/>
    </row>
    <row r="278" spans="1:52" s="71" customFormat="1" ht="18" customHeight="1">
      <c r="A278" s="175">
        <v>8</v>
      </c>
      <c r="B278" s="312" t="str">
        <f>(IF('Inputs Whole-Project Water Use'!B278&lt;&gt;"",'Inputs Whole-Project Water Use'!B278,""))</f>
        <v/>
      </c>
      <c r="C278" s="313" t="str">
        <f>IF(AND(D278&lt;&gt;"",'Inputs Whole-Project Water Use'!C278=""),1,IF('Inputs Whole-Project Water Use'!C278&lt;&gt;"",'Inputs Whole-Project Water Use'!C278,""))</f>
        <v/>
      </c>
      <c r="D278" s="397" t="str">
        <f>IF('Inputs Whole-Project Water Use'!D278&lt;&gt;"",'Inputs Whole-Project Water Use'!D278,"")</f>
        <v/>
      </c>
      <c r="E278" s="398"/>
      <c r="F278" s="314" t="str">
        <f>IF('Inputs Whole-Project Water Use'!F278&lt;&gt;"",'Inputs Whole-Project Water Use'!F278,"")</f>
        <v/>
      </c>
      <c r="G278" s="314" t="str">
        <f>IF('Inputs Whole-Project Water Use'!G278&lt;&gt;"",'Inputs Whole-Project Water Use'!G278,"")</f>
        <v/>
      </c>
      <c r="H278" s="315" t="str">
        <f>IF('Inputs Whole-Project Water Use'!H278&lt;&gt;"",'Inputs Whole-Project Water Use'!H278,"")</f>
        <v/>
      </c>
      <c r="I278" s="390" t="str">
        <f t="shared" si="34"/>
        <v/>
      </c>
      <c r="J278" s="391"/>
      <c r="K278" s="316" t="str">
        <f>IF('Inputs Whole-Project Water Use'!K278&lt;&gt;"",'Inputs Whole-Project Water Use'!K278,"")</f>
        <v/>
      </c>
      <c r="L278" s="316" t="str">
        <f>IF('Inputs Whole-Project Water Use'!L278&lt;&gt;"",'Inputs Whole-Project Water Use'!L278,"")</f>
        <v/>
      </c>
      <c r="M278" s="390" t="str">
        <f t="shared" si="35"/>
        <v/>
      </c>
      <c r="N278" s="391"/>
      <c r="O278" s="225" t="str">
        <f t="shared" si="36"/>
        <v/>
      </c>
      <c r="P278" s="225" t="str">
        <f t="shared" si="37"/>
        <v/>
      </c>
      <c r="Q278" s="289" t="str">
        <f>IF(AND(D278&lt;&gt;"",'Inputs Whole-Project Water Use'!Q278=""),0,IF('Inputs Whole-Project Water Use'!Q278&lt;&gt;"",'Inputs Whole-Project Water Use'!Q278,""))</f>
        <v/>
      </c>
      <c r="R278" s="225" t="str">
        <f t="shared" si="38"/>
        <v/>
      </c>
      <c r="S278" s="225" t="str">
        <f t="shared" si="39"/>
        <v/>
      </c>
      <c r="T278" s="231" t="str">
        <f t="shared" si="40"/>
        <v/>
      </c>
      <c r="U278" s="241"/>
      <c r="V278" s="241"/>
      <c r="W278" s="241"/>
      <c r="X278" s="241"/>
      <c r="Y278" s="241"/>
      <c r="Z278" s="241"/>
      <c r="AA278" s="241"/>
      <c r="AB278" s="241"/>
      <c r="AC278" s="241"/>
      <c r="AD278" s="241"/>
      <c r="AE278" s="241"/>
      <c r="AF278" s="241"/>
      <c r="AG278" s="241"/>
      <c r="AH278" s="241"/>
      <c r="AI278" s="241"/>
      <c r="AJ278" s="241"/>
      <c r="AK278" s="241"/>
      <c r="AL278" s="241"/>
      <c r="AM278" s="241"/>
      <c r="AN278" s="241"/>
      <c r="AO278" s="241"/>
      <c r="AP278" s="241"/>
      <c r="AQ278" s="241"/>
      <c r="AR278" s="241"/>
      <c r="AS278" s="241"/>
      <c r="AT278" s="241"/>
      <c r="AU278" s="241"/>
      <c r="AV278" s="241"/>
      <c r="AW278" s="241"/>
      <c r="AX278" s="241"/>
      <c r="AY278" s="241"/>
      <c r="AZ278" s="241"/>
    </row>
    <row r="279" spans="1:52" s="71" customFormat="1" ht="18" customHeight="1">
      <c r="A279" s="175">
        <v>9</v>
      </c>
      <c r="B279" s="312" t="str">
        <f>(IF('Inputs Whole-Project Water Use'!B279&lt;&gt;"",'Inputs Whole-Project Water Use'!B279,""))</f>
        <v/>
      </c>
      <c r="C279" s="313" t="str">
        <f>IF(AND(D279&lt;&gt;"",'Inputs Whole-Project Water Use'!C279=""),1,IF('Inputs Whole-Project Water Use'!C279&lt;&gt;"",'Inputs Whole-Project Water Use'!C279,""))</f>
        <v/>
      </c>
      <c r="D279" s="397" t="str">
        <f>IF('Inputs Whole-Project Water Use'!D279&lt;&gt;"",'Inputs Whole-Project Water Use'!D279,"")</f>
        <v/>
      </c>
      <c r="E279" s="398"/>
      <c r="F279" s="314" t="str">
        <f>IF('Inputs Whole-Project Water Use'!F279&lt;&gt;"",'Inputs Whole-Project Water Use'!F279,"")</f>
        <v/>
      </c>
      <c r="G279" s="314" t="str">
        <f>IF('Inputs Whole-Project Water Use'!G279&lt;&gt;"",'Inputs Whole-Project Water Use'!G279,"")</f>
        <v/>
      </c>
      <c r="H279" s="315" t="str">
        <f>IF('Inputs Whole-Project Water Use'!H279&lt;&gt;"",'Inputs Whole-Project Water Use'!H279,"")</f>
        <v/>
      </c>
      <c r="I279" s="390" t="str">
        <f t="shared" si="34"/>
        <v/>
      </c>
      <c r="J279" s="391"/>
      <c r="K279" s="316" t="str">
        <f>IF('Inputs Whole-Project Water Use'!K279&lt;&gt;"",'Inputs Whole-Project Water Use'!K279,"")</f>
        <v/>
      </c>
      <c r="L279" s="316" t="str">
        <f>IF('Inputs Whole-Project Water Use'!L279&lt;&gt;"",'Inputs Whole-Project Water Use'!L279,"")</f>
        <v/>
      </c>
      <c r="M279" s="390" t="str">
        <f t="shared" si="35"/>
        <v/>
      </c>
      <c r="N279" s="391"/>
      <c r="O279" s="225" t="str">
        <f t="shared" si="36"/>
        <v/>
      </c>
      <c r="P279" s="225" t="str">
        <f t="shared" si="37"/>
        <v/>
      </c>
      <c r="Q279" s="289" t="str">
        <f>IF(AND(D279&lt;&gt;"",'Inputs Whole-Project Water Use'!Q279=""),0,IF('Inputs Whole-Project Water Use'!Q279&lt;&gt;"",'Inputs Whole-Project Water Use'!Q279,""))</f>
        <v/>
      </c>
      <c r="R279" s="225" t="str">
        <f t="shared" si="38"/>
        <v/>
      </c>
      <c r="S279" s="225" t="str">
        <f t="shared" si="39"/>
        <v/>
      </c>
      <c r="T279" s="231" t="str">
        <f t="shared" si="40"/>
        <v/>
      </c>
      <c r="U279" s="241"/>
      <c r="V279" s="241"/>
      <c r="W279" s="241"/>
      <c r="X279" s="241"/>
      <c r="Y279" s="241"/>
      <c r="Z279" s="241"/>
      <c r="AA279" s="241"/>
      <c r="AB279" s="241"/>
      <c r="AC279" s="241"/>
      <c r="AD279" s="241"/>
      <c r="AE279" s="241"/>
      <c r="AF279" s="241"/>
      <c r="AG279" s="241"/>
      <c r="AH279" s="241"/>
      <c r="AI279" s="241"/>
      <c r="AJ279" s="241"/>
      <c r="AK279" s="241"/>
      <c r="AL279" s="241"/>
      <c r="AM279" s="241"/>
      <c r="AN279" s="241"/>
      <c r="AO279" s="241"/>
      <c r="AP279" s="241"/>
      <c r="AQ279" s="241"/>
      <c r="AR279" s="241"/>
      <c r="AS279" s="241"/>
      <c r="AT279" s="241"/>
      <c r="AU279" s="241"/>
      <c r="AV279" s="241"/>
      <c r="AW279" s="241"/>
      <c r="AX279" s="241"/>
      <c r="AY279" s="241"/>
      <c r="AZ279" s="241"/>
    </row>
    <row r="280" spans="1:52" s="71" customFormat="1" ht="18" customHeight="1">
      <c r="A280" s="175">
        <v>10</v>
      </c>
      <c r="B280" s="312" t="str">
        <f>(IF('Inputs Whole-Project Water Use'!B280&lt;&gt;"",'Inputs Whole-Project Water Use'!B280,""))</f>
        <v/>
      </c>
      <c r="C280" s="313" t="str">
        <f>IF(AND(D280&lt;&gt;"",'Inputs Whole-Project Water Use'!C280=""),1,IF('Inputs Whole-Project Water Use'!C280&lt;&gt;"",'Inputs Whole-Project Water Use'!C280,""))</f>
        <v/>
      </c>
      <c r="D280" s="397" t="str">
        <f>IF('Inputs Whole-Project Water Use'!D280&lt;&gt;"",'Inputs Whole-Project Water Use'!D280,"")</f>
        <v/>
      </c>
      <c r="E280" s="398"/>
      <c r="F280" s="314" t="str">
        <f>IF('Inputs Whole-Project Water Use'!F280&lt;&gt;"",'Inputs Whole-Project Water Use'!F280,"")</f>
        <v/>
      </c>
      <c r="G280" s="314" t="str">
        <f>IF('Inputs Whole-Project Water Use'!G280&lt;&gt;"",'Inputs Whole-Project Water Use'!G280,"")</f>
        <v/>
      </c>
      <c r="H280" s="315" t="str">
        <f>IF('Inputs Whole-Project Water Use'!H280&lt;&gt;"",'Inputs Whole-Project Water Use'!H280,"")</f>
        <v/>
      </c>
      <c r="I280" s="390" t="str">
        <f t="shared" si="34"/>
        <v/>
      </c>
      <c r="J280" s="391"/>
      <c r="K280" s="316" t="str">
        <f>IF('Inputs Whole-Project Water Use'!K280&lt;&gt;"",'Inputs Whole-Project Water Use'!K280,"")</f>
        <v/>
      </c>
      <c r="L280" s="316" t="str">
        <f>IF('Inputs Whole-Project Water Use'!L280&lt;&gt;"",'Inputs Whole-Project Water Use'!L280,"")</f>
        <v/>
      </c>
      <c r="M280" s="390" t="str">
        <f t="shared" si="35"/>
        <v/>
      </c>
      <c r="N280" s="391"/>
      <c r="O280" s="225" t="str">
        <f t="shared" si="36"/>
        <v/>
      </c>
      <c r="P280" s="225" t="str">
        <f t="shared" si="37"/>
        <v/>
      </c>
      <c r="Q280" s="289" t="str">
        <f>IF(AND(D280&lt;&gt;"",'Inputs Whole-Project Water Use'!Q280=""),0,IF('Inputs Whole-Project Water Use'!Q280&lt;&gt;"",'Inputs Whole-Project Water Use'!Q280,""))</f>
        <v/>
      </c>
      <c r="R280" s="225" t="str">
        <f t="shared" si="38"/>
        <v/>
      </c>
      <c r="S280" s="225" t="str">
        <f t="shared" si="39"/>
        <v/>
      </c>
      <c r="T280" s="231" t="str">
        <f t="shared" si="40"/>
        <v/>
      </c>
      <c r="U280" s="176" t="s">
        <v>165</v>
      </c>
      <c r="V280" s="241"/>
      <c r="W280" s="241"/>
      <c r="X280" s="241"/>
      <c r="Y280" s="241"/>
      <c r="Z280" s="241"/>
      <c r="AA280" s="241"/>
      <c r="AB280" s="241"/>
      <c r="AC280" s="241"/>
      <c r="AD280" s="241"/>
      <c r="AE280" s="241"/>
      <c r="AF280" s="241"/>
      <c r="AG280" s="241"/>
      <c r="AH280" s="241"/>
      <c r="AI280" s="241"/>
      <c r="AJ280" s="241"/>
      <c r="AK280" s="241"/>
      <c r="AL280" s="241"/>
      <c r="AM280" s="241"/>
      <c r="AN280" s="241"/>
      <c r="AO280" s="241"/>
      <c r="AP280" s="241"/>
      <c r="AQ280" s="241"/>
      <c r="AR280" s="241"/>
      <c r="AS280" s="241"/>
      <c r="AT280" s="241"/>
      <c r="AU280" s="241"/>
      <c r="AV280" s="241"/>
      <c r="AW280" s="241"/>
      <c r="AX280" s="241"/>
      <c r="AY280" s="241"/>
      <c r="AZ280" s="241"/>
    </row>
    <row r="281" spans="1:52" s="71" customFormat="1" ht="18" hidden="1" customHeight="1" outlineLevel="1">
      <c r="A281" s="175">
        <v>11</v>
      </c>
      <c r="B281" s="312" t="str">
        <f>(IF('Inputs Whole-Project Water Use'!B281&lt;&gt;"",'Inputs Whole-Project Water Use'!B281,""))</f>
        <v/>
      </c>
      <c r="C281" s="313" t="str">
        <f>IF(AND(D281&lt;&gt;"",'Inputs Whole-Project Water Use'!C281=""),1,IF('Inputs Whole-Project Water Use'!C281&lt;&gt;"",'Inputs Whole-Project Water Use'!C281,""))</f>
        <v/>
      </c>
      <c r="D281" s="397" t="str">
        <f>IF('Inputs Whole-Project Water Use'!D281&lt;&gt;"",'Inputs Whole-Project Water Use'!D281,"")</f>
        <v/>
      </c>
      <c r="E281" s="398"/>
      <c r="F281" s="314" t="str">
        <f>IF('Inputs Whole-Project Water Use'!F281&lt;&gt;"",'Inputs Whole-Project Water Use'!F281,"")</f>
        <v/>
      </c>
      <c r="G281" s="314" t="str">
        <f>IF('Inputs Whole-Project Water Use'!G281&lt;&gt;"",'Inputs Whole-Project Water Use'!G281,"")</f>
        <v/>
      </c>
      <c r="H281" s="315" t="str">
        <f>IF('Inputs Whole-Project Water Use'!H281&lt;&gt;"",'Inputs Whole-Project Water Use'!H281,"")</f>
        <v/>
      </c>
      <c r="I281" s="390" t="str">
        <f t="shared" si="34"/>
        <v/>
      </c>
      <c r="J281" s="391"/>
      <c r="K281" s="316" t="str">
        <f>IF('Inputs Whole-Project Water Use'!K281&lt;&gt;"",'Inputs Whole-Project Water Use'!K281,"")</f>
        <v/>
      </c>
      <c r="L281" s="316" t="str">
        <f>IF('Inputs Whole-Project Water Use'!L281&lt;&gt;"",'Inputs Whole-Project Water Use'!L281,"")</f>
        <v/>
      </c>
      <c r="M281" s="390" t="str">
        <f t="shared" si="35"/>
        <v/>
      </c>
      <c r="N281" s="391"/>
      <c r="O281" s="225" t="str">
        <f t="shared" si="36"/>
        <v/>
      </c>
      <c r="P281" s="225" t="str">
        <f t="shared" si="37"/>
        <v/>
      </c>
      <c r="Q281" s="289" t="str">
        <f>IF(AND(D281&lt;&gt;"",'Inputs Whole-Project Water Use'!Q281=""),0,IF('Inputs Whole-Project Water Use'!Q281&lt;&gt;"",'Inputs Whole-Project Water Use'!Q281,""))</f>
        <v/>
      </c>
      <c r="R281" s="225" t="str">
        <f t="shared" si="38"/>
        <v/>
      </c>
      <c r="S281" s="225" t="str">
        <f t="shared" si="39"/>
        <v/>
      </c>
      <c r="T281" s="231" t="str">
        <f t="shared" si="40"/>
        <v/>
      </c>
      <c r="U281" s="241"/>
      <c r="V281" s="241"/>
      <c r="W281" s="241"/>
      <c r="X281" s="241"/>
      <c r="Y281" s="241"/>
      <c r="Z281" s="241"/>
      <c r="AA281" s="241"/>
      <c r="AB281" s="241"/>
      <c r="AC281" s="241"/>
      <c r="AD281" s="241"/>
      <c r="AE281" s="241"/>
      <c r="AF281" s="241"/>
      <c r="AG281" s="241"/>
      <c r="AH281" s="241"/>
      <c r="AI281" s="241"/>
      <c r="AJ281" s="241"/>
      <c r="AK281" s="241"/>
      <c r="AL281" s="241"/>
      <c r="AM281" s="241"/>
      <c r="AN281" s="241"/>
      <c r="AO281" s="241"/>
      <c r="AP281" s="241"/>
      <c r="AQ281" s="241"/>
      <c r="AR281" s="241"/>
      <c r="AS281" s="241"/>
      <c r="AT281" s="241"/>
      <c r="AU281" s="241"/>
      <c r="AV281" s="241"/>
      <c r="AW281" s="241"/>
      <c r="AX281" s="241"/>
      <c r="AY281" s="241"/>
      <c r="AZ281" s="241"/>
    </row>
    <row r="282" spans="1:52" s="71" customFormat="1" ht="18" hidden="1" customHeight="1" outlineLevel="1">
      <c r="A282" s="175">
        <v>12</v>
      </c>
      <c r="B282" s="312" t="str">
        <f>(IF('Inputs Whole-Project Water Use'!B282&lt;&gt;"",'Inputs Whole-Project Water Use'!B282,""))</f>
        <v/>
      </c>
      <c r="C282" s="313" t="str">
        <f>IF(AND(D282&lt;&gt;"",'Inputs Whole-Project Water Use'!C282=""),1,IF('Inputs Whole-Project Water Use'!C282&lt;&gt;"",'Inputs Whole-Project Water Use'!C282,""))</f>
        <v/>
      </c>
      <c r="D282" s="397" t="str">
        <f>IF('Inputs Whole-Project Water Use'!D282&lt;&gt;"",'Inputs Whole-Project Water Use'!D282,"")</f>
        <v/>
      </c>
      <c r="E282" s="398"/>
      <c r="F282" s="314" t="str">
        <f>IF('Inputs Whole-Project Water Use'!F282&lt;&gt;"",'Inputs Whole-Project Water Use'!F282,"")</f>
        <v/>
      </c>
      <c r="G282" s="314" t="str">
        <f>IF('Inputs Whole-Project Water Use'!G282&lt;&gt;"",'Inputs Whole-Project Water Use'!G282,"")</f>
        <v/>
      </c>
      <c r="H282" s="315" t="str">
        <f>IF('Inputs Whole-Project Water Use'!H282&lt;&gt;"",'Inputs Whole-Project Water Use'!H282,"")</f>
        <v/>
      </c>
      <c r="I282" s="390" t="str">
        <f t="shared" si="34"/>
        <v/>
      </c>
      <c r="J282" s="391"/>
      <c r="K282" s="316" t="str">
        <f>IF('Inputs Whole-Project Water Use'!K282&lt;&gt;"",'Inputs Whole-Project Water Use'!K282,"")</f>
        <v/>
      </c>
      <c r="L282" s="316" t="str">
        <f>IF('Inputs Whole-Project Water Use'!L282&lt;&gt;"",'Inputs Whole-Project Water Use'!L282,"")</f>
        <v/>
      </c>
      <c r="M282" s="390" t="str">
        <f t="shared" si="35"/>
        <v/>
      </c>
      <c r="N282" s="391"/>
      <c r="O282" s="225" t="str">
        <f t="shared" si="36"/>
        <v/>
      </c>
      <c r="P282" s="225" t="str">
        <f t="shared" si="37"/>
        <v/>
      </c>
      <c r="Q282" s="289" t="str">
        <f>IF(AND(D282&lt;&gt;"",'Inputs Whole-Project Water Use'!Q282=""),0,IF('Inputs Whole-Project Water Use'!Q282&lt;&gt;"",'Inputs Whole-Project Water Use'!Q282,""))</f>
        <v/>
      </c>
      <c r="R282" s="225" t="str">
        <f t="shared" si="38"/>
        <v/>
      </c>
      <c r="S282" s="225" t="str">
        <f t="shared" si="39"/>
        <v/>
      </c>
      <c r="T282" s="231" t="str">
        <f t="shared" si="40"/>
        <v/>
      </c>
      <c r="U282" s="241"/>
      <c r="V282" s="241"/>
      <c r="W282" s="241"/>
      <c r="X282" s="241"/>
      <c r="Y282" s="241"/>
      <c r="Z282" s="241"/>
      <c r="AA282" s="241"/>
      <c r="AB282" s="241"/>
      <c r="AC282" s="241"/>
      <c r="AD282" s="241"/>
      <c r="AE282" s="241"/>
      <c r="AF282" s="241"/>
      <c r="AG282" s="241"/>
      <c r="AH282" s="241"/>
      <c r="AI282" s="241"/>
      <c r="AJ282" s="241"/>
      <c r="AK282" s="241"/>
      <c r="AL282" s="241"/>
      <c r="AM282" s="241"/>
      <c r="AN282" s="241"/>
      <c r="AO282" s="241"/>
      <c r="AP282" s="241"/>
      <c r="AQ282" s="241"/>
      <c r="AR282" s="241"/>
      <c r="AS282" s="241"/>
      <c r="AT282" s="241"/>
      <c r="AU282" s="241"/>
      <c r="AV282" s="241"/>
      <c r="AW282" s="241"/>
      <c r="AX282" s="241"/>
      <c r="AY282" s="241"/>
      <c r="AZ282" s="241"/>
    </row>
    <row r="283" spans="1:52" s="71" customFormat="1" ht="18" hidden="1" customHeight="1" outlineLevel="1">
      <c r="A283" s="175">
        <v>13</v>
      </c>
      <c r="B283" s="312" t="str">
        <f>(IF('Inputs Whole-Project Water Use'!B283&lt;&gt;"",'Inputs Whole-Project Water Use'!B283,""))</f>
        <v/>
      </c>
      <c r="C283" s="313" t="str">
        <f>IF(AND(D283&lt;&gt;"",'Inputs Whole-Project Water Use'!C283=""),1,IF('Inputs Whole-Project Water Use'!C283&lt;&gt;"",'Inputs Whole-Project Water Use'!C283,""))</f>
        <v/>
      </c>
      <c r="D283" s="397" t="str">
        <f>IF('Inputs Whole-Project Water Use'!D283&lt;&gt;"",'Inputs Whole-Project Water Use'!D283,"")</f>
        <v/>
      </c>
      <c r="E283" s="398"/>
      <c r="F283" s="314" t="str">
        <f>IF('Inputs Whole-Project Water Use'!F283&lt;&gt;"",'Inputs Whole-Project Water Use'!F283,"")</f>
        <v/>
      </c>
      <c r="G283" s="314" t="str">
        <f>IF('Inputs Whole-Project Water Use'!G283&lt;&gt;"",'Inputs Whole-Project Water Use'!G283,"")</f>
        <v/>
      </c>
      <c r="H283" s="315" t="str">
        <f>IF('Inputs Whole-Project Water Use'!H283&lt;&gt;"",'Inputs Whole-Project Water Use'!H283,"")</f>
        <v/>
      </c>
      <c r="I283" s="390" t="str">
        <f t="shared" si="34"/>
        <v/>
      </c>
      <c r="J283" s="391"/>
      <c r="K283" s="316" t="str">
        <f>IF('Inputs Whole-Project Water Use'!K283&lt;&gt;"",'Inputs Whole-Project Water Use'!K283,"")</f>
        <v/>
      </c>
      <c r="L283" s="316" t="str">
        <f>IF('Inputs Whole-Project Water Use'!L283&lt;&gt;"",'Inputs Whole-Project Water Use'!L283,"")</f>
        <v/>
      </c>
      <c r="M283" s="390" t="str">
        <f t="shared" si="35"/>
        <v/>
      </c>
      <c r="N283" s="391"/>
      <c r="O283" s="225" t="str">
        <f t="shared" si="36"/>
        <v/>
      </c>
      <c r="P283" s="225" t="str">
        <f t="shared" si="37"/>
        <v/>
      </c>
      <c r="Q283" s="289" t="str">
        <f>IF(AND(D283&lt;&gt;"",'Inputs Whole-Project Water Use'!Q283=""),0,IF('Inputs Whole-Project Water Use'!Q283&lt;&gt;"",'Inputs Whole-Project Water Use'!Q283,""))</f>
        <v/>
      </c>
      <c r="R283" s="225" t="str">
        <f t="shared" si="38"/>
        <v/>
      </c>
      <c r="S283" s="225" t="str">
        <f t="shared" si="39"/>
        <v/>
      </c>
      <c r="T283" s="231" t="str">
        <f t="shared" si="40"/>
        <v/>
      </c>
      <c r="U283" s="241"/>
      <c r="V283" s="241"/>
      <c r="W283" s="241"/>
      <c r="X283" s="241"/>
      <c r="Y283" s="241"/>
      <c r="Z283" s="241"/>
      <c r="AA283" s="241"/>
      <c r="AB283" s="241"/>
      <c r="AC283" s="241"/>
      <c r="AD283" s="241"/>
      <c r="AE283" s="241"/>
      <c r="AF283" s="241"/>
      <c r="AG283" s="241"/>
      <c r="AH283" s="241"/>
      <c r="AI283" s="241"/>
      <c r="AJ283" s="241"/>
      <c r="AK283" s="241"/>
      <c r="AL283" s="241"/>
      <c r="AM283" s="241"/>
      <c r="AN283" s="241"/>
      <c r="AO283" s="241"/>
      <c r="AP283" s="241"/>
      <c r="AQ283" s="241"/>
      <c r="AR283" s="241"/>
      <c r="AS283" s="241"/>
      <c r="AT283" s="241"/>
      <c r="AU283" s="241"/>
      <c r="AV283" s="241"/>
      <c r="AW283" s="241"/>
      <c r="AX283" s="241"/>
      <c r="AY283" s="241"/>
      <c r="AZ283" s="241"/>
    </row>
    <row r="284" spans="1:52" s="71" customFormat="1" ht="18" hidden="1" customHeight="1" outlineLevel="1">
      <c r="A284" s="175">
        <v>14</v>
      </c>
      <c r="B284" s="312" t="str">
        <f>(IF('Inputs Whole-Project Water Use'!B284&lt;&gt;"",'Inputs Whole-Project Water Use'!B284,""))</f>
        <v/>
      </c>
      <c r="C284" s="313" t="str">
        <f>IF(AND(D284&lt;&gt;"",'Inputs Whole-Project Water Use'!C284=""),1,IF('Inputs Whole-Project Water Use'!C284&lt;&gt;"",'Inputs Whole-Project Water Use'!C284,""))</f>
        <v/>
      </c>
      <c r="D284" s="397" t="str">
        <f>IF('Inputs Whole-Project Water Use'!D284&lt;&gt;"",'Inputs Whole-Project Water Use'!D284,"")</f>
        <v/>
      </c>
      <c r="E284" s="398"/>
      <c r="F284" s="314" t="str">
        <f>IF('Inputs Whole-Project Water Use'!F284&lt;&gt;"",'Inputs Whole-Project Water Use'!F284,"")</f>
        <v/>
      </c>
      <c r="G284" s="314" t="str">
        <f>IF('Inputs Whole-Project Water Use'!G284&lt;&gt;"",'Inputs Whole-Project Water Use'!G284,"")</f>
        <v/>
      </c>
      <c r="H284" s="315" t="str">
        <f>IF('Inputs Whole-Project Water Use'!H284&lt;&gt;"",'Inputs Whole-Project Water Use'!H284,"")</f>
        <v/>
      </c>
      <c r="I284" s="390" t="str">
        <f t="shared" si="34"/>
        <v/>
      </c>
      <c r="J284" s="391"/>
      <c r="K284" s="316" t="str">
        <f>IF('Inputs Whole-Project Water Use'!K284&lt;&gt;"",'Inputs Whole-Project Water Use'!K284,"")</f>
        <v/>
      </c>
      <c r="L284" s="316" t="str">
        <f>IF('Inputs Whole-Project Water Use'!L284&lt;&gt;"",'Inputs Whole-Project Water Use'!L284,"")</f>
        <v/>
      </c>
      <c r="M284" s="390" t="str">
        <f t="shared" si="35"/>
        <v/>
      </c>
      <c r="N284" s="391"/>
      <c r="O284" s="225" t="str">
        <f t="shared" si="36"/>
        <v/>
      </c>
      <c r="P284" s="225" t="str">
        <f t="shared" si="37"/>
        <v/>
      </c>
      <c r="Q284" s="289" t="str">
        <f>IF(AND(D284&lt;&gt;"",'Inputs Whole-Project Water Use'!Q284=""),0,IF('Inputs Whole-Project Water Use'!Q284&lt;&gt;"",'Inputs Whole-Project Water Use'!Q284,""))</f>
        <v/>
      </c>
      <c r="R284" s="225" t="str">
        <f t="shared" si="38"/>
        <v/>
      </c>
      <c r="S284" s="225" t="str">
        <f t="shared" si="39"/>
        <v/>
      </c>
      <c r="T284" s="231" t="str">
        <f t="shared" si="40"/>
        <v/>
      </c>
      <c r="U284" s="241"/>
      <c r="V284" s="241"/>
      <c r="W284" s="241"/>
      <c r="X284" s="241"/>
      <c r="Y284" s="241"/>
      <c r="Z284" s="241"/>
      <c r="AA284" s="241"/>
      <c r="AB284" s="241"/>
      <c r="AC284" s="241"/>
      <c r="AD284" s="241"/>
      <c r="AE284" s="241"/>
      <c r="AF284" s="241"/>
      <c r="AG284" s="241"/>
      <c r="AH284" s="241"/>
      <c r="AI284" s="241"/>
      <c r="AJ284" s="241"/>
      <c r="AK284" s="241"/>
      <c r="AL284" s="241"/>
      <c r="AM284" s="241"/>
      <c r="AN284" s="241"/>
      <c r="AO284" s="241"/>
      <c r="AP284" s="241"/>
      <c r="AQ284" s="241"/>
      <c r="AR284" s="241"/>
      <c r="AS284" s="241"/>
      <c r="AT284" s="241"/>
      <c r="AU284" s="241"/>
      <c r="AV284" s="241"/>
      <c r="AW284" s="241"/>
      <c r="AX284" s="241"/>
      <c r="AY284" s="241"/>
      <c r="AZ284" s="241"/>
    </row>
    <row r="285" spans="1:52" s="71" customFormat="1" ht="18" hidden="1" customHeight="1" outlineLevel="1">
      <c r="A285" s="175">
        <v>15</v>
      </c>
      <c r="B285" s="312" t="str">
        <f>(IF('Inputs Whole-Project Water Use'!B285&lt;&gt;"",'Inputs Whole-Project Water Use'!B285,""))</f>
        <v/>
      </c>
      <c r="C285" s="313" t="str">
        <f>IF(AND(D285&lt;&gt;"",'Inputs Whole-Project Water Use'!C285=""),1,IF('Inputs Whole-Project Water Use'!C285&lt;&gt;"",'Inputs Whole-Project Water Use'!C285,""))</f>
        <v/>
      </c>
      <c r="D285" s="397" t="str">
        <f>IF('Inputs Whole-Project Water Use'!D285&lt;&gt;"",'Inputs Whole-Project Water Use'!D285,"")</f>
        <v/>
      </c>
      <c r="E285" s="398"/>
      <c r="F285" s="314" t="str">
        <f>IF('Inputs Whole-Project Water Use'!F285&lt;&gt;"",'Inputs Whole-Project Water Use'!F285,"")</f>
        <v/>
      </c>
      <c r="G285" s="314" t="str">
        <f>IF('Inputs Whole-Project Water Use'!G285&lt;&gt;"",'Inputs Whole-Project Water Use'!G285,"")</f>
        <v/>
      </c>
      <c r="H285" s="315" t="str">
        <f>IF('Inputs Whole-Project Water Use'!H285&lt;&gt;"",'Inputs Whole-Project Water Use'!H285,"")</f>
        <v/>
      </c>
      <c r="I285" s="390" t="str">
        <f t="shared" si="34"/>
        <v/>
      </c>
      <c r="J285" s="391"/>
      <c r="K285" s="316" t="str">
        <f>IF('Inputs Whole-Project Water Use'!K285&lt;&gt;"",'Inputs Whole-Project Water Use'!K285,"")</f>
        <v/>
      </c>
      <c r="L285" s="316" t="str">
        <f>IF('Inputs Whole-Project Water Use'!L285&lt;&gt;"",'Inputs Whole-Project Water Use'!L285,"")</f>
        <v/>
      </c>
      <c r="M285" s="390" t="str">
        <f t="shared" si="35"/>
        <v/>
      </c>
      <c r="N285" s="391"/>
      <c r="O285" s="225" t="str">
        <f t="shared" si="36"/>
        <v/>
      </c>
      <c r="P285" s="225" t="str">
        <f t="shared" si="37"/>
        <v/>
      </c>
      <c r="Q285" s="289" t="str">
        <f>IF(AND(D285&lt;&gt;"",'Inputs Whole-Project Water Use'!Q285=""),0,IF('Inputs Whole-Project Water Use'!Q285&lt;&gt;"",'Inputs Whole-Project Water Use'!Q285,""))</f>
        <v/>
      </c>
      <c r="R285" s="225" t="str">
        <f t="shared" si="38"/>
        <v/>
      </c>
      <c r="S285" s="225" t="str">
        <f t="shared" si="39"/>
        <v/>
      </c>
      <c r="T285" s="231" t="str">
        <f t="shared" si="40"/>
        <v/>
      </c>
      <c r="U285" s="241"/>
      <c r="V285" s="241"/>
      <c r="W285" s="241"/>
      <c r="X285" s="241"/>
      <c r="Y285" s="241"/>
      <c r="Z285" s="241"/>
      <c r="AA285" s="241"/>
      <c r="AB285" s="241"/>
      <c r="AC285" s="241"/>
      <c r="AD285" s="241"/>
      <c r="AE285" s="241"/>
      <c r="AF285" s="241"/>
      <c r="AG285" s="241"/>
      <c r="AH285" s="241"/>
      <c r="AI285" s="241"/>
      <c r="AJ285" s="241"/>
      <c r="AK285" s="241"/>
      <c r="AL285" s="241"/>
      <c r="AM285" s="241"/>
      <c r="AN285" s="241"/>
      <c r="AO285" s="241"/>
      <c r="AP285" s="241"/>
      <c r="AQ285" s="241"/>
      <c r="AR285" s="241"/>
      <c r="AS285" s="241"/>
      <c r="AT285" s="241"/>
      <c r="AU285" s="241"/>
      <c r="AV285" s="241"/>
      <c r="AW285" s="241"/>
      <c r="AX285" s="241"/>
      <c r="AY285" s="241"/>
      <c r="AZ285" s="241"/>
    </row>
    <row r="286" spans="1:52" s="71" customFormat="1" ht="18" hidden="1" customHeight="1" outlineLevel="1">
      <c r="A286" s="175">
        <v>16</v>
      </c>
      <c r="B286" s="312" t="str">
        <f>(IF('Inputs Whole-Project Water Use'!B286&lt;&gt;"",'Inputs Whole-Project Water Use'!B286,""))</f>
        <v/>
      </c>
      <c r="C286" s="313" t="str">
        <f>IF(AND(D286&lt;&gt;"",'Inputs Whole-Project Water Use'!C286=""),1,IF('Inputs Whole-Project Water Use'!C286&lt;&gt;"",'Inputs Whole-Project Water Use'!C286,""))</f>
        <v/>
      </c>
      <c r="D286" s="397" t="str">
        <f>IF('Inputs Whole-Project Water Use'!D286&lt;&gt;"",'Inputs Whole-Project Water Use'!D286,"")</f>
        <v/>
      </c>
      <c r="E286" s="398"/>
      <c r="F286" s="314" t="str">
        <f>IF('Inputs Whole-Project Water Use'!F286&lt;&gt;"",'Inputs Whole-Project Water Use'!F286,"")</f>
        <v/>
      </c>
      <c r="G286" s="314" t="str">
        <f>IF('Inputs Whole-Project Water Use'!G286&lt;&gt;"",'Inputs Whole-Project Water Use'!G286,"")</f>
        <v/>
      </c>
      <c r="H286" s="315" t="str">
        <f>IF('Inputs Whole-Project Water Use'!H286&lt;&gt;"",'Inputs Whole-Project Water Use'!H286,"")</f>
        <v/>
      </c>
      <c r="I286" s="390" t="str">
        <f t="shared" si="34"/>
        <v/>
      </c>
      <c r="J286" s="391"/>
      <c r="K286" s="316" t="str">
        <f>IF('Inputs Whole-Project Water Use'!K286&lt;&gt;"",'Inputs Whole-Project Water Use'!K286,"")</f>
        <v/>
      </c>
      <c r="L286" s="316" t="str">
        <f>IF('Inputs Whole-Project Water Use'!L286&lt;&gt;"",'Inputs Whole-Project Water Use'!L286,"")</f>
        <v/>
      </c>
      <c r="M286" s="390" t="str">
        <f t="shared" si="35"/>
        <v/>
      </c>
      <c r="N286" s="391"/>
      <c r="O286" s="225" t="str">
        <f t="shared" si="36"/>
        <v/>
      </c>
      <c r="P286" s="225" t="str">
        <f t="shared" si="37"/>
        <v/>
      </c>
      <c r="Q286" s="289" t="str">
        <f>IF(AND(D286&lt;&gt;"",'Inputs Whole-Project Water Use'!Q286=""),0,IF('Inputs Whole-Project Water Use'!Q286&lt;&gt;"",'Inputs Whole-Project Water Use'!Q286,""))</f>
        <v/>
      </c>
      <c r="R286" s="225" t="str">
        <f t="shared" si="38"/>
        <v/>
      </c>
      <c r="S286" s="225" t="str">
        <f t="shared" si="39"/>
        <v/>
      </c>
      <c r="T286" s="231" t="str">
        <f t="shared" si="40"/>
        <v/>
      </c>
      <c r="U286" s="241"/>
      <c r="V286" s="241"/>
      <c r="W286" s="241"/>
      <c r="X286" s="241"/>
      <c r="Y286" s="241"/>
      <c r="Z286" s="241"/>
      <c r="AA286" s="241"/>
      <c r="AB286" s="241"/>
      <c r="AC286" s="241"/>
      <c r="AD286" s="241"/>
      <c r="AE286" s="241"/>
      <c r="AF286" s="241"/>
      <c r="AG286" s="241"/>
      <c r="AH286" s="241"/>
      <c r="AI286" s="241"/>
      <c r="AJ286" s="241"/>
      <c r="AK286" s="241"/>
      <c r="AL286" s="241"/>
      <c r="AM286" s="241"/>
      <c r="AN286" s="241"/>
      <c r="AO286" s="241"/>
      <c r="AP286" s="241"/>
      <c r="AQ286" s="241"/>
      <c r="AR286" s="241"/>
      <c r="AS286" s="241"/>
      <c r="AT286" s="241"/>
      <c r="AU286" s="241"/>
      <c r="AV286" s="241"/>
      <c r="AW286" s="241"/>
      <c r="AX286" s="241"/>
      <c r="AY286" s="241"/>
      <c r="AZ286" s="241"/>
    </row>
    <row r="287" spans="1:52" s="71" customFormat="1" ht="18" hidden="1" customHeight="1" outlineLevel="1">
      <c r="A287" s="175">
        <v>17</v>
      </c>
      <c r="B287" s="312" t="str">
        <f>(IF('Inputs Whole-Project Water Use'!B287&lt;&gt;"",'Inputs Whole-Project Water Use'!B287,""))</f>
        <v/>
      </c>
      <c r="C287" s="313" t="str">
        <f>IF(AND(D287&lt;&gt;"",'Inputs Whole-Project Water Use'!C287=""),1,IF('Inputs Whole-Project Water Use'!C287&lt;&gt;"",'Inputs Whole-Project Water Use'!C287,""))</f>
        <v/>
      </c>
      <c r="D287" s="397" t="str">
        <f>IF('Inputs Whole-Project Water Use'!D287&lt;&gt;"",'Inputs Whole-Project Water Use'!D287,"")</f>
        <v/>
      </c>
      <c r="E287" s="398"/>
      <c r="F287" s="314" t="str">
        <f>IF('Inputs Whole-Project Water Use'!F287&lt;&gt;"",'Inputs Whole-Project Water Use'!F287,"")</f>
        <v/>
      </c>
      <c r="G287" s="314" t="str">
        <f>IF('Inputs Whole-Project Water Use'!G287&lt;&gt;"",'Inputs Whole-Project Water Use'!G287,"")</f>
        <v/>
      </c>
      <c r="H287" s="315" t="str">
        <f>IF('Inputs Whole-Project Water Use'!H287&lt;&gt;"",'Inputs Whole-Project Water Use'!H287,"")</f>
        <v/>
      </c>
      <c r="I287" s="390" t="str">
        <f t="shared" si="34"/>
        <v/>
      </c>
      <c r="J287" s="391"/>
      <c r="K287" s="316" t="str">
        <f>IF('Inputs Whole-Project Water Use'!K287&lt;&gt;"",'Inputs Whole-Project Water Use'!K287,"")</f>
        <v/>
      </c>
      <c r="L287" s="316" t="str">
        <f>IF('Inputs Whole-Project Water Use'!L287&lt;&gt;"",'Inputs Whole-Project Water Use'!L287,"")</f>
        <v/>
      </c>
      <c r="M287" s="390" t="str">
        <f t="shared" si="35"/>
        <v/>
      </c>
      <c r="N287" s="391"/>
      <c r="O287" s="225" t="str">
        <f t="shared" si="36"/>
        <v/>
      </c>
      <c r="P287" s="225" t="str">
        <f t="shared" si="37"/>
        <v/>
      </c>
      <c r="Q287" s="289" t="str">
        <f>IF(AND(D287&lt;&gt;"",'Inputs Whole-Project Water Use'!Q287=""),0,IF('Inputs Whole-Project Water Use'!Q287&lt;&gt;"",'Inputs Whole-Project Water Use'!Q287,""))</f>
        <v/>
      </c>
      <c r="R287" s="225" t="str">
        <f t="shared" si="38"/>
        <v/>
      </c>
      <c r="S287" s="225" t="str">
        <f t="shared" si="39"/>
        <v/>
      </c>
      <c r="T287" s="231" t="str">
        <f t="shared" si="40"/>
        <v/>
      </c>
      <c r="U287" s="241"/>
      <c r="V287" s="241"/>
      <c r="W287" s="241"/>
      <c r="X287" s="241"/>
      <c r="Y287" s="241"/>
      <c r="Z287" s="241"/>
      <c r="AA287" s="241"/>
      <c r="AB287" s="241"/>
      <c r="AC287" s="241"/>
      <c r="AD287" s="241"/>
      <c r="AE287" s="241"/>
      <c r="AF287" s="241"/>
      <c r="AG287" s="241"/>
      <c r="AH287" s="241"/>
      <c r="AI287" s="241"/>
      <c r="AJ287" s="241"/>
      <c r="AK287" s="241"/>
      <c r="AL287" s="241"/>
      <c r="AM287" s="241"/>
      <c r="AN287" s="241"/>
      <c r="AO287" s="241"/>
      <c r="AP287" s="241"/>
      <c r="AQ287" s="241"/>
      <c r="AR287" s="241"/>
      <c r="AS287" s="241"/>
      <c r="AT287" s="241"/>
      <c r="AU287" s="241"/>
      <c r="AV287" s="241"/>
      <c r="AW287" s="241"/>
      <c r="AX287" s="241"/>
      <c r="AY287" s="241"/>
      <c r="AZ287" s="241"/>
    </row>
    <row r="288" spans="1:52" s="71" customFormat="1" ht="18" hidden="1" customHeight="1" outlineLevel="1">
      <c r="A288" s="175">
        <v>18</v>
      </c>
      <c r="B288" s="312" t="str">
        <f>(IF('Inputs Whole-Project Water Use'!B288&lt;&gt;"",'Inputs Whole-Project Water Use'!B288,""))</f>
        <v/>
      </c>
      <c r="C288" s="313" t="str">
        <f>IF(AND(D288&lt;&gt;"",'Inputs Whole-Project Water Use'!C288=""),1,IF('Inputs Whole-Project Water Use'!C288&lt;&gt;"",'Inputs Whole-Project Water Use'!C288,""))</f>
        <v/>
      </c>
      <c r="D288" s="397" t="str">
        <f>IF('Inputs Whole-Project Water Use'!D288&lt;&gt;"",'Inputs Whole-Project Water Use'!D288,"")</f>
        <v/>
      </c>
      <c r="E288" s="398"/>
      <c r="F288" s="314" t="str">
        <f>IF('Inputs Whole-Project Water Use'!F288&lt;&gt;"",'Inputs Whole-Project Water Use'!F288,"")</f>
        <v/>
      </c>
      <c r="G288" s="314" t="str">
        <f>IF('Inputs Whole-Project Water Use'!G288&lt;&gt;"",'Inputs Whole-Project Water Use'!G288,"")</f>
        <v/>
      </c>
      <c r="H288" s="315" t="str">
        <f>IF('Inputs Whole-Project Water Use'!H288&lt;&gt;"",'Inputs Whole-Project Water Use'!H288,"")</f>
        <v/>
      </c>
      <c r="I288" s="390" t="str">
        <f t="shared" si="34"/>
        <v/>
      </c>
      <c r="J288" s="391"/>
      <c r="K288" s="316" t="str">
        <f>IF('Inputs Whole-Project Water Use'!K288&lt;&gt;"",'Inputs Whole-Project Water Use'!K288,"")</f>
        <v/>
      </c>
      <c r="L288" s="316" t="str">
        <f>IF('Inputs Whole-Project Water Use'!L288&lt;&gt;"",'Inputs Whole-Project Water Use'!L288,"")</f>
        <v/>
      </c>
      <c r="M288" s="390" t="str">
        <f t="shared" si="35"/>
        <v/>
      </c>
      <c r="N288" s="391"/>
      <c r="O288" s="225" t="str">
        <f t="shared" si="36"/>
        <v/>
      </c>
      <c r="P288" s="225" t="str">
        <f t="shared" si="37"/>
        <v/>
      </c>
      <c r="Q288" s="289" t="str">
        <f>IF(AND(D288&lt;&gt;"",'Inputs Whole-Project Water Use'!Q288=""),0,IF('Inputs Whole-Project Water Use'!Q288&lt;&gt;"",'Inputs Whole-Project Water Use'!Q288,""))</f>
        <v/>
      </c>
      <c r="R288" s="225" t="str">
        <f t="shared" si="38"/>
        <v/>
      </c>
      <c r="S288" s="225" t="str">
        <f t="shared" si="39"/>
        <v/>
      </c>
      <c r="T288" s="231" t="str">
        <f t="shared" si="40"/>
        <v/>
      </c>
      <c r="U288" s="241"/>
      <c r="V288" s="241"/>
      <c r="W288" s="241"/>
      <c r="X288" s="241"/>
      <c r="Y288" s="241"/>
      <c r="Z288" s="241"/>
      <c r="AA288" s="241"/>
      <c r="AB288" s="241"/>
      <c r="AC288" s="241"/>
      <c r="AD288" s="241"/>
      <c r="AE288" s="241"/>
      <c r="AF288" s="241"/>
      <c r="AG288" s="241"/>
      <c r="AH288" s="241"/>
      <c r="AI288" s="241"/>
      <c r="AJ288" s="241"/>
      <c r="AK288" s="241"/>
      <c r="AL288" s="241"/>
      <c r="AM288" s="241"/>
      <c r="AN288" s="241"/>
      <c r="AO288" s="241"/>
      <c r="AP288" s="241"/>
      <c r="AQ288" s="241"/>
      <c r="AR288" s="241"/>
      <c r="AS288" s="241"/>
      <c r="AT288" s="241"/>
      <c r="AU288" s="241"/>
      <c r="AV288" s="241"/>
      <c r="AW288" s="241"/>
      <c r="AX288" s="241"/>
      <c r="AY288" s="241"/>
      <c r="AZ288" s="241"/>
    </row>
    <row r="289" spans="1:52" s="71" customFormat="1" ht="18" hidden="1" customHeight="1" outlineLevel="1">
      <c r="A289" s="175">
        <v>19</v>
      </c>
      <c r="B289" s="312" t="str">
        <f>(IF('Inputs Whole-Project Water Use'!B289&lt;&gt;"",'Inputs Whole-Project Water Use'!B289,""))</f>
        <v/>
      </c>
      <c r="C289" s="313" t="str">
        <f>IF(AND(D289&lt;&gt;"",'Inputs Whole-Project Water Use'!C289=""),1,IF('Inputs Whole-Project Water Use'!C289&lt;&gt;"",'Inputs Whole-Project Water Use'!C289,""))</f>
        <v/>
      </c>
      <c r="D289" s="397" t="str">
        <f>IF('Inputs Whole-Project Water Use'!D289&lt;&gt;"",'Inputs Whole-Project Water Use'!D289,"")</f>
        <v/>
      </c>
      <c r="E289" s="398"/>
      <c r="F289" s="314" t="str">
        <f>IF('Inputs Whole-Project Water Use'!F289&lt;&gt;"",'Inputs Whole-Project Water Use'!F289,"")</f>
        <v/>
      </c>
      <c r="G289" s="314" t="str">
        <f>IF('Inputs Whole-Project Water Use'!G289&lt;&gt;"",'Inputs Whole-Project Water Use'!G289,"")</f>
        <v/>
      </c>
      <c r="H289" s="315" t="str">
        <f>IF('Inputs Whole-Project Water Use'!H289&lt;&gt;"",'Inputs Whole-Project Water Use'!H289,"")</f>
        <v/>
      </c>
      <c r="I289" s="390" t="str">
        <f t="shared" si="34"/>
        <v/>
      </c>
      <c r="J289" s="391"/>
      <c r="K289" s="316" t="str">
        <f>IF('Inputs Whole-Project Water Use'!K289&lt;&gt;"",'Inputs Whole-Project Water Use'!K289,"")</f>
        <v/>
      </c>
      <c r="L289" s="316" t="str">
        <f>IF('Inputs Whole-Project Water Use'!L289&lt;&gt;"",'Inputs Whole-Project Water Use'!L289,"")</f>
        <v/>
      </c>
      <c r="M289" s="390" t="str">
        <f t="shared" si="35"/>
        <v/>
      </c>
      <c r="N289" s="391"/>
      <c r="O289" s="225" t="str">
        <f t="shared" si="36"/>
        <v/>
      </c>
      <c r="P289" s="225" t="str">
        <f t="shared" si="37"/>
        <v/>
      </c>
      <c r="Q289" s="289" t="str">
        <f>IF(AND(D289&lt;&gt;"",'Inputs Whole-Project Water Use'!Q289=""),0,IF('Inputs Whole-Project Water Use'!Q289&lt;&gt;"",'Inputs Whole-Project Water Use'!Q289,""))</f>
        <v/>
      </c>
      <c r="R289" s="225" t="str">
        <f t="shared" si="38"/>
        <v/>
      </c>
      <c r="S289" s="225" t="str">
        <f t="shared" si="39"/>
        <v/>
      </c>
      <c r="T289" s="231" t="str">
        <f t="shared" si="40"/>
        <v/>
      </c>
      <c r="U289" s="241"/>
      <c r="V289" s="241"/>
      <c r="W289" s="241"/>
      <c r="X289" s="241"/>
      <c r="Y289" s="241"/>
      <c r="Z289" s="241"/>
      <c r="AA289" s="241"/>
      <c r="AB289" s="241"/>
      <c r="AC289" s="241"/>
      <c r="AD289" s="241"/>
      <c r="AE289" s="241"/>
      <c r="AF289" s="241"/>
      <c r="AG289" s="241"/>
      <c r="AH289" s="241"/>
      <c r="AI289" s="241"/>
      <c r="AJ289" s="241"/>
      <c r="AK289" s="241"/>
      <c r="AL289" s="241"/>
      <c r="AM289" s="241"/>
      <c r="AN289" s="241"/>
      <c r="AO289" s="241"/>
      <c r="AP289" s="241"/>
      <c r="AQ289" s="241"/>
      <c r="AR289" s="241"/>
      <c r="AS289" s="241"/>
      <c r="AT289" s="241"/>
      <c r="AU289" s="241"/>
      <c r="AV289" s="241"/>
      <c r="AW289" s="241"/>
      <c r="AX289" s="241"/>
      <c r="AY289" s="241"/>
      <c r="AZ289" s="241"/>
    </row>
    <row r="290" spans="1:52" s="71" customFormat="1" ht="18" hidden="1" customHeight="1" outlineLevel="1">
      <c r="A290" s="175">
        <v>20</v>
      </c>
      <c r="B290" s="312" t="str">
        <f>(IF('Inputs Whole-Project Water Use'!B290&lt;&gt;"",'Inputs Whole-Project Water Use'!B290,""))</f>
        <v/>
      </c>
      <c r="C290" s="313" t="str">
        <f>IF(AND(D290&lt;&gt;"",'Inputs Whole-Project Water Use'!C290=""),1,IF('Inputs Whole-Project Water Use'!C290&lt;&gt;"",'Inputs Whole-Project Water Use'!C290,""))</f>
        <v/>
      </c>
      <c r="D290" s="397" t="str">
        <f>IF('Inputs Whole-Project Water Use'!D290&lt;&gt;"",'Inputs Whole-Project Water Use'!D290,"")</f>
        <v/>
      </c>
      <c r="E290" s="398"/>
      <c r="F290" s="314" t="str">
        <f>IF('Inputs Whole-Project Water Use'!F290&lt;&gt;"",'Inputs Whole-Project Water Use'!F290,"")</f>
        <v/>
      </c>
      <c r="G290" s="314" t="str">
        <f>IF('Inputs Whole-Project Water Use'!G290&lt;&gt;"",'Inputs Whole-Project Water Use'!G290,"")</f>
        <v/>
      </c>
      <c r="H290" s="315" t="str">
        <f>IF('Inputs Whole-Project Water Use'!H290&lt;&gt;"",'Inputs Whole-Project Water Use'!H290,"")</f>
        <v/>
      </c>
      <c r="I290" s="390" t="str">
        <f t="shared" si="34"/>
        <v/>
      </c>
      <c r="J290" s="391"/>
      <c r="K290" s="316" t="str">
        <f>IF('Inputs Whole-Project Water Use'!K290&lt;&gt;"",'Inputs Whole-Project Water Use'!K290,"")</f>
        <v/>
      </c>
      <c r="L290" s="316" t="str">
        <f>IF('Inputs Whole-Project Water Use'!L290&lt;&gt;"",'Inputs Whole-Project Water Use'!L290,"")</f>
        <v/>
      </c>
      <c r="M290" s="390" t="str">
        <f t="shared" si="35"/>
        <v/>
      </c>
      <c r="N290" s="391"/>
      <c r="O290" s="225" t="str">
        <f t="shared" si="36"/>
        <v/>
      </c>
      <c r="P290" s="225" t="str">
        <f t="shared" si="37"/>
        <v/>
      </c>
      <c r="Q290" s="289" t="str">
        <f>IF(AND(D290&lt;&gt;"",'Inputs Whole-Project Water Use'!Q290=""),0,IF('Inputs Whole-Project Water Use'!Q290&lt;&gt;"",'Inputs Whole-Project Water Use'!Q290,""))</f>
        <v/>
      </c>
      <c r="R290" s="225" t="str">
        <f t="shared" si="38"/>
        <v/>
      </c>
      <c r="S290" s="225" t="str">
        <f t="shared" si="39"/>
        <v/>
      </c>
      <c r="T290" s="231" t="str">
        <f t="shared" si="40"/>
        <v/>
      </c>
      <c r="U290" s="241"/>
      <c r="V290" s="241"/>
      <c r="W290" s="241"/>
      <c r="X290" s="241"/>
      <c r="Y290" s="241"/>
      <c r="Z290" s="241"/>
      <c r="AA290" s="241"/>
      <c r="AB290" s="241"/>
      <c r="AC290" s="241"/>
      <c r="AD290" s="241"/>
      <c r="AE290" s="241"/>
      <c r="AF290" s="241"/>
      <c r="AG290" s="241"/>
      <c r="AH290" s="241"/>
      <c r="AI290" s="241"/>
      <c r="AJ290" s="241"/>
      <c r="AK290" s="241"/>
      <c r="AL290" s="241"/>
      <c r="AM290" s="241"/>
      <c r="AN290" s="241"/>
      <c r="AO290" s="241"/>
      <c r="AP290" s="241"/>
      <c r="AQ290" s="241"/>
      <c r="AR290" s="241"/>
      <c r="AS290" s="241"/>
      <c r="AT290" s="241"/>
      <c r="AU290" s="241"/>
      <c r="AV290" s="241"/>
      <c r="AW290" s="241"/>
      <c r="AX290" s="241"/>
      <c r="AY290" s="241"/>
      <c r="AZ290" s="241"/>
    </row>
    <row r="291" spans="1:52" s="71" customFormat="1" ht="18" hidden="1" customHeight="1" outlineLevel="1">
      <c r="A291" s="175">
        <v>21</v>
      </c>
      <c r="B291" s="312" t="str">
        <f>(IF('Inputs Whole-Project Water Use'!B291&lt;&gt;"",'Inputs Whole-Project Water Use'!B291,""))</f>
        <v/>
      </c>
      <c r="C291" s="313" t="str">
        <f>IF(AND(D291&lt;&gt;"",'Inputs Whole-Project Water Use'!C291=""),1,IF('Inputs Whole-Project Water Use'!C291&lt;&gt;"",'Inputs Whole-Project Water Use'!C291,""))</f>
        <v/>
      </c>
      <c r="D291" s="397" t="str">
        <f>IF('Inputs Whole-Project Water Use'!D291&lt;&gt;"",'Inputs Whole-Project Water Use'!D291,"")</f>
        <v/>
      </c>
      <c r="E291" s="398"/>
      <c r="F291" s="314" t="str">
        <f>IF('Inputs Whole-Project Water Use'!F291&lt;&gt;"",'Inputs Whole-Project Water Use'!F291,"")</f>
        <v/>
      </c>
      <c r="G291" s="314" t="str">
        <f>IF('Inputs Whole-Project Water Use'!G291&lt;&gt;"",'Inputs Whole-Project Water Use'!G291,"")</f>
        <v/>
      </c>
      <c r="H291" s="315" t="str">
        <f>IF('Inputs Whole-Project Water Use'!H291&lt;&gt;"",'Inputs Whole-Project Water Use'!H291,"")</f>
        <v/>
      </c>
      <c r="I291" s="390" t="str">
        <f t="shared" si="34"/>
        <v/>
      </c>
      <c r="J291" s="391"/>
      <c r="K291" s="316" t="str">
        <f>IF('Inputs Whole-Project Water Use'!K291&lt;&gt;"",'Inputs Whole-Project Water Use'!K291,"")</f>
        <v/>
      </c>
      <c r="L291" s="316" t="str">
        <f>IF('Inputs Whole-Project Water Use'!L291&lt;&gt;"",'Inputs Whole-Project Water Use'!L291,"")</f>
        <v/>
      </c>
      <c r="M291" s="390" t="str">
        <f t="shared" si="35"/>
        <v/>
      </c>
      <c r="N291" s="391"/>
      <c r="O291" s="225" t="str">
        <f t="shared" si="36"/>
        <v/>
      </c>
      <c r="P291" s="225" t="str">
        <f t="shared" si="37"/>
        <v/>
      </c>
      <c r="Q291" s="289" t="str">
        <f>IF(AND(D291&lt;&gt;"",'Inputs Whole-Project Water Use'!Q291=""),0,IF('Inputs Whole-Project Water Use'!Q291&lt;&gt;"",'Inputs Whole-Project Water Use'!Q291,""))</f>
        <v/>
      </c>
      <c r="R291" s="225" t="str">
        <f t="shared" si="38"/>
        <v/>
      </c>
      <c r="S291" s="225" t="str">
        <f t="shared" si="39"/>
        <v/>
      </c>
      <c r="T291" s="231" t="str">
        <f t="shared" si="40"/>
        <v/>
      </c>
      <c r="U291" s="241"/>
      <c r="V291" s="241"/>
      <c r="W291" s="241"/>
      <c r="X291" s="241"/>
      <c r="Y291" s="241"/>
      <c r="Z291" s="241"/>
      <c r="AA291" s="241"/>
      <c r="AB291" s="241"/>
      <c r="AC291" s="241"/>
      <c r="AD291" s="241"/>
      <c r="AE291" s="241"/>
      <c r="AF291" s="241"/>
      <c r="AG291" s="241"/>
      <c r="AH291" s="241"/>
      <c r="AI291" s="241"/>
      <c r="AJ291" s="241"/>
      <c r="AK291" s="241"/>
      <c r="AL291" s="241"/>
      <c r="AM291" s="241"/>
      <c r="AN291" s="241"/>
      <c r="AO291" s="241"/>
      <c r="AP291" s="241"/>
      <c r="AQ291" s="241"/>
      <c r="AR291" s="241"/>
      <c r="AS291" s="241"/>
      <c r="AT291" s="241"/>
      <c r="AU291" s="241"/>
      <c r="AV291" s="241"/>
      <c r="AW291" s="241"/>
      <c r="AX291" s="241"/>
      <c r="AY291" s="241"/>
      <c r="AZ291" s="241"/>
    </row>
    <row r="292" spans="1:52" s="71" customFormat="1" ht="18" hidden="1" customHeight="1" outlineLevel="1">
      <c r="A292" s="175">
        <v>22</v>
      </c>
      <c r="B292" s="312" t="str">
        <f>(IF('Inputs Whole-Project Water Use'!B292&lt;&gt;"",'Inputs Whole-Project Water Use'!B292,""))</f>
        <v/>
      </c>
      <c r="C292" s="313" t="str">
        <f>IF(AND(D292&lt;&gt;"",'Inputs Whole-Project Water Use'!C292=""),1,IF('Inputs Whole-Project Water Use'!C292&lt;&gt;"",'Inputs Whole-Project Water Use'!C292,""))</f>
        <v/>
      </c>
      <c r="D292" s="397" t="str">
        <f>IF('Inputs Whole-Project Water Use'!D292&lt;&gt;"",'Inputs Whole-Project Water Use'!D292,"")</f>
        <v/>
      </c>
      <c r="E292" s="398"/>
      <c r="F292" s="314" t="str">
        <f>IF('Inputs Whole-Project Water Use'!F292&lt;&gt;"",'Inputs Whole-Project Water Use'!F292,"")</f>
        <v/>
      </c>
      <c r="G292" s="314" t="str">
        <f>IF('Inputs Whole-Project Water Use'!G292&lt;&gt;"",'Inputs Whole-Project Water Use'!G292,"")</f>
        <v/>
      </c>
      <c r="H292" s="315" t="str">
        <f>IF('Inputs Whole-Project Water Use'!H292&lt;&gt;"",'Inputs Whole-Project Water Use'!H292,"")</f>
        <v/>
      </c>
      <c r="I292" s="390" t="str">
        <f t="shared" si="34"/>
        <v/>
      </c>
      <c r="J292" s="391"/>
      <c r="K292" s="316" t="str">
        <f>IF('Inputs Whole-Project Water Use'!K292&lt;&gt;"",'Inputs Whole-Project Water Use'!K292,"")</f>
        <v/>
      </c>
      <c r="L292" s="316" t="str">
        <f>IF('Inputs Whole-Project Water Use'!L292&lt;&gt;"",'Inputs Whole-Project Water Use'!L292,"")</f>
        <v/>
      </c>
      <c r="M292" s="390" t="str">
        <f t="shared" si="35"/>
        <v/>
      </c>
      <c r="N292" s="391"/>
      <c r="O292" s="225" t="str">
        <f t="shared" si="36"/>
        <v/>
      </c>
      <c r="P292" s="225" t="str">
        <f t="shared" si="37"/>
        <v/>
      </c>
      <c r="Q292" s="289" t="str">
        <f>IF(AND(D292&lt;&gt;"",'Inputs Whole-Project Water Use'!Q292=""),0,IF('Inputs Whole-Project Water Use'!Q292&lt;&gt;"",'Inputs Whole-Project Water Use'!Q292,""))</f>
        <v/>
      </c>
      <c r="R292" s="225" t="str">
        <f t="shared" si="38"/>
        <v/>
      </c>
      <c r="S292" s="225" t="str">
        <f t="shared" si="39"/>
        <v/>
      </c>
      <c r="T292" s="231" t="str">
        <f t="shared" si="40"/>
        <v/>
      </c>
      <c r="U292" s="241"/>
      <c r="V292" s="241"/>
      <c r="W292" s="241"/>
      <c r="X292" s="241"/>
      <c r="Y292" s="241"/>
      <c r="Z292" s="241"/>
      <c r="AA292" s="241"/>
      <c r="AB292" s="241"/>
      <c r="AC292" s="241"/>
      <c r="AD292" s="241"/>
      <c r="AE292" s="241"/>
      <c r="AF292" s="241"/>
      <c r="AG292" s="241"/>
      <c r="AH292" s="241"/>
      <c r="AI292" s="241"/>
      <c r="AJ292" s="241"/>
      <c r="AK292" s="241"/>
      <c r="AL292" s="241"/>
      <c r="AM292" s="241"/>
      <c r="AN292" s="241"/>
      <c r="AO292" s="241"/>
      <c r="AP292" s="241"/>
      <c r="AQ292" s="241"/>
      <c r="AR292" s="241"/>
      <c r="AS292" s="241"/>
      <c r="AT292" s="241"/>
      <c r="AU292" s="241"/>
      <c r="AV292" s="241"/>
      <c r="AW292" s="241"/>
      <c r="AX292" s="241"/>
      <c r="AY292" s="241"/>
      <c r="AZ292" s="241"/>
    </row>
    <row r="293" spans="1:52" s="71" customFormat="1" ht="18" hidden="1" customHeight="1" outlineLevel="1">
      <c r="A293" s="175">
        <v>23</v>
      </c>
      <c r="B293" s="312" t="str">
        <f>(IF('Inputs Whole-Project Water Use'!B293&lt;&gt;"",'Inputs Whole-Project Water Use'!B293,""))</f>
        <v/>
      </c>
      <c r="C293" s="313" t="str">
        <f>IF(AND(D293&lt;&gt;"",'Inputs Whole-Project Water Use'!C293=""),1,IF('Inputs Whole-Project Water Use'!C293&lt;&gt;"",'Inputs Whole-Project Water Use'!C293,""))</f>
        <v/>
      </c>
      <c r="D293" s="397" t="str">
        <f>IF('Inputs Whole-Project Water Use'!D293&lt;&gt;"",'Inputs Whole-Project Water Use'!D293,"")</f>
        <v/>
      </c>
      <c r="E293" s="398"/>
      <c r="F293" s="314" t="str">
        <f>IF('Inputs Whole-Project Water Use'!F293&lt;&gt;"",'Inputs Whole-Project Water Use'!F293,"")</f>
        <v/>
      </c>
      <c r="G293" s="314" t="str">
        <f>IF('Inputs Whole-Project Water Use'!G293&lt;&gt;"",'Inputs Whole-Project Water Use'!G293,"")</f>
        <v/>
      </c>
      <c r="H293" s="315" t="str">
        <f>IF('Inputs Whole-Project Water Use'!H293&lt;&gt;"",'Inputs Whole-Project Water Use'!H293,"")</f>
        <v/>
      </c>
      <c r="I293" s="390" t="str">
        <f t="shared" si="34"/>
        <v/>
      </c>
      <c r="J293" s="391"/>
      <c r="K293" s="316" t="str">
        <f>IF('Inputs Whole-Project Water Use'!K293&lt;&gt;"",'Inputs Whole-Project Water Use'!K293,"")</f>
        <v/>
      </c>
      <c r="L293" s="316" t="str">
        <f>IF('Inputs Whole-Project Water Use'!L293&lt;&gt;"",'Inputs Whole-Project Water Use'!L293,"")</f>
        <v/>
      </c>
      <c r="M293" s="390" t="str">
        <f t="shared" si="35"/>
        <v/>
      </c>
      <c r="N293" s="391"/>
      <c r="O293" s="225" t="str">
        <f t="shared" si="36"/>
        <v/>
      </c>
      <c r="P293" s="225" t="str">
        <f t="shared" si="37"/>
        <v/>
      </c>
      <c r="Q293" s="289" t="str">
        <f>IF(AND(D293&lt;&gt;"",'Inputs Whole-Project Water Use'!Q293=""),0,IF('Inputs Whole-Project Water Use'!Q293&lt;&gt;"",'Inputs Whole-Project Water Use'!Q293,""))</f>
        <v/>
      </c>
      <c r="R293" s="225" t="str">
        <f t="shared" si="38"/>
        <v/>
      </c>
      <c r="S293" s="225" t="str">
        <f t="shared" si="39"/>
        <v/>
      </c>
      <c r="T293" s="231" t="str">
        <f t="shared" si="40"/>
        <v/>
      </c>
      <c r="U293" s="241"/>
      <c r="V293" s="241"/>
      <c r="W293" s="241"/>
      <c r="X293" s="241"/>
      <c r="Y293" s="241"/>
      <c r="Z293" s="241"/>
      <c r="AA293" s="241"/>
      <c r="AB293" s="241"/>
      <c r="AC293" s="241"/>
      <c r="AD293" s="241"/>
      <c r="AE293" s="241"/>
      <c r="AF293" s="241"/>
      <c r="AG293" s="241"/>
      <c r="AH293" s="241"/>
      <c r="AI293" s="241"/>
      <c r="AJ293" s="241"/>
      <c r="AK293" s="241"/>
      <c r="AL293" s="241"/>
      <c r="AM293" s="241"/>
      <c r="AN293" s="241"/>
      <c r="AO293" s="241"/>
      <c r="AP293" s="241"/>
      <c r="AQ293" s="241"/>
      <c r="AR293" s="241"/>
      <c r="AS293" s="241"/>
      <c r="AT293" s="241"/>
      <c r="AU293" s="241"/>
      <c r="AV293" s="241"/>
      <c r="AW293" s="241"/>
      <c r="AX293" s="241"/>
      <c r="AY293" s="241"/>
      <c r="AZ293" s="241"/>
    </row>
    <row r="294" spans="1:52" s="71" customFormat="1" ht="18" hidden="1" customHeight="1" outlineLevel="1">
      <c r="A294" s="175">
        <v>24</v>
      </c>
      <c r="B294" s="312" t="str">
        <f>(IF('Inputs Whole-Project Water Use'!B294&lt;&gt;"",'Inputs Whole-Project Water Use'!B294,""))</f>
        <v/>
      </c>
      <c r="C294" s="313" t="str">
        <f>IF(AND(D294&lt;&gt;"",'Inputs Whole-Project Water Use'!C294=""),1,IF('Inputs Whole-Project Water Use'!C294&lt;&gt;"",'Inputs Whole-Project Water Use'!C294,""))</f>
        <v/>
      </c>
      <c r="D294" s="397" t="str">
        <f>IF('Inputs Whole-Project Water Use'!D294&lt;&gt;"",'Inputs Whole-Project Water Use'!D294,"")</f>
        <v/>
      </c>
      <c r="E294" s="398"/>
      <c r="F294" s="314" t="str">
        <f>IF('Inputs Whole-Project Water Use'!F294&lt;&gt;"",'Inputs Whole-Project Water Use'!F294,"")</f>
        <v/>
      </c>
      <c r="G294" s="314" t="str">
        <f>IF('Inputs Whole-Project Water Use'!G294&lt;&gt;"",'Inputs Whole-Project Water Use'!G294,"")</f>
        <v/>
      </c>
      <c r="H294" s="315" t="str">
        <f>IF('Inputs Whole-Project Water Use'!H294&lt;&gt;"",'Inputs Whole-Project Water Use'!H294,"")</f>
        <v/>
      </c>
      <c r="I294" s="390" t="str">
        <f t="shared" si="34"/>
        <v/>
      </c>
      <c r="J294" s="391"/>
      <c r="K294" s="316" t="str">
        <f>IF('Inputs Whole-Project Water Use'!K294&lt;&gt;"",'Inputs Whole-Project Water Use'!K294,"")</f>
        <v/>
      </c>
      <c r="L294" s="316" t="str">
        <f>IF('Inputs Whole-Project Water Use'!L294&lt;&gt;"",'Inputs Whole-Project Water Use'!L294,"")</f>
        <v/>
      </c>
      <c r="M294" s="390" t="str">
        <f t="shared" si="35"/>
        <v/>
      </c>
      <c r="N294" s="391"/>
      <c r="O294" s="225" t="str">
        <f t="shared" si="36"/>
        <v/>
      </c>
      <c r="P294" s="225" t="str">
        <f t="shared" si="37"/>
        <v/>
      </c>
      <c r="Q294" s="289" t="str">
        <f>IF(AND(D294&lt;&gt;"",'Inputs Whole-Project Water Use'!Q294=""),0,IF('Inputs Whole-Project Water Use'!Q294&lt;&gt;"",'Inputs Whole-Project Water Use'!Q294,""))</f>
        <v/>
      </c>
      <c r="R294" s="225" t="str">
        <f t="shared" si="38"/>
        <v/>
      </c>
      <c r="S294" s="225" t="str">
        <f t="shared" si="39"/>
        <v/>
      </c>
      <c r="T294" s="231" t="str">
        <f t="shared" si="40"/>
        <v/>
      </c>
      <c r="U294" s="241"/>
      <c r="V294" s="241"/>
      <c r="W294" s="241"/>
      <c r="X294" s="241"/>
      <c r="Y294" s="241"/>
      <c r="Z294" s="241"/>
      <c r="AA294" s="241"/>
      <c r="AB294" s="241"/>
      <c r="AC294" s="241"/>
      <c r="AD294" s="241"/>
      <c r="AE294" s="241"/>
      <c r="AF294" s="241"/>
      <c r="AG294" s="241"/>
      <c r="AH294" s="241"/>
      <c r="AI294" s="241"/>
      <c r="AJ294" s="241"/>
      <c r="AK294" s="241"/>
      <c r="AL294" s="241"/>
      <c r="AM294" s="241"/>
      <c r="AN294" s="241"/>
      <c r="AO294" s="241"/>
      <c r="AP294" s="241"/>
      <c r="AQ294" s="241"/>
      <c r="AR294" s="241"/>
      <c r="AS294" s="241"/>
      <c r="AT294" s="241"/>
      <c r="AU294" s="241"/>
      <c r="AV294" s="241"/>
      <c r="AW294" s="241"/>
      <c r="AX294" s="241"/>
      <c r="AY294" s="241"/>
      <c r="AZ294" s="241"/>
    </row>
    <row r="295" spans="1:52" s="71" customFormat="1" ht="18" hidden="1" customHeight="1" outlineLevel="1">
      <c r="A295" s="175">
        <v>25</v>
      </c>
      <c r="B295" s="312" t="str">
        <f>(IF('Inputs Whole-Project Water Use'!B295&lt;&gt;"",'Inputs Whole-Project Water Use'!B295,""))</f>
        <v/>
      </c>
      <c r="C295" s="313" t="str">
        <f>IF(AND(D295&lt;&gt;"",'Inputs Whole-Project Water Use'!C295=""),1,IF('Inputs Whole-Project Water Use'!C295&lt;&gt;"",'Inputs Whole-Project Water Use'!C295,""))</f>
        <v/>
      </c>
      <c r="D295" s="397" t="str">
        <f>IF('Inputs Whole-Project Water Use'!D295&lt;&gt;"",'Inputs Whole-Project Water Use'!D295,"")</f>
        <v/>
      </c>
      <c r="E295" s="398"/>
      <c r="F295" s="314" t="str">
        <f>IF('Inputs Whole-Project Water Use'!F295&lt;&gt;"",'Inputs Whole-Project Water Use'!F295,"")</f>
        <v/>
      </c>
      <c r="G295" s="314" t="str">
        <f>IF('Inputs Whole-Project Water Use'!G295&lt;&gt;"",'Inputs Whole-Project Water Use'!G295,"")</f>
        <v/>
      </c>
      <c r="H295" s="315" t="str">
        <f>IF('Inputs Whole-Project Water Use'!H295&lt;&gt;"",'Inputs Whole-Project Water Use'!H295,"")</f>
        <v/>
      </c>
      <c r="I295" s="390" t="str">
        <f t="shared" si="34"/>
        <v/>
      </c>
      <c r="J295" s="391"/>
      <c r="K295" s="316" t="str">
        <f>IF('Inputs Whole-Project Water Use'!K295&lt;&gt;"",'Inputs Whole-Project Water Use'!K295,"")</f>
        <v/>
      </c>
      <c r="L295" s="316" t="str">
        <f>IF('Inputs Whole-Project Water Use'!L295&lt;&gt;"",'Inputs Whole-Project Water Use'!L295,"")</f>
        <v/>
      </c>
      <c r="M295" s="390" t="str">
        <f t="shared" si="35"/>
        <v/>
      </c>
      <c r="N295" s="391"/>
      <c r="O295" s="225" t="str">
        <f t="shared" si="36"/>
        <v/>
      </c>
      <c r="P295" s="225" t="str">
        <f t="shared" si="37"/>
        <v/>
      </c>
      <c r="Q295" s="289" t="str">
        <f>IF(AND(D295&lt;&gt;"",'Inputs Whole-Project Water Use'!Q295=""),0,IF('Inputs Whole-Project Water Use'!Q295&lt;&gt;"",'Inputs Whole-Project Water Use'!Q295,""))</f>
        <v/>
      </c>
      <c r="R295" s="225" t="str">
        <f t="shared" si="38"/>
        <v/>
      </c>
      <c r="S295" s="225" t="str">
        <f t="shared" si="39"/>
        <v/>
      </c>
      <c r="T295" s="231" t="str">
        <f t="shared" si="40"/>
        <v/>
      </c>
      <c r="U295" s="241"/>
      <c r="V295" s="241"/>
      <c r="W295" s="241"/>
      <c r="X295" s="241"/>
      <c r="Y295" s="241"/>
      <c r="Z295" s="241"/>
      <c r="AA295" s="241"/>
      <c r="AB295" s="241"/>
      <c r="AC295" s="241"/>
      <c r="AD295" s="241"/>
      <c r="AE295" s="241"/>
      <c r="AF295" s="241"/>
      <c r="AG295" s="241"/>
      <c r="AH295" s="241"/>
      <c r="AI295" s="241"/>
      <c r="AJ295" s="241"/>
      <c r="AK295" s="241"/>
      <c r="AL295" s="241"/>
      <c r="AM295" s="241"/>
      <c r="AN295" s="241"/>
      <c r="AO295" s="241"/>
      <c r="AP295" s="241"/>
      <c r="AQ295" s="241"/>
      <c r="AR295" s="241"/>
      <c r="AS295" s="241"/>
      <c r="AT295" s="241"/>
      <c r="AU295" s="241"/>
      <c r="AV295" s="241"/>
      <c r="AW295" s="241"/>
      <c r="AX295" s="241"/>
      <c r="AY295" s="241"/>
      <c r="AZ295" s="241"/>
    </row>
    <row r="296" spans="1:52" s="71" customFormat="1" ht="18" hidden="1" customHeight="1" outlineLevel="1">
      <c r="A296" s="175">
        <v>26</v>
      </c>
      <c r="B296" s="312" t="str">
        <f>(IF('Inputs Whole-Project Water Use'!B296&lt;&gt;"",'Inputs Whole-Project Water Use'!B296,""))</f>
        <v/>
      </c>
      <c r="C296" s="313" t="str">
        <f>IF(AND(D296&lt;&gt;"",'Inputs Whole-Project Water Use'!C296=""),1,IF('Inputs Whole-Project Water Use'!C296&lt;&gt;"",'Inputs Whole-Project Water Use'!C296,""))</f>
        <v/>
      </c>
      <c r="D296" s="397" t="str">
        <f>IF('Inputs Whole-Project Water Use'!D296&lt;&gt;"",'Inputs Whole-Project Water Use'!D296,"")</f>
        <v/>
      </c>
      <c r="E296" s="398"/>
      <c r="F296" s="314" t="str">
        <f>IF('Inputs Whole-Project Water Use'!F296&lt;&gt;"",'Inputs Whole-Project Water Use'!F296,"")</f>
        <v/>
      </c>
      <c r="G296" s="314" t="str">
        <f>IF('Inputs Whole-Project Water Use'!G296&lt;&gt;"",'Inputs Whole-Project Water Use'!G296,"")</f>
        <v/>
      </c>
      <c r="H296" s="315" t="str">
        <f>IF('Inputs Whole-Project Water Use'!H296&lt;&gt;"",'Inputs Whole-Project Water Use'!H296,"")</f>
        <v/>
      </c>
      <c r="I296" s="390" t="str">
        <f t="shared" si="34"/>
        <v/>
      </c>
      <c r="J296" s="391"/>
      <c r="K296" s="316" t="str">
        <f>IF('Inputs Whole-Project Water Use'!K296&lt;&gt;"",'Inputs Whole-Project Water Use'!K296,"")</f>
        <v/>
      </c>
      <c r="L296" s="316" t="str">
        <f>IF('Inputs Whole-Project Water Use'!L296&lt;&gt;"",'Inputs Whole-Project Water Use'!L296,"")</f>
        <v/>
      </c>
      <c r="M296" s="390" t="str">
        <f t="shared" si="35"/>
        <v/>
      </c>
      <c r="N296" s="391"/>
      <c r="O296" s="225" t="str">
        <f t="shared" si="36"/>
        <v/>
      </c>
      <c r="P296" s="225" t="str">
        <f t="shared" si="37"/>
        <v/>
      </c>
      <c r="Q296" s="289" t="str">
        <f>IF(AND(D296&lt;&gt;"",'Inputs Whole-Project Water Use'!Q296=""),0,IF('Inputs Whole-Project Water Use'!Q296&lt;&gt;"",'Inputs Whole-Project Water Use'!Q296,""))</f>
        <v/>
      </c>
      <c r="R296" s="225" t="str">
        <f t="shared" si="38"/>
        <v/>
      </c>
      <c r="S296" s="225" t="str">
        <f t="shared" si="39"/>
        <v/>
      </c>
      <c r="T296" s="231" t="str">
        <f t="shared" si="40"/>
        <v/>
      </c>
      <c r="U296" s="241"/>
      <c r="V296" s="241"/>
      <c r="W296" s="241"/>
      <c r="X296" s="241"/>
      <c r="Y296" s="241"/>
      <c r="Z296" s="241"/>
      <c r="AA296" s="241"/>
      <c r="AB296" s="241"/>
      <c r="AC296" s="241"/>
      <c r="AD296" s="241"/>
      <c r="AE296" s="241"/>
      <c r="AF296" s="241"/>
      <c r="AG296" s="241"/>
      <c r="AH296" s="241"/>
      <c r="AI296" s="241"/>
      <c r="AJ296" s="241"/>
      <c r="AK296" s="241"/>
      <c r="AL296" s="241"/>
      <c r="AM296" s="241"/>
      <c r="AN296" s="241"/>
      <c r="AO296" s="241"/>
      <c r="AP296" s="241"/>
      <c r="AQ296" s="241"/>
      <c r="AR296" s="241"/>
      <c r="AS296" s="241"/>
      <c r="AT296" s="241"/>
      <c r="AU296" s="241"/>
      <c r="AV296" s="241"/>
      <c r="AW296" s="241"/>
      <c r="AX296" s="241"/>
      <c r="AY296" s="241"/>
      <c r="AZ296" s="241"/>
    </row>
    <row r="297" spans="1:52" s="71" customFormat="1" ht="18" hidden="1" customHeight="1" outlineLevel="1">
      <c r="A297" s="175">
        <v>27</v>
      </c>
      <c r="B297" s="312" t="str">
        <f>(IF('Inputs Whole-Project Water Use'!B297&lt;&gt;"",'Inputs Whole-Project Water Use'!B297,""))</f>
        <v/>
      </c>
      <c r="C297" s="313" t="str">
        <f>IF(AND(D297&lt;&gt;"",'Inputs Whole-Project Water Use'!C297=""),1,IF('Inputs Whole-Project Water Use'!C297&lt;&gt;"",'Inputs Whole-Project Water Use'!C297,""))</f>
        <v/>
      </c>
      <c r="D297" s="397" t="str">
        <f>IF('Inputs Whole-Project Water Use'!D297&lt;&gt;"",'Inputs Whole-Project Water Use'!D297,"")</f>
        <v/>
      </c>
      <c r="E297" s="398"/>
      <c r="F297" s="314" t="str">
        <f>IF('Inputs Whole-Project Water Use'!F297&lt;&gt;"",'Inputs Whole-Project Water Use'!F297,"")</f>
        <v/>
      </c>
      <c r="G297" s="314" t="str">
        <f>IF('Inputs Whole-Project Water Use'!G297&lt;&gt;"",'Inputs Whole-Project Water Use'!G297,"")</f>
        <v/>
      </c>
      <c r="H297" s="315" t="str">
        <f>IF('Inputs Whole-Project Water Use'!H297&lt;&gt;"",'Inputs Whole-Project Water Use'!H297,"")</f>
        <v/>
      </c>
      <c r="I297" s="390" t="str">
        <f t="shared" si="34"/>
        <v/>
      </c>
      <c r="J297" s="391"/>
      <c r="K297" s="316" t="str">
        <f>IF('Inputs Whole-Project Water Use'!K297&lt;&gt;"",'Inputs Whole-Project Water Use'!K297,"")</f>
        <v/>
      </c>
      <c r="L297" s="316" t="str">
        <f>IF('Inputs Whole-Project Water Use'!L297&lt;&gt;"",'Inputs Whole-Project Water Use'!L297,"")</f>
        <v/>
      </c>
      <c r="M297" s="390" t="str">
        <f t="shared" si="35"/>
        <v/>
      </c>
      <c r="N297" s="391"/>
      <c r="O297" s="225" t="str">
        <f t="shared" si="36"/>
        <v/>
      </c>
      <c r="P297" s="225" t="str">
        <f t="shared" si="37"/>
        <v/>
      </c>
      <c r="Q297" s="289" t="str">
        <f>IF(AND(D297&lt;&gt;"",'Inputs Whole-Project Water Use'!Q297=""),0,IF('Inputs Whole-Project Water Use'!Q297&lt;&gt;"",'Inputs Whole-Project Water Use'!Q297,""))</f>
        <v/>
      </c>
      <c r="R297" s="225" t="str">
        <f t="shared" si="38"/>
        <v/>
      </c>
      <c r="S297" s="225" t="str">
        <f t="shared" si="39"/>
        <v/>
      </c>
      <c r="T297" s="231" t="str">
        <f t="shared" si="40"/>
        <v/>
      </c>
      <c r="U297" s="241"/>
      <c r="V297" s="241"/>
      <c r="W297" s="241"/>
      <c r="X297" s="241"/>
      <c r="Y297" s="241"/>
      <c r="Z297" s="241"/>
      <c r="AA297" s="241"/>
      <c r="AB297" s="241"/>
      <c r="AC297" s="241"/>
      <c r="AD297" s="241"/>
      <c r="AE297" s="241"/>
      <c r="AF297" s="241"/>
      <c r="AG297" s="241"/>
      <c r="AH297" s="241"/>
      <c r="AI297" s="241"/>
      <c r="AJ297" s="241"/>
      <c r="AK297" s="241"/>
      <c r="AL297" s="241"/>
      <c r="AM297" s="241"/>
      <c r="AN297" s="241"/>
      <c r="AO297" s="241"/>
      <c r="AP297" s="241"/>
      <c r="AQ297" s="241"/>
      <c r="AR297" s="241"/>
      <c r="AS297" s="241"/>
      <c r="AT297" s="241"/>
      <c r="AU297" s="241"/>
      <c r="AV297" s="241"/>
      <c r="AW297" s="241"/>
      <c r="AX297" s="241"/>
      <c r="AY297" s="241"/>
      <c r="AZ297" s="241"/>
    </row>
    <row r="298" spans="1:52" s="71" customFormat="1" ht="18" hidden="1" customHeight="1" outlineLevel="1">
      <c r="A298" s="175">
        <v>28</v>
      </c>
      <c r="B298" s="312" t="str">
        <f>(IF('Inputs Whole-Project Water Use'!B298&lt;&gt;"",'Inputs Whole-Project Water Use'!B298,""))</f>
        <v/>
      </c>
      <c r="C298" s="313" t="str">
        <f>IF(AND(D298&lt;&gt;"",'Inputs Whole-Project Water Use'!C298=""),1,IF('Inputs Whole-Project Water Use'!C298&lt;&gt;"",'Inputs Whole-Project Water Use'!C298,""))</f>
        <v/>
      </c>
      <c r="D298" s="397" t="str">
        <f>IF('Inputs Whole-Project Water Use'!D298&lt;&gt;"",'Inputs Whole-Project Water Use'!D298,"")</f>
        <v/>
      </c>
      <c r="E298" s="398"/>
      <c r="F298" s="314" t="str">
        <f>IF('Inputs Whole-Project Water Use'!F298&lt;&gt;"",'Inputs Whole-Project Water Use'!F298,"")</f>
        <v/>
      </c>
      <c r="G298" s="314" t="str">
        <f>IF('Inputs Whole-Project Water Use'!G298&lt;&gt;"",'Inputs Whole-Project Water Use'!G298,"")</f>
        <v/>
      </c>
      <c r="H298" s="315" t="str">
        <f>IF('Inputs Whole-Project Water Use'!H298&lt;&gt;"",'Inputs Whole-Project Water Use'!H298,"")</f>
        <v/>
      </c>
      <c r="I298" s="390" t="str">
        <f t="shared" si="34"/>
        <v/>
      </c>
      <c r="J298" s="391"/>
      <c r="K298" s="316" t="str">
        <f>IF('Inputs Whole-Project Water Use'!K298&lt;&gt;"",'Inputs Whole-Project Water Use'!K298,"")</f>
        <v/>
      </c>
      <c r="L298" s="316" t="str">
        <f>IF('Inputs Whole-Project Water Use'!L298&lt;&gt;"",'Inputs Whole-Project Water Use'!L298,"")</f>
        <v/>
      </c>
      <c r="M298" s="390" t="str">
        <f t="shared" si="35"/>
        <v/>
      </c>
      <c r="N298" s="391"/>
      <c r="O298" s="225" t="str">
        <f t="shared" si="36"/>
        <v/>
      </c>
      <c r="P298" s="225" t="str">
        <f t="shared" si="37"/>
        <v/>
      </c>
      <c r="Q298" s="289" t="str">
        <f>IF(AND(D298&lt;&gt;"",'Inputs Whole-Project Water Use'!Q298=""),0,IF('Inputs Whole-Project Water Use'!Q298&lt;&gt;"",'Inputs Whole-Project Water Use'!Q298,""))</f>
        <v/>
      </c>
      <c r="R298" s="225" t="str">
        <f t="shared" si="38"/>
        <v/>
      </c>
      <c r="S298" s="225" t="str">
        <f t="shared" si="39"/>
        <v/>
      </c>
      <c r="T298" s="231" t="str">
        <f t="shared" si="40"/>
        <v/>
      </c>
      <c r="U298" s="241"/>
      <c r="V298" s="241"/>
      <c r="W298" s="241"/>
      <c r="X298" s="241"/>
      <c r="Y298" s="241"/>
      <c r="Z298" s="241"/>
      <c r="AA298" s="241"/>
      <c r="AB298" s="241"/>
      <c r="AC298" s="241"/>
      <c r="AD298" s="241"/>
      <c r="AE298" s="241"/>
      <c r="AF298" s="241"/>
      <c r="AG298" s="241"/>
      <c r="AH298" s="241"/>
      <c r="AI298" s="241"/>
      <c r="AJ298" s="241"/>
      <c r="AK298" s="241"/>
      <c r="AL298" s="241"/>
      <c r="AM298" s="241"/>
      <c r="AN298" s="241"/>
      <c r="AO298" s="241"/>
      <c r="AP298" s="241"/>
      <c r="AQ298" s="241"/>
      <c r="AR298" s="241"/>
      <c r="AS298" s="241"/>
      <c r="AT298" s="241"/>
      <c r="AU298" s="241"/>
      <c r="AV298" s="241"/>
      <c r="AW298" s="241"/>
      <c r="AX298" s="241"/>
      <c r="AY298" s="241"/>
      <c r="AZ298" s="241"/>
    </row>
    <row r="299" spans="1:52" s="71" customFormat="1" ht="18" hidden="1" customHeight="1" outlineLevel="1">
      <c r="A299" s="175">
        <v>29</v>
      </c>
      <c r="B299" s="312" t="str">
        <f>(IF('Inputs Whole-Project Water Use'!B299&lt;&gt;"",'Inputs Whole-Project Water Use'!B299,""))</f>
        <v/>
      </c>
      <c r="C299" s="313" t="str">
        <f>IF(AND(D299&lt;&gt;"",'Inputs Whole-Project Water Use'!C299=""),1,IF('Inputs Whole-Project Water Use'!C299&lt;&gt;"",'Inputs Whole-Project Water Use'!C299,""))</f>
        <v/>
      </c>
      <c r="D299" s="397" t="str">
        <f>IF('Inputs Whole-Project Water Use'!D299&lt;&gt;"",'Inputs Whole-Project Water Use'!D299,"")</f>
        <v/>
      </c>
      <c r="E299" s="398"/>
      <c r="F299" s="314" t="str">
        <f>IF('Inputs Whole-Project Water Use'!F299&lt;&gt;"",'Inputs Whole-Project Water Use'!F299,"")</f>
        <v/>
      </c>
      <c r="G299" s="314" t="str">
        <f>IF('Inputs Whole-Project Water Use'!G299&lt;&gt;"",'Inputs Whole-Project Water Use'!G299,"")</f>
        <v/>
      </c>
      <c r="H299" s="315" t="str">
        <f>IF('Inputs Whole-Project Water Use'!H299&lt;&gt;"",'Inputs Whole-Project Water Use'!H299,"")</f>
        <v/>
      </c>
      <c r="I299" s="390" t="str">
        <f t="shared" si="34"/>
        <v/>
      </c>
      <c r="J299" s="391"/>
      <c r="K299" s="316" t="str">
        <f>IF('Inputs Whole-Project Water Use'!K299&lt;&gt;"",'Inputs Whole-Project Water Use'!K299,"")</f>
        <v/>
      </c>
      <c r="L299" s="316" t="str">
        <f>IF('Inputs Whole-Project Water Use'!L299&lt;&gt;"",'Inputs Whole-Project Water Use'!L299,"")</f>
        <v/>
      </c>
      <c r="M299" s="390" t="str">
        <f t="shared" si="35"/>
        <v/>
      </c>
      <c r="N299" s="391"/>
      <c r="O299" s="225" t="str">
        <f t="shared" si="36"/>
        <v/>
      </c>
      <c r="P299" s="225" t="str">
        <f t="shared" si="37"/>
        <v/>
      </c>
      <c r="Q299" s="289" t="str">
        <f>IF(AND(D299&lt;&gt;"",'Inputs Whole-Project Water Use'!Q299=""),0,IF('Inputs Whole-Project Water Use'!Q299&lt;&gt;"",'Inputs Whole-Project Water Use'!Q299,""))</f>
        <v/>
      </c>
      <c r="R299" s="225" t="str">
        <f t="shared" si="38"/>
        <v/>
      </c>
      <c r="S299" s="225" t="str">
        <f t="shared" si="39"/>
        <v/>
      </c>
      <c r="T299" s="231" t="str">
        <f t="shared" si="40"/>
        <v/>
      </c>
      <c r="U299" s="241"/>
      <c r="V299" s="241"/>
      <c r="W299" s="241"/>
      <c r="X299" s="241"/>
      <c r="Y299" s="241"/>
      <c r="Z299" s="241"/>
      <c r="AA299" s="241"/>
      <c r="AB299" s="241"/>
      <c r="AC299" s="241"/>
      <c r="AD299" s="241"/>
      <c r="AE299" s="241"/>
      <c r="AF299" s="241"/>
      <c r="AG299" s="241"/>
      <c r="AH299" s="241"/>
      <c r="AI299" s="241"/>
      <c r="AJ299" s="241"/>
      <c r="AK299" s="241"/>
      <c r="AL299" s="241"/>
      <c r="AM299" s="241"/>
      <c r="AN299" s="241"/>
      <c r="AO299" s="241"/>
      <c r="AP299" s="241"/>
      <c r="AQ299" s="241"/>
      <c r="AR299" s="241"/>
      <c r="AS299" s="241"/>
      <c r="AT299" s="241"/>
      <c r="AU299" s="241"/>
      <c r="AV299" s="241"/>
      <c r="AW299" s="241"/>
      <c r="AX299" s="241"/>
      <c r="AY299" s="241"/>
      <c r="AZ299" s="241"/>
    </row>
    <row r="300" spans="1:52" s="71" customFormat="1" ht="18" hidden="1" customHeight="1" outlineLevel="1">
      <c r="A300" s="175">
        <v>30</v>
      </c>
      <c r="B300" s="312" t="str">
        <f>(IF('Inputs Whole-Project Water Use'!B300&lt;&gt;"",'Inputs Whole-Project Water Use'!B300,""))</f>
        <v/>
      </c>
      <c r="C300" s="313" t="str">
        <f>IF(AND(D300&lt;&gt;"",'Inputs Whole-Project Water Use'!C300=""),1,IF('Inputs Whole-Project Water Use'!C300&lt;&gt;"",'Inputs Whole-Project Water Use'!C300,""))</f>
        <v/>
      </c>
      <c r="D300" s="397" t="str">
        <f>IF('Inputs Whole-Project Water Use'!D300&lt;&gt;"",'Inputs Whole-Project Water Use'!D300,"")</f>
        <v/>
      </c>
      <c r="E300" s="398"/>
      <c r="F300" s="314" t="str">
        <f>IF('Inputs Whole-Project Water Use'!F300&lt;&gt;"",'Inputs Whole-Project Water Use'!F300,"")</f>
        <v/>
      </c>
      <c r="G300" s="314" t="str">
        <f>IF('Inputs Whole-Project Water Use'!G300&lt;&gt;"",'Inputs Whole-Project Water Use'!G300,"")</f>
        <v/>
      </c>
      <c r="H300" s="315" t="str">
        <f>IF('Inputs Whole-Project Water Use'!H300&lt;&gt;"",'Inputs Whole-Project Water Use'!H300,"")</f>
        <v/>
      </c>
      <c r="I300" s="390" t="str">
        <f t="shared" si="34"/>
        <v/>
      </c>
      <c r="J300" s="391"/>
      <c r="K300" s="316" t="str">
        <f>IF('Inputs Whole-Project Water Use'!K300&lt;&gt;"",'Inputs Whole-Project Water Use'!K300,"")</f>
        <v/>
      </c>
      <c r="L300" s="316" t="str">
        <f>IF('Inputs Whole-Project Water Use'!L300&lt;&gt;"",'Inputs Whole-Project Water Use'!L300,"")</f>
        <v/>
      </c>
      <c r="M300" s="390" t="str">
        <f t="shared" si="35"/>
        <v/>
      </c>
      <c r="N300" s="391"/>
      <c r="O300" s="225" t="str">
        <f t="shared" si="36"/>
        <v/>
      </c>
      <c r="P300" s="225" t="str">
        <f t="shared" si="37"/>
        <v/>
      </c>
      <c r="Q300" s="289" t="str">
        <f>IF(AND(D300&lt;&gt;"",'Inputs Whole-Project Water Use'!Q300=""),0,IF('Inputs Whole-Project Water Use'!Q300&lt;&gt;"",'Inputs Whole-Project Water Use'!Q300,""))</f>
        <v/>
      </c>
      <c r="R300" s="225" t="str">
        <f t="shared" si="38"/>
        <v/>
      </c>
      <c r="S300" s="225" t="str">
        <f t="shared" si="39"/>
        <v/>
      </c>
      <c r="T300" s="231" t="str">
        <f t="shared" si="40"/>
        <v/>
      </c>
      <c r="U300" s="241"/>
      <c r="V300" s="241"/>
      <c r="W300" s="241"/>
      <c r="X300" s="241"/>
      <c r="Y300" s="241"/>
      <c r="Z300" s="241"/>
      <c r="AA300" s="241"/>
      <c r="AB300" s="241"/>
      <c r="AC300" s="241"/>
      <c r="AD300" s="241"/>
      <c r="AE300" s="241"/>
      <c r="AF300" s="241"/>
      <c r="AG300" s="241"/>
      <c r="AH300" s="241"/>
      <c r="AI300" s="241"/>
      <c r="AJ300" s="241"/>
      <c r="AK300" s="241"/>
      <c r="AL300" s="241"/>
      <c r="AM300" s="241"/>
      <c r="AN300" s="241"/>
      <c r="AO300" s="241"/>
      <c r="AP300" s="241"/>
      <c r="AQ300" s="241"/>
      <c r="AR300" s="241"/>
      <c r="AS300" s="241"/>
      <c r="AT300" s="241"/>
      <c r="AU300" s="241"/>
      <c r="AV300" s="241"/>
      <c r="AW300" s="241"/>
      <c r="AX300" s="241"/>
      <c r="AY300" s="241"/>
      <c r="AZ300" s="241"/>
    </row>
    <row r="301" spans="1:52" s="71" customFormat="1" ht="18" hidden="1" customHeight="1" outlineLevel="1">
      <c r="A301" s="175">
        <v>31</v>
      </c>
      <c r="B301" s="312" t="str">
        <f>(IF('Inputs Whole-Project Water Use'!B301&lt;&gt;"",'Inputs Whole-Project Water Use'!B301,""))</f>
        <v/>
      </c>
      <c r="C301" s="313" t="str">
        <f>IF(AND(D301&lt;&gt;"",'Inputs Whole-Project Water Use'!C301=""),1,IF('Inputs Whole-Project Water Use'!C301&lt;&gt;"",'Inputs Whole-Project Water Use'!C301,""))</f>
        <v/>
      </c>
      <c r="D301" s="397" t="str">
        <f>IF('Inputs Whole-Project Water Use'!D301&lt;&gt;"",'Inputs Whole-Project Water Use'!D301,"")</f>
        <v/>
      </c>
      <c r="E301" s="398"/>
      <c r="F301" s="314" t="str">
        <f>IF('Inputs Whole-Project Water Use'!F301&lt;&gt;"",'Inputs Whole-Project Water Use'!F301,"")</f>
        <v/>
      </c>
      <c r="G301" s="314" t="str">
        <f>IF('Inputs Whole-Project Water Use'!G301&lt;&gt;"",'Inputs Whole-Project Water Use'!G301,"")</f>
        <v/>
      </c>
      <c r="H301" s="315" t="str">
        <f>IF('Inputs Whole-Project Water Use'!H301&lt;&gt;"",'Inputs Whole-Project Water Use'!H301,"")</f>
        <v/>
      </c>
      <c r="I301" s="390" t="str">
        <f t="shared" si="34"/>
        <v/>
      </c>
      <c r="J301" s="391"/>
      <c r="K301" s="316" t="str">
        <f>IF('Inputs Whole-Project Water Use'!K301&lt;&gt;"",'Inputs Whole-Project Water Use'!K301,"")</f>
        <v/>
      </c>
      <c r="L301" s="316" t="str">
        <f>IF('Inputs Whole-Project Water Use'!L301&lt;&gt;"",'Inputs Whole-Project Water Use'!L301,"")</f>
        <v/>
      </c>
      <c r="M301" s="390" t="str">
        <f t="shared" si="35"/>
        <v/>
      </c>
      <c r="N301" s="391"/>
      <c r="O301" s="225" t="str">
        <f t="shared" si="36"/>
        <v/>
      </c>
      <c r="P301" s="225" t="str">
        <f t="shared" si="37"/>
        <v/>
      </c>
      <c r="Q301" s="289" t="str">
        <f>IF(AND(D301&lt;&gt;"",'Inputs Whole-Project Water Use'!Q301=""),0,IF('Inputs Whole-Project Water Use'!Q301&lt;&gt;"",'Inputs Whole-Project Water Use'!Q301,""))</f>
        <v/>
      </c>
      <c r="R301" s="225" t="str">
        <f t="shared" si="38"/>
        <v/>
      </c>
      <c r="S301" s="225" t="str">
        <f t="shared" si="39"/>
        <v/>
      </c>
      <c r="T301" s="231" t="str">
        <f t="shared" si="40"/>
        <v/>
      </c>
      <c r="U301" s="176" t="s">
        <v>165</v>
      </c>
      <c r="V301" s="241"/>
      <c r="W301" s="241"/>
      <c r="X301" s="241"/>
      <c r="Y301" s="241"/>
      <c r="Z301" s="241"/>
      <c r="AA301" s="241"/>
      <c r="AB301" s="241"/>
      <c r="AC301" s="241"/>
      <c r="AD301" s="241"/>
      <c r="AE301" s="241"/>
      <c r="AF301" s="241"/>
      <c r="AG301" s="241"/>
      <c r="AH301" s="241"/>
      <c r="AI301" s="241"/>
      <c r="AJ301" s="241"/>
      <c r="AK301" s="241"/>
      <c r="AL301" s="241"/>
      <c r="AM301" s="241"/>
      <c r="AN301" s="241"/>
      <c r="AO301" s="241"/>
      <c r="AP301" s="241"/>
      <c r="AQ301" s="241"/>
      <c r="AR301" s="241"/>
      <c r="AS301" s="241"/>
      <c r="AT301" s="241"/>
      <c r="AU301" s="241"/>
      <c r="AV301" s="241"/>
      <c r="AW301" s="241"/>
      <c r="AX301" s="241"/>
      <c r="AY301" s="241"/>
      <c r="AZ301" s="241"/>
    </row>
    <row r="302" spans="1:52" s="71" customFormat="1" ht="18" hidden="1" customHeight="1" outlineLevel="2">
      <c r="A302" s="175">
        <v>32</v>
      </c>
      <c r="B302" s="312" t="str">
        <f>(IF('Inputs Whole-Project Water Use'!B302&lt;&gt;"",'Inputs Whole-Project Water Use'!B302,""))</f>
        <v/>
      </c>
      <c r="C302" s="313" t="str">
        <f>IF(AND(D302&lt;&gt;"",'Inputs Whole-Project Water Use'!C302=""),1,IF('Inputs Whole-Project Water Use'!C302&lt;&gt;"",'Inputs Whole-Project Water Use'!C302,""))</f>
        <v/>
      </c>
      <c r="D302" s="397" t="str">
        <f>IF('Inputs Whole-Project Water Use'!D302&lt;&gt;"",'Inputs Whole-Project Water Use'!D302,"")</f>
        <v/>
      </c>
      <c r="E302" s="398"/>
      <c r="F302" s="314" t="str">
        <f>IF('Inputs Whole-Project Water Use'!F302&lt;&gt;"",'Inputs Whole-Project Water Use'!F302,"")</f>
        <v/>
      </c>
      <c r="G302" s="314" t="str">
        <f>IF('Inputs Whole-Project Water Use'!G302&lt;&gt;"",'Inputs Whole-Project Water Use'!G302,"")</f>
        <v/>
      </c>
      <c r="H302" s="315" t="str">
        <f>IF('Inputs Whole-Project Water Use'!H302&lt;&gt;"",'Inputs Whole-Project Water Use'!H302,"")</f>
        <v/>
      </c>
      <c r="I302" s="390" t="str">
        <f t="shared" si="34"/>
        <v/>
      </c>
      <c r="J302" s="391"/>
      <c r="K302" s="316" t="str">
        <f>IF('Inputs Whole-Project Water Use'!K302&lt;&gt;"",'Inputs Whole-Project Water Use'!K302,"")</f>
        <v/>
      </c>
      <c r="L302" s="316" t="str">
        <f>IF('Inputs Whole-Project Water Use'!L302&lt;&gt;"",'Inputs Whole-Project Water Use'!L302,"")</f>
        <v/>
      </c>
      <c r="M302" s="390" t="str">
        <f t="shared" si="35"/>
        <v/>
      </c>
      <c r="N302" s="391"/>
      <c r="O302" s="225" t="str">
        <f t="shared" si="36"/>
        <v/>
      </c>
      <c r="P302" s="225" t="str">
        <f t="shared" si="37"/>
        <v/>
      </c>
      <c r="Q302" s="289" t="str">
        <f>IF(AND(D302&lt;&gt;"",'Inputs Whole-Project Water Use'!Q302=""),0,IF('Inputs Whole-Project Water Use'!Q302&lt;&gt;"",'Inputs Whole-Project Water Use'!Q302,""))</f>
        <v/>
      </c>
      <c r="R302" s="225" t="str">
        <f t="shared" si="38"/>
        <v/>
      </c>
      <c r="S302" s="225" t="str">
        <f t="shared" si="39"/>
        <v/>
      </c>
      <c r="T302" s="231" t="str">
        <f t="shared" si="40"/>
        <v/>
      </c>
      <c r="U302" s="241"/>
      <c r="V302" s="241"/>
      <c r="W302" s="241"/>
      <c r="X302" s="241"/>
      <c r="Y302" s="241"/>
      <c r="Z302" s="241"/>
      <c r="AA302" s="241"/>
      <c r="AB302" s="241"/>
      <c r="AC302" s="241"/>
      <c r="AD302" s="241"/>
      <c r="AE302" s="241"/>
      <c r="AF302" s="241"/>
      <c r="AG302" s="241"/>
      <c r="AH302" s="241"/>
      <c r="AI302" s="241"/>
      <c r="AJ302" s="241"/>
      <c r="AK302" s="241"/>
      <c r="AL302" s="241"/>
      <c r="AM302" s="241"/>
      <c r="AN302" s="241"/>
      <c r="AO302" s="241"/>
      <c r="AP302" s="241"/>
      <c r="AQ302" s="241"/>
      <c r="AR302" s="241"/>
      <c r="AS302" s="241"/>
      <c r="AT302" s="241"/>
      <c r="AU302" s="241"/>
      <c r="AV302" s="241"/>
      <c r="AW302" s="241"/>
      <c r="AX302" s="241"/>
      <c r="AY302" s="241"/>
      <c r="AZ302" s="241"/>
    </row>
    <row r="303" spans="1:52" s="71" customFormat="1" ht="18" hidden="1" customHeight="1" outlineLevel="2">
      <c r="A303" s="175">
        <v>33</v>
      </c>
      <c r="B303" s="312" t="str">
        <f>(IF('Inputs Whole-Project Water Use'!B303&lt;&gt;"",'Inputs Whole-Project Water Use'!B303,""))</f>
        <v/>
      </c>
      <c r="C303" s="313" t="str">
        <f>IF(AND(D303&lt;&gt;"",'Inputs Whole-Project Water Use'!C303=""),1,IF('Inputs Whole-Project Water Use'!C303&lt;&gt;"",'Inputs Whole-Project Water Use'!C303,""))</f>
        <v/>
      </c>
      <c r="D303" s="397" t="str">
        <f>IF('Inputs Whole-Project Water Use'!D303&lt;&gt;"",'Inputs Whole-Project Water Use'!D303,"")</f>
        <v/>
      </c>
      <c r="E303" s="398"/>
      <c r="F303" s="314" t="str">
        <f>IF('Inputs Whole-Project Water Use'!F303&lt;&gt;"",'Inputs Whole-Project Water Use'!F303,"")</f>
        <v/>
      </c>
      <c r="G303" s="314" t="str">
        <f>IF('Inputs Whole-Project Water Use'!G303&lt;&gt;"",'Inputs Whole-Project Water Use'!G303,"")</f>
        <v/>
      </c>
      <c r="H303" s="315" t="str">
        <f>IF('Inputs Whole-Project Water Use'!H303&lt;&gt;"",'Inputs Whole-Project Water Use'!H303,"")</f>
        <v/>
      </c>
      <c r="I303" s="390" t="str">
        <f t="shared" si="34"/>
        <v/>
      </c>
      <c r="J303" s="391"/>
      <c r="K303" s="316" t="str">
        <f>IF('Inputs Whole-Project Water Use'!K303&lt;&gt;"",'Inputs Whole-Project Water Use'!K303,"")</f>
        <v/>
      </c>
      <c r="L303" s="316" t="str">
        <f>IF('Inputs Whole-Project Water Use'!L303&lt;&gt;"",'Inputs Whole-Project Water Use'!L303,"")</f>
        <v/>
      </c>
      <c r="M303" s="390" t="str">
        <f t="shared" si="35"/>
        <v/>
      </c>
      <c r="N303" s="391"/>
      <c r="O303" s="225" t="str">
        <f t="shared" si="36"/>
        <v/>
      </c>
      <c r="P303" s="225" t="str">
        <f t="shared" si="37"/>
        <v/>
      </c>
      <c r="Q303" s="289" t="str">
        <f>IF(AND(D303&lt;&gt;"",'Inputs Whole-Project Water Use'!Q303=""),0,IF('Inputs Whole-Project Water Use'!Q303&lt;&gt;"",'Inputs Whole-Project Water Use'!Q303,""))</f>
        <v/>
      </c>
      <c r="R303" s="225" t="str">
        <f t="shared" si="38"/>
        <v/>
      </c>
      <c r="S303" s="225" t="str">
        <f t="shared" si="39"/>
        <v/>
      </c>
      <c r="T303" s="231" t="str">
        <f t="shared" si="40"/>
        <v/>
      </c>
      <c r="U303" s="241"/>
      <c r="V303" s="241"/>
      <c r="W303" s="241"/>
      <c r="X303" s="241"/>
      <c r="Y303" s="241"/>
      <c r="Z303" s="241"/>
      <c r="AA303" s="241"/>
      <c r="AB303" s="241"/>
      <c r="AC303" s="241"/>
      <c r="AD303" s="241"/>
      <c r="AE303" s="241"/>
      <c r="AF303" s="241"/>
      <c r="AG303" s="241"/>
      <c r="AH303" s="241"/>
      <c r="AI303" s="241"/>
      <c r="AJ303" s="241"/>
      <c r="AK303" s="241"/>
      <c r="AL303" s="241"/>
      <c r="AM303" s="241"/>
      <c r="AN303" s="241"/>
      <c r="AO303" s="241"/>
      <c r="AP303" s="241"/>
      <c r="AQ303" s="241"/>
      <c r="AR303" s="241"/>
      <c r="AS303" s="241"/>
      <c r="AT303" s="241"/>
      <c r="AU303" s="241"/>
      <c r="AV303" s="241"/>
      <c r="AW303" s="241"/>
      <c r="AX303" s="241"/>
      <c r="AY303" s="241"/>
      <c r="AZ303" s="241"/>
    </row>
    <row r="304" spans="1:52" s="71" customFormat="1" ht="18" hidden="1" customHeight="1" outlineLevel="2">
      <c r="A304" s="175">
        <v>34</v>
      </c>
      <c r="B304" s="312" t="str">
        <f>(IF('Inputs Whole-Project Water Use'!B304&lt;&gt;"",'Inputs Whole-Project Water Use'!B304,""))</f>
        <v/>
      </c>
      <c r="C304" s="313" t="str">
        <f>IF(AND(D304&lt;&gt;"",'Inputs Whole-Project Water Use'!C304=""),1,IF('Inputs Whole-Project Water Use'!C304&lt;&gt;"",'Inputs Whole-Project Water Use'!C304,""))</f>
        <v/>
      </c>
      <c r="D304" s="397" t="str">
        <f>IF('Inputs Whole-Project Water Use'!D304&lt;&gt;"",'Inputs Whole-Project Water Use'!D304,"")</f>
        <v/>
      </c>
      <c r="E304" s="398"/>
      <c r="F304" s="314" t="str">
        <f>IF('Inputs Whole-Project Water Use'!F304&lt;&gt;"",'Inputs Whole-Project Water Use'!F304,"")</f>
        <v/>
      </c>
      <c r="G304" s="314" t="str">
        <f>IF('Inputs Whole-Project Water Use'!G304&lt;&gt;"",'Inputs Whole-Project Water Use'!G304,"")</f>
        <v/>
      </c>
      <c r="H304" s="315" t="str">
        <f>IF('Inputs Whole-Project Water Use'!H304&lt;&gt;"",'Inputs Whole-Project Water Use'!H304,"")</f>
        <v/>
      </c>
      <c r="I304" s="390" t="str">
        <f t="shared" si="34"/>
        <v/>
      </c>
      <c r="J304" s="391"/>
      <c r="K304" s="316" t="str">
        <f>IF('Inputs Whole-Project Water Use'!K304&lt;&gt;"",'Inputs Whole-Project Water Use'!K304,"")</f>
        <v/>
      </c>
      <c r="L304" s="316" t="str">
        <f>IF('Inputs Whole-Project Water Use'!L304&lt;&gt;"",'Inputs Whole-Project Water Use'!L304,"")</f>
        <v/>
      </c>
      <c r="M304" s="390" t="str">
        <f t="shared" si="35"/>
        <v/>
      </c>
      <c r="N304" s="391"/>
      <c r="O304" s="225" t="str">
        <f t="shared" si="36"/>
        <v/>
      </c>
      <c r="P304" s="225" t="str">
        <f t="shared" si="37"/>
        <v/>
      </c>
      <c r="Q304" s="289" t="str">
        <f>IF(AND(D304&lt;&gt;"",'Inputs Whole-Project Water Use'!Q304=""),0,IF('Inputs Whole-Project Water Use'!Q304&lt;&gt;"",'Inputs Whole-Project Water Use'!Q304,""))</f>
        <v/>
      </c>
      <c r="R304" s="225" t="str">
        <f t="shared" si="38"/>
        <v/>
      </c>
      <c r="S304" s="225" t="str">
        <f t="shared" si="39"/>
        <v/>
      </c>
      <c r="T304" s="231" t="str">
        <f t="shared" si="40"/>
        <v/>
      </c>
      <c r="U304" s="241"/>
      <c r="V304" s="241"/>
      <c r="W304" s="241"/>
      <c r="X304" s="241"/>
      <c r="Y304" s="241"/>
      <c r="Z304" s="241"/>
      <c r="AA304" s="241"/>
      <c r="AB304" s="241"/>
      <c r="AC304" s="241"/>
      <c r="AD304" s="241"/>
      <c r="AE304" s="241"/>
      <c r="AF304" s="241"/>
      <c r="AG304" s="241"/>
      <c r="AH304" s="241"/>
      <c r="AI304" s="241"/>
      <c r="AJ304" s="241"/>
      <c r="AK304" s="241"/>
      <c r="AL304" s="241"/>
      <c r="AM304" s="241"/>
      <c r="AN304" s="241"/>
      <c r="AO304" s="241"/>
      <c r="AP304" s="241"/>
      <c r="AQ304" s="241"/>
      <c r="AR304" s="241"/>
      <c r="AS304" s="241"/>
      <c r="AT304" s="241"/>
      <c r="AU304" s="241"/>
      <c r="AV304" s="241"/>
      <c r="AW304" s="241"/>
      <c r="AX304" s="241"/>
      <c r="AY304" s="241"/>
      <c r="AZ304" s="241"/>
    </row>
    <row r="305" spans="1:52" s="71" customFormat="1" ht="18" hidden="1" customHeight="1" outlineLevel="2">
      <c r="A305" s="175">
        <v>35</v>
      </c>
      <c r="B305" s="312" t="str">
        <f>(IF('Inputs Whole-Project Water Use'!B305&lt;&gt;"",'Inputs Whole-Project Water Use'!B305,""))</f>
        <v/>
      </c>
      <c r="C305" s="313" t="str">
        <f>IF(AND(D305&lt;&gt;"",'Inputs Whole-Project Water Use'!C305=""),1,IF('Inputs Whole-Project Water Use'!C305&lt;&gt;"",'Inputs Whole-Project Water Use'!C305,""))</f>
        <v/>
      </c>
      <c r="D305" s="397" t="str">
        <f>IF('Inputs Whole-Project Water Use'!D305&lt;&gt;"",'Inputs Whole-Project Water Use'!D305,"")</f>
        <v/>
      </c>
      <c r="E305" s="398"/>
      <c r="F305" s="314" t="str">
        <f>IF('Inputs Whole-Project Water Use'!F305&lt;&gt;"",'Inputs Whole-Project Water Use'!F305,"")</f>
        <v/>
      </c>
      <c r="G305" s="314" t="str">
        <f>IF('Inputs Whole-Project Water Use'!G305&lt;&gt;"",'Inputs Whole-Project Water Use'!G305,"")</f>
        <v/>
      </c>
      <c r="H305" s="315" t="str">
        <f>IF('Inputs Whole-Project Water Use'!H305&lt;&gt;"",'Inputs Whole-Project Water Use'!H305,"")</f>
        <v/>
      </c>
      <c r="I305" s="390" t="str">
        <f t="shared" si="34"/>
        <v/>
      </c>
      <c r="J305" s="391"/>
      <c r="K305" s="316" t="str">
        <f>IF('Inputs Whole-Project Water Use'!K305&lt;&gt;"",'Inputs Whole-Project Water Use'!K305,"")</f>
        <v/>
      </c>
      <c r="L305" s="316" t="str">
        <f>IF('Inputs Whole-Project Water Use'!L305&lt;&gt;"",'Inputs Whole-Project Water Use'!L305,"")</f>
        <v/>
      </c>
      <c r="M305" s="390" t="str">
        <f t="shared" si="35"/>
        <v/>
      </c>
      <c r="N305" s="391"/>
      <c r="O305" s="225" t="str">
        <f t="shared" si="36"/>
        <v/>
      </c>
      <c r="P305" s="225" t="str">
        <f t="shared" si="37"/>
        <v/>
      </c>
      <c r="Q305" s="289" t="str">
        <f>IF(AND(D305&lt;&gt;"",'Inputs Whole-Project Water Use'!Q305=""),0,IF('Inputs Whole-Project Water Use'!Q305&lt;&gt;"",'Inputs Whole-Project Water Use'!Q305,""))</f>
        <v/>
      </c>
      <c r="R305" s="225" t="str">
        <f t="shared" si="38"/>
        <v/>
      </c>
      <c r="S305" s="225" t="str">
        <f t="shared" si="39"/>
        <v/>
      </c>
      <c r="T305" s="231" t="str">
        <f t="shared" si="40"/>
        <v/>
      </c>
      <c r="U305" s="241"/>
      <c r="V305" s="241"/>
      <c r="W305" s="241"/>
      <c r="X305" s="241"/>
      <c r="Y305" s="241"/>
      <c r="Z305" s="241"/>
      <c r="AA305" s="241"/>
      <c r="AB305" s="241"/>
      <c r="AC305" s="241"/>
      <c r="AD305" s="241"/>
      <c r="AE305" s="241"/>
      <c r="AF305" s="241"/>
      <c r="AG305" s="241"/>
      <c r="AH305" s="241"/>
      <c r="AI305" s="241"/>
      <c r="AJ305" s="241"/>
      <c r="AK305" s="241"/>
      <c r="AL305" s="241"/>
      <c r="AM305" s="241"/>
      <c r="AN305" s="241"/>
      <c r="AO305" s="241"/>
      <c r="AP305" s="241"/>
      <c r="AQ305" s="241"/>
      <c r="AR305" s="241"/>
      <c r="AS305" s="241"/>
      <c r="AT305" s="241"/>
      <c r="AU305" s="241"/>
      <c r="AV305" s="241"/>
      <c r="AW305" s="241"/>
      <c r="AX305" s="241"/>
      <c r="AY305" s="241"/>
      <c r="AZ305" s="241"/>
    </row>
    <row r="306" spans="1:52" s="71" customFormat="1" ht="18" hidden="1" customHeight="1" outlineLevel="2">
      <c r="A306" s="175">
        <v>36</v>
      </c>
      <c r="B306" s="312" t="str">
        <f>(IF('Inputs Whole-Project Water Use'!B306&lt;&gt;"",'Inputs Whole-Project Water Use'!B306,""))</f>
        <v/>
      </c>
      <c r="C306" s="313" t="str">
        <f>IF(AND(D306&lt;&gt;"",'Inputs Whole-Project Water Use'!C306=""),1,IF('Inputs Whole-Project Water Use'!C306&lt;&gt;"",'Inputs Whole-Project Water Use'!C306,""))</f>
        <v/>
      </c>
      <c r="D306" s="397" t="str">
        <f>IF('Inputs Whole-Project Water Use'!D306&lt;&gt;"",'Inputs Whole-Project Water Use'!D306,"")</f>
        <v/>
      </c>
      <c r="E306" s="398"/>
      <c r="F306" s="314" t="str">
        <f>IF('Inputs Whole-Project Water Use'!F306&lt;&gt;"",'Inputs Whole-Project Water Use'!F306,"")</f>
        <v/>
      </c>
      <c r="G306" s="314" t="str">
        <f>IF('Inputs Whole-Project Water Use'!G306&lt;&gt;"",'Inputs Whole-Project Water Use'!G306,"")</f>
        <v/>
      </c>
      <c r="H306" s="315" t="str">
        <f>IF('Inputs Whole-Project Water Use'!H306&lt;&gt;"",'Inputs Whole-Project Water Use'!H306,"")</f>
        <v/>
      </c>
      <c r="I306" s="390" t="str">
        <f t="shared" si="34"/>
        <v/>
      </c>
      <c r="J306" s="391"/>
      <c r="K306" s="316" t="str">
        <f>IF('Inputs Whole-Project Water Use'!K306&lt;&gt;"",'Inputs Whole-Project Water Use'!K306,"")</f>
        <v/>
      </c>
      <c r="L306" s="316" t="str">
        <f>IF('Inputs Whole-Project Water Use'!L306&lt;&gt;"",'Inputs Whole-Project Water Use'!L306,"")</f>
        <v/>
      </c>
      <c r="M306" s="390" t="str">
        <f t="shared" si="35"/>
        <v/>
      </c>
      <c r="N306" s="391"/>
      <c r="O306" s="225" t="str">
        <f t="shared" si="36"/>
        <v/>
      </c>
      <c r="P306" s="225" t="str">
        <f t="shared" si="37"/>
        <v/>
      </c>
      <c r="Q306" s="289" t="str">
        <f>IF(AND(D306&lt;&gt;"",'Inputs Whole-Project Water Use'!Q306=""),0,IF('Inputs Whole-Project Water Use'!Q306&lt;&gt;"",'Inputs Whole-Project Water Use'!Q306,""))</f>
        <v/>
      </c>
      <c r="R306" s="225" t="str">
        <f t="shared" si="38"/>
        <v/>
      </c>
      <c r="S306" s="225" t="str">
        <f t="shared" si="39"/>
        <v/>
      </c>
      <c r="T306" s="231" t="str">
        <f t="shared" si="40"/>
        <v/>
      </c>
      <c r="U306" s="241"/>
      <c r="V306" s="241"/>
      <c r="W306" s="241"/>
      <c r="X306" s="241"/>
      <c r="Y306" s="241"/>
      <c r="Z306" s="241"/>
      <c r="AA306" s="241"/>
      <c r="AB306" s="241"/>
      <c r="AC306" s="241"/>
      <c r="AD306" s="241"/>
      <c r="AE306" s="241"/>
      <c r="AF306" s="241"/>
      <c r="AG306" s="241"/>
      <c r="AH306" s="241"/>
      <c r="AI306" s="241"/>
      <c r="AJ306" s="241"/>
      <c r="AK306" s="241"/>
      <c r="AL306" s="241"/>
      <c r="AM306" s="241"/>
      <c r="AN306" s="241"/>
      <c r="AO306" s="241"/>
      <c r="AP306" s="241"/>
      <c r="AQ306" s="241"/>
      <c r="AR306" s="241"/>
      <c r="AS306" s="241"/>
      <c r="AT306" s="241"/>
      <c r="AU306" s="241"/>
      <c r="AV306" s="241"/>
      <c r="AW306" s="241"/>
      <c r="AX306" s="241"/>
      <c r="AY306" s="241"/>
      <c r="AZ306" s="241"/>
    </row>
    <row r="307" spans="1:52" s="71" customFormat="1" ht="18" hidden="1" customHeight="1" outlineLevel="2">
      <c r="A307" s="175">
        <v>37</v>
      </c>
      <c r="B307" s="312" t="str">
        <f>(IF('Inputs Whole-Project Water Use'!B307&lt;&gt;"",'Inputs Whole-Project Water Use'!B307,""))</f>
        <v/>
      </c>
      <c r="C307" s="313" t="str">
        <f>IF(AND(D307&lt;&gt;"",'Inputs Whole-Project Water Use'!C307=""),1,IF('Inputs Whole-Project Water Use'!C307&lt;&gt;"",'Inputs Whole-Project Water Use'!C307,""))</f>
        <v/>
      </c>
      <c r="D307" s="397" t="str">
        <f>IF('Inputs Whole-Project Water Use'!D307&lt;&gt;"",'Inputs Whole-Project Water Use'!D307,"")</f>
        <v/>
      </c>
      <c r="E307" s="398"/>
      <c r="F307" s="314" t="str">
        <f>IF('Inputs Whole-Project Water Use'!F307&lt;&gt;"",'Inputs Whole-Project Water Use'!F307,"")</f>
        <v/>
      </c>
      <c r="G307" s="314" t="str">
        <f>IF('Inputs Whole-Project Water Use'!G307&lt;&gt;"",'Inputs Whole-Project Water Use'!G307,"")</f>
        <v/>
      </c>
      <c r="H307" s="315" t="str">
        <f>IF('Inputs Whole-Project Water Use'!H307&lt;&gt;"",'Inputs Whole-Project Water Use'!H307,"")</f>
        <v/>
      </c>
      <c r="I307" s="390" t="str">
        <f t="shared" si="34"/>
        <v/>
      </c>
      <c r="J307" s="391"/>
      <c r="K307" s="316" t="str">
        <f>IF('Inputs Whole-Project Water Use'!K307&lt;&gt;"",'Inputs Whole-Project Water Use'!K307,"")</f>
        <v/>
      </c>
      <c r="L307" s="316" t="str">
        <f>IF('Inputs Whole-Project Water Use'!L307&lt;&gt;"",'Inputs Whole-Project Water Use'!L307,"")</f>
        <v/>
      </c>
      <c r="M307" s="390" t="str">
        <f t="shared" si="35"/>
        <v/>
      </c>
      <c r="N307" s="391"/>
      <c r="O307" s="225" t="str">
        <f t="shared" si="36"/>
        <v/>
      </c>
      <c r="P307" s="225" t="str">
        <f t="shared" si="37"/>
        <v/>
      </c>
      <c r="Q307" s="289" t="str">
        <f>IF(AND(D307&lt;&gt;"",'Inputs Whole-Project Water Use'!Q307=""),0,IF('Inputs Whole-Project Water Use'!Q307&lt;&gt;"",'Inputs Whole-Project Water Use'!Q307,""))</f>
        <v/>
      </c>
      <c r="R307" s="225" t="str">
        <f t="shared" si="38"/>
        <v/>
      </c>
      <c r="S307" s="225" t="str">
        <f t="shared" si="39"/>
        <v/>
      </c>
      <c r="T307" s="231" t="str">
        <f t="shared" si="40"/>
        <v/>
      </c>
      <c r="U307" s="241"/>
      <c r="V307" s="241"/>
      <c r="W307" s="241"/>
      <c r="X307" s="241"/>
      <c r="Y307" s="241"/>
      <c r="Z307" s="241"/>
      <c r="AA307" s="241"/>
      <c r="AB307" s="241"/>
      <c r="AC307" s="241"/>
      <c r="AD307" s="241"/>
      <c r="AE307" s="241"/>
      <c r="AF307" s="241"/>
      <c r="AG307" s="241"/>
      <c r="AH307" s="241"/>
      <c r="AI307" s="241"/>
      <c r="AJ307" s="241"/>
      <c r="AK307" s="241"/>
      <c r="AL307" s="241"/>
      <c r="AM307" s="241"/>
      <c r="AN307" s="241"/>
      <c r="AO307" s="241"/>
      <c r="AP307" s="241"/>
      <c r="AQ307" s="241"/>
      <c r="AR307" s="241"/>
      <c r="AS307" s="241"/>
      <c r="AT307" s="241"/>
      <c r="AU307" s="241"/>
      <c r="AV307" s="241"/>
      <c r="AW307" s="241"/>
      <c r="AX307" s="241"/>
      <c r="AY307" s="241"/>
      <c r="AZ307" s="241"/>
    </row>
    <row r="308" spans="1:52" s="71" customFormat="1" ht="18" hidden="1" customHeight="1" outlineLevel="2">
      <c r="A308" s="175">
        <v>38</v>
      </c>
      <c r="B308" s="312" t="str">
        <f>(IF('Inputs Whole-Project Water Use'!B308&lt;&gt;"",'Inputs Whole-Project Water Use'!B308,""))</f>
        <v/>
      </c>
      <c r="C308" s="313" t="str">
        <f>IF(AND(D308&lt;&gt;"",'Inputs Whole-Project Water Use'!C308=""),1,IF('Inputs Whole-Project Water Use'!C308&lt;&gt;"",'Inputs Whole-Project Water Use'!C308,""))</f>
        <v/>
      </c>
      <c r="D308" s="397" t="str">
        <f>IF('Inputs Whole-Project Water Use'!D308&lt;&gt;"",'Inputs Whole-Project Water Use'!D308,"")</f>
        <v/>
      </c>
      <c r="E308" s="398"/>
      <c r="F308" s="314" t="str">
        <f>IF('Inputs Whole-Project Water Use'!F308&lt;&gt;"",'Inputs Whole-Project Water Use'!F308,"")</f>
        <v/>
      </c>
      <c r="G308" s="314" t="str">
        <f>IF('Inputs Whole-Project Water Use'!G308&lt;&gt;"",'Inputs Whole-Project Water Use'!G308,"")</f>
        <v/>
      </c>
      <c r="H308" s="315" t="str">
        <f>IF('Inputs Whole-Project Water Use'!H308&lt;&gt;"",'Inputs Whole-Project Water Use'!H308,"")</f>
        <v/>
      </c>
      <c r="I308" s="390" t="str">
        <f t="shared" si="34"/>
        <v/>
      </c>
      <c r="J308" s="391"/>
      <c r="K308" s="316" t="str">
        <f>IF('Inputs Whole-Project Water Use'!K308&lt;&gt;"",'Inputs Whole-Project Water Use'!K308,"")</f>
        <v/>
      </c>
      <c r="L308" s="316" t="str">
        <f>IF('Inputs Whole-Project Water Use'!L308&lt;&gt;"",'Inputs Whole-Project Water Use'!L308,"")</f>
        <v/>
      </c>
      <c r="M308" s="390" t="str">
        <f t="shared" si="35"/>
        <v/>
      </c>
      <c r="N308" s="391"/>
      <c r="O308" s="225" t="str">
        <f t="shared" si="36"/>
        <v/>
      </c>
      <c r="P308" s="225" t="str">
        <f t="shared" si="37"/>
        <v/>
      </c>
      <c r="Q308" s="289" t="str">
        <f>IF(AND(D308&lt;&gt;"",'Inputs Whole-Project Water Use'!Q308=""),0,IF('Inputs Whole-Project Water Use'!Q308&lt;&gt;"",'Inputs Whole-Project Water Use'!Q308,""))</f>
        <v/>
      </c>
      <c r="R308" s="225" t="str">
        <f t="shared" si="38"/>
        <v/>
      </c>
      <c r="S308" s="225" t="str">
        <f t="shared" si="39"/>
        <v/>
      </c>
      <c r="T308" s="231" t="str">
        <f t="shared" si="40"/>
        <v/>
      </c>
      <c r="U308" s="241"/>
      <c r="V308" s="241"/>
      <c r="W308" s="241"/>
      <c r="X308" s="241"/>
      <c r="Y308" s="241"/>
      <c r="Z308" s="241"/>
      <c r="AA308" s="241"/>
      <c r="AB308" s="241"/>
      <c r="AC308" s="241"/>
      <c r="AD308" s="241"/>
      <c r="AE308" s="241"/>
      <c r="AF308" s="241"/>
      <c r="AG308" s="241"/>
      <c r="AH308" s="241"/>
      <c r="AI308" s="241"/>
      <c r="AJ308" s="241"/>
      <c r="AK308" s="241"/>
      <c r="AL308" s="241"/>
      <c r="AM308" s="241"/>
      <c r="AN308" s="241"/>
      <c r="AO308" s="241"/>
      <c r="AP308" s="241"/>
      <c r="AQ308" s="241"/>
      <c r="AR308" s="241"/>
      <c r="AS308" s="241"/>
      <c r="AT308" s="241"/>
      <c r="AU308" s="241"/>
      <c r="AV308" s="241"/>
      <c r="AW308" s="241"/>
      <c r="AX308" s="241"/>
      <c r="AY308" s="241"/>
      <c r="AZ308" s="241"/>
    </row>
    <row r="309" spans="1:52" s="71" customFormat="1" ht="18" hidden="1" customHeight="1" outlineLevel="2">
      <c r="A309" s="175">
        <v>39</v>
      </c>
      <c r="B309" s="312" t="str">
        <f>(IF('Inputs Whole-Project Water Use'!B309&lt;&gt;"",'Inputs Whole-Project Water Use'!B309,""))</f>
        <v/>
      </c>
      <c r="C309" s="313" t="str">
        <f>IF(AND(D309&lt;&gt;"",'Inputs Whole-Project Water Use'!C309=""),1,IF('Inputs Whole-Project Water Use'!C309&lt;&gt;"",'Inputs Whole-Project Water Use'!C309,""))</f>
        <v/>
      </c>
      <c r="D309" s="397" t="str">
        <f>IF('Inputs Whole-Project Water Use'!D309&lt;&gt;"",'Inputs Whole-Project Water Use'!D309,"")</f>
        <v/>
      </c>
      <c r="E309" s="398"/>
      <c r="F309" s="314" t="str">
        <f>IF('Inputs Whole-Project Water Use'!F309&lt;&gt;"",'Inputs Whole-Project Water Use'!F309,"")</f>
        <v/>
      </c>
      <c r="G309" s="314" t="str">
        <f>IF('Inputs Whole-Project Water Use'!G309&lt;&gt;"",'Inputs Whole-Project Water Use'!G309,"")</f>
        <v/>
      </c>
      <c r="H309" s="315" t="str">
        <f>IF('Inputs Whole-Project Water Use'!H309&lt;&gt;"",'Inputs Whole-Project Water Use'!H309,"")</f>
        <v/>
      </c>
      <c r="I309" s="390" t="str">
        <f t="shared" si="34"/>
        <v/>
      </c>
      <c r="J309" s="391"/>
      <c r="K309" s="316" t="str">
        <f>IF('Inputs Whole-Project Water Use'!K309&lt;&gt;"",'Inputs Whole-Project Water Use'!K309,"")</f>
        <v/>
      </c>
      <c r="L309" s="316" t="str">
        <f>IF('Inputs Whole-Project Water Use'!L309&lt;&gt;"",'Inputs Whole-Project Water Use'!L309,"")</f>
        <v/>
      </c>
      <c r="M309" s="390" t="str">
        <f t="shared" si="35"/>
        <v/>
      </c>
      <c r="N309" s="391"/>
      <c r="O309" s="225" t="str">
        <f t="shared" si="36"/>
        <v/>
      </c>
      <c r="P309" s="225" t="str">
        <f t="shared" si="37"/>
        <v/>
      </c>
      <c r="Q309" s="289" t="str">
        <f>IF(AND(D309&lt;&gt;"",'Inputs Whole-Project Water Use'!Q309=""),0,IF('Inputs Whole-Project Water Use'!Q309&lt;&gt;"",'Inputs Whole-Project Water Use'!Q309,""))</f>
        <v/>
      </c>
      <c r="R309" s="225" t="str">
        <f t="shared" si="38"/>
        <v/>
      </c>
      <c r="S309" s="225" t="str">
        <f t="shared" si="39"/>
        <v/>
      </c>
      <c r="T309" s="231" t="str">
        <f t="shared" si="40"/>
        <v/>
      </c>
      <c r="U309" s="241"/>
      <c r="V309" s="241"/>
      <c r="W309" s="241"/>
      <c r="X309" s="241"/>
      <c r="Y309" s="241"/>
      <c r="Z309" s="241"/>
      <c r="AA309" s="241"/>
      <c r="AB309" s="241"/>
      <c r="AC309" s="241"/>
      <c r="AD309" s="241"/>
      <c r="AE309" s="241"/>
      <c r="AF309" s="241"/>
      <c r="AG309" s="241"/>
      <c r="AH309" s="241"/>
      <c r="AI309" s="241"/>
      <c r="AJ309" s="241"/>
      <c r="AK309" s="241"/>
      <c r="AL309" s="241"/>
      <c r="AM309" s="241"/>
      <c r="AN309" s="241"/>
      <c r="AO309" s="241"/>
      <c r="AP309" s="241"/>
      <c r="AQ309" s="241"/>
      <c r="AR309" s="241"/>
      <c r="AS309" s="241"/>
      <c r="AT309" s="241"/>
      <c r="AU309" s="241"/>
      <c r="AV309" s="241"/>
      <c r="AW309" s="241"/>
      <c r="AX309" s="241"/>
      <c r="AY309" s="241"/>
      <c r="AZ309" s="241"/>
    </row>
    <row r="310" spans="1:52" s="71" customFormat="1" ht="18" hidden="1" customHeight="1" outlineLevel="2">
      <c r="A310" s="175">
        <v>40</v>
      </c>
      <c r="B310" s="312" t="str">
        <f>(IF('Inputs Whole-Project Water Use'!B310&lt;&gt;"",'Inputs Whole-Project Water Use'!B310,""))</f>
        <v/>
      </c>
      <c r="C310" s="313" t="str">
        <f>IF(AND(D310&lt;&gt;"",'Inputs Whole-Project Water Use'!C310=""),1,IF('Inputs Whole-Project Water Use'!C310&lt;&gt;"",'Inputs Whole-Project Water Use'!C310,""))</f>
        <v/>
      </c>
      <c r="D310" s="397" t="str">
        <f>IF('Inputs Whole-Project Water Use'!D310&lt;&gt;"",'Inputs Whole-Project Water Use'!D310,"")</f>
        <v/>
      </c>
      <c r="E310" s="398"/>
      <c r="F310" s="314" t="str">
        <f>IF('Inputs Whole-Project Water Use'!F310&lt;&gt;"",'Inputs Whole-Project Water Use'!F310,"")</f>
        <v/>
      </c>
      <c r="G310" s="314" t="str">
        <f>IF('Inputs Whole-Project Water Use'!G310&lt;&gt;"",'Inputs Whole-Project Water Use'!G310,"")</f>
        <v/>
      </c>
      <c r="H310" s="315" t="str">
        <f>IF('Inputs Whole-Project Water Use'!H310&lt;&gt;"",'Inputs Whole-Project Water Use'!H310,"")</f>
        <v/>
      </c>
      <c r="I310" s="390" t="str">
        <f t="shared" si="34"/>
        <v/>
      </c>
      <c r="J310" s="391"/>
      <c r="K310" s="316" t="str">
        <f>IF('Inputs Whole-Project Water Use'!K310&lt;&gt;"",'Inputs Whole-Project Water Use'!K310,"")</f>
        <v/>
      </c>
      <c r="L310" s="316" t="str">
        <f>IF('Inputs Whole-Project Water Use'!L310&lt;&gt;"",'Inputs Whole-Project Water Use'!L310,"")</f>
        <v/>
      </c>
      <c r="M310" s="390" t="str">
        <f t="shared" si="35"/>
        <v/>
      </c>
      <c r="N310" s="391"/>
      <c r="O310" s="225" t="str">
        <f t="shared" si="36"/>
        <v/>
      </c>
      <c r="P310" s="225" t="str">
        <f t="shared" si="37"/>
        <v/>
      </c>
      <c r="Q310" s="289" t="str">
        <f>IF(AND(D310&lt;&gt;"",'Inputs Whole-Project Water Use'!Q310=""),0,IF('Inputs Whole-Project Water Use'!Q310&lt;&gt;"",'Inputs Whole-Project Water Use'!Q310,""))</f>
        <v/>
      </c>
      <c r="R310" s="225" t="str">
        <f t="shared" si="38"/>
        <v/>
      </c>
      <c r="S310" s="225" t="str">
        <f t="shared" si="39"/>
        <v/>
      </c>
      <c r="T310" s="231" t="str">
        <f t="shared" si="40"/>
        <v/>
      </c>
      <c r="U310" s="241"/>
      <c r="V310" s="241"/>
      <c r="W310" s="241"/>
      <c r="X310" s="241"/>
      <c r="Y310" s="241"/>
      <c r="Z310" s="241"/>
      <c r="AA310" s="241"/>
      <c r="AB310" s="241"/>
      <c r="AC310" s="241"/>
      <c r="AD310" s="241"/>
      <c r="AE310" s="241"/>
      <c r="AF310" s="241"/>
      <c r="AG310" s="241"/>
      <c r="AH310" s="241"/>
      <c r="AI310" s="241"/>
      <c r="AJ310" s="241"/>
      <c r="AK310" s="241"/>
      <c r="AL310" s="241"/>
      <c r="AM310" s="241"/>
      <c r="AN310" s="241"/>
      <c r="AO310" s="241"/>
      <c r="AP310" s="241"/>
      <c r="AQ310" s="241"/>
      <c r="AR310" s="241"/>
      <c r="AS310" s="241"/>
      <c r="AT310" s="241"/>
      <c r="AU310" s="241"/>
      <c r="AV310" s="241"/>
      <c r="AW310" s="241"/>
      <c r="AX310" s="241"/>
      <c r="AY310" s="241"/>
      <c r="AZ310" s="241"/>
    </row>
    <row r="311" spans="1:52" s="71" customFormat="1" ht="18" hidden="1" customHeight="1" outlineLevel="2">
      <c r="A311" s="175">
        <v>41</v>
      </c>
      <c r="B311" s="312" t="str">
        <f>(IF('Inputs Whole-Project Water Use'!B311&lt;&gt;"",'Inputs Whole-Project Water Use'!B311,""))</f>
        <v/>
      </c>
      <c r="C311" s="313" t="str">
        <f>IF(AND(D311&lt;&gt;"",'Inputs Whole-Project Water Use'!C311=""),1,IF('Inputs Whole-Project Water Use'!C311&lt;&gt;"",'Inputs Whole-Project Water Use'!C311,""))</f>
        <v/>
      </c>
      <c r="D311" s="397" t="str">
        <f>IF('Inputs Whole-Project Water Use'!D311&lt;&gt;"",'Inputs Whole-Project Water Use'!D311,"")</f>
        <v/>
      </c>
      <c r="E311" s="398"/>
      <c r="F311" s="314" t="str">
        <f>IF('Inputs Whole-Project Water Use'!F311&lt;&gt;"",'Inputs Whole-Project Water Use'!F311,"")</f>
        <v/>
      </c>
      <c r="G311" s="314" t="str">
        <f>IF('Inputs Whole-Project Water Use'!G311&lt;&gt;"",'Inputs Whole-Project Water Use'!G311,"")</f>
        <v/>
      </c>
      <c r="H311" s="315" t="str">
        <f>IF('Inputs Whole-Project Water Use'!H311&lt;&gt;"",'Inputs Whole-Project Water Use'!H311,"")</f>
        <v/>
      </c>
      <c r="I311" s="390" t="str">
        <f t="shared" si="34"/>
        <v/>
      </c>
      <c r="J311" s="391"/>
      <c r="K311" s="316" t="str">
        <f>IF('Inputs Whole-Project Water Use'!K311&lt;&gt;"",'Inputs Whole-Project Water Use'!K311,"")</f>
        <v/>
      </c>
      <c r="L311" s="316" t="str">
        <f>IF('Inputs Whole-Project Water Use'!L311&lt;&gt;"",'Inputs Whole-Project Water Use'!L311,"")</f>
        <v/>
      </c>
      <c r="M311" s="390" t="str">
        <f t="shared" si="35"/>
        <v/>
      </c>
      <c r="N311" s="391"/>
      <c r="O311" s="225" t="str">
        <f t="shared" si="36"/>
        <v/>
      </c>
      <c r="P311" s="225" t="str">
        <f t="shared" si="37"/>
        <v/>
      </c>
      <c r="Q311" s="289" t="str">
        <f>IF(AND(D311&lt;&gt;"",'Inputs Whole-Project Water Use'!Q311=""),0,IF('Inputs Whole-Project Water Use'!Q311&lt;&gt;"",'Inputs Whole-Project Water Use'!Q311,""))</f>
        <v/>
      </c>
      <c r="R311" s="225" t="str">
        <f t="shared" si="38"/>
        <v/>
      </c>
      <c r="S311" s="225" t="str">
        <f t="shared" si="39"/>
        <v/>
      </c>
      <c r="T311" s="231" t="str">
        <f t="shared" si="40"/>
        <v/>
      </c>
      <c r="U311" s="241"/>
      <c r="V311" s="241"/>
      <c r="W311" s="241"/>
      <c r="X311" s="241"/>
      <c r="Y311" s="241"/>
      <c r="Z311" s="241"/>
      <c r="AA311" s="241"/>
      <c r="AB311" s="241"/>
      <c r="AC311" s="241"/>
      <c r="AD311" s="241"/>
      <c r="AE311" s="241"/>
      <c r="AF311" s="241"/>
      <c r="AG311" s="241"/>
      <c r="AH311" s="241"/>
      <c r="AI311" s="241"/>
      <c r="AJ311" s="241"/>
      <c r="AK311" s="241"/>
      <c r="AL311" s="241"/>
      <c r="AM311" s="241"/>
      <c r="AN311" s="241"/>
      <c r="AO311" s="241"/>
      <c r="AP311" s="241"/>
      <c r="AQ311" s="241"/>
      <c r="AR311" s="241"/>
      <c r="AS311" s="241"/>
      <c r="AT311" s="241"/>
      <c r="AU311" s="241"/>
      <c r="AV311" s="241"/>
      <c r="AW311" s="241"/>
      <c r="AX311" s="241"/>
      <c r="AY311" s="241"/>
      <c r="AZ311" s="241"/>
    </row>
    <row r="312" spans="1:52" s="71" customFormat="1" ht="18" hidden="1" customHeight="1" outlineLevel="2">
      <c r="A312" s="175">
        <v>42</v>
      </c>
      <c r="B312" s="312" t="str">
        <f>(IF('Inputs Whole-Project Water Use'!B312&lt;&gt;"",'Inputs Whole-Project Water Use'!B312,""))</f>
        <v/>
      </c>
      <c r="C312" s="313" t="str">
        <f>IF(AND(D312&lt;&gt;"",'Inputs Whole-Project Water Use'!C312=""),1,IF('Inputs Whole-Project Water Use'!C312&lt;&gt;"",'Inputs Whole-Project Water Use'!C312,""))</f>
        <v/>
      </c>
      <c r="D312" s="397" t="str">
        <f>IF('Inputs Whole-Project Water Use'!D312&lt;&gt;"",'Inputs Whole-Project Water Use'!D312,"")</f>
        <v/>
      </c>
      <c r="E312" s="398"/>
      <c r="F312" s="314" t="str">
        <f>IF('Inputs Whole-Project Water Use'!F312&lt;&gt;"",'Inputs Whole-Project Water Use'!F312,"")</f>
        <v/>
      </c>
      <c r="G312" s="314" t="str">
        <f>IF('Inputs Whole-Project Water Use'!G312&lt;&gt;"",'Inputs Whole-Project Water Use'!G312,"")</f>
        <v/>
      </c>
      <c r="H312" s="315" t="str">
        <f>IF('Inputs Whole-Project Water Use'!H312&lt;&gt;"",'Inputs Whole-Project Water Use'!H312,"")</f>
        <v/>
      </c>
      <c r="I312" s="390" t="str">
        <f t="shared" si="34"/>
        <v/>
      </c>
      <c r="J312" s="391"/>
      <c r="K312" s="316" t="str">
        <f>IF('Inputs Whole-Project Water Use'!K312&lt;&gt;"",'Inputs Whole-Project Water Use'!K312,"")</f>
        <v/>
      </c>
      <c r="L312" s="316" t="str">
        <f>IF('Inputs Whole-Project Water Use'!L312&lt;&gt;"",'Inputs Whole-Project Water Use'!L312,"")</f>
        <v/>
      </c>
      <c r="M312" s="390" t="str">
        <f t="shared" si="35"/>
        <v/>
      </c>
      <c r="N312" s="391"/>
      <c r="O312" s="225" t="str">
        <f t="shared" si="36"/>
        <v/>
      </c>
      <c r="P312" s="225" t="str">
        <f t="shared" si="37"/>
        <v/>
      </c>
      <c r="Q312" s="289" t="str">
        <f>IF(AND(D312&lt;&gt;"",'Inputs Whole-Project Water Use'!Q312=""),0,IF('Inputs Whole-Project Water Use'!Q312&lt;&gt;"",'Inputs Whole-Project Water Use'!Q312,""))</f>
        <v/>
      </c>
      <c r="R312" s="225" t="str">
        <f t="shared" si="38"/>
        <v/>
      </c>
      <c r="S312" s="225" t="str">
        <f t="shared" si="39"/>
        <v/>
      </c>
      <c r="T312" s="231" t="str">
        <f t="shared" si="40"/>
        <v/>
      </c>
      <c r="U312" s="241"/>
      <c r="V312" s="241"/>
      <c r="W312" s="241"/>
      <c r="X312" s="241"/>
      <c r="Y312" s="241"/>
      <c r="Z312" s="241"/>
      <c r="AA312" s="241"/>
      <c r="AB312" s="241"/>
      <c r="AC312" s="241"/>
      <c r="AD312" s="241"/>
      <c r="AE312" s="241"/>
      <c r="AF312" s="241"/>
      <c r="AG312" s="241"/>
      <c r="AH312" s="241"/>
      <c r="AI312" s="241"/>
      <c r="AJ312" s="241"/>
      <c r="AK312" s="241"/>
      <c r="AL312" s="241"/>
      <c r="AM312" s="241"/>
      <c r="AN312" s="241"/>
      <c r="AO312" s="241"/>
      <c r="AP312" s="241"/>
      <c r="AQ312" s="241"/>
      <c r="AR312" s="241"/>
      <c r="AS312" s="241"/>
      <c r="AT312" s="241"/>
      <c r="AU312" s="241"/>
      <c r="AV312" s="241"/>
      <c r="AW312" s="241"/>
      <c r="AX312" s="241"/>
      <c r="AY312" s="241"/>
      <c r="AZ312" s="241"/>
    </row>
    <row r="313" spans="1:52" s="71" customFormat="1" ht="18" hidden="1" customHeight="1" outlineLevel="2">
      <c r="A313" s="175">
        <v>43</v>
      </c>
      <c r="B313" s="312" t="str">
        <f>(IF('Inputs Whole-Project Water Use'!B313&lt;&gt;"",'Inputs Whole-Project Water Use'!B313,""))</f>
        <v/>
      </c>
      <c r="C313" s="313" t="str">
        <f>IF(AND(D313&lt;&gt;"",'Inputs Whole-Project Water Use'!C313=""),1,IF('Inputs Whole-Project Water Use'!C313&lt;&gt;"",'Inputs Whole-Project Water Use'!C313,""))</f>
        <v/>
      </c>
      <c r="D313" s="397" t="str">
        <f>IF('Inputs Whole-Project Water Use'!D313&lt;&gt;"",'Inputs Whole-Project Water Use'!D313,"")</f>
        <v/>
      </c>
      <c r="E313" s="398"/>
      <c r="F313" s="314" t="str">
        <f>IF('Inputs Whole-Project Water Use'!F313&lt;&gt;"",'Inputs Whole-Project Water Use'!F313,"")</f>
        <v/>
      </c>
      <c r="G313" s="314" t="str">
        <f>IF('Inputs Whole-Project Water Use'!G313&lt;&gt;"",'Inputs Whole-Project Water Use'!G313,"")</f>
        <v/>
      </c>
      <c r="H313" s="315" t="str">
        <f>IF('Inputs Whole-Project Water Use'!H313&lt;&gt;"",'Inputs Whole-Project Water Use'!H313,"")</f>
        <v/>
      </c>
      <c r="I313" s="390" t="str">
        <f t="shared" si="34"/>
        <v/>
      </c>
      <c r="J313" s="391"/>
      <c r="K313" s="316" t="str">
        <f>IF('Inputs Whole-Project Water Use'!K313&lt;&gt;"",'Inputs Whole-Project Water Use'!K313,"")</f>
        <v/>
      </c>
      <c r="L313" s="316" t="str">
        <f>IF('Inputs Whole-Project Water Use'!L313&lt;&gt;"",'Inputs Whole-Project Water Use'!L313,"")</f>
        <v/>
      </c>
      <c r="M313" s="390" t="str">
        <f t="shared" si="35"/>
        <v/>
      </c>
      <c r="N313" s="391"/>
      <c r="O313" s="225" t="str">
        <f t="shared" si="36"/>
        <v/>
      </c>
      <c r="P313" s="225" t="str">
        <f t="shared" si="37"/>
        <v/>
      </c>
      <c r="Q313" s="289" t="str">
        <f>IF(AND(D313&lt;&gt;"",'Inputs Whole-Project Water Use'!Q313=""),0,IF('Inputs Whole-Project Water Use'!Q313&lt;&gt;"",'Inputs Whole-Project Water Use'!Q313,""))</f>
        <v/>
      </c>
      <c r="R313" s="225" t="str">
        <f t="shared" si="38"/>
        <v/>
      </c>
      <c r="S313" s="225" t="str">
        <f t="shared" si="39"/>
        <v/>
      </c>
      <c r="T313" s="231" t="str">
        <f t="shared" si="40"/>
        <v/>
      </c>
      <c r="U313" s="241"/>
      <c r="V313" s="241"/>
      <c r="W313" s="241"/>
      <c r="X313" s="241"/>
      <c r="Y313" s="241"/>
      <c r="Z313" s="241"/>
      <c r="AA313" s="241"/>
      <c r="AB313" s="241"/>
      <c r="AC313" s="241"/>
      <c r="AD313" s="241"/>
      <c r="AE313" s="241"/>
      <c r="AF313" s="241"/>
      <c r="AG313" s="241"/>
      <c r="AH313" s="241"/>
      <c r="AI313" s="241"/>
      <c r="AJ313" s="241"/>
      <c r="AK313" s="241"/>
      <c r="AL313" s="241"/>
      <c r="AM313" s="241"/>
      <c r="AN313" s="241"/>
      <c r="AO313" s="241"/>
      <c r="AP313" s="241"/>
      <c r="AQ313" s="241"/>
      <c r="AR313" s="241"/>
      <c r="AS313" s="241"/>
      <c r="AT313" s="241"/>
      <c r="AU313" s="241"/>
      <c r="AV313" s="241"/>
      <c r="AW313" s="241"/>
      <c r="AX313" s="241"/>
      <c r="AY313" s="241"/>
      <c r="AZ313" s="241"/>
    </row>
    <row r="314" spans="1:52" s="71" customFormat="1" ht="18" hidden="1" customHeight="1" outlineLevel="2">
      <c r="A314" s="175">
        <v>44</v>
      </c>
      <c r="B314" s="312" t="str">
        <f>(IF('Inputs Whole-Project Water Use'!B314&lt;&gt;"",'Inputs Whole-Project Water Use'!B314,""))</f>
        <v/>
      </c>
      <c r="C314" s="313" t="str">
        <f>IF(AND(D314&lt;&gt;"",'Inputs Whole-Project Water Use'!C314=""),1,IF('Inputs Whole-Project Water Use'!C314&lt;&gt;"",'Inputs Whole-Project Water Use'!C314,""))</f>
        <v/>
      </c>
      <c r="D314" s="397" t="str">
        <f>IF('Inputs Whole-Project Water Use'!D314&lt;&gt;"",'Inputs Whole-Project Water Use'!D314,"")</f>
        <v/>
      </c>
      <c r="E314" s="398"/>
      <c r="F314" s="314" t="str">
        <f>IF('Inputs Whole-Project Water Use'!F314&lt;&gt;"",'Inputs Whole-Project Water Use'!F314,"")</f>
        <v/>
      </c>
      <c r="G314" s="314" t="str">
        <f>IF('Inputs Whole-Project Water Use'!G314&lt;&gt;"",'Inputs Whole-Project Water Use'!G314,"")</f>
        <v/>
      </c>
      <c r="H314" s="315" t="str">
        <f>IF('Inputs Whole-Project Water Use'!H314&lt;&gt;"",'Inputs Whole-Project Water Use'!H314,"")</f>
        <v/>
      </c>
      <c r="I314" s="390" t="str">
        <f t="shared" si="34"/>
        <v/>
      </c>
      <c r="J314" s="391"/>
      <c r="K314" s="316" t="str">
        <f>IF('Inputs Whole-Project Water Use'!K314&lt;&gt;"",'Inputs Whole-Project Water Use'!K314,"")</f>
        <v/>
      </c>
      <c r="L314" s="316" t="str">
        <f>IF('Inputs Whole-Project Water Use'!L314&lt;&gt;"",'Inputs Whole-Project Water Use'!L314,"")</f>
        <v/>
      </c>
      <c r="M314" s="390" t="str">
        <f t="shared" si="35"/>
        <v/>
      </c>
      <c r="N314" s="391"/>
      <c r="O314" s="225" t="str">
        <f t="shared" si="36"/>
        <v/>
      </c>
      <c r="P314" s="225" t="str">
        <f t="shared" si="37"/>
        <v/>
      </c>
      <c r="Q314" s="289" t="str">
        <f>IF(AND(D314&lt;&gt;"",'Inputs Whole-Project Water Use'!Q314=""),0,IF('Inputs Whole-Project Water Use'!Q314&lt;&gt;"",'Inputs Whole-Project Water Use'!Q314,""))</f>
        <v/>
      </c>
      <c r="R314" s="225" t="str">
        <f t="shared" si="38"/>
        <v/>
      </c>
      <c r="S314" s="225" t="str">
        <f t="shared" si="39"/>
        <v/>
      </c>
      <c r="T314" s="231" t="str">
        <f t="shared" si="40"/>
        <v/>
      </c>
      <c r="U314" s="241"/>
      <c r="V314" s="241"/>
      <c r="W314" s="241"/>
      <c r="X314" s="241"/>
      <c r="Y314" s="241"/>
      <c r="Z314" s="241"/>
      <c r="AA314" s="241"/>
      <c r="AB314" s="241"/>
      <c r="AC314" s="241"/>
      <c r="AD314" s="241"/>
      <c r="AE314" s="241"/>
      <c r="AF314" s="241"/>
      <c r="AG314" s="241"/>
      <c r="AH314" s="241"/>
      <c r="AI314" s="241"/>
      <c r="AJ314" s="241"/>
      <c r="AK314" s="241"/>
      <c r="AL314" s="241"/>
      <c r="AM314" s="241"/>
      <c r="AN314" s="241"/>
      <c r="AO314" s="241"/>
      <c r="AP314" s="241"/>
      <c r="AQ314" s="241"/>
      <c r="AR314" s="241"/>
      <c r="AS314" s="241"/>
      <c r="AT314" s="241"/>
      <c r="AU314" s="241"/>
      <c r="AV314" s="241"/>
      <c r="AW314" s="241"/>
      <c r="AX314" s="241"/>
      <c r="AY314" s="241"/>
      <c r="AZ314" s="241"/>
    </row>
    <row r="315" spans="1:52" s="71" customFormat="1" ht="18" hidden="1" customHeight="1" outlineLevel="2">
      <c r="A315" s="175">
        <v>45</v>
      </c>
      <c r="B315" s="312" t="str">
        <f>(IF('Inputs Whole-Project Water Use'!B315&lt;&gt;"",'Inputs Whole-Project Water Use'!B315,""))</f>
        <v/>
      </c>
      <c r="C315" s="313" t="str">
        <f>IF(AND(D315&lt;&gt;"",'Inputs Whole-Project Water Use'!C315=""),1,IF('Inputs Whole-Project Water Use'!C315&lt;&gt;"",'Inputs Whole-Project Water Use'!C315,""))</f>
        <v/>
      </c>
      <c r="D315" s="397" t="str">
        <f>IF('Inputs Whole-Project Water Use'!D315&lt;&gt;"",'Inputs Whole-Project Water Use'!D315,"")</f>
        <v/>
      </c>
      <c r="E315" s="398"/>
      <c r="F315" s="314" t="str">
        <f>IF('Inputs Whole-Project Water Use'!F315&lt;&gt;"",'Inputs Whole-Project Water Use'!F315,"")</f>
        <v/>
      </c>
      <c r="G315" s="314" t="str">
        <f>IF('Inputs Whole-Project Water Use'!G315&lt;&gt;"",'Inputs Whole-Project Water Use'!G315,"")</f>
        <v/>
      </c>
      <c r="H315" s="315" t="str">
        <f>IF('Inputs Whole-Project Water Use'!H315&lt;&gt;"",'Inputs Whole-Project Water Use'!H315,"")</f>
        <v/>
      </c>
      <c r="I315" s="390" t="str">
        <f t="shared" si="34"/>
        <v/>
      </c>
      <c r="J315" s="391"/>
      <c r="K315" s="316" t="str">
        <f>IF('Inputs Whole-Project Water Use'!K315&lt;&gt;"",'Inputs Whole-Project Water Use'!K315,"")</f>
        <v/>
      </c>
      <c r="L315" s="316" t="str">
        <f>IF('Inputs Whole-Project Water Use'!L315&lt;&gt;"",'Inputs Whole-Project Water Use'!L315,"")</f>
        <v/>
      </c>
      <c r="M315" s="390" t="str">
        <f t="shared" si="35"/>
        <v/>
      </c>
      <c r="N315" s="391"/>
      <c r="O315" s="225" t="str">
        <f t="shared" si="36"/>
        <v/>
      </c>
      <c r="P315" s="225" t="str">
        <f t="shared" si="37"/>
        <v/>
      </c>
      <c r="Q315" s="289" t="str">
        <f>IF(AND(D315&lt;&gt;"",'Inputs Whole-Project Water Use'!Q315=""),0,IF('Inputs Whole-Project Water Use'!Q315&lt;&gt;"",'Inputs Whole-Project Water Use'!Q315,""))</f>
        <v/>
      </c>
      <c r="R315" s="225" t="str">
        <f t="shared" si="38"/>
        <v/>
      </c>
      <c r="S315" s="225" t="str">
        <f t="shared" si="39"/>
        <v/>
      </c>
      <c r="T315" s="231" t="str">
        <f t="shared" si="40"/>
        <v/>
      </c>
      <c r="U315" s="241"/>
      <c r="V315" s="241"/>
      <c r="W315" s="241"/>
      <c r="X315" s="241"/>
      <c r="Y315" s="241"/>
      <c r="Z315" s="241"/>
      <c r="AA315" s="241"/>
      <c r="AB315" s="241"/>
      <c r="AC315" s="241"/>
      <c r="AD315" s="241"/>
      <c r="AE315" s="241"/>
      <c r="AF315" s="241"/>
      <c r="AG315" s="241"/>
      <c r="AH315" s="241"/>
      <c r="AI315" s="241"/>
      <c r="AJ315" s="241"/>
      <c r="AK315" s="241"/>
      <c r="AL315" s="241"/>
      <c r="AM315" s="241"/>
      <c r="AN315" s="241"/>
      <c r="AO315" s="241"/>
      <c r="AP315" s="241"/>
      <c r="AQ315" s="241"/>
      <c r="AR315" s="241"/>
      <c r="AS315" s="241"/>
      <c r="AT315" s="241"/>
      <c r="AU315" s="241"/>
      <c r="AV315" s="241"/>
      <c r="AW315" s="241"/>
      <c r="AX315" s="241"/>
      <c r="AY315" s="241"/>
      <c r="AZ315" s="241"/>
    </row>
    <row r="316" spans="1:52" s="71" customFormat="1" ht="18" hidden="1" customHeight="1" outlineLevel="2">
      <c r="A316" s="175">
        <v>46</v>
      </c>
      <c r="B316" s="312" t="str">
        <f>(IF('Inputs Whole-Project Water Use'!B316&lt;&gt;"",'Inputs Whole-Project Water Use'!B316,""))</f>
        <v/>
      </c>
      <c r="C316" s="313" t="str">
        <f>IF(AND(D316&lt;&gt;"",'Inputs Whole-Project Water Use'!C316=""),1,IF('Inputs Whole-Project Water Use'!C316&lt;&gt;"",'Inputs Whole-Project Water Use'!C316,""))</f>
        <v/>
      </c>
      <c r="D316" s="397" t="str">
        <f>IF('Inputs Whole-Project Water Use'!D316&lt;&gt;"",'Inputs Whole-Project Water Use'!D316,"")</f>
        <v/>
      </c>
      <c r="E316" s="398"/>
      <c r="F316" s="314" t="str">
        <f>IF('Inputs Whole-Project Water Use'!F316&lt;&gt;"",'Inputs Whole-Project Water Use'!F316,"")</f>
        <v/>
      </c>
      <c r="G316" s="314" t="str">
        <f>IF('Inputs Whole-Project Water Use'!G316&lt;&gt;"",'Inputs Whole-Project Water Use'!G316,"")</f>
        <v/>
      </c>
      <c r="H316" s="315" t="str">
        <f>IF('Inputs Whole-Project Water Use'!H316&lt;&gt;"",'Inputs Whole-Project Water Use'!H316,"")</f>
        <v/>
      </c>
      <c r="I316" s="390" t="str">
        <f t="shared" si="34"/>
        <v/>
      </c>
      <c r="J316" s="391"/>
      <c r="K316" s="316" t="str">
        <f>IF('Inputs Whole-Project Water Use'!K316&lt;&gt;"",'Inputs Whole-Project Water Use'!K316,"")</f>
        <v/>
      </c>
      <c r="L316" s="316" t="str">
        <f>IF('Inputs Whole-Project Water Use'!L316&lt;&gt;"",'Inputs Whole-Project Water Use'!L316,"")</f>
        <v/>
      </c>
      <c r="M316" s="390" t="str">
        <f t="shared" si="35"/>
        <v/>
      </c>
      <c r="N316" s="391"/>
      <c r="O316" s="225" t="str">
        <f t="shared" si="36"/>
        <v/>
      </c>
      <c r="P316" s="225" t="str">
        <f t="shared" si="37"/>
        <v/>
      </c>
      <c r="Q316" s="289" t="str">
        <f>IF(AND(D316&lt;&gt;"",'Inputs Whole-Project Water Use'!Q316=""),0,IF('Inputs Whole-Project Water Use'!Q316&lt;&gt;"",'Inputs Whole-Project Water Use'!Q316,""))</f>
        <v/>
      </c>
      <c r="R316" s="225" t="str">
        <f t="shared" si="38"/>
        <v/>
      </c>
      <c r="S316" s="225" t="str">
        <f t="shared" si="39"/>
        <v/>
      </c>
      <c r="T316" s="231" t="str">
        <f t="shared" si="40"/>
        <v/>
      </c>
      <c r="U316" s="241"/>
      <c r="V316" s="241"/>
      <c r="W316" s="241"/>
      <c r="X316" s="241"/>
      <c r="Y316" s="241"/>
      <c r="Z316" s="241"/>
      <c r="AA316" s="241"/>
      <c r="AB316" s="241"/>
      <c r="AC316" s="241"/>
      <c r="AD316" s="241"/>
      <c r="AE316" s="241"/>
      <c r="AF316" s="241"/>
      <c r="AG316" s="241"/>
      <c r="AH316" s="241"/>
      <c r="AI316" s="241"/>
      <c r="AJ316" s="241"/>
      <c r="AK316" s="241"/>
      <c r="AL316" s="241"/>
      <c r="AM316" s="241"/>
      <c r="AN316" s="241"/>
      <c r="AO316" s="241"/>
      <c r="AP316" s="241"/>
      <c r="AQ316" s="241"/>
      <c r="AR316" s="241"/>
      <c r="AS316" s="241"/>
      <c r="AT316" s="241"/>
      <c r="AU316" s="241"/>
      <c r="AV316" s="241"/>
      <c r="AW316" s="241"/>
      <c r="AX316" s="241"/>
      <c r="AY316" s="241"/>
      <c r="AZ316" s="241"/>
    </row>
    <row r="317" spans="1:52" s="71" customFormat="1" ht="18" hidden="1" customHeight="1" outlineLevel="2">
      <c r="A317" s="175">
        <v>47</v>
      </c>
      <c r="B317" s="312" t="str">
        <f>(IF('Inputs Whole-Project Water Use'!B317&lt;&gt;"",'Inputs Whole-Project Water Use'!B317,""))</f>
        <v/>
      </c>
      <c r="C317" s="313" t="str">
        <f>IF(AND(D317&lt;&gt;"",'Inputs Whole-Project Water Use'!C317=""),1,IF('Inputs Whole-Project Water Use'!C317&lt;&gt;"",'Inputs Whole-Project Water Use'!C317,""))</f>
        <v/>
      </c>
      <c r="D317" s="397" t="str">
        <f>IF('Inputs Whole-Project Water Use'!D317&lt;&gt;"",'Inputs Whole-Project Water Use'!D317,"")</f>
        <v/>
      </c>
      <c r="E317" s="398"/>
      <c r="F317" s="314" t="str">
        <f>IF('Inputs Whole-Project Water Use'!F317&lt;&gt;"",'Inputs Whole-Project Water Use'!F317,"")</f>
        <v/>
      </c>
      <c r="G317" s="314" t="str">
        <f>IF('Inputs Whole-Project Water Use'!G317&lt;&gt;"",'Inputs Whole-Project Water Use'!G317,"")</f>
        <v/>
      </c>
      <c r="H317" s="315" t="str">
        <f>IF('Inputs Whole-Project Water Use'!H317&lt;&gt;"",'Inputs Whole-Project Water Use'!H317,"")</f>
        <v/>
      </c>
      <c r="I317" s="390" t="str">
        <f t="shared" si="34"/>
        <v/>
      </c>
      <c r="J317" s="391"/>
      <c r="K317" s="316" t="str">
        <f>IF('Inputs Whole-Project Water Use'!K317&lt;&gt;"",'Inputs Whole-Project Water Use'!K317,"")</f>
        <v/>
      </c>
      <c r="L317" s="316" t="str">
        <f>IF('Inputs Whole-Project Water Use'!L317&lt;&gt;"",'Inputs Whole-Project Water Use'!L317,"")</f>
        <v/>
      </c>
      <c r="M317" s="390" t="str">
        <f t="shared" si="35"/>
        <v/>
      </c>
      <c r="N317" s="391"/>
      <c r="O317" s="225" t="str">
        <f t="shared" si="36"/>
        <v/>
      </c>
      <c r="P317" s="225" t="str">
        <f t="shared" si="37"/>
        <v/>
      </c>
      <c r="Q317" s="289" t="str">
        <f>IF(AND(D317&lt;&gt;"",'Inputs Whole-Project Water Use'!Q317=""),0,IF('Inputs Whole-Project Water Use'!Q317&lt;&gt;"",'Inputs Whole-Project Water Use'!Q317,""))</f>
        <v/>
      </c>
      <c r="R317" s="225" t="str">
        <f t="shared" si="38"/>
        <v/>
      </c>
      <c r="S317" s="225" t="str">
        <f t="shared" si="39"/>
        <v/>
      </c>
      <c r="T317" s="231" t="str">
        <f t="shared" si="40"/>
        <v/>
      </c>
      <c r="U317" s="241"/>
      <c r="V317" s="241"/>
      <c r="W317" s="241"/>
      <c r="X317" s="241"/>
      <c r="Y317" s="241"/>
      <c r="Z317" s="241"/>
      <c r="AA317" s="241"/>
      <c r="AB317" s="241"/>
      <c r="AC317" s="241"/>
      <c r="AD317" s="241"/>
      <c r="AE317" s="241"/>
      <c r="AF317" s="241"/>
      <c r="AG317" s="241"/>
      <c r="AH317" s="241"/>
      <c r="AI317" s="241"/>
      <c r="AJ317" s="241"/>
      <c r="AK317" s="241"/>
      <c r="AL317" s="241"/>
      <c r="AM317" s="241"/>
      <c r="AN317" s="241"/>
      <c r="AO317" s="241"/>
      <c r="AP317" s="241"/>
      <c r="AQ317" s="241"/>
      <c r="AR317" s="241"/>
      <c r="AS317" s="241"/>
      <c r="AT317" s="241"/>
      <c r="AU317" s="241"/>
      <c r="AV317" s="241"/>
      <c r="AW317" s="241"/>
      <c r="AX317" s="241"/>
      <c r="AY317" s="241"/>
      <c r="AZ317" s="241"/>
    </row>
    <row r="318" spans="1:52" s="71" customFormat="1" ht="18" hidden="1" customHeight="1" outlineLevel="2">
      <c r="A318" s="175">
        <v>48</v>
      </c>
      <c r="B318" s="312" t="str">
        <f>(IF('Inputs Whole-Project Water Use'!B318&lt;&gt;"",'Inputs Whole-Project Water Use'!B318,""))</f>
        <v/>
      </c>
      <c r="C318" s="313" t="str">
        <f>IF(AND(D318&lt;&gt;"",'Inputs Whole-Project Water Use'!C318=""),1,IF('Inputs Whole-Project Water Use'!C318&lt;&gt;"",'Inputs Whole-Project Water Use'!C318,""))</f>
        <v/>
      </c>
      <c r="D318" s="397" t="str">
        <f>IF('Inputs Whole-Project Water Use'!D318&lt;&gt;"",'Inputs Whole-Project Water Use'!D318,"")</f>
        <v/>
      </c>
      <c r="E318" s="398"/>
      <c r="F318" s="314" t="str">
        <f>IF('Inputs Whole-Project Water Use'!F318&lt;&gt;"",'Inputs Whole-Project Water Use'!F318,"")</f>
        <v/>
      </c>
      <c r="G318" s="314" t="str">
        <f>IF('Inputs Whole-Project Water Use'!G318&lt;&gt;"",'Inputs Whole-Project Water Use'!G318,"")</f>
        <v/>
      </c>
      <c r="H318" s="315" t="str">
        <f>IF('Inputs Whole-Project Water Use'!H318&lt;&gt;"",'Inputs Whole-Project Water Use'!H318,"")</f>
        <v/>
      </c>
      <c r="I318" s="390" t="str">
        <f t="shared" si="34"/>
        <v/>
      </c>
      <c r="J318" s="391"/>
      <c r="K318" s="316" t="str">
        <f>IF('Inputs Whole-Project Water Use'!K318&lt;&gt;"",'Inputs Whole-Project Water Use'!K318,"")</f>
        <v/>
      </c>
      <c r="L318" s="316" t="str">
        <f>IF('Inputs Whole-Project Water Use'!L318&lt;&gt;"",'Inputs Whole-Project Water Use'!L318,"")</f>
        <v/>
      </c>
      <c r="M318" s="390" t="str">
        <f t="shared" si="35"/>
        <v/>
      </c>
      <c r="N318" s="391"/>
      <c r="O318" s="225" t="str">
        <f t="shared" si="36"/>
        <v/>
      </c>
      <c r="P318" s="225" t="str">
        <f t="shared" si="37"/>
        <v/>
      </c>
      <c r="Q318" s="289" t="str">
        <f>IF(AND(D318&lt;&gt;"",'Inputs Whole-Project Water Use'!Q318=""),0,IF('Inputs Whole-Project Water Use'!Q318&lt;&gt;"",'Inputs Whole-Project Water Use'!Q318,""))</f>
        <v/>
      </c>
      <c r="R318" s="225" t="str">
        <f t="shared" si="38"/>
        <v/>
      </c>
      <c r="S318" s="225" t="str">
        <f t="shared" si="39"/>
        <v/>
      </c>
      <c r="T318" s="231" t="str">
        <f t="shared" si="40"/>
        <v/>
      </c>
      <c r="U318" s="241"/>
      <c r="V318" s="241"/>
      <c r="W318" s="241"/>
      <c r="X318" s="241"/>
      <c r="Y318" s="241"/>
      <c r="Z318" s="241"/>
      <c r="AA318" s="241"/>
      <c r="AB318" s="241"/>
      <c r="AC318" s="241"/>
      <c r="AD318" s="241"/>
      <c r="AE318" s="241"/>
      <c r="AF318" s="241"/>
      <c r="AG318" s="241"/>
      <c r="AH318" s="241"/>
      <c r="AI318" s="241"/>
      <c r="AJ318" s="241"/>
      <c r="AK318" s="241"/>
      <c r="AL318" s="241"/>
      <c r="AM318" s="241"/>
      <c r="AN318" s="241"/>
      <c r="AO318" s="241"/>
      <c r="AP318" s="241"/>
      <c r="AQ318" s="241"/>
      <c r="AR318" s="241"/>
      <c r="AS318" s="241"/>
      <c r="AT318" s="241"/>
      <c r="AU318" s="241"/>
      <c r="AV318" s="241"/>
      <c r="AW318" s="241"/>
      <c r="AX318" s="241"/>
      <c r="AY318" s="241"/>
      <c r="AZ318" s="241"/>
    </row>
    <row r="319" spans="1:52" s="71" customFormat="1" ht="18" hidden="1" customHeight="1" outlineLevel="2">
      <c r="A319" s="175">
        <v>49</v>
      </c>
      <c r="B319" s="312" t="str">
        <f>(IF('Inputs Whole-Project Water Use'!B319&lt;&gt;"",'Inputs Whole-Project Water Use'!B319,""))</f>
        <v/>
      </c>
      <c r="C319" s="313" t="str">
        <f>IF(AND(D319&lt;&gt;"",'Inputs Whole-Project Water Use'!C319=""),1,IF('Inputs Whole-Project Water Use'!C319&lt;&gt;"",'Inputs Whole-Project Water Use'!C319,""))</f>
        <v/>
      </c>
      <c r="D319" s="397" t="str">
        <f>IF('Inputs Whole-Project Water Use'!D319&lt;&gt;"",'Inputs Whole-Project Water Use'!D319,"")</f>
        <v/>
      </c>
      <c r="E319" s="398"/>
      <c r="F319" s="314" t="str">
        <f>IF('Inputs Whole-Project Water Use'!F319&lt;&gt;"",'Inputs Whole-Project Water Use'!F319,"")</f>
        <v/>
      </c>
      <c r="G319" s="314" t="str">
        <f>IF('Inputs Whole-Project Water Use'!G319&lt;&gt;"",'Inputs Whole-Project Water Use'!G319,"")</f>
        <v/>
      </c>
      <c r="H319" s="315" t="str">
        <f>IF('Inputs Whole-Project Water Use'!H319&lt;&gt;"",'Inputs Whole-Project Water Use'!H319,"")</f>
        <v/>
      </c>
      <c r="I319" s="390" t="str">
        <f t="shared" si="34"/>
        <v/>
      </c>
      <c r="J319" s="391"/>
      <c r="K319" s="316" t="str">
        <f>IF('Inputs Whole-Project Water Use'!K319&lt;&gt;"",'Inputs Whole-Project Water Use'!K319,"")</f>
        <v/>
      </c>
      <c r="L319" s="316" t="str">
        <f>IF('Inputs Whole-Project Water Use'!L319&lt;&gt;"",'Inputs Whole-Project Water Use'!L319,"")</f>
        <v/>
      </c>
      <c r="M319" s="390" t="str">
        <f t="shared" si="35"/>
        <v/>
      </c>
      <c r="N319" s="391"/>
      <c r="O319" s="225" t="str">
        <f t="shared" si="36"/>
        <v/>
      </c>
      <c r="P319" s="225" t="str">
        <f t="shared" si="37"/>
        <v/>
      </c>
      <c r="Q319" s="289" t="str">
        <f>IF(AND(D319&lt;&gt;"",'Inputs Whole-Project Water Use'!Q319=""),0,IF('Inputs Whole-Project Water Use'!Q319&lt;&gt;"",'Inputs Whole-Project Water Use'!Q319,""))</f>
        <v/>
      </c>
      <c r="R319" s="225" t="str">
        <f t="shared" si="38"/>
        <v/>
      </c>
      <c r="S319" s="225" t="str">
        <f t="shared" si="39"/>
        <v/>
      </c>
      <c r="T319" s="231" t="str">
        <f t="shared" si="40"/>
        <v/>
      </c>
      <c r="U319" s="241"/>
      <c r="V319" s="241"/>
      <c r="W319" s="241"/>
      <c r="X319" s="241"/>
      <c r="Y319" s="241"/>
      <c r="Z319" s="241"/>
      <c r="AA319" s="241"/>
      <c r="AB319" s="241"/>
      <c r="AC319" s="241"/>
      <c r="AD319" s="241"/>
      <c r="AE319" s="241"/>
      <c r="AF319" s="241"/>
      <c r="AG319" s="241"/>
      <c r="AH319" s="241"/>
      <c r="AI319" s="241"/>
      <c r="AJ319" s="241"/>
      <c r="AK319" s="241"/>
      <c r="AL319" s="241"/>
      <c r="AM319" s="241"/>
      <c r="AN319" s="241"/>
      <c r="AO319" s="241"/>
      <c r="AP319" s="241"/>
      <c r="AQ319" s="241"/>
      <c r="AR319" s="241"/>
      <c r="AS319" s="241"/>
      <c r="AT319" s="241"/>
      <c r="AU319" s="241"/>
      <c r="AV319" s="241"/>
      <c r="AW319" s="241"/>
      <c r="AX319" s="241"/>
      <c r="AY319" s="241"/>
      <c r="AZ319" s="241"/>
    </row>
    <row r="320" spans="1:52" s="71" customFormat="1" ht="18" hidden="1" customHeight="1" outlineLevel="2">
      <c r="A320" s="175">
        <v>50</v>
      </c>
      <c r="B320" s="312" t="str">
        <f>(IF('Inputs Whole-Project Water Use'!B320&lt;&gt;"",'Inputs Whole-Project Water Use'!B320,""))</f>
        <v/>
      </c>
      <c r="C320" s="313" t="str">
        <f>IF(AND(D320&lt;&gt;"",'Inputs Whole-Project Water Use'!C320=""),1,IF('Inputs Whole-Project Water Use'!C320&lt;&gt;"",'Inputs Whole-Project Water Use'!C320,""))</f>
        <v/>
      </c>
      <c r="D320" s="397" t="str">
        <f>IF('Inputs Whole-Project Water Use'!D320&lt;&gt;"",'Inputs Whole-Project Water Use'!D320,"")</f>
        <v/>
      </c>
      <c r="E320" s="398"/>
      <c r="F320" s="314" t="str">
        <f>IF('Inputs Whole-Project Water Use'!F320&lt;&gt;"",'Inputs Whole-Project Water Use'!F320,"")</f>
        <v/>
      </c>
      <c r="G320" s="314" t="str">
        <f>IF('Inputs Whole-Project Water Use'!G320&lt;&gt;"",'Inputs Whole-Project Water Use'!G320,"")</f>
        <v/>
      </c>
      <c r="H320" s="315" t="str">
        <f>IF('Inputs Whole-Project Water Use'!H320&lt;&gt;"",'Inputs Whole-Project Water Use'!H320,"")</f>
        <v/>
      </c>
      <c r="I320" s="390" t="str">
        <f t="shared" si="34"/>
        <v/>
      </c>
      <c r="J320" s="391"/>
      <c r="K320" s="316" t="str">
        <f>IF('Inputs Whole-Project Water Use'!K320&lt;&gt;"",'Inputs Whole-Project Water Use'!K320,"")</f>
        <v/>
      </c>
      <c r="L320" s="316" t="str">
        <f>IF('Inputs Whole-Project Water Use'!L320&lt;&gt;"",'Inputs Whole-Project Water Use'!L320,"")</f>
        <v/>
      </c>
      <c r="M320" s="390" t="str">
        <f t="shared" si="35"/>
        <v/>
      </c>
      <c r="N320" s="391"/>
      <c r="O320" s="225" t="str">
        <f t="shared" si="36"/>
        <v/>
      </c>
      <c r="P320" s="225" t="str">
        <f t="shared" si="37"/>
        <v/>
      </c>
      <c r="Q320" s="289" t="str">
        <f>IF(AND(D320&lt;&gt;"",'Inputs Whole-Project Water Use'!Q320=""),0,IF('Inputs Whole-Project Water Use'!Q320&lt;&gt;"",'Inputs Whole-Project Water Use'!Q320,""))</f>
        <v/>
      </c>
      <c r="R320" s="225" t="str">
        <f t="shared" si="38"/>
        <v/>
      </c>
      <c r="S320" s="225" t="str">
        <f t="shared" si="39"/>
        <v/>
      </c>
      <c r="T320" s="231" t="str">
        <f t="shared" si="40"/>
        <v/>
      </c>
      <c r="U320" s="241"/>
      <c r="V320" s="241"/>
      <c r="W320" s="241"/>
      <c r="X320" s="241"/>
      <c r="Y320" s="241"/>
      <c r="Z320" s="241"/>
      <c r="AA320" s="241"/>
      <c r="AB320" s="241"/>
      <c r="AC320" s="241"/>
      <c r="AD320" s="241"/>
      <c r="AE320" s="241"/>
      <c r="AF320" s="241"/>
      <c r="AG320" s="241"/>
      <c r="AH320" s="241"/>
      <c r="AI320" s="241"/>
      <c r="AJ320" s="241"/>
      <c r="AK320" s="241"/>
      <c r="AL320" s="241"/>
      <c r="AM320" s="241"/>
      <c r="AN320" s="241"/>
      <c r="AO320" s="241"/>
      <c r="AP320" s="241"/>
      <c r="AQ320" s="241"/>
      <c r="AR320" s="241"/>
      <c r="AS320" s="241"/>
      <c r="AT320" s="241"/>
      <c r="AU320" s="241"/>
      <c r="AV320" s="241"/>
      <c r="AW320" s="241"/>
      <c r="AX320" s="241"/>
      <c r="AY320" s="241"/>
      <c r="AZ320" s="241"/>
    </row>
    <row r="321" spans="1:52" s="71" customFormat="1" ht="18" hidden="1" customHeight="1" outlineLevel="1" collapsed="1">
      <c r="A321" s="175">
        <v>51</v>
      </c>
      <c r="B321" s="312" t="str">
        <f>(IF('Inputs Whole-Project Water Use'!B321&lt;&gt;"",'Inputs Whole-Project Water Use'!B321,""))</f>
        <v/>
      </c>
      <c r="C321" s="313" t="str">
        <f>IF(AND(D321&lt;&gt;"",'Inputs Whole-Project Water Use'!C321=""),1,IF('Inputs Whole-Project Water Use'!C321&lt;&gt;"",'Inputs Whole-Project Water Use'!C321,""))</f>
        <v/>
      </c>
      <c r="D321" s="397" t="str">
        <f>IF('Inputs Whole-Project Water Use'!D321&lt;&gt;"",'Inputs Whole-Project Water Use'!D321,"")</f>
        <v/>
      </c>
      <c r="E321" s="398"/>
      <c r="F321" s="314" t="str">
        <f>IF('Inputs Whole-Project Water Use'!F321&lt;&gt;"",'Inputs Whole-Project Water Use'!F321,"")</f>
        <v/>
      </c>
      <c r="G321" s="314" t="str">
        <f>IF('Inputs Whole-Project Water Use'!G321&lt;&gt;"",'Inputs Whole-Project Water Use'!G321,"")</f>
        <v/>
      </c>
      <c r="H321" s="315" t="str">
        <f>IF('Inputs Whole-Project Water Use'!H321&lt;&gt;"",'Inputs Whole-Project Water Use'!H321,"")</f>
        <v/>
      </c>
      <c r="I321" s="390" t="str">
        <f t="shared" si="34"/>
        <v/>
      </c>
      <c r="J321" s="391"/>
      <c r="K321" s="316" t="str">
        <f>IF('Inputs Whole-Project Water Use'!K321&lt;&gt;"",'Inputs Whole-Project Water Use'!K321,"")</f>
        <v/>
      </c>
      <c r="L321" s="316" t="str">
        <f>IF('Inputs Whole-Project Water Use'!L321&lt;&gt;"",'Inputs Whole-Project Water Use'!L321,"")</f>
        <v/>
      </c>
      <c r="M321" s="390" t="str">
        <f t="shared" si="35"/>
        <v/>
      </c>
      <c r="N321" s="391"/>
      <c r="O321" s="225" t="str">
        <f t="shared" si="36"/>
        <v/>
      </c>
      <c r="P321" s="225" t="str">
        <f t="shared" si="37"/>
        <v/>
      </c>
      <c r="Q321" s="289" t="str">
        <f>IF(AND(D321&lt;&gt;"",'Inputs Whole-Project Water Use'!Q321=""),0,IF('Inputs Whole-Project Water Use'!Q321&lt;&gt;"",'Inputs Whole-Project Water Use'!Q321,""))</f>
        <v/>
      </c>
      <c r="R321" s="225" t="str">
        <f t="shared" si="38"/>
        <v/>
      </c>
      <c r="S321" s="225" t="str">
        <f t="shared" si="39"/>
        <v/>
      </c>
      <c r="T321" s="231" t="str">
        <f t="shared" si="40"/>
        <v/>
      </c>
      <c r="U321" s="176" t="s">
        <v>165</v>
      </c>
      <c r="V321" s="241"/>
      <c r="W321" s="241"/>
      <c r="X321" s="241"/>
      <c r="Y321" s="241"/>
      <c r="Z321" s="241"/>
      <c r="AA321" s="241"/>
      <c r="AB321" s="241"/>
      <c r="AC321" s="241"/>
      <c r="AD321" s="241"/>
      <c r="AE321" s="241"/>
      <c r="AF321" s="241"/>
      <c r="AG321" s="241"/>
      <c r="AH321" s="241"/>
      <c r="AI321" s="241"/>
      <c r="AJ321" s="241"/>
      <c r="AK321" s="241"/>
      <c r="AL321" s="241"/>
      <c r="AM321" s="241"/>
      <c r="AN321" s="241"/>
      <c r="AO321" s="241"/>
      <c r="AP321" s="241"/>
      <c r="AQ321" s="241"/>
      <c r="AR321" s="241"/>
      <c r="AS321" s="241"/>
      <c r="AT321" s="241"/>
      <c r="AU321" s="241"/>
      <c r="AV321" s="241"/>
      <c r="AW321" s="241"/>
      <c r="AX321" s="241"/>
      <c r="AY321" s="241"/>
      <c r="AZ321" s="241"/>
    </row>
    <row r="322" spans="1:52" s="71" customFormat="1" ht="18" hidden="1" customHeight="1" outlineLevel="2">
      <c r="A322" s="175">
        <v>52</v>
      </c>
      <c r="B322" s="312" t="str">
        <f>(IF('Inputs Whole-Project Water Use'!B322&lt;&gt;"",'Inputs Whole-Project Water Use'!B322,""))</f>
        <v/>
      </c>
      <c r="C322" s="313" t="str">
        <f>IF(AND(D322&lt;&gt;"",'Inputs Whole-Project Water Use'!C322=""),1,IF('Inputs Whole-Project Water Use'!C322&lt;&gt;"",'Inputs Whole-Project Water Use'!C322,""))</f>
        <v/>
      </c>
      <c r="D322" s="397" t="str">
        <f>IF('Inputs Whole-Project Water Use'!D322&lt;&gt;"",'Inputs Whole-Project Water Use'!D322,"")</f>
        <v/>
      </c>
      <c r="E322" s="398"/>
      <c r="F322" s="314" t="str">
        <f>IF('Inputs Whole-Project Water Use'!F322&lt;&gt;"",'Inputs Whole-Project Water Use'!F322,"")</f>
        <v/>
      </c>
      <c r="G322" s="314" t="str">
        <f>IF('Inputs Whole-Project Water Use'!G322&lt;&gt;"",'Inputs Whole-Project Water Use'!G322,"")</f>
        <v/>
      </c>
      <c r="H322" s="315" t="str">
        <f>IF('Inputs Whole-Project Water Use'!H322&lt;&gt;"",'Inputs Whole-Project Water Use'!H322,"")</f>
        <v/>
      </c>
      <c r="I322" s="390" t="str">
        <f t="shared" si="34"/>
        <v/>
      </c>
      <c r="J322" s="391"/>
      <c r="K322" s="316" t="str">
        <f>IF('Inputs Whole-Project Water Use'!K322&lt;&gt;"",'Inputs Whole-Project Water Use'!K322,"")</f>
        <v/>
      </c>
      <c r="L322" s="316" t="str">
        <f>IF('Inputs Whole-Project Water Use'!L322&lt;&gt;"",'Inputs Whole-Project Water Use'!L322,"")</f>
        <v/>
      </c>
      <c r="M322" s="390" t="str">
        <f t="shared" si="35"/>
        <v/>
      </c>
      <c r="N322" s="391"/>
      <c r="O322" s="225" t="str">
        <f t="shared" si="36"/>
        <v/>
      </c>
      <c r="P322" s="225" t="str">
        <f t="shared" si="37"/>
        <v/>
      </c>
      <c r="Q322" s="289" t="str">
        <f>IF(AND(D322&lt;&gt;"",'Inputs Whole-Project Water Use'!Q322=""),0,IF('Inputs Whole-Project Water Use'!Q322&lt;&gt;"",'Inputs Whole-Project Water Use'!Q322,""))</f>
        <v/>
      </c>
      <c r="R322" s="225" t="str">
        <f t="shared" si="38"/>
        <v/>
      </c>
      <c r="S322" s="225" t="str">
        <f t="shared" si="39"/>
        <v/>
      </c>
      <c r="T322" s="231" t="str">
        <f t="shared" si="40"/>
        <v/>
      </c>
      <c r="U322" s="241"/>
      <c r="V322" s="241"/>
      <c r="W322" s="241"/>
      <c r="X322" s="241"/>
      <c r="Y322" s="241"/>
      <c r="Z322" s="241"/>
      <c r="AA322" s="241"/>
      <c r="AB322" s="241"/>
      <c r="AC322" s="241"/>
      <c r="AD322" s="241"/>
      <c r="AE322" s="241"/>
      <c r="AF322" s="241"/>
      <c r="AG322" s="241"/>
      <c r="AH322" s="241"/>
      <c r="AI322" s="241"/>
      <c r="AJ322" s="241"/>
      <c r="AK322" s="241"/>
      <c r="AL322" s="241"/>
      <c r="AM322" s="241"/>
      <c r="AN322" s="241"/>
      <c r="AO322" s="241"/>
      <c r="AP322" s="241"/>
      <c r="AQ322" s="241"/>
      <c r="AR322" s="241"/>
      <c r="AS322" s="241"/>
      <c r="AT322" s="241"/>
      <c r="AU322" s="241"/>
      <c r="AV322" s="241"/>
      <c r="AW322" s="241"/>
      <c r="AX322" s="241"/>
      <c r="AY322" s="241"/>
      <c r="AZ322" s="241"/>
    </row>
    <row r="323" spans="1:52" s="71" customFormat="1" ht="18" hidden="1" customHeight="1" outlineLevel="2">
      <c r="A323" s="175">
        <v>53</v>
      </c>
      <c r="B323" s="312" t="str">
        <f>(IF('Inputs Whole-Project Water Use'!B323&lt;&gt;"",'Inputs Whole-Project Water Use'!B323,""))</f>
        <v/>
      </c>
      <c r="C323" s="313" t="str">
        <f>IF(AND(D323&lt;&gt;"",'Inputs Whole-Project Water Use'!C323=""),1,IF('Inputs Whole-Project Water Use'!C323&lt;&gt;"",'Inputs Whole-Project Water Use'!C323,""))</f>
        <v/>
      </c>
      <c r="D323" s="397" t="str">
        <f>IF('Inputs Whole-Project Water Use'!D323&lt;&gt;"",'Inputs Whole-Project Water Use'!D323,"")</f>
        <v/>
      </c>
      <c r="E323" s="398"/>
      <c r="F323" s="314" t="str">
        <f>IF('Inputs Whole-Project Water Use'!F323&lt;&gt;"",'Inputs Whole-Project Water Use'!F323,"")</f>
        <v/>
      </c>
      <c r="G323" s="314" t="str">
        <f>IF('Inputs Whole-Project Water Use'!G323&lt;&gt;"",'Inputs Whole-Project Water Use'!G323,"")</f>
        <v/>
      </c>
      <c r="H323" s="315" t="str">
        <f>IF('Inputs Whole-Project Water Use'!H323&lt;&gt;"",'Inputs Whole-Project Water Use'!H323,"")</f>
        <v/>
      </c>
      <c r="I323" s="390" t="str">
        <f t="shared" si="34"/>
        <v/>
      </c>
      <c r="J323" s="391"/>
      <c r="K323" s="316" t="str">
        <f>IF('Inputs Whole-Project Water Use'!K323&lt;&gt;"",'Inputs Whole-Project Water Use'!K323,"")</f>
        <v/>
      </c>
      <c r="L323" s="316" t="str">
        <f>IF('Inputs Whole-Project Water Use'!L323&lt;&gt;"",'Inputs Whole-Project Water Use'!L323,"")</f>
        <v/>
      </c>
      <c r="M323" s="390" t="str">
        <f t="shared" si="35"/>
        <v/>
      </c>
      <c r="N323" s="391"/>
      <c r="O323" s="225" t="str">
        <f t="shared" si="36"/>
        <v/>
      </c>
      <c r="P323" s="225" t="str">
        <f t="shared" si="37"/>
        <v/>
      </c>
      <c r="Q323" s="289" t="str">
        <f>IF(AND(D323&lt;&gt;"",'Inputs Whole-Project Water Use'!Q323=""),0,IF('Inputs Whole-Project Water Use'!Q323&lt;&gt;"",'Inputs Whole-Project Water Use'!Q323,""))</f>
        <v/>
      </c>
      <c r="R323" s="225" t="str">
        <f t="shared" si="38"/>
        <v/>
      </c>
      <c r="S323" s="225" t="str">
        <f t="shared" si="39"/>
        <v/>
      </c>
      <c r="T323" s="231" t="str">
        <f t="shared" si="40"/>
        <v/>
      </c>
      <c r="U323" s="241"/>
      <c r="V323" s="241"/>
      <c r="W323" s="241"/>
      <c r="X323" s="241"/>
      <c r="Y323" s="241"/>
      <c r="Z323" s="241"/>
      <c r="AA323" s="241"/>
      <c r="AB323" s="241"/>
      <c r="AC323" s="241"/>
      <c r="AD323" s="241"/>
      <c r="AE323" s="241"/>
      <c r="AF323" s="241"/>
      <c r="AG323" s="241"/>
      <c r="AH323" s="241"/>
      <c r="AI323" s="241"/>
      <c r="AJ323" s="241"/>
      <c r="AK323" s="241"/>
      <c r="AL323" s="241"/>
      <c r="AM323" s="241"/>
      <c r="AN323" s="241"/>
      <c r="AO323" s="241"/>
      <c r="AP323" s="241"/>
      <c r="AQ323" s="241"/>
      <c r="AR323" s="241"/>
      <c r="AS323" s="241"/>
      <c r="AT323" s="241"/>
      <c r="AU323" s="241"/>
      <c r="AV323" s="241"/>
      <c r="AW323" s="241"/>
      <c r="AX323" s="241"/>
      <c r="AY323" s="241"/>
      <c r="AZ323" s="241"/>
    </row>
    <row r="324" spans="1:52" s="71" customFormat="1" ht="18" hidden="1" customHeight="1" outlineLevel="2">
      <c r="A324" s="175">
        <v>54</v>
      </c>
      <c r="B324" s="312" t="str">
        <f>(IF('Inputs Whole-Project Water Use'!B324&lt;&gt;"",'Inputs Whole-Project Water Use'!B324,""))</f>
        <v/>
      </c>
      <c r="C324" s="313" t="str">
        <f>IF(AND(D324&lt;&gt;"",'Inputs Whole-Project Water Use'!C324=""),1,IF('Inputs Whole-Project Water Use'!C324&lt;&gt;"",'Inputs Whole-Project Water Use'!C324,""))</f>
        <v/>
      </c>
      <c r="D324" s="397" t="str">
        <f>IF('Inputs Whole-Project Water Use'!D324&lt;&gt;"",'Inputs Whole-Project Water Use'!D324,"")</f>
        <v/>
      </c>
      <c r="E324" s="398"/>
      <c r="F324" s="314" t="str">
        <f>IF('Inputs Whole-Project Water Use'!F324&lt;&gt;"",'Inputs Whole-Project Water Use'!F324,"")</f>
        <v/>
      </c>
      <c r="G324" s="314" t="str">
        <f>IF('Inputs Whole-Project Water Use'!G324&lt;&gt;"",'Inputs Whole-Project Water Use'!G324,"")</f>
        <v/>
      </c>
      <c r="H324" s="315" t="str">
        <f>IF('Inputs Whole-Project Water Use'!H324&lt;&gt;"",'Inputs Whole-Project Water Use'!H324,"")</f>
        <v/>
      </c>
      <c r="I324" s="390" t="str">
        <f t="shared" si="34"/>
        <v/>
      </c>
      <c r="J324" s="391"/>
      <c r="K324" s="316" t="str">
        <f>IF('Inputs Whole-Project Water Use'!K324&lt;&gt;"",'Inputs Whole-Project Water Use'!K324,"")</f>
        <v/>
      </c>
      <c r="L324" s="316" t="str">
        <f>IF('Inputs Whole-Project Water Use'!L324&lt;&gt;"",'Inputs Whole-Project Water Use'!L324,"")</f>
        <v/>
      </c>
      <c r="M324" s="390" t="str">
        <f t="shared" si="35"/>
        <v/>
      </c>
      <c r="N324" s="391"/>
      <c r="O324" s="225" t="str">
        <f t="shared" si="36"/>
        <v/>
      </c>
      <c r="P324" s="225" t="str">
        <f t="shared" si="37"/>
        <v/>
      </c>
      <c r="Q324" s="289" t="str">
        <f>IF(AND(D324&lt;&gt;"",'Inputs Whole-Project Water Use'!Q324=""),0,IF('Inputs Whole-Project Water Use'!Q324&lt;&gt;"",'Inputs Whole-Project Water Use'!Q324,""))</f>
        <v/>
      </c>
      <c r="R324" s="225" t="str">
        <f t="shared" si="38"/>
        <v/>
      </c>
      <c r="S324" s="225" t="str">
        <f t="shared" si="39"/>
        <v/>
      </c>
      <c r="T324" s="231" t="str">
        <f t="shared" si="40"/>
        <v/>
      </c>
      <c r="U324" s="241"/>
      <c r="V324" s="241"/>
      <c r="W324" s="241"/>
      <c r="X324" s="241"/>
      <c r="Y324" s="241"/>
      <c r="Z324" s="241"/>
      <c r="AA324" s="241"/>
      <c r="AB324" s="241"/>
      <c r="AC324" s="241"/>
      <c r="AD324" s="241"/>
      <c r="AE324" s="241"/>
      <c r="AF324" s="241"/>
      <c r="AG324" s="241"/>
      <c r="AH324" s="241"/>
      <c r="AI324" s="241"/>
      <c r="AJ324" s="241"/>
      <c r="AK324" s="241"/>
      <c r="AL324" s="241"/>
      <c r="AM324" s="241"/>
      <c r="AN324" s="241"/>
      <c r="AO324" s="241"/>
      <c r="AP324" s="241"/>
      <c r="AQ324" s="241"/>
      <c r="AR324" s="241"/>
      <c r="AS324" s="241"/>
      <c r="AT324" s="241"/>
      <c r="AU324" s="241"/>
      <c r="AV324" s="241"/>
      <c r="AW324" s="241"/>
      <c r="AX324" s="241"/>
      <c r="AY324" s="241"/>
      <c r="AZ324" s="241"/>
    </row>
    <row r="325" spans="1:52" s="71" customFormat="1" ht="18" hidden="1" customHeight="1" outlineLevel="2">
      <c r="A325" s="175">
        <v>55</v>
      </c>
      <c r="B325" s="312" t="str">
        <f>(IF('Inputs Whole-Project Water Use'!B325&lt;&gt;"",'Inputs Whole-Project Water Use'!B325,""))</f>
        <v/>
      </c>
      <c r="C325" s="313" t="str">
        <f>IF(AND(D325&lt;&gt;"",'Inputs Whole-Project Water Use'!C325=""),1,IF('Inputs Whole-Project Water Use'!C325&lt;&gt;"",'Inputs Whole-Project Water Use'!C325,""))</f>
        <v/>
      </c>
      <c r="D325" s="397" t="str">
        <f>IF('Inputs Whole-Project Water Use'!D325&lt;&gt;"",'Inputs Whole-Project Water Use'!D325,"")</f>
        <v/>
      </c>
      <c r="E325" s="398"/>
      <c r="F325" s="314" t="str">
        <f>IF('Inputs Whole-Project Water Use'!F325&lt;&gt;"",'Inputs Whole-Project Water Use'!F325,"")</f>
        <v/>
      </c>
      <c r="G325" s="314" t="str">
        <f>IF('Inputs Whole-Project Water Use'!G325&lt;&gt;"",'Inputs Whole-Project Water Use'!G325,"")</f>
        <v/>
      </c>
      <c r="H325" s="315" t="str">
        <f>IF('Inputs Whole-Project Water Use'!H325&lt;&gt;"",'Inputs Whole-Project Water Use'!H325,"")</f>
        <v/>
      </c>
      <c r="I325" s="390" t="str">
        <f t="shared" si="34"/>
        <v/>
      </c>
      <c r="J325" s="391"/>
      <c r="K325" s="316" t="str">
        <f>IF('Inputs Whole-Project Water Use'!K325&lt;&gt;"",'Inputs Whole-Project Water Use'!K325,"")</f>
        <v/>
      </c>
      <c r="L325" s="316" t="str">
        <f>IF('Inputs Whole-Project Water Use'!L325&lt;&gt;"",'Inputs Whole-Project Water Use'!L325,"")</f>
        <v/>
      </c>
      <c r="M325" s="390" t="str">
        <f t="shared" si="35"/>
        <v/>
      </c>
      <c r="N325" s="391"/>
      <c r="O325" s="225" t="str">
        <f t="shared" si="36"/>
        <v/>
      </c>
      <c r="P325" s="225" t="str">
        <f t="shared" si="37"/>
        <v/>
      </c>
      <c r="Q325" s="289" t="str">
        <f>IF(AND(D325&lt;&gt;"",'Inputs Whole-Project Water Use'!Q325=""),0,IF('Inputs Whole-Project Water Use'!Q325&lt;&gt;"",'Inputs Whole-Project Water Use'!Q325,""))</f>
        <v/>
      </c>
      <c r="R325" s="225" t="str">
        <f t="shared" si="38"/>
        <v/>
      </c>
      <c r="S325" s="225" t="str">
        <f t="shared" si="39"/>
        <v/>
      </c>
      <c r="T325" s="231" t="str">
        <f t="shared" si="40"/>
        <v/>
      </c>
      <c r="U325" s="241"/>
      <c r="V325" s="241"/>
      <c r="W325" s="241"/>
      <c r="X325" s="241"/>
      <c r="Y325" s="241"/>
      <c r="Z325" s="241"/>
      <c r="AA325" s="241"/>
      <c r="AB325" s="241"/>
      <c r="AC325" s="241"/>
      <c r="AD325" s="241"/>
      <c r="AE325" s="241"/>
      <c r="AF325" s="241"/>
      <c r="AG325" s="241"/>
      <c r="AH325" s="241"/>
      <c r="AI325" s="241"/>
      <c r="AJ325" s="241"/>
      <c r="AK325" s="241"/>
      <c r="AL325" s="241"/>
      <c r="AM325" s="241"/>
      <c r="AN325" s="241"/>
      <c r="AO325" s="241"/>
      <c r="AP325" s="241"/>
      <c r="AQ325" s="241"/>
      <c r="AR325" s="241"/>
      <c r="AS325" s="241"/>
      <c r="AT325" s="241"/>
      <c r="AU325" s="241"/>
      <c r="AV325" s="241"/>
      <c r="AW325" s="241"/>
      <c r="AX325" s="241"/>
      <c r="AY325" s="241"/>
      <c r="AZ325" s="241"/>
    </row>
    <row r="326" spans="1:52" s="71" customFormat="1" ht="18" hidden="1" customHeight="1" outlineLevel="2">
      <c r="A326" s="175">
        <v>56</v>
      </c>
      <c r="B326" s="312" t="str">
        <f>(IF('Inputs Whole-Project Water Use'!B326&lt;&gt;"",'Inputs Whole-Project Water Use'!B326,""))</f>
        <v/>
      </c>
      <c r="C326" s="313" t="str">
        <f>IF(AND(D326&lt;&gt;"",'Inputs Whole-Project Water Use'!C326=""),1,IF('Inputs Whole-Project Water Use'!C326&lt;&gt;"",'Inputs Whole-Project Water Use'!C326,""))</f>
        <v/>
      </c>
      <c r="D326" s="397" t="str">
        <f>IF('Inputs Whole-Project Water Use'!D326&lt;&gt;"",'Inputs Whole-Project Water Use'!D326,"")</f>
        <v/>
      </c>
      <c r="E326" s="398"/>
      <c r="F326" s="314" t="str">
        <f>IF('Inputs Whole-Project Water Use'!F326&lt;&gt;"",'Inputs Whole-Project Water Use'!F326,"")</f>
        <v/>
      </c>
      <c r="G326" s="314" t="str">
        <f>IF('Inputs Whole-Project Water Use'!G326&lt;&gt;"",'Inputs Whole-Project Water Use'!G326,"")</f>
        <v/>
      </c>
      <c r="H326" s="315" t="str">
        <f>IF('Inputs Whole-Project Water Use'!H326&lt;&gt;"",'Inputs Whole-Project Water Use'!H326,"")</f>
        <v/>
      </c>
      <c r="I326" s="390" t="str">
        <f t="shared" si="34"/>
        <v/>
      </c>
      <c r="J326" s="391"/>
      <c r="K326" s="316" t="str">
        <f>IF('Inputs Whole-Project Water Use'!K326&lt;&gt;"",'Inputs Whole-Project Water Use'!K326,"")</f>
        <v/>
      </c>
      <c r="L326" s="316" t="str">
        <f>IF('Inputs Whole-Project Water Use'!L326&lt;&gt;"",'Inputs Whole-Project Water Use'!L326,"")</f>
        <v/>
      </c>
      <c r="M326" s="390" t="str">
        <f t="shared" si="35"/>
        <v/>
      </c>
      <c r="N326" s="391"/>
      <c r="O326" s="225" t="str">
        <f t="shared" si="36"/>
        <v/>
      </c>
      <c r="P326" s="225" t="str">
        <f t="shared" si="37"/>
        <v/>
      </c>
      <c r="Q326" s="289" t="str">
        <f>IF(AND(D326&lt;&gt;"",'Inputs Whole-Project Water Use'!Q326=""),0,IF('Inputs Whole-Project Water Use'!Q326&lt;&gt;"",'Inputs Whole-Project Water Use'!Q326,""))</f>
        <v/>
      </c>
      <c r="R326" s="225" t="str">
        <f t="shared" si="38"/>
        <v/>
      </c>
      <c r="S326" s="225" t="str">
        <f t="shared" si="39"/>
        <v/>
      </c>
      <c r="T326" s="231" t="str">
        <f t="shared" si="40"/>
        <v/>
      </c>
      <c r="U326" s="241"/>
      <c r="V326" s="241"/>
      <c r="W326" s="241"/>
      <c r="X326" s="241"/>
      <c r="Y326" s="241"/>
      <c r="Z326" s="241"/>
      <c r="AA326" s="241"/>
      <c r="AB326" s="241"/>
      <c r="AC326" s="241"/>
      <c r="AD326" s="241"/>
      <c r="AE326" s="241"/>
      <c r="AF326" s="241"/>
      <c r="AG326" s="241"/>
      <c r="AH326" s="241"/>
      <c r="AI326" s="241"/>
      <c r="AJ326" s="241"/>
      <c r="AK326" s="241"/>
      <c r="AL326" s="241"/>
      <c r="AM326" s="241"/>
      <c r="AN326" s="241"/>
      <c r="AO326" s="241"/>
      <c r="AP326" s="241"/>
      <c r="AQ326" s="241"/>
      <c r="AR326" s="241"/>
      <c r="AS326" s="241"/>
      <c r="AT326" s="241"/>
      <c r="AU326" s="241"/>
      <c r="AV326" s="241"/>
      <c r="AW326" s="241"/>
      <c r="AX326" s="241"/>
      <c r="AY326" s="241"/>
      <c r="AZ326" s="241"/>
    </row>
    <row r="327" spans="1:52" s="71" customFormat="1" ht="18" hidden="1" customHeight="1" outlineLevel="2">
      <c r="A327" s="175">
        <v>57</v>
      </c>
      <c r="B327" s="312" t="str">
        <f>(IF('Inputs Whole-Project Water Use'!B327&lt;&gt;"",'Inputs Whole-Project Water Use'!B327,""))</f>
        <v/>
      </c>
      <c r="C327" s="313" t="str">
        <f>IF(AND(D327&lt;&gt;"",'Inputs Whole-Project Water Use'!C327=""),1,IF('Inputs Whole-Project Water Use'!C327&lt;&gt;"",'Inputs Whole-Project Water Use'!C327,""))</f>
        <v/>
      </c>
      <c r="D327" s="397" t="str">
        <f>IF('Inputs Whole-Project Water Use'!D327&lt;&gt;"",'Inputs Whole-Project Water Use'!D327,"")</f>
        <v/>
      </c>
      <c r="E327" s="398"/>
      <c r="F327" s="314" t="str">
        <f>IF('Inputs Whole-Project Water Use'!F327&lt;&gt;"",'Inputs Whole-Project Water Use'!F327,"")</f>
        <v/>
      </c>
      <c r="G327" s="314" t="str">
        <f>IF('Inputs Whole-Project Water Use'!G327&lt;&gt;"",'Inputs Whole-Project Water Use'!G327,"")</f>
        <v/>
      </c>
      <c r="H327" s="315" t="str">
        <f>IF('Inputs Whole-Project Water Use'!H327&lt;&gt;"",'Inputs Whole-Project Water Use'!H327,"")</f>
        <v/>
      </c>
      <c r="I327" s="390" t="str">
        <f t="shared" si="34"/>
        <v/>
      </c>
      <c r="J327" s="391"/>
      <c r="K327" s="316" t="str">
        <f>IF('Inputs Whole-Project Water Use'!K327&lt;&gt;"",'Inputs Whole-Project Water Use'!K327,"")</f>
        <v/>
      </c>
      <c r="L327" s="316" t="str">
        <f>IF('Inputs Whole-Project Water Use'!L327&lt;&gt;"",'Inputs Whole-Project Water Use'!L327,"")</f>
        <v/>
      </c>
      <c r="M327" s="390" t="str">
        <f t="shared" si="35"/>
        <v/>
      </c>
      <c r="N327" s="391"/>
      <c r="O327" s="225" t="str">
        <f t="shared" si="36"/>
        <v/>
      </c>
      <c r="P327" s="225" t="str">
        <f t="shared" si="37"/>
        <v/>
      </c>
      <c r="Q327" s="289" t="str">
        <f>IF(AND(D327&lt;&gt;"",'Inputs Whole-Project Water Use'!Q327=""),0,IF('Inputs Whole-Project Water Use'!Q327&lt;&gt;"",'Inputs Whole-Project Water Use'!Q327,""))</f>
        <v/>
      </c>
      <c r="R327" s="225" t="str">
        <f t="shared" si="38"/>
        <v/>
      </c>
      <c r="S327" s="225" t="str">
        <f t="shared" si="39"/>
        <v/>
      </c>
      <c r="T327" s="231" t="str">
        <f t="shared" si="40"/>
        <v/>
      </c>
      <c r="U327" s="241"/>
      <c r="V327" s="241"/>
      <c r="W327" s="241"/>
      <c r="X327" s="241"/>
      <c r="Y327" s="241"/>
      <c r="Z327" s="241"/>
      <c r="AA327" s="241"/>
      <c r="AB327" s="241"/>
      <c r="AC327" s="241"/>
      <c r="AD327" s="241"/>
      <c r="AE327" s="241"/>
      <c r="AF327" s="241"/>
      <c r="AG327" s="241"/>
      <c r="AH327" s="241"/>
      <c r="AI327" s="241"/>
      <c r="AJ327" s="241"/>
      <c r="AK327" s="241"/>
      <c r="AL327" s="241"/>
      <c r="AM327" s="241"/>
      <c r="AN327" s="241"/>
      <c r="AO327" s="241"/>
      <c r="AP327" s="241"/>
      <c r="AQ327" s="241"/>
      <c r="AR327" s="241"/>
      <c r="AS327" s="241"/>
      <c r="AT327" s="241"/>
      <c r="AU327" s="241"/>
      <c r="AV327" s="241"/>
      <c r="AW327" s="241"/>
      <c r="AX327" s="241"/>
      <c r="AY327" s="241"/>
      <c r="AZ327" s="241"/>
    </row>
    <row r="328" spans="1:52" s="71" customFormat="1" ht="18" hidden="1" customHeight="1" outlineLevel="2">
      <c r="A328" s="175">
        <v>58</v>
      </c>
      <c r="B328" s="312" t="str">
        <f>(IF('Inputs Whole-Project Water Use'!B328&lt;&gt;"",'Inputs Whole-Project Water Use'!B328,""))</f>
        <v/>
      </c>
      <c r="C328" s="313" t="str">
        <f>IF(AND(D328&lt;&gt;"",'Inputs Whole-Project Water Use'!C328=""),1,IF('Inputs Whole-Project Water Use'!C328&lt;&gt;"",'Inputs Whole-Project Water Use'!C328,""))</f>
        <v/>
      </c>
      <c r="D328" s="397" t="str">
        <f>IF('Inputs Whole-Project Water Use'!D328&lt;&gt;"",'Inputs Whole-Project Water Use'!D328,"")</f>
        <v/>
      </c>
      <c r="E328" s="398"/>
      <c r="F328" s="314" t="str">
        <f>IF('Inputs Whole-Project Water Use'!F328&lt;&gt;"",'Inputs Whole-Project Water Use'!F328,"")</f>
        <v/>
      </c>
      <c r="G328" s="314" t="str">
        <f>IF('Inputs Whole-Project Water Use'!G328&lt;&gt;"",'Inputs Whole-Project Water Use'!G328,"")</f>
        <v/>
      </c>
      <c r="H328" s="315" t="str">
        <f>IF('Inputs Whole-Project Water Use'!H328&lt;&gt;"",'Inputs Whole-Project Water Use'!H328,"")</f>
        <v/>
      </c>
      <c r="I328" s="390" t="str">
        <f t="shared" si="34"/>
        <v/>
      </c>
      <c r="J328" s="391"/>
      <c r="K328" s="316" t="str">
        <f>IF('Inputs Whole-Project Water Use'!K328&lt;&gt;"",'Inputs Whole-Project Water Use'!K328,"")</f>
        <v/>
      </c>
      <c r="L328" s="316" t="str">
        <f>IF('Inputs Whole-Project Water Use'!L328&lt;&gt;"",'Inputs Whole-Project Water Use'!L328,"")</f>
        <v/>
      </c>
      <c r="M328" s="390" t="str">
        <f t="shared" si="35"/>
        <v/>
      </c>
      <c r="N328" s="391"/>
      <c r="O328" s="225" t="str">
        <f t="shared" si="36"/>
        <v/>
      </c>
      <c r="P328" s="225" t="str">
        <f t="shared" si="37"/>
        <v/>
      </c>
      <c r="Q328" s="289" t="str">
        <f>IF(AND(D328&lt;&gt;"",'Inputs Whole-Project Water Use'!Q328=""),0,IF('Inputs Whole-Project Water Use'!Q328&lt;&gt;"",'Inputs Whole-Project Water Use'!Q328,""))</f>
        <v/>
      </c>
      <c r="R328" s="225" t="str">
        <f t="shared" si="38"/>
        <v/>
      </c>
      <c r="S328" s="225" t="str">
        <f t="shared" si="39"/>
        <v/>
      </c>
      <c r="T328" s="231" t="str">
        <f t="shared" si="40"/>
        <v/>
      </c>
      <c r="U328" s="241"/>
      <c r="V328" s="241"/>
      <c r="W328" s="241"/>
      <c r="X328" s="241"/>
      <c r="Y328" s="241"/>
      <c r="Z328" s="241"/>
      <c r="AA328" s="241"/>
      <c r="AB328" s="241"/>
      <c r="AC328" s="241"/>
      <c r="AD328" s="241"/>
      <c r="AE328" s="241"/>
      <c r="AF328" s="241"/>
      <c r="AG328" s="241"/>
      <c r="AH328" s="241"/>
      <c r="AI328" s="241"/>
      <c r="AJ328" s="241"/>
      <c r="AK328" s="241"/>
      <c r="AL328" s="241"/>
      <c r="AM328" s="241"/>
      <c r="AN328" s="241"/>
      <c r="AO328" s="241"/>
      <c r="AP328" s="241"/>
      <c r="AQ328" s="241"/>
      <c r="AR328" s="241"/>
      <c r="AS328" s="241"/>
      <c r="AT328" s="241"/>
      <c r="AU328" s="241"/>
      <c r="AV328" s="241"/>
      <c r="AW328" s="241"/>
      <c r="AX328" s="241"/>
      <c r="AY328" s="241"/>
      <c r="AZ328" s="241"/>
    </row>
    <row r="329" spans="1:52" s="71" customFormat="1" ht="18" hidden="1" customHeight="1" outlineLevel="2">
      <c r="A329" s="175">
        <v>59</v>
      </c>
      <c r="B329" s="312" t="str">
        <f>(IF('Inputs Whole-Project Water Use'!B329&lt;&gt;"",'Inputs Whole-Project Water Use'!B329,""))</f>
        <v/>
      </c>
      <c r="C329" s="313" t="str">
        <f>IF(AND(D329&lt;&gt;"",'Inputs Whole-Project Water Use'!C329=""),1,IF('Inputs Whole-Project Water Use'!C329&lt;&gt;"",'Inputs Whole-Project Water Use'!C329,""))</f>
        <v/>
      </c>
      <c r="D329" s="397" t="str">
        <f>IF('Inputs Whole-Project Water Use'!D329&lt;&gt;"",'Inputs Whole-Project Water Use'!D329,"")</f>
        <v/>
      </c>
      <c r="E329" s="398"/>
      <c r="F329" s="314" t="str">
        <f>IF('Inputs Whole-Project Water Use'!F329&lt;&gt;"",'Inputs Whole-Project Water Use'!F329,"")</f>
        <v/>
      </c>
      <c r="G329" s="314" t="str">
        <f>IF('Inputs Whole-Project Water Use'!G329&lt;&gt;"",'Inputs Whole-Project Water Use'!G329,"")</f>
        <v/>
      </c>
      <c r="H329" s="315" t="str">
        <f>IF('Inputs Whole-Project Water Use'!H329&lt;&gt;"",'Inputs Whole-Project Water Use'!H329,"")</f>
        <v/>
      </c>
      <c r="I329" s="390" t="str">
        <f t="shared" si="34"/>
        <v/>
      </c>
      <c r="J329" s="391"/>
      <c r="K329" s="316" t="str">
        <f>IF('Inputs Whole-Project Water Use'!K329&lt;&gt;"",'Inputs Whole-Project Water Use'!K329,"")</f>
        <v/>
      </c>
      <c r="L329" s="316" t="str">
        <f>IF('Inputs Whole-Project Water Use'!L329&lt;&gt;"",'Inputs Whole-Project Water Use'!L329,"")</f>
        <v/>
      </c>
      <c r="M329" s="390" t="str">
        <f t="shared" si="35"/>
        <v/>
      </c>
      <c r="N329" s="391"/>
      <c r="O329" s="225" t="str">
        <f t="shared" si="36"/>
        <v/>
      </c>
      <c r="P329" s="225" t="str">
        <f t="shared" si="37"/>
        <v/>
      </c>
      <c r="Q329" s="289" t="str">
        <f>IF(AND(D329&lt;&gt;"",'Inputs Whole-Project Water Use'!Q329=""),0,IF('Inputs Whole-Project Water Use'!Q329&lt;&gt;"",'Inputs Whole-Project Water Use'!Q329,""))</f>
        <v/>
      </c>
      <c r="R329" s="225" t="str">
        <f t="shared" si="38"/>
        <v/>
      </c>
      <c r="S329" s="225" t="str">
        <f t="shared" si="39"/>
        <v/>
      </c>
      <c r="T329" s="231" t="str">
        <f t="shared" si="40"/>
        <v/>
      </c>
      <c r="U329" s="241"/>
      <c r="V329" s="241"/>
      <c r="W329" s="241"/>
      <c r="X329" s="241"/>
      <c r="Y329" s="241"/>
      <c r="Z329" s="241"/>
      <c r="AA329" s="241"/>
      <c r="AB329" s="241"/>
      <c r="AC329" s="241"/>
      <c r="AD329" s="241"/>
      <c r="AE329" s="241"/>
      <c r="AF329" s="241"/>
      <c r="AG329" s="241"/>
      <c r="AH329" s="241"/>
      <c r="AI329" s="241"/>
      <c r="AJ329" s="241"/>
      <c r="AK329" s="241"/>
      <c r="AL329" s="241"/>
      <c r="AM329" s="241"/>
      <c r="AN329" s="241"/>
      <c r="AO329" s="241"/>
      <c r="AP329" s="241"/>
      <c r="AQ329" s="241"/>
      <c r="AR329" s="241"/>
      <c r="AS329" s="241"/>
      <c r="AT329" s="241"/>
      <c r="AU329" s="241"/>
      <c r="AV329" s="241"/>
      <c r="AW329" s="241"/>
      <c r="AX329" s="241"/>
      <c r="AY329" s="241"/>
      <c r="AZ329" s="241"/>
    </row>
    <row r="330" spans="1:52" s="71" customFormat="1" ht="18" hidden="1" customHeight="1" outlineLevel="2">
      <c r="A330" s="175">
        <v>60</v>
      </c>
      <c r="B330" s="312" t="str">
        <f>(IF('Inputs Whole-Project Water Use'!B330&lt;&gt;"",'Inputs Whole-Project Water Use'!B330,""))</f>
        <v/>
      </c>
      <c r="C330" s="313" t="str">
        <f>IF(AND(D330&lt;&gt;"",'Inputs Whole-Project Water Use'!C330=""),1,IF('Inputs Whole-Project Water Use'!C330&lt;&gt;"",'Inputs Whole-Project Water Use'!C330,""))</f>
        <v/>
      </c>
      <c r="D330" s="397" t="str">
        <f>IF('Inputs Whole-Project Water Use'!D330&lt;&gt;"",'Inputs Whole-Project Water Use'!D330,"")</f>
        <v/>
      </c>
      <c r="E330" s="398"/>
      <c r="F330" s="314" t="str">
        <f>IF('Inputs Whole-Project Water Use'!F330&lt;&gt;"",'Inputs Whole-Project Water Use'!F330,"")</f>
        <v/>
      </c>
      <c r="G330" s="314" t="str">
        <f>IF('Inputs Whole-Project Water Use'!G330&lt;&gt;"",'Inputs Whole-Project Water Use'!G330,"")</f>
        <v/>
      </c>
      <c r="H330" s="315" t="str">
        <f>IF('Inputs Whole-Project Water Use'!H330&lt;&gt;"",'Inputs Whole-Project Water Use'!H330,"")</f>
        <v/>
      </c>
      <c r="I330" s="390" t="str">
        <f t="shared" si="34"/>
        <v/>
      </c>
      <c r="J330" s="391"/>
      <c r="K330" s="316" t="str">
        <f>IF('Inputs Whole-Project Water Use'!K330&lt;&gt;"",'Inputs Whole-Project Water Use'!K330,"")</f>
        <v/>
      </c>
      <c r="L330" s="316" t="str">
        <f>IF('Inputs Whole-Project Water Use'!L330&lt;&gt;"",'Inputs Whole-Project Water Use'!L330,"")</f>
        <v/>
      </c>
      <c r="M330" s="390" t="str">
        <f t="shared" si="35"/>
        <v/>
      </c>
      <c r="N330" s="391"/>
      <c r="O330" s="225" t="str">
        <f t="shared" si="36"/>
        <v/>
      </c>
      <c r="P330" s="225" t="str">
        <f t="shared" si="37"/>
        <v/>
      </c>
      <c r="Q330" s="289" t="str">
        <f>IF(AND(D330&lt;&gt;"",'Inputs Whole-Project Water Use'!Q330=""),0,IF('Inputs Whole-Project Water Use'!Q330&lt;&gt;"",'Inputs Whole-Project Water Use'!Q330,""))</f>
        <v/>
      </c>
      <c r="R330" s="225" t="str">
        <f t="shared" si="38"/>
        <v/>
      </c>
      <c r="S330" s="225" t="str">
        <f t="shared" si="39"/>
        <v/>
      </c>
      <c r="T330" s="231" t="str">
        <f t="shared" si="40"/>
        <v/>
      </c>
      <c r="U330" s="241"/>
      <c r="V330" s="241"/>
      <c r="W330" s="241"/>
      <c r="X330" s="241"/>
      <c r="Y330" s="241"/>
      <c r="Z330" s="241"/>
      <c r="AA330" s="241"/>
      <c r="AB330" s="241"/>
      <c r="AC330" s="241"/>
      <c r="AD330" s="241"/>
      <c r="AE330" s="241"/>
      <c r="AF330" s="241"/>
      <c r="AG330" s="241"/>
      <c r="AH330" s="241"/>
      <c r="AI330" s="241"/>
      <c r="AJ330" s="241"/>
      <c r="AK330" s="241"/>
      <c r="AL330" s="241"/>
      <c r="AM330" s="241"/>
      <c r="AN330" s="241"/>
      <c r="AO330" s="241"/>
      <c r="AP330" s="241"/>
      <c r="AQ330" s="241"/>
      <c r="AR330" s="241"/>
      <c r="AS330" s="241"/>
      <c r="AT330" s="241"/>
      <c r="AU330" s="241"/>
      <c r="AV330" s="241"/>
      <c r="AW330" s="241"/>
      <c r="AX330" s="241"/>
      <c r="AY330" s="241"/>
      <c r="AZ330" s="241"/>
    </row>
    <row r="331" spans="1:52" s="71" customFormat="1" ht="18" hidden="1" customHeight="1" outlineLevel="2">
      <c r="A331" s="175">
        <v>61</v>
      </c>
      <c r="B331" s="312" t="str">
        <f>(IF('Inputs Whole-Project Water Use'!B331&lt;&gt;"",'Inputs Whole-Project Water Use'!B331,""))</f>
        <v/>
      </c>
      <c r="C331" s="313" t="str">
        <f>IF(AND(D331&lt;&gt;"",'Inputs Whole-Project Water Use'!C331=""),1,IF('Inputs Whole-Project Water Use'!C331&lt;&gt;"",'Inputs Whole-Project Water Use'!C331,""))</f>
        <v/>
      </c>
      <c r="D331" s="397" t="str">
        <f>IF('Inputs Whole-Project Water Use'!D331&lt;&gt;"",'Inputs Whole-Project Water Use'!D331,"")</f>
        <v/>
      </c>
      <c r="E331" s="398"/>
      <c r="F331" s="314" t="str">
        <f>IF('Inputs Whole-Project Water Use'!F331&lt;&gt;"",'Inputs Whole-Project Water Use'!F331,"")</f>
        <v/>
      </c>
      <c r="G331" s="314" t="str">
        <f>IF('Inputs Whole-Project Water Use'!G331&lt;&gt;"",'Inputs Whole-Project Water Use'!G331,"")</f>
        <v/>
      </c>
      <c r="H331" s="315" t="str">
        <f>IF('Inputs Whole-Project Water Use'!H331&lt;&gt;"",'Inputs Whole-Project Water Use'!H331,"")</f>
        <v/>
      </c>
      <c r="I331" s="390" t="str">
        <f t="shared" si="34"/>
        <v/>
      </c>
      <c r="J331" s="391"/>
      <c r="K331" s="316" t="str">
        <f>IF('Inputs Whole-Project Water Use'!K331&lt;&gt;"",'Inputs Whole-Project Water Use'!K331,"")</f>
        <v/>
      </c>
      <c r="L331" s="316" t="str">
        <f>IF('Inputs Whole-Project Water Use'!L331&lt;&gt;"",'Inputs Whole-Project Water Use'!L331,"")</f>
        <v/>
      </c>
      <c r="M331" s="390" t="str">
        <f t="shared" si="35"/>
        <v/>
      </c>
      <c r="N331" s="391"/>
      <c r="O331" s="225" t="str">
        <f t="shared" si="36"/>
        <v/>
      </c>
      <c r="P331" s="225" t="str">
        <f t="shared" si="37"/>
        <v/>
      </c>
      <c r="Q331" s="289" t="str">
        <f>IF(AND(D331&lt;&gt;"",'Inputs Whole-Project Water Use'!Q331=""),0,IF('Inputs Whole-Project Water Use'!Q331&lt;&gt;"",'Inputs Whole-Project Water Use'!Q331,""))</f>
        <v/>
      </c>
      <c r="R331" s="225" t="str">
        <f t="shared" si="38"/>
        <v/>
      </c>
      <c r="S331" s="225" t="str">
        <f t="shared" si="39"/>
        <v/>
      </c>
      <c r="T331" s="231" t="str">
        <f t="shared" si="40"/>
        <v/>
      </c>
      <c r="U331" s="241"/>
      <c r="V331" s="241"/>
      <c r="W331" s="241"/>
      <c r="X331" s="241"/>
      <c r="Y331" s="241"/>
      <c r="Z331" s="241"/>
      <c r="AA331" s="241"/>
      <c r="AB331" s="241"/>
      <c r="AC331" s="241"/>
      <c r="AD331" s="241"/>
      <c r="AE331" s="241"/>
      <c r="AF331" s="241"/>
      <c r="AG331" s="241"/>
      <c r="AH331" s="241"/>
      <c r="AI331" s="241"/>
      <c r="AJ331" s="241"/>
      <c r="AK331" s="241"/>
      <c r="AL331" s="241"/>
      <c r="AM331" s="241"/>
      <c r="AN331" s="241"/>
      <c r="AO331" s="241"/>
      <c r="AP331" s="241"/>
      <c r="AQ331" s="241"/>
      <c r="AR331" s="241"/>
      <c r="AS331" s="241"/>
      <c r="AT331" s="241"/>
      <c r="AU331" s="241"/>
      <c r="AV331" s="241"/>
      <c r="AW331" s="241"/>
      <c r="AX331" s="241"/>
      <c r="AY331" s="241"/>
      <c r="AZ331" s="241"/>
    </row>
    <row r="332" spans="1:52" s="71" customFormat="1" ht="18" hidden="1" customHeight="1" outlineLevel="2">
      <c r="A332" s="175">
        <v>62</v>
      </c>
      <c r="B332" s="312" t="str">
        <f>(IF('Inputs Whole-Project Water Use'!B332&lt;&gt;"",'Inputs Whole-Project Water Use'!B332,""))</f>
        <v/>
      </c>
      <c r="C332" s="313" t="str">
        <f>IF(AND(D332&lt;&gt;"",'Inputs Whole-Project Water Use'!C332=""),1,IF('Inputs Whole-Project Water Use'!C332&lt;&gt;"",'Inputs Whole-Project Water Use'!C332,""))</f>
        <v/>
      </c>
      <c r="D332" s="397" t="str">
        <f>IF('Inputs Whole-Project Water Use'!D332&lt;&gt;"",'Inputs Whole-Project Water Use'!D332,"")</f>
        <v/>
      </c>
      <c r="E332" s="398"/>
      <c r="F332" s="314" t="str">
        <f>IF('Inputs Whole-Project Water Use'!F332&lt;&gt;"",'Inputs Whole-Project Water Use'!F332,"")</f>
        <v/>
      </c>
      <c r="G332" s="314" t="str">
        <f>IF('Inputs Whole-Project Water Use'!G332&lt;&gt;"",'Inputs Whole-Project Water Use'!G332,"")</f>
        <v/>
      </c>
      <c r="H332" s="315" t="str">
        <f>IF('Inputs Whole-Project Water Use'!H332&lt;&gt;"",'Inputs Whole-Project Water Use'!H332,"")</f>
        <v/>
      </c>
      <c r="I332" s="390" t="str">
        <f t="shared" si="34"/>
        <v/>
      </c>
      <c r="J332" s="391"/>
      <c r="K332" s="316" t="str">
        <f>IF('Inputs Whole-Project Water Use'!K332&lt;&gt;"",'Inputs Whole-Project Water Use'!K332,"")</f>
        <v/>
      </c>
      <c r="L332" s="316" t="str">
        <f>IF('Inputs Whole-Project Water Use'!L332&lt;&gt;"",'Inputs Whole-Project Water Use'!L332,"")</f>
        <v/>
      </c>
      <c r="M332" s="390" t="str">
        <f t="shared" si="35"/>
        <v/>
      </c>
      <c r="N332" s="391"/>
      <c r="O332" s="225" t="str">
        <f t="shared" si="36"/>
        <v/>
      </c>
      <c r="P332" s="225" t="str">
        <f t="shared" si="37"/>
        <v/>
      </c>
      <c r="Q332" s="289" t="str">
        <f>IF(AND(D332&lt;&gt;"",'Inputs Whole-Project Water Use'!Q332=""),0,IF('Inputs Whole-Project Water Use'!Q332&lt;&gt;"",'Inputs Whole-Project Water Use'!Q332,""))</f>
        <v/>
      </c>
      <c r="R332" s="225" t="str">
        <f t="shared" si="38"/>
        <v/>
      </c>
      <c r="S332" s="225" t="str">
        <f t="shared" si="39"/>
        <v/>
      </c>
      <c r="T332" s="231" t="str">
        <f t="shared" si="40"/>
        <v/>
      </c>
      <c r="U332" s="241"/>
      <c r="V332" s="241"/>
      <c r="W332" s="241"/>
      <c r="X332" s="241"/>
      <c r="Y332" s="241"/>
      <c r="Z332" s="241"/>
      <c r="AA332" s="241"/>
      <c r="AB332" s="241"/>
      <c r="AC332" s="241"/>
      <c r="AD332" s="241"/>
      <c r="AE332" s="241"/>
      <c r="AF332" s="241"/>
      <c r="AG332" s="241"/>
      <c r="AH332" s="241"/>
      <c r="AI332" s="241"/>
      <c r="AJ332" s="241"/>
      <c r="AK332" s="241"/>
      <c r="AL332" s="241"/>
      <c r="AM332" s="241"/>
      <c r="AN332" s="241"/>
      <c r="AO332" s="241"/>
      <c r="AP332" s="241"/>
      <c r="AQ332" s="241"/>
      <c r="AR332" s="241"/>
      <c r="AS332" s="241"/>
      <c r="AT332" s="241"/>
      <c r="AU332" s="241"/>
      <c r="AV332" s="241"/>
      <c r="AW332" s="241"/>
      <c r="AX332" s="241"/>
      <c r="AY332" s="241"/>
      <c r="AZ332" s="241"/>
    </row>
    <row r="333" spans="1:52" s="71" customFormat="1" ht="18" hidden="1" customHeight="1" outlineLevel="2">
      <c r="A333" s="175">
        <v>63</v>
      </c>
      <c r="B333" s="312" t="str">
        <f>(IF('Inputs Whole-Project Water Use'!B333&lt;&gt;"",'Inputs Whole-Project Water Use'!B333,""))</f>
        <v/>
      </c>
      <c r="C333" s="313" t="str">
        <f>IF(AND(D333&lt;&gt;"",'Inputs Whole-Project Water Use'!C333=""),1,IF('Inputs Whole-Project Water Use'!C333&lt;&gt;"",'Inputs Whole-Project Water Use'!C333,""))</f>
        <v/>
      </c>
      <c r="D333" s="397" t="str">
        <f>IF('Inputs Whole-Project Water Use'!D333&lt;&gt;"",'Inputs Whole-Project Water Use'!D333,"")</f>
        <v/>
      </c>
      <c r="E333" s="398"/>
      <c r="F333" s="314" t="str">
        <f>IF('Inputs Whole-Project Water Use'!F333&lt;&gt;"",'Inputs Whole-Project Water Use'!F333,"")</f>
        <v/>
      </c>
      <c r="G333" s="314" t="str">
        <f>IF('Inputs Whole-Project Water Use'!G333&lt;&gt;"",'Inputs Whole-Project Water Use'!G333,"")</f>
        <v/>
      </c>
      <c r="H333" s="315" t="str">
        <f>IF('Inputs Whole-Project Water Use'!H333&lt;&gt;"",'Inputs Whole-Project Water Use'!H333,"")</f>
        <v/>
      </c>
      <c r="I333" s="390" t="str">
        <f t="shared" si="34"/>
        <v/>
      </c>
      <c r="J333" s="391"/>
      <c r="K333" s="316" t="str">
        <f>IF('Inputs Whole-Project Water Use'!K333&lt;&gt;"",'Inputs Whole-Project Water Use'!K333,"")</f>
        <v/>
      </c>
      <c r="L333" s="316" t="str">
        <f>IF('Inputs Whole-Project Water Use'!L333&lt;&gt;"",'Inputs Whole-Project Water Use'!L333,"")</f>
        <v/>
      </c>
      <c r="M333" s="390" t="str">
        <f t="shared" si="35"/>
        <v/>
      </c>
      <c r="N333" s="391"/>
      <c r="O333" s="225" t="str">
        <f t="shared" si="36"/>
        <v/>
      </c>
      <c r="P333" s="225" t="str">
        <f t="shared" si="37"/>
        <v/>
      </c>
      <c r="Q333" s="289" t="str">
        <f>IF(AND(D333&lt;&gt;"",'Inputs Whole-Project Water Use'!Q333=""),0,IF('Inputs Whole-Project Water Use'!Q333&lt;&gt;"",'Inputs Whole-Project Water Use'!Q333,""))</f>
        <v/>
      </c>
      <c r="R333" s="225" t="str">
        <f t="shared" si="38"/>
        <v/>
      </c>
      <c r="S333" s="225" t="str">
        <f t="shared" si="39"/>
        <v/>
      </c>
      <c r="T333" s="231" t="str">
        <f t="shared" si="40"/>
        <v/>
      </c>
      <c r="U333" s="241"/>
      <c r="V333" s="241"/>
      <c r="W333" s="241"/>
      <c r="X333" s="241"/>
      <c r="Y333" s="241"/>
      <c r="Z333" s="241"/>
      <c r="AA333" s="241"/>
      <c r="AB333" s="241"/>
      <c r="AC333" s="241"/>
      <c r="AD333" s="241"/>
      <c r="AE333" s="241"/>
      <c r="AF333" s="241"/>
      <c r="AG333" s="241"/>
      <c r="AH333" s="241"/>
      <c r="AI333" s="241"/>
      <c r="AJ333" s="241"/>
      <c r="AK333" s="241"/>
      <c r="AL333" s="241"/>
      <c r="AM333" s="241"/>
      <c r="AN333" s="241"/>
      <c r="AO333" s="241"/>
      <c r="AP333" s="241"/>
      <c r="AQ333" s="241"/>
      <c r="AR333" s="241"/>
      <c r="AS333" s="241"/>
      <c r="AT333" s="241"/>
      <c r="AU333" s="241"/>
      <c r="AV333" s="241"/>
      <c r="AW333" s="241"/>
      <c r="AX333" s="241"/>
      <c r="AY333" s="241"/>
      <c r="AZ333" s="241"/>
    </row>
    <row r="334" spans="1:52" s="71" customFormat="1" ht="18" hidden="1" customHeight="1" outlineLevel="2">
      <c r="A334" s="175">
        <v>64</v>
      </c>
      <c r="B334" s="312" t="str">
        <f>(IF('Inputs Whole-Project Water Use'!B334&lt;&gt;"",'Inputs Whole-Project Water Use'!B334,""))</f>
        <v/>
      </c>
      <c r="C334" s="313" t="str">
        <f>IF(AND(D334&lt;&gt;"",'Inputs Whole-Project Water Use'!C334=""),1,IF('Inputs Whole-Project Water Use'!C334&lt;&gt;"",'Inputs Whole-Project Water Use'!C334,""))</f>
        <v/>
      </c>
      <c r="D334" s="397" t="str">
        <f>IF('Inputs Whole-Project Water Use'!D334&lt;&gt;"",'Inputs Whole-Project Water Use'!D334,"")</f>
        <v/>
      </c>
      <c r="E334" s="398"/>
      <c r="F334" s="314" t="str">
        <f>IF('Inputs Whole-Project Water Use'!F334&lt;&gt;"",'Inputs Whole-Project Water Use'!F334,"")</f>
        <v/>
      </c>
      <c r="G334" s="314" t="str">
        <f>IF('Inputs Whole-Project Water Use'!G334&lt;&gt;"",'Inputs Whole-Project Water Use'!G334,"")</f>
        <v/>
      </c>
      <c r="H334" s="315" t="str">
        <f>IF('Inputs Whole-Project Water Use'!H334&lt;&gt;"",'Inputs Whole-Project Water Use'!H334,"")</f>
        <v/>
      </c>
      <c r="I334" s="390" t="str">
        <f t="shared" si="34"/>
        <v/>
      </c>
      <c r="J334" s="391"/>
      <c r="K334" s="316" t="str">
        <f>IF('Inputs Whole-Project Water Use'!K334&lt;&gt;"",'Inputs Whole-Project Water Use'!K334,"")</f>
        <v/>
      </c>
      <c r="L334" s="316" t="str">
        <f>IF('Inputs Whole-Project Water Use'!L334&lt;&gt;"",'Inputs Whole-Project Water Use'!L334,"")</f>
        <v/>
      </c>
      <c r="M334" s="390" t="str">
        <f t="shared" si="35"/>
        <v/>
      </c>
      <c r="N334" s="391"/>
      <c r="O334" s="225" t="str">
        <f t="shared" si="36"/>
        <v/>
      </c>
      <c r="P334" s="225" t="str">
        <f t="shared" si="37"/>
        <v/>
      </c>
      <c r="Q334" s="289" t="str">
        <f>IF(AND(D334&lt;&gt;"",'Inputs Whole-Project Water Use'!Q334=""),0,IF('Inputs Whole-Project Water Use'!Q334&lt;&gt;"",'Inputs Whole-Project Water Use'!Q334,""))</f>
        <v/>
      </c>
      <c r="R334" s="225" t="str">
        <f t="shared" si="38"/>
        <v/>
      </c>
      <c r="S334" s="225" t="str">
        <f t="shared" si="39"/>
        <v/>
      </c>
      <c r="T334" s="231" t="str">
        <f t="shared" si="40"/>
        <v/>
      </c>
      <c r="U334" s="241"/>
      <c r="V334" s="241"/>
      <c r="W334" s="241"/>
      <c r="X334" s="241"/>
      <c r="Y334" s="241"/>
      <c r="Z334" s="241"/>
      <c r="AA334" s="241"/>
      <c r="AB334" s="241"/>
      <c r="AC334" s="241"/>
      <c r="AD334" s="241"/>
      <c r="AE334" s="241"/>
      <c r="AF334" s="241"/>
      <c r="AG334" s="241"/>
      <c r="AH334" s="241"/>
      <c r="AI334" s="241"/>
      <c r="AJ334" s="241"/>
      <c r="AK334" s="241"/>
      <c r="AL334" s="241"/>
      <c r="AM334" s="241"/>
      <c r="AN334" s="241"/>
      <c r="AO334" s="241"/>
      <c r="AP334" s="241"/>
      <c r="AQ334" s="241"/>
      <c r="AR334" s="241"/>
      <c r="AS334" s="241"/>
      <c r="AT334" s="241"/>
      <c r="AU334" s="241"/>
      <c r="AV334" s="241"/>
      <c r="AW334" s="241"/>
      <c r="AX334" s="241"/>
      <c r="AY334" s="241"/>
      <c r="AZ334" s="241"/>
    </row>
    <row r="335" spans="1:52" s="71" customFormat="1" ht="18" hidden="1" customHeight="1" outlineLevel="2">
      <c r="A335" s="175">
        <v>65</v>
      </c>
      <c r="B335" s="312" t="str">
        <f>(IF('Inputs Whole-Project Water Use'!B335&lt;&gt;"",'Inputs Whole-Project Water Use'!B335,""))</f>
        <v/>
      </c>
      <c r="C335" s="313" t="str">
        <f>IF(AND(D335&lt;&gt;"",'Inputs Whole-Project Water Use'!C335=""),1,IF('Inputs Whole-Project Water Use'!C335&lt;&gt;"",'Inputs Whole-Project Water Use'!C335,""))</f>
        <v/>
      </c>
      <c r="D335" s="397" t="str">
        <f>IF('Inputs Whole-Project Water Use'!D335&lt;&gt;"",'Inputs Whole-Project Water Use'!D335,"")</f>
        <v/>
      </c>
      <c r="E335" s="398"/>
      <c r="F335" s="314" t="str">
        <f>IF('Inputs Whole-Project Water Use'!F335&lt;&gt;"",'Inputs Whole-Project Water Use'!F335,"")</f>
        <v/>
      </c>
      <c r="G335" s="314" t="str">
        <f>IF('Inputs Whole-Project Water Use'!G335&lt;&gt;"",'Inputs Whole-Project Water Use'!G335,"")</f>
        <v/>
      </c>
      <c r="H335" s="315" t="str">
        <f>IF('Inputs Whole-Project Water Use'!H335&lt;&gt;"",'Inputs Whole-Project Water Use'!H335,"")</f>
        <v/>
      </c>
      <c r="I335" s="390" t="str">
        <f t="shared" ref="I335:I380" si="41">IFERROR(IF(logic_units&lt;&gt;"SI Units",INDEX(data_dumip,MATCH($D335,data_waterusetypes,0)),INDEX(data_dumsi,MATCH($D335,data_waterusetypes,0))),"")</f>
        <v/>
      </c>
      <c r="J335" s="391"/>
      <c r="K335" s="316" t="str">
        <f>IF('Inputs Whole-Project Water Use'!K335&lt;&gt;"",'Inputs Whole-Project Water Use'!K335,"")</f>
        <v/>
      </c>
      <c r="L335" s="316" t="str">
        <f>IF('Inputs Whole-Project Water Use'!L335&lt;&gt;"",'Inputs Whole-Project Water Use'!L335,"")</f>
        <v/>
      </c>
      <c r="M335" s="390" t="str">
        <f t="shared" ref="M335:M380" si="42">IFERROR(IF(logic_units&lt;&gt;"SI Units",INDEX(data_wurip,MATCH($D335,data_waterusetypes,0)),INDEX(data_wursi,MATCH($D335,data_waterusetypes,0))),"")</f>
        <v/>
      </c>
      <c r="N335" s="391"/>
      <c r="O335" s="225" t="str">
        <f t="shared" si="36"/>
        <v/>
      </c>
      <c r="P335" s="225" t="str">
        <f t="shared" si="37"/>
        <v/>
      </c>
      <c r="Q335" s="289" t="str">
        <f>IF(AND(D335&lt;&gt;"",'Inputs Whole-Project Water Use'!Q335=""),0,IF('Inputs Whole-Project Water Use'!Q335&lt;&gt;"",'Inputs Whole-Project Water Use'!Q335,""))</f>
        <v/>
      </c>
      <c r="R335" s="225" t="str">
        <f t="shared" si="38"/>
        <v/>
      </c>
      <c r="S335" s="225" t="str">
        <f t="shared" si="39"/>
        <v/>
      </c>
      <c r="T335" s="231" t="str">
        <f t="shared" si="40"/>
        <v/>
      </c>
      <c r="U335" s="241"/>
      <c r="V335" s="241"/>
      <c r="W335" s="241"/>
      <c r="X335" s="241"/>
      <c r="Y335" s="241"/>
      <c r="Z335" s="241"/>
      <c r="AA335" s="241"/>
      <c r="AB335" s="241"/>
      <c r="AC335" s="241"/>
      <c r="AD335" s="241"/>
      <c r="AE335" s="241"/>
      <c r="AF335" s="241"/>
      <c r="AG335" s="241"/>
      <c r="AH335" s="241"/>
      <c r="AI335" s="241"/>
      <c r="AJ335" s="241"/>
      <c r="AK335" s="241"/>
      <c r="AL335" s="241"/>
      <c r="AM335" s="241"/>
      <c r="AN335" s="241"/>
      <c r="AO335" s="241"/>
      <c r="AP335" s="241"/>
      <c r="AQ335" s="241"/>
      <c r="AR335" s="241"/>
      <c r="AS335" s="241"/>
      <c r="AT335" s="241"/>
      <c r="AU335" s="241"/>
      <c r="AV335" s="241"/>
      <c r="AW335" s="241"/>
      <c r="AX335" s="241"/>
      <c r="AY335" s="241"/>
      <c r="AZ335" s="241"/>
    </row>
    <row r="336" spans="1:52" s="71" customFormat="1" ht="18" hidden="1" customHeight="1" outlineLevel="2">
      <c r="A336" s="175">
        <v>66</v>
      </c>
      <c r="B336" s="312" t="str">
        <f>(IF('Inputs Whole-Project Water Use'!B336&lt;&gt;"",'Inputs Whole-Project Water Use'!B336,""))</f>
        <v/>
      </c>
      <c r="C336" s="313" t="str">
        <f>IF(AND(D336&lt;&gt;"",'Inputs Whole-Project Water Use'!C336=""),1,IF('Inputs Whole-Project Water Use'!C336&lt;&gt;"",'Inputs Whole-Project Water Use'!C336,""))</f>
        <v/>
      </c>
      <c r="D336" s="397" t="str">
        <f>IF('Inputs Whole-Project Water Use'!D336&lt;&gt;"",'Inputs Whole-Project Water Use'!D336,"")</f>
        <v/>
      </c>
      <c r="E336" s="398"/>
      <c r="F336" s="314" t="str">
        <f>IF('Inputs Whole-Project Water Use'!F336&lt;&gt;"",'Inputs Whole-Project Water Use'!F336,"")</f>
        <v/>
      </c>
      <c r="G336" s="314" t="str">
        <f>IF('Inputs Whole-Project Water Use'!G336&lt;&gt;"",'Inputs Whole-Project Water Use'!G336,"")</f>
        <v/>
      </c>
      <c r="H336" s="315" t="str">
        <f>IF('Inputs Whole-Project Water Use'!H336&lt;&gt;"",'Inputs Whole-Project Water Use'!H336,"")</f>
        <v/>
      </c>
      <c r="I336" s="390" t="str">
        <f t="shared" si="41"/>
        <v/>
      </c>
      <c r="J336" s="391"/>
      <c r="K336" s="316" t="str">
        <f>IF('Inputs Whole-Project Water Use'!K336&lt;&gt;"",'Inputs Whole-Project Water Use'!K336,"")</f>
        <v/>
      </c>
      <c r="L336" s="316" t="str">
        <f>IF('Inputs Whole-Project Water Use'!L336&lt;&gt;"",'Inputs Whole-Project Water Use'!L336,"")</f>
        <v/>
      </c>
      <c r="M336" s="390" t="str">
        <f t="shared" si="42"/>
        <v/>
      </c>
      <c r="N336" s="391"/>
      <c r="O336" s="225" t="str">
        <f t="shared" ref="O336:O380" si="43">IFERROR(IF(OR($F336&lt;&gt;"",$G336&lt;&gt;"",$H336&lt;&gt;"",K336&lt;&gt;""),$C336*$F336*$G336*$H336*K336,""),"")</f>
        <v/>
      </c>
      <c r="P336" s="225" t="str">
        <f t="shared" ref="P336:P380" si="44">IFERROR(IF(OR($F336&lt;&gt;"",$G336&lt;&gt;"",$H336&lt;&gt;"",L336&lt;&gt;""),$C336*$F336*$G336*$H336*L336,""),"")</f>
        <v/>
      </c>
      <c r="Q336" s="289" t="str">
        <f>IF(AND(D336&lt;&gt;"",'Inputs Whole-Project Water Use'!Q336=""),0,IF('Inputs Whole-Project Water Use'!Q336&lt;&gt;"",'Inputs Whole-Project Water Use'!Q336,""))</f>
        <v/>
      </c>
      <c r="R336" s="225" t="str">
        <f t="shared" ref="R336:R380" si="45">IFERROR(IF(P336&lt;&gt;"",(P336-Q336),""),"")</f>
        <v/>
      </c>
      <c r="S336" s="225" t="str">
        <f t="shared" ref="S336:S380" si="46">IFERROR(IF(OR(O336&lt;&gt;"",P336&lt;&gt;""),O336-R336,""),"")</f>
        <v/>
      </c>
      <c r="T336" s="231" t="str">
        <f t="shared" ref="T336:T380" si="47">IFERROR(S336/O336,"")</f>
        <v/>
      </c>
      <c r="U336" s="241"/>
      <c r="V336" s="241"/>
      <c r="W336" s="241"/>
      <c r="X336" s="241"/>
      <c r="Y336" s="241"/>
      <c r="Z336" s="241"/>
      <c r="AA336" s="241"/>
      <c r="AB336" s="241"/>
      <c r="AC336" s="241"/>
      <c r="AD336" s="241"/>
      <c r="AE336" s="241"/>
      <c r="AF336" s="241"/>
      <c r="AG336" s="241"/>
      <c r="AH336" s="241"/>
      <c r="AI336" s="241"/>
      <c r="AJ336" s="241"/>
      <c r="AK336" s="241"/>
      <c r="AL336" s="241"/>
      <c r="AM336" s="241"/>
      <c r="AN336" s="241"/>
      <c r="AO336" s="241"/>
      <c r="AP336" s="241"/>
      <c r="AQ336" s="241"/>
      <c r="AR336" s="241"/>
      <c r="AS336" s="241"/>
      <c r="AT336" s="241"/>
      <c r="AU336" s="241"/>
      <c r="AV336" s="241"/>
      <c r="AW336" s="241"/>
      <c r="AX336" s="241"/>
      <c r="AY336" s="241"/>
      <c r="AZ336" s="241"/>
    </row>
    <row r="337" spans="1:52" s="71" customFormat="1" ht="18" hidden="1" customHeight="1" outlineLevel="2">
      <c r="A337" s="175">
        <v>67</v>
      </c>
      <c r="B337" s="312" t="str">
        <f>(IF('Inputs Whole-Project Water Use'!B337&lt;&gt;"",'Inputs Whole-Project Water Use'!B337,""))</f>
        <v/>
      </c>
      <c r="C337" s="313" t="str">
        <f>IF(AND(D337&lt;&gt;"",'Inputs Whole-Project Water Use'!C337=""),1,IF('Inputs Whole-Project Water Use'!C337&lt;&gt;"",'Inputs Whole-Project Water Use'!C337,""))</f>
        <v/>
      </c>
      <c r="D337" s="397" t="str">
        <f>IF('Inputs Whole-Project Water Use'!D337&lt;&gt;"",'Inputs Whole-Project Water Use'!D337,"")</f>
        <v/>
      </c>
      <c r="E337" s="398"/>
      <c r="F337" s="314" t="str">
        <f>IF('Inputs Whole-Project Water Use'!F337&lt;&gt;"",'Inputs Whole-Project Water Use'!F337,"")</f>
        <v/>
      </c>
      <c r="G337" s="314" t="str">
        <f>IF('Inputs Whole-Project Water Use'!G337&lt;&gt;"",'Inputs Whole-Project Water Use'!G337,"")</f>
        <v/>
      </c>
      <c r="H337" s="315" t="str">
        <f>IF('Inputs Whole-Project Water Use'!H337&lt;&gt;"",'Inputs Whole-Project Water Use'!H337,"")</f>
        <v/>
      </c>
      <c r="I337" s="390" t="str">
        <f t="shared" si="41"/>
        <v/>
      </c>
      <c r="J337" s="391"/>
      <c r="K337" s="316" t="str">
        <f>IF('Inputs Whole-Project Water Use'!K337&lt;&gt;"",'Inputs Whole-Project Water Use'!K337,"")</f>
        <v/>
      </c>
      <c r="L337" s="316" t="str">
        <f>IF('Inputs Whole-Project Water Use'!L337&lt;&gt;"",'Inputs Whole-Project Water Use'!L337,"")</f>
        <v/>
      </c>
      <c r="M337" s="390" t="str">
        <f t="shared" si="42"/>
        <v/>
      </c>
      <c r="N337" s="391"/>
      <c r="O337" s="225" t="str">
        <f t="shared" si="43"/>
        <v/>
      </c>
      <c r="P337" s="225" t="str">
        <f t="shared" si="44"/>
        <v/>
      </c>
      <c r="Q337" s="289" t="str">
        <f>IF(AND(D337&lt;&gt;"",'Inputs Whole-Project Water Use'!Q337=""),0,IF('Inputs Whole-Project Water Use'!Q337&lt;&gt;"",'Inputs Whole-Project Water Use'!Q337,""))</f>
        <v/>
      </c>
      <c r="R337" s="225" t="str">
        <f t="shared" si="45"/>
        <v/>
      </c>
      <c r="S337" s="225" t="str">
        <f t="shared" si="46"/>
        <v/>
      </c>
      <c r="T337" s="231" t="str">
        <f t="shared" si="47"/>
        <v/>
      </c>
      <c r="U337" s="241"/>
      <c r="V337" s="241"/>
      <c r="W337" s="241"/>
      <c r="X337" s="241"/>
      <c r="Y337" s="241"/>
      <c r="Z337" s="241"/>
      <c r="AA337" s="241"/>
      <c r="AB337" s="241"/>
      <c r="AC337" s="241"/>
      <c r="AD337" s="241"/>
      <c r="AE337" s="241"/>
      <c r="AF337" s="241"/>
      <c r="AG337" s="241"/>
      <c r="AH337" s="241"/>
      <c r="AI337" s="241"/>
      <c r="AJ337" s="241"/>
      <c r="AK337" s="241"/>
      <c r="AL337" s="241"/>
      <c r="AM337" s="241"/>
      <c r="AN337" s="241"/>
      <c r="AO337" s="241"/>
      <c r="AP337" s="241"/>
      <c r="AQ337" s="241"/>
      <c r="AR337" s="241"/>
      <c r="AS337" s="241"/>
      <c r="AT337" s="241"/>
      <c r="AU337" s="241"/>
      <c r="AV337" s="241"/>
      <c r="AW337" s="241"/>
      <c r="AX337" s="241"/>
      <c r="AY337" s="241"/>
      <c r="AZ337" s="241"/>
    </row>
    <row r="338" spans="1:52" s="71" customFormat="1" ht="18" hidden="1" customHeight="1" outlineLevel="2">
      <c r="A338" s="175">
        <v>68</v>
      </c>
      <c r="B338" s="312" t="str">
        <f>(IF('Inputs Whole-Project Water Use'!B338&lt;&gt;"",'Inputs Whole-Project Water Use'!B338,""))</f>
        <v/>
      </c>
      <c r="C338" s="313" t="str">
        <f>IF(AND(D338&lt;&gt;"",'Inputs Whole-Project Water Use'!C338=""),1,IF('Inputs Whole-Project Water Use'!C338&lt;&gt;"",'Inputs Whole-Project Water Use'!C338,""))</f>
        <v/>
      </c>
      <c r="D338" s="397" t="str">
        <f>IF('Inputs Whole-Project Water Use'!D338&lt;&gt;"",'Inputs Whole-Project Water Use'!D338,"")</f>
        <v/>
      </c>
      <c r="E338" s="398"/>
      <c r="F338" s="314" t="str">
        <f>IF('Inputs Whole-Project Water Use'!F338&lt;&gt;"",'Inputs Whole-Project Water Use'!F338,"")</f>
        <v/>
      </c>
      <c r="G338" s="314" t="str">
        <f>IF('Inputs Whole-Project Water Use'!G338&lt;&gt;"",'Inputs Whole-Project Water Use'!G338,"")</f>
        <v/>
      </c>
      <c r="H338" s="315" t="str">
        <f>IF('Inputs Whole-Project Water Use'!H338&lt;&gt;"",'Inputs Whole-Project Water Use'!H338,"")</f>
        <v/>
      </c>
      <c r="I338" s="390" t="str">
        <f t="shared" si="41"/>
        <v/>
      </c>
      <c r="J338" s="391"/>
      <c r="K338" s="316" t="str">
        <f>IF('Inputs Whole-Project Water Use'!K338&lt;&gt;"",'Inputs Whole-Project Water Use'!K338,"")</f>
        <v/>
      </c>
      <c r="L338" s="316" t="str">
        <f>IF('Inputs Whole-Project Water Use'!L338&lt;&gt;"",'Inputs Whole-Project Water Use'!L338,"")</f>
        <v/>
      </c>
      <c r="M338" s="390" t="str">
        <f t="shared" si="42"/>
        <v/>
      </c>
      <c r="N338" s="391"/>
      <c r="O338" s="225" t="str">
        <f t="shared" si="43"/>
        <v/>
      </c>
      <c r="P338" s="225" t="str">
        <f t="shared" si="44"/>
        <v/>
      </c>
      <c r="Q338" s="289" t="str">
        <f>IF(AND(D338&lt;&gt;"",'Inputs Whole-Project Water Use'!Q338=""),0,IF('Inputs Whole-Project Water Use'!Q338&lt;&gt;"",'Inputs Whole-Project Water Use'!Q338,""))</f>
        <v/>
      </c>
      <c r="R338" s="225" t="str">
        <f t="shared" si="45"/>
        <v/>
      </c>
      <c r="S338" s="225" t="str">
        <f t="shared" si="46"/>
        <v/>
      </c>
      <c r="T338" s="231" t="str">
        <f t="shared" si="47"/>
        <v/>
      </c>
      <c r="U338" s="241"/>
      <c r="V338" s="241"/>
      <c r="W338" s="241"/>
      <c r="X338" s="241"/>
      <c r="Y338" s="241"/>
      <c r="Z338" s="241"/>
      <c r="AA338" s="241"/>
      <c r="AB338" s="241"/>
      <c r="AC338" s="241"/>
      <c r="AD338" s="241"/>
      <c r="AE338" s="241"/>
      <c r="AF338" s="241"/>
      <c r="AG338" s="241"/>
      <c r="AH338" s="241"/>
      <c r="AI338" s="241"/>
      <c r="AJ338" s="241"/>
      <c r="AK338" s="241"/>
      <c r="AL338" s="241"/>
      <c r="AM338" s="241"/>
      <c r="AN338" s="241"/>
      <c r="AO338" s="241"/>
      <c r="AP338" s="241"/>
      <c r="AQ338" s="241"/>
      <c r="AR338" s="241"/>
      <c r="AS338" s="241"/>
      <c r="AT338" s="241"/>
      <c r="AU338" s="241"/>
      <c r="AV338" s="241"/>
      <c r="AW338" s="241"/>
      <c r="AX338" s="241"/>
      <c r="AY338" s="241"/>
      <c r="AZ338" s="241"/>
    </row>
    <row r="339" spans="1:52" s="71" customFormat="1" ht="18" hidden="1" customHeight="1" outlineLevel="2">
      <c r="A339" s="175">
        <v>69</v>
      </c>
      <c r="B339" s="312" t="str">
        <f>(IF('Inputs Whole-Project Water Use'!B339&lt;&gt;"",'Inputs Whole-Project Water Use'!B339,""))</f>
        <v/>
      </c>
      <c r="C339" s="313" t="str">
        <f>IF(AND(D339&lt;&gt;"",'Inputs Whole-Project Water Use'!C339=""),1,IF('Inputs Whole-Project Water Use'!C339&lt;&gt;"",'Inputs Whole-Project Water Use'!C339,""))</f>
        <v/>
      </c>
      <c r="D339" s="397" t="str">
        <f>IF('Inputs Whole-Project Water Use'!D339&lt;&gt;"",'Inputs Whole-Project Water Use'!D339,"")</f>
        <v/>
      </c>
      <c r="E339" s="398"/>
      <c r="F339" s="314" t="str">
        <f>IF('Inputs Whole-Project Water Use'!F339&lt;&gt;"",'Inputs Whole-Project Water Use'!F339,"")</f>
        <v/>
      </c>
      <c r="G339" s="314" t="str">
        <f>IF('Inputs Whole-Project Water Use'!G339&lt;&gt;"",'Inputs Whole-Project Water Use'!G339,"")</f>
        <v/>
      </c>
      <c r="H339" s="315" t="str">
        <f>IF('Inputs Whole-Project Water Use'!H339&lt;&gt;"",'Inputs Whole-Project Water Use'!H339,"")</f>
        <v/>
      </c>
      <c r="I339" s="390" t="str">
        <f t="shared" si="41"/>
        <v/>
      </c>
      <c r="J339" s="391"/>
      <c r="K339" s="316" t="str">
        <f>IF('Inputs Whole-Project Water Use'!K339&lt;&gt;"",'Inputs Whole-Project Water Use'!K339,"")</f>
        <v/>
      </c>
      <c r="L339" s="316" t="str">
        <f>IF('Inputs Whole-Project Water Use'!L339&lt;&gt;"",'Inputs Whole-Project Water Use'!L339,"")</f>
        <v/>
      </c>
      <c r="M339" s="390" t="str">
        <f t="shared" si="42"/>
        <v/>
      </c>
      <c r="N339" s="391"/>
      <c r="O339" s="225" t="str">
        <f t="shared" si="43"/>
        <v/>
      </c>
      <c r="P339" s="225" t="str">
        <f t="shared" si="44"/>
        <v/>
      </c>
      <c r="Q339" s="289" t="str">
        <f>IF(AND(D339&lt;&gt;"",'Inputs Whole-Project Water Use'!Q339=""),0,IF('Inputs Whole-Project Water Use'!Q339&lt;&gt;"",'Inputs Whole-Project Water Use'!Q339,""))</f>
        <v/>
      </c>
      <c r="R339" s="225" t="str">
        <f t="shared" si="45"/>
        <v/>
      </c>
      <c r="S339" s="225" t="str">
        <f t="shared" si="46"/>
        <v/>
      </c>
      <c r="T339" s="231" t="str">
        <f t="shared" si="47"/>
        <v/>
      </c>
      <c r="U339" s="241"/>
      <c r="V339" s="241"/>
      <c r="W339" s="241"/>
      <c r="X339" s="241"/>
      <c r="Y339" s="241"/>
      <c r="Z339" s="241"/>
      <c r="AA339" s="241"/>
      <c r="AB339" s="241"/>
      <c r="AC339" s="241"/>
      <c r="AD339" s="241"/>
      <c r="AE339" s="241"/>
      <c r="AF339" s="241"/>
      <c r="AG339" s="241"/>
      <c r="AH339" s="241"/>
      <c r="AI339" s="241"/>
      <c r="AJ339" s="241"/>
      <c r="AK339" s="241"/>
      <c r="AL339" s="241"/>
      <c r="AM339" s="241"/>
      <c r="AN339" s="241"/>
      <c r="AO339" s="241"/>
      <c r="AP339" s="241"/>
      <c r="AQ339" s="241"/>
      <c r="AR339" s="241"/>
      <c r="AS339" s="241"/>
      <c r="AT339" s="241"/>
      <c r="AU339" s="241"/>
      <c r="AV339" s="241"/>
      <c r="AW339" s="241"/>
      <c r="AX339" s="241"/>
      <c r="AY339" s="241"/>
      <c r="AZ339" s="241"/>
    </row>
    <row r="340" spans="1:52" s="71" customFormat="1" ht="18" hidden="1" customHeight="1" outlineLevel="2">
      <c r="A340" s="175">
        <v>70</v>
      </c>
      <c r="B340" s="312" t="str">
        <f>(IF('Inputs Whole-Project Water Use'!B340&lt;&gt;"",'Inputs Whole-Project Water Use'!B340,""))</f>
        <v/>
      </c>
      <c r="C340" s="313" t="str">
        <f>IF(AND(D340&lt;&gt;"",'Inputs Whole-Project Water Use'!C340=""),1,IF('Inputs Whole-Project Water Use'!C340&lt;&gt;"",'Inputs Whole-Project Water Use'!C340,""))</f>
        <v/>
      </c>
      <c r="D340" s="397" t="str">
        <f>IF('Inputs Whole-Project Water Use'!D340&lt;&gt;"",'Inputs Whole-Project Water Use'!D340,"")</f>
        <v/>
      </c>
      <c r="E340" s="398"/>
      <c r="F340" s="314" t="str">
        <f>IF('Inputs Whole-Project Water Use'!F340&lt;&gt;"",'Inputs Whole-Project Water Use'!F340,"")</f>
        <v/>
      </c>
      <c r="G340" s="314" t="str">
        <f>IF('Inputs Whole-Project Water Use'!G340&lt;&gt;"",'Inputs Whole-Project Water Use'!G340,"")</f>
        <v/>
      </c>
      <c r="H340" s="315" t="str">
        <f>IF('Inputs Whole-Project Water Use'!H340&lt;&gt;"",'Inputs Whole-Project Water Use'!H340,"")</f>
        <v/>
      </c>
      <c r="I340" s="390" t="str">
        <f t="shared" si="41"/>
        <v/>
      </c>
      <c r="J340" s="391"/>
      <c r="K340" s="316" t="str">
        <f>IF('Inputs Whole-Project Water Use'!K340&lt;&gt;"",'Inputs Whole-Project Water Use'!K340,"")</f>
        <v/>
      </c>
      <c r="L340" s="316" t="str">
        <f>IF('Inputs Whole-Project Water Use'!L340&lt;&gt;"",'Inputs Whole-Project Water Use'!L340,"")</f>
        <v/>
      </c>
      <c r="M340" s="390" t="str">
        <f t="shared" si="42"/>
        <v/>
      </c>
      <c r="N340" s="391"/>
      <c r="O340" s="225" t="str">
        <f t="shared" si="43"/>
        <v/>
      </c>
      <c r="P340" s="225" t="str">
        <f t="shared" si="44"/>
        <v/>
      </c>
      <c r="Q340" s="289" t="str">
        <f>IF(AND(D340&lt;&gt;"",'Inputs Whole-Project Water Use'!Q340=""),0,IF('Inputs Whole-Project Water Use'!Q340&lt;&gt;"",'Inputs Whole-Project Water Use'!Q340,""))</f>
        <v/>
      </c>
      <c r="R340" s="225" t="str">
        <f t="shared" si="45"/>
        <v/>
      </c>
      <c r="S340" s="225" t="str">
        <f t="shared" si="46"/>
        <v/>
      </c>
      <c r="T340" s="231" t="str">
        <f t="shared" si="47"/>
        <v/>
      </c>
      <c r="U340" s="241"/>
      <c r="V340" s="241"/>
      <c r="W340" s="241"/>
      <c r="X340" s="241"/>
      <c r="Y340" s="241"/>
      <c r="Z340" s="241"/>
      <c r="AA340" s="241"/>
      <c r="AB340" s="241"/>
      <c r="AC340" s="241"/>
      <c r="AD340" s="241"/>
      <c r="AE340" s="241"/>
      <c r="AF340" s="241"/>
      <c r="AG340" s="241"/>
      <c r="AH340" s="241"/>
      <c r="AI340" s="241"/>
      <c r="AJ340" s="241"/>
      <c r="AK340" s="241"/>
      <c r="AL340" s="241"/>
      <c r="AM340" s="241"/>
      <c r="AN340" s="241"/>
      <c r="AO340" s="241"/>
      <c r="AP340" s="241"/>
      <c r="AQ340" s="241"/>
      <c r="AR340" s="241"/>
      <c r="AS340" s="241"/>
      <c r="AT340" s="241"/>
      <c r="AU340" s="241"/>
      <c r="AV340" s="241"/>
      <c r="AW340" s="241"/>
      <c r="AX340" s="241"/>
      <c r="AY340" s="241"/>
      <c r="AZ340" s="241"/>
    </row>
    <row r="341" spans="1:52" s="71" customFormat="1" ht="18" hidden="1" customHeight="1" outlineLevel="1" collapsed="1">
      <c r="A341" s="175">
        <v>71</v>
      </c>
      <c r="B341" s="312" t="str">
        <f>(IF('Inputs Whole-Project Water Use'!B341&lt;&gt;"",'Inputs Whole-Project Water Use'!B341,""))</f>
        <v/>
      </c>
      <c r="C341" s="313" t="str">
        <f>IF(AND(D341&lt;&gt;"",'Inputs Whole-Project Water Use'!C341=""),1,IF('Inputs Whole-Project Water Use'!C341&lt;&gt;"",'Inputs Whole-Project Water Use'!C341,""))</f>
        <v/>
      </c>
      <c r="D341" s="397" t="str">
        <f>IF('Inputs Whole-Project Water Use'!D341&lt;&gt;"",'Inputs Whole-Project Water Use'!D341,"")</f>
        <v/>
      </c>
      <c r="E341" s="398"/>
      <c r="F341" s="314" t="str">
        <f>IF('Inputs Whole-Project Water Use'!F341&lt;&gt;"",'Inputs Whole-Project Water Use'!F341,"")</f>
        <v/>
      </c>
      <c r="G341" s="314" t="str">
        <f>IF('Inputs Whole-Project Water Use'!G341&lt;&gt;"",'Inputs Whole-Project Water Use'!G341,"")</f>
        <v/>
      </c>
      <c r="H341" s="315" t="str">
        <f>IF('Inputs Whole-Project Water Use'!H341&lt;&gt;"",'Inputs Whole-Project Water Use'!H341,"")</f>
        <v/>
      </c>
      <c r="I341" s="390" t="str">
        <f t="shared" si="41"/>
        <v/>
      </c>
      <c r="J341" s="391"/>
      <c r="K341" s="316" t="str">
        <f>IF('Inputs Whole-Project Water Use'!K341&lt;&gt;"",'Inputs Whole-Project Water Use'!K341,"")</f>
        <v/>
      </c>
      <c r="L341" s="316" t="str">
        <f>IF('Inputs Whole-Project Water Use'!L341&lt;&gt;"",'Inputs Whole-Project Water Use'!L341,"")</f>
        <v/>
      </c>
      <c r="M341" s="390" t="str">
        <f t="shared" si="42"/>
        <v/>
      </c>
      <c r="N341" s="391"/>
      <c r="O341" s="225" t="str">
        <f t="shared" si="43"/>
        <v/>
      </c>
      <c r="P341" s="225" t="str">
        <f t="shared" si="44"/>
        <v/>
      </c>
      <c r="Q341" s="289" t="str">
        <f>IF(AND(D341&lt;&gt;"",'Inputs Whole-Project Water Use'!Q341=""),0,IF('Inputs Whole-Project Water Use'!Q341&lt;&gt;"",'Inputs Whole-Project Water Use'!Q341,""))</f>
        <v/>
      </c>
      <c r="R341" s="225" t="str">
        <f t="shared" si="45"/>
        <v/>
      </c>
      <c r="S341" s="225" t="str">
        <f t="shared" si="46"/>
        <v/>
      </c>
      <c r="T341" s="231" t="str">
        <f t="shared" si="47"/>
        <v/>
      </c>
      <c r="U341" s="176" t="s">
        <v>165</v>
      </c>
      <c r="V341" s="241"/>
      <c r="W341" s="241"/>
      <c r="X341" s="241"/>
      <c r="Y341" s="241"/>
      <c r="Z341" s="241"/>
      <c r="AA341" s="241"/>
      <c r="AB341" s="241"/>
      <c r="AC341" s="241"/>
      <c r="AD341" s="241"/>
      <c r="AE341" s="241"/>
      <c r="AF341" s="241"/>
      <c r="AG341" s="241"/>
      <c r="AH341" s="241"/>
      <c r="AI341" s="241"/>
      <c r="AJ341" s="241"/>
      <c r="AK341" s="241"/>
      <c r="AL341" s="241"/>
      <c r="AM341" s="241"/>
      <c r="AN341" s="241"/>
      <c r="AO341" s="241"/>
      <c r="AP341" s="241"/>
      <c r="AQ341" s="241"/>
      <c r="AR341" s="241"/>
      <c r="AS341" s="241"/>
      <c r="AT341" s="241"/>
      <c r="AU341" s="241"/>
      <c r="AV341" s="241"/>
      <c r="AW341" s="241"/>
      <c r="AX341" s="241"/>
      <c r="AY341" s="241"/>
      <c r="AZ341" s="241"/>
    </row>
    <row r="342" spans="1:52" s="71" customFormat="1" ht="18" hidden="1" customHeight="1" outlineLevel="2">
      <c r="A342" s="175">
        <v>72</v>
      </c>
      <c r="B342" s="312" t="str">
        <f>(IF('Inputs Whole-Project Water Use'!B342&lt;&gt;"",'Inputs Whole-Project Water Use'!B342,""))</f>
        <v/>
      </c>
      <c r="C342" s="313" t="str">
        <f>IF(AND(D342&lt;&gt;"",'Inputs Whole-Project Water Use'!C342=""),1,IF('Inputs Whole-Project Water Use'!C342&lt;&gt;"",'Inputs Whole-Project Water Use'!C342,""))</f>
        <v/>
      </c>
      <c r="D342" s="397" t="str">
        <f>IF('Inputs Whole-Project Water Use'!D342&lt;&gt;"",'Inputs Whole-Project Water Use'!D342,"")</f>
        <v/>
      </c>
      <c r="E342" s="398"/>
      <c r="F342" s="314" t="str">
        <f>IF('Inputs Whole-Project Water Use'!F342&lt;&gt;"",'Inputs Whole-Project Water Use'!F342,"")</f>
        <v/>
      </c>
      <c r="G342" s="314" t="str">
        <f>IF('Inputs Whole-Project Water Use'!G342&lt;&gt;"",'Inputs Whole-Project Water Use'!G342,"")</f>
        <v/>
      </c>
      <c r="H342" s="315" t="str">
        <f>IF('Inputs Whole-Project Water Use'!H342&lt;&gt;"",'Inputs Whole-Project Water Use'!H342,"")</f>
        <v/>
      </c>
      <c r="I342" s="390" t="str">
        <f t="shared" si="41"/>
        <v/>
      </c>
      <c r="J342" s="391"/>
      <c r="K342" s="316" t="str">
        <f>IF('Inputs Whole-Project Water Use'!K342&lt;&gt;"",'Inputs Whole-Project Water Use'!K342,"")</f>
        <v/>
      </c>
      <c r="L342" s="316" t="str">
        <f>IF('Inputs Whole-Project Water Use'!L342&lt;&gt;"",'Inputs Whole-Project Water Use'!L342,"")</f>
        <v/>
      </c>
      <c r="M342" s="390" t="str">
        <f t="shared" si="42"/>
        <v/>
      </c>
      <c r="N342" s="391"/>
      <c r="O342" s="225" t="str">
        <f t="shared" si="43"/>
        <v/>
      </c>
      <c r="P342" s="225" t="str">
        <f t="shared" si="44"/>
        <v/>
      </c>
      <c r="Q342" s="289" t="str">
        <f>IF(AND(D342&lt;&gt;"",'Inputs Whole-Project Water Use'!Q342=""),0,IF('Inputs Whole-Project Water Use'!Q342&lt;&gt;"",'Inputs Whole-Project Water Use'!Q342,""))</f>
        <v/>
      </c>
      <c r="R342" s="225" t="str">
        <f t="shared" si="45"/>
        <v/>
      </c>
      <c r="S342" s="225" t="str">
        <f t="shared" si="46"/>
        <v/>
      </c>
      <c r="T342" s="231" t="str">
        <f t="shared" si="47"/>
        <v/>
      </c>
      <c r="U342" s="241"/>
      <c r="V342" s="241"/>
      <c r="W342" s="241"/>
      <c r="X342" s="241"/>
      <c r="Y342" s="241"/>
      <c r="Z342" s="241"/>
      <c r="AA342" s="241"/>
      <c r="AB342" s="241"/>
      <c r="AC342" s="241"/>
      <c r="AD342" s="241"/>
      <c r="AE342" s="241"/>
      <c r="AF342" s="241"/>
      <c r="AG342" s="241"/>
      <c r="AH342" s="241"/>
      <c r="AI342" s="241"/>
      <c r="AJ342" s="241"/>
      <c r="AK342" s="241"/>
      <c r="AL342" s="241"/>
      <c r="AM342" s="241"/>
      <c r="AN342" s="241"/>
      <c r="AO342" s="241"/>
      <c r="AP342" s="241"/>
      <c r="AQ342" s="241"/>
      <c r="AR342" s="241"/>
      <c r="AS342" s="241"/>
      <c r="AT342" s="241"/>
      <c r="AU342" s="241"/>
      <c r="AV342" s="241"/>
      <c r="AW342" s="241"/>
      <c r="AX342" s="241"/>
      <c r="AY342" s="241"/>
      <c r="AZ342" s="241"/>
    </row>
    <row r="343" spans="1:52" s="71" customFormat="1" ht="18" hidden="1" customHeight="1" outlineLevel="2">
      <c r="A343" s="175">
        <v>73</v>
      </c>
      <c r="B343" s="312" t="str">
        <f>(IF('Inputs Whole-Project Water Use'!B343&lt;&gt;"",'Inputs Whole-Project Water Use'!B343,""))</f>
        <v/>
      </c>
      <c r="C343" s="313" t="str">
        <f>IF(AND(D343&lt;&gt;"",'Inputs Whole-Project Water Use'!C343=""),1,IF('Inputs Whole-Project Water Use'!C343&lt;&gt;"",'Inputs Whole-Project Water Use'!C343,""))</f>
        <v/>
      </c>
      <c r="D343" s="397" t="str">
        <f>IF('Inputs Whole-Project Water Use'!D343&lt;&gt;"",'Inputs Whole-Project Water Use'!D343,"")</f>
        <v/>
      </c>
      <c r="E343" s="398"/>
      <c r="F343" s="314" t="str">
        <f>IF('Inputs Whole-Project Water Use'!F343&lt;&gt;"",'Inputs Whole-Project Water Use'!F343,"")</f>
        <v/>
      </c>
      <c r="G343" s="314" t="str">
        <f>IF('Inputs Whole-Project Water Use'!G343&lt;&gt;"",'Inputs Whole-Project Water Use'!G343,"")</f>
        <v/>
      </c>
      <c r="H343" s="315" t="str">
        <f>IF('Inputs Whole-Project Water Use'!H343&lt;&gt;"",'Inputs Whole-Project Water Use'!H343,"")</f>
        <v/>
      </c>
      <c r="I343" s="390" t="str">
        <f t="shared" si="41"/>
        <v/>
      </c>
      <c r="J343" s="391"/>
      <c r="K343" s="316" t="str">
        <f>IF('Inputs Whole-Project Water Use'!K343&lt;&gt;"",'Inputs Whole-Project Water Use'!K343,"")</f>
        <v/>
      </c>
      <c r="L343" s="316" t="str">
        <f>IF('Inputs Whole-Project Water Use'!L343&lt;&gt;"",'Inputs Whole-Project Water Use'!L343,"")</f>
        <v/>
      </c>
      <c r="M343" s="390" t="str">
        <f t="shared" si="42"/>
        <v/>
      </c>
      <c r="N343" s="391"/>
      <c r="O343" s="225" t="str">
        <f t="shared" si="43"/>
        <v/>
      </c>
      <c r="P343" s="225" t="str">
        <f t="shared" si="44"/>
        <v/>
      </c>
      <c r="Q343" s="289" t="str">
        <f>IF(AND(D343&lt;&gt;"",'Inputs Whole-Project Water Use'!Q343=""),0,IF('Inputs Whole-Project Water Use'!Q343&lt;&gt;"",'Inputs Whole-Project Water Use'!Q343,""))</f>
        <v/>
      </c>
      <c r="R343" s="225" t="str">
        <f t="shared" si="45"/>
        <v/>
      </c>
      <c r="S343" s="225" t="str">
        <f t="shared" si="46"/>
        <v/>
      </c>
      <c r="T343" s="231" t="str">
        <f t="shared" si="47"/>
        <v/>
      </c>
      <c r="U343" s="241"/>
      <c r="V343" s="241"/>
      <c r="W343" s="241"/>
      <c r="X343" s="241"/>
      <c r="Y343" s="241"/>
      <c r="Z343" s="241"/>
      <c r="AA343" s="241"/>
      <c r="AB343" s="241"/>
      <c r="AC343" s="241"/>
      <c r="AD343" s="241"/>
      <c r="AE343" s="241"/>
      <c r="AF343" s="241"/>
      <c r="AG343" s="241"/>
      <c r="AH343" s="241"/>
      <c r="AI343" s="241"/>
      <c r="AJ343" s="241"/>
      <c r="AK343" s="241"/>
      <c r="AL343" s="241"/>
      <c r="AM343" s="241"/>
      <c r="AN343" s="241"/>
      <c r="AO343" s="241"/>
      <c r="AP343" s="241"/>
      <c r="AQ343" s="241"/>
      <c r="AR343" s="241"/>
      <c r="AS343" s="241"/>
      <c r="AT343" s="241"/>
      <c r="AU343" s="241"/>
      <c r="AV343" s="241"/>
      <c r="AW343" s="241"/>
      <c r="AX343" s="241"/>
      <c r="AY343" s="241"/>
      <c r="AZ343" s="241"/>
    </row>
    <row r="344" spans="1:52" s="71" customFormat="1" ht="18" hidden="1" customHeight="1" outlineLevel="2">
      <c r="A344" s="175">
        <v>74</v>
      </c>
      <c r="B344" s="312" t="str">
        <f>(IF('Inputs Whole-Project Water Use'!B344&lt;&gt;"",'Inputs Whole-Project Water Use'!B344,""))</f>
        <v/>
      </c>
      <c r="C344" s="313" t="str">
        <f>IF(AND(D344&lt;&gt;"",'Inputs Whole-Project Water Use'!C344=""),1,IF('Inputs Whole-Project Water Use'!C344&lt;&gt;"",'Inputs Whole-Project Water Use'!C344,""))</f>
        <v/>
      </c>
      <c r="D344" s="397" t="str">
        <f>IF('Inputs Whole-Project Water Use'!D344&lt;&gt;"",'Inputs Whole-Project Water Use'!D344,"")</f>
        <v/>
      </c>
      <c r="E344" s="398"/>
      <c r="F344" s="314" t="str">
        <f>IF('Inputs Whole-Project Water Use'!F344&lt;&gt;"",'Inputs Whole-Project Water Use'!F344,"")</f>
        <v/>
      </c>
      <c r="G344" s="314" t="str">
        <f>IF('Inputs Whole-Project Water Use'!G344&lt;&gt;"",'Inputs Whole-Project Water Use'!G344,"")</f>
        <v/>
      </c>
      <c r="H344" s="315" t="str">
        <f>IF('Inputs Whole-Project Water Use'!H344&lt;&gt;"",'Inputs Whole-Project Water Use'!H344,"")</f>
        <v/>
      </c>
      <c r="I344" s="390" t="str">
        <f t="shared" si="41"/>
        <v/>
      </c>
      <c r="J344" s="391"/>
      <c r="K344" s="316" t="str">
        <f>IF('Inputs Whole-Project Water Use'!K344&lt;&gt;"",'Inputs Whole-Project Water Use'!K344,"")</f>
        <v/>
      </c>
      <c r="L344" s="316" t="str">
        <f>IF('Inputs Whole-Project Water Use'!L344&lt;&gt;"",'Inputs Whole-Project Water Use'!L344,"")</f>
        <v/>
      </c>
      <c r="M344" s="390" t="str">
        <f t="shared" si="42"/>
        <v/>
      </c>
      <c r="N344" s="391"/>
      <c r="O344" s="225" t="str">
        <f t="shared" si="43"/>
        <v/>
      </c>
      <c r="P344" s="225" t="str">
        <f t="shared" si="44"/>
        <v/>
      </c>
      <c r="Q344" s="289" t="str">
        <f>IF(AND(D344&lt;&gt;"",'Inputs Whole-Project Water Use'!Q344=""),0,IF('Inputs Whole-Project Water Use'!Q344&lt;&gt;"",'Inputs Whole-Project Water Use'!Q344,""))</f>
        <v/>
      </c>
      <c r="R344" s="225" t="str">
        <f t="shared" si="45"/>
        <v/>
      </c>
      <c r="S344" s="225" t="str">
        <f t="shared" si="46"/>
        <v/>
      </c>
      <c r="T344" s="231" t="str">
        <f t="shared" si="47"/>
        <v/>
      </c>
      <c r="U344" s="241"/>
      <c r="V344" s="241"/>
      <c r="W344" s="241"/>
      <c r="X344" s="241"/>
      <c r="Y344" s="241"/>
      <c r="Z344" s="241"/>
      <c r="AA344" s="241"/>
      <c r="AB344" s="241"/>
      <c r="AC344" s="241"/>
      <c r="AD344" s="241"/>
      <c r="AE344" s="241"/>
      <c r="AF344" s="241"/>
      <c r="AG344" s="241"/>
      <c r="AH344" s="241"/>
      <c r="AI344" s="241"/>
      <c r="AJ344" s="241"/>
      <c r="AK344" s="241"/>
      <c r="AL344" s="241"/>
      <c r="AM344" s="241"/>
      <c r="AN344" s="241"/>
      <c r="AO344" s="241"/>
      <c r="AP344" s="241"/>
      <c r="AQ344" s="241"/>
      <c r="AR344" s="241"/>
      <c r="AS344" s="241"/>
      <c r="AT344" s="241"/>
      <c r="AU344" s="241"/>
      <c r="AV344" s="241"/>
      <c r="AW344" s="241"/>
      <c r="AX344" s="241"/>
      <c r="AY344" s="241"/>
      <c r="AZ344" s="241"/>
    </row>
    <row r="345" spans="1:52" s="71" customFormat="1" ht="18" hidden="1" customHeight="1" outlineLevel="2">
      <c r="A345" s="175">
        <v>75</v>
      </c>
      <c r="B345" s="312" t="str">
        <f>(IF('Inputs Whole-Project Water Use'!B345&lt;&gt;"",'Inputs Whole-Project Water Use'!B345,""))</f>
        <v/>
      </c>
      <c r="C345" s="313" t="str">
        <f>IF(AND(D345&lt;&gt;"",'Inputs Whole-Project Water Use'!C345=""),1,IF('Inputs Whole-Project Water Use'!C345&lt;&gt;"",'Inputs Whole-Project Water Use'!C345,""))</f>
        <v/>
      </c>
      <c r="D345" s="397" t="str">
        <f>IF('Inputs Whole-Project Water Use'!D345&lt;&gt;"",'Inputs Whole-Project Water Use'!D345,"")</f>
        <v/>
      </c>
      <c r="E345" s="398"/>
      <c r="F345" s="314" t="str">
        <f>IF('Inputs Whole-Project Water Use'!F345&lt;&gt;"",'Inputs Whole-Project Water Use'!F345,"")</f>
        <v/>
      </c>
      <c r="G345" s="314" t="str">
        <f>IF('Inputs Whole-Project Water Use'!G345&lt;&gt;"",'Inputs Whole-Project Water Use'!G345,"")</f>
        <v/>
      </c>
      <c r="H345" s="315" t="str">
        <f>IF('Inputs Whole-Project Water Use'!H345&lt;&gt;"",'Inputs Whole-Project Water Use'!H345,"")</f>
        <v/>
      </c>
      <c r="I345" s="390" t="str">
        <f t="shared" si="41"/>
        <v/>
      </c>
      <c r="J345" s="391"/>
      <c r="K345" s="316" t="str">
        <f>IF('Inputs Whole-Project Water Use'!K345&lt;&gt;"",'Inputs Whole-Project Water Use'!K345,"")</f>
        <v/>
      </c>
      <c r="L345" s="316" t="str">
        <f>IF('Inputs Whole-Project Water Use'!L345&lt;&gt;"",'Inputs Whole-Project Water Use'!L345,"")</f>
        <v/>
      </c>
      <c r="M345" s="390" t="str">
        <f t="shared" si="42"/>
        <v/>
      </c>
      <c r="N345" s="391"/>
      <c r="O345" s="225" t="str">
        <f t="shared" si="43"/>
        <v/>
      </c>
      <c r="P345" s="225" t="str">
        <f t="shared" si="44"/>
        <v/>
      </c>
      <c r="Q345" s="289" t="str">
        <f>IF(AND(D345&lt;&gt;"",'Inputs Whole-Project Water Use'!Q345=""),0,IF('Inputs Whole-Project Water Use'!Q345&lt;&gt;"",'Inputs Whole-Project Water Use'!Q345,""))</f>
        <v/>
      </c>
      <c r="R345" s="225" t="str">
        <f t="shared" si="45"/>
        <v/>
      </c>
      <c r="S345" s="225" t="str">
        <f t="shared" si="46"/>
        <v/>
      </c>
      <c r="T345" s="231" t="str">
        <f t="shared" si="47"/>
        <v/>
      </c>
      <c r="U345" s="241"/>
      <c r="V345" s="241"/>
      <c r="W345" s="241"/>
      <c r="X345" s="241"/>
      <c r="Y345" s="241"/>
      <c r="Z345" s="241"/>
      <c r="AA345" s="241"/>
      <c r="AB345" s="241"/>
      <c r="AC345" s="241"/>
      <c r="AD345" s="241"/>
      <c r="AE345" s="241"/>
      <c r="AF345" s="241"/>
      <c r="AG345" s="241"/>
      <c r="AH345" s="241"/>
      <c r="AI345" s="241"/>
      <c r="AJ345" s="241"/>
      <c r="AK345" s="241"/>
      <c r="AL345" s="241"/>
      <c r="AM345" s="241"/>
      <c r="AN345" s="241"/>
      <c r="AO345" s="241"/>
      <c r="AP345" s="241"/>
      <c r="AQ345" s="241"/>
      <c r="AR345" s="241"/>
      <c r="AS345" s="241"/>
      <c r="AT345" s="241"/>
      <c r="AU345" s="241"/>
      <c r="AV345" s="241"/>
      <c r="AW345" s="241"/>
      <c r="AX345" s="241"/>
      <c r="AY345" s="241"/>
      <c r="AZ345" s="241"/>
    </row>
    <row r="346" spans="1:52" s="71" customFormat="1" ht="18" hidden="1" customHeight="1" outlineLevel="2">
      <c r="A346" s="175">
        <v>76</v>
      </c>
      <c r="B346" s="312" t="str">
        <f>(IF('Inputs Whole-Project Water Use'!B346&lt;&gt;"",'Inputs Whole-Project Water Use'!B346,""))</f>
        <v/>
      </c>
      <c r="C346" s="313" t="str">
        <f>IF(AND(D346&lt;&gt;"",'Inputs Whole-Project Water Use'!C346=""),1,IF('Inputs Whole-Project Water Use'!C346&lt;&gt;"",'Inputs Whole-Project Water Use'!C346,""))</f>
        <v/>
      </c>
      <c r="D346" s="397" t="str">
        <f>IF('Inputs Whole-Project Water Use'!D346&lt;&gt;"",'Inputs Whole-Project Water Use'!D346,"")</f>
        <v/>
      </c>
      <c r="E346" s="398"/>
      <c r="F346" s="314" t="str">
        <f>IF('Inputs Whole-Project Water Use'!F346&lt;&gt;"",'Inputs Whole-Project Water Use'!F346,"")</f>
        <v/>
      </c>
      <c r="G346" s="314" t="str">
        <f>IF('Inputs Whole-Project Water Use'!G346&lt;&gt;"",'Inputs Whole-Project Water Use'!G346,"")</f>
        <v/>
      </c>
      <c r="H346" s="315" t="str">
        <f>IF('Inputs Whole-Project Water Use'!H346&lt;&gt;"",'Inputs Whole-Project Water Use'!H346,"")</f>
        <v/>
      </c>
      <c r="I346" s="390" t="str">
        <f t="shared" si="41"/>
        <v/>
      </c>
      <c r="J346" s="391"/>
      <c r="K346" s="316" t="str">
        <f>IF('Inputs Whole-Project Water Use'!K346&lt;&gt;"",'Inputs Whole-Project Water Use'!K346,"")</f>
        <v/>
      </c>
      <c r="L346" s="316" t="str">
        <f>IF('Inputs Whole-Project Water Use'!L346&lt;&gt;"",'Inputs Whole-Project Water Use'!L346,"")</f>
        <v/>
      </c>
      <c r="M346" s="390" t="str">
        <f t="shared" si="42"/>
        <v/>
      </c>
      <c r="N346" s="391"/>
      <c r="O346" s="225" t="str">
        <f t="shared" si="43"/>
        <v/>
      </c>
      <c r="P346" s="225" t="str">
        <f t="shared" si="44"/>
        <v/>
      </c>
      <c r="Q346" s="289" t="str">
        <f>IF(AND(D346&lt;&gt;"",'Inputs Whole-Project Water Use'!Q346=""),0,IF('Inputs Whole-Project Water Use'!Q346&lt;&gt;"",'Inputs Whole-Project Water Use'!Q346,""))</f>
        <v/>
      </c>
      <c r="R346" s="225" t="str">
        <f t="shared" si="45"/>
        <v/>
      </c>
      <c r="S346" s="225" t="str">
        <f t="shared" si="46"/>
        <v/>
      </c>
      <c r="T346" s="231" t="str">
        <f t="shared" si="47"/>
        <v/>
      </c>
      <c r="U346" s="241"/>
      <c r="V346" s="241"/>
      <c r="W346" s="241"/>
      <c r="X346" s="241"/>
      <c r="Y346" s="241"/>
      <c r="Z346" s="241"/>
      <c r="AA346" s="241"/>
      <c r="AB346" s="241"/>
      <c r="AC346" s="241"/>
      <c r="AD346" s="241"/>
      <c r="AE346" s="241"/>
      <c r="AF346" s="241"/>
      <c r="AG346" s="241"/>
      <c r="AH346" s="241"/>
      <c r="AI346" s="241"/>
      <c r="AJ346" s="241"/>
      <c r="AK346" s="241"/>
      <c r="AL346" s="241"/>
      <c r="AM346" s="241"/>
      <c r="AN346" s="241"/>
      <c r="AO346" s="241"/>
      <c r="AP346" s="241"/>
      <c r="AQ346" s="241"/>
      <c r="AR346" s="241"/>
      <c r="AS346" s="241"/>
      <c r="AT346" s="241"/>
      <c r="AU346" s="241"/>
      <c r="AV346" s="241"/>
      <c r="AW346" s="241"/>
      <c r="AX346" s="241"/>
      <c r="AY346" s="241"/>
      <c r="AZ346" s="241"/>
    </row>
    <row r="347" spans="1:52" s="71" customFormat="1" ht="18" hidden="1" customHeight="1" outlineLevel="2">
      <c r="A347" s="175">
        <v>77</v>
      </c>
      <c r="B347" s="312" t="str">
        <f>(IF('Inputs Whole-Project Water Use'!B347&lt;&gt;"",'Inputs Whole-Project Water Use'!B347,""))</f>
        <v/>
      </c>
      <c r="C347" s="313" t="str">
        <f>IF(AND(D347&lt;&gt;"",'Inputs Whole-Project Water Use'!C347=""),1,IF('Inputs Whole-Project Water Use'!C347&lt;&gt;"",'Inputs Whole-Project Water Use'!C347,""))</f>
        <v/>
      </c>
      <c r="D347" s="397" t="str">
        <f>IF('Inputs Whole-Project Water Use'!D347&lt;&gt;"",'Inputs Whole-Project Water Use'!D347,"")</f>
        <v/>
      </c>
      <c r="E347" s="398"/>
      <c r="F347" s="314" t="str">
        <f>IF('Inputs Whole-Project Water Use'!F347&lt;&gt;"",'Inputs Whole-Project Water Use'!F347,"")</f>
        <v/>
      </c>
      <c r="G347" s="314" t="str">
        <f>IF('Inputs Whole-Project Water Use'!G347&lt;&gt;"",'Inputs Whole-Project Water Use'!G347,"")</f>
        <v/>
      </c>
      <c r="H347" s="315" t="str">
        <f>IF('Inputs Whole-Project Water Use'!H347&lt;&gt;"",'Inputs Whole-Project Water Use'!H347,"")</f>
        <v/>
      </c>
      <c r="I347" s="390" t="str">
        <f t="shared" si="41"/>
        <v/>
      </c>
      <c r="J347" s="391"/>
      <c r="K347" s="316" t="str">
        <f>IF('Inputs Whole-Project Water Use'!K347&lt;&gt;"",'Inputs Whole-Project Water Use'!K347,"")</f>
        <v/>
      </c>
      <c r="L347" s="316" t="str">
        <f>IF('Inputs Whole-Project Water Use'!L347&lt;&gt;"",'Inputs Whole-Project Water Use'!L347,"")</f>
        <v/>
      </c>
      <c r="M347" s="390" t="str">
        <f t="shared" si="42"/>
        <v/>
      </c>
      <c r="N347" s="391"/>
      <c r="O347" s="225" t="str">
        <f t="shared" si="43"/>
        <v/>
      </c>
      <c r="P347" s="225" t="str">
        <f t="shared" si="44"/>
        <v/>
      </c>
      <c r="Q347" s="289" t="str">
        <f>IF(AND(D347&lt;&gt;"",'Inputs Whole-Project Water Use'!Q347=""),0,IF('Inputs Whole-Project Water Use'!Q347&lt;&gt;"",'Inputs Whole-Project Water Use'!Q347,""))</f>
        <v/>
      </c>
      <c r="R347" s="225" t="str">
        <f t="shared" si="45"/>
        <v/>
      </c>
      <c r="S347" s="225" t="str">
        <f t="shared" si="46"/>
        <v/>
      </c>
      <c r="T347" s="231" t="str">
        <f t="shared" si="47"/>
        <v/>
      </c>
      <c r="U347" s="241"/>
      <c r="V347" s="241"/>
      <c r="W347" s="241"/>
      <c r="X347" s="241"/>
      <c r="Y347" s="241"/>
      <c r="Z347" s="241"/>
      <c r="AA347" s="241"/>
      <c r="AB347" s="241"/>
      <c r="AC347" s="241"/>
      <c r="AD347" s="241"/>
      <c r="AE347" s="241"/>
      <c r="AF347" s="241"/>
      <c r="AG347" s="241"/>
      <c r="AH347" s="241"/>
      <c r="AI347" s="241"/>
      <c r="AJ347" s="241"/>
      <c r="AK347" s="241"/>
      <c r="AL347" s="241"/>
      <c r="AM347" s="241"/>
      <c r="AN347" s="241"/>
      <c r="AO347" s="241"/>
      <c r="AP347" s="241"/>
      <c r="AQ347" s="241"/>
      <c r="AR347" s="241"/>
      <c r="AS347" s="241"/>
      <c r="AT347" s="241"/>
      <c r="AU347" s="241"/>
      <c r="AV347" s="241"/>
      <c r="AW347" s="241"/>
      <c r="AX347" s="241"/>
      <c r="AY347" s="241"/>
      <c r="AZ347" s="241"/>
    </row>
    <row r="348" spans="1:52" s="71" customFormat="1" ht="18" hidden="1" customHeight="1" outlineLevel="2">
      <c r="A348" s="175">
        <v>78</v>
      </c>
      <c r="B348" s="312" t="str">
        <f>(IF('Inputs Whole-Project Water Use'!B348&lt;&gt;"",'Inputs Whole-Project Water Use'!B348,""))</f>
        <v/>
      </c>
      <c r="C348" s="313" t="str">
        <f>IF(AND(D348&lt;&gt;"",'Inputs Whole-Project Water Use'!C348=""),1,IF('Inputs Whole-Project Water Use'!C348&lt;&gt;"",'Inputs Whole-Project Water Use'!C348,""))</f>
        <v/>
      </c>
      <c r="D348" s="397" t="str">
        <f>IF('Inputs Whole-Project Water Use'!D348&lt;&gt;"",'Inputs Whole-Project Water Use'!D348,"")</f>
        <v/>
      </c>
      <c r="E348" s="398"/>
      <c r="F348" s="314" t="str">
        <f>IF('Inputs Whole-Project Water Use'!F348&lt;&gt;"",'Inputs Whole-Project Water Use'!F348,"")</f>
        <v/>
      </c>
      <c r="G348" s="314" t="str">
        <f>IF('Inputs Whole-Project Water Use'!G348&lt;&gt;"",'Inputs Whole-Project Water Use'!G348,"")</f>
        <v/>
      </c>
      <c r="H348" s="315" t="str">
        <f>IF('Inputs Whole-Project Water Use'!H348&lt;&gt;"",'Inputs Whole-Project Water Use'!H348,"")</f>
        <v/>
      </c>
      <c r="I348" s="390" t="str">
        <f t="shared" si="41"/>
        <v/>
      </c>
      <c r="J348" s="391"/>
      <c r="K348" s="316" t="str">
        <f>IF('Inputs Whole-Project Water Use'!K348&lt;&gt;"",'Inputs Whole-Project Water Use'!K348,"")</f>
        <v/>
      </c>
      <c r="L348" s="316" t="str">
        <f>IF('Inputs Whole-Project Water Use'!L348&lt;&gt;"",'Inputs Whole-Project Water Use'!L348,"")</f>
        <v/>
      </c>
      <c r="M348" s="390" t="str">
        <f t="shared" si="42"/>
        <v/>
      </c>
      <c r="N348" s="391"/>
      <c r="O348" s="225" t="str">
        <f t="shared" si="43"/>
        <v/>
      </c>
      <c r="P348" s="225" t="str">
        <f t="shared" si="44"/>
        <v/>
      </c>
      <c r="Q348" s="289" t="str">
        <f>IF(AND(D348&lt;&gt;"",'Inputs Whole-Project Water Use'!Q348=""),0,IF('Inputs Whole-Project Water Use'!Q348&lt;&gt;"",'Inputs Whole-Project Water Use'!Q348,""))</f>
        <v/>
      </c>
      <c r="R348" s="225" t="str">
        <f t="shared" si="45"/>
        <v/>
      </c>
      <c r="S348" s="225" t="str">
        <f t="shared" si="46"/>
        <v/>
      </c>
      <c r="T348" s="231" t="str">
        <f t="shared" si="47"/>
        <v/>
      </c>
      <c r="U348" s="241"/>
      <c r="V348" s="241"/>
      <c r="W348" s="241"/>
      <c r="X348" s="241"/>
      <c r="Y348" s="241"/>
      <c r="Z348" s="241"/>
      <c r="AA348" s="241"/>
      <c r="AB348" s="241"/>
      <c r="AC348" s="241"/>
      <c r="AD348" s="241"/>
      <c r="AE348" s="241"/>
      <c r="AF348" s="241"/>
      <c r="AG348" s="241"/>
      <c r="AH348" s="241"/>
      <c r="AI348" s="241"/>
      <c r="AJ348" s="241"/>
      <c r="AK348" s="241"/>
      <c r="AL348" s="241"/>
      <c r="AM348" s="241"/>
      <c r="AN348" s="241"/>
      <c r="AO348" s="241"/>
      <c r="AP348" s="241"/>
      <c r="AQ348" s="241"/>
      <c r="AR348" s="241"/>
      <c r="AS348" s="241"/>
      <c r="AT348" s="241"/>
      <c r="AU348" s="241"/>
      <c r="AV348" s="241"/>
      <c r="AW348" s="241"/>
      <c r="AX348" s="241"/>
      <c r="AY348" s="241"/>
      <c r="AZ348" s="241"/>
    </row>
    <row r="349" spans="1:52" s="71" customFormat="1" ht="18" hidden="1" customHeight="1" outlineLevel="2">
      <c r="A349" s="175">
        <v>79</v>
      </c>
      <c r="B349" s="312" t="str">
        <f>(IF('Inputs Whole-Project Water Use'!B349&lt;&gt;"",'Inputs Whole-Project Water Use'!B349,""))</f>
        <v/>
      </c>
      <c r="C349" s="313" t="str">
        <f>IF(AND(D349&lt;&gt;"",'Inputs Whole-Project Water Use'!C349=""),1,IF('Inputs Whole-Project Water Use'!C349&lt;&gt;"",'Inputs Whole-Project Water Use'!C349,""))</f>
        <v/>
      </c>
      <c r="D349" s="397" t="str">
        <f>IF('Inputs Whole-Project Water Use'!D349&lt;&gt;"",'Inputs Whole-Project Water Use'!D349,"")</f>
        <v/>
      </c>
      <c r="E349" s="398"/>
      <c r="F349" s="314" t="str">
        <f>IF('Inputs Whole-Project Water Use'!F349&lt;&gt;"",'Inputs Whole-Project Water Use'!F349,"")</f>
        <v/>
      </c>
      <c r="G349" s="314" t="str">
        <f>IF('Inputs Whole-Project Water Use'!G349&lt;&gt;"",'Inputs Whole-Project Water Use'!G349,"")</f>
        <v/>
      </c>
      <c r="H349" s="315" t="str">
        <f>IF('Inputs Whole-Project Water Use'!H349&lt;&gt;"",'Inputs Whole-Project Water Use'!H349,"")</f>
        <v/>
      </c>
      <c r="I349" s="390" t="str">
        <f t="shared" si="41"/>
        <v/>
      </c>
      <c r="J349" s="391"/>
      <c r="K349" s="316" t="str">
        <f>IF('Inputs Whole-Project Water Use'!K349&lt;&gt;"",'Inputs Whole-Project Water Use'!K349,"")</f>
        <v/>
      </c>
      <c r="L349" s="316" t="str">
        <f>IF('Inputs Whole-Project Water Use'!L349&lt;&gt;"",'Inputs Whole-Project Water Use'!L349,"")</f>
        <v/>
      </c>
      <c r="M349" s="390" t="str">
        <f t="shared" si="42"/>
        <v/>
      </c>
      <c r="N349" s="391"/>
      <c r="O349" s="225" t="str">
        <f t="shared" si="43"/>
        <v/>
      </c>
      <c r="P349" s="225" t="str">
        <f t="shared" si="44"/>
        <v/>
      </c>
      <c r="Q349" s="289" t="str">
        <f>IF(AND(D349&lt;&gt;"",'Inputs Whole-Project Water Use'!Q349=""),0,IF('Inputs Whole-Project Water Use'!Q349&lt;&gt;"",'Inputs Whole-Project Water Use'!Q349,""))</f>
        <v/>
      </c>
      <c r="R349" s="225" t="str">
        <f t="shared" si="45"/>
        <v/>
      </c>
      <c r="S349" s="225" t="str">
        <f t="shared" si="46"/>
        <v/>
      </c>
      <c r="T349" s="231" t="str">
        <f t="shared" si="47"/>
        <v/>
      </c>
      <c r="U349" s="241"/>
      <c r="V349" s="241"/>
      <c r="W349" s="241"/>
      <c r="X349" s="241"/>
      <c r="Y349" s="241"/>
      <c r="Z349" s="241"/>
      <c r="AA349" s="241"/>
      <c r="AB349" s="241"/>
      <c r="AC349" s="241"/>
      <c r="AD349" s="241"/>
      <c r="AE349" s="241"/>
      <c r="AF349" s="241"/>
      <c r="AG349" s="241"/>
      <c r="AH349" s="241"/>
      <c r="AI349" s="241"/>
      <c r="AJ349" s="241"/>
      <c r="AK349" s="241"/>
      <c r="AL349" s="241"/>
      <c r="AM349" s="241"/>
      <c r="AN349" s="241"/>
      <c r="AO349" s="241"/>
      <c r="AP349" s="241"/>
      <c r="AQ349" s="241"/>
      <c r="AR349" s="241"/>
      <c r="AS349" s="241"/>
      <c r="AT349" s="241"/>
      <c r="AU349" s="241"/>
      <c r="AV349" s="241"/>
      <c r="AW349" s="241"/>
      <c r="AX349" s="241"/>
      <c r="AY349" s="241"/>
      <c r="AZ349" s="241"/>
    </row>
    <row r="350" spans="1:52" s="71" customFormat="1" ht="18" hidden="1" customHeight="1" outlineLevel="2">
      <c r="A350" s="175">
        <v>80</v>
      </c>
      <c r="B350" s="312" t="str">
        <f>(IF('Inputs Whole-Project Water Use'!B350&lt;&gt;"",'Inputs Whole-Project Water Use'!B350,""))</f>
        <v/>
      </c>
      <c r="C350" s="313" t="str">
        <f>IF(AND(D350&lt;&gt;"",'Inputs Whole-Project Water Use'!C350=""),1,IF('Inputs Whole-Project Water Use'!C350&lt;&gt;"",'Inputs Whole-Project Water Use'!C350,""))</f>
        <v/>
      </c>
      <c r="D350" s="397" t="str">
        <f>IF('Inputs Whole-Project Water Use'!D350&lt;&gt;"",'Inputs Whole-Project Water Use'!D350,"")</f>
        <v/>
      </c>
      <c r="E350" s="398"/>
      <c r="F350" s="314" t="str">
        <f>IF('Inputs Whole-Project Water Use'!F350&lt;&gt;"",'Inputs Whole-Project Water Use'!F350,"")</f>
        <v/>
      </c>
      <c r="G350" s="314" t="str">
        <f>IF('Inputs Whole-Project Water Use'!G350&lt;&gt;"",'Inputs Whole-Project Water Use'!G350,"")</f>
        <v/>
      </c>
      <c r="H350" s="315" t="str">
        <f>IF('Inputs Whole-Project Water Use'!H350&lt;&gt;"",'Inputs Whole-Project Water Use'!H350,"")</f>
        <v/>
      </c>
      <c r="I350" s="390" t="str">
        <f t="shared" si="41"/>
        <v/>
      </c>
      <c r="J350" s="391"/>
      <c r="K350" s="316" t="str">
        <f>IF('Inputs Whole-Project Water Use'!K350&lt;&gt;"",'Inputs Whole-Project Water Use'!K350,"")</f>
        <v/>
      </c>
      <c r="L350" s="316" t="str">
        <f>IF('Inputs Whole-Project Water Use'!L350&lt;&gt;"",'Inputs Whole-Project Water Use'!L350,"")</f>
        <v/>
      </c>
      <c r="M350" s="390" t="str">
        <f t="shared" si="42"/>
        <v/>
      </c>
      <c r="N350" s="391"/>
      <c r="O350" s="225" t="str">
        <f t="shared" si="43"/>
        <v/>
      </c>
      <c r="P350" s="225" t="str">
        <f t="shared" si="44"/>
        <v/>
      </c>
      <c r="Q350" s="289" t="str">
        <f>IF(AND(D350&lt;&gt;"",'Inputs Whole-Project Water Use'!Q350=""),0,IF('Inputs Whole-Project Water Use'!Q350&lt;&gt;"",'Inputs Whole-Project Water Use'!Q350,""))</f>
        <v/>
      </c>
      <c r="R350" s="225" t="str">
        <f t="shared" si="45"/>
        <v/>
      </c>
      <c r="S350" s="225" t="str">
        <f t="shared" si="46"/>
        <v/>
      </c>
      <c r="T350" s="231" t="str">
        <f t="shared" si="47"/>
        <v/>
      </c>
      <c r="U350" s="241"/>
      <c r="V350" s="241"/>
      <c r="W350" s="241"/>
      <c r="X350" s="241"/>
      <c r="Y350" s="241"/>
      <c r="Z350" s="241"/>
      <c r="AA350" s="241"/>
      <c r="AB350" s="241"/>
      <c r="AC350" s="241"/>
      <c r="AD350" s="241"/>
      <c r="AE350" s="241"/>
      <c r="AF350" s="241"/>
      <c r="AG350" s="241"/>
      <c r="AH350" s="241"/>
      <c r="AI350" s="241"/>
      <c r="AJ350" s="241"/>
      <c r="AK350" s="241"/>
      <c r="AL350" s="241"/>
      <c r="AM350" s="241"/>
      <c r="AN350" s="241"/>
      <c r="AO350" s="241"/>
      <c r="AP350" s="241"/>
      <c r="AQ350" s="241"/>
      <c r="AR350" s="241"/>
      <c r="AS350" s="241"/>
      <c r="AT350" s="241"/>
      <c r="AU350" s="241"/>
      <c r="AV350" s="241"/>
      <c r="AW350" s="241"/>
      <c r="AX350" s="241"/>
      <c r="AY350" s="241"/>
      <c r="AZ350" s="241"/>
    </row>
    <row r="351" spans="1:52" s="71" customFormat="1" ht="18" hidden="1" customHeight="1" outlineLevel="2">
      <c r="A351" s="175">
        <v>81</v>
      </c>
      <c r="B351" s="312" t="str">
        <f>(IF('Inputs Whole-Project Water Use'!B351&lt;&gt;"",'Inputs Whole-Project Water Use'!B351,""))</f>
        <v/>
      </c>
      <c r="C351" s="313" t="str">
        <f>IF(AND(D351&lt;&gt;"",'Inputs Whole-Project Water Use'!C351=""),1,IF('Inputs Whole-Project Water Use'!C351&lt;&gt;"",'Inputs Whole-Project Water Use'!C351,""))</f>
        <v/>
      </c>
      <c r="D351" s="397" t="str">
        <f>IF('Inputs Whole-Project Water Use'!D351&lt;&gt;"",'Inputs Whole-Project Water Use'!D351,"")</f>
        <v/>
      </c>
      <c r="E351" s="398"/>
      <c r="F351" s="314" t="str">
        <f>IF('Inputs Whole-Project Water Use'!F351&lt;&gt;"",'Inputs Whole-Project Water Use'!F351,"")</f>
        <v/>
      </c>
      <c r="G351" s="314" t="str">
        <f>IF('Inputs Whole-Project Water Use'!G351&lt;&gt;"",'Inputs Whole-Project Water Use'!G351,"")</f>
        <v/>
      </c>
      <c r="H351" s="315" t="str">
        <f>IF('Inputs Whole-Project Water Use'!H351&lt;&gt;"",'Inputs Whole-Project Water Use'!H351,"")</f>
        <v/>
      </c>
      <c r="I351" s="390" t="str">
        <f t="shared" si="41"/>
        <v/>
      </c>
      <c r="J351" s="391"/>
      <c r="K351" s="316" t="str">
        <f>IF('Inputs Whole-Project Water Use'!K351&lt;&gt;"",'Inputs Whole-Project Water Use'!K351,"")</f>
        <v/>
      </c>
      <c r="L351" s="316" t="str">
        <f>IF('Inputs Whole-Project Water Use'!L351&lt;&gt;"",'Inputs Whole-Project Water Use'!L351,"")</f>
        <v/>
      </c>
      <c r="M351" s="390" t="str">
        <f t="shared" si="42"/>
        <v/>
      </c>
      <c r="N351" s="391"/>
      <c r="O351" s="225" t="str">
        <f t="shared" si="43"/>
        <v/>
      </c>
      <c r="P351" s="225" t="str">
        <f t="shared" si="44"/>
        <v/>
      </c>
      <c r="Q351" s="289" t="str">
        <f>IF(AND(D351&lt;&gt;"",'Inputs Whole-Project Water Use'!Q351=""),0,IF('Inputs Whole-Project Water Use'!Q351&lt;&gt;"",'Inputs Whole-Project Water Use'!Q351,""))</f>
        <v/>
      </c>
      <c r="R351" s="225" t="str">
        <f t="shared" si="45"/>
        <v/>
      </c>
      <c r="S351" s="225" t="str">
        <f t="shared" si="46"/>
        <v/>
      </c>
      <c r="T351" s="231" t="str">
        <f t="shared" si="47"/>
        <v/>
      </c>
      <c r="U351" s="241"/>
      <c r="V351" s="241"/>
      <c r="W351" s="241"/>
      <c r="X351" s="241"/>
      <c r="Y351" s="241"/>
      <c r="Z351" s="241"/>
      <c r="AA351" s="241"/>
      <c r="AB351" s="241"/>
      <c r="AC351" s="241"/>
      <c r="AD351" s="241"/>
      <c r="AE351" s="241"/>
      <c r="AF351" s="241"/>
      <c r="AG351" s="241"/>
      <c r="AH351" s="241"/>
      <c r="AI351" s="241"/>
      <c r="AJ351" s="241"/>
      <c r="AK351" s="241"/>
      <c r="AL351" s="241"/>
      <c r="AM351" s="241"/>
      <c r="AN351" s="241"/>
      <c r="AO351" s="241"/>
      <c r="AP351" s="241"/>
      <c r="AQ351" s="241"/>
      <c r="AR351" s="241"/>
      <c r="AS351" s="241"/>
      <c r="AT351" s="241"/>
      <c r="AU351" s="241"/>
      <c r="AV351" s="241"/>
      <c r="AW351" s="241"/>
      <c r="AX351" s="241"/>
      <c r="AY351" s="241"/>
      <c r="AZ351" s="241"/>
    </row>
    <row r="352" spans="1:52" s="71" customFormat="1" ht="18" hidden="1" customHeight="1" outlineLevel="2">
      <c r="A352" s="175">
        <v>82</v>
      </c>
      <c r="B352" s="312" t="str">
        <f>(IF('Inputs Whole-Project Water Use'!B352&lt;&gt;"",'Inputs Whole-Project Water Use'!B352,""))</f>
        <v/>
      </c>
      <c r="C352" s="313" t="str">
        <f>IF(AND(D352&lt;&gt;"",'Inputs Whole-Project Water Use'!C352=""),1,IF('Inputs Whole-Project Water Use'!C352&lt;&gt;"",'Inputs Whole-Project Water Use'!C352,""))</f>
        <v/>
      </c>
      <c r="D352" s="397" t="str">
        <f>IF('Inputs Whole-Project Water Use'!D352&lt;&gt;"",'Inputs Whole-Project Water Use'!D352,"")</f>
        <v/>
      </c>
      <c r="E352" s="398"/>
      <c r="F352" s="314" t="str">
        <f>IF('Inputs Whole-Project Water Use'!F352&lt;&gt;"",'Inputs Whole-Project Water Use'!F352,"")</f>
        <v/>
      </c>
      <c r="G352" s="314" t="str">
        <f>IF('Inputs Whole-Project Water Use'!G352&lt;&gt;"",'Inputs Whole-Project Water Use'!G352,"")</f>
        <v/>
      </c>
      <c r="H352" s="315" t="str">
        <f>IF('Inputs Whole-Project Water Use'!H352&lt;&gt;"",'Inputs Whole-Project Water Use'!H352,"")</f>
        <v/>
      </c>
      <c r="I352" s="390" t="str">
        <f t="shared" si="41"/>
        <v/>
      </c>
      <c r="J352" s="391"/>
      <c r="K352" s="316" t="str">
        <f>IF('Inputs Whole-Project Water Use'!K352&lt;&gt;"",'Inputs Whole-Project Water Use'!K352,"")</f>
        <v/>
      </c>
      <c r="L352" s="316" t="str">
        <f>IF('Inputs Whole-Project Water Use'!L352&lt;&gt;"",'Inputs Whole-Project Water Use'!L352,"")</f>
        <v/>
      </c>
      <c r="M352" s="390" t="str">
        <f t="shared" si="42"/>
        <v/>
      </c>
      <c r="N352" s="391"/>
      <c r="O352" s="225" t="str">
        <f t="shared" si="43"/>
        <v/>
      </c>
      <c r="P352" s="225" t="str">
        <f t="shared" si="44"/>
        <v/>
      </c>
      <c r="Q352" s="289" t="str">
        <f>IF(AND(D352&lt;&gt;"",'Inputs Whole-Project Water Use'!Q352=""),0,IF('Inputs Whole-Project Water Use'!Q352&lt;&gt;"",'Inputs Whole-Project Water Use'!Q352,""))</f>
        <v/>
      </c>
      <c r="R352" s="225" t="str">
        <f t="shared" si="45"/>
        <v/>
      </c>
      <c r="S352" s="225" t="str">
        <f t="shared" si="46"/>
        <v/>
      </c>
      <c r="T352" s="231" t="str">
        <f t="shared" si="47"/>
        <v/>
      </c>
      <c r="U352" s="241"/>
      <c r="V352" s="241"/>
      <c r="W352" s="241"/>
      <c r="X352" s="241"/>
      <c r="Y352" s="241"/>
      <c r="Z352" s="241"/>
      <c r="AA352" s="241"/>
      <c r="AB352" s="241"/>
      <c r="AC352" s="241"/>
      <c r="AD352" s="241"/>
      <c r="AE352" s="241"/>
      <c r="AF352" s="241"/>
      <c r="AG352" s="241"/>
      <c r="AH352" s="241"/>
      <c r="AI352" s="241"/>
      <c r="AJ352" s="241"/>
      <c r="AK352" s="241"/>
      <c r="AL352" s="241"/>
      <c r="AM352" s="241"/>
      <c r="AN352" s="241"/>
      <c r="AO352" s="241"/>
      <c r="AP352" s="241"/>
      <c r="AQ352" s="241"/>
      <c r="AR352" s="241"/>
      <c r="AS352" s="241"/>
      <c r="AT352" s="241"/>
      <c r="AU352" s="241"/>
      <c r="AV352" s="241"/>
      <c r="AW352" s="241"/>
      <c r="AX352" s="241"/>
      <c r="AY352" s="241"/>
      <c r="AZ352" s="241"/>
    </row>
    <row r="353" spans="1:52" s="71" customFormat="1" ht="18" hidden="1" customHeight="1" outlineLevel="2">
      <c r="A353" s="175">
        <v>83</v>
      </c>
      <c r="B353" s="312" t="str">
        <f>(IF('Inputs Whole-Project Water Use'!B353&lt;&gt;"",'Inputs Whole-Project Water Use'!B353,""))</f>
        <v/>
      </c>
      <c r="C353" s="313" t="str">
        <f>IF(AND(D353&lt;&gt;"",'Inputs Whole-Project Water Use'!C353=""),1,IF('Inputs Whole-Project Water Use'!C353&lt;&gt;"",'Inputs Whole-Project Water Use'!C353,""))</f>
        <v/>
      </c>
      <c r="D353" s="397" t="str">
        <f>IF('Inputs Whole-Project Water Use'!D353&lt;&gt;"",'Inputs Whole-Project Water Use'!D353,"")</f>
        <v/>
      </c>
      <c r="E353" s="398"/>
      <c r="F353" s="314" t="str">
        <f>IF('Inputs Whole-Project Water Use'!F353&lt;&gt;"",'Inputs Whole-Project Water Use'!F353,"")</f>
        <v/>
      </c>
      <c r="G353" s="314" t="str">
        <f>IF('Inputs Whole-Project Water Use'!G353&lt;&gt;"",'Inputs Whole-Project Water Use'!G353,"")</f>
        <v/>
      </c>
      <c r="H353" s="315" t="str">
        <f>IF('Inputs Whole-Project Water Use'!H353&lt;&gt;"",'Inputs Whole-Project Water Use'!H353,"")</f>
        <v/>
      </c>
      <c r="I353" s="390" t="str">
        <f t="shared" si="41"/>
        <v/>
      </c>
      <c r="J353" s="391"/>
      <c r="K353" s="316" t="str">
        <f>IF('Inputs Whole-Project Water Use'!K353&lt;&gt;"",'Inputs Whole-Project Water Use'!K353,"")</f>
        <v/>
      </c>
      <c r="L353" s="316" t="str">
        <f>IF('Inputs Whole-Project Water Use'!L353&lt;&gt;"",'Inputs Whole-Project Water Use'!L353,"")</f>
        <v/>
      </c>
      <c r="M353" s="390" t="str">
        <f t="shared" si="42"/>
        <v/>
      </c>
      <c r="N353" s="391"/>
      <c r="O353" s="225" t="str">
        <f t="shared" si="43"/>
        <v/>
      </c>
      <c r="P353" s="225" t="str">
        <f t="shared" si="44"/>
        <v/>
      </c>
      <c r="Q353" s="289" t="str">
        <f>IF(AND(D353&lt;&gt;"",'Inputs Whole-Project Water Use'!Q353=""),0,IF('Inputs Whole-Project Water Use'!Q353&lt;&gt;"",'Inputs Whole-Project Water Use'!Q353,""))</f>
        <v/>
      </c>
      <c r="R353" s="225" t="str">
        <f t="shared" si="45"/>
        <v/>
      </c>
      <c r="S353" s="225" t="str">
        <f t="shared" si="46"/>
        <v/>
      </c>
      <c r="T353" s="231" t="str">
        <f t="shared" si="47"/>
        <v/>
      </c>
      <c r="U353" s="241"/>
      <c r="V353" s="241"/>
      <c r="W353" s="241"/>
      <c r="X353" s="241"/>
      <c r="Y353" s="241"/>
      <c r="Z353" s="241"/>
      <c r="AA353" s="241"/>
      <c r="AB353" s="241"/>
      <c r="AC353" s="241"/>
      <c r="AD353" s="241"/>
      <c r="AE353" s="241"/>
      <c r="AF353" s="241"/>
      <c r="AG353" s="241"/>
      <c r="AH353" s="241"/>
      <c r="AI353" s="241"/>
      <c r="AJ353" s="241"/>
      <c r="AK353" s="241"/>
      <c r="AL353" s="241"/>
      <c r="AM353" s="241"/>
      <c r="AN353" s="241"/>
      <c r="AO353" s="241"/>
      <c r="AP353" s="241"/>
      <c r="AQ353" s="241"/>
      <c r="AR353" s="241"/>
      <c r="AS353" s="241"/>
      <c r="AT353" s="241"/>
      <c r="AU353" s="241"/>
      <c r="AV353" s="241"/>
      <c r="AW353" s="241"/>
      <c r="AX353" s="241"/>
      <c r="AY353" s="241"/>
      <c r="AZ353" s="241"/>
    </row>
    <row r="354" spans="1:52" s="71" customFormat="1" ht="18" hidden="1" customHeight="1" outlineLevel="2">
      <c r="A354" s="175">
        <v>84</v>
      </c>
      <c r="B354" s="312" t="str">
        <f>(IF('Inputs Whole-Project Water Use'!B354&lt;&gt;"",'Inputs Whole-Project Water Use'!B354,""))</f>
        <v/>
      </c>
      <c r="C354" s="313" t="str">
        <f>IF(AND(D354&lt;&gt;"",'Inputs Whole-Project Water Use'!C354=""),1,IF('Inputs Whole-Project Water Use'!C354&lt;&gt;"",'Inputs Whole-Project Water Use'!C354,""))</f>
        <v/>
      </c>
      <c r="D354" s="397" t="str">
        <f>IF('Inputs Whole-Project Water Use'!D354&lt;&gt;"",'Inputs Whole-Project Water Use'!D354,"")</f>
        <v/>
      </c>
      <c r="E354" s="398"/>
      <c r="F354" s="314" t="str">
        <f>IF('Inputs Whole-Project Water Use'!F354&lt;&gt;"",'Inputs Whole-Project Water Use'!F354,"")</f>
        <v/>
      </c>
      <c r="G354" s="314" t="str">
        <f>IF('Inputs Whole-Project Water Use'!G354&lt;&gt;"",'Inputs Whole-Project Water Use'!G354,"")</f>
        <v/>
      </c>
      <c r="H354" s="315" t="str">
        <f>IF('Inputs Whole-Project Water Use'!H354&lt;&gt;"",'Inputs Whole-Project Water Use'!H354,"")</f>
        <v/>
      </c>
      <c r="I354" s="390" t="str">
        <f t="shared" si="41"/>
        <v/>
      </c>
      <c r="J354" s="391"/>
      <c r="K354" s="316" t="str">
        <f>IF('Inputs Whole-Project Water Use'!K354&lt;&gt;"",'Inputs Whole-Project Water Use'!K354,"")</f>
        <v/>
      </c>
      <c r="L354" s="316" t="str">
        <f>IF('Inputs Whole-Project Water Use'!L354&lt;&gt;"",'Inputs Whole-Project Water Use'!L354,"")</f>
        <v/>
      </c>
      <c r="M354" s="390" t="str">
        <f t="shared" si="42"/>
        <v/>
      </c>
      <c r="N354" s="391"/>
      <c r="O354" s="225" t="str">
        <f t="shared" si="43"/>
        <v/>
      </c>
      <c r="P354" s="225" t="str">
        <f t="shared" si="44"/>
        <v/>
      </c>
      <c r="Q354" s="289" t="str">
        <f>IF(AND(D354&lt;&gt;"",'Inputs Whole-Project Water Use'!Q354=""),0,IF('Inputs Whole-Project Water Use'!Q354&lt;&gt;"",'Inputs Whole-Project Water Use'!Q354,""))</f>
        <v/>
      </c>
      <c r="R354" s="225" t="str">
        <f t="shared" si="45"/>
        <v/>
      </c>
      <c r="S354" s="225" t="str">
        <f t="shared" si="46"/>
        <v/>
      </c>
      <c r="T354" s="231" t="str">
        <f t="shared" si="47"/>
        <v/>
      </c>
      <c r="U354" s="241"/>
      <c r="V354" s="241"/>
      <c r="W354" s="241"/>
      <c r="X354" s="241"/>
      <c r="Y354" s="241"/>
      <c r="Z354" s="241"/>
      <c r="AA354" s="241"/>
      <c r="AB354" s="241"/>
      <c r="AC354" s="241"/>
      <c r="AD354" s="241"/>
      <c r="AE354" s="241"/>
      <c r="AF354" s="241"/>
      <c r="AG354" s="241"/>
      <c r="AH354" s="241"/>
      <c r="AI354" s="241"/>
      <c r="AJ354" s="241"/>
      <c r="AK354" s="241"/>
      <c r="AL354" s="241"/>
      <c r="AM354" s="241"/>
      <c r="AN354" s="241"/>
      <c r="AO354" s="241"/>
      <c r="AP354" s="241"/>
      <c r="AQ354" s="241"/>
      <c r="AR354" s="241"/>
      <c r="AS354" s="241"/>
      <c r="AT354" s="241"/>
      <c r="AU354" s="241"/>
      <c r="AV354" s="241"/>
      <c r="AW354" s="241"/>
      <c r="AX354" s="241"/>
      <c r="AY354" s="241"/>
      <c r="AZ354" s="241"/>
    </row>
    <row r="355" spans="1:52" s="71" customFormat="1" ht="18" hidden="1" customHeight="1" outlineLevel="2">
      <c r="A355" s="175">
        <v>85</v>
      </c>
      <c r="B355" s="312" t="str">
        <f>(IF('Inputs Whole-Project Water Use'!B355&lt;&gt;"",'Inputs Whole-Project Water Use'!B355,""))</f>
        <v/>
      </c>
      <c r="C355" s="313" t="str">
        <f>IF(AND(D355&lt;&gt;"",'Inputs Whole-Project Water Use'!C355=""),1,IF('Inputs Whole-Project Water Use'!C355&lt;&gt;"",'Inputs Whole-Project Water Use'!C355,""))</f>
        <v/>
      </c>
      <c r="D355" s="397" t="str">
        <f>IF('Inputs Whole-Project Water Use'!D355&lt;&gt;"",'Inputs Whole-Project Water Use'!D355,"")</f>
        <v/>
      </c>
      <c r="E355" s="398"/>
      <c r="F355" s="314" t="str">
        <f>IF('Inputs Whole-Project Water Use'!F355&lt;&gt;"",'Inputs Whole-Project Water Use'!F355,"")</f>
        <v/>
      </c>
      <c r="G355" s="314" t="str">
        <f>IF('Inputs Whole-Project Water Use'!G355&lt;&gt;"",'Inputs Whole-Project Water Use'!G355,"")</f>
        <v/>
      </c>
      <c r="H355" s="315" t="str">
        <f>IF('Inputs Whole-Project Water Use'!H355&lt;&gt;"",'Inputs Whole-Project Water Use'!H355,"")</f>
        <v/>
      </c>
      <c r="I355" s="390" t="str">
        <f t="shared" si="41"/>
        <v/>
      </c>
      <c r="J355" s="391"/>
      <c r="K355" s="316" t="str">
        <f>IF('Inputs Whole-Project Water Use'!K355&lt;&gt;"",'Inputs Whole-Project Water Use'!K355,"")</f>
        <v/>
      </c>
      <c r="L355" s="316" t="str">
        <f>IF('Inputs Whole-Project Water Use'!L355&lt;&gt;"",'Inputs Whole-Project Water Use'!L355,"")</f>
        <v/>
      </c>
      <c r="M355" s="390" t="str">
        <f t="shared" si="42"/>
        <v/>
      </c>
      <c r="N355" s="391"/>
      <c r="O355" s="225" t="str">
        <f t="shared" si="43"/>
        <v/>
      </c>
      <c r="P355" s="225" t="str">
        <f t="shared" si="44"/>
        <v/>
      </c>
      <c r="Q355" s="289" t="str">
        <f>IF(AND(D355&lt;&gt;"",'Inputs Whole-Project Water Use'!Q355=""),0,IF('Inputs Whole-Project Water Use'!Q355&lt;&gt;"",'Inputs Whole-Project Water Use'!Q355,""))</f>
        <v/>
      </c>
      <c r="R355" s="225" t="str">
        <f t="shared" si="45"/>
        <v/>
      </c>
      <c r="S355" s="225" t="str">
        <f t="shared" si="46"/>
        <v/>
      </c>
      <c r="T355" s="231" t="str">
        <f t="shared" si="47"/>
        <v/>
      </c>
      <c r="U355" s="241"/>
      <c r="V355" s="241"/>
      <c r="W355" s="241"/>
      <c r="X355" s="241"/>
      <c r="Y355" s="241"/>
      <c r="Z355" s="241"/>
      <c r="AA355" s="241"/>
      <c r="AB355" s="241"/>
      <c r="AC355" s="241"/>
      <c r="AD355" s="241"/>
      <c r="AE355" s="241"/>
      <c r="AF355" s="241"/>
      <c r="AG355" s="241"/>
      <c r="AH355" s="241"/>
      <c r="AI355" s="241"/>
      <c r="AJ355" s="241"/>
      <c r="AK355" s="241"/>
      <c r="AL355" s="241"/>
      <c r="AM355" s="241"/>
      <c r="AN355" s="241"/>
      <c r="AO355" s="241"/>
      <c r="AP355" s="241"/>
      <c r="AQ355" s="241"/>
      <c r="AR355" s="241"/>
      <c r="AS355" s="241"/>
      <c r="AT355" s="241"/>
      <c r="AU355" s="241"/>
      <c r="AV355" s="241"/>
      <c r="AW355" s="241"/>
      <c r="AX355" s="241"/>
      <c r="AY355" s="241"/>
      <c r="AZ355" s="241"/>
    </row>
    <row r="356" spans="1:52" s="71" customFormat="1" ht="18" hidden="1" customHeight="1" outlineLevel="2">
      <c r="A356" s="175">
        <v>86</v>
      </c>
      <c r="B356" s="312" t="str">
        <f>(IF('Inputs Whole-Project Water Use'!B356&lt;&gt;"",'Inputs Whole-Project Water Use'!B356,""))</f>
        <v/>
      </c>
      <c r="C356" s="313" t="str">
        <f>IF(AND(D356&lt;&gt;"",'Inputs Whole-Project Water Use'!C356=""),1,IF('Inputs Whole-Project Water Use'!C356&lt;&gt;"",'Inputs Whole-Project Water Use'!C356,""))</f>
        <v/>
      </c>
      <c r="D356" s="397" t="str">
        <f>IF('Inputs Whole-Project Water Use'!D356&lt;&gt;"",'Inputs Whole-Project Water Use'!D356,"")</f>
        <v/>
      </c>
      <c r="E356" s="398"/>
      <c r="F356" s="314" t="str">
        <f>IF('Inputs Whole-Project Water Use'!F356&lt;&gt;"",'Inputs Whole-Project Water Use'!F356,"")</f>
        <v/>
      </c>
      <c r="G356" s="314" t="str">
        <f>IF('Inputs Whole-Project Water Use'!G356&lt;&gt;"",'Inputs Whole-Project Water Use'!G356,"")</f>
        <v/>
      </c>
      <c r="H356" s="315" t="str">
        <f>IF('Inputs Whole-Project Water Use'!H356&lt;&gt;"",'Inputs Whole-Project Water Use'!H356,"")</f>
        <v/>
      </c>
      <c r="I356" s="390" t="str">
        <f t="shared" si="41"/>
        <v/>
      </c>
      <c r="J356" s="391"/>
      <c r="K356" s="316" t="str">
        <f>IF('Inputs Whole-Project Water Use'!K356&lt;&gt;"",'Inputs Whole-Project Water Use'!K356,"")</f>
        <v/>
      </c>
      <c r="L356" s="316" t="str">
        <f>IF('Inputs Whole-Project Water Use'!L356&lt;&gt;"",'Inputs Whole-Project Water Use'!L356,"")</f>
        <v/>
      </c>
      <c r="M356" s="390" t="str">
        <f t="shared" si="42"/>
        <v/>
      </c>
      <c r="N356" s="391"/>
      <c r="O356" s="225" t="str">
        <f t="shared" si="43"/>
        <v/>
      </c>
      <c r="P356" s="225" t="str">
        <f t="shared" si="44"/>
        <v/>
      </c>
      <c r="Q356" s="289" t="str">
        <f>IF(AND(D356&lt;&gt;"",'Inputs Whole-Project Water Use'!Q356=""),0,IF('Inputs Whole-Project Water Use'!Q356&lt;&gt;"",'Inputs Whole-Project Water Use'!Q356,""))</f>
        <v/>
      </c>
      <c r="R356" s="225" t="str">
        <f t="shared" si="45"/>
        <v/>
      </c>
      <c r="S356" s="225" t="str">
        <f t="shared" si="46"/>
        <v/>
      </c>
      <c r="T356" s="231" t="str">
        <f t="shared" si="47"/>
        <v/>
      </c>
      <c r="U356" s="241"/>
      <c r="V356" s="241"/>
      <c r="W356" s="241"/>
      <c r="X356" s="241"/>
      <c r="Y356" s="241"/>
      <c r="Z356" s="241"/>
      <c r="AA356" s="241"/>
      <c r="AB356" s="241"/>
      <c r="AC356" s="241"/>
      <c r="AD356" s="241"/>
      <c r="AE356" s="241"/>
      <c r="AF356" s="241"/>
      <c r="AG356" s="241"/>
      <c r="AH356" s="241"/>
      <c r="AI356" s="241"/>
      <c r="AJ356" s="241"/>
      <c r="AK356" s="241"/>
      <c r="AL356" s="241"/>
      <c r="AM356" s="241"/>
      <c r="AN356" s="241"/>
      <c r="AO356" s="241"/>
      <c r="AP356" s="241"/>
      <c r="AQ356" s="241"/>
      <c r="AR356" s="241"/>
      <c r="AS356" s="241"/>
      <c r="AT356" s="241"/>
      <c r="AU356" s="241"/>
      <c r="AV356" s="241"/>
      <c r="AW356" s="241"/>
      <c r="AX356" s="241"/>
      <c r="AY356" s="241"/>
      <c r="AZ356" s="241"/>
    </row>
    <row r="357" spans="1:52" s="71" customFormat="1" ht="18" hidden="1" customHeight="1" outlineLevel="2">
      <c r="A357" s="175">
        <v>87</v>
      </c>
      <c r="B357" s="312" t="str">
        <f>(IF('Inputs Whole-Project Water Use'!B357&lt;&gt;"",'Inputs Whole-Project Water Use'!B357,""))</f>
        <v/>
      </c>
      <c r="C357" s="313" t="str">
        <f>IF(AND(D357&lt;&gt;"",'Inputs Whole-Project Water Use'!C357=""),1,IF('Inputs Whole-Project Water Use'!C357&lt;&gt;"",'Inputs Whole-Project Water Use'!C357,""))</f>
        <v/>
      </c>
      <c r="D357" s="397" t="str">
        <f>IF('Inputs Whole-Project Water Use'!D357&lt;&gt;"",'Inputs Whole-Project Water Use'!D357,"")</f>
        <v/>
      </c>
      <c r="E357" s="398"/>
      <c r="F357" s="314" t="str">
        <f>IF('Inputs Whole-Project Water Use'!F357&lt;&gt;"",'Inputs Whole-Project Water Use'!F357,"")</f>
        <v/>
      </c>
      <c r="G357" s="314" t="str">
        <f>IF('Inputs Whole-Project Water Use'!G357&lt;&gt;"",'Inputs Whole-Project Water Use'!G357,"")</f>
        <v/>
      </c>
      <c r="H357" s="315" t="str">
        <f>IF('Inputs Whole-Project Water Use'!H357&lt;&gt;"",'Inputs Whole-Project Water Use'!H357,"")</f>
        <v/>
      </c>
      <c r="I357" s="390" t="str">
        <f t="shared" si="41"/>
        <v/>
      </c>
      <c r="J357" s="391"/>
      <c r="K357" s="316" t="str">
        <f>IF('Inputs Whole-Project Water Use'!K357&lt;&gt;"",'Inputs Whole-Project Water Use'!K357,"")</f>
        <v/>
      </c>
      <c r="L357" s="316" t="str">
        <f>IF('Inputs Whole-Project Water Use'!L357&lt;&gt;"",'Inputs Whole-Project Water Use'!L357,"")</f>
        <v/>
      </c>
      <c r="M357" s="390" t="str">
        <f t="shared" si="42"/>
        <v/>
      </c>
      <c r="N357" s="391"/>
      <c r="O357" s="225" t="str">
        <f t="shared" si="43"/>
        <v/>
      </c>
      <c r="P357" s="225" t="str">
        <f t="shared" si="44"/>
        <v/>
      </c>
      <c r="Q357" s="289" t="str">
        <f>IF(AND(D357&lt;&gt;"",'Inputs Whole-Project Water Use'!Q357=""),0,IF('Inputs Whole-Project Water Use'!Q357&lt;&gt;"",'Inputs Whole-Project Water Use'!Q357,""))</f>
        <v/>
      </c>
      <c r="R357" s="225" t="str">
        <f t="shared" si="45"/>
        <v/>
      </c>
      <c r="S357" s="225" t="str">
        <f t="shared" si="46"/>
        <v/>
      </c>
      <c r="T357" s="231" t="str">
        <f t="shared" si="47"/>
        <v/>
      </c>
      <c r="U357" s="241"/>
      <c r="V357" s="241"/>
      <c r="W357" s="241"/>
      <c r="X357" s="241"/>
      <c r="Y357" s="241"/>
      <c r="Z357" s="241"/>
      <c r="AA357" s="241"/>
      <c r="AB357" s="241"/>
      <c r="AC357" s="241"/>
      <c r="AD357" s="241"/>
      <c r="AE357" s="241"/>
      <c r="AF357" s="241"/>
      <c r="AG357" s="241"/>
      <c r="AH357" s="241"/>
      <c r="AI357" s="241"/>
      <c r="AJ357" s="241"/>
      <c r="AK357" s="241"/>
      <c r="AL357" s="241"/>
      <c r="AM357" s="241"/>
      <c r="AN357" s="241"/>
      <c r="AO357" s="241"/>
      <c r="AP357" s="241"/>
      <c r="AQ357" s="241"/>
      <c r="AR357" s="241"/>
      <c r="AS357" s="241"/>
      <c r="AT357" s="241"/>
      <c r="AU357" s="241"/>
      <c r="AV357" s="241"/>
      <c r="AW357" s="241"/>
      <c r="AX357" s="241"/>
      <c r="AY357" s="241"/>
      <c r="AZ357" s="241"/>
    </row>
    <row r="358" spans="1:52" s="71" customFormat="1" ht="18" hidden="1" customHeight="1" outlineLevel="2">
      <c r="A358" s="175">
        <v>88</v>
      </c>
      <c r="B358" s="312" t="str">
        <f>(IF('Inputs Whole-Project Water Use'!B358&lt;&gt;"",'Inputs Whole-Project Water Use'!B358,""))</f>
        <v/>
      </c>
      <c r="C358" s="313" t="str">
        <f>IF(AND(D358&lt;&gt;"",'Inputs Whole-Project Water Use'!C358=""),1,IF('Inputs Whole-Project Water Use'!C358&lt;&gt;"",'Inputs Whole-Project Water Use'!C358,""))</f>
        <v/>
      </c>
      <c r="D358" s="397" t="str">
        <f>IF('Inputs Whole-Project Water Use'!D358&lt;&gt;"",'Inputs Whole-Project Water Use'!D358,"")</f>
        <v/>
      </c>
      <c r="E358" s="398"/>
      <c r="F358" s="314" t="str">
        <f>IF('Inputs Whole-Project Water Use'!F358&lt;&gt;"",'Inputs Whole-Project Water Use'!F358,"")</f>
        <v/>
      </c>
      <c r="G358" s="314" t="str">
        <f>IF('Inputs Whole-Project Water Use'!G358&lt;&gt;"",'Inputs Whole-Project Water Use'!G358,"")</f>
        <v/>
      </c>
      <c r="H358" s="315" t="str">
        <f>IF('Inputs Whole-Project Water Use'!H358&lt;&gt;"",'Inputs Whole-Project Water Use'!H358,"")</f>
        <v/>
      </c>
      <c r="I358" s="390" t="str">
        <f t="shared" si="41"/>
        <v/>
      </c>
      <c r="J358" s="391"/>
      <c r="K358" s="316" t="str">
        <f>IF('Inputs Whole-Project Water Use'!K358&lt;&gt;"",'Inputs Whole-Project Water Use'!K358,"")</f>
        <v/>
      </c>
      <c r="L358" s="316" t="str">
        <f>IF('Inputs Whole-Project Water Use'!L358&lt;&gt;"",'Inputs Whole-Project Water Use'!L358,"")</f>
        <v/>
      </c>
      <c r="M358" s="390" t="str">
        <f t="shared" si="42"/>
        <v/>
      </c>
      <c r="N358" s="391"/>
      <c r="O358" s="225" t="str">
        <f t="shared" si="43"/>
        <v/>
      </c>
      <c r="P358" s="225" t="str">
        <f t="shared" si="44"/>
        <v/>
      </c>
      <c r="Q358" s="289" t="str">
        <f>IF(AND(D358&lt;&gt;"",'Inputs Whole-Project Water Use'!Q358=""),0,IF('Inputs Whole-Project Water Use'!Q358&lt;&gt;"",'Inputs Whole-Project Water Use'!Q358,""))</f>
        <v/>
      </c>
      <c r="R358" s="225" t="str">
        <f t="shared" si="45"/>
        <v/>
      </c>
      <c r="S358" s="225" t="str">
        <f t="shared" si="46"/>
        <v/>
      </c>
      <c r="T358" s="231" t="str">
        <f t="shared" si="47"/>
        <v/>
      </c>
      <c r="U358" s="241"/>
      <c r="V358" s="241"/>
      <c r="W358" s="241"/>
      <c r="X358" s="241"/>
      <c r="Y358" s="241"/>
      <c r="Z358" s="241"/>
      <c r="AA358" s="241"/>
      <c r="AB358" s="241"/>
      <c r="AC358" s="241"/>
      <c r="AD358" s="241"/>
      <c r="AE358" s="241"/>
      <c r="AF358" s="241"/>
      <c r="AG358" s="241"/>
      <c r="AH358" s="241"/>
      <c r="AI358" s="241"/>
      <c r="AJ358" s="241"/>
      <c r="AK358" s="241"/>
      <c r="AL358" s="241"/>
      <c r="AM358" s="241"/>
      <c r="AN358" s="241"/>
      <c r="AO358" s="241"/>
      <c r="AP358" s="241"/>
      <c r="AQ358" s="241"/>
      <c r="AR358" s="241"/>
      <c r="AS358" s="241"/>
      <c r="AT358" s="241"/>
      <c r="AU358" s="241"/>
      <c r="AV358" s="241"/>
      <c r="AW358" s="241"/>
      <c r="AX358" s="241"/>
      <c r="AY358" s="241"/>
      <c r="AZ358" s="241"/>
    </row>
    <row r="359" spans="1:52" s="71" customFormat="1" ht="18" hidden="1" customHeight="1" outlineLevel="2">
      <c r="A359" s="175">
        <v>89</v>
      </c>
      <c r="B359" s="312" t="str">
        <f>(IF('Inputs Whole-Project Water Use'!B359&lt;&gt;"",'Inputs Whole-Project Water Use'!B359,""))</f>
        <v/>
      </c>
      <c r="C359" s="313" t="str">
        <f>IF(AND(D359&lt;&gt;"",'Inputs Whole-Project Water Use'!C359=""),1,IF('Inputs Whole-Project Water Use'!C359&lt;&gt;"",'Inputs Whole-Project Water Use'!C359,""))</f>
        <v/>
      </c>
      <c r="D359" s="397" t="str">
        <f>IF('Inputs Whole-Project Water Use'!D359&lt;&gt;"",'Inputs Whole-Project Water Use'!D359,"")</f>
        <v/>
      </c>
      <c r="E359" s="398"/>
      <c r="F359" s="314" t="str">
        <f>IF('Inputs Whole-Project Water Use'!F359&lt;&gt;"",'Inputs Whole-Project Water Use'!F359,"")</f>
        <v/>
      </c>
      <c r="G359" s="314" t="str">
        <f>IF('Inputs Whole-Project Water Use'!G359&lt;&gt;"",'Inputs Whole-Project Water Use'!G359,"")</f>
        <v/>
      </c>
      <c r="H359" s="315" t="str">
        <f>IF('Inputs Whole-Project Water Use'!H359&lt;&gt;"",'Inputs Whole-Project Water Use'!H359,"")</f>
        <v/>
      </c>
      <c r="I359" s="390" t="str">
        <f t="shared" si="41"/>
        <v/>
      </c>
      <c r="J359" s="391"/>
      <c r="K359" s="316" t="str">
        <f>IF('Inputs Whole-Project Water Use'!K359&lt;&gt;"",'Inputs Whole-Project Water Use'!K359,"")</f>
        <v/>
      </c>
      <c r="L359" s="316" t="str">
        <f>IF('Inputs Whole-Project Water Use'!L359&lt;&gt;"",'Inputs Whole-Project Water Use'!L359,"")</f>
        <v/>
      </c>
      <c r="M359" s="390" t="str">
        <f t="shared" si="42"/>
        <v/>
      </c>
      <c r="N359" s="391"/>
      <c r="O359" s="225" t="str">
        <f t="shared" si="43"/>
        <v/>
      </c>
      <c r="P359" s="225" t="str">
        <f t="shared" si="44"/>
        <v/>
      </c>
      <c r="Q359" s="289" t="str">
        <f>IF(AND(D359&lt;&gt;"",'Inputs Whole-Project Water Use'!Q359=""),0,IF('Inputs Whole-Project Water Use'!Q359&lt;&gt;"",'Inputs Whole-Project Water Use'!Q359,""))</f>
        <v/>
      </c>
      <c r="R359" s="225" t="str">
        <f t="shared" si="45"/>
        <v/>
      </c>
      <c r="S359" s="225" t="str">
        <f t="shared" si="46"/>
        <v/>
      </c>
      <c r="T359" s="231" t="str">
        <f t="shared" si="47"/>
        <v/>
      </c>
      <c r="U359" s="241"/>
      <c r="V359" s="241"/>
      <c r="W359" s="241"/>
      <c r="X359" s="241"/>
      <c r="Y359" s="241"/>
      <c r="Z359" s="241"/>
      <c r="AA359" s="241"/>
      <c r="AB359" s="241"/>
      <c r="AC359" s="241"/>
      <c r="AD359" s="241"/>
      <c r="AE359" s="241"/>
      <c r="AF359" s="241"/>
      <c r="AG359" s="241"/>
      <c r="AH359" s="241"/>
      <c r="AI359" s="241"/>
      <c r="AJ359" s="241"/>
      <c r="AK359" s="241"/>
      <c r="AL359" s="241"/>
      <c r="AM359" s="241"/>
      <c r="AN359" s="241"/>
      <c r="AO359" s="241"/>
      <c r="AP359" s="241"/>
      <c r="AQ359" s="241"/>
      <c r="AR359" s="241"/>
      <c r="AS359" s="241"/>
      <c r="AT359" s="241"/>
      <c r="AU359" s="241"/>
      <c r="AV359" s="241"/>
      <c r="AW359" s="241"/>
      <c r="AX359" s="241"/>
      <c r="AY359" s="241"/>
      <c r="AZ359" s="241"/>
    </row>
    <row r="360" spans="1:52" s="71" customFormat="1" ht="18" hidden="1" customHeight="1" outlineLevel="2">
      <c r="A360" s="175">
        <v>90</v>
      </c>
      <c r="B360" s="312" t="str">
        <f>(IF('Inputs Whole-Project Water Use'!B360&lt;&gt;"",'Inputs Whole-Project Water Use'!B360,""))</f>
        <v/>
      </c>
      <c r="C360" s="313" t="str">
        <f>IF(AND(D360&lt;&gt;"",'Inputs Whole-Project Water Use'!C360=""),1,IF('Inputs Whole-Project Water Use'!C360&lt;&gt;"",'Inputs Whole-Project Water Use'!C360,""))</f>
        <v/>
      </c>
      <c r="D360" s="397" t="str">
        <f>IF('Inputs Whole-Project Water Use'!D360&lt;&gt;"",'Inputs Whole-Project Water Use'!D360,"")</f>
        <v/>
      </c>
      <c r="E360" s="398"/>
      <c r="F360" s="314" t="str">
        <f>IF('Inputs Whole-Project Water Use'!F360&lt;&gt;"",'Inputs Whole-Project Water Use'!F360,"")</f>
        <v/>
      </c>
      <c r="G360" s="314" t="str">
        <f>IF('Inputs Whole-Project Water Use'!G360&lt;&gt;"",'Inputs Whole-Project Water Use'!G360,"")</f>
        <v/>
      </c>
      <c r="H360" s="315" t="str">
        <f>IF('Inputs Whole-Project Water Use'!H360&lt;&gt;"",'Inputs Whole-Project Water Use'!H360,"")</f>
        <v/>
      </c>
      <c r="I360" s="390" t="str">
        <f t="shared" si="41"/>
        <v/>
      </c>
      <c r="J360" s="391"/>
      <c r="K360" s="316" t="str">
        <f>IF('Inputs Whole-Project Water Use'!K360&lt;&gt;"",'Inputs Whole-Project Water Use'!K360,"")</f>
        <v/>
      </c>
      <c r="L360" s="316" t="str">
        <f>IF('Inputs Whole-Project Water Use'!L360&lt;&gt;"",'Inputs Whole-Project Water Use'!L360,"")</f>
        <v/>
      </c>
      <c r="M360" s="390" t="str">
        <f t="shared" si="42"/>
        <v/>
      </c>
      <c r="N360" s="391"/>
      <c r="O360" s="225" t="str">
        <f t="shared" si="43"/>
        <v/>
      </c>
      <c r="P360" s="225" t="str">
        <f t="shared" si="44"/>
        <v/>
      </c>
      <c r="Q360" s="289" t="str">
        <f>IF(AND(D360&lt;&gt;"",'Inputs Whole-Project Water Use'!Q360=""),0,IF('Inputs Whole-Project Water Use'!Q360&lt;&gt;"",'Inputs Whole-Project Water Use'!Q360,""))</f>
        <v/>
      </c>
      <c r="R360" s="225" t="str">
        <f t="shared" si="45"/>
        <v/>
      </c>
      <c r="S360" s="225" t="str">
        <f t="shared" si="46"/>
        <v/>
      </c>
      <c r="T360" s="231" t="str">
        <f t="shared" si="47"/>
        <v/>
      </c>
      <c r="U360" s="241"/>
      <c r="V360" s="241"/>
      <c r="W360" s="241"/>
      <c r="X360" s="241"/>
      <c r="Y360" s="241"/>
      <c r="Z360" s="241"/>
      <c r="AA360" s="241"/>
      <c r="AB360" s="241"/>
      <c r="AC360" s="241"/>
      <c r="AD360" s="241"/>
      <c r="AE360" s="241"/>
      <c r="AF360" s="241"/>
      <c r="AG360" s="241"/>
      <c r="AH360" s="241"/>
      <c r="AI360" s="241"/>
      <c r="AJ360" s="241"/>
      <c r="AK360" s="241"/>
      <c r="AL360" s="241"/>
      <c r="AM360" s="241"/>
      <c r="AN360" s="241"/>
      <c r="AO360" s="241"/>
      <c r="AP360" s="241"/>
      <c r="AQ360" s="241"/>
      <c r="AR360" s="241"/>
      <c r="AS360" s="241"/>
      <c r="AT360" s="241"/>
      <c r="AU360" s="241"/>
      <c r="AV360" s="241"/>
      <c r="AW360" s="241"/>
      <c r="AX360" s="241"/>
      <c r="AY360" s="241"/>
      <c r="AZ360" s="241"/>
    </row>
    <row r="361" spans="1:52" s="71" customFormat="1" ht="18" hidden="1" customHeight="1" outlineLevel="1" collapsed="1">
      <c r="A361" s="175">
        <v>91</v>
      </c>
      <c r="B361" s="312" t="str">
        <f>(IF('Inputs Whole-Project Water Use'!B361&lt;&gt;"",'Inputs Whole-Project Water Use'!B361,""))</f>
        <v/>
      </c>
      <c r="C361" s="313" t="str">
        <f>IF(AND(D361&lt;&gt;"",'Inputs Whole-Project Water Use'!C361=""),1,IF('Inputs Whole-Project Water Use'!C361&lt;&gt;"",'Inputs Whole-Project Water Use'!C361,""))</f>
        <v/>
      </c>
      <c r="D361" s="397" t="str">
        <f>IF('Inputs Whole-Project Water Use'!D361&lt;&gt;"",'Inputs Whole-Project Water Use'!D361,"")</f>
        <v/>
      </c>
      <c r="E361" s="398"/>
      <c r="F361" s="314" t="str">
        <f>IF('Inputs Whole-Project Water Use'!F361&lt;&gt;"",'Inputs Whole-Project Water Use'!F361,"")</f>
        <v/>
      </c>
      <c r="G361" s="314" t="str">
        <f>IF('Inputs Whole-Project Water Use'!G361&lt;&gt;"",'Inputs Whole-Project Water Use'!G361,"")</f>
        <v/>
      </c>
      <c r="H361" s="315" t="str">
        <f>IF('Inputs Whole-Project Water Use'!H361&lt;&gt;"",'Inputs Whole-Project Water Use'!H361,"")</f>
        <v/>
      </c>
      <c r="I361" s="390" t="str">
        <f t="shared" si="41"/>
        <v/>
      </c>
      <c r="J361" s="391"/>
      <c r="K361" s="316" t="str">
        <f>IF('Inputs Whole-Project Water Use'!K361&lt;&gt;"",'Inputs Whole-Project Water Use'!K361,"")</f>
        <v/>
      </c>
      <c r="L361" s="316" t="str">
        <f>IF('Inputs Whole-Project Water Use'!L361&lt;&gt;"",'Inputs Whole-Project Water Use'!L361,"")</f>
        <v/>
      </c>
      <c r="M361" s="390" t="str">
        <f t="shared" si="42"/>
        <v/>
      </c>
      <c r="N361" s="391"/>
      <c r="O361" s="225" t="str">
        <f t="shared" si="43"/>
        <v/>
      </c>
      <c r="P361" s="225" t="str">
        <f t="shared" si="44"/>
        <v/>
      </c>
      <c r="Q361" s="289" t="str">
        <f>IF(AND(D361&lt;&gt;"",'Inputs Whole-Project Water Use'!Q361=""),0,IF('Inputs Whole-Project Water Use'!Q361&lt;&gt;"",'Inputs Whole-Project Water Use'!Q361,""))</f>
        <v/>
      </c>
      <c r="R361" s="225" t="str">
        <f t="shared" si="45"/>
        <v/>
      </c>
      <c r="S361" s="225" t="str">
        <f t="shared" si="46"/>
        <v/>
      </c>
      <c r="T361" s="231" t="str">
        <f t="shared" si="47"/>
        <v/>
      </c>
      <c r="U361" s="176" t="s">
        <v>165</v>
      </c>
      <c r="V361" s="241"/>
      <c r="W361" s="241"/>
      <c r="X361" s="241"/>
      <c r="Y361" s="241"/>
      <c r="Z361" s="241"/>
      <c r="AA361" s="241"/>
      <c r="AB361" s="241"/>
      <c r="AC361" s="241"/>
      <c r="AD361" s="241"/>
      <c r="AE361" s="241"/>
      <c r="AF361" s="241"/>
      <c r="AG361" s="241"/>
      <c r="AH361" s="241"/>
      <c r="AI361" s="241"/>
      <c r="AJ361" s="241"/>
      <c r="AK361" s="241"/>
      <c r="AL361" s="241"/>
      <c r="AM361" s="241"/>
      <c r="AN361" s="241"/>
      <c r="AO361" s="241"/>
      <c r="AP361" s="241"/>
      <c r="AQ361" s="241"/>
      <c r="AR361" s="241"/>
      <c r="AS361" s="241"/>
      <c r="AT361" s="241"/>
      <c r="AU361" s="241"/>
      <c r="AV361" s="241"/>
      <c r="AW361" s="241"/>
      <c r="AX361" s="241"/>
      <c r="AY361" s="241"/>
      <c r="AZ361" s="241"/>
    </row>
    <row r="362" spans="1:52" s="71" customFormat="1" ht="18" hidden="1" customHeight="1" outlineLevel="2">
      <c r="A362" s="175">
        <v>92</v>
      </c>
      <c r="B362" s="312" t="str">
        <f>(IF('Inputs Whole-Project Water Use'!B362&lt;&gt;"",'Inputs Whole-Project Water Use'!B362,""))</f>
        <v/>
      </c>
      <c r="C362" s="313" t="str">
        <f>IF(AND(D362&lt;&gt;"",'Inputs Whole-Project Water Use'!C362=""),1,IF('Inputs Whole-Project Water Use'!C362&lt;&gt;"",'Inputs Whole-Project Water Use'!C362,""))</f>
        <v/>
      </c>
      <c r="D362" s="397" t="str">
        <f>IF('Inputs Whole-Project Water Use'!D362&lt;&gt;"",'Inputs Whole-Project Water Use'!D362,"")</f>
        <v/>
      </c>
      <c r="E362" s="398"/>
      <c r="F362" s="314" t="str">
        <f>IF('Inputs Whole-Project Water Use'!F362&lt;&gt;"",'Inputs Whole-Project Water Use'!F362,"")</f>
        <v/>
      </c>
      <c r="G362" s="314" t="str">
        <f>IF('Inputs Whole-Project Water Use'!G362&lt;&gt;"",'Inputs Whole-Project Water Use'!G362,"")</f>
        <v/>
      </c>
      <c r="H362" s="315" t="str">
        <f>IF('Inputs Whole-Project Water Use'!H362&lt;&gt;"",'Inputs Whole-Project Water Use'!H362,"")</f>
        <v/>
      </c>
      <c r="I362" s="390" t="str">
        <f t="shared" si="41"/>
        <v/>
      </c>
      <c r="J362" s="391"/>
      <c r="K362" s="316" t="str">
        <f>IF('Inputs Whole-Project Water Use'!K362&lt;&gt;"",'Inputs Whole-Project Water Use'!K362,"")</f>
        <v/>
      </c>
      <c r="L362" s="316" t="str">
        <f>IF('Inputs Whole-Project Water Use'!L362&lt;&gt;"",'Inputs Whole-Project Water Use'!L362,"")</f>
        <v/>
      </c>
      <c r="M362" s="390" t="str">
        <f t="shared" si="42"/>
        <v/>
      </c>
      <c r="N362" s="391"/>
      <c r="O362" s="225" t="str">
        <f t="shared" si="43"/>
        <v/>
      </c>
      <c r="P362" s="225" t="str">
        <f t="shared" si="44"/>
        <v/>
      </c>
      <c r="Q362" s="289" t="str">
        <f>IF(AND(D362&lt;&gt;"",'Inputs Whole-Project Water Use'!Q362=""),0,IF('Inputs Whole-Project Water Use'!Q362&lt;&gt;"",'Inputs Whole-Project Water Use'!Q362,""))</f>
        <v/>
      </c>
      <c r="R362" s="225" t="str">
        <f t="shared" si="45"/>
        <v/>
      </c>
      <c r="S362" s="225" t="str">
        <f t="shared" si="46"/>
        <v/>
      </c>
      <c r="T362" s="231" t="str">
        <f t="shared" si="47"/>
        <v/>
      </c>
      <c r="U362" s="241"/>
      <c r="V362" s="241"/>
      <c r="W362" s="241"/>
      <c r="X362" s="241"/>
      <c r="Y362" s="241"/>
      <c r="Z362" s="241"/>
      <c r="AA362" s="241"/>
      <c r="AB362" s="241"/>
      <c r="AC362" s="241"/>
      <c r="AD362" s="241"/>
      <c r="AE362" s="241"/>
      <c r="AF362" s="241"/>
      <c r="AG362" s="241"/>
      <c r="AH362" s="241"/>
      <c r="AI362" s="241"/>
      <c r="AJ362" s="241"/>
      <c r="AK362" s="241"/>
      <c r="AL362" s="241"/>
      <c r="AM362" s="241"/>
      <c r="AN362" s="241"/>
      <c r="AO362" s="241"/>
      <c r="AP362" s="241"/>
      <c r="AQ362" s="241"/>
      <c r="AR362" s="241"/>
      <c r="AS362" s="241"/>
      <c r="AT362" s="241"/>
      <c r="AU362" s="241"/>
      <c r="AV362" s="241"/>
      <c r="AW362" s="241"/>
      <c r="AX362" s="241"/>
      <c r="AY362" s="241"/>
      <c r="AZ362" s="241"/>
    </row>
    <row r="363" spans="1:52" s="71" customFormat="1" ht="18" hidden="1" customHeight="1" outlineLevel="2">
      <c r="A363" s="175">
        <v>93</v>
      </c>
      <c r="B363" s="312" t="str">
        <f>(IF('Inputs Whole-Project Water Use'!B363&lt;&gt;"",'Inputs Whole-Project Water Use'!B363,""))</f>
        <v/>
      </c>
      <c r="C363" s="313" t="str">
        <f>IF(AND(D363&lt;&gt;"",'Inputs Whole-Project Water Use'!C363=""),1,IF('Inputs Whole-Project Water Use'!C363&lt;&gt;"",'Inputs Whole-Project Water Use'!C363,""))</f>
        <v/>
      </c>
      <c r="D363" s="397" t="str">
        <f>IF('Inputs Whole-Project Water Use'!D363&lt;&gt;"",'Inputs Whole-Project Water Use'!D363,"")</f>
        <v/>
      </c>
      <c r="E363" s="398"/>
      <c r="F363" s="314" t="str">
        <f>IF('Inputs Whole-Project Water Use'!F363&lt;&gt;"",'Inputs Whole-Project Water Use'!F363,"")</f>
        <v/>
      </c>
      <c r="G363" s="314" t="str">
        <f>IF('Inputs Whole-Project Water Use'!G363&lt;&gt;"",'Inputs Whole-Project Water Use'!G363,"")</f>
        <v/>
      </c>
      <c r="H363" s="315" t="str">
        <f>IF('Inputs Whole-Project Water Use'!H363&lt;&gt;"",'Inputs Whole-Project Water Use'!H363,"")</f>
        <v/>
      </c>
      <c r="I363" s="390" t="str">
        <f t="shared" si="41"/>
        <v/>
      </c>
      <c r="J363" s="391"/>
      <c r="K363" s="316" t="str">
        <f>IF('Inputs Whole-Project Water Use'!K363&lt;&gt;"",'Inputs Whole-Project Water Use'!K363,"")</f>
        <v/>
      </c>
      <c r="L363" s="316" t="str">
        <f>IF('Inputs Whole-Project Water Use'!L363&lt;&gt;"",'Inputs Whole-Project Water Use'!L363,"")</f>
        <v/>
      </c>
      <c r="M363" s="390" t="str">
        <f t="shared" si="42"/>
        <v/>
      </c>
      <c r="N363" s="391"/>
      <c r="O363" s="225" t="str">
        <f t="shared" si="43"/>
        <v/>
      </c>
      <c r="P363" s="225" t="str">
        <f t="shared" si="44"/>
        <v/>
      </c>
      <c r="Q363" s="289" t="str">
        <f>IF(AND(D363&lt;&gt;"",'Inputs Whole-Project Water Use'!Q363=""),0,IF('Inputs Whole-Project Water Use'!Q363&lt;&gt;"",'Inputs Whole-Project Water Use'!Q363,""))</f>
        <v/>
      </c>
      <c r="R363" s="225" t="str">
        <f t="shared" si="45"/>
        <v/>
      </c>
      <c r="S363" s="225" t="str">
        <f t="shared" si="46"/>
        <v/>
      </c>
      <c r="T363" s="231" t="str">
        <f t="shared" si="47"/>
        <v/>
      </c>
      <c r="U363" s="241"/>
      <c r="V363" s="241"/>
      <c r="W363" s="241"/>
      <c r="X363" s="241"/>
      <c r="Y363" s="241"/>
      <c r="Z363" s="241"/>
      <c r="AA363" s="241"/>
      <c r="AB363" s="241"/>
      <c r="AC363" s="241"/>
      <c r="AD363" s="241"/>
      <c r="AE363" s="241"/>
      <c r="AF363" s="241"/>
      <c r="AG363" s="241"/>
      <c r="AH363" s="241"/>
      <c r="AI363" s="241"/>
      <c r="AJ363" s="241"/>
      <c r="AK363" s="241"/>
      <c r="AL363" s="241"/>
      <c r="AM363" s="241"/>
      <c r="AN363" s="241"/>
      <c r="AO363" s="241"/>
      <c r="AP363" s="241"/>
      <c r="AQ363" s="241"/>
      <c r="AR363" s="241"/>
      <c r="AS363" s="241"/>
      <c r="AT363" s="241"/>
      <c r="AU363" s="241"/>
      <c r="AV363" s="241"/>
      <c r="AW363" s="241"/>
      <c r="AX363" s="241"/>
      <c r="AY363" s="241"/>
      <c r="AZ363" s="241"/>
    </row>
    <row r="364" spans="1:52" s="71" customFormat="1" ht="18" hidden="1" customHeight="1" outlineLevel="2">
      <c r="A364" s="175">
        <v>94</v>
      </c>
      <c r="B364" s="312" t="str">
        <f>(IF('Inputs Whole-Project Water Use'!B364&lt;&gt;"",'Inputs Whole-Project Water Use'!B364,""))</f>
        <v/>
      </c>
      <c r="C364" s="313" t="str">
        <f>IF(AND(D364&lt;&gt;"",'Inputs Whole-Project Water Use'!C364=""),1,IF('Inputs Whole-Project Water Use'!C364&lt;&gt;"",'Inputs Whole-Project Water Use'!C364,""))</f>
        <v/>
      </c>
      <c r="D364" s="397" t="str">
        <f>IF('Inputs Whole-Project Water Use'!D364&lt;&gt;"",'Inputs Whole-Project Water Use'!D364,"")</f>
        <v/>
      </c>
      <c r="E364" s="398"/>
      <c r="F364" s="314" t="str">
        <f>IF('Inputs Whole-Project Water Use'!F364&lt;&gt;"",'Inputs Whole-Project Water Use'!F364,"")</f>
        <v/>
      </c>
      <c r="G364" s="314" t="str">
        <f>IF('Inputs Whole-Project Water Use'!G364&lt;&gt;"",'Inputs Whole-Project Water Use'!G364,"")</f>
        <v/>
      </c>
      <c r="H364" s="315" t="str">
        <f>IF('Inputs Whole-Project Water Use'!H364&lt;&gt;"",'Inputs Whole-Project Water Use'!H364,"")</f>
        <v/>
      </c>
      <c r="I364" s="390" t="str">
        <f t="shared" si="41"/>
        <v/>
      </c>
      <c r="J364" s="391"/>
      <c r="K364" s="316" t="str">
        <f>IF('Inputs Whole-Project Water Use'!K364&lt;&gt;"",'Inputs Whole-Project Water Use'!K364,"")</f>
        <v/>
      </c>
      <c r="L364" s="316" t="str">
        <f>IF('Inputs Whole-Project Water Use'!L364&lt;&gt;"",'Inputs Whole-Project Water Use'!L364,"")</f>
        <v/>
      </c>
      <c r="M364" s="390" t="str">
        <f t="shared" si="42"/>
        <v/>
      </c>
      <c r="N364" s="391"/>
      <c r="O364" s="225" t="str">
        <f t="shared" si="43"/>
        <v/>
      </c>
      <c r="P364" s="225" t="str">
        <f t="shared" si="44"/>
        <v/>
      </c>
      <c r="Q364" s="289" t="str">
        <f>IF(AND(D364&lt;&gt;"",'Inputs Whole-Project Water Use'!Q364=""),0,IF('Inputs Whole-Project Water Use'!Q364&lt;&gt;"",'Inputs Whole-Project Water Use'!Q364,""))</f>
        <v/>
      </c>
      <c r="R364" s="225" t="str">
        <f t="shared" si="45"/>
        <v/>
      </c>
      <c r="S364" s="225" t="str">
        <f t="shared" si="46"/>
        <v/>
      </c>
      <c r="T364" s="231" t="str">
        <f t="shared" si="47"/>
        <v/>
      </c>
      <c r="U364" s="241"/>
      <c r="V364" s="241"/>
      <c r="W364" s="241"/>
      <c r="X364" s="241"/>
      <c r="Y364" s="241"/>
      <c r="Z364" s="241"/>
      <c r="AA364" s="241"/>
      <c r="AB364" s="241"/>
      <c r="AC364" s="241"/>
      <c r="AD364" s="241"/>
      <c r="AE364" s="241"/>
      <c r="AF364" s="241"/>
      <c r="AG364" s="241"/>
      <c r="AH364" s="241"/>
      <c r="AI364" s="241"/>
      <c r="AJ364" s="241"/>
      <c r="AK364" s="241"/>
      <c r="AL364" s="241"/>
      <c r="AM364" s="241"/>
      <c r="AN364" s="241"/>
      <c r="AO364" s="241"/>
      <c r="AP364" s="241"/>
      <c r="AQ364" s="241"/>
      <c r="AR364" s="241"/>
      <c r="AS364" s="241"/>
      <c r="AT364" s="241"/>
      <c r="AU364" s="241"/>
      <c r="AV364" s="241"/>
      <c r="AW364" s="241"/>
      <c r="AX364" s="241"/>
      <c r="AY364" s="241"/>
      <c r="AZ364" s="241"/>
    </row>
    <row r="365" spans="1:52" s="71" customFormat="1" ht="18" hidden="1" customHeight="1" outlineLevel="2">
      <c r="A365" s="175">
        <v>95</v>
      </c>
      <c r="B365" s="312" t="str">
        <f>(IF('Inputs Whole-Project Water Use'!B365&lt;&gt;"",'Inputs Whole-Project Water Use'!B365,""))</f>
        <v/>
      </c>
      <c r="C365" s="313" t="str">
        <f>IF(AND(D365&lt;&gt;"",'Inputs Whole-Project Water Use'!C365=""),1,IF('Inputs Whole-Project Water Use'!C365&lt;&gt;"",'Inputs Whole-Project Water Use'!C365,""))</f>
        <v/>
      </c>
      <c r="D365" s="397" t="str">
        <f>IF('Inputs Whole-Project Water Use'!D365&lt;&gt;"",'Inputs Whole-Project Water Use'!D365,"")</f>
        <v/>
      </c>
      <c r="E365" s="398"/>
      <c r="F365" s="314" t="str">
        <f>IF('Inputs Whole-Project Water Use'!F365&lt;&gt;"",'Inputs Whole-Project Water Use'!F365,"")</f>
        <v/>
      </c>
      <c r="G365" s="314" t="str">
        <f>IF('Inputs Whole-Project Water Use'!G365&lt;&gt;"",'Inputs Whole-Project Water Use'!G365,"")</f>
        <v/>
      </c>
      <c r="H365" s="315" t="str">
        <f>IF('Inputs Whole-Project Water Use'!H365&lt;&gt;"",'Inputs Whole-Project Water Use'!H365,"")</f>
        <v/>
      </c>
      <c r="I365" s="390" t="str">
        <f t="shared" si="41"/>
        <v/>
      </c>
      <c r="J365" s="391"/>
      <c r="K365" s="316" t="str">
        <f>IF('Inputs Whole-Project Water Use'!K365&lt;&gt;"",'Inputs Whole-Project Water Use'!K365,"")</f>
        <v/>
      </c>
      <c r="L365" s="316" t="str">
        <f>IF('Inputs Whole-Project Water Use'!L365&lt;&gt;"",'Inputs Whole-Project Water Use'!L365,"")</f>
        <v/>
      </c>
      <c r="M365" s="390" t="str">
        <f t="shared" si="42"/>
        <v/>
      </c>
      <c r="N365" s="391"/>
      <c r="O365" s="225" t="str">
        <f t="shared" si="43"/>
        <v/>
      </c>
      <c r="P365" s="225" t="str">
        <f t="shared" si="44"/>
        <v/>
      </c>
      <c r="Q365" s="289" t="str">
        <f>IF(AND(D365&lt;&gt;"",'Inputs Whole-Project Water Use'!Q365=""),0,IF('Inputs Whole-Project Water Use'!Q365&lt;&gt;"",'Inputs Whole-Project Water Use'!Q365,""))</f>
        <v/>
      </c>
      <c r="R365" s="225" t="str">
        <f t="shared" si="45"/>
        <v/>
      </c>
      <c r="S365" s="225" t="str">
        <f t="shared" si="46"/>
        <v/>
      </c>
      <c r="T365" s="231" t="str">
        <f t="shared" si="47"/>
        <v/>
      </c>
      <c r="U365" s="241"/>
      <c r="V365" s="241"/>
      <c r="W365" s="241"/>
      <c r="X365" s="241"/>
      <c r="Y365" s="241"/>
      <c r="Z365" s="241"/>
      <c r="AA365" s="241"/>
      <c r="AB365" s="241"/>
      <c r="AC365" s="241"/>
      <c r="AD365" s="241"/>
      <c r="AE365" s="241"/>
      <c r="AF365" s="241"/>
      <c r="AG365" s="241"/>
      <c r="AH365" s="241"/>
      <c r="AI365" s="241"/>
      <c r="AJ365" s="241"/>
      <c r="AK365" s="241"/>
      <c r="AL365" s="241"/>
      <c r="AM365" s="241"/>
      <c r="AN365" s="241"/>
      <c r="AO365" s="241"/>
      <c r="AP365" s="241"/>
      <c r="AQ365" s="241"/>
      <c r="AR365" s="241"/>
      <c r="AS365" s="241"/>
      <c r="AT365" s="241"/>
      <c r="AU365" s="241"/>
      <c r="AV365" s="241"/>
      <c r="AW365" s="241"/>
      <c r="AX365" s="241"/>
      <c r="AY365" s="241"/>
      <c r="AZ365" s="241"/>
    </row>
    <row r="366" spans="1:52" s="71" customFormat="1" ht="18" hidden="1" customHeight="1" outlineLevel="2">
      <c r="A366" s="175">
        <v>96</v>
      </c>
      <c r="B366" s="312" t="str">
        <f>(IF('Inputs Whole-Project Water Use'!B366&lt;&gt;"",'Inputs Whole-Project Water Use'!B366,""))</f>
        <v/>
      </c>
      <c r="C366" s="313" t="str">
        <f>IF(AND(D366&lt;&gt;"",'Inputs Whole-Project Water Use'!C366=""),1,IF('Inputs Whole-Project Water Use'!C366&lt;&gt;"",'Inputs Whole-Project Water Use'!C366,""))</f>
        <v/>
      </c>
      <c r="D366" s="397" t="str">
        <f>IF('Inputs Whole-Project Water Use'!D366&lt;&gt;"",'Inputs Whole-Project Water Use'!D366,"")</f>
        <v/>
      </c>
      <c r="E366" s="398"/>
      <c r="F366" s="314" t="str">
        <f>IF('Inputs Whole-Project Water Use'!F366&lt;&gt;"",'Inputs Whole-Project Water Use'!F366,"")</f>
        <v/>
      </c>
      <c r="G366" s="314" t="str">
        <f>IF('Inputs Whole-Project Water Use'!G366&lt;&gt;"",'Inputs Whole-Project Water Use'!G366,"")</f>
        <v/>
      </c>
      <c r="H366" s="315" t="str">
        <f>IF('Inputs Whole-Project Water Use'!H366&lt;&gt;"",'Inputs Whole-Project Water Use'!H366,"")</f>
        <v/>
      </c>
      <c r="I366" s="390" t="str">
        <f t="shared" si="41"/>
        <v/>
      </c>
      <c r="J366" s="391"/>
      <c r="K366" s="316" t="str">
        <f>IF('Inputs Whole-Project Water Use'!K366&lt;&gt;"",'Inputs Whole-Project Water Use'!K366,"")</f>
        <v/>
      </c>
      <c r="L366" s="316" t="str">
        <f>IF('Inputs Whole-Project Water Use'!L366&lt;&gt;"",'Inputs Whole-Project Water Use'!L366,"")</f>
        <v/>
      </c>
      <c r="M366" s="390" t="str">
        <f t="shared" si="42"/>
        <v/>
      </c>
      <c r="N366" s="391"/>
      <c r="O366" s="225" t="str">
        <f t="shared" si="43"/>
        <v/>
      </c>
      <c r="P366" s="225" t="str">
        <f t="shared" si="44"/>
        <v/>
      </c>
      <c r="Q366" s="289" t="str">
        <f>IF(AND(D366&lt;&gt;"",'Inputs Whole-Project Water Use'!Q366=""),0,IF('Inputs Whole-Project Water Use'!Q366&lt;&gt;"",'Inputs Whole-Project Water Use'!Q366,""))</f>
        <v/>
      </c>
      <c r="R366" s="225" t="str">
        <f t="shared" si="45"/>
        <v/>
      </c>
      <c r="S366" s="225" t="str">
        <f t="shared" si="46"/>
        <v/>
      </c>
      <c r="T366" s="231" t="str">
        <f t="shared" si="47"/>
        <v/>
      </c>
      <c r="U366" s="241"/>
      <c r="V366" s="241"/>
      <c r="W366" s="241"/>
      <c r="X366" s="241"/>
      <c r="Y366" s="241"/>
      <c r="Z366" s="241"/>
      <c r="AA366" s="241"/>
      <c r="AB366" s="241"/>
      <c r="AC366" s="241"/>
      <c r="AD366" s="241"/>
      <c r="AE366" s="241"/>
      <c r="AF366" s="241"/>
      <c r="AG366" s="241"/>
      <c r="AH366" s="241"/>
      <c r="AI366" s="241"/>
      <c r="AJ366" s="241"/>
      <c r="AK366" s="241"/>
      <c r="AL366" s="241"/>
      <c r="AM366" s="241"/>
      <c r="AN366" s="241"/>
      <c r="AO366" s="241"/>
      <c r="AP366" s="241"/>
      <c r="AQ366" s="241"/>
      <c r="AR366" s="241"/>
      <c r="AS366" s="241"/>
      <c r="AT366" s="241"/>
      <c r="AU366" s="241"/>
      <c r="AV366" s="241"/>
      <c r="AW366" s="241"/>
      <c r="AX366" s="241"/>
      <c r="AY366" s="241"/>
      <c r="AZ366" s="241"/>
    </row>
    <row r="367" spans="1:52" s="71" customFormat="1" ht="18" hidden="1" customHeight="1" outlineLevel="2">
      <c r="A367" s="175">
        <v>97</v>
      </c>
      <c r="B367" s="312" t="str">
        <f>(IF('Inputs Whole-Project Water Use'!B367&lt;&gt;"",'Inputs Whole-Project Water Use'!B367,""))</f>
        <v/>
      </c>
      <c r="C367" s="313" t="str">
        <f>IF(AND(D367&lt;&gt;"",'Inputs Whole-Project Water Use'!C367=""),1,IF('Inputs Whole-Project Water Use'!C367&lt;&gt;"",'Inputs Whole-Project Water Use'!C367,""))</f>
        <v/>
      </c>
      <c r="D367" s="397" t="str">
        <f>IF('Inputs Whole-Project Water Use'!D367&lt;&gt;"",'Inputs Whole-Project Water Use'!D367,"")</f>
        <v/>
      </c>
      <c r="E367" s="398"/>
      <c r="F367" s="314" t="str">
        <f>IF('Inputs Whole-Project Water Use'!F367&lt;&gt;"",'Inputs Whole-Project Water Use'!F367,"")</f>
        <v/>
      </c>
      <c r="G367" s="314" t="str">
        <f>IF('Inputs Whole-Project Water Use'!G367&lt;&gt;"",'Inputs Whole-Project Water Use'!G367,"")</f>
        <v/>
      </c>
      <c r="H367" s="315" t="str">
        <f>IF('Inputs Whole-Project Water Use'!H367&lt;&gt;"",'Inputs Whole-Project Water Use'!H367,"")</f>
        <v/>
      </c>
      <c r="I367" s="390" t="str">
        <f t="shared" si="41"/>
        <v/>
      </c>
      <c r="J367" s="391"/>
      <c r="K367" s="316" t="str">
        <f>IF('Inputs Whole-Project Water Use'!K367&lt;&gt;"",'Inputs Whole-Project Water Use'!K367,"")</f>
        <v/>
      </c>
      <c r="L367" s="316" t="str">
        <f>IF('Inputs Whole-Project Water Use'!L367&lt;&gt;"",'Inputs Whole-Project Water Use'!L367,"")</f>
        <v/>
      </c>
      <c r="M367" s="390" t="str">
        <f t="shared" si="42"/>
        <v/>
      </c>
      <c r="N367" s="391"/>
      <c r="O367" s="225" t="str">
        <f t="shared" si="43"/>
        <v/>
      </c>
      <c r="P367" s="225" t="str">
        <f t="shared" si="44"/>
        <v/>
      </c>
      <c r="Q367" s="289" t="str">
        <f>IF(AND(D367&lt;&gt;"",'Inputs Whole-Project Water Use'!Q367=""),0,IF('Inputs Whole-Project Water Use'!Q367&lt;&gt;"",'Inputs Whole-Project Water Use'!Q367,""))</f>
        <v/>
      </c>
      <c r="R367" s="225" t="str">
        <f t="shared" si="45"/>
        <v/>
      </c>
      <c r="S367" s="225" t="str">
        <f t="shared" si="46"/>
        <v/>
      </c>
      <c r="T367" s="231" t="str">
        <f t="shared" si="47"/>
        <v/>
      </c>
      <c r="U367" s="241"/>
      <c r="V367" s="241"/>
      <c r="W367" s="241"/>
      <c r="X367" s="241"/>
      <c r="Y367" s="241"/>
      <c r="Z367" s="241"/>
      <c r="AA367" s="241"/>
      <c r="AB367" s="241"/>
      <c r="AC367" s="241"/>
      <c r="AD367" s="241"/>
      <c r="AE367" s="241"/>
      <c r="AF367" s="241"/>
      <c r="AG367" s="241"/>
      <c r="AH367" s="241"/>
      <c r="AI367" s="241"/>
      <c r="AJ367" s="241"/>
      <c r="AK367" s="241"/>
      <c r="AL367" s="241"/>
      <c r="AM367" s="241"/>
      <c r="AN367" s="241"/>
      <c r="AO367" s="241"/>
      <c r="AP367" s="241"/>
      <c r="AQ367" s="241"/>
      <c r="AR367" s="241"/>
      <c r="AS367" s="241"/>
      <c r="AT367" s="241"/>
      <c r="AU367" s="241"/>
      <c r="AV367" s="241"/>
      <c r="AW367" s="241"/>
      <c r="AX367" s="241"/>
      <c r="AY367" s="241"/>
      <c r="AZ367" s="241"/>
    </row>
    <row r="368" spans="1:52" s="71" customFormat="1" ht="18" hidden="1" customHeight="1" outlineLevel="2">
      <c r="A368" s="175">
        <v>98</v>
      </c>
      <c r="B368" s="312" t="str">
        <f>(IF('Inputs Whole-Project Water Use'!B368&lt;&gt;"",'Inputs Whole-Project Water Use'!B368,""))</f>
        <v/>
      </c>
      <c r="C368" s="313" t="str">
        <f>IF(AND(D368&lt;&gt;"",'Inputs Whole-Project Water Use'!C368=""),1,IF('Inputs Whole-Project Water Use'!C368&lt;&gt;"",'Inputs Whole-Project Water Use'!C368,""))</f>
        <v/>
      </c>
      <c r="D368" s="397" t="str">
        <f>IF('Inputs Whole-Project Water Use'!D368&lt;&gt;"",'Inputs Whole-Project Water Use'!D368,"")</f>
        <v/>
      </c>
      <c r="E368" s="398"/>
      <c r="F368" s="314" t="str">
        <f>IF('Inputs Whole-Project Water Use'!F368&lt;&gt;"",'Inputs Whole-Project Water Use'!F368,"")</f>
        <v/>
      </c>
      <c r="G368" s="314" t="str">
        <f>IF('Inputs Whole-Project Water Use'!G368&lt;&gt;"",'Inputs Whole-Project Water Use'!G368,"")</f>
        <v/>
      </c>
      <c r="H368" s="315" t="str">
        <f>IF('Inputs Whole-Project Water Use'!H368&lt;&gt;"",'Inputs Whole-Project Water Use'!H368,"")</f>
        <v/>
      </c>
      <c r="I368" s="390" t="str">
        <f t="shared" si="41"/>
        <v/>
      </c>
      <c r="J368" s="391"/>
      <c r="K368" s="316" t="str">
        <f>IF('Inputs Whole-Project Water Use'!K368&lt;&gt;"",'Inputs Whole-Project Water Use'!K368,"")</f>
        <v/>
      </c>
      <c r="L368" s="316" t="str">
        <f>IF('Inputs Whole-Project Water Use'!L368&lt;&gt;"",'Inputs Whole-Project Water Use'!L368,"")</f>
        <v/>
      </c>
      <c r="M368" s="390" t="str">
        <f t="shared" si="42"/>
        <v/>
      </c>
      <c r="N368" s="391"/>
      <c r="O368" s="225" t="str">
        <f t="shared" si="43"/>
        <v/>
      </c>
      <c r="P368" s="225" t="str">
        <f t="shared" si="44"/>
        <v/>
      </c>
      <c r="Q368" s="289" t="str">
        <f>IF(AND(D368&lt;&gt;"",'Inputs Whole-Project Water Use'!Q368=""),0,IF('Inputs Whole-Project Water Use'!Q368&lt;&gt;"",'Inputs Whole-Project Water Use'!Q368,""))</f>
        <v/>
      </c>
      <c r="R368" s="225" t="str">
        <f t="shared" si="45"/>
        <v/>
      </c>
      <c r="S368" s="225" t="str">
        <f t="shared" si="46"/>
        <v/>
      </c>
      <c r="T368" s="231" t="str">
        <f t="shared" si="47"/>
        <v/>
      </c>
      <c r="U368" s="241"/>
      <c r="V368" s="241"/>
      <c r="W368" s="241"/>
      <c r="X368" s="241"/>
      <c r="Y368" s="241"/>
      <c r="Z368" s="241"/>
      <c r="AA368" s="241"/>
      <c r="AB368" s="241"/>
      <c r="AC368" s="241"/>
      <c r="AD368" s="241"/>
      <c r="AE368" s="241"/>
      <c r="AF368" s="241"/>
      <c r="AG368" s="241"/>
      <c r="AH368" s="241"/>
      <c r="AI368" s="241"/>
      <c r="AJ368" s="241"/>
      <c r="AK368" s="241"/>
      <c r="AL368" s="241"/>
      <c r="AM368" s="241"/>
      <c r="AN368" s="241"/>
      <c r="AO368" s="241"/>
      <c r="AP368" s="241"/>
      <c r="AQ368" s="241"/>
      <c r="AR368" s="241"/>
      <c r="AS368" s="241"/>
      <c r="AT368" s="241"/>
      <c r="AU368" s="241"/>
      <c r="AV368" s="241"/>
      <c r="AW368" s="241"/>
      <c r="AX368" s="241"/>
      <c r="AY368" s="241"/>
      <c r="AZ368" s="241"/>
    </row>
    <row r="369" spans="1:52" s="71" customFormat="1" ht="18" hidden="1" customHeight="1" outlineLevel="2">
      <c r="A369" s="175">
        <v>99</v>
      </c>
      <c r="B369" s="312" t="str">
        <f>(IF('Inputs Whole-Project Water Use'!B369&lt;&gt;"",'Inputs Whole-Project Water Use'!B369,""))</f>
        <v/>
      </c>
      <c r="C369" s="313" t="str">
        <f>IF(AND(D369&lt;&gt;"",'Inputs Whole-Project Water Use'!C369=""),1,IF('Inputs Whole-Project Water Use'!C369&lt;&gt;"",'Inputs Whole-Project Water Use'!C369,""))</f>
        <v/>
      </c>
      <c r="D369" s="397" t="str">
        <f>IF('Inputs Whole-Project Water Use'!D369&lt;&gt;"",'Inputs Whole-Project Water Use'!D369,"")</f>
        <v/>
      </c>
      <c r="E369" s="398"/>
      <c r="F369" s="314" t="str">
        <f>IF('Inputs Whole-Project Water Use'!F369&lt;&gt;"",'Inputs Whole-Project Water Use'!F369,"")</f>
        <v/>
      </c>
      <c r="G369" s="314" t="str">
        <f>IF('Inputs Whole-Project Water Use'!G369&lt;&gt;"",'Inputs Whole-Project Water Use'!G369,"")</f>
        <v/>
      </c>
      <c r="H369" s="315" t="str">
        <f>IF('Inputs Whole-Project Water Use'!H369&lt;&gt;"",'Inputs Whole-Project Water Use'!H369,"")</f>
        <v/>
      </c>
      <c r="I369" s="390" t="str">
        <f t="shared" si="41"/>
        <v/>
      </c>
      <c r="J369" s="391"/>
      <c r="K369" s="316" t="str">
        <f>IF('Inputs Whole-Project Water Use'!K369&lt;&gt;"",'Inputs Whole-Project Water Use'!K369,"")</f>
        <v/>
      </c>
      <c r="L369" s="316" t="str">
        <f>IF('Inputs Whole-Project Water Use'!L369&lt;&gt;"",'Inputs Whole-Project Water Use'!L369,"")</f>
        <v/>
      </c>
      <c r="M369" s="390" t="str">
        <f t="shared" si="42"/>
        <v/>
      </c>
      <c r="N369" s="391"/>
      <c r="O369" s="225" t="str">
        <f t="shared" si="43"/>
        <v/>
      </c>
      <c r="P369" s="225" t="str">
        <f t="shared" si="44"/>
        <v/>
      </c>
      <c r="Q369" s="289" t="str">
        <f>IF(AND(D369&lt;&gt;"",'Inputs Whole-Project Water Use'!Q369=""),0,IF('Inputs Whole-Project Water Use'!Q369&lt;&gt;"",'Inputs Whole-Project Water Use'!Q369,""))</f>
        <v/>
      </c>
      <c r="R369" s="225" t="str">
        <f t="shared" si="45"/>
        <v/>
      </c>
      <c r="S369" s="225" t="str">
        <f t="shared" si="46"/>
        <v/>
      </c>
      <c r="T369" s="231" t="str">
        <f t="shared" si="47"/>
        <v/>
      </c>
      <c r="U369" s="241"/>
      <c r="V369" s="241"/>
      <c r="W369" s="241"/>
      <c r="X369" s="241"/>
      <c r="Y369" s="241"/>
      <c r="Z369" s="241"/>
      <c r="AA369" s="241"/>
      <c r="AB369" s="241"/>
      <c r="AC369" s="241"/>
      <c r="AD369" s="241"/>
      <c r="AE369" s="241"/>
      <c r="AF369" s="241"/>
      <c r="AG369" s="241"/>
      <c r="AH369" s="241"/>
      <c r="AI369" s="241"/>
      <c r="AJ369" s="241"/>
      <c r="AK369" s="241"/>
      <c r="AL369" s="241"/>
      <c r="AM369" s="241"/>
      <c r="AN369" s="241"/>
      <c r="AO369" s="241"/>
      <c r="AP369" s="241"/>
      <c r="AQ369" s="241"/>
      <c r="AR369" s="241"/>
      <c r="AS369" s="241"/>
      <c r="AT369" s="241"/>
      <c r="AU369" s="241"/>
      <c r="AV369" s="241"/>
      <c r="AW369" s="241"/>
      <c r="AX369" s="241"/>
      <c r="AY369" s="241"/>
      <c r="AZ369" s="241"/>
    </row>
    <row r="370" spans="1:52" s="71" customFormat="1" ht="18" hidden="1" customHeight="1" outlineLevel="2">
      <c r="A370" s="175">
        <v>100</v>
      </c>
      <c r="B370" s="312" t="str">
        <f>(IF('Inputs Whole-Project Water Use'!B370&lt;&gt;"",'Inputs Whole-Project Water Use'!B370,""))</f>
        <v/>
      </c>
      <c r="C370" s="313" t="str">
        <f>IF(AND(D370&lt;&gt;"",'Inputs Whole-Project Water Use'!C370=""),1,IF('Inputs Whole-Project Water Use'!C370&lt;&gt;"",'Inputs Whole-Project Water Use'!C370,""))</f>
        <v/>
      </c>
      <c r="D370" s="397" t="str">
        <f>IF('Inputs Whole-Project Water Use'!D370&lt;&gt;"",'Inputs Whole-Project Water Use'!D370,"")</f>
        <v/>
      </c>
      <c r="E370" s="398"/>
      <c r="F370" s="314" t="str">
        <f>IF('Inputs Whole-Project Water Use'!F370&lt;&gt;"",'Inputs Whole-Project Water Use'!F370,"")</f>
        <v/>
      </c>
      <c r="G370" s="314" t="str">
        <f>IF('Inputs Whole-Project Water Use'!G370&lt;&gt;"",'Inputs Whole-Project Water Use'!G370,"")</f>
        <v/>
      </c>
      <c r="H370" s="315" t="str">
        <f>IF('Inputs Whole-Project Water Use'!H370&lt;&gt;"",'Inputs Whole-Project Water Use'!H370,"")</f>
        <v/>
      </c>
      <c r="I370" s="390" t="str">
        <f t="shared" si="41"/>
        <v/>
      </c>
      <c r="J370" s="391"/>
      <c r="K370" s="316" t="str">
        <f>IF('Inputs Whole-Project Water Use'!K370&lt;&gt;"",'Inputs Whole-Project Water Use'!K370,"")</f>
        <v/>
      </c>
      <c r="L370" s="316" t="str">
        <f>IF('Inputs Whole-Project Water Use'!L370&lt;&gt;"",'Inputs Whole-Project Water Use'!L370,"")</f>
        <v/>
      </c>
      <c r="M370" s="390" t="str">
        <f t="shared" si="42"/>
        <v/>
      </c>
      <c r="N370" s="391"/>
      <c r="O370" s="225" t="str">
        <f t="shared" si="43"/>
        <v/>
      </c>
      <c r="P370" s="225" t="str">
        <f t="shared" si="44"/>
        <v/>
      </c>
      <c r="Q370" s="289" t="str">
        <f>IF(AND(D370&lt;&gt;"",'Inputs Whole-Project Water Use'!Q370=""),0,IF('Inputs Whole-Project Water Use'!Q370&lt;&gt;"",'Inputs Whole-Project Water Use'!Q370,""))</f>
        <v/>
      </c>
      <c r="R370" s="225" t="str">
        <f t="shared" si="45"/>
        <v/>
      </c>
      <c r="S370" s="225" t="str">
        <f t="shared" si="46"/>
        <v/>
      </c>
      <c r="T370" s="231" t="str">
        <f t="shared" si="47"/>
        <v/>
      </c>
      <c r="U370" s="241"/>
      <c r="V370" s="241"/>
      <c r="W370" s="241"/>
      <c r="X370" s="241"/>
      <c r="Y370" s="241"/>
      <c r="Z370" s="241"/>
      <c r="AA370" s="241"/>
      <c r="AB370" s="241"/>
      <c r="AC370" s="241"/>
      <c r="AD370" s="241"/>
      <c r="AE370" s="241"/>
      <c r="AF370" s="241"/>
      <c r="AG370" s="241"/>
      <c r="AH370" s="241"/>
      <c r="AI370" s="241"/>
      <c r="AJ370" s="241"/>
      <c r="AK370" s="241"/>
      <c r="AL370" s="241"/>
      <c r="AM370" s="241"/>
      <c r="AN370" s="241"/>
      <c r="AO370" s="241"/>
      <c r="AP370" s="241"/>
      <c r="AQ370" s="241"/>
      <c r="AR370" s="241"/>
      <c r="AS370" s="241"/>
      <c r="AT370" s="241"/>
      <c r="AU370" s="241"/>
      <c r="AV370" s="241"/>
      <c r="AW370" s="241"/>
      <c r="AX370" s="241"/>
      <c r="AY370" s="241"/>
      <c r="AZ370" s="241"/>
    </row>
    <row r="371" spans="1:52" s="71" customFormat="1" ht="18" hidden="1" customHeight="1" outlineLevel="2">
      <c r="A371" s="175">
        <v>101</v>
      </c>
      <c r="B371" s="312" t="str">
        <f>(IF('Inputs Whole-Project Water Use'!B371&lt;&gt;"",'Inputs Whole-Project Water Use'!B371,""))</f>
        <v/>
      </c>
      <c r="C371" s="313" t="str">
        <f>IF(AND(D371&lt;&gt;"",'Inputs Whole-Project Water Use'!C371=""),1,IF('Inputs Whole-Project Water Use'!C371&lt;&gt;"",'Inputs Whole-Project Water Use'!C371,""))</f>
        <v/>
      </c>
      <c r="D371" s="397" t="str">
        <f>IF('Inputs Whole-Project Water Use'!D371&lt;&gt;"",'Inputs Whole-Project Water Use'!D371,"")</f>
        <v/>
      </c>
      <c r="E371" s="398"/>
      <c r="F371" s="314" t="str">
        <f>IF('Inputs Whole-Project Water Use'!F371&lt;&gt;"",'Inputs Whole-Project Water Use'!F371,"")</f>
        <v/>
      </c>
      <c r="G371" s="314" t="str">
        <f>IF('Inputs Whole-Project Water Use'!G371&lt;&gt;"",'Inputs Whole-Project Water Use'!G371,"")</f>
        <v/>
      </c>
      <c r="H371" s="315" t="str">
        <f>IF('Inputs Whole-Project Water Use'!H371&lt;&gt;"",'Inputs Whole-Project Water Use'!H371,"")</f>
        <v/>
      </c>
      <c r="I371" s="390" t="str">
        <f t="shared" si="41"/>
        <v/>
      </c>
      <c r="J371" s="391"/>
      <c r="K371" s="316" t="str">
        <f>IF('Inputs Whole-Project Water Use'!K371&lt;&gt;"",'Inputs Whole-Project Water Use'!K371,"")</f>
        <v/>
      </c>
      <c r="L371" s="316" t="str">
        <f>IF('Inputs Whole-Project Water Use'!L371&lt;&gt;"",'Inputs Whole-Project Water Use'!L371,"")</f>
        <v/>
      </c>
      <c r="M371" s="390" t="str">
        <f t="shared" si="42"/>
        <v/>
      </c>
      <c r="N371" s="391"/>
      <c r="O371" s="225" t="str">
        <f t="shared" si="43"/>
        <v/>
      </c>
      <c r="P371" s="225" t="str">
        <f t="shared" si="44"/>
        <v/>
      </c>
      <c r="Q371" s="289" t="str">
        <f>IF(AND(D371&lt;&gt;"",'Inputs Whole-Project Water Use'!Q371=""),0,IF('Inputs Whole-Project Water Use'!Q371&lt;&gt;"",'Inputs Whole-Project Water Use'!Q371,""))</f>
        <v/>
      </c>
      <c r="R371" s="225" t="str">
        <f t="shared" si="45"/>
        <v/>
      </c>
      <c r="S371" s="225" t="str">
        <f t="shared" si="46"/>
        <v/>
      </c>
      <c r="T371" s="231" t="str">
        <f t="shared" si="47"/>
        <v/>
      </c>
      <c r="U371" s="241"/>
      <c r="V371" s="241"/>
      <c r="W371" s="241"/>
      <c r="X371" s="241"/>
      <c r="Y371" s="241"/>
      <c r="Z371" s="241"/>
      <c r="AA371" s="241"/>
      <c r="AB371" s="241"/>
      <c r="AC371" s="241"/>
      <c r="AD371" s="241"/>
      <c r="AE371" s="241"/>
      <c r="AF371" s="241"/>
      <c r="AG371" s="241"/>
      <c r="AH371" s="241"/>
      <c r="AI371" s="241"/>
      <c r="AJ371" s="241"/>
      <c r="AK371" s="241"/>
      <c r="AL371" s="241"/>
      <c r="AM371" s="241"/>
      <c r="AN371" s="241"/>
      <c r="AO371" s="241"/>
      <c r="AP371" s="241"/>
      <c r="AQ371" s="241"/>
      <c r="AR371" s="241"/>
      <c r="AS371" s="241"/>
      <c r="AT371" s="241"/>
      <c r="AU371" s="241"/>
      <c r="AV371" s="241"/>
      <c r="AW371" s="241"/>
      <c r="AX371" s="241"/>
      <c r="AY371" s="241"/>
      <c r="AZ371" s="241"/>
    </row>
    <row r="372" spans="1:52" s="71" customFormat="1" ht="18" hidden="1" customHeight="1" outlineLevel="2">
      <c r="A372" s="175">
        <v>102</v>
      </c>
      <c r="B372" s="312" t="str">
        <f>(IF('Inputs Whole-Project Water Use'!B372&lt;&gt;"",'Inputs Whole-Project Water Use'!B372,""))</f>
        <v/>
      </c>
      <c r="C372" s="313" t="str">
        <f>IF(AND(D372&lt;&gt;"",'Inputs Whole-Project Water Use'!C372=""),1,IF('Inputs Whole-Project Water Use'!C372&lt;&gt;"",'Inputs Whole-Project Water Use'!C372,""))</f>
        <v/>
      </c>
      <c r="D372" s="397" t="str">
        <f>IF('Inputs Whole-Project Water Use'!D372&lt;&gt;"",'Inputs Whole-Project Water Use'!D372,"")</f>
        <v/>
      </c>
      <c r="E372" s="398"/>
      <c r="F372" s="314" t="str">
        <f>IF('Inputs Whole-Project Water Use'!F372&lt;&gt;"",'Inputs Whole-Project Water Use'!F372,"")</f>
        <v/>
      </c>
      <c r="G372" s="314" t="str">
        <f>IF('Inputs Whole-Project Water Use'!G372&lt;&gt;"",'Inputs Whole-Project Water Use'!G372,"")</f>
        <v/>
      </c>
      <c r="H372" s="315" t="str">
        <f>IF('Inputs Whole-Project Water Use'!H372&lt;&gt;"",'Inputs Whole-Project Water Use'!H372,"")</f>
        <v/>
      </c>
      <c r="I372" s="390" t="str">
        <f t="shared" si="41"/>
        <v/>
      </c>
      <c r="J372" s="391"/>
      <c r="K372" s="316" t="str">
        <f>IF('Inputs Whole-Project Water Use'!K372&lt;&gt;"",'Inputs Whole-Project Water Use'!K372,"")</f>
        <v/>
      </c>
      <c r="L372" s="316" t="str">
        <f>IF('Inputs Whole-Project Water Use'!L372&lt;&gt;"",'Inputs Whole-Project Water Use'!L372,"")</f>
        <v/>
      </c>
      <c r="M372" s="390" t="str">
        <f t="shared" si="42"/>
        <v/>
      </c>
      <c r="N372" s="391"/>
      <c r="O372" s="225" t="str">
        <f t="shared" si="43"/>
        <v/>
      </c>
      <c r="P372" s="225" t="str">
        <f t="shared" si="44"/>
        <v/>
      </c>
      <c r="Q372" s="289" t="str">
        <f>IF(AND(D372&lt;&gt;"",'Inputs Whole-Project Water Use'!Q372=""),0,IF('Inputs Whole-Project Water Use'!Q372&lt;&gt;"",'Inputs Whole-Project Water Use'!Q372,""))</f>
        <v/>
      </c>
      <c r="R372" s="225" t="str">
        <f t="shared" si="45"/>
        <v/>
      </c>
      <c r="S372" s="225" t="str">
        <f t="shared" si="46"/>
        <v/>
      </c>
      <c r="T372" s="231" t="str">
        <f t="shared" si="47"/>
        <v/>
      </c>
      <c r="U372" s="241"/>
      <c r="V372" s="241"/>
      <c r="W372" s="241"/>
      <c r="X372" s="241"/>
      <c r="Y372" s="241"/>
      <c r="Z372" s="241"/>
      <c r="AA372" s="241"/>
      <c r="AB372" s="241"/>
      <c r="AC372" s="241"/>
      <c r="AD372" s="241"/>
      <c r="AE372" s="241"/>
      <c r="AF372" s="241"/>
      <c r="AG372" s="241"/>
      <c r="AH372" s="241"/>
      <c r="AI372" s="241"/>
      <c r="AJ372" s="241"/>
      <c r="AK372" s="241"/>
      <c r="AL372" s="241"/>
      <c r="AM372" s="241"/>
      <c r="AN372" s="241"/>
      <c r="AO372" s="241"/>
      <c r="AP372" s="241"/>
      <c r="AQ372" s="241"/>
      <c r="AR372" s="241"/>
      <c r="AS372" s="241"/>
      <c r="AT372" s="241"/>
      <c r="AU372" s="241"/>
      <c r="AV372" s="241"/>
      <c r="AW372" s="241"/>
      <c r="AX372" s="241"/>
      <c r="AY372" s="241"/>
      <c r="AZ372" s="241"/>
    </row>
    <row r="373" spans="1:52" s="71" customFormat="1" ht="18" hidden="1" customHeight="1" outlineLevel="2">
      <c r="A373" s="175">
        <v>103</v>
      </c>
      <c r="B373" s="312" t="str">
        <f>(IF('Inputs Whole-Project Water Use'!B373&lt;&gt;"",'Inputs Whole-Project Water Use'!B373,""))</f>
        <v/>
      </c>
      <c r="C373" s="313" t="str">
        <f>IF(AND(D373&lt;&gt;"",'Inputs Whole-Project Water Use'!C373=""),1,IF('Inputs Whole-Project Water Use'!C373&lt;&gt;"",'Inputs Whole-Project Water Use'!C373,""))</f>
        <v/>
      </c>
      <c r="D373" s="397" t="str">
        <f>IF('Inputs Whole-Project Water Use'!D373&lt;&gt;"",'Inputs Whole-Project Water Use'!D373,"")</f>
        <v/>
      </c>
      <c r="E373" s="398"/>
      <c r="F373" s="314" t="str">
        <f>IF('Inputs Whole-Project Water Use'!F373&lt;&gt;"",'Inputs Whole-Project Water Use'!F373,"")</f>
        <v/>
      </c>
      <c r="G373" s="314" t="str">
        <f>IF('Inputs Whole-Project Water Use'!G373&lt;&gt;"",'Inputs Whole-Project Water Use'!G373,"")</f>
        <v/>
      </c>
      <c r="H373" s="315" t="str">
        <f>IF('Inputs Whole-Project Water Use'!H373&lt;&gt;"",'Inputs Whole-Project Water Use'!H373,"")</f>
        <v/>
      </c>
      <c r="I373" s="390" t="str">
        <f t="shared" si="41"/>
        <v/>
      </c>
      <c r="J373" s="391"/>
      <c r="K373" s="316" t="str">
        <f>IF('Inputs Whole-Project Water Use'!K373&lt;&gt;"",'Inputs Whole-Project Water Use'!K373,"")</f>
        <v/>
      </c>
      <c r="L373" s="316" t="str">
        <f>IF('Inputs Whole-Project Water Use'!L373&lt;&gt;"",'Inputs Whole-Project Water Use'!L373,"")</f>
        <v/>
      </c>
      <c r="M373" s="390" t="str">
        <f t="shared" si="42"/>
        <v/>
      </c>
      <c r="N373" s="391"/>
      <c r="O373" s="225" t="str">
        <f t="shared" si="43"/>
        <v/>
      </c>
      <c r="P373" s="225" t="str">
        <f t="shared" si="44"/>
        <v/>
      </c>
      <c r="Q373" s="289" t="str">
        <f>IF(AND(D373&lt;&gt;"",'Inputs Whole-Project Water Use'!Q373=""),0,IF('Inputs Whole-Project Water Use'!Q373&lt;&gt;"",'Inputs Whole-Project Water Use'!Q373,""))</f>
        <v/>
      </c>
      <c r="R373" s="225" t="str">
        <f t="shared" si="45"/>
        <v/>
      </c>
      <c r="S373" s="225" t="str">
        <f t="shared" si="46"/>
        <v/>
      </c>
      <c r="T373" s="231" t="str">
        <f t="shared" si="47"/>
        <v/>
      </c>
      <c r="U373" s="241"/>
      <c r="V373" s="241"/>
      <c r="W373" s="241"/>
      <c r="X373" s="241"/>
      <c r="Y373" s="241"/>
      <c r="Z373" s="241"/>
      <c r="AA373" s="241"/>
      <c r="AB373" s="241"/>
      <c r="AC373" s="241"/>
      <c r="AD373" s="241"/>
      <c r="AE373" s="241"/>
      <c r="AF373" s="241"/>
      <c r="AG373" s="241"/>
      <c r="AH373" s="241"/>
      <c r="AI373" s="241"/>
      <c r="AJ373" s="241"/>
      <c r="AK373" s="241"/>
      <c r="AL373" s="241"/>
      <c r="AM373" s="241"/>
      <c r="AN373" s="241"/>
      <c r="AO373" s="241"/>
      <c r="AP373" s="241"/>
      <c r="AQ373" s="241"/>
      <c r="AR373" s="241"/>
      <c r="AS373" s="241"/>
      <c r="AT373" s="241"/>
      <c r="AU373" s="241"/>
      <c r="AV373" s="241"/>
      <c r="AW373" s="241"/>
      <c r="AX373" s="241"/>
      <c r="AY373" s="241"/>
      <c r="AZ373" s="241"/>
    </row>
    <row r="374" spans="1:52" s="71" customFormat="1" ht="18" hidden="1" customHeight="1" outlineLevel="2">
      <c r="A374" s="175">
        <v>104</v>
      </c>
      <c r="B374" s="312" t="str">
        <f>(IF('Inputs Whole-Project Water Use'!B374&lt;&gt;"",'Inputs Whole-Project Water Use'!B374,""))</f>
        <v/>
      </c>
      <c r="C374" s="313" t="str">
        <f>IF(AND(D374&lt;&gt;"",'Inputs Whole-Project Water Use'!C374=""),1,IF('Inputs Whole-Project Water Use'!C374&lt;&gt;"",'Inputs Whole-Project Water Use'!C374,""))</f>
        <v/>
      </c>
      <c r="D374" s="397" t="str">
        <f>IF('Inputs Whole-Project Water Use'!D374&lt;&gt;"",'Inputs Whole-Project Water Use'!D374,"")</f>
        <v/>
      </c>
      <c r="E374" s="398"/>
      <c r="F374" s="314" t="str">
        <f>IF('Inputs Whole-Project Water Use'!F374&lt;&gt;"",'Inputs Whole-Project Water Use'!F374,"")</f>
        <v/>
      </c>
      <c r="G374" s="314" t="str">
        <f>IF('Inputs Whole-Project Water Use'!G374&lt;&gt;"",'Inputs Whole-Project Water Use'!G374,"")</f>
        <v/>
      </c>
      <c r="H374" s="315" t="str">
        <f>IF('Inputs Whole-Project Water Use'!H374&lt;&gt;"",'Inputs Whole-Project Water Use'!H374,"")</f>
        <v/>
      </c>
      <c r="I374" s="390" t="str">
        <f t="shared" si="41"/>
        <v/>
      </c>
      <c r="J374" s="391"/>
      <c r="K374" s="316" t="str">
        <f>IF('Inputs Whole-Project Water Use'!K374&lt;&gt;"",'Inputs Whole-Project Water Use'!K374,"")</f>
        <v/>
      </c>
      <c r="L374" s="316" t="str">
        <f>IF('Inputs Whole-Project Water Use'!L374&lt;&gt;"",'Inputs Whole-Project Water Use'!L374,"")</f>
        <v/>
      </c>
      <c r="M374" s="390" t="str">
        <f t="shared" si="42"/>
        <v/>
      </c>
      <c r="N374" s="391"/>
      <c r="O374" s="225" t="str">
        <f t="shared" si="43"/>
        <v/>
      </c>
      <c r="P374" s="225" t="str">
        <f t="shared" si="44"/>
        <v/>
      </c>
      <c r="Q374" s="289" t="str">
        <f>IF(AND(D374&lt;&gt;"",'Inputs Whole-Project Water Use'!Q374=""),0,IF('Inputs Whole-Project Water Use'!Q374&lt;&gt;"",'Inputs Whole-Project Water Use'!Q374,""))</f>
        <v/>
      </c>
      <c r="R374" s="225" t="str">
        <f t="shared" si="45"/>
        <v/>
      </c>
      <c r="S374" s="225" t="str">
        <f t="shared" si="46"/>
        <v/>
      </c>
      <c r="T374" s="231" t="str">
        <f t="shared" si="47"/>
        <v/>
      </c>
      <c r="U374" s="241"/>
      <c r="V374" s="241"/>
      <c r="W374" s="241"/>
      <c r="X374" s="241"/>
      <c r="Y374" s="241"/>
      <c r="Z374" s="241"/>
      <c r="AA374" s="241"/>
      <c r="AB374" s="241"/>
      <c r="AC374" s="241"/>
      <c r="AD374" s="241"/>
      <c r="AE374" s="241"/>
      <c r="AF374" s="241"/>
      <c r="AG374" s="241"/>
      <c r="AH374" s="241"/>
      <c r="AI374" s="241"/>
      <c r="AJ374" s="241"/>
      <c r="AK374" s="241"/>
      <c r="AL374" s="241"/>
      <c r="AM374" s="241"/>
      <c r="AN374" s="241"/>
      <c r="AO374" s="241"/>
      <c r="AP374" s="241"/>
      <c r="AQ374" s="241"/>
      <c r="AR374" s="241"/>
      <c r="AS374" s="241"/>
      <c r="AT374" s="241"/>
      <c r="AU374" s="241"/>
      <c r="AV374" s="241"/>
      <c r="AW374" s="241"/>
      <c r="AX374" s="241"/>
      <c r="AY374" s="241"/>
      <c r="AZ374" s="241"/>
    </row>
    <row r="375" spans="1:52" s="71" customFormat="1" ht="18" hidden="1" customHeight="1" outlineLevel="2">
      <c r="A375" s="175">
        <v>105</v>
      </c>
      <c r="B375" s="312" t="str">
        <f>(IF('Inputs Whole-Project Water Use'!B375&lt;&gt;"",'Inputs Whole-Project Water Use'!B375,""))</f>
        <v/>
      </c>
      <c r="C375" s="313" t="str">
        <f>IF(AND(D375&lt;&gt;"",'Inputs Whole-Project Water Use'!C375=""),1,IF('Inputs Whole-Project Water Use'!C375&lt;&gt;"",'Inputs Whole-Project Water Use'!C375,""))</f>
        <v/>
      </c>
      <c r="D375" s="397" t="str">
        <f>IF('Inputs Whole-Project Water Use'!D375&lt;&gt;"",'Inputs Whole-Project Water Use'!D375,"")</f>
        <v/>
      </c>
      <c r="E375" s="398"/>
      <c r="F375" s="314" t="str">
        <f>IF('Inputs Whole-Project Water Use'!F375&lt;&gt;"",'Inputs Whole-Project Water Use'!F375,"")</f>
        <v/>
      </c>
      <c r="G375" s="314" t="str">
        <f>IF('Inputs Whole-Project Water Use'!G375&lt;&gt;"",'Inputs Whole-Project Water Use'!G375,"")</f>
        <v/>
      </c>
      <c r="H375" s="315" t="str">
        <f>IF('Inputs Whole-Project Water Use'!H375&lt;&gt;"",'Inputs Whole-Project Water Use'!H375,"")</f>
        <v/>
      </c>
      <c r="I375" s="390" t="str">
        <f t="shared" si="41"/>
        <v/>
      </c>
      <c r="J375" s="391"/>
      <c r="K375" s="316" t="str">
        <f>IF('Inputs Whole-Project Water Use'!K375&lt;&gt;"",'Inputs Whole-Project Water Use'!K375,"")</f>
        <v/>
      </c>
      <c r="L375" s="316" t="str">
        <f>IF('Inputs Whole-Project Water Use'!L375&lt;&gt;"",'Inputs Whole-Project Water Use'!L375,"")</f>
        <v/>
      </c>
      <c r="M375" s="390" t="str">
        <f t="shared" si="42"/>
        <v/>
      </c>
      <c r="N375" s="391"/>
      <c r="O375" s="225" t="str">
        <f t="shared" si="43"/>
        <v/>
      </c>
      <c r="P375" s="225" t="str">
        <f t="shared" si="44"/>
        <v/>
      </c>
      <c r="Q375" s="289" t="str">
        <f>IF(AND(D375&lt;&gt;"",'Inputs Whole-Project Water Use'!Q375=""),0,IF('Inputs Whole-Project Water Use'!Q375&lt;&gt;"",'Inputs Whole-Project Water Use'!Q375,""))</f>
        <v/>
      </c>
      <c r="R375" s="225" t="str">
        <f t="shared" si="45"/>
        <v/>
      </c>
      <c r="S375" s="225" t="str">
        <f t="shared" si="46"/>
        <v/>
      </c>
      <c r="T375" s="231" t="str">
        <f t="shared" si="47"/>
        <v/>
      </c>
      <c r="U375" s="241"/>
      <c r="V375" s="241"/>
      <c r="W375" s="241"/>
      <c r="X375" s="241"/>
      <c r="Y375" s="241"/>
      <c r="Z375" s="241"/>
      <c r="AA375" s="241"/>
      <c r="AB375" s="241"/>
      <c r="AC375" s="241"/>
      <c r="AD375" s="241"/>
      <c r="AE375" s="241"/>
      <c r="AF375" s="241"/>
      <c r="AG375" s="241"/>
      <c r="AH375" s="241"/>
      <c r="AI375" s="241"/>
      <c r="AJ375" s="241"/>
      <c r="AK375" s="241"/>
      <c r="AL375" s="241"/>
      <c r="AM375" s="241"/>
      <c r="AN375" s="241"/>
      <c r="AO375" s="241"/>
      <c r="AP375" s="241"/>
      <c r="AQ375" s="241"/>
      <c r="AR375" s="241"/>
      <c r="AS375" s="241"/>
      <c r="AT375" s="241"/>
      <c r="AU375" s="241"/>
      <c r="AV375" s="241"/>
      <c r="AW375" s="241"/>
      <c r="AX375" s="241"/>
      <c r="AY375" s="241"/>
      <c r="AZ375" s="241"/>
    </row>
    <row r="376" spans="1:52" s="71" customFormat="1" ht="18" hidden="1" customHeight="1" outlineLevel="2">
      <c r="A376" s="175">
        <v>106</v>
      </c>
      <c r="B376" s="312" t="str">
        <f>(IF('Inputs Whole-Project Water Use'!B376&lt;&gt;"",'Inputs Whole-Project Water Use'!B376,""))</f>
        <v/>
      </c>
      <c r="C376" s="313" t="str">
        <f>IF(AND(D376&lt;&gt;"",'Inputs Whole-Project Water Use'!C376=""),1,IF('Inputs Whole-Project Water Use'!C376&lt;&gt;"",'Inputs Whole-Project Water Use'!C376,""))</f>
        <v/>
      </c>
      <c r="D376" s="397" t="str">
        <f>IF('Inputs Whole-Project Water Use'!D376&lt;&gt;"",'Inputs Whole-Project Water Use'!D376,"")</f>
        <v/>
      </c>
      <c r="E376" s="398"/>
      <c r="F376" s="314" t="str">
        <f>IF('Inputs Whole-Project Water Use'!F376&lt;&gt;"",'Inputs Whole-Project Water Use'!F376,"")</f>
        <v/>
      </c>
      <c r="G376" s="314" t="str">
        <f>IF('Inputs Whole-Project Water Use'!G376&lt;&gt;"",'Inputs Whole-Project Water Use'!G376,"")</f>
        <v/>
      </c>
      <c r="H376" s="315" t="str">
        <f>IF('Inputs Whole-Project Water Use'!H376&lt;&gt;"",'Inputs Whole-Project Water Use'!H376,"")</f>
        <v/>
      </c>
      <c r="I376" s="390" t="str">
        <f t="shared" si="41"/>
        <v/>
      </c>
      <c r="J376" s="391"/>
      <c r="K376" s="316" t="str">
        <f>IF('Inputs Whole-Project Water Use'!K376&lt;&gt;"",'Inputs Whole-Project Water Use'!K376,"")</f>
        <v/>
      </c>
      <c r="L376" s="316" t="str">
        <f>IF('Inputs Whole-Project Water Use'!L376&lt;&gt;"",'Inputs Whole-Project Water Use'!L376,"")</f>
        <v/>
      </c>
      <c r="M376" s="390" t="str">
        <f t="shared" si="42"/>
        <v/>
      </c>
      <c r="N376" s="391"/>
      <c r="O376" s="225" t="str">
        <f t="shared" si="43"/>
        <v/>
      </c>
      <c r="P376" s="225" t="str">
        <f t="shared" si="44"/>
        <v/>
      </c>
      <c r="Q376" s="289" t="str">
        <f>IF(AND(D376&lt;&gt;"",'Inputs Whole-Project Water Use'!Q376=""),0,IF('Inputs Whole-Project Water Use'!Q376&lt;&gt;"",'Inputs Whole-Project Water Use'!Q376,""))</f>
        <v/>
      </c>
      <c r="R376" s="225" t="str">
        <f t="shared" si="45"/>
        <v/>
      </c>
      <c r="S376" s="225" t="str">
        <f t="shared" si="46"/>
        <v/>
      </c>
      <c r="T376" s="231" t="str">
        <f t="shared" si="47"/>
        <v/>
      </c>
      <c r="U376" s="241"/>
      <c r="V376" s="241"/>
      <c r="W376" s="241"/>
      <c r="X376" s="241"/>
      <c r="Y376" s="241"/>
      <c r="Z376" s="241"/>
      <c r="AA376" s="241"/>
      <c r="AB376" s="241"/>
      <c r="AC376" s="241"/>
      <c r="AD376" s="241"/>
      <c r="AE376" s="241"/>
      <c r="AF376" s="241"/>
      <c r="AG376" s="241"/>
      <c r="AH376" s="241"/>
      <c r="AI376" s="241"/>
      <c r="AJ376" s="241"/>
      <c r="AK376" s="241"/>
      <c r="AL376" s="241"/>
      <c r="AM376" s="241"/>
      <c r="AN376" s="241"/>
      <c r="AO376" s="241"/>
      <c r="AP376" s="241"/>
      <c r="AQ376" s="241"/>
      <c r="AR376" s="241"/>
      <c r="AS376" s="241"/>
      <c r="AT376" s="241"/>
      <c r="AU376" s="241"/>
      <c r="AV376" s="241"/>
      <c r="AW376" s="241"/>
      <c r="AX376" s="241"/>
      <c r="AY376" s="241"/>
      <c r="AZ376" s="241"/>
    </row>
    <row r="377" spans="1:52" s="71" customFormat="1" ht="18" hidden="1" customHeight="1" outlineLevel="2">
      <c r="A377" s="175">
        <v>107</v>
      </c>
      <c r="B377" s="312" t="str">
        <f>(IF('Inputs Whole-Project Water Use'!B377&lt;&gt;"",'Inputs Whole-Project Water Use'!B377,""))</f>
        <v/>
      </c>
      <c r="C377" s="313" t="str">
        <f>IF(AND(D377&lt;&gt;"",'Inputs Whole-Project Water Use'!C377=""),1,IF('Inputs Whole-Project Water Use'!C377&lt;&gt;"",'Inputs Whole-Project Water Use'!C377,""))</f>
        <v/>
      </c>
      <c r="D377" s="397" t="str">
        <f>IF('Inputs Whole-Project Water Use'!D377&lt;&gt;"",'Inputs Whole-Project Water Use'!D377,"")</f>
        <v/>
      </c>
      <c r="E377" s="398"/>
      <c r="F377" s="314" t="str">
        <f>IF('Inputs Whole-Project Water Use'!F377&lt;&gt;"",'Inputs Whole-Project Water Use'!F377,"")</f>
        <v/>
      </c>
      <c r="G377" s="314" t="str">
        <f>IF('Inputs Whole-Project Water Use'!G377&lt;&gt;"",'Inputs Whole-Project Water Use'!G377,"")</f>
        <v/>
      </c>
      <c r="H377" s="315" t="str">
        <f>IF('Inputs Whole-Project Water Use'!H377&lt;&gt;"",'Inputs Whole-Project Water Use'!H377,"")</f>
        <v/>
      </c>
      <c r="I377" s="390" t="str">
        <f t="shared" si="41"/>
        <v/>
      </c>
      <c r="J377" s="391"/>
      <c r="K377" s="316" t="str">
        <f>IF('Inputs Whole-Project Water Use'!K377&lt;&gt;"",'Inputs Whole-Project Water Use'!K377,"")</f>
        <v/>
      </c>
      <c r="L377" s="316" t="str">
        <f>IF('Inputs Whole-Project Water Use'!L377&lt;&gt;"",'Inputs Whole-Project Water Use'!L377,"")</f>
        <v/>
      </c>
      <c r="M377" s="390" t="str">
        <f t="shared" si="42"/>
        <v/>
      </c>
      <c r="N377" s="391"/>
      <c r="O377" s="225" t="str">
        <f t="shared" si="43"/>
        <v/>
      </c>
      <c r="P377" s="225" t="str">
        <f t="shared" si="44"/>
        <v/>
      </c>
      <c r="Q377" s="289" t="str">
        <f>IF(AND(D377&lt;&gt;"",'Inputs Whole-Project Water Use'!Q377=""),0,IF('Inputs Whole-Project Water Use'!Q377&lt;&gt;"",'Inputs Whole-Project Water Use'!Q377,""))</f>
        <v/>
      </c>
      <c r="R377" s="225" t="str">
        <f t="shared" si="45"/>
        <v/>
      </c>
      <c r="S377" s="225" t="str">
        <f t="shared" si="46"/>
        <v/>
      </c>
      <c r="T377" s="231" t="str">
        <f t="shared" si="47"/>
        <v/>
      </c>
      <c r="U377" s="241"/>
      <c r="V377" s="241"/>
      <c r="W377" s="241"/>
      <c r="X377" s="241"/>
      <c r="Y377" s="241"/>
      <c r="Z377" s="241"/>
      <c r="AA377" s="241"/>
      <c r="AB377" s="241"/>
      <c r="AC377" s="241"/>
      <c r="AD377" s="241"/>
      <c r="AE377" s="241"/>
      <c r="AF377" s="241"/>
      <c r="AG377" s="241"/>
      <c r="AH377" s="241"/>
      <c r="AI377" s="241"/>
      <c r="AJ377" s="241"/>
      <c r="AK377" s="241"/>
      <c r="AL377" s="241"/>
      <c r="AM377" s="241"/>
      <c r="AN377" s="241"/>
      <c r="AO377" s="241"/>
      <c r="AP377" s="241"/>
      <c r="AQ377" s="241"/>
      <c r="AR377" s="241"/>
      <c r="AS377" s="241"/>
      <c r="AT377" s="241"/>
      <c r="AU377" s="241"/>
      <c r="AV377" s="241"/>
      <c r="AW377" s="241"/>
      <c r="AX377" s="241"/>
      <c r="AY377" s="241"/>
      <c r="AZ377" s="241"/>
    </row>
    <row r="378" spans="1:52" s="71" customFormat="1" ht="18" hidden="1" customHeight="1" outlineLevel="2">
      <c r="A378" s="175">
        <v>108</v>
      </c>
      <c r="B378" s="312" t="str">
        <f>(IF('Inputs Whole-Project Water Use'!B378&lt;&gt;"",'Inputs Whole-Project Water Use'!B378,""))</f>
        <v/>
      </c>
      <c r="C378" s="313" t="str">
        <f>IF(AND(D378&lt;&gt;"",'Inputs Whole-Project Water Use'!C378=""),1,IF('Inputs Whole-Project Water Use'!C378&lt;&gt;"",'Inputs Whole-Project Water Use'!C378,""))</f>
        <v/>
      </c>
      <c r="D378" s="397" t="str">
        <f>IF('Inputs Whole-Project Water Use'!D378&lt;&gt;"",'Inputs Whole-Project Water Use'!D378,"")</f>
        <v/>
      </c>
      <c r="E378" s="398"/>
      <c r="F378" s="314" t="str">
        <f>IF('Inputs Whole-Project Water Use'!F378&lt;&gt;"",'Inputs Whole-Project Water Use'!F378,"")</f>
        <v/>
      </c>
      <c r="G378" s="314" t="str">
        <f>IF('Inputs Whole-Project Water Use'!G378&lt;&gt;"",'Inputs Whole-Project Water Use'!G378,"")</f>
        <v/>
      </c>
      <c r="H378" s="315" t="str">
        <f>IF('Inputs Whole-Project Water Use'!H378&lt;&gt;"",'Inputs Whole-Project Water Use'!H378,"")</f>
        <v/>
      </c>
      <c r="I378" s="390" t="str">
        <f t="shared" si="41"/>
        <v/>
      </c>
      <c r="J378" s="391"/>
      <c r="K378" s="316" t="str">
        <f>IF('Inputs Whole-Project Water Use'!K378&lt;&gt;"",'Inputs Whole-Project Water Use'!K378,"")</f>
        <v/>
      </c>
      <c r="L378" s="316" t="str">
        <f>IF('Inputs Whole-Project Water Use'!L378&lt;&gt;"",'Inputs Whole-Project Water Use'!L378,"")</f>
        <v/>
      </c>
      <c r="M378" s="390" t="str">
        <f t="shared" si="42"/>
        <v/>
      </c>
      <c r="N378" s="391"/>
      <c r="O378" s="225" t="str">
        <f t="shared" si="43"/>
        <v/>
      </c>
      <c r="P378" s="225" t="str">
        <f t="shared" si="44"/>
        <v/>
      </c>
      <c r="Q378" s="289" t="str">
        <f>IF(AND(D378&lt;&gt;"",'Inputs Whole-Project Water Use'!Q378=""),0,IF('Inputs Whole-Project Water Use'!Q378&lt;&gt;"",'Inputs Whole-Project Water Use'!Q378,""))</f>
        <v/>
      </c>
      <c r="R378" s="225" t="str">
        <f t="shared" si="45"/>
        <v/>
      </c>
      <c r="S378" s="225" t="str">
        <f t="shared" si="46"/>
        <v/>
      </c>
      <c r="T378" s="231" t="str">
        <f t="shared" si="47"/>
        <v/>
      </c>
      <c r="U378" s="241"/>
      <c r="V378" s="241"/>
      <c r="W378" s="241"/>
      <c r="X378" s="241"/>
      <c r="Y378" s="241"/>
      <c r="Z378" s="241"/>
      <c r="AA378" s="241"/>
      <c r="AB378" s="241"/>
      <c r="AC378" s="241"/>
      <c r="AD378" s="241"/>
      <c r="AE378" s="241"/>
      <c r="AF378" s="241"/>
      <c r="AG378" s="241"/>
      <c r="AH378" s="241"/>
      <c r="AI378" s="241"/>
      <c r="AJ378" s="241"/>
      <c r="AK378" s="241"/>
      <c r="AL378" s="241"/>
      <c r="AM378" s="241"/>
      <c r="AN378" s="241"/>
      <c r="AO378" s="241"/>
      <c r="AP378" s="241"/>
      <c r="AQ378" s="241"/>
      <c r="AR378" s="241"/>
      <c r="AS378" s="241"/>
      <c r="AT378" s="241"/>
      <c r="AU378" s="241"/>
      <c r="AV378" s="241"/>
      <c r="AW378" s="241"/>
      <c r="AX378" s="241"/>
      <c r="AY378" s="241"/>
      <c r="AZ378" s="241"/>
    </row>
    <row r="379" spans="1:52" s="71" customFormat="1" ht="18" hidden="1" customHeight="1" outlineLevel="2">
      <c r="A379" s="175">
        <v>109</v>
      </c>
      <c r="B379" s="312" t="str">
        <f>(IF('Inputs Whole-Project Water Use'!B379&lt;&gt;"",'Inputs Whole-Project Water Use'!B379,""))</f>
        <v/>
      </c>
      <c r="C379" s="313" t="str">
        <f>IF(AND(D379&lt;&gt;"",'Inputs Whole-Project Water Use'!C379=""),1,IF('Inputs Whole-Project Water Use'!C379&lt;&gt;"",'Inputs Whole-Project Water Use'!C379,""))</f>
        <v/>
      </c>
      <c r="D379" s="397" t="str">
        <f>IF('Inputs Whole-Project Water Use'!D379&lt;&gt;"",'Inputs Whole-Project Water Use'!D379,"")</f>
        <v/>
      </c>
      <c r="E379" s="398"/>
      <c r="F379" s="314" t="str">
        <f>IF('Inputs Whole-Project Water Use'!F379&lt;&gt;"",'Inputs Whole-Project Water Use'!F379,"")</f>
        <v/>
      </c>
      <c r="G379" s="314" t="str">
        <f>IF('Inputs Whole-Project Water Use'!G379&lt;&gt;"",'Inputs Whole-Project Water Use'!G379,"")</f>
        <v/>
      </c>
      <c r="H379" s="315" t="str">
        <f>IF('Inputs Whole-Project Water Use'!H379&lt;&gt;"",'Inputs Whole-Project Water Use'!H379,"")</f>
        <v/>
      </c>
      <c r="I379" s="390" t="str">
        <f t="shared" si="41"/>
        <v/>
      </c>
      <c r="J379" s="391"/>
      <c r="K379" s="316" t="str">
        <f>IF('Inputs Whole-Project Water Use'!K379&lt;&gt;"",'Inputs Whole-Project Water Use'!K379,"")</f>
        <v/>
      </c>
      <c r="L379" s="316" t="str">
        <f>IF('Inputs Whole-Project Water Use'!L379&lt;&gt;"",'Inputs Whole-Project Water Use'!L379,"")</f>
        <v/>
      </c>
      <c r="M379" s="390" t="str">
        <f t="shared" si="42"/>
        <v/>
      </c>
      <c r="N379" s="391"/>
      <c r="O379" s="225" t="str">
        <f t="shared" si="43"/>
        <v/>
      </c>
      <c r="P379" s="225" t="str">
        <f t="shared" si="44"/>
        <v/>
      </c>
      <c r="Q379" s="289" t="str">
        <f>IF(AND(D379&lt;&gt;"",'Inputs Whole-Project Water Use'!Q379=""),0,IF('Inputs Whole-Project Water Use'!Q379&lt;&gt;"",'Inputs Whole-Project Water Use'!Q379,""))</f>
        <v/>
      </c>
      <c r="R379" s="225" t="str">
        <f t="shared" si="45"/>
        <v/>
      </c>
      <c r="S379" s="225" t="str">
        <f t="shared" si="46"/>
        <v/>
      </c>
      <c r="T379" s="231" t="str">
        <f t="shared" si="47"/>
        <v/>
      </c>
      <c r="U379" s="241"/>
      <c r="V379" s="241"/>
      <c r="W379" s="241"/>
      <c r="X379" s="241"/>
      <c r="Y379" s="241"/>
      <c r="Z379" s="241"/>
      <c r="AA379" s="241"/>
      <c r="AB379" s="241"/>
      <c r="AC379" s="241"/>
      <c r="AD379" s="241"/>
      <c r="AE379" s="241"/>
      <c r="AF379" s="241"/>
      <c r="AG379" s="241"/>
      <c r="AH379" s="241"/>
      <c r="AI379" s="241"/>
      <c r="AJ379" s="241"/>
      <c r="AK379" s="241"/>
      <c r="AL379" s="241"/>
      <c r="AM379" s="241"/>
      <c r="AN379" s="241"/>
      <c r="AO379" s="241"/>
      <c r="AP379" s="241"/>
      <c r="AQ379" s="241"/>
      <c r="AR379" s="241"/>
      <c r="AS379" s="241"/>
      <c r="AT379" s="241"/>
      <c r="AU379" s="241"/>
      <c r="AV379" s="241"/>
      <c r="AW379" s="241"/>
      <c r="AX379" s="241"/>
      <c r="AY379" s="241"/>
      <c r="AZ379" s="241"/>
    </row>
    <row r="380" spans="1:52" s="71" customFormat="1" ht="18" hidden="1" customHeight="1" outlineLevel="2">
      <c r="A380" s="175">
        <v>110</v>
      </c>
      <c r="B380" s="312" t="str">
        <f>(IF('Inputs Whole-Project Water Use'!B380&lt;&gt;"",'Inputs Whole-Project Water Use'!B380,""))</f>
        <v/>
      </c>
      <c r="C380" s="313" t="str">
        <f>IF(AND(D380&lt;&gt;"",'Inputs Whole-Project Water Use'!C380=""),1,IF('Inputs Whole-Project Water Use'!C380&lt;&gt;"",'Inputs Whole-Project Water Use'!C380,""))</f>
        <v/>
      </c>
      <c r="D380" s="397" t="str">
        <f>IF('Inputs Whole-Project Water Use'!D380&lt;&gt;"",'Inputs Whole-Project Water Use'!D380,"")</f>
        <v/>
      </c>
      <c r="E380" s="398"/>
      <c r="F380" s="314" t="str">
        <f>IF('Inputs Whole-Project Water Use'!F380&lt;&gt;"",'Inputs Whole-Project Water Use'!F380,"")</f>
        <v/>
      </c>
      <c r="G380" s="314" t="str">
        <f>IF('Inputs Whole-Project Water Use'!G380&lt;&gt;"",'Inputs Whole-Project Water Use'!G380,"")</f>
        <v/>
      </c>
      <c r="H380" s="315" t="str">
        <f>IF('Inputs Whole-Project Water Use'!H380&lt;&gt;"",'Inputs Whole-Project Water Use'!H380,"")</f>
        <v/>
      </c>
      <c r="I380" s="390" t="str">
        <f t="shared" si="41"/>
        <v/>
      </c>
      <c r="J380" s="391"/>
      <c r="K380" s="316" t="str">
        <f>IF('Inputs Whole-Project Water Use'!K380&lt;&gt;"",'Inputs Whole-Project Water Use'!K380,"")</f>
        <v/>
      </c>
      <c r="L380" s="316" t="str">
        <f>IF('Inputs Whole-Project Water Use'!L380&lt;&gt;"",'Inputs Whole-Project Water Use'!L380,"")</f>
        <v/>
      </c>
      <c r="M380" s="390" t="str">
        <f t="shared" si="42"/>
        <v/>
      </c>
      <c r="N380" s="391"/>
      <c r="O380" s="225" t="str">
        <f t="shared" si="43"/>
        <v/>
      </c>
      <c r="P380" s="225" t="str">
        <f t="shared" si="44"/>
        <v/>
      </c>
      <c r="Q380" s="289" t="str">
        <f>IF(AND(D380&lt;&gt;"",'Inputs Whole-Project Water Use'!Q380=""),0,IF('Inputs Whole-Project Water Use'!Q380&lt;&gt;"",'Inputs Whole-Project Water Use'!Q380,""))</f>
        <v/>
      </c>
      <c r="R380" s="225" t="str">
        <f t="shared" si="45"/>
        <v/>
      </c>
      <c r="S380" s="225" t="str">
        <f t="shared" si="46"/>
        <v/>
      </c>
      <c r="T380" s="231" t="str">
        <f t="shared" si="47"/>
        <v/>
      </c>
      <c r="U380" s="241"/>
      <c r="V380" s="241"/>
      <c r="W380" s="241"/>
      <c r="X380" s="241"/>
      <c r="Y380" s="241"/>
      <c r="Z380" s="241"/>
      <c r="AA380" s="241"/>
      <c r="AB380" s="241"/>
      <c r="AC380" s="241"/>
      <c r="AD380" s="241"/>
      <c r="AE380" s="241"/>
      <c r="AF380" s="241"/>
      <c r="AG380" s="241"/>
      <c r="AH380" s="241"/>
      <c r="AI380" s="241"/>
      <c r="AJ380" s="241"/>
      <c r="AK380" s="241"/>
      <c r="AL380" s="241"/>
      <c r="AM380" s="241"/>
      <c r="AN380" s="241"/>
      <c r="AO380" s="241"/>
      <c r="AP380" s="241"/>
      <c r="AQ380" s="241"/>
      <c r="AR380" s="241"/>
      <c r="AS380" s="241"/>
      <c r="AT380" s="241"/>
      <c r="AU380" s="241"/>
      <c r="AV380" s="241"/>
      <c r="AW380" s="241"/>
      <c r="AX380" s="241"/>
      <c r="AY380" s="241"/>
      <c r="AZ380" s="241"/>
    </row>
    <row r="381" spans="1:52" s="71" customFormat="1" ht="15" hidden="1" customHeight="1" outlineLevel="1" collapsed="1">
      <c r="A381" s="288"/>
      <c r="B381" s="302"/>
      <c r="C381" s="303"/>
      <c r="D381" s="300"/>
      <c r="E381" s="300"/>
      <c r="F381" s="300"/>
      <c r="G381" s="300"/>
      <c r="H381" s="300"/>
      <c r="I381" s="300"/>
      <c r="J381" s="257"/>
      <c r="K381" s="300"/>
      <c r="L381" s="300"/>
      <c r="M381" s="300"/>
      <c r="N381" s="257"/>
      <c r="O381" s="300"/>
      <c r="P381" s="300"/>
      <c r="Q381" s="300"/>
      <c r="R381" s="257"/>
      <c r="S381" s="300"/>
      <c r="T381" s="295"/>
      <c r="U381" s="176"/>
      <c r="V381" s="241"/>
      <c r="W381" s="241"/>
      <c r="X381" s="241"/>
      <c r="Y381" s="241"/>
      <c r="Z381" s="241"/>
      <c r="AA381" s="241"/>
      <c r="AB381" s="241"/>
      <c r="AC381" s="241"/>
      <c r="AD381" s="241"/>
      <c r="AE381" s="241"/>
      <c r="AF381" s="241"/>
      <c r="AG381" s="241"/>
      <c r="AH381" s="241"/>
      <c r="AI381" s="241"/>
      <c r="AJ381" s="241"/>
      <c r="AK381" s="241"/>
      <c r="AL381" s="241"/>
      <c r="AM381" s="241"/>
      <c r="AN381" s="241"/>
      <c r="AO381" s="241"/>
      <c r="AP381" s="241"/>
      <c r="AQ381" s="241"/>
      <c r="AR381" s="241"/>
      <c r="AS381" s="241"/>
      <c r="AT381" s="241"/>
      <c r="AU381" s="241"/>
      <c r="AV381" s="241"/>
      <c r="AW381" s="241"/>
      <c r="AX381" s="241"/>
      <c r="AY381" s="241"/>
      <c r="AZ381" s="241"/>
    </row>
    <row r="382" spans="1:52" ht="18" customHeight="1" collapsed="1">
      <c r="A382" s="250"/>
      <c r="B382" s="152" t="str">
        <f>'Inputs Whole-Project Water Use'!B382</f>
        <v>Total Annual Lab and Medical Water Use | Water Use Savings (unit)</v>
      </c>
      <c r="C382" s="153"/>
      <c r="D382" s="153"/>
      <c r="E382" s="257"/>
      <c r="F382" s="257"/>
      <c r="G382" s="257"/>
      <c r="H382" s="257"/>
      <c r="I382" s="257"/>
      <c r="J382" s="257"/>
      <c r="K382" s="257"/>
      <c r="L382" s="257"/>
      <c r="M382" s="257"/>
      <c r="N382" s="257"/>
      <c r="O382" s="309">
        <f>SUM(logic_labmedawub)</f>
        <v>0</v>
      </c>
      <c r="P382" s="309">
        <f>SUM(logic_labmedawudwoaw)</f>
        <v>0</v>
      </c>
      <c r="Q382" s="309">
        <f>SUM(logic_labmedawuawa)</f>
        <v>0</v>
      </c>
      <c r="R382" s="309">
        <f>SUM(logic_labmedawud)</f>
        <v>0</v>
      </c>
      <c r="S382" s="309">
        <f>SUM(logic_labmedawusa)</f>
        <v>0</v>
      </c>
      <c r="T382" s="231">
        <f>IFERROR(S382/O382,0)</f>
        <v>0</v>
      </c>
      <c r="U382" s="241"/>
      <c r="V382" s="241"/>
      <c r="W382" s="241"/>
      <c r="X382" s="241"/>
      <c r="Y382" s="241"/>
      <c r="Z382" s="241"/>
      <c r="AA382" s="241"/>
      <c r="AB382" s="241"/>
      <c r="AC382" s="241"/>
      <c r="AD382" s="241"/>
      <c r="AE382" s="241"/>
      <c r="AF382" s="241"/>
      <c r="AG382" s="241"/>
      <c r="AH382" s="241"/>
      <c r="AI382" s="241"/>
      <c r="AJ382" s="241"/>
      <c r="AK382" s="241"/>
      <c r="AL382" s="241"/>
      <c r="AM382" s="241"/>
      <c r="AN382" s="241"/>
      <c r="AO382" s="241"/>
      <c r="AP382" s="241"/>
      <c r="AQ382" s="241"/>
      <c r="AR382" s="241"/>
      <c r="AS382" s="241"/>
      <c r="AT382" s="241"/>
      <c r="AU382" s="241"/>
      <c r="AV382" s="241"/>
      <c r="AW382" s="241"/>
      <c r="AX382" s="241"/>
      <c r="AY382" s="241"/>
      <c r="AZ382" s="241"/>
    </row>
    <row r="383" spans="1:52" ht="18" customHeight="1">
      <c r="A383" s="250"/>
      <c r="B383" s="250"/>
      <c r="C383" s="250"/>
      <c r="D383" s="250"/>
      <c r="E383" s="250"/>
      <c r="F383" s="250"/>
      <c r="G383" s="250"/>
      <c r="H383" s="250"/>
      <c r="I383" s="250"/>
      <c r="J383" s="250"/>
      <c r="K383" s="250"/>
      <c r="L383" s="250"/>
      <c r="M383" s="250"/>
      <c r="N383" s="250"/>
      <c r="O383" s="250"/>
      <c r="P383" s="250"/>
      <c r="Q383" s="241"/>
      <c r="R383" s="318"/>
      <c r="S383" s="318"/>
      <c r="T383" s="241"/>
      <c r="U383" s="241"/>
      <c r="V383" s="241"/>
      <c r="W383" s="241"/>
      <c r="X383" s="241"/>
      <c r="Y383" s="241"/>
      <c r="Z383" s="241"/>
      <c r="AA383" s="241"/>
      <c r="AB383" s="241"/>
      <c r="AC383" s="241"/>
      <c r="AD383" s="241"/>
      <c r="AE383" s="241"/>
      <c r="AF383" s="241"/>
      <c r="AG383" s="241"/>
      <c r="AH383" s="241"/>
      <c r="AI383" s="241"/>
      <c r="AJ383" s="241"/>
      <c r="AK383" s="241"/>
      <c r="AL383" s="241"/>
      <c r="AM383" s="241"/>
      <c r="AN383" s="241"/>
      <c r="AO383" s="241"/>
      <c r="AP383" s="241"/>
      <c r="AQ383" s="241"/>
      <c r="AR383" s="241"/>
      <c r="AS383" s="241"/>
      <c r="AT383" s="241"/>
      <c r="AU383" s="241"/>
      <c r="AV383" s="241"/>
      <c r="AW383" s="241"/>
      <c r="AX383" s="241"/>
      <c r="AY383" s="241"/>
      <c r="AZ383" s="241"/>
    </row>
    <row r="384" spans="1:52" ht="18" customHeight="1">
      <c r="A384" s="250"/>
      <c r="B384" s="250"/>
      <c r="C384" s="250"/>
      <c r="D384" s="250"/>
      <c r="E384" s="250"/>
      <c r="F384" s="250"/>
      <c r="G384" s="250"/>
      <c r="H384" s="250"/>
      <c r="I384" s="250"/>
      <c r="J384" s="250"/>
      <c r="K384" s="250"/>
      <c r="L384" s="250"/>
      <c r="M384" s="250"/>
      <c r="N384" s="250"/>
      <c r="O384" s="250"/>
      <c r="P384" s="250"/>
      <c r="Q384" s="241"/>
      <c r="R384" s="241"/>
      <c r="S384" s="241"/>
      <c r="T384" s="241"/>
      <c r="U384" s="241"/>
      <c r="V384" s="241"/>
      <c r="W384" s="241"/>
      <c r="X384" s="241"/>
      <c r="Y384" s="241"/>
      <c r="Z384" s="241"/>
      <c r="AA384" s="241"/>
      <c r="AB384" s="241"/>
      <c r="AC384" s="241"/>
      <c r="AD384" s="241"/>
      <c r="AE384" s="241"/>
      <c r="AF384" s="241"/>
      <c r="AG384" s="241"/>
      <c r="AH384" s="241"/>
      <c r="AI384" s="241"/>
      <c r="AJ384" s="241"/>
      <c r="AK384" s="241"/>
      <c r="AL384" s="241"/>
      <c r="AM384" s="241"/>
      <c r="AN384" s="241"/>
      <c r="AO384" s="241"/>
      <c r="AP384" s="241"/>
      <c r="AQ384" s="241"/>
      <c r="AR384" s="241"/>
      <c r="AS384" s="241"/>
      <c r="AT384" s="241"/>
      <c r="AU384" s="241"/>
      <c r="AV384" s="241"/>
      <c r="AW384" s="241"/>
      <c r="AX384" s="241"/>
      <c r="AY384" s="241"/>
      <c r="AZ384" s="241"/>
    </row>
    <row r="385" spans="1:52" ht="18" customHeight="1">
      <c r="A385" s="250"/>
      <c r="B385" s="142" t="s">
        <v>175</v>
      </c>
      <c r="C385" s="156"/>
      <c r="D385" s="143"/>
      <c r="E385" s="143"/>
      <c r="F385" s="143"/>
      <c r="G385" s="143"/>
      <c r="H385" s="143"/>
      <c r="I385" s="143"/>
      <c r="J385" s="143"/>
      <c r="K385" s="144"/>
      <c r="L385" s="241"/>
      <c r="M385" s="241"/>
      <c r="N385" s="241"/>
      <c r="O385" s="241"/>
      <c r="P385" s="241"/>
      <c r="Q385" s="241"/>
      <c r="R385" s="241"/>
      <c r="S385" s="241"/>
      <c r="T385" s="241"/>
      <c r="U385" s="241"/>
      <c r="V385" s="241"/>
      <c r="W385" s="241"/>
      <c r="X385" s="241"/>
      <c r="Y385" s="241"/>
      <c r="Z385" s="241"/>
      <c r="AA385" s="241"/>
      <c r="AB385" s="241"/>
      <c r="AC385" s="241"/>
      <c r="AD385" s="241"/>
      <c r="AE385" s="241"/>
      <c r="AF385" s="241"/>
      <c r="AG385" s="241"/>
      <c r="AH385" s="241"/>
      <c r="AI385" s="241"/>
      <c r="AJ385" s="241"/>
      <c r="AK385" s="241"/>
      <c r="AL385" s="241"/>
      <c r="AM385" s="241"/>
      <c r="AN385" s="241"/>
      <c r="AO385" s="241"/>
      <c r="AP385" s="241"/>
      <c r="AQ385" s="241"/>
      <c r="AR385" s="241"/>
      <c r="AS385" s="241"/>
      <c r="AT385" s="241"/>
      <c r="AU385" s="241"/>
      <c r="AV385" s="241"/>
      <c r="AW385" s="241"/>
      <c r="AX385" s="241"/>
      <c r="AY385" s="241"/>
      <c r="AZ385" s="241"/>
    </row>
    <row r="386" spans="1:52" ht="18" customHeight="1">
      <c r="A386" s="232"/>
      <c r="B386" s="232"/>
      <c r="C386" s="232"/>
      <c r="D386" s="232"/>
      <c r="E386" s="232"/>
      <c r="F386" s="232"/>
      <c r="G386" s="232"/>
      <c r="H386" s="232"/>
      <c r="I386" s="232"/>
      <c r="J386" s="232"/>
      <c r="K386" s="232"/>
      <c r="L386" s="232"/>
      <c r="M386" s="232"/>
      <c r="N386" s="232"/>
      <c r="O386" s="242"/>
      <c r="P386" s="241"/>
      <c r="Q386" s="241"/>
      <c r="R386" s="241"/>
      <c r="S386" s="241"/>
      <c r="T386" s="241"/>
      <c r="U386" s="241"/>
      <c r="V386" s="241"/>
      <c r="W386" s="241"/>
      <c r="X386" s="241"/>
      <c r="Y386" s="241"/>
      <c r="Z386" s="241"/>
      <c r="AA386" s="241"/>
      <c r="AB386" s="241"/>
      <c r="AC386" s="241"/>
      <c r="AD386" s="241"/>
      <c r="AE386" s="241"/>
      <c r="AF386" s="241"/>
      <c r="AG386" s="241"/>
      <c r="AH386" s="241"/>
      <c r="AI386" s="241"/>
      <c r="AJ386" s="241"/>
      <c r="AK386" s="241"/>
      <c r="AL386" s="241"/>
      <c r="AM386" s="241"/>
      <c r="AN386" s="241"/>
      <c r="AO386" s="241"/>
      <c r="AP386" s="241"/>
      <c r="AQ386" s="241"/>
      <c r="AR386" s="241"/>
      <c r="AS386" s="241"/>
      <c r="AT386" s="241"/>
      <c r="AU386" s="241"/>
      <c r="AV386" s="241"/>
      <c r="AW386" s="241"/>
      <c r="AX386" s="241"/>
      <c r="AY386" s="241"/>
      <c r="AZ386" s="241"/>
    </row>
    <row r="387" spans="1:52" s="244" customFormat="1" ht="17.399999999999999" customHeight="1">
      <c r="A387" s="175"/>
      <c r="B387" s="240" t="s">
        <v>156</v>
      </c>
      <c r="C387" s="241"/>
      <c r="D387" s="241"/>
      <c r="E387" s="241"/>
      <c r="F387" s="242"/>
      <c r="G387" s="242"/>
      <c r="H387" s="242"/>
      <c r="I387" s="242"/>
      <c r="J387" s="242"/>
      <c r="K387" s="243"/>
      <c r="L387" s="243"/>
      <c r="M387" s="243"/>
      <c r="N387" s="243"/>
      <c r="O387" s="243"/>
      <c r="P387" s="243"/>
      <c r="Q387" s="241"/>
      <c r="R387" s="243"/>
      <c r="S387" s="243"/>
      <c r="T387" s="241"/>
      <c r="U387" s="241"/>
      <c r="V387" s="241"/>
      <c r="W387" s="241"/>
      <c r="X387" s="241"/>
      <c r="Y387" s="241"/>
      <c r="Z387" s="241"/>
      <c r="AA387" s="241"/>
      <c r="AB387" s="241"/>
      <c r="AC387" s="241"/>
      <c r="AD387" s="241"/>
      <c r="AE387" s="241"/>
      <c r="AF387" s="241"/>
      <c r="AG387" s="241"/>
      <c r="AH387" s="241"/>
      <c r="AI387" s="241"/>
      <c r="AJ387" s="241"/>
      <c r="AK387" s="241"/>
      <c r="AL387" s="241"/>
      <c r="AM387" s="241"/>
      <c r="AN387" s="241"/>
      <c r="AO387" s="241"/>
      <c r="AP387" s="241"/>
      <c r="AQ387" s="241"/>
      <c r="AR387" s="241"/>
      <c r="AS387" s="241"/>
      <c r="AT387" s="241"/>
      <c r="AU387" s="241"/>
      <c r="AV387" s="241"/>
      <c r="AW387" s="241"/>
      <c r="AX387" s="241"/>
      <c r="AY387" s="241"/>
      <c r="AZ387" s="241"/>
    </row>
    <row r="388" spans="1:52" s="71" customFormat="1" ht="18" customHeight="1">
      <c r="A388" s="250"/>
      <c r="B388" s="152" t="s">
        <v>157</v>
      </c>
      <c r="C388" s="153"/>
      <c r="D388" s="153"/>
      <c r="E388" s="153"/>
      <c r="F388" s="152" t="s">
        <v>348</v>
      </c>
      <c r="G388" s="234"/>
      <c r="H388" s="234"/>
      <c r="I388" s="234"/>
      <c r="J388" s="234"/>
      <c r="K388" s="290"/>
      <c r="L388" s="241"/>
      <c r="M388" s="241"/>
      <c r="N388" s="241"/>
      <c r="O388" s="241"/>
      <c r="P388" s="241"/>
      <c r="Q388" s="241"/>
      <c r="R388" s="241"/>
      <c r="S388" s="241"/>
      <c r="T388" s="241"/>
      <c r="U388" s="241"/>
      <c r="V388" s="241"/>
      <c r="W388" s="241"/>
      <c r="X388" s="241"/>
      <c r="Y388" s="241"/>
      <c r="Z388" s="241"/>
      <c r="AA388" s="241"/>
      <c r="AB388" s="241"/>
      <c r="AC388" s="241"/>
      <c r="AD388" s="241"/>
      <c r="AE388" s="241"/>
      <c r="AF388" s="241"/>
      <c r="AG388" s="241"/>
      <c r="AH388" s="241"/>
      <c r="AI388" s="241"/>
      <c r="AJ388" s="241"/>
      <c r="AK388" s="241"/>
      <c r="AL388" s="241"/>
      <c r="AM388" s="241"/>
      <c r="AN388" s="241"/>
      <c r="AO388" s="241"/>
      <c r="AP388" s="241"/>
      <c r="AQ388" s="241"/>
      <c r="AR388" s="241"/>
      <c r="AS388" s="241"/>
      <c r="AT388" s="241"/>
      <c r="AU388" s="241"/>
      <c r="AV388" s="241"/>
      <c r="AW388" s="241"/>
      <c r="AX388" s="241"/>
      <c r="AY388" s="241"/>
      <c r="AZ388" s="241"/>
    </row>
    <row r="389" spans="1:52" s="71" customFormat="1" ht="18" customHeight="1">
      <c r="A389" s="175" t="s">
        <v>159</v>
      </c>
      <c r="B389" s="366" t="s">
        <v>160</v>
      </c>
      <c r="C389" s="366" t="s">
        <v>161</v>
      </c>
      <c r="D389" s="381" t="s">
        <v>162</v>
      </c>
      <c r="E389" s="382"/>
      <c r="F389" s="348" t="str">
        <f>CONCATENATE("Annual Water Use Baseline
(",(IF(inputs_units&lt;&gt;"",INDEX(data_genunitsvol,MATCH(inputs_units,data_genunits,0)),"unit")),")")</f>
        <v>Annual Water Use Baseline
(unit)</v>
      </c>
      <c r="G389" s="348" t="str">
        <f>CONCATENATE("Annual Water Use Design w/o Alt. Water
(",(IF(inputs_units&lt;&gt;"",INDEX(data_genunitsvol,MATCH(inputs_units,data_genunits,0)),"unit")),")")</f>
        <v>Annual Water Use Design w/o Alt. Water
(unit)</v>
      </c>
      <c r="H389" s="346" t="str">
        <f>CONCATENATE("Annual Alternative Water Use
(",(IF(inputs_units&lt;&gt;"",INDEX(data_genunitsvol,MATCH(inputs_units,data_genunits,0)),"unit")),")")</f>
        <v>Annual Alternative Water Use
(unit)</v>
      </c>
      <c r="I389" s="348" t="str">
        <f>CONCATENATE("Annual Water Use Design
(",(IF(inputs_units&lt;&gt;"",INDEX(data_genunitsvol,MATCH(inputs_units,data_genunits,0)),"unit")),")")</f>
        <v>Annual Water Use Design
(unit)</v>
      </c>
      <c r="J389" s="348" t="str">
        <f>CONCATENATE("Annual Water Use Savings 
(",(IF(inputs_units&lt;&gt;"",INDEX(data_genunitsvol,MATCH(inputs_units,data_genunits,0)),"unit")),")")</f>
        <v>Annual Water Use Savings 
(unit)</v>
      </c>
      <c r="K389" s="348" t="s">
        <v>360</v>
      </c>
      <c r="L389" s="241"/>
      <c r="M389" s="241"/>
      <c r="N389" s="241"/>
      <c r="O389" s="241"/>
      <c r="P389" s="241"/>
      <c r="Q389" s="241"/>
      <c r="R389" s="241"/>
      <c r="S389" s="241"/>
      <c r="T389" s="241"/>
      <c r="U389" s="241"/>
      <c r="V389" s="241"/>
      <c r="W389" s="241"/>
      <c r="X389" s="241"/>
      <c r="Y389" s="241"/>
      <c r="Z389" s="241"/>
      <c r="AA389" s="241"/>
      <c r="AB389" s="241"/>
      <c r="AC389" s="241"/>
      <c r="AD389" s="241"/>
      <c r="AE389" s="241"/>
      <c r="AF389" s="241"/>
      <c r="AG389" s="241"/>
      <c r="AH389" s="241"/>
      <c r="AI389" s="241"/>
      <c r="AJ389" s="241"/>
      <c r="AK389" s="241"/>
      <c r="AL389" s="241"/>
      <c r="AM389" s="241"/>
      <c r="AN389" s="241"/>
      <c r="AO389" s="241"/>
      <c r="AP389" s="241"/>
      <c r="AQ389" s="241"/>
      <c r="AR389" s="241"/>
      <c r="AS389" s="241"/>
      <c r="AT389" s="241"/>
      <c r="AU389" s="241"/>
      <c r="AV389" s="241"/>
      <c r="AW389" s="241"/>
      <c r="AX389" s="241"/>
      <c r="AY389" s="241"/>
      <c r="AZ389" s="241"/>
    </row>
    <row r="390" spans="1:52" s="71" customFormat="1" ht="18" customHeight="1">
      <c r="A390" s="175"/>
      <c r="B390" s="367"/>
      <c r="C390" s="367"/>
      <c r="D390" s="383"/>
      <c r="E390" s="384"/>
      <c r="F390" s="349"/>
      <c r="G390" s="349"/>
      <c r="H390" s="347"/>
      <c r="I390" s="349"/>
      <c r="J390" s="349"/>
      <c r="K390" s="349"/>
      <c r="L390" s="241"/>
      <c r="M390" s="241"/>
      <c r="N390" s="241"/>
      <c r="O390" s="241"/>
      <c r="P390" s="241"/>
      <c r="Q390" s="241"/>
      <c r="R390" s="241"/>
      <c r="S390" s="241"/>
      <c r="T390" s="241"/>
      <c r="U390" s="241"/>
      <c r="V390" s="241"/>
      <c r="W390" s="241"/>
      <c r="X390" s="241"/>
      <c r="Y390" s="241"/>
      <c r="Z390" s="241"/>
      <c r="AA390" s="241"/>
      <c r="AB390" s="241"/>
      <c r="AC390" s="241"/>
      <c r="AD390" s="241"/>
      <c r="AE390" s="241"/>
      <c r="AF390" s="241"/>
      <c r="AG390" s="241"/>
      <c r="AH390" s="241"/>
      <c r="AI390" s="241"/>
      <c r="AJ390" s="241"/>
      <c r="AK390" s="241"/>
      <c r="AL390" s="241"/>
      <c r="AM390" s="241"/>
      <c r="AN390" s="241"/>
      <c r="AO390" s="241"/>
      <c r="AP390" s="241"/>
      <c r="AQ390" s="241"/>
      <c r="AR390" s="241"/>
      <c r="AS390" s="241"/>
      <c r="AT390" s="241"/>
      <c r="AU390" s="241"/>
      <c r="AV390" s="241"/>
      <c r="AW390" s="241"/>
      <c r="AX390" s="241"/>
      <c r="AY390" s="241"/>
      <c r="AZ390" s="241"/>
    </row>
    <row r="391" spans="1:52" s="71" customFormat="1" ht="18" customHeight="1">
      <c r="A391" s="175"/>
      <c r="B391" s="368"/>
      <c r="C391" s="368"/>
      <c r="D391" s="385"/>
      <c r="E391" s="386"/>
      <c r="F391" s="350"/>
      <c r="G391" s="350"/>
      <c r="H391" s="301" t="s">
        <v>298</v>
      </c>
      <c r="I391" s="350"/>
      <c r="J391" s="350"/>
      <c r="K391" s="350"/>
      <c r="L391" s="241"/>
      <c r="M391" s="241"/>
      <c r="N391" s="241"/>
      <c r="O391" s="241"/>
      <c r="P391" s="241"/>
      <c r="Q391" s="241"/>
      <c r="R391" s="241"/>
      <c r="S391" s="241"/>
      <c r="T391" s="241"/>
      <c r="U391" s="241"/>
      <c r="V391" s="241"/>
      <c r="W391" s="241"/>
      <c r="X391" s="241"/>
      <c r="Y391" s="241"/>
      <c r="Z391" s="241"/>
      <c r="AA391" s="241"/>
      <c r="AB391" s="241"/>
      <c r="AC391" s="241"/>
      <c r="AD391" s="241"/>
      <c r="AE391" s="241"/>
      <c r="AF391" s="241"/>
      <c r="AG391" s="241"/>
      <c r="AH391" s="241"/>
      <c r="AI391" s="241"/>
      <c r="AJ391" s="241"/>
      <c r="AK391" s="241"/>
      <c r="AL391" s="241"/>
      <c r="AM391" s="241"/>
      <c r="AN391" s="241"/>
      <c r="AO391" s="241"/>
      <c r="AP391" s="241"/>
      <c r="AQ391" s="241"/>
      <c r="AR391" s="241"/>
      <c r="AS391" s="241"/>
      <c r="AT391" s="241"/>
      <c r="AU391" s="241"/>
      <c r="AV391" s="241"/>
      <c r="AW391" s="241"/>
      <c r="AX391" s="241"/>
      <c r="AY391" s="241"/>
      <c r="AZ391" s="241"/>
    </row>
    <row r="392" spans="1:52" s="71" customFormat="1" ht="18" customHeight="1">
      <c r="A392" s="175">
        <v>1</v>
      </c>
      <c r="B392" s="312" t="str">
        <f>(IF('Inputs Whole-Project Water Use'!B392&lt;&gt;"",'Inputs Whole-Project Water Use'!B392,""))</f>
        <v/>
      </c>
      <c r="C392" s="313" t="str">
        <f>IF(AND(F392&lt;&gt;"",'Inputs Whole-Project Water Use'!C392=""),1,IF('Inputs Whole-Project Water Use'!C392&lt;&gt;"",'Inputs Whole-Project Water Use'!C392,""))</f>
        <v/>
      </c>
      <c r="D392" s="397" t="str">
        <f>(IF('Inputs Whole-Project Water Use'!D392&lt;&gt;"",'Inputs Whole-Project Water Use'!D392,""))</f>
        <v/>
      </c>
      <c r="E392" s="398"/>
      <c r="F392" s="316" t="str">
        <f>(IF('Inputs Whole-Project Water Use'!F392&lt;&gt;"",'Inputs Whole-Project Water Use'!F392,""))</f>
        <v/>
      </c>
      <c r="G392" s="316" t="str">
        <f>(IF('Inputs Whole-Project Water Use'!G392&lt;&gt;"",'Inputs Whole-Project Water Use'!G392,""))</f>
        <v/>
      </c>
      <c r="H392" s="289" t="str">
        <f>IF(AND(G392&lt;&gt;"",'Inputs Whole-Project Water Use'!H392=""),0,IF('Inputs Whole-Project Water Use'!H392&lt;&gt;"",'Inputs Whole-Project Water Use'!H392,""))</f>
        <v/>
      </c>
      <c r="I392" s="225" t="str">
        <f t="shared" ref="I392" si="48">IFERROR(IF(G392&lt;&gt;"",(G392-H392),""),"")</f>
        <v/>
      </c>
      <c r="J392" s="225" t="str">
        <f>IFERROR(IF(OR(F392&lt;&gt;"",G392&lt;&gt;""),F392-I392,""),"")</f>
        <v/>
      </c>
      <c r="K392" s="231" t="str">
        <f t="shared" ref="K392" si="49">IFERROR(J392/F392,"")</f>
        <v/>
      </c>
      <c r="L392" s="241"/>
      <c r="M392" s="241"/>
      <c r="N392" s="241"/>
      <c r="O392" s="241"/>
      <c r="P392" s="241"/>
      <c r="Q392" s="241"/>
      <c r="R392" s="241"/>
      <c r="S392" s="241"/>
      <c r="T392" s="241"/>
      <c r="U392" s="241"/>
      <c r="V392" s="241"/>
      <c r="W392" s="241"/>
      <c r="X392" s="241"/>
      <c r="Y392" s="241"/>
      <c r="Z392" s="241"/>
      <c r="AA392" s="241"/>
      <c r="AB392" s="241"/>
      <c r="AC392" s="241"/>
      <c r="AD392" s="241"/>
      <c r="AE392" s="241"/>
      <c r="AF392" s="241"/>
      <c r="AG392" s="241"/>
      <c r="AH392" s="241"/>
      <c r="AI392" s="241"/>
      <c r="AJ392" s="241"/>
      <c r="AK392" s="241"/>
      <c r="AL392" s="241"/>
      <c r="AM392" s="241"/>
      <c r="AN392" s="241"/>
      <c r="AO392" s="241"/>
      <c r="AP392" s="241"/>
      <c r="AQ392" s="241"/>
      <c r="AR392" s="241"/>
      <c r="AS392" s="241"/>
      <c r="AT392" s="241"/>
      <c r="AU392" s="241"/>
      <c r="AV392" s="241"/>
      <c r="AW392" s="241"/>
      <c r="AX392" s="241"/>
      <c r="AY392" s="241"/>
      <c r="AZ392" s="241"/>
    </row>
    <row r="393" spans="1:52" s="71" customFormat="1" ht="18" customHeight="1">
      <c r="A393" s="175">
        <v>2</v>
      </c>
      <c r="B393" s="312" t="str">
        <f>(IF('Inputs Whole-Project Water Use'!B393&lt;&gt;"",'Inputs Whole-Project Water Use'!B393,""))</f>
        <v/>
      </c>
      <c r="C393" s="313" t="str">
        <f>IF(AND(F393&lt;&gt;"",'Inputs Whole-Project Water Use'!C393=""),1,IF('Inputs Whole-Project Water Use'!C393&lt;&gt;"",'Inputs Whole-Project Water Use'!C393,""))</f>
        <v/>
      </c>
      <c r="D393" s="397" t="str">
        <f>(IF('Inputs Whole-Project Water Use'!D393&lt;&gt;"",'Inputs Whole-Project Water Use'!D393,""))</f>
        <v/>
      </c>
      <c r="E393" s="398"/>
      <c r="F393" s="316" t="str">
        <f>(IF('Inputs Whole-Project Water Use'!F393&lt;&gt;"",'Inputs Whole-Project Water Use'!F393,""))</f>
        <v/>
      </c>
      <c r="G393" s="316" t="str">
        <f>(IF('Inputs Whole-Project Water Use'!G393&lt;&gt;"",'Inputs Whole-Project Water Use'!G393,""))</f>
        <v/>
      </c>
      <c r="H393" s="289" t="str">
        <f>IF(AND(G393&lt;&gt;"",'Inputs Whole-Project Water Use'!H393=""),0,IF('Inputs Whole-Project Water Use'!H393&lt;&gt;"",'Inputs Whole-Project Water Use'!H393,""))</f>
        <v/>
      </c>
      <c r="I393" s="225" t="str">
        <f t="shared" ref="I393:I456" si="50">IFERROR(IF(G393&lt;&gt;"",(G393-H393),""),"")</f>
        <v/>
      </c>
      <c r="J393" s="225" t="str">
        <f t="shared" ref="J393:J456" si="51">IFERROR(IF(OR(F393&lt;&gt;"",G393&lt;&gt;""),F393-I393,""),"")</f>
        <v/>
      </c>
      <c r="K393" s="231" t="str">
        <f t="shared" ref="K393:K456" si="52">IFERROR(J393/F393,"")</f>
        <v/>
      </c>
      <c r="L393" s="241"/>
      <c r="M393" s="241"/>
      <c r="N393" s="241"/>
      <c r="O393" s="241"/>
      <c r="P393" s="241"/>
      <c r="Q393" s="241"/>
      <c r="R393" s="241"/>
      <c r="S393" s="241"/>
      <c r="T393" s="241"/>
      <c r="U393" s="241"/>
      <c r="V393" s="241"/>
      <c r="W393" s="241"/>
      <c r="X393" s="241"/>
      <c r="Y393" s="241"/>
      <c r="Z393" s="241"/>
      <c r="AA393" s="241"/>
      <c r="AB393" s="241"/>
      <c r="AC393" s="241"/>
      <c r="AD393" s="241"/>
      <c r="AE393" s="241"/>
      <c r="AF393" s="241"/>
      <c r="AG393" s="241"/>
      <c r="AH393" s="241"/>
      <c r="AI393" s="241"/>
      <c r="AJ393" s="241"/>
      <c r="AK393" s="241"/>
      <c r="AL393" s="241"/>
      <c r="AM393" s="241"/>
      <c r="AN393" s="241"/>
      <c r="AO393" s="241"/>
      <c r="AP393" s="241"/>
      <c r="AQ393" s="241"/>
      <c r="AR393" s="241"/>
      <c r="AS393" s="241"/>
      <c r="AT393" s="241"/>
      <c r="AU393" s="241"/>
      <c r="AV393" s="241"/>
      <c r="AW393" s="241"/>
      <c r="AX393" s="241"/>
      <c r="AY393" s="241"/>
      <c r="AZ393" s="241"/>
    </row>
    <row r="394" spans="1:52" s="71" customFormat="1" ht="18" customHeight="1">
      <c r="A394" s="175">
        <v>3</v>
      </c>
      <c r="B394" s="312" t="str">
        <f>(IF('Inputs Whole-Project Water Use'!B394&lt;&gt;"",'Inputs Whole-Project Water Use'!B394,""))</f>
        <v/>
      </c>
      <c r="C394" s="313" t="str">
        <f>IF(AND(F394&lt;&gt;"",'Inputs Whole-Project Water Use'!C394=""),1,IF('Inputs Whole-Project Water Use'!C394&lt;&gt;"",'Inputs Whole-Project Water Use'!C394,""))</f>
        <v/>
      </c>
      <c r="D394" s="397" t="str">
        <f>(IF('Inputs Whole-Project Water Use'!D394&lt;&gt;"",'Inputs Whole-Project Water Use'!D394,""))</f>
        <v/>
      </c>
      <c r="E394" s="398"/>
      <c r="F394" s="316" t="str">
        <f>(IF('Inputs Whole-Project Water Use'!F394&lt;&gt;"",'Inputs Whole-Project Water Use'!F394,""))</f>
        <v/>
      </c>
      <c r="G394" s="316" t="str">
        <f>(IF('Inputs Whole-Project Water Use'!G394&lt;&gt;"",'Inputs Whole-Project Water Use'!G394,""))</f>
        <v/>
      </c>
      <c r="H394" s="289" t="str">
        <f>IF(AND(G394&lt;&gt;"",'Inputs Whole-Project Water Use'!H394=""),0,IF('Inputs Whole-Project Water Use'!H394&lt;&gt;"",'Inputs Whole-Project Water Use'!H394,""))</f>
        <v/>
      </c>
      <c r="I394" s="225" t="str">
        <f t="shared" si="50"/>
        <v/>
      </c>
      <c r="J394" s="225" t="str">
        <f t="shared" si="51"/>
        <v/>
      </c>
      <c r="K394" s="231" t="str">
        <f t="shared" si="52"/>
        <v/>
      </c>
      <c r="L394" s="241"/>
      <c r="M394" s="241"/>
      <c r="N394" s="241"/>
      <c r="O394" s="241"/>
      <c r="P394" s="241"/>
      <c r="Q394" s="241"/>
      <c r="R394" s="241"/>
      <c r="S394" s="241"/>
      <c r="T394" s="241"/>
      <c r="U394" s="241"/>
      <c r="V394" s="241"/>
      <c r="W394" s="241"/>
      <c r="X394" s="241"/>
      <c r="Y394" s="241"/>
      <c r="Z394" s="241"/>
      <c r="AA394" s="241"/>
      <c r="AB394" s="241"/>
      <c r="AC394" s="241"/>
      <c r="AD394" s="241"/>
      <c r="AE394" s="241"/>
      <c r="AF394" s="241"/>
      <c r="AG394" s="241"/>
      <c r="AH394" s="241"/>
      <c r="AI394" s="241"/>
      <c r="AJ394" s="241"/>
      <c r="AK394" s="241"/>
      <c r="AL394" s="241"/>
      <c r="AM394" s="241"/>
      <c r="AN394" s="241"/>
      <c r="AO394" s="241"/>
      <c r="AP394" s="241"/>
      <c r="AQ394" s="241"/>
      <c r="AR394" s="241"/>
      <c r="AS394" s="241"/>
      <c r="AT394" s="241"/>
      <c r="AU394" s="241"/>
      <c r="AV394" s="241"/>
      <c r="AW394" s="241"/>
      <c r="AX394" s="241"/>
      <c r="AY394" s="241"/>
      <c r="AZ394" s="241"/>
    </row>
    <row r="395" spans="1:52" s="71" customFormat="1" ht="18" customHeight="1">
      <c r="A395" s="175">
        <v>4</v>
      </c>
      <c r="B395" s="312" t="str">
        <f>(IF('Inputs Whole-Project Water Use'!B395&lt;&gt;"",'Inputs Whole-Project Water Use'!B395,""))</f>
        <v/>
      </c>
      <c r="C395" s="313" t="str">
        <f>IF(AND(F395&lt;&gt;"",'Inputs Whole-Project Water Use'!C395=""),1,IF('Inputs Whole-Project Water Use'!C395&lt;&gt;"",'Inputs Whole-Project Water Use'!C395,""))</f>
        <v/>
      </c>
      <c r="D395" s="397" t="str">
        <f>(IF('Inputs Whole-Project Water Use'!D395&lt;&gt;"",'Inputs Whole-Project Water Use'!D395,""))</f>
        <v/>
      </c>
      <c r="E395" s="398"/>
      <c r="F395" s="316" t="str">
        <f>(IF('Inputs Whole-Project Water Use'!F395&lt;&gt;"",'Inputs Whole-Project Water Use'!F395,""))</f>
        <v/>
      </c>
      <c r="G395" s="316" t="str">
        <f>(IF('Inputs Whole-Project Water Use'!G395&lt;&gt;"",'Inputs Whole-Project Water Use'!G395,""))</f>
        <v/>
      </c>
      <c r="H395" s="289" t="str">
        <f>IF(AND(G395&lt;&gt;"",'Inputs Whole-Project Water Use'!H395=""),0,IF('Inputs Whole-Project Water Use'!H395&lt;&gt;"",'Inputs Whole-Project Water Use'!H395,""))</f>
        <v/>
      </c>
      <c r="I395" s="225" t="str">
        <f t="shared" si="50"/>
        <v/>
      </c>
      <c r="J395" s="225" t="str">
        <f t="shared" si="51"/>
        <v/>
      </c>
      <c r="K395" s="231" t="str">
        <f t="shared" si="52"/>
        <v/>
      </c>
      <c r="L395" s="241"/>
      <c r="M395" s="241"/>
      <c r="N395" s="241"/>
      <c r="O395" s="241"/>
      <c r="P395" s="241"/>
      <c r="Q395" s="241"/>
      <c r="R395" s="241"/>
      <c r="S395" s="241"/>
      <c r="T395" s="241"/>
      <c r="U395" s="241"/>
      <c r="V395" s="241"/>
      <c r="W395" s="241"/>
      <c r="X395" s="241"/>
      <c r="Y395" s="241"/>
      <c r="Z395" s="241"/>
      <c r="AA395" s="241"/>
      <c r="AB395" s="241"/>
      <c r="AC395" s="241"/>
      <c r="AD395" s="241"/>
      <c r="AE395" s="241"/>
      <c r="AF395" s="241"/>
      <c r="AG395" s="241"/>
      <c r="AH395" s="241"/>
      <c r="AI395" s="241"/>
      <c r="AJ395" s="241"/>
      <c r="AK395" s="241"/>
      <c r="AL395" s="241"/>
      <c r="AM395" s="241"/>
      <c r="AN395" s="241"/>
      <c r="AO395" s="241"/>
      <c r="AP395" s="241"/>
      <c r="AQ395" s="241"/>
      <c r="AR395" s="241"/>
      <c r="AS395" s="241"/>
      <c r="AT395" s="241"/>
      <c r="AU395" s="241"/>
      <c r="AV395" s="241"/>
      <c r="AW395" s="241"/>
      <c r="AX395" s="241"/>
      <c r="AY395" s="241"/>
      <c r="AZ395" s="241"/>
    </row>
    <row r="396" spans="1:52" s="71" customFormat="1" ht="18" customHeight="1">
      <c r="A396" s="175">
        <v>5</v>
      </c>
      <c r="B396" s="312" t="str">
        <f>(IF('Inputs Whole-Project Water Use'!B396&lt;&gt;"",'Inputs Whole-Project Water Use'!B396,""))</f>
        <v/>
      </c>
      <c r="C396" s="313" t="str">
        <f>IF(AND(F396&lt;&gt;"",'Inputs Whole-Project Water Use'!C396=""),1,IF('Inputs Whole-Project Water Use'!C396&lt;&gt;"",'Inputs Whole-Project Water Use'!C396,""))</f>
        <v/>
      </c>
      <c r="D396" s="397" t="str">
        <f>(IF('Inputs Whole-Project Water Use'!D396&lt;&gt;"",'Inputs Whole-Project Water Use'!D396,""))</f>
        <v/>
      </c>
      <c r="E396" s="398"/>
      <c r="F396" s="316" t="str">
        <f>(IF('Inputs Whole-Project Water Use'!F396&lt;&gt;"",'Inputs Whole-Project Water Use'!F396,""))</f>
        <v/>
      </c>
      <c r="G396" s="316" t="str">
        <f>(IF('Inputs Whole-Project Water Use'!G396&lt;&gt;"",'Inputs Whole-Project Water Use'!G396,""))</f>
        <v/>
      </c>
      <c r="H396" s="289" t="str">
        <f>IF(AND(G396&lt;&gt;"",'Inputs Whole-Project Water Use'!H396=""),0,IF('Inputs Whole-Project Water Use'!H396&lt;&gt;"",'Inputs Whole-Project Water Use'!H396,""))</f>
        <v/>
      </c>
      <c r="I396" s="225" t="str">
        <f t="shared" si="50"/>
        <v/>
      </c>
      <c r="J396" s="225" t="str">
        <f t="shared" si="51"/>
        <v/>
      </c>
      <c r="K396" s="231" t="str">
        <f t="shared" si="52"/>
        <v/>
      </c>
      <c r="L396" s="241"/>
      <c r="M396" s="241"/>
      <c r="N396" s="241"/>
      <c r="O396" s="241"/>
      <c r="P396" s="241"/>
      <c r="Q396" s="241"/>
      <c r="R396" s="241"/>
      <c r="S396" s="241"/>
      <c r="T396" s="241"/>
      <c r="U396" s="241"/>
      <c r="V396" s="241"/>
      <c r="W396" s="241"/>
      <c r="X396" s="241"/>
      <c r="Y396" s="241"/>
      <c r="Z396" s="241"/>
      <c r="AA396" s="241"/>
      <c r="AB396" s="241"/>
      <c r="AC396" s="241"/>
      <c r="AD396" s="241"/>
      <c r="AE396" s="241"/>
      <c r="AF396" s="241"/>
      <c r="AG396" s="241"/>
      <c r="AH396" s="241"/>
      <c r="AI396" s="241"/>
      <c r="AJ396" s="241"/>
      <c r="AK396" s="241"/>
      <c r="AL396" s="241"/>
      <c r="AM396" s="241"/>
      <c r="AN396" s="241"/>
      <c r="AO396" s="241"/>
      <c r="AP396" s="241"/>
      <c r="AQ396" s="241"/>
      <c r="AR396" s="241"/>
      <c r="AS396" s="241"/>
      <c r="AT396" s="241"/>
      <c r="AU396" s="241"/>
      <c r="AV396" s="241"/>
      <c r="AW396" s="241"/>
      <c r="AX396" s="241"/>
      <c r="AY396" s="241"/>
      <c r="AZ396" s="241"/>
    </row>
    <row r="397" spans="1:52" s="71" customFormat="1" ht="18" customHeight="1">
      <c r="A397" s="175">
        <v>6</v>
      </c>
      <c r="B397" s="312" t="str">
        <f>(IF('Inputs Whole-Project Water Use'!B397&lt;&gt;"",'Inputs Whole-Project Water Use'!B397,""))</f>
        <v/>
      </c>
      <c r="C397" s="313" t="str">
        <f>IF(AND(F397&lt;&gt;"",'Inputs Whole-Project Water Use'!C397=""),1,IF('Inputs Whole-Project Water Use'!C397&lt;&gt;"",'Inputs Whole-Project Water Use'!C397,""))</f>
        <v/>
      </c>
      <c r="D397" s="397" t="str">
        <f>(IF('Inputs Whole-Project Water Use'!D397&lt;&gt;"",'Inputs Whole-Project Water Use'!D397,""))</f>
        <v/>
      </c>
      <c r="E397" s="398"/>
      <c r="F397" s="316" t="str">
        <f>(IF('Inputs Whole-Project Water Use'!F397&lt;&gt;"",'Inputs Whole-Project Water Use'!F397,""))</f>
        <v/>
      </c>
      <c r="G397" s="316" t="str">
        <f>(IF('Inputs Whole-Project Water Use'!G397&lt;&gt;"",'Inputs Whole-Project Water Use'!G397,""))</f>
        <v/>
      </c>
      <c r="H397" s="289" t="str">
        <f>IF(AND(G397&lt;&gt;"",'Inputs Whole-Project Water Use'!H397=""),0,IF('Inputs Whole-Project Water Use'!H397&lt;&gt;"",'Inputs Whole-Project Water Use'!H397,""))</f>
        <v/>
      </c>
      <c r="I397" s="225" t="str">
        <f t="shared" si="50"/>
        <v/>
      </c>
      <c r="J397" s="225" t="str">
        <f t="shared" si="51"/>
        <v/>
      </c>
      <c r="K397" s="231" t="str">
        <f t="shared" si="52"/>
        <v/>
      </c>
      <c r="L397" s="241"/>
      <c r="M397" s="241"/>
      <c r="N397" s="241"/>
      <c r="O397" s="241"/>
      <c r="P397" s="241"/>
      <c r="Q397" s="241"/>
      <c r="R397" s="241"/>
      <c r="S397" s="241"/>
      <c r="T397" s="241"/>
      <c r="U397" s="241"/>
      <c r="V397" s="241"/>
      <c r="W397" s="241"/>
      <c r="X397" s="241"/>
      <c r="Y397" s="241"/>
      <c r="Z397" s="241"/>
      <c r="AA397" s="241"/>
      <c r="AB397" s="241"/>
      <c r="AC397" s="241"/>
      <c r="AD397" s="241"/>
      <c r="AE397" s="241"/>
      <c r="AF397" s="241"/>
      <c r="AG397" s="241"/>
      <c r="AH397" s="241"/>
      <c r="AI397" s="241"/>
      <c r="AJ397" s="241"/>
      <c r="AK397" s="241"/>
      <c r="AL397" s="241"/>
      <c r="AM397" s="241"/>
      <c r="AN397" s="241"/>
      <c r="AO397" s="241"/>
      <c r="AP397" s="241"/>
      <c r="AQ397" s="241"/>
      <c r="AR397" s="241"/>
      <c r="AS397" s="241"/>
      <c r="AT397" s="241"/>
      <c r="AU397" s="241"/>
      <c r="AV397" s="241"/>
      <c r="AW397" s="241"/>
      <c r="AX397" s="241"/>
      <c r="AY397" s="241"/>
      <c r="AZ397" s="241"/>
    </row>
    <row r="398" spans="1:52" s="71" customFormat="1" ht="18" customHeight="1">
      <c r="A398" s="175">
        <v>7</v>
      </c>
      <c r="B398" s="312" t="str">
        <f>(IF('Inputs Whole-Project Water Use'!B398&lt;&gt;"",'Inputs Whole-Project Water Use'!B398,""))</f>
        <v/>
      </c>
      <c r="C398" s="313" t="str">
        <f>IF(AND(F398&lt;&gt;"",'Inputs Whole-Project Water Use'!C398=""),1,IF('Inputs Whole-Project Water Use'!C398&lt;&gt;"",'Inputs Whole-Project Water Use'!C398,""))</f>
        <v/>
      </c>
      <c r="D398" s="397" t="str">
        <f>(IF('Inputs Whole-Project Water Use'!D398&lt;&gt;"",'Inputs Whole-Project Water Use'!D398,""))</f>
        <v/>
      </c>
      <c r="E398" s="398"/>
      <c r="F398" s="316" t="str">
        <f>(IF('Inputs Whole-Project Water Use'!F398&lt;&gt;"",'Inputs Whole-Project Water Use'!F398,""))</f>
        <v/>
      </c>
      <c r="G398" s="316" t="str">
        <f>(IF('Inputs Whole-Project Water Use'!G398&lt;&gt;"",'Inputs Whole-Project Water Use'!G398,""))</f>
        <v/>
      </c>
      <c r="H398" s="289" t="str">
        <f>IF(AND(G398&lt;&gt;"",'Inputs Whole-Project Water Use'!H398=""),0,IF('Inputs Whole-Project Water Use'!H398&lt;&gt;"",'Inputs Whole-Project Water Use'!H398,""))</f>
        <v/>
      </c>
      <c r="I398" s="225" t="str">
        <f t="shared" si="50"/>
        <v/>
      </c>
      <c r="J398" s="225" t="str">
        <f t="shared" si="51"/>
        <v/>
      </c>
      <c r="K398" s="231" t="str">
        <f t="shared" si="52"/>
        <v/>
      </c>
      <c r="L398" s="241"/>
      <c r="M398" s="241"/>
      <c r="N398" s="241"/>
      <c r="O398" s="241"/>
      <c r="P398" s="241"/>
      <c r="Q398" s="241"/>
      <c r="R398" s="241"/>
      <c r="S398" s="241"/>
      <c r="T398" s="241"/>
      <c r="U398" s="241"/>
      <c r="V398" s="241"/>
      <c r="W398" s="241"/>
      <c r="X398" s="241"/>
      <c r="Y398" s="241"/>
      <c r="Z398" s="241"/>
      <c r="AA398" s="241"/>
      <c r="AB398" s="241"/>
      <c r="AC398" s="241"/>
      <c r="AD398" s="241"/>
      <c r="AE398" s="241"/>
      <c r="AF398" s="241"/>
      <c r="AG398" s="241"/>
      <c r="AH398" s="241"/>
      <c r="AI398" s="241"/>
      <c r="AJ398" s="241"/>
      <c r="AK398" s="241"/>
      <c r="AL398" s="241"/>
      <c r="AM398" s="241"/>
      <c r="AN398" s="241"/>
      <c r="AO398" s="241"/>
      <c r="AP398" s="241"/>
      <c r="AQ398" s="241"/>
      <c r="AR398" s="241"/>
      <c r="AS398" s="241"/>
      <c r="AT398" s="241"/>
      <c r="AU398" s="241"/>
      <c r="AV398" s="241"/>
      <c r="AW398" s="241"/>
      <c r="AX398" s="241"/>
      <c r="AY398" s="241"/>
      <c r="AZ398" s="241"/>
    </row>
    <row r="399" spans="1:52" s="71" customFormat="1" ht="18" customHeight="1">
      <c r="A399" s="175">
        <v>8</v>
      </c>
      <c r="B399" s="312" t="str">
        <f>(IF('Inputs Whole-Project Water Use'!B399&lt;&gt;"",'Inputs Whole-Project Water Use'!B399,""))</f>
        <v/>
      </c>
      <c r="C399" s="313" t="str">
        <f>IF(AND(F399&lt;&gt;"",'Inputs Whole-Project Water Use'!C399=""),1,IF('Inputs Whole-Project Water Use'!C399&lt;&gt;"",'Inputs Whole-Project Water Use'!C399,""))</f>
        <v/>
      </c>
      <c r="D399" s="397" t="str">
        <f>(IF('Inputs Whole-Project Water Use'!D399&lt;&gt;"",'Inputs Whole-Project Water Use'!D399,""))</f>
        <v/>
      </c>
      <c r="E399" s="398"/>
      <c r="F399" s="316" t="str">
        <f>(IF('Inputs Whole-Project Water Use'!F399&lt;&gt;"",'Inputs Whole-Project Water Use'!F399,""))</f>
        <v/>
      </c>
      <c r="G399" s="316" t="str">
        <f>(IF('Inputs Whole-Project Water Use'!G399&lt;&gt;"",'Inputs Whole-Project Water Use'!G399,""))</f>
        <v/>
      </c>
      <c r="H399" s="289" t="str">
        <f>IF(AND(G399&lt;&gt;"",'Inputs Whole-Project Water Use'!H399=""),0,IF('Inputs Whole-Project Water Use'!H399&lt;&gt;"",'Inputs Whole-Project Water Use'!H399,""))</f>
        <v/>
      </c>
      <c r="I399" s="225" t="str">
        <f t="shared" si="50"/>
        <v/>
      </c>
      <c r="J399" s="225" t="str">
        <f t="shared" si="51"/>
        <v/>
      </c>
      <c r="K399" s="231" t="str">
        <f t="shared" si="52"/>
        <v/>
      </c>
      <c r="L399" s="241"/>
      <c r="M399" s="241"/>
      <c r="N399" s="241"/>
      <c r="O399" s="241"/>
      <c r="P399" s="241"/>
      <c r="Q399" s="241"/>
      <c r="R399" s="241"/>
      <c r="S399" s="241"/>
      <c r="T399" s="241"/>
      <c r="U399" s="241"/>
      <c r="V399" s="241"/>
      <c r="W399" s="241"/>
      <c r="X399" s="241"/>
      <c r="Y399" s="241"/>
      <c r="Z399" s="241"/>
      <c r="AA399" s="241"/>
      <c r="AB399" s="241"/>
      <c r="AC399" s="241"/>
      <c r="AD399" s="241"/>
      <c r="AE399" s="241"/>
      <c r="AF399" s="241"/>
      <c r="AG399" s="241"/>
      <c r="AH399" s="241"/>
      <c r="AI399" s="241"/>
      <c r="AJ399" s="241"/>
      <c r="AK399" s="241"/>
      <c r="AL399" s="241"/>
      <c r="AM399" s="241"/>
      <c r="AN399" s="241"/>
      <c r="AO399" s="241"/>
      <c r="AP399" s="241"/>
      <c r="AQ399" s="241"/>
      <c r="AR399" s="241"/>
      <c r="AS399" s="241"/>
      <c r="AT399" s="241"/>
      <c r="AU399" s="241"/>
      <c r="AV399" s="241"/>
      <c r="AW399" s="241"/>
      <c r="AX399" s="241"/>
      <c r="AY399" s="241"/>
      <c r="AZ399" s="241"/>
    </row>
    <row r="400" spans="1:52" s="71" customFormat="1" ht="18" customHeight="1">
      <c r="A400" s="175">
        <v>9</v>
      </c>
      <c r="B400" s="312" t="str">
        <f>(IF('Inputs Whole-Project Water Use'!B400&lt;&gt;"",'Inputs Whole-Project Water Use'!B400,""))</f>
        <v/>
      </c>
      <c r="C400" s="313" t="str">
        <f>IF(AND(F400&lt;&gt;"",'Inputs Whole-Project Water Use'!C400=""),1,IF('Inputs Whole-Project Water Use'!C400&lt;&gt;"",'Inputs Whole-Project Water Use'!C400,""))</f>
        <v/>
      </c>
      <c r="D400" s="397" t="str">
        <f>(IF('Inputs Whole-Project Water Use'!D400&lt;&gt;"",'Inputs Whole-Project Water Use'!D400,""))</f>
        <v/>
      </c>
      <c r="E400" s="398"/>
      <c r="F400" s="316" t="str">
        <f>(IF('Inputs Whole-Project Water Use'!F400&lt;&gt;"",'Inputs Whole-Project Water Use'!F400,""))</f>
        <v/>
      </c>
      <c r="G400" s="316" t="str">
        <f>(IF('Inputs Whole-Project Water Use'!G400&lt;&gt;"",'Inputs Whole-Project Water Use'!G400,""))</f>
        <v/>
      </c>
      <c r="H400" s="289" t="str">
        <f>IF(AND(G400&lt;&gt;"",'Inputs Whole-Project Water Use'!H400=""),0,IF('Inputs Whole-Project Water Use'!H400&lt;&gt;"",'Inputs Whole-Project Water Use'!H400,""))</f>
        <v/>
      </c>
      <c r="I400" s="225" t="str">
        <f t="shared" si="50"/>
        <v/>
      </c>
      <c r="J400" s="225" t="str">
        <f t="shared" si="51"/>
        <v/>
      </c>
      <c r="K400" s="231" t="str">
        <f t="shared" si="52"/>
        <v/>
      </c>
      <c r="L400" s="241"/>
      <c r="M400" s="241"/>
      <c r="N400" s="241"/>
      <c r="O400" s="241"/>
      <c r="P400" s="241"/>
      <c r="Q400" s="241"/>
      <c r="R400" s="241"/>
      <c r="S400" s="241"/>
      <c r="T400" s="241"/>
      <c r="U400" s="241"/>
      <c r="V400" s="241"/>
      <c r="W400" s="241"/>
      <c r="X400" s="241"/>
      <c r="Y400" s="241"/>
      <c r="Z400" s="241"/>
      <c r="AA400" s="241"/>
      <c r="AB400" s="241"/>
      <c r="AC400" s="241"/>
      <c r="AD400" s="241"/>
      <c r="AE400" s="241"/>
      <c r="AF400" s="241"/>
      <c r="AG400" s="241"/>
      <c r="AH400" s="241"/>
      <c r="AI400" s="241"/>
      <c r="AJ400" s="241"/>
      <c r="AK400" s="241"/>
      <c r="AL400" s="241"/>
      <c r="AM400" s="241"/>
      <c r="AN400" s="241"/>
      <c r="AO400" s="241"/>
      <c r="AP400" s="241"/>
      <c r="AQ400" s="241"/>
      <c r="AR400" s="241"/>
      <c r="AS400" s="241"/>
      <c r="AT400" s="241"/>
      <c r="AU400" s="241"/>
      <c r="AV400" s="241"/>
      <c r="AW400" s="241"/>
      <c r="AX400" s="241"/>
      <c r="AY400" s="241"/>
      <c r="AZ400" s="241"/>
    </row>
    <row r="401" spans="1:52" s="71" customFormat="1" ht="18" customHeight="1">
      <c r="A401" s="175">
        <v>10</v>
      </c>
      <c r="B401" s="312" t="str">
        <f>(IF('Inputs Whole-Project Water Use'!B401&lt;&gt;"",'Inputs Whole-Project Water Use'!B401,""))</f>
        <v/>
      </c>
      <c r="C401" s="313" t="str">
        <f>IF(AND(F401&lt;&gt;"",'Inputs Whole-Project Water Use'!C401=""),1,IF('Inputs Whole-Project Water Use'!C401&lt;&gt;"",'Inputs Whole-Project Water Use'!C401,""))</f>
        <v/>
      </c>
      <c r="D401" s="397" t="str">
        <f>(IF('Inputs Whole-Project Water Use'!D401&lt;&gt;"",'Inputs Whole-Project Water Use'!D401,""))</f>
        <v/>
      </c>
      <c r="E401" s="398"/>
      <c r="F401" s="316" t="str">
        <f>(IF('Inputs Whole-Project Water Use'!F401&lt;&gt;"",'Inputs Whole-Project Water Use'!F401,""))</f>
        <v/>
      </c>
      <c r="G401" s="316" t="str">
        <f>(IF('Inputs Whole-Project Water Use'!G401&lt;&gt;"",'Inputs Whole-Project Water Use'!G401,""))</f>
        <v/>
      </c>
      <c r="H401" s="289" t="str">
        <f>IF(AND(G401&lt;&gt;"",'Inputs Whole-Project Water Use'!H401=""),0,IF('Inputs Whole-Project Water Use'!H401&lt;&gt;"",'Inputs Whole-Project Water Use'!H401,""))</f>
        <v/>
      </c>
      <c r="I401" s="225" t="str">
        <f t="shared" si="50"/>
        <v/>
      </c>
      <c r="J401" s="225" t="str">
        <f t="shared" si="51"/>
        <v/>
      </c>
      <c r="K401" s="231" t="str">
        <f t="shared" si="52"/>
        <v/>
      </c>
      <c r="L401" s="176" t="s">
        <v>165</v>
      </c>
      <c r="M401" s="241"/>
      <c r="N401" s="241"/>
      <c r="O401" s="241"/>
      <c r="P401" s="241"/>
      <c r="Q401" s="241"/>
      <c r="R401" s="241"/>
      <c r="S401" s="241"/>
      <c r="T401" s="241"/>
      <c r="U401" s="241"/>
      <c r="V401" s="241"/>
      <c r="W401" s="241"/>
      <c r="X401" s="241"/>
      <c r="Y401" s="241"/>
      <c r="Z401" s="241"/>
      <c r="AA401" s="241"/>
      <c r="AB401" s="241"/>
      <c r="AC401" s="241"/>
      <c r="AD401" s="241"/>
      <c r="AE401" s="241"/>
      <c r="AF401" s="241"/>
      <c r="AG401" s="241"/>
      <c r="AH401" s="241"/>
      <c r="AI401" s="241"/>
      <c r="AJ401" s="241"/>
      <c r="AK401" s="241"/>
      <c r="AL401" s="241"/>
      <c r="AM401" s="241"/>
      <c r="AN401" s="241"/>
      <c r="AO401" s="241"/>
      <c r="AP401" s="241"/>
      <c r="AQ401" s="241"/>
      <c r="AR401" s="241"/>
      <c r="AS401" s="241"/>
      <c r="AT401" s="241"/>
      <c r="AU401" s="241"/>
      <c r="AV401" s="241"/>
      <c r="AW401" s="241"/>
      <c r="AX401" s="241"/>
      <c r="AY401" s="241"/>
      <c r="AZ401" s="241"/>
    </row>
    <row r="402" spans="1:52" s="71" customFormat="1" ht="18" hidden="1" customHeight="1" outlineLevel="1">
      <c r="A402" s="175">
        <v>11</v>
      </c>
      <c r="B402" s="312" t="str">
        <f>(IF('Inputs Whole-Project Water Use'!B402&lt;&gt;"",'Inputs Whole-Project Water Use'!B402,""))</f>
        <v/>
      </c>
      <c r="C402" s="313" t="str">
        <f>IF(AND(F402&lt;&gt;"",'Inputs Whole-Project Water Use'!C402=""),1,IF('Inputs Whole-Project Water Use'!C402&lt;&gt;"",'Inputs Whole-Project Water Use'!C402,""))</f>
        <v/>
      </c>
      <c r="D402" s="397" t="str">
        <f>(IF('Inputs Whole-Project Water Use'!D402&lt;&gt;"",'Inputs Whole-Project Water Use'!D402,""))</f>
        <v/>
      </c>
      <c r="E402" s="398"/>
      <c r="F402" s="316" t="str">
        <f>(IF('Inputs Whole-Project Water Use'!F402&lt;&gt;"",'Inputs Whole-Project Water Use'!F402,""))</f>
        <v/>
      </c>
      <c r="G402" s="316" t="str">
        <f>(IF('Inputs Whole-Project Water Use'!G402&lt;&gt;"",'Inputs Whole-Project Water Use'!G402,""))</f>
        <v/>
      </c>
      <c r="H402" s="289" t="str">
        <f>IF(AND(G402&lt;&gt;"",'Inputs Whole-Project Water Use'!H402=""),0,IF('Inputs Whole-Project Water Use'!H402&lt;&gt;"",'Inputs Whole-Project Water Use'!H402,""))</f>
        <v/>
      </c>
      <c r="I402" s="225" t="str">
        <f t="shared" si="50"/>
        <v/>
      </c>
      <c r="J402" s="225" t="str">
        <f t="shared" si="51"/>
        <v/>
      </c>
      <c r="K402" s="231" t="str">
        <f t="shared" si="52"/>
        <v/>
      </c>
      <c r="L402" s="241"/>
      <c r="M402" s="241"/>
      <c r="N402" s="241"/>
      <c r="O402" s="241"/>
      <c r="P402" s="241"/>
      <c r="Q402" s="241"/>
      <c r="R402" s="241"/>
      <c r="S402" s="241"/>
      <c r="T402" s="241"/>
      <c r="U402" s="241"/>
      <c r="V402" s="241"/>
      <c r="W402" s="241"/>
      <c r="X402" s="241"/>
      <c r="Y402" s="241"/>
      <c r="Z402" s="241"/>
      <c r="AA402" s="241"/>
      <c r="AB402" s="241"/>
      <c r="AC402" s="241"/>
      <c r="AD402" s="241"/>
      <c r="AE402" s="241"/>
      <c r="AF402" s="241"/>
      <c r="AG402" s="241"/>
      <c r="AH402" s="241"/>
      <c r="AI402" s="241"/>
      <c r="AJ402" s="241"/>
      <c r="AK402" s="241"/>
      <c r="AL402" s="241"/>
      <c r="AM402" s="241"/>
      <c r="AN402" s="241"/>
      <c r="AO402" s="241"/>
      <c r="AP402" s="241"/>
      <c r="AQ402" s="241"/>
      <c r="AR402" s="241"/>
      <c r="AS402" s="241"/>
      <c r="AT402" s="241"/>
      <c r="AU402" s="241"/>
      <c r="AV402" s="241"/>
      <c r="AW402" s="241"/>
      <c r="AX402" s="241"/>
      <c r="AY402" s="241"/>
      <c r="AZ402" s="241"/>
    </row>
    <row r="403" spans="1:52" s="71" customFormat="1" ht="18" hidden="1" customHeight="1" outlineLevel="1">
      <c r="A403" s="175">
        <v>12</v>
      </c>
      <c r="B403" s="312" t="str">
        <f>(IF('Inputs Whole-Project Water Use'!B403&lt;&gt;"",'Inputs Whole-Project Water Use'!B403,""))</f>
        <v/>
      </c>
      <c r="C403" s="313" t="str">
        <f>IF(AND(F403&lt;&gt;"",'Inputs Whole-Project Water Use'!C403=""),1,IF('Inputs Whole-Project Water Use'!C403&lt;&gt;"",'Inputs Whole-Project Water Use'!C403,""))</f>
        <v/>
      </c>
      <c r="D403" s="397" t="str">
        <f>(IF('Inputs Whole-Project Water Use'!D403&lt;&gt;"",'Inputs Whole-Project Water Use'!D403,""))</f>
        <v/>
      </c>
      <c r="E403" s="398"/>
      <c r="F403" s="316" t="str">
        <f>(IF('Inputs Whole-Project Water Use'!F403&lt;&gt;"",'Inputs Whole-Project Water Use'!F403,""))</f>
        <v/>
      </c>
      <c r="G403" s="316" t="str">
        <f>(IF('Inputs Whole-Project Water Use'!G403&lt;&gt;"",'Inputs Whole-Project Water Use'!G403,""))</f>
        <v/>
      </c>
      <c r="H403" s="289" t="str">
        <f>IF(AND(G403&lt;&gt;"",'Inputs Whole-Project Water Use'!H403=""),0,IF('Inputs Whole-Project Water Use'!H403&lt;&gt;"",'Inputs Whole-Project Water Use'!H403,""))</f>
        <v/>
      </c>
      <c r="I403" s="225" t="str">
        <f t="shared" si="50"/>
        <v/>
      </c>
      <c r="J403" s="225" t="str">
        <f t="shared" si="51"/>
        <v/>
      </c>
      <c r="K403" s="231" t="str">
        <f t="shared" si="52"/>
        <v/>
      </c>
      <c r="L403" s="241"/>
      <c r="M403" s="241"/>
      <c r="N403" s="241"/>
      <c r="O403" s="241"/>
      <c r="P403" s="241"/>
      <c r="Q403" s="241"/>
      <c r="R403" s="241"/>
      <c r="S403" s="241"/>
      <c r="T403" s="241"/>
      <c r="U403" s="241"/>
      <c r="V403" s="241"/>
      <c r="W403" s="241"/>
      <c r="X403" s="241"/>
      <c r="Y403" s="241"/>
      <c r="Z403" s="241"/>
      <c r="AA403" s="241"/>
      <c r="AB403" s="241"/>
      <c r="AC403" s="241"/>
      <c r="AD403" s="241"/>
      <c r="AE403" s="241"/>
      <c r="AF403" s="241"/>
      <c r="AG403" s="241"/>
      <c r="AH403" s="241"/>
      <c r="AI403" s="241"/>
      <c r="AJ403" s="241"/>
      <c r="AK403" s="241"/>
      <c r="AL403" s="241"/>
      <c r="AM403" s="241"/>
      <c r="AN403" s="241"/>
      <c r="AO403" s="241"/>
      <c r="AP403" s="241"/>
      <c r="AQ403" s="241"/>
      <c r="AR403" s="241"/>
      <c r="AS403" s="241"/>
      <c r="AT403" s="241"/>
      <c r="AU403" s="241"/>
      <c r="AV403" s="241"/>
      <c r="AW403" s="241"/>
      <c r="AX403" s="241"/>
      <c r="AY403" s="241"/>
      <c r="AZ403" s="241"/>
    </row>
    <row r="404" spans="1:52" s="71" customFormat="1" ht="18" hidden="1" customHeight="1" outlineLevel="1">
      <c r="A404" s="175">
        <v>13</v>
      </c>
      <c r="B404" s="312" t="str">
        <f>(IF('Inputs Whole-Project Water Use'!B404&lt;&gt;"",'Inputs Whole-Project Water Use'!B404,""))</f>
        <v/>
      </c>
      <c r="C404" s="313" t="str">
        <f>IF(AND(F404&lt;&gt;"",'Inputs Whole-Project Water Use'!C404=""),1,IF('Inputs Whole-Project Water Use'!C404&lt;&gt;"",'Inputs Whole-Project Water Use'!C404,""))</f>
        <v/>
      </c>
      <c r="D404" s="397" t="str">
        <f>(IF('Inputs Whole-Project Water Use'!D404&lt;&gt;"",'Inputs Whole-Project Water Use'!D404,""))</f>
        <v/>
      </c>
      <c r="E404" s="398"/>
      <c r="F404" s="316" t="str">
        <f>(IF('Inputs Whole-Project Water Use'!F404&lt;&gt;"",'Inputs Whole-Project Water Use'!F404,""))</f>
        <v/>
      </c>
      <c r="G404" s="316" t="str">
        <f>(IF('Inputs Whole-Project Water Use'!G404&lt;&gt;"",'Inputs Whole-Project Water Use'!G404,""))</f>
        <v/>
      </c>
      <c r="H404" s="289" t="str">
        <f>IF(AND(G404&lt;&gt;"",'Inputs Whole-Project Water Use'!H404=""),0,IF('Inputs Whole-Project Water Use'!H404&lt;&gt;"",'Inputs Whole-Project Water Use'!H404,""))</f>
        <v/>
      </c>
      <c r="I404" s="225" t="str">
        <f t="shared" si="50"/>
        <v/>
      </c>
      <c r="J404" s="225" t="str">
        <f t="shared" si="51"/>
        <v/>
      </c>
      <c r="K404" s="231" t="str">
        <f t="shared" si="52"/>
        <v/>
      </c>
      <c r="L404" s="241"/>
      <c r="M404" s="241"/>
      <c r="N404" s="241"/>
      <c r="O404" s="241"/>
      <c r="P404" s="241"/>
      <c r="Q404" s="241"/>
      <c r="R404" s="241"/>
      <c r="S404" s="241"/>
      <c r="T404" s="241"/>
      <c r="U404" s="241"/>
      <c r="V404" s="241"/>
      <c r="W404" s="241"/>
      <c r="X404" s="241"/>
      <c r="Y404" s="241"/>
      <c r="Z404" s="241"/>
      <c r="AA404" s="241"/>
      <c r="AB404" s="241"/>
      <c r="AC404" s="241"/>
      <c r="AD404" s="241"/>
      <c r="AE404" s="241"/>
      <c r="AF404" s="241"/>
      <c r="AG404" s="241"/>
      <c r="AH404" s="241"/>
      <c r="AI404" s="241"/>
      <c r="AJ404" s="241"/>
      <c r="AK404" s="241"/>
      <c r="AL404" s="241"/>
      <c r="AM404" s="241"/>
      <c r="AN404" s="241"/>
      <c r="AO404" s="241"/>
      <c r="AP404" s="241"/>
      <c r="AQ404" s="241"/>
      <c r="AR404" s="241"/>
      <c r="AS404" s="241"/>
      <c r="AT404" s="241"/>
      <c r="AU404" s="241"/>
      <c r="AV404" s="241"/>
      <c r="AW404" s="241"/>
      <c r="AX404" s="241"/>
      <c r="AY404" s="241"/>
      <c r="AZ404" s="241"/>
    </row>
    <row r="405" spans="1:52" s="71" customFormat="1" ht="18" hidden="1" customHeight="1" outlineLevel="1">
      <c r="A405" s="175">
        <v>14</v>
      </c>
      <c r="B405" s="312" t="str">
        <f>(IF('Inputs Whole-Project Water Use'!B405&lt;&gt;"",'Inputs Whole-Project Water Use'!B405,""))</f>
        <v/>
      </c>
      <c r="C405" s="313" t="str">
        <f>IF(AND(F405&lt;&gt;"",'Inputs Whole-Project Water Use'!C405=""),1,IF('Inputs Whole-Project Water Use'!C405&lt;&gt;"",'Inputs Whole-Project Water Use'!C405,""))</f>
        <v/>
      </c>
      <c r="D405" s="397" t="str">
        <f>(IF('Inputs Whole-Project Water Use'!D405&lt;&gt;"",'Inputs Whole-Project Water Use'!D405,""))</f>
        <v/>
      </c>
      <c r="E405" s="398"/>
      <c r="F405" s="316" t="str">
        <f>(IF('Inputs Whole-Project Water Use'!F405&lt;&gt;"",'Inputs Whole-Project Water Use'!F405,""))</f>
        <v/>
      </c>
      <c r="G405" s="316" t="str">
        <f>(IF('Inputs Whole-Project Water Use'!G405&lt;&gt;"",'Inputs Whole-Project Water Use'!G405,""))</f>
        <v/>
      </c>
      <c r="H405" s="289" t="str">
        <f>IF(AND(G405&lt;&gt;"",'Inputs Whole-Project Water Use'!H405=""),0,IF('Inputs Whole-Project Water Use'!H405&lt;&gt;"",'Inputs Whole-Project Water Use'!H405,""))</f>
        <v/>
      </c>
      <c r="I405" s="225" t="str">
        <f t="shared" si="50"/>
        <v/>
      </c>
      <c r="J405" s="225" t="str">
        <f t="shared" si="51"/>
        <v/>
      </c>
      <c r="K405" s="231" t="str">
        <f t="shared" si="52"/>
        <v/>
      </c>
      <c r="L405" s="241"/>
      <c r="M405" s="241"/>
      <c r="N405" s="241"/>
      <c r="O405" s="241"/>
      <c r="P405" s="241"/>
      <c r="Q405" s="241"/>
      <c r="R405" s="241"/>
      <c r="S405" s="241"/>
      <c r="T405" s="241"/>
      <c r="U405" s="241"/>
      <c r="V405" s="241"/>
      <c r="W405" s="241"/>
      <c r="X405" s="241"/>
      <c r="Y405" s="241"/>
      <c r="Z405" s="241"/>
      <c r="AA405" s="241"/>
      <c r="AB405" s="241"/>
      <c r="AC405" s="241"/>
      <c r="AD405" s="241"/>
      <c r="AE405" s="241"/>
      <c r="AF405" s="241"/>
      <c r="AG405" s="241"/>
      <c r="AH405" s="241"/>
      <c r="AI405" s="241"/>
      <c r="AJ405" s="241"/>
      <c r="AK405" s="241"/>
      <c r="AL405" s="241"/>
      <c r="AM405" s="241"/>
      <c r="AN405" s="241"/>
      <c r="AO405" s="241"/>
      <c r="AP405" s="241"/>
      <c r="AQ405" s="241"/>
      <c r="AR405" s="241"/>
      <c r="AS405" s="241"/>
      <c r="AT405" s="241"/>
      <c r="AU405" s="241"/>
      <c r="AV405" s="241"/>
      <c r="AW405" s="241"/>
      <c r="AX405" s="241"/>
      <c r="AY405" s="241"/>
      <c r="AZ405" s="241"/>
    </row>
    <row r="406" spans="1:52" s="71" customFormat="1" ht="18" hidden="1" customHeight="1" outlineLevel="1">
      <c r="A406" s="175">
        <v>15</v>
      </c>
      <c r="B406" s="312" t="str">
        <f>(IF('Inputs Whole-Project Water Use'!B406&lt;&gt;"",'Inputs Whole-Project Water Use'!B406,""))</f>
        <v/>
      </c>
      <c r="C406" s="313" t="str">
        <f>IF(AND(F406&lt;&gt;"",'Inputs Whole-Project Water Use'!C406=""),1,IF('Inputs Whole-Project Water Use'!C406&lt;&gt;"",'Inputs Whole-Project Water Use'!C406,""))</f>
        <v/>
      </c>
      <c r="D406" s="397" t="str">
        <f>(IF('Inputs Whole-Project Water Use'!D406&lt;&gt;"",'Inputs Whole-Project Water Use'!D406,""))</f>
        <v/>
      </c>
      <c r="E406" s="398"/>
      <c r="F406" s="316" t="str">
        <f>(IF('Inputs Whole-Project Water Use'!F406&lt;&gt;"",'Inputs Whole-Project Water Use'!F406,""))</f>
        <v/>
      </c>
      <c r="G406" s="316" t="str">
        <f>(IF('Inputs Whole-Project Water Use'!G406&lt;&gt;"",'Inputs Whole-Project Water Use'!G406,""))</f>
        <v/>
      </c>
      <c r="H406" s="289" t="str">
        <f>IF(AND(G406&lt;&gt;"",'Inputs Whole-Project Water Use'!H406=""),0,IF('Inputs Whole-Project Water Use'!H406&lt;&gt;"",'Inputs Whole-Project Water Use'!H406,""))</f>
        <v/>
      </c>
      <c r="I406" s="225" t="str">
        <f t="shared" si="50"/>
        <v/>
      </c>
      <c r="J406" s="225" t="str">
        <f t="shared" si="51"/>
        <v/>
      </c>
      <c r="K406" s="231" t="str">
        <f t="shared" si="52"/>
        <v/>
      </c>
      <c r="L406" s="241"/>
      <c r="M406" s="241"/>
      <c r="N406" s="241"/>
      <c r="O406" s="241"/>
      <c r="P406" s="241"/>
      <c r="Q406" s="241"/>
      <c r="R406" s="241"/>
      <c r="S406" s="241"/>
      <c r="T406" s="241"/>
      <c r="U406" s="241"/>
      <c r="V406" s="241"/>
      <c r="W406" s="241"/>
      <c r="X406" s="241"/>
      <c r="Y406" s="241"/>
      <c r="Z406" s="241"/>
      <c r="AA406" s="241"/>
      <c r="AB406" s="241"/>
      <c r="AC406" s="241"/>
      <c r="AD406" s="241"/>
      <c r="AE406" s="241"/>
      <c r="AF406" s="241"/>
      <c r="AG406" s="241"/>
      <c r="AH406" s="241"/>
      <c r="AI406" s="241"/>
      <c r="AJ406" s="241"/>
      <c r="AK406" s="241"/>
      <c r="AL406" s="241"/>
      <c r="AM406" s="241"/>
      <c r="AN406" s="241"/>
      <c r="AO406" s="241"/>
      <c r="AP406" s="241"/>
      <c r="AQ406" s="241"/>
      <c r="AR406" s="241"/>
      <c r="AS406" s="241"/>
      <c r="AT406" s="241"/>
      <c r="AU406" s="241"/>
      <c r="AV406" s="241"/>
      <c r="AW406" s="241"/>
      <c r="AX406" s="241"/>
      <c r="AY406" s="241"/>
      <c r="AZ406" s="241"/>
    </row>
    <row r="407" spans="1:52" s="71" customFormat="1" ht="18" hidden="1" customHeight="1" outlineLevel="1">
      <c r="A407" s="175">
        <v>16</v>
      </c>
      <c r="B407" s="312" t="str">
        <f>(IF('Inputs Whole-Project Water Use'!B407&lt;&gt;"",'Inputs Whole-Project Water Use'!B407,""))</f>
        <v/>
      </c>
      <c r="C407" s="313" t="str">
        <f>IF(AND(F407&lt;&gt;"",'Inputs Whole-Project Water Use'!C407=""),1,IF('Inputs Whole-Project Water Use'!C407&lt;&gt;"",'Inputs Whole-Project Water Use'!C407,""))</f>
        <v/>
      </c>
      <c r="D407" s="397" t="str">
        <f>(IF('Inputs Whole-Project Water Use'!D407&lt;&gt;"",'Inputs Whole-Project Water Use'!D407,""))</f>
        <v/>
      </c>
      <c r="E407" s="398"/>
      <c r="F407" s="316" t="str">
        <f>(IF('Inputs Whole-Project Water Use'!F407&lt;&gt;"",'Inputs Whole-Project Water Use'!F407,""))</f>
        <v/>
      </c>
      <c r="G407" s="316" t="str">
        <f>(IF('Inputs Whole-Project Water Use'!G407&lt;&gt;"",'Inputs Whole-Project Water Use'!G407,""))</f>
        <v/>
      </c>
      <c r="H407" s="289" t="str">
        <f>IF(AND(G407&lt;&gt;"",'Inputs Whole-Project Water Use'!H407=""),0,IF('Inputs Whole-Project Water Use'!H407&lt;&gt;"",'Inputs Whole-Project Water Use'!H407,""))</f>
        <v/>
      </c>
      <c r="I407" s="225" t="str">
        <f t="shared" si="50"/>
        <v/>
      </c>
      <c r="J407" s="225" t="str">
        <f t="shared" si="51"/>
        <v/>
      </c>
      <c r="K407" s="231" t="str">
        <f t="shared" si="52"/>
        <v/>
      </c>
      <c r="L407" s="241"/>
      <c r="M407" s="241"/>
      <c r="N407" s="241"/>
      <c r="O407" s="241"/>
      <c r="P407" s="241"/>
      <c r="Q407" s="241"/>
      <c r="R407" s="241"/>
      <c r="S407" s="241"/>
      <c r="T407" s="241"/>
      <c r="U407" s="241"/>
      <c r="V407" s="241"/>
      <c r="W407" s="241"/>
      <c r="X407" s="241"/>
      <c r="Y407" s="241"/>
      <c r="Z407" s="241"/>
      <c r="AA407" s="241"/>
      <c r="AB407" s="241"/>
      <c r="AC407" s="241"/>
      <c r="AD407" s="241"/>
      <c r="AE407" s="241"/>
      <c r="AF407" s="241"/>
      <c r="AG407" s="241"/>
      <c r="AH407" s="241"/>
      <c r="AI407" s="241"/>
      <c r="AJ407" s="241"/>
      <c r="AK407" s="241"/>
      <c r="AL407" s="241"/>
      <c r="AM407" s="241"/>
      <c r="AN407" s="241"/>
      <c r="AO407" s="241"/>
      <c r="AP407" s="241"/>
      <c r="AQ407" s="241"/>
      <c r="AR407" s="241"/>
      <c r="AS407" s="241"/>
      <c r="AT407" s="241"/>
      <c r="AU407" s="241"/>
      <c r="AV407" s="241"/>
      <c r="AW407" s="241"/>
      <c r="AX407" s="241"/>
      <c r="AY407" s="241"/>
      <c r="AZ407" s="241"/>
    </row>
    <row r="408" spans="1:52" s="71" customFormat="1" ht="18" hidden="1" customHeight="1" outlineLevel="1">
      <c r="A408" s="175">
        <v>17</v>
      </c>
      <c r="B408" s="312" t="str">
        <f>(IF('Inputs Whole-Project Water Use'!B408&lt;&gt;"",'Inputs Whole-Project Water Use'!B408,""))</f>
        <v/>
      </c>
      <c r="C408" s="313" t="str">
        <f>IF(AND(F408&lt;&gt;"",'Inputs Whole-Project Water Use'!C408=""),1,IF('Inputs Whole-Project Water Use'!C408&lt;&gt;"",'Inputs Whole-Project Water Use'!C408,""))</f>
        <v/>
      </c>
      <c r="D408" s="397" t="str">
        <f>(IF('Inputs Whole-Project Water Use'!D408&lt;&gt;"",'Inputs Whole-Project Water Use'!D408,""))</f>
        <v/>
      </c>
      <c r="E408" s="398"/>
      <c r="F408" s="316" t="str">
        <f>(IF('Inputs Whole-Project Water Use'!F408&lt;&gt;"",'Inputs Whole-Project Water Use'!F408,""))</f>
        <v/>
      </c>
      <c r="G408" s="316" t="str">
        <f>(IF('Inputs Whole-Project Water Use'!G408&lt;&gt;"",'Inputs Whole-Project Water Use'!G408,""))</f>
        <v/>
      </c>
      <c r="H408" s="289" t="str">
        <f>IF(AND(G408&lt;&gt;"",'Inputs Whole-Project Water Use'!H408=""),0,IF('Inputs Whole-Project Water Use'!H408&lt;&gt;"",'Inputs Whole-Project Water Use'!H408,""))</f>
        <v/>
      </c>
      <c r="I408" s="225" t="str">
        <f t="shared" si="50"/>
        <v/>
      </c>
      <c r="J408" s="225" t="str">
        <f t="shared" si="51"/>
        <v/>
      </c>
      <c r="K408" s="231" t="str">
        <f t="shared" si="52"/>
        <v/>
      </c>
      <c r="L408" s="241"/>
      <c r="M408" s="241"/>
      <c r="N408" s="241"/>
      <c r="O408" s="241"/>
      <c r="P408" s="241"/>
      <c r="Q408" s="241"/>
      <c r="R408" s="241"/>
      <c r="S408" s="241"/>
      <c r="T408" s="241"/>
      <c r="U408" s="241"/>
      <c r="V408" s="241"/>
      <c r="W408" s="241"/>
      <c r="X408" s="241"/>
      <c r="Y408" s="241"/>
      <c r="Z408" s="241"/>
      <c r="AA408" s="241"/>
      <c r="AB408" s="241"/>
      <c r="AC408" s="241"/>
      <c r="AD408" s="241"/>
      <c r="AE408" s="241"/>
      <c r="AF408" s="241"/>
      <c r="AG408" s="241"/>
      <c r="AH408" s="241"/>
      <c r="AI408" s="241"/>
      <c r="AJ408" s="241"/>
      <c r="AK408" s="241"/>
      <c r="AL408" s="241"/>
      <c r="AM408" s="241"/>
      <c r="AN408" s="241"/>
      <c r="AO408" s="241"/>
      <c r="AP408" s="241"/>
      <c r="AQ408" s="241"/>
      <c r="AR408" s="241"/>
      <c r="AS408" s="241"/>
      <c r="AT408" s="241"/>
      <c r="AU408" s="241"/>
      <c r="AV408" s="241"/>
      <c r="AW408" s="241"/>
      <c r="AX408" s="241"/>
      <c r="AY408" s="241"/>
      <c r="AZ408" s="241"/>
    </row>
    <row r="409" spans="1:52" s="71" customFormat="1" ht="18" hidden="1" customHeight="1" outlineLevel="1">
      <c r="A409" s="175">
        <v>18</v>
      </c>
      <c r="B409" s="312" t="str">
        <f>(IF('Inputs Whole-Project Water Use'!B409&lt;&gt;"",'Inputs Whole-Project Water Use'!B409,""))</f>
        <v/>
      </c>
      <c r="C409" s="313" t="str">
        <f>IF(AND(F409&lt;&gt;"",'Inputs Whole-Project Water Use'!C409=""),1,IF('Inputs Whole-Project Water Use'!C409&lt;&gt;"",'Inputs Whole-Project Water Use'!C409,""))</f>
        <v/>
      </c>
      <c r="D409" s="397" t="str">
        <f>(IF('Inputs Whole-Project Water Use'!D409&lt;&gt;"",'Inputs Whole-Project Water Use'!D409,""))</f>
        <v/>
      </c>
      <c r="E409" s="398"/>
      <c r="F409" s="316" t="str">
        <f>(IF('Inputs Whole-Project Water Use'!F409&lt;&gt;"",'Inputs Whole-Project Water Use'!F409,""))</f>
        <v/>
      </c>
      <c r="G409" s="316" t="str">
        <f>(IF('Inputs Whole-Project Water Use'!G409&lt;&gt;"",'Inputs Whole-Project Water Use'!G409,""))</f>
        <v/>
      </c>
      <c r="H409" s="289" t="str">
        <f>IF(AND(G409&lt;&gt;"",'Inputs Whole-Project Water Use'!H409=""),0,IF('Inputs Whole-Project Water Use'!H409&lt;&gt;"",'Inputs Whole-Project Water Use'!H409,""))</f>
        <v/>
      </c>
      <c r="I409" s="225" t="str">
        <f t="shared" si="50"/>
        <v/>
      </c>
      <c r="J409" s="225" t="str">
        <f t="shared" si="51"/>
        <v/>
      </c>
      <c r="K409" s="231" t="str">
        <f t="shared" si="52"/>
        <v/>
      </c>
      <c r="L409" s="241"/>
      <c r="M409" s="241"/>
      <c r="N409" s="241"/>
      <c r="O409" s="241"/>
      <c r="P409" s="241"/>
      <c r="Q409" s="241"/>
      <c r="R409" s="241"/>
      <c r="S409" s="241"/>
      <c r="T409" s="241"/>
      <c r="U409" s="241"/>
      <c r="V409" s="241"/>
      <c r="W409" s="241"/>
      <c r="X409" s="241"/>
      <c r="Y409" s="241"/>
      <c r="Z409" s="241"/>
      <c r="AA409" s="241"/>
      <c r="AB409" s="241"/>
      <c r="AC409" s="241"/>
      <c r="AD409" s="241"/>
      <c r="AE409" s="241"/>
      <c r="AF409" s="241"/>
      <c r="AG409" s="241"/>
      <c r="AH409" s="241"/>
      <c r="AI409" s="241"/>
      <c r="AJ409" s="241"/>
      <c r="AK409" s="241"/>
      <c r="AL409" s="241"/>
      <c r="AM409" s="241"/>
      <c r="AN409" s="241"/>
      <c r="AO409" s="241"/>
      <c r="AP409" s="241"/>
      <c r="AQ409" s="241"/>
      <c r="AR409" s="241"/>
      <c r="AS409" s="241"/>
      <c r="AT409" s="241"/>
      <c r="AU409" s="241"/>
      <c r="AV409" s="241"/>
      <c r="AW409" s="241"/>
      <c r="AX409" s="241"/>
      <c r="AY409" s="241"/>
      <c r="AZ409" s="241"/>
    </row>
    <row r="410" spans="1:52" s="71" customFormat="1" ht="18" hidden="1" customHeight="1" outlineLevel="1">
      <c r="A410" s="175">
        <v>19</v>
      </c>
      <c r="B410" s="312" t="str">
        <f>(IF('Inputs Whole-Project Water Use'!B410&lt;&gt;"",'Inputs Whole-Project Water Use'!B410,""))</f>
        <v/>
      </c>
      <c r="C410" s="313" t="str">
        <f>IF(AND(F410&lt;&gt;"",'Inputs Whole-Project Water Use'!C410=""),1,IF('Inputs Whole-Project Water Use'!C410&lt;&gt;"",'Inputs Whole-Project Water Use'!C410,""))</f>
        <v/>
      </c>
      <c r="D410" s="397" t="str">
        <f>(IF('Inputs Whole-Project Water Use'!D410&lt;&gt;"",'Inputs Whole-Project Water Use'!D410,""))</f>
        <v/>
      </c>
      <c r="E410" s="398"/>
      <c r="F410" s="316" t="str">
        <f>(IF('Inputs Whole-Project Water Use'!F410&lt;&gt;"",'Inputs Whole-Project Water Use'!F410,""))</f>
        <v/>
      </c>
      <c r="G410" s="316" t="str">
        <f>(IF('Inputs Whole-Project Water Use'!G410&lt;&gt;"",'Inputs Whole-Project Water Use'!G410,""))</f>
        <v/>
      </c>
      <c r="H410" s="289" t="str">
        <f>IF(AND(G410&lt;&gt;"",'Inputs Whole-Project Water Use'!H410=""),0,IF('Inputs Whole-Project Water Use'!H410&lt;&gt;"",'Inputs Whole-Project Water Use'!H410,""))</f>
        <v/>
      </c>
      <c r="I410" s="225" t="str">
        <f t="shared" si="50"/>
        <v/>
      </c>
      <c r="J410" s="225" t="str">
        <f t="shared" si="51"/>
        <v/>
      </c>
      <c r="K410" s="231" t="str">
        <f t="shared" si="52"/>
        <v/>
      </c>
      <c r="L410" s="241"/>
      <c r="M410" s="241"/>
      <c r="N410" s="241"/>
      <c r="O410" s="241"/>
      <c r="P410" s="241"/>
      <c r="Q410" s="241"/>
      <c r="R410" s="241"/>
      <c r="S410" s="241"/>
      <c r="T410" s="241"/>
      <c r="U410" s="241"/>
      <c r="V410" s="241"/>
      <c r="W410" s="241"/>
      <c r="X410" s="241"/>
      <c r="Y410" s="241"/>
      <c r="Z410" s="241"/>
      <c r="AA410" s="241"/>
      <c r="AB410" s="241"/>
      <c r="AC410" s="241"/>
      <c r="AD410" s="241"/>
      <c r="AE410" s="241"/>
      <c r="AF410" s="241"/>
      <c r="AG410" s="241"/>
      <c r="AH410" s="241"/>
      <c r="AI410" s="241"/>
      <c r="AJ410" s="241"/>
      <c r="AK410" s="241"/>
      <c r="AL410" s="241"/>
      <c r="AM410" s="241"/>
      <c r="AN410" s="241"/>
      <c r="AO410" s="241"/>
      <c r="AP410" s="241"/>
      <c r="AQ410" s="241"/>
      <c r="AR410" s="241"/>
      <c r="AS410" s="241"/>
      <c r="AT410" s="241"/>
      <c r="AU410" s="241"/>
      <c r="AV410" s="241"/>
      <c r="AW410" s="241"/>
      <c r="AX410" s="241"/>
      <c r="AY410" s="241"/>
      <c r="AZ410" s="241"/>
    </row>
    <row r="411" spans="1:52" s="71" customFormat="1" ht="18" hidden="1" customHeight="1" outlineLevel="1">
      <c r="A411" s="175">
        <v>20</v>
      </c>
      <c r="B411" s="312" t="str">
        <f>(IF('Inputs Whole-Project Water Use'!B411&lt;&gt;"",'Inputs Whole-Project Water Use'!B411,""))</f>
        <v/>
      </c>
      <c r="C411" s="313" t="str">
        <f>IF(AND(F411&lt;&gt;"",'Inputs Whole-Project Water Use'!C411=""),1,IF('Inputs Whole-Project Water Use'!C411&lt;&gt;"",'Inputs Whole-Project Water Use'!C411,""))</f>
        <v/>
      </c>
      <c r="D411" s="397" t="str">
        <f>(IF('Inputs Whole-Project Water Use'!D411&lt;&gt;"",'Inputs Whole-Project Water Use'!D411,""))</f>
        <v/>
      </c>
      <c r="E411" s="398"/>
      <c r="F411" s="316" t="str">
        <f>(IF('Inputs Whole-Project Water Use'!F411&lt;&gt;"",'Inputs Whole-Project Water Use'!F411,""))</f>
        <v/>
      </c>
      <c r="G411" s="316" t="str">
        <f>(IF('Inputs Whole-Project Water Use'!G411&lt;&gt;"",'Inputs Whole-Project Water Use'!G411,""))</f>
        <v/>
      </c>
      <c r="H411" s="289" t="str">
        <f>IF(AND(G411&lt;&gt;"",'Inputs Whole-Project Water Use'!H411=""),0,IF('Inputs Whole-Project Water Use'!H411&lt;&gt;"",'Inputs Whole-Project Water Use'!H411,""))</f>
        <v/>
      </c>
      <c r="I411" s="225" t="str">
        <f t="shared" si="50"/>
        <v/>
      </c>
      <c r="J411" s="225" t="str">
        <f t="shared" si="51"/>
        <v/>
      </c>
      <c r="K411" s="231" t="str">
        <f t="shared" si="52"/>
        <v/>
      </c>
      <c r="L411" s="241"/>
      <c r="M411" s="241"/>
      <c r="N411" s="241"/>
      <c r="O411" s="241"/>
      <c r="P411" s="241"/>
      <c r="Q411" s="241"/>
      <c r="R411" s="241"/>
      <c r="S411" s="241"/>
      <c r="T411" s="241"/>
      <c r="U411" s="241"/>
      <c r="V411" s="241"/>
      <c r="W411" s="241"/>
      <c r="X411" s="241"/>
      <c r="Y411" s="241"/>
      <c r="Z411" s="241"/>
      <c r="AA411" s="241"/>
      <c r="AB411" s="241"/>
      <c r="AC411" s="241"/>
      <c r="AD411" s="241"/>
      <c r="AE411" s="241"/>
      <c r="AF411" s="241"/>
      <c r="AG411" s="241"/>
      <c r="AH411" s="241"/>
      <c r="AI411" s="241"/>
      <c r="AJ411" s="241"/>
      <c r="AK411" s="241"/>
      <c r="AL411" s="241"/>
      <c r="AM411" s="241"/>
      <c r="AN411" s="241"/>
      <c r="AO411" s="241"/>
      <c r="AP411" s="241"/>
      <c r="AQ411" s="241"/>
      <c r="AR411" s="241"/>
      <c r="AS411" s="241"/>
      <c r="AT411" s="241"/>
      <c r="AU411" s="241"/>
      <c r="AV411" s="241"/>
      <c r="AW411" s="241"/>
      <c r="AX411" s="241"/>
      <c r="AY411" s="241"/>
      <c r="AZ411" s="241"/>
    </row>
    <row r="412" spans="1:52" s="71" customFormat="1" ht="18" hidden="1" customHeight="1" outlineLevel="1">
      <c r="A412" s="175">
        <v>21</v>
      </c>
      <c r="B412" s="312" t="str">
        <f>(IF('Inputs Whole-Project Water Use'!B412&lt;&gt;"",'Inputs Whole-Project Water Use'!B412,""))</f>
        <v/>
      </c>
      <c r="C412" s="313" t="str">
        <f>IF(AND(F412&lt;&gt;"",'Inputs Whole-Project Water Use'!C412=""),1,IF('Inputs Whole-Project Water Use'!C412&lt;&gt;"",'Inputs Whole-Project Water Use'!C412,""))</f>
        <v/>
      </c>
      <c r="D412" s="397" t="str">
        <f>(IF('Inputs Whole-Project Water Use'!D412&lt;&gt;"",'Inputs Whole-Project Water Use'!D412,""))</f>
        <v/>
      </c>
      <c r="E412" s="398"/>
      <c r="F412" s="316" t="str">
        <f>(IF('Inputs Whole-Project Water Use'!F412&lt;&gt;"",'Inputs Whole-Project Water Use'!F412,""))</f>
        <v/>
      </c>
      <c r="G412" s="316" t="str">
        <f>(IF('Inputs Whole-Project Water Use'!G412&lt;&gt;"",'Inputs Whole-Project Water Use'!G412,""))</f>
        <v/>
      </c>
      <c r="H412" s="289" t="str">
        <f>IF(AND(G412&lt;&gt;"",'Inputs Whole-Project Water Use'!H412=""),0,IF('Inputs Whole-Project Water Use'!H412&lt;&gt;"",'Inputs Whole-Project Water Use'!H412,""))</f>
        <v/>
      </c>
      <c r="I412" s="225" t="str">
        <f t="shared" si="50"/>
        <v/>
      </c>
      <c r="J412" s="225" t="str">
        <f t="shared" si="51"/>
        <v/>
      </c>
      <c r="K412" s="231" t="str">
        <f t="shared" si="52"/>
        <v/>
      </c>
      <c r="L412" s="241"/>
      <c r="M412" s="241"/>
      <c r="N412" s="241"/>
      <c r="O412" s="241"/>
      <c r="P412" s="241"/>
      <c r="Q412" s="241"/>
      <c r="R412" s="241"/>
      <c r="S412" s="241"/>
      <c r="T412" s="241"/>
      <c r="U412" s="241"/>
      <c r="V412" s="241"/>
      <c r="W412" s="241"/>
      <c r="X412" s="241"/>
      <c r="Y412" s="241"/>
      <c r="Z412" s="241"/>
      <c r="AA412" s="241"/>
      <c r="AB412" s="241"/>
      <c r="AC412" s="241"/>
      <c r="AD412" s="241"/>
      <c r="AE412" s="241"/>
      <c r="AF412" s="241"/>
      <c r="AG412" s="241"/>
      <c r="AH412" s="241"/>
      <c r="AI412" s="241"/>
      <c r="AJ412" s="241"/>
      <c r="AK412" s="241"/>
      <c r="AL412" s="241"/>
      <c r="AM412" s="241"/>
      <c r="AN412" s="241"/>
      <c r="AO412" s="241"/>
      <c r="AP412" s="241"/>
      <c r="AQ412" s="241"/>
      <c r="AR412" s="241"/>
      <c r="AS412" s="241"/>
      <c r="AT412" s="241"/>
      <c r="AU412" s="241"/>
      <c r="AV412" s="241"/>
      <c r="AW412" s="241"/>
      <c r="AX412" s="241"/>
      <c r="AY412" s="241"/>
      <c r="AZ412" s="241"/>
    </row>
    <row r="413" spans="1:52" s="71" customFormat="1" ht="18" hidden="1" customHeight="1" outlineLevel="1">
      <c r="A413" s="175">
        <v>22</v>
      </c>
      <c r="B413" s="312" t="str">
        <f>(IF('Inputs Whole-Project Water Use'!B413&lt;&gt;"",'Inputs Whole-Project Water Use'!B413,""))</f>
        <v/>
      </c>
      <c r="C413" s="313" t="str">
        <f>IF(AND(F413&lt;&gt;"",'Inputs Whole-Project Water Use'!C413=""),1,IF('Inputs Whole-Project Water Use'!C413&lt;&gt;"",'Inputs Whole-Project Water Use'!C413,""))</f>
        <v/>
      </c>
      <c r="D413" s="397" t="str">
        <f>(IF('Inputs Whole-Project Water Use'!D413&lt;&gt;"",'Inputs Whole-Project Water Use'!D413,""))</f>
        <v/>
      </c>
      <c r="E413" s="398"/>
      <c r="F413" s="316" t="str">
        <f>(IF('Inputs Whole-Project Water Use'!F413&lt;&gt;"",'Inputs Whole-Project Water Use'!F413,""))</f>
        <v/>
      </c>
      <c r="G413" s="316" t="str">
        <f>(IF('Inputs Whole-Project Water Use'!G413&lt;&gt;"",'Inputs Whole-Project Water Use'!G413,""))</f>
        <v/>
      </c>
      <c r="H413" s="289" t="str">
        <f>IF(AND(G413&lt;&gt;"",'Inputs Whole-Project Water Use'!H413=""),0,IF('Inputs Whole-Project Water Use'!H413&lt;&gt;"",'Inputs Whole-Project Water Use'!H413,""))</f>
        <v/>
      </c>
      <c r="I413" s="225" t="str">
        <f t="shared" si="50"/>
        <v/>
      </c>
      <c r="J413" s="225" t="str">
        <f t="shared" si="51"/>
        <v/>
      </c>
      <c r="K413" s="231" t="str">
        <f t="shared" si="52"/>
        <v/>
      </c>
      <c r="L413" s="241"/>
      <c r="M413" s="241"/>
      <c r="N413" s="241"/>
      <c r="O413" s="241"/>
      <c r="P413" s="241"/>
      <c r="Q413" s="241"/>
      <c r="R413" s="241"/>
      <c r="S413" s="241"/>
      <c r="T413" s="241"/>
      <c r="U413" s="241"/>
      <c r="V413" s="241"/>
      <c r="W413" s="241"/>
      <c r="X413" s="241"/>
      <c r="Y413" s="241"/>
      <c r="Z413" s="241"/>
      <c r="AA413" s="241"/>
      <c r="AB413" s="241"/>
      <c r="AC413" s="241"/>
      <c r="AD413" s="241"/>
      <c r="AE413" s="241"/>
      <c r="AF413" s="241"/>
      <c r="AG413" s="241"/>
      <c r="AH413" s="241"/>
      <c r="AI413" s="241"/>
      <c r="AJ413" s="241"/>
      <c r="AK413" s="241"/>
      <c r="AL413" s="241"/>
      <c r="AM413" s="241"/>
      <c r="AN413" s="241"/>
      <c r="AO413" s="241"/>
      <c r="AP413" s="241"/>
      <c r="AQ413" s="241"/>
      <c r="AR413" s="241"/>
      <c r="AS413" s="241"/>
      <c r="AT413" s="241"/>
      <c r="AU413" s="241"/>
      <c r="AV413" s="241"/>
      <c r="AW413" s="241"/>
      <c r="AX413" s="241"/>
      <c r="AY413" s="241"/>
      <c r="AZ413" s="241"/>
    </row>
    <row r="414" spans="1:52" s="71" customFormat="1" ht="18" hidden="1" customHeight="1" outlineLevel="1">
      <c r="A414" s="175">
        <v>23</v>
      </c>
      <c r="B414" s="312" t="str">
        <f>(IF('Inputs Whole-Project Water Use'!B414&lt;&gt;"",'Inputs Whole-Project Water Use'!B414,""))</f>
        <v/>
      </c>
      <c r="C414" s="313" t="str">
        <f>IF(AND(F414&lt;&gt;"",'Inputs Whole-Project Water Use'!C414=""),1,IF('Inputs Whole-Project Water Use'!C414&lt;&gt;"",'Inputs Whole-Project Water Use'!C414,""))</f>
        <v/>
      </c>
      <c r="D414" s="397" t="str">
        <f>(IF('Inputs Whole-Project Water Use'!D414&lt;&gt;"",'Inputs Whole-Project Water Use'!D414,""))</f>
        <v/>
      </c>
      <c r="E414" s="398"/>
      <c r="F414" s="316" t="str">
        <f>(IF('Inputs Whole-Project Water Use'!F414&lt;&gt;"",'Inputs Whole-Project Water Use'!F414,""))</f>
        <v/>
      </c>
      <c r="G414" s="316" t="str">
        <f>(IF('Inputs Whole-Project Water Use'!G414&lt;&gt;"",'Inputs Whole-Project Water Use'!G414,""))</f>
        <v/>
      </c>
      <c r="H414" s="289" t="str">
        <f>IF(AND(G414&lt;&gt;"",'Inputs Whole-Project Water Use'!H414=""),0,IF('Inputs Whole-Project Water Use'!H414&lt;&gt;"",'Inputs Whole-Project Water Use'!H414,""))</f>
        <v/>
      </c>
      <c r="I414" s="225" t="str">
        <f t="shared" si="50"/>
        <v/>
      </c>
      <c r="J414" s="225" t="str">
        <f t="shared" si="51"/>
        <v/>
      </c>
      <c r="K414" s="231" t="str">
        <f t="shared" si="52"/>
        <v/>
      </c>
      <c r="L414" s="241"/>
      <c r="M414" s="241"/>
      <c r="N414" s="241"/>
      <c r="O414" s="241"/>
      <c r="P414" s="241"/>
      <c r="Q414" s="241"/>
      <c r="R414" s="241"/>
      <c r="S414" s="241"/>
      <c r="T414" s="241"/>
      <c r="U414" s="241"/>
      <c r="V414" s="241"/>
      <c r="W414" s="241"/>
      <c r="X414" s="241"/>
      <c r="Y414" s="241"/>
      <c r="Z414" s="241"/>
      <c r="AA414" s="241"/>
      <c r="AB414" s="241"/>
      <c r="AC414" s="241"/>
      <c r="AD414" s="241"/>
      <c r="AE414" s="241"/>
      <c r="AF414" s="241"/>
      <c r="AG414" s="241"/>
      <c r="AH414" s="241"/>
      <c r="AI414" s="241"/>
      <c r="AJ414" s="241"/>
      <c r="AK414" s="241"/>
      <c r="AL414" s="241"/>
      <c r="AM414" s="241"/>
      <c r="AN414" s="241"/>
      <c r="AO414" s="241"/>
      <c r="AP414" s="241"/>
      <c r="AQ414" s="241"/>
      <c r="AR414" s="241"/>
      <c r="AS414" s="241"/>
      <c r="AT414" s="241"/>
      <c r="AU414" s="241"/>
      <c r="AV414" s="241"/>
      <c r="AW414" s="241"/>
      <c r="AX414" s="241"/>
      <c r="AY414" s="241"/>
      <c r="AZ414" s="241"/>
    </row>
    <row r="415" spans="1:52" s="71" customFormat="1" ht="18" hidden="1" customHeight="1" outlineLevel="1">
      <c r="A415" s="175">
        <v>24</v>
      </c>
      <c r="B415" s="312" t="str">
        <f>(IF('Inputs Whole-Project Water Use'!B415&lt;&gt;"",'Inputs Whole-Project Water Use'!B415,""))</f>
        <v/>
      </c>
      <c r="C415" s="313" t="str">
        <f>IF(AND(F415&lt;&gt;"",'Inputs Whole-Project Water Use'!C415=""),1,IF('Inputs Whole-Project Water Use'!C415&lt;&gt;"",'Inputs Whole-Project Water Use'!C415,""))</f>
        <v/>
      </c>
      <c r="D415" s="397" t="str">
        <f>(IF('Inputs Whole-Project Water Use'!D415&lt;&gt;"",'Inputs Whole-Project Water Use'!D415,""))</f>
        <v/>
      </c>
      <c r="E415" s="398"/>
      <c r="F415" s="316" t="str">
        <f>(IF('Inputs Whole-Project Water Use'!F415&lt;&gt;"",'Inputs Whole-Project Water Use'!F415,""))</f>
        <v/>
      </c>
      <c r="G415" s="316" t="str">
        <f>(IF('Inputs Whole-Project Water Use'!G415&lt;&gt;"",'Inputs Whole-Project Water Use'!G415,""))</f>
        <v/>
      </c>
      <c r="H415" s="289" t="str">
        <f>IF(AND(G415&lt;&gt;"",'Inputs Whole-Project Water Use'!H415=""),0,IF('Inputs Whole-Project Water Use'!H415&lt;&gt;"",'Inputs Whole-Project Water Use'!H415,""))</f>
        <v/>
      </c>
      <c r="I415" s="225" t="str">
        <f t="shared" si="50"/>
        <v/>
      </c>
      <c r="J415" s="225" t="str">
        <f t="shared" si="51"/>
        <v/>
      </c>
      <c r="K415" s="231" t="str">
        <f t="shared" si="52"/>
        <v/>
      </c>
      <c r="L415" s="241"/>
      <c r="M415" s="241"/>
      <c r="N415" s="241"/>
      <c r="O415" s="241"/>
      <c r="P415" s="241"/>
      <c r="Q415" s="241"/>
      <c r="R415" s="241"/>
      <c r="S415" s="241"/>
      <c r="T415" s="241"/>
      <c r="U415" s="241"/>
      <c r="V415" s="241"/>
      <c r="W415" s="241"/>
      <c r="X415" s="241"/>
      <c r="Y415" s="241"/>
      <c r="Z415" s="241"/>
      <c r="AA415" s="241"/>
      <c r="AB415" s="241"/>
      <c r="AC415" s="241"/>
      <c r="AD415" s="241"/>
      <c r="AE415" s="241"/>
      <c r="AF415" s="241"/>
      <c r="AG415" s="241"/>
      <c r="AH415" s="241"/>
      <c r="AI415" s="241"/>
      <c r="AJ415" s="241"/>
      <c r="AK415" s="241"/>
      <c r="AL415" s="241"/>
      <c r="AM415" s="241"/>
      <c r="AN415" s="241"/>
      <c r="AO415" s="241"/>
      <c r="AP415" s="241"/>
      <c r="AQ415" s="241"/>
      <c r="AR415" s="241"/>
      <c r="AS415" s="241"/>
      <c r="AT415" s="241"/>
      <c r="AU415" s="241"/>
      <c r="AV415" s="241"/>
      <c r="AW415" s="241"/>
      <c r="AX415" s="241"/>
      <c r="AY415" s="241"/>
      <c r="AZ415" s="241"/>
    </row>
    <row r="416" spans="1:52" s="71" customFormat="1" ht="18" hidden="1" customHeight="1" outlineLevel="1">
      <c r="A416" s="175">
        <v>25</v>
      </c>
      <c r="B416" s="312" t="str">
        <f>(IF('Inputs Whole-Project Water Use'!B416&lt;&gt;"",'Inputs Whole-Project Water Use'!B416,""))</f>
        <v/>
      </c>
      <c r="C416" s="313" t="str">
        <f>IF(AND(F416&lt;&gt;"",'Inputs Whole-Project Water Use'!C416=""),1,IF('Inputs Whole-Project Water Use'!C416&lt;&gt;"",'Inputs Whole-Project Water Use'!C416,""))</f>
        <v/>
      </c>
      <c r="D416" s="397" t="str">
        <f>(IF('Inputs Whole-Project Water Use'!D416&lt;&gt;"",'Inputs Whole-Project Water Use'!D416,""))</f>
        <v/>
      </c>
      <c r="E416" s="398"/>
      <c r="F416" s="316" t="str">
        <f>(IF('Inputs Whole-Project Water Use'!F416&lt;&gt;"",'Inputs Whole-Project Water Use'!F416,""))</f>
        <v/>
      </c>
      <c r="G416" s="316" t="str">
        <f>(IF('Inputs Whole-Project Water Use'!G416&lt;&gt;"",'Inputs Whole-Project Water Use'!G416,""))</f>
        <v/>
      </c>
      <c r="H416" s="289" t="str">
        <f>IF(AND(G416&lt;&gt;"",'Inputs Whole-Project Water Use'!H416=""),0,IF('Inputs Whole-Project Water Use'!H416&lt;&gt;"",'Inputs Whole-Project Water Use'!H416,""))</f>
        <v/>
      </c>
      <c r="I416" s="225" t="str">
        <f t="shared" si="50"/>
        <v/>
      </c>
      <c r="J416" s="225" t="str">
        <f t="shared" si="51"/>
        <v/>
      </c>
      <c r="K416" s="231" t="str">
        <f t="shared" si="52"/>
        <v/>
      </c>
      <c r="L416" s="241"/>
      <c r="M416" s="241"/>
      <c r="N416" s="241"/>
      <c r="O416" s="241"/>
      <c r="P416" s="241"/>
      <c r="Q416" s="241"/>
      <c r="R416" s="241"/>
      <c r="S416" s="241"/>
      <c r="T416" s="241"/>
      <c r="U416" s="241"/>
      <c r="V416" s="241"/>
      <c r="W416" s="241"/>
      <c r="X416" s="241"/>
      <c r="Y416" s="241"/>
      <c r="Z416" s="241"/>
      <c r="AA416" s="241"/>
      <c r="AB416" s="241"/>
      <c r="AC416" s="241"/>
      <c r="AD416" s="241"/>
      <c r="AE416" s="241"/>
      <c r="AF416" s="241"/>
      <c r="AG416" s="241"/>
      <c r="AH416" s="241"/>
      <c r="AI416" s="241"/>
      <c r="AJ416" s="241"/>
      <c r="AK416" s="241"/>
      <c r="AL416" s="241"/>
      <c r="AM416" s="241"/>
      <c r="AN416" s="241"/>
      <c r="AO416" s="241"/>
      <c r="AP416" s="241"/>
      <c r="AQ416" s="241"/>
      <c r="AR416" s="241"/>
      <c r="AS416" s="241"/>
      <c r="AT416" s="241"/>
      <c r="AU416" s="241"/>
      <c r="AV416" s="241"/>
      <c r="AW416" s="241"/>
      <c r="AX416" s="241"/>
      <c r="AY416" s="241"/>
      <c r="AZ416" s="241"/>
    </row>
    <row r="417" spans="1:52" s="71" customFormat="1" ht="18" hidden="1" customHeight="1" outlineLevel="1">
      <c r="A417" s="175">
        <v>26</v>
      </c>
      <c r="B417" s="312" t="str">
        <f>(IF('Inputs Whole-Project Water Use'!B417&lt;&gt;"",'Inputs Whole-Project Water Use'!B417,""))</f>
        <v/>
      </c>
      <c r="C417" s="313" t="str">
        <f>IF(AND(F417&lt;&gt;"",'Inputs Whole-Project Water Use'!C417=""),1,IF('Inputs Whole-Project Water Use'!C417&lt;&gt;"",'Inputs Whole-Project Water Use'!C417,""))</f>
        <v/>
      </c>
      <c r="D417" s="397" t="str">
        <f>(IF('Inputs Whole-Project Water Use'!D417&lt;&gt;"",'Inputs Whole-Project Water Use'!D417,""))</f>
        <v/>
      </c>
      <c r="E417" s="398"/>
      <c r="F417" s="316" t="str">
        <f>(IF('Inputs Whole-Project Water Use'!F417&lt;&gt;"",'Inputs Whole-Project Water Use'!F417,""))</f>
        <v/>
      </c>
      <c r="G417" s="316" t="str">
        <f>(IF('Inputs Whole-Project Water Use'!G417&lt;&gt;"",'Inputs Whole-Project Water Use'!G417,""))</f>
        <v/>
      </c>
      <c r="H417" s="289" t="str">
        <f>IF(AND(G417&lt;&gt;"",'Inputs Whole-Project Water Use'!H417=""),0,IF('Inputs Whole-Project Water Use'!H417&lt;&gt;"",'Inputs Whole-Project Water Use'!H417,""))</f>
        <v/>
      </c>
      <c r="I417" s="225" t="str">
        <f t="shared" si="50"/>
        <v/>
      </c>
      <c r="J417" s="225" t="str">
        <f t="shared" si="51"/>
        <v/>
      </c>
      <c r="K417" s="231" t="str">
        <f t="shared" si="52"/>
        <v/>
      </c>
      <c r="L417" s="241"/>
      <c r="M417" s="241"/>
      <c r="N417" s="241"/>
      <c r="O417" s="241"/>
      <c r="P417" s="241"/>
      <c r="Q417" s="241"/>
      <c r="R417" s="241"/>
      <c r="S417" s="241"/>
      <c r="T417" s="241"/>
      <c r="U417" s="241"/>
      <c r="V417" s="241"/>
      <c r="W417" s="241"/>
      <c r="X417" s="241"/>
      <c r="Y417" s="241"/>
      <c r="Z417" s="241"/>
      <c r="AA417" s="241"/>
      <c r="AB417" s="241"/>
      <c r="AC417" s="241"/>
      <c r="AD417" s="241"/>
      <c r="AE417" s="241"/>
      <c r="AF417" s="241"/>
      <c r="AG417" s="241"/>
      <c r="AH417" s="241"/>
      <c r="AI417" s="241"/>
      <c r="AJ417" s="241"/>
      <c r="AK417" s="241"/>
      <c r="AL417" s="241"/>
      <c r="AM417" s="241"/>
      <c r="AN417" s="241"/>
      <c r="AO417" s="241"/>
      <c r="AP417" s="241"/>
      <c r="AQ417" s="241"/>
      <c r="AR417" s="241"/>
      <c r="AS417" s="241"/>
      <c r="AT417" s="241"/>
      <c r="AU417" s="241"/>
      <c r="AV417" s="241"/>
      <c r="AW417" s="241"/>
      <c r="AX417" s="241"/>
      <c r="AY417" s="241"/>
      <c r="AZ417" s="241"/>
    </row>
    <row r="418" spans="1:52" s="71" customFormat="1" ht="18" hidden="1" customHeight="1" outlineLevel="1">
      <c r="A418" s="175">
        <v>27</v>
      </c>
      <c r="B418" s="312" t="str">
        <f>(IF('Inputs Whole-Project Water Use'!B418&lt;&gt;"",'Inputs Whole-Project Water Use'!B418,""))</f>
        <v/>
      </c>
      <c r="C418" s="313" t="str">
        <f>IF(AND(F418&lt;&gt;"",'Inputs Whole-Project Water Use'!C418=""),1,IF('Inputs Whole-Project Water Use'!C418&lt;&gt;"",'Inputs Whole-Project Water Use'!C418,""))</f>
        <v/>
      </c>
      <c r="D418" s="397" t="str">
        <f>(IF('Inputs Whole-Project Water Use'!D418&lt;&gt;"",'Inputs Whole-Project Water Use'!D418,""))</f>
        <v/>
      </c>
      <c r="E418" s="398"/>
      <c r="F418" s="316" t="str">
        <f>(IF('Inputs Whole-Project Water Use'!F418&lt;&gt;"",'Inputs Whole-Project Water Use'!F418,""))</f>
        <v/>
      </c>
      <c r="G418" s="316" t="str">
        <f>(IF('Inputs Whole-Project Water Use'!G418&lt;&gt;"",'Inputs Whole-Project Water Use'!G418,""))</f>
        <v/>
      </c>
      <c r="H418" s="289" t="str">
        <f>IF(AND(G418&lt;&gt;"",'Inputs Whole-Project Water Use'!H418=""),0,IF('Inputs Whole-Project Water Use'!H418&lt;&gt;"",'Inputs Whole-Project Water Use'!H418,""))</f>
        <v/>
      </c>
      <c r="I418" s="225" t="str">
        <f t="shared" si="50"/>
        <v/>
      </c>
      <c r="J418" s="225" t="str">
        <f t="shared" si="51"/>
        <v/>
      </c>
      <c r="K418" s="231" t="str">
        <f t="shared" si="52"/>
        <v/>
      </c>
      <c r="L418" s="241"/>
      <c r="M418" s="241"/>
      <c r="N418" s="241"/>
      <c r="O418" s="241"/>
      <c r="P418" s="241"/>
      <c r="Q418" s="241"/>
      <c r="R418" s="241"/>
      <c r="S418" s="241"/>
      <c r="T418" s="241"/>
      <c r="U418" s="241"/>
      <c r="V418" s="241"/>
      <c r="W418" s="241"/>
      <c r="X418" s="241"/>
      <c r="Y418" s="241"/>
      <c r="Z418" s="241"/>
      <c r="AA418" s="241"/>
      <c r="AB418" s="241"/>
      <c r="AC418" s="241"/>
      <c r="AD418" s="241"/>
      <c r="AE418" s="241"/>
      <c r="AF418" s="241"/>
      <c r="AG418" s="241"/>
      <c r="AH418" s="241"/>
      <c r="AI418" s="241"/>
      <c r="AJ418" s="241"/>
      <c r="AK418" s="241"/>
      <c r="AL418" s="241"/>
      <c r="AM418" s="241"/>
      <c r="AN418" s="241"/>
      <c r="AO418" s="241"/>
      <c r="AP418" s="241"/>
      <c r="AQ418" s="241"/>
      <c r="AR418" s="241"/>
      <c r="AS418" s="241"/>
      <c r="AT418" s="241"/>
      <c r="AU418" s="241"/>
      <c r="AV418" s="241"/>
      <c r="AW418" s="241"/>
      <c r="AX418" s="241"/>
      <c r="AY418" s="241"/>
      <c r="AZ418" s="241"/>
    </row>
    <row r="419" spans="1:52" s="71" customFormat="1" ht="18" hidden="1" customHeight="1" outlineLevel="1">
      <c r="A419" s="175">
        <v>28</v>
      </c>
      <c r="B419" s="312" t="str">
        <f>(IF('Inputs Whole-Project Water Use'!B419&lt;&gt;"",'Inputs Whole-Project Water Use'!B419,""))</f>
        <v/>
      </c>
      <c r="C419" s="313" t="str">
        <f>IF(AND(F419&lt;&gt;"",'Inputs Whole-Project Water Use'!C419=""),1,IF('Inputs Whole-Project Water Use'!C419&lt;&gt;"",'Inputs Whole-Project Water Use'!C419,""))</f>
        <v/>
      </c>
      <c r="D419" s="397" t="str">
        <f>(IF('Inputs Whole-Project Water Use'!D419&lt;&gt;"",'Inputs Whole-Project Water Use'!D419,""))</f>
        <v/>
      </c>
      <c r="E419" s="398"/>
      <c r="F419" s="316" t="str">
        <f>(IF('Inputs Whole-Project Water Use'!F419&lt;&gt;"",'Inputs Whole-Project Water Use'!F419,""))</f>
        <v/>
      </c>
      <c r="G419" s="316" t="str">
        <f>(IF('Inputs Whole-Project Water Use'!G419&lt;&gt;"",'Inputs Whole-Project Water Use'!G419,""))</f>
        <v/>
      </c>
      <c r="H419" s="289" t="str">
        <f>IF(AND(G419&lt;&gt;"",'Inputs Whole-Project Water Use'!H419=""),0,IF('Inputs Whole-Project Water Use'!H419&lt;&gt;"",'Inputs Whole-Project Water Use'!H419,""))</f>
        <v/>
      </c>
      <c r="I419" s="225" t="str">
        <f t="shared" si="50"/>
        <v/>
      </c>
      <c r="J419" s="225" t="str">
        <f t="shared" si="51"/>
        <v/>
      </c>
      <c r="K419" s="231" t="str">
        <f t="shared" si="52"/>
        <v/>
      </c>
      <c r="L419" s="241"/>
      <c r="M419" s="241"/>
      <c r="N419" s="241"/>
      <c r="O419" s="241"/>
      <c r="P419" s="241"/>
      <c r="Q419" s="241"/>
      <c r="R419" s="241"/>
      <c r="S419" s="241"/>
      <c r="T419" s="241"/>
      <c r="U419" s="241"/>
      <c r="V419" s="241"/>
      <c r="W419" s="241"/>
      <c r="X419" s="241"/>
      <c r="Y419" s="241"/>
      <c r="Z419" s="241"/>
      <c r="AA419" s="241"/>
      <c r="AB419" s="241"/>
      <c r="AC419" s="241"/>
      <c r="AD419" s="241"/>
      <c r="AE419" s="241"/>
      <c r="AF419" s="241"/>
      <c r="AG419" s="241"/>
      <c r="AH419" s="241"/>
      <c r="AI419" s="241"/>
      <c r="AJ419" s="241"/>
      <c r="AK419" s="241"/>
      <c r="AL419" s="241"/>
      <c r="AM419" s="241"/>
      <c r="AN419" s="241"/>
      <c r="AO419" s="241"/>
      <c r="AP419" s="241"/>
      <c r="AQ419" s="241"/>
      <c r="AR419" s="241"/>
      <c r="AS419" s="241"/>
      <c r="AT419" s="241"/>
      <c r="AU419" s="241"/>
      <c r="AV419" s="241"/>
      <c r="AW419" s="241"/>
      <c r="AX419" s="241"/>
      <c r="AY419" s="241"/>
      <c r="AZ419" s="241"/>
    </row>
    <row r="420" spans="1:52" s="71" customFormat="1" ht="18" hidden="1" customHeight="1" outlineLevel="1">
      <c r="A420" s="175">
        <v>29</v>
      </c>
      <c r="B420" s="312" t="str">
        <f>(IF('Inputs Whole-Project Water Use'!B420&lt;&gt;"",'Inputs Whole-Project Water Use'!B420,""))</f>
        <v/>
      </c>
      <c r="C420" s="313" t="str">
        <f>IF(AND(F420&lt;&gt;"",'Inputs Whole-Project Water Use'!C420=""),1,IF('Inputs Whole-Project Water Use'!C420&lt;&gt;"",'Inputs Whole-Project Water Use'!C420,""))</f>
        <v/>
      </c>
      <c r="D420" s="397" t="str">
        <f>(IF('Inputs Whole-Project Water Use'!D420&lt;&gt;"",'Inputs Whole-Project Water Use'!D420,""))</f>
        <v/>
      </c>
      <c r="E420" s="398"/>
      <c r="F420" s="316" t="str">
        <f>(IF('Inputs Whole-Project Water Use'!F420&lt;&gt;"",'Inputs Whole-Project Water Use'!F420,""))</f>
        <v/>
      </c>
      <c r="G420" s="316" t="str">
        <f>(IF('Inputs Whole-Project Water Use'!G420&lt;&gt;"",'Inputs Whole-Project Water Use'!G420,""))</f>
        <v/>
      </c>
      <c r="H420" s="289" t="str">
        <f>IF(AND(G420&lt;&gt;"",'Inputs Whole-Project Water Use'!H420=""),0,IF('Inputs Whole-Project Water Use'!H420&lt;&gt;"",'Inputs Whole-Project Water Use'!H420,""))</f>
        <v/>
      </c>
      <c r="I420" s="225" t="str">
        <f t="shared" si="50"/>
        <v/>
      </c>
      <c r="J420" s="225" t="str">
        <f t="shared" si="51"/>
        <v/>
      </c>
      <c r="K420" s="231" t="str">
        <f t="shared" si="52"/>
        <v/>
      </c>
      <c r="L420" s="241"/>
      <c r="M420" s="241"/>
      <c r="N420" s="241"/>
      <c r="O420" s="241"/>
      <c r="P420" s="241"/>
      <c r="Q420" s="241"/>
      <c r="R420" s="241"/>
      <c r="S420" s="241"/>
      <c r="T420" s="241"/>
      <c r="U420" s="241"/>
      <c r="V420" s="241"/>
      <c r="W420" s="241"/>
      <c r="X420" s="241"/>
      <c r="Y420" s="241"/>
      <c r="Z420" s="241"/>
      <c r="AA420" s="241"/>
      <c r="AB420" s="241"/>
      <c r="AC420" s="241"/>
      <c r="AD420" s="241"/>
      <c r="AE420" s="241"/>
      <c r="AF420" s="241"/>
      <c r="AG420" s="241"/>
      <c r="AH420" s="241"/>
      <c r="AI420" s="241"/>
      <c r="AJ420" s="241"/>
      <c r="AK420" s="241"/>
      <c r="AL420" s="241"/>
      <c r="AM420" s="241"/>
      <c r="AN420" s="241"/>
      <c r="AO420" s="241"/>
      <c r="AP420" s="241"/>
      <c r="AQ420" s="241"/>
      <c r="AR420" s="241"/>
      <c r="AS420" s="241"/>
      <c r="AT420" s="241"/>
      <c r="AU420" s="241"/>
      <c r="AV420" s="241"/>
      <c r="AW420" s="241"/>
      <c r="AX420" s="241"/>
      <c r="AY420" s="241"/>
      <c r="AZ420" s="241"/>
    </row>
    <row r="421" spans="1:52" s="71" customFormat="1" ht="18" hidden="1" customHeight="1" outlineLevel="1">
      <c r="A421" s="175">
        <v>30</v>
      </c>
      <c r="B421" s="312" t="str">
        <f>(IF('Inputs Whole-Project Water Use'!B421&lt;&gt;"",'Inputs Whole-Project Water Use'!B421,""))</f>
        <v/>
      </c>
      <c r="C421" s="313" t="str">
        <f>IF(AND(F421&lt;&gt;"",'Inputs Whole-Project Water Use'!C421=""),1,IF('Inputs Whole-Project Water Use'!C421&lt;&gt;"",'Inputs Whole-Project Water Use'!C421,""))</f>
        <v/>
      </c>
      <c r="D421" s="397" t="str">
        <f>(IF('Inputs Whole-Project Water Use'!D421&lt;&gt;"",'Inputs Whole-Project Water Use'!D421,""))</f>
        <v/>
      </c>
      <c r="E421" s="398"/>
      <c r="F421" s="316" t="str">
        <f>(IF('Inputs Whole-Project Water Use'!F421&lt;&gt;"",'Inputs Whole-Project Water Use'!F421,""))</f>
        <v/>
      </c>
      <c r="G421" s="316" t="str">
        <f>(IF('Inputs Whole-Project Water Use'!G421&lt;&gt;"",'Inputs Whole-Project Water Use'!G421,""))</f>
        <v/>
      </c>
      <c r="H421" s="289" t="str">
        <f>IF(AND(G421&lt;&gt;"",'Inputs Whole-Project Water Use'!H421=""),0,IF('Inputs Whole-Project Water Use'!H421&lt;&gt;"",'Inputs Whole-Project Water Use'!H421,""))</f>
        <v/>
      </c>
      <c r="I421" s="225" t="str">
        <f t="shared" si="50"/>
        <v/>
      </c>
      <c r="J421" s="225" t="str">
        <f t="shared" si="51"/>
        <v/>
      </c>
      <c r="K421" s="231" t="str">
        <f t="shared" si="52"/>
        <v/>
      </c>
      <c r="L421" s="241"/>
      <c r="M421" s="241"/>
      <c r="N421" s="241"/>
      <c r="O421" s="241"/>
      <c r="P421" s="241"/>
      <c r="Q421" s="241"/>
      <c r="R421" s="241"/>
      <c r="S421" s="241"/>
      <c r="T421" s="241"/>
      <c r="U421" s="241"/>
      <c r="V421" s="241"/>
      <c r="W421" s="241"/>
      <c r="X421" s="241"/>
      <c r="Y421" s="241"/>
      <c r="Z421" s="241"/>
      <c r="AA421" s="241"/>
      <c r="AB421" s="241"/>
      <c r="AC421" s="241"/>
      <c r="AD421" s="241"/>
      <c r="AE421" s="241"/>
      <c r="AF421" s="241"/>
      <c r="AG421" s="241"/>
      <c r="AH421" s="241"/>
      <c r="AI421" s="241"/>
      <c r="AJ421" s="241"/>
      <c r="AK421" s="241"/>
      <c r="AL421" s="241"/>
      <c r="AM421" s="241"/>
      <c r="AN421" s="241"/>
      <c r="AO421" s="241"/>
      <c r="AP421" s="241"/>
      <c r="AQ421" s="241"/>
      <c r="AR421" s="241"/>
      <c r="AS421" s="241"/>
      <c r="AT421" s="241"/>
      <c r="AU421" s="241"/>
      <c r="AV421" s="241"/>
      <c r="AW421" s="241"/>
      <c r="AX421" s="241"/>
      <c r="AY421" s="241"/>
      <c r="AZ421" s="241"/>
    </row>
    <row r="422" spans="1:52" s="71" customFormat="1" ht="18" hidden="1" customHeight="1" outlineLevel="1">
      <c r="A422" s="175">
        <v>31</v>
      </c>
      <c r="B422" s="312" t="str">
        <f>(IF('Inputs Whole-Project Water Use'!B422&lt;&gt;"",'Inputs Whole-Project Water Use'!B422,""))</f>
        <v/>
      </c>
      <c r="C422" s="313" t="str">
        <f>IF(AND(F422&lt;&gt;"",'Inputs Whole-Project Water Use'!C422=""),1,IF('Inputs Whole-Project Water Use'!C422&lt;&gt;"",'Inputs Whole-Project Water Use'!C422,""))</f>
        <v/>
      </c>
      <c r="D422" s="397" t="str">
        <f>(IF('Inputs Whole-Project Water Use'!D422&lt;&gt;"",'Inputs Whole-Project Water Use'!D422,""))</f>
        <v/>
      </c>
      <c r="E422" s="398"/>
      <c r="F422" s="316" t="str">
        <f>(IF('Inputs Whole-Project Water Use'!F422&lt;&gt;"",'Inputs Whole-Project Water Use'!F422,""))</f>
        <v/>
      </c>
      <c r="G422" s="316" t="str">
        <f>(IF('Inputs Whole-Project Water Use'!G422&lt;&gt;"",'Inputs Whole-Project Water Use'!G422,""))</f>
        <v/>
      </c>
      <c r="H422" s="289" t="str">
        <f>IF(AND(G422&lt;&gt;"",'Inputs Whole-Project Water Use'!H422=""),0,IF('Inputs Whole-Project Water Use'!H422&lt;&gt;"",'Inputs Whole-Project Water Use'!H422,""))</f>
        <v/>
      </c>
      <c r="I422" s="225" t="str">
        <f t="shared" si="50"/>
        <v/>
      </c>
      <c r="J422" s="225" t="str">
        <f t="shared" si="51"/>
        <v/>
      </c>
      <c r="K422" s="231" t="str">
        <f t="shared" si="52"/>
        <v/>
      </c>
      <c r="L422" s="176" t="s">
        <v>165</v>
      </c>
      <c r="M422" s="241"/>
      <c r="N422" s="241"/>
      <c r="O422" s="241"/>
      <c r="P422" s="241"/>
      <c r="Q422" s="241"/>
      <c r="R422" s="241"/>
      <c r="S422" s="241"/>
      <c r="T422" s="241"/>
      <c r="U422" s="241"/>
      <c r="V422" s="241"/>
      <c r="W422" s="241"/>
      <c r="X422" s="241"/>
      <c r="Y422" s="241"/>
      <c r="Z422" s="241"/>
      <c r="AA422" s="241"/>
      <c r="AB422" s="241"/>
      <c r="AC422" s="241"/>
      <c r="AD422" s="241"/>
      <c r="AE422" s="241"/>
      <c r="AF422" s="241"/>
      <c r="AG422" s="241"/>
      <c r="AH422" s="241"/>
      <c r="AI422" s="241"/>
      <c r="AJ422" s="241"/>
      <c r="AK422" s="241"/>
      <c r="AL422" s="241"/>
      <c r="AM422" s="241"/>
      <c r="AN422" s="241"/>
      <c r="AO422" s="241"/>
      <c r="AP422" s="241"/>
      <c r="AQ422" s="241"/>
      <c r="AR422" s="241"/>
      <c r="AS422" s="241"/>
      <c r="AT422" s="241"/>
      <c r="AU422" s="241"/>
      <c r="AV422" s="241"/>
      <c r="AW422" s="241"/>
      <c r="AX422" s="241"/>
      <c r="AY422" s="241"/>
      <c r="AZ422" s="241"/>
    </row>
    <row r="423" spans="1:52" s="71" customFormat="1" ht="18" hidden="1" customHeight="1" outlineLevel="2">
      <c r="A423" s="175">
        <v>32</v>
      </c>
      <c r="B423" s="312" t="str">
        <f>(IF('Inputs Whole-Project Water Use'!B423&lt;&gt;"",'Inputs Whole-Project Water Use'!B423,""))</f>
        <v/>
      </c>
      <c r="C423" s="313" t="str">
        <f>IF(AND(F423&lt;&gt;"",'Inputs Whole-Project Water Use'!C423=""),1,IF('Inputs Whole-Project Water Use'!C423&lt;&gt;"",'Inputs Whole-Project Water Use'!C423,""))</f>
        <v/>
      </c>
      <c r="D423" s="397" t="str">
        <f>(IF('Inputs Whole-Project Water Use'!D423&lt;&gt;"",'Inputs Whole-Project Water Use'!D423,""))</f>
        <v/>
      </c>
      <c r="E423" s="398"/>
      <c r="F423" s="316" t="str">
        <f>(IF('Inputs Whole-Project Water Use'!F423&lt;&gt;"",'Inputs Whole-Project Water Use'!F423,""))</f>
        <v/>
      </c>
      <c r="G423" s="316" t="str">
        <f>(IF('Inputs Whole-Project Water Use'!G423&lt;&gt;"",'Inputs Whole-Project Water Use'!G423,""))</f>
        <v/>
      </c>
      <c r="H423" s="289" t="str">
        <f>IF(AND(G423&lt;&gt;"",'Inputs Whole-Project Water Use'!H423=""),0,IF('Inputs Whole-Project Water Use'!H423&lt;&gt;"",'Inputs Whole-Project Water Use'!H423,""))</f>
        <v/>
      </c>
      <c r="I423" s="225" t="str">
        <f t="shared" si="50"/>
        <v/>
      </c>
      <c r="J423" s="225" t="str">
        <f t="shared" si="51"/>
        <v/>
      </c>
      <c r="K423" s="231" t="str">
        <f t="shared" si="52"/>
        <v/>
      </c>
      <c r="L423" s="176"/>
      <c r="M423" s="241"/>
      <c r="N423" s="241"/>
      <c r="O423" s="241"/>
      <c r="P423" s="241"/>
      <c r="Q423" s="241"/>
      <c r="R423" s="241"/>
      <c r="S423" s="241"/>
      <c r="T423" s="241"/>
      <c r="U423" s="241"/>
      <c r="V423" s="241"/>
      <c r="W423" s="241"/>
      <c r="X423" s="241"/>
      <c r="Y423" s="241"/>
      <c r="Z423" s="241"/>
      <c r="AA423" s="241"/>
      <c r="AB423" s="241"/>
      <c r="AC423" s="241"/>
      <c r="AD423" s="241"/>
      <c r="AE423" s="241"/>
      <c r="AF423" s="241"/>
      <c r="AG423" s="241"/>
      <c r="AH423" s="241"/>
      <c r="AI423" s="241"/>
      <c r="AJ423" s="241"/>
      <c r="AK423" s="241"/>
      <c r="AL423" s="241"/>
      <c r="AM423" s="241"/>
      <c r="AN423" s="241"/>
      <c r="AO423" s="241"/>
      <c r="AP423" s="241"/>
      <c r="AQ423" s="241"/>
      <c r="AR423" s="241"/>
      <c r="AS423" s="241"/>
      <c r="AT423" s="241"/>
      <c r="AU423" s="241"/>
      <c r="AV423" s="241"/>
      <c r="AW423" s="241"/>
      <c r="AX423" s="241"/>
      <c r="AY423" s="241"/>
      <c r="AZ423" s="241"/>
    </row>
    <row r="424" spans="1:52" s="71" customFormat="1" ht="18" hidden="1" customHeight="1" outlineLevel="2">
      <c r="A424" s="175">
        <v>33</v>
      </c>
      <c r="B424" s="312" t="str">
        <f>(IF('Inputs Whole-Project Water Use'!B424&lt;&gt;"",'Inputs Whole-Project Water Use'!B424,""))</f>
        <v/>
      </c>
      <c r="C424" s="313" t="str">
        <f>IF(AND(F424&lt;&gt;"",'Inputs Whole-Project Water Use'!C424=""),1,IF('Inputs Whole-Project Water Use'!C424&lt;&gt;"",'Inputs Whole-Project Water Use'!C424,""))</f>
        <v/>
      </c>
      <c r="D424" s="397" t="str">
        <f>(IF('Inputs Whole-Project Water Use'!D424&lt;&gt;"",'Inputs Whole-Project Water Use'!D424,""))</f>
        <v/>
      </c>
      <c r="E424" s="398"/>
      <c r="F424" s="316" t="str">
        <f>(IF('Inputs Whole-Project Water Use'!F424&lt;&gt;"",'Inputs Whole-Project Water Use'!F424,""))</f>
        <v/>
      </c>
      <c r="G424" s="316" t="str">
        <f>(IF('Inputs Whole-Project Water Use'!G424&lt;&gt;"",'Inputs Whole-Project Water Use'!G424,""))</f>
        <v/>
      </c>
      <c r="H424" s="289" t="str">
        <f>IF(AND(G424&lt;&gt;"",'Inputs Whole-Project Water Use'!H424=""),0,IF('Inputs Whole-Project Water Use'!H424&lt;&gt;"",'Inputs Whole-Project Water Use'!H424,""))</f>
        <v/>
      </c>
      <c r="I424" s="225" t="str">
        <f t="shared" si="50"/>
        <v/>
      </c>
      <c r="J424" s="225" t="str">
        <f t="shared" si="51"/>
        <v/>
      </c>
      <c r="K424" s="231" t="str">
        <f t="shared" si="52"/>
        <v/>
      </c>
      <c r="L424" s="176"/>
      <c r="M424" s="241"/>
      <c r="N424" s="241"/>
      <c r="O424" s="241"/>
      <c r="P424" s="241"/>
      <c r="Q424" s="241"/>
      <c r="R424" s="241"/>
      <c r="S424" s="241"/>
      <c r="T424" s="241"/>
      <c r="U424" s="241"/>
      <c r="V424" s="241"/>
      <c r="W424" s="241"/>
      <c r="X424" s="241"/>
      <c r="Y424" s="241"/>
      <c r="Z424" s="241"/>
      <c r="AA424" s="241"/>
      <c r="AB424" s="241"/>
      <c r="AC424" s="241"/>
      <c r="AD424" s="241"/>
      <c r="AE424" s="241"/>
      <c r="AF424" s="241"/>
      <c r="AG424" s="241"/>
      <c r="AH424" s="241"/>
      <c r="AI424" s="241"/>
      <c r="AJ424" s="241"/>
      <c r="AK424" s="241"/>
      <c r="AL424" s="241"/>
      <c r="AM424" s="241"/>
      <c r="AN424" s="241"/>
      <c r="AO424" s="241"/>
      <c r="AP424" s="241"/>
      <c r="AQ424" s="241"/>
      <c r="AR424" s="241"/>
      <c r="AS424" s="241"/>
      <c r="AT424" s="241"/>
      <c r="AU424" s="241"/>
      <c r="AV424" s="241"/>
      <c r="AW424" s="241"/>
      <c r="AX424" s="241"/>
      <c r="AY424" s="241"/>
      <c r="AZ424" s="241"/>
    </row>
    <row r="425" spans="1:52" s="71" customFormat="1" ht="18" hidden="1" customHeight="1" outlineLevel="2">
      <c r="A425" s="175">
        <v>34</v>
      </c>
      <c r="B425" s="312" t="str">
        <f>(IF('Inputs Whole-Project Water Use'!B425&lt;&gt;"",'Inputs Whole-Project Water Use'!B425,""))</f>
        <v/>
      </c>
      <c r="C425" s="313" t="str">
        <f>IF(AND(F425&lt;&gt;"",'Inputs Whole-Project Water Use'!C425=""),1,IF('Inputs Whole-Project Water Use'!C425&lt;&gt;"",'Inputs Whole-Project Water Use'!C425,""))</f>
        <v/>
      </c>
      <c r="D425" s="397" t="str">
        <f>(IF('Inputs Whole-Project Water Use'!D425&lt;&gt;"",'Inputs Whole-Project Water Use'!D425,""))</f>
        <v/>
      </c>
      <c r="E425" s="398"/>
      <c r="F425" s="316" t="str">
        <f>(IF('Inputs Whole-Project Water Use'!F425&lt;&gt;"",'Inputs Whole-Project Water Use'!F425,""))</f>
        <v/>
      </c>
      <c r="G425" s="316" t="str">
        <f>(IF('Inputs Whole-Project Water Use'!G425&lt;&gt;"",'Inputs Whole-Project Water Use'!G425,""))</f>
        <v/>
      </c>
      <c r="H425" s="289" t="str">
        <f>IF(AND(G425&lt;&gt;"",'Inputs Whole-Project Water Use'!H425=""),0,IF('Inputs Whole-Project Water Use'!H425&lt;&gt;"",'Inputs Whole-Project Water Use'!H425,""))</f>
        <v/>
      </c>
      <c r="I425" s="225" t="str">
        <f t="shared" si="50"/>
        <v/>
      </c>
      <c r="J425" s="225" t="str">
        <f t="shared" si="51"/>
        <v/>
      </c>
      <c r="K425" s="231" t="str">
        <f t="shared" si="52"/>
        <v/>
      </c>
      <c r="L425" s="176"/>
      <c r="M425" s="241"/>
      <c r="N425" s="241"/>
      <c r="O425" s="241"/>
      <c r="P425" s="241"/>
      <c r="Q425" s="241"/>
      <c r="R425" s="241"/>
      <c r="S425" s="241"/>
      <c r="T425" s="241"/>
      <c r="U425" s="241"/>
      <c r="V425" s="241"/>
      <c r="W425" s="241"/>
      <c r="X425" s="241"/>
      <c r="Y425" s="241"/>
      <c r="Z425" s="241"/>
      <c r="AA425" s="241"/>
      <c r="AB425" s="241"/>
      <c r="AC425" s="241"/>
      <c r="AD425" s="241"/>
      <c r="AE425" s="241"/>
      <c r="AF425" s="241"/>
      <c r="AG425" s="241"/>
      <c r="AH425" s="241"/>
      <c r="AI425" s="241"/>
      <c r="AJ425" s="241"/>
      <c r="AK425" s="241"/>
      <c r="AL425" s="241"/>
      <c r="AM425" s="241"/>
      <c r="AN425" s="241"/>
      <c r="AO425" s="241"/>
      <c r="AP425" s="241"/>
      <c r="AQ425" s="241"/>
      <c r="AR425" s="241"/>
      <c r="AS425" s="241"/>
      <c r="AT425" s="241"/>
      <c r="AU425" s="241"/>
      <c r="AV425" s="241"/>
      <c r="AW425" s="241"/>
      <c r="AX425" s="241"/>
      <c r="AY425" s="241"/>
      <c r="AZ425" s="241"/>
    </row>
    <row r="426" spans="1:52" s="71" customFormat="1" ht="18" hidden="1" customHeight="1" outlineLevel="2">
      <c r="A426" s="175">
        <v>35</v>
      </c>
      <c r="B426" s="312" t="str">
        <f>(IF('Inputs Whole-Project Water Use'!B426&lt;&gt;"",'Inputs Whole-Project Water Use'!B426,""))</f>
        <v/>
      </c>
      <c r="C426" s="313" t="str">
        <f>IF(AND(F426&lt;&gt;"",'Inputs Whole-Project Water Use'!C426=""),1,IF('Inputs Whole-Project Water Use'!C426&lt;&gt;"",'Inputs Whole-Project Water Use'!C426,""))</f>
        <v/>
      </c>
      <c r="D426" s="397" t="str">
        <f>(IF('Inputs Whole-Project Water Use'!D426&lt;&gt;"",'Inputs Whole-Project Water Use'!D426,""))</f>
        <v/>
      </c>
      <c r="E426" s="398"/>
      <c r="F426" s="316" t="str">
        <f>(IF('Inputs Whole-Project Water Use'!F426&lt;&gt;"",'Inputs Whole-Project Water Use'!F426,""))</f>
        <v/>
      </c>
      <c r="G426" s="316" t="str">
        <f>(IF('Inputs Whole-Project Water Use'!G426&lt;&gt;"",'Inputs Whole-Project Water Use'!G426,""))</f>
        <v/>
      </c>
      <c r="H426" s="289" t="str">
        <f>IF(AND(G426&lt;&gt;"",'Inputs Whole-Project Water Use'!H426=""),0,IF('Inputs Whole-Project Water Use'!H426&lt;&gt;"",'Inputs Whole-Project Water Use'!H426,""))</f>
        <v/>
      </c>
      <c r="I426" s="225" t="str">
        <f t="shared" si="50"/>
        <v/>
      </c>
      <c r="J426" s="225" t="str">
        <f t="shared" si="51"/>
        <v/>
      </c>
      <c r="K426" s="231" t="str">
        <f t="shared" si="52"/>
        <v/>
      </c>
      <c r="L426" s="176"/>
      <c r="M426" s="241"/>
      <c r="N426" s="241"/>
      <c r="O426" s="241"/>
      <c r="P426" s="241"/>
      <c r="Q426" s="241"/>
      <c r="R426" s="241"/>
      <c r="S426" s="241"/>
      <c r="T426" s="241"/>
      <c r="U426" s="241"/>
      <c r="V426" s="241"/>
      <c r="W426" s="241"/>
      <c r="X426" s="241"/>
      <c r="Y426" s="241"/>
      <c r="Z426" s="241"/>
      <c r="AA426" s="241"/>
      <c r="AB426" s="241"/>
      <c r="AC426" s="241"/>
      <c r="AD426" s="241"/>
      <c r="AE426" s="241"/>
      <c r="AF426" s="241"/>
      <c r="AG426" s="241"/>
      <c r="AH426" s="241"/>
      <c r="AI426" s="241"/>
      <c r="AJ426" s="241"/>
      <c r="AK426" s="241"/>
      <c r="AL426" s="241"/>
      <c r="AM426" s="241"/>
      <c r="AN426" s="241"/>
      <c r="AO426" s="241"/>
      <c r="AP426" s="241"/>
      <c r="AQ426" s="241"/>
      <c r="AR426" s="241"/>
      <c r="AS426" s="241"/>
      <c r="AT426" s="241"/>
      <c r="AU426" s="241"/>
      <c r="AV426" s="241"/>
      <c r="AW426" s="241"/>
      <c r="AX426" s="241"/>
      <c r="AY426" s="241"/>
      <c r="AZ426" s="241"/>
    </row>
    <row r="427" spans="1:52" s="71" customFormat="1" ht="18" hidden="1" customHeight="1" outlineLevel="2">
      <c r="A427" s="175">
        <v>36</v>
      </c>
      <c r="B427" s="312" t="str">
        <f>(IF('Inputs Whole-Project Water Use'!B427&lt;&gt;"",'Inputs Whole-Project Water Use'!B427,""))</f>
        <v/>
      </c>
      <c r="C427" s="313" t="str">
        <f>IF(AND(F427&lt;&gt;"",'Inputs Whole-Project Water Use'!C427=""),1,IF('Inputs Whole-Project Water Use'!C427&lt;&gt;"",'Inputs Whole-Project Water Use'!C427,""))</f>
        <v/>
      </c>
      <c r="D427" s="397" t="str">
        <f>(IF('Inputs Whole-Project Water Use'!D427&lt;&gt;"",'Inputs Whole-Project Water Use'!D427,""))</f>
        <v/>
      </c>
      <c r="E427" s="398"/>
      <c r="F427" s="316" t="str">
        <f>(IF('Inputs Whole-Project Water Use'!F427&lt;&gt;"",'Inputs Whole-Project Water Use'!F427,""))</f>
        <v/>
      </c>
      <c r="G427" s="316" t="str">
        <f>(IF('Inputs Whole-Project Water Use'!G427&lt;&gt;"",'Inputs Whole-Project Water Use'!G427,""))</f>
        <v/>
      </c>
      <c r="H427" s="289" t="str">
        <f>IF(AND(G427&lt;&gt;"",'Inputs Whole-Project Water Use'!H427=""),0,IF('Inputs Whole-Project Water Use'!H427&lt;&gt;"",'Inputs Whole-Project Water Use'!H427,""))</f>
        <v/>
      </c>
      <c r="I427" s="225" t="str">
        <f t="shared" si="50"/>
        <v/>
      </c>
      <c r="J427" s="225" t="str">
        <f t="shared" si="51"/>
        <v/>
      </c>
      <c r="K427" s="231" t="str">
        <f t="shared" si="52"/>
        <v/>
      </c>
      <c r="L427" s="176"/>
      <c r="M427" s="241"/>
      <c r="N427" s="241"/>
      <c r="O427" s="241"/>
      <c r="P427" s="241"/>
      <c r="Q427" s="241"/>
      <c r="R427" s="241"/>
      <c r="S427" s="241"/>
      <c r="T427" s="241"/>
      <c r="U427" s="241"/>
      <c r="V427" s="241"/>
      <c r="W427" s="241"/>
      <c r="X427" s="241"/>
      <c r="Y427" s="241"/>
      <c r="Z427" s="241"/>
      <c r="AA427" s="241"/>
      <c r="AB427" s="241"/>
      <c r="AC427" s="241"/>
      <c r="AD427" s="241"/>
      <c r="AE427" s="241"/>
      <c r="AF427" s="241"/>
      <c r="AG427" s="241"/>
      <c r="AH427" s="241"/>
      <c r="AI427" s="241"/>
      <c r="AJ427" s="241"/>
      <c r="AK427" s="241"/>
      <c r="AL427" s="241"/>
      <c r="AM427" s="241"/>
      <c r="AN427" s="241"/>
      <c r="AO427" s="241"/>
      <c r="AP427" s="241"/>
      <c r="AQ427" s="241"/>
      <c r="AR427" s="241"/>
      <c r="AS427" s="241"/>
      <c r="AT427" s="241"/>
      <c r="AU427" s="241"/>
      <c r="AV427" s="241"/>
      <c r="AW427" s="241"/>
      <c r="AX427" s="241"/>
      <c r="AY427" s="241"/>
      <c r="AZ427" s="241"/>
    </row>
    <row r="428" spans="1:52" s="71" customFormat="1" ht="18" hidden="1" customHeight="1" outlineLevel="2">
      <c r="A428" s="175">
        <v>37</v>
      </c>
      <c r="B428" s="312" t="str">
        <f>(IF('Inputs Whole-Project Water Use'!B428&lt;&gt;"",'Inputs Whole-Project Water Use'!B428,""))</f>
        <v/>
      </c>
      <c r="C428" s="313" t="str">
        <f>IF(AND(F428&lt;&gt;"",'Inputs Whole-Project Water Use'!C428=""),1,IF('Inputs Whole-Project Water Use'!C428&lt;&gt;"",'Inputs Whole-Project Water Use'!C428,""))</f>
        <v/>
      </c>
      <c r="D428" s="397" t="str">
        <f>(IF('Inputs Whole-Project Water Use'!D428&lt;&gt;"",'Inputs Whole-Project Water Use'!D428,""))</f>
        <v/>
      </c>
      <c r="E428" s="398"/>
      <c r="F428" s="316" t="str">
        <f>(IF('Inputs Whole-Project Water Use'!F428&lt;&gt;"",'Inputs Whole-Project Water Use'!F428,""))</f>
        <v/>
      </c>
      <c r="G428" s="316" t="str">
        <f>(IF('Inputs Whole-Project Water Use'!G428&lt;&gt;"",'Inputs Whole-Project Water Use'!G428,""))</f>
        <v/>
      </c>
      <c r="H428" s="289" t="str">
        <f>IF(AND(G428&lt;&gt;"",'Inputs Whole-Project Water Use'!H428=""),0,IF('Inputs Whole-Project Water Use'!H428&lt;&gt;"",'Inputs Whole-Project Water Use'!H428,""))</f>
        <v/>
      </c>
      <c r="I428" s="225" t="str">
        <f t="shared" si="50"/>
        <v/>
      </c>
      <c r="J428" s="225" t="str">
        <f t="shared" si="51"/>
        <v/>
      </c>
      <c r="K428" s="231" t="str">
        <f t="shared" si="52"/>
        <v/>
      </c>
      <c r="L428" s="176"/>
      <c r="M428" s="241"/>
      <c r="N428" s="241"/>
      <c r="O428" s="241"/>
      <c r="P428" s="241"/>
      <c r="Q428" s="241"/>
      <c r="R428" s="241"/>
      <c r="S428" s="241"/>
      <c r="T428" s="241"/>
      <c r="U428" s="241"/>
      <c r="V428" s="241"/>
      <c r="W428" s="241"/>
      <c r="X428" s="241"/>
      <c r="Y428" s="241"/>
      <c r="Z428" s="241"/>
      <c r="AA428" s="241"/>
      <c r="AB428" s="241"/>
      <c r="AC428" s="241"/>
      <c r="AD428" s="241"/>
      <c r="AE428" s="241"/>
      <c r="AF428" s="241"/>
      <c r="AG428" s="241"/>
      <c r="AH428" s="241"/>
      <c r="AI428" s="241"/>
      <c r="AJ428" s="241"/>
      <c r="AK428" s="241"/>
      <c r="AL428" s="241"/>
      <c r="AM428" s="241"/>
      <c r="AN428" s="241"/>
      <c r="AO428" s="241"/>
      <c r="AP428" s="241"/>
      <c r="AQ428" s="241"/>
      <c r="AR428" s="241"/>
      <c r="AS428" s="241"/>
      <c r="AT428" s="241"/>
      <c r="AU428" s="241"/>
      <c r="AV428" s="241"/>
      <c r="AW428" s="241"/>
      <c r="AX428" s="241"/>
      <c r="AY428" s="241"/>
      <c r="AZ428" s="241"/>
    </row>
    <row r="429" spans="1:52" s="71" customFormat="1" ht="18" hidden="1" customHeight="1" outlineLevel="2">
      <c r="A429" s="175">
        <v>38</v>
      </c>
      <c r="B429" s="312" t="str">
        <f>(IF('Inputs Whole-Project Water Use'!B429&lt;&gt;"",'Inputs Whole-Project Water Use'!B429,""))</f>
        <v/>
      </c>
      <c r="C429" s="313" t="str">
        <f>IF(AND(F429&lt;&gt;"",'Inputs Whole-Project Water Use'!C429=""),1,IF('Inputs Whole-Project Water Use'!C429&lt;&gt;"",'Inputs Whole-Project Water Use'!C429,""))</f>
        <v/>
      </c>
      <c r="D429" s="397" t="str">
        <f>(IF('Inputs Whole-Project Water Use'!D429&lt;&gt;"",'Inputs Whole-Project Water Use'!D429,""))</f>
        <v/>
      </c>
      <c r="E429" s="398"/>
      <c r="F429" s="316" t="str">
        <f>(IF('Inputs Whole-Project Water Use'!F429&lt;&gt;"",'Inputs Whole-Project Water Use'!F429,""))</f>
        <v/>
      </c>
      <c r="G429" s="316" t="str">
        <f>(IF('Inputs Whole-Project Water Use'!G429&lt;&gt;"",'Inputs Whole-Project Water Use'!G429,""))</f>
        <v/>
      </c>
      <c r="H429" s="289" t="str">
        <f>IF(AND(G429&lt;&gt;"",'Inputs Whole-Project Water Use'!H429=""),0,IF('Inputs Whole-Project Water Use'!H429&lt;&gt;"",'Inputs Whole-Project Water Use'!H429,""))</f>
        <v/>
      </c>
      <c r="I429" s="225" t="str">
        <f t="shared" si="50"/>
        <v/>
      </c>
      <c r="J429" s="225" t="str">
        <f t="shared" si="51"/>
        <v/>
      </c>
      <c r="K429" s="231" t="str">
        <f t="shared" si="52"/>
        <v/>
      </c>
      <c r="L429" s="176"/>
      <c r="M429" s="241"/>
      <c r="N429" s="241"/>
      <c r="O429" s="241"/>
      <c r="P429" s="241"/>
      <c r="Q429" s="241"/>
      <c r="R429" s="241"/>
      <c r="S429" s="241"/>
      <c r="T429" s="241"/>
      <c r="U429" s="241"/>
      <c r="V429" s="241"/>
      <c r="W429" s="241"/>
      <c r="X429" s="241"/>
      <c r="Y429" s="241"/>
      <c r="Z429" s="241"/>
      <c r="AA429" s="241"/>
      <c r="AB429" s="241"/>
      <c r="AC429" s="241"/>
      <c r="AD429" s="241"/>
      <c r="AE429" s="241"/>
      <c r="AF429" s="241"/>
      <c r="AG429" s="241"/>
      <c r="AH429" s="241"/>
      <c r="AI429" s="241"/>
      <c r="AJ429" s="241"/>
      <c r="AK429" s="241"/>
      <c r="AL429" s="241"/>
      <c r="AM429" s="241"/>
      <c r="AN429" s="241"/>
      <c r="AO429" s="241"/>
      <c r="AP429" s="241"/>
      <c r="AQ429" s="241"/>
      <c r="AR429" s="241"/>
      <c r="AS429" s="241"/>
      <c r="AT429" s="241"/>
      <c r="AU429" s="241"/>
      <c r="AV429" s="241"/>
      <c r="AW429" s="241"/>
      <c r="AX429" s="241"/>
      <c r="AY429" s="241"/>
      <c r="AZ429" s="241"/>
    </row>
    <row r="430" spans="1:52" s="71" customFormat="1" ht="18" hidden="1" customHeight="1" outlineLevel="2">
      <c r="A430" s="175">
        <v>39</v>
      </c>
      <c r="B430" s="312" t="str">
        <f>(IF('Inputs Whole-Project Water Use'!B430&lt;&gt;"",'Inputs Whole-Project Water Use'!B430,""))</f>
        <v/>
      </c>
      <c r="C430" s="313" t="str">
        <f>IF(AND(F430&lt;&gt;"",'Inputs Whole-Project Water Use'!C430=""),1,IF('Inputs Whole-Project Water Use'!C430&lt;&gt;"",'Inputs Whole-Project Water Use'!C430,""))</f>
        <v/>
      </c>
      <c r="D430" s="397" t="str">
        <f>(IF('Inputs Whole-Project Water Use'!D430&lt;&gt;"",'Inputs Whole-Project Water Use'!D430,""))</f>
        <v/>
      </c>
      <c r="E430" s="398"/>
      <c r="F430" s="316" t="str">
        <f>(IF('Inputs Whole-Project Water Use'!F430&lt;&gt;"",'Inputs Whole-Project Water Use'!F430,""))</f>
        <v/>
      </c>
      <c r="G430" s="316" t="str">
        <f>(IF('Inputs Whole-Project Water Use'!G430&lt;&gt;"",'Inputs Whole-Project Water Use'!G430,""))</f>
        <v/>
      </c>
      <c r="H430" s="289" t="str">
        <f>IF(AND(G430&lt;&gt;"",'Inputs Whole-Project Water Use'!H430=""),0,IF('Inputs Whole-Project Water Use'!H430&lt;&gt;"",'Inputs Whole-Project Water Use'!H430,""))</f>
        <v/>
      </c>
      <c r="I430" s="225" t="str">
        <f t="shared" si="50"/>
        <v/>
      </c>
      <c r="J430" s="225" t="str">
        <f t="shared" si="51"/>
        <v/>
      </c>
      <c r="K430" s="231" t="str">
        <f t="shared" si="52"/>
        <v/>
      </c>
      <c r="L430" s="176"/>
      <c r="M430" s="241"/>
      <c r="N430" s="241"/>
      <c r="O430" s="241"/>
      <c r="P430" s="241"/>
      <c r="Q430" s="241"/>
      <c r="R430" s="241"/>
      <c r="S430" s="241"/>
      <c r="T430" s="241"/>
      <c r="U430" s="241"/>
      <c r="V430" s="241"/>
      <c r="W430" s="241"/>
      <c r="X430" s="241"/>
      <c r="Y430" s="241"/>
      <c r="Z430" s="241"/>
      <c r="AA430" s="241"/>
      <c r="AB430" s="241"/>
      <c r="AC430" s="241"/>
      <c r="AD430" s="241"/>
      <c r="AE430" s="241"/>
      <c r="AF430" s="241"/>
      <c r="AG430" s="241"/>
      <c r="AH430" s="241"/>
      <c r="AI430" s="241"/>
      <c r="AJ430" s="241"/>
      <c r="AK430" s="241"/>
      <c r="AL430" s="241"/>
      <c r="AM430" s="241"/>
      <c r="AN430" s="241"/>
      <c r="AO430" s="241"/>
      <c r="AP430" s="241"/>
      <c r="AQ430" s="241"/>
      <c r="AR430" s="241"/>
      <c r="AS430" s="241"/>
      <c r="AT430" s="241"/>
      <c r="AU430" s="241"/>
      <c r="AV430" s="241"/>
      <c r="AW430" s="241"/>
      <c r="AX430" s="241"/>
      <c r="AY430" s="241"/>
      <c r="AZ430" s="241"/>
    </row>
    <row r="431" spans="1:52" s="71" customFormat="1" ht="18" hidden="1" customHeight="1" outlineLevel="2">
      <c r="A431" s="175">
        <v>40</v>
      </c>
      <c r="B431" s="312" t="str">
        <f>(IF('Inputs Whole-Project Water Use'!B431&lt;&gt;"",'Inputs Whole-Project Water Use'!B431,""))</f>
        <v/>
      </c>
      <c r="C431" s="313" t="str">
        <f>IF(AND(F431&lt;&gt;"",'Inputs Whole-Project Water Use'!C431=""),1,IF('Inputs Whole-Project Water Use'!C431&lt;&gt;"",'Inputs Whole-Project Water Use'!C431,""))</f>
        <v/>
      </c>
      <c r="D431" s="397" t="str">
        <f>(IF('Inputs Whole-Project Water Use'!D431&lt;&gt;"",'Inputs Whole-Project Water Use'!D431,""))</f>
        <v/>
      </c>
      <c r="E431" s="398"/>
      <c r="F431" s="316" t="str">
        <f>(IF('Inputs Whole-Project Water Use'!F431&lt;&gt;"",'Inputs Whole-Project Water Use'!F431,""))</f>
        <v/>
      </c>
      <c r="G431" s="316" t="str">
        <f>(IF('Inputs Whole-Project Water Use'!G431&lt;&gt;"",'Inputs Whole-Project Water Use'!G431,""))</f>
        <v/>
      </c>
      <c r="H431" s="289" t="str">
        <f>IF(AND(G431&lt;&gt;"",'Inputs Whole-Project Water Use'!H431=""),0,IF('Inputs Whole-Project Water Use'!H431&lt;&gt;"",'Inputs Whole-Project Water Use'!H431,""))</f>
        <v/>
      </c>
      <c r="I431" s="225" t="str">
        <f t="shared" si="50"/>
        <v/>
      </c>
      <c r="J431" s="225" t="str">
        <f t="shared" si="51"/>
        <v/>
      </c>
      <c r="K431" s="231" t="str">
        <f t="shared" si="52"/>
        <v/>
      </c>
      <c r="L431" s="176"/>
      <c r="M431" s="241"/>
      <c r="N431" s="241"/>
      <c r="O431" s="241"/>
      <c r="P431" s="241"/>
      <c r="Q431" s="241"/>
      <c r="R431" s="241"/>
      <c r="S431" s="241"/>
      <c r="T431" s="241"/>
      <c r="U431" s="241"/>
      <c r="V431" s="241"/>
      <c r="W431" s="241"/>
      <c r="X431" s="241"/>
      <c r="Y431" s="241"/>
      <c r="Z431" s="241"/>
      <c r="AA431" s="241"/>
      <c r="AB431" s="241"/>
      <c r="AC431" s="241"/>
      <c r="AD431" s="241"/>
      <c r="AE431" s="241"/>
      <c r="AF431" s="241"/>
      <c r="AG431" s="241"/>
      <c r="AH431" s="241"/>
      <c r="AI431" s="241"/>
      <c r="AJ431" s="241"/>
      <c r="AK431" s="241"/>
      <c r="AL431" s="241"/>
      <c r="AM431" s="241"/>
      <c r="AN431" s="241"/>
      <c r="AO431" s="241"/>
      <c r="AP431" s="241"/>
      <c r="AQ431" s="241"/>
      <c r="AR431" s="241"/>
      <c r="AS431" s="241"/>
      <c r="AT431" s="241"/>
      <c r="AU431" s="241"/>
      <c r="AV431" s="241"/>
      <c r="AW431" s="241"/>
      <c r="AX431" s="241"/>
      <c r="AY431" s="241"/>
      <c r="AZ431" s="241"/>
    </row>
    <row r="432" spans="1:52" s="71" customFormat="1" ht="18" hidden="1" customHeight="1" outlineLevel="2">
      <c r="A432" s="175">
        <v>41</v>
      </c>
      <c r="B432" s="312" t="str">
        <f>(IF('Inputs Whole-Project Water Use'!B432&lt;&gt;"",'Inputs Whole-Project Water Use'!B432,""))</f>
        <v/>
      </c>
      <c r="C432" s="313" t="str">
        <f>IF(AND(F432&lt;&gt;"",'Inputs Whole-Project Water Use'!C432=""),1,IF('Inputs Whole-Project Water Use'!C432&lt;&gt;"",'Inputs Whole-Project Water Use'!C432,""))</f>
        <v/>
      </c>
      <c r="D432" s="397" t="str">
        <f>(IF('Inputs Whole-Project Water Use'!D432&lt;&gt;"",'Inputs Whole-Project Water Use'!D432,""))</f>
        <v/>
      </c>
      <c r="E432" s="398"/>
      <c r="F432" s="316" t="str">
        <f>(IF('Inputs Whole-Project Water Use'!F432&lt;&gt;"",'Inputs Whole-Project Water Use'!F432,""))</f>
        <v/>
      </c>
      <c r="G432" s="316" t="str">
        <f>(IF('Inputs Whole-Project Water Use'!G432&lt;&gt;"",'Inputs Whole-Project Water Use'!G432,""))</f>
        <v/>
      </c>
      <c r="H432" s="289" t="str">
        <f>IF(AND(G432&lt;&gt;"",'Inputs Whole-Project Water Use'!H432=""),0,IF('Inputs Whole-Project Water Use'!H432&lt;&gt;"",'Inputs Whole-Project Water Use'!H432,""))</f>
        <v/>
      </c>
      <c r="I432" s="225" t="str">
        <f t="shared" si="50"/>
        <v/>
      </c>
      <c r="J432" s="225" t="str">
        <f t="shared" si="51"/>
        <v/>
      </c>
      <c r="K432" s="231" t="str">
        <f t="shared" si="52"/>
        <v/>
      </c>
      <c r="L432" s="176"/>
      <c r="M432" s="241"/>
      <c r="N432" s="241"/>
      <c r="O432" s="241"/>
      <c r="P432" s="241"/>
      <c r="Q432" s="241"/>
      <c r="R432" s="241"/>
      <c r="S432" s="241"/>
      <c r="T432" s="241"/>
      <c r="U432" s="241"/>
      <c r="V432" s="241"/>
      <c r="W432" s="241"/>
      <c r="X432" s="241"/>
      <c r="Y432" s="241"/>
      <c r="Z432" s="241"/>
      <c r="AA432" s="241"/>
      <c r="AB432" s="241"/>
      <c r="AC432" s="241"/>
      <c r="AD432" s="241"/>
      <c r="AE432" s="241"/>
      <c r="AF432" s="241"/>
      <c r="AG432" s="241"/>
      <c r="AH432" s="241"/>
      <c r="AI432" s="241"/>
      <c r="AJ432" s="241"/>
      <c r="AK432" s="241"/>
      <c r="AL432" s="241"/>
      <c r="AM432" s="241"/>
      <c r="AN432" s="241"/>
      <c r="AO432" s="241"/>
      <c r="AP432" s="241"/>
      <c r="AQ432" s="241"/>
      <c r="AR432" s="241"/>
      <c r="AS432" s="241"/>
      <c r="AT432" s="241"/>
      <c r="AU432" s="241"/>
      <c r="AV432" s="241"/>
      <c r="AW432" s="241"/>
      <c r="AX432" s="241"/>
      <c r="AY432" s="241"/>
      <c r="AZ432" s="241"/>
    </row>
    <row r="433" spans="1:52" s="71" customFormat="1" ht="18" hidden="1" customHeight="1" outlineLevel="2">
      <c r="A433" s="175">
        <v>42</v>
      </c>
      <c r="B433" s="312" t="str">
        <f>(IF('Inputs Whole-Project Water Use'!B433&lt;&gt;"",'Inputs Whole-Project Water Use'!B433,""))</f>
        <v/>
      </c>
      <c r="C433" s="313" t="str">
        <f>IF(AND(F433&lt;&gt;"",'Inputs Whole-Project Water Use'!C433=""),1,IF('Inputs Whole-Project Water Use'!C433&lt;&gt;"",'Inputs Whole-Project Water Use'!C433,""))</f>
        <v/>
      </c>
      <c r="D433" s="397" t="str">
        <f>(IF('Inputs Whole-Project Water Use'!D433&lt;&gt;"",'Inputs Whole-Project Water Use'!D433,""))</f>
        <v/>
      </c>
      <c r="E433" s="398"/>
      <c r="F433" s="316" t="str">
        <f>(IF('Inputs Whole-Project Water Use'!F433&lt;&gt;"",'Inputs Whole-Project Water Use'!F433,""))</f>
        <v/>
      </c>
      <c r="G433" s="316" t="str">
        <f>(IF('Inputs Whole-Project Water Use'!G433&lt;&gt;"",'Inputs Whole-Project Water Use'!G433,""))</f>
        <v/>
      </c>
      <c r="H433" s="289" t="str">
        <f>IF(AND(G433&lt;&gt;"",'Inputs Whole-Project Water Use'!H433=""),0,IF('Inputs Whole-Project Water Use'!H433&lt;&gt;"",'Inputs Whole-Project Water Use'!H433,""))</f>
        <v/>
      </c>
      <c r="I433" s="225" t="str">
        <f t="shared" si="50"/>
        <v/>
      </c>
      <c r="J433" s="225" t="str">
        <f t="shared" si="51"/>
        <v/>
      </c>
      <c r="K433" s="231" t="str">
        <f t="shared" si="52"/>
        <v/>
      </c>
      <c r="L433" s="176"/>
      <c r="M433" s="241"/>
      <c r="N433" s="241"/>
      <c r="O433" s="241"/>
      <c r="P433" s="241"/>
      <c r="Q433" s="241"/>
      <c r="R433" s="241"/>
      <c r="S433" s="241"/>
      <c r="T433" s="241"/>
      <c r="U433" s="241"/>
      <c r="V433" s="241"/>
      <c r="W433" s="241"/>
      <c r="X433" s="241"/>
      <c r="Y433" s="241"/>
      <c r="Z433" s="241"/>
      <c r="AA433" s="241"/>
      <c r="AB433" s="241"/>
      <c r="AC433" s="241"/>
      <c r="AD433" s="241"/>
      <c r="AE433" s="241"/>
      <c r="AF433" s="241"/>
      <c r="AG433" s="241"/>
      <c r="AH433" s="241"/>
      <c r="AI433" s="241"/>
      <c r="AJ433" s="241"/>
      <c r="AK433" s="241"/>
      <c r="AL433" s="241"/>
      <c r="AM433" s="241"/>
      <c r="AN433" s="241"/>
      <c r="AO433" s="241"/>
      <c r="AP433" s="241"/>
      <c r="AQ433" s="241"/>
      <c r="AR433" s="241"/>
      <c r="AS433" s="241"/>
      <c r="AT433" s="241"/>
      <c r="AU433" s="241"/>
      <c r="AV433" s="241"/>
      <c r="AW433" s="241"/>
      <c r="AX433" s="241"/>
      <c r="AY433" s="241"/>
      <c r="AZ433" s="241"/>
    </row>
    <row r="434" spans="1:52" s="71" customFormat="1" ht="18" hidden="1" customHeight="1" outlineLevel="2">
      <c r="A434" s="175">
        <v>43</v>
      </c>
      <c r="B434" s="312" t="str">
        <f>(IF('Inputs Whole-Project Water Use'!B434&lt;&gt;"",'Inputs Whole-Project Water Use'!B434,""))</f>
        <v/>
      </c>
      <c r="C434" s="313" t="str">
        <f>IF(AND(F434&lt;&gt;"",'Inputs Whole-Project Water Use'!C434=""),1,IF('Inputs Whole-Project Water Use'!C434&lt;&gt;"",'Inputs Whole-Project Water Use'!C434,""))</f>
        <v/>
      </c>
      <c r="D434" s="397" t="str">
        <f>(IF('Inputs Whole-Project Water Use'!D434&lt;&gt;"",'Inputs Whole-Project Water Use'!D434,""))</f>
        <v/>
      </c>
      <c r="E434" s="398"/>
      <c r="F434" s="316" t="str">
        <f>(IF('Inputs Whole-Project Water Use'!F434&lt;&gt;"",'Inputs Whole-Project Water Use'!F434,""))</f>
        <v/>
      </c>
      <c r="G434" s="316" t="str">
        <f>(IF('Inputs Whole-Project Water Use'!G434&lt;&gt;"",'Inputs Whole-Project Water Use'!G434,""))</f>
        <v/>
      </c>
      <c r="H434" s="289" t="str">
        <f>IF(AND(G434&lt;&gt;"",'Inputs Whole-Project Water Use'!H434=""),0,IF('Inputs Whole-Project Water Use'!H434&lt;&gt;"",'Inputs Whole-Project Water Use'!H434,""))</f>
        <v/>
      </c>
      <c r="I434" s="225" t="str">
        <f t="shared" si="50"/>
        <v/>
      </c>
      <c r="J434" s="225" t="str">
        <f t="shared" si="51"/>
        <v/>
      </c>
      <c r="K434" s="231" t="str">
        <f t="shared" si="52"/>
        <v/>
      </c>
      <c r="L434" s="176"/>
      <c r="M434" s="241"/>
      <c r="N434" s="241"/>
      <c r="O434" s="241"/>
      <c r="P434" s="241"/>
      <c r="Q434" s="241"/>
      <c r="R434" s="241"/>
      <c r="S434" s="241"/>
      <c r="T434" s="241"/>
      <c r="U434" s="241"/>
      <c r="V434" s="241"/>
      <c r="W434" s="241"/>
      <c r="X434" s="241"/>
      <c r="Y434" s="241"/>
      <c r="Z434" s="241"/>
      <c r="AA434" s="241"/>
      <c r="AB434" s="241"/>
      <c r="AC434" s="241"/>
      <c r="AD434" s="241"/>
      <c r="AE434" s="241"/>
      <c r="AF434" s="241"/>
      <c r="AG434" s="241"/>
      <c r="AH434" s="241"/>
      <c r="AI434" s="241"/>
      <c r="AJ434" s="241"/>
      <c r="AK434" s="241"/>
      <c r="AL434" s="241"/>
      <c r="AM434" s="241"/>
      <c r="AN434" s="241"/>
      <c r="AO434" s="241"/>
      <c r="AP434" s="241"/>
      <c r="AQ434" s="241"/>
      <c r="AR434" s="241"/>
      <c r="AS434" s="241"/>
      <c r="AT434" s="241"/>
      <c r="AU434" s="241"/>
      <c r="AV434" s="241"/>
      <c r="AW434" s="241"/>
      <c r="AX434" s="241"/>
      <c r="AY434" s="241"/>
      <c r="AZ434" s="241"/>
    </row>
    <row r="435" spans="1:52" s="71" customFormat="1" ht="18" hidden="1" customHeight="1" outlineLevel="2">
      <c r="A435" s="175">
        <v>44</v>
      </c>
      <c r="B435" s="312" t="str">
        <f>(IF('Inputs Whole-Project Water Use'!B435&lt;&gt;"",'Inputs Whole-Project Water Use'!B435,""))</f>
        <v/>
      </c>
      <c r="C435" s="313" t="str">
        <f>IF(AND(F435&lt;&gt;"",'Inputs Whole-Project Water Use'!C435=""),1,IF('Inputs Whole-Project Water Use'!C435&lt;&gt;"",'Inputs Whole-Project Water Use'!C435,""))</f>
        <v/>
      </c>
      <c r="D435" s="397" t="str">
        <f>(IF('Inputs Whole-Project Water Use'!D435&lt;&gt;"",'Inputs Whole-Project Water Use'!D435,""))</f>
        <v/>
      </c>
      <c r="E435" s="398"/>
      <c r="F435" s="316" t="str">
        <f>(IF('Inputs Whole-Project Water Use'!F435&lt;&gt;"",'Inputs Whole-Project Water Use'!F435,""))</f>
        <v/>
      </c>
      <c r="G435" s="316" t="str">
        <f>(IF('Inputs Whole-Project Water Use'!G435&lt;&gt;"",'Inputs Whole-Project Water Use'!G435,""))</f>
        <v/>
      </c>
      <c r="H435" s="289" t="str">
        <f>IF(AND(G435&lt;&gt;"",'Inputs Whole-Project Water Use'!H435=""),0,IF('Inputs Whole-Project Water Use'!H435&lt;&gt;"",'Inputs Whole-Project Water Use'!H435,""))</f>
        <v/>
      </c>
      <c r="I435" s="225" t="str">
        <f t="shared" si="50"/>
        <v/>
      </c>
      <c r="J435" s="225" t="str">
        <f t="shared" si="51"/>
        <v/>
      </c>
      <c r="K435" s="231" t="str">
        <f t="shared" si="52"/>
        <v/>
      </c>
      <c r="L435" s="176"/>
      <c r="M435" s="241"/>
      <c r="N435" s="241"/>
      <c r="O435" s="241"/>
      <c r="P435" s="241"/>
      <c r="Q435" s="241"/>
      <c r="R435" s="241"/>
      <c r="S435" s="241"/>
      <c r="T435" s="241"/>
      <c r="U435" s="241"/>
      <c r="V435" s="241"/>
      <c r="W435" s="241"/>
      <c r="X435" s="241"/>
      <c r="Y435" s="241"/>
      <c r="Z435" s="241"/>
      <c r="AA435" s="241"/>
      <c r="AB435" s="241"/>
      <c r="AC435" s="241"/>
      <c r="AD435" s="241"/>
      <c r="AE435" s="241"/>
      <c r="AF435" s="241"/>
      <c r="AG435" s="241"/>
      <c r="AH435" s="241"/>
      <c r="AI435" s="241"/>
      <c r="AJ435" s="241"/>
      <c r="AK435" s="241"/>
      <c r="AL435" s="241"/>
      <c r="AM435" s="241"/>
      <c r="AN435" s="241"/>
      <c r="AO435" s="241"/>
      <c r="AP435" s="241"/>
      <c r="AQ435" s="241"/>
      <c r="AR435" s="241"/>
      <c r="AS435" s="241"/>
      <c r="AT435" s="241"/>
      <c r="AU435" s="241"/>
      <c r="AV435" s="241"/>
      <c r="AW435" s="241"/>
      <c r="AX435" s="241"/>
      <c r="AY435" s="241"/>
      <c r="AZ435" s="241"/>
    </row>
    <row r="436" spans="1:52" s="71" customFormat="1" ht="18" hidden="1" customHeight="1" outlineLevel="2">
      <c r="A436" s="175">
        <v>45</v>
      </c>
      <c r="B436" s="312" t="str">
        <f>(IF('Inputs Whole-Project Water Use'!B436&lt;&gt;"",'Inputs Whole-Project Water Use'!B436,""))</f>
        <v/>
      </c>
      <c r="C436" s="313" t="str">
        <f>IF(AND(F436&lt;&gt;"",'Inputs Whole-Project Water Use'!C436=""),1,IF('Inputs Whole-Project Water Use'!C436&lt;&gt;"",'Inputs Whole-Project Water Use'!C436,""))</f>
        <v/>
      </c>
      <c r="D436" s="397" t="str">
        <f>(IF('Inputs Whole-Project Water Use'!D436&lt;&gt;"",'Inputs Whole-Project Water Use'!D436,""))</f>
        <v/>
      </c>
      <c r="E436" s="398"/>
      <c r="F436" s="316" t="str">
        <f>(IF('Inputs Whole-Project Water Use'!F436&lt;&gt;"",'Inputs Whole-Project Water Use'!F436,""))</f>
        <v/>
      </c>
      <c r="G436" s="316" t="str">
        <f>(IF('Inputs Whole-Project Water Use'!G436&lt;&gt;"",'Inputs Whole-Project Water Use'!G436,""))</f>
        <v/>
      </c>
      <c r="H436" s="289" t="str">
        <f>IF(AND(G436&lt;&gt;"",'Inputs Whole-Project Water Use'!H436=""),0,IF('Inputs Whole-Project Water Use'!H436&lt;&gt;"",'Inputs Whole-Project Water Use'!H436,""))</f>
        <v/>
      </c>
      <c r="I436" s="225" t="str">
        <f t="shared" si="50"/>
        <v/>
      </c>
      <c r="J436" s="225" t="str">
        <f t="shared" si="51"/>
        <v/>
      </c>
      <c r="K436" s="231" t="str">
        <f t="shared" si="52"/>
        <v/>
      </c>
      <c r="L436" s="176"/>
      <c r="M436" s="241"/>
      <c r="N436" s="241"/>
      <c r="O436" s="241"/>
      <c r="P436" s="241"/>
      <c r="Q436" s="241"/>
      <c r="R436" s="241"/>
      <c r="S436" s="241"/>
      <c r="T436" s="241"/>
      <c r="U436" s="241"/>
      <c r="V436" s="241"/>
      <c r="W436" s="241"/>
      <c r="X436" s="241"/>
      <c r="Y436" s="241"/>
      <c r="Z436" s="241"/>
      <c r="AA436" s="241"/>
      <c r="AB436" s="241"/>
      <c r="AC436" s="241"/>
      <c r="AD436" s="241"/>
      <c r="AE436" s="241"/>
      <c r="AF436" s="241"/>
      <c r="AG436" s="241"/>
      <c r="AH436" s="241"/>
      <c r="AI436" s="241"/>
      <c r="AJ436" s="241"/>
      <c r="AK436" s="241"/>
      <c r="AL436" s="241"/>
      <c r="AM436" s="241"/>
      <c r="AN436" s="241"/>
      <c r="AO436" s="241"/>
      <c r="AP436" s="241"/>
      <c r="AQ436" s="241"/>
      <c r="AR436" s="241"/>
      <c r="AS436" s="241"/>
      <c r="AT436" s="241"/>
      <c r="AU436" s="241"/>
      <c r="AV436" s="241"/>
      <c r="AW436" s="241"/>
      <c r="AX436" s="241"/>
      <c r="AY436" s="241"/>
      <c r="AZ436" s="241"/>
    </row>
    <row r="437" spans="1:52" s="71" customFormat="1" ht="18" hidden="1" customHeight="1" outlineLevel="2">
      <c r="A437" s="175">
        <v>46</v>
      </c>
      <c r="B437" s="312" t="str">
        <f>(IF('Inputs Whole-Project Water Use'!B437&lt;&gt;"",'Inputs Whole-Project Water Use'!B437,""))</f>
        <v/>
      </c>
      <c r="C437" s="313" t="str">
        <f>IF(AND(F437&lt;&gt;"",'Inputs Whole-Project Water Use'!C437=""),1,IF('Inputs Whole-Project Water Use'!C437&lt;&gt;"",'Inputs Whole-Project Water Use'!C437,""))</f>
        <v/>
      </c>
      <c r="D437" s="397" t="str">
        <f>(IF('Inputs Whole-Project Water Use'!D437&lt;&gt;"",'Inputs Whole-Project Water Use'!D437,""))</f>
        <v/>
      </c>
      <c r="E437" s="398"/>
      <c r="F437" s="316" t="str">
        <f>(IF('Inputs Whole-Project Water Use'!F437&lt;&gt;"",'Inputs Whole-Project Water Use'!F437,""))</f>
        <v/>
      </c>
      <c r="G437" s="316" t="str">
        <f>(IF('Inputs Whole-Project Water Use'!G437&lt;&gt;"",'Inputs Whole-Project Water Use'!G437,""))</f>
        <v/>
      </c>
      <c r="H437" s="289" t="str">
        <f>IF(AND(G437&lt;&gt;"",'Inputs Whole-Project Water Use'!H437=""),0,IF('Inputs Whole-Project Water Use'!H437&lt;&gt;"",'Inputs Whole-Project Water Use'!H437,""))</f>
        <v/>
      </c>
      <c r="I437" s="225" t="str">
        <f t="shared" si="50"/>
        <v/>
      </c>
      <c r="J437" s="225" t="str">
        <f t="shared" si="51"/>
        <v/>
      </c>
      <c r="K437" s="231" t="str">
        <f t="shared" si="52"/>
        <v/>
      </c>
      <c r="L437" s="176"/>
      <c r="M437" s="241"/>
      <c r="N437" s="241"/>
      <c r="O437" s="241"/>
      <c r="P437" s="241"/>
      <c r="Q437" s="241"/>
      <c r="R437" s="241"/>
      <c r="S437" s="241"/>
      <c r="T437" s="241"/>
      <c r="U437" s="241"/>
      <c r="V437" s="241"/>
      <c r="W437" s="241"/>
      <c r="X437" s="241"/>
      <c r="Y437" s="241"/>
      <c r="Z437" s="241"/>
      <c r="AA437" s="241"/>
      <c r="AB437" s="241"/>
      <c r="AC437" s="241"/>
      <c r="AD437" s="241"/>
      <c r="AE437" s="241"/>
      <c r="AF437" s="241"/>
      <c r="AG437" s="241"/>
      <c r="AH437" s="241"/>
      <c r="AI437" s="241"/>
      <c r="AJ437" s="241"/>
      <c r="AK437" s="241"/>
      <c r="AL437" s="241"/>
      <c r="AM437" s="241"/>
      <c r="AN437" s="241"/>
      <c r="AO437" s="241"/>
      <c r="AP437" s="241"/>
      <c r="AQ437" s="241"/>
      <c r="AR437" s="241"/>
      <c r="AS437" s="241"/>
      <c r="AT437" s="241"/>
      <c r="AU437" s="241"/>
      <c r="AV437" s="241"/>
      <c r="AW437" s="241"/>
      <c r="AX437" s="241"/>
      <c r="AY437" s="241"/>
      <c r="AZ437" s="241"/>
    </row>
    <row r="438" spans="1:52" s="71" customFormat="1" ht="18" hidden="1" customHeight="1" outlineLevel="2">
      <c r="A438" s="175">
        <v>47</v>
      </c>
      <c r="B438" s="312" t="str">
        <f>(IF('Inputs Whole-Project Water Use'!B438&lt;&gt;"",'Inputs Whole-Project Water Use'!B438,""))</f>
        <v/>
      </c>
      <c r="C438" s="313" t="str">
        <f>IF(AND(F438&lt;&gt;"",'Inputs Whole-Project Water Use'!C438=""),1,IF('Inputs Whole-Project Water Use'!C438&lt;&gt;"",'Inputs Whole-Project Water Use'!C438,""))</f>
        <v/>
      </c>
      <c r="D438" s="397" t="str">
        <f>(IF('Inputs Whole-Project Water Use'!D438&lt;&gt;"",'Inputs Whole-Project Water Use'!D438,""))</f>
        <v/>
      </c>
      <c r="E438" s="398"/>
      <c r="F438" s="316" t="str">
        <f>(IF('Inputs Whole-Project Water Use'!F438&lt;&gt;"",'Inputs Whole-Project Water Use'!F438,""))</f>
        <v/>
      </c>
      <c r="G438" s="316" t="str">
        <f>(IF('Inputs Whole-Project Water Use'!G438&lt;&gt;"",'Inputs Whole-Project Water Use'!G438,""))</f>
        <v/>
      </c>
      <c r="H438" s="289" t="str">
        <f>IF(AND(G438&lt;&gt;"",'Inputs Whole-Project Water Use'!H438=""),0,IF('Inputs Whole-Project Water Use'!H438&lt;&gt;"",'Inputs Whole-Project Water Use'!H438,""))</f>
        <v/>
      </c>
      <c r="I438" s="225" t="str">
        <f t="shared" si="50"/>
        <v/>
      </c>
      <c r="J438" s="225" t="str">
        <f t="shared" si="51"/>
        <v/>
      </c>
      <c r="K438" s="231" t="str">
        <f t="shared" si="52"/>
        <v/>
      </c>
      <c r="L438" s="176"/>
      <c r="M438" s="241"/>
      <c r="N438" s="241"/>
      <c r="O438" s="241"/>
      <c r="P438" s="241"/>
      <c r="Q438" s="241"/>
      <c r="R438" s="241"/>
      <c r="S438" s="241"/>
      <c r="T438" s="241"/>
      <c r="U438" s="241"/>
      <c r="V438" s="241"/>
      <c r="W438" s="241"/>
      <c r="X438" s="241"/>
      <c r="Y438" s="241"/>
      <c r="Z438" s="241"/>
      <c r="AA438" s="241"/>
      <c r="AB438" s="241"/>
      <c r="AC438" s="241"/>
      <c r="AD438" s="241"/>
      <c r="AE438" s="241"/>
      <c r="AF438" s="241"/>
      <c r="AG438" s="241"/>
      <c r="AH438" s="241"/>
      <c r="AI438" s="241"/>
      <c r="AJ438" s="241"/>
      <c r="AK438" s="241"/>
      <c r="AL438" s="241"/>
      <c r="AM438" s="241"/>
      <c r="AN438" s="241"/>
      <c r="AO438" s="241"/>
      <c r="AP438" s="241"/>
      <c r="AQ438" s="241"/>
      <c r="AR438" s="241"/>
      <c r="AS438" s="241"/>
      <c r="AT438" s="241"/>
      <c r="AU438" s="241"/>
      <c r="AV438" s="241"/>
      <c r="AW438" s="241"/>
      <c r="AX438" s="241"/>
      <c r="AY438" s="241"/>
      <c r="AZ438" s="241"/>
    </row>
    <row r="439" spans="1:52" s="71" customFormat="1" ht="18" hidden="1" customHeight="1" outlineLevel="2">
      <c r="A439" s="175">
        <v>48</v>
      </c>
      <c r="B439" s="312" t="str">
        <f>(IF('Inputs Whole-Project Water Use'!B439&lt;&gt;"",'Inputs Whole-Project Water Use'!B439,""))</f>
        <v/>
      </c>
      <c r="C439" s="313" t="str">
        <f>IF(AND(F439&lt;&gt;"",'Inputs Whole-Project Water Use'!C439=""),1,IF('Inputs Whole-Project Water Use'!C439&lt;&gt;"",'Inputs Whole-Project Water Use'!C439,""))</f>
        <v/>
      </c>
      <c r="D439" s="397" t="str">
        <f>(IF('Inputs Whole-Project Water Use'!D439&lt;&gt;"",'Inputs Whole-Project Water Use'!D439,""))</f>
        <v/>
      </c>
      <c r="E439" s="398"/>
      <c r="F439" s="316" t="str">
        <f>(IF('Inputs Whole-Project Water Use'!F439&lt;&gt;"",'Inputs Whole-Project Water Use'!F439,""))</f>
        <v/>
      </c>
      <c r="G439" s="316" t="str">
        <f>(IF('Inputs Whole-Project Water Use'!G439&lt;&gt;"",'Inputs Whole-Project Water Use'!G439,""))</f>
        <v/>
      </c>
      <c r="H439" s="289" t="str">
        <f>IF(AND(G439&lt;&gt;"",'Inputs Whole-Project Water Use'!H439=""),0,IF('Inputs Whole-Project Water Use'!H439&lt;&gt;"",'Inputs Whole-Project Water Use'!H439,""))</f>
        <v/>
      </c>
      <c r="I439" s="225" t="str">
        <f t="shared" si="50"/>
        <v/>
      </c>
      <c r="J439" s="225" t="str">
        <f t="shared" si="51"/>
        <v/>
      </c>
      <c r="K439" s="231" t="str">
        <f t="shared" si="52"/>
        <v/>
      </c>
      <c r="L439" s="176"/>
      <c r="M439" s="241"/>
      <c r="N439" s="241"/>
      <c r="O439" s="241"/>
      <c r="P439" s="241"/>
      <c r="Q439" s="241"/>
      <c r="R439" s="241"/>
      <c r="S439" s="241"/>
      <c r="T439" s="241"/>
      <c r="U439" s="241"/>
      <c r="V439" s="241"/>
      <c r="W439" s="241"/>
      <c r="X439" s="241"/>
      <c r="Y439" s="241"/>
      <c r="Z439" s="241"/>
      <c r="AA439" s="241"/>
      <c r="AB439" s="241"/>
      <c r="AC439" s="241"/>
      <c r="AD439" s="241"/>
      <c r="AE439" s="241"/>
      <c r="AF439" s="241"/>
      <c r="AG439" s="241"/>
      <c r="AH439" s="241"/>
      <c r="AI439" s="241"/>
      <c r="AJ439" s="241"/>
      <c r="AK439" s="241"/>
      <c r="AL439" s="241"/>
      <c r="AM439" s="241"/>
      <c r="AN439" s="241"/>
      <c r="AO439" s="241"/>
      <c r="AP439" s="241"/>
      <c r="AQ439" s="241"/>
      <c r="AR439" s="241"/>
      <c r="AS439" s="241"/>
      <c r="AT439" s="241"/>
      <c r="AU439" s="241"/>
      <c r="AV439" s="241"/>
      <c r="AW439" s="241"/>
      <c r="AX439" s="241"/>
      <c r="AY439" s="241"/>
      <c r="AZ439" s="241"/>
    </row>
    <row r="440" spans="1:52" s="71" customFormat="1" ht="18" hidden="1" customHeight="1" outlineLevel="2">
      <c r="A440" s="175">
        <v>49</v>
      </c>
      <c r="B440" s="312" t="str">
        <f>(IF('Inputs Whole-Project Water Use'!B440&lt;&gt;"",'Inputs Whole-Project Water Use'!B440,""))</f>
        <v/>
      </c>
      <c r="C440" s="313" t="str">
        <f>IF(AND(F440&lt;&gt;"",'Inputs Whole-Project Water Use'!C440=""),1,IF('Inputs Whole-Project Water Use'!C440&lt;&gt;"",'Inputs Whole-Project Water Use'!C440,""))</f>
        <v/>
      </c>
      <c r="D440" s="397" t="str">
        <f>(IF('Inputs Whole-Project Water Use'!D440&lt;&gt;"",'Inputs Whole-Project Water Use'!D440,""))</f>
        <v/>
      </c>
      <c r="E440" s="398"/>
      <c r="F440" s="316" t="str">
        <f>(IF('Inputs Whole-Project Water Use'!F440&lt;&gt;"",'Inputs Whole-Project Water Use'!F440,""))</f>
        <v/>
      </c>
      <c r="G440" s="316" t="str">
        <f>(IF('Inputs Whole-Project Water Use'!G440&lt;&gt;"",'Inputs Whole-Project Water Use'!G440,""))</f>
        <v/>
      </c>
      <c r="H440" s="289" t="str">
        <f>IF(AND(G440&lt;&gt;"",'Inputs Whole-Project Water Use'!H440=""),0,IF('Inputs Whole-Project Water Use'!H440&lt;&gt;"",'Inputs Whole-Project Water Use'!H440,""))</f>
        <v/>
      </c>
      <c r="I440" s="225" t="str">
        <f t="shared" si="50"/>
        <v/>
      </c>
      <c r="J440" s="225" t="str">
        <f t="shared" si="51"/>
        <v/>
      </c>
      <c r="K440" s="231" t="str">
        <f t="shared" si="52"/>
        <v/>
      </c>
      <c r="L440" s="176"/>
      <c r="M440" s="241"/>
      <c r="N440" s="241"/>
      <c r="O440" s="241"/>
      <c r="P440" s="241"/>
      <c r="Q440" s="241"/>
      <c r="R440" s="241"/>
      <c r="S440" s="241"/>
      <c r="T440" s="241"/>
      <c r="U440" s="241"/>
      <c r="V440" s="241"/>
      <c r="W440" s="241"/>
      <c r="X440" s="241"/>
      <c r="Y440" s="241"/>
      <c r="Z440" s="241"/>
      <c r="AA440" s="241"/>
      <c r="AB440" s="241"/>
      <c r="AC440" s="241"/>
      <c r="AD440" s="241"/>
      <c r="AE440" s="241"/>
      <c r="AF440" s="241"/>
      <c r="AG440" s="241"/>
      <c r="AH440" s="241"/>
      <c r="AI440" s="241"/>
      <c r="AJ440" s="241"/>
      <c r="AK440" s="241"/>
      <c r="AL440" s="241"/>
      <c r="AM440" s="241"/>
      <c r="AN440" s="241"/>
      <c r="AO440" s="241"/>
      <c r="AP440" s="241"/>
      <c r="AQ440" s="241"/>
      <c r="AR440" s="241"/>
      <c r="AS440" s="241"/>
      <c r="AT440" s="241"/>
      <c r="AU440" s="241"/>
      <c r="AV440" s="241"/>
      <c r="AW440" s="241"/>
      <c r="AX440" s="241"/>
      <c r="AY440" s="241"/>
      <c r="AZ440" s="241"/>
    </row>
    <row r="441" spans="1:52" s="71" customFormat="1" ht="18" hidden="1" customHeight="1" outlineLevel="2">
      <c r="A441" s="175">
        <v>50</v>
      </c>
      <c r="B441" s="312" t="str">
        <f>(IF('Inputs Whole-Project Water Use'!B441&lt;&gt;"",'Inputs Whole-Project Water Use'!B441,""))</f>
        <v/>
      </c>
      <c r="C441" s="313" t="str">
        <f>IF(AND(F441&lt;&gt;"",'Inputs Whole-Project Water Use'!C441=""),1,IF('Inputs Whole-Project Water Use'!C441&lt;&gt;"",'Inputs Whole-Project Water Use'!C441,""))</f>
        <v/>
      </c>
      <c r="D441" s="397" t="str">
        <f>(IF('Inputs Whole-Project Water Use'!D441&lt;&gt;"",'Inputs Whole-Project Water Use'!D441,""))</f>
        <v/>
      </c>
      <c r="E441" s="398"/>
      <c r="F441" s="316" t="str">
        <f>(IF('Inputs Whole-Project Water Use'!F441&lt;&gt;"",'Inputs Whole-Project Water Use'!F441,""))</f>
        <v/>
      </c>
      <c r="G441" s="316" t="str">
        <f>(IF('Inputs Whole-Project Water Use'!G441&lt;&gt;"",'Inputs Whole-Project Water Use'!G441,""))</f>
        <v/>
      </c>
      <c r="H441" s="289" t="str">
        <f>IF(AND(G441&lt;&gt;"",'Inputs Whole-Project Water Use'!H441=""),0,IF('Inputs Whole-Project Water Use'!H441&lt;&gt;"",'Inputs Whole-Project Water Use'!H441,""))</f>
        <v/>
      </c>
      <c r="I441" s="225" t="str">
        <f t="shared" si="50"/>
        <v/>
      </c>
      <c r="J441" s="225" t="str">
        <f t="shared" si="51"/>
        <v/>
      </c>
      <c r="K441" s="231" t="str">
        <f t="shared" si="52"/>
        <v/>
      </c>
      <c r="L441" s="176"/>
      <c r="M441" s="241"/>
      <c r="N441" s="241"/>
      <c r="O441" s="241"/>
      <c r="P441" s="241"/>
      <c r="Q441" s="241"/>
      <c r="R441" s="241"/>
      <c r="S441" s="241"/>
      <c r="T441" s="241"/>
      <c r="U441" s="241"/>
      <c r="V441" s="241"/>
      <c r="W441" s="241"/>
      <c r="X441" s="241"/>
      <c r="Y441" s="241"/>
      <c r="Z441" s="241"/>
      <c r="AA441" s="241"/>
      <c r="AB441" s="241"/>
      <c r="AC441" s="241"/>
      <c r="AD441" s="241"/>
      <c r="AE441" s="241"/>
      <c r="AF441" s="241"/>
      <c r="AG441" s="241"/>
      <c r="AH441" s="241"/>
      <c r="AI441" s="241"/>
      <c r="AJ441" s="241"/>
      <c r="AK441" s="241"/>
      <c r="AL441" s="241"/>
      <c r="AM441" s="241"/>
      <c r="AN441" s="241"/>
      <c r="AO441" s="241"/>
      <c r="AP441" s="241"/>
      <c r="AQ441" s="241"/>
      <c r="AR441" s="241"/>
      <c r="AS441" s="241"/>
      <c r="AT441" s="241"/>
      <c r="AU441" s="241"/>
      <c r="AV441" s="241"/>
      <c r="AW441" s="241"/>
      <c r="AX441" s="241"/>
      <c r="AY441" s="241"/>
      <c r="AZ441" s="241"/>
    </row>
    <row r="442" spans="1:52" s="71" customFormat="1" ht="18" hidden="1" customHeight="1" outlineLevel="1" collapsed="1">
      <c r="A442" s="175">
        <v>51</v>
      </c>
      <c r="B442" s="312" t="str">
        <f>(IF('Inputs Whole-Project Water Use'!B442&lt;&gt;"",'Inputs Whole-Project Water Use'!B442,""))</f>
        <v/>
      </c>
      <c r="C442" s="313" t="str">
        <f>IF(AND(F442&lt;&gt;"",'Inputs Whole-Project Water Use'!C442=""),1,IF('Inputs Whole-Project Water Use'!C442&lt;&gt;"",'Inputs Whole-Project Water Use'!C442,""))</f>
        <v/>
      </c>
      <c r="D442" s="397" t="str">
        <f>(IF('Inputs Whole-Project Water Use'!D442&lt;&gt;"",'Inputs Whole-Project Water Use'!D442,""))</f>
        <v/>
      </c>
      <c r="E442" s="398"/>
      <c r="F442" s="316" t="str">
        <f>(IF('Inputs Whole-Project Water Use'!F442&lt;&gt;"",'Inputs Whole-Project Water Use'!F442,""))</f>
        <v/>
      </c>
      <c r="G442" s="316" t="str">
        <f>(IF('Inputs Whole-Project Water Use'!G442&lt;&gt;"",'Inputs Whole-Project Water Use'!G442,""))</f>
        <v/>
      </c>
      <c r="H442" s="289" t="str">
        <f>IF(AND(G442&lt;&gt;"",'Inputs Whole-Project Water Use'!H442=""),0,IF('Inputs Whole-Project Water Use'!H442&lt;&gt;"",'Inputs Whole-Project Water Use'!H442,""))</f>
        <v/>
      </c>
      <c r="I442" s="225" t="str">
        <f t="shared" si="50"/>
        <v/>
      </c>
      <c r="J442" s="225" t="str">
        <f t="shared" si="51"/>
        <v/>
      </c>
      <c r="K442" s="231" t="str">
        <f t="shared" si="52"/>
        <v/>
      </c>
      <c r="L442" s="176" t="s">
        <v>165</v>
      </c>
      <c r="M442" s="241"/>
      <c r="N442" s="241"/>
      <c r="O442" s="241"/>
      <c r="P442" s="241"/>
      <c r="Q442" s="241"/>
      <c r="R442" s="241"/>
      <c r="S442" s="241"/>
      <c r="T442" s="241"/>
      <c r="U442" s="241"/>
      <c r="V442" s="241"/>
      <c r="W442" s="241"/>
      <c r="X442" s="241"/>
      <c r="Y442" s="241"/>
      <c r="Z442" s="241"/>
      <c r="AA442" s="241"/>
      <c r="AB442" s="241"/>
      <c r="AC442" s="241"/>
      <c r="AD442" s="241"/>
      <c r="AE442" s="241"/>
      <c r="AF442" s="241"/>
      <c r="AG442" s="241"/>
      <c r="AH442" s="241"/>
      <c r="AI442" s="241"/>
      <c r="AJ442" s="241"/>
      <c r="AK442" s="241"/>
      <c r="AL442" s="241"/>
      <c r="AM442" s="241"/>
      <c r="AN442" s="241"/>
      <c r="AO442" s="241"/>
      <c r="AP442" s="241"/>
      <c r="AQ442" s="241"/>
      <c r="AR442" s="241"/>
      <c r="AS442" s="241"/>
      <c r="AT442" s="241"/>
      <c r="AU442" s="241"/>
      <c r="AV442" s="241"/>
      <c r="AW442" s="241"/>
      <c r="AX442" s="241"/>
      <c r="AY442" s="241"/>
      <c r="AZ442" s="241"/>
    </row>
    <row r="443" spans="1:52" s="71" customFormat="1" ht="18" hidden="1" customHeight="1" outlineLevel="2">
      <c r="A443" s="175">
        <v>52</v>
      </c>
      <c r="B443" s="312" t="str">
        <f>(IF('Inputs Whole-Project Water Use'!B443&lt;&gt;"",'Inputs Whole-Project Water Use'!B443,""))</f>
        <v/>
      </c>
      <c r="C443" s="313" t="str">
        <f>IF(AND(F443&lt;&gt;"",'Inputs Whole-Project Water Use'!C443=""),1,IF('Inputs Whole-Project Water Use'!C443&lt;&gt;"",'Inputs Whole-Project Water Use'!C443,""))</f>
        <v/>
      </c>
      <c r="D443" s="397" t="str">
        <f>(IF('Inputs Whole-Project Water Use'!D443&lt;&gt;"",'Inputs Whole-Project Water Use'!D443,""))</f>
        <v/>
      </c>
      <c r="E443" s="398"/>
      <c r="F443" s="316" t="str">
        <f>(IF('Inputs Whole-Project Water Use'!F443&lt;&gt;"",'Inputs Whole-Project Water Use'!F443,""))</f>
        <v/>
      </c>
      <c r="G443" s="316" t="str">
        <f>(IF('Inputs Whole-Project Water Use'!G443&lt;&gt;"",'Inputs Whole-Project Water Use'!G443,""))</f>
        <v/>
      </c>
      <c r="H443" s="289" t="str">
        <f>IF(AND(G443&lt;&gt;"",'Inputs Whole-Project Water Use'!H443=""),0,IF('Inputs Whole-Project Water Use'!H443&lt;&gt;"",'Inputs Whole-Project Water Use'!H443,""))</f>
        <v/>
      </c>
      <c r="I443" s="225" t="str">
        <f t="shared" si="50"/>
        <v/>
      </c>
      <c r="J443" s="225" t="str">
        <f t="shared" si="51"/>
        <v/>
      </c>
      <c r="K443" s="231" t="str">
        <f t="shared" si="52"/>
        <v/>
      </c>
      <c r="L443" s="176"/>
      <c r="M443" s="241"/>
      <c r="N443" s="241"/>
      <c r="O443" s="241"/>
      <c r="P443" s="241"/>
      <c r="Q443" s="241"/>
      <c r="R443" s="241"/>
      <c r="S443" s="241"/>
      <c r="T443" s="241"/>
      <c r="U443" s="241"/>
      <c r="V443" s="241"/>
      <c r="W443" s="241"/>
      <c r="X443" s="241"/>
      <c r="Y443" s="241"/>
      <c r="Z443" s="241"/>
      <c r="AA443" s="241"/>
      <c r="AB443" s="241"/>
      <c r="AC443" s="241"/>
      <c r="AD443" s="241"/>
      <c r="AE443" s="241"/>
      <c r="AF443" s="241"/>
      <c r="AG443" s="241"/>
      <c r="AH443" s="241"/>
      <c r="AI443" s="241"/>
      <c r="AJ443" s="241"/>
      <c r="AK443" s="241"/>
      <c r="AL443" s="241"/>
      <c r="AM443" s="241"/>
      <c r="AN443" s="241"/>
      <c r="AO443" s="241"/>
      <c r="AP443" s="241"/>
      <c r="AQ443" s="241"/>
      <c r="AR443" s="241"/>
      <c r="AS443" s="241"/>
      <c r="AT443" s="241"/>
      <c r="AU443" s="241"/>
      <c r="AV443" s="241"/>
      <c r="AW443" s="241"/>
      <c r="AX443" s="241"/>
      <c r="AY443" s="241"/>
      <c r="AZ443" s="241"/>
    </row>
    <row r="444" spans="1:52" s="71" customFormat="1" ht="18" hidden="1" customHeight="1" outlineLevel="2">
      <c r="A444" s="175">
        <v>53</v>
      </c>
      <c r="B444" s="312" t="str">
        <f>(IF('Inputs Whole-Project Water Use'!B444&lt;&gt;"",'Inputs Whole-Project Water Use'!B444,""))</f>
        <v/>
      </c>
      <c r="C444" s="313" t="str">
        <f>IF(AND(F444&lt;&gt;"",'Inputs Whole-Project Water Use'!C444=""),1,IF('Inputs Whole-Project Water Use'!C444&lt;&gt;"",'Inputs Whole-Project Water Use'!C444,""))</f>
        <v/>
      </c>
      <c r="D444" s="397" t="str">
        <f>(IF('Inputs Whole-Project Water Use'!D444&lt;&gt;"",'Inputs Whole-Project Water Use'!D444,""))</f>
        <v/>
      </c>
      <c r="E444" s="398"/>
      <c r="F444" s="316" t="str">
        <f>(IF('Inputs Whole-Project Water Use'!F444&lt;&gt;"",'Inputs Whole-Project Water Use'!F444,""))</f>
        <v/>
      </c>
      <c r="G444" s="316" t="str">
        <f>(IF('Inputs Whole-Project Water Use'!G444&lt;&gt;"",'Inputs Whole-Project Water Use'!G444,""))</f>
        <v/>
      </c>
      <c r="H444" s="289" t="str">
        <f>IF(AND(G444&lt;&gt;"",'Inputs Whole-Project Water Use'!H444=""),0,IF('Inputs Whole-Project Water Use'!H444&lt;&gt;"",'Inputs Whole-Project Water Use'!H444,""))</f>
        <v/>
      </c>
      <c r="I444" s="225" t="str">
        <f t="shared" si="50"/>
        <v/>
      </c>
      <c r="J444" s="225" t="str">
        <f t="shared" si="51"/>
        <v/>
      </c>
      <c r="K444" s="231" t="str">
        <f t="shared" si="52"/>
        <v/>
      </c>
      <c r="L444" s="176"/>
      <c r="M444" s="241"/>
      <c r="N444" s="241"/>
      <c r="O444" s="241"/>
      <c r="P444" s="241"/>
      <c r="Q444" s="241"/>
      <c r="R444" s="241"/>
      <c r="S444" s="241"/>
      <c r="T444" s="241"/>
      <c r="U444" s="241"/>
      <c r="V444" s="241"/>
      <c r="W444" s="241"/>
      <c r="X444" s="241"/>
      <c r="Y444" s="241"/>
      <c r="Z444" s="241"/>
      <c r="AA444" s="241"/>
      <c r="AB444" s="241"/>
      <c r="AC444" s="241"/>
      <c r="AD444" s="241"/>
      <c r="AE444" s="241"/>
      <c r="AF444" s="241"/>
      <c r="AG444" s="241"/>
      <c r="AH444" s="241"/>
      <c r="AI444" s="241"/>
      <c r="AJ444" s="241"/>
      <c r="AK444" s="241"/>
      <c r="AL444" s="241"/>
      <c r="AM444" s="241"/>
      <c r="AN444" s="241"/>
      <c r="AO444" s="241"/>
      <c r="AP444" s="241"/>
      <c r="AQ444" s="241"/>
      <c r="AR444" s="241"/>
      <c r="AS444" s="241"/>
      <c r="AT444" s="241"/>
      <c r="AU444" s="241"/>
      <c r="AV444" s="241"/>
      <c r="AW444" s="241"/>
      <c r="AX444" s="241"/>
      <c r="AY444" s="241"/>
      <c r="AZ444" s="241"/>
    </row>
    <row r="445" spans="1:52" s="71" customFormat="1" ht="18" hidden="1" customHeight="1" outlineLevel="2">
      <c r="A445" s="175">
        <v>54</v>
      </c>
      <c r="B445" s="312" t="str">
        <f>(IF('Inputs Whole-Project Water Use'!B445&lt;&gt;"",'Inputs Whole-Project Water Use'!B445,""))</f>
        <v/>
      </c>
      <c r="C445" s="313" t="str">
        <f>IF(AND(F445&lt;&gt;"",'Inputs Whole-Project Water Use'!C445=""),1,IF('Inputs Whole-Project Water Use'!C445&lt;&gt;"",'Inputs Whole-Project Water Use'!C445,""))</f>
        <v/>
      </c>
      <c r="D445" s="397" t="str">
        <f>(IF('Inputs Whole-Project Water Use'!D445&lt;&gt;"",'Inputs Whole-Project Water Use'!D445,""))</f>
        <v/>
      </c>
      <c r="E445" s="398"/>
      <c r="F445" s="316" t="str">
        <f>(IF('Inputs Whole-Project Water Use'!F445&lt;&gt;"",'Inputs Whole-Project Water Use'!F445,""))</f>
        <v/>
      </c>
      <c r="G445" s="316" t="str">
        <f>(IF('Inputs Whole-Project Water Use'!G445&lt;&gt;"",'Inputs Whole-Project Water Use'!G445,""))</f>
        <v/>
      </c>
      <c r="H445" s="289" t="str">
        <f>IF(AND(G445&lt;&gt;"",'Inputs Whole-Project Water Use'!H445=""),0,IF('Inputs Whole-Project Water Use'!H445&lt;&gt;"",'Inputs Whole-Project Water Use'!H445,""))</f>
        <v/>
      </c>
      <c r="I445" s="225" t="str">
        <f t="shared" si="50"/>
        <v/>
      </c>
      <c r="J445" s="225" t="str">
        <f t="shared" si="51"/>
        <v/>
      </c>
      <c r="K445" s="231" t="str">
        <f t="shared" si="52"/>
        <v/>
      </c>
      <c r="L445" s="176"/>
      <c r="M445" s="241"/>
      <c r="N445" s="241"/>
      <c r="O445" s="241"/>
      <c r="P445" s="241"/>
      <c r="Q445" s="241"/>
      <c r="R445" s="241"/>
      <c r="S445" s="241"/>
      <c r="T445" s="241"/>
      <c r="U445" s="241"/>
      <c r="V445" s="241"/>
      <c r="W445" s="241"/>
      <c r="X445" s="241"/>
      <c r="Y445" s="241"/>
      <c r="Z445" s="241"/>
      <c r="AA445" s="241"/>
      <c r="AB445" s="241"/>
      <c r="AC445" s="241"/>
      <c r="AD445" s="241"/>
      <c r="AE445" s="241"/>
      <c r="AF445" s="241"/>
      <c r="AG445" s="241"/>
      <c r="AH445" s="241"/>
      <c r="AI445" s="241"/>
      <c r="AJ445" s="241"/>
      <c r="AK445" s="241"/>
      <c r="AL445" s="241"/>
      <c r="AM445" s="241"/>
      <c r="AN445" s="241"/>
      <c r="AO445" s="241"/>
      <c r="AP445" s="241"/>
      <c r="AQ445" s="241"/>
      <c r="AR445" s="241"/>
      <c r="AS445" s="241"/>
      <c r="AT445" s="241"/>
      <c r="AU445" s="241"/>
      <c r="AV445" s="241"/>
      <c r="AW445" s="241"/>
      <c r="AX445" s="241"/>
      <c r="AY445" s="241"/>
      <c r="AZ445" s="241"/>
    </row>
    <row r="446" spans="1:52" s="71" customFormat="1" ht="18" hidden="1" customHeight="1" outlineLevel="2">
      <c r="A446" s="175">
        <v>55</v>
      </c>
      <c r="B446" s="312" t="str">
        <f>(IF('Inputs Whole-Project Water Use'!B446&lt;&gt;"",'Inputs Whole-Project Water Use'!B446,""))</f>
        <v/>
      </c>
      <c r="C446" s="313" t="str">
        <f>IF(AND(F446&lt;&gt;"",'Inputs Whole-Project Water Use'!C446=""),1,IF('Inputs Whole-Project Water Use'!C446&lt;&gt;"",'Inputs Whole-Project Water Use'!C446,""))</f>
        <v/>
      </c>
      <c r="D446" s="397" t="str">
        <f>(IF('Inputs Whole-Project Water Use'!D446&lt;&gt;"",'Inputs Whole-Project Water Use'!D446,""))</f>
        <v/>
      </c>
      <c r="E446" s="398"/>
      <c r="F446" s="316" t="str">
        <f>(IF('Inputs Whole-Project Water Use'!F446&lt;&gt;"",'Inputs Whole-Project Water Use'!F446,""))</f>
        <v/>
      </c>
      <c r="G446" s="316" t="str">
        <f>(IF('Inputs Whole-Project Water Use'!G446&lt;&gt;"",'Inputs Whole-Project Water Use'!G446,""))</f>
        <v/>
      </c>
      <c r="H446" s="289" t="str">
        <f>IF(AND(G446&lt;&gt;"",'Inputs Whole-Project Water Use'!H446=""),0,IF('Inputs Whole-Project Water Use'!H446&lt;&gt;"",'Inputs Whole-Project Water Use'!H446,""))</f>
        <v/>
      </c>
      <c r="I446" s="225" t="str">
        <f t="shared" si="50"/>
        <v/>
      </c>
      <c r="J446" s="225" t="str">
        <f t="shared" si="51"/>
        <v/>
      </c>
      <c r="K446" s="231" t="str">
        <f t="shared" si="52"/>
        <v/>
      </c>
      <c r="L446" s="176"/>
      <c r="M446" s="241"/>
      <c r="N446" s="241"/>
      <c r="O446" s="241"/>
      <c r="P446" s="241"/>
      <c r="Q446" s="241"/>
      <c r="R446" s="241"/>
      <c r="S446" s="241"/>
      <c r="T446" s="241"/>
      <c r="U446" s="241"/>
      <c r="V446" s="241"/>
      <c r="W446" s="241"/>
      <c r="X446" s="241"/>
      <c r="Y446" s="241"/>
      <c r="Z446" s="241"/>
      <c r="AA446" s="241"/>
      <c r="AB446" s="241"/>
      <c r="AC446" s="241"/>
      <c r="AD446" s="241"/>
      <c r="AE446" s="241"/>
      <c r="AF446" s="241"/>
      <c r="AG446" s="241"/>
      <c r="AH446" s="241"/>
      <c r="AI446" s="241"/>
      <c r="AJ446" s="241"/>
      <c r="AK446" s="241"/>
      <c r="AL446" s="241"/>
      <c r="AM446" s="241"/>
      <c r="AN446" s="241"/>
      <c r="AO446" s="241"/>
      <c r="AP446" s="241"/>
      <c r="AQ446" s="241"/>
      <c r="AR446" s="241"/>
      <c r="AS446" s="241"/>
      <c r="AT446" s="241"/>
      <c r="AU446" s="241"/>
      <c r="AV446" s="241"/>
      <c r="AW446" s="241"/>
      <c r="AX446" s="241"/>
      <c r="AY446" s="241"/>
      <c r="AZ446" s="241"/>
    </row>
    <row r="447" spans="1:52" s="71" customFormat="1" ht="18" hidden="1" customHeight="1" outlineLevel="2">
      <c r="A447" s="175">
        <v>56</v>
      </c>
      <c r="B447" s="312" t="str">
        <f>(IF('Inputs Whole-Project Water Use'!B447&lt;&gt;"",'Inputs Whole-Project Water Use'!B447,""))</f>
        <v/>
      </c>
      <c r="C447" s="313" t="str">
        <f>IF(AND(F447&lt;&gt;"",'Inputs Whole-Project Water Use'!C447=""),1,IF('Inputs Whole-Project Water Use'!C447&lt;&gt;"",'Inputs Whole-Project Water Use'!C447,""))</f>
        <v/>
      </c>
      <c r="D447" s="397" t="str">
        <f>(IF('Inputs Whole-Project Water Use'!D447&lt;&gt;"",'Inputs Whole-Project Water Use'!D447,""))</f>
        <v/>
      </c>
      <c r="E447" s="398"/>
      <c r="F447" s="316" t="str">
        <f>(IF('Inputs Whole-Project Water Use'!F447&lt;&gt;"",'Inputs Whole-Project Water Use'!F447,""))</f>
        <v/>
      </c>
      <c r="G447" s="316" t="str">
        <f>(IF('Inputs Whole-Project Water Use'!G447&lt;&gt;"",'Inputs Whole-Project Water Use'!G447,""))</f>
        <v/>
      </c>
      <c r="H447" s="289" t="str">
        <f>IF(AND(G447&lt;&gt;"",'Inputs Whole-Project Water Use'!H447=""),0,IF('Inputs Whole-Project Water Use'!H447&lt;&gt;"",'Inputs Whole-Project Water Use'!H447,""))</f>
        <v/>
      </c>
      <c r="I447" s="225" t="str">
        <f t="shared" si="50"/>
        <v/>
      </c>
      <c r="J447" s="225" t="str">
        <f t="shared" si="51"/>
        <v/>
      </c>
      <c r="K447" s="231" t="str">
        <f t="shared" si="52"/>
        <v/>
      </c>
      <c r="L447" s="176"/>
      <c r="M447" s="241"/>
      <c r="N447" s="241"/>
      <c r="O447" s="241"/>
      <c r="P447" s="241"/>
      <c r="Q447" s="241"/>
      <c r="R447" s="241"/>
      <c r="S447" s="241"/>
      <c r="T447" s="241"/>
      <c r="U447" s="241"/>
      <c r="V447" s="241"/>
      <c r="W447" s="241"/>
      <c r="X447" s="241"/>
      <c r="Y447" s="241"/>
      <c r="Z447" s="241"/>
      <c r="AA447" s="241"/>
      <c r="AB447" s="241"/>
      <c r="AC447" s="241"/>
      <c r="AD447" s="241"/>
      <c r="AE447" s="241"/>
      <c r="AF447" s="241"/>
      <c r="AG447" s="241"/>
      <c r="AH447" s="241"/>
      <c r="AI447" s="241"/>
      <c r="AJ447" s="241"/>
      <c r="AK447" s="241"/>
      <c r="AL447" s="241"/>
      <c r="AM447" s="241"/>
      <c r="AN447" s="241"/>
      <c r="AO447" s="241"/>
      <c r="AP447" s="241"/>
      <c r="AQ447" s="241"/>
      <c r="AR447" s="241"/>
      <c r="AS447" s="241"/>
      <c r="AT447" s="241"/>
      <c r="AU447" s="241"/>
      <c r="AV447" s="241"/>
      <c r="AW447" s="241"/>
      <c r="AX447" s="241"/>
      <c r="AY447" s="241"/>
      <c r="AZ447" s="241"/>
    </row>
    <row r="448" spans="1:52" s="71" customFormat="1" ht="18" hidden="1" customHeight="1" outlineLevel="2">
      <c r="A448" s="175">
        <v>57</v>
      </c>
      <c r="B448" s="312" t="str">
        <f>(IF('Inputs Whole-Project Water Use'!B448&lt;&gt;"",'Inputs Whole-Project Water Use'!B448,""))</f>
        <v/>
      </c>
      <c r="C448" s="313" t="str">
        <f>IF(AND(F448&lt;&gt;"",'Inputs Whole-Project Water Use'!C448=""),1,IF('Inputs Whole-Project Water Use'!C448&lt;&gt;"",'Inputs Whole-Project Water Use'!C448,""))</f>
        <v/>
      </c>
      <c r="D448" s="397" t="str">
        <f>(IF('Inputs Whole-Project Water Use'!D448&lt;&gt;"",'Inputs Whole-Project Water Use'!D448,""))</f>
        <v/>
      </c>
      <c r="E448" s="398"/>
      <c r="F448" s="316" t="str">
        <f>(IF('Inputs Whole-Project Water Use'!F448&lt;&gt;"",'Inputs Whole-Project Water Use'!F448,""))</f>
        <v/>
      </c>
      <c r="G448" s="316" t="str">
        <f>(IF('Inputs Whole-Project Water Use'!G448&lt;&gt;"",'Inputs Whole-Project Water Use'!G448,""))</f>
        <v/>
      </c>
      <c r="H448" s="289" t="str">
        <f>IF(AND(G448&lt;&gt;"",'Inputs Whole-Project Water Use'!H448=""),0,IF('Inputs Whole-Project Water Use'!H448&lt;&gt;"",'Inputs Whole-Project Water Use'!H448,""))</f>
        <v/>
      </c>
      <c r="I448" s="225" t="str">
        <f t="shared" si="50"/>
        <v/>
      </c>
      <c r="J448" s="225" t="str">
        <f t="shared" si="51"/>
        <v/>
      </c>
      <c r="K448" s="231" t="str">
        <f t="shared" si="52"/>
        <v/>
      </c>
      <c r="L448" s="176"/>
      <c r="M448" s="241"/>
      <c r="N448" s="241"/>
      <c r="O448" s="241"/>
      <c r="P448" s="241"/>
      <c r="Q448" s="241"/>
      <c r="R448" s="241"/>
      <c r="S448" s="241"/>
      <c r="T448" s="241"/>
      <c r="U448" s="241"/>
      <c r="V448" s="241"/>
      <c r="W448" s="241"/>
      <c r="X448" s="241"/>
      <c r="Y448" s="241"/>
      <c r="Z448" s="241"/>
      <c r="AA448" s="241"/>
      <c r="AB448" s="241"/>
      <c r="AC448" s="241"/>
      <c r="AD448" s="241"/>
      <c r="AE448" s="241"/>
      <c r="AF448" s="241"/>
      <c r="AG448" s="241"/>
      <c r="AH448" s="241"/>
      <c r="AI448" s="241"/>
      <c r="AJ448" s="241"/>
      <c r="AK448" s="241"/>
      <c r="AL448" s="241"/>
      <c r="AM448" s="241"/>
      <c r="AN448" s="241"/>
      <c r="AO448" s="241"/>
      <c r="AP448" s="241"/>
      <c r="AQ448" s="241"/>
      <c r="AR448" s="241"/>
      <c r="AS448" s="241"/>
      <c r="AT448" s="241"/>
      <c r="AU448" s="241"/>
      <c r="AV448" s="241"/>
      <c r="AW448" s="241"/>
      <c r="AX448" s="241"/>
      <c r="AY448" s="241"/>
      <c r="AZ448" s="241"/>
    </row>
    <row r="449" spans="1:52" s="71" customFormat="1" ht="18" hidden="1" customHeight="1" outlineLevel="2">
      <c r="A449" s="175">
        <v>58</v>
      </c>
      <c r="B449" s="312" t="str">
        <f>(IF('Inputs Whole-Project Water Use'!B449&lt;&gt;"",'Inputs Whole-Project Water Use'!B449,""))</f>
        <v/>
      </c>
      <c r="C449" s="313" t="str">
        <f>IF(AND(F449&lt;&gt;"",'Inputs Whole-Project Water Use'!C449=""),1,IF('Inputs Whole-Project Water Use'!C449&lt;&gt;"",'Inputs Whole-Project Water Use'!C449,""))</f>
        <v/>
      </c>
      <c r="D449" s="397" t="str">
        <f>(IF('Inputs Whole-Project Water Use'!D449&lt;&gt;"",'Inputs Whole-Project Water Use'!D449,""))</f>
        <v/>
      </c>
      <c r="E449" s="398"/>
      <c r="F449" s="316" t="str">
        <f>(IF('Inputs Whole-Project Water Use'!F449&lt;&gt;"",'Inputs Whole-Project Water Use'!F449,""))</f>
        <v/>
      </c>
      <c r="G449" s="316" t="str">
        <f>(IF('Inputs Whole-Project Water Use'!G449&lt;&gt;"",'Inputs Whole-Project Water Use'!G449,""))</f>
        <v/>
      </c>
      <c r="H449" s="289" t="str">
        <f>IF(AND(G449&lt;&gt;"",'Inputs Whole-Project Water Use'!H449=""),0,IF('Inputs Whole-Project Water Use'!H449&lt;&gt;"",'Inputs Whole-Project Water Use'!H449,""))</f>
        <v/>
      </c>
      <c r="I449" s="225" t="str">
        <f t="shared" si="50"/>
        <v/>
      </c>
      <c r="J449" s="225" t="str">
        <f t="shared" si="51"/>
        <v/>
      </c>
      <c r="K449" s="231" t="str">
        <f t="shared" si="52"/>
        <v/>
      </c>
      <c r="L449" s="176"/>
      <c r="M449" s="241"/>
      <c r="N449" s="241"/>
      <c r="O449" s="241"/>
      <c r="P449" s="241"/>
      <c r="Q449" s="241"/>
      <c r="R449" s="241"/>
      <c r="S449" s="241"/>
      <c r="T449" s="241"/>
      <c r="U449" s="241"/>
      <c r="V449" s="241"/>
      <c r="W449" s="241"/>
      <c r="X449" s="241"/>
      <c r="Y449" s="241"/>
      <c r="Z449" s="241"/>
      <c r="AA449" s="241"/>
      <c r="AB449" s="241"/>
      <c r="AC449" s="241"/>
      <c r="AD449" s="241"/>
      <c r="AE449" s="241"/>
      <c r="AF449" s="241"/>
      <c r="AG449" s="241"/>
      <c r="AH449" s="241"/>
      <c r="AI449" s="241"/>
      <c r="AJ449" s="241"/>
      <c r="AK449" s="241"/>
      <c r="AL449" s="241"/>
      <c r="AM449" s="241"/>
      <c r="AN449" s="241"/>
      <c r="AO449" s="241"/>
      <c r="AP449" s="241"/>
      <c r="AQ449" s="241"/>
      <c r="AR449" s="241"/>
      <c r="AS449" s="241"/>
      <c r="AT449" s="241"/>
      <c r="AU449" s="241"/>
      <c r="AV449" s="241"/>
      <c r="AW449" s="241"/>
      <c r="AX449" s="241"/>
      <c r="AY449" s="241"/>
      <c r="AZ449" s="241"/>
    </row>
    <row r="450" spans="1:52" s="71" customFormat="1" ht="18" hidden="1" customHeight="1" outlineLevel="2">
      <c r="A450" s="175">
        <v>59</v>
      </c>
      <c r="B450" s="312" t="str">
        <f>(IF('Inputs Whole-Project Water Use'!B450&lt;&gt;"",'Inputs Whole-Project Water Use'!B450,""))</f>
        <v/>
      </c>
      <c r="C450" s="313" t="str">
        <f>IF(AND(F450&lt;&gt;"",'Inputs Whole-Project Water Use'!C450=""),1,IF('Inputs Whole-Project Water Use'!C450&lt;&gt;"",'Inputs Whole-Project Water Use'!C450,""))</f>
        <v/>
      </c>
      <c r="D450" s="397" t="str">
        <f>(IF('Inputs Whole-Project Water Use'!D450&lt;&gt;"",'Inputs Whole-Project Water Use'!D450,""))</f>
        <v/>
      </c>
      <c r="E450" s="398"/>
      <c r="F450" s="316" t="str">
        <f>(IF('Inputs Whole-Project Water Use'!F450&lt;&gt;"",'Inputs Whole-Project Water Use'!F450,""))</f>
        <v/>
      </c>
      <c r="G450" s="316" t="str">
        <f>(IF('Inputs Whole-Project Water Use'!G450&lt;&gt;"",'Inputs Whole-Project Water Use'!G450,""))</f>
        <v/>
      </c>
      <c r="H450" s="289" t="str">
        <f>IF(AND(G450&lt;&gt;"",'Inputs Whole-Project Water Use'!H450=""),0,IF('Inputs Whole-Project Water Use'!H450&lt;&gt;"",'Inputs Whole-Project Water Use'!H450,""))</f>
        <v/>
      </c>
      <c r="I450" s="225" t="str">
        <f t="shared" si="50"/>
        <v/>
      </c>
      <c r="J450" s="225" t="str">
        <f t="shared" si="51"/>
        <v/>
      </c>
      <c r="K450" s="231" t="str">
        <f t="shared" si="52"/>
        <v/>
      </c>
      <c r="L450" s="176"/>
      <c r="M450" s="241"/>
      <c r="N450" s="241"/>
      <c r="O450" s="241"/>
      <c r="P450" s="241"/>
      <c r="Q450" s="241"/>
      <c r="R450" s="241"/>
      <c r="S450" s="241"/>
      <c r="T450" s="241"/>
      <c r="U450" s="241"/>
      <c r="V450" s="241"/>
      <c r="W450" s="241"/>
      <c r="X450" s="241"/>
      <c r="Y450" s="241"/>
      <c r="Z450" s="241"/>
      <c r="AA450" s="241"/>
      <c r="AB450" s="241"/>
      <c r="AC450" s="241"/>
      <c r="AD450" s="241"/>
      <c r="AE450" s="241"/>
      <c r="AF450" s="241"/>
      <c r="AG450" s="241"/>
      <c r="AH450" s="241"/>
      <c r="AI450" s="241"/>
      <c r="AJ450" s="241"/>
      <c r="AK450" s="241"/>
      <c r="AL450" s="241"/>
      <c r="AM450" s="241"/>
      <c r="AN450" s="241"/>
      <c r="AO450" s="241"/>
      <c r="AP450" s="241"/>
      <c r="AQ450" s="241"/>
      <c r="AR450" s="241"/>
      <c r="AS450" s="241"/>
      <c r="AT450" s="241"/>
      <c r="AU450" s="241"/>
      <c r="AV450" s="241"/>
      <c r="AW450" s="241"/>
      <c r="AX450" s="241"/>
      <c r="AY450" s="241"/>
      <c r="AZ450" s="241"/>
    </row>
    <row r="451" spans="1:52" s="71" customFormat="1" ht="18" hidden="1" customHeight="1" outlineLevel="2">
      <c r="A451" s="175">
        <v>60</v>
      </c>
      <c r="B451" s="312" t="str">
        <f>(IF('Inputs Whole-Project Water Use'!B451&lt;&gt;"",'Inputs Whole-Project Water Use'!B451,""))</f>
        <v/>
      </c>
      <c r="C451" s="313" t="str">
        <f>IF(AND(F451&lt;&gt;"",'Inputs Whole-Project Water Use'!C451=""),1,IF('Inputs Whole-Project Water Use'!C451&lt;&gt;"",'Inputs Whole-Project Water Use'!C451,""))</f>
        <v/>
      </c>
      <c r="D451" s="397" t="str">
        <f>(IF('Inputs Whole-Project Water Use'!D451&lt;&gt;"",'Inputs Whole-Project Water Use'!D451,""))</f>
        <v/>
      </c>
      <c r="E451" s="398"/>
      <c r="F451" s="316" t="str">
        <f>(IF('Inputs Whole-Project Water Use'!F451&lt;&gt;"",'Inputs Whole-Project Water Use'!F451,""))</f>
        <v/>
      </c>
      <c r="G451" s="316" t="str">
        <f>(IF('Inputs Whole-Project Water Use'!G451&lt;&gt;"",'Inputs Whole-Project Water Use'!G451,""))</f>
        <v/>
      </c>
      <c r="H451" s="289" t="str">
        <f>IF(AND(G451&lt;&gt;"",'Inputs Whole-Project Water Use'!H451=""),0,IF('Inputs Whole-Project Water Use'!H451&lt;&gt;"",'Inputs Whole-Project Water Use'!H451,""))</f>
        <v/>
      </c>
      <c r="I451" s="225" t="str">
        <f t="shared" si="50"/>
        <v/>
      </c>
      <c r="J451" s="225" t="str">
        <f t="shared" si="51"/>
        <v/>
      </c>
      <c r="K451" s="231" t="str">
        <f t="shared" si="52"/>
        <v/>
      </c>
      <c r="L451" s="176"/>
      <c r="M451" s="241"/>
      <c r="N451" s="241"/>
      <c r="O451" s="241"/>
      <c r="P451" s="241"/>
      <c r="Q451" s="241"/>
      <c r="R451" s="241"/>
      <c r="S451" s="241"/>
      <c r="T451" s="241"/>
      <c r="U451" s="241"/>
      <c r="V451" s="241"/>
      <c r="W451" s="241"/>
      <c r="X451" s="241"/>
      <c r="Y451" s="241"/>
      <c r="Z451" s="241"/>
      <c r="AA451" s="241"/>
      <c r="AB451" s="241"/>
      <c r="AC451" s="241"/>
      <c r="AD451" s="241"/>
      <c r="AE451" s="241"/>
      <c r="AF451" s="241"/>
      <c r="AG451" s="241"/>
      <c r="AH451" s="241"/>
      <c r="AI451" s="241"/>
      <c r="AJ451" s="241"/>
      <c r="AK451" s="241"/>
      <c r="AL451" s="241"/>
      <c r="AM451" s="241"/>
      <c r="AN451" s="241"/>
      <c r="AO451" s="241"/>
      <c r="AP451" s="241"/>
      <c r="AQ451" s="241"/>
      <c r="AR451" s="241"/>
      <c r="AS451" s="241"/>
      <c r="AT451" s="241"/>
      <c r="AU451" s="241"/>
      <c r="AV451" s="241"/>
      <c r="AW451" s="241"/>
      <c r="AX451" s="241"/>
      <c r="AY451" s="241"/>
      <c r="AZ451" s="241"/>
    </row>
    <row r="452" spans="1:52" s="71" customFormat="1" ht="18" hidden="1" customHeight="1" outlineLevel="2">
      <c r="A452" s="175">
        <v>61</v>
      </c>
      <c r="B452" s="312" t="str">
        <f>(IF('Inputs Whole-Project Water Use'!B452&lt;&gt;"",'Inputs Whole-Project Water Use'!B452,""))</f>
        <v/>
      </c>
      <c r="C452" s="313" t="str">
        <f>IF(AND(F452&lt;&gt;"",'Inputs Whole-Project Water Use'!C452=""),1,IF('Inputs Whole-Project Water Use'!C452&lt;&gt;"",'Inputs Whole-Project Water Use'!C452,""))</f>
        <v/>
      </c>
      <c r="D452" s="397" t="str">
        <f>(IF('Inputs Whole-Project Water Use'!D452&lt;&gt;"",'Inputs Whole-Project Water Use'!D452,""))</f>
        <v/>
      </c>
      <c r="E452" s="398"/>
      <c r="F452" s="316" t="str">
        <f>(IF('Inputs Whole-Project Water Use'!F452&lt;&gt;"",'Inputs Whole-Project Water Use'!F452,""))</f>
        <v/>
      </c>
      <c r="G452" s="316" t="str">
        <f>(IF('Inputs Whole-Project Water Use'!G452&lt;&gt;"",'Inputs Whole-Project Water Use'!G452,""))</f>
        <v/>
      </c>
      <c r="H452" s="289" t="str">
        <f>IF(AND(G452&lt;&gt;"",'Inputs Whole-Project Water Use'!H452=""),0,IF('Inputs Whole-Project Water Use'!H452&lt;&gt;"",'Inputs Whole-Project Water Use'!H452,""))</f>
        <v/>
      </c>
      <c r="I452" s="225" t="str">
        <f t="shared" si="50"/>
        <v/>
      </c>
      <c r="J452" s="225" t="str">
        <f t="shared" si="51"/>
        <v/>
      </c>
      <c r="K452" s="231" t="str">
        <f t="shared" si="52"/>
        <v/>
      </c>
      <c r="L452" s="176"/>
      <c r="M452" s="241"/>
      <c r="N452" s="241"/>
      <c r="O452" s="241"/>
      <c r="P452" s="241"/>
      <c r="Q452" s="241"/>
      <c r="R452" s="241"/>
      <c r="S452" s="241"/>
      <c r="T452" s="241"/>
      <c r="U452" s="241"/>
      <c r="V452" s="241"/>
      <c r="W452" s="241"/>
      <c r="X452" s="241"/>
      <c r="Y452" s="241"/>
      <c r="Z452" s="241"/>
      <c r="AA452" s="241"/>
      <c r="AB452" s="241"/>
      <c r="AC452" s="241"/>
      <c r="AD452" s="241"/>
      <c r="AE452" s="241"/>
      <c r="AF452" s="241"/>
      <c r="AG452" s="241"/>
      <c r="AH452" s="241"/>
      <c r="AI452" s="241"/>
      <c r="AJ452" s="241"/>
      <c r="AK452" s="241"/>
      <c r="AL452" s="241"/>
      <c r="AM452" s="241"/>
      <c r="AN452" s="241"/>
      <c r="AO452" s="241"/>
      <c r="AP452" s="241"/>
      <c r="AQ452" s="241"/>
      <c r="AR452" s="241"/>
      <c r="AS452" s="241"/>
      <c r="AT452" s="241"/>
      <c r="AU452" s="241"/>
      <c r="AV452" s="241"/>
      <c r="AW452" s="241"/>
      <c r="AX452" s="241"/>
      <c r="AY452" s="241"/>
      <c r="AZ452" s="241"/>
    </row>
    <row r="453" spans="1:52" s="71" customFormat="1" ht="18" hidden="1" customHeight="1" outlineLevel="2">
      <c r="A453" s="175">
        <v>62</v>
      </c>
      <c r="B453" s="312" t="str">
        <f>(IF('Inputs Whole-Project Water Use'!B453&lt;&gt;"",'Inputs Whole-Project Water Use'!B453,""))</f>
        <v/>
      </c>
      <c r="C453" s="313" t="str">
        <f>IF(AND(F453&lt;&gt;"",'Inputs Whole-Project Water Use'!C453=""),1,IF('Inputs Whole-Project Water Use'!C453&lt;&gt;"",'Inputs Whole-Project Water Use'!C453,""))</f>
        <v/>
      </c>
      <c r="D453" s="397" t="str">
        <f>(IF('Inputs Whole-Project Water Use'!D453&lt;&gt;"",'Inputs Whole-Project Water Use'!D453,""))</f>
        <v/>
      </c>
      <c r="E453" s="398"/>
      <c r="F453" s="316" t="str">
        <f>(IF('Inputs Whole-Project Water Use'!F453&lt;&gt;"",'Inputs Whole-Project Water Use'!F453,""))</f>
        <v/>
      </c>
      <c r="G453" s="316" t="str">
        <f>(IF('Inputs Whole-Project Water Use'!G453&lt;&gt;"",'Inputs Whole-Project Water Use'!G453,""))</f>
        <v/>
      </c>
      <c r="H453" s="289" t="str">
        <f>IF(AND(G453&lt;&gt;"",'Inputs Whole-Project Water Use'!H453=""),0,IF('Inputs Whole-Project Water Use'!H453&lt;&gt;"",'Inputs Whole-Project Water Use'!H453,""))</f>
        <v/>
      </c>
      <c r="I453" s="225" t="str">
        <f t="shared" si="50"/>
        <v/>
      </c>
      <c r="J453" s="225" t="str">
        <f t="shared" si="51"/>
        <v/>
      </c>
      <c r="K453" s="231" t="str">
        <f t="shared" si="52"/>
        <v/>
      </c>
      <c r="L453" s="176"/>
      <c r="M453" s="241"/>
      <c r="N453" s="241"/>
      <c r="O453" s="241"/>
      <c r="P453" s="241"/>
      <c r="Q453" s="241"/>
      <c r="R453" s="241"/>
      <c r="S453" s="241"/>
      <c r="T453" s="241"/>
      <c r="U453" s="241"/>
      <c r="V453" s="241"/>
      <c r="W453" s="241"/>
      <c r="X453" s="241"/>
      <c r="Y453" s="241"/>
      <c r="Z453" s="241"/>
      <c r="AA453" s="241"/>
      <c r="AB453" s="241"/>
      <c r="AC453" s="241"/>
      <c r="AD453" s="241"/>
      <c r="AE453" s="241"/>
      <c r="AF453" s="241"/>
      <c r="AG453" s="241"/>
      <c r="AH453" s="241"/>
      <c r="AI453" s="241"/>
      <c r="AJ453" s="241"/>
      <c r="AK453" s="241"/>
      <c r="AL453" s="241"/>
      <c r="AM453" s="241"/>
      <c r="AN453" s="241"/>
      <c r="AO453" s="241"/>
      <c r="AP453" s="241"/>
      <c r="AQ453" s="241"/>
      <c r="AR453" s="241"/>
      <c r="AS453" s="241"/>
      <c r="AT453" s="241"/>
      <c r="AU453" s="241"/>
      <c r="AV453" s="241"/>
      <c r="AW453" s="241"/>
      <c r="AX453" s="241"/>
      <c r="AY453" s="241"/>
      <c r="AZ453" s="241"/>
    </row>
    <row r="454" spans="1:52" s="71" customFormat="1" ht="18" hidden="1" customHeight="1" outlineLevel="2">
      <c r="A454" s="175">
        <v>63</v>
      </c>
      <c r="B454" s="312" t="str">
        <f>(IF('Inputs Whole-Project Water Use'!B454&lt;&gt;"",'Inputs Whole-Project Water Use'!B454,""))</f>
        <v/>
      </c>
      <c r="C454" s="313" t="str">
        <f>IF(AND(F454&lt;&gt;"",'Inputs Whole-Project Water Use'!C454=""),1,IF('Inputs Whole-Project Water Use'!C454&lt;&gt;"",'Inputs Whole-Project Water Use'!C454,""))</f>
        <v/>
      </c>
      <c r="D454" s="397" t="str">
        <f>(IF('Inputs Whole-Project Water Use'!D454&lt;&gt;"",'Inputs Whole-Project Water Use'!D454,""))</f>
        <v/>
      </c>
      <c r="E454" s="398"/>
      <c r="F454" s="316" t="str">
        <f>(IF('Inputs Whole-Project Water Use'!F454&lt;&gt;"",'Inputs Whole-Project Water Use'!F454,""))</f>
        <v/>
      </c>
      <c r="G454" s="316" t="str">
        <f>(IF('Inputs Whole-Project Water Use'!G454&lt;&gt;"",'Inputs Whole-Project Water Use'!G454,""))</f>
        <v/>
      </c>
      <c r="H454" s="289" t="str">
        <f>IF(AND(G454&lt;&gt;"",'Inputs Whole-Project Water Use'!H454=""),0,IF('Inputs Whole-Project Water Use'!H454&lt;&gt;"",'Inputs Whole-Project Water Use'!H454,""))</f>
        <v/>
      </c>
      <c r="I454" s="225" t="str">
        <f t="shared" si="50"/>
        <v/>
      </c>
      <c r="J454" s="225" t="str">
        <f t="shared" si="51"/>
        <v/>
      </c>
      <c r="K454" s="231" t="str">
        <f t="shared" si="52"/>
        <v/>
      </c>
      <c r="L454" s="176"/>
      <c r="M454" s="241"/>
      <c r="N454" s="241"/>
      <c r="O454" s="241"/>
      <c r="P454" s="241"/>
      <c r="Q454" s="241"/>
      <c r="R454" s="241"/>
      <c r="S454" s="241"/>
      <c r="T454" s="241"/>
      <c r="U454" s="241"/>
      <c r="V454" s="241"/>
      <c r="W454" s="241"/>
      <c r="X454" s="241"/>
      <c r="Y454" s="241"/>
      <c r="Z454" s="241"/>
      <c r="AA454" s="241"/>
      <c r="AB454" s="241"/>
      <c r="AC454" s="241"/>
      <c r="AD454" s="241"/>
      <c r="AE454" s="241"/>
      <c r="AF454" s="241"/>
      <c r="AG454" s="241"/>
      <c r="AH454" s="241"/>
      <c r="AI454" s="241"/>
      <c r="AJ454" s="241"/>
      <c r="AK454" s="241"/>
      <c r="AL454" s="241"/>
      <c r="AM454" s="241"/>
      <c r="AN454" s="241"/>
      <c r="AO454" s="241"/>
      <c r="AP454" s="241"/>
      <c r="AQ454" s="241"/>
      <c r="AR454" s="241"/>
      <c r="AS454" s="241"/>
      <c r="AT454" s="241"/>
      <c r="AU454" s="241"/>
      <c r="AV454" s="241"/>
      <c r="AW454" s="241"/>
      <c r="AX454" s="241"/>
      <c r="AY454" s="241"/>
      <c r="AZ454" s="241"/>
    </row>
    <row r="455" spans="1:52" s="71" customFormat="1" ht="18" hidden="1" customHeight="1" outlineLevel="2">
      <c r="A455" s="175">
        <v>64</v>
      </c>
      <c r="B455" s="312" t="str">
        <f>(IF('Inputs Whole-Project Water Use'!B455&lt;&gt;"",'Inputs Whole-Project Water Use'!B455,""))</f>
        <v/>
      </c>
      <c r="C455" s="313" t="str">
        <f>IF(AND(F455&lt;&gt;"",'Inputs Whole-Project Water Use'!C455=""),1,IF('Inputs Whole-Project Water Use'!C455&lt;&gt;"",'Inputs Whole-Project Water Use'!C455,""))</f>
        <v/>
      </c>
      <c r="D455" s="397" t="str">
        <f>(IF('Inputs Whole-Project Water Use'!D455&lt;&gt;"",'Inputs Whole-Project Water Use'!D455,""))</f>
        <v/>
      </c>
      <c r="E455" s="398"/>
      <c r="F455" s="316" t="str">
        <f>(IF('Inputs Whole-Project Water Use'!F455&lt;&gt;"",'Inputs Whole-Project Water Use'!F455,""))</f>
        <v/>
      </c>
      <c r="G455" s="316" t="str">
        <f>(IF('Inputs Whole-Project Water Use'!G455&lt;&gt;"",'Inputs Whole-Project Water Use'!G455,""))</f>
        <v/>
      </c>
      <c r="H455" s="289" t="str">
        <f>IF(AND(G455&lt;&gt;"",'Inputs Whole-Project Water Use'!H455=""),0,IF('Inputs Whole-Project Water Use'!H455&lt;&gt;"",'Inputs Whole-Project Water Use'!H455,""))</f>
        <v/>
      </c>
      <c r="I455" s="225" t="str">
        <f t="shared" si="50"/>
        <v/>
      </c>
      <c r="J455" s="225" t="str">
        <f t="shared" si="51"/>
        <v/>
      </c>
      <c r="K455" s="231" t="str">
        <f t="shared" si="52"/>
        <v/>
      </c>
      <c r="L455" s="176"/>
      <c r="M455" s="241"/>
      <c r="N455" s="241"/>
      <c r="O455" s="241"/>
      <c r="P455" s="241"/>
      <c r="Q455" s="241"/>
      <c r="R455" s="241"/>
      <c r="S455" s="241"/>
      <c r="T455" s="241"/>
      <c r="U455" s="241"/>
      <c r="V455" s="241"/>
      <c r="W455" s="241"/>
      <c r="X455" s="241"/>
      <c r="Y455" s="241"/>
      <c r="Z455" s="241"/>
      <c r="AA455" s="241"/>
      <c r="AB455" s="241"/>
      <c r="AC455" s="241"/>
      <c r="AD455" s="241"/>
      <c r="AE455" s="241"/>
      <c r="AF455" s="241"/>
      <c r="AG455" s="241"/>
      <c r="AH455" s="241"/>
      <c r="AI455" s="241"/>
      <c r="AJ455" s="241"/>
      <c r="AK455" s="241"/>
      <c r="AL455" s="241"/>
      <c r="AM455" s="241"/>
      <c r="AN455" s="241"/>
      <c r="AO455" s="241"/>
      <c r="AP455" s="241"/>
      <c r="AQ455" s="241"/>
      <c r="AR455" s="241"/>
      <c r="AS455" s="241"/>
      <c r="AT455" s="241"/>
      <c r="AU455" s="241"/>
      <c r="AV455" s="241"/>
      <c r="AW455" s="241"/>
      <c r="AX455" s="241"/>
      <c r="AY455" s="241"/>
      <c r="AZ455" s="241"/>
    </row>
    <row r="456" spans="1:52" s="71" customFormat="1" ht="18" hidden="1" customHeight="1" outlineLevel="2">
      <c r="A456" s="175">
        <v>65</v>
      </c>
      <c r="B456" s="312" t="str">
        <f>(IF('Inputs Whole-Project Water Use'!B456&lt;&gt;"",'Inputs Whole-Project Water Use'!B456,""))</f>
        <v/>
      </c>
      <c r="C456" s="313" t="str">
        <f>IF(AND(F456&lt;&gt;"",'Inputs Whole-Project Water Use'!C456=""),1,IF('Inputs Whole-Project Water Use'!C456&lt;&gt;"",'Inputs Whole-Project Water Use'!C456,""))</f>
        <v/>
      </c>
      <c r="D456" s="397" t="str">
        <f>(IF('Inputs Whole-Project Water Use'!D456&lt;&gt;"",'Inputs Whole-Project Water Use'!D456,""))</f>
        <v/>
      </c>
      <c r="E456" s="398"/>
      <c r="F456" s="316" t="str">
        <f>(IF('Inputs Whole-Project Water Use'!F456&lt;&gt;"",'Inputs Whole-Project Water Use'!F456,""))</f>
        <v/>
      </c>
      <c r="G456" s="316" t="str">
        <f>(IF('Inputs Whole-Project Water Use'!G456&lt;&gt;"",'Inputs Whole-Project Water Use'!G456,""))</f>
        <v/>
      </c>
      <c r="H456" s="289" t="str">
        <f>IF(AND(G456&lt;&gt;"",'Inputs Whole-Project Water Use'!H456=""),0,IF('Inputs Whole-Project Water Use'!H456&lt;&gt;"",'Inputs Whole-Project Water Use'!H456,""))</f>
        <v/>
      </c>
      <c r="I456" s="225" t="str">
        <f t="shared" si="50"/>
        <v/>
      </c>
      <c r="J456" s="225" t="str">
        <f t="shared" si="51"/>
        <v/>
      </c>
      <c r="K456" s="231" t="str">
        <f t="shared" si="52"/>
        <v/>
      </c>
      <c r="L456" s="176"/>
      <c r="M456" s="241"/>
      <c r="N456" s="241"/>
      <c r="O456" s="241"/>
      <c r="P456" s="241"/>
      <c r="Q456" s="241"/>
      <c r="R456" s="241"/>
      <c r="S456" s="241"/>
      <c r="T456" s="241"/>
      <c r="U456" s="241"/>
      <c r="V456" s="241"/>
      <c r="W456" s="241"/>
      <c r="X456" s="241"/>
      <c r="Y456" s="241"/>
      <c r="Z456" s="241"/>
      <c r="AA456" s="241"/>
      <c r="AB456" s="241"/>
      <c r="AC456" s="241"/>
      <c r="AD456" s="241"/>
      <c r="AE456" s="241"/>
      <c r="AF456" s="241"/>
      <c r="AG456" s="241"/>
      <c r="AH456" s="241"/>
      <c r="AI456" s="241"/>
      <c r="AJ456" s="241"/>
      <c r="AK456" s="241"/>
      <c r="AL456" s="241"/>
      <c r="AM456" s="241"/>
      <c r="AN456" s="241"/>
      <c r="AO456" s="241"/>
      <c r="AP456" s="241"/>
      <c r="AQ456" s="241"/>
      <c r="AR456" s="241"/>
      <c r="AS456" s="241"/>
      <c r="AT456" s="241"/>
      <c r="AU456" s="241"/>
      <c r="AV456" s="241"/>
      <c r="AW456" s="241"/>
      <c r="AX456" s="241"/>
      <c r="AY456" s="241"/>
      <c r="AZ456" s="241"/>
    </row>
    <row r="457" spans="1:52" s="71" customFormat="1" ht="18" hidden="1" customHeight="1" outlineLevel="2">
      <c r="A457" s="175">
        <v>66</v>
      </c>
      <c r="B457" s="312" t="str">
        <f>(IF('Inputs Whole-Project Water Use'!B457&lt;&gt;"",'Inputs Whole-Project Water Use'!B457,""))</f>
        <v/>
      </c>
      <c r="C457" s="313" t="str">
        <f>IF(AND(F457&lt;&gt;"",'Inputs Whole-Project Water Use'!C457=""),1,IF('Inputs Whole-Project Water Use'!C457&lt;&gt;"",'Inputs Whole-Project Water Use'!C457,""))</f>
        <v/>
      </c>
      <c r="D457" s="397" t="str">
        <f>(IF('Inputs Whole-Project Water Use'!D457&lt;&gt;"",'Inputs Whole-Project Water Use'!D457,""))</f>
        <v/>
      </c>
      <c r="E457" s="398"/>
      <c r="F457" s="316" t="str">
        <f>(IF('Inputs Whole-Project Water Use'!F457&lt;&gt;"",'Inputs Whole-Project Water Use'!F457,""))</f>
        <v/>
      </c>
      <c r="G457" s="316" t="str">
        <f>(IF('Inputs Whole-Project Water Use'!G457&lt;&gt;"",'Inputs Whole-Project Water Use'!G457,""))</f>
        <v/>
      </c>
      <c r="H457" s="289" t="str">
        <f>IF(AND(G457&lt;&gt;"",'Inputs Whole-Project Water Use'!H457=""),0,IF('Inputs Whole-Project Water Use'!H457&lt;&gt;"",'Inputs Whole-Project Water Use'!H457,""))</f>
        <v/>
      </c>
      <c r="I457" s="225" t="str">
        <f t="shared" ref="I457:I501" si="53">IFERROR(IF(G457&lt;&gt;"",(G457-H457),""),"")</f>
        <v/>
      </c>
      <c r="J457" s="225" t="str">
        <f t="shared" ref="J457:J501" si="54">IFERROR(IF(OR(F457&lt;&gt;"",G457&lt;&gt;""),F457-I457,""),"")</f>
        <v/>
      </c>
      <c r="K457" s="231" t="str">
        <f t="shared" ref="K457:K501" si="55">IFERROR(J457/F457,"")</f>
        <v/>
      </c>
      <c r="L457" s="176"/>
      <c r="M457" s="241"/>
      <c r="N457" s="241"/>
      <c r="O457" s="241"/>
      <c r="P457" s="241"/>
      <c r="Q457" s="241"/>
      <c r="R457" s="241"/>
      <c r="S457" s="241"/>
      <c r="T457" s="241"/>
      <c r="U457" s="241"/>
      <c r="V457" s="241"/>
      <c r="W457" s="241"/>
      <c r="X457" s="241"/>
      <c r="Y457" s="241"/>
      <c r="Z457" s="241"/>
      <c r="AA457" s="241"/>
      <c r="AB457" s="241"/>
      <c r="AC457" s="241"/>
      <c r="AD457" s="241"/>
      <c r="AE457" s="241"/>
      <c r="AF457" s="241"/>
      <c r="AG457" s="241"/>
      <c r="AH457" s="241"/>
      <c r="AI457" s="241"/>
      <c r="AJ457" s="241"/>
      <c r="AK457" s="241"/>
      <c r="AL457" s="241"/>
      <c r="AM457" s="241"/>
      <c r="AN457" s="241"/>
      <c r="AO457" s="241"/>
      <c r="AP457" s="241"/>
      <c r="AQ457" s="241"/>
      <c r="AR457" s="241"/>
      <c r="AS457" s="241"/>
      <c r="AT457" s="241"/>
      <c r="AU457" s="241"/>
      <c r="AV457" s="241"/>
      <c r="AW457" s="241"/>
      <c r="AX457" s="241"/>
      <c r="AY457" s="241"/>
      <c r="AZ457" s="241"/>
    </row>
    <row r="458" spans="1:52" s="71" customFormat="1" ht="18" hidden="1" customHeight="1" outlineLevel="2">
      <c r="A458" s="175">
        <v>67</v>
      </c>
      <c r="B458" s="312" t="str">
        <f>(IF('Inputs Whole-Project Water Use'!B458&lt;&gt;"",'Inputs Whole-Project Water Use'!B458,""))</f>
        <v/>
      </c>
      <c r="C458" s="313" t="str">
        <f>IF(AND(F458&lt;&gt;"",'Inputs Whole-Project Water Use'!C458=""),1,IF('Inputs Whole-Project Water Use'!C458&lt;&gt;"",'Inputs Whole-Project Water Use'!C458,""))</f>
        <v/>
      </c>
      <c r="D458" s="397" t="str">
        <f>(IF('Inputs Whole-Project Water Use'!D458&lt;&gt;"",'Inputs Whole-Project Water Use'!D458,""))</f>
        <v/>
      </c>
      <c r="E458" s="398"/>
      <c r="F458" s="316" t="str">
        <f>(IF('Inputs Whole-Project Water Use'!F458&lt;&gt;"",'Inputs Whole-Project Water Use'!F458,""))</f>
        <v/>
      </c>
      <c r="G458" s="316" t="str">
        <f>(IF('Inputs Whole-Project Water Use'!G458&lt;&gt;"",'Inputs Whole-Project Water Use'!G458,""))</f>
        <v/>
      </c>
      <c r="H458" s="289" t="str">
        <f>IF(AND(G458&lt;&gt;"",'Inputs Whole-Project Water Use'!H458=""),0,IF('Inputs Whole-Project Water Use'!H458&lt;&gt;"",'Inputs Whole-Project Water Use'!H458,""))</f>
        <v/>
      </c>
      <c r="I458" s="225" t="str">
        <f t="shared" si="53"/>
        <v/>
      </c>
      <c r="J458" s="225" t="str">
        <f t="shared" si="54"/>
        <v/>
      </c>
      <c r="K458" s="231" t="str">
        <f t="shared" si="55"/>
        <v/>
      </c>
      <c r="L458" s="176"/>
      <c r="M458" s="241"/>
      <c r="N458" s="241"/>
      <c r="O458" s="241"/>
      <c r="P458" s="241"/>
      <c r="Q458" s="241"/>
      <c r="R458" s="241"/>
      <c r="S458" s="241"/>
      <c r="T458" s="241"/>
      <c r="U458" s="241"/>
      <c r="V458" s="241"/>
      <c r="W458" s="241"/>
      <c r="X458" s="241"/>
      <c r="Y458" s="241"/>
      <c r="Z458" s="241"/>
      <c r="AA458" s="241"/>
      <c r="AB458" s="241"/>
      <c r="AC458" s="241"/>
      <c r="AD458" s="241"/>
      <c r="AE458" s="241"/>
      <c r="AF458" s="241"/>
      <c r="AG458" s="241"/>
      <c r="AH458" s="241"/>
      <c r="AI458" s="241"/>
      <c r="AJ458" s="241"/>
      <c r="AK458" s="241"/>
      <c r="AL458" s="241"/>
      <c r="AM458" s="241"/>
      <c r="AN458" s="241"/>
      <c r="AO458" s="241"/>
      <c r="AP458" s="241"/>
      <c r="AQ458" s="241"/>
      <c r="AR458" s="241"/>
      <c r="AS458" s="241"/>
      <c r="AT458" s="241"/>
      <c r="AU458" s="241"/>
      <c r="AV458" s="241"/>
      <c r="AW458" s="241"/>
      <c r="AX458" s="241"/>
      <c r="AY458" s="241"/>
      <c r="AZ458" s="241"/>
    </row>
    <row r="459" spans="1:52" s="71" customFormat="1" ht="18" hidden="1" customHeight="1" outlineLevel="2">
      <c r="A459" s="175">
        <v>68</v>
      </c>
      <c r="B459" s="312" t="str">
        <f>(IF('Inputs Whole-Project Water Use'!B459&lt;&gt;"",'Inputs Whole-Project Water Use'!B459,""))</f>
        <v/>
      </c>
      <c r="C459" s="313" t="str">
        <f>IF(AND(F459&lt;&gt;"",'Inputs Whole-Project Water Use'!C459=""),1,IF('Inputs Whole-Project Water Use'!C459&lt;&gt;"",'Inputs Whole-Project Water Use'!C459,""))</f>
        <v/>
      </c>
      <c r="D459" s="397" t="str">
        <f>(IF('Inputs Whole-Project Water Use'!D459&lt;&gt;"",'Inputs Whole-Project Water Use'!D459,""))</f>
        <v/>
      </c>
      <c r="E459" s="398"/>
      <c r="F459" s="316" t="str">
        <f>(IF('Inputs Whole-Project Water Use'!F459&lt;&gt;"",'Inputs Whole-Project Water Use'!F459,""))</f>
        <v/>
      </c>
      <c r="G459" s="316" t="str">
        <f>(IF('Inputs Whole-Project Water Use'!G459&lt;&gt;"",'Inputs Whole-Project Water Use'!G459,""))</f>
        <v/>
      </c>
      <c r="H459" s="289" t="str">
        <f>IF(AND(G459&lt;&gt;"",'Inputs Whole-Project Water Use'!H459=""),0,IF('Inputs Whole-Project Water Use'!H459&lt;&gt;"",'Inputs Whole-Project Water Use'!H459,""))</f>
        <v/>
      </c>
      <c r="I459" s="225" t="str">
        <f t="shared" si="53"/>
        <v/>
      </c>
      <c r="J459" s="225" t="str">
        <f t="shared" si="54"/>
        <v/>
      </c>
      <c r="K459" s="231" t="str">
        <f t="shared" si="55"/>
        <v/>
      </c>
      <c r="L459" s="176"/>
      <c r="M459" s="241"/>
      <c r="N459" s="241"/>
      <c r="O459" s="241"/>
      <c r="P459" s="241"/>
      <c r="Q459" s="241"/>
      <c r="R459" s="241"/>
      <c r="S459" s="241"/>
      <c r="T459" s="241"/>
      <c r="U459" s="241"/>
      <c r="V459" s="241"/>
      <c r="W459" s="241"/>
      <c r="X459" s="241"/>
      <c r="Y459" s="241"/>
      <c r="Z459" s="241"/>
      <c r="AA459" s="241"/>
      <c r="AB459" s="241"/>
      <c r="AC459" s="241"/>
      <c r="AD459" s="241"/>
      <c r="AE459" s="241"/>
      <c r="AF459" s="241"/>
      <c r="AG459" s="241"/>
      <c r="AH459" s="241"/>
      <c r="AI459" s="241"/>
      <c r="AJ459" s="241"/>
      <c r="AK459" s="241"/>
      <c r="AL459" s="241"/>
      <c r="AM459" s="241"/>
      <c r="AN459" s="241"/>
      <c r="AO459" s="241"/>
      <c r="AP459" s="241"/>
      <c r="AQ459" s="241"/>
      <c r="AR459" s="241"/>
      <c r="AS459" s="241"/>
      <c r="AT459" s="241"/>
      <c r="AU459" s="241"/>
      <c r="AV459" s="241"/>
      <c r="AW459" s="241"/>
      <c r="AX459" s="241"/>
      <c r="AY459" s="241"/>
      <c r="AZ459" s="241"/>
    </row>
    <row r="460" spans="1:52" s="71" customFormat="1" ht="18" hidden="1" customHeight="1" outlineLevel="2">
      <c r="A460" s="175">
        <v>69</v>
      </c>
      <c r="B460" s="312" t="str">
        <f>(IF('Inputs Whole-Project Water Use'!B460&lt;&gt;"",'Inputs Whole-Project Water Use'!B460,""))</f>
        <v/>
      </c>
      <c r="C460" s="313" t="str">
        <f>IF(AND(F460&lt;&gt;"",'Inputs Whole-Project Water Use'!C460=""),1,IF('Inputs Whole-Project Water Use'!C460&lt;&gt;"",'Inputs Whole-Project Water Use'!C460,""))</f>
        <v/>
      </c>
      <c r="D460" s="397" t="str">
        <f>(IF('Inputs Whole-Project Water Use'!D460&lt;&gt;"",'Inputs Whole-Project Water Use'!D460,""))</f>
        <v/>
      </c>
      <c r="E460" s="398"/>
      <c r="F460" s="316" t="str">
        <f>(IF('Inputs Whole-Project Water Use'!F460&lt;&gt;"",'Inputs Whole-Project Water Use'!F460,""))</f>
        <v/>
      </c>
      <c r="G460" s="316" t="str">
        <f>(IF('Inputs Whole-Project Water Use'!G460&lt;&gt;"",'Inputs Whole-Project Water Use'!G460,""))</f>
        <v/>
      </c>
      <c r="H460" s="289" t="str">
        <f>IF(AND(G460&lt;&gt;"",'Inputs Whole-Project Water Use'!H460=""),0,IF('Inputs Whole-Project Water Use'!H460&lt;&gt;"",'Inputs Whole-Project Water Use'!H460,""))</f>
        <v/>
      </c>
      <c r="I460" s="225" t="str">
        <f t="shared" si="53"/>
        <v/>
      </c>
      <c r="J460" s="225" t="str">
        <f t="shared" si="54"/>
        <v/>
      </c>
      <c r="K460" s="231" t="str">
        <f t="shared" si="55"/>
        <v/>
      </c>
      <c r="L460" s="176"/>
      <c r="M460" s="241"/>
      <c r="N460" s="241"/>
      <c r="O460" s="241"/>
      <c r="P460" s="241"/>
      <c r="Q460" s="241"/>
      <c r="R460" s="241"/>
      <c r="S460" s="241"/>
      <c r="T460" s="241"/>
      <c r="U460" s="241"/>
      <c r="V460" s="241"/>
      <c r="W460" s="241"/>
      <c r="X460" s="241"/>
      <c r="Y460" s="241"/>
      <c r="Z460" s="241"/>
      <c r="AA460" s="241"/>
      <c r="AB460" s="241"/>
      <c r="AC460" s="241"/>
      <c r="AD460" s="241"/>
      <c r="AE460" s="241"/>
      <c r="AF460" s="241"/>
      <c r="AG460" s="241"/>
      <c r="AH460" s="241"/>
      <c r="AI460" s="241"/>
      <c r="AJ460" s="241"/>
      <c r="AK460" s="241"/>
      <c r="AL460" s="241"/>
      <c r="AM460" s="241"/>
      <c r="AN460" s="241"/>
      <c r="AO460" s="241"/>
      <c r="AP460" s="241"/>
      <c r="AQ460" s="241"/>
      <c r="AR460" s="241"/>
      <c r="AS460" s="241"/>
      <c r="AT460" s="241"/>
      <c r="AU460" s="241"/>
      <c r="AV460" s="241"/>
      <c r="AW460" s="241"/>
      <c r="AX460" s="241"/>
      <c r="AY460" s="241"/>
      <c r="AZ460" s="241"/>
    </row>
    <row r="461" spans="1:52" s="71" customFormat="1" ht="18" hidden="1" customHeight="1" outlineLevel="2">
      <c r="A461" s="175">
        <v>70</v>
      </c>
      <c r="B461" s="312" t="str">
        <f>(IF('Inputs Whole-Project Water Use'!B461&lt;&gt;"",'Inputs Whole-Project Water Use'!B461,""))</f>
        <v/>
      </c>
      <c r="C461" s="313" t="str">
        <f>IF(AND(F461&lt;&gt;"",'Inputs Whole-Project Water Use'!C461=""),1,IF('Inputs Whole-Project Water Use'!C461&lt;&gt;"",'Inputs Whole-Project Water Use'!C461,""))</f>
        <v/>
      </c>
      <c r="D461" s="397" t="str">
        <f>(IF('Inputs Whole-Project Water Use'!D461&lt;&gt;"",'Inputs Whole-Project Water Use'!D461,""))</f>
        <v/>
      </c>
      <c r="E461" s="398"/>
      <c r="F461" s="316" t="str">
        <f>(IF('Inputs Whole-Project Water Use'!F461&lt;&gt;"",'Inputs Whole-Project Water Use'!F461,""))</f>
        <v/>
      </c>
      <c r="G461" s="316" t="str">
        <f>(IF('Inputs Whole-Project Water Use'!G461&lt;&gt;"",'Inputs Whole-Project Water Use'!G461,""))</f>
        <v/>
      </c>
      <c r="H461" s="289" t="str">
        <f>IF(AND(G461&lt;&gt;"",'Inputs Whole-Project Water Use'!H461=""),0,IF('Inputs Whole-Project Water Use'!H461&lt;&gt;"",'Inputs Whole-Project Water Use'!H461,""))</f>
        <v/>
      </c>
      <c r="I461" s="225" t="str">
        <f t="shared" si="53"/>
        <v/>
      </c>
      <c r="J461" s="225" t="str">
        <f t="shared" si="54"/>
        <v/>
      </c>
      <c r="K461" s="231" t="str">
        <f t="shared" si="55"/>
        <v/>
      </c>
      <c r="L461" s="176"/>
      <c r="M461" s="241"/>
      <c r="N461" s="241"/>
      <c r="O461" s="241"/>
      <c r="P461" s="241"/>
      <c r="Q461" s="241"/>
      <c r="R461" s="241"/>
      <c r="S461" s="241"/>
      <c r="T461" s="241"/>
      <c r="U461" s="241"/>
      <c r="V461" s="241"/>
      <c r="W461" s="241"/>
      <c r="X461" s="241"/>
      <c r="Y461" s="241"/>
      <c r="Z461" s="241"/>
      <c r="AA461" s="241"/>
      <c r="AB461" s="241"/>
      <c r="AC461" s="241"/>
      <c r="AD461" s="241"/>
      <c r="AE461" s="241"/>
      <c r="AF461" s="241"/>
      <c r="AG461" s="241"/>
      <c r="AH461" s="241"/>
      <c r="AI461" s="241"/>
      <c r="AJ461" s="241"/>
      <c r="AK461" s="241"/>
      <c r="AL461" s="241"/>
      <c r="AM461" s="241"/>
      <c r="AN461" s="241"/>
      <c r="AO461" s="241"/>
      <c r="AP461" s="241"/>
      <c r="AQ461" s="241"/>
      <c r="AR461" s="241"/>
      <c r="AS461" s="241"/>
      <c r="AT461" s="241"/>
      <c r="AU461" s="241"/>
      <c r="AV461" s="241"/>
      <c r="AW461" s="241"/>
      <c r="AX461" s="241"/>
      <c r="AY461" s="241"/>
      <c r="AZ461" s="241"/>
    </row>
    <row r="462" spans="1:52" s="71" customFormat="1" ht="18" hidden="1" customHeight="1" outlineLevel="1" collapsed="1">
      <c r="A462" s="175">
        <v>71</v>
      </c>
      <c r="B462" s="312" t="str">
        <f>(IF('Inputs Whole-Project Water Use'!B462&lt;&gt;"",'Inputs Whole-Project Water Use'!B462,""))</f>
        <v/>
      </c>
      <c r="C462" s="313" t="str">
        <f>IF(AND(F462&lt;&gt;"",'Inputs Whole-Project Water Use'!C462=""),1,IF('Inputs Whole-Project Water Use'!C462&lt;&gt;"",'Inputs Whole-Project Water Use'!C462,""))</f>
        <v/>
      </c>
      <c r="D462" s="397" t="str">
        <f>(IF('Inputs Whole-Project Water Use'!D462&lt;&gt;"",'Inputs Whole-Project Water Use'!D462,""))</f>
        <v/>
      </c>
      <c r="E462" s="398"/>
      <c r="F462" s="316" t="str">
        <f>(IF('Inputs Whole-Project Water Use'!F462&lt;&gt;"",'Inputs Whole-Project Water Use'!F462,""))</f>
        <v/>
      </c>
      <c r="G462" s="316" t="str">
        <f>(IF('Inputs Whole-Project Water Use'!G462&lt;&gt;"",'Inputs Whole-Project Water Use'!G462,""))</f>
        <v/>
      </c>
      <c r="H462" s="289" t="str">
        <f>IF(AND(G462&lt;&gt;"",'Inputs Whole-Project Water Use'!H462=""),0,IF('Inputs Whole-Project Water Use'!H462&lt;&gt;"",'Inputs Whole-Project Water Use'!H462,""))</f>
        <v/>
      </c>
      <c r="I462" s="225" t="str">
        <f t="shared" si="53"/>
        <v/>
      </c>
      <c r="J462" s="225" t="str">
        <f t="shared" si="54"/>
        <v/>
      </c>
      <c r="K462" s="231" t="str">
        <f t="shared" si="55"/>
        <v/>
      </c>
      <c r="L462" s="176" t="s">
        <v>165</v>
      </c>
      <c r="M462" s="241"/>
      <c r="N462" s="241"/>
      <c r="O462" s="241"/>
      <c r="P462" s="241"/>
      <c r="Q462" s="241"/>
      <c r="R462" s="241"/>
      <c r="S462" s="241"/>
      <c r="T462" s="241"/>
      <c r="U462" s="241"/>
      <c r="V462" s="241"/>
      <c r="W462" s="241"/>
      <c r="X462" s="241"/>
      <c r="Y462" s="241"/>
      <c r="Z462" s="241"/>
      <c r="AA462" s="241"/>
      <c r="AB462" s="241"/>
      <c r="AC462" s="241"/>
      <c r="AD462" s="241"/>
      <c r="AE462" s="241"/>
      <c r="AF462" s="241"/>
      <c r="AG462" s="241"/>
      <c r="AH462" s="241"/>
      <c r="AI462" s="241"/>
      <c r="AJ462" s="241"/>
      <c r="AK462" s="241"/>
      <c r="AL462" s="241"/>
      <c r="AM462" s="241"/>
      <c r="AN462" s="241"/>
      <c r="AO462" s="241"/>
      <c r="AP462" s="241"/>
      <c r="AQ462" s="241"/>
      <c r="AR462" s="241"/>
      <c r="AS462" s="241"/>
      <c r="AT462" s="241"/>
      <c r="AU462" s="241"/>
      <c r="AV462" s="241"/>
      <c r="AW462" s="241"/>
      <c r="AX462" s="241"/>
      <c r="AY462" s="241"/>
      <c r="AZ462" s="241"/>
    </row>
    <row r="463" spans="1:52" s="71" customFormat="1" ht="18" hidden="1" customHeight="1" outlineLevel="2">
      <c r="A463" s="175">
        <v>72</v>
      </c>
      <c r="B463" s="312" t="str">
        <f>(IF('Inputs Whole-Project Water Use'!B463&lt;&gt;"",'Inputs Whole-Project Water Use'!B463,""))</f>
        <v/>
      </c>
      <c r="C463" s="313" t="str">
        <f>IF(AND(F463&lt;&gt;"",'Inputs Whole-Project Water Use'!C463=""),1,IF('Inputs Whole-Project Water Use'!C463&lt;&gt;"",'Inputs Whole-Project Water Use'!C463,""))</f>
        <v/>
      </c>
      <c r="D463" s="397" t="str">
        <f>(IF('Inputs Whole-Project Water Use'!D463&lt;&gt;"",'Inputs Whole-Project Water Use'!D463,""))</f>
        <v/>
      </c>
      <c r="E463" s="398"/>
      <c r="F463" s="316" t="str">
        <f>(IF('Inputs Whole-Project Water Use'!F463&lt;&gt;"",'Inputs Whole-Project Water Use'!F463,""))</f>
        <v/>
      </c>
      <c r="G463" s="316" t="str">
        <f>(IF('Inputs Whole-Project Water Use'!G463&lt;&gt;"",'Inputs Whole-Project Water Use'!G463,""))</f>
        <v/>
      </c>
      <c r="H463" s="289" t="str">
        <f>IF(AND(G463&lt;&gt;"",'Inputs Whole-Project Water Use'!H463=""),0,IF('Inputs Whole-Project Water Use'!H463&lt;&gt;"",'Inputs Whole-Project Water Use'!H463,""))</f>
        <v/>
      </c>
      <c r="I463" s="225" t="str">
        <f t="shared" si="53"/>
        <v/>
      </c>
      <c r="J463" s="225" t="str">
        <f t="shared" si="54"/>
        <v/>
      </c>
      <c r="K463" s="231" t="str">
        <f t="shared" si="55"/>
        <v/>
      </c>
      <c r="L463" s="176"/>
      <c r="M463" s="241"/>
      <c r="N463" s="241"/>
      <c r="O463" s="241"/>
      <c r="P463" s="241"/>
      <c r="Q463" s="241"/>
      <c r="R463" s="241"/>
      <c r="S463" s="241"/>
      <c r="T463" s="241"/>
      <c r="U463" s="241"/>
      <c r="V463" s="241"/>
      <c r="W463" s="241"/>
      <c r="X463" s="241"/>
      <c r="Y463" s="241"/>
      <c r="Z463" s="241"/>
      <c r="AA463" s="241"/>
      <c r="AB463" s="241"/>
      <c r="AC463" s="241"/>
      <c r="AD463" s="241"/>
      <c r="AE463" s="241"/>
      <c r="AF463" s="241"/>
      <c r="AG463" s="241"/>
      <c r="AH463" s="241"/>
      <c r="AI463" s="241"/>
      <c r="AJ463" s="241"/>
      <c r="AK463" s="241"/>
      <c r="AL463" s="241"/>
      <c r="AM463" s="241"/>
      <c r="AN463" s="241"/>
      <c r="AO463" s="241"/>
      <c r="AP463" s="241"/>
      <c r="AQ463" s="241"/>
      <c r="AR463" s="241"/>
      <c r="AS463" s="241"/>
      <c r="AT463" s="241"/>
      <c r="AU463" s="241"/>
      <c r="AV463" s="241"/>
      <c r="AW463" s="241"/>
      <c r="AX463" s="241"/>
      <c r="AY463" s="241"/>
      <c r="AZ463" s="241"/>
    </row>
    <row r="464" spans="1:52" s="71" customFormat="1" ht="18" hidden="1" customHeight="1" outlineLevel="2">
      <c r="A464" s="175">
        <v>73</v>
      </c>
      <c r="B464" s="312" t="str">
        <f>(IF('Inputs Whole-Project Water Use'!B464&lt;&gt;"",'Inputs Whole-Project Water Use'!B464,""))</f>
        <v/>
      </c>
      <c r="C464" s="313" t="str">
        <f>IF(AND(F464&lt;&gt;"",'Inputs Whole-Project Water Use'!C464=""),1,IF('Inputs Whole-Project Water Use'!C464&lt;&gt;"",'Inputs Whole-Project Water Use'!C464,""))</f>
        <v/>
      </c>
      <c r="D464" s="397" t="str">
        <f>(IF('Inputs Whole-Project Water Use'!D464&lt;&gt;"",'Inputs Whole-Project Water Use'!D464,""))</f>
        <v/>
      </c>
      <c r="E464" s="398"/>
      <c r="F464" s="316" t="str">
        <f>(IF('Inputs Whole-Project Water Use'!F464&lt;&gt;"",'Inputs Whole-Project Water Use'!F464,""))</f>
        <v/>
      </c>
      <c r="G464" s="316" t="str">
        <f>(IF('Inputs Whole-Project Water Use'!G464&lt;&gt;"",'Inputs Whole-Project Water Use'!G464,""))</f>
        <v/>
      </c>
      <c r="H464" s="289" t="str">
        <f>IF(AND(G464&lt;&gt;"",'Inputs Whole-Project Water Use'!H464=""),0,IF('Inputs Whole-Project Water Use'!H464&lt;&gt;"",'Inputs Whole-Project Water Use'!H464,""))</f>
        <v/>
      </c>
      <c r="I464" s="225" t="str">
        <f t="shared" si="53"/>
        <v/>
      </c>
      <c r="J464" s="225" t="str">
        <f t="shared" si="54"/>
        <v/>
      </c>
      <c r="K464" s="231" t="str">
        <f t="shared" si="55"/>
        <v/>
      </c>
      <c r="L464" s="176"/>
      <c r="M464" s="241"/>
      <c r="N464" s="241"/>
      <c r="O464" s="241"/>
      <c r="P464" s="241"/>
      <c r="Q464" s="241"/>
      <c r="R464" s="241"/>
      <c r="S464" s="241"/>
      <c r="T464" s="241"/>
      <c r="U464" s="241"/>
      <c r="V464" s="241"/>
      <c r="W464" s="241"/>
      <c r="X464" s="241"/>
      <c r="Y464" s="241"/>
      <c r="Z464" s="241"/>
      <c r="AA464" s="241"/>
      <c r="AB464" s="241"/>
      <c r="AC464" s="241"/>
      <c r="AD464" s="241"/>
      <c r="AE464" s="241"/>
      <c r="AF464" s="241"/>
      <c r="AG464" s="241"/>
      <c r="AH464" s="241"/>
      <c r="AI464" s="241"/>
      <c r="AJ464" s="241"/>
      <c r="AK464" s="241"/>
      <c r="AL464" s="241"/>
      <c r="AM464" s="241"/>
      <c r="AN464" s="241"/>
      <c r="AO464" s="241"/>
      <c r="AP464" s="241"/>
      <c r="AQ464" s="241"/>
      <c r="AR464" s="241"/>
      <c r="AS464" s="241"/>
      <c r="AT464" s="241"/>
      <c r="AU464" s="241"/>
      <c r="AV464" s="241"/>
      <c r="AW464" s="241"/>
      <c r="AX464" s="241"/>
      <c r="AY464" s="241"/>
      <c r="AZ464" s="241"/>
    </row>
    <row r="465" spans="1:52" s="71" customFormat="1" ht="18" hidden="1" customHeight="1" outlineLevel="2">
      <c r="A465" s="175">
        <v>74</v>
      </c>
      <c r="B465" s="312" t="str">
        <f>(IF('Inputs Whole-Project Water Use'!B465&lt;&gt;"",'Inputs Whole-Project Water Use'!B465,""))</f>
        <v/>
      </c>
      <c r="C465" s="313" t="str">
        <f>IF(AND(F465&lt;&gt;"",'Inputs Whole-Project Water Use'!C465=""),1,IF('Inputs Whole-Project Water Use'!C465&lt;&gt;"",'Inputs Whole-Project Water Use'!C465,""))</f>
        <v/>
      </c>
      <c r="D465" s="397" t="str">
        <f>(IF('Inputs Whole-Project Water Use'!D465&lt;&gt;"",'Inputs Whole-Project Water Use'!D465,""))</f>
        <v/>
      </c>
      <c r="E465" s="398"/>
      <c r="F465" s="316" t="str">
        <f>(IF('Inputs Whole-Project Water Use'!F465&lt;&gt;"",'Inputs Whole-Project Water Use'!F465,""))</f>
        <v/>
      </c>
      <c r="G465" s="316" t="str">
        <f>(IF('Inputs Whole-Project Water Use'!G465&lt;&gt;"",'Inputs Whole-Project Water Use'!G465,""))</f>
        <v/>
      </c>
      <c r="H465" s="289" t="str">
        <f>IF(AND(G465&lt;&gt;"",'Inputs Whole-Project Water Use'!H465=""),0,IF('Inputs Whole-Project Water Use'!H465&lt;&gt;"",'Inputs Whole-Project Water Use'!H465,""))</f>
        <v/>
      </c>
      <c r="I465" s="225" t="str">
        <f t="shared" si="53"/>
        <v/>
      </c>
      <c r="J465" s="225" t="str">
        <f t="shared" si="54"/>
        <v/>
      </c>
      <c r="K465" s="231" t="str">
        <f t="shared" si="55"/>
        <v/>
      </c>
      <c r="L465" s="176"/>
      <c r="M465" s="241"/>
      <c r="N465" s="241"/>
      <c r="O465" s="241"/>
      <c r="P465" s="241"/>
      <c r="Q465" s="241"/>
      <c r="R465" s="241"/>
      <c r="S465" s="241"/>
      <c r="T465" s="241"/>
      <c r="U465" s="241"/>
      <c r="V465" s="241"/>
      <c r="W465" s="241"/>
      <c r="X465" s="241"/>
      <c r="Y465" s="241"/>
      <c r="Z465" s="241"/>
      <c r="AA465" s="241"/>
      <c r="AB465" s="241"/>
      <c r="AC465" s="241"/>
      <c r="AD465" s="241"/>
      <c r="AE465" s="241"/>
      <c r="AF465" s="241"/>
      <c r="AG465" s="241"/>
      <c r="AH465" s="241"/>
      <c r="AI465" s="241"/>
      <c r="AJ465" s="241"/>
      <c r="AK465" s="241"/>
      <c r="AL465" s="241"/>
      <c r="AM465" s="241"/>
      <c r="AN465" s="241"/>
      <c r="AO465" s="241"/>
      <c r="AP465" s="241"/>
      <c r="AQ465" s="241"/>
      <c r="AR465" s="241"/>
      <c r="AS465" s="241"/>
      <c r="AT465" s="241"/>
      <c r="AU465" s="241"/>
      <c r="AV465" s="241"/>
      <c r="AW465" s="241"/>
      <c r="AX465" s="241"/>
      <c r="AY465" s="241"/>
      <c r="AZ465" s="241"/>
    </row>
    <row r="466" spans="1:52" s="71" customFormat="1" ht="18" hidden="1" customHeight="1" outlineLevel="2">
      <c r="A466" s="175">
        <v>75</v>
      </c>
      <c r="B466" s="312" t="str">
        <f>(IF('Inputs Whole-Project Water Use'!B466&lt;&gt;"",'Inputs Whole-Project Water Use'!B466,""))</f>
        <v/>
      </c>
      <c r="C466" s="313" t="str">
        <f>IF(AND(F466&lt;&gt;"",'Inputs Whole-Project Water Use'!C466=""),1,IF('Inputs Whole-Project Water Use'!C466&lt;&gt;"",'Inputs Whole-Project Water Use'!C466,""))</f>
        <v/>
      </c>
      <c r="D466" s="397" t="str">
        <f>(IF('Inputs Whole-Project Water Use'!D466&lt;&gt;"",'Inputs Whole-Project Water Use'!D466,""))</f>
        <v/>
      </c>
      <c r="E466" s="398"/>
      <c r="F466" s="316" t="str">
        <f>(IF('Inputs Whole-Project Water Use'!F466&lt;&gt;"",'Inputs Whole-Project Water Use'!F466,""))</f>
        <v/>
      </c>
      <c r="G466" s="316" t="str">
        <f>(IF('Inputs Whole-Project Water Use'!G466&lt;&gt;"",'Inputs Whole-Project Water Use'!G466,""))</f>
        <v/>
      </c>
      <c r="H466" s="289" t="str">
        <f>IF(AND(G466&lt;&gt;"",'Inputs Whole-Project Water Use'!H466=""),0,IF('Inputs Whole-Project Water Use'!H466&lt;&gt;"",'Inputs Whole-Project Water Use'!H466,""))</f>
        <v/>
      </c>
      <c r="I466" s="225" t="str">
        <f t="shared" si="53"/>
        <v/>
      </c>
      <c r="J466" s="225" t="str">
        <f t="shared" si="54"/>
        <v/>
      </c>
      <c r="K466" s="231" t="str">
        <f t="shared" si="55"/>
        <v/>
      </c>
      <c r="L466" s="176"/>
      <c r="M466" s="241"/>
      <c r="N466" s="241"/>
      <c r="O466" s="241"/>
      <c r="P466" s="241"/>
      <c r="Q466" s="241"/>
      <c r="R466" s="241"/>
      <c r="S466" s="241"/>
      <c r="T466" s="241"/>
      <c r="U466" s="241"/>
      <c r="V466" s="241"/>
      <c r="W466" s="241"/>
      <c r="X466" s="241"/>
      <c r="Y466" s="241"/>
      <c r="Z466" s="241"/>
      <c r="AA466" s="241"/>
      <c r="AB466" s="241"/>
      <c r="AC466" s="241"/>
      <c r="AD466" s="241"/>
      <c r="AE466" s="241"/>
      <c r="AF466" s="241"/>
      <c r="AG466" s="241"/>
      <c r="AH466" s="241"/>
      <c r="AI466" s="241"/>
      <c r="AJ466" s="241"/>
      <c r="AK466" s="241"/>
      <c r="AL466" s="241"/>
      <c r="AM466" s="241"/>
      <c r="AN466" s="241"/>
      <c r="AO466" s="241"/>
      <c r="AP466" s="241"/>
      <c r="AQ466" s="241"/>
      <c r="AR466" s="241"/>
      <c r="AS466" s="241"/>
      <c r="AT466" s="241"/>
      <c r="AU466" s="241"/>
      <c r="AV466" s="241"/>
      <c r="AW466" s="241"/>
      <c r="AX466" s="241"/>
      <c r="AY466" s="241"/>
      <c r="AZ466" s="241"/>
    </row>
    <row r="467" spans="1:52" s="71" customFormat="1" ht="18" hidden="1" customHeight="1" outlineLevel="2">
      <c r="A467" s="175">
        <v>76</v>
      </c>
      <c r="B467" s="312" t="str">
        <f>(IF('Inputs Whole-Project Water Use'!B467&lt;&gt;"",'Inputs Whole-Project Water Use'!B467,""))</f>
        <v/>
      </c>
      <c r="C467" s="313" t="str">
        <f>IF(AND(F467&lt;&gt;"",'Inputs Whole-Project Water Use'!C467=""),1,IF('Inputs Whole-Project Water Use'!C467&lt;&gt;"",'Inputs Whole-Project Water Use'!C467,""))</f>
        <v/>
      </c>
      <c r="D467" s="397" t="str">
        <f>(IF('Inputs Whole-Project Water Use'!D467&lt;&gt;"",'Inputs Whole-Project Water Use'!D467,""))</f>
        <v/>
      </c>
      <c r="E467" s="398"/>
      <c r="F467" s="316" t="str">
        <f>(IF('Inputs Whole-Project Water Use'!F467&lt;&gt;"",'Inputs Whole-Project Water Use'!F467,""))</f>
        <v/>
      </c>
      <c r="G467" s="316" t="str">
        <f>(IF('Inputs Whole-Project Water Use'!G467&lt;&gt;"",'Inputs Whole-Project Water Use'!G467,""))</f>
        <v/>
      </c>
      <c r="H467" s="289" t="str">
        <f>IF(AND(G467&lt;&gt;"",'Inputs Whole-Project Water Use'!H467=""),0,IF('Inputs Whole-Project Water Use'!H467&lt;&gt;"",'Inputs Whole-Project Water Use'!H467,""))</f>
        <v/>
      </c>
      <c r="I467" s="225" t="str">
        <f t="shared" si="53"/>
        <v/>
      </c>
      <c r="J467" s="225" t="str">
        <f t="shared" si="54"/>
        <v/>
      </c>
      <c r="K467" s="231" t="str">
        <f t="shared" si="55"/>
        <v/>
      </c>
      <c r="L467" s="176"/>
      <c r="M467" s="241"/>
      <c r="N467" s="241"/>
      <c r="O467" s="241"/>
      <c r="P467" s="241"/>
      <c r="Q467" s="241"/>
      <c r="R467" s="241"/>
      <c r="S467" s="241"/>
      <c r="T467" s="241"/>
      <c r="U467" s="241"/>
      <c r="V467" s="241"/>
      <c r="W467" s="241"/>
      <c r="X467" s="241"/>
      <c r="Y467" s="241"/>
      <c r="Z467" s="241"/>
      <c r="AA467" s="241"/>
      <c r="AB467" s="241"/>
      <c r="AC467" s="241"/>
      <c r="AD467" s="241"/>
      <c r="AE467" s="241"/>
      <c r="AF467" s="241"/>
      <c r="AG467" s="241"/>
      <c r="AH467" s="241"/>
      <c r="AI467" s="241"/>
      <c r="AJ467" s="241"/>
      <c r="AK467" s="241"/>
      <c r="AL467" s="241"/>
      <c r="AM467" s="241"/>
      <c r="AN467" s="241"/>
      <c r="AO467" s="241"/>
      <c r="AP467" s="241"/>
      <c r="AQ467" s="241"/>
      <c r="AR467" s="241"/>
      <c r="AS467" s="241"/>
      <c r="AT467" s="241"/>
      <c r="AU467" s="241"/>
      <c r="AV467" s="241"/>
      <c r="AW467" s="241"/>
      <c r="AX467" s="241"/>
      <c r="AY467" s="241"/>
      <c r="AZ467" s="241"/>
    </row>
    <row r="468" spans="1:52" s="71" customFormat="1" ht="18" hidden="1" customHeight="1" outlineLevel="2">
      <c r="A468" s="175">
        <v>77</v>
      </c>
      <c r="B468" s="312" t="str">
        <f>(IF('Inputs Whole-Project Water Use'!B468&lt;&gt;"",'Inputs Whole-Project Water Use'!B468,""))</f>
        <v/>
      </c>
      <c r="C468" s="313" t="str">
        <f>IF(AND(F468&lt;&gt;"",'Inputs Whole-Project Water Use'!C468=""),1,IF('Inputs Whole-Project Water Use'!C468&lt;&gt;"",'Inputs Whole-Project Water Use'!C468,""))</f>
        <v/>
      </c>
      <c r="D468" s="397" t="str">
        <f>(IF('Inputs Whole-Project Water Use'!D468&lt;&gt;"",'Inputs Whole-Project Water Use'!D468,""))</f>
        <v/>
      </c>
      <c r="E468" s="398"/>
      <c r="F468" s="316" t="str">
        <f>(IF('Inputs Whole-Project Water Use'!F468&lt;&gt;"",'Inputs Whole-Project Water Use'!F468,""))</f>
        <v/>
      </c>
      <c r="G468" s="316" t="str">
        <f>(IF('Inputs Whole-Project Water Use'!G468&lt;&gt;"",'Inputs Whole-Project Water Use'!G468,""))</f>
        <v/>
      </c>
      <c r="H468" s="289" t="str">
        <f>IF(AND(G468&lt;&gt;"",'Inputs Whole-Project Water Use'!H468=""),0,IF('Inputs Whole-Project Water Use'!H468&lt;&gt;"",'Inputs Whole-Project Water Use'!H468,""))</f>
        <v/>
      </c>
      <c r="I468" s="225" t="str">
        <f t="shared" si="53"/>
        <v/>
      </c>
      <c r="J468" s="225" t="str">
        <f t="shared" si="54"/>
        <v/>
      </c>
      <c r="K468" s="231" t="str">
        <f t="shared" si="55"/>
        <v/>
      </c>
      <c r="L468" s="176"/>
      <c r="M468" s="241"/>
      <c r="N468" s="241"/>
      <c r="O468" s="241"/>
      <c r="P468" s="241"/>
      <c r="Q468" s="241"/>
      <c r="R468" s="241"/>
      <c r="S468" s="241"/>
      <c r="T468" s="241"/>
      <c r="U468" s="241"/>
      <c r="V468" s="241"/>
      <c r="W468" s="241"/>
      <c r="X468" s="241"/>
      <c r="Y468" s="241"/>
      <c r="Z468" s="241"/>
      <c r="AA468" s="241"/>
      <c r="AB468" s="241"/>
      <c r="AC468" s="241"/>
      <c r="AD468" s="241"/>
      <c r="AE468" s="241"/>
      <c r="AF468" s="241"/>
      <c r="AG468" s="241"/>
      <c r="AH468" s="241"/>
      <c r="AI468" s="241"/>
      <c r="AJ468" s="241"/>
      <c r="AK468" s="241"/>
      <c r="AL468" s="241"/>
      <c r="AM468" s="241"/>
      <c r="AN468" s="241"/>
      <c r="AO468" s="241"/>
      <c r="AP468" s="241"/>
      <c r="AQ468" s="241"/>
      <c r="AR468" s="241"/>
      <c r="AS468" s="241"/>
      <c r="AT468" s="241"/>
      <c r="AU468" s="241"/>
      <c r="AV468" s="241"/>
      <c r="AW468" s="241"/>
      <c r="AX468" s="241"/>
      <c r="AY468" s="241"/>
      <c r="AZ468" s="241"/>
    </row>
    <row r="469" spans="1:52" s="71" customFormat="1" ht="18" hidden="1" customHeight="1" outlineLevel="2">
      <c r="A469" s="175">
        <v>78</v>
      </c>
      <c r="B469" s="312" t="str">
        <f>(IF('Inputs Whole-Project Water Use'!B469&lt;&gt;"",'Inputs Whole-Project Water Use'!B469,""))</f>
        <v/>
      </c>
      <c r="C469" s="313" t="str">
        <f>IF(AND(F469&lt;&gt;"",'Inputs Whole-Project Water Use'!C469=""),1,IF('Inputs Whole-Project Water Use'!C469&lt;&gt;"",'Inputs Whole-Project Water Use'!C469,""))</f>
        <v/>
      </c>
      <c r="D469" s="397" t="str">
        <f>(IF('Inputs Whole-Project Water Use'!D469&lt;&gt;"",'Inputs Whole-Project Water Use'!D469,""))</f>
        <v/>
      </c>
      <c r="E469" s="398"/>
      <c r="F469" s="316" t="str">
        <f>(IF('Inputs Whole-Project Water Use'!F469&lt;&gt;"",'Inputs Whole-Project Water Use'!F469,""))</f>
        <v/>
      </c>
      <c r="G469" s="316" t="str">
        <f>(IF('Inputs Whole-Project Water Use'!G469&lt;&gt;"",'Inputs Whole-Project Water Use'!G469,""))</f>
        <v/>
      </c>
      <c r="H469" s="289" t="str">
        <f>IF(AND(G469&lt;&gt;"",'Inputs Whole-Project Water Use'!H469=""),0,IF('Inputs Whole-Project Water Use'!H469&lt;&gt;"",'Inputs Whole-Project Water Use'!H469,""))</f>
        <v/>
      </c>
      <c r="I469" s="225" t="str">
        <f t="shared" si="53"/>
        <v/>
      </c>
      <c r="J469" s="225" t="str">
        <f t="shared" si="54"/>
        <v/>
      </c>
      <c r="K469" s="231" t="str">
        <f t="shared" si="55"/>
        <v/>
      </c>
      <c r="L469" s="176"/>
      <c r="M469" s="241"/>
      <c r="N469" s="241"/>
      <c r="O469" s="241"/>
      <c r="P469" s="241"/>
      <c r="Q469" s="241"/>
      <c r="R469" s="241"/>
      <c r="S469" s="241"/>
      <c r="T469" s="241"/>
      <c r="U469" s="241"/>
      <c r="V469" s="241"/>
      <c r="W469" s="241"/>
      <c r="X469" s="241"/>
      <c r="Y469" s="241"/>
      <c r="Z469" s="241"/>
      <c r="AA469" s="241"/>
      <c r="AB469" s="241"/>
      <c r="AC469" s="241"/>
      <c r="AD469" s="241"/>
      <c r="AE469" s="241"/>
      <c r="AF469" s="241"/>
      <c r="AG469" s="241"/>
      <c r="AH469" s="241"/>
      <c r="AI469" s="241"/>
      <c r="AJ469" s="241"/>
      <c r="AK469" s="241"/>
      <c r="AL469" s="241"/>
      <c r="AM469" s="241"/>
      <c r="AN469" s="241"/>
      <c r="AO469" s="241"/>
      <c r="AP469" s="241"/>
      <c r="AQ469" s="241"/>
      <c r="AR469" s="241"/>
      <c r="AS469" s="241"/>
      <c r="AT469" s="241"/>
      <c r="AU469" s="241"/>
      <c r="AV469" s="241"/>
      <c r="AW469" s="241"/>
      <c r="AX469" s="241"/>
      <c r="AY469" s="241"/>
      <c r="AZ469" s="241"/>
    </row>
    <row r="470" spans="1:52" s="71" customFormat="1" ht="18" hidden="1" customHeight="1" outlineLevel="2">
      <c r="A470" s="175">
        <v>79</v>
      </c>
      <c r="B470" s="312" t="str">
        <f>(IF('Inputs Whole-Project Water Use'!B470&lt;&gt;"",'Inputs Whole-Project Water Use'!B470,""))</f>
        <v/>
      </c>
      <c r="C470" s="313" t="str">
        <f>IF(AND(F470&lt;&gt;"",'Inputs Whole-Project Water Use'!C470=""),1,IF('Inputs Whole-Project Water Use'!C470&lt;&gt;"",'Inputs Whole-Project Water Use'!C470,""))</f>
        <v/>
      </c>
      <c r="D470" s="397" t="str">
        <f>(IF('Inputs Whole-Project Water Use'!D470&lt;&gt;"",'Inputs Whole-Project Water Use'!D470,""))</f>
        <v/>
      </c>
      <c r="E470" s="398"/>
      <c r="F470" s="316" t="str">
        <f>(IF('Inputs Whole-Project Water Use'!F470&lt;&gt;"",'Inputs Whole-Project Water Use'!F470,""))</f>
        <v/>
      </c>
      <c r="G470" s="316" t="str">
        <f>(IF('Inputs Whole-Project Water Use'!G470&lt;&gt;"",'Inputs Whole-Project Water Use'!G470,""))</f>
        <v/>
      </c>
      <c r="H470" s="289" t="str">
        <f>IF(AND(G470&lt;&gt;"",'Inputs Whole-Project Water Use'!H470=""),0,IF('Inputs Whole-Project Water Use'!H470&lt;&gt;"",'Inputs Whole-Project Water Use'!H470,""))</f>
        <v/>
      </c>
      <c r="I470" s="225" t="str">
        <f t="shared" si="53"/>
        <v/>
      </c>
      <c r="J470" s="225" t="str">
        <f t="shared" si="54"/>
        <v/>
      </c>
      <c r="K470" s="231" t="str">
        <f t="shared" si="55"/>
        <v/>
      </c>
      <c r="L470" s="176"/>
      <c r="M470" s="241"/>
      <c r="N470" s="241"/>
      <c r="O470" s="241"/>
      <c r="P470" s="241"/>
      <c r="Q470" s="241"/>
      <c r="R470" s="241"/>
      <c r="S470" s="241"/>
      <c r="T470" s="241"/>
      <c r="U470" s="241"/>
      <c r="V470" s="241"/>
      <c r="W470" s="241"/>
      <c r="X470" s="241"/>
      <c r="Y470" s="241"/>
      <c r="Z470" s="241"/>
      <c r="AA470" s="241"/>
      <c r="AB470" s="241"/>
      <c r="AC470" s="241"/>
      <c r="AD470" s="241"/>
      <c r="AE470" s="241"/>
      <c r="AF470" s="241"/>
      <c r="AG470" s="241"/>
      <c r="AH470" s="241"/>
      <c r="AI470" s="241"/>
      <c r="AJ470" s="241"/>
      <c r="AK470" s="241"/>
      <c r="AL470" s="241"/>
      <c r="AM470" s="241"/>
      <c r="AN470" s="241"/>
      <c r="AO470" s="241"/>
      <c r="AP470" s="241"/>
      <c r="AQ470" s="241"/>
      <c r="AR470" s="241"/>
      <c r="AS470" s="241"/>
      <c r="AT470" s="241"/>
      <c r="AU470" s="241"/>
      <c r="AV470" s="241"/>
      <c r="AW470" s="241"/>
      <c r="AX470" s="241"/>
      <c r="AY470" s="241"/>
      <c r="AZ470" s="241"/>
    </row>
    <row r="471" spans="1:52" s="71" customFormat="1" ht="18" hidden="1" customHeight="1" outlineLevel="2">
      <c r="A471" s="175">
        <v>80</v>
      </c>
      <c r="B471" s="312" t="str">
        <f>(IF('Inputs Whole-Project Water Use'!B471&lt;&gt;"",'Inputs Whole-Project Water Use'!B471,""))</f>
        <v/>
      </c>
      <c r="C471" s="313" t="str">
        <f>IF(AND(F471&lt;&gt;"",'Inputs Whole-Project Water Use'!C471=""),1,IF('Inputs Whole-Project Water Use'!C471&lt;&gt;"",'Inputs Whole-Project Water Use'!C471,""))</f>
        <v/>
      </c>
      <c r="D471" s="397" t="str">
        <f>(IF('Inputs Whole-Project Water Use'!D471&lt;&gt;"",'Inputs Whole-Project Water Use'!D471,""))</f>
        <v/>
      </c>
      <c r="E471" s="398"/>
      <c r="F471" s="316" t="str">
        <f>(IF('Inputs Whole-Project Water Use'!F471&lt;&gt;"",'Inputs Whole-Project Water Use'!F471,""))</f>
        <v/>
      </c>
      <c r="G471" s="316" t="str">
        <f>(IF('Inputs Whole-Project Water Use'!G471&lt;&gt;"",'Inputs Whole-Project Water Use'!G471,""))</f>
        <v/>
      </c>
      <c r="H471" s="289" t="str">
        <f>IF(AND(G471&lt;&gt;"",'Inputs Whole-Project Water Use'!H471=""),0,IF('Inputs Whole-Project Water Use'!H471&lt;&gt;"",'Inputs Whole-Project Water Use'!H471,""))</f>
        <v/>
      </c>
      <c r="I471" s="225" t="str">
        <f t="shared" si="53"/>
        <v/>
      </c>
      <c r="J471" s="225" t="str">
        <f t="shared" si="54"/>
        <v/>
      </c>
      <c r="K471" s="231" t="str">
        <f t="shared" si="55"/>
        <v/>
      </c>
      <c r="L471" s="176"/>
      <c r="M471" s="241"/>
      <c r="N471" s="241"/>
      <c r="O471" s="241"/>
      <c r="P471" s="241"/>
      <c r="Q471" s="241"/>
      <c r="R471" s="241"/>
      <c r="S471" s="241"/>
      <c r="T471" s="241"/>
      <c r="U471" s="241"/>
      <c r="V471" s="241"/>
      <c r="W471" s="241"/>
      <c r="X471" s="241"/>
      <c r="Y471" s="241"/>
      <c r="Z471" s="241"/>
      <c r="AA471" s="241"/>
      <c r="AB471" s="241"/>
      <c r="AC471" s="241"/>
      <c r="AD471" s="241"/>
      <c r="AE471" s="241"/>
      <c r="AF471" s="241"/>
      <c r="AG471" s="241"/>
      <c r="AH471" s="241"/>
      <c r="AI471" s="241"/>
      <c r="AJ471" s="241"/>
      <c r="AK471" s="241"/>
      <c r="AL471" s="241"/>
      <c r="AM471" s="241"/>
      <c r="AN471" s="241"/>
      <c r="AO471" s="241"/>
      <c r="AP471" s="241"/>
      <c r="AQ471" s="241"/>
      <c r="AR471" s="241"/>
      <c r="AS471" s="241"/>
      <c r="AT471" s="241"/>
      <c r="AU471" s="241"/>
      <c r="AV471" s="241"/>
      <c r="AW471" s="241"/>
      <c r="AX471" s="241"/>
      <c r="AY471" s="241"/>
      <c r="AZ471" s="241"/>
    </row>
    <row r="472" spans="1:52" s="71" customFormat="1" ht="18" hidden="1" customHeight="1" outlineLevel="2">
      <c r="A472" s="175">
        <v>81</v>
      </c>
      <c r="B472" s="312" t="str">
        <f>(IF('Inputs Whole-Project Water Use'!B472&lt;&gt;"",'Inputs Whole-Project Water Use'!B472,""))</f>
        <v/>
      </c>
      <c r="C472" s="313" t="str">
        <f>IF(AND(F472&lt;&gt;"",'Inputs Whole-Project Water Use'!C472=""),1,IF('Inputs Whole-Project Water Use'!C472&lt;&gt;"",'Inputs Whole-Project Water Use'!C472,""))</f>
        <v/>
      </c>
      <c r="D472" s="397" t="str">
        <f>(IF('Inputs Whole-Project Water Use'!D472&lt;&gt;"",'Inputs Whole-Project Water Use'!D472,""))</f>
        <v/>
      </c>
      <c r="E472" s="398"/>
      <c r="F472" s="316" t="str">
        <f>(IF('Inputs Whole-Project Water Use'!F472&lt;&gt;"",'Inputs Whole-Project Water Use'!F472,""))</f>
        <v/>
      </c>
      <c r="G472" s="316" t="str">
        <f>(IF('Inputs Whole-Project Water Use'!G472&lt;&gt;"",'Inputs Whole-Project Water Use'!G472,""))</f>
        <v/>
      </c>
      <c r="H472" s="289" t="str">
        <f>IF(AND(G472&lt;&gt;"",'Inputs Whole-Project Water Use'!H472=""),0,IF('Inputs Whole-Project Water Use'!H472&lt;&gt;"",'Inputs Whole-Project Water Use'!H472,""))</f>
        <v/>
      </c>
      <c r="I472" s="225" t="str">
        <f t="shared" si="53"/>
        <v/>
      </c>
      <c r="J472" s="225" t="str">
        <f t="shared" si="54"/>
        <v/>
      </c>
      <c r="K472" s="231" t="str">
        <f t="shared" si="55"/>
        <v/>
      </c>
      <c r="L472" s="176"/>
      <c r="M472" s="241"/>
      <c r="N472" s="241"/>
      <c r="O472" s="241"/>
      <c r="P472" s="241"/>
      <c r="Q472" s="241"/>
      <c r="R472" s="241"/>
      <c r="S472" s="241"/>
      <c r="T472" s="241"/>
      <c r="U472" s="241"/>
      <c r="V472" s="241"/>
      <c r="W472" s="241"/>
      <c r="X472" s="241"/>
      <c r="Y472" s="241"/>
      <c r="Z472" s="241"/>
      <c r="AA472" s="241"/>
      <c r="AB472" s="241"/>
      <c r="AC472" s="241"/>
      <c r="AD472" s="241"/>
      <c r="AE472" s="241"/>
      <c r="AF472" s="241"/>
      <c r="AG472" s="241"/>
      <c r="AH472" s="241"/>
      <c r="AI472" s="241"/>
      <c r="AJ472" s="241"/>
      <c r="AK472" s="241"/>
      <c r="AL472" s="241"/>
      <c r="AM472" s="241"/>
      <c r="AN472" s="241"/>
      <c r="AO472" s="241"/>
      <c r="AP472" s="241"/>
      <c r="AQ472" s="241"/>
      <c r="AR472" s="241"/>
      <c r="AS472" s="241"/>
      <c r="AT472" s="241"/>
      <c r="AU472" s="241"/>
      <c r="AV472" s="241"/>
      <c r="AW472" s="241"/>
      <c r="AX472" s="241"/>
      <c r="AY472" s="241"/>
      <c r="AZ472" s="241"/>
    </row>
    <row r="473" spans="1:52" s="71" customFormat="1" ht="18" hidden="1" customHeight="1" outlineLevel="2">
      <c r="A473" s="175">
        <v>82</v>
      </c>
      <c r="B473" s="312" t="str">
        <f>(IF('Inputs Whole-Project Water Use'!B473&lt;&gt;"",'Inputs Whole-Project Water Use'!B473,""))</f>
        <v/>
      </c>
      <c r="C473" s="313" t="str">
        <f>IF(AND(F473&lt;&gt;"",'Inputs Whole-Project Water Use'!C473=""),1,IF('Inputs Whole-Project Water Use'!C473&lt;&gt;"",'Inputs Whole-Project Water Use'!C473,""))</f>
        <v/>
      </c>
      <c r="D473" s="397" t="str">
        <f>(IF('Inputs Whole-Project Water Use'!D473&lt;&gt;"",'Inputs Whole-Project Water Use'!D473,""))</f>
        <v/>
      </c>
      <c r="E473" s="398"/>
      <c r="F473" s="316" t="str">
        <f>(IF('Inputs Whole-Project Water Use'!F473&lt;&gt;"",'Inputs Whole-Project Water Use'!F473,""))</f>
        <v/>
      </c>
      <c r="G473" s="316" t="str">
        <f>(IF('Inputs Whole-Project Water Use'!G473&lt;&gt;"",'Inputs Whole-Project Water Use'!G473,""))</f>
        <v/>
      </c>
      <c r="H473" s="289" t="str">
        <f>IF(AND(G473&lt;&gt;"",'Inputs Whole-Project Water Use'!H473=""),0,IF('Inputs Whole-Project Water Use'!H473&lt;&gt;"",'Inputs Whole-Project Water Use'!H473,""))</f>
        <v/>
      </c>
      <c r="I473" s="225" t="str">
        <f t="shared" si="53"/>
        <v/>
      </c>
      <c r="J473" s="225" t="str">
        <f t="shared" si="54"/>
        <v/>
      </c>
      <c r="K473" s="231" t="str">
        <f t="shared" si="55"/>
        <v/>
      </c>
      <c r="L473" s="176"/>
      <c r="M473" s="241"/>
      <c r="N473" s="241"/>
      <c r="O473" s="241"/>
      <c r="P473" s="241"/>
      <c r="Q473" s="241"/>
      <c r="R473" s="241"/>
      <c r="S473" s="241"/>
      <c r="T473" s="241"/>
      <c r="U473" s="241"/>
      <c r="V473" s="241"/>
      <c r="W473" s="241"/>
      <c r="X473" s="241"/>
      <c r="Y473" s="241"/>
      <c r="Z473" s="241"/>
      <c r="AA473" s="241"/>
      <c r="AB473" s="241"/>
      <c r="AC473" s="241"/>
      <c r="AD473" s="241"/>
      <c r="AE473" s="241"/>
      <c r="AF473" s="241"/>
      <c r="AG473" s="241"/>
      <c r="AH473" s="241"/>
      <c r="AI473" s="241"/>
      <c r="AJ473" s="241"/>
      <c r="AK473" s="241"/>
      <c r="AL473" s="241"/>
      <c r="AM473" s="241"/>
      <c r="AN473" s="241"/>
      <c r="AO473" s="241"/>
      <c r="AP473" s="241"/>
      <c r="AQ473" s="241"/>
      <c r="AR473" s="241"/>
      <c r="AS473" s="241"/>
      <c r="AT473" s="241"/>
      <c r="AU473" s="241"/>
      <c r="AV473" s="241"/>
      <c r="AW473" s="241"/>
      <c r="AX473" s="241"/>
      <c r="AY473" s="241"/>
      <c r="AZ473" s="241"/>
    </row>
    <row r="474" spans="1:52" s="71" customFormat="1" ht="18" hidden="1" customHeight="1" outlineLevel="2">
      <c r="A474" s="175">
        <v>83</v>
      </c>
      <c r="B474" s="312" t="str">
        <f>(IF('Inputs Whole-Project Water Use'!B474&lt;&gt;"",'Inputs Whole-Project Water Use'!B474,""))</f>
        <v/>
      </c>
      <c r="C474" s="313" t="str">
        <f>IF(AND(F474&lt;&gt;"",'Inputs Whole-Project Water Use'!C474=""),1,IF('Inputs Whole-Project Water Use'!C474&lt;&gt;"",'Inputs Whole-Project Water Use'!C474,""))</f>
        <v/>
      </c>
      <c r="D474" s="397" t="str">
        <f>(IF('Inputs Whole-Project Water Use'!D474&lt;&gt;"",'Inputs Whole-Project Water Use'!D474,""))</f>
        <v/>
      </c>
      <c r="E474" s="398"/>
      <c r="F474" s="316" t="str">
        <f>(IF('Inputs Whole-Project Water Use'!F474&lt;&gt;"",'Inputs Whole-Project Water Use'!F474,""))</f>
        <v/>
      </c>
      <c r="G474" s="316" t="str">
        <f>(IF('Inputs Whole-Project Water Use'!G474&lt;&gt;"",'Inputs Whole-Project Water Use'!G474,""))</f>
        <v/>
      </c>
      <c r="H474" s="289" t="str">
        <f>IF(AND(G474&lt;&gt;"",'Inputs Whole-Project Water Use'!H474=""),0,IF('Inputs Whole-Project Water Use'!H474&lt;&gt;"",'Inputs Whole-Project Water Use'!H474,""))</f>
        <v/>
      </c>
      <c r="I474" s="225" t="str">
        <f t="shared" si="53"/>
        <v/>
      </c>
      <c r="J474" s="225" t="str">
        <f t="shared" si="54"/>
        <v/>
      </c>
      <c r="K474" s="231" t="str">
        <f t="shared" si="55"/>
        <v/>
      </c>
      <c r="L474" s="176"/>
      <c r="M474" s="241"/>
      <c r="N474" s="241"/>
      <c r="O474" s="241"/>
      <c r="P474" s="241"/>
      <c r="Q474" s="241"/>
      <c r="R474" s="241"/>
      <c r="S474" s="241"/>
      <c r="T474" s="241"/>
      <c r="U474" s="241"/>
      <c r="V474" s="241"/>
      <c r="W474" s="241"/>
      <c r="X474" s="241"/>
      <c r="Y474" s="241"/>
      <c r="Z474" s="241"/>
      <c r="AA474" s="241"/>
      <c r="AB474" s="241"/>
      <c r="AC474" s="241"/>
      <c r="AD474" s="241"/>
      <c r="AE474" s="241"/>
      <c r="AF474" s="241"/>
      <c r="AG474" s="241"/>
      <c r="AH474" s="241"/>
      <c r="AI474" s="241"/>
      <c r="AJ474" s="241"/>
      <c r="AK474" s="241"/>
      <c r="AL474" s="241"/>
      <c r="AM474" s="241"/>
      <c r="AN474" s="241"/>
      <c r="AO474" s="241"/>
      <c r="AP474" s="241"/>
      <c r="AQ474" s="241"/>
      <c r="AR474" s="241"/>
      <c r="AS474" s="241"/>
      <c r="AT474" s="241"/>
      <c r="AU474" s="241"/>
      <c r="AV474" s="241"/>
      <c r="AW474" s="241"/>
      <c r="AX474" s="241"/>
      <c r="AY474" s="241"/>
      <c r="AZ474" s="241"/>
    </row>
    <row r="475" spans="1:52" s="71" customFormat="1" ht="18" hidden="1" customHeight="1" outlineLevel="2">
      <c r="A475" s="175">
        <v>84</v>
      </c>
      <c r="B475" s="312" t="str">
        <f>(IF('Inputs Whole-Project Water Use'!B475&lt;&gt;"",'Inputs Whole-Project Water Use'!B475,""))</f>
        <v/>
      </c>
      <c r="C475" s="313" t="str">
        <f>IF(AND(F475&lt;&gt;"",'Inputs Whole-Project Water Use'!C475=""),1,IF('Inputs Whole-Project Water Use'!C475&lt;&gt;"",'Inputs Whole-Project Water Use'!C475,""))</f>
        <v/>
      </c>
      <c r="D475" s="397" t="str">
        <f>(IF('Inputs Whole-Project Water Use'!D475&lt;&gt;"",'Inputs Whole-Project Water Use'!D475,""))</f>
        <v/>
      </c>
      <c r="E475" s="398"/>
      <c r="F475" s="316" t="str">
        <f>(IF('Inputs Whole-Project Water Use'!F475&lt;&gt;"",'Inputs Whole-Project Water Use'!F475,""))</f>
        <v/>
      </c>
      <c r="G475" s="316" t="str">
        <f>(IF('Inputs Whole-Project Water Use'!G475&lt;&gt;"",'Inputs Whole-Project Water Use'!G475,""))</f>
        <v/>
      </c>
      <c r="H475" s="289" t="str">
        <f>IF(AND(G475&lt;&gt;"",'Inputs Whole-Project Water Use'!H475=""),0,IF('Inputs Whole-Project Water Use'!H475&lt;&gt;"",'Inputs Whole-Project Water Use'!H475,""))</f>
        <v/>
      </c>
      <c r="I475" s="225" t="str">
        <f t="shared" si="53"/>
        <v/>
      </c>
      <c r="J475" s="225" t="str">
        <f t="shared" si="54"/>
        <v/>
      </c>
      <c r="K475" s="231" t="str">
        <f t="shared" si="55"/>
        <v/>
      </c>
      <c r="L475" s="176"/>
      <c r="M475" s="241"/>
      <c r="N475" s="241"/>
      <c r="O475" s="241"/>
      <c r="P475" s="241"/>
      <c r="Q475" s="241"/>
      <c r="R475" s="241"/>
      <c r="S475" s="241"/>
      <c r="T475" s="241"/>
      <c r="U475" s="241"/>
      <c r="V475" s="241"/>
      <c r="W475" s="241"/>
      <c r="X475" s="241"/>
      <c r="Y475" s="241"/>
      <c r="Z475" s="241"/>
      <c r="AA475" s="241"/>
      <c r="AB475" s="241"/>
      <c r="AC475" s="241"/>
      <c r="AD475" s="241"/>
      <c r="AE475" s="241"/>
      <c r="AF475" s="241"/>
      <c r="AG475" s="241"/>
      <c r="AH475" s="241"/>
      <c r="AI475" s="241"/>
      <c r="AJ475" s="241"/>
      <c r="AK475" s="241"/>
      <c r="AL475" s="241"/>
      <c r="AM475" s="241"/>
      <c r="AN475" s="241"/>
      <c r="AO475" s="241"/>
      <c r="AP475" s="241"/>
      <c r="AQ475" s="241"/>
      <c r="AR475" s="241"/>
      <c r="AS475" s="241"/>
      <c r="AT475" s="241"/>
      <c r="AU475" s="241"/>
      <c r="AV475" s="241"/>
      <c r="AW475" s="241"/>
      <c r="AX475" s="241"/>
      <c r="AY475" s="241"/>
      <c r="AZ475" s="241"/>
    </row>
    <row r="476" spans="1:52" s="71" customFormat="1" ht="18" hidden="1" customHeight="1" outlineLevel="2">
      <c r="A476" s="175">
        <v>85</v>
      </c>
      <c r="B476" s="312" t="str">
        <f>(IF('Inputs Whole-Project Water Use'!B476&lt;&gt;"",'Inputs Whole-Project Water Use'!B476,""))</f>
        <v/>
      </c>
      <c r="C476" s="313" t="str">
        <f>IF(AND(F476&lt;&gt;"",'Inputs Whole-Project Water Use'!C476=""),1,IF('Inputs Whole-Project Water Use'!C476&lt;&gt;"",'Inputs Whole-Project Water Use'!C476,""))</f>
        <v/>
      </c>
      <c r="D476" s="397" t="str">
        <f>(IF('Inputs Whole-Project Water Use'!D476&lt;&gt;"",'Inputs Whole-Project Water Use'!D476,""))</f>
        <v/>
      </c>
      <c r="E476" s="398"/>
      <c r="F476" s="316" t="str">
        <f>(IF('Inputs Whole-Project Water Use'!F476&lt;&gt;"",'Inputs Whole-Project Water Use'!F476,""))</f>
        <v/>
      </c>
      <c r="G476" s="316" t="str">
        <f>(IF('Inputs Whole-Project Water Use'!G476&lt;&gt;"",'Inputs Whole-Project Water Use'!G476,""))</f>
        <v/>
      </c>
      <c r="H476" s="289" t="str">
        <f>IF(AND(G476&lt;&gt;"",'Inputs Whole-Project Water Use'!H476=""),0,IF('Inputs Whole-Project Water Use'!H476&lt;&gt;"",'Inputs Whole-Project Water Use'!H476,""))</f>
        <v/>
      </c>
      <c r="I476" s="225" t="str">
        <f t="shared" si="53"/>
        <v/>
      </c>
      <c r="J476" s="225" t="str">
        <f t="shared" si="54"/>
        <v/>
      </c>
      <c r="K476" s="231" t="str">
        <f t="shared" si="55"/>
        <v/>
      </c>
      <c r="L476" s="176"/>
      <c r="M476" s="241"/>
      <c r="N476" s="241"/>
      <c r="O476" s="241"/>
      <c r="P476" s="241"/>
      <c r="Q476" s="241"/>
      <c r="R476" s="241"/>
      <c r="S476" s="241"/>
      <c r="T476" s="241"/>
      <c r="U476" s="241"/>
      <c r="V476" s="241"/>
      <c r="W476" s="241"/>
      <c r="X476" s="241"/>
      <c r="Y476" s="241"/>
      <c r="Z476" s="241"/>
      <c r="AA476" s="241"/>
      <c r="AB476" s="241"/>
      <c r="AC476" s="241"/>
      <c r="AD476" s="241"/>
      <c r="AE476" s="241"/>
      <c r="AF476" s="241"/>
      <c r="AG476" s="241"/>
      <c r="AH476" s="241"/>
      <c r="AI476" s="241"/>
      <c r="AJ476" s="241"/>
      <c r="AK476" s="241"/>
      <c r="AL476" s="241"/>
      <c r="AM476" s="241"/>
      <c r="AN476" s="241"/>
      <c r="AO476" s="241"/>
      <c r="AP476" s="241"/>
      <c r="AQ476" s="241"/>
      <c r="AR476" s="241"/>
      <c r="AS476" s="241"/>
      <c r="AT476" s="241"/>
      <c r="AU476" s="241"/>
      <c r="AV476" s="241"/>
      <c r="AW476" s="241"/>
      <c r="AX476" s="241"/>
      <c r="AY476" s="241"/>
      <c r="AZ476" s="241"/>
    </row>
    <row r="477" spans="1:52" s="71" customFormat="1" ht="18" hidden="1" customHeight="1" outlineLevel="2">
      <c r="A477" s="175">
        <v>86</v>
      </c>
      <c r="B477" s="312" t="str">
        <f>(IF('Inputs Whole-Project Water Use'!B477&lt;&gt;"",'Inputs Whole-Project Water Use'!B477,""))</f>
        <v/>
      </c>
      <c r="C477" s="313" t="str">
        <f>IF(AND(F477&lt;&gt;"",'Inputs Whole-Project Water Use'!C477=""),1,IF('Inputs Whole-Project Water Use'!C477&lt;&gt;"",'Inputs Whole-Project Water Use'!C477,""))</f>
        <v/>
      </c>
      <c r="D477" s="397" t="str">
        <f>(IF('Inputs Whole-Project Water Use'!D477&lt;&gt;"",'Inputs Whole-Project Water Use'!D477,""))</f>
        <v/>
      </c>
      <c r="E477" s="398"/>
      <c r="F477" s="316" t="str">
        <f>(IF('Inputs Whole-Project Water Use'!F477&lt;&gt;"",'Inputs Whole-Project Water Use'!F477,""))</f>
        <v/>
      </c>
      <c r="G477" s="316" t="str">
        <f>(IF('Inputs Whole-Project Water Use'!G477&lt;&gt;"",'Inputs Whole-Project Water Use'!G477,""))</f>
        <v/>
      </c>
      <c r="H477" s="289" t="str">
        <f>IF(AND(G477&lt;&gt;"",'Inputs Whole-Project Water Use'!H477=""),0,IF('Inputs Whole-Project Water Use'!H477&lt;&gt;"",'Inputs Whole-Project Water Use'!H477,""))</f>
        <v/>
      </c>
      <c r="I477" s="225" t="str">
        <f t="shared" si="53"/>
        <v/>
      </c>
      <c r="J477" s="225" t="str">
        <f t="shared" si="54"/>
        <v/>
      </c>
      <c r="K477" s="231" t="str">
        <f t="shared" si="55"/>
        <v/>
      </c>
      <c r="L477" s="176"/>
      <c r="M477" s="241"/>
      <c r="N477" s="241"/>
      <c r="O477" s="241"/>
      <c r="P477" s="241"/>
      <c r="Q477" s="241"/>
      <c r="R477" s="241"/>
      <c r="S477" s="241"/>
      <c r="T477" s="241"/>
      <c r="U477" s="241"/>
      <c r="V477" s="241"/>
      <c r="W477" s="241"/>
      <c r="X477" s="241"/>
      <c r="Y477" s="241"/>
      <c r="Z477" s="241"/>
      <c r="AA477" s="241"/>
      <c r="AB477" s="241"/>
      <c r="AC477" s="241"/>
      <c r="AD477" s="241"/>
      <c r="AE477" s="241"/>
      <c r="AF477" s="241"/>
      <c r="AG477" s="241"/>
      <c r="AH477" s="241"/>
      <c r="AI477" s="241"/>
      <c r="AJ477" s="241"/>
      <c r="AK477" s="241"/>
      <c r="AL477" s="241"/>
      <c r="AM477" s="241"/>
      <c r="AN477" s="241"/>
      <c r="AO477" s="241"/>
      <c r="AP477" s="241"/>
      <c r="AQ477" s="241"/>
      <c r="AR477" s="241"/>
      <c r="AS477" s="241"/>
      <c r="AT477" s="241"/>
      <c r="AU477" s="241"/>
      <c r="AV477" s="241"/>
      <c r="AW477" s="241"/>
      <c r="AX477" s="241"/>
      <c r="AY477" s="241"/>
      <c r="AZ477" s="241"/>
    </row>
    <row r="478" spans="1:52" s="71" customFormat="1" ht="18" hidden="1" customHeight="1" outlineLevel="2">
      <c r="A478" s="175">
        <v>87</v>
      </c>
      <c r="B478" s="312" t="str">
        <f>(IF('Inputs Whole-Project Water Use'!B478&lt;&gt;"",'Inputs Whole-Project Water Use'!B478,""))</f>
        <v/>
      </c>
      <c r="C478" s="313" t="str">
        <f>IF(AND(F478&lt;&gt;"",'Inputs Whole-Project Water Use'!C478=""),1,IF('Inputs Whole-Project Water Use'!C478&lt;&gt;"",'Inputs Whole-Project Water Use'!C478,""))</f>
        <v/>
      </c>
      <c r="D478" s="397" t="str">
        <f>(IF('Inputs Whole-Project Water Use'!D478&lt;&gt;"",'Inputs Whole-Project Water Use'!D478,""))</f>
        <v/>
      </c>
      <c r="E478" s="398"/>
      <c r="F478" s="316" t="str">
        <f>(IF('Inputs Whole-Project Water Use'!F478&lt;&gt;"",'Inputs Whole-Project Water Use'!F478,""))</f>
        <v/>
      </c>
      <c r="G478" s="316" t="str">
        <f>(IF('Inputs Whole-Project Water Use'!G478&lt;&gt;"",'Inputs Whole-Project Water Use'!G478,""))</f>
        <v/>
      </c>
      <c r="H478" s="289" t="str">
        <f>IF(AND(G478&lt;&gt;"",'Inputs Whole-Project Water Use'!H478=""),0,IF('Inputs Whole-Project Water Use'!H478&lt;&gt;"",'Inputs Whole-Project Water Use'!H478,""))</f>
        <v/>
      </c>
      <c r="I478" s="225" t="str">
        <f t="shared" si="53"/>
        <v/>
      </c>
      <c r="J478" s="225" t="str">
        <f t="shared" si="54"/>
        <v/>
      </c>
      <c r="K478" s="231" t="str">
        <f t="shared" si="55"/>
        <v/>
      </c>
      <c r="L478" s="176"/>
      <c r="M478" s="241"/>
      <c r="N478" s="241"/>
      <c r="O478" s="241"/>
      <c r="P478" s="241"/>
      <c r="Q478" s="241"/>
      <c r="R478" s="241"/>
      <c r="S478" s="241"/>
      <c r="T478" s="241"/>
      <c r="U478" s="241"/>
      <c r="V478" s="241"/>
      <c r="W478" s="241"/>
      <c r="X478" s="241"/>
      <c r="Y478" s="241"/>
      <c r="Z478" s="241"/>
      <c r="AA478" s="241"/>
      <c r="AB478" s="241"/>
      <c r="AC478" s="241"/>
      <c r="AD478" s="241"/>
      <c r="AE478" s="241"/>
      <c r="AF478" s="241"/>
      <c r="AG478" s="241"/>
      <c r="AH478" s="241"/>
      <c r="AI478" s="241"/>
      <c r="AJ478" s="241"/>
      <c r="AK478" s="241"/>
      <c r="AL478" s="241"/>
      <c r="AM478" s="241"/>
      <c r="AN478" s="241"/>
      <c r="AO478" s="241"/>
      <c r="AP478" s="241"/>
      <c r="AQ478" s="241"/>
      <c r="AR478" s="241"/>
      <c r="AS478" s="241"/>
      <c r="AT478" s="241"/>
      <c r="AU478" s="241"/>
      <c r="AV478" s="241"/>
      <c r="AW478" s="241"/>
      <c r="AX478" s="241"/>
      <c r="AY478" s="241"/>
      <c r="AZ478" s="241"/>
    </row>
    <row r="479" spans="1:52" s="71" customFormat="1" ht="18" hidden="1" customHeight="1" outlineLevel="2">
      <c r="A479" s="175">
        <v>88</v>
      </c>
      <c r="B479" s="312" t="str">
        <f>(IF('Inputs Whole-Project Water Use'!B479&lt;&gt;"",'Inputs Whole-Project Water Use'!B479,""))</f>
        <v/>
      </c>
      <c r="C479" s="313" t="str">
        <f>IF(AND(F479&lt;&gt;"",'Inputs Whole-Project Water Use'!C479=""),1,IF('Inputs Whole-Project Water Use'!C479&lt;&gt;"",'Inputs Whole-Project Water Use'!C479,""))</f>
        <v/>
      </c>
      <c r="D479" s="397" t="str">
        <f>(IF('Inputs Whole-Project Water Use'!D479&lt;&gt;"",'Inputs Whole-Project Water Use'!D479,""))</f>
        <v/>
      </c>
      <c r="E479" s="398"/>
      <c r="F479" s="316" t="str">
        <f>(IF('Inputs Whole-Project Water Use'!F479&lt;&gt;"",'Inputs Whole-Project Water Use'!F479,""))</f>
        <v/>
      </c>
      <c r="G479" s="316" t="str">
        <f>(IF('Inputs Whole-Project Water Use'!G479&lt;&gt;"",'Inputs Whole-Project Water Use'!G479,""))</f>
        <v/>
      </c>
      <c r="H479" s="289" t="str">
        <f>IF(AND(G479&lt;&gt;"",'Inputs Whole-Project Water Use'!H479=""),0,IF('Inputs Whole-Project Water Use'!H479&lt;&gt;"",'Inputs Whole-Project Water Use'!H479,""))</f>
        <v/>
      </c>
      <c r="I479" s="225" t="str">
        <f t="shared" si="53"/>
        <v/>
      </c>
      <c r="J479" s="225" t="str">
        <f t="shared" si="54"/>
        <v/>
      </c>
      <c r="K479" s="231" t="str">
        <f t="shared" si="55"/>
        <v/>
      </c>
      <c r="L479" s="176"/>
      <c r="M479" s="241"/>
      <c r="N479" s="241"/>
      <c r="O479" s="241"/>
      <c r="P479" s="241"/>
      <c r="Q479" s="241"/>
      <c r="R479" s="241"/>
      <c r="S479" s="241"/>
      <c r="T479" s="241"/>
      <c r="U479" s="241"/>
      <c r="V479" s="241"/>
      <c r="W479" s="241"/>
      <c r="X479" s="241"/>
      <c r="Y479" s="241"/>
      <c r="Z479" s="241"/>
      <c r="AA479" s="241"/>
      <c r="AB479" s="241"/>
      <c r="AC479" s="241"/>
      <c r="AD479" s="241"/>
      <c r="AE479" s="241"/>
      <c r="AF479" s="241"/>
      <c r="AG479" s="241"/>
      <c r="AH479" s="241"/>
      <c r="AI479" s="241"/>
      <c r="AJ479" s="241"/>
      <c r="AK479" s="241"/>
      <c r="AL479" s="241"/>
      <c r="AM479" s="241"/>
      <c r="AN479" s="241"/>
      <c r="AO479" s="241"/>
      <c r="AP479" s="241"/>
      <c r="AQ479" s="241"/>
      <c r="AR479" s="241"/>
      <c r="AS479" s="241"/>
      <c r="AT479" s="241"/>
      <c r="AU479" s="241"/>
      <c r="AV479" s="241"/>
      <c r="AW479" s="241"/>
      <c r="AX479" s="241"/>
      <c r="AY479" s="241"/>
      <c r="AZ479" s="241"/>
    </row>
    <row r="480" spans="1:52" s="71" customFormat="1" ht="18" hidden="1" customHeight="1" outlineLevel="2">
      <c r="A480" s="175">
        <v>89</v>
      </c>
      <c r="B480" s="312" t="str">
        <f>(IF('Inputs Whole-Project Water Use'!B480&lt;&gt;"",'Inputs Whole-Project Water Use'!B480,""))</f>
        <v/>
      </c>
      <c r="C480" s="313" t="str">
        <f>IF(AND(F480&lt;&gt;"",'Inputs Whole-Project Water Use'!C480=""),1,IF('Inputs Whole-Project Water Use'!C480&lt;&gt;"",'Inputs Whole-Project Water Use'!C480,""))</f>
        <v/>
      </c>
      <c r="D480" s="397" t="str">
        <f>(IF('Inputs Whole-Project Water Use'!D480&lt;&gt;"",'Inputs Whole-Project Water Use'!D480,""))</f>
        <v/>
      </c>
      <c r="E480" s="398"/>
      <c r="F480" s="316" t="str">
        <f>(IF('Inputs Whole-Project Water Use'!F480&lt;&gt;"",'Inputs Whole-Project Water Use'!F480,""))</f>
        <v/>
      </c>
      <c r="G480" s="316" t="str">
        <f>(IF('Inputs Whole-Project Water Use'!G480&lt;&gt;"",'Inputs Whole-Project Water Use'!G480,""))</f>
        <v/>
      </c>
      <c r="H480" s="289" t="str">
        <f>IF(AND(G480&lt;&gt;"",'Inputs Whole-Project Water Use'!H480=""),0,IF('Inputs Whole-Project Water Use'!H480&lt;&gt;"",'Inputs Whole-Project Water Use'!H480,""))</f>
        <v/>
      </c>
      <c r="I480" s="225" t="str">
        <f t="shared" si="53"/>
        <v/>
      </c>
      <c r="J480" s="225" t="str">
        <f t="shared" si="54"/>
        <v/>
      </c>
      <c r="K480" s="231" t="str">
        <f t="shared" si="55"/>
        <v/>
      </c>
      <c r="L480" s="176"/>
      <c r="M480" s="241"/>
      <c r="N480" s="241"/>
      <c r="O480" s="241"/>
      <c r="P480" s="241"/>
      <c r="Q480" s="241"/>
      <c r="R480" s="241"/>
      <c r="S480" s="241"/>
      <c r="T480" s="241"/>
      <c r="U480" s="241"/>
      <c r="V480" s="241"/>
      <c r="W480" s="241"/>
      <c r="X480" s="241"/>
      <c r="Y480" s="241"/>
      <c r="Z480" s="241"/>
      <c r="AA480" s="241"/>
      <c r="AB480" s="241"/>
      <c r="AC480" s="241"/>
      <c r="AD480" s="241"/>
      <c r="AE480" s="241"/>
      <c r="AF480" s="241"/>
      <c r="AG480" s="241"/>
      <c r="AH480" s="241"/>
      <c r="AI480" s="241"/>
      <c r="AJ480" s="241"/>
      <c r="AK480" s="241"/>
      <c r="AL480" s="241"/>
      <c r="AM480" s="241"/>
      <c r="AN480" s="241"/>
      <c r="AO480" s="241"/>
      <c r="AP480" s="241"/>
      <c r="AQ480" s="241"/>
      <c r="AR480" s="241"/>
      <c r="AS480" s="241"/>
      <c r="AT480" s="241"/>
      <c r="AU480" s="241"/>
      <c r="AV480" s="241"/>
      <c r="AW480" s="241"/>
      <c r="AX480" s="241"/>
      <c r="AY480" s="241"/>
      <c r="AZ480" s="241"/>
    </row>
    <row r="481" spans="1:52" s="71" customFormat="1" ht="18" hidden="1" customHeight="1" outlineLevel="2">
      <c r="A481" s="175">
        <v>90</v>
      </c>
      <c r="B481" s="312" t="str">
        <f>(IF('Inputs Whole-Project Water Use'!B481&lt;&gt;"",'Inputs Whole-Project Water Use'!B481,""))</f>
        <v/>
      </c>
      <c r="C481" s="313" t="str">
        <f>IF(AND(F481&lt;&gt;"",'Inputs Whole-Project Water Use'!C481=""),1,IF('Inputs Whole-Project Water Use'!C481&lt;&gt;"",'Inputs Whole-Project Water Use'!C481,""))</f>
        <v/>
      </c>
      <c r="D481" s="397" t="str">
        <f>(IF('Inputs Whole-Project Water Use'!D481&lt;&gt;"",'Inputs Whole-Project Water Use'!D481,""))</f>
        <v/>
      </c>
      <c r="E481" s="398"/>
      <c r="F481" s="316" t="str">
        <f>(IF('Inputs Whole-Project Water Use'!F481&lt;&gt;"",'Inputs Whole-Project Water Use'!F481,""))</f>
        <v/>
      </c>
      <c r="G481" s="316" t="str">
        <f>(IF('Inputs Whole-Project Water Use'!G481&lt;&gt;"",'Inputs Whole-Project Water Use'!G481,""))</f>
        <v/>
      </c>
      <c r="H481" s="289" t="str">
        <f>IF(AND(G481&lt;&gt;"",'Inputs Whole-Project Water Use'!H481=""),0,IF('Inputs Whole-Project Water Use'!H481&lt;&gt;"",'Inputs Whole-Project Water Use'!H481,""))</f>
        <v/>
      </c>
      <c r="I481" s="225" t="str">
        <f t="shared" si="53"/>
        <v/>
      </c>
      <c r="J481" s="225" t="str">
        <f t="shared" si="54"/>
        <v/>
      </c>
      <c r="K481" s="231" t="str">
        <f t="shared" si="55"/>
        <v/>
      </c>
      <c r="L481" s="176"/>
      <c r="M481" s="241"/>
      <c r="N481" s="241"/>
      <c r="O481" s="241"/>
      <c r="P481" s="241"/>
      <c r="Q481" s="241"/>
      <c r="R481" s="241"/>
      <c r="S481" s="241"/>
      <c r="T481" s="241"/>
      <c r="U481" s="241"/>
      <c r="V481" s="241"/>
      <c r="W481" s="241"/>
      <c r="X481" s="241"/>
      <c r="Y481" s="241"/>
      <c r="Z481" s="241"/>
      <c r="AA481" s="241"/>
      <c r="AB481" s="241"/>
      <c r="AC481" s="241"/>
      <c r="AD481" s="241"/>
      <c r="AE481" s="241"/>
      <c r="AF481" s="241"/>
      <c r="AG481" s="241"/>
      <c r="AH481" s="241"/>
      <c r="AI481" s="241"/>
      <c r="AJ481" s="241"/>
      <c r="AK481" s="241"/>
      <c r="AL481" s="241"/>
      <c r="AM481" s="241"/>
      <c r="AN481" s="241"/>
      <c r="AO481" s="241"/>
      <c r="AP481" s="241"/>
      <c r="AQ481" s="241"/>
      <c r="AR481" s="241"/>
      <c r="AS481" s="241"/>
      <c r="AT481" s="241"/>
      <c r="AU481" s="241"/>
      <c r="AV481" s="241"/>
      <c r="AW481" s="241"/>
      <c r="AX481" s="241"/>
      <c r="AY481" s="241"/>
      <c r="AZ481" s="241"/>
    </row>
    <row r="482" spans="1:52" s="71" customFormat="1" ht="18" hidden="1" customHeight="1" outlineLevel="1" collapsed="1">
      <c r="A482" s="175">
        <v>91</v>
      </c>
      <c r="B482" s="312" t="str">
        <f>(IF('Inputs Whole-Project Water Use'!B482&lt;&gt;"",'Inputs Whole-Project Water Use'!B482,""))</f>
        <v/>
      </c>
      <c r="C482" s="313" t="str">
        <f>IF(AND(F482&lt;&gt;"",'Inputs Whole-Project Water Use'!C482=""),1,IF('Inputs Whole-Project Water Use'!C482&lt;&gt;"",'Inputs Whole-Project Water Use'!C482,""))</f>
        <v/>
      </c>
      <c r="D482" s="397" t="str">
        <f>(IF('Inputs Whole-Project Water Use'!D482&lt;&gt;"",'Inputs Whole-Project Water Use'!D482,""))</f>
        <v/>
      </c>
      <c r="E482" s="398"/>
      <c r="F482" s="316" t="str">
        <f>(IF('Inputs Whole-Project Water Use'!F482&lt;&gt;"",'Inputs Whole-Project Water Use'!F482,""))</f>
        <v/>
      </c>
      <c r="G482" s="316" t="str">
        <f>(IF('Inputs Whole-Project Water Use'!G482&lt;&gt;"",'Inputs Whole-Project Water Use'!G482,""))</f>
        <v/>
      </c>
      <c r="H482" s="289" t="str">
        <f>IF(AND(G482&lt;&gt;"",'Inputs Whole-Project Water Use'!H482=""),0,IF('Inputs Whole-Project Water Use'!H482&lt;&gt;"",'Inputs Whole-Project Water Use'!H482,""))</f>
        <v/>
      </c>
      <c r="I482" s="225" t="str">
        <f t="shared" si="53"/>
        <v/>
      </c>
      <c r="J482" s="225" t="str">
        <f t="shared" si="54"/>
        <v/>
      </c>
      <c r="K482" s="231" t="str">
        <f t="shared" si="55"/>
        <v/>
      </c>
      <c r="L482" s="176" t="s">
        <v>165</v>
      </c>
      <c r="M482" s="241"/>
      <c r="N482" s="241"/>
      <c r="O482" s="241"/>
      <c r="P482" s="241"/>
      <c r="Q482" s="241"/>
      <c r="R482" s="241"/>
      <c r="S482" s="241"/>
      <c r="T482" s="241"/>
      <c r="U482" s="241"/>
      <c r="V482" s="241"/>
      <c r="W482" s="241"/>
      <c r="X482" s="241"/>
      <c r="Y482" s="241"/>
      <c r="Z482" s="241"/>
      <c r="AA482" s="241"/>
      <c r="AB482" s="241"/>
      <c r="AC482" s="241"/>
      <c r="AD482" s="241"/>
      <c r="AE482" s="241"/>
      <c r="AF482" s="241"/>
      <c r="AG482" s="241"/>
      <c r="AH482" s="241"/>
      <c r="AI482" s="241"/>
      <c r="AJ482" s="241"/>
      <c r="AK482" s="241"/>
      <c r="AL482" s="241"/>
      <c r="AM482" s="241"/>
      <c r="AN482" s="241"/>
      <c r="AO482" s="241"/>
      <c r="AP482" s="241"/>
      <c r="AQ482" s="241"/>
      <c r="AR482" s="241"/>
      <c r="AS482" s="241"/>
      <c r="AT482" s="241"/>
      <c r="AU482" s="241"/>
      <c r="AV482" s="241"/>
      <c r="AW482" s="241"/>
      <c r="AX482" s="241"/>
      <c r="AY482" s="241"/>
      <c r="AZ482" s="241"/>
    </row>
    <row r="483" spans="1:52" s="71" customFormat="1" ht="18" hidden="1" customHeight="1" outlineLevel="2">
      <c r="A483" s="175">
        <v>92</v>
      </c>
      <c r="B483" s="312" t="str">
        <f>(IF('Inputs Whole-Project Water Use'!B483&lt;&gt;"",'Inputs Whole-Project Water Use'!B483,""))</f>
        <v/>
      </c>
      <c r="C483" s="313" t="str">
        <f>IF(AND(F483&lt;&gt;"",'Inputs Whole-Project Water Use'!C483=""),1,IF('Inputs Whole-Project Water Use'!C483&lt;&gt;"",'Inputs Whole-Project Water Use'!C483,""))</f>
        <v/>
      </c>
      <c r="D483" s="397" t="str">
        <f>(IF('Inputs Whole-Project Water Use'!D483&lt;&gt;"",'Inputs Whole-Project Water Use'!D483,""))</f>
        <v/>
      </c>
      <c r="E483" s="398"/>
      <c r="F483" s="316" t="str">
        <f>(IF('Inputs Whole-Project Water Use'!F483&lt;&gt;"",'Inputs Whole-Project Water Use'!F483,""))</f>
        <v/>
      </c>
      <c r="G483" s="316" t="str">
        <f>(IF('Inputs Whole-Project Water Use'!G483&lt;&gt;"",'Inputs Whole-Project Water Use'!G483,""))</f>
        <v/>
      </c>
      <c r="H483" s="289" t="str">
        <f>IF(AND(G483&lt;&gt;"",'Inputs Whole-Project Water Use'!H483=""),0,IF('Inputs Whole-Project Water Use'!H483&lt;&gt;"",'Inputs Whole-Project Water Use'!H483,""))</f>
        <v/>
      </c>
      <c r="I483" s="225" t="str">
        <f t="shared" si="53"/>
        <v/>
      </c>
      <c r="J483" s="225" t="str">
        <f t="shared" si="54"/>
        <v/>
      </c>
      <c r="K483" s="231" t="str">
        <f t="shared" si="55"/>
        <v/>
      </c>
      <c r="L483" s="176"/>
      <c r="M483" s="241"/>
      <c r="N483" s="241"/>
      <c r="O483" s="241"/>
      <c r="P483" s="241"/>
      <c r="Q483" s="241"/>
      <c r="R483" s="241"/>
      <c r="S483" s="241"/>
      <c r="T483" s="241"/>
      <c r="U483" s="241"/>
      <c r="V483" s="241"/>
      <c r="W483" s="241"/>
      <c r="X483" s="241"/>
      <c r="Y483" s="241"/>
      <c r="Z483" s="241"/>
      <c r="AA483" s="241"/>
      <c r="AB483" s="241"/>
      <c r="AC483" s="241"/>
      <c r="AD483" s="241"/>
      <c r="AE483" s="241"/>
      <c r="AF483" s="241"/>
      <c r="AG483" s="241"/>
      <c r="AH483" s="241"/>
      <c r="AI483" s="241"/>
      <c r="AJ483" s="241"/>
      <c r="AK483" s="241"/>
      <c r="AL483" s="241"/>
      <c r="AM483" s="241"/>
      <c r="AN483" s="241"/>
      <c r="AO483" s="241"/>
      <c r="AP483" s="241"/>
      <c r="AQ483" s="241"/>
      <c r="AR483" s="241"/>
      <c r="AS483" s="241"/>
      <c r="AT483" s="241"/>
      <c r="AU483" s="241"/>
      <c r="AV483" s="241"/>
      <c r="AW483" s="241"/>
      <c r="AX483" s="241"/>
      <c r="AY483" s="241"/>
      <c r="AZ483" s="241"/>
    </row>
    <row r="484" spans="1:52" s="71" customFormat="1" ht="18" hidden="1" customHeight="1" outlineLevel="2">
      <c r="A484" s="175">
        <v>93</v>
      </c>
      <c r="B484" s="312" t="str">
        <f>(IF('Inputs Whole-Project Water Use'!B484&lt;&gt;"",'Inputs Whole-Project Water Use'!B484,""))</f>
        <v/>
      </c>
      <c r="C484" s="313" t="str">
        <f>IF(AND(F484&lt;&gt;"",'Inputs Whole-Project Water Use'!C484=""),1,IF('Inputs Whole-Project Water Use'!C484&lt;&gt;"",'Inputs Whole-Project Water Use'!C484,""))</f>
        <v/>
      </c>
      <c r="D484" s="397" t="str">
        <f>(IF('Inputs Whole-Project Water Use'!D484&lt;&gt;"",'Inputs Whole-Project Water Use'!D484,""))</f>
        <v/>
      </c>
      <c r="E484" s="398"/>
      <c r="F484" s="316" t="str">
        <f>(IF('Inputs Whole-Project Water Use'!F484&lt;&gt;"",'Inputs Whole-Project Water Use'!F484,""))</f>
        <v/>
      </c>
      <c r="G484" s="316" t="str">
        <f>(IF('Inputs Whole-Project Water Use'!G484&lt;&gt;"",'Inputs Whole-Project Water Use'!G484,""))</f>
        <v/>
      </c>
      <c r="H484" s="289" t="str">
        <f>IF(AND(G484&lt;&gt;"",'Inputs Whole-Project Water Use'!H484=""),0,IF('Inputs Whole-Project Water Use'!H484&lt;&gt;"",'Inputs Whole-Project Water Use'!H484,""))</f>
        <v/>
      </c>
      <c r="I484" s="225" t="str">
        <f t="shared" si="53"/>
        <v/>
      </c>
      <c r="J484" s="225" t="str">
        <f t="shared" si="54"/>
        <v/>
      </c>
      <c r="K484" s="231" t="str">
        <f t="shared" si="55"/>
        <v/>
      </c>
      <c r="L484" s="176"/>
      <c r="M484" s="241"/>
      <c r="N484" s="241"/>
      <c r="O484" s="241"/>
      <c r="P484" s="241"/>
      <c r="Q484" s="241"/>
      <c r="R484" s="241"/>
      <c r="S484" s="241"/>
      <c r="T484" s="241"/>
      <c r="U484" s="241"/>
      <c r="V484" s="241"/>
      <c r="W484" s="241"/>
      <c r="X484" s="241"/>
      <c r="Y484" s="241"/>
      <c r="Z484" s="241"/>
      <c r="AA484" s="241"/>
      <c r="AB484" s="241"/>
      <c r="AC484" s="241"/>
      <c r="AD484" s="241"/>
      <c r="AE484" s="241"/>
      <c r="AF484" s="241"/>
      <c r="AG484" s="241"/>
      <c r="AH484" s="241"/>
      <c r="AI484" s="241"/>
      <c r="AJ484" s="241"/>
      <c r="AK484" s="241"/>
      <c r="AL484" s="241"/>
      <c r="AM484" s="241"/>
      <c r="AN484" s="241"/>
      <c r="AO484" s="241"/>
      <c r="AP484" s="241"/>
      <c r="AQ484" s="241"/>
      <c r="AR484" s="241"/>
      <c r="AS484" s="241"/>
      <c r="AT484" s="241"/>
      <c r="AU484" s="241"/>
      <c r="AV484" s="241"/>
      <c r="AW484" s="241"/>
      <c r="AX484" s="241"/>
      <c r="AY484" s="241"/>
      <c r="AZ484" s="241"/>
    </row>
    <row r="485" spans="1:52" s="71" customFormat="1" ht="18" hidden="1" customHeight="1" outlineLevel="2">
      <c r="A485" s="175">
        <v>94</v>
      </c>
      <c r="B485" s="312" t="str">
        <f>(IF('Inputs Whole-Project Water Use'!B485&lt;&gt;"",'Inputs Whole-Project Water Use'!B485,""))</f>
        <v/>
      </c>
      <c r="C485" s="313" t="str">
        <f>IF(AND(F485&lt;&gt;"",'Inputs Whole-Project Water Use'!C485=""),1,IF('Inputs Whole-Project Water Use'!C485&lt;&gt;"",'Inputs Whole-Project Water Use'!C485,""))</f>
        <v/>
      </c>
      <c r="D485" s="397" t="str">
        <f>(IF('Inputs Whole-Project Water Use'!D485&lt;&gt;"",'Inputs Whole-Project Water Use'!D485,""))</f>
        <v/>
      </c>
      <c r="E485" s="398"/>
      <c r="F485" s="316" t="str">
        <f>(IF('Inputs Whole-Project Water Use'!F485&lt;&gt;"",'Inputs Whole-Project Water Use'!F485,""))</f>
        <v/>
      </c>
      <c r="G485" s="316" t="str">
        <f>(IF('Inputs Whole-Project Water Use'!G485&lt;&gt;"",'Inputs Whole-Project Water Use'!G485,""))</f>
        <v/>
      </c>
      <c r="H485" s="289" t="str">
        <f>IF(AND(G485&lt;&gt;"",'Inputs Whole-Project Water Use'!H485=""),0,IF('Inputs Whole-Project Water Use'!H485&lt;&gt;"",'Inputs Whole-Project Water Use'!H485,""))</f>
        <v/>
      </c>
      <c r="I485" s="225" t="str">
        <f t="shared" si="53"/>
        <v/>
      </c>
      <c r="J485" s="225" t="str">
        <f t="shared" si="54"/>
        <v/>
      </c>
      <c r="K485" s="231" t="str">
        <f t="shared" si="55"/>
        <v/>
      </c>
      <c r="L485" s="176"/>
      <c r="M485" s="241"/>
      <c r="N485" s="241"/>
      <c r="O485" s="241"/>
      <c r="P485" s="241"/>
      <c r="Q485" s="241"/>
      <c r="R485" s="241"/>
      <c r="S485" s="241"/>
      <c r="T485" s="241"/>
      <c r="U485" s="241"/>
      <c r="V485" s="241"/>
      <c r="W485" s="241"/>
      <c r="X485" s="241"/>
      <c r="Y485" s="241"/>
      <c r="Z485" s="241"/>
      <c r="AA485" s="241"/>
      <c r="AB485" s="241"/>
      <c r="AC485" s="241"/>
      <c r="AD485" s="241"/>
      <c r="AE485" s="241"/>
      <c r="AF485" s="241"/>
      <c r="AG485" s="241"/>
      <c r="AH485" s="241"/>
      <c r="AI485" s="241"/>
      <c r="AJ485" s="241"/>
      <c r="AK485" s="241"/>
      <c r="AL485" s="241"/>
      <c r="AM485" s="241"/>
      <c r="AN485" s="241"/>
      <c r="AO485" s="241"/>
      <c r="AP485" s="241"/>
      <c r="AQ485" s="241"/>
      <c r="AR485" s="241"/>
      <c r="AS485" s="241"/>
      <c r="AT485" s="241"/>
      <c r="AU485" s="241"/>
      <c r="AV485" s="241"/>
      <c r="AW485" s="241"/>
      <c r="AX485" s="241"/>
      <c r="AY485" s="241"/>
      <c r="AZ485" s="241"/>
    </row>
    <row r="486" spans="1:52" s="71" customFormat="1" ht="18" hidden="1" customHeight="1" outlineLevel="2">
      <c r="A486" s="175">
        <v>95</v>
      </c>
      <c r="B486" s="312" t="str">
        <f>(IF('Inputs Whole-Project Water Use'!B486&lt;&gt;"",'Inputs Whole-Project Water Use'!B486,""))</f>
        <v/>
      </c>
      <c r="C486" s="313" t="str">
        <f>IF(AND(F486&lt;&gt;"",'Inputs Whole-Project Water Use'!C486=""),1,IF('Inputs Whole-Project Water Use'!C486&lt;&gt;"",'Inputs Whole-Project Water Use'!C486,""))</f>
        <v/>
      </c>
      <c r="D486" s="397" t="str">
        <f>(IF('Inputs Whole-Project Water Use'!D486&lt;&gt;"",'Inputs Whole-Project Water Use'!D486,""))</f>
        <v/>
      </c>
      <c r="E486" s="398"/>
      <c r="F486" s="316" t="str">
        <f>(IF('Inputs Whole-Project Water Use'!F486&lt;&gt;"",'Inputs Whole-Project Water Use'!F486,""))</f>
        <v/>
      </c>
      <c r="G486" s="316" t="str">
        <f>(IF('Inputs Whole-Project Water Use'!G486&lt;&gt;"",'Inputs Whole-Project Water Use'!G486,""))</f>
        <v/>
      </c>
      <c r="H486" s="289" t="str">
        <f>IF(AND(G486&lt;&gt;"",'Inputs Whole-Project Water Use'!H486=""),0,IF('Inputs Whole-Project Water Use'!H486&lt;&gt;"",'Inputs Whole-Project Water Use'!H486,""))</f>
        <v/>
      </c>
      <c r="I486" s="225" t="str">
        <f t="shared" si="53"/>
        <v/>
      </c>
      <c r="J486" s="225" t="str">
        <f t="shared" si="54"/>
        <v/>
      </c>
      <c r="K486" s="231" t="str">
        <f t="shared" si="55"/>
        <v/>
      </c>
      <c r="L486" s="176"/>
      <c r="M486" s="241"/>
      <c r="N486" s="241"/>
      <c r="O486" s="241"/>
      <c r="P486" s="241"/>
      <c r="Q486" s="241"/>
      <c r="R486" s="241"/>
      <c r="S486" s="241"/>
      <c r="T486" s="241"/>
      <c r="U486" s="241"/>
      <c r="V486" s="241"/>
      <c r="W486" s="241"/>
      <c r="X486" s="241"/>
      <c r="Y486" s="241"/>
      <c r="Z486" s="241"/>
      <c r="AA486" s="241"/>
      <c r="AB486" s="241"/>
      <c r="AC486" s="241"/>
      <c r="AD486" s="241"/>
      <c r="AE486" s="241"/>
      <c r="AF486" s="241"/>
      <c r="AG486" s="241"/>
      <c r="AH486" s="241"/>
      <c r="AI486" s="241"/>
      <c r="AJ486" s="241"/>
      <c r="AK486" s="241"/>
      <c r="AL486" s="241"/>
      <c r="AM486" s="241"/>
      <c r="AN486" s="241"/>
      <c r="AO486" s="241"/>
      <c r="AP486" s="241"/>
      <c r="AQ486" s="241"/>
      <c r="AR486" s="241"/>
      <c r="AS486" s="241"/>
      <c r="AT486" s="241"/>
      <c r="AU486" s="241"/>
      <c r="AV486" s="241"/>
      <c r="AW486" s="241"/>
      <c r="AX486" s="241"/>
      <c r="AY486" s="241"/>
      <c r="AZ486" s="241"/>
    </row>
    <row r="487" spans="1:52" s="71" customFormat="1" ht="18" hidden="1" customHeight="1" outlineLevel="2">
      <c r="A487" s="175">
        <v>96</v>
      </c>
      <c r="B487" s="312" t="str">
        <f>(IF('Inputs Whole-Project Water Use'!B487&lt;&gt;"",'Inputs Whole-Project Water Use'!B487,""))</f>
        <v/>
      </c>
      <c r="C487" s="313" t="str">
        <f>IF(AND(F487&lt;&gt;"",'Inputs Whole-Project Water Use'!C487=""),1,IF('Inputs Whole-Project Water Use'!C487&lt;&gt;"",'Inputs Whole-Project Water Use'!C487,""))</f>
        <v/>
      </c>
      <c r="D487" s="397" t="str">
        <f>(IF('Inputs Whole-Project Water Use'!D487&lt;&gt;"",'Inputs Whole-Project Water Use'!D487,""))</f>
        <v/>
      </c>
      <c r="E487" s="398"/>
      <c r="F487" s="316" t="str">
        <f>(IF('Inputs Whole-Project Water Use'!F487&lt;&gt;"",'Inputs Whole-Project Water Use'!F487,""))</f>
        <v/>
      </c>
      <c r="G487" s="316" t="str">
        <f>(IF('Inputs Whole-Project Water Use'!G487&lt;&gt;"",'Inputs Whole-Project Water Use'!G487,""))</f>
        <v/>
      </c>
      <c r="H487" s="289" t="str">
        <f>IF(AND(G487&lt;&gt;"",'Inputs Whole-Project Water Use'!H487=""),0,IF('Inputs Whole-Project Water Use'!H487&lt;&gt;"",'Inputs Whole-Project Water Use'!H487,""))</f>
        <v/>
      </c>
      <c r="I487" s="225" t="str">
        <f t="shared" si="53"/>
        <v/>
      </c>
      <c r="J487" s="225" t="str">
        <f t="shared" si="54"/>
        <v/>
      </c>
      <c r="K487" s="231" t="str">
        <f t="shared" si="55"/>
        <v/>
      </c>
      <c r="L487" s="176"/>
      <c r="M487" s="241"/>
      <c r="N487" s="241"/>
      <c r="O487" s="241"/>
      <c r="P487" s="241"/>
      <c r="Q487" s="241"/>
      <c r="R487" s="241"/>
      <c r="S487" s="241"/>
      <c r="T487" s="241"/>
      <c r="U487" s="241"/>
      <c r="V487" s="241"/>
      <c r="W487" s="241"/>
      <c r="X487" s="241"/>
      <c r="Y487" s="241"/>
      <c r="Z487" s="241"/>
      <c r="AA487" s="241"/>
      <c r="AB487" s="241"/>
      <c r="AC487" s="241"/>
      <c r="AD487" s="241"/>
      <c r="AE487" s="241"/>
      <c r="AF487" s="241"/>
      <c r="AG487" s="241"/>
      <c r="AH487" s="241"/>
      <c r="AI487" s="241"/>
      <c r="AJ487" s="241"/>
      <c r="AK487" s="241"/>
      <c r="AL487" s="241"/>
      <c r="AM487" s="241"/>
      <c r="AN487" s="241"/>
      <c r="AO487" s="241"/>
      <c r="AP487" s="241"/>
      <c r="AQ487" s="241"/>
      <c r="AR487" s="241"/>
      <c r="AS487" s="241"/>
      <c r="AT487" s="241"/>
      <c r="AU487" s="241"/>
      <c r="AV487" s="241"/>
      <c r="AW487" s="241"/>
      <c r="AX487" s="241"/>
      <c r="AY487" s="241"/>
      <c r="AZ487" s="241"/>
    </row>
    <row r="488" spans="1:52" s="71" customFormat="1" ht="18" hidden="1" customHeight="1" outlineLevel="2">
      <c r="A488" s="175">
        <v>97</v>
      </c>
      <c r="B488" s="312" t="str">
        <f>(IF('Inputs Whole-Project Water Use'!B488&lt;&gt;"",'Inputs Whole-Project Water Use'!B488,""))</f>
        <v/>
      </c>
      <c r="C488" s="313" t="str">
        <f>IF(AND(F488&lt;&gt;"",'Inputs Whole-Project Water Use'!C488=""),1,IF('Inputs Whole-Project Water Use'!C488&lt;&gt;"",'Inputs Whole-Project Water Use'!C488,""))</f>
        <v/>
      </c>
      <c r="D488" s="397" t="str">
        <f>(IF('Inputs Whole-Project Water Use'!D488&lt;&gt;"",'Inputs Whole-Project Water Use'!D488,""))</f>
        <v/>
      </c>
      <c r="E488" s="398"/>
      <c r="F488" s="316" t="str">
        <f>(IF('Inputs Whole-Project Water Use'!F488&lt;&gt;"",'Inputs Whole-Project Water Use'!F488,""))</f>
        <v/>
      </c>
      <c r="G488" s="316" t="str">
        <f>(IF('Inputs Whole-Project Water Use'!G488&lt;&gt;"",'Inputs Whole-Project Water Use'!G488,""))</f>
        <v/>
      </c>
      <c r="H488" s="289" t="str">
        <f>IF(AND(G488&lt;&gt;"",'Inputs Whole-Project Water Use'!H488=""),0,IF('Inputs Whole-Project Water Use'!H488&lt;&gt;"",'Inputs Whole-Project Water Use'!H488,""))</f>
        <v/>
      </c>
      <c r="I488" s="225" t="str">
        <f t="shared" si="53"/>
        <v/>
      </c>
      <c r="J488" s="225" t="str">
        <f t="shared" si="54"/>
        <v/>
      </c>
      <c r="K488" s="231" t="str">
        <f t="shared" si="55"/>
        <v/>
      </c>
      <c r="L488" s="176"/>
      <c r="M488" s="241"/>
      <c r="N488" s="241"/>
      <c r="O488" s="241"/>
      <c r="P488" s="241"/>
      <c r="Q488" s="241"/>
      <c r="R488" s="241"/>
      <c r="S488" s="241"/>
      <c r="T488" s="241"/>
      <c r="U488" s="241"/>
      <c r="V488" s="241"/>
      <c r="W488" s="241"/>
      <c r="X488" s="241"/>
      <c r="Y488" s="241"/>
      <c r="Z488" s="241"/>
      <c r="AA488" s="241"/>
      <c r="AB488" s="241"/>
      <c r="AC488" s="241"/>
      <c r="AD488" s="241"/>
      <c r="AE488" s="241"/>
      <c r="AF488" s="241"/>
      <c r="AG488" s="241"/>
      <c r="AH488" s="241"/>
      <c r="AI488" s="241"/>
      <c r="AJ488" s="241"/>
      <c r="AK488" s="241"/>
      <c r="AL488" s="241"/>
      <c r="AM488" s="241"/>
      <c r="AN488" s="241"/>
      <c r="AO488" s="241"/>
      <c r="AP488" s="241"/>
      <c r="AQ488" s="241"/>
      <c r="AR488" s="241"/>
      <c r="AS488" s="241"/>
      <c r="AT488" s="241"/>
      <c r="AU488" s="241"/>
      <c r="AV488" s="241"/>
      <c r="AW488" s="241"/>
      <c r="AX488" s="241"/>
      <c r="AY488" s="241"/>
      <c r="AZ488" s="241"/>
    </row>
    <row r="489" spans="1:52" s="71" customFormat="1" ht="18" hidden="1" customHeight="1" outlineLevel="2">
      <c r="A489" s="175">
        <v>98</v>
      </c>
      <c r="B489" s="312" t="str">
        <f>(IF('Inputs Whole-Project Water Use'!B489&lt;&gt;"",'Inputs Whole-Project Water Use'!B489,""))</f>
        <v/>
      </c>
      <c r="C489" s="313" t="str">
        <f>IF(AND(F489&lt;&gt;"",'Inputs Whole-Project Water Use'!C489=""),1,IF('Inputs Whole-Project Water Use'!C489&lt;&gt;"",'Inputs Whole-Project Water Use'!C489,""))</f>
        <v/>
      </c>
      <c r="D489" s="397" t="str">
        <f>(IF('Inputs Whole-Project Water Use'!D489&lt;&gt;"",'Inputs Whole-Project Water Use'!D489,""))</f>
        <v/>
      </c>
      <c r="E489" s="398"/>
      <c r="F489" s="316" t="str">
        <f>(IF('Inputs Whole-Project Water Use'!F489&lt;&gt;"",'Inputs Whole-Project Water Use'!F489,""))</f>
        <v/>
      </c>
      <c r="G489" s="316" t="str">
        <f>(IF('Inputs Whole-Project Water Use'!G489&lt;&gt;"",'Inputs Whole-Project Water Use'!G489,""))</f>
        <v/>
      </c>
      <c r="H489" s="289" t="str">
        <f>IF(AND(G489&lt;&gt;"",'Inputs Whole-Project Water Use'!H489=""),0,IF('Inputs Whole-Project Water Use'!H489&lt;&gt;"",'Inputs Whole-Project Water Use'!H489,""))</f>
        <v/>
      </c>
      <c r="I489" s="225" t="str">
        <f t="shared" si="53"/>
        <v/>
      </c>
      <c r="J489" s="225" t="str">
        <f t="shared" si="54"/>
        <v/>
      </c>
      <c r="K489" s="231" t="str">
        <f t="shared" si="55"/>
        <v/>
      </c>
      <c r="L489" s="241"/>
      <c r="M489" s="241"/>
      <c r="N489" s="241"/>
      <c r="O489" s="241"/>
      <c r="P489" s="241"/>
      <c r="Q489" s="241"/>
      <c r="R489" s="241"/>
      <c r="S489" s="241"/>
      <c r="T489" s="241"/>
      <c r="U489" s="241"/>
      <c r="V489" s="241"/>
      <c r="W489" s="241"/>
      <c r="X489" s="241"/>
      <c r="Y489" s="241"/>
      <c r="Z489" s="241"/>
      <c r="AA489" s="241"/>
      <c r="AB489" s="241"/>
      <c r="AC489" s="241"/>
      <c r="AD489" s="241"/>
      <c r="AE489" s="241"/>
      <c r="AF489" s="241"/>
      <c r="AG489" s="241"/>
      <c r="AH489" s="241"/>
      <c r="AI489" s="241"/>
      <c r="AJ489" s="241"/>
      <c r="AK489" s="241"/>
      <c r="AL489" s="241"/>
      <c r="AM489" s="241"/>
      <c r="AN489" s="241"/>
      <c r="AO489" s="241"/>
      <c r="AP489" s="241"/>
      <c r="AQ489" s="241"/>
      <c r="AR489" s="241"/>
      <c r="AS489" s="241"/>
      <c r="AT489" s="241"/>
      <c r="AU489" s="241"/>
      <c r="AV489" s="241"/>
      <c r="AW489" s="241"/>
      <c r="AX489" s="241"/>
      <c r="AY489" s="241"/>
      <c r="AZ489" s="241"/>
    </row>
    <row r="490" spans="1:52" s="71" customFormat="1" ht="18" hidden="1" customHeight="1" outlineLevel="2">
      <c r="A490" s="175">
        <v>99</v>
      </c>
      <c r="B490" s="312" t="str">
        <f>(IF('Inputs Whole-Project Water Use'!B490&lt;&gt;"",'Inputs Whole-Project Water Use'!B490,""))</f>
        <v/>
      </c>
      <c r="C490" s="313" t="str">
        <f>IF(AND(F490&lt;&gt;"",'Inputs Whole-Project Water Use'!C490=""),1,IF('Inputs Whole-Project Water Use'!C490&lt;&gt;"",'Inputs Whole-Project Water Use'!C490,""))</f>
        <v/>
      </c>
      <c r="D490" s="397" t="str">
        <f>(IF('Inputs Whole-Project Water Use'!D490&lt;&gt;"",'Inputs Whole-Project Water Use'!D490,""))</f>
        <v/>
      </c>
      <c r="E490" s="398"/>
      <c r="F490" s="316" t="str">
        <f>(IF('Inputs Whole-Project Water Use'!F490&lt;&gt;"",'Inputs Whole-Project Water Use'!F490,""))</f>
        <v/>
      </c>
      <c r="G490" s="316" t="str">
        <f>(IF('Inputs Whole-Project Water Use'!G490&lt;&gt;"",'Inputs Whole-Project Water Use'!G490,""))</f>
        <v/>
      </c>
      <c r="H490" s="289" t="str">
        <f>IF(AND(G490&lt;&gt;"",'Inputs Whole-Project Water Use'!H490=""),0,IF('Inputs Whole-Project Water Use'!H490&lt;&gt;"",'Inputs Whole-Project Water Use'!H490,""))</f>
        <v/>
      </c>
      <c r="I490" s="225" t="str">
        <f t="shared" si="53"/>
        <v/>
      </c>
      <c r="J490" s="225" t="str">
        <f t="shared" si="54"/>
        <v/>
      </c>
      <c r="K490" s="231" t="str">
        <f t="shared" si="55"/>
        <v/>
      </c>
      <c r="L490" s="241"/>
      <c r="M490" s="241"/>
      <c r="N490" s="241"/>
      <c r="O490" s="241"/>
      <c r="P490" s="241"/>
      <c r="Q490" s="241"/>
      <c r="R490" s="241"/>
      <c r="S490" s="241"/>
      <c r="T490" s="241"/>
      <c r="U490" s="241"/>
      <c r="V490" s="241"/>
      <c r="W490" s="241"/>
      <c r="X490" s="241"/>
      <c r="Y490" s="241"/>
      <c r="Z490" s="241"/>
      <c r="AA490" s="241"/>
      <c r="AB490" s="241"/>
      <c r="AC490" s="241"/>
      <c r="AD490" s="241"/>
      <c r="AE490" s="241"/>
      <c r="AF490" s="241"/>
      <c r="AG490" s="241"/>
      <c r="AH490" s="241"/>
      <c r="AI490" s="241"/>
      <c r="AJ490" s="241"/>
      <c r="AK490" s="241"/>
      <c r="AL490" s="241"/>
      <c r="AM490" s="241"/>
      <c r="AN490" s="241"/>
      <c r="AO490" s="241"/>
      <c r="AP490" s="241"/>
      <c r="AQ490" s="241"/>
      <c r="AR490" s="241"/>
      <c r="AS490" s="241"/>
      <c r="AT490" s="241"/>
      <c r="AU490" s="241"/>
      <c r="AV490" s="241"/>
      <c r="AW490" s="241"/>
      <c r="AX490" s="241"/>
      <c r="AY490" s="241"/>
      <c r="AZ490" s="241"/>
    </row>
    <row r="491" spans="1:52" s="71" customFormat="1" ht="18" hidden="1" customHeight="1" outlineLevel="2">
      <c r="A491" s="175">
        <v>100</v>
      </c>
      <c r="B491" s="312" t="str">
        <f>(IF('Inputs Whole-Project Water Use'!B491&lt;&gt;"",'Inputs Whole-Project Water Use'!B491,""))</f>
        <v/>
      </c>
      <c r="C491" s="313" t="str">
        <f>IF(AND(F491&lt;&gt;"",'Inputs Whole-Project Water Use'!C491=""),1,IF('Inputs Whole-Project Water Use'!C491&lt;&gt;"",'Inputs Whole-Project Water Use'!C491,""))</f>
        <v/>
      </c>
      <c r="D491" s="397" t="str">
        <f>(IF('Inputs Whole-Project Water Use'!D491&lt;&gt;"",'Inputs Whole-Project Water Use'!D491,""))</f>
        <v/>
      </c>
      <c r="E491" s="398"/>
      <c r="F491" s="316" t="str">
        <f>(IF('Inputs Whole-Project Water Use'!F491&lt;&gt;"",'Inputs Whole-Project Water Use'!F491,""))</f>
        <v/>
      </c>
      <c r="G491" s="316" t="str">
        <f>(IF('Inputs Whole-Project Water Use'!G491&lt;&gt;"",'Inputs Whole-Project Water Use'!G491,""))</f>
        <v/>
      </c>
      <c r="H491" s="289" t="str">
        <f>IF(AND(G491&lt;&gt;"",'Inputs Whole-Project Water Use'!H491=""),0,IF('Inputs Whole-Project Water Use'!H491&lt;&gt;"",'Inputs Whole-Project Water Use'!H491,""))</f>
        <v/>
      </c>
      <c r="I491" s="225" t="str">
        <f t="shared" si="53"/>
        <v/>
      </c>
      <c r="J491" s="225" t="str">
        <f t="shared" si="54"/>
        <v/>
      </c>
      <c r="K491" s="231" t="str">
        <f t="shared" si="55"/>
        <v/>
      </c>
      <c r="L491" s="241"/>
      <c r="M491" s="241"/>
      <c r="N491" s="241"/>
      <c r="O491" s="241"/>
      <c r="P491" s="241"/>
      <c r="Q491" s="241"/>
      <c r="R491" s="241"/>
      <c r="S491" s="241"/>
      <c r="T491" s="241"/>
      <c r="U491" s="241"/>
      <c r="V491" s="241"/>
      <c r="W491" s="241"/>
      <c r="X491" s="241"/>
      <c r="Y491" s="241"/>
      <c r="Z491" s="241"/>
      <c r="AA491" s="241"/>
      <c r="AB491" s="241"/>
      <c r="AC491" s="241"/>
      <c r="AD491" s="241"/>
      <c r="AE491" s="241"/>
      <c r="AF491" s="241"/>
      <c r="AG491" s="241"/>
      <c r="AH491" s="241"/>
      <c r="AI491" s="241"/>
      <c r="AJ491" s="241"/>
      <c r="AK491" s="241"/>
      <c r="AL491" s="241"/>
      <c r="AM491" s="241"/>
      <c r="AN491" s="241"/>
      <c r="AO491" s="241"/>
      <c r="AP491" s="241"/>
      <c r="AQ491" s="241"/>
      <c r="AR491" s="241"/>
      <c r="AS491" s="241"/>
      <c r="AT491" s="241"/>
      <c r="AU491" s="241"/>
      <c r="AV491" s="241"/>
      <c r="AW491" s="241"/>
      <c r="AX491" s="241"/>
      <c r="AY491" s="241"/>
      <c r="AZ491" s="241"/>
    </row>
    <row r="492" spans="1:52" s="71" customFormat="1" ht="18" hidden="1" customHeight="1" outlineLevel="2">
      <c r="A492" s="175">
        <v>101</v>
      </c>
      <c r="B492" s="312" t="str">
        <f>(IF('Inputs Whole-Project Water Use'!B492&lt;&gt;"",'Inputs Whole-Project Water Use'!B492,""))</f>
        <v/>
      </c>
      <c r="C492" s="313" t="str">
        <f>IF(AND(F492&lt;&gt;"",'Inputs Whole-Project Water Use'!C492=""),1,IF('Inputs Whole-Project Water Use'!C492&lt;&gt;"",'Inputs Whole-Project Water Use'!C492,""))</f>
        <v/>
      </c>
      <c r="D492" s="397" t="str">
        <f>(IF('Inputs Whole-Project Water Use'!D492&lt;&gt;"",'Inputs Whole-Project Water Use'!D492,""))</f>
        <v/>
      </c>
      <c r="E492" s="398"/>
      <c r="F492" s="316" t="str">
        <f>(IF('Inputs Whole-Project Water Use'!F492&lt;&gt;"",'Inputs Whole-Project Water Use'!F492,""))</f>
        <v/>
      </c>
      <c r="G492" s="316" t="str">
        <f>(IF('Inputs Whole-Project Water Use'!G492&lt;&gt;"",'Inputs Whole-Project Water Use'!G492,""))</f>
        <v/>
      </c>
      <c r="H492" s="289" t="str">
        <f>IF(AND(G492&lt;&gt;"",'Inputs Whole-Project Water Use'!H492=""),0,IF('Inputs Whole-Project Water Use'!H492&lt;&gt;"",'Inputs Whole-Project Water Use'!H492,""))</f>
        <v/>
      </c>
      <c r="I492" s="225" t="str">
        <f t="shared" si="53"/>
        <v/>
      </c>
      <c r="J492" s="225" t="str">
        <f t="shared" si="54"/>
        <v/>
      </c>
      <c r="K492" s="231" t="str">
        <f t="shared" si="55"/>
        <v/>
      </c>
      <c r="L492" s="241"/>
      <c r="M492" s="241"/>
      <c r="N492" s="241"/>
      <c r="O492" s="241"/>
      <c r="P492" s="241"/>
      <c r="Q492" s="241"/>
      <c r="R492" s="241"/>
      <c r="S492" s="241"/>
      <c r="T492" s="241"/>
      <c r="U492" s="241"/>
      <c r="V492" s="241"/>
      <c r="W492" s="241"/>
      <c r="X492" s="241"/>
      <c r="Y492" s="241"/>
      <c r="Z492" s="241"/>
      <c r="AA492" s="241"/>
      <c r="AB492" s="241"/>
      <c r="AC492" s="241"/>
      <c r="AD492" s="241"/>
      <c r="AE492" s="241"/>
      <c r="AF492" s="241"/>
      <c r="AG492" s="241"/>
      <c r="AH492" s="241"/>
      <c r="AI492" s="241"/>
      <c r="AJ492" s="241"/>
      <c r="AK492" s="241"/>
      <c r="AL492" s="241"/>
      <c r="AM492" s="241"/>
      <c r="AN492" s="241"/>
      <c r="AO492" s="241"/>
      <c r="AP492" s="241"/>
      <c r="AQ492" s="241"/>
      <c r="AR492" s="241"/>
      <c r="AS492" s="241"/>
      <c r="AT492" s="241"/>
      <c r="AU492" s="241"/>
      <c r="AV492" s="241"/>
      <c r="AW492" s="241"/>
      <c r="AX492" s="241"/>
      <c r="AY492" s="241"/>
      <c r="AZ492" s="241"/>
    </row>
    <row r="493" spans="1:52" s="71" customFormat="1" ht="18" hidden="1" customHeight="1" outlineLevel="2">
      <c r="A493" s="175">
        <v>102</v>
      </c>
      <c r="B493" s="312" t="str">
        <f>(IF('Inputs Whole-Project Water Use'!B493&lt;&gt;"",'Inputs Whole-Project Water Use'!B493,""))</f>
        <v/>
      </c>
      <c r="C493" s="313" t="str">
        <f>IF(AND(F493&lt;&gt;"",'Inputs Whole-Project Water Use'!C493=""),1,IF('Inputs Whole-Project Water Use'!C493&lt;&gt;"",'Inputs Whole-Project Water Use'!C493,""))</f>
        <v/>
      </c>
      <c r="D493" s="397" t="str">
        <f>(IF('Inputs Whole-Project Water Use'!D493&lt;&gt;"",'Inputs Whole-Project Water Use'!D493,""))</f>
        <v/>
      </c>
      <c r="E493" s="398"/>
      <c r="F493" s="316" t="str">
        <f>(IF('Inputs Whole-Project Water Use'!F493&lt;&gt;"",'Inputs Whole-Project Water Use'!F493,""))</f>
        <v/>
      </c>
      <c r="G493" s="316" t="str">
        <f>(IF('Inputs Whole-Project Water Use'!G493&lt;&gt;"",'Inputs Whole-Project Water Use'!G493,""))</f>
        <v/>
      </c>
      <c r="H493" s="289" t="str">
        <f>IF(AND(G493&lt;&gt;"",'Inputs Whole-Project Water Use'!H493=""),0,IF('Inputs Whole-Project Water Use'!H493&lt;&gt;"",'Inputs Whole-Project Water Use'!H493,""))</f>
        <v/>
      </c>
      <c r="I493" s="225" t="str">
        <f t="shared" si="53"/>
        <v/>
      </c>
      <c r="J493" s="225" t="str">
        <f t="shared" si="54"/>
        <v/>
      </c>
      <c r="K493" s="231" t="str">
        <f t="shared" si="55"/>
        <v/>
      </c>
      <c r="L493" s="241"/>
      <c r="M493" s="241"/>
      <c r="N493" s="241"/>
      <c r="O493" s="241"/>
      <c r="P493" s="241"/>
      <c r="Q493" s="241"/>
      <c r="R493" s="241"/>
      <c r="S493" s="241"/>
      <c r="T493" s="241"/>
      <c r="U493" s="241"/>
      <c r="V493" s="241"/>
      <c r="W493" s="241"/>
      <c r="X493" s="241"/>
      <c r="Y493" s="241"/>
      <c r="Z493" s="241"/>
      <c r="AA493" s="241"/>
      <c r="AB493" s="241"/>
      <c r="AC493" s="241"/>
      <c r="AD493" s="241"/>
      <c r="AE493" s="241"/>
      <c r="AF493" s="241"/>
      <c r="AG493" s="241"/>
      <c r="AH493" s="241"/>
      <c r="AI493" s="241"/>
      <c r="AJ493" s="241"/>
      <c r="AK493" s="241"/>
      <c r="AL493" s="241"/>
      <c r="AM493" s="241"/>
      <c r="AN493" s="241"/>
      <c r="AO493" s="241"/>
      <c r="AP493" s="241"/>
      <c r="AQ493" s="241"/>
      <c r="AR493" s="241"/>
      <c r="AS493" s="241"/>
      <c r="AT493" s="241"/>
      <c r="AU493" s="241"/>
      <c r="AV493" s="241"/>
      <c r="AW493" s="241"/>
      <c r="AX493" s="241"/>
      <c r="AY493" s="241"/>
      <c r="AZ493" s="241"/>
    </row>
    <row r="494" spans="1:52" s="71" customFormat="1" ht="18" hidden="1" customHeight="1" outlineLevel="2">
      <c r="A494" s="175">
        <v>103</v>
      </c>
      <c r="B494" s="312" t="str">
        <f>(IF('Inputs Whole-Project Water Use'!B494&lt;&gt;"",'Inputs Whole-Project Water Use'!B494,""))</f>
        <v/>
      </c>
      <c r="C494" s="313" t="str">
        <f>IF(AND(F494&lt;&gt;"",'Inputs Whole-Project Water Use'!C494=""),1,IF('Inputs Whole-Project Water Use'!C494&lt;&gt;"",'Inputs Whole-Project Water Use'!C494,""))</f>
        <v/>
      </c>
      <c r="D494" s="397" t="str">
        <f>(IF('Inputs Whole-Project Water Use'!D494&lt;&gt;"",'Inputs Whole-Project Water Use'!D494,""))</f>
        <v/>
      </c>
      <c r="E494" s="398"/>
      <c r="F494" s="316" t="str">
        <f>(IF('Inputs Whole-Project Water Use'!F494&lt;&gt;"",'Inputs Whole-Project Water Use'!F494,""))</f>
        <v/>
      </c>
      <c r="G494" s="316" t="str">
        <f>(IF('Inputs Whole-Project Water Use'!G494&lt;&gt;"",'Inputs Whole-Project Water Use'!G494,""))</f>
        <v/>
      </c>
      <c r="H494" s="289" t="str">
        <f>IF(AND(G494&lt;&gt;"",'Inputs Whole-Project Water Use'!H494=""),0,IF('Inputs Whole-Project Water Use'!H494&lt;&gt;"",'Inputs Whole-Project Water Use'!H494,""))</f>
        <v/>
      </c>
      <c r="I494" s="225" t="str">
        <f t="shared" si="53"/>
        <v/>
      </c>
      <c r="J494" s="225" t="str">
        <f t="shared" si="54"/>
        <v/>
      </c>
      <c r="K494" s="231" t="str">
        <f t="shared" si="55"/>
        <v/>
      </c>
      <c r="L494" s="241"/>
      <c r="M494" s="241"/>
      <c r="N494" s="241"/>
      <c r="O494" s="241"/>
      <c r="P494" s="241"/>
      <c r="Q494" s="241"/>
      <c r="R494" s="241"/>
      <c r="S494" s="241"/>
      <c r="T494" s="241"/>
      <c r="U494" s="241"/>
      <c r="V494" s="241"/>
      <c r="W494" s="241"/>
      <c r="X494" s="241"/>
      <c r="Y494" s="241"/>
      <c r="Z494" s="241"/>
      <c r="AA494" s="241"/>
      <c r="AB494" s="241"/>
      <c r="AC494" s="241"/>
      <c r="AD494" s="241"/>
      <c r="AE494" s="241"/>
      <c r="AF494" s="241"/>
      <c r="AG494" s="241"/>
      <c r="AH494" s="241"/>
      <c r="AI494" s="241"/>
      <c r="AJ494" s="241"/>
      <c r="AK494" s="241"/>
      <c r="AL494" s="241"/>
      <c r="AM494" s="241"/>
      <c r="AN494" s="241"/>
      <c r="AO494" s="241"/>
      <c r="AP494" s="241"/>
      <c r="AQ494" s="241"/>
      <c r="AR494" s="241"/>
      <c r="AS494" s="241"/>
      <c r="AT494" s="241"/>
      <c r="AU494" s="241"/>
      <c r="AV494" s="241"/>
      <c r="AW494" s="241"/>
      <c r="AX494" s="241"/>
      <c r="AY494" s="241"/>
      <c r="AZ494" s="241"/>
    </row>
    <row r="495" spans="1:52" s="71" customFormat="1" ht="18" hidden="1" customHeight="1" outlineLevel="2">
      <c r="A495" s="175">
        <v>104</v>
      </c>
      <c r="B495" s="312" t="str">
        <f>(IF('Inputs Whole-Project Water Use'!B495&lt;&gt;"",'Inputs Whole-Project Water Use'!B495,""))</f>
        <v/>
      </c>
      <c r="C495" s="313" t="str">
        <f>IF(AND(F495&lt;&gt;"",'Inputs Whole-Project Water Use'!C495=""),1,IF('Inputs Whole-Project Water Use'!C495&lt;&gt;"",'Inputs Whole-Project Water Use'!C495,""))</f>
        <v/>
      </c>
      <c r="D495" s="397" t="str">
        <f>(IF('Inputs Whole-Project Water Use'!D495&lt;&gt;"",'Inputs Whole-Project Water Use'!D495,""))</f>
        <v/>
      </c>
      <c r="E495" s="398"/>
      <c r="F495" s="316" t="str">
        <f>(IF('Inputs Whole-Project Water Use'!F495&lt;&gt;"",'Inputs Whole-Project Water Use'!F495,""))</f>
        <v/>
      </c>
      <c r="G495" s="316" t="str">
        <f>(IF('Inputs Whole-Project Water Use'!G495&lt;&gt;"",'Inputs Whole-Project Water Use'!G495,""))</f>
        <v/>
      </c>
      <c r="H495" s="289" t="str">
        <f>IF(AND(G495&lt;&gt;"",'Inputs Whole-Project Water Use'!H495=""),0,IF('Inputs Whole-Project Water Use'!H495&lt;&gt;"",'Inputs Whole-Project Water Use'!H495,""))</f>
        <v/>
      </c>
      <c r="I495" s="225" t="str">
        <f t="shared" si="53"/>
        <v/>
      </c>
      <c r="J495" s="225" t="str">
        <f t="shared" si="54"/>
        <v/>
      </c>
      <c r="K495" s="231" t="str">
        <f t="shared" si="55"/>
        <v/>
      </c>
      <c r="L495" s="241"/>
      <c r="M495" s="241"/>
      <c r="N495" s="241"/>
      <c r="O495" s="241"/>
      <c r="P495" s="241"/>
      <c r="Q495" s="241"/>
      <c r="R495" s="241"/>
      <c r="S495" s="241"/>
      <c r="T495" s="241"/>
      <c r="U495" s="241"/>
      <c r="V495" s="241"/>
      <c r="W495" s="241"/>
      <c r="X495" s="241"/>
      <c r="Y495" s="241"/>
      <c r="Z495" s="241"/>
      <c r="AA495" s="241"/>
      <c r="AB495" s="241"/>
      <c r="AC495" s="241"/>
      <c r="AD495" s="241"/>
      <c r="AE495" s="241"/>
      <c r="AF495" s="241"/>
      <c r="AG495" s="241"/>
      <c r="AH495" s="241"/>
      <c r="AI495" s="241"/>
      <c r="AJ495" s="241"/>
      <c r="AK495" s="241"/>
      <c r="AL495" s="241"/>
      <c r="AM495" s="241"/>
      <c r="AN495" s="241"/>
      <c r="AO495" s="241"/>
      <c r="AP495" s="241"/>
      <c r="AQ495" s="241"/>
      <c r="AR495" s="241"/>
      <c r="AS495" s="241"/>
      <c r="AT495" s="241"/>
      <c r="AU495" s="241"/>
      <c r="AV495" s="241"/>
      <c r="AW495" s="241"/>
      <c r="AX495" s="241"/>
      <c r="AY495" s="241"/>
      <c r="AZ495" s="241"/>
    </row>
    <row r="496" spans="1:52" s="71" customFormat="1" ht="18" hidden="1" customHeight="1" outlineLevel="2">
      <c r="A496" s="175">
        <v>105</v>
      </c>
      <c r="B496" s="312" t="str">
        <f>(IF('Inputs Whole-Project Water Use'!B496&lt;&gt;"",'Inputs Whole-Project Water Use'!B496,""))</f>
        <v/>
      </c>
      <c r="C496" s="313" t="str">
        <f>IF(AND(F496&lt;&gt;"",'Inputs Whole-Project Water Use'!C496=""),1,IF('Inputs Whole-Project Water Use'!C496&lt;&gt;"",'Inputs Whole-Project Water Use'!C496,""))</f>
        <v/>
      </c>
      <c r="D496" s="397" t="str">
        <f>(IF('Inputs Whole-Project Water Use'!D496&lt;&gt;"",'Inputs Whole-Project Water Use'!D496,""))</f>
        <v/>
      </c>
      <c r="E496" s="398"/>
      <c r="F496" s="316" t="str">
        <f>(IF('Inputs Whole-Project Water Use'!F496&lt;&gt;"",'Inputs Whole-Project Water Use'!F496,""))</f>
        <v/>
      </c>
      <c r="G496" s="316" t="str">
        <f>(IF('Inputs Whole-Project Water Use'!G496&lt;&gt;"",'Inputs Whole-Project Water Use'!G496,""))</f>
        <v/>
      </c>
      <c r="H496" s="289" t="str">
        <f>IF(AND(G496&lt;&gt;"",'Inputs Whole-Project Water Use'!H496=""),0,IF('Inputs Whole-Project Water Use'!H496&lt;&gt;"",'Inputs Whole-Project Water Use'!H496,""))</f>
        <v/>
      </c>
      <c r="I496" s="225" t="str">
        <f t="shared" si="53"/>
        <v/>
      </c>
      <c r="J496" s="225" t="str">
        <f t="shared" si="54"/>
        <v/>
      </c>
      <c r="K496" s="231" t="str">
        <f t="shared" si="55"/>
        <v/>
      </c>
      <c r="L496" s="241"/>
      <c r="M496" s="241"/>
      <c r="N496" s="241"/>
      <c r="O496" s="241"/>
      <c r="P496" s="241"/>
      <c r="Q496" s="241"/>
      <c r="R496" s="241"/>
      <c r="S496" s="241"/>
      <c r="T496" s="241"/>
      <c r="U496" s="241"/>
      <c r="V496" s="241"/>
      <c r="W496" s="241"/>
      <c r="X496" s="241"/>
      <c r="Y496" s="241"/>
      <c r="Z496" s="241"/>
      <c r="AA496" s="241"/>
      <c r="AB496" s="241"/>
      <c r="AC496" s="241"/>
      <c r="AD496" s="241"/>
      <c r="AE496" s="241"/>
      <c r="AF496" s="241"/>
      <c r="AG496" s="241"/>
      <c r="AH496" s="241"/>
      <c r="AI496" s="241"/>
      <c r="AJ496" s="241"/>
      <c r="AK496" s="241"/>
      <c r="AL496" s="241"/>
      <c r="AM496" s="241"/>
      <c r="AN496" s="241"/>
      <c r="AO496" s="241"/>
      <c r="AP496" s="241"/>
      <c r="AQ496" s="241"/>
      <c r="AR496" s="241"/>
      <c r="AS496" s="241"/>
      <c r="AT496" s="241"/>
      <c r="AU496" s="241"/>
      <c r="AV496" s="241"/>
      <c r="AW496" s="241"/>
      <c r="AX496" s="241"/>
      <c r="AY496" s="241"/>
      <c r="AZ496" s="241"/>
    </row>
    <row r="497" spans="1:52" s="71" customFormat="1" ht="18" hidden="1" customHeight="1" outlineLevel="2">
      <c r="A497" s="175">
        <v>106</v>
      </c>
      <c r="B497" s="312" t="str">
        <f>(IF('Inputs Whole-Project Water Use'!B497&lt;&gt;"",'Inputs Whole-Project Water Use'!B497,""))</f>
        <v/>
      </c>
      <c r="C497" s="313" t="str">
        <f>IF(AND(F497&lt;&gt;"",'Inputs Whole-Project Water Use'!C497=""),1,IF('Inputs Whole-Project Water Use'!C497&lt;&gt;"",'Inputs Whole-Project Water Use'!C497,""))</f>
        <v/>
      </c>
      <c r="D497" s="397" t="str">
        <f>(IF('Inputs Whole-Project Water Use'!D497&lt;&gt;"",'Inputs Whole-Project Water Use'!D497,""))</f>
        <v/>
      </c>
      <c r="E497" s="398"/>
      <c r="F497" s="316" t="str">
        <f>(IF('Inputs Whole-Project Water Use'!F497&lt;&gt;"",'Inputs Whole-Project Water Use'!F497,""))</f>
        <v/>
      </c>
      <c r="G497" s="316" t="str">
        <f>(IF('Inputs Whole-Project Water Use'!G497&lt;&gt;"",'Inputs Whole-Project Water Use'!G497,""))</f>
        <v/>
      </c>
      <c r="H497" s="289" t="str">
        <f>IF(AND(G497&lt;&gt;"",'Inputs Whole-Project Water Use'!H497=""),0,IF('Inputs Whole-Project Water Use'!H497&lt;&gt;"",'Inputs Whole-Project Water Use'!H497,""))</f>
        <v/>
      </c>
      <c r="I497" s="225" t="str">
        <f t="shared" si="53"/>
        <v/>
      </c>
      <c r="J497" s="225" t="str">
        <f t="shared" si="54"/>
        <v/>
      </c>
      <c r="K497" s="231" t="str">
        <f t="shared" si="55"/>
        <v/>
      </c>
      <c r="L497" s="241"/>
      <c r="M497" s="241"/>
      <c r="N497" s="241"/>
      <c r="O497" s="241"/>
      <c r="P497" s="241"/>
      <c r="Q497" s="241"/>
      <c r="R497" s="241"/>
      <c r="S497" s="241"/>
      <c r="T497" s="241"/>
      <c r="U497" s="241"/>
      <c r="V497" s="241"/>
      <c r="W497" s="241"/>
      <c r="X497" s="241"/>
      <c r="Y497" s="241"/>
      <c r="Z497" s="241"/>
      <c r="AA497" s="241"/>
      <c r="AB497" s="241"/>
      <c r="AC497" s="241"/>
      <c r="AD497" s="241"/>
      <c r="AE497" s="241"/>
      <c r="AF497" s="241"/>
      <c r="AG497" s="241"/>
      <c r="AH497" s="241"/>
      <c r="AI497" s="241"/>
      <c r="AJ497" s="241"/>
      <c r="AK497" s="241"/>
      <c r="AL497" s="241"/>
      <c r="AM497" s="241"/>
      <c r="AN497" s="241"/>
      <c r="AO497" s="241"/>
      <c r="AP497" s="241"/>
      <c r="AQ497" s="241"/>
      <c r="AR497" s="241"/>
      <c r="AS497" s="241"/>
      <c r="AT497" s="241"/>
      <c r="AU497" s="241"/>
      <c r="AV497" s="241"/>
      <c r="AW497" s="241"/>
      <c r="AX497" s="241"/>
      <c r="AY497" s="241"/>
      <c r="AZ497" s="241"/>
    </row>
    <row r="498" spans="1:52" s="71" customFormat="1" ht="18" hidden="1" customHeight="1" outlineLevel="2">
      <c r="A498" s="175">
        <v>107</v>
      </c>
      <c r="B498" s="312" t="str">
        <f>(IF('Inputs Whole-Project Water Use'!B498&lt;&gt;"",'Inputs Whole-Project Water Use'!B498,""))</f>
        <v/>
      </c>
      <c r="C498" s="313" t="str">
        <f>IF(AND(F498&lt;&gt;"",'Inputs Whole-Project Water Use'!C498=""),1,IF('Inputs Whole-Project Water Use'!C498&lt;&gt;"",'Inputs Whole-Project Water Use'!C498,""))</f>
        <v/>
      </c>
      <c r="D498" s="397" t="str">
        <f>(IF('Inputs Whole-Project Water Use'!D498&lt;&gt;"",'Inputs Whole-Project Water Use'!D498,""))</f>
        <v/>
      </c>
      <c r="E498" s="398"/>
      <c r="F498" s="316" t="str">
        <f>(IF('Inputs Whole-Project Water Use'!F498&lt;&gt;"",'Inputs Whole-Project Water Use'!F498,""))</f>
        <v/>
      </c>
      <c r="G498" s="316" t="str">
        <f>(IF('Inputs Whole-Project Water Use'!G498&lt;&gt;"",'Inputs Whole-Project Water Use'!G498,""))</f>
        <v/>
      </c>
      <c r="H498" s="289" t="str">
        <f>IF(AND(G498&lt;&gt;"",'Inputs Whole-Project Water Use'!H498=""),0,IF('Inputs Whole-Project Water Use'!H498&lt;&gt;"",'Inputs Whole-Project Water Use'!H498,""))</f>
        <v/>
      </c>
      <c r="I498" s="225" t="str">
        <f t="shared" si="53"/>
        <v/>
      </c>
      <c r="J498" s="225" t="str">
        <f t="shared" si="54"/>
        <v/>
      </c>
      <c r="K498" s="231" t="str">
        <f t="shared" si="55"/>
        <v/>
      </c>
      <c r="L498" s="241"/>
      <c r="M498" s="241"/>
      <c r="N498" s="241"/>
      <c r="O498" s="241"/>
      <c r="P498" s="241"/>
      <c r="Q498" s="241"/>
      <c r="R498" s="241"/>
      <c r="S498" s="241"/>
      <c r="T498" s="241"/>
      <c r="U498" s="241"/>
      <c r="V498" s="241"/>
      <c r="W498" s="241"/>
      <c r="X498" s="241"/>
      <c r="Y498" s="241"/>
      <c r="Z498" s="241"/>
      <c r="AA498" s="241"/>
      <c r="AB498" s="241"/>
      <c r="AC498" s="241"/>
      <c r="AD498" s="241"/>
      <c r="AE498" s="241"/>
      <c r="AF498" s="241"/>
      <c r="AG498" s="241"/>
      <c r="AH498" s="241"/>
      <c r="AI498" s="241"/>
      <c r="AJ498" s="241"/>
      <c r="AK498" s="241"/>
      <c r="AL498" s="241"/>
      <c r="AM498" s="241"/>
      <c r="AN498" s="241"/>
      <c r="AO498" s="241"/>
      <c r="AP498" s="241"/>
      <c r="AQ498" s="241"/>
      <c r="AR498" s="241"/>
      <c r="AS498" s="241"/>
      <c r="AT498" s="241"/>
      <c r="AU498" s="241"/>
      <c r="AV498" s="241"/>
      <c r="AW498" s="241"/>
      <c r="AX498" s="241"/>
      <c r="AY498" s="241"/>
      <c r="AZ498" s="241"/>
    </row>
    <row r="499" spans="1:52" s="71" customFormat="1" ht="18" hidden="1" customHeight="1" outlineLevel="2">
      <c r="A499" s="175">
        <v>108</v>
      </c>
      <c r="B499" s="312" t="str">
        <f>(IF('Inputs Whole-Project Water Use'!B499&lt;&gt;"",'Inputs Whole-Project Water Use'!B499,""))</f>
        <v/>
      </c>
      <c r="C499" s="313" t="str">
        <f>IF(AND(F499&lt;&gt;"",'Inputs Whole-Project Water Use'!C499=""),1,IF('Inputs Whole-Project Water Use'!C499&lt;&gt;"",'Inputs Whole-Project Water Use'!C499,""))</f>
        <v/>
      </c>
      <c r="D499" s="397" t="str">
        <f>(IF('Inputs Whole-Project Water Use'!D499&lt;&gt;"",'Inputs Whole-Project Water Use'!D499,""))</f>
        <v/>
      </c>
      <c r="E499" s="398"/>
      <c r="F499" s="316" t="str">
        <f>(IF('Inputs Whole-Project Water Use'!F499&lt;&gt;"",'Inputs Whole-Project Water Use'!F499,""))</f>
        <v/>
      </c>
      <c r="G499" s="316" t="str">
        <f>(IF('Inputs Whole-Project Water Use'!G499&lt;&gt;"",'Inputs Whole-Project Water Use'!G499,""))</f>
        <v/>
      </c>
      <c r="H499" s="289" t="str">
        <f>IF(AND(G499&lt;&gt;"",'Inputs Whole-Project Water Use'!H499=""),0,IF('Inputs Whole-Project Water Use'!H499&lt;&gt;"",'Inputs Whole-Project Water Use'!H499,""))</f>
        <v/>
      </c>
      <c r="I499" s="225" t="str">
        <f t="shared" si="53"/>
        <v/>
      </c>
      <c r="J499" s="225" t="str">
        <f t="shared" si="54"/>
        <v/>
      </c>
      <c r="K499" s="231" t="str">
        <f t="shared" si="55"/>
        <v/>
      </c>
      <c r="L499" s="241"/>
      <c r="M499" s="241"/>
      <c r="N499" s="241"/>
      <c r="O499" s="241"/>
      <c r="P499" s="241"/>
      <c r="Q499" s="241"/>
      <c r="R499" s="241"/>
      <c r="S499" s="241"/>
      <c r="T499" s="241"/>
      <c r="U499" s="241"/>
      <c r="V499" s="241"/>
      <c r="W499" s="241"/>
      <c r="X499" s="241"/>
      <c r="Y499" s="241"/>
      <c r="Z499" s="241"/>
      <c r="AA499" s="241"/>
      <c r="AB499" s="241"/>
      <c r="AC499" s="241"/>
      <c r="AD499" s="241"/>
      <c r="AE499" s="241"/>
      <c r="AF499" s="241"/>
      <c r="AG499" s="241"/>
      <c r="AH499" s="241"/>
      <c r="AI499" s="241"/>
      <c r="AJ499" s="241"/>
      <c r="AK499" s="241"/>
      <c r="AL499" s="241"/>
      <c r="AM499" s="241"/>
      <c r="AN499" s="241"/>
      <c r="AO499" s="241"/>
      <c r="AP499" s="241"/>
      <c r="AQ499" s="241"/>
      <c r="AR499" s="241"/>
      <c r="AS499" s="241"/>
      <c r="AT499" s="241"/>
      <c r="AU499" s="241"/>
      <c r="AV499" s="241"/>
      <c r="AW499" s="241"/>
      <c r="AX499" s="241"/>
      <c r="AY499" s="241"/>
      <c r="AZ499" s="241"/>
    </row>
    <row r="500" spans="1:52" s="71" customFormat="1" ht="18" hidden="1" customHeight="1" outlineLevel="2">
      <c r="A500" s="175">
        <v>109</v>
      </c>
      <c r="B500" s="312" t="str">
        <f>(IF('Inputs Whole-Project Water Use'!B500&lt;&gt;"",'Inputs Whole-Project Water Use'!B500,""))</f>
        <v/>
      </c>
      <c r="C500" s="313" t="str">
        <f>IF(AND(F500&lt;&gt;"",'Inputs Whole-Project Water Use'!C500=""),1,IF('Inputs Whole-Project Water Use'!C500&lt;&gt;"",'Inputs Whole-Project Water Use'!C500,""))</f>
        <v/>
      </c>
      <c r="D500" s="397" t="str">
        <f>(IF('Inputs Whole-Project Water Use'!D500&lt;&gt;"",'Inputs Whole-Project Water Use'!D500,""))</f>
        <v/>
      </c>
      <c r="E500" s="398"/>
      <c r="F500" s="316" t="str">
        <f>(IF('Inputs Whole-Project Water Use'!F500&lt;&gt;"",'Inputs Whole-Project Water Use'!F500,""))</f>
        <v/>
      </c>
      <c r="G500" s="316" t="str">
        <f>(IF('Inputs Whole-Project Water Use'!G500&lt;&gt;"",'Inputs Whole-Project Water Use'!G500,""))</f>
        <v/>
      </c>
      <c r="H500" s="289" t="str">
        <f>IF(AND(G500&lt;&gt;"",'Inputs Whole-Project Water Use'!H500=""),0,IF('Inputs Whole-Project Water Use'!H500&lt;&gt;"",'Inputs Whole-Project Water Use'!H500,""))</f>
        <v/>
      </c>
      <c r="I500" s="225" t="str">
        <f t="shared" si="53"/>
        <v/>
      </c>
      <c r="J500" s="225" t="str">
        <f t="shared" si="54"/>
        <v/>
      </c>
      <c r="K500" s="231" t="str">
        <f t="shared" si="55"/>
        <v/>
      </c>
      <c r="L500" s="241"/>
      <c r="M500" s="241"/>
      <c r="N500" s="241"/>
      <c r="O500" s="241"/>
      <c r="P500" s="241"/>
      <c r="Q500" s="241"/>
      <c r="R500" s="241"/>
      <c r="S500" s="241"/>
      <c r="T500" s="241"/>
      <c r="U500" s="241"/>
      <c r="V500" s="241"/>
      <c r="W500" s="241"/>
      <c r="X500" s="241"/>
      <c r="Y500" s="241"/>
      <c r="Z500" s="241"/>
      <c r="AA500" s="241"/>
      <c r="AB500" s="241"/>
      <c r="AC500" s="241"/>
      <c r="AD500" s="241"/>
      <c r="AE500" s="241"/>
      <c r="AF500" s="241"/>
      <c r="AG500" s="241"/>
      <c r="AH500" s="241"/>
      <c r="AI500" s="241"/>
      <c r="AJ500" s="241"/>
      <c r="AK500" s="241"/>
      <c r="AL500" s="241"/>
      <c r="AM500" s="241"/>
      <c r="AN500" s="241"/>
      <c r="AO500" s="241"/>
      <c r="AP500" s="241"/>
      <c r="AQ500" s="241"/>
      <c r="AR500" s="241"/>
      <c r="AS500" s="241"/>
      <c r="AT500" s="241"/>
      <c r="AU500" s="241"/>
      <c r="AV500" s="241"/>
      <c r="AW500" s="241"/>
      <c r="AX500" s="241"/>
      <c r="AY500" s="241"/>
      <c r="AZ500" s="241"/>
    </row>
    <row r="501" spans="1:52" s="71" customFormat="1" ht="18" hidden="1" customHeight="1" outlineLevel="2">
      <c r="A501" s="175">
        <v>110</v>
      </c>
      <c r="B501" s="312" t="str">
        <f>(IF('Inputs Whole-Project Water Use'!B501&lt;&gt;"",'Inputs Whole-Project Water Use'!B501,""))</f>
        <v/>
      </c>
      <c r="C501" s="313" t="str">
        <f>IF(AND(F501&lt;&gt;"",'Inputs Whole-Project Water Use'!C501=""),1,IF('Inputs Whole-Project Water Use'!C501&lt;&gt;"",'Inputs Whole-Project Water Use'!C501,""))</f>
        <v/>
      </c>
      <c r="D501" s="397" t="str">
        <f>(IF('Inputs Whole-Project Water Use'!D501&lt;&gt;"",'Inputs Whole-Project Water Use'!D501,""))</f>
        <v/>
      </c>
      <c r="E501" s="398"/>
      <c r="F501" s="316" t="str">
        <f>(IF('Inputs Whole-Project Water Use'!F501&lt;&gt;"",'Inputs Whole-Project Water Use'!F501,""))</f>
        <v/>
      </c>
      <c r="G501" s="316" t="str">
        <f>(IF('Inputs Whole-Project Water Use'!G501&lt;&gt;"",'Inputs Whole-Project Water Use'!G501,""))</f>
        <v/>
      </c>
      <c r="H501" s="289" t="str">
        <f>IF(AND(G501&lt;&gt;"",'Inputs Whole-Project Water Use'!H501=""),0,IF('Inputs Whole-Project Water Use'!H501&lt;&gt;"",'Inputs Whole-Project Water Use'!H501,""))</f>
        <v/>
      </c>
      <c r="I501" s="225" t="str">
        <f t="shared" si="53"/>
        <v/>
      </c>
      <c r="J501" s="225" t="str">
        <f t="shared" si="54"/>
        <v/>
      </c>
      <c r="K501" s="231" t="str">
        <f t="shared" si="55"/>
        <v/>
      </c>
      <c r="L501" s="241"/>
      <c r="M501" s="241"/>
      <c r="N501" s="241"/>
      <c r="O501" s="241"/>
      <c r="P501" s="241"/>
      <c r="Q501" s="241"/>
      <c r="R501" s="241"/>
      <c r="S501" s="241"/>
      <c r="T501" s="241"/>
      <c r="U501" s="241"/>
      <c r="V501" s="241"/>
      <c r="W501" s="241"/>
      <c r="X501" s="241"/>
      <c r="Y501" s="241"/>
      <c r="Z501" s="241"/>
      <c r="AA501" s="241"/>
      <c r="AB501" s="241"/>
      <c r="AC501" s="241"/>
      <c r="AD501" s="241"/>
      <c r="AE501" s="241"/>
      <c r="AF501" s="241"/>
      <c r="AG501" s="241"/>
      <c r="AH501" s="241"/>
      <c r="AI501" s="241"/>
      <c r="AJ501" s="241"/>
      <c r="AK501" s="241"/>
      <c r="AL501" s="241"/>
      <c r="AM501" s="241"/>
      <c r="AN501" s="241"/>
      <c r="AO501" s="241"/>
      <c r="AP501" s="241"/>
      <c r="AQ501" s="241"/>
      <c r="AR501" s="241"/>
      <c r="AS501" s="241"/>
      <c r="AT501" s="241"/>
      <c r="AU501" s="241"/>
      <c r="AV501" s="241"/>
      <c r="AW501" s="241"/>
      <c r="AX501" s="241"/>
      <c r="AY501" s="241"/>
      <c r="AZ501" s="241"/>
    </row>
    <row r="502" spans="1:52" s="71" customFormat="1" ht="15" hidden="1" customHeight="1" outlineLevel="1" collapsed="1">
      <c r="A502" s="288"/>
      <c r="B502" s="302"/>
      <c r="C502" s="300"/>
      <c r="D502" s="300"/>
      <c r="E502" s="300"/>
      <c r="F502" s="300"/>
      <c r="G502" s="300"/>
      <c r="H502" s="300"/>
      <c r="I502" s="300"/>
      <c r="J502" s="300"/>
      <c r="K502" s="295"/>
      <c r="L502" s="176"/>
      <c r="M502" s="241"/>
      <c r="N502" s="241"/>
      <c r="O502" s="241"/>
      <c r="P502" s="241"/>
      <c r="Q502" s="241"/>
      <c r="R502" s="241"/>
      <c r="S502" s="241"/>
      <c r="T502" s="241"/>
      <c r="U502" s="241"/>
      <c r="V502" s="241"/>
      <c r="W502" s="241"/>
      <c r="X502" s="241"/>
      <c r="Y502" s="241"/>
      <c r="Z502" s="241"/>
      <c r="AA502" s="241"/>
      <c r="AB502" s="241"/>
      <c r="AC502" s="241"/>
      <c r="AD502" s="241"/>
      <c r="AE502" s="241"/>
      <c r="AF502" s="241"/>
      <c r="AG502" s="241"/>
      <c r="AH502" s="241"/>
      <c r="AI502" s="241"/>
      <c r="AJ502" s="241"/>
      <c r="AK502" s="241"/>
      <c r="AL502" s="241"/>
      <c r="AM502" s="241"/>
      <c r="AN502" s="241"/>
      <c r="AO502" s="241"/>
      <c r="AP502" s="241"/>
      <c r="AQ502" s="241"/>
      <c r="AR502" s="241"/>
      <c r="AS502" s="241"/>
      <c r="AT502" s="241"/>
      <c r="AU502" s="241"/>
      <c r="AV502" s="241"/>
      <c r="AW502" s="241"/>
      <c r="AX502" s="241"/>
      <c r="AY502" s="241"/>
      <c r="AZ502" s="241"/>
    </row>
    <row r="503" spans="1:52" ht="18" customHeight="1" collapsed="1">
      <c r="A503" s="250"/>
      <c r="B503" s="152" t="str">
        <f>'Inputs Whole-Project Water Use'!B503</f>
        <v>Total Annual HVAC Water Use | Water Use Savings (unit)</v>
      </c>
      <c r="C503" s="153"/>
      <c r="D503" s="234"/>
      <c r="E503" s="258"/>
      <c r="F503" s="310">
        <f>SUM(logic_hvacawub)</f>
        <v>0</v>
      </c>
      <c r="G503" s="309">
        <f>SUM(logic_hvacawudwoaw)</f>
        <v>0</v>
      </c>
      <c r="H503" s="309">
        <f>SUM(logic_hvacawuawa)</f>
        <v>0</v>
      </c>
      <c r="I503" s="309">
        <f>SUM(logic_hvacawud)</f>
        <v>0</v>
      </c>
      <c r="J503" s="309">
        <f>SUM(logic_hvacawusa)</f>
        <v>0</v>
      </c>
      <c r="K503" s="231">
        <f>IFERROR(J503/F503,0)</f>
        <v>0</v>
      </c>
      <c r="L503" s="241"/>
      <c r="M503" s="241"/>
      <c r="N503" s="241"/>
      <c r="O503" s="241"/>
      <c r="P503" s="241"/>
      <c r="Q503" s="241"/>
      <c r="R503" s="241"/>
      <c r="S503" s="241"/>
      <c r="T503" s="241"/>
      <c r="U503" s="241"/>
      <c r="V503" s="241"/>
      <c r="W503" s="241"/>
      <c r="X503" s="241"/>
      <c r="Y503" s="241"/>
      <c r="Z503" s="241"/>
      <c r="AA503" s="241"/>
      <c r="AB503" s="241"/>
      <c r="AC503" s="241"/>
      <c r="AD503" s="241"/>
      <c r="AE503" s="241"/>
      <c r="AF503" s="241"/>
      <c r="AG503" s="241"/>
      <c r="AH503" s="241"/>
      <c r="AI503" s="241"/>
      <c r="AJ503" s="241"/>
      <c r="AK503" s="241"/>
      <c r="AL503" s="241"/>
      <c r="AM503" s="241"/>
      <c r="AN503" s="241"/>
      <c r="AO503" s="241"/>
      <c r="AP503" s="241"/>
      <c r="AQ503" s="241"/>
      <c r="AR503" s="241"/>
      <c r="AS503" s="241"/>
      <c r="AT503" s="241"/>
      <c r="AU503" s="241"/>
      <c r="AV503" s="241"/>
      <c r="AW503" s="241"/>
      <c r="AX503" s="241"/>
      <c r="AY503" s="241"/>
      <c r="AZ503" s="241"/>
    </row>
    <row r="504" spans="1:52" ht="18" customHeight="1">
      <c r="A504" s="250"/>
      <c r="B504" s="250"/>
      <c r="C504" s="250"/>
      <c r="D504" s="250"/>
      <c r="E504" s="250"/>
      <c r="F504" s="319"/>
      <c r="G504" s="319"/>
      <c r="H504" s="320"/>
      <c r="I504" s="321"/>
      <c r="J504" s="321"/>
      <c r="K504" s="241"/>
      <c r="L504" s="250"/>
      <c r="M504" s="250"/>
      <c r="N504" s="250"/>
      <c r="O504" s="250"/>
      <c r="P504" s="250"/>
      <c r="Q504" s="241"/>
      <c r="R504" s="241"/>
      <c r="S504" s="241"/>
      <c r="T504" s="241"/>
      <c r="U504" s="241"/>
      <c r="V504" s="241"/>
      <c r="W504" s="241"/>
      <c r="X504" s="241"/>
      <c r="Y504" s="241"/>
      <c r="Z504" s="241"/>
      <c r="AA504" s="241"/>
      <c r="AB504" s="241"/>
      <c r="AC504" s="241"/>
      <c r="AD504" s="241"/>
      <c r="AE504" s="241"/>
      <c r="AF504" s="241"/>
      <c r="AG504" s="241"/>
      <c r="AH504" s="241"/>
      <c r="AI504" s="241"/>
      <c r="AJ504" s="241"/>
      <c r="AK504" s="241"/>
      <c r="AL504" s="241"/>
      <c r="AM504" s="241"/>
      <c r="AN504" s="241"/>
      <c r="AO504" s="241"/>
      <c r="AP504" s="241"/>
      <c r="AQ504" s="241"/>
      <c r="AR504" s="241"/>
      <c r="AS504" s="241"/>
      <c r="AT504" s="241"/>
      <c r="AU504" s="241"/>
      <c r="AV504" s="241"/>
      <c r="AW504" s="241"/>
      <c r="AX504" s="241"/>
      <c r="AY504" s="241"/>
      <c r="AZ504" s="241"/>
    </row>
    <row r="505" spans="1:52" ht="18" customHeight="1">
      <c r="A505" s="250"/>
      <c r="B505" s="250"/>
      <c r="C505" s="250"/>
      <c r="D505" s="250"/>
      <c r="E505" s="250"/>
      <c r="F505" s="250"/>
      <c r="G505" s="250"/>
      <c r="H505" s="250"/>
      <c r="I505" s="250"/>
      <c r="J505" s="250"/>
      <c r="K505" s="250"/>
      <c r="L505" s="250"/>
      <c r="M505" s="250"/>
      <c r="N505" s="250"/>
      <c r="O505" s="250"/>
      <c r="P505" s="250"/>
      <c r="Q505" s="241"/>
      <c r="R505" s="241"/>
      <c r="S505" s="241"/>
      <c r="T505" s="241"/>
      <c r="U505" s="241"/>
      <c r="V505" s="241"/>
      <c r="W505" s="241"/>
      <c r="X505" s="241"/>
      <c r="Y505" s="241"/>
      <c r="Z505" s="241"/>
      <c r="AA505" s="241"/>
      <c r="AB505" s="241"/>
      <c r="AC505" s="241"/>
      <c r="AD505" s="241"/>
      <c r="AE505" s="241"/>
      <c r="AF505" s="241"/>
      <c r="AG505" s="241"/>
      <c r="AH505" s="241"/>
      <c r="AI505" s="241"/>
      <c r="AJ505" s="241"/>
      <c r="AK505" s="241"/>
      <c r="AL505" s="241"/>
      <c r="AM505" s="241"/>
      <c r="AN505" s="241"/>
      <c r="AO505" s="241"/>
      <c r="AP505" s="241"/>
      <c r="AQ505" s="241"/>
      <c r="AR505" s="241"/>
      <c r="AS505" s="241"/>
      <c r="AT505" s="241"/>
      <c r="AU505" s="241"/>
      <c r="AV505" s="241"/>
      <c r="AW505" s="241"/>
      <c r="AX505" s="241"/>
      <c r="AY505" s="241"/>
      <c r="AZ505" s="241"/>
    </row>
    <row r="506" spans="1:52" ht="18" customHeight="1">
      <c r="A506" s="250"/>
      <c r="B506" s="142" t="s">
        <v>176</v>
      </c>
      <c r="C506" s="156"/>
      <c r="D506" s="143"/>
      <c r="E506" s="143"/>
      <c r="F506" s="143"/>
      <c r="G506" s="143"/>
      <c r="H506" s="143"/>
      <c r="I506" s="143"/>
      <c r="J506" s="143"/>
      <c r="K506" s="143"/>
      <c r="L506" s="143"/>
      <c r="M506" s="143"/>
      <c r="N506" s="143"/>
      <c r="O506" s="143"/>
      <c r="P506" s="143"/>
      <c r="Q506" s="143"/>
      <c r="R506" s="143"/>
      <c r="S506" s="143"/>
      <c r="T506" s="144"/>
      <c r="U506" s="241"/>
      <c r="V506" s="241"/>
      <c r="W506" s="241"/>
      <c r="X506" s="241"/>
      <c r="Y506" s="241"/>
      <c r="Z506" s="241"/>
      <c r="AA506" s="241"/>
      <c r="AB506" s="241"/>
      <c r="AC506" s="241"/>
      <c r="AD506" s="241"/>
      <c r="AE506" s="241"/>
      <c r="AF506" s="241"/>
      <c r="AG506" s="241"/>
      <c r="AH506" s="241"/>
      <c r="AI506" s="241"/>
      <c r="AJ506" s="241"/>
      <c r="AK506" s="241"/>
      <c r="AL506" s="241"/>
      <c r="AM506" s="241"/>
      <c r="AN506" s="241"/>
      <c r="AO506" s="241"/>
      <c r="AP506" s="241"/>
      <c r="AQ506" s="241"/>
      <c r="AR506" s="241"/>
      <c r="AS506" s="241"/>
      <c r="AT506" s="241"/>
      <c r="AU506" s="241"/>
      <c r="AV506" s="241"/>
      <c r="AW506" s="241"/>
      <c r="AX506" s="241"/>
      <c r="AY506" s="241"/>
      <c r="AZ506" s="241"/>
    </row>
    <row r="507" spans="1:52" ht="18" customHeight="1">
      <c r="A507" s="232"/>
      <c r="B507" s="232"/>
      <c r="C507" s="232"/>
      <c r="D507" s="232"/>
      <c r="E507" s="232"/>
      <c r="F507" s="232"/>
      <c r="G507" s="232"/>
      <c r="H507" s="232"/>
      <c r="I507" s="232"/>
      <c r="J507" s="232"/>
      <c r="K507" s="232"/>
      <c r="L507" s="232"/>
      <c r="M507" s="232"/>
      <c r="N507" s="232"/>
      <c r="O507" s="232"/>
      <c r="P507" s="242"/>
      <c r="Q507" s="241"/>
      <c r="R507" s="241"/>
      <c r="S507" s="241"/>
      <c r="T507" s="241"/>
      <c r="U507" s="241"/>
      <c r="V507" s="241"/>
      <c r="W507" s="241"/>
      <c r="X507" s="241"/>
      <c r="Y507" s="241"/>
      <c r="Z507" s="241"/>
      <c r="AA507" s="241"/>
      <c r="AB507" s="241"/>
      <c r="AC507" s="241"/>
      <c r="AD507" s="241"/>
      <c r="AE507" s="241"/>
      <c r="AF507" s="241"/>
      <c r="AG507" s="241"/>
      <c r="AH507" s="241"/>
      <c r="AI507" s="241"/>
      <c r="AJ507" s="241"/>
      <c r="AK507" s="241"/>
      <c r="AL507" s="241"/>
      <c r="AM507" s="241"/>
      <c r="AN507" s="241"/>
      <c r="AO507" s="241"/>
      <c r="AP507" s="241"/>
      <c r="AQ507" s="241"/>
      <c r="AR507" s="241"/>
      <c r="AS507" s="241"/>
      <c r="AT507" s="241"/>
      <c r="AU507" s="241"/>
      <c r="AV507" s="241"/>
      <c r="AW507" s="241"/>
      <c r="AX507" s="241"/>
      <c r="AY507" s="241"/>
      <c r="AZ507" s="241"/>
    </row>
    <row r="508" spans="1:52" s="244" customFormat="1" ht="17.399999999999999" customHeight="1">
      <c r="A508" s="175"/>
      <c r="B508" s="240" t="s">
        <v>156</v>
      </c>
      <c r="C508" s="241"/>
      <c r="D508" s="241"/>
      <c r="E508" s="241"/>
      <c r="F508" s="241"/>
      <c r="G508" s="242"/>
      <c r="H508" s="242"/>
      <c r="I508" s="242"/>
      <c r="J508" s="242"/>
      <c r="K508" s="242"/>
      <c r="L508" s="243"/>
      <c r="M508" s="243"/>
      <c r="N508" s="243"/>
      <c r="O508" s="243"/>
      <c r="P508" s="243"/>
      <c r="Q508" s="243"/>
      <c r="R508" s="241"/>
      <c r="S508" s="243"/>
      <c r="T508" s="243"/>
      <c r="U508" s="241"/>
      <c r="V508" s="241"/>
      <c r="W508" s="241"/>
      <c r="X508" s="241"/>
      <c r="Y508" s="241"/>
      <c r="Z508" s="241"/>
      <c r="AA508" s="241"/>
      <c r="AB508" s="241"/>
      <c r="AC508" s="241"/>
      <c r="AD508" s="241"/>
      <c r="AE508" s="241"/>
      <c r="AF508" s="241"/>
      <c r="AG508" s="241"/>
      <c r="AH508" s="241"/>
      <c r="AI508" s="241"/>
      <c r="AJ508" s="241"/>
      <c r="AK508" s="241"/>
      <c r="AL508" s="241"/>
      <c r="AM508" s="241"/>
      <c r="AN508" s="241"/>
      <c r="AO508" s="241"/>
      <c r="AP508" s="241"/>
      <c r="AQ508" s="241"/>
      <c r="AR508" s="241"/>
      <c r="AS508" s="241"/>
      <c r="AT508" s="241"/>
      <c r="AU508" s="241"/>
      <c r="AV508" s="241"/>
      <c r="AW508" s="241"/>
      <c r="AX508" s="241"/>
      <c r="AY508" s="241"/>
      <c r="AZ508" s="241"/>
    </row>
    <row r="509" spans="1:52" s="71" customFormat="1" ht="18" customHeight="1">
      <c r="A509" s="250"/>
      <c r="B509" s="152" t="s">
        <v>157</v>
      </c>
      <c r="C509" s="153"/>
      <c r="D509" s="153"/>
      <c r="E509" s="153"/>
      <c r="F509" s="153"/>
      <c r="G509" s="153"/>
      <c r="H509" s="152" t="s">
        <v>158</v>
      </c>
      <c r="I509" s="234"/>
      <c r="J509" s="234"/>
      <c r="K509" s="234"/>
      <c r="L509" s="234"/>
      <c r="M509" s="234"/>
      <c r="N509" s="234"/>
      <c r="O509" s="152" t="s">
        <v>348</v>
      </c>
      <c r="P509" s="234"/>
      <c r="Q509" s="234"/>
      <c r="R509" s="234"/>
      <c r="S509" s="234"/>
      <c r="T509" s="186"/>
      <c r="U509" s="241"/>
      <c r="V509" s="241"/>
      <c r="W509" s="241"/>
      <c r="X509" s="241"/>
      <c r="Y509" s="241"/>
      <c r="Z509" s="241"/>
      <c r="AA509" s="241"/>
      <c r="AB509" s="241"/>
      <c r="AC509" s="241"/>
      <c r="AD509" s="241"/>
      <c r="AE509" s="241"/>
      <c r="AF509" s="241"/>
      <c r="AG509" s="241"/>
      <c r="AH509" s="241"/>
      <c r="AI509" s="241"/>
      <c r="AJ509" s="241"/>
      <c r="AK509" s="241"/>
      <c r="AL509" s="241"/>
      <c r="AM509" s="241"/>
      <c r="AN509" s="241"/>
      <c r="AO509" s="241"/>
      <c r="AP509" s="241"/>
      <c r="AQ509" s="241"/>
      <c r="AR509" s="241"/>
      <c r="AS509" s="241"/>
      <c r="AT509" s="241"/>
      <c r="AU509" s="241"/>
      <c r="AV509" s="241"/>
      <c r="AW509" s="241"/>
      <c r="AX509" s="241"/>
      <c r="AY509" s="241"/>
      <c r="AZ509" s="241"/>
    </row>
    <row r="510" spans="1:52" s="71" customFormat="1" ht="18" customHeight="1">
      <c r="A510" s="175" t="s">
        <v>159</v>
      </c>
      <c r="B510" s="366" t="s">
        <v>160</v>
      </c>
      <c r="C510" s="366" t="s">
        <v>161</v>
      </c>
      <c r="D510" s="381" t="s">
        <v>162</v>
      </c>
      <c r="E510" s="382"/>
      <c r="F510" s="366" t="s">
        <v>315</v>
      </c>
      <c r="G510" s="366" t="s">
        <v>349</v>
      </c>
      <c r="H510" s="357" t="s">
        <v>318</v>
      </c>
      <c r="I510" s="358"/>
      <c r="J510" s="359"/>
      <c r="K510" s="370" t="s">
        <v>347</v>
      </c>
      <c r="L510" s="371"/>
      <c r="M510" s="371"/>
      <c r="N510" s="372"/>
      <c r="O510" s="348" t="str">
        <f>CONCATENATE("Annual Water Use Baseline
(",(IF(inputs_units&lt;&gt;"",INDEX(data_genunitsvol,MATCH(inputs_units,data_genunits,0)),"unit")),")")</f>
        <v>Annual Water Use Baseline
(unit)</v>
      </c>
      <c r="P510" s="348" t="str">
        <f>CONCATENATE("Annual Water Use Design w/o Alt. Water
(",(IF(inputs_units&lt;&gt;"",INDEX(data_genunitsvol,MATCH(inputs_units,data_genunits,0)),"unit")),")")</f>
        <v>Annual Water Use Design w/o Alt. Water
(unit)</v>
      </c>
      <c r="Q510" s="346" t="str">
        <f>CONCATENATE("Annual Alternative Water Use
(",(IF(inputs_units&lt;&gt;"",INDEX(data_genunitsvol,MATCH(inputs_units,data_genunits,0)),"unit")),")")</f>
        <v>Annual Alternative Water Use
(unit)</v>
      </c>
      <c r="R510" s="348" t="str">
        <f>CONCATENATE("Annual Water Use Design
(",(IF(inputs_units&lt;&gt;"",INDEX(data_genunitsvol,MATCH(inputs_units,data_genunits,0)),"unit")),")")</f>
        <v>Annual Water Use Design
(unit)</v>
      </c>
      <c r="S510" s="348" t="str">
        <f>CONCATENATE("Annual Water Use Savings 
(",(IF(inputs_units&lt;&gt;"",INDEX(data_genunitsvol,MATCH(inputs_units,data_genunits,0)),"unit")),")")</f>
        <v>Annual Water Use Savings 
(unit)</v>
      </c>
      <c r="T510" s="348" t="s">
        <v>360</v>
      </c>
      <c r="U510" s="241"/>
      <c r="V510" s="241"/>
      <c r="W510" s="241"/>
      <c r="X510" s="241"/>
      <c r="Y510" s="241"/>
      <c r="Z510" s="241"/>
      <c r="AA510" s="241"/>
      <c r="AB510" s="241"/>
      <c r="AC510" s="241"/>
      <c r="AD510" s="241"/>
      <c r="AE510" s="241"/>
      <c r="AF510" s="241"/>
      <c r="AG510" s="241"/>
      <c r="AH510" s="241"/>
      <c r="AI510" s="241"/>
      <c r="AJ510" s="241"/>
      <c r="AK510" s="241"/>
      <c r="AL510" s="241"/>
      <c r="AM510" s="241"/>
      <c r="AN510" s="241"/>
      <c r="AO510" s="241"/>
      <c r="AP510" s="241"/>
      <c r="AQ510" s="241"/>
      <c r="AR510" s="241"/>
      <c r="AS510" s="241"/>
      <c r="AT510" s="241"/>
      <c r="AU510" s="241"/>
      <c r="AV510" s="241"/>
      <c r="AW510" s="241"/>
      <c r="AX510" s="241"/>
      <c r="AY510" s="241"/>
      <c r="AZ510" s="241"/>
    </row>
    <row r="511" spans="1:52" s="71" customFormat="1" ht="18" customHeight="1">
      <c r="A511" s="175"/>
      <c r="B511" s="367"/>
      <c r="C511" s="367"/>
      <c r="D511" s="383"/>
      <c r="E511" s="384"/>
      <c r="F511" s="367"/>
      <c r="G511" s="367"/>
      <c r="H511" s="348" t="s">
        <v>346</v>
      </c>
      <c r="I511" s="351" t="s">
        <v>153</v>
      </c>
      <c r="J511" s="352"/>
      <c r="K511" s="348" t="s">
        <v>163</v>
      </c>
      <c r="L511" s="348" t="s">
        <v>164</v>
      </c>
      <c r="M511" s="351" t="s">
        <v>153</v>
      </c>
      <c r="N511" s="352"/>
      <c r="O511" s="349"/>
      <c r="P511" s="349"/>
      <c r="Q511" s="347"/>
      <c r="R511" s="349"/>
      <c r="S511" s="349"/>
      <c r="T511" s="349"/>
      <c r="U511" s="241"/>
      <c r="V511" s="241"/>
      <c r="W511" s="241"/>
      <c r="X511" s="241"/>
      <c r="Y511" s="241"/>
      <c r="Z511" s="241"/>
      <c r="AA511" s="241"/>
      <c r="AB511" s="241"/>
      <c r="AC511" s="241"/>
      <c r="AD511" s="241"/>
      <c r="AE511" s="241"/>
      <c r="AF511" s="241"/>
      <c r="AG511" s="241"/>
      <c r="AH511" s="241"/>
      <c r="AI511" s="241"/>
      <c r="AJ511" s="241"/>
      <c r="AK511" s="241"/>
      <c r="AL511" s="241"/>
      <c r="AM511" s="241"/>
      <c r="AN511" s="241"/>
      <c r="AO511" s="241"/>
      <c r="AP511" s="241"/>
      <c r="AQ511" s="241"/>
      <c r="AR511" s="241"/>
      <c r="AS511" s="241"/>
      <c r="AT511" s="241"/>
      <c r="AU511" s="241"/>
      <c r="AV511" s="241"/>
      <c r="AW511" s="241"/>
      <c r="AX511" s="241"/>
      <c r="AY511" s="241"/>
      <c r="AZ511" s="241"/>
    </row>
    <row r="512" spans="1:52" s="71" customFormat="1" ht="18" customHeight="1">
      <c r="A512" s="175"/>
      <c r="B512" s="368"/>
      <c r="C512" s="368"/>
      <c r="D512" s="385"/>
      <c r="E512" s="386"/>
      <c r="F512" s="368"/>
      <c r="G512" s="368"/>
      <c r="H512" s="350"/>
      <c r="I512" s="353"/>
      <c r="J512" s="354"/>
      <c r="K512" s="350"/>
      <c r="L512" s="350"/>
      <c r="M512" s="353"/>
      <c r="N512" s="354"/>
      <c r="O512" s="350"/>
      <c r="P512" s="350"/>
      <c r="Q512" s="301" t="s">
        <v>298</v>
      </c>
      <c r="R512" s="350"/>
      <c r="S512" s="350"/>
      <c r="T512" s="350"/>
      <c r="U512" s="241"/>
      <c r="V512" s="241"/>
      <c r="W512" s="241"/>
      <c r="X512" s="241"/>
      <c r="Y512" s="241"/>
      <c r="Z512" s="241"/>
      <c r="AA512" s="241"/>
      <c r="AB512" s="241"/>
      <c r="AC512" s="241"/>
      <c r="AD512" s="241"/>
      <c r="AE512" s="241"/>
      <c r="AF512" s="241"/>
      <c r="AG512" s="241"/>
      <c r="AH512" s="241"/>
      <c r="AI512" s="241"/>
      <c r="AJ512" s="241"/>
      <c r="AK512" s="241"/>
      <c r="AL512" s="241"/>
      <c r="AM512" s="241"/>
      <c r="AN512" s="241"/>
      <c r="AO512" s="241"/>
      <c r="AP512" s="241"/>
      <c r="AQ512" s="241"/>
      <c r="AR512" s="241"/>
      <c r="AS512" s="241"/>
      <c r="AT512" s="241"/>
      <c r="AU512" s="241"/>
      <c r="AV512" s="241"/>
      <c r="AW512" s="241"/>
      <c r="AX512" s="241"/>
      <c r="AY512" s="241"/>
      <c r="AZ512" s="241"/>
    </row>
    <row r="513" spans="1:52" s="71" customFormat="1" ht="18" customHeight="1">
      <c r="A513" s="175">
        <v>1</v>
      </c>
      <c r="B513" s="312" t="str">
        <f>(IF('Inputs Whole-Project Water Use'!B513&lt;&gt;"",'Inputs Whole-Project Water Use'!B513,""))</f>
        <v/>
      </c>
      <c r="C513" s="313" t="str">
        <f>IF(AND(K513&lt;&gt;"",'Inputs Whole-Project Water Use'!C513=""),1,IF('Inputs Whole-Project Water Use'!C513&lt;&gt;"",'Inputs Whole-Project Water Use'!C513,""))</f>
        <v/>
      </c>
      <c r="D513" s="397" t="str">
        <f>IF('Inputs Whole-Project Water Use'!D513&lt;&gt;"",'Inputs Whole-Project Water Use'!D513,"")</f>
        <v/>
      </c>
      <c r="E513" s="398"/>
      <c r="F513" s="314" t="str">
        <f>IF('Inputs Whole-Project Water Use'!F513&lt;&gt;"",'Inputs Whole-Project Water Use'!F513,"")</f>
        <v/>
      </c>
      <c r="G513" s="314" t="str">
        <f>IF('Inputs Whole-Project Water Use'!G513&lt;&gt;"",'Inputs Whole-Project Water Use'!G513,"")</f>
        <v/>
      </c>
      <c r="H513" s="315" t="str">
        <f>IF('Inputs Whole-Project Water Use'!H513&lt;&gt;"",'Inputs Whole-Project Water Use'!H513,"")</f>
        <v/>
      </c>
      <c r="I513" s="344" t="str">
        <f>IF('Inputs Whole-Project Water Use'!I513&lt;&gt;"",'Inputs Whole-Project Water Use'!I513,"")</f>
        <v/>
      </c>
      <c r="J513" s="345"/>
      <c r="K513" s="316" t="str">
        <f>IF('Inputs Whole-Project Water Use'!K513&lt;&gt;"",'Inputs Whole-Project Water Use'!K513,"")</f>
        <v/>
      </c>
      <c r="L513" s="316" t="str">
        <f>IF('Inputs Whole-Project Water Use'!L513&lt;&gt;"",'Inputs Whole-Project Water Use'!L513,"")</f>
        <v/>
      </c>
      <c r="M513" s="390" t="str">
        <f t="shared" ref="M513:M576" si="56">IFERROR(IF(logic_units&lt;&gt;"SI Units",INDEX(data_wurip,MATCH($I513,data_dumip,0)),INDEX(data_wursi,MATCH($I513,data_dumsi,0))),"")</f>
        <v/>
      </c>
      <c r="N513" s="391"/>
      <c r="O513" s="225" t="str">
        <f>IFERROR(IF(OR($F513&lt;&gt;"",$G513&lt;&gt;"",$H513&lt;&gt;"",K513&lt;&gt;""),$C513*$F513*$G513*$H513*K513,""),"")</f>
        <v/>
      </c>
      <c r="P513" s="225" t="str">
        <f>IFERROR(IF(OR($F513&lt;&gt;"",$G513&lt;&gt;"",$H513&lt;&gt;"",L513&lt;&gt;""),$C513*$F513*$G513*$H513*L513,""),"")</f>
        <v/>
      </c>
      <c r="Q513" s="289" t="str">
        <f>IF(AND(L513&lt;&gt;"",'Inputs Whole-Project Water Use'!Q513=""),0,IF('Inputs Whole-Project Water Use'!Q513&lt;&gt;"",'Inputs Whole-Project Water Use'!Q513,""))</f>
        <v/>
      </c>
      <c r="R513" s="225" t="str">
        <f>IFERROR(IF(P513&lt;&gt;"",(P513-Q513),""),"")</f>
        <v/>
      </c>
      <c r="S513" s="225" t="str">
        <f>IFERROR(IF(OR(O513&lt;&gt;"",P513&lt;&gt;""),O513-R513,""),"")</f>
        <v/>
      </c>
      <c r="T513" s="231" t="str">
        <f>IFERROR(S513/O513,"")</f>
        <v/>
      </c>
      <c r="U513" s="241"/>
      <c r="V513" s="241"/>
      <c r="W513" s="241"/>
      <c r="X513" s="241"/>
      <c r="Y513" s="241"/>
      <c r="Z513" s="241"/>
      <c r="AA513" s="241"/>
      <c r="AB513" s="241"/>
      <c r="AC513" s="241"/>
      <c r="AD513" s="241"/>
      <c r="AE513" s="241"/>
      <c r="AF513" s="241"/>
      <c r="AG513" s="241"/>
      <c r="AH513" s="241"/>
      <c r="AI513" s="241"/>
      <c r="AJ513" s="241"/>
      <c r="AK513" s="241"/>
      <c r="AL513" s="241"/>
      <c r="AM513" s="241"/>
      <c r="AN513" s="241"/>
      <c r="AO513" s="241"/>
      <c r="AP513" s="241"/>
      <c r="AQ513" s="241"/>
      <c r="AR513" s="241"/>
      <c r="AS513" s="241"/>
      <c r="AT513" s="241"/>
      <c r="AU513" s="241"/>
      <c r="AV513" s="241"/>
      <c r="AW513" s="241"/>
      <c r="AX513" s="241"/>
      <c r="AY513" s="241"/>
      <c r="AZ513" s="241"/>
    </row>
    <row r="514" spans="1:52" s="71" customFormat="1" ht="18" customHeight="1">
      <c r="A514" s="175">
        <v>2</v>
      </c>
      <c r="B514" s="312" t="str">
        <f>(IF('Inputs Whole-Project Water Use'!B514&lt;&gt;"",'Inputs Whole-Project Water Use'!B514,""))</f>
        <v/>
      </c>
      <c r="C514" s="313" t="str">
        <f>IF(AND(K514&lt;&gt;"",'Inputs Whole-Project Water Use'!C514=""),1,IF('Inputs Whole-Project Water Use'!C514&lt;&gt;"",'Inputs Whole-Project Water Use'!C514,""))</f>
        <v/>
      </c>
      <c r="D514" s="397" t="str">
        <f>IF('Inputs Whole-Project Water Use'!D514&lt;&gt;"",'Inputs Whole-Project Water Use'!D514,"")</f>
        <v/>
      </c>
      <c r="E514" s="398"/>
      <c r="F514" s="314" t="str">
        <f>IF('Inputs Whole-Project Water Use'!F514&lt;&gt;"",'Inputs Whole-Project Water Use'!F514,"")</f>
        <v/>
      </c>
      <c r="G514" s="314" t="str">
        <f>IF('Inputs Whole-Project Water Use'!G514&lt;&gt;"",'Inputs Whole-Project Water Use'!G514,"")</f>
        <v/>
      </c>
      <c r="H514" s="315" t="str">
        <f>IF('Inputs Whole-Project Water Use'!H514&lt;&gt;"",'Inputs Whole-Project Water Use'!H514,"")</f>
        <v/>
      </c>
      <c r="I514" s="344" t="str">
        <f>IF('Inputs Whole-Project Water Use'!I514&lt;&gt;"",'Inputs Whole-Project Water Use'!I514,"")</f>
        <v/>
      </c>
      <c r="J514" s="345"/>
      <c r="K514" s="316" t="str">
        <f>IF('Inputs Whole-Project Water Use'!K514&lt;&gt;"",'Inputs Whole-Project Water Use'!K514,"")</f>
        <v/>
      </c>
      <c r="L514" s="316" t="str">
        <f>IF('Inputs Whole-Project Water Use'!L514&lt;&gt;"",'Inputs Whole-Project Water Use'!L514,"")</f>
        <v/>
      </c>
      <c r="M514" s="390" t="str">
        <f t="shared" si="56"/>
        <v/>
      </c>
      <c r="N514" s="391"/>
      <c r="O514" s="225" t="str">
        <f t="shared" ref="O514:O577" si="57">IFERROR(IF(OR($F514&lt;&gt;"",$G514&lt;&gt;"",$H514&lt;&gt;"",K514&lt;&gt;""),$C514*$F514*$G514*$H514*K514,""),"")</f>
        <v/>
      </c>
      <c r="P514" s="225" t="str">
        <f t="shared" ref="P514:P577" si="58">IFERROR(IF(OR($F514&lt;&gt;"",$G514&lt;&gt;"",$H514&lt;&gt;"",L514&lt;&gt;""),$C514*$F514*$G514*$H514*L514,""),"")</f>
        <v/>
      </c>
      <c r="Q514" s="289" t="str">
        <f>IF(AND(L514&lt;&gt;"",'Inputs Whole-Project Water Use'!Q514=""),0,IF('Inputs Whole-Project Water Use'!Q514&lt;&gt;"",'Inputs Whole-Project Water Use'!Q514,""))</f>
        <v/>
      </c>
      <c r="R514" s="225" t="str">
        <f t="shared" ref="R514:R577" si="59">IFERROR(IF(P514&lt;&gt;"",(P514-Q514),""),"")</f>
        <v/>
      </c>
      <c r="S514" s="225" t="str">
        <f t="shared" ref="S514:S577" si="60">IFERROR(IF(OR(O514&lt;&gt;"",P514&lt;&gt;""),O514-R514,""),"")</f>
        <v/>
      </c>
      <c r="T514" s="231" t="str">
        <f t="shared" ref="T514:T577" si="61">IFERROR(S514/O514,"")</f>
        <v/>
      </c>
      <c r="U514" s="241"/>
      <c r="V514" s="241"/>
      <c r="W514" s="241"/>
      <c r="X514" s="241"/>
      <c r="Y514" s="241"/>
      <c r="Z514" s="241"/>
      <c r="AA514" s="241"/>
      <c r="AB514" s="241"/>
      <c r="AC514" s="241"/>
      <c r="AD514" s="241"/>
      <c r="AE514" s="241"/>
      <c r="AF514" s="241"/>
      <c r="AG514" s="241"/>
      <c r="AH514" s="241"/>
      <c r="AI514" s="241"/>
      <c r="AJ514" s="241"/>
      <c r="AK514" s="241"/>
      <c r="AL514" s="241"/>
      <c r="AM514" s="241"/>
      <c r="AN514" s="241"/>
      <c r="AO514" s="241"/>
      <c r="AP514" s="241"/>
      <c r="AQ514" s="241"/>
      <c r="AR514" s="241"/>
      <c r="AS514" s="241"/>
      <c r="AT514" s="241"/>
      <c r="AU514" s="241"/>
      <c r="AV514" s="241"/>
      <c r="AW514" s="241"/>
      <c r="AX514" s="241"/>
      <c r="AY514" s="241"/>
      <c r="AZ514" s="241"/>
    </row>
    <row r="515" spans="1:52" s="71" customFormat="1" ht="18" customHeight="1">
      <c r="A515" s="175">
        <v>3</v>
      </c>
      <c r="B515" s="312" t="str">
        <f>(IF('Inputs Whole-Project Water Use'!B515&lt;&gt;"",'Inputs Whole-Project Water Use'!B515,""))</f>
        <v/>
      </c>
      <c r="C515" s="313" t="str">
        <f>IF(AND(K515&lt;&gt;"",'Inputs Whole-Project Water Use'!C515=""),1,IF('Inputs Whole-Project Water Use'!C515&lt;&gt;"",'Inputs Whole-Project Water Use'!C515,""))</f>
        <v/>
      </c>
      <c r="D515" s="397" t="str">
        <f>IF('Inputs Whole-Project Water Use'!D515&lt;&gt;"",'Inputs Whole-Project Water Use'!D515,"")</f>
        <v/>
      </c>
      <c r="E515" s="398"/>
      <c r="F515" s="314" t="str">
        <f>IF('Inputs Whole-Project Water Use'!F515&lt;&gt;"",'Inputs Whole-Project Water Use'!F515,"")</f>
        <v/>
      </c>
      <c r="G515" s="314" t="str">
        <f>IF('Inputs Whole-Project Water Use'!G515&lt;&gt;"",'Inputs Whole-Project Water Use'!G515,"")</f>
        <v/>
      </c>
      <c r="H515" s="315" t="str">
        <f>IF('Inputs Whole-Project Water Use'!H515&lt;&gt;"",'Inputs Whole-Project Water Use'!H515,"")</f>
        <v/>
      </c>
      <c r="I515" s="344" t="str">
        <f>IF('Inputs Whole-Project Water Use'!I515&lt;&gt;"",'Inputs Whole-Project Water Use'!I515,"")</f>
        <v/>
      </c>
      <c r="J515" s="345"/>
      <c r="K515" s="316" t="str">
        <f>IF('Inputs Whole-Project Water Use'!K515&lt;&gt;"",'Inputs Whole-Project Water Use'!K515,"")</f>
        <v/>
      </c>
      <c r="L515" s="316" t="str">
        <f>IF('Inputs Whole-Project Water Use'!L515&lt;&gt;"",'Inputs Whole-Project Water Use'!L515,"")</f>
        <v/>
      </c>
      <c r="M515" s="390" t="str">
        <f t="shared" si="56"/>
        <v/>
      </c>
      <c r="N515" s="391"/>
      <c r="O515" s="225" t="str">
        <f t="shared" si="57"/>
        <v/>
      </c>
      <c r="P515" s="225" t="str">
        <f t="shared" si="58"/>
        <v/>
      </c>
      <c r="Q515" s="289" t="str">
        <f>IF(AND(L515&lt;&gt;"",'Inputs Whole-Project Water Use'!Q515=""),0,IF('Inputs Whole-Project Water Use'!Q515&lt;&gt;"",'Inputs Whole-Project Water Use'!Q515,""))</f>
        <v/>
      </c>
      <c r="R515" s="225" t="str">
        <f t="shared" si="59"/>
        <v/>
      </c>
      <c r="S515" s="225" t="str">
        <f t="shared" si="60"/>
        <v/>
      </c>
      <c r="T515" s="231" t="str">
        <f t="shared" si="61"/>
        <v/>
      </c>
      <c r="U515" s="241"/>
      <c r="V515" s="241"/>
      <c r="W515" s="241"/>
      <c r="X515" s="241"/>
      <c r="Y515" s="241"/>
      <c r="Z515" s="241"/>
      <c r="AA515" s="241"/>
      <c r="AB515" s="241"/>
      <c r="AC515" s="241"/>
      <c r="AD515" s="241"/>
      <c r="AE515" s="241"/>
      <c r="AF515" s="241"/>
      <c r="AG515" s="241"/>
      <c r="AH515" s="241"/>
      <c r="AI515" s="241"/>
      <c r="AJ515" s="241"/>
      <c r="AK515" s="241"/>
      <c r="AL515" s="241"/>
      <c r="AM515" s="241"/>
      <c r="AN515" s="241"/>
      <c r="AO515" s="241"/>
      <c r="AP515" s="241"/>
      <c r="AQ515" s="241"/>
      <c r="AR515" s="241"/>
      <c r="AS515" s="241"/>
      <c r="AT515" s="241"/>
      <c r="AU515" s="241"/>
      <c r="AV515" s="241"/>
      <c r="AW515" s="241"/>
      <c r="AX515" s="241"/>
      <c r="AY515" s="241"/>
      <c r="AZ515" s="241"/>
    </row>
    <row r="516" spans="1:52" s="71" customFormat="1" ht="18" customHeight="1">
      <c r="A516" s="175">
        <v>4</v>
      </c>
      <c r="B516" s="312" t="str">
        <f>(IF('Inputs Whole-Project Water Use'!B516&lt;&gt;"",'Inputs Whole-Project Water Use'!B516,""))</f>
        <v/>
      </c>
      <c r="C516" s="313" t="str">
        <f>IF(AND(K516&lt;&gt;"",'Inputs Whole-Project Water Use'!C516=""),1,IF('Inputs Whole-Project Water Use'!C516&lt;&gt;"",'Inputs Whole-Project Water Use'!C516,""))</f>
        <v/>
      </c>
      <c r="D516" s="397" t="str">
        <f>IF('Inputs Whole-Project Water Use'!D516&lt;&gt;"",'Inputs Whole-Project Water Use'!D516,"")</f>
        <v/>
      </c>
      <c r="E516" s="398"/>
      <c r="F516" s="314" t="str">
        <f>IF('Inputs Whole-Project Water Use'!F516&lt;&gt;"",'Inputs Whole-Project Water Use'!F516,"")</f>
        <v/>
      </c>
      <c r="G516" s="314" t="str">
        <f>IF('Inputs Whole-Project Water Use'!G516&lt;&gt;"",'Inputs Whole-Project Water Use'!G516,"")</f>
        <v/>
      </c>
      <c r="H516" s="315" t="str">
        <f>IF('Inputs Whole-Project Water Use'!H516&lt;&gt;"",'Inputs Whole-Project Water Use'!H516,"")</f>
        <v/>
      </c>
      <c r="I516" s="344" t="str">
        <f>IF('Inputs Whole-Project Water Use'!I516&lt;&gt;"",'Inputs Whole-Project Water Use'!I516,"")</f>
        <v/>
      </c>
      <c r="J516" s="345"/>
      <c r="K516" s="316" t="str">
        <f>IF('Inputs Whole-Project Water Use'!K516&lt;&gt;"",'Inputs Whole-Project Water Use'!K516,"")</f>
        <v/>
      </c>
      <c r="L516" s="316" t="str">
        <f>IF('Inputs Whole-Project Water Use'!L516&lt;&gt;"",'Inputs Whole-Project Water Use'!L516,"")</f>
        <v/>
      </c>
      <c r="M516" s="390" t="str">
        <f t="shared" si="56"/>
        <v/>
      </c>
      <c r="N516" s="391"/>
      <c r="O516" s="225" t="str">
        <f t="shared" si="57"/>
        <v/>
      </c>
      <c r="P516" s="225" t="str">
        <f t="shared" si="58"/>
        <v/>
      </c>
      <c r="Q516" s="289" t="str">
        <f>IF(AND(L516&lt;&gt;"",'Inputs Whole-Project Water Use'!Q516=""),0,IF('Inputs Whole-Project Water Use'!Q516&lt;&gt;"",'Inputs Whole-Project Water Use'!Q516,""))</f>
        <v/>
      </c>
      <c r="R516" s="225" t="str">
        <f t="shared" si="59"/>
        <v/>
      </c>
      <c r="S516" s="225" t="str">
        <f t="shared" si="60"/>
        <v/>
      </c>
      <c r="T516" s="231" t="str">
        <f t="shared" si="61"/>
        <v/>
      </c>
      <c r="U516" s="241"/>
      <c r="V516" s="241"/>
      <c r="W516" s="241"/>
      <c r="X516" s="241"/>
      <c r="Y516" s="241"/>
      <c r="Z516" s="241"/>
      <c r="AA516" s="241"/>
      <c r="AB516" s="241"/>
      <c r="AC516" s="241"/>
      <c r="AD516" s="241"/>
      <c r="AE516" s="241"/>
      <c r="AF516" s="241"/>
      <c r="AG516" s="241"/>
      <c r="AH516" s="241"/>
      <c r="AI516" s="241"/>
      <c r="AJ516" s="241"/>
      <c r="AK516" s="241"/>
      <c r="AL516" s="241"/>
      <c r="AM516" s="241"/>
      <c r="AN516" s="241"/>
      <c r="AO516" s="241"/>
      <c r="AP516" s="241"/>
      <c r="AQ516" s="241"/>
      <c r="AR516" s="241"/>
      <c r="AS516" s="241"/>
      <c r="AT516" s="241"/>
      <c r="AU516" s="241"/>
      <c r="AV516" s="241"/>
      <c r="AW516" s="241"/>
      <c r="AX516" s="241"/>
      <c r="AY516" s="241"/>
      <c r="AZ516" s="241"/>
    </row>
    <row r="517" spans="1:52" s="71" customFormat="1" ht="18" customHeight="1">
      <c r="A517" s="175">
        <v>5</v>
      </c>
      <c r="B517" s="312" t="str">
        <f>(IF('Inputs Whole-Project Water Use'!B517&lt;&gt;"",'Inputs Whole-Project Water Use'!B517,""))</f>
        <v/>
      </c>
      <c r="C517" s="313" t="str">
        <f>IF(AND(K517&lt;&gt;"",'Inputs Whole-Project Water Use'!C517=""),1,IF('Inputs Whole-Project Water Use'!C517&lt;&gt;"",'Inputs Whole-Project Water Use'!C517,""))</f>
        <v/>
      </c>
      <c r="D517" s="397" t="str">
        <f>IF('Inputs Whole-Project Water Use'!D517&lt;&gt;"",'Inputs Whole-Project Water Use'!D517,"")</f>
        <v/>
      </c>
      <c r="E517" s="398"/>
      <c r="F517" s="314" t="str">
        <f>IF('Inputs Whole-Project Water Use'!F517&lt;&gt;"",'Inputs Whole-Project Water Use'!F517,"")</f>
        <v/>
      </c>
      <c r="G517" s="314" t="str">
        <f>IF('Inputs Whole-Project Water Use'!G517&lt;&gt;"",'Inputs Whole-Project Water Use'!G517,"")</f>
        <v/>
      </c>
      <c r="H517" s="315" t="str">
        <f>IF('Inputs Whole-Project Water Use'!H517&lt;&gt;"",'Inputs Whole-Project Water Use'!H517,"")</f>
        <v/>
      </c>
      <c r="I517" s="344" t="str">
        <f>IF('Inputs Whole-Project Water Use'!I517&lt;&gt;"",'Inputs Whole-Project Water Use'!I517,"")</f>
        <v/>
      </c>
      <c r="J517" s="345"/>
      <c r="K517" s="316" t="str">
        <f>IF('Inputs Whole-Project Water Use'!K517&lt;&gt;"",'Inputs Whole-Project Water Use'!K517,"")</f>
        <v/>
      </c>
      <c r="L517" s="316" t="str">
        <f>IF('Inputs Whole-Project Water Use'!L517&lt;&gt;"",'Inputs Whole-Project Water Use'!L517,"")</f>
        <v/>
      </c>
      <c r="M517" s="390" t="str">
        <f t="shared" si="56"/>
        <v/>
      </c>
      <c r="N517" s="391"/>
      <c r="O517" s="225" t="str">
        <f t="shared" si="57"/>
        <v/>
      </c>
      <c r="P517" s="225" t="str">
        <f t="shared" si="58"/>
        <v/>
      </c>
      <c r="Q517" s="289" t="str">
        <f>IF(AND(L517&lt;&gt;"",'Inputs Whole-Project Water Use'!Q517=""),0,IF('Inputs Whole-Project Water Use'!Q517&lt;&gt;"",'Inputs Whole-Project Water Use'!Q517,""))</f>
        <v/>
      </c>
      <c r="R517" s="225" t="str">
        <f t="shared" si="59"/>
        <v/>
      </c>
      <c r="S517" s="225" t="str">
        <f t="shared" si="60"/>
        <v/>
      </c>
      <c r="T517" s="231" t="str">
        <f t="shared" si="61"/>
        <v/>
      </c>
      <c r="U517" s="241"/>
      <c r="V517" s="241"/>
      <c r="W517" s="241"/>
      <c r="X517" s="241"/>
      <c r="Y517" s="241"/>
      <c r="Z517" s="241"/>
      <c r="AA517" s="241"/>
      <c r="AB517" s="241"/>
      <c r="AC517" s="241"/>
      <c r="AD517" s="241"/>
      <c r="AE517" s="241"/>
      <c r="AF517" s="241"/>
      <c r="AG517" s="241"/>
      <c r="AH517" s="241"/>
      <c r="AI517" s="241"/>
      <c r="AJ517" s="241"/>
      <c r="AK517" s="241"/>
      <c r="AL517" s="241"/>
      <c r="AM517" s="241"/>
      <c r="AN517" s="241"/>
      <c r="AO517" s="241"/>
      <c r="AP517" s="241"/>
      <c r="AQ517" s="241"/>
      <c r="AR517" s="241"/>
      <c r="AS517" s="241"/>
      <c r="AT517" s="241"/>
      <c r="AU517" s="241"/>
      <c r="AV517" s="241"/>
      <c r="AW517" s="241"/>
      <c r="AX517" s="241"/>
      <c r="AY517" s="241"/>
      <c r="AZ517" s="241"/>
    </row>
    <row r="518" spans="1:52" s="71" customFormat="1" ht="18" customHeight="1">
      <c r="A518" s="175">
        <v>6</v>
      </c>
      <c r="B518" s="312" t="str">
        <f>(IF('Inputs Whole-Project Water Use'!B518&lt;&gt;"",'Inputs Whole-Project Water Use'!B518,""))</f>
        <v/>
      </c>
      <c r="C518" s="313" t="str">
        <f>IF(AND(K518&lt;&gt;"",'Inputs Whole-Project Water Use'!C518=""),1,IF('Inputs Whole-Project Water Use'!C518&lt;&gt;"",'Inputs Whole-Project Water Use'!C518,""))</f>
        <v/>
      </c>
      <c r="D518" s="397" t="str">
        <f>IF('Inputs Whole-Project Water Use'!D518&lt;&gt;"",'Inputs Whole-Project Water Use'!D518,"")</f>
        <v/>
      </c>
      <c r="E518" s="398"/>
      <c r="F518" s="314" t="str">
        <f>IF('Inputs Whole-Project Water Use'!F518&lt;&gt;"",'Inputs Whole-Project Water Use'!F518,"")</f>
        <v/>
      </c>
      <c r="G518" s="314" t="str">
        <f>IF('Inputs Whole-Project Water Use'!G518&lt;&gt;"",'Inputs Whole-Project Water Use'!G518,"")</f>
        <v/>
      </c>
      <c r="H518" s="315" t="str">
        <f>IF('Inputs Whole-Project Water Use'!H518&lt;&gt;"",'Inputs Whole-Project Water Use'!H518,"")</f>
        <v/>
      </c>
      <c r="I518" s="344" t="str">
        <f>IF('Inputs Whole-Project Water Use'!I518&lt;&gt;"",'Inputs Whole-Project Water Use'!I518,"")</f>
        <v/>
      </c>
      <c r="J518" s="345"/>
      <c r="K518" s="316" t="str">
        <f>IF('Inputs Whole-Project Water Use'!K518&lt;&gt;"",'Inputs Whole-Project Water Use'!K518,"")</f>
        <v/>
      </c>
      <c r="L518" s="316" t="str">
        <f>IF('Inputs Whole-Project Water Use'!L518&lt;&gt;"",'Inputs Whole-Project Water Use'!L518,"")</f>
        <v/>
      </c>
      <c r="M518" s="390" t="str">
        <f t="shared" si="56"/>
        <v/>
      </c>
      <c r="N518" s="391"/>
      <c r="O518" s="225" t="str">
        <f t="shared" si="57"/>
        <v/>
      </c>
      <c r="P518" s="225" t="str">
        <f t="shared" si="58"/>
        <v/>
      </c>
      <c r="Q518" s="289" t="str">
        <f>IF(AND(L518&lt;&gt;"",'Inputs Whole-Project Water Use'!Q518=""),0,IF('Inputs Whole-Project Water Use'!Q518&lt;&gt;"",'Inputs Whole-Project Water Use'!Q518,""))</f>
        <v/>
      </c>
      <c r="R518" s="225" t="str">
        <f t="shared" si="59"/>
        <v/>
      </c>
      <c r="S518" s="225" t="str">
        <f t="shared" si="60"/>
        <v/>
      </c>
      <c r="T518" s="231" t="str">
        <f t="shared" si="61"/>
        <v/>
      </c>
      <c r="U518" s="241"/>
      <c r="V518" s="241"/>
      <c r="W518" s="241"/>
      <c r="X518" s="241"/>
      <c r="Y518" s="241"/>
      <c r="Z518" s="241"/>
      <c r="AA518" s="241"/>
      <c r="AB518" s="241"/>
      <c r="AC518" s="241"/>
      <c r="AD518" s="241"/>
      <c r="AE518" s="241"/>
      <c r="AF518" s="241"/>
      <c r="AG518" s="241"/>
      <c r="AH518" s="241"/>
      <c r="AI518" s="241"/>
      <c r="AJ518" s="241"/>
      <c r="AK518" s="241"/>
      <c r="AL518" s="241"/>
      <c r="AM518" s="241"/>
      <c r="AN518" s="241"/>
      <c r="AO518" s="241"/>
      <c r="AP518" s="241"/>
      <c r="AQ518" s="241"/>
      <c r="AR518" s="241"/>
      <c r="AS518" s="241"/>
      <c r="AT518" s="241"/>
      <c r="AU518" s="241"/>
      <c r="AV518" s="241"/>
      <c r="AW518" s="241"/>
      <c r="AX518" s="241"/>
      <c r="AY518" s="241"/>
      <c r="AZ518" s="241"/>
    </row>
    <row r="519" spans="1:52" s="71" customFormat="1" ht="18" customHeight="1">
      <c r="A519" s="175">
        <v>7</v>
      </c>
      <c r="B519" s="312" t="str">
        <f>(IF('Inputs Whole-Project Water Use'!B519&lt;&gt;"",'Inputs Whole-Project Water Use'!B519,""))</f>
        <v/>
      </c>
      <c r="C519" s="313" t="str">
        <f>IF(AND(K519&lt;&gt;"",'Inputs Whole-Project Water Use'!C519=""),1,IF('Inputs Whole-Project Water Use'!C519&lt;&gt;"",'Inputs Whole-Project Water Use'!C519,""))</f>
        <v/>
      </c>
      <c r="D519" s="397" t="str">
        <f>IF('Inputs Whole-Project Water Use'!D519&lt;&gt;"",'Inputs Whole-Project Water Use'!D519,"")</f>
        <v/>
      </c>
      <c r="E519" s="398"/>
      <c r="F519" s="314" t="str">
        <f>IF('Inputs Whole-Project Water Use'!F519&lt;&gt;"",'Inputs Whole-Project Water Use'!F519,"")</f>
        <v/>
      </c>
      <c r="G519" s="314" t="str">
        <f>IF('Inputs Whole-Project Water Use'!G519&lt;&gt;"",'Inputs Whole-Project Water Use'!G519,"")</f>
        <v/>
      </c>
      <c r="H519" s="315" t="str">
        <f>IF('Inputs Whole-Project Water Use'!H519&lt;&gt;"",'Inputs Whole-Project Water Use'!H519,"")</f>
        <v/>
      </c>
      <c r="I519" s="344" t="str">
        <f>IF('Inputs Whole-Project Water Use'!I519&lt;&gt;"",'Inputs Whole-Project Water Use'!I519,"")</f>
        <v/>
      </c>
      <c r="J519" s="345"/>
      <c r="K519" s="316" t="str">
        <f>IF('Inputs Whole-Project Water Use'!K519&lt;&gt;"",'Inputs Whole-Project Water Use'!K519,"")</f>
        <v/>
      </c>
      <c r="L519" s="316" t="str">
        <f>IF('Inputs Whole-Project Water Use'!L519&lt;&gt;"",'Inputs Whole-Project Water Use'!L519,"")</f>
        <v/>
      </c>
      <c r="M519" s="390" t="str">
        <f t="shared" si="56"/>
        <v/>
      </c>
      <c r="N519" s="391"/>
      <c r="O519" s="225" t="str">
        <f t="shared" si="57"/>
        <v/>
      </c>
      <c r="P519" s="225" t="str">
        <f t="shared" si="58"/>
        <v/>
      </c>
      <c r="Q519" s="289" t="str">
        <f>IF(AND(L519&lt;&gt;"",'Inputs Whole-Project Water Use'!Q519=""),0,IF('Inputs Whole-Project Water Use'!Q519&lt;&gt;"",'Inputs Whole-Project Water Use'!Q519,""))</f>
        <v/>
      </c>
      <c r="R519" s="225" t="str">
        <f t="shared" si="59"/>
        <v/>
      </c>
      <c r="S519" s="225" t="str">
        <f t="shared" si="60"/>
        <v/>
      </c>
      <c r="T519" s="231" t="str">
        <f t="shared" si="61"/>
        <v/>
      </c>
      <c r="U519" s="241"/>
      <c r="V519" s="241"/>
      <c r="W519" s="241"/>
      <c r="X519" s="241"/>
      <c r="Y519" s="241"/>
      <c r="Z519" s="241"/>
      <c r="AA519" s="241"/>
      <c r="AB519" s="241"/>
      <c r="AC519" s="241"/>
      <c r="AD519" s="241"/>
      <c r="AE519" s="241"/>
      <c r="AF519" s="241"/>
      <c r="AG519" s="241"/>
      <c r="AH519" s="241"/>
      <c r="AI519" s="241"/>
      <c r="AJ519" s="241"/>
      <c r="AK519" s="241"/>
      <c r="AL519" s="241"/>
      <c r="AM519" s="241"/>
      <c r="AN519" s="241"/>
      <c r="AO519" s="241"/>
      <c r="AP519" s="241"/>
      <c r="AQ519" s="241"/>
      <c r="AR519" s="241"/>
      <c r="AS519" s="241"/>
      <c r="AT519" s="241"/>
      <c r="AU519" s="241"/>
      <c r="AV519" s="241"/>
      <c r="AW519" s="241"/>
      <c r="AX519" s="241"/>
      <c r="AY519" s="241"/>
      <c r="AZ519" s="241"/>
    </row>
    <row r="520" spans="1:52" s="71" customFormat="1" ht="18" customHeight="1">
      <c r="A520" s="175">
        <v>8</v>
      </c>
      <c r="B520" s="312" t="str">
        <f>(IF('Inputs Whole-Project Water Use'!B520&lt;&gt;"",'Inputs Whole-Project Water Use'!B520,""))</f>
        <v/>
      </c>
      <c r="C520" s="313" t="str">
        <f>IF(AND(K520&lt;&gt;"",'Inputs Whole-Project Water Use'!C520=""),1,IF('Inputs Whole-Project Water Use'!C520&lt;&gt;"",'Inputs Whole-Project Water Use'!C520,""))</f>
        <v/>
      </c>
      <c r="D520" s="397" t="str">
        <f>IF('Inputs Whole-Project Water Use'!D520&lt;&gt;"",'Inputs Whole-Project Water Use'!D520,"")</f>
        <v/>
      </c>
      <c r="E520" s="398"/>
      <c r="F520" s="314" t="str">
        <f>IF('Inputs Whole-Project Water Use'!F520&lt;&gt;"",'Inputs Whole-Project Water Use'!F520,"")</f>
        <v/>
      </c>
      <c r="G520" s="314" t="str">
        <f>IF('Inputs Whole-Project Water Use'!G520&lt;&gt;"",'Inputs Whole-Project Water Use'!G520,"")</f>
        <v/>
      </c>
      <c r="H520" s="315" t="str">
        <f>IF('Inputs Whole-Project Water Use'!H520&lt;&gt;"",'Inputs Whole-Project Water Use'!H520,"")</f>
        <v/>
      </c>
      <c r="I520" s="344" t="str">
        <f>IF('Inputs Whole-Project Water Use'!I520&lt;&gt;"",'Inputs Whole-Project Water Use'!I520,"")</f>
        <v/>
      </c>
      <c r="J520" s="345"/>
      <c r="K520" s="316" t="str">
        <f>IF('Inputs Whole-Project Water Use'!K520&lt;&gt;"",'Inputs Whole-Project Water Use'!K520,"")</f>
        <v/>
      </c>
      <c r="L520" s="316" t="str">
        <f>IF('Inputs Whole-Project Water Use'!L520&lt;&gt;"",'Inputs Whole-Project Water Use'!L520,"")</f>
        <v/>
      </c>
      <c r="M520" s="390" t="str">
        <f t="shared" si="56"/>
        <v/>
      </c>
      <c r="N520" s="391"/>
      <c r="O520" s="225" t="str">
        <f t="shared" si="57"/>
        <v/>
      </c>
      <c r="P520" s="225" t="str">
        <f t="shared" si="58"/>
        <v/>
      </c>
      <c r="Q520" s="289" t="str">
        <f>IF(AND(L520&lt;&gt;"",'Inputs Whole-Project Water Use'!Q520=""),0,IF('Inputs Whole-Project Water Use'!Q520&lt;&gt;"",'Inputs Whole-Project Water Use'!Q520,""))</f>
        <v/>
      </c>
      <c r="R520" s="225" t="str">
        <f t="shared" si="59"/>
        <v/>
      </c>
      <c r="S520" s="225" t="str">
        <f t="shared" si="60"/>
        <v/>
      </c>
      <c r="T520" s="231" t="str">
        <f t="shared" si="61"/>
        <v/>
      </c>
      <c r="U520" s="241"/>
      <c r="V520" s="241"/>
      <c r="W520" s="241"/>
      <c r="X520" s="241"/>
      <c r="Y520" s="241"/>
      <c r="Z520" s="241"/>
      <c r="AA520" s="241"/>
      <c r="AB520" s="241"/>
      <c r="AC520" s="241"/>
      <c r="AD520" s="241"/>
      <c r="AE520" s="241"/>
      <c r="AF520" s="241"/>
      <c r="AG520" s="241"/>
      <c r="AH520" s="241"/>
      <c r="AI520" s="241"/>
      <c r="AJ520" s="241"/>
      <c r="AK520" s="241"/>
      <c r="AL520" s="241"/>
      <c r="AM520" s="241"/>
      <c r="AN520" s="241"/>
      <c r="AO520" s="241"/>
      <c r="AP520" s="241"/>
      <c r="AQ520" s="241"/>
      <c r="AR520" s="241"/>
      <c r="AS520" s="241"/>
      <c r="AT520" s="241"/>
      <c r="AU520" s="241"/>
      <c r="AV520" s="241"/>
      <c r="AW520" s="241"/>
      <c r="AX520" s="241"/>
      <c r="AY520" s="241"/>
      <c r="AZ520" s="241"/>
    </row>
    <row r="521" spans="1:52" s="71" customFormat="1" ht="18" customHeight="1">
      <c r="A521" s="175">
        <v>9</v>
      </c>
      <c r="B521" s="312" t="str">
        <f>(IF('Inputs Whole-Project Water Use'!B521&lt;&gt;"",'Inputs Whole-Project Water Use'!B521,""))</f>
        <v/>
      </c>
      <c r="C521" s="313" t="str">
        <f>IF(AND(K521&lt;&gt;"",'Inputs Whole-Project Water Use'!C521=""),1,IF('Inputs Whole-Project Water Use'!C521&lt;&gt;"",'Inputs Whole-Project Water Use'!C521,""))</f>
        <v/>
      </c>
      <c r="D521" s="397" t="str">
        <f>IF('Inputs Whole-Project Water Use'!D521&lt;&gt;"",'Inputs Whole-Project Water Use'!D521,"")</f>
        <v/>
      </c>
      <c r="E521" s="398"/>
      <c r="F521" s="314" t="str">
        <f>IF('Inputs Whole-Project Water Use'!F521&lt;&gt;"",'Inputs Whole-Project Water Use'!F521,"")</f>
        <v/>
      </c>
      <c r="G521" s="314" t="str">
        <f>IF('Inputs Whole-Project Water Use'!G521&lt;&gt;"",'Inputs Whole-Project Water Use'!G521,"")</f>
        <v/>
      </c>
      <c r="H521" s="315" t="str">
        <f>IF('Inputs Whole-Project Water Use'!H521&lt;&gt;"",'Inputs Whole-Project Water Use'!H521,"")</f>
        <v/>
      </c>
      <c r="I521" s="344" t="str">
        <f>IF('Inputs Whole-Project Water Use'!I521&lt;&gt;"",'Inputs Whole-Project Water Use'!I521,"")</f>
        <v/>
      </c>
      <c r="J521" s="345"/>
      <c r="K521" s="316" t="str">
        <f>IF('Inputs Whole-Project Water Use'!K521&lt;&gt;"",'Inputs Whole-Project Water Use'!K521,"")</f>
        <v/>
      </c>
      <c r="L521" s="316" t="str">
        <f>IF('Inputs Whole-Project Water Use'!L521&lt;&gt;"",'Inputs Whole-Project Water Use'!L521,"")</f>
        <v/>
      </c>
      <c r="M521" s="390" t="str">
        <f t="shared" si="56"/>
        <v/>
      </c>
      <c r="N521" s="391"/>
      <c r="O521" s="225" t="str">
        <f t="shared" si="57"/>
        <v/>
      </c>
      <c r="P521" s="225" t="str">
        <f t="shared" si="58"/>
        <v/>
      </c>
      <c r="Q521" s="289" t="str">
        <f>IF(AND(L521&lt;&gt;"",'Inputs Whole-Project Water Use'!Q521=""),0,IF('Inputs Whole-Project Water Use'!Q521&lt;&gt;"",'Inputs Whole-Project Water Use'!Q521,""))</f>
        <v/>
      </c>
      <c r="R521" s="225" t="str">
        <f t="shared" si="59"/>
        <v/>
      </c>
      <c r="S521" s="225" t="str">
        <f t="shared" si="60"/>
        <v/>
      </c>
      <c r="T521" s="231" t="str">
        <f t="shared" si="61"/>
        <v/>
      </c>
      <c r="U521" s="241"/>
      <c r="V521" s="241"/>
      <c r="W521" s="241"/>
      <c r="X521" s="241"/>
      <c r="Y521" s="241"/>
      <c r="Z521" s="241"/>
      <c r="AA521" s="241"/>
      <c r="AB521" s="241"/>
      <c r="AC521" s="241"/>
      <c r="AD521" s="241"/>
      <c r="AE521" s="241"/>
      <c r="AF521" s="241"/>
      <c r="AG521" s="241"/>
      <c r="AH521" s="241"/>
      <c r="AI521" s="241"/>
      <c r="AJ521" s="241"/>
      <c r="AK521" s="241"/>
      <c r="AL521" s="241"/>
      <c r="AM521" s="241"/>
      <c r="AN521" s="241"/>
      <c r="AO521" s="241"/>
      <c r="AP521" s="241"/>
      <c r="AQ521" s="241"/>
      <c r="AR521" s="241"/>
      <c r="AS521" s="241"/>
      <c r="AT521" s="241"/>
      <c r="AU521" s="241"/>
      <c r="AV521" s="241"/>
      <c r="AW521" s="241"/>
      <c r="AX521" s="241"/>
      <c r="AY521" s="241"/>
      <c r="AZ521" s="241"/>
    </row>
    <row r="522" spans="1:52" s="71" customFormat="1" ht="18" customHeight="1">
      <c r="A522" s="175">
        <v>10</v>
      </c>
      <c r="B522" s="312" t="str">
        <f>(IF('Inputs Whole-Project Water Use'!B522&lt;&gt;"",'Inputs Whole-Project Water Use'!B522,""))</f>
        <v/>
      </c>
      <c r="C522" s="313" t="str">
        <f>IF(AND(K522&lt;&gt;"",'Inputs Whole-Project Water Use'!C522=""),1,IF('Inputs Whole-Project Water Use'!C522&lt;&gt;"",'Inputs Whole-Project Water Use'!C522,""))</f>
        <v/>
      </c>
      <c r="D522" s="397" t="str">
        <f>IF('Inputs Whole-Project Water Use'!D522&lt;&gt;"",'Inputs Whole-Project Water Use'!D522,"")</f>
        <v/>
      </c>
      <c r="E522" s="398"/>
      <c r="F522" s="314" t="str">
        <f>IF('Inputs Whole-Project Water Use'!F522&lt;&gt;"",'Inputs Whole-Project Water Use'!F522,"")</f>
        <v/>
      </c>
      <c r="G522" s="314" t="str">
        <f>IF('Inputs Whole-Project Water Use'!G522&lt;&gt;"",'Inputs Whole-Project Water Use'!G522,"")</f>
        <v/>
      </c>
      <c r="H522" s="315" t="str">
        <f>IF('Inputs Whole-Project Water Use'!H522&lt;&gt;"",'Inputs Whole-Project Water Use'!H522,"")</f>
        <v/>
      </c>
      <c r="I522" s="344" t="str">
        <f>IF('Inputs Whole-Project Water Use'!I522&lt;&gt;"",'Inputs Whole-Project Water Use'!I522,"")</f>
        <v/>
      </c>
      <c r="J522" s="345"/>
      <c r="K522" s="316" t="str">
        <f>IF('Inputs Whole-Project Water Use'!K522&lt;&gt;"",'Inputs Whole-Project Water Use'!K522,"")</f>
        <v/>
      </c>
      <c r="L522" s="316" t="str">
        <f>IF('Inputs Whole-Project Water Use'!L522&lt;&gt;"",'Inputs Whole-Project Water Use'!L522,"")</f>
        <v/>
      </c>
      <c r="M522" s="390" t="str">
        <f t="shared" si="56"/>
        <v/>
      </c>
      <c r="N522" s="391"/>
      <c r="O522" s="225" t="str">
        <f t="shared" si="57"/>
        <v/>
      </c>
      <c r="P522" s="225" t="str">
        <f t="shared" si="58"/>
        <v/>
      </c>
      <c r="Q522" s="289" t="str">
        <f>IF(AND(L522&lt;&gt;"",'Inputs Whole-Project Water Use'!Q522=""),0,IF('Inputs Whole-Project Water Use'!Q522&lt;&gt;"",'Inputs Whole-Project Water Use'!Q522,""))</f>
        <v/>
      </c>
      <c r="R522" s="225" t="str">
        <f t="shared" si="59"/>
        <v/>
      </c>
      <c r="S522" s="225" t="str">
        <f t="shared" si="60"/>
        <v/>
      </c>
      <c r="T522" s="231" t="str">
        <f t="shared" si="61"/>
        <v/>
      </c>
      <c r="U522" s="176" t="s">
        <v>165</v>
      </c>
      <c r="V522" s="241"/>
      <c r="W522" s="241"/>
      <c r="X522" s="241"/>
      <c r="Y522" s="241"/>
      <c r="Z522" s="241"/>
      <c r="AA522" s="241"/>
      <c r="AB522" s="241"/>
      <c r="AC522" s="241"/>
      <c r="AD522" s="241"/>
      <c r="AE522" s="241"/>
      <c r="AF522" s="241"/>
      <c r="AG522" s="241"/>
      <c r="AH522" s="241"/>
      <c r="AI522" s="241"/>
      <c r="AJ522" s="241"/>
      <c r="AK522" s="241"/>
      <c r="AL522" s="241"/>
      <c r="AM522" s="241"/>
      <c r="AN522" s="241"/>
      <c r="AO522" s="241"/>
      <c r="AP522" s="241"/>
      <c r="AQ522" s="241"/>
      <c r="AR522" s="241"/>
      <c r="AS522" s="241"/>
      <c r="AT522" s="241"/>
      <c r="AU522" s="241"/>
      <c r="AV522" s="241"/>
      <c r="AW522" s="241"/>
      <c r="AX522" s="241"/>
      <c r="AY522" s="241"/>
      <c r="AZ522" s="241"/>
    </row>
    <row r="523" spans="1:52" s="71" customFormat="1" ht="18" hidden="1" customHeight="1" outlineLevel="1">
      <c r="A523" s="175">
        <v>11</v>
      </c>
      <c r="B523" s="312" t="str">
        <f>(IF('Inputs Whole-Project Water Use'!B523&lt;&gt;"",'Inputs Whole-Project Water Use'!B523,""))</f>
        <v/>
      </c>
      <c r="C523" s="313" t="str">
        <f>IF(AND(K523&lt;&gt;"",'Inputs Whole-Project Water Use'!C523=""),1,IF('Inputs Whole-Project Water Use'!C523&lt;&gt;"",'Inputs Whole-Project Water Use'!C523,""))</f>
        <v/>
      </c>
      <c r="D523" s="397" t="str">
        <f>IF('Inputs Whole-Project Water Use'!D523&lt;&gt;"",'Inputs Whole-Project Water Use'!D523,"")</f>
        <v/>
      </c>
      <c r="E523" s="398"/>
      <c r="F523" s="314" t="str">
        <f>IF('Inputs Whole-Project Water Use'!F523&lt;&gt;"",'Inputs Whole-Project Water Use'!F523,"")</f>
        <v/>
      </c>
      <c r="G523" s="314" t="str">
        <f>IF('Inputs Whole-Project Water Use'!G523&lt;&gt;"",'Inputs Whole-Project Water Use'!G523,"")</f>
        <v/>
      </c>
      <c r="H523" s="315" t="str">
        <f>IF('Inputs Whole-Project Water Use'!H523&lt;&gt;"",'Inputs Whole-Project Water Use'!H523,"")</f>
        <v/>
      </c>
      <c r="I523" s="344" t="str">
        <f>IF('Inputs Whole-Project Water Use'!I523&lt;&gt;"",'Inputs Whole-Project Water Use'!I523,"")</f>
        <v/>
      </c>
      <c r="J523" s="345"/>
      <c r="K523" s="316" t="str">
        <f>IF('Inputs Whole-Project Water Use'!K523&lt;&gt;"",'Inputs Whole-Project Water Use'!K523,"")</f>
        <v/>
      </c>
      <c r="L523" s="316" t="str">
        <f>IF('Inputs Whole-Project Water Use'!L523&lt;&gt;"",'Inputs Whole-Project Water Use'!L523,"")</f>
        <v/>
      </c>
      <c r="M523" s="390" t="str">
        <f t="shared" si="56"/>
        <v/>
      </c>
      <c r="N523" s="391"/>
      <c r="O523" s="225" t="str">
        <f t="shared" si="57"/>
        <v/>
      </c>
      <c r="P523" s="225" t="str">
        <f t="shared" si="58"/>
        <v/>
      </c>
      <c r="Q523" s="289" t="str">
        <f>IF(AND(L523&lt;&gt;"",'Inputs Whole-Project Water Use'!Q523=""),0,IF('Inputs Whole-Project Water Use'!Q523&lt;&gt;"",'Inputs Whole-Project Water Use'!Q523,""))</f>
        <v/>
      </c>
      <c r="R523" s="225" t="str">
        <f t="shared" si="59"/>
        <v/>
      </c>
      <c r="S523" s="225" t="str">
        <f t="shared" si="60"/>
        <v/>
      </c>
      <c r="T523" s="231" t="str">
        <f t="shared" si="61"/>
        <v/>
      </c>
      <c r="U523" s="241"/>
      <c r="V523" s="241"/>
      <c r="W523" s="241"/>
      <c r="X523" s="241"/>
      <c r="Y523" s="241"/>
      <c r="Z523" s="241"/>
      <c r="AA523" s="241"/>
      <c r="AB523" s="241"/>
      <c r="AC523" s="241"/>
      <c r="AD523" s="241"/>
      <c r="AE523" s="241"/>
      <c r="AF523" s="241"/>
      <c r="AG523" s="241"/>
      <c r="AH523" s="241"/>
      <c r="AI523" s="241"/>
      <c r="AJ523" s="241"/>
      <c r="AK523" s="241"/>
      <c r="AL523" s="241"/>
      <c r="AM523" s="241"/>
      <c r="AN523" s="241"/>
      <c r="AO523" s="241"/>
      <c r="AP523" s="241"/>
      <c r="AQ523" s="241"/>
      <c r="AR523" s="241"/>
      <c r="AS523" s="241"/>
      <c r="AT523" s="241"/>
      <c r="AU523" s="241"/>
      <c r="AV523" s="241"/>
      <c r="AW523" s="241"/>
      <c r="AX523" s="241"/>
      <c r="AY523" s="241"/>
      <c r="AZ523" s="241"/>
    </row>
    <row r="524" spans="1:52" s="71" customFormat="1" ht="18" hidden="1" customHeight="1" outlineLevel="1">
      <c r="A524" s="175">
        <v>12</v>
      </c>
      <c r="B524" s="312" t="str">
        <f>(IF('Inputs Whole-Project Water Use'!B524&lt;&gt;"",'Inputs Whole-Project Water Use'!B524,""))</f>
        <v/>
      </c>
      <c r="C524" s="313" t="str">
        <f>IF(AND(K524&lt;&gt;"",'Inputs Whole-Project Water Use'!C524=""),1,IF('Inputs Whole-Project Water Use'!C524&lt;&gt;"",'Inputs Whole-Project Water Use'!C524,""))</f>
        <v/>
      </c>
      <c r="D524" s="397" t="str">
        <f>IF('Inputs Whole-Project Water Use'!D524&lt;&gt;"",'Inputs Whole-Project Water Use'!D524,"")</f>
        <v/>
      </c>
      <c r="E524" s="398"/>
      <c r="F524" s="314" t="str">
        <f>IF('Inputs Whole-Project Water Use'!F524&lt;&gt;"",'Inputs Whole-Project Water Use'!F524,"")</f>
        <v/>
      </c>
      <c r="G524" s="314" t="str">
        <f>IF('Inputs Whole-Project Water Use'!G524&lt;&gt;"",'Inputs Whole-Project Water Use'!G524,"")</f>
        <v/>
      </c>
      <c r="H524" s="315" t="str">
        <f>IF('Inputs Whole-Project Water Use'!H524&lt;&gt;"",'Inputs Whole-Project Water Use'!H524,"")</f>
        <v/>
      </c>
      <c r="I524" s="344" t="str">
        <f>IF('Inputs Whole-Project Water Use'!I524&lt;&gt;"",'Inputs Whole-Project Water Use'!I524,"")</f>
        <v/>
      </c>
      <c r="J524" s="345"/>
      <c r="K524" s="316" t="str">
        <f>IF('Inputs Whole-Project Water Use'!K524&lt;&gt;"",'Inputs Whole-Project Water Use'!K524,"")</f>
        <v/>
      </c>
      <c r="L524" s="316" t="str">
        <f>IF('Inputs Whole-Project Water Use'!L524&lt;&gt;"",'Inputs Whole-Project Water Use'!L524,"")</f>
        <v/>
      </c>
      <c r="M524" s="390" t="str">
        <f t="shared" si="56"/>
        <v/>
      </c>
      <c r="N524" s="391"/>
      <c r="O524" s="225" t="str">
        <f t="shared" si="57"/>
        <v/>
      </c>
      <c r="P524" s="225" t="str">
        <f t="shared" si="58"/>
        <v/>
      </c>
      <c r="Q524" s="289" t="str">
        <f>IF(AND(L524&lt;&gt;"",'Inputs Whole-Project Water Use'!Q524=""),0,IF('Inputs Whole-Project Water Use'!Q524&lt;&gt;"",'Inputs Whole-Project Water Use'!Q524,""))</f>
        <v/>
      </c>
      <c r="R524" s="225" t="str">
        <f t="shared" si="59"/>
        <v/>
      </c>
      <c r="S524" s="225" t="str">
        <f t="shared" si="60"/>
        <v/>
      </c>
      <c r="T524" s="231" t="str">
        <f t="shared" si="61"/>
        <v/>
      </c>
      <c r="U524" s="241"/>
      <c r="V524" s="241"/>
      <c r="W524" s="241"/>
      <c r="X524" s="241"/>
      <c r="Y524" s="241"/>
      <c r="Z524" s="241"/>
      <c r="AA524" s="241"/>
      <c r="AB524" s="241"/>
      <c r="AC524" s="241"/>
      <c r="AD524" s="241"/>
      <c r="AE524" s="241"/>
      <c r="AF524" s="241"/>
      <c r="AG524" s="241"/>
      <c r="AH524" s="241"/>
      <c r="AI524" s="241"/>
      <c r="AJ524" s="241"/>
      <c r="AK524" s="241"/>
      <c r="AL524" s="241"/>
      <c r="AM524" s="241"/>
      <c r="AN524" s="241"/>
      <c r="AO524" s="241"/>
      <c r="AP524" s="241"/>
      <c r="AQ524" s="241"/>
      <c r="AR524" s="241"/>
      <c r="AS524" s="241"/>
      <c r="AT524" s="241"/>
      <c r="AU524" s="241"/>
      <c r="AV524" s="241"/>
      <c r="AW524" s="241"/>
      <c r="AX524" s="241"/>
      <c r="AY524" s="241"/>
      <c r="AZ524" s="241"/>
    </row>
    <row r="525" spans="1:52" s="71" customFormat="1" ht="18" hidden="1" customHeight="1" outlineLevel="1">
      <c r="A525" s="175">
        <v>13</v>
      </c>
      <c r="B525" s="312" t="str">
        <f>(IF('Inputs Whole-Project Water Use'!B525&lt;&gt;"",'Inputs Whole-Project Water Use'!B525,""))</f>
        <v/>
      </c>
      <c r="C525" s="313" t="str">
        <f>IF(AND(K525&lt;&gt;"",'Inputs Whole-Project Water Use'!C525=""),1,IF('Inputs Whole-Project Water Use'!C525&lt;&gt;"",'Inputs Whole-Project Water Use'!C525,""))</f>
        <v/>
      </c>
      <c r="D525" s="397" t="str">
        <f>IF('Inputs Whole-Project Water Use'!D525&lt;&gt;"",'Inputs Whole-Project Water Use'!D525,"")</f>
        <v/>
      </c>
      <c r="E525" s="398"/>
      <c r="F525" s="314" t="str">
        <f>IF('Inputs Whole-Project Water Use'!F525&lt;&gt;"",'Inputs Whole-Project Water Use'!F525,"")</f>
        <v/>
      </c>
      <c r="G525" s="314" t="str">
        <f>IF('Inputs Whole-Project Water Use'!G525&lt;&gt;"",'Inputs Whole-Project Water Use'!G525,"")</f>
        <v/>
      </c>
      <c r="H525" s="315" t="str">
        <f>IF('Inputs Whole-Project Water Use'!H525&lt;&gt;"",'Inputs Whole-Project Water Use'!H525,"")</f>
        <v/>
      </c>
      <c r="I525" s="344" t="str">
        <f>IF('Inputs Whole-Project Water Use'!I525&lt;&gt;"",'Inputs Whole-Project Water Use'!I525,"")</f>
        <v/>
      </c>
      <c r="J525" s="345"/>
      <c r="K525" s="316" t="str">
        <f>IF('Inputs Whole-Project Water Use'!K525&lt;&gt;"",'Inputs Whole-Project Water Use'!K525,"")</f>
        <v/>
      </c>
      <c r="L525" s="316" t="str">
        <f>IF('Inputs Whole-Project Water Use'!L525&lt;&gt;"",'Inputs Whole-Project Water Use'!L525,"")</f>
        <v/>
      </c>
      <c r="M525" s="390" t="str">
        <f t="shared" si="56"/>
        <v/>
      </c>
      <c r="N525" s="391"/>
      <c r="O525" s="225" t="str">
        <f t="shared" si="57"/>
        <v/>
      </c>
      <c r="P525" s="225" t="str">
        <f t="shared" si="58"/>
        <v/>
      </c>
      <c r="Q525" s="289" t="str">
        <f>IF(AND(L525&lt;&gt;"",'Inputs Whole-Project Water Use'!Q525=""),0,IF('Inputs Whole-Project Water Use'!Q525&lt;&gt;"",'Inputs Whole-Project Water Use'!Q525,""))</f>
        <v/>
      </c>
      <c r="R525" s="225" t="str">
        <f t="shared" si="59"/>
        <v/>
      </c>
      <c r="S525" s="225" t="str">
        <f t="shared" si="60"/>
        <v/>
      </c>
      <c r="T525" s="231" t="str">
        <f t="shared" si="61"/>
        <v/>
      </c>
      <c r="U525" s="241"/>
      <c r="V525" s="241"/>
      <c r="W525" s="241"/>
      <c r="X525" s="241"/>
      <c r="Y525" s="241"/>
      <c r="Z525" s="241"/>
      <c r="AA525" s="241"/>
      <c r="AB525" s="241"/>
      <c r="AC525" s="241"/>
      <c r="AD525" s="241"/>
      <c r="AE525" s="241"/>
      <c r="AF525" s="241"/>
      <c r="AG525" s="241"/>
      <c r="AH525" s="241"/>
      <c r="AI525" s="241"/>
      <c r="AJ525" s="241"/>
      <c r="AK525" s="241"/>
      <c r="AL525" s="241"/>
      <c r="AM525" s="241"/>
      <c r="AN525" s="241"/>
      <c r="AO525" s="241"/>
      <c r="AP525" s="241"/>
      <c r="AQ525" s="241"/>
      <c r="AR525" s="241"/>
      <c r="AS525" s="241"/>
      <c r="AT525" s="241"/>
      <c r="AU525" s="241"/>
      <c r="AV525" s="241"/>
      <c r="AW525" s="241"/>
      <c r="AX525" s="241"/>
      <c r="AY525" s="241"/>
      <c r="AZ525" s="241"/>
    </row>
    <row r="526" spans="1:52" s="71" customFormat="1" ht="18" hidden="1" customHeight="1" outlineLevel="1">
      <c r="A526" s="175">
        <v>14</v>
      </c>
      <c r="B526" s="312" t="str">
        <f>(IF('Inputs Whole-Project Water Use'!B526&lt;&gt;"",'Inputs Whole-Project Water Use'!B526,""))</f>
        <v/>
      </c>
      <c r="C526" s="313" t="str">
        <f>IF(AND(K526&lt;&gt;"",'Inputs Whole-Project Water Use'!C526=""),1,IF('Inputs Whole-Project Water Use'!C526&lt;&gt;"",'Inputs Whole-Project Water Use'!C526,""))</f>
        <v/>
      </c>
      <c r="D526" s="397" t="str">
        <f>IF('Inputs Whole-Project Water Use'!D526&lt;&gt;"",'Inputs Whole-Project Water Use'!D526,"")</f>
        <v/>
      </c>
      <c r="E526" s="398"/>
      <c r="F526" s="314" t="str">
        <f>IF('Inputs Whole-Project Water Use'!F526&lt;&gt;"",'Inputs Whole-Project Water Use'!F526,"")</f>
        <v/>
      </c>
      <c r="G526" s="314" t="str">
        <f>IF('Inputs Whole-Project Water Use'!G526&lt;&gt;"",'Inputs Whole-Project Water Use'!G526,"")</f>
        <v/>
      </c>
      <c r="H526" s="315" t="str">
        <f>IF('Inputs Whole-Project Water Use'!H526&lt;&gt;"",'Inputs Whole-Project Water Use'!H526,"")</f>
        <v/>
      </c>
      <c r="I526" s="344" t="str">
        <f>IF('Inputs Whole-Project Water Use'!I526&lt;&gt;"",'Inputs Whole-Project Water Use'!I526,"")</f>
        <v/>
      </c>
      <c r="J526" s="345"/>
      <c r="K526" s="316" t="str">
        <f>IF('Inputs Whole-Project Water Use'!K526&lt;&gt;"",'Inputs Whole-Project Water Use'!K526,"")</f>
        <v/>
      </c>
      <c r="L526" s="316" t="str">
        <f>IF('Inputs Whole-Project Water Use'!L526&lt;&gt;"",'Inputs Whole-Project Water Use'!L526,"")</f>
        <v/>
      </c>
      <c r="M526" s="390" t="str">
        <f t="shared" si="56"/>
        <v/>
      </c>
      <c r="N526" s="391"/>
      <c r="O526" s="225" t="str">
        <f t="shared" si="57"/>
        <v/>
      </c>
      <c r="P526" s="225" t="str">
        <f t="shared" si="58"/>
        <v/>
      </c>
      <c r="Q526" s="289" t="str">
        <f>IF(AND(L526&lt;&gt;"",'Inputs Whole-Project Water Use'!Q526=""),0,IF('Inputs Whole-Project Water Use'!Q526&lt;&gt;"",'Inputs Whole-Project Water Use'!Q526,""))</f>
        <v/>
      </c>
      <c r="R526" s="225" t="str">
        <f t="shared" si="59"/>
        <v/>
      </c>
      <c r="S526" s="225" t="str">
        <f t="shared" si="60"/>
        <v/>
      </c>
      <c r="T526" s="231" t="str">
        <f t="shared" si="61"/>
        <v/>
      </c>
      <c r="U526" s="241"/>
      <c r="V526" s="241"/>
      <c r="W526" s="241"/>
      <c r="X526" s="241"/>
      <c r="Y526" s="241"/>
      <c r="Z526" s="241"/>
      <c r="AA526" s="241"/>
      <c r="AB526" s="241"/>
      <c r="AC526" s="241"/>
      <c r="AD526" s="241"/>
      <c r="AE526" s="241"/>
      <c r="AF526" s="241"/>
      <c r="AG526" s="241"/>
      <c r="AH526" s="241"/>
      <c r="AI526" s="241"/>
      <c r="AJ526" s="241"/>
      <c r="AK526" s="241"/>
      <c r="AL526" s="241"/>
      <c r="AM526" s="241"/>
      <c r="AN526" s="241"/>
      <c r="AO526" s="241"/>
      <c r="AP526" s="241"/>
      <c r="AQ526" s="241"/>
      <c r="AR526" s="241"/>
      <c r="AS526" s="241"/>
      <c r="AT526" s="241"/>
      <c r="AU526" s="241"/>
      <c r="AV526" s="241"/>
      <c r="AW526" s="241"/>
      <c r="AX526" s="241"/>
      <c r="AY526" s="241"/>
      <c r="AZ526" s="241"/>
    </row>
    <row r="527" spans="1:52" s="71" customFormat="1" ht="18" hidden="1" customHeight="1" outlineLevel="1">
      <c r="A527" s="175">
        <v>15</v>
      </c>
      <c r="B527" s="312" t="str">
        <f>(IF('Inputs Whole-Project Water Use'!B527&lt;&gt;"",'Inputs Whole-Project Water Use'!B527,""))</f>
        <v/>
      </c>
      <c r="C527" s="313" t="str">
        <f>IF(AND(K527&lt;&gt;"",'Inputs Whole-Project Water Use'!C527=""),1,IF('Inputs Whole-Project Water Use'!C527&lt;&gt;"",'Inputs Whole-Project Water Use'!C527,""))</f>
        <v/>
      </c>
      <c r="D527" s="397" t="str">
        <f>IF('Inputs Whole-Project Water Use'!D527&lt;&gt;"",'Inputs Whole-Project Water Use'!D527,"")</f>
        <v/>
      </c>
      <c r="E527" s="398"/>
      <c r="F527" s="314" t="str">
        <f>IF('Inputs Whole-Project Water Use'!F527&lt;&gt;"",'Inputs Whole-Project Water Use'!F527,"")</f>
        <v/>
      </c>
      <c r="G527" s="314" t="str">
        <f>IF('Inputs Whole-Project Water Use'!G527&lt;&gt;"",'Inputs Whole-Project Water Use'!G527,"")</f>
        <v/>
      </c>
      <c r="H527" s="315" t="str">
        <f>IF('Inputs Whole-Project Water Use'!H527&lt;&gt;"",'Inputs Whole-Project Water Use'!H527,"")</f>
        <v/>
      </c>
      <c r="I527" s="344" t="str">
        <f>IF('Inputs Whole-Project Water Use'!I527&lt;&gt;"",'Inputs Whole-Project Water Use'!I527,"")</f>
        <v/>
      </c>
      <c r="J527" s="345"/>
      <c r="K527" s="316" t="str">
        <f>IF('Inputs Whole-Project Water Use'!K527&lt;&gt;"",'Inputs Whole-Project Water Use'!K527,"")</f>
        <v/>
      </c>
      <c r="L527" s="316" t="str">
        <f>IF('Inputs Whole-Project Water Use'!L527&lt;&gt;"",'Inputs Whole-Project Water Use'!L527,"")</f>
        <v/>
      </c>
      <c r="M527" s="390" t="str">
        <f t="shared" si="56"/>
        <v/>
      </c>
      <c r="N527" s="391"/>
      <c r="O527" s="225" t="str">
        <f t="shared" si="57"/>
        <v/>
      </c>
      <c r="P527" s="225" t="str">
        <f t="shared" si="58"/>
        <v/>
      </c>
      <c r="Q527" s="289" t="str">
        <f>IF(AND(L527&lt;&gt;"",'Inputs Whole-Project Water Use'!Q527=""),0,IF('Inputs Whole-Project Water Use'!Q527&lt;&gt;"",'Inputs Whole-Project Water Use'!Q527,""))</f>
        <v/>
      </c>
      <c r="R527" s="225" t="str">
        <f t="shared" si="59"/>
        <v/>
      </c>
      <c r="S527" s="225" t="str">
        <f t="shared" si="60"/>
        <v/>
      </c>
      <c r="T527" s="231" t="str">
        <f t="shared" si="61"/>
        <v/>
      </c>
      <c r="U527" s="241"/>
      <c r="V527" s="241"/>
      <c r="W527" s="241"/>
      <c r="X527" s="241"/>
      <c r="Y527" s="241"/>
      <c r="Z527" s="241"/>
      <c r="AA527" s="241"/>
      <c r="AB527" s="241"/>
      <c r="AC527" s="241"/>
      <c r="AD527" s="241"/>
      <c r="AE527" s="241"/>
      <c r="AF527" s="241"/>
      <c r="AG527" s="241"/>
      <c r="AH527" s="241"/>
      <c r="AI527" s="241"/>
      <c r="AJ527" s="241"/>
      <c r="AK527" s="241"/>
      <c r="AL527" s="241"/>
      <c r="AM527" s="241"/>
      <c r="AN527" s="241"/>
      <c r="AO527" s="241"/>
      <c r="AP527" s="241"/>
      <c r="AQ527" s="241"/>
      <c r="AR527" s="241"/>
      <c r="AS527" s="241"/>
      <c r="AT527" s="241"/>
      <c r="AU527" s="241"/>
      <c r="AV527" s="241"/>
      <c r="AW527" s="241"/>
      <c r="AX527" s="241"/>
      <c r="AY527" s="241"/>
      <c r="AZ527" s="241"/>
    </row>
    <row r="528" spans="1:52" s="71" customFormat="1" ht="18" hidden="1" customHeight="1" outlineLevel="1">
      <c r="A528" s="175">
        <v>16</v>
      </c>
      <c r="B528" s="312" t="str">
        <f>(IF('Inputs Whole-Project Water Use'!B528&lt;&gt;"",'Inputs Whole-Project Water Use'!B528,""))</f>
        <v/>
      </c>
      <c r="C528" s="313" t="str">
        <f>IF(AND(K528&lt;&gt;"",'Inputs Whole-Project Water Use'!C528=""),1,IF('Inputs Whole-Project Water Use'!C528&lt;&gt;"",'Inputs Whole-Project Water Use'!C528,""))</f>
        <v/>
      </c>
      <c r="D528" s="397" t="str">
        <f>IF('Inputs Whole-Project Water Use'!D528&lt;&gt;"",'Inputs Whole-Project Water Use'!D528,"")</f>
        <v/>
      </c>
      <c r="E528" s="398"/>
      <c r="F528" s="314" t="str">
        <f>IF('Inputs Whole-Project Water Use'!F528&lt;&gt;"",'Inputs Whole-Project Water Use'!F528,"")</f>
        <v/>
      </c>
      <c r="G528" s="314" t="str">
        <f>IF('Inputs Whole-Project Water Use'!G528&lt;&gt;"",'Inputs Whole-Project Water Use'!G528,"")</f>
        <v/>
      </c>
      <c r="H528" s="315" t="str">
        <f>IF('Inputs Whole-Project Water Use'!H528&lt;&gt;"",'Inputs Whole-Project Water Use'!H528,"")</f>
        <v/>
      </c>
      <c r="I528" s="344" t="str">
        <f>IF('Inputs Whole-Project Water Use'!I528&lt;&gt;"",'Inputs Whole-Project Water Use'!I528,"")</f>
        <v/>
      </c>
      <c r="J528" s="345"/>
      <c r="K528" s="316" t="str">
        <f>IF('Inputs Whole-Project Water Use'!K528&lt;&gt;"",'Inputs Whole-Project Water Use'!K528,"")</f>
        <v/>
      </c>
      <c r="L528" s="316" t="str">
        <f>IF('Inputs Whole-Project Water Use'!L528&lt;&gt;"",'Inputs Whole-Project Water Use'!L528,"")</f>
        <v/>
      </c>
      <c r="M528" s="390" t="str">
        <f t="shared" si="56"/>
        <v/>
      </c>
      <c r="N528" s="391"/>
      <c r="O528" s="225" t="str">
        <f t="shared" si="57"/>
        <v/>
      </c>
      <c r="P528" s="225" t="str">
        <f t="shared" si="58"/>
        <v/>
      </c>
      <c r="Q528" s="289" t="str">
        <f>IF(AND(L528&lt;&gt;"",'Inputs Whole-Project Water Use'!Q528=""),0,IF('Inputs Whole-Project Water Use'!Q528&lt;&gt;"",'Inputs Whole-Project Water Use'!Q528,""))</f>
        <v/>
      </c>
      <c r="R528" s="225" t="str">
        <f t="shared" si="59"/>
        <v/>
      </c>
      <c r="S528" s="225" t="str">
        <f t="shared" si="60"/>
        <v/>
      </c>
      <c r="T528" s="231" t="str">
        <f t="shared" si="61"/>
        <v/>
      </c>
      <c r="U528" s="241"/>
      <c r="V528" s="241"/>
      <c r="W528" s="241"/>
      <c r="X528" s="241"/>
      <c r="Y528" s="241"/>
      <c r="Z528" s="241"/>
      <c r="AA528" s="241"/>
      <c r="AB528" s="241"/>
      <c r="AC528" s="241"/>
      <c r="AD528" s="241"/>
      <c r="AE528" s="241"/>
      <c r="AF528" s="241"/>
      <c r="AG528" s="241"/>
      <c r="AH528" s="241"/>
      <c r="AI528" s="241"/>
      <c r="AJ528" s="241"/>
      <c r="AK528" s="241"/>
      <c r="AL528" s="241"/>
      <c r="AM528" s="241"/>
      <c r="AN528" s="241"/>
      <c r="AO528" s="241"/>
      <c r="AP528" s="241"/>
      <c r="AQ528" s="241"/>
      <c r="AR528" s="241"/>
      <c r="AS528" s="241"/>
      <c r="AT528" s="241"/>
      <c r="AU528" s="241"/>
      <c r="AV528" s="241"/>
      <c r="AW528" s="241"/>
      <c r="AX528" s="241"/>
      <c r="AY528" s="241"/>
      <c r="AZ528" s="241"/>
    </row>
    <row r="529" spans="1:52" s="71" customFormat="1" ht="18" hidden="1" customHeight="1" outlineLevel="1">
      <c r="A529" s="175">
        <v>17</v>
      </c>
      <c r="B529" s="312" t="str">
        <f>(IF('Inputs Whole-Project Water Use'!B529&lt;&gt;"",'Inputs Whole-Project Water Use'!B529,""))</f>
        <v/>
      </c>
      <c r="C529" s="313" t="str">
        <f>IF(AND(K529&lt;&gt;"",'Inputs Whole-Project Water Use'!C529=""),1,IF('Inputs Whole-Project Water Use'!C529&lt;&gt;"",'Inputs Whole-Project Water Use'!C529,""))</f>
        <v/>
      </c>
      <c r="D529" s="397" t="str">
        <f>IF('Inputs Whole-Project Water Use'!D529&lt;&gt;"",'Inputs Whole-Project Water Use'!D529,"")</f>
        <v/>
      </c>
      <c r="E529" s="398"/>
      <c r="F529" s="314" t="str">
        <f>IF('Inputs Whole-Project Water Use'!F529&lt;&gt;"",'Inputs Whole-Project Water Use'!F529,"")</f>
        <v/>
      </c>
      <c r="G529" s="314" t="str">
        <f>IF('Inputs Whole-Project Water Use'!G529&lt;&gt;"",'Inputs Whole-Project Water Use'!G529,"")</f>
        <v/>
      </c>
      <c r="H529" s="315" t="str">
        <f>IF('Inputs Whole-Project Water Use'!H529&lt;&gt;"",'Inputs Whole-Project Water Use'!H529,"")</f>
        <v/>
      </c>
      <c r="I529" s="344" t="str">
        <f>IF('Inputs Whole-Project Water Use'!I529&lt;&gt;"",'Inputs Whole-Project Water Use'!I529,"")</f>
        <v/>
      </c>
      <c r="J529" s="345"/>
      <c r="K529" s="316" t="str">
        <f>IF('Inputs Whole-Project Water Use'!K529&lt;&gt;"",'Inputs Whole-Project Water Use'!K529,"")</f>
        <v/>
      </c>
      <c r="L529" s="316" t="str">
        <f>IF('Inputs Whole-Project Water Use'!L529&lt;&gt;"",'Inputs Whole-Project Water Use'!L529,"")</f>
        <v/>
      </c>
      <c r="M529" s="390" t="str">
        <f t="shared" si="56"/>
        <v/>
      </c>
      <c r="N529" s="391"/>
      <c r="O529" s="225" t="str">
        <f t="shared" si="57"/>
        <v/>
      </c>
      <c r="P529" s="225" t="str">
        <f t="shared" si="58"/>
        <v/>
      </c>
      <c r="Q529" s="289" t="str">
        <f>IF(AND(L529&lt;&gt;"",'Inputs Whole-Project Water Use'!Q529=""),0,IF('Inputs Whole-Project Water Use'!Q529&lt;&gt;"",'Inputs Whole-Project Water Use'!Q529,""))</f>
        <v/>
      </c>
      <c r="R529" s="225" t="str">
        <f t="shared" si="59"/>
        <v/>
      </c>
      <c r="S529" s="225" t="str">
        <f t="shared" si="60"/>
        <v/>
      </c>
      <c r="T529" s="231" t="str">
        <f t="shared" si="61"/>
        <v/>
      </c>
      <c r="U529" s="241"/>
      <c r="V529" s="241"/>
      <c r="W529" s="241"/>
      <c r="X529" s="241"/>
      <c r="Y529" s="241"/>
      <c r="Z529" s="241"/>
      <c r="AA529" s="241"/>
      <c r="AB529" s="241"/>
      <c r="AC529" s="241"/>
      <c r="AD529" s="241"/>
      <c r="AE529" s="241"/>
      <c r="AF529" s="241"/>
      <c r="AG529" s="241"/>
      <c r="AH529" s="241"/>
      <c r="AI529" s="241"/>
      <c r="AJ529" s="241"/>
      <c r="AK529" s="241"/>
      <c r="AL529" s="241"/>
      <c r="AM529" s="241"/>
      <c r="AN529" s="241"/>
      <c r="AO529" s="241"/>
      <c r="AP529" s="241"/>
      <c r="AQ529" s="241"/>
      <c r="AR529" s="241"/>
      <c r="AS529" s="241"/>
      <c r="AT529" s="241"/>
      <c r="AU529" s="241"/>
      <c r="AV529" s="241"/>
      <c r="AW529" s="241"/>
      <c r="AX529" s="241"/>
      <c r="AY529" s="241"/>
      <c r="AZ529" s="241"/>
    </row>
    <row r="530" spans="1:52" s="71" customFormat="1" ht="18" hidden="1" customHeight="1" outlineLevel="1">
      <c r="A530" s="175">
        <v>18</v>
      </c>
      <c r="B530" s="312" t="str">
        <f>(IF('Inputs Whole-Project Water Use'!B530&lt;&gt;"",'Inputs Whole-Project Water Use'!B530,""))</f>
        <v/>
      </c>
      <c r="C530" s="313" t="str">
        <f>IF(AND(K530&lt;&gt;"",'Inputs Whole-Project Water Use'!C530=""),1,IF('Inputs Whole-Project Water Use'!C530&lt;&gt;"",'Inputs Whole-Project Water Use'!C530,""))</f>
        <v/>
      </c>
      <c r="D530" s="397" t="str">
        <f>IF('Inputs Whole-Project Water Use'!D530&lt;&gt;"",'Inputs Whole-Project Water Use'!D530,"")</f>
        <v/>
      </c>
      <c r="E530" s="398"/>
      <c r="F530" s="314" t="str">
        <f>IF('Inputs Whole-Project Water Use'!F530&lt;&gt;"",'Inputs Whole-Project Water Use'!F530,"")</f>
        <v/>
      </c>
      <c r="G530" s="314" t="str">
        <f>IF('Inputs Whole-Project Water Use'!G530&lt;&gt;"",'Inputs Whole-Project Water Use'!G530,"")</f>
        <v/>
      </c>
      <c r="H530" s="315" t="str">
        <f>IF('Inputs Whole-Project Water Use'!H530&lt;&gt;"",'Inputs Whole-Project Water Use'!H530,"")</f>
        <v/>
      </c>
      <c r="I530" s="344" t="str">
        <f>IF('Inputs Whole-Project Water Use'!I530&lt;&gt;"",'Inputs Whole-Project Water Use'!I530,"")</f>
        <v/>
      </c>
      <c r="J530" s="345"/>
      <c r="K530" s="316" t="str">
        <f>IF('Inputs Whole-Project Water Use'!K530&lt;&gt;"",'Inputs Whole-Project Water Use'!K530,"")</f>
        <v/>
      </c>
      <c r="L530" s="316" t="str">
        <f>IF('Inputs Whole-Project Water Use'!L530&lt;&gt;"",'Inputs Whole-Project Water Use'!L530,"")</f>
        <v/>
      </c>
      <c r="M530" s="390" t="str">
        <f t="shared" si="56"/>
        <v/>
      </c>
      <c r="N530" s="391"/>
      <c r="O530" s="225" t="str">
        <f t="shared" si="57"/>
        <v/>
      </c>
      <c r="P530" s="225" t="str">
        <f t="shared" si="58"/>
        <v/>
      </c>
      <c r="Q530" s="289" t="str">
        <f>IF(AND(L530&lt;&gt;"",'Inputs Whole-Project Water Use'!Q530=""),0,IF('Inputs Whole-Project Water Use'!Q530&lt;&gt;"",'Inputs Whole-Project Water Use'!Q530,""))</f>
        <v/>
      </c>
      <c r="R530" s="225" t="str">
        <f t="shared" si="59"/>
        <v/>
      </c>
      <c r="S530" s="225" t="str">
        <f t="shared" si="60"/>
        <v/>
      </c>
      <c r="T530" s="231" t="str">
        <f t="shared" si="61"/>
        <v/>
      </c>
      <c r="U530" s="241"/>
      <c r="V530" s="241"/>
      <c r="W530" s="241"/>
      <c r="X530" s="241"/>
      <c r="Y530" s="241"/>
      <c r="Z530" s="241"/>
      <c r="AA530" s="241"/>
      <c r="AB530" s="241"/>
      <c r="AC530" s="241"/>
      <c r="AD530" s="241"/>
      <c r="AE530" s="241"/>
      <c r="AF530" s="241"/>
      <c r="AG530" s="241"/>
      <c r="AH530" s="241"/>
      <c r="AI530" s="241"/>
      <c r="AJ530" s="241"/>
      <c r="AK530" s="241"/>
      <c r="AL530" s="241"/>
      <c r="AM530" s="241"/>
      <c r="AN530" s="241"/>
      <c r="AO530" s="241"/>
      <c r="AP530" s="241"/>
      <c r="AQ530" s="241"/>
      <c r="AR530" s="241"/>
      <c r="AS530" s="241"/>
      <c r="AT530" s="241"/>
      <c r="AU530" s="241"/>
      <c r="AV530" s="241"/>
      <c r="AW530" s="241"/>
      <c r="AX530" s="241"/>
      <c r="AY530" s="241"/>
      <c r="AZ530" s="241"/>
    </row>
    <row r="531" spans="1:52" s="71" customFormat="1" ht="18" hidden="1" customHeight="1" outlineLevel="1">
      <c r="A531" s="175">
        <v>19</v>
      </c>
      <c r="B531" s="312" t="str">
        <f>(IF('Inputs Whole-Project Water Use'!B531&lt;&gt;"",'Inputs Whole-Project Water Use'!B531,""))</f>
        <v/>
      </c>
      <c r="C531" s="313" t="str">
        <f>IF(AND(K531&lt;&gt;"",'Inputs Whole-Project Water Use'!C531=""),1,IF('Inputs Whole-Project Water Use'!C531&lt;&gt;"",'Inputs Whole-Project Water Use'!C531,""))</f>
        <v/>
      </c>
      <c r="D531" s="397" t="str">
        <f>IF('Inputs Whole-Project Water Use'!D531&lt;&gt;"",'Inputs Whole-Project Water Use'!D531,"")</f>
        <v/>
      </c>
      <c r="E531" s="398"/>
      <c r="F531" s="314" t="str">
        <f>IF('Inputs Whole-Project Water Use'!F531&lt;&gt;"",'Inputs Whole-Project Water Use'!F531,"")</f>
        <v/>
      </c>
      <c r="G531" s="314" t="str">
        <f>IF('Inputs Whole-Project Water Use'!G531&lt;&gt;"",'Inputs Whole-Project Water Use'!G531,"")</f>
        <v/>
      </c>
      <c r="H531" s="315" t="str">
        <f>IF('Inputs Whole-Project Water Use'!H531&lt;&gt;"",'Inputs Whole-Project Water Use'!H531,"")</f>
        <v/>
      </c>
      <c r="I531" s="344" t="str">
        <f>IF('Inputs Whole-Project Water Use'!I531&lt;&gt;"",'Inputs Whole-Project Water Use'!I531,"")</f>
        <v/>
      </c>
      <c r="J531" s="345"/>
      <c r="K531" s="316" t="str">
        <f>IF('Inputs Whole-Project Water Use'!K531&lt;&gt;"",'Inputs Whole-Project Water Use'!K531,"")</f>
        <v/>
      </c>
      <c r="L531" s="316" t="str">
        <f>IF('Inputs Whole-Project Water Use'!L531&lt;&gt;"",'Inputs Whole-Project Water Use'!L531,"")</f>
        <v/>
      </c>
      <c r="M531" s="390" t="str">
        <f t="shared" si="56"/>
        <v/>
      </c>
      <c r="N531" s="391"/>
      <c r="O531" s="225" t="str">
        <f t="shared" si="57"/>
        <v/>
      </c>
      <c r="P531" s="225" t="str">
        <f t="shared" si="58"/>
        <v/>
      </c>
      <c r="Q531" s="289" t="str">
        <f>IF(AND(L531&lt;&gt;"",'Inputs Whole-Project Water Use'!Q531=""),0,IF('Inputs Whole-Project Water Use'!Q531&lt;&gt;"",'Inputs Whole-Project Water Use'!Q531,""))</f>
        <v/>
      </c>
      <c r="R531" s="225" t="str">
        <f t="shared" si="59"/>
        <v/>
      </c>
      <c r="S531" s="225" t="str">
        <f t="shared" si="60"/>
        <v/>
      </c>
      <c r="T531" s="231" t="str">
        <f t="shared" si="61"/>
        <v/>
      </c>
      <c r="U531" s="241"/>
      <c r="V531" s="241"/>
      <c r="W531" s="241"/>
      <c r="X531" s="241"/>
      <c r="Y531" s="241"/>
      <c r="Z531" s="241"/>
      <c r="AA531" s="241"/>
      <c r="AB531" s="241"/>
      <c r="AC531" s="241"/>
      <c r="AD531" s="241"/>
      <c r="AE531" s="241"/>
      <c r="AF531" s="241"/>
      <c r="AG531" s="241"/>
      <c r="AH531" s="241"/>
      <c r="AI531" s="241"/>
      <c r="AJ531" s="241"/>
      <c r="AK531" s="241"/>
      <c r="AL531" s="241"/>
      <c r="AM531" s="241"/>
      <c r="AN531" s="241"/>
      <c r="AO531" s="241"/>
      <c r="AP531" s="241"/>
      <c r="AQ531" s="241"/>
      <c r="AR531" s="241"/>
      <c r="AS531" s="241"/>
      <c r="AT531" s="241"/>
      <c r="AU531" s="241"/>
      <c r="AV531" s="241"/>
      <c r="AW531" s="241"/>
      <c r="AX531" s="241"/>
      <c r="AY531" s="241"/>
      <c r="AZ531" s="241"/>
    </row>
    <row r="532" spans="1:52" s="71" customFormat="1" ht="18" hidden="1" customHeight="1" outlineLevel="1">
      <c r="A532" s="175">
        <v>20</v>
      </c>
      <c r="B532" s="312" t="str">
        <f>(IF('Inputs Whole-Project Water Use'!B532&lt;&gt;"",'Inputs Whole-Project Water Use'!B532,""))</f>
        <v/>
      </c>
      <c r="C532" s="313" t="str">
        <f>IF(AND(K532&lt;&gt;"",'Inputs Whole-Project Water Use'!C532=""),1,IF('Inputs Whole-Project Water Use'!C532&lt;&gt;"",'Inputs Whole-Project Water Use'!C532,""))</f>
        <v/>
      </c>
      <c r="D532" s="397" t="str">
        <f>IF('Inputs Whole-Project Water Use'!D532&lt;&gt;"",'Inputs Whole-Project Water Use'!D532,"")</f>
        <v/>
      </c>
      <c r="E532" s="398"/>
      <c r="F532" s="314" t="str">
        <f>IF('Inputs Whole-Project Water Use'!F532&lt;&gt;"",'Inputs Whole-Project Water Use'!F532,"")</f>
        <v/>
      </c>
      <c r="G532" s="314" t="str">
        <f>IF('Inputs Whole-Project Water Use'!G532&lt;&gt;"",'Inputs Whole-Project Water Use'!G532,"")</f>
        <v/>
      </c>
      <c r="H532" s="315" t="str">
        <f>IF('Inputs Whole-Project Water Use'!H532&lt;&gt;"",'Inputs Whole-Project Water Use'!H532,"")</f>
        <v/>
      </c>
      <c r="I532" s="344" t="str">
        <f>IF('Inputs Whole-Project Water Use'!I532&lt;&gt;"",'Inputs Whole-Project Water Use'!I532,"")</f>
        <v/>
      </c>
      <c r="J532" s="345"/>
      <c r="K532" s="316" t="str">
        <f>IF('Inputs Whole-Project Water Use'!K532&lt;&gt;"",'Inputs Whole-Project Water Use'!K532,"")</f>
        <v/>
      </c>
      <c r="L532" s="316" t="str">
        <f>IF('Inputs Whole-Project Water Use'!L532&lt;&gt;"",'Inputs Whole-Project Water Use'!L532,"")</f>
        <v/>
      </c>
      <c r="M532" s="390" t="str">
        <f t="shared" si="56"/>
        <v/>
      </c>
      <c r="N532" s="391"/>
      <c r="O532" s="225" t="str">
        <f t="shared" si="57"/>
        <v/>
      </c>
      <c r="P532" s="225" t="str">
        <f t="shared" si="58"/>
        <v/>
      </c>
      <c r="Q532" s="289" t="str">
        <f>IF(AND(L532&lt;&gt;"",'Inputs Whole-Project Water Use'!Q532=""),0,IF('Inputs Whole-Project Water Use'!Q532&lt;&gt;"",'Inputs Whole-Project Water Use'!Q532,""))</f>
        <v/>
      </c>
      <c r="R532" s="225" t="str">
        <f t="shared" si="59"/>
        <v/>
      </c>
      <c r="S532" s="225" t="str">
        <f t="shared" si="60"/>
        <v/>
      </c>
      <c r="T532" s="231" t="str">
        <f t="shared" si="61"/>
        <v/>
      </c>
      <c r="U532" s="241"/>
      <c r="V532" s="241"/>
      <c r="W532" s="241"/>
      <c r="X532" s="241"/>
      <c r="Y532" s="241"/>
      <c r="Z532" s="241"/>
      <c r="AA532" s="241"/>
      <c r="AB532" s="241"/>
      <c r="AC532" s="241"/>
      <c r="AD532" s="241"/>
      <c r="AE532" s="241"/>
      <c r="AF532" s="241"/>
      <c r="AG532" s="241"/>
      <c r="AH532" s="241"/>
      <c r="AI532" s="241"/>
      <c r="AJ532" s="241"/>
      <c r="AK532" s="241"/>
      <c r="AL532" s="241"/>
      <c r="AM532" s="241"/>
      <c r="AN532" s="241"/>
      <c r="AO532" s="241"/>
      <c r="AP532" s="241"/>
      <c r="AQ532" s="241"/>
      <c r="AR532" s="241"/>
      <c r="AS532" s="241"/>
      <c r="AT532" s="241"/>
      <c r="AU532" s="241"/>
      <c r="AV532" s="241"/>
      <c r="AW532" s="241"/>
      <c r="AX532" s="241"/>
      <c r="AY532" s="241"/>
      <c r="AZ532" s="241"/>
    </row>
    <row r="533" spans="1:52" s="71" customFormat="1" ht="18" hidden="1" customHeight="1" outlineLevel="1">
      <c r="A533" s="175">
        <v>21</v>
      </c>
      <c r="B533" s="312" t="str">
        <f>(IF('Inputs Whole-Project Water Use'!B533&lt;&gt;"",'Inputs Whole-Project Water Use'!B533,""))</f>
        <v/>
      </c>
      <c r="C533" s="313" t="str">
        <f>IF(AND(K533&lt;&gt;"",'Inputs Whole-Project Water Use'!C533=""),1,IF('Inputs Whole-Project Water Use'!C533&lt;&gt;"",'Inputs Whole-Project Water Use'!C533,""))</f>
        <v/>
      </c>
      <c r="D533" s="397" t="str">
        <f>IF('Inputs Whole-Project Water Use'!D533&lt;&gt;"",'Inputs Whole-Project Water Use'!D533,"")</f>
        <v/>
      </c>
      <c r="E533" s="398"/>
      <c r="F533" s="314" t="str">
        <f>IF('Inputs Whole-Project Water Use'!F533&lt;&gt;"",'Inputs Whole-Project Water Use'!F533,"")</f>
        <v/>
      </c>
      <c r="G533" s="314" t="str">
        <f>IF('Inputs Whole-Project Water Use'!G533&lt;&gt;"",'Inputs Whole-Project Water Use'!G533,"")</f>
        <v/>
      </c>
      <c r="H533" s="315" t="str">
        <f>IF('Inputs Whole-Project Water Use'!H533&lt;&gt;"",'Inputs Whole-Project Water Use'!H533,"")</f>
        <v/>
      </c>
      <c r="I533" s="344" t="str">
        <f>IF('Inputs Whole-Project Water Use'!I533&lt;&gt;"",'Inputs Whole-Project Water Use'!I533,"")</f>
        <v/>
      </c>
      <c r="J533" s="345"/>
      <c r="K533" s="316" t="str">
        <f>IF('Inputs Whole-Project Water Use'!K533&lt;&gt;"",'Inputs Whole-Project Water Use'!K533,"")</f>
        <v/>
      </c>
      <c r="L533" s="316" t="str">
        <f>IF('Inputs Whole-Project Water Use'!L533&lt;&gt;"",'Inputs Whole-Project Water Use'!L533,"")</f>
        <v/>
      </c>
      <c r="M533" s="390" t="str">
        <f t="shared" si="56"/>
        <v/>
      </c>
      <c r="N533" s="391"/>
      <c r="O533" s="225" t="str">
        <f t="shared" si="57"/>
        <v/>
      </c>
      <c r="P533" s="225" t="str">
        <f t="shared" si="58"/>
        <v/>
      </c>
      <c r="Q533" s="289" t="str">
        <f>IF(AND(L533&lt;&gt;"",'Inputs Whole-Project Water Use'!Q533=""),0,IF('Inputs Whole-Project Water Use'!Q533&lt;&gt;"",'Inputs Whole-Project Water Use'!Q533,""))</f>
        <v/>
      </c>
      <c r="R533" s="225" t="str">
        <f t="shared" si="59"/>
        <v/>
      </c>
      <c r="S533" s="225" t="str">
        <f t="shared" si="60"/>
        <v/>
      </c>
      <c r="T533" s="231" t="str">
        <f t="shared" si="61"/>
        <v/>
      </c>
      <c r="U533" s="241"/>
      <c r="V533" s="241"/>
      <c r="W533" s="241"/>
      <c r="X533" s="241"/>
      <c r="Y533" s="241"/>
      <c r="Z533" s="241"/>
      <c r="AA533" s="241"/>
      <c r="AB533" s="241"/>
      <c r="AC533" s="241"/>
      <c r="AD533" s="241"/>
      <c r="AE533" s="241"/>
      <c r="AF533" s="241"/>
      <c r="AG533" s="241"/>
      <c r="AH533" s="241"/>
      <c r="AI533" s="241"/>
      <c r="AJ533" s="241"/>
      <c r="AK533" s="241"/>
      <c r="AL533" s="241"/>
      <c r="AM533" s="241"/>
      <c r="AN533" s="241"/>
      <c r="AO533" s="241"/>
      <c r="AP533" s="241"/>
      <c r="AQ533" s="241"/>
      <c r="AR533" s="241"/>
      <c r="AS533" s="241"/>
      <c r="AT533" s="241"/>
      <c r="AU533" s="241"/>
      <c r="AV533" s="241"/>
      <c r="AW533" s="241"/>
      <c r="AX533" s="241"/>
      <c r="AY533" s="241"/>
      <c r="AZ533" s="241"/>
    </row>
    <row r="534" spans="1:52" s="71" customFormat="1" ht="18" hidden="1" customHeight="1" outlineLevel="1">
      <c r="A534" s="175">
        <v>22</v>
      </c>
      <c r="B534" s="312" t="str">
        <f>(IF('Inputs Whole-Project Water Use'!B534&lt;&gt;"",'Inputs Whole-Project Water Use'!B534,""))</f>
        <v/>
      </c>
      <c r="C534" s="313" t="str">
        <f>IF(AND(K534&lt;&gt;"",'Inputs Whole-Project Water Use'!C534=""),1,IF('Inputs Whole-Project Water Use'!C534&lt;&gt;"",'Inputs Whole-Project Water Use'!C534,""))</f>
        <v/>
      </c>
      <c r="D534" s="397" t="str">
        <f>IF('Inputs Whole-Project Water Use'!D534&lt;&gt;"",'Inputs Whole-Project Water Use'!D534,"")</f>
        <v/>
      </c>
      <c r="E534" s="398"/>
      <c r="F534" s="314" t="str">
        <f>IF('Inputs Whole-Project Water Use'!F534&lt;&gt;"",'Inputs Whole-Project Water Use'!F534,"")</f>
        <v/>
      </c>
      <c r="G534" s="314" t="str">
        <f>IF('Inputs Whole-Project Water Use'!G534&lt;&gt;"",'Inputs Whole-Project Water Use'!G534,"")</f>
        <v/>
      </c>
      <c r="H534" s="315" t="str">
        <f>IF('Inputs Whole-Project Water Use'!H534&lt;&gt;"",'Inputs Whole-Project Water Use'!H534,"")</f>
        <v/>
      </c>
      <c r="I534" s="344" t="str">
        <f>IF('Inputs Whole-Project Water Use'!I534&lt;&gt;"",'Inputs Whole-Project Water Use'!I534,"")</f>
        <v/>
      </c>
      <c r="J534" s="345"/>
      <c r="K534" s="316" t="str">
        <f>IF('Inputs Whole-Project Water Use'!K534&lt;&gt;"",'Inputs Whole-Project Water Use'!K534,"")</f>
        <v/>
      </c>
      <c r="L534" s="316" t="str">
        <f>IF('Inputs Whole-Project Water Use'!L534&lt;&gt;"",'Inputs Whole-Project Water Use'!L534,"")</f>
        <v/>
      </c>
      <c r="M534" s="390" t="str">
        <f t="shared" si="56"/>
        <v/>
      </c>
      <c r="N534" s="391"/>
      <c r="O534" s="225" t="str">
        <f t="shared" si="57"/>
        <v/>
      </c>
      <c r="P534" s="225" t="str">
        <f t="shared" si="58"/>
        <v/>
      </c>
      <c r="Q534" s="289" t="str">
        <f>IF(AND(L534&lt;&gt;"",'Inputs Whole-Project Water Use'!Q534=""),0,IF('Inputs Whole-Project Water Use'!Q534&lt;&gt;"",'Inputs Whole-Project Water Use'!Q534,""))</f>
        <v/>
      </c>
      <c r="R534" s="225" t="str">
        <f t="shared" si="59"/>
        <v/>
      </c>
      <c r="S534" s="225" t="str">
        <f t="shared" si="60"/>
        <v/>
      </c>
      <c r="T534" s="231" t="str">
        <f t="shared" si="61"/>
        <v/>
      </c>
      <c r="U534" s="241"/>
      <c r="V534" s="241"/>
      <c r="W534" s="241"/>
      <c r="X534" s="241"/>
      <c r="Y534" s="241"/>
      <c r="Z534" s="241"/>
      <c r="AA534" s="241"/>
      <c r="AB534" s="241"/>
      <c r="AC534" s="241"/>
      <c r="AD534" s="241"/>
      <c r="AE534" s="241"/>
      <c r="AF534" s="241"/>
      <c r="AG534" s="241"/>
      <c r="AH534" s="241"/>
      <c r="AI534" s="241"/>
      <c r="AJ534" s="241"/>
      <c r="AK534" s="241"/>
      <c r="AL534" s="241"/>
      <c r="AM534" s="241"/>
      <c r="AN534" s="241"/>
      <c r="AO534" s="241"/>
      <c r="AP534" s="241"/>
      <c r="AQ534" s="241"/>
      <c r="AR534" s="241"/>
      <c r="AS534" s="241"/>
      <c r="AT534" s="241"/>
      <c r="AU534" s="241"/>
      <c r="AV534" s="241"/>
      <c r="AW534" s="241"/>
      <c r="AX534" s="241"/>
      <c r="AY534" s="241"/>
      <c r="AZ534" s="241"/>
    </row>
    <row r="535" spans="1:52" s="71" customFormat="1" ht="18" hidden="1" customHeight="1" outlineLevel="1">
      <c r="A535" s="175">
        <v>23</v>
      </c>
      <c r="B535" s="312" t="str">
        <f>(IF('Inputs Whole-Project Water Use'!B535&lt;&gt;"",'Inputs Whole-Project Water Use'!B535,""))</f>
        <v/>
      </c>
      <c r="C535" s="313" t="str">
        <f>IF(AND(K535&lt;&gt;"",'Inputs Whole-Project Water Use'!C535=""),1,IF('Inputs Whole-Project Water Use'!C535&lt;&gt;"",'Inputs Whole-Project Water Use'!C535,""))</f>
        <v/>
      </c>
      <c r="D535" s="397" t="str">
        <f>IF('Inputs Whole-Project Water Use'!D535&lt;&gt;"",'Inputs Whole-Project Water Use'!D535,"")</f>
        <v/>
      </c>
      <c r="E535" s="398"/>
      <c r="F535" s="314" t="str">
        <f>IF('Inputs Whole-Project Water Use'!F535&lt;&gt;"",'Inputs Whole-Project Water Use'!F535,"")</f>
        <v/>
      </c>
      <c r="G535" s="314" t="str">
        <f>IF('Inputs Whole-Project Water Use'!G535&lt;&gt;"",'Inputs Whole-Project Water Use'!G535,"")</f>
        <v/>
      </c>
      <c r="H535" s="315" t="str">
        <f>IF('Inputs Whole-Project Water Use'!H535&lt;&gt;"",'Inputs Whole-Project Water Use'!H535,"")</f>
        <v/>
      </c>
      <c r="I535" s="344" t="str">
        <f>IF('Inputs Whole-Project Water Use'!I535&lt;&gt;"",'Inputs Whole-Project Water Use'!I535,"")</f>
        <v/>
      </c>
      <c r="J535" s="345"/>
      <c r="K535" s="316" t="str">
        <f>IF('Inputs Whole-Project Water Use'!K535&lt;&gt;"",'Inputs Whole-Project Water Use'!K535,"")</f>
        <v/>
      </c>
      <c r="L535" s="316" t="str">
        <f>IF('Inputs Whole-Project Water Use'!L535&lt;&gt;"",'Inputs Whole-Project Water Use'!L535,"")</f>
        <v/>
      </c>
      <c r="M535" s="390" t="str">
        <f t="shared" si="56"/>
        <v/>
      </c>
      <c r="N535" s="391"/>
      <c r="O535" s="225" t="str">
        <f t="shared" si="57"/>
        <v/>
      </c>
      <c r="P535" s="225" t="str">
        <f t="shared" si="58"/>
        <v/>
      </c>
      <c r="Q535" s="289" t="str">
        <f>IF(AND(L535&lt;&gt;"",'Inputs Whole-Project Water Use'!Q535=""),0,IF('Inputs Whole-Project Water Use'!Q535&lt;&gt;"",'Inputs Whole-Project Water Use'!Q535,""))</f>
        <v/>
      </c>
      <c r="R535" s="225" t="str">
        <f t="shared" si="59"/>
        <v/>
      </c>
      <c r="S535" s="225" t="str">
        <f t="shared" si="60"/>
        <v/>
      </c>
      <c r="T535" s="231" t="str">
        <f t="shared" si="61"/>
        <v/>
      </c>
      <c r="U535" s="241"/>
      <c r="V535" s="241"/>
      <c r="W535" s="241"/>
      <c r="X535" s="241"/>
      <c r="Y535" s="241"/>
      <c r="Z535" s="241"/>
      <c r="AA535" s="241"/>
      <c r="AB535" s="241"/>
      <c r="AC535" s="241"/>
      <c r="AD535" s="241"/>
      <c r="AE535" s="241"/>
      <c r="AF535" s="241"/>
      <c r="AG535" s="241"/>
      <c r="AH535" s="241"/>
      <c r="AI535" s="241"/>
      <c r="AJ535" s="241"/>
      <c r="AK535" s="241"/>
      <c r="AL535" s="241"/>
      <c r="AM535" s="241"/>
      <c r="AN535" s="241"/>
      <c r="AO535" s="241"/>
      <c r="AP535" s="241"/>
      <c r="AQ535" s="241"/>
      <c r="AR535" s="241"/>
      <c r="AS535" s="241"/>
      <c r="AT535" s="241"/>
      <c r="AU535" s="241"/>
      <c r="AV535" s="241"/>
      <c r="AW535" s="241"/>
      <c r="AX535" s="241"/>
      <c r="AY535" s="241"/>
      <c r="AZ535" s="241"/>
    </row>
    <row r="536" spans="1:52" s="71" customFormat="1" ht="18" hidden="1" customHeight="1" outlineLevel="1">
      <c r="A536" s="175">
        <v>24</v>
      </c>
      <c r="B536" s="312" t="str">
        <f>(IF('Inputs Whole-Project Water Use'!B536&lt;&gt;"",'Inputs Whole-Project Water Use'!B536,""))</f>
        <v/>
      </c>
      <c r="C536" s="313" t="str">
        <f>IF(AND(K536&lt;&gt;"",'Inputs Whole-Project Water Use'!C536=""),1,IF('Inputs Whole-Project Water Use'!C536&lt;&gt;"",'Inputs Whole-Project Water Use'!C536,""))</f>
        <v/>
      </c>
      <c r="D536" s="397" t="str">
        <f>IF('Inputs Whole-Project Water Use'!D536&lt;&gt;"",'Inputs Whole-Project Water Use'!D536,"")</f>
        <v/>
      </c>
      <c r="E536" s="398"/>
      <c r="F536" s="314" t="str">
        <f>IF('Inputs Whole-Project Water Use'!F536&lt;&gt;"",'Inputs Whole-Project Water Use'!F536,"")</f>
        <v/>
      </c>
      <c r="G536" s="314" t="str">
        <f>IF('Inputs Whole-Project Water Use'!G536&lt;&gt;"",'Inputs Whole-Project Water Use'!G536,"")</f>
        <v/>
      </c>
      <c r="H536" s="315" t="str">
        <f>IF('Inputs Whole-Project Water Use'!H536&lt;&gt;"",'Inputs Whole-Project Water Use'!H536,"")</f>
        <v/>
      </c>
      <c r="I536" s="344" t="str">
        <f>IF('Inputs Whole-Project Water Use'!I536&lt;&gt;"",'Inputs Whole-Project Water Use'!I536,"")</f>
        <v/>
      </c>
      <c r="J536" s="345"/>
      <c r="K536" s="316" t="str">
        <f>IF('Inputs Whole-Project Water Use'!K536&lt;&gt;"",'Inputs Whole-Project Water Use'!K536,"")</f>
        <v/>
      </c>
      <c r="L536" s="316" t="str">
        <f>IF('Inputs Whole-Project Water Use'!L536&lt;&gt;"",'Inputs Whole-Project Water Use'!L536,"")</f>
        <v/>
      </c>
      <c r="M536" s="390" t="str">
        <f t="shared" si="56"/>
        <v/>
      </c>
      <c r="N536" s="391"/>
      <c r="O536" s="225" t="str">
        <f t="shared" si="57"/>
        <v/>
      </c>
      <c r="P536" s="225" t="str">
        <f t="shared" si="58"/>
        <v/>
      </c>
      <c r="Q536" s="289" t="str">
        <f>IF(AND(L536&lt;&gt;"",'Inputs Whole-Project Water Use'!Q536=""),0,IF('Inputs Whole-Project Water Use'!Q536&lt;&gt;"",'Inputs Whole-Project Water Use'!Q536,""))</f>
        <v/>
      </c>
      <c r="R536" s="225" t="str">
        <f t="shared" si="59"/>
        <v/>
      </c>
      <c r="S536" s="225" t="str">
        <f t="shared" si="60"/>
        <v/>
      </c>
      <c r="T536" s="231" t="str">
        <f t="shared" si="61"/>
        <v/>
      </c>
      <c r="U536" s="241"/>
      <c r="V536" s="241"/>
      <c r="W536" s="241"/>
      <c r="X536" s="241"/>
      <c r="Y536" s="241"/>
      <c r="Z536" s="241"/>
      <c r="AA536" s="241"/>
      <c r="AB536" s="241"/>
      <c r="AC536" s="241"/>
      <c r="AD536" s="241"/>
      <c r="AE536" s="241"/>
      <c r="AF536" s="241"/>
      <c r="AG536" s="241"/>
      <c r="AH536" s="241"/>
      <c r="AI536" s="241"/>
      <c r="AJ536" s="241"/>
      <c r="AK536" s="241"/>
      <c r="AL536" s="241"/>
      <c r="AM536" s="241"/>
      <c r="AN536" s="241"/>
      <c r="AO536" s="241"/>
      <c r="AP536" s="241"/>
      <c r="AQ536" s="241"/>
      <c r="AR536" s="241"/>
      <c r="AS536" s="241"/>
      <c r="AT536" s="241"/>
      <c r="AU536" s="241"/>
      <c r="AV536" s="241"/>
      <c r="AW536" s="241"/>
      <c r="AX536" s="241"/>
      <c r="AY536" s="241"/>
      <c r="AZ536" s="241"/>
    </row>
    <row r="537" spans="1:52" s="71" customFormat="1" ht="18" hidden="1" customHeight="1" outlineLevel="1">
      <c r="A537" s="175">
        <v>25</v>
      </c>
      <c r="B537" s="312" t="str">
        <f>(IF('Inputs Whole-Project Water Use'!B537&lt;&gt;"",'Inputs Whole-Project Water Use'!B537,""))</f>
        <v/>
      </c>
      <c r="C537" s="313" t="str">
        <f>IF(AND(K537&lt;&gt;"",'Inputs Whole-Project Water Use'!C537=""),1,IF('Inputs Whole-Project Water Use'!C537&lt;&gt;"",'Inputs Whole-Project Water Use'!C537,""))</f>
        <v/>
      </c>
      <c r="D537" s="397" t="str">
        <f>IF('Inputs Whole-Project Water Use'!D537&lt;&gt;"",'Inputs Whole-Project Water Use'!D537,"")</f>
        <v/>
      </c>
      <c r="E537" s="398"/>
      <c r="F537" s="314" t="str">
        <f>IF('Inputs Whole-Project Water Use'!F537&lt;&gt;"",'Inputs Whole-Project Water Use'!F537,"")</f>
        <v/>
      </c>
      <c r="G537" s="314" t="str">
        <f>IF('Inputs Whole-Project Water Use'!G537&lt;&gt;"",'Inputs Whole-Project Water Use'!G537,"")</f>
        <v/>
      </c>
      <c r="H537" s="315" t="str">
        <f>IF('Inputs Whole-Project Water Use'!H537&lt;&gt;"",'Inputs Whole-Project Water Use'!H537,"")</f>
        <v/>
      </c>
      <c r="I537" s="344" t="str">
        <f>IF('Inputs Whole-Project Water Use'!I537&lt;&gt;"",'Inputs Whole-Project Water Use'!I537,"")</f>
        <v/>
      </c>
      <c r="J537" s="345"/>
      <c r="K537" s="316" t="str">
        <f>IF('Inputs Whole-Project Water Use'!K537&lt;&gt;"",'Inputs Whole-Project Water Use'!K537,"")</f>
        <v/>
      </c>
      <c r="L537" s="316" t="str">
        <f>IF('Inputs Whole-Project Water Use'!L537&lt;&gt;"",'Inputs Whole-Project Water Use'!L537,"")</f>
        <v/>
      </c>
      <c r="M537" s="390" t="str">
        <f t="shared" si="56"/>
        <v/>
      </c>
      <c r="N537" s="391"/>
      <c r="O537" s="225" t="str">
        <f t="shared" si="57"/>
        <v/>
      </c>
      <c r="P537" s="225" t="str">
        <f t="shared" si="58"/>
        <v/>
      </c>
      <c r="Q537" s="289" t="str">
        <f>IF(AND(L537&lt;&gt;"",'Inputs Whole-Project Water Use'!Q537=""),0,IF('Inputs Whole-Project Water Use'!Q537&lt;&gt;"",'Inputs Whole-Project Water Use'!Q537,""))</f>
        <v/>
      </c>
      <c r="R537" s="225" t="str">
        <f t="shared" si="59"/>
        <v/>
      </c>
      <c r="S537" s="225" t="str">
        <f t="shared" si="60"/>
        <v/>
      </c>
      <c r="T537" s="231" t="str">
        <f t="shared" si="61"/>
        <v/>
      </c>
      <c r="U537" s="241"/>
      <c r="V537" s="241"/>
      <c r="W537" s="241"/>
      <c r="X537" s="241"/>
      <c r="Y537" s="241"/>
      <c r="Z537" s="241"/>
      <c r="AA537" s="241"/>
      <c r="AB537" s="241"/>
      <c r="AC537" s="241"/>
      <c r="AD537" s="241"/>
      <c r="AE537" s="241"/>
      <c r="AF537" s="241"/>
      <c r="AG537" s="241"/>
      <c r="AH537" s="241"/>
      <c r="AI537" s="241"/>
      <c r="AJ537" s="241"/>
      <c r="AK537" s="241"/>
      <c r="AL537" s="241"/>
      <c r="AM537" s="241"/>
      <c r="AN537" s="241"/>
      <c r="AO537" s="241"/>
      <c r="AP537" s="241"/>
      <c r="AQ537" s="241"/>
      <c r="AR537" s="241"/>
      <c r="AS537" s="241"/>
      <c r="AT537" s="241"/>
      <c r="AU537" s="241"/>
      <c r="AV537" s="241"/>
      <c r="AW537" s="241"/>
      <c r="AX537" s="241"/>
      <c r="AY537" s="241"/>
      <c r="AZ537" s="241"/>
    </row>
    <row r="538" spans="1:52" s="71" customFormat="1" ht="18" hidden="1" customHeight="1" outlineLevel="1">
      <c r="A538" s="175">
        <v>26</v>
      </c>
      <c r="B538" s="312" t="str">
        <f>(IF('Inputs Whole-Project Water Use'!B538&lt;&gt;"",'Inputs Whole-Project Water Use'!B538,""))</f>
        <v/>
      </c>
      <c r="C538" s="313" t="str">
        <f>IF(AND(K538&lt;&gt;"",'Inputs Whole-Project Water Use'!C538=""),1,IF('Inputs Whole-Project Water Use'!C538&lt;&gt;"",'Inputs Whole-Project Water Use'!C538,""))</f>
        <v/>
      </c>
      <c r="D538" s="397" t="str">
        <f>IF('Inputs Whole-Project Water Use'!D538&lt;&gt;"",'Inputs Whole-Project Water Use'!D538,"")</f>
        <v/>
      </c>
      <c r="E538" s="398"/>
      <c r="F538" s="314" t="str">
        <f>IF('Inputs Whole-Project Water Use'!F538&lt;&gt;"",'Inputs Whole-Project Water Use'!F538,"")</f>
        <v/>
      </c>
      <c r="G538" s="314" t="str">
        <f>IF('Inputs Whole-Project Water Use'!G538&lt;&gt;"",'Inputs Whole-Project Water Use'!G538,"")</f>
        <v/>
      </c>
      <c r="H538" s="315" t="str">
        <f>IF('Inputs Whole-Project Water Use'!H538&lt;&gt;"",'Inputs Whole-Project Water Use'!H538,"")</f>
        <v/>
      </c>
      <c r="I538" s="344" t="str">
        <f>IF('Inputs Whole-Project Water Use'!I538&lt;&gt;"",'Inputs Whole-Project Water Use'!I538,"")</f>
        <v/>
      </c>
      <c r="J538" s="345"/>
      <c r="K538" s="316" t="str">
        <f>IF('Inputs Whole-Project Water Use'!K538&lt;&gt;"",'Inputs Whole-Project Water Use'!K538,"")</f>
        <v/>
      </c>
      <c r="L538" s="316" t="str">
        <f>IF('Inputs Whole-Project Water Use'!L538&lt;&gt;"",'Inputs Whole-Project Water Use'!L538,"")</f>
        <v/>
      </c>
      <c r="M538" s="390" t="str">
        <f t="shared" si="56"/>
        <v/>
      </c>
      <c r="N538" s="391"/>
      <c r="O538" s="225" t="str">
        <f t="shared" si="57"/>
        <v/>
      </c>
      <c r="P538" s="225" t="str">
        <f t="shared" si="58"/>
        <v/>
      </c>
      <c r="Q538" s="289" t="str">
        <f>IF(AND(L538&lt;&gt;"",'Inputs Whole-Project Water Use'!Q538=""),0,IF('Inputs Whole-Project Water Use'!Q538&lt;&gt;"",'Inputs Whole-Project Water Use'!Q538,""))</f>
        <v/>
      </c>
      <c r="R538" s="225" t="str">
        <f t="shared" si="59"/>
        <v/>
      </c>
      <c r="S538" s="225" t="str">
        <f t="shared" si="60"/>
        <v/>
      </c>
      <c r="T538" s="231" t="str">
        <f t="shared" si="61"/>
        <v/>
      </c>
      <c r="U538" s="241"/>
      <c r="V538" s="241"/>
      <c r="W538" s="241"/>
      <c r="X538" s="241"/>
      <c r="Y538" s="241"/>
      <c r="Z538" s="241"/>
      <c r="AA538" s="241"/>
      <c r="AB538" s="241"/>
      <c r="AC538" s="241"/>
      <c r="AD538" s="241"/>
      <c r="AE538" s="241"/>
      <c r="AF538" s="241"/>
      <c r="AG538" s="241"/>
      <c r="AH538" s="241"/>
      <c r="AI538" s="241"/>
      <c r="AJ538" s="241"/>
      <c r="AK538" s="241"/>
      <c r="AL538" s="241"/>
      <c r="AM538" s="241"/>
      <c r="AN538" s="241"/>
      <c r="AO538" s="241"/>
      <c r="AP538" s="241"/>
      <c r="AQ538" s="241"/>
      <c r="AR538" s="241"/>
      <c r="AS538" s="241"/>
      <c r="AT538" s="241"/>
      <c r="AU538" s="241"/>
      <c r="AV538" s="241"/>
      <c r="AW538" s="241"/>
      <c r="AX538" s="241"/>
      <c r="AY538" s="241"/>
      <c r="AZ538" s="241"/>
    </row>
    <row r="539" spans="1:52" s="71" customFormat="1" ht="18" hidden="1" customHeight="1" outlineLevel="1">
      <c r="A539" s="175">
        <v>27</v>
      </c>
      <c r="B539" s="312" t="str">
        <f>(IF('Inputs Whole-Project Water Use'!B539&lt;&gt;"",'Inputs Whole-Project Water Use'!B539,""))</f>
        <v/>
      </c>
      <c r="C539" s="313" t="str">
        <f>IF(AND(K539&lt;&gt;"",'Inputs Whole-Project Water Use'!C539=""),1,IF('Inputs Whole-Project Water Use'!C539&lt;&gt;"",'Inputs Whole-Project Water Use'!C539,""))</f>
        <v/>
      </c>
      <c r="D539" s="397" t="str">
        <f>IF('Inputs Whole-Project Water Use'!D539&lt;&gt;"",'Inputs Whole-Project Water Use'!D539,"")</f>
        <v/>
      </c>
      <c r="E539" s="398"/>
      <c r="F539" s="314" t="str">
        <f>IF('Inputs Whole-Project Water Use'!F539&lt;&gt;"",'Inputs Whole-Project Water Use'!F539,"")</f>
        <v/>
      </c>
      <c r="G539" s="314" t="str">
        <f>IF('Inputs Whole-Project Water Use'!G539&lt;&gt;"",'Inputs Whole-Project Water Use'!G539,"")</f>
        <v/>
      </c>
      <c r="H539" s="315" t="str">
        <f>IF('Inputs Whole-Project Water Use'!H539&lt;&gt;"",'Inputs Whole-Project Water Use'!H539,"")</f>
        <v/>
      </c>
      <c r="I539" s="344" t="str">
        <f>IF('Inputs Whole-Project Water Use'!I539&lt;&gt;"",'Inputs Whole-Project Water Use'!I539,"")</f>
        <v/>
      </c>
      <c r="J539" s="345"/>
      <c r="K539" s="316" t="str">
        <f>IF('Inputs Whole-Project Water Use'!K539&lt;&gt;"",'Inputs Whole-Project Water Use'!K539,"")</f>
        <v/>
      </c>
      <c r="L539" s="316" t="str">
        <f>IF('Inputs Whole-Project Water Use'!L539&lt;&gt;"",'Inputs Whole-Project Water Use'!L539,"")</f>
        <v/>
      </c>
      <c r="M539" s="390" t="str">
        <f t="shared" si="56"/>
        <v/>
      </c>
      <c r="N539" s="391"/>
      <c r="O539" s="225" t="str">
        <f t="shared" si="57"/>
        <v/>
      </c>
      <c r="P539" s="225" t="str">
        <f t="shared" si="58"/>
        <v/>
      </c>
      <c r="Q539" s="289" t="str">
        <f>IF(AND(L539&lt;&gt;"",'Inputs Whole-Project Water Use'!Q539=""),0,IF('Inputs Whole-Project Water Use'!Q539&lt;&gt;"",'Inputs Whole-Project Water Use'!Q539,""))</f>
        <v/>
      </c>
      <c r="R539" s="225" t="str">
        <f t="shared" si="59"/>
        <v/>
      </c>
      <c r="S539" s="225" t="str">
        <f t="shared" si="60"/>
        <v/>
      </c>
      <c r="T539" s="231" t="str">
        <f t="shared" si="61"/>
        <v/>
      </c>
      <c r="U539" s="241"/>
      <c r="V539" s="241"/>
      <c r="W539" s="241"/>
      <c r="X539" s="241"/>
      <c r="Y539" s="241"/>
      <c r="Z539" s="241"/>
      <c r="AA539" s="241"/>
      <c r="AB539" s="241"/>
      <c r="AC539" s="241"/>
      <c r="AD539" s="241"/>
      <c r="AE539" s="241"/>
      <c r="AF539" s="241"/>
      <c r="AG539" s="241"/>
      <c r="AH539" s="241"/>
      <c r="AI539" s="241"/>
      <c r="AJ539" s="241"/>
      <c r="AK539" s="241"/>
      <c r="AL539" s="241"/>
      <c r="AM539" s="241"/>
      <c r="AN539" s="241"/>
      <c r="AO539" s="241"/>
      <c r="AP539" s="241"/>
      <c r="AQ539" s="241"/>
      <c r="AR539" s="241"/>
      <c r="AS539" s="241"/>
      <c r="AT539" s="241"/>
      <c r="AU539" s="241"/>
      <c r="AV539" s="241"/>
      <c r="AW539" s="241"/>
      <c r="AX539" s="241"/>
      <c r="AY539" s="241"/>
      <c r="AZ539" s="241"/>
    </row>
    <row r="540" spans="1:52" s="71" customFormat="1" ht="18" hidden="1" customHeight="1" outlineLevel="1">
      <c r="A540" s="175">
        <v>28</v>
      </c>
      <c r="B540" s="312" t="str">
        <f>(IF('Inputs Whole-Project Water Use'!B540&lt;&gt;"",'Inputs Whole-Project Water Use'!B540,""))</f>
        <v/>
      </c>
      <c r="C540" s="313" t="str">
        <f>IF(AND(K540&lt;&gt;"",'Inputs Whole-Project Water Use'!C540=""),1,IF('Inputs Whole-Project Water Use'!C540&lt;&gt;"",'Inputs Whole-Project Water Use'!C540,""))</f>
        <v/>
      </c>
      <c r="D540" s="397" t="str">
        <f>IF('Inputs Whole-Project Water Use'!D540&lt;&gt;"",'Inputs Whole-Project Water Use'!D540,"")</f>
        <v/>
      </c>
      <c r="E540" s="398"/>
      <c r="F540" s="314" t="str">
        <f>IF('Inputs Whole-Project Water Use'!F540&lt;&gt;"",'Inputs Whole-Project Water Use'!F540,"")</f>
        <v/>
      </c>
      <c r="G540" s="314" t="str">
        <f>IF('Inputs Whole-Project Water Use'!G540&lt;&gt;"",'Inputs Whole-Project Water Use'!G540,"")</f>
        <v/>
      </c>
      <c r="H540" s="315" t="str">
        <f>IF('Inputs Whole-Project Water Use'!H540&lt;&gt;"",'Inputs Whole-Project Water Use'!H540,"")</f>
        <v/>
      </c>
      <c r="I540" s="344" t="str">
        <f>IF('Inputs Whole-Project Water Use'!I540&lt;&gt;"",'Inputs Whole-Project Water Use'!I540,"")</f>
        <v/>
      </c>
      <c r="J540" s="345"/>
      <c r="K540" s="316" t="str">
        <f>IF('Inputs Whole-Project Water Use'!K540&lt;&gt;"",'Inputs Whole-Project Water Use'!K540,"")</f>
        <v/>
      </c>
      <c r="L540" s="316" t="str">
        <f>IF('Inputs Whole-Project Water Use'!L540&lt;&gt;"",'Inputs Whole-Project Water Use'!L540,"")</f>
        <v/>
      </c>
      <c r="M540" s="390" t="str">
        <f t="shared" si="56"/>
        <v/>
      </c>
      <c r="N540" s="391"/>
      <c r="O540" s="225" t="str">
        <f t="shared" si="57"/>
        <v/>
      </c>
      <c r="P540" s="225" t="str">
        <f t="shared" si="58"/>
        <v/>
      </c>
      <c r="Q540" s="289" t="str">
        <f>IF(AND(L540&lt;&gt;"",'Inputs Whole-Project Water Use'!Q540=""),0,IF('Inputs Whole-Project Water Use'!Q540&lt;&gt;"",'Inputs Whole-Project Water Use'!Q540,""))</f>
        <v/>
      </c>
      <c r="R540" s="225" t="str">
        <f t="shared" si="59"/>
        <v/>
      </c>
      <c r="S540" s="225" t="str">
        <f t="shared" si="60"/>
        <v/>
      </c>
      <c r="T540" s="231" t="str">
        <f t="shared" si="61"/>
        <v/>
      </c>
      <c r="U540" s="241"/>
      <c r="V540" s="241"/>
      <c r="W540" s="241"/>
      <c r="X540" s="241"/>
      <c r="Y540" s="241"/>
      <c r="Z540" s="241"/>
      <c r="AA540" s="241"/>
      <c r="AB540" s="241"/>
      <c r="AC540" s="241"/>
      <c r="AD540" s="241"/>
      <c r="AE540" s="241"/>
      <c r="AF540" s="241"/>
      <c r="AG540" s="241"/>
      <c r="AH540" s="241"/>
      <c r="AI540" s="241"/>
      <c r="AJ540" s="241"/>
      <c r="AK540" s="241"/>
      <c r="AL540" s="241"/>
      <c r="AM540" s="241"/>
      <c r="AN540" s="241"/>
      <c r="AO540" s="241"/>
      <c r="AP540" s="241"/>
      <c r="AQ540" s="241"/>
      <c r="AR540" s="241"/>
      <c r="AS540" s="241"/>
      <c r="AT540" s="241"/>
      <c r="AU540" s="241"/>
      <c r="AV540" s="241"/>
      <c r="AW540" s="241"/>
      <c r="AX540" s="241"/>
      <c r="AY540" s="241"/>
      <c r="AZ540" s="241"/>
    </row>
    <row r="541" spans="1:52" s="71" customFormat="1" ht="18" hidden="1" customHeight="1" outlineLevel="1">
      <c r="A541" s="175">
        <v>29</v>
      </c>
      <c r="B541" s="312" t="str">
        <f>(IF('Inputs Whole-Project Water Use'!B541&lt;&gt;"",'Inputs Whole-Project Water Use'!B541,""))</f>
        <v/>
      </c>
      <c r="C541" s="313" t="str">
        <f>IF(AND(K541&lt;&gt;"",'Inputs Whole-Project Water Use'!C541=""),1,IF('Inputs Whole-Project Water Use'!C541&lt;&gt;"",'Inputs Whole-Project Water Use'!C541,""))</f>
        <v/>
      </c>
      <c r="D541" s="397" t="str">
        <f>IF('Inputs Whole-Project Water Use'!D541&lt;&gt;"",'Inputs Whole-Project Water Use'!D541,"")</f>
        <v/>
      </c>
      <c r="E541" s="398"/>
      <c r="F541" s="314" t="str">
        <f>IF('Inputs Whole-Project Water Use'!F541&lt;&gt;"",'Inputs Whole-Project Water Use'!F541,"")</f>
        <v/>
      </c>
      <c r="G541" s="314" t="str">
        <f>IF('Inputs Whole-Project Water Use'!G541&lt;&gt;"",'Inputs Whole-Project Water Use'!G541,"")</f>
        <v/>
      </c>
      <c r="H541" s="315" t="str">
        <f>IF('Inputs Whole-Project Water Use'!H541&lt;&gt;"",'Inputs Whole-Project Water Use'!H541,"")</f>
        <v/>
      </c>
      <c r="I541" s="344" t="str">
        <f>IF('Inputs Whole-Project Water Use'!I541&lt;&gt;"",'Inputs Whole-Project Water Use'!I541,"")</f>
        <v/>
      </c>
      <c r="J541" s="345"/>
      <c r="K541" s="316" t="str">
        <f>IF('Inputs Whole-Project Water Use'!K541&lt;&gt;"",'Inputs Whole-Project Water Use'!K541,"")</f>
        <v/>
      </c>
      <c r="L541" s="316" t="str">
        <f>IF('Inputs Whole-Project Water Use'!L541&lt;&gt;"",'Inputs Whole-Project Water Use'!L541,"")</f>
        <v/>
      </c>
      <c r="M541" s="390" t="str">
        <f t="shared" si="56"/>
        <v/>
      </c>
      <c r="N541" s="391"/>
      <c r="O541" s="225" t="str">
        <f t="shared" si="57"/>
        <v/>
      </c>
      <c r="P541" s="225" t="str">
        <f t="shared" si="58"/>
        <v/>
      </c>
      <c r="Q541" s="289" t="str">
        <f>IF(AND(L541&lt;&gt;"",'Inputs Whole-Project Water Use'!Q541=""),0,IF('Inputs Whole-Project Water Use'!Q541&lt;&gt;"",'Inputs Whole-Project Water Use'!Q541,""))</f>
        <v/>
      </c>
      <c r="R541" s="225" t="str">
        <f t="shared" si="59"/>
        <v/>
      </c>
      <c r="S541" s="225" t="str">
        <f t="shared" si="60"/>
        <v/>
      </c>
      <c r="T541" s="231" t="str">
        <f t="shared" si="61"/>
        <v/>
      </c>
      <c r="U541" s="241"/>
      <c r="V541" s="241"/>
      <c r="W541" s="241"/>
      <c r="X541" s="241"/>
      <c r="Y541" s="241"/>
      <c r="Z541" s="241"/>
      <c r="AA541" s="241"/>
      <c r="AB541" s="241"/>
      <c r="AC541" s="241"/>
      <c r="AD541" s="241"/>
      <c r="AE541" s="241"/>
      <c r="AF541" s="241"/>
      <c r="AG541" s="241"/>
      <c r="AH541" s="241"/>
      <c r="AI541" s="241"/>
      <c r="AJ541" s="241"/>
      <c r="AK541" s="241"/>
      <c r="AL541" s="241"/>
      <c r="AM541" s="241"/>
      <c r="AN541" s="241"/>
      <c r="AO541" s="241"/>
      <c r="AP541" s="241"/>
      <c r="AQ541" s="241"/>
      <c r="AR541" s="241"/>
      <c r="AS541" s="241"/>
      <c r="AT541" s="241"/>
      <c r="AU541" s="241"/>
      <c r="AV541" s="241"/>
      <c r="AW541" s="241"/>
      <c r="AX541" s="241"/>
      <c r="AY541" s="241"/>
      <c r="AZ541" s="241"/>
    </row>
    <row r="542" spans="1:52" s="71" customFormat="1" ht="18" hidden="1" customHeight="1" outlineLevel="1">
      <c r="A542" s="175">
        <v>30</v>
      </c>
      <c r="B542" s="312" t="str">
        <f>(IF('Inputs Whole-Project Water Use'!B542&lt;&gt;"",'Inputs Whole-Project Water Use'!B542,""))</f>
        <v/>
      </c>
      <c r="C542" s="313" t="str">
        <f>IF(AND(K542&lt;&gt;"",'Inputs Whole-Project Water Use'!C542=""),1,IF('Inputs Whole-Project Water Use'!C542&lt;&gt;"",'Inputs Whole-Project Water Use'!C542,""))</f>
        <v/>
      </c>
      <c r="D542" s="397" t="str">
        <f>IF('Inputs Whole-Project Water Use'!D542&lt;&gt;"",'Inputs Whole-Project Water Use'!D542,"")</f>
        <v/>
      </c>
      <c r="E542" s="398"/>
      <c r="F542" s="314" t="str">
        <f>IF('Inputs Whole-Project Water Use'!F542&lt;&gt;"",'Inputs Whole-Project Water Use'!F542,"")</f>
        <v/>
      </c>
      <c r="G542" s="314" t="str">
        <f>IF('Inputs Whole-Project Water Use'!G542&lt;&gt;"",'Inputs Whole-Project Water Use'!G542,"")</f>
        <v/>
      </c>
      <c r="H542" s="315" t="str">
        <f>IF('Inputs Whole-Project Water Use'!H542&lt;&gt;"",'Inputs Whole-Project Water Use'!H542,"")</f>
        <v/>
      </c>
      <c r="I542" s="344" t="str">
        <f>IF('Inputs Whole-Project Water Use'!I542&lt;&gt;"",'Inputs Whole-Project Water Use'!I542,"")</f>
        <v/>
      </c>
      <c r="J542" s="345"/>
      <c r="K542" s="316" t="str">
        <f>IF('Inputs Whole-Project Water Use'!K542&lt;&gt;"",'Inputs Whole-Project Water Use'!K542,"")</f>
        <v/>
      </c>
      <c r="L542" s="316" t="str">
        <f>IF('Inputs Whole-Project Water Use'!L542&lt;&gt;"",'Inputs Whole-Project Water Use'!L542,"")</f>
        <v/>
      </c>
      <c r="M542" s="390" t="str">
        <f t="shared" si="56"/>
        <v/>
      </c>
      <c r="N542" s="391"/>
      <c r="O542" s="225" t="str">
        <f t="shared" si="57"/>
        <v/>
      </c>
      <c r="P542" s="225" t="str">
        <f t="shared" si="58"/>
        <v/>
      </c>
      <c r="Q542" s="289" t="str">
        <f>IF(AND(L542&lt;&gt;"",'Inputs Whole-Project Water Use'!Q542=""),0,IF('Inputs Whole-Project Water Use'!Q542&lt;&gt;"",'Inputs Whole-Project Water Use'!Q542,""))</f>
        <v/>
      </c>
      <c r="R542" s="225" t="str">
        <f t="shared" si="59"/>
        <v/>
      </c>
      <c r="S542" s="225" t="str">
        <f t="shared" si="60"/>
        <v/>
      </c>
      <c r="T542" s="231" t="str">
        <f t="shared" si="61"/>
        <v/>
      </c>
      <c r="U542" s="241"/>
      <c r="V542" s="241"/>
      <c r="W542" s="241"/>
      <c r="X542" s="241"/>
      <c r="Y542" s="241"/>
      <c r="Z542" s="241"/>
      <c r="AA542" s="241"/>
      <c r="AB542" s="241"/>
      <c r="AC542" s="241"/>
      <c r="AD542" s="241"/>
      <c r="AE542" s="241"/>
      <c r="AF542" s="241"/>
      <c r="AG542" s="241"/>
      <c r="AH542" s="241"/>
      <c r="AI542" s="241"/>
      <c r="AJ542" s="241"/>
      <c r="AK542" s="241"/>
      <c r="AL542" s="241"/>
      <c r="AM542" s="241"/>
      <c r="AN542" s="241"/>
      <c r="AO542" s="241"/>
      <c r="AP542" s="241"/>
      <c r="AQ542" s="241"/>
      <c r="AR542" s="241"/>
      <c r="AS542" s="241"/>
      <c r="AT542" s="241"/>
      <c r="AU542" s="241"/>
      <c r="AV542" s="241"/>
      <c r="AW542" s="241"/>
      <c r="AX542" s="241"/>
      <c r="AY542" s="241"/>
      <c r="AZ542" s="241"/>
    </row>
    <row r="543" spans="1:52" s="71" customFormat="1" ht="18" hidden="1" customHeight="1" outlineLevel="1">
      <c r="A543" s="175">
        <v>31</v>
      </c>
      <c r="B543" s="312" t="str">
        <f>(IF('Inputs Whole-Project Water Use'!B543&lt;&gt;"",'Inputs Whole-Project Water Use'!B543,""))</f>
        <v/>
      </c>
      <c r="C543" s="313" t="str">
        <f>IF(AND(K543&lt;&gt;"",'Inputs Whole-Project Water Use'!C543=""),1,IF('Inputs Whole-Project Water Use'!C543&lt;&gt;"",'Inputs Whole-Project Water Use'!C543,""))</f>
        <v/>
      </c>
      <c r="D543" s="397" t="str">
        <f>IF('Inputs Whole-Project Water Use'!D543&lt;&gt;"",'Inputs Whole-Project Water Use'!D543,"")</f>
        <v/>
      </c>
      <c r="E543" s="398"/>
      <c r="F543" s="314" t="str">
        <f>IF('Inputs Whole-Project Water Use'!F543&lt;&gt;"",'Inputs Whole-Project Water Use'!F543,"")</f>
        <v/>
      </c>
      <c r="G543" s="314" t="str">
        <f>IF('Inputs Whole-Project Water Use'!G543&lt;&gt;"",'Inputs Whole-Project Water Use'!G543,"")</f>
        <v/>
      </c>
      <c r="H543" s="315" t="str">
        <f>IF('Inputs Whole-Project Water Use'!H543&lt;&gt;"",'Inputs Whole-Project Water Use'!H543,"")</f>
        <v/>
      </c>
      <c r="I543" s="344" t="str">
        <f>IF('Inputs Whole-Project Water Use'!I543&lt;&gt;"",'Inputs Whole-Project Water Use'!I543,"")</f>
        <v/>
      </c>
      <c r="J543" s="345"/>
      <c r="K543" s="316" t="str">
        <f>IF('Inputs Whole-Project Water Use'!K543&lt;&gt;"",'Inputs Whole-Project Water Use'!K543,"")</f>
        <v/>
      </c>
      <c r="L543" s="316" t="str">
        <f>IF('Inputs Whole-Project Water Use'!L543&lt;&gt;"",'Inputs Whole-Project Water Use'!L543,"")</f>
        <v/>
      </c>
      <c r="M543" s="390" t="str">
        <f t="shared" si="56"/>
        <v/>
      </c>
      <c r="N543" s="391"/>
      <c r="O543" s="225" t="str">
        <f t="shared" si="57"/>
        <v/>
      </c>
      <c r="P543" s="225" t="str">
        <f t="shared" si="58"/>
        <v/>
      </c>
      <c r="Q543" s="289" t="str">
        <f>IF(AND(L543&lt;&gt;"",'Inputs Whole-Project Water Use'!Q543=""),0,IF('Inputs Whole-Project Water Use'!Q543&lt;&gt;"",'Inputs Whole-Project Water Use'!Q543,""))</f>
        <v/>
      </c>
      <c r="R543" s="225" t="str">
        <f t="shared" si="59"/>
        <v/>
      </c>
      <c r="S543" s="225" t="str">
        <f t="shared" si="60"/>
        <v/>
      </c>
      <c r="T543" s="231" t="str">
        <f t="shared" si="61"/>
        <v/>
      </c>
      <c r="U543" s="176" t="s">
        <v>165</v>
      </c>
      <c r="V543" s="241"/>
      <c r="W543" s="241"/>
      <c r="X543" s="241"/>
      <c r="Y543" s="241"/>
      <c r="Z543" s="241"/>
      <c r="AA543" s="241"/>
      <c r="AB543" s="241"/>
      <c r="AC543" s="241"/>
      <c r="AD543" s="241"/>
      <c r="AE543" s="241"/>
      <c r="AF543" s="241"/>
      <c r="AG543" s="241"/>
      <c r="AH543" s="241"/>
      <c r="AI543" s="241"/>
      <c r="AJ543" s="241"/>
      <c r="AK543" s="241"/>
      <c r="AL543" s="241"/>
      <c r="AM543" s="241"/>
      <c r="AN543" s="241"/>
      <c r="AO543" s="241"/>
      <c r="AP543" s="241"/>
      <c r="AQ543" s="241"/>
      <c r="AR543" s="241"/>
      <c r="AS543" s="241"/>
      <c r="AT543" s="241"/>
      <c r="AU543" s="241"/>
      <c r="AV543" s="241"/>
      <c r="AW543" s="241"/>
      <c r="AX543" s="241"/>
      <c r="AY543" s="241"/>
      <c r="AZ543" s="241"/>
    </row>
    <row r="544" spans="1:52" s="71" customFormat="1" ht="18" hidden="1" customHeight="1" outlineLevel="2">
      <c r="A544" s="175">
        <v>32</v>
      </c>
      <c r="B544" s="312" t="str">
        <f>(IF('Inputs Whole-Project Water Use'!B544&lt;&gt;"",'Inputs Whole-Project Water Use'!B544,""))</f>
        <v/>
      </c>
      <c r="C544" s="313" t="str">
        <f>IF(AND(K544&lt;&gt;"",'Inputs Whole-Project Water Use'!C544=""),1,IF('Inputs Whole-Project Water Use'!C544&lt;&gt;"",'Inputs Whole-Project Water Use'!C544,""))</f>
        <v/>
      </c>
      <c r="D544" s="397" t="str">
        <f>IF('Inputs Whole-Project Water Use'!D544&lt;&gt;"",'Inputs Whole-Project Water Use'!D544,"")</f>
        <v/>
      </c>
      <c r="E544" s="398"/>
      <c r="F544" s="314" t="str">
        <f>IF('Inputs Whole-Project Water Use'!F544&lt;&gt;"",'Inputs Whole-Project Water Use'!F544,"")</f>
        <v/>
      </c>
      <c r="G544" s="314" t="str">
        <f>IF('Inputs Whole-Project Water Use'!G544&lt;&gt;"",'Inputs Whole-Project Water Use'!G544,"")</f>
        <v/>
      </c>
      <c r="H544" s="315" t="str">
        <f>IF('Inputs Whole-Project Water Use'!H544&lt;&gt;"",'Inputs Whole-Project Water Use'!H544,"")</f>
        <v/>
      </c>
      <c r="I544" s="344" t="str">
        <f>IF('Inputs Whole-Project Water Use'!I544&lt;&gt;"",'Inputs Whole-Project Water Use'!I544,"")</f>
        <v/>
      </c>
      <c r="J544" s="345"/>
      <c r="K544" s="316" t="str">
        <f>IF('Inputs Whole-Project Water Use'!K544&lt;&gt;"",'Inputs Whole-Project Water Use'!K544,"")</f>
        <v/>
      </c>
      <c r="L544" s="316" t="str">
        <f>IF('Inputs Whole-Project Water Use'!L544&lt;&gt;"",'Inputs Whole-Project Water Use'!L544,"")</f>
        <v/>
      </c>
      <c r="M544" s="390" t="str">
        <f t="shared" si="56"/>
        <v/>
      </c>
      <c r="N544" s="391"/>
      <c r="O544" s="225" t="str">
        <f t="shared" si="57"/>
        <v/>
      </c>
      <c r="P544" s="225" t="str">
        <f t="shared" si="58"/>
        <v/>
      </c>
      <c r="Q544" s="289" t="str">
        <f>IF(AND(L544&lt;&gt;"",'Inputs Whole-Project Water Use'!Q544=""),0,IF('Inputs Whole-Project Water Use'!Q544&lt;&gt;"",'Inputs Whole-Project Water Use'!Q544,""))</f>
        <v/>
      </c>
      <c r="R544" s="225" t="str">
        <f t="shared" si="59"/>
        <v/>
      </c>
      <c r="S544" s="225" t="str">
        <f t="shared" si="60"/>
        <v/>
      </c>
      <c r="T544" s="231" t="str">
        <f t="shared" si="61"/>
        <v/>
      </c>
      <c r="U544" s="176"/>
      <c r="V544" s="241"/>
      <c r="W544" s="241"/>
      <c r="X544" s="241"/>
      <c r="Y544" s="241"/>
      <c r="Z544" s="241"/>
      <c r="AA544" s="241"/>
      <c r="AB544" s="241"/>
      <c r="AC544" s="241"/>
      <c r="AD544" s="241"/>
      <c r="AE544" s="241"/>
      <c r="AF544" s="241"/>
      <c r="AG544" s="241"/>
      <c r="AH544" s="241"/>
      <c r="AI544" s="241"/>
      <c r="AJ544" s="241"/>
      <c r="AK544" s="241"/>
      <c r="AL544" s="241"/>
      <c r="AM544" s="241"/>
      <c r="AN544" s="241"/>
      <c r="AO544" s="241"/>
      <c r="AP544" s="241"/>
      <c r="AQ544" s="241"/>
      <c r="AR544" s="241"/>
      <c r="AS544" s="241"/>
      <c r="AT544" s="241"/>
      <c r="AU544" s="241"/>
      <c r="AV544" s="241"/>
      <c r="AW544" s="241"/>
      <c r="AX544" s="241"/>
      <c r="AY544" s="241"/>
      <c r="AZ544" s="241"/>
    </row>
    <row r="545" spans="1:52" s="71" customFormat="1" ht="18" hidden="1" customHeight="1" outlineLevel="2">
      <c r="A545" s="175">
        <v>33</v>
      </c>
      <c r="B545" s="312" t="str">
        <f>(IF('Inputs Whole-Project Water Use'!B545&lt;&gt;"",'Inputs Whole-Project Water Use'!B545,""))</f>
        <v/>
      </c>
      <c r="C545" s="313" t="str">
        <f>IF(AND(K545&lt;&gt;"",'Inputs Whole-Project Water Use'!C545=""),1,IF('Inputs Whole-Project Water Use'!C545&lt;&gt;"",'Inputs Whole-Project Water Use'!C545,""))</f>
        <v/>
      </c>
      <c r="D545" s="397" t="str">
        <f>IF('Inputs Whole-Project Water Use'!D545&lt;&gt;"",'Inputs Whole-Project Water Use'!D545,"")</f>
        <v/>
      </c>
      <c r="E545" s="398"/>
      <c r="F545" s="314" t="str">
        <f>IF('Inputs Whole-Project Water Use'!F545&lt;&gt;"",'Inputs Whole-Project Water Use'!F545,"")</f>
        <v/>
      </c>
      <c r="G545" s="314" t="str">
        <f>IF('Inputs Whole-Project Water Use'!G545&lt;&gt;"",'Inputs Whole-Project Water Use'!G545,"")</f>
        <v/>
      </c>
      <c r="H545" s="315" t="str">
        <f>IF('Inputs Whole-Project Water Use'!H545&lt;&gt;"",'Inputs Whole-Project Water Use'!H545,"")</f>
        <v/>
      </c>
      <c r="I545" s="344" t="str">
        <f>IF('Inputs Whole-Project Water Use'!I545&lt;&gt;"",'Inputs Whole-Project Water Use'!I545,"")</f>
        <v/>
      </c>
      <c r="J545" s="345"/>
      <c r="K545" s="316" t="str">
        <f>IF('Inputs Whole-Project Water Use'!K545&lt;&gt;"",'Inputs Whole-Project Water Use'!K545,"")</f>
        <v/>
      </c>
      <c r="L545" s="316" t="str">
        <f>IF('Inputs Whole-Project Water Use'!L545&lt;&gt;"",'Inputs Whole-Project Water Use'!L545,"")</f>
        <v/>
      </c>
      <c r="M545" s="390" t="str">
        <f t="shared" si="56"/>
        <v/>
      </c>
      <c r="N545" s="391"/>
      <c r="O545" s="225" t="str">
        <f t="shared" si="57"/>
        <v/>
      </c>
      <c r="P545" s="225" t="str">
        <f t="shared" si="58"/>
        <v/>
      </c>
      <c r="Q545" s="289" t="str">
        <f>IF(AND(L545&lt;&gt;"",'Inputs Whole-Project Water Use'!Q545=""),0,IF('Inputs Whole-Project Water Use'!Q545&lt;&gt;"",'Inputs Whole-Project Water Use'!Q545,""))</f>
        <v/>
      </c>
      <c r="R545" s="225" t="str">
        <f t="shared" si="59"/>
        <v/>
      </c>
      <c r="S545" s="225" t="str">
        <f t="shared" si="60"/>
        <v/>
      </c>
      <c r="T545" s="231" t="str">
        <f t="shared" si="61"/>
        <v/>
      </c>
      <c r="U545" s="176"/>
      <c r="V545" s="241"/>
      <c r="W545" s="241"/>
      <c r="X545" s="241"/>
      <c r="Y545" s="241"/>
      <c r="Z545" s="241"/>
      <c r="AA545" s="241"/>
      <c r="AB545" s="241"/>
      <c r="AC545" s="241"/>
      <c r="AD545" s="241"/>
      <c r="AE545" s="241"/>
      <c r="AF545" s="241"/>
      <c r="AG545" s="241"/>
      <c r="AH545" s="241"/>
      <c r="AI545" s="241"/>
      <c r="AJ545" s="241"/>
      <c r="AK545" s="241"/>
      <c r="AL545" s="241"/>
      <c r="AM545" s="241"/>
      <c r="AN545" s="241"/>
      <c r="AO545" s="241"/>
      <c r="AP545" s="241"/>
      <c r="AQ545" s="241"/>
      <c r="AR545" s="241"/>
      <c r="AS545" s="241"/>
      <c r="AT545" s="241"/>
      <c r="AU545" s="241"/>
      <c r="AV545" s="241"/>
      <c r="AW545" s="241"/>
      <c r="AX545" s="241"/>
      <c r="AY545" s="241"/>
      <c r="AZ545" s="241"/>
    </row>
    <row r="546" spans="1:52" s="71" customFormat="1" ht="18" hidden="1" customHeight="1" outlineLevel="2">
      <c r="A546" s="175">
        <v>34</v>
      </c>
      <c r="B546" s="312" t="str">
        <f>(IF('Inputs Whole-Project Water Use'!B546&lt;&gt;"",'Inputs Whole-Project Water Use'!B546,""))</f>
        <v/>
      </c>
      <c r="C546" s="313" t="str">
        <f>IF(AND(K546&lt;&gt;"",'Inputs Whole-Project Water Use'!C546=""),1,IF('Inputs Whole-Project Water Use'!C546&lt;&gt;"",'Inputs Whole-Project Water Use'!C546,""))</f>
        <v/>
      </c>
      <c r="D546" s="397" t="str">
        <f>IF('Inputs Whole-Project Water Use'!D546&lt;&gt;"",'Inputs Whole-Project Water Use'!D546,"")</f>
        <v/>
      </c>
      <c r="E546" s="398"/>
      <c r="F546" s="314" t="str">
        <f>IF('Inputs Whole-Project Water Use'!F546&lt;&gt;"",'Inputs Whole-Project Water Use'!F546,"")</f>
        <v/>
      </c>
      <c r="G546" s="314" t="str">
        <f>IF('Inputs Whole-Project Water Use'!G546&lt;&gt;"",'Inputs Whole-Project Water Use'!G546,"")</f>
        <v/>
      </c>
      <c r="H546" s="315" t="str">
        <f>IF('Inputs Whole-Project Water Use'!H546&lt;&gt;"",'Inputs Whole-Project Water Use'!H546,"")</f>
        <v/>
      </c>
      <c r="I546" s="344" t="str">
        <f>IF('Inputs Whole-Project Water Use'!I546&lt;&gt;"",'Inputs Whole-Project Water Use'!I546,"")</f>
        <v/>
      </c>
      <c r="J546" s="345"/>
      <c r="K546" s="316" t="str">
        <f>IF('Inputs Whole-Project Water Use'!K546&lt;&gt;"",'Inputs Whole-Project Water Use'!K546,"")</f>
        <v/>
      </c>
      <c r="L546" s="316" t="str">
        <f>IF('Inputs Whole-Project Water Use'!L546&lt;&gt;"",'Inputs Whole-Project Water Use'!L546,"")</f>
        <v/>
      </c>
      <c r="M546" s="390" t="str">
        <f t="shared" si="56"/>
        <v/>
      </c>
      <c r="N546" s="391"/>
      <c r="O546" s="225" t="str">
        <f t="shared" si="57"/>
        <v/>
      </c>
      <c r="P546" s="225" t="str">
        <f t="shared" si="58"/>
        <v/>
      </c>
      <c r="Q546" s="289" t="str">
        <f>IF(AND(L546&lt;&gt;"",'Inputs Whole-Project Water Use'!Q546=""),0,IF('Inputs Whole-Project Water Use'!Q546&lt;&gt;"",'Inputs Whole-Project Water Use'!Q546,""))</f>
        <v/>
      </c>
      <c r="R546" s="225" t="str">
        <f t="shared" si="59"/>
        <v/>
      </c>
      <c r="S546" s="225" t="str">
        <f t="shared" si="60"/>
        <v/>
      </c>
      <c r="T546" s="231" t="str">
        <f t="shared" si="61"/>
        <v/>
      </c>
      <c r="U546" s="176"/>
      <c r="V546" s="241"/>
      <c r="W546" s="241"/>
      <c r="X546" s="241"/>
      <c r="Y546" s="241"/>
      <c r="Z546" s="241"/>
      <c r="AA546" s="241"/>
      <c r="AB546" s="241"/>
      <c r="AC546" s="241"/>
      <c r="AD546" s="241"/>
      <c r="AE546" s="241"/>
      <c r="AF546" s="241"/>
      <c r="AG546" s="241"/>
      <c r="AH546" s="241"/>
      <c r="AI546" s="241"/>
      <c r="AJ546" s="241"/>
      <c r="AK546" s="241"/>
      <c r="AL546" s="241"/>
      <c r="AM546" s="241"/>
      <c r="AN546" s="241"/>
      <c r="AO546" s="241"/>
      <c r="AP546" s="241"/>
      <c r="AQ546" s="241"/>
      <c r="AR546" s="241"/>
      <c r="AS546" s="241"/>
      <c r="AT546" s="241"/>
      <c r="AU546" s="241"/>
      <c r="AV546" s="241"/>
      <c r="AW546" s="241"/>
      <c r="AX546" s="241"/>
      <c r="AY546" s="241"/>
      <c r="AZ546" s="241"/>
    </row>
    <row r="547" spans="1:52" s="71" customFormat="1" ht="18" hidden="1" customHeight="1" outlineLevel="2">
      <c r="A547" s="175">
        <v>35</v>
      </c>
      <c r="B547" s="312" t="str">
        <f>(IF('Inputs Whole-Project Water Use'!B547&lt;&gt;"",'Inputs Whole-Project Water Use'!B547,""))</f>
        <v/>
      </c>
      <c r="C547" s="313" t="str">
        <f>IF(AND(K547&lt;&gt;"",'Inputs Whole-Project Water Use'!C547=""),1,IF('Inputs Whole-Project Water Use'!C547&lt;&gt;"",'Inputs Whole-Project Water Use'!C547,""))</f>
        <v/>
      </c>
      <c r="D547" s="397" t="str">
        <f>IF('Inputs Whole-Project Water Use'!D547&lt;&gt;"",'Inputs Whole-Project Water Use'!D547,"")</f>
        <v/>
      </c>
      <c r="E547" s="398"/>
      <c r="F547" s="314" t="str">
        <f>IF('Inputs Whole-Project Water Use'!F547&lt;&gt;"",'Inputs Whole-Project Water Use'!F547,"")</f>
        <v/>
      </c>
      <c r="G547" s="314" t="str">
        <f>IF('Inputs Whole-Project Water Use'!G547&lt;&gt;"",'Inputs Whole-Project Water Use'!G547,"")</f>
        <v/>
      </c>
      <c r="H547" s="315" t="str">
        <f>IF('Inputs Whole-Project Water Use'!H547&lt;&gt;"",'Inputs Whole-Project Water Use'!H547,"")</f>
        <v/>
      </c>
      <c r="I547" s="344" t="str">
        <f>IF('Inputs Whole-Project Water Use'!I547&lt;&gt;"",'Inputs Whole-Project Water Use'!I547,"")</f>
        <v/>
      </c>
      <c r="J547" s="345"/>
      <c r="K547" s="316" t="str">
        <f>IF('Inputs Whole-Project Water Use'!K547&lt;&gt;"",'Inputs Whole-Project Water Use'!K547,"")</f>
        <v/>
      </c>
      <c r="L547" s="316" t="str">
        <f>IF('Inputs Whole-Project Water Use'!L547&lt;&gt;"",'Inputs Whole-Project Water Use'!L547,"")</f>
        <v/>
      </c>
      <c r="M547" s="390" t="str">
        <f t="shared" si="56"/>
        <v/>
      </c>
      <c r="N547" s="391"/>
      <c r="O547" s="225" t="str">
        <f t="shared" si="57"/>
        <v/>
      </c>
      <c r="P547" s="225" t="str">
        <f t="shared" si="58"/>
        <v/>
      </c>
      <c r="Q547" s="289" t="str">
        <f>IF(AND(L547&lt;&gt;"",'Inputs Whole-Project Water Use'!Q547=""),0,IF('Inputs Whole-Project Water Use'!Q547&lt;&gt;"",'Inputs Whole-Project Water Use'!Q547,""))</f>
        <v/>
      </c>
      <c r="R547" s="225" t="str">
        <f t="shared" si="59"/>
        <v/>
      </c>
      <c r="S547" s="225" t="str">
        <f t="shared" si="60"/>
        <v/>
      </c>
      <c r="T547" s="231" t="str">
        <f t="shared" si="61"/>
        <v/>
      </c>
      <c r="U547" s="176"/>
      <c r="V547" s="241"/>
      <c r="W547" s="241"/>
      <c r="X547" s="241"/>
      <c r="Y547" s="241"/>
      <c r="Z547" s="241"/>
      <c r="AA547" s="241"/>
      <c r="AB547" s="241"/>
      <c r="AC547" s="241"/>
      <c r="AD547" s="241"/>
      <c r="AE547" s="241"/>
      <c r="AF547" s="241"/>
      <c r="AG547" s="241"/>
      <c r="AH547" s="241"/>
      <c r="AI547" s="241"/>
      <c r="AJ547" s="241"/>
      <c r="AK547" s="241"/>
      <c r="AL547" s="241"/>
      <c r="AM547" s="241"/>
      <c r="AN547" s="241"/>
      <c r="AO547" s="241"/>
      <c r="AP547" s="241"/>
      <c r="AQ547" s="241"/>
      <c r="AR547" s="241"/>
      <c r="AS547" s="241"/>
      <c r="AT547" s="241"/>
      <c r="AU547" s="241"/>
      <c r="AV547" s="241"/>
      <c r="AW547" s="241"/>
      <c r="AX547" s="241"/>
      <c r="AY547" s="241"/>
      <c r="AZ547" s="241"/>
    </row>
    <row r="548" spans="1:52" s="71" customFormat="1" ht="18" hidden="1" customHeight="1" outlineLevel="2">
      <c r="A548" s="175">
        <v>36</v>
      </c>
      <c r="B548" s="312" t="str">
        <f>(IF('Inputs Whole-Project Water Use'!B548&lt;&gt;"",'Inputs Whole-Project Water Use'!B548,""))</f>
        <v/>
      </c>
      <c r="C548" s="313" t="str">
        <f>IF(AND(K548&lt;&gt;"",'Inputs Whole-Project Water Use'!C548=""),1,IF('Inputs Whole-Project Water Use'!C548&lt;&gt;"",'Inputs Whole-Project Water Use'!C548,""))</f>
        <v/>
      </c>
      <c r="D548" s="397" t="str">
        <f>IF('Inputs Whole-Project Water Use'!D548&lt;&gt;"",'Inputs Whole-Project Water Use'!D548,"")</f>
        <v/>
      </c>
      <c r="E548" s="398"/>
      <c r="F548" s="314" t="str">
        <f>IF('Inputs Whole-Project Water Use'!F548&lt;&gt;"",'Inputs Whole-Project Water Use'!F548,"")</f>
        <v/>
      </c>
      <c r="G548" s="314" t="str">
        <f>IF('Inputs Whole-Project Water Use'!G548&lt;&gt;"",'Inputs Whole-Project Water Use'!G548,"")</f>
        <v/>
      </c>
      <c r="H548" s="315" t="str">
        <f>IF('Inputs Whole-Project Water Use'!H548&lt;&gt;"",'Inputs Whole-Project Water Use'!H548,"")</f>
        <v/>
      </c>
      <c r="I548" s="344" t="str">
        <f>IF('Inputs Whole-Project Water Use'!I548&lt;&gt;"",'Inputs Whole-Project Water Use'!I548,"")</f>
        <v/>
      </c>
      <c r="J548" s="345"/>
      <c r="K548" s="316" t="str">
        <f>IF('Inputs Whole-Project Water Use'!K548&lt;&gt;"",'Inputs Whole-Project Water Use'!K548,"")</f>
        <v/>
      </c>
      <c r="L548" s="316" t="str">
        <f>IF('Inputs Whole-Project Water Use'!L548&lt;&gt;"",'Inputs Whole-Project Water Use'!L548,"")</f>
        <v/>
      </c>
      <c r="M548" s="390" t="str">
        <f t="shared" si="56"/>
        <v/>
      </c>
      <c r="N548" s="391"/>
      <c r="O548" s="225" t="str">
        <f t="shared" si="57"/>
        <v/>
      </c>
      <c r="P548" s="225" t="str">
        <f t="shared" si="58"/>
        <v/>
      </c>
      <c r="Q548" s="289" t="str">
        <f>IF(AND(L548&lt;&gt;"",'Inputs Whole-Project Water Use'!Q548=""),0,IF('Inputs Whole-Project Water Use'!Q548&lt;&gt;"",'Inputs Whole-Project Water Use'!Q548,""))</f>
        <v/>
      </c>
      <c r="R548" s="225" t="str">
        <f t="shared" si="59"/>
        <v/>
      </c>
      <c r="S548" s="225" t="str">
        <f t="shared" si="60"/>
        <v/>
      </c>
      <c r="T548" s="231" t="str">
        <f t="shared" si="61"/>
        <v/>
      </c>
      <c r="U548" s="176"/>
      <c r="V548" s="241"/>
      <c r="W548" s="241"/>
      <c r="X548" s="241"/>
      <c r="Y548" s="241"/>
      <c r="Z548" s="241"/>
      <c r="AA548" s="241"/>
      <c r="AB548" s="241"/>
      <c r="AC548" s="241"/>
      <c r="AD548" s="241"/>
      <c r="AE548" s="241"/>
      <c r="AF548" s="241"/>
      <c r="AG548" s="241"/>
      <c r="AH548" s="241"/>
      <c r="AI548" s="241"/>
      <c r="AJ548" s="241"/>
      <c r="AK548" s="241"/>
      <c r="AL548" s="241"/>
      <c r="AM548" s="241"/>
      <c r="AN548" s="241"/>
      <c r="AO548" s="241"/>
      <c r="AP548" s="241"/>
      <c r="AQ548" s="241"/>
      <c r="AR548" s="241"/>
      <c r="AS548" s="241"/>
      <c r="AT548" s="241"/>
      <c r="AU548" s="241"/>
      <c r="AV548" s="241"/>
      <c r="AW548" s="241"/>
      <c r="AX548" s="241"/>
      <c r="AY548" s="241"/>
      <c r="AZ548" s="241"/>
    </row>
    <row r="549" spans="1:52" s="71" customFormat="1" ht="18" hidden="1" customHeight="1" outlineLevel="2">
      <c r="A549" s="175">
        <v>37</v>
      </c>
      <c r="B549" s="312" t="str">
        <f>(IF('Inputs Whole-Project Water Use'!B549&lt;&gt;"",'Inputs Whole-Project Water Use'!B549,""))</f>
        <v/>
      </c>
      <c r="C549" s="313" t="str">
        <f>IF(AND(K549&lt;&gt;"",'Inputs Whole-Project Water Use'!C549=""),1,IF('Inputs Whole-Project Water Use'!C549&lt;&gt;"",'Inputs Whole-Project Water Use'!C549,""))</f>
        <v/>
      </c>
      <c r="D549" s="397" t="str">
        <f>IF('Inputs Whole-Project Water Use'!D549&lt;&gt;"",'Inputs Whole-Project Water Use'!D549,"")</f>
        <v/>
      </c>
      <c r="E549" s="398"/>
      <c r="F549" s="314" t="str">
        <f>IF('Inputs Whole-Project Water Use'!F549&lt;&gt;"",'Inputs Whole-Project Water Use'!F549,"")</f>
        <v/>
      </c>
      <c r="G549" s="314" t="str">
        <f>IF('Inputs Whole-Project Water Use'!G549&lt;&gt;"",'Inputs Whole-Project Water Use'!G549,"")</f>
        <v/>
      </c>
      <c r="H549" s="315" t="str">
        <f>IF('Inputs Whole-Project Water Use'!H549&lt;&gt;"",'Inputs Whole-Project Water Use'!H549,"")</f>
        <v/>
      </c>
      <c r="I549" s="344" t="str">
        <f>IF('Inputs Whole-Project Water Use'!I549&lt;&gt;"",'Inputs Whole-Project Water Use'!I549,"")</f>
        <v/>
      </c>
      <c r="J549" s="345"/>
      <c r="K549" s="316" t="str">
        <f>IF('Inputs Whole-Project Water Use'!K549&lt;&gt;"",'Inputs Whole-Project Water Use'!K549,"")</f>
        <v/>
      </c>
      <c r="L549" s="316" t="str">
        <f>IF('Inputs Whole-Project Water Use'!L549&lt;&gt;"",'Inputs Whole-Project Water Use'!L549,"")</f>
        <v/>
      </c>
      <c r="M549" s="390" t="str">
        <f t="shared" si="56"/>
        <v/>
      </c>
      <c r="N549" s="391"/>
      <c r="O549" s="225" t="str">
        <f t="shared" si="57"/>
        <v/>
      </c>
      <c r="P549" s="225" t="str">
        <f t="shared" si="58"/>
        <v/>
      </c>
      <c r="Q549" s="289" t="str">
        <f>IF(AND(L549&lt;&gt;"",'Inputs Whole-Project Water Use'!Q549=""),0,IF('Inputs Whole-Project Water Use'!Q549&lt;&gt;"",'Inputs Whole-Project Water Use'!Q549,""))</f>
        <v/>
      </c>
      <c r="R549" s="225" t="str">
        <f t="shared" si="59"/>
        <v/>
      </c>
      <c r="S549" s="225" t="str">
        <f t="shared" si="60"/>
        <v/>
      </c>
      <c r="T549" s="231" t="str">
        <f t="shared" si="61"/>
        <v/>
      </c>
      <c r="U549" s="176"/>
      <c r="V549" s="241"/>
      <c r="W549" s="241"/>
      <c r="X549" s="241"/>
      <c r="Y549" s="241"/>
      <c r="Z549" s="241"/>
      <c r="AA549" s="241"/>
      <c r="AB549" s="241"/>
      <c r="AC549" s="241"/>
      <c r="AD549" s="241"/>
      <c r="AE549" s="241"/>
      <c r="AF549" s="241"/>
      <c r="AG549" s="241"/>
      <c r="AH549" s="241"/>
      <c r="AI549" s="241"/>
      <c r="AJ549" s="241"/>
      <c r="AK549" s="241"/>
      <c r="AL549" s="241"/>
      <c r="AM549" s="241"/>
      <c r="AN549" s="241"/>
      <c r="AO549" s="241"/>
      <c r="AP549" s="241"/>
      <c r="AQ549" s="241"/>
      <c r="AR549" s="241"/>
      <c r="AS549" s="241"/>
      <c r="AT549" s="241"/>
      <c r="AU549" s="241"/>
      <c r="AV549" s="241"/>
      <c r="AW549" s="241"/>
      <c r="AX549" s="241"/>
      <c r="AY549" s="241"/>
      <c r="AZ549" s="241"/>
    </row>
    <row r="550" spans="1:52" s="71" customFormat="1" ht="18" hidden="1" customHeight="1" outlineLevel="2">
      <c r="A550" s="175">
        <v>38</v>
      </c>
      <c r="B550" s="312" t="str">
        <f>(IF('Inputs Whole-Project Water Use'!B550&lt;&gt;"",'Inputs Whole-Project Water Use'!B550,""))</f>
        <v/>
      </c>
      <c r="C550" s="313" t="str">
        <f>IF(AND(K550&lt;&gt;"",'Inputs Whole-Project Water Use'!C550=""),1,IF('Inputs Whole-Project Water Use'!C550&lt;&gt;"",'Inputs Whole-Project Water Use'!C550,""))</f>
        <v/>
      </c>
      <c r="D550" s="397" t="str">
        <f>IF('Inputs Whole-Project Water Use'!D550&lt;&gt;"",'Inputs Whole-Project Water Use'!D550,"")</f>
        <v/>
      </c>
      <c r="E550" s="398"/>
      <c r="F550" s="314" t="str">
        <f>IF('Inputs Whole-Project Water Use'!F550&lt;&gt;"",'Inputs Whole-Project Water Use'!F550,"")</f>
        <v/>
      </c>
      <c r="G550" s="314" t="str">
        <f>IF('Inputs Whole-Project Water Use'!G550&lt;&gt;"",'Inputs Whole-Project Water Use'!G550,"")</f>
        <v/>
      </c>
      <c r="H550" s="315" t="str">
        <f>IF('Inputs Whole-Project Water Use'!H550&lt;&gt;"",'Inputs Whole-Project Water Use'!H550,"")</f>
        <v/>
      </c>
      <c r="I550" s="344" t="str">
        <f>IF('Inputs Whole-Project Water Use'!I550&lt;&gt;"",'Inputs Whole-Project Water Use'!I550,"")</f>
        <v/>
      </c>
      <c r="J550" s="345"/>
      <c r="K550" s="316" t="str">
        <f>IF('Inputs Whole-Project Water Use'!K550&lt;&gt;"",'Inputs Whole-Project Water Use'!K550,"")</f>
        <v/>
      </c>
      <c r="L550" s="316" t="str">
        <f>IF('Inputs Whole-Project Water Use'!L550&lt;&gt;"",'Inputs Whole-Project Water Use'!L550,"")</f>
        <v/>
      </c>
      <c r="M550" s="390" t="str">
        <f t="shared" si="56"/>
        <v/>
      </c>
      <c r="N550" s="391"/>
      <c r="O550" s="225" t="str">
        <f t="shared" si="57"/>
        <v/>
      </c>
      <c r="P550" s="225" t="str">
        <f t="shared" si="58"/>
        <v/>
      </c>
      <c r="Q550" s="289" t="str">
        <f>IF(AND(L550&lt;&gt;"",'Inputs Whole-Project Water Use'!Q550=""),0,IF('Inputs Whole-Project Water Use'!Q550&lt;&gt;"",'Inputs Whole-Project Water Use'!Q550,""))</f>
        <v/>
      </c>
      <c r="R550" s="225" t="str">
        <f t="shared" si="59"/>
        <v/>
      </c>
      <c r="S550" s="225" t="str">
        <f t="shared" si="60"/>
        <v/>
      </c>
      <c r="T550" s="231" t="str">
        <f t="shared" si="61"/>
        <v/>
      </c>
      <c r="U550" s="176"/>
      <c r="V550" s="241"/>
      <c r="W550" s="241"/>
      <c r="X550" s="241"/>
      <c r="Y550" s="241"/>
      <c r="Z550" s="241"/>
      <c r="AA550" s="241"/>
      <c r="AB550" s="241"/>
      <c r="AC550" s="241"/>
      <c r="AD550" s="241"/>
      <c r="AE550" s="241"/>
      <c r="AF550" s="241"/>
      <c r="AG550" s="241"/>
      <c r="AH550" s="241"/>
      <c r="AI550" s="241"/>
      <c r="AJ550" s="241"/>
      <c r="AK550" s="241"/>
      <c r="AL550" s="241"/>
      <c r="AM550" s="241"/>
      <c r="AN550" s="241"/>
      <c r="AO550" s="241"/>
      <c r="AP550" s="241"/>
      <c r="AQ550" s="241"/>
      <c r="AR550" s="241"/>
      <c r="AS550" s="241"/>
      <c r="AT550" s="241"/>
      <c r="AU550" s="241"/>
      <c r="AV550" s="241"/>
      <c r="AW550" s="241"/>
      <c r="AX550" s="241"/>
      <c r="AY550" s="241"/>
      <c r="AZ550" s="241"/>
    </row>
    <row r="551" spans="1:52" s="71" customFormat="1" ht="18" hidden="1" customHeight="1" outlineLevel="2">
      <c r="A551" s="175">
        <v>39</v>
      </c>
      <c r="B551" s="312" t="str">
        <f>(IF('Inputs Whole-Project Water Use'!B551&lt;&gt;"",'Inputs Whole-Project Water Use'!B551,""))</f>
        <v/>
      </c>
      <c r="C551" s="313" t="str">
        <f>IF(AND(K551&lt;&gt;"",'Inputs Whole-Project Water Use'!C551=""),1,IF('Inputs Whole-Project Water Use'!C551&lt;&gt;"",'Inputs Whole-Project Water Use'!C551,""))</f>
        <v/>
      </c>
      <c r="D551" s="397" t="str">
        <f>IF('Inputs Whole-Project Water Use'!D551&lt;&gt;"",'Inputs Whole-Project Water Use'!D551,"")</f>
        <v/>
      </c>
      <c r="E551" s="398"/>
      <c r="F551" s="314" t="str">
        <f>IF('Inputs Whole-Project Water Use'!F551&lt;&gt;"",'Inputs Whole-Project Water Use'!F551,"")</f>
        <v/>
      </c>
      <c r="G551" s="314" t="str">
        <f>IF('Inputs Whole-Project Water Use'!G551&lt;&gt;"",'Inputs Whole-Project Water Use'!G551,"")</f>
        <v/>
      </c>
      <c r="H551" s="315" t="str">
        <f>IF('Inputs Whole-Project Water Use'!H551&lt;&gt;"",'Inputs Whole-Project Water Use'!H551,"")</f>
        <v/>
      </c>
      <c r="I551" s="344" t="str">
        <f>IF('Inputs Whole-Project Water Use'!I551&lt;&gt;"",'Inputs Whole-Project Water Use'!I551,"")</f>
        <v/>
      </c>
      <c r="J551" s="345"/>
      <c r="K551" s="316" t="str">
        <f>IF('Inputs Whole-Project Water Use'!K551&lt;&gt;"",'Inputs Whole-Project Water Use'!K551,"")</f>
        <v/>
      </c>
      <c r="L551" s="316" t="str">
        <f>IF('Inputs Whole-Project Water Use'!L551&lt;&gt;"",'Inputs Whole-Project Water Use'!L551,"")</f>
        <v/>
      </c>
      <c r="M551" s="390" t="str">
        <f t="shared" si="56"/>
        <v/>
      </c>
      <c r="N551" s="391"/>
      <c r="O551" s="225" t="str">
        <f t="shared" si="57"/>
        <v/>
      </c>
      <c r="P551" s="225" t="str">
        <f t="shared" si="58"/>
        <v/>
      </c>
      <c r="Q551" s="289" t="str">
        <f>IF(AND(L551&lt;&gt;"",'Inputs Whole-Project Water Use'!Q551=""),0,IF('Inputs Whole-Project Water Use'!Q551&lt;&gt;"",'Inputs Whole-Project Water Use'!Q551,""))</f>
        <v/>
      </c>
      <c r="R551" s="225" t="str">
        <f t="shared" si="59"/>
        <v/>
      </c>
      <c r="S551" s="225" t="str">
        <f t="shared" si="60"/>
        <v/>
      </c>
      <c r="T551" s="231" t="str">
        <f t="shared" si="61"/>
        <v/>
      </c>
      <c r="U551" s="176"/>
      <c r="V551" s="241"/>
      <c r="W551" s="241"/>
      <c r="X551" s="241"/>
      <c r="Y551" s="241"/>
      <c r="Z551" s="241"/>
      <c r="AA551" s="241"/>
      <c r="AB551" s="241"/>
      <c r="AC551" s="241"/>
      <c r="AD551" s="241"/>
      <c r="AE551" s="241"/>
      <c r="AF551" s="241"/>
      <c r="AG551" s="241"/>
      <c r="AH551" s="241"/>
      <c r="AI551" s="241"/>
      <c r="AJ551" s="241"/>
      <c r="AK551" s="241"/>
      <c r="AL551" s="241"/>
      <c r="AM551" s="241"/>
      <c r="AN551" s="241"/>
      <c r="AO551" s="241"/>
      <c r="AP551" s="241"/>
      <c r="AQ551" s="241"/>
      <c r="AR551" s="241"/>
      <c r="AS551" s="241"/>
      <c r="AT551" s="241"/>
      <c r="AU551" s="241"/>
      <c r="AV551" s="241"/>
      <c r="AW551" s="241"/>
      <c r="AX551" s="241"/>
      <c r="AY551" s="241"/>
      <c r="AZ551" s="241"/>
    </row>
    <row r="552" spans="1:52" s="71" customFormat="1" ht="18" hidden="1" customHeight="1" outlineLevel="2">
      <c r="A552" s="175">
        <v>40</v>
      </c>
      <c r="B552" s="312" t="str">
        <f>(IF('Inputs Whole-Project Water Use'!B552&lt;&gt;"",'Inputs Whole-Project Water Use'!B552,""))</f>
        <v/>
      </c>
      <c r="C552" s="313" t="str">
        <f>IF(AND(K552&lt;&gt;"",'Inputs Whole-Project Water Use'!C552=""),1,IF('Inputs Whole-Project Water Use'!C552&lt;&gt;"",'Inputs Whole-Project Water Use'!C552,""))</f>
        <v/>
      </c>
      <c r="D552" s="397" t="str">
        <f>IF('Inputs Whole-Project Water Use'!D552&lt;&gt;"",'Inputs Whole-Project Water Use'!D552,"")</f>
        <v/>
      </c>
      <c r="E552" s="398"/>
      <c r="F552" s="314" t="str">
        <f>IF('Inputs Whole-Project Water Use'!F552&lt;&gt;"",'Inputs Whole-Project Water Use'!F552,"")</f>
        <v/>
      </c>
      <c r="G552" s="314" t="str">
        <f>IF('Inputs Whole-Project Water Use'!G552&lt;&gt;"",'Inputs Whole-Project Water Use'!G552,"")</f>
        <v/>
      </c>
      <c r="H552" s="315" t="str">
        <f>IF('Inputs Whole-Project Water Use'!H552&lt;&gt;"",'Inputs Whole-Project Water Use'!H552,"")</f>
        <v/>
      </c>
      <c r="I552" s="344" t="str">
        <f>IF('Inputs Whole-Project Water Use'!I552&lt;&gt;"",'Inputs Whole-Project Water Use'!I552,"")</f>
        <v/>
      </c>
      <c r="J552" s="345"/>
      <c r="K552" s="316" t="str">
        <f>IF('Inputs Whole-Project Water Use'!K552&lt;&gt;"",'Inputs Whole-Project Water Use'!K552,"")</f>
        <v/>
      </c>
      <c r="L552" s="316" t="str">
        <f>IF('Inputs Whole-Project Water Use'!L552&lt;&gt;"",'Inputs Whole-Project Water Use'!L552,"")</f>
        <v/>
      </c>
      <c r="M552" s="390" t="str">
        <f t="shared" si="56"/>
        <v/>
      </c>
      <c r="N552" s="391"/>
      <c r="O552" s="225" t="str">
        <f t="shared" si="57"/>
        <v/>
      </c>
      <c r="P552" s="225" t="str">
        <f t="shared" si="58"/>
        <v/>
      </c>
      <c r="Q552" s="289" t="str">
        <f>IF(AND(L552&lt;&gt;"",'Inputs Whole-Project Water Use'!Q552=""),0,IF('Inputs Whole-Project Water Use'!Q552&lt;&gt;"",'Inputs Whole-Project Water Use'!Q552,""))</f>
        <v/>
      </c>
      <c r="R552" s="225" t="str">
        <f t="shared" si="59"/>
        <v/>
      </c>
      <c r="S552" s="225" t="str">
        <f t="shared" si="60"/>
        <v/>
      </c>
      <c r="T552" s="231" t="str">
        <f t="shared" si="61"/>
        <v/>
      </c>
      <c r="U552" s="176"/>
      <c r="V552" s="241"/>
      <c r="W552" s="241"/>
      <c r="X552" s="241"/>
      <c r="Y552" s="241"/>
      <c r="Z552" s="241"/>
      <c r="AA552" s="241"/>
      <c r="AB552" s="241"/>
      <c r="AC552" s="241"/>
      <c r="AD552" s="241"/>
      <c r="AE552" s="241"/>
      <c r="AF552" s="241"/>
      <c r="AG552" s="241"/>
      <c r="AH552" s="241"/>
      <c r="AI552" s="241"/>
      <c r="AJ552" s="241"/>
      <c r="AK552" s="241"/>
      <c r="AL552" s="241"/>
      <c r="AM552" s="241"/>
      <c r="AN552" s="241"/>
      <c r="AO552" s="241"/>
      <c r="AP552" s="241"/>
      <c r="AQ552" s="241"/>
      <c r="AR552" s="241"/>
      <c r="AS552" s="241"/>
      <c r="AT552" s="241"/>
      <c r="AU552" s="241"/>
      <c r="AV552" s="241"/>
      <c r="AW552" s="241"/>
      <c r="AX552" s="241"/>
      <c r="AY552" s="241"/>
      <c r="AZ552" s="241"/>
    </row>
    <row r="553" spans="1:52" s="71" customFormat="1" ht="18" hidden="1" customHeight="1" outlineLevel="2">
      <c r="A553" s="175">
        <v>41</v>
      </c>
      <c r="B553" s="312" t="str">
        <f>(IF('Inputs Whole-Project Water Use'!B553&lt;&gt;"",'Inputs Whole-Project Water Use'!B553,""))</f>
        <v/>
      </c>
      <c r="C553" s="313" t="str">
        <f>IF(AND(K553&lt;&gt;"",'Inputs Whole-Project Water Use'!C553=""),1,IF('Inputs Whole-Project Water Use'!C553&lt;&gt;"",'Inputs Whole-Project Water Use'!C553,""))</f>
        <v/>
      </c>
      <c r="D553" s="397" t="str">
        <f>IF('Inputs Whole-Project Water Use'!D553&lt;&gt;"",'Inputs Whole-Project Water Use'!D553,"")</f>
        <v/>
      </c>
      <c r="E553" s="398"/>
      <c r="F553" s="314" t="str">
        <f>IF('Inputs Whole-Project Water Use'!F553&lt;&gt;"",'Inputs Whole-Project Water Use'!F553,"")</f>
        <v/>
      </c>
      <c r="G553" s="314" t="str">
        <f>IF('Inputs Whole-Project Water Use'!G553&lt;&gt;"",'Inputs Whole-Project Water Use'!G553,"")</f>
        <v/>
      </c>
      <c r="H553" s="315" t="str">
        <f>IF('Inputs Whole-Project Water Use'!H553&lt;&gt;"",'Inputs Whole-Project Water Use'!H553,"")</f>
        <v/>
      </c>
      <c r="I553" s="344" t="str">
        <f>IF('Inputs Whole-Project Water Use'!I553&lt;&gt;"",'Inputs Whole-Project Water Use'!I553,"")</f>
        <v/>
      </c>
      <c r="J553" s="345"/>
      <c r="K553" s="316" t="str">
        <f>IF('Inputs Whole-Project Water Use'!K553&lt;&gt;"",'Inputs Whole-Project Water Use'!K553,"")</f>
        <v/>
      </c>
      <c r="L553" s="316" t="str">
        <f>IF('Inputs Whole-Project Water Use'!L553&lt;&gt;"",'Inputs Whole-Project Water Use'!L553,"")</f>
        <v/>
      </c>
      <c r="M553" s="390" t="str">
        <f t="shared" si="56"/>
        <v/>
      </c>
      <c r="N553" s="391"/>
      <c r="O553" s="225" t="str">
        <f t="shared" si="57"/>
        <v/>
      </c>
      <c r="P553" s="225" t="str">
        <f t="shared" si="58"/>
        <v/>
      </c>
      <c r="Q553" s="289" t="str">
        <f>IF(AND(L553&lt;&gt;"",'Inputs Whole-Project Water Use'!Q553=""),0,IF('Inputs Whole-Project Water Use'!Q553&lt;&gt;"",'Inputs Whole-Project Water Use'!Q553,""))</f>
        <v/>
      </c>
      <c r="R553" s="225" t="str">
        <f t="shared" si="59"/>
        <v/>
      </c>
      <c r="S553" s="225" t="str">
        <f t="shared" si="60"/>
        <v/>
      </c>
      <c r="T553" s="231" t="str">
        <f t="shared" si="61"/>
        <v/>
      </c>
      <c r="U553" s="176"/>
      <c r="V553" s="241"/>
      <c r="W553" s="241"/>
      <c r="X553" s="241"/>
      <c r="Y553" s="241"/>
      <c r="Z553" s="241"/>
      <c r="AA553" s="241"/>
      <c r="AB553" s="241"/>
      <c r="AC553" s="241"/>
      <c r="AD553" s="241"/>
      <c r="AE553" s="241"/>
      <c r="AF553" s="241"/>
      <c r="AG553" s="241"/>
      <c r="AH553" s="241"/>
      <c r="AI553" s="241"/>
      <c r="AJ553" s="241"/>
      <c r="AK553" s="241"/>
      <c r="AL553" s="241"/>
      <c r="AM553" s="241"/>
      <c r="AN553" s="241"/>
      <c r="AO553" s="241"/>
      <c r="AP553" s="241"/>
      <c r="AQ553" s="241"/>
      <c r="AR553" s="241"/>
      <c r="AS553" s="241"/>
      <c r="AT553" s="241"/>
      <c r="AU553" s="241"/>
      <c r="AV553" s="241"/>
      <c r="AW553" s="241"/>
      <c r="AX553" s="241"/>
      <c r="AY553" s="241"/>
      <c r="AZ553" s="241"/>
    </row>
    <row r="554" spans="1:52" s="71" customFormat="1" ht="18" hidden="1" customHeight="1" outlineLevel="2">
      <c r="A554" s="175">
        <v>42</v>
      </c>
      <c r="B554" s="312" t="str">
        <f>(IF('Inputs Whole-Project Water Use'!B554&lt;&gt;"",'Inputs Whole-Project Water Use'!B554,""))</f>
        <v/>
      </c>
      <c r="C554" s="313" t="str">
        <f>IF(AND(K554&lt;&gt;"",'Inputs Whole-Project Water Use'!C554=""),1,IF('Inputs Whole-Project Water Use'!C554&lt;&gt;"",'Inputs Whole-Project Water Use'!C554,""))</f>
        <v/>
      </c>
      <c r="D554" s="397" t="str">
        <f>IF('Inputs Whole-Project Water Use'!D554&lt;&gt;"",'Inputs Whole-Project Water Use'!D554,"")</f>
        <v/>
      </c>
      <c r="E554" s="398"/>
      <c r="F554" s="314" t="str">
        <f>IF('Inputs Whole-Project Water Use'!F554&lt;&gt;"",'Inputs Whole-Project Water Use'!F554,"")</f>
        <v/>
      </c>
      <c r="G554" s="314" t="str">
        <f>IF('Inputs Whole-Project Water Use'!G554&lt;&gt;"",'Inputs Whole-Project Water Use'!G554,"")</f>
        <v/>
      </c>
      <c r="H554" s="315" t="str">
        <f>IF('Inputs Whole-Project Water Use'!H554&lt;&gt;"",'Inputs Whole-Project Water Use'!H554,"")</f>
        <v/>
      </c>
      <c r="I554" s="344" t="str">
        <f>IF('Inputs Whole-Project Water Use'!I554&lt;&gt;"",'Inputs Whole-Project Water Use'!I554,"")</f>
        <v/>
      </c>
      <c r="J554" s="345"/>
      <c r="K554" s="316" t="str">
        <f>IF('Inputs Whole-Project Water Use'!K554&lt;&gt;"",'Inputs Whole-Project Water Use'!K554,"")</f>
        <v/>
      </c>
      <c r="L554" s="316" t="str">
        <f>IF('Inputs Whole-Project Water Use'!L554&lt;&gt;"",'Inputs Whole-Project Water Use'!L554,"")</f>
        <v/>
      </c>
      <c r="M554" s="390" t="str">
        <f t="shared" si="56"/>
        <v/>
      </c>
      <c r="N554" s="391"/>
      <c r="O554" s="225" t="str">
        <f t="shared" si="57"/>
        <v/>
      </c>
      <c r="P554" s="225" t="str">
        <f t="shared" si="58"/>
        <v/>
      </c>
      <c r="Q554" s="289" t="str">
        <f>IF(AND(L554&lt;&gt;"",'Inputs Whole-Project Water Use'!Q554=""),0,IF('Inputs Whole-Project Water Use'!Q554&lt;&gt;"",'Inputs Whole-Project Water Use'!Q554,""))</f>
        <v/>
      </c>
      <c r="R554" s="225" t="str">
        <f t="shared" si="59"/>
        <v/>
      </c>
      <c r="S554" s="225" t="str">
        <f t="shared" si="60"/>
        <v/>
      </c>
      <c r="T554" s="231" t="str">
        <f t="shared" si="61"/>
        <v/>
      </c>
      <c r="U554" s="176"/>
      <c r="V554" s="241"/>
      <c r="W554" s="241"/>
      <c r="X554" s="241"/>
      <c r="Y554" s="241"/>
      <c r="Z554" s="241"/>
      <c r="AA554" s="241"/>
      <c r="AB554" s="241"/>
      <c r="AC554" s="241"/>
      <c r="AD554" s="241"/>
      <c r="AE554" s="241"/>
      <c r="AF554" s="241"/>
      <c r="AG554" s="241"/>
      <c r="AH554" s="241"/>
      <c r="AI554" s="241"/>
      <c r="AJ554" s="241"/>
      <c r="AK554" s="241"/>
      <c r="AL554" s="241"/>
      <c r="AM554" s="241"/>
      <c r="AN554" s="241"/>
      <c r="AO554" s="241"/>
      <c r="AP554" s="241"/>
      <c r="AQ554" s="241"/>
      <c r="AR554" s="241"/>
      <c r="AS554" s="241"/>
      <c r="AT554" s="241"/>
      <c r="AU554" s="241"/>
      <c r="AV554" s="241"/>
      <c r="AW554" s="241"/>
      <c r="AX554" s="241"/>
      <c r="AY554" s="241"/>
      <c r="AZ554" s="241"/>
    </row>
    <row r="555" spans="1:52" s="71" customFormat="1" ht="18" hidden="1" customHeight="1" outlineLevel="2">
      <c r="A555" s="175">
        <v>43</v>
      </c>
      <c r="B555" s="312" t="str">
        <f>(IF('Inputs Whole-Project Water Use'!B555&lt;&gt;"",'Inputs Whole-Project Water Use'!B555,""))</f>
        <v/>
      </c>
      <c r="C555" s="313" t="str">
        <f>IF(AND(K555&lt;&gt;"",'Inputs Whole-Project Water Use'!C555=""),1,IF('Inputs Whole-Project Water Use'!C555&lt;&gt;"",'Inputs Whole-Project Water Use'!C555,""))</f>
        <v/>
      </c>
      <c r="D555" s="397" t="str">
        <f>IF('Inputs Whole-Project Water Use'!D555&lt;&gt;"",'Inputs Whole-Project Water Use'!D555,"")</f>
        <v/>
      </c>
      <c r="E555" s="398"/>
      <c r="F555" s="314" t="str">
        <f>IF('Inputs Whole-Project Water Use'!F555&lt;&gt;"",'Inputs Whole-Project Water Use'!F555,"")</f>
        <v/>
      </c>
      <c r="G555" s="314" t="str">
        <f>IF('Inputs Whole-Project Water Use'!G555&lt;&gt;"",'Inputs Whole-Project Water Use'!G555,"")</f>
        <v/>
      </c>
      <c r="H555" s="315" t="str">
        <f>IF('Inputs Whole-Project Water Use'!H555&lt;&gt;"",'Inputs Whole-Project Water Use'!H555,"")</f>
        <v/>
      </c>
      <c r="I555" s="344" t="str">
        <f>IF('Inputs Whole-Project Water Use'!I555&lt;&gt;"",'Inputs Whole-Project Water Use'!I555,"")</f>
        <v/>
      </c>
      <c r="J555" s="345"/>
      <c r="K555" s="316" t="str">
        <f>IF('Inputs Whole-Project Water Use'!K555&lt;&gt;"",'Inputs Whole-Project Water Use'!K555,"")</f>
        <v/>
      </c>
      <c r="L555" s="316" t="str">
        <f>IF('Inputs Whole-Project Water Use'!L555&lt;&gt;"",'Inputs Whole-Project Water Use'!L555,"")</f>
        <v/>
      </c>
      <c r="M555" s="390" t="str">
        <f t="shared" si="56"/>
        <v/>
      </c>
      <c r="N555" s="391"/>
      <c r="O555" s="225" t="str">
        <f t="shared" si="57"/>
        <v/>
      </c>
      <c r="P555" s="225" t="str">
        <f t="shared" si="58"/>
        <v/>
      </c>
      <c r="Q555" s="289" t="str">
        <f>IF(AND(L555&lt;&gt;"",'Inputs Whole-Project Water Use'!Q555=""),0,IF('Inputs Whole-Project Water Use'!Q555&lt;&gt;"",'Inputs Whole-Project Water Use'!Q555,""))</f>
        <v/>
      </c>
      <c r="R555" s="225" t="str">
        <f t="shared" si="59"/>
        <v/>
      </c>
      <c r="S555" s="225" t="str">
        <f t="shared" si="60"/>
        <v/>
      </c>
      <c r="T555" s="231" t="str">
        <f t="shared" si="61"/>
        <v/>
      </c>
      <c r="U555" s="176"/>
      <c r="V555" s="241"/>
      <c r="W555" s="241"/>
      <c r="X555" s="241"/>
      <c r="Y555" s="241"/>
      <c r="Z555" s="241"/>
      <c r="AA555" s="241"/>
      <c r="AB555" s="241"/>
      <c r="AC555" s="241"/>
      <c r="AD555" s="241"/>
      <c r="AE555" s="241"/>
      <c r="AF555" s="241"/>
      <c r="AG555" s="241"/>
      <c r="AH555" s="241"/>
      <c r="AI555" s="241"/>
      <c r="AJ555" s="241"/>
      <c r="AK555" s="241"/>
      <c r="AL555" s="241"/>
      <c r="AM555" s="241"/>
      <c r="AN555" s="241"/>
      <c r="AO555" s="241"/>
      <c r="AP555" s="241"/>
      <c r="AQ555" s="241"/>
      <c r="AR555" s="241"/>
      <c r="AS555" s="241"/>
      <c r="AT555" s="241"/>
      <c r="AU555" s="241"/>
      <c r="AV555" s="241"/>
      <c r="AW555" s="241"/>
      <c r="AX555" s="241"/>
      <c r="AY555" s="241"/>
      <c r="AZ555" s="241"/>
    </row>
    <row r="556" spans="1:52" s="71" customFormat="1" ht="18" hidden="1" customHeight="1" outlineLevel="2">
      <c r="A556" s="175">
        <v>44</v>
      </c>
      <c r="B556" s="312" t="str">
        <f>(IF('Inputs Whole-Project Water Use'!B556&lt;&gt;"",'Inputs Whole-Project Water Use'!B556,""))</f>
        <v/>
      </c>
      <c r="C556" s="313" t="str">
        <f>IF(AND(K556&lt;&gt;"",'Inputs Whole-Project Water Use'!C556=""),1,IF('Inputs Whole-Project Water Use'!C556&lt;&gt;"",'Inputs Whole-Project Water Use'!C556,""))</f>
        <v/>
      </c>
      <c r="D556" s="397" t="str">
        <f>IF('Inputs Whole-Project Water Use'!D556&lt;&gt;"",'Inputs Whole-Project Water Use'!D556,"")</f>
        <v/>
      </c>
      <c r="E556" s="398"/>
      <c r="F556" s="314" t="str">
        <f>IF('Inputs Whole-Project Water Use'!F556&lt;&gt;"",'Inputs Whole-Project Water Use'!F556,"")</f>
        <v/>
      </c>
      <c r="G556" s="314" t="str">
        <f>IF('Inputs Whole-Project Water Use'!G556&lt;&gt;"",'Inputs Whole-Project Water Use'!G556,"")</f>
        <v/>
      </c>
      <c r="H556" s="315" t="str">
        <f>IF('Inputs Whole-Project Water Use'!H556&lt;&gt;"",'Inputs Whole-Project Water Use'!H556,"")</f>
        <v/>
      </c>
      <c r="I556" s="344" t="str">
        <f>IF('Inputs Whole-Project Water Use'!I556&lt;&gt;"",'Inputs Whole-Project Water Use'!I556,"")</f>
        <v/>
      </c>
      <c r="J556" s="345"/>
      <c r="K556" s="316" t="str">
        <f>IF('Inputs Whole-Project Water Use'!K556&lt;&gt;"",'Inputs Whole-Project Water Use'!K556,"")</f>
        <v/>
      </c>
      <c r="L556" s="316" t="str">
        <f>IF('Inputs Whole-Project Water Use'!L556&lt;&gt;"",'Inputs Whole-Project Water Use'!L556,"")</f>
        <v/>
      </c>
      <c r="M556" s="390" t="str">
        <f t="shared" si="56"/>
        <v/>
      </c>
      <c r="N556" s="391"/>
      <c r="O556" s="225" t="str">
        <f t="shared" si="57"/>
        <v/>
      </c>
      <c r="P556" s="225" t="str">
        <f t="shared" si="58"/>
        <v/>
      </c>
      <c r="Q556" s="289" t="str">
        <f>IF(AND(L556&lt;&gt;"",'Inputs Whole-Project Water Use'!Q556=""),0,IF('Inputs Whole-Project Water Use'!Q556&lt;&gt;"",'Inputs Whole-Project Water Use'!Q556,""))</f>
        <v/>
      </c>
      <c r="R556" s="225" t="str">
        <f t="shared" si="59"/>
        <v/>
      </c>
      <c r="S556" s="225" t="str">
        <f t="shared" si="60"/>
        <v/>
      </c>
      <c r="T556" s="231" t="str">
        <f t="shared" si="61"/>
        <v/>
      </c>
      <c r="U556" s="176"/>
      <c r="V556" s="241"/>
      <c r="W556" s="241"/>
      <c r="X556" s="241"/>
      <c r="Y556" s="241"/>
      <c r="Z556" s="241"/>
      <c r="AA556" s="241"/>
      <c r="AB556" s="241"/>
      <c r="AC556" s="241"/>
      <c r="AD556" s="241"/>
      <c r="AE556" s="241"/>
      <c r="AF556" s="241"/>
      <c r="AG556" s="241"/>
      <c r="AH556" s="241"/>
      <c r="AI556" s="241"/>
      <c r="AJ556" s="241"/>
      <c r="AK556" s="241"/>
      <c r="AL556" s="241"/>
      <c r="AM556" s="241"/>
      <c r="AN556" s="241"/>
      <c r="AO556" s="241"/>
      <c r="AP556" s="241"/>
      <c r="AQ556" s="241"/>
      <c r="AR556" s="241"/>
      <c r="AS556" s="241"/>
      <c r="AT556" s="241"/>
      <c r="AU556" s="241"/>
      <c r="AV556" s="241"/>
      <c r="AW556" s="241"/>
      <c r="AX556" s="241"/>
      <c r="AY556" s="241"/>
      <c r="AZ556" s="241"/>
    </row>
    <row r="557" spans="1:52" s="71" customFormat="1" ht="18" hidden="1" customHeight="1" outlineLevel="2">
      <c r="A557" s="175">
        <v>45</v>
      </c>
      <c r="B557" s="312" t="str">
        <f>(IF('Inputs Whole-Project Water Use'!B557&lt;&gt;"",'Inputs Whole-Project Water Use'!B557,""))</f>
        <v/>
      </c>
      <c r="C557" s="313" t="str">
        <f>IF(AND(K557&lt;&gt;"",'Inputs Whole-Project Water Use'!C557=""),1,IF('Inputs Whole-Project Water Use'!C557&lt;&gt;"",'Inputs Whole-Project Water Use'!C557,""))</f>
        <v/>
      </c>
      <c r="D557" s="397" t="str">
        <f>IF('Inputs Whole-Project Water Use'!D557&lt;&gt;"",'Inputs Whole-Project Water Use'!D557,"")</f>
        <v/>
      </c>
      <c r="E557" s="398"/>
      <c r="F557" s="314" t="str">
        <f>IF('Inputs Whole-Project Water Use'!F557&lt;&gt;"",'Inputs Whole-Project Water Use'!F557,"")</f>
        <v/>
      </c>
      <c r="G557" s="314" t="str">
        <f>IF('Inputs Whole-Project Water Use'!G557&lt;&gt;"",'Inputs Whole-Project Water Use'!G557,"")</f>
        <v/>
      </c>
      <c r="H557" s="315" t="str">
        <f>IF('Inputs Whole-Project Water Use'!H557&lt;&gt;"",'Inputs Whole-Project Water Use'!H557,"")</f>
        <v/>
      </c>
      <c r="I557" s="344" t="str">
        <f>IF('Inputs Whole-Project Water Use'!I557&lt;&gt;"",'Inputs Whole-Project Water Use'!I557,"")</f>
        <v/>
      </c>
      <c r="J557" s="345"/>
      <c r="K557" s="316" t="str">
        <f>IF('Inputs Whole-Project Water Use'!K557&lt;&gt;"",'Inputs Whole-Project Water Use'!K557,"")</f>
        <v/>
      </c>
      <c r="L557" s="316" t="str">
        <f>IF('Inputs Whole-Project Water Use'!L557&lt;&gt;"",'Inputs Whole-Project Water Use'!L557,"")</f>
        <v/>
      </c>
      <c r="M557" s="390" t="str">
        <f t="shared" si="56"/>
        <v/>
      </c>
      <c r="N557" s="391"/>
      <c r="O557" s="225" t="str">
        <f t="shared" si="57"/>
        <v/>
      </c>
      <c r="P557" s="225" t="str">
        <f t="shared" si="58"/>
        <v/>
      </c>
      <c r="Q557" s="289" t="str">
        <f>IF(AND(L557&lt;&gt;"",'Inputs Whole-Project Water Use'!Q557=""),0,IF('Inputs Whole-Project Water Use'!Q557&lt;&gt;"",'Inputs Whole-Project Water Use'!Q557,""))</f>
        <v/>
      </c>
      <c r="R557" s="225" t="str">
        <f t="shared" si="59"/>
        <v/>
      </c>
      <c r="S557" s="225" t="str">
        <f t="shared" si="60"/>
        <v/>
      </c>
      <c r="T557" s="231" t="str">
        <f t="shared" si="61"/>
        <v/>
      </c>
      <c r="U557" s="176"/>
      <c r="V557" s="241"/>
      <c r="W557" s="241"/>
      <c r="X557" s="241"/>
      <c r="Y557" s="241"/>
      <c r="Z557" s="241"/>
      <c r="AA557" s="241"/>
      <c r="AB557" s="241"/>
      <c r="AC557" s="241"/>
      <c r="AD557" s="241"/>
      <c r="AE557" s="241"/>
      <c r="AF557" s="241"/>
      <c r="AG557" s="241"/>
      <c r="AH557" s="241"/>
      <c r="AI557" s="241"/>
      <c r="AJ557" s="241"/>
      <c r="AK557" s="241"/>
      <c r="AL557" s="241"/>
      <c r="AM557" s="241"/>
      <c r="AN557" s="241"/>
      <c r="AO557" s="241"/>
      <c r="AP557" s="241"/>
      <c r="AQ557" s="241"/>
      <c r="AR557" s="241"/>
      <c r="AS557" s="241"/>
      <c r="AT557" s="241"/>
      <c r="AU557" s="241"/>
      <c r="AV557" s="241"/>
      <c r="AW557" s="241"/>
      <c r="AX557" s="241"/>
      <c r="AY557" s="241"/>
      <c r="AZ557" s="241"/>
    </row>
    <row r="558" spans="1:52" s="71" customFormat="1" ht="18" hidden="1" customHeight="1" outlineLevel="2">
      <c r="A558" s="175">
        <v>46</v>
      </c>
      <c r="B558" s="312" t="str">
        <f>(IF('Inputs Whole-Project Water Use'!B558&lt;&gt;"",'Inputs Whole-Project Water Use'!B558,""))</f>
        <v/>
      </c>
      <c r="C558" s="313" t="str">
        <f>IF(AND(K558&lt;&gt;"",'Inputs Whole-Project Water Use'!C558=""),1,IF('Inputs Whole-Project Water Use'!C558&lt;&gt;"",'Inputs Whole-Project Water Use'!C558,""))</f>
        <v/>
      </c>
      <c r="D558" s="397" t="str">
        <f>IF('Inputs Whole-Project Water Use'!D558&lt;&gt;"",'Inputs Whole-Project Water Use'!D558,"")</f>
        <v/>
      </c>
      <c r="E558" s="398"/>
      <c r="F558" s="314" t="str">
        <f>IF('Inputs Whole-Project Water Use'!F558&lt;&gt;"",'Inputs Whole-Project Water Use'!F558,"")</f>
        <v/>
      </c>
      <c r="G558" s="314" t="str">
        <f>IF('Inputs Whole-Project Water Use'!G558&lt;&gt;"",'Inputs Whole-Project Water Use'!G558,"")</f>
        <v/>
      </c>
      <c r="H558" s="315" t="str">
        <f>IF('Inputs Whole-Project Water Use'!H558&lt;&gt;"",'Inputs Whole-Project Water Use'!H558,"")</f>
        <v/>
      </c>
      <c r="I558" s="344" t="str">
        <f>IF('Inputs Whole-Project Water Use'!I558&lt;&gt;"",'Inputs Whole-Project Water Use'!I558,"")</f>
        <v/>
      </c>
      <c r="J558" s="345"/>
      <c r="K558" s="316" t="str">
        <f>IF('Inputs Whole-Project Water Use'!K558&lt;&gt;"",'Inputs Whole-Project Water Use'!K558,"")</f>
        <v/>
      </c>
      <c r="L558" s="316" t="str">
        <f>IF('Inputs Whole-Project Water Use'!L558&lt;&gt;"",'Inputs Whole-Project Water Use'!L558,"")</f>
        <v/>
      </c>
      <c r="M558" s="390" t="str">
        <f t="shared" si="56"/>
        <v/>
      </c>
      <c r="N558" s="391"/>
      <c r="O558" s="225" t="str">
        <f t="shared" si="57"/>
        <v/>
      </c>
      <c r="P558" s="225" t="str">
        <f t="shared" si="58"/>
        <v/>
      </c>
      <c r="Q558" s="289" t="str">
        <f>IF(AND(L558&lt;&gt;"",'Inputs Whole-Project Water Use'!Q558=""),0,IF('Inputs Whole-Project Water Use'!Q558&lt;&gt;"",'Inputs Whole-Project Water Use'!Q558,""))</f>
        <v/>
      </c>
      <c r="R558" s="225" t="str">
        <f t="shared" si="59"/>
        <v/>
      </c>
      <c r="S558" s="225" t="str">
        <f t="shared" si="60"/>
        <v/>
      </c>
      <c r="T558" s="231" t="str">
        <f t="shared" si="61"/>
        <v/>
      </c>
      <c r="U558" s="176"/>
      <c r="V558" s="241"/>
      <c r="W558" s="241"/>
      <c r="X558" s="241"/>
      <c r="Y558" s="241"/>
      <c r="Z558" s="241"/>
      <c r="AA558" s="241"/>
      <c r="AB558" s="241"/>
      <c r="AC558" s="241"/>
      <c r="AD558" s="241"/>
      <c r="AE558" s="241"/>
      <c r="AF558" s="241"/>
      <c r="AG558" s="241"/>
      <c r="AH558" s="241"/>
      <c r="AI558" s="241"/>
      <c r="AJ558" s="241"/>
      <c r="AK558" s="241"/>
      <c r="AL558" s="241"/>
      <c r="AM558" s="241"/>
      <c r="AN558" s="241"/>
      <c r="AO558" s="241"/>
      <c r="AP558" s="241"/>
      <c r="AQ558" s="241"/>
      <c r="AR558" s="241"/>
      <c r="AS558" s="241"/>
      <c r="AT558" s="241"/>
      <c r="AU558" s="241"/>
      <c r="AV558" s="241"/>
      <c r="AW558" s="241"/>
      <c r="AX558" s="241"/>
      <c r="AY558" s="241"/>
      <c r="AZ558" s="241"/>
    </row>
    <row r="559" spans="1:52" s="71" customFormat="1" ht="18" hidden="1" customHeight="1" outlineLevel="2">
      <c r="A559" s="175">
        <v>47</v>
      </c>
      <c r="B559" s="312" t="str">
        <f>(IF('Inputs Whole-Project Water Use'!B559&lt;&gt;"",'Inputs Whole-Project Water Use'!B559,""))</f>
        <v/>
      </c>
      <c r="C559" s="313" t="str">
        <f>IF(AND(K559&lt;&gt;"",'Inputs Whole-Project Water Use'!C559=""),1,IF('Inputs Whole-Project Water Use'!C559&lt;&gt;"",'Inputs Whole-Project Water Use'!C559,""))</f>
        <v/>
      </c>
      <c r="D559" s="397" t="str">
        <f>IF('Inputs Whole-Project Water Use'!D559&lt;&gt;"",'Inputs Whole-Project Water Use'!D559,"")</f>
        <v/>
      </c>
      <c r="E559" s="398"/>
      <c r="F559" s="314" t="str">
        <f>IF('Inputs Whole-Project Water Use'!F559&lt;&gt;"",'Inputs Whole-Project Water Use'!F559,"")</f>
        <v/>
      </c>
      <c r="G559" s="314" t="str">
        <f>IF('Inputs Whole-Project Water Use'!G559&lt;&gt;"",'Inputs Whole-Project Water Use'!G559,"")</f>
        <v/>
      </c>
      <c r="H559" s="315" t="str">
        <f>IF('Inputs Whole-Project Water Use'!H559&lt;&gt;"",'Inputs Whole-Project Water Use'!H559,"")</f>
        <v/>
      </c>
      <c r="I559" s="344" t="str">
        <f>IF('Inputs Whole-Project Water Use'!I559&lt;&gt;"",'Inputs Whole-Project Water Use'!I559,"")</f>
        <v/>
      </c>
      <c r="J559" s="345"/>
      <c r="K559" s="316" t="str">
        <f>IF('Inputs Whole-Project Water Use'!K559&lt;&gt;"",'Inputs Whole-Project Water Use'!K559,"")</f>
        <v/>
      </c>
      <c r="L559" s="316" t="str">
        <f>IF('Inputs Whole-Project Water Use'!L559&lt;&gt;"",'Inputs Whole-Project Water Use'!L559,"")</f>
        <v/>
      </c>
      <c r="M559" s="390" t="str">
        <f t="shared" si="56"/>
        <v/>
      </c>
      <c r="N559" s="391"/>
      <c r="O559" s="225" t="str">
        <f t="shared" si="57"/>
        <v/>
      </c>
      <c r="P559" s="225" t="str">
        <f t="shared" si="58"/>
        <v/>
      </c>
      <c r="Q559" s="289" t="str">
        <f>IF(AND(L559&lt;&gt;"",'Inputs Whole-Project Water Use'!Q559=""),0,IF('Inputs Whole-Project Water Use'!Q559&lt;&gt;"",'Inputs Whole-Project Water Use'!Q559,""))</f>
        <v/>
      </c>
      <c r="R559" s="225" t="str">
        <f t="shared" si="59"/>
        <v/>
      </c>
      <c r="S559" s="225" t="str">
        <f t="shared" si="60"/>
        <v/>
      </c>
      <c r="T559" s="231" t="str">
        <f t="shared" si="61"/>
        <v/>
      </c>
      <c r="U559" s="176"/>
      <c r="V559" s="241"/>
      <c r="W559" s="241"/>
      <c r="X559" s="241"/>
      <c r="Y559" s="241"/>
      <c r="Z559" s="241"/>
      <c r="AA559" s="241"/>
      <c r="AB559" s="241"/>
      <c r="AC559" s="241"/>
      <c r="AD559" s="241"/>
      <c r="AE559" s="241"/>
      <c r="AF559" s="241"/>
      <c r="AG559" s="241"/>
      <c r="AH559" s="241"/>
      <c r="AI559" s="241"/>
      <c r="AJ559" s="241"/>
      <c r="AK559" s="241"/>
      <c r="AL559" s="241"/>
      <c r="AM559" s="241"/>
      <c r="AN559" s="241"/>
      <c r="AO559" s="241"/>
      <c r="AP559" s="241"/>
      <c r="AQ559" s="241"/>
      <c r="AR559" s="241"/>
      <c r="AS559" s="241"/>
      <c r="AT559" s="241"/>
      <c r="AU559" s="241"/>
      <c r="AV559" s="241"/>
      <c r="AW559" s="241"/>
      <c r="AX559" s="241"/>
      <c r="AY559" s="241"/>
      <c r="AZ559" s="241"/>
    </row>
    <row r="560" spans="1:52" s="71" customFormat="1" ht="18" hidden="1" customHeight="1" outlineLevel="2">
      <c r="A560" s="175">
        <v>48</v>
      </c>
      <c r="B560" s="312" t="str">
        <f>(IF('Inputs Whole-Project Water Use'!B560&lt;&gt;"",'Inputs Whole-Project Water Use'!B560,""))</f>
        <v/>
      </c>
      <c r="C560" s="313" t="str">
        <f>IF(AND(K560&lt;&gt;"",'Inputs Whole-Project Water Use'!C560=""),1,IF('Inputs Whole-Project Water Use'!C560&lt;&gt;"",'Inputs Whole-Project Water Use'!C560,""))</f>
        <v/>
      </c>
      <c r="D560" s="397" t="str">
        <f>IF('Inputs Whole-Project Water Use'!D560&lt;&gt;"",'Inputs Whole-Project Water Use'!D560,"")</f>
        <v/>
      </c>
      <c r="E560" s="398"/>
      <c r="F560" s="314" t="str">
        <f>IF('Inputs Whole-Project Water Use'!F560&lt;&gt;"",'Inputs Whole-Project Water Use'!F560,"")</f>
        <v/>
      </c>
      <c r="G560" s="314" t="str">
        <f>IF('Inputs Whole-Project Water Use'!G560&lt;&gt;"",'Inputs Whole-Project Water Use'!G560,"")</f>
        <v/>
      </c>
      <c r="H560" s="315" t="str">
        <f>IF('Inputs Whole-Project Water Use'!H560&lt;&gt;"",'Inputs Whole-Project Water Use'!H560,"")</f>
        <v/>
      </c>
      <c r="I560" s="344" t="str">
        <f>IF('Inputs Whole-Project Water Use'!I560&lt;&gt;"",'Inputs Whole-Project Water Use'!I560,"")</f>
        <v/>
      </c>
      <c r="J560" s="345"/>
      <c r="K560" s="316" t="str">
        <f>IF('Inputs Whole-Project Water Use'!K560&lt;&gt;"",'Inputs Whole-Project Water Use'!K560,"")</f>
        <v/>
      </c>
      <c r="L560" s="316" t="str">
        <f>IF('Inputs Whole-Project Water Use'!L560&lt;&gt;"",'Inputs Whole-Project Water Use'!L560,"")</f>
        <v/>
      </c>
      <c r="M560" s="390" t="str">
        <f t="shared" si="56"/>
        <v/>
      </c>
      <c r="N560" s="391"/>
      <c r="O560" s="225" t="str">
        <f t="shared" si="57"/>
        <v/>
      </c>
      <c r="P560" s="225" t="str">
        <f t="shared" si="58"/>
        <v/>
      </c>
      <c r="Q560" s="289" t="str">
        <f>IF(AND(L560&lt;&gt;"",'Inputs Whole-Project Water Use'!Q560=""),0,IF('Inputs Whole-Project Water Use'!Q560&lt;&gt;"",'Inputs Whole-Project Water Use'!Q560,""))</f>
        <v/>
      </c>
      <c r="R560" s="225" t="str">
        <f t="shared" si="59"/>
        <v/>
      </c>
      <c r="S560" s="225" t="str">
        <f t="shared" si="60"/>
        <v/>
      </c>
      <c r="T560" s="231" t="str">
        <f t="shared" si="61"/>
        <v/>
      </c>
      <c r="U560" s="176"/>
      <c r="V560" s="241"/>
      <c r="W560" s="241"/>
      <c r="X560" s="241"/>
      <c r="Y560" s="241"/>
      <c r="Z560" s="241"/>
      <c r="AA560" s="241"/>
      <c r="AB560" s="241"/>
      <c r="AC560" s="241"/>
      <c r="AD560" s="241"/>
      <c r="AE560" s="241"/>
      <c r="AF560" s="241"/>
      <c r="AG560" s="241"/>
      <c r="AH560" s="241"/>
      <c r="AI560" s="241"/>
      <c r="AJ560" s="241"/>
      <c r="AK560" s="241"/>
      <c r="AL560" s="241"/>
      <c r="AM560" s="241"/>
      <c r="AN560" s="241"/>
      <c r="AO560" s="241"/>
      <c r="AP560" s="241"/>
      <c r="AQ560" s="241"/>
      <c r="AR560" s="241"/>
      <c r="AS560" s="241"/>
      <c r="AT560" s="241"/>
      <c r="AU560" s="241"/>
      <c r="AV560" s="241"/>
      <c r="AW560" s="241"/>
      <c r="AX560" s="241"/>
      <c r="AY560" s="241"/>
      <c r="AZ560" s="241"/>
    </row>
    <row r="561" spans="1:52" s="71" customFormat="1" ht="18" hidden="1" customHeight="1" outlineLevel="2">
      <c r="A561" s="175">
        <v>49</v>
      </c>
      <c r="B561" s="312" t="str">
        <f>(IF('Inputs Whole-Project Water Use'!B561&lt;&gt;"",'Inputs Whole-Project Water Use'!B561,""))</f>
        <v/>
      </c>
      <c r="C561" s="313" t="str">
        <f>IF(AND(K561&lt;&gt;"",'Inputs Whole-Project Water Use'!C561=""),1,IF('Inputs Whole-Project Water Use'!C561&lt;&gt;"",'Inputs Whole-Project Water Use'!C561,""))</f>
        <v/>
      </c>
      <c r="D561" s="397" t="str">
        <f>IF('Inputs Whole-Project Water Use'!D561&lt;&gt;"",'Inputs Whole-Project Water Use'!D561,"")</f>
        <v/>
      </c>
      <c r="E561" s="398"/>
      <c r="F561" s="314" t="str">
        <f>IF('Inputs Whole-Project Water Use'!F561&lt;&gt;"",'Inputs Whole-Project Water Use'!F561,"")</f>
        <v/>
      </c>
      <c r="G561" s="314" t="str">
        <f>IF('Inputs Whole-Project Water Use'!G561&lt;&gt;"",'Inputs Whole-Project Water Use'!G561,"")</f>
        <v/>
      </c>
      <c r="H561" s="315" t="str">
        <f>IF('Inputs Whole-Project Water Use'!H561&lt;&gt;"",'Inputs Whole-Project Water Use'!H561,"")</f>
        <v/>
      </c>
      <c r="I561" s="344" t="str">
        <f>IF('Inputs Whole-Project Water Use'!I561&lt;&gt;"",'Inputs Whole-Project Water Use'!I561,"")</f>
        <v/>
      </c>
      <c r="J561" s="345"/>
      <c r="K561" s="316" t="str">
        <f>IF('Inputs Whole-Project Water Use'!K561&lt;&gt;"",'Inputs Whole-Project Water Use'!K561,"")</f>
        <v/>
      </c>
      <c r="L561" s="316" t="str">
        <f>IF('Inputs Whole-Project Water Use'!L561&lt;&gt;"",'Inputs Whole-Project Water Use'!L561,"")</f>
        <v/>
      </c>
      <c r="M561" s="390" t="str">
        <f t="shared" si="56"/>
        <v/>
      </c>
      <c r="N561" s="391"/>
      <c r="O561" s="225" t="str">
        <f t="shared" si="57"/>
        <v/>
      </c>
      <c r="P561" s="225" t="str">
        <f t="shared" si="58"/>
        <v/>
      </c>
      <c r="Q561" s="289" t="str">
        <f>IF(AND(L561&lt;&gt;"",'Inputs Whole-Project Water Use'!Q561=""),0,IF('Inputs Whole-Project Water Use'!Q561&lt;&gt;"",'Inputs Whole-Project Water Use'!Q561,""))</f>
        <v/>
      </c>
      <c r="R561" s="225" t="str">
        <f t="shared" si="59"/>
        <v/>
      </c>
      <c r="S561" s="225" t="str">
        <f t="shared" si="60"/>
        <v/>
      </c>
      <c r="T561" s="231" t="str">
        <f t="shared" si="61"/>
        <v/>
      </c>
      <c r="U561" s="176"/>
      <c r="V561" s="241"/>
      <c r="W561" s="241"/>
      <c r="X561" s="241"/>
      <c r="Y561" s="241"/>
      <c r="Z561" s="241"/>
      <c r="AA561" s="241"/>
      <c r="AB561" s="241"/>
      <c r="AC561" s="241"/>
      <c r="AD561" s="241"/>
      <c r="AE561" s="241"/>
      <c r="AF561" s="241"/>
      <c r="AG561" s="241"/>
      <c r="AH561" s="241"/>
      <c r="AI561" s="241"/>
      <c r="AJ561" s="241"/>
      <c r="AK561" s="241"/>
      <c r="AL561" s="241"/>
      <c r="AM561" s="241"/>
      <c r="AN561" s="241"/>
      <c r="AO561" s="241"/>
      <c r="AP561" s="241"/>
      <c r="AQ561" s="241"/>
      <c r="AR561" s="241"/>
      <c r="AS561" s="241"/>
      <c r="AT561" s="241"/>
      <c r="AU561" s="241"/>
      <c r="AV561" s="241"/>
      <c r="AW561" s="241"/>
      <c r="AX561" s="241"/>
      <c r="AY561" s="241"/>
      <c r="AZ561" s="241"/>
    </row>
    <row r="562" spans="1:52" s="71" customFormat="1" ht="18" hidden="1" customHeight="1" outlineLevel="2">
      <c r="A562" s="175">
        <v>50</v>
      </c>
      <c r="B562" s="312" t="str">
        <f>(IF('Inputs Whole-Project Water Use'!B562&lt;&gt;"",'Inputs Whole-Project Water Use'!B562,""))</f>
        <v/>
      </c>
      <c r="C562" s="313" t="str">
        <f>IF(AND(K562&lt;&gt;"",'Inputs Whole-Project Water Use'!C562=""),1,IF('Inputs Whole-Project Water Use'!C562&lt;&gt;"",'Inputs Whole-Project Water Use'!C562,""))</f>
        <v/>
      </c>
      <c r="D562" s="397" t="str">
        <f>IF('Inputs Whole-Project Water Use'!D562&lt;&gt;"",'Inputs Whole-Project Water Use'!D562,"")</f>
        <v/>
      </c>
      <c r="E562" s="398"/>
      <c r="F562" s="314" t="str">
        <f>IF('Inputs Whole-Project Water Use'!F562&lt;&gt;"",'Inputs Whole-Project Water Use'!F562,"")</f>
        <v/>
      </c>
      <c r="G562" s="314" t="str">
        <f>IF('Inputs Whole-Project Water Use'!G562&lt;&gt;"",'Inputs Whole-Project Water Use'!G562,"")</f>
        <v/>
      </c>
      <c r="H562" s="315" t="str">
        <f>IF('Inputs Whole-Project Water Use'!H562&lt;&gt;"",'Inputs Whole-Project Water Use'!H562,"")</f>
        <v/>
      </c>
      <c r="I562" s="344" t="str">
        <f>IF('Inputs Whole-Project Water Use'!I562&lt;&gt;"",'Inputs Whole-Project Water Use'!I562,"")</f>
        <v/>
      </c>
      <c r="J562" s="345"/>
      <c r="K562" s="316" t="str">
        <f>IF('Inputs Whole-Project Water Use'!K562&lt;&gt;"",'Inputs Whole-Project Water Use'!K562,"")</f>
        <v/>
      </c>
      <c r="L562" s="316" t="str">
        <f>IF('Inputs Whole-Project Water Use'!L562&lt;&gt;"",'Inputs Whole-Project Water Use'!L562,"")</f>
        <v/>
      </c>
      <c r="M562" s="390" t="str">
        <f t="shared" si="56"/>
        <v/>
      </c>
      <c r="N562" s="391"/>
      <c r="O562" s="225" t="str">
        <f t="shared" si="57"/>
        <v/>
      </c>
      <c r="P562" s="225" t="str">
        <f t="shared" si="58"/>
        <v/>
      </c>
      <c r="Q562" s="289" t="str">
        <f>IF(AND(L562&lt;&gt;"",'Inputs Whole-Project Water Use'!Q562=""),0,IF('Inputs Whole-Project Water Use'!Q562&lt;&gt;"",'Inputs Whole-Project Water Use'!Q562,""))</f>
        <v/>
      </c>
      <c r="R562" s="225" t="str">
        <f t="shared" si="59"/>
        <v/>
      </c>
      <c r="S562" s="225" t="str">
        <f t="shared" si="60"/>
        <v/>
      </c>
      <c r="T562" s="231" t="str">
        <f t="shared" si="61"/>
        <v/>
      </c>
      <c r="U562" s="176"/>
      <c r="V562" s="241"/>
      <c r="W562" s="241"/>
      <c r="X562" s="241"/>
      <c r="Y562" s="241"/>
      <c r="Z562" s="241"/>
      <c r="AA562" s="241"/>
      <c r="AB562" s="241"/>
      <c r="AC562" s="241"/>
      <c r="AD562" s="241"/>
      <c r="AE562" s="241"/>
      <c r="AF562" s="241"/>
      <c r="AG562" s="241"/>
      <c r="AH562" s="241"/>
      <c r="AI562" s="241"/>
      <c r="AJ562" s="241"/>
      <c r="AK562" s="241"/>
      <c r="AL562" s="241"/>
      <c r="AM562" s="241"/>
      <c r="AN562" s="241"/>
      <c r="AO562" s="241"/>
      <c r="AP562" s="241"/>
      <c r="AQ562" s="241"/>
      <c r="AR562" s="241"/>
      <c r="AS562" s="241"/>
      <c r="AT562" s="241"/>
      <c r="AU562" s="241"/>
      <c r="AV562" s="241"/>
      <c r="AW562" s="241"/>
      <c r="AX562" s="241"/>
      <c r="AY562" s="241"/>
      <c r="AZ562" s="241"/>
    </row>
    <row r="563" spans="1:52" s="71" customFormat="1" ht="18" hidden="1" customHeight="1" outlineLevel="1" collapsed="1">
      <c r="A563" s="175">
        <v>51</v>
      </c>
      <c r="B563" s="312" t="str">
        <f>(IF('Inputs Whole-Project Water Use'!B563&lt;&gt;"",'Inputs Whole-Project Water Use'!B563,""))</f>
        <v/>
      </c>
      <c r="C563" s="313" t="str">
        <f>IF(AND(K563&lt;&gt;"",'Inputs Whole-Project Water Use'!C563=""),1,IF('Inputs Whole-Project Water Use'!C563&lt;&gt;"",'Inputs Whole-Project Water Use'!C563,""))</f>
        <v/>
      </c>
      <c r="D563" s="397" t="str">
        <f>IF('Inputs Whole-Project Water Use'!D563&lt;&gt;"",'Inputs Whole-Project Water Use'!D563,"")</f>
        <v/>
      </c>
      <c r="E563" s="398"/>
      <c r="F563" s="314" t="str">
        <f>IF('Inputs Whole-Project Water Use'!F563&lt;&gt;"",'Inputs Whole-Project Water Use'!F563,"")</f>
        <v/>
      </c>
      <c r="G563" s="314" t="str">
        <f>IF('Inputs Whole-Project Water Use'!G563&lt;&gt;"",'Inputs Whole-Project Water Use'!G563,"")</f>
        <v/>
      </c>
      <c r="H563" s="315" t="str">
        <f>IF('Inputs Whole-Project Water Use'!H563&lt;&gt;"",'Inputs Whole-Project Water Use'!H563,"")</f>
        <v/>
      </c>
      <c r="I563" s="344" t="str">
        <f>IF('Inputs Whole-Project Water Use'!I563&lt;&gt;"",'Inputs Whole-Project Water Use'!I563,"")</f>
        <v/>
      </c>
      <c r="J563" s="345"/>
      <c r="K563" s="316" t="str">
        <f>IF('Inputs Whole-Project Water Use'!K563&lt;&gt;"",'Inputs Whole-Project Water Use'!K563,"")</f>
        <v/>
      </c>
      <c r="L563" s="316" t="str">
        <f>IF('Inputs Whole-Project Water Use'!L563&lt;&gt;"",'Inputs Whole-Project Water Use'!L563,"")</f>
        <v/>
      </c>
      <c r="M563" s="390" t="str">
        <f t="shared" si="56"/>
        <v/>
      </c>
      <c r="N563" s="391"/>
      <c r="O563" s="225" t="str">
        <f t="shared" si="57"/>
        <v/>
      </c>
      <c r="P563" s="225" t="str">
        <f t="shared" si="58"/>
        <v/>
      </c>
      <c r="Q563" s="289" t="str">
        <f>IF(AND(L563&lt;&gt;"",'Inputs Whole-Project Water Use'!Q563=""),0,IF('Inputs Whole-Project Water Use'!Q563&lt;&gt;"",'Inputs Whole-Project Water Use'!Q563,""))</f>
        <v/>
      </c>
      <c r="R563" s="225" t="str">
        <f t="shared" si="59"/>
        <v/>
      </c>
      <c r="S563" s="225" t="str">
        <f t="shared" si="60"/>
        <v/>
      </c>
      <c r="T563" s="231" t="str">
        <f t="shared" si="61"/>
        <v/>
      </c>
      <c r="U563" s="176" t="s">
        <v>165</v>
      </c>
      <c r="V563" s="241"/>
      <c r="W563" s="241"/>
      <c r="X563" s="241"/>
      <c r="Y563" s="241"/>
      <c r="Z563" s="241"/>
      <c r="AA563" s="241"/>
      <c r="AB563" s="241"/>
      <c r="AC563" s="241"/>
      <c r="AD563" s="241"/>
      <c r="AE563" s="241"/>
      <c r="AF563" s="241"/>
      <c r="AG563" s="241"/>
      <c r="AH563" s="241"/>
      <c r="AI563" s="241"/>
      <c r="AJ563" s="241"/>
      <c r="AK563" s="241"/>
      <c r="AL563" s="241"/>
      <c r="AM563" s="241"/>
      <c r="AN563" s="241"/>
      <c r="AO563" s="241"/>
      <c r="AP563" s="241"/>
      <c r="AQ563" s="241"/>
      <c r="AR563" s="241"/>
      <c r="AS563" s="241"/>
      <c r="AT563" s="241"/>
      <c r="AU563" s="241"/>
      <c r="AV563" s="241"/>
      <c r="AW563" s="241"/>
      <c r="AX563" s="241"/>
      <c r="AY563" s="241"/>
      <c r="AZ563" s="241"/>
    </row>
    <row r="564" spans="1:52" s="71" customFormat="1" ht="18" hidden="1" customHeight="1" outlineLevel="2">
      <c r="A564" s="175">
        <v>52</v>
      </c>
      <c r="B564" s="312" t="str">
        <f>(IF('Inputs Whole-Project Water Use'!B564&lt;&gt;"",'Inputs Whole-Project Water Use'!B564,""))</f>
        <v/>
      </c>
      <c r="C564" s="313" t="str">
        <f>IF(AND(K564&lt;&gt;"",'Inputs Whole-Project Water Use'!C564=""),1,IF('Inputs Whole-Project Water Use'!C564&lt;&gt;"",'Inputs Whole-Project Water Use'!C564,""))</f>
        <v/>
      </c>
      <c r="D564" s="397" t="str">
        <f>IF('Inputs Whole-Project Water Use'!D564&lt;&gt;"",'Inputs Whole-Project Water Use'!D564,"")</f>
        <v/>
      </c>
      <c r="E564" s="398"/>
      <c r="F564" s="314" t="str">
        <f>IF('Inputs Whole-Project Water Use'!F564&lt;&gt;"",'Inputs Whole-Project Water Use'!F564,"")</f>
        <v/>
      </c>
      <c r="G564" s="314" t="str">
        <f>IF('Inputs Whole-Project Water Use'!G564&lt;&gt;"",'Inputs Whole-Project Water Use'!G564,"")</f>
        <v/>
      </c>
      <c r="H564" s="315" t="str">
        <f>IF('Inputs Whole-Project Water Use'!H564&lt;&gt;"",'Inputs Whole-Project Water Use'!H564,"")</f>
        <v/>
      </c>
      <c r="I564" s="344" t="str">
        <f>IF('Inputs Whole-Project Water Use'!I564&lt;&gt;"",'Inputs Whole-Project Water Use'!I564,"")</f>
        <v/>
      </c>
      <c r="J564" s="345"/>
      <c r="K564" s="316" t="str">
        <f>IF('Inputs Whole-Project Water Use'!K564&lt;&gt;"",'Inputs Whole-Project Water Use'!K564,"")</f>
        <v/>
      </c>
      <c r="L564" s="316" t="str">
        <f>IF('Inputs Whole-Project Water Use'!L564&lt;&gt;"",'Inputs Whole-Project Water Use'!L564,"")</f>
        <v/>
      </c>
      <c r="M564" s="390" t="str">
        <f t="shared" si="56"/>
        <v/>
      </c>
      <c r="N564" s="391"/>
      <c r="O564" s="225" t="str">
        <f t="shared" si="57"/>
        <v/>
      </c>
      <c r="P564" s="225" t="str">
        <f t="shared" si="58"/>
        <v/>
      </c>
      <c r="Q564" s="289" t="str">
        <f>IF(AND(L564&lt;&gt;"",'Inputs Whole-Project Water Use'!Q564=""),0,IF('Inputs Whole-Project Water Use'!Q564&lt;&gt;"",'Inputs Whole-Project Water Use'!Q564,""))</f>
        <v/>
      </c>
      <c r="R564" s="225" t="str">
        <f t="shared" si="59"/>
        <v/>
      </c>
      <c r="S564" s="225" t="str">
        <f t="shared" si="60"/>
        <v/>
      </c>
      <c r="T564" s="231" t="str">
        <f t="shared" si="61"/>
        <v/>
      </c>
      <c r="U564" s="176"/>
      <c r="V564" s="241"/>
      <c r="W564" s="241"/>
      <c r="X564" s="241"/>
      <c r="Y564" s="241"/>
      <c r="Z564" s="241"/>
      <c r="AA564" s="241"/>
      <c r="AB564" s="241"/>
      <c r="AC564" s="241"/>
      <c r="AD564" s="241"/>
      <c r="AE564" s="241"/>
      <c r="AF564" s="241"/>
      <c r="AG564" s="241"/>
      <c r="AH564" s="241"/>
      <c r="AI564" s="241"/>
      <c r="AJ564" s="241"/>
      <c r="AK564" s="241"/>
      <c r="AL564" s="241"/>
      <c r="AM564" s="241"/>
      <c r="AN564" s="241"/>
      <c r="AO564" s="241"/>
      <c r="AP564" s="241"/>
      <c r="AQ564" s="241"/>
      <c r="AR564" s="241"/>
      <c r="AS564" s="241"/>
      <c r="AT564" s="241"/>
      <c r="AU564" s="241"/>
      <c r="AV564" s="241"/>
      <c r="AW564" s="241"/>
      <c r="AX564" s="241"/>
      <c r="AY564" s="241"/>
      <c r="AZ564" s="241"/>
    </row>
    <row r="565" spans="1:52" s="71" customFormat="1" ht="18" hidden="1" customHeight="1" outlineLevel="2">
      <c r="A565" s="175">
        <v>53</v>
      </c>
      <c r="B565" s="312" t="str">
        <f>(IF('Inputs Whole-Project Water Use'!B565&lt;&gt;"",'Inputs Whole-Project Water Use'!B565,""))</f>
        <v/>
      </c>
      <c r="C565" s="313" t="str">
        <f>IF(AND(K565&lt;&gt;"",'Inputs Whole-Project Water Use'!C565=""),1,IF('Inputs Whole-Project Water Use'!C565&lt;&gt;"",'Inputs Whole-Project Water Use'!C565,""))</f>
        <v/>
      </c>
      <c r="D565" s="397" t="str">
        <f>IF('Inputs Whole-Project Water Use'!D565&lt;&gt;"",'Inputs Whole-Project Water Use'!D565,"")</f>
        <v/>
      </c>
      <c r="E565" s="398"/>
      <c r="F565" s="314" t="str">
        <f>IF('Inputs Whole-Project Water Use'!F565&lt;&gt;"",'Inputs Whole-Project Water Use'!F565,"")</f>
        <v/>
      </c>
      <c r="G565" s="314" t="str">
        <f>IF('Inputs Whole-Project Water Use'!G565&lt;&gt;"",'Inputs Whole-Project Water Use'!G565,"")</f>
        <v/>
      </c>
      <c r="H565" s="315" t="str">
        <f>IF('Inputs Whole-Project Water Use'!H565&lt;&gt;"",'Inputs Whole-Project Water Use'!H565,"")</f>
        <v/>
      </c>
      <c r="I565" s="344" t="str">
        <f>IF('Inputs Whole-Project Water Use'!I565&lt;&gt;"",'Inputs Whole-Project Water Use'!I565,"")</f>
        <v/>
      </c>
      <c r="J565" s="345"/>
      <c r="K565" s="316" t="str">
        <f>IF('Inputs Whole-Project Water Use'!K565&lt;&gt;"",'Inputs Whole-Project Water Use'!K565,"")</f>
        <v/>
      </c>
      <c r="L565" s="316" t="str">
        <f>IF('Inputs Whole-Project Water Use'!L565&lt;&gt;"",'Inputs Whole-Project Water Use'!L565,"")</f>
        <v/>
      </c>
      <c r="M565" s="390" t="str">
        <f t="shared" si="56"/>
        <v/>
      </c>
      <c r="N565" s="391"/>
      <c r="O565" s="225" t="str">
        <f t="shared" si="57"/>
        <v/>
      </c>
      <c r="P565" s="225" t="str">
        <f t="shared" si="58"/>
        <v/>
      </c>
      <c r="Q565" s="289" t="str">
        <f>IF(AND(L565&lt;&gt;"",'Inputs Whole-Project Water Use'!Q565=""),0,IF('Inputs Whole-Project Water Use'!Q565&lt;&gt;"",'Inputs Whole-Project Water Use'!Q565,""))</f>
        <v/>
      </c>
      <c r="R565" s="225" t="str">
        <f t="shared" si="59"/>
        <v/>
      </c>
      <c r="S565" s="225" t="str">
        <f t="shared" si="60"/>
        <v/>
      </c>
      <c r="T565" s="231" t="str">
        <f t="shared" si="61"/>
        <v/>
      </c>
      <c r="U565" s="176"/>
      <c r="V565" s="241"/>
      <c r="W565" s="241"/>
      <c r="X565" s="241"/>
      <c r="Y565" s="241"/>
      <c r="Z565" s="241"/>
      <c r="AA565" s="241"/>
      <c r="AB565" s="241"/>
      <c r="AC565" s="241"/>
      <c r="AD565" s="241"/>
      <c r="AE565" s="241"/>
      <c r="AF565" s="241"/>
      <c r="AG565" s="241"/>
      <c r="AH565" s="241"/>
      <c r="AI565" s="241"/>
      <c r="AJ565" s="241"/>
      <c r="AK565" s="241"/>
      <c r="AL565" s="241"/>
      <c r="AM565" s="241"/>
      <c r="AN565" s="241"/>
      <c r="AO565" s="241"/>
      <c r="AP565" s="241"/>
      <c r="AQ565" s="241"/>
      <c r="AR565" s="241"/>
      <c r="AS565" s="241"/>
      <c r="AT565" s="241"/>
      <c r="AU565" s="241"/>
      <c r="AV565" s="241"/>
      <c r="AW565" s="241"/>
      <c r="AX565" s="241"/>
      <c r="AY565" s="241"/>
      <c r="AZ565" s="241"/>
    </row>
    <row r="566" spans="1:52" s="71" customFormat="1" ht="18" hidden="1" customHeight="1" outlineLevel="2">
      <c r="A566" s="175">
        <v>54</v>
      </c>
      <c r="B566" s="312" t="str">
        <f>(IF('Inputs Whole-Project Water Use'!B566&lt;&gt;"",'Inputs Whole-Project Water Use'!B566,""))</f>
        <v/>
      </c>
      <c r="C566" s="313" t="str">
        <f>IF(AND(K566&lt;&gt;"",'Inputs Whole-Project Water Use'!C566=""),1,IF('Inputs Whole-Project Water Use'!C566&lt;&gt;"",'Inputs Whole-Project Water Use'!C566,""))</f>
        <v/>
      </c>
      <c r="D566" s="397" t="str">
        <f>IF('Inputs Whole-Project Water Use'!D566&lt;&gt;"",'Inputs Whole-Project Water Use'!D566,"")</f>
        <v/>
      </c>
      <c r="E566" s="398"/>
      <c r="F566" s="314" t="str">
        <f>IF('Inputs Whole-Project Water Use'!F566&lt;&gt;"",'Inputs Whole-Project Water Use'!F566,"")</f>
        <v/>
      </c>
      <c r="G566" s="314" t="str">
        <f>IF('Inputs Whole-Project Water Use'!G566&lt;&gt;"",'Inputs Whole-Project Water Use'!G566,"")</f>
        <v/>
      </c>
      <c r="H566" s="315" t="str">
        <f>IF('Inputs Whole-Project Water Use'!H566&lt;&gt;"",'Inputs Whole-Project Water Use'!H566,"")</f>
        <v/>
      </c>
      <c r="I566" s="344" t="str">
        <f>IF('Inputs Whole-Project Water Use'!I566&lt;&gt;"",'Inputs Whole-Project Water Use'!I566,"")</f>
        <v/>
      </c>
      <c r="J566" s="345"/>
      <c r="K566" s="316" t="str">
        <f>IF('Inputs Whole-Project Water Use'!K566&lt;&gt;"",'Inputs Whole-Project Water Use'!K566,"")</f>
        <v/>
      </c>
      <c r="L566" s="316" t="str">
        <f>IF('Inputs Whole-Project Water Use'!L566&lt;&gt;"",'Inputs Whole-Project Water Use'!L566,"")</f>
        <v/>
      </c>
      <c r="M566" s="390" t="str">
        <f t="shared" si="56"/>
        <v/>
      </c>
      <c r="N566" s="391"/>
      <c r="O566" s="225" t="str">
        <f t="shared" si="57"/>
        <v/>
      </c>
      <c r="P566" s="225" t="str">
        <f t="shared" si="58"/>
        <v/>
      </c>
      <c r="Q566" s="289" t="str">
        <f>IF(AND(L566&lt;&gt;"",'Inputs Whole-Project Water Use'!Q566=""),0,IF('Inputs Whole-Project Water Use'!Q566&lt;&gt;"",'Inputs Whole-Project Water Use'!Q566,""))</f>
        <v/>
      </c>
      <c r="R566" s="225" t="str">
        <f t="shared" si="59"/>
        <v/>
      </c>
      <c r="S566" s="225" t="str">
        <f t="shared" si="60"/>
        <v/>
      </c>
      <c r="T566" s="231" t="str">
        <f t="shared" si="61"/>
        <v/>
      </c>
      <c r="U566" s="176"/>
      <c r="V566" s="241"/>
      <c r="W566" s="241"/>
      <c r="X566" s="241"/>
      <c r="Y566" s="241"/>
      <c r="Z566" s="241"/>
      <c r="AA566" s="241"/>
      <c r="AB566" s="241"/>
      <c r="AC566" s="241"/>
      <c r="AD566" s="241"/>
      <c r="AE566" s="241"/>
      <c r="AF566" s="241"/>
      <c r="AG566" s="241"/>
      <c r="AH566" s="241"/>
      <c r="AI566" s="241"/>
      <c r="AJ566" s="241"/>
      <c r="AK566" s="241"/>
      <c r="AL566" s="241"/>
      <c r="AM566" s="241"/>
      <c r="AN566" s="241"/>
      <c r="AO566" s="241"/>
      <c r="AP566" s="241"/>
      <c r="AQ566" s="241"/>
      <c r="AR566" s="241"/>
      <c r="AS566" s="241"/>
      <c r="AT566" s="241"/>
      <c r="AU566" s="241"/>
      <c r="AV566" s="241"/>
      <c r="AW566" s="241"/>
      <c r="AX566" s="241"/>
      <c r="AY566" s="241"/>
      <c r="AZ566" s="241"/>
    </row>
    <row r="567" spans="1:52" s="71" customFormat="1" ht="18" hidden="1" customHeight="1" outlineLevel="2">
      <c r="A567" s="175">
        <v>55</v>
      </c>
      <c r="B567" s="312" t="str">
        <f>(IF('Inputs Whole-Project Water Use'!B567&lt;&gt;"",'Inputs Whole-Project Water Use'!B567,""))</f>
        <v/>
      </c>
      <c r="C567" s="313" t="str">
        <f>IF(AND(K567&lt;&gt;"",'Inputs Whole-Project Water Use'!C567=""),1,IF('Inputs Whole-Project Water Use'!C567&lt;&gt;"",'Inputs Whole-Project Water Use'!C567,""))</f>
        <v/>
      </c>
      <c r="D567" s="397" t="str">
        <f>IF('Inputs Whole-Project Water Use'!D567&lt;&gt;"",'Inputs Whole-Project Water Use'!D567,"")</f>
        <v/>
      </c>
      <c r="E567" s="398"/>
      <c r="F567" s="314" t="str">
        <f>IF('Inputs Whole-Project Water Use'!F567&lt;&gt;"",'Inputs Whole-Project Water Use'!F567,"")</f>
        <v/>
      </c>
      <c r="G567" s="314" t="str">
        <f>IF('Inputs Whole-Project Water Use'!G567&lt;&gt;"",'Inputs Whole-Project Water Use'!G567,"")</f>
        <v/>
      </c>
      <c r="H567" s="315" t="str">
        <f>IF('Inputs Whole-Project Water Use'!H567&lt;&gt;"",'Inputs Whole-Project Water Use'!H567,"")</f>
        <v/>
      </c>
      <c r="I567" s="344" t="str">
        <f>IF('Inputs Whole-Project Water Use'!I567&lt;&gt;"",'Inputs Whole-Project Water Use'!I567,"")</f>
        <v/>
      </c>
      <c r="J567" s="345"/>
      <c r="K567" s="316" t="str">
        <f>IF('Inputs Whole-Project Water Use'!K567&lt;&gt;"",'Inputs Whole-Project Water Use'!K567,"")</f>
        <v/>
      </c>
      <c r="L567" s="316" t="str">
        <f>IF('Inputs Whole-Project Water Use'!L567&lt;&gt;"",'Inputs Whole-Project Water Use'!L567,"")</f>
        <v/>
      </c>
      <c r="M567" s="390" t="str">
        <f t="shared" si="56"/>
        <v/>
      </c>
      <c r="N567" s="391"/>
      <c r="O567" s="225" t="str">
        <f t="shared" si="57"/>
        <v/>
      </c>
      <c r="P567" s="225" t="str">
        <f t="shared" si="58"/>
        <v/>
      </c>
      <c r="Q567" s="289" t="str">
        <f>IF(AND(L567&lt;&gt;"",'Inputs Whole-Project Water Use'!Q567=""),0,IF('Inputs Whole-Project Water Use'!Q567&lt;&gt;"",'Inputs Whole-Project Water Use'!Q567,""))</f>
        <v/>
      </c>
      <c r="R567" s="225" t="str">
        <f t="shared" si="59"/>
        <v/>
      </c>
      <c r="S567" s="225" t="str">
        <f t="shared" si="60"/>
        <v/>
      </c>
      <c r="T567" s="231" t="str">
        <f t="shared" si="61"/>
        <v/>
      </c>
      <c r="U567" s="176"/>
      <c r="V567" s="241"/>
      <c r="W567" s="241"/>
      <c r="X567" s="241"/>
      <c r="Y567" s="241"/>
      <c r="Z567" s="241"/>
      <c r="AA567" s="241"/>
      <c r="AB567" s="241"/>
      <c r="AC567" s="241"/>
      <c r="AD567" s="241"/>
      <c r="AE567" s="241"/>
      <c r="AF567" s="241"/>
      <c r="AG567" s="241"/>
      <c r="AH567" s="241"/>
      <c r="AI567" s="241"/>
      <c r="AJ567" s="241"/>
      <c r="AK567" s="241"/>
      <c r="AL567" s="241"/>
      <c r="AM567" s="241"/>
      <c r="AN567" s="241"/>
      <c r="AO567" s="241"/>
      <c r="AP567" s="241"/>
      <c r="AQ567" s="241"/>
      <c r="AR567" s="241"/>
      <c r="AS567" s="241"/>
      <c r="AT567" s="241"/>
      <c r="AU567" s="241"/>
      <c r="AV567" s="241"/>
      <c r="AW567" s="241"/>
      <c r="AX567" s="241"/>
      <c r="AY567" s="241"/>
      <c r="AZ567" s="241"/>
    </row>
    <row r="568" spans="1:52" s="71" customFormat="1" ht="18" hidden="1" customHeight="1" outlineLevel="2">
      <c r="A568" s="175">
        <v>56</v>
      </c>
      <c r="B568" s="312" t="str">
        <f>(IF('Inputs Whole-Project Water Use'!B568&lt;&gt;"",'Inputs Whole-Project Water Use'!B568,""))</f>
        <v/>
      </c>
      <c r="C568" s="313" t="str">
        <f>IF(AND(K568&lt;&gt;"",'Inputs Whole-Project Water Use'!C568=""),1,IF('Inputs Whole-Project Water Use'!C568&lt;&gt;"",'Inputs Whole-Project Water Use'!C568,""))</f>
        <v/>
      </c>
      <c r="D568" s="397" t="str">
        <f>IF('Inputs Whole-Project Water Use'!D568&lt;&gt;"",'Inputs Whole-Project Water Use'!D568,"")</f>
        <v/>
      </c>
      <c r="E568" s="398"/>
      <c r="F568" s="314" t="str">
        <f>IF('Inputs Whole-Project Water Use'!F568&lt;&gt;"",'Inputs Whole-Project Water Use'!F568,"")</f>
        <v/>
      </c>
      <c r="G568" s="314" t="str">
        <f>IF('Inputs Whole-Project Water Use'!G568&lt;&gt;"",'Inputs Whole-Project Water Use'!G568,"")</f>
        <v/>
      </c>
      <c r="H568" s="315" t="str">
        <f>IF('Inputs Whole-Project Water Use'!H568&lt;&gt;"",'Inputs Whole-Project Water Use'!H568,"")</f>
        <v/>
      </c>
      <c r="I568" s="344" t="str">
        <f>IF('Inputs Whole-Project Water Use'!I568&lt;&gt;"",'Inputs Whole-Project Water Use'!I568,"")</f>
        <v/>
      </c>
      <c r="J568" s="345"/>
      <c r="K568" s="316" t="str">
        <f>IF('Inputs Whole-Project Water Use'!K568&lt;&gt;"",'Inputs Whole-Project Water Use'!K568,"")</f>
        <v/>
      </c>
      <c r="L568" s="316" t="str">
        <f>IF('Inputs Whole-Project Water Use'!L568&lt;&gt;"",'Inputs Whole-Project Water Use'!L568,"")</f>
        <v/>
      </c>
      <c r="M568" s="390" t="str">
        <f t="shared" si="56"/>
        <v/>
      </c>
      <c r="N568" s="391"/>
      <c r="O568" s="225" t="str">
        <f t="shared" si="57"/>
        <v/>
      </c>
      <c r="P568" s="225" t="str">
        <f t="shared" si="58"/>
        <v/>
      </c>
      <c r="Q568" s="289" t="str">
        <f>IF(AND(L568&lt;&gt;"",'Inputs Whole-Project Water Use'!Q568=""),0,IF('Inputs Whole-Project Water Use'!Q568&lt;&gt;"",'Inputs Whole-Project Water Use'!Q568,""))</f>
        <v/>
      </c>
      <c r="R568" s="225" t="str">
        <f t="shared" si="59"/>
        <v/>
      </c>
      <c r="S568" s="225" t="str">
        <f t="shared" si="60"/>
        <v/>
      </c>
      <c r="T568" s="231" t="str">
        <f t="shared" si="61"/>
        <v/>
      </c>
      <c r="U568" s="176"/>
      <c r="V568" s="241"/>
      <c r="W568" s="241"/>
      <c r="X568" s="241"/>
      <c r="Y568" s="241"/>
      <c r="Z568" s="241"/>
      <c r="AA568" s="241"/>
      <c r="AB568" s="241"/>
      <c r="AC568" s="241"/>
      <c r="AD568" s="241"/>
      <c r="AE568" s="241"/>
      <c r="AF568" s="241"/>
      <c r="AG568" s="241"/>
      <c r="AH568" s="241"/>
      <c r="AI568" s="241"/>
      <c r="AJ568" s="241"/>
      <c r="AK568" s="241"/>
      <c r="AL568" s="241"/>
      <c r="AM568" s="241"/>
      <c r="AN568" s="241"/>
      <c r="AO568" s="241"/>
      <c r="AP568" s="241"/>
      <c r="AQ568" s="241"/>
      <c r="AR568" s="241"/>
      <c r="AS568" s="241"/>
      <c r="AT568" s="241"/>
      <c r="AU568" s="241"/>
      <c r="AV568" s="241"/>
      <c r="AW568" s="241"/>
      <c r="AX568" s="241"/>
      <c r="AY568" s="241"/>
      <c r="AZ568" s="241"/>
    </row>
    <row r="569" spans="1:52" s="71" customFormat="1" ht="18" hidden="1" customHeight="1" outlineLevel="2">
      <c r="A569" s="175">
        <v>57</v>
      </c>
      <c r="B569" s="312" t="str">
        <f>(IF('Inputs Whole-Project Water Use'!B569&lt;&gt;"",'Inputs Whole-Project Water Use'!B569,""))</f>
        <v/>
      </c>
      <c r="C569" s="313" t="str">
        <f>IF(AND(K569&lt;&gt;"",'Inputs Whole-Project Water Use'!C569=""),1,IF('Inputs Whole-Project Water Use'!C569&lt;&gt;"",'Inputs Whole-Project Water Use'!C569,""))</f>
        <v/>
      </c>
      <c r="D569" s="397" t="str">
        <f>IF('Inputs Whole-Project Water Use'!D569&lt;&gt;"",'Inputs Whole-Project Water Use'!D569,"")</f>
        <v/>
      </c>
      <c r="E569" s="398"/>
      <c r="F569" s="314" t="str">
        <f>IF('Inputs Whole-Project Water Use'!F569&lt;&gt;"",'Inputs Whole-Project Water Use'!F569,"")</f>
        <v/>
      </c>
      <c r="G569" s="314" t="str">
        <f>IF('Inputs Whole-Project Water Use'!G569&lt;&gt;"",'Inputs Whole-Project Water Use'!G569,"")</f>
        <v/>
      </c>
      <c r="H569" s="315" t="str">
        <f>IF('Inputs Whole-Project Water Use'!H569&lt;&gt;"",'Inputs Whole-Project Water Use'!H569,"")</f>
        <v/>
      </c>
      <c r="I569" s="344" t="str">
        <f>IF('Inputs Whole-Project Water Use'!I569&lt;&gt;"",'Inputs Whole-Project Water Use'!I569,"")</f>
        <v/>
      </c>
      <c r="J569" s="345"/>
      <c r="K569" s="316" t="str">
        <f>IF('Inputs Whole-Project Water Use'!K569&lt;&gt;"",'Inputs Whole-Project Water Use'!K569,"")</f>
        <v/>
      </c>
      <c r="L569" s="316" t="str">
        <f>IF('Inputs Whole-Project Water Use'!L569&lt;&gt;"",'Inputs Whole-Project Water Use'!L569,"")</f>
        <v/>
      </c>
      <c r="M569" s="390" t="str">
        <f t="shared" si="56"/>
        <v/>
      </c>
      <c r="N569" s="391"/>
      <c r="O569" s="225" t="str">
        <f t="shared" si="57"/>
        <v/>
      </c>
      <c r="P569" s="225" t="str">
        <f t="shared" si="58"/>
        <v/>
      </c>
      <c r="Q569" s="289" t="str">
        <f>IF(AND(L569&lt;&gt;"",'Inputs Whole-Project Water Use'!Q569=""),0,IF('Inputs Whole-Project Water Use'!Q569&lt;&gt;"",'Inputs Whole-Project Water Use'!Q569,""))</f>
        <v/>
      </c>
      <c r="R569" s="225" t="str">
        <f t="shared" si="59"/>
        <v/>
      </c>
      <c r="S569" s="225" t="str">
        <f t="shared" si="60"/>
        <v/>
      </c>
      <c r="T569" s="231" t="str">
        <f t="shared" si="61"/>
        <v/>
      </c>
      <c r="U569" s="176"/>
      <c r="V569" s="241"/>
      <c r="W569" s="241"/>
      <c r="X569" s="241"/>
      <c r="Y569" s="241"/>
      <c r="Z569" s="241"/>
      <c r="AA569" s="241"/>
      <c r="AB569" s="241"/>
      <c r="AC569" s="241"/>
      <c r="AD569" s="241"/>
      <c r="AE569" s="241"/>
      <c r="AF569" s="241"/>
      <c r="AG569" s="241"/>
      <c r="AH569" s="241"/>
      <c r="AI569" s="241"/>
      <c r="AJ569" s="241"/>
      <c r="AK569" s="241"/>
      <c r="AL569" s="241"/>
      <c r="AM569" s="241"/>
      <c r="AN569" s="241"/>
      <c r="AO569" s="241"/>
      <c r="AP569" s="241"/>
      <c r="AQ569" s="241"/>
      <c r="AR569" s="241"/>
      <c r="AS569" s="241"/>
      <c r="AT569" s="241"/>
      <c r="AU569" s="241"/>
      <c r="AV569" s="241"/>
      <c r="AW569" s="241"/>
      <c r="AX569" s="241"/>
      <c r="AY569" s="241"/>
      <c r="AZ569" s="241"/>
    </row>
    <row r="570" spans="1:52" s="71" customFormat="1" ht="18" hidden="1" customHeight="1" outlineLevel="2">
      <c r="A570" s="175">
        <v>58</v>
      </c>
      <c r="B570" s="312" t="str">
        <f>(IF('Inputs Whole-Project Water Use'!B570&lt;&gt;"",'Inputs Whole-Project Water Use'!B570,""))</f>
        <v/>
      </c>
      <c r="C570" s="313" t="str">
        <f>IF(AND(K570&lt;&gt;"",'Inputs Whole-Project Water Use'!C570=""),1,IF('Inputs Whole-Project Water Use'!C570&lt;&gt;"",'Inputs Whole-Project Water Use'!C570,""))</f>
        <v/>
      </c>
      <c r="D570" s="397" t="str">
        <f>IF('Inputs Whole-Project Water Use'!D570&lt;&gt;"",'Inputs Whole-Project Water Use'!D570,"")</f>
        <v/>
      </c>
      <c r="E570" s="398"/>
      <c r="F570" s="314" t="str">
        <f>IF('Inputs Whole-Project Water Use'!F570&lt;&gt;"",'Inputs Whole-Project Water Use'!F570,"")</f>
        <v/>
      </c>
      <c r="G570" s="314" t="str">
        <f>IF('Inputs Whole-Project Water Use'!G570&lt;&gt;"",'Inputs Whole-Project Water Use'!G570,"")</f>
        <v/>
      </c>
      <c r="H570" s="315" t="str">
        <f>IF('Inputs Whole-Project Water Use'!H570&lt;&gt;"",'Inputs Whole-Project Water Use'!H570,"")</f>
        <v/>
      </c>
      <c r="I570" s="344" t="str">
        <f>IF('Inputs Whole-Project Water Use'!I570&lt;&gt;"",'Inputs Whole-Project Water Use'!I570,"")</f>
        <v/>
      </c>
      <c r="J570" s="345"/>
      <c r="K570" s="316" t="str">
        <f>IF('Inputs Whole-Project Water Use'!K570&lt;&gt;"",'Inputs Whole-Project Water Use'!K570,"")</f>
        <v/>
      </c>
      <c r="L570" s="316" t="str">
        <f>IF('Inputs Whole-Project Water Use'!L570&lt;&gt;"",'Inputs Whole-Project Water Use'!L570,"")</f>
        <v/>
      </c>
      <c r="M570" s="390" t="str">
        <f t="shared" si="56"/>
        <v/>
      </c>
      <c r="N570" s="391"/>
      <c r="O570" s="225" t="str">
        <f t="shared" si="57"/>
        <v/>
      </c>
      <c r="P570" s="225" t="str">
        <f t="shared" si="58"/>
        <v/>
      </c>
      <c r="Q570" s="289" t="str">
        <f>IF(AND(L570&lt;&gt;"",'Inputs Whole-Project Water Use'!Q570=""),0,IF('Inputs Whole-Project Water Use'!Q570&lt;&gt;"",'Inputs Whole-Project Water Use'!Q570,""))</f>
        <v/>
      </c>
      <c r="R570" s="225" t="str">
        <f t="shared" si="59"/>
        <v/>
      </c>
      <c r="S570" s="225" t="str">
        <f t="shared" si="60"/>
        <v/>
      </c>
      <c r="T570" s="231" t="str">
        <f t="shared" si="61"/>
        <v/>
      </c>
      <c r="U570" s="176"/>
      <c r="V570" s="241"/>
      <c r="W570" s="241"/>
      <c r="X570" s="241"/>
      <c r="Y570" s="241"/>
      <c r="Z570" s="241"/>
      <c r="AA570" s="241"/>
      <c r="AB570" s="241"/>
      <c r="AC570" s="241"/>
      <c r="AD570" s="241"/>
      <c r="AE570" s="241"/>
      <c r="AF570" s="241"/>
      <c r="AG570" s="241"/>
      <c r="AH570" s="241"/>
      <c r="AI570" s="241"/>
      <c r="AJ570" s="241"/>
      <c r="AK570" s="241"/>
      <c r="AL570" s="241"/>
      <c r="AM570" s="241"/>
      <c r="AN570" s="241"/>
      <c r="AO570" s="241"/>
      <c r="AP570" s="241"/>
      <c r="AQ570" s="241"/>
      <c r="AR570" s="241"/>
      <c r="AS570" s="241"/>
      <c r="AT570" s="241"/>
      <c r="AU570" s="241"/>
      <c r="AV570" s="241"/>
      <c r="AW570" s="241"/>
      <c r="AX570" s="241"/>
      <c r="AY570" s="241"/>
      <c r="AZ570" s="241"/>
    </row>
    <row r="571" spans="1:52" s="71" customFormat="1" ht="18" hidden="1" customHeight="1" outlineLevel="2">
      <c r="A571" s="175">
        <v>59</v>
      </c>
      <c r="B571" s="312" t="str">
        <f>(IF('Inputs Whole-Project Water Use'!B571&lt;&gt;"",'Inputs Whole-Project Water Use'!B571,""))</f>
        <v/>
      </c>
      <c r="C571" s="313" t="str">
        <f>IF(AND(K571&lt;&gt;"",'Inputs Whole-Project Water Use'!C571=""),1,IF('Inputs Whole-Project Water Use'!C571&lt;&gt;"",'Inputs Whole-Project Water Use'!C571,""))</f>
        <v/>
      </c>
      <c r="D571" s="397" t="str">
        <f>IF('Inputs Whole-Project Water Use'!D571&lt;&gt;"",'Inputs Whole-Project Water Use'!D571,"")</f>
        <v/>
      </c>
      <c r="E571" s="398"/>
      <c r="F571" s="314" t="str">
        <f>IF('Inputs Whole-Project Water Use'!F571&lt;&gt;"",'Inputs Whole-Project Water Use'!F571,"")</f>
        <v/>
      </c>
      <c r="G571" s="314" t="str">
        <f>IF('Inputs Whole-Project Water Use'!G571&lt;&gt;"",'Inputs Whole-Project Water Use'!G571,"")</f>
        <v/>
      </c>
      <c r="H571" s="315" t="str">
        <f>IF('Inputs Whole-Project Water Use'!H571&lt;&gt;"",'Inputs Whole-Project Water Use'!H571,"")</f>
        <v/>
      </c>
      <c r="I571" s="344" t="str">
        <f>IF('Inputs Whole-Project Water Use'!I571&lt;&gt;"",'Inputs Whole-Project Water Use'!I571,"")</f>
        <v/>
      </c>
      <c r="J571" s="345"/>
      <c r="K571" s="316" t="str">
        <f>IF('Inputs Whole-Project Water Use'!K571&lt;&gt;"",'Inputs Whole-Project Water Use'!K571,"")</f>
        <v/>
      </c>
      <c r="L571" s="316" t="str">
        <f>IF('Inputs Whole-Project Water Use'!L571&lt;&gt;"",'Inputs Whole-Project Water Use'!L571,"")</f>
        <v/>
      </c>
      <c r="M571" s="390" t="str">
        <f t="shared" si="56"/>
        <v/>
      </c>
      <c r="N571" s="391"/>
      <c r="O571" s="225" t="str">
        <f t="shared" si="57"/>
        <v/>
      </c>
      <c r="P571" s="225" t="str">
        <f t="shared" si="58"/>
        <v/>
      </c>
      <c r="Q571" s="289" t="str">
        <f>IF(AND(L571&lt;&gt;"",'Inputs Whole-Project Water Use'!Q571=""),0,IF('Inputs Whole-Project Water Use'!Q571&lt;&gt;"",'Inputs Whole-Project Water Use'!Q571,""))</f>
        <v/>
      </c>
      <c r="R571" s="225" t="str">
        <f t="shared" si="59"/>
        <v/>
      </c>
      <c r="S571" s="225" t="str">
        <f t="shared" si="60"/>
        <v/>
      </c>
      <c r="T571" s="231" t="str">
        <f t="shared" si="61"/>
        <v/>
      </c>
      <c r="U571" s="176"/>
      <c r="V571" s="241"/>
      <c r="W571" s="241"/>
      <c r="X571" s="241"/>
      <c r="Y571" s="241"/>
      <c r="Z571" s="241"/>
      <c r="AA571" s="241"/>
      <c r="AB571" s="241"/>
      <c r="AC571" s="241"/>
      <c r="AD571" s="241"/>
      <c r="AE571" s="241"/>
      <c r="AF571" s="241"/>
      <c r="AG571" s="241"/>
      <c r="AH571" s="241"/>
      <c r="AI571" s="241"/>
      <c r="AJ571" s="241"/>
      <c r="AK571" s="241"/>
      <c r="AL571" s="241"/>
      <c r="AM571" s="241"/>
      <c r="AN571" s="241"/>
      <c r="AO571" s="241"/>
      <c r="AP571" s="241"/>
      <c r="AQ571" s="241"/>
      <c r="AR571" s="241"/>
      <c r="AS571" s="241"/>
      <c r="AT571" s="241"/>
      <c r="AU571" s="241"/>
      <c r="AV571" s="241"/>
      <c r="AW571" s="241"/>
      <c r="AX571" s="241"/>
      <c r="AY571" s="241"/>
      <c r="AZ571" s="241"/>
    </row>
    <row r="572" spans="1:52" s="71" customFormat="1" ht="18" hidden="1" customHeight="1" outlineLevel="2">
      <c r="A572" s="175">
        <v>60</v>
      </c>
      <c r="B572" s="312" t="str">
        <f>(IF('Inputs Whole-Project Water Use'!B572&lt;&gt;"",'Inputs Whole-Project Water Use'!B572,""))</f>
        <v/>
      </c>
      <c r="C572" s="313" t="str">
        <f>IF(AND(K572&lt;&gt;"",'Inputs Whole-Project Water Use'!C572=""),1,IF('Inputs Whole-Project Water Use'!C572&lt;&gt;"",'Inputs Whole-Project Water Use'!C572,""))</f>
        <v/>
      </c>
      <c r="D572" s="397" t="str">
        <f>IF('Inputs Whole-Project Water Use'!D572&lt;&gt;"",'Inputs Whole-Project Water Use'!D572,"")</f>
        <v/>
      </c>
      <c r="E572" s="398"/>
      <c r="F572" s="314" t="str">
        <f>IF('Inputs Whole-Project Water Use'!F572&lt;&gt;"",'Inputs Whole-Project Water Use'!F572,"")</f>
        <v/>
      </c>
      <c r="G572" s="314" t="str">
        <f>IF('Inputs Whole-Project Water Use'!G572&lt;&gt;"",'Inputs Whole-Project Water Use'!G572,"")</f>
        <v/>
      </c>
      <c r="H572" s="315" t="str">
        <f>IF('Inputs Whole-Project Water Use'!H572&lt;&gt;"",'Inputs Whole-Project Water Use'!H572,"")</f>
        <v/>
      </c>
      <c r="I572" s="344" t="str">
        <f>IF('Inputs Whole-Project Water Use'!I572&lt;&gt;"",'Inputs Whole-Project Water Use'!I572,"")</f>
        <v/>
      </c>
      <c r="J572" s="345"/>
      <c r="K572" s="316" t="str">
        <f>IF('Inputs Whole-Project Water Use'!K572&lt;&gt;"",'Inputs Whole-Project Water Use'!K572,"")</f>
        <v/>
      </c>
      <c r="L572" s="316" t="str">
        <f>IF('Inputs Whole-Project Water Use'!L572&lt;&gt;"",'Inputs Whole-Project Water Use'!L572,"")</f>
        <v/>
      </c>
      <c r="M572" s="390" t="str">
        <f t="shared" si="56"/>
        <v/>
      </c>
      <c r="N572" s="391"/>
      <c r="O572" s="225" t="str">
        <f t="shared" si="57"/>
        <v/>
      </c>
      <c r="P572" s="225" t="str">
        <f t="shared" si="58"/>
        <v/>
      </c>
      <c r="Q572" s="289" t="str">
        <f>IF(AND(L572&lt;&gt;"",'Inputs Whole-Project Water Use'!Q572=""),0,IF('Inputs Whole-Project Water Use'!Q572&lt;&gt;"",'Inputs Whole-Project Water Use'!Q572,""))</f>
        <v/>
      </c>
      <c r="R572" s="225" t="str">
        <f t="shared" si="59"/>
        <v/>
      </c>
      <c r="S572" s="225" t="str">
        <f t="shared" si="60"/>
        <v/>
      </c>
      <c r="T572" s="231" t="str">
        <f t="shared" si="61"/>
        <v/>
      </c>
      <c r="U572" s="176"/>
      <c r="V572" s="241"/>
      <c r="W572" s="241"/>
      <c r="X572" s="241"/>
      <c r="Y572" s="241"/>
      <c r="Z572" s="241"/>
      <c r="AA572" s="241"/>
      <c r="AB572" s="241"/>
      <c r="AC572" s="241"/>
      <c r="AD572" s="241"/>
      <c r="AE572" s="241"/>
      <c r="AF572" s="241"/>
      <c r="AG572" s="241"/>
      <c r="AH572" s="241"/>
      <c r="AI572" s="241"/>
      <c r="AJ572" s="241"/>
      <c r="AK572" s="241"/>
      <c r="AL572" s="241"/>
      <c r="AM572" s="241"/>
      <c r="AN572" s="241"/>
      <c r="AO572" s="241"/>
      <c r="AP572" s="241"/>
      <c r="AQ572" s="241"/>
      <c r="AR572" s="241"/>
      <c r="AS572" s="241"/>
      <c r="AT572" s="241"/>
      <c r="AU572" s="241"/>
      <c r="AV572" s="241"/>
      <c r="AW572" s="241"/>
      <c r="AX572" s="241"/>
      <c r="AY572" s="241"/>
      <c r="AZ572" s="241"/>
    </row>
    <row r="573" spans="1:52" s="71" customFormat="1" ht="18" hidden="1" customHeight="1" outlineLevel="2">
      <c r="A573" s="175">
        <v>61</v>
      </c>
      <c r="B573" s="312" t="str">
        <f>(IF('Inputs Whole-Project Water Use'!B573&lt;&gt;"",'Inputs Whole-Project Water Use'!B573,""))</f>
        <v/>
      </c>
      <c r="C573" s="313" t="str">
        <f>IF(AND(K573&lt;&gt;"",'Inputs Whole-Project Water Use'!C573=""),1,IF('Inputs Whole-Project Water Use'!C573&lt;&gt;"",'Inputs Whole-Project Water Use'!C573,""))</f>
        <v/>
      </c>
      <c r="D573" s="397" t="str">
        <f>IF('Inputs Whole-Project Water Use'!D573&lt;&gt;"",'Inputs Whole-Project Water Use'!D573,"")</f>
        <v/>
      </c>
      <c r="E573" s="398"/>
      <c r="F573" s="314" t="str">
        <f>IF('Inputs Whole-Project Water Use'!F573&lt;&gt;"",'Inputs Whole-Project Water Use'!F573,"")</f>
        <v/>
      </c>
      <c r="G573" s="314" t="str">
        <f>IF('Inputs Whole-Project Water Use'!G573&lt;&gt;"",'Inputs Whole-Project Water Use'!G573,"")</f>
        <v/>
      </c>
      <c r="H573" s="315" t="str">
        <f>IF('Inputs Whole-Project Water Use'!H573&lt;&gt;"",'Inputs Whole-Project Water Use'!H573,"")</f>
        <v/>
      </c>
      <c r="I573" s="344" t="str">
        <f>IF('Inputs Whole-Project Water Use'!I573&lt;&gt;"",'Inputs Whole-Project Water Use'!I573,"")</f>
        <v/>
      </c>
      <c r="J573" s="345"/>
      <c r="K573" s="316" t="str">
        <f>IF('Inputs Whole-Project Water Use'!K573&lt;&gt;"",'Inputs Whole-Project Water Use'!K573,"")</f>
        <v/>
      </c>
      <c r="L573" s="316" t="str">
        <f>IF('Inputs Whole-Project Water Use'!L573&lt;&gt;"",'Inputs Whole-Project Water Use'!L573,"")</f>
        <v/>
      </c>
      <c r="M573" s="390" t="str">
        <f t="shared" si="56"/>
        <v/>
      </c>
      <c r="N573" s="391"/>
      <c r="O573" s="225" t="str">
        <f t="shared" si="57"/>
        <v/>
      </c>
      <c r="P573" s="225" t="str">
        <f t="shared" si="58"/>
        <v/>
      </c>
      <c r="Q573" s="289" t="str">
        <f>IF(AND(L573&lt;&gt;"",'Inputs Whole-Project Water Use'!Q573=""),0,IF('Inputs Whole-Project Water Use'!Q573&lt;&gt;"",'Inputs Whole-Project Water Use'!Q573,""))</f>
        <v/>
      </c>
      <c r="R573" s="225" t="str">
        <f t="shared" si="59"/>
        <v/>
      </c>
      <c r="S573" s="225" t="str">
        <f t="shared" si="60"/>
        <v/>
      </c>
      <c r="T573" s="231" t="str">
        <f t="shared" si="61"/>
        <v/>
      </c>
      <c r="U573" s="176"/>
      <c r="V573" s="241"/>
      <c r="W573" s="241"/>
      <c r="X573" s="241"/>
      <c r="Y573" s="241"/>
      <c r="Z573" s="241"/>
      <c r="AA573" s="241"/>
      <c r="AB573" s="241"/>
      <c r="AC573" s="241"/>
      <c r="AD573" s="241"/>
      <c r="AE573" s="241"/>
      <c r="AF573" s="241"/>
      <c r="AG573" s="241"/>
      <c r="AH573" s="241"/>
      <c r="AI573" s="241"/>
      <c r="AJ573" s="241"/>
      <c r="AK573" s="241"/>
      <c r="AL573" s="241"/>
      <c r="AM573" s="241"/>
      <c r="AN573" s="241"/>
      <c r="AO573" s="241"/>
      <c r="AP573" s="241"/>
      <c r="AQ573" s="241"/>
      <c r="AR573" s="241"/>
      <c r="AS573" s="241"/>
      <c r="AT573" s="241"/>
      <c r="AU573" s="241"/>
      <c r="AV573" s="241"/>
      <c r="AW573" s="241"/>
      <c r="AX573" s="241"/>
      <c r="AY573" s="241"/>
      <c r="AZ573" s="241"/>
    </row>
    <row r="574" spans="1:52" s="71" customFormat="1" ht="18" hidden="1" customHeight="1" outlineLevel="2">
      <c r="A574" s="175">
        <v>62</v>
      </c>
      <c r="B574" s="312" t="str">
        <f>(IF('Inputs Whole-Project Water Use'!B574&lt;&gt;"",'Inputs Whole-Project Water Use'!B574,""))</f>
        <v/>
      </c>
      <c r="C574" s="313" t="str">
        <f>IF(AND(K574&lt;&gt;"",'Inputs Whole-Project Water Use'!C574=""),1,IF('Inputs Whole-Project Water Use'!C574&lt;&gt;"",'Inputs Whole-Project Water Use'!C574,""))</f>
        <v/>
      </c>
      <c r="D574" s="397" t="str">
        <f>IF('Inputs Whole-Project Water Use'!D574&lt;&gt;"",'Inputs Whole-Project Water Use'!D574,"")</f>
        <v/>
      </c>
      <c r="E574" s="398"/>
      <c r="F574" s="314" t="str">
        <f>IF('Inputs Whole-Project Water Use'!F574&lt;&gt;"",'Inputs Whole-Project Water Use'!F574,"")</f>
        <v/>
      </c>
      <c r="G574" s="314" t="str">
        <f>IF('Inputs Whole-Project Water Use'!G574&lt;&gt;"",'Inputs Whole-Project Water Use'!G574,"")</f>
        <v/>
      </c>
      <c r="H574" s="315" t="str">
        <f>IF('Inputs Whole-Project Water Use'!H574&lt;&gt;"",'Inputs Whole-Project Water Use'!H574,"")</f>
        <v/>
      </c>
      <c r="I574" s="344" t="str">
        <f>IF('Inputs Whole-Project Water Use'!I574&lt;&gt;"",'Inputs Whole-Project Water Use'!I574,"")</f>
        <v/>
      </c>
      <c r="J574" s="345"/>
      <c r="K574" s="316" t="str">
        <f>IF('Inputs Whole-Project Water Use'!K574&lt;&gt;"",'Inputs Whole-Project Water Use'!K574,"")</f>
        <v/>
      </c>
      <c r="L574" s="316" t="str">
        <f>IF('Inputs Whole-Project Water Use'!L574&lt;&gt;"",'Inputs Whole-Project Water Use'!L574,"")</f>
        <v/>
      </c>
      <c r="M574" s="390" t="str">
        <f t="shared" si="56"/>
        <v/>
      </c>
      <c r="N574" s="391"/>
      <c r="O574" s="225" t="str">
        <f t="shared" si="57"/>
        <v/>
      </c>
      <c r="P574" s="225" t="str">
        <f t="shared" si="58"/>
        <v/>
      </c>
      <c r="Q574" s="289" t="str">
        <f>IF(AND(L574&lt;&gt;"",'Inputs Whole-Project Water Use'!Q574=""),0,IF('Inputs Whole-Project Water Use'!Q574&lt;&gt;"",'Inputs Whole-Project Water Use'!Q574,""))</f>
        <v/>
      </c>
      <c r="R574" s="225" t="str">
        <f t="shared" si="59"/>
        <v/>
      </c>
      <c r="S574" s="225" t="str">
        <f t="shared" si="60"/>
        <v/>
      </c>
      <c r="T574" s="231" t="str">
        <f t="shared" si="61"/>
        <v/>
      </c>
      <c r="U574" s="176"/>
      <c r="V574" s="241"/>
      <c r="W574" s="241"/>
      <c r="X574" s="241"/>
      <c r="Y574" s="241"/>
      <c r="Z574" s="241"/>
      <c r="AA574" s="241"/>
      <c r="AB574" s="241"/>
      <c r="AC574" s="241"/>
      <c r="AD574" s="241"/>
      <c r="AE574" s="241"/>
      <c r="AF574" s="241"/>
      <c r="AG574" s="241"/>
      <c r="AH574" s="241"/>
      <c r="AI574" s="241"/>
      <c r="AJ574" s="241"/>
      <c r="AK574" s="241"/>
      <c r="AL574" s="241"/>
      <c r="AM574" s="241"/>
      <c r="AN574" s="241"/>
      <c r="AO574" s="241"/>
      <c r="AP574" s="241"/>
      <c r="AQ574" s="241"/>
      <c r="AR574" s="241"/>
      <c r="AS574" s="241"/>
      <c r="AT574" s="241"/>
      <c r="AU574" s="241"/>
      <c r="AV574" s="241"/>
      <c r="AW574" s="241"/>
      <c r="AX574" s="241"/>
      <c r="AY574" s="241"/>
      <c r="AZ574" s="241"/>
    </row>
    <row r="575" spans="1:52" s="71" customFormat="1" ht="18" hidden="1" customHeight="1" outlineLevel="2">
      <c r="A575" s="175">
        <v>63</v>
      </c>
      <c r="B575" s="312" t="str">
        <f>(IF('Inputs Whole-Project Water Use'!B575&lt;&gt;"",'Inputs Whole-Project Water Use'!B575,""))</f>
        <v/>
      </c>
      <c r="C575" s="313" t="str">
        <f>IF(AND(K575&lt;&gt;"",'Inputs Whole-Project Water Use'!C575=""),1,IF('Inputs Whole-Project Water Use'!C575&lt;&gt;"",'Inputs Whole-Project Water Use'!C575,""))</f>
        <v/>
      </c>
      <c r="D575" s="397" t="str">
        <f>IF('Inputs Whole-Project Water Use'!D575&lt;&gt;"",'Inputs Whole-Project Water Use'!D575,"")</f>
        <v/>
      </c>
      <c r="E575" s="398"/>
      <c r="F575" s="314" t="str">
        <f>IF('Inputs Whole-Project Water Use'!F575&lt;&gt;"",'Inputs Whole-Project Water Use'!F575,"")</f>
        <v/>
      </c>
      <c r="G575" s="314" t="str">
        <f>IF('Inputs Whole-Project Water Use'!G575&lt;&gt;"",'Inputs Whole-Project Water Use'!G575,"")</f>
        <v/>
      </c>
      <c r="H575" s="315" t="str">
        <f>IF('Inputs Whole-Project Water Use'!H575&lt;&gt;"",'Inputs Whole-Project Water Use'!H575,"")</f>
        <v/>
      </c>
      <c r="I575" s="344" t="str">
        <f>IF('Inputs Whole-Project Water Use'!I575&lt;&gt;"",'Inputs Whole-Project Water Use'!I575,"")</f>
        <v/>
      </c>
      <c r="J575" s="345"/>
      <c r="K575" s="316" t="str">
        <f>IF('Inputs Whole-Project Water Use'!K575&lt;&gt;"",'Inputs Whole-Project Water Use'!K575,"")</f>
        <v/>
      </c>
      <c r="L575" s="316" t="str">
        <f>IF('Inputs Whole-Project Water Use'!L575&lt;&gt;"",'Inputs Whole-Project Water Use'!L575,"")</f>
        <v/>
      </c>
      <c r="M575" s="390" t="str">
        <f t="shared" si="56"/>
        <v/>
      </c>
      <c r="N575" s="391"/>
      <c r="O575" s="225" t="str">
        <f t="shared" si="57"/>
        <v/>
      </c>
      <c r="P575" s="225" t="str">
        <f t="shared" si="58"/>
        <v/>
      </c>
      <c r="Q575" s="289" t="str">
        <f>IF(AND(L575&lt;&gt;"",'Inputs Whole-Project Water Use'!Q575=""),0,IF('Inputs Whole-Project Water Use'!Q575&lt;&gt;"",'Inputs Whole-Project Water Use'!Q575,""))</f>
        <v/>
      </c>
      <c r="R575" s="225" t="str">
        <f t="shared" si="59"/>
        <v/>
      </c>
      <c r="S575" s="225" t="str">
        <f t="shared" si="60"/>
        <v/>
      </c>
      <c r="T575" s="231" t="str">
        <f t="shared" si="61"/>
        <v/>
      </c>
      <c r="U575" s="176"/>
      <c r="V575" s="241"/>
      <c r="W575" s="241"/>
      <c r="X575" s="241"/>
      <c r="Y575" s="241"/>
      <c r="Z575" s="241"/>
      <c r="AA575" s="241"/>
      <c r="AB575" s="241"/>
      <c r="AC575" s="241"/>
      <c r="AD575" s="241"/>
      <c r="AE575" s="241"/>
      <c r="AF575" s="241"/>
      <c r="AG575" s="241"/>
      <c r="AH575" s="241"/>
      <c r="AI575" s="241"/>
      <c r="AJ575" s="241"/>
      <c r="AK575" s="241"/>
      <c r="AL575" s="241"/>
      <c r="AM575" s="241"/>
      <c r="AN575" s="241"/>
      <c r="AO575" s="241"/>
      <c r="AP575" s="241"/>
      <c r="AQ575" s="241"/>
      <c r="AR575" s="241"/>
      <c r="AS575" s="241"/>
      <c r="AT575" s="241"/>
      <c r="AU575" s="241"/>
      <c r="AV575" s="241"/>
      <c r="AW575" s="241"/>
      <c r="AX575" s="241"/>
      <c r="AY575" s="241"/>
      <c r="AZ575" s="241"/>
    </row>
    <row r="576" spans="1:52" s="71" customFormat="1" ht="18" hidden="1" customHeight="1" outlineLevel="2">
      <c r="A576" s="175">
        <v>64</v>
      </c>
      <c r="B576" s="312" t="str">
        <f>(IF('Inputs Whole-Project Water Use'!B576&lt;&gt;"",'Inputs Whole-Project Water Use'!B576,""))</f>
        <v/>
      </c>
      <c r="C576" s="313" t="str">
        <f>IF(AND(K576&lt;&gt;"",'Inputs Whole-Project Water Use'!C576=""),1,IF('Inputs Whole-Project Water Use'!C576&lt;&gt;"",'Inputs Whole-Project Water Use'!C576,""))</f>
        <v/>
      </c>
      <c r="D576" s="397" t="str">
        <f>IF('Inputs Whole-Project Water Use'!D576&lt;&gt;"",'Inputs Whole-Project Water Use'!D576,"")</f>
        <v/>
      </c>
      <c r="E576" s="398"/>
      <c r="F576" s="314" t="str">
        <f>IF('Inputs Whole-Project Water Use'!F576&lt;&gt;"",'Inputs Whole-Project Water Use'!F576,"")</f>
        <v/>
      </c>
      <c r="G576" s="314" t="str">
        <f>IF('Inputs Whole-Project Water Use'!G576&lt;&gt;"",'Inputs Whole-Project Water Use'!G576,"")</f>
        <v/>
      </c>
      <c r="H576" s="315" t="str">
        <f>IF('Inputs Whole-Project Water Use'!H576&lt;&gt;"",'Inputs Whole-Project Water Use'!H576,"")</f>
        <v/>
      </c>
      <c r="I576" s="344" t="str">
        <f>IF('Inputs Whole-Project Water Use'!I576&lt;&gt;"",'Inputs Whole-Project Water Use'!I576,"")</f>
        <v/>
      </c>
      <c r="J576" s="345"/>
      <c r="K576" s="316" t="str">
        <f>IF('Inputs Whole-Project Water Use'!K576&lt;&gt;"",'Inputs Whole-Project Water Use'!K576,"")</f>
        <v/>
      </c>
      <c r="L576" s="316" t="str">
        <f>IF('Inputs Whole-Project Water Use'!L576&lt;&gt;"",'Inputs Whole-Project Water Use'!L576,"")</f>
        <v/>
      </c>
      <c r="M576" s="390" t="str">
        <f t="shared" si="56"/>
        <v/>
      </c>
      <c r="N576" s="391"/>
      <c r="O576" s="225" t="str">
        <f t="shared" si="57"/>
        <v/>
      </c>
      <c r="P576" s="225" t="str">
        <f t="shared" si="58"/>
        <v/>
      </c>
      <c r="Q576" s="289" t="str">
        <f>IF(AND(L576&lt;&gt;"",'Inputs Whole-Project Water Use'!Q576=""),0,IF('Inputs Whole-Project Water Use'!Q576&lt;&gt;"",'Inputs Whole-Project Water Use'!Q576,""))</f>
        <v/>
      </c>
      <c r="R576" s="225" t="str">
        <f t="shared" si="59"/>
        <v/>
      </c>
      <c r="S576" s="225" t="str">
        <f t="shared" si="60"/>
        <v/>
      </c>
      <c r="T576" s="231" t="str">
        <f t="shared" si="61"/>
        <v/>
      </c>
      <c r="U576" s="176"/>
      <c r="V576" s="241"/>
      <c r="W576" s="241"/>
      <c r="X576" s="241"/>
      <c r="Y576" s="241"/>
      <c r="Z576" s="241"/>
      <c r="AA576" s="241"/>
      <c r="AB576" s="241"/>
      <c r="AC576" s="241"/>
      <c r="AD576" s="241"/>
      <c r="AE576" s="241"/>
      <c r="AF576" s="241"/>
      <c r="AG576" s="241"/>
      <c r="AH576" s="241"/>
      <c r="AI576" s="241"/>
      <c r="AJ576" s="241"/>
      <c r="AK576" s="241"/>
      <c r="AL576" s="241"/>
      <c r="AM576" s="241"/>
      <c r="AN576" s="241"/>
      <c r="AO576" s="241"/>
      <c r="AP576" s="241"/>
      <c r="AQ576" s="241"/>
      <c r="AR576" s="241"/>
      <c r="AS576" s="241"/>
      <c r="AT576" s="241"/>
      <c r="AU576" s="241"/>
      <c r="AV576" s="241"/>
      <c r="AW576" s="241"/>
      <c r="AX576" s="241"/>
      <c r="AY576" s="241"/>
      <c r="AZ576" s="241"/>
    </row>
    <row r="577" spans="1:52" s="71" customFormat="1" ht="18" hidden="1" customHeight="1" outlineLevel="2">
      <c r="A577" s="175">
        <v>65</v>
      </c>
      <c r="B577" s="312" t="str">
        <f>(IF('Inputs Whole-Project Water Use'!B577&lt;&gt;"",'Inputs Whole-Project Water Use'!B577,""))</f>
        <v/>
      </c>
      <c r="C577" s="313" t="str">
        <f>IF(AND(K577&lt;&gt;"",'Inputs Whole-Project Water Use'!C577=""),1,IF('Inputs Whole-Project Water Use'!C577&lt;&gt;"",'Inputs Whole-Project Water Use'!C577,""))</f>
        <v/>
      </c>
      <c r="D577" s="397" t="str">
        <f>IF('Inputs Whole-Project Water Use'!D577&lt;&gt;"",'Inputs Whole-Project Water Use'!D577,"")</f>
        <v/>
      </c>
      <c r="E577" s="398"/>
      <c r="F577" s="314" t="str">
        <f>IF('Inputs Whole-Project Water Use'!F577&lt;&gt;"",'Inputs Whole-Project Water Use'!F577,"")</f>
        <v/>
      </c>
      <c r="G577" s="314" t="str">
        <f>IF('Inputs Whole-Project Water Use'!G577&lt;&gt;"",'Inputs Whole-Project Water Use'!G577,"")</f>
        <v/>
      </c>
      <c r="H577" s="315" t="str">
        <f>IF('Inputs Whole-Project Water Use'!H577&lt;&gt;"",'Inputs Whole-Project Water Use'!H577,"")</f>
        <v/>
      </c>
      <c r="I577" s="344" t="str">
        <f>IF('Inputs Whole-Project Water Use'!I577&lt;&gt;"",'Inputs Whole-Project Water Use'!I577,"")</f>
        <v/>
      </c>
      <c r="J577" s="345"/>
      <c r="K577" s="316" t="str">
        <f>IF('Inputs Whole-Project Water Use'!K577&lt;&gt;"",'Inputs Whole-Project Water Use'!K577,"")</f>
        <v/>
      </c>
      <c r="L577" s="316" t="str">
        <f>IF('Inputs Whole-Project Water Use'!L577&lt;&gt;"",'Inputs Whole-Project Water Use'!L577,"")</f>
        <v/>
      </c>
      <c r="M577" s="390" t="str">
        <f t="shared" ref="M577:M622" si="62">IFERROR(IF(logic_units&lt;&gt;"SI Units",INDEX(data_wurip,MATCH($I577,data_dumip,0)),INDEX(data_wursi,MATCH($I577,data_dumsi,0))),"")</f>
        <v/>
      </c>
      <c r="N577" s="391"/>
      <c r="O577" s="225" t="str">
        <f t="shared" si="57"/>
        <v/>
      </c>
      <c r="P577" s="225" t="str">
        <f t="shared" si="58"/>
        <v/>
      </c>
      <c r="Q577" s="289" t="str">
        <f>IF(AND(L577&lt;&gt;"",'Inputs Whole-Project Water Use'!Q577=""),0,IF('Inputs Whole-Project Water Use'!Q577&lt;&gt;"",'Inputs Whole-Project Water Use'!Q577,""))</f>
        <v/>
      </c>
      <c r="R577" s="225" t="str">
        <f t="shared" si="59"/>
        <v/>
      </c>
      <c r="S577" s="225" t="str">
        <f t="shared" si="60"/>
        <v/>
      </c>
      <c r="T577" s="231" t="str">
        <f t="shared" si="61"/>
        <v/>
      </c>
      <c r="U577" s="176"/>
      <c r="V577" s="241"/>
      <c r="W577" s="241"/>
      <c r="X577" s="241"/>
      <c r="Y577" s="241"/>
      <c r="Z577" s="241"/>
      <c r="AA577" s="241"/>
      <c r="AB577" s="241"/>
      <c r="AC577" s="241"/>
      <c r="AD577" s="241"/>
      <c r="AE577" s="241"/>
      <c r="AF577" s="241"/>
      <c r="AG577" s="241"/>
      <c r="AH577" s="241"/>
      <c r="AI577" s="241"/>
      <c r="AJ577" s="241"/>
      <c r="AK577" s="241"/>
      <c r="AL577" s="241"/>
      <c r="AM577" s="241"/>
      <c r="AN577" s="241"/>
      <c r="AO577" s="241"/>
      <c r="AP577" s="241"/>
      <c r="AQ577" s="241"/>
      <c r="AR577" s="241"/>
      <c r="AS577" s="241"/>
      <c r="AT577" s="241"/>
      <c r="AU577" s="241"/>
      <c r="AV577" s="241"/>
      <c r="AW577" s="241"/>
      <c r="AX577" s="241"/>
      <c r="AY577" s="241"/>
      <c r="AZ577" s="241"/>
    </row>
    <row r="578" spans="1:52" s="71" customFormat="1" ht="18" hidden="1" customHeight="1" outlineLevel="2">
      <c r="A578" s="175">
        <v>66</v>
      </c>
      <c r="B578" s="312" t="str">
        <f>(IF('Inputs Whole-Project Water Use'!B578&lt;&gt;"",'Inputs Whole-Project Water Use'!B578,""))</f>
        <v/>
      </c>
      <c r="C578" s="313" t="str">
        <f>IF(AND(K578&lt;&gt;"",'Inputs Whole-Project Water Use'!C578=""),1,IF('Inputs Whole-Project Water Use'!C578&lt;&gt;"",'Inputs Whole-Project Water Use'!C578,""))</f>
        <v/>
      </c>
      <c r="D578" s="397" t="str">
        <f>IF('Inputs Whole-Project Water Use'!D578&lt;&gt;"",'Inputs Whole-Project Water Use'!D578,"")</f>
        <v/>
      </c>
      <c r="E578" s="398"/>
      <c r="F578" s="314" t="str">
        <f>IF('Inputs Whole-Project Water Use'!F578&lt;&gt;"",'Inputs Whole-Project Water Use'!F578,"")</f>
        <v/>
      </c>
      <c r="G578" s="314" t="str">
        <f>IF('Inputs Whole-Project Water Use'!G578&lt;&gt;"",'Inputs Whole-Project Water Use'!G578,"")</f>
        <v/>
      </c>
      <c r="H578" s="315" t="str">
        <f>IF('Inputs Whole-Project Water Use'!H578&lt;&gt;"",'Inputs Whole-Project Water Use'!H578,"")</f>
        <v/>
      </c>
      <c r="I578" s="344" t="str">
        <f>IF('Inputs Whole-Project Water Use'!I578&lt;&gt;"",'Inputs Whole-Project Water Use'!I578,"")</f>
        <v/>
      </c>
      <c r="J578" s="345"/>
      <c r="K578" s="316" t="str">
        <f>IF('Inputs Whole-Project Water Use'!K578&lt;&gt;"",'Inputs Whole-Project Water Use'!K578,"")</f>
        <v/>
      </c>
      <c r="L578" s="316" t="str">
        <f>IF('Inputs Whole-Project Water Use'!L578&lt;&gt;"",'Inputs Whole-Project Water Use'!L578,"")</f>
        <v/>
      </c>
      <c r="M578" s="390" t="str">
        <f t="shared" si="62"/>
        <v/>
      </c>
      <c r="N578" s="391"/>
      <c r="O578" s="225" t="str">
        <f t="shared" ref="O578:O622" si="63">IFERROR(IF(OR($F578&lt;&gt;"",$G578&lt;&gt;"",$H578&lt;&gt;"",K578&lt;&gt;""),$C578*$F578*$G578*$H578*K578,""),"")</f>
        <v/>
      </c>
      <c r="P578" s="225" t="str">
        <f t="shared" ref="P578:P622" si="64">IFERROR(IF(OR($F578&lt;&gt;"",$G578&lt;&gt;"",$H578&lt;&gt;"",L578&lt;&gt;""),$C578*$F578*$G578*$H578*L578,""),"")</f>
        <v/>
      </c>
      <c r="Q578" s="289" t="str">
        <f>IF(AND(L578&lt;&gt;"",'Inputs Whole-Project Water Use'!Q578=""),0,IF('Inputs Whole-Project Water Use'!Q578&lt;&gt;"",'Inputs Whole-Project Water Use'!Q578,""))</f>
        <v/>
      </c>
      <c r="R578" s="225" t="str">
        <f t="shared" ref="R578:R622" si="65">IFERROR(IF(P578&lt;&gt;"",(P578-Q578),""),"")</f>
        <v/>
      </c>
      <c r="S578" s="225" t="str">
        <f t="shared" ref="S578:S622" si="66">IFERROR(IF(OR(O578&lt;&gt;"",P578&lt;&gt;""),O578-R578,""),"")</f>
        <v/>
      </c>
      <c r="T578" s="231" t="str">
        <f t="shared" ref="T578:T622" si="67">IFERROR(S578/O578,"")</f>
        <v/>
      </c>
      <c r="U578" s="176"/>
      <c r="V578" s="241"/>
      <c r="W578" s="241"/>
      <c r="X578" s="241"/>
      <c r="Y578" s="241"/>
      <c r="Z578" s="241"/>
      <c r="AA578" s="241"/>
      <c r="AB578" s="241"/>
      <c r="AC578" s="241"/>
      <c r="AD578" s="241"/>
      <c r="AE578" s="241"/>
      <c r="AF578" s="241"/>
      <c r="AG578" s="241"/>
      <c r="AH578" s="241"/>
      <c r="AI578" s="241"/>
      <c r="AJ578" s="241"/>
      <c r="AK578" s="241"/>
      <c r="AL578" s="241"/>
      <c r="AM578" s="241"/>
      <c r="AN578" s="241"/>
      <c r="AO578" s="241"/>
      <c r="AP578" s="241"/>
      <c r="AQ578" s="241"/>
      <c r="AR578" s="241"/>
      <c r="AS578" s="241"/>
      <c r="AT578" s="241"/>
      <c r="AU578" s="241"/>
      <c r="AV578" s="241"/>
      <c r="AW578" s="241"/>
      <c r="AX578" s="241"/>
      <c r="AY578" s="241"/>
      <c r="AZ578" s="241"/>
    </row>
    <row r="579" spans="1:52" s="71" customFormat="1" ht="18" hidden="1" customHeight="1" outlineLevel="2">
      <c r="A579" s="175">
        <v>67</v>
      </c>
      <c r="B579" s="312" t="str">
        <f>(IF('Inputs Whole-Project Water Use'!B579&lt;&gt;"",'Inputs Whole-Project Water Use'!B579,""))</f>
        <v/>
      </c>
      <c r="C579" s="313" t="str">
        <f>IF(AND(K579&lt;&gt;"",'Inputs Whole-Project Water Use'!C579=""),1,IF('Inputs Whole-Project Water Use'!C579&lt;&gt;"",'Inputs Whole-Project Water Use'!C579,""))</f>
        <v/>
      </c>
      <c r="D579" s="397" t="str">
        <f>IF('Inputs Whole-Project Water Use'!D579&lt;&gt;"",'Inputs Whole-Project Water Use'!D579,"")</f>
        <v/>
      </c>
      <c r="E579" s="398"/>
      <c r="F579" s="314" t="str">
        <f>IF('Inputs Whole-Project Water Use'!F579&lt;&gt;"",'Inputs Whole-Project Water Use'!F579,"")</f>
        <v/>
      </c>
      <c r="G579" s="314" t="str">
        <f>IF('Inputs Whole-Project Water Use'!G579&lt;&gt;"",'Inputs Whole-Project Water Use'!G579,"")</f>
        <v/>
      </c>
      <c r="H579" s="315" t="str">
        <f>IF('Inputs Whole-Project Water Use'!H579&lt;&gt;"",'Inputs Whole-Project Water Use'!H579,"")</f>
        <v/>
      </c>
      <c r="I579" s="344" t="str">
        <f>IF('Inputs Whole-Project Water Use'!I579&lt;&gt;"",'Inputs Whole-Project Water Use'!I579,"")</f>
        <v/>
      </c>
      <c r="J579" s="345"/>
      <c r="K579" s="316" t="str">
        <f>IF('Inputs Whole-Project Water Use'!K579&lt;&gt;"",'Inputs Whole-Project Water Use'!K579,"")</f>
        <v/>
      </c>
      <c r="L579" s="316" t="str">
        <f>IF('Inputs Whole-Project Water Use'!L579&lt;&gt;"",'Inputs Whole-Project Water Use'!L579,"")</f>
        <v/>
      </c>
      <c r="M579" s="390" t="str">
        <f t="shared" si="62"/>
        <v/>
      </c>
      <c r="N579" s="391"/>
      <c r="O579" s="225" t="str">
        <f t="shared" si="63"/>
        <v/>
      </c>
      <c r="P579" s="225" t="str">
        <f t="shared" si="64"/>
        <v/>
      </c>
      <c r="Q579" s="289" t="str">
        <f>IF(AND(L579&lt;&gt;"",'Inputs Whole-Project Water Use'!Q579=""),0,IF('Inputs Whole-Project Water Use'!Q579&lt;&gt;"",'Inputs Whole-Project Water Use'!Q579,""))</f>
        <v/>
      </c>
      <c r="R579" s="225" t="str">
        <f t="shared" si="65"/>
        <v/>
      </c>
      <c r="S579" s="225" t="str">
        <f t="shared" si="66"/>
        <v/>
      </c>
      <c r="T579" s="231" t="str">
        <f t="shared" si="67"/>
        <v/>
      </c>
      <c r="U579" s="176"/>
      <c r="V579" s="241"/>
      <c r="W579" s="241"/>
      <c r="X579" s="241"/>
      <c r="Y579" s="241"/>
      <c r="Z579" s="241"/>
      <c r="AA579" s="241"/>
      <c r="AB579" s="241"/>
      <c r="AC579" s="241"/>
      <c r="AD579" s="241"/>
      <c r="AE579" s="241"/>
      <c r="AF579" s="241"/>
      <c r="AG579" s="241"/>
      <c r="AH579" s="241"/>
      <c r="AI579" s="241"/>
      <c r="AJ579" s="241"/>
      <c r="AK579" s="241"/>
      <c r="AL579" s="241"/>
      <c r="AM579" s="241"/>
      <c r="AN579" s="241"/>
      <c r="AO579" s="241"/>
      <c r="AP579" s="241"/>
      <c r="AQ579" s="241"/>
      <c r="AR579" s="241"/>
      <c r="AS579" s="241"/>
      <c r="AT579" s="241"/>
      <c r="AU579" s="241"/>
      <c r="AV579" s="241"/>
      <c r="AW579" s="241"/>
      <c r="AX579" s="241"/>
      <c r="AY579" s="241"/>
      <c r="AZ579" s="241"/>
    </row>
    <row r="580" spans="1:52" s="71" customFormat="1" ht="18" hidden="1" customHeight="1" outlineLevel="2">
      <c r="A580" s="175">
        <v>68</v>
      </c>
      <c r="B580" s="312" t="str">
        <f>(IF('Inputs Whole-Project Water Use'!B580&lt;&gt;"",'Inputs Whole-Project Water Use'!B580,""))</f>
        <v/>
      </c>
      <c r="C580" s="313" t="str">
        <f>IF(AND(K580&lt;&gt;"",'Inputs Whole-Project Water Use'!C580=""),1,IF('Inputs Whole-Project Water Use'!C580&lt;&gt;"",'Inputs Whole-Project Water Use'!C580,""))</f>
        <v/>
      </c>
      <c r="D580" s="397" t="str">
        <f>IF('Inputs Whole-Project Water Use'!D580&lt;&gt;"",'Inputs Whole-Project Water Use'!D580,"")</f>
        <v/>
      </c>
      <c r="E580" s="398"/>
      <c r="F580" s="314" t="str">
        <f>IF('Inputs Whole-Project Water Use'!F580&lt;&gt;"",'Inputs Whole-Project Water Use'!F580,"")</f>
        <v/>
      </c>
      <c r="G580" s="314" t="str">
        <f>IF('Inputs Whole-Project Water Use'!G580&lt;&gt;"",'Inputs Whole-Project Water Use'!G580,"")</f>
        <v/>
      </c>
      <c r="H580" s="315" t="str">
        <f>IF('Inputs Whole-Project Water Use'!H580&lt;&gt;"",'Inputs Whole-Project Water Use'!H580,"")</f>
        <v/>
      </c>
      <c r="I580" s="344" t="str">
        <f>IF('Inputs Whole-Project Water Use'!I580&lt;&gt;"",'Inputs Whole-Project Water Use'!I580,"")</f>
        <v/>
      </c>
      <c r="J580" s="345"/>
      <c r="K580" s="316" t="str">
        <f>IF('Inputs Whole-Project Water Use'!K580&lt;&gt;"",'Inputs Whole-Project Water Use'!K580,"")</f>
        <v/>
      </c>
      <c r="L580" s="316" t="str">
        <f>IF('Inputs Whole-Project Water Use'!L580&lt;&gt;"",'Inputs Whole-Project Water Use'!L580,"")</f>
        <v/>
      </c>
      <c r="M580" s="390" t="str">
        <f t="shared" si="62"/>
        <v/>
      </c>
      <c r="N580" s="391"/>
      <c r="O580" s="225" t="str">
        <f t="shared" si="63"/>
        <v/>
      </c>
      <c r="P580" s="225" t="str">
        <f t="shared" si="64"/>
        <v/>
      </c>
      <c r="Q580" s="289" t="str">
        <f>IF(AND(L580&lt;&gt;"",'Inputs Whole-Project Water Use'!Q580=""),0,IF('Inputs Whole-Project Water Use'!Q580&lt;&gt;"",'Inputs Whole-Project Water Use'!Q580,""))</f>
        <v/>
      </c>
      <c r="R580" s="225" t="str">
        <f t="shared" si="65"/>
        <v/>
      </c>
      <c r="S580" s="225" t="str">
        <f t="shared" si="66"/>
        <v/>
      </c>
      <c r="T580" s="231" t="str">
        <f t="shared" si="67"/>
        <v/>
      </c>
      <c r="U580" s="176"/>
      <c r="V580" s="241"/>
      <c r="W580" s="241"/>
      <c r="X580" s="241"/>
      <c r="Y580" s="241"/>
      <c r="Z580" s="241"/>
      <c r="AA580" s="241"/>
      <c r="AB580" s="241"/>
      <c r="AC580" s="241"/>
      <c r="AD580" s="241"/>
      <c r="AE580" s="241"/>
      <c r="AF580" s="241"/>
      <c r="AG580" s="241"/>
      <c r="AH580" s="241"/>
      <c r="AI580" s="241"/>
      <c r="AJ580" s="241"/>
      <c r="AK580" s="241"/>
      <c r="AL580" s="241"/>
      <c r="AM580" s="241"/>
      <c r="AN580" s="241"/>
      <c r="AO580" s="241"/>
      <c r="AP580" s="241"/>
      <c r="AQ580" s="241"/>
      <c r="AR580" s="241"/>
      <c r="AS580" s="241"/>
      <c r="AT580" s="241"/>
      <c r="AU580" s="241"/>
      <c r="AV580" s="241"/>
      <c r="AW580" s="241"/>
      <c r="AX580" s="241"/>
      <c r="AY580" s="241"/>
      <c r="AZ580" s="241"/>
    </row>
    <row r="581" spans="1:52" s="71" customFormat="1" ht="18" hidden="1" customHeight="1" outlineLevel="2">
      <c r="A581" s="175">
        <v>69</v>
      </c>
      <c r="B581" s="312" t="str">
        <f>(IF('Inputs Whole-Project Water Use'!B581&lt;&gt;"",'Inputs Whole-Project Water Use'!B581,""))</f>
        <v/>
      </c>
      <c r="C581" s="313" t="str">
        <f>IF(AND(K581&lt;&gt;"",'Inputs Whole-Project Water Use'!C581=""),1,IF('Inputs Whole-Project Water Use'!C581&lt;&gt;"",'Inputs Whole-Project Water Use'!C581,""))</f>
        <v/>
      </c>
      <c r="D581" s="397" t="str">
        <f>IF('Inputs Whole-Project Water Use'!D581&lt;&gt;"",'Inputs Whole-Project Water Use'!D581,"")</f>
        <v/>
      </c>
      <c r="E581" s="398"/>
      <c r="F581" s="314" t="str">
        <f>IF('Inputs Whole-Project Water Use'!F581&lt;&gt;"",'Inputs Whole-Project Water Use'!F581,"")</f>
        <v/>
      </c>
      <c r="G581" s="314" t="str">
        <f>IF('Inputs Whole-Project Water Use'!G581&lt;&gt;"",'Inputs Whole-Project Water Use'!G581,"")</f>
        <v/>
      </c>
      <c r="H581" s="315" t="str">
        <f>IF('Inputs Whole-Project Water Use'!H581&lt;&gt;"",'Inputs Whole-Project Water Use'!H581,"")</f>
        <v/>
      </c>
      <c r="I581" s="344" t="str">
        <f>IF('Inputs Whole-Project Water Use'!I581&lt;&gt;"",'Inputs Whole-Project Water Use'!I581,"")</f>
        <v/>
      </c>
      <c r="J581" s="345"/>
      <c r="K581" s="316" t="str">
        <f>IF('Inputs Whole-Project Water Use'!K581&lt;&gt;"",'Inputs Whole-Project Water Use'!K581,"")</f>
        <v/>
      </c>
      <c r="L581" s="316" t="str">
        <f>IF('Inputs Whole-Project Water Use'!L581&lt;&gt;"",'Inputs Whole-Project Water Use'!L581,"")</f>
        <v/>
      </c>
      <c r="M581" s="390" t="str">
        <f t="shared" si="62"/>
        <v/>
      </c>
      <c r="N581" s="391"/>
      <c r="O581" s="225" t="str">
        <f t="shared" si="63"/>
        <v/>
      </c>
      <c r="P581" s="225" t="str">
        <f t="shared" si="64"/>
        <v/>
      </c>
      <c r="Q581" s="289" t="str">
        <f>IF(AND(L581&lt;&gt;"",'Inputs Whole-Project Water Use'!Q581=""),0,IF('Inputs Whole-Project Water Use'!Q581&lt;&gt;"",'Inputs Whole-Project Water Use'!Q581,""))</f>
        <v/>
      </c>
      <c r="R581" s="225" t="str">
        <f t="shared" si="65"/>
        <v/>
      </c>
      <c r="S581" s="225" t="str">
        <f t="shared" si="66"/>
        <v/>
      </c>
      <c r="T581" s="231" t="str">
        <f t="shared" si="67"/>
        <v/>
      </c>
      <c r="U581" s="176"/>
      <c r="V581" s="241"/>
      <c r="W581" s="241"/>
      <c r="X581" s="241"/>
      <c r="Y581" s="241"/>
      <c r="Z581" s="241"/>
      <c r="AA581" s="241"/>
      <c r="AB581" s="241"/>
      <c r="AC581" s="241"/>
      <c r="AD581" s="241"/>
      <c r="AE581" s="241"/>
      <c r="AF581" s="241"/>
      <c r="AG581" s="241"/>
      <c r="AH581" s="241"/>
      <c r="AI581" s="241"/>
      <c r="AJ581" s="241"/>
      <c r="AK581" s="241"/>
      <c r="AL581" s="241"/>
      <c r="AM581" s="241"/>
      <c r="AN581" s="241"/>
      <c r="AO581" s="241"/>
      <c r="AP581" s="241"/>
      <c r="AQ581" s="241"/>
      <c r="AR581" s="241"/>
      <c r="AS581" s="241"/>
      <c r="AT581" s="241"/>
      <c r="AU581" s="241"/>
      <c r="AV581" s="241"/>
      <c r="AW581" s="241"/>
      <c r="AX581" s="241"/>
      <c r="AY581" s="241"/>
      <c r="AZ581" s="241"/>
    </row>
    <row r="582" spans="1:52" s="71" customFormat="1" ht="18" hidden="1" customHeight="1" outlineLevel="2">
      <c r="A582" s="175">
        <v>70</v>
      </c>
      <c r="B582" s="312" t="str">
        <f>(IF('Inputs Whole-Project Water Use'!B582&lt;&gt;"",'Inputs Whole-Project Water Use'!B582,""))</f>
        <v/>
      </c>
      <c r="C582" s="313" t="str">
        <f>IF(AND(K582&lt;&gt;"",'Inputs Whole-Project Water Use'!C582=""),1,IF('Inputs Whole-Project Water Use'!C582&lt;&gt;"",'Inputs Whole-Project Water Use'!C582,""))</f>
        <v/>
      </c>
      <c r="D582" s="397" t="str">
        <f>IF('Inputs Whole-Project Water Use'!D582&lt;&gt;"",'Inputs Whole-Project Water Use'!D582,"")</f>
        <v/>
      </c>
      <c r="E582" s="398"/>
      <c r="F582" s="314" t="str">
        <f>IF('Inputs Whole-Project Water Use'!F582&lt;&gt;"",'Inputs Whole-Project Water Use'!F582,"")</f>
        <v/>
      </c>
      <c r="G582" s="314" t="str">
        <f>IF('Inputs Whole-Project Water Use'!G582&lt;&gt;"",'Inputs Whole-Project Water Use'!G582,"")</f>
        <v/>
      </c>
      <c r="H582" s="315" t="str">
        <f>IF('Inputs Whole-Project Water Use'!H582&lt;&gt;"",'Inputs Whole-Project Water Use'!H582,"")</f>
        <v/>
      </c>
      <c r="I582" s="344" t="str">
        <f>IF('Inputs Whole-Project Water Use'!I582&lt;&gt;"",'Inputs Whole-Project Water Use'!I582,"")</f>
        <v/>
      </c>
      <c r="J582" s="345"/>
      <c r="K582" s="316" t="str">
        <f>IF('Inputs Whole-Project Water Use'!K582&lt;&gt;"",'Inputs Whole-Project Water Use'!K582,"")</f>
        <v/>
      </c>
      <c r="L582" s="316" t="str">
        <f>IF('Inputs Whole-Project Water Use'!L582&lt;&gt;"",'Inputs Whole-Project Water Use'!L582,"")</f>
        <v/>
      </c>
      <c r="M582" s="390" t="str">
        <f t="shared" si="62"/>
        <v/>
      </c>
      <c r="N582" s="391"/>
      <c r="O582" s="225" t="str">
        <f t="shared" si="63"/>
        <v/>
      </c>
      <c r="P582" s="225" t="str">
        <f t="shared" si="64"/>
        <v/>
      </c>
      <c r="Q582" s="289" t="str">
        <f>IF(AND(L582&lt;&gt;"",'Inputs Whole-Project Water Use'!Q582=""),0,IF('Inputs Whole-Project Water Use'!Q582&lt;&gt;"",'Inputs Whole-Project Water Use'!Q582,""))</f>
        <v/>
      </c>
      <c r="R582" s="225" t="str">
        <f t="shared" si="65"/>
        <v/>
      </c>
      <c r="S582" s="225" t="str">
        <f t="shared" si="66"/>
        <v/>
      </c>
      <c r="T582" s="231" t="str">
        <f t="shared" si="67"/>
        <v/>
      </c>
      <c r="U582" s="176"/>
      <c r="V582" s="241"/>
      <c r="W582" s="241"/>
      <c r="X582" s="241"/>
      <c r="Y582" s="241"/>
      <c r="Z582" s="241"/>
      <c r="AA582" s="241"/>
      <c r="AB582" s="241"/>
      <c r="AC582" s="241"/>
      <c r="AD582" s="241"/>
      <c r="AE582" s="241"/>
      <c r="AF582" s="241"/>
      <c r="AG582" s="241"/>
      <c r="AH582" s="241"/>
      <c r="AI582" s="241"/>
      <c r="AJ582" s="241"/>
      <c r="AK582" s="241"/>
      <c r="AL582" s="241"/>
      <c r="AM582" s="241"/>
      <c r="AN582" s="241"/>
      <c r="AO582" s="241"/>
      <c r="AP582" s="241"/>
      <c r="AQ582" s="241"/>
      <c r="AR582" s="241"/>
      <c r="AS582" s="241"/>
      <c r="AT582" s="241"/>
      <c r="AU582" s="241"/>
      <c r="AV582" s="241"/>
      <c r="AW582" s="241"/>
      <c r="AX582" s="241"/>
      <c r="AY582" s="241"/>
      <c r="AZ582" s="241"/>
    </row>
    <row r="583" spans="1:52" s="71" customFormat="1" ht="18" hidden="1" customHeight="1" outlineLevel="1" collapsed="1">
      <c r="A583" s="175">
        <v>71</v>
      </c>
      <c r="B583" s="312" t="str">
        <f>(IF('Inputs Whole-Project Water Use'!B583&lt;&gt;"",'Inputs Whole-Project Water Use'!B583,""))</f>
        <v/>
      </c>
      <c r="C583" s="313" t="str">
        <f>IF(AND(K583&lt;&gt;"",'Inputs Whole-Project Water Use'!C583=""),1,IF('Inputs Whole-Project Water Use'!C583&lt;&gt;"",'Inputs Whole-Project Water Use'!C583,""))</f>
        <v/>
      </c>
      <c r="D583" s="397" t="str">
        <f>IF('Inputs Whole-Project Water Use'!D583&lt;&gt;"",'Inputs Whole-Project Water Use'!D583,"")</f>
        <v/>
      </c>
      <c r="E583" s="398"/>
      <c r="F583" s="314" t="str">
        <f>IF('Inputs Whole-Project Water Use'!F583&lt;&gt;"",'Inputs Whole-Project Water Use'!F583,"")</f>
        <v/>
      </c>
      <c r="G583" s="314" t="str">
        <f>IF('Inputs Whole-Project Water Use'!G583&lt;&gt;"",'Inputs Whole-Project Water Use'!G583,"")</f>
        <v/>
      </c>
      <c r="H583" s="315" t="str">
        <f>IF('Inputs Whole-Project Water Use'!H583&lt;&gt;"",'Inputs Whole-Project Water Use'!H583,"")</f>
        <v/>
      </c>
      <c r="I583" s="344" t="str">
        <f>IF('Inputs Whole-Project Water Use'!I583&lt;&gt;"",'Inputs Whole-Project Water Use'!I583,"")</f>
        <v/>
      </c>
      <c r="J583" s="345"/>
      <c r="K583" s="316" t="str">
        <f>IF('Inputs Whole-Project Water Use'!K583&lt;&gt;"",'Inputs Whole-Project Water Use'!K583,"")</f>
        <v/>
      </c>
      <c r="L583" s="316" t="str">
        <f>IF('Inputs Whole-Project Water Use'!L583&lt;&gt;"",'Inputs Whole-Project Water Use'!L583,"")</f>
        <v/>
      </c>
      <c r="M583" s="390" t="str">
        <f t="shared" si="62"/>
        <v/>
      </c>
      <c r="N583" s="391"/>
      <c r="O583" s="225" t="str">
        <f t="shared" si="63"/>
        <v/>
      </c>
      <c r="P583" s="225" t="str">
        <f t="shared" si="64"/>
        <v/>
      </c>
      <c r="Q583" s="289" t="str">
        <f>IF(AND(L583&lt;&gt;"",'Inputs Whole-Project Water Use'!Q583=""),0,IF('Inputs Whole-Project Water Use'!Q583&lt;&gt;"",'Inputs Whole-Project Water Use'!Q583,""))</f>
        <v/>
      </c>
      <c r="R583" s="225" t="str">
        <f t="shared" si="65"/>
        <v/>
      </c>
      <c r="S583" s="225" t="str">
        <f t="shared" si="66"/>
        <v/>
      </c>
      <c r="T583" s="231" t="str">
        <f t="shared" si="67"/>
        <v/>
      </c>
      <c r="U583" s="176" t="s">
        <v>165</v>
      </c>
      <c r="V583" s="241"/>
      <c r="W583" s="241"/>
      <c r="X583" s="241"/>
      <c r="Y583" s="241"/>
      <c r="Z583" s="241"/>
      <c r="AA583" s="241"/>
      <c r="AB583" s="241"/>
      <c r="AC583" s="241"/>
      <c r="AD583" s="241"/>
      <c r="AE583" s="241"/>
      <c r="AF583" s="241"/>
      <c r="AG583" s="241"/>
      <c r="AH583" s="241"/>
      <c r="AI583" s="241"/>
      <c r="AJ583" s="241"/>
      <c r="AK583" s="241"/>
      <c r="AL583" s="241"/>
      <c r="AM583" s="241"/>
      <c r="AN583" s="241"/>
      <c r="AO583" s="241"/>
      <c r="AP583" s="241"/>
      <c r="AQ583" s="241"/>
      <c r="AR583" s="241"/>
      <c r="AS583" s="241"/>
      <c r="AT583" s="241"/>
      <c r="AU583" s="241"/>
      <c r="AV583" s="241"/>
      <c r="AW583" s="241"/>
      <c r="AX583" s="241"/>
      <c r="AY583" s="241"/>
      <c r="AZ583" s="241"/>
    </row>
    <row r="584" spans="1:52" s="71" customFormat="1" ht="18" hidden="1" customHeight="1" outlineLevel="2">
      <c r="A584" s="175">
        <v>72</v>
      </c>
      <c r="B584" s="312" t="str">
        <f>(IF('Inputs Whole-Project Water Use'!B584&lt;&gt;"",'Inputs Whole-Project Water Use'!B584,""))</f>
        <v/>
      </c>
      <c r="C584" s="313" t="str">
        <f>IF(AND(K584&lt;&gt;"",'Inputs Whole-Project Water Use'!C584=""),1,IF('Inputs Whole-Project Water Use'!C584&lt;&gt;"",'Inputs Whole-Project Water Use'!C584,""))</f>
        <v/>
      </c>
      <c r="D584" s="397" t="str">
        <f>IF('Inputs Whole-Project Water Use'!D584&lt;&gt;"",'Inputs Whole-Project Water Use'!D584,"")</f>
        <v/>
      </c>
      <c r="E584" s="398"/>
      <c r="F584" s="314" t="str">
        <f>IF('Inputs Whole-Project Water Use'!F584&lt;&gt;"",'Inputs Whole-Project Water Use'!F584,"")</f>
        <v/>
      </c>
      <c r="G584" s="314" t="str">
        <f>IF('Inputs Whole-Project Water Use'!G584&lt;&gt;"",'Inputs Whole-Project Water Use'!G584,"")</f>
        <v/>
      </c>
      <c r="H584" s="315" t="str">
        <f>IF('Inputs Whole-Project Water Use'!H584&lt;&gt;"",'Inputs Whole-Project Water Use'!H584,"")</f>
        <v/>
      </c>
      <c r="I584" s="344" t="str">
        <f>IF('Inputs Whole-Project Water Use'!I584&lt;&gt;"",'Inputs Whole-Project Water Use'!I584,"")</f>
        <v/>
      </c>
      <c r="J584" s="345"/>
      <c r="K584" s="316" t="str">
        <f>IF('Inputs Whole-Project Water Use'!K584&lt;&gt;"",'Inputs Whole-Project Water Use'!K584,"")</f>
        <v/>
      </c>
      <c r="L584" s="316" t="str">
        <f>IF('Inputs Whole-Project Water Use'!L584&lt;&gt;"",'Inputs Whole-Project Water Use'!L584,"")</f>
        <v/>
      </c>
      <c r="M584" s="390" t="str">
        <f t="shared" si="62"/>
        <v/>
      </c>
      <c r="N584" s="391"/>
      <c r="O584" s="225" t="str">
        <f t="shared" si="63"/>
        <v/>
      </c>
      <c r="P584" s="225" t="str">
        <f t="shared" si="64"/>
        <v/>
      </c>
      <c r="Q584" s="289" t="str">
        <f>IF(AND(L584&lt;&gt;"",'Inputs Whole-Project Water Use'!Q584=""),0,IF('Inputs Whole-Project Water Use'!Q584&lt;&gt;"",'Inputs Whole-Project Water Use'!Q584,""))</f>
        <v/>
      </c>
      <c r="R584" s="225" t="str">
        <f t="shared" si="65"/>
        <v/>
      </c>
      <c r="S584" s="225" t="str">
        <f t="shared" si="66"/>
        <v/>
      </c>
      <c r="T584" s="231" t="str">
        <f t="shared" si="67"/>
        <v/>
      </c>
      <c r="U584" s="176"/>
      <c r="V584" s="241"/>
      <c r="W584" s="241"/>
      <c r="X584" s="241"/>
      <c r="Y584" s="241"/>
      <c r="Z584" s="241"/>
      <c r="AA584" s="241"/>
      <c r="AB584" s="241"/>
      <c r="AC584" s="241"/>
      <c r="AD584" s="241"/>
      <c r="AE584" s="241"/>
      <c r="AF584" s="241"/>
      <c r="AG584" s="241"/>
      <c r="AH584" s="241"/>
      <c r="AI584" s="241"/>
      <c r="AJ584" s="241"/>
      <c r="AK584" s="241"/>
      <c r="AL584" s="241"/>
      <c r="AM584" s="241"/>
      <c r="AN584" s="241"/>
      <c r="AO584" s="241"/>
      <c r="AP584" s="241"/>
      <c r="AQ584" s="241"/>
      <c r="AR584" s="241"/>
      <c r="AS584" s="241"/>
      <c r="AT584" s="241"/>
      <c r="AU584" s="241"/>
      <c r="AV584" s="241"/>
      <c r="AW584" s="241"/>
      <c r="AX584" s="241"/>
      <c r="AY584" s="241"/>
      <c r="AZ584" s="241"/>
    </row>
    <row r="585" spans="1:52" s="71" customFormat="1" ht="18" hidden="1" customHeight="1" outlineLevel="2">
      <c r="A585" s="175">
        <v>73</v>
      </c>
      <c r="B585" s="312" t="str">
        <f>(IF('Inputs Whole-Project Water Use'!B585&lt;&gt;"",'Inputs Whole-Project Water Use'!B585,""))</f>
        <v/>
      </c>
      <c r="C585" s="313" t="str">
        <f>IF(AND(K585&lt;&gt;"",'Inputs Whole-Project Water Use'!C585=""),1,IF('Inputs Whole-Project Water Use'!C585&lt;&gt;"",'Inputs Whole-Project Water Use'!C585,""))</f>
        <v/>
      </c>
      <c r="D585" s="397" t="str">
        <f>IF('Inputs Whole-Project Water Use'!D585&lt;&gt;"",'Inputs Whole-Project Water Use'!D585,"")</f>
        <v/>
      </c>
      <c r="E585" s="398"/>
      <c r="F585" s="314" t="str">
        <f>IF('Inputs Whole-Project Water Use'!F585&lt;&gt;"",'Inputs Whole-Project Water Use'!F585,"")</f>
        <v/>
      </c>
      <c r="G585" s="314" t="str">
        <f>IF('Inputs Whole-Project Water Use'!G585&lt;&gt;"",'Inputs Whole-Project Water Use'!G585,"")</f>
        <v/>
      </c>
      <c r="H585" s="315" t="str">
        <f>IF('Inputs Whole-Project Water Use'!H585&lt;&gt;"",'Inputs Whole-Project Water Use'!H585,"")</f>
        <v/>
      </c>
      <c r="I585" s="344" t="str">
        <f>IF('Inputs Whole-Project Water Use'!I585&lt;&gt;"",'Inputs Whole-Project Water Use'!I585,"")</f>
        <v/>
      </c>
      <c r="J585" s="345"/>
      <c r="K585" s="316" t="str">
        <f>IF('Inputs Whole-Project Water Use'!K585&lt;&gt;"",'Inputs Whole-Project Water Use'!K585,"")</f>
        <v/>
      </c>
      <c r="L585" s="316" t="str">
        <f>IF('Inputs Whole-Project Water Use'!L585&lt;&gt;"",'Inputs Whole-Project Water Use'!L585,"")</f>
        <v/>
      </c>
      <c r="M585" s="390" t="str">
        <f t="shared" si="62"/>
        <v/>
      </c>
      <c r="N585" s="391"/>
      <c r="O585" s="225" t="str">
        <f t="shared" si="63"/>
        <v/>
      </c>
      <c r="P585" s="225" t="str">
        <f t="shared" si="64"/>
        <v/>
      </c>
      <c r="Q585" s="289" t="str">
        <f>IF(AND(L585&lt;&gt;"",'Inputs Whole-Project Water Use'!Q585=""),0,IF('Inputs Whole-Project Water Use'!Q585&lt;&gt;"",'Inputs Whole-Project Water Use'!Q585,""))</f>
        <v/>
      </c>
      <c r="R585" s="225" t="str">
        <f t="shared" si="65"/>
        <v/>
      </c>
      <c r="S585" s="225" t="str">
        <f t="shared" si="66"/>
        <v/>
      </c>
      <c r="T585" s="231" t="str">
        <f t="shared" si="67"/>
        <v/>
      </c>
      <c r="U585" s="176"/>
      <c r="V585" s="241"/>
      <c r="W585" s="241"/>
      <c r="X585" s="241"/>
      <c r="Y585" s="241"/>
      <c r="Z585" s="241"/>
      <c r="AA585" s="241"/>
      <c r="AB585" s="241"/>
      <c r="AC585" s="241"/>
      <c r="AD585" s="241"/>
      <c r="AE585" s="241"/>
      <c r="AF585" s="241"/>
      <c r="AG585" s="241"/>
      <c r="AH585" s="241"/>
      <c r="AI585" s="241"/>
      <c r="AJ585" s="241"/>
      <c r="AK585" s="241"/>
      <c r="AL585" s="241"/>
      <c r="AM585" s="241"/>
      <c r="AN585" s="241"/>
      <c r="AO585" s="241"/>
      <c r="AP585" s="241"/>
      <c r="AQ585" s="241"/>
      <c r="AR585" s="241"/>
      <c r="AS585" s="241"/>
      <c r="AT585" s="241"/>
      <c r="AU585" s="241"/>
      <c r="AV585" s="241"/>
      <c r="AW585" s="241"/>
      <c r="AX585" s="241"/>
      <c r="AY585" s="241"/>
      <c r="AZ585" s="241"/>
    </row>
    <row r="586" spans="1:52" s="71" customFormat="1" ht="18" hidden="1" customHeight="1" outlineLevel="2">
      <c r="A586" s="175">
        <v>74</v>
      </c>
      <c r="B586" s="312" t="str">
        <f>(IF('Inputs Whole-Project Water Use'!B586&lt;&gt;"",'Inputs Whole-Project Water Use'!B586,""))</f>
        <v/>
      </c>
      <c r="C586" s="313" t="str">
        <f>IF(AND(K586&lt;&gt;"",'Inputs Whole-Project Water Use'!C586=""),1,IF('Inputs Whole-Project Water Use'!C586&lt;&gt;"",'Inputs Whole-Project Water Use'!C586,""))</f>
        <v/>
      </c>
      <c r="D586" s="397" t="str">
        <f>IF('Inputs Whole-Project Water Use'!D586&lt;&gt;"",'Inputs Whole-Project Water Use'!D586,"")</f>
        <v/>
      </c>
      <c r="E586" s="398"/>
      <c r="F586" s="314" t="str">
        <f>IF('Inputs Whole-Project Water Use'!F586&lt;&gt;"",'Inputs Whole-Project Water Use'!F586,"")</f>
        <v/>
      </c>
      <c r="G586" s="314" t="str">
        <f>IF('Inputs Whole-Project Water Use'!G586&lt;&gt;"",'Inputs Whole-Project Water Use'!G586,"")</f>
        <v/>
      </c>
      <c r="H586" s="315" t="str">
        <f>IF('Inputs Whole-Project Water Use'!H586&lt;&gt;"",'Inputs Whole-Project Water Use'!H586,"")</f>
        <v/>
      </c>
      <c r="I586" s="344" t="str">
        <f>IF('Inputs Whole-Project Water Use'!I586&lt;&gt;"",'Inputs Whole-Project Water Use'!I586,"")</f>
        <v/>
      </c>
      <c r="J586" s="345"/>
      <c r="K586" s="316" t="str">
        <f>IF('Inputs Whole-Project Water Use'!K586&lt;&gt;"",'Inputs Whole-Project Water Use'!K586,"")</f>
        <v/>
      </c>
      <c r="L586" s="316" t="str">
        <f>IF('Inputs Whole-Project Water Use'!L586&lt;&gt;"",'Inputs Whole-Project Water Use'!L586,"")</f>
        <v/>
      </c>
      <c r="M586" s="390" t="str">
        <f t="shared" si="62"/>
        <v/>
      </c>
      <c r="N586" s="391"/>
      <c r="O586" s="225" t="str">
        <f t="shared" si="63"/>
        <v/>
      </c>
      <c r="P586" s="225" t="str">
        <f t="shared" si="64"/>
        <v/>
      </c>
      <c r="Q586" s="289" t="str">
        <f>IF(AND(L586&lt;&gt;"",'Inputs Whole-Project Water Use'!Q586=""),0,IF('Inputs Whole-Project Water Use'!Q586&lt;&gt;"",'Inputs Whole-Project Water Use'!Q586,""))</f>
        <v/>
      </c>
      <c r="R586" s="225" t="str">
        <f t="shared" si="65"/>
        <v/>
      </c>
      <c r="S586" s="225" t="str">
        <f t="shared" si="66"/>
        <v/>
      </c>
      <c r="T586" s="231" t="str">
        <f t="shared" si="67"/>
        <v/>
      </c>
      <c r="U586" s="176"/>
      <c r="V586" s="241"/>
      <c r="W586" s="241"/>
      <c r="X586" s="241"/>
      <c r="Y586" s="241"/>
      <c r="Z586" s="241"/>
      <c r="AA586" s="241"/>
      <c r="AB586" s="241"/>
      <c r="AC586" s="241"/>
      <c r="AD586" s="241"/>
      <c r="AE586" s="241"/>
      <c r="AF586" s="241"/>
      <c r="AG586" s="241"/>
      <c r="AH586" s="241"/>
      <c r="AI586" s="241"/>
      <c r="AJ586" s="241"/>
      <c r="AK586" s="241"/>
      <c r="AL586" s="241"/>
      <c r="AM586" s="241"/>
      <c r="AN586" s="241"/>
      <c r="AO586" s="241"/>
      <c r="AP586" s="241"/>
      <c r="AQ586" s="241"/>
      <c r="AR586" s="241"/>
      <c r="AS586" s="241"/>
      <c r="AT586" s="241"/>
      <c r="AU586" s="241"/>
      <c r="AV586" s="241"/>
      <c r="AW586" s="241"/>
      <c r="AX586" s="241"/>
      <c r="AY586" s="241"/>
      <c r="AZ586" s="241"/>
    </row>
    <row r="587" spans="1:52" s="71" customFormat="1" ht="18" hidden="1" customHeight="1" outlineLevel="2">
      <c r="A587" s="175">
        <v>75</v>
      </c>
      <c r="B587" s="312" t="str">
        <f>(IF('Inputs Whole-Project Water Use'!B587&lt;&gt;"",'Inputs Whole-Project Water Use'!B587,""))</f>
        <v/>
      </c>
      <c r="C587" s="313" t="str">
        <f>IF(AND(K587&lt;&gt;"",'Inputs Whole-Project Water Use'!C587=""),1,IF('Inputs Whole-Project Water Use'!C587&lt;&gt;"",'Inputs Whole-Project Water Use'!C587,""))</f>
        <v/>
      </c>
      <c r="D587" s="397" t="str">
        <f>IF('Inputs Whole-Project Water Use'!D587&lt;&gt;"",'Inputs Whole-Project Water Use'!D587,"")</f>
        <v/>
      </c>
      <c r="E587" s="398"/>
      <c r="F587" s="314" t="str">
        <f>IF('Inputs Whole-Project Water Use'!F587&lt;&gt;"",'Inputs Whole-Project Water Use'!F587,"")</f>
        <v/>
      </c>
      <c r="G587" s="314" t="str">
        <f>IF('Inputs Whole-Project Water Use'!G587&lt;&gt;"",'Inputs Whole-Project Water Use'!G587,"")</f>
        <v/>
      </c>
      <c r="H587" s="315" t="str">
        <f>IF('Inputs Whole-Project Water Use'!H587&lt;&gt;"",'Inputs Whole-Project Water Use'!H587,"")</f>
        <v/>
      </c>
      <c r="I587" s="344" t="str">
        <f>IF('Inputs Whole-Project Water Use'!I587&lt;&gt;"",'Inputs Whole-Project Water Use'!I587,"")</f>
        <v/>
      </c>
      <c r="J587" s="345"/>
      <c r="K587" s="316" t="str">
        <f>IF('Inputs Whole-Project Water Use'!K587&lt;&gt;"",'Inputs Whole-Project Water Use'!K587,"")</f>
        <v/>
      </c>
      <c r="L587" s="316" t="str">
        <f>IF('Inputs Whole-Project Water Use'!L587&lt;&gt;"",'Inputs Whole-Project Water Use'!L587,"")</f>
        <v/>
      </c>
      <c r="M587" s="390" t="str">
        <f t="shared" si="62"/>
        <v/>
      </c>
      <c r="N587" s="391"/>
      <c r="O587" s="225" t="str">
        <f t="shared" si="63"/>
        <v/>
      </c>
      <c r="P587" s="225" t="str">
        <f t="shared" si="64"/>
        <v/>
      </c>
      <c r="Q587" s="289" t="str">
        <f>IF(AND(L587&lt;&gt;"",'Inputs Whole-Project Water Use'!Q587=""),0,IF('Inputs Whole-Project Water Use'!Q587&lt;&gt;"",'Inputs Whole-Project Water Use'!Q587,""))</f>
        <v/>
      </c>
      <c r="R587" s="225" t="str">
        <f t="shared" si="65"/>
        <v/>
      </c>
      <c r="S587" s="225" t="str">
        <f t="shared" si="66"/>
        <v/>
      </c>
      <c r="T587" s="231" t="str">
        <f t="shared" si="67"/>
        <v/>
      </c>
      <c r="U587" s="176"/>
      <c r="V587" s="241"/>
      <c r="W587" s="241"/>
      <c r="X587" s="241"/>
      <c r="Y587" s="241"/>
      <c r="Z587" s="241"/>
      <c r="AA587" s="241"/>
      <c r="AB587" s="241"/>
      <c r="AC587" s="241"/>
      <c r="AD587" s="241"/>
      <c r="AE587" s="241"/>
      <c r="AF587" s="241"/>
      <c r="AG587" s="241"/>
      <c r="AH587" s="241"/>
      <c r="AI587" s="241"/>
      <c r="AJ587" s="241"/>
      <c r="AK587" s="241"/>
      <c r="AL587" s="241"/>
      <c r="AM587" s="241"/>
      <c r="AN587" s="241"/>
      <c r="AO587" s="241"/>
      <c r="AP587" s="241"/>
      <c r="AQ587" s="241"/>
      <c r="AR587" s="241"/>
      <c r="AS587" s="241"/>
      <c r="AT587" s="241"/>
      <c r="AU587" s="241"/>
      <c r="AV587" s="241"/>
      <c r="AW587" s="241"/>
      <c r="AX587" s="241"/>
      <c r="AY587" s="241"/>
      <c r="AZ587" s="241"/>
    </row>
    <row r="588" spans="1:52" s="71" customFormat="1" ht="18" hidden="1" customHeight="1" outlineLevel="2">
      <c r="A588" s="175">
        <v>76</v>
      </c>
      <c r="B588" s="312" t="str">
        <f>(IF('Inputs Whole-Project Water Use'!B588&lt;&gt;"",'Inputs Whole-Project Water Use'!B588,""))</f>
        <v/>
      </c>
      <c r="C588" s="313" t="str">
        <f>IF(AND(K588&lt;&gt;"",'Inputs Whole-Project Water Use'!C588=""),1,IF('Inputs Whole-Project Water Use'!C588&lt;&gt;"",'Inputs Whole-Project Water Use'!C588,""))</f>
        <v/>
      </c>
      <c r="D588" s="397" t="str">
        <f>IF('Inputs Whole-Project Water Use'!D588&lt;&gt;"",'Inputs Whole-Project Water Use'!D588,"")</f>
        <v/>
      </c>
      <c r="E588" s="398"/>
      <c r="F588" s="314" t="str">
        <f>IF('Inputs Whole-Project Water Use'!F588&lt;&gt;"",'Inputs Whole-Project Water Use'!F588,"")</f>
        <v/>
      </c>
      <c r="G588" s="314" t="str">
        <f>IF('Inputs Whole-Project Water Use'!G588&lt;&gt;"",'Inputs Whole-Project Water Use'!G588,"")</f>
        <v/>
      </c>
      <c r="H588" s="315" t="str">
        <f>IF('Inputs Whole-Project Water Use'!H588&lt;&gt;"",'Inputs Whole-Project Water Use'!H588,"")</f>
        <v/>
      </c>
      <c r="I588" s="344" t="str">
        <f>IF('Inputs Whole-Project Water Use'!I588&lt;&gt;"",'Inputs Whole-Project Water Use'!I588,"")</f>
        <v/>
      </c>
      <c r="J588" s="345"/>
      <c r="K588" s="316" t="str">
        <f>IF('Inputs Whole-Project Water Use'!K588&lt;&gt;"",'Inputs Whole-Project Water Use'!K588,"")</f>
        <v/>
      </c>
      <c r="L588" s="316" t="str">
        <f>IF('Inputs Whole-Project Water Use'!L588&lt;&gt;"",'Inputs Whole-Project Water Use'!L588,"")</f>
        <v/>
      </c>
      <c r="M588" s="390" t="str">
        <f t="shared" si="62"/>
        <v/>
      </c>
      <c r="N588" s="391"/>
      <c r="O588" s="225" t="str">
        <f t="shared" si="63"/>
        <v/>
      </c>
      <c r="P588" s="225" t="str">
        <f t="shared" si="64"/>
        <v/>
      </c>
      <c r="Q588" s="289" t="str">
        <f>IF(AND(L588&lt;&gt;"",'Inputs Whole-Project Water Use'!Q588=""),0,IF('Inputs Whole-Project Water Use'!Q588&lt;&gt;"",'Inputs Whole-Project Water Use'!Q588,""))</f>
        <v/>
      </c>
      <c r="R588" s="225" t="str">
        <f t="shared" si="65"/>
        <v/>
      </c>
      <c r="S588" s="225" t="str">
        <f t="shared" si="66"/>
        <v/>
      </c>
      <c r="T588" s="231" t="str">
        <f t="shared" si="67"/>
        <v/>
      </c>
      <c r="U588" s="176"/>
      <c r="V588" s="241"/>
      <c r="W588" s="241"/>
      <c r="X588" s="241"/>
      <c r="Y588" s="241"/>
      <c r="Z588" s="241"/>
      <c r="AA588" s="241"/>
      <c r="AB588" s="241"/>
      <c r="AC588" s="241"/>
      <c r="AD588" s="241"/>
      <c r="AE588" s="241"/>
      <c r="AF588" s="241"/>
      <c r="AG588" s="241"/>
      <c r="AH588" s="241"/>
      <c r="AI588" s="241"/>
      <c r="AJ588" s="241"/>
      <c r="AK588" s="241"/>
      <c r="AL588" s="241"/>
      <c r="AM588" s="241"/>
      <c r="AN588" s="241"/>
      <c r="AO588" s="241"/>
      <c r="AP588" s="241"/>
      <c r="AQ588" s="241"/>
      <c r="AR588" s="241"/>
      <c r="AS588" s="241"/>
      <c r="AT588" s="241"/>
      <c r="AU588" s="241"/>
      <c r="AV588" s="241"/>
      <c r="AW588" s="241"/>
      <c r="AX588" s="241"/>
      <c r="AY588" s="241"/>
      <c r="AZ588" s="241"/>
    </row>
    <row r="589" spans="1:52" s="71" customFormat="1" ht="18" hidden="1" customHeight="1" outlineLevel="2">
      <c r="A589" s="175">
        <v>77</v>
      </c>
      <c r="B589" s="312" t="str">
        <f>(IF('Inputs Whole-Project Water Use'!B589&lt;&gt;"",'Inputs Whole-Project Water Use'!B589,""))</f>
        <v/>
      </c>
      <c r="C589" s="313" t="str">
        <f>IF(AND(K589&lt;&gt;"",'Inputs Whole-Project Water Use'!C589=""),1,IF('Inputs Whole-Project Water Use'!C589&lt;&gt;"",'Inputs Whole-Project Water Use'!C589,""))</f>
        <v/>
      </c>
      <c r="D589" s="397" t="str">
        <f>IF('Inputs Whole-Project Water Use'!D589&lt;&gt;"",'Inputs Whole-Project Water Use'!D589,"")</f>
        <v/>
      </c>
      <c r="E589" s="398"/>
      <c r="F589" s="314" t="str">
        <f>IF('Inputs Whole-Project Water Use'!F589&lt;&gt;"",'Inputs Whole-Project Water Use'!F589,"")</f>
        <v/>
      </c>
      <c r="G589" s="314" t="str">
        <f>IF('Inputs Whole-Project Water Use'!G589&lt;&gt;"",'Inputs Whole-Project Water Use'!G589,"")</f>
        <v/>
      </c>
      <c r="H589" s="315" t="str">
        <f>IF('Inputs Whole-Project Water Use'!H589&lt;&gt;"",'Inputs Whole-Project Water Use'!H589,"")</f>
        <v/>
      </c>
      <c r="I589" s="344" t="str">
        <f>IF('Inputs Whole-Project Water Use'!I589&lt;&gt;"",'Inputs Whole-Project Water Use'!I589,"")</f>
        <v/>
      </c>
      <c r="J589" s="345"/>
      <c r="K589" s="316" t="str">
        <f>IF('Inputs Whole-Project Water Use'!K589&lt;&gt;"",'Inputs Whole-Project Water Use'!K589,"")</f>
        <v/>
      </c>
      <c r="L589" s="316" t="str">
        <f>IF('Inputs Whole-Project Water Use'!L589&lt;&gt;"",'Inputs Whole-Project Water Use'!L589,"")</f>
        <v/>
      </c>
      <c r="M589" s="390" t="str">
        <f t="shared" si="62"/>
        <v/>
      </c>
      <c r="N589" s="391"/>
      <c r="O589" s="225" t="str">
        <f t="shared" si="63"/>
        <v/>
      </c>
      <c r="P589" s="225" t="str">
        <f t="shared" si="64"/>
        <v/>
      </c>
      <c r="Q589" s="289" t="str">
        <f>IF(AND(L589&lt;&gt;"",'Inputs Whole-Project Water Use'!Q589=""),0,IF('Inputs Whole-Project Water Use'!Q589&lt;&gt;"",'Inputs Whole-Project Water Use'!Q589,""))</f>
        <v/>
      </c>
      <c r="R589" s="225" t="str">
        <f t="shared" si="65"/>
        <v/>
      </c>
      <c r="S589" s="225" t="str">
        <f t="shared" si="66"/>
        <v/>
      </c>
      <c r="T589" s="231" t="str">
        <f t="shared" si="67"/>
        <v/>
      </c>
      <c r="U589" s="176"/>
      <c r="V589" s="241"/>
      <c r="W589" s="241"/>
      <c r="X589" s="241"/>
      <c r="Y589" s="241"/>
      <c r="Z589" s="241"/>
      <c r="AA589" s="241"/>
      <c r="AB589" s="241"/>
      <c r="AC589" s="241"/>
      <c r="AD589" s="241"/>
      <c r="AE589" s="241"/>
      <c r="AF589" s="241"/>
      <c r="AG589" s="241"/>
      <c r="AH589" s="241"/>
      <c r="AI589" s="241"/>
      <c r="AJ589" s="241"/>
      <c r="AK589" s="241"/>
      <c r="AL589" s="241"/>
      <c r="AM589" s="241"/>
      <c r="AN589" s="241"/>
      <c r="AO589" s="241"/>
      <c r="AP589" s="241"/>
      <c r="AQ589" s="241"/>
      <c r="AR589" s="241"/>
      <c r="AS589" s="241"/>
      <c r="AT589" s="241"/>
      <c r="AU589" s="241"/>
      <c r="AV589" s="241"/>
      <c r="AW589" s="241"/>
      <c r="AX589" s="241"/>
      <c r="AY589" s="241"/>
      <c r="AZ589" s="241"/>
    </row>
    <row r="590" spans="1:52" s="71" customFormat="1" ht="18" hidden="1" customHeight="1" outlineLevel="2">
      <c r="A590" s="175">
        <v>78</v>
      </c>
      <c r="B590" s="312" t="str">
        <f>(IF('Inputs Whole-Project Water Use'!B590&lt;&gt;"",'Inputs Whole-Project Water Use'!B590,""))</f>
        <v/>
      </c>
      <c r="C590" s="313" t="str">
        <f>IF(AND(K590&lt;&gt;"",'Inputs Whole-Project Water Use'!C590=""),1,IF('Inputs Whole-Project Water Use'!C590&lt;&gt;"",'Inputs Whole-Project Water Use'!C590,""))</f>
        <v/>
      </c>
      <c r="D590" s="397" t="str">
        <f>IF('Inputs Whole-Project Water Use'!D590&lt;&gt;"",'Inputs Whole-Project Water Use'!D590,"")</f>
        <v/>
      </c>
      <c r="E590" s="398"/>
      <c r="F590" s="314" t="str">
        <f>IF('Inputs Whole-Project Water Use'!F590&lt;&gt;"",'Inputs Whole-Project Water Use'!F590,"")</f>
        <v/>
      </c>
      <c r="G590" s="314" t="str">
        <f>IF('Inputs Whole-Project Water Use'!G590&lt;&gt;"",'Inputs Whole-Project Water Use'!G590,"")</f>
        <v/>
      </c>
      <c r="H590" s="315" t="str">
        <f>IF('Inputs Whole-Project Water Use'!H590&lt;&gt;"",'Inputs Whole-Project Water Use'!H590,"")</f>
        <v/>
      </c>
      <c r="I590" s="344" t="str">
        <f>IF('Inputs Whole-Project Water Use'!I590&lt;&gt;"",'Inputs Whole-Project Water Use'!I590,"")</f>
        <v/>
      </c>
      <c r="J590" s="345"/>
      <c r="K590" s="316" t="str">
        <f>IF('Inputs Whole-Project Water Use'!K590&lt;&gt;"",'Inputs Whole-Project Water Use'!K590,"")</f>
        <v/>
      </c>
      <c r="L590" s="316" t="str">
        <f>IF('Inputs Whole-Project Water Use'!L590&lt;&gt;"",'Inputs Whole-Project Water Use'!L590,"")</f>
        <v/>
      </c>
      <c r="M590" s="390" t="str">
        <f t="shared" si="62"/>
        <v/>
      </c>
      <c r="N590" s="391"/>
      <c r="O590" s="225" t="str">
        <f t="shared" si="63"/>
        <v/>
      </c>
      <c r="P590" s="225" t="str">
        <f t="shared" si="64"/>
        <v/>
      </c>
      <c r="Q590" s="289" t="str">
        <f>IF(AND(L590&lt;&gt;"",'Inputs Whole-Project Water Use'!Q590=""),0,IF('Inputs Whole-Project Water Use'!Q590&lt;&gt;"",'Inputs Whole-Project Water Use'!Q590,""))</f>
        <v/>
      </c>
      <c r="R590" s="225" t="str">
        <f t="shared" si="65"/>
        <v/>
      </c>
      <c r="S590" s="225" t="str">
        <f t="shared" si="66"/>
        <v/>
      </c>
      <c r="T590" s="231" t="str">
        <f t="shared" si="67"/>
        <v/>
      </c>
      <c r="U590" s="176"/>
      <c r="V590" s="241"/>
      <c r="W590" s="241"/>
      <c r="X590" s="241"/>
      <c r="Y590" s="241"/>
      <c r="Z590" s="241"/>
      <c r="AA590" s="241"/>
      <c r="AB590" s="241"/>
      <c r="AC590" s="241"/>
      <c r="AD590" s="241"/>
      <c r="AE590" s="241"/>
      <c r="AF590" s="241"/>
      <c r="AG590" s="241"/>
      <c r="AH590" s="241"/>
      <c r="AI590" s="241"/>
      <c r="AJ590" s="241"/>
      <c r="AK590" s="241"/>
      <c r="AL590" s="241"/>
      <c r="AM590" s="241"/>
      <c r="AN590" s="241"/>
      <c r="AO590" s="241"/>
      <c r="AP590" s="241"/>
      <c r="AQ590" s="241"/>
      <c r="AR590" s="241"/>
      <c r="AS590" s="241"/>
      <c r="AT590" s="241"/>
      <c r="AU590" s="241"/>
      <c r="AV590" s="241"/>
      <c r="AW590" s="241"/>
      <c r="AX590" s="241"/>
      <c r="AY590" s="241"/>
      <c r="AZ590" s="241"/>
    </row>
    <row r="591" spans="1:52" s="71" customFormat="1" ht="18" hidden="1" customHeight="1" outlineLevel="2">
      <c r="A591" s="175">
        <v>79</v>
      </c>
      <c r="B591" s="312" t="str">
        <f>(IF('Inputs Whole-Project Water Use'!B591&lt;&gt;"",'Inputs Whole-Project Water Use'!B591,""))</f>
        <v/>
      </c>
      <c r="C591" s="313" t="str">
        <f>IF(AND(K591&lt;&gt;"",'Inputs Whole-Project Water Use'!C591=""),1,IF('Inputs Whole-Project Water Use'!C591&lt;&gt;"",'Inputs Whole-Project Water Use'!C591,""))</f>
        <v/>
      </c>
      <c r="D591" s="397" t="str">
        <f>IF('Inputs Whole-Project Water Use'!D591&lt;&gt;"",'Inputs Whole-Project Water Use'!D591,"")</f>
        <v/>
      </c>
      <c r="E591" s="398"/>
      <c r="F591" s="314" t="str">
        <f>IF('Inputs Whole-Project Water Use'!F591&lt;&gt;"",'Inputs Whole-Project Water Use'!F591,"")</f>
        <v/>
      </c>
      <c r="G591" s="314" t="str">
        <f>IF('Inputs Whole-Project Water Use'!G591&lt;&gt;"",'Inputs Whole-Project Water Use'!G591,"")</f>
        <v/>
      </c>
      <c r="H591" s="315" t="str">
        <f>IF('Inputs Whole-Project Water Use'!H591&lt;&gt;"",'Inputs Whole-Project Water Use'!H591,"")</f>
        <v/>
      </c>
      <c r="I591" s="344" t="str">
        <f>IF('Inputs Whole-Project Water Use'!I591&lt;&gt;"",'Inputs Whole-Project Water Use'!I591,"")</f>
        <v/>
      </c>
      <c r="J591" s="345"/>
      <c r="K591" s="316" t="str">
        <f>IF('Inputs Whole-Project Water Use'!K591&lt;&gt;"",'Inputs Whole-Project Water Use'!K591,"")</f>
        <v/>
      </c>
      <c r="L591" s="316" t="str">
        <f>IF('Inputs Whole-Project Water Use'!L591&lt;&gt;"",'Inputs Whole-Project Water Use'!L591,"")</f>
        <v/>
      </c>
      <c r="M591" s="390" t="str">
        <f t="shared" si="62"/>
        <v/>
      </c>
      <c r="N591" s="391"/>
      <c r="O591" s="225" t="str">
        <f t="shared" si="63"/>
        <v/>
      </c>
      <c r="P591" s="225" t="str">
        <f t="shared" si="64"/>
        <v/>
      </c>
      <c r="Q591" s="289" t="str">
        <f>IF(AND(L591&lt;&gt;"",'Inputs Whole-Project Water Use'!Q591=""),0,IF('Inputs Whole-Project Water Use'!Q591&lt;&gt;"",'Inputs Whole-Project Water Use'!Q591,""))</f>
        <v/>
      </c>
      <c r="R591" s="225" t="str">
        <f t="shared" si="65"/>
        <v/>
      </c>
      <c r="S591" s="225" t="str">
        <f t="shared" si="66"/>
        <v/>
      </c>
      <c r="T591" s="231" t="str">
        <f t="shared" si="67"/>
        <v/>
      </c>
      <c r="U591" s="176"/>
      <c r="V591" s="241"/>
      <c r="W591" s="241"/>
      <c r="X591" s="241"/>
      <c r="Y591" s="241"/>
      <c r="Z591" s="241"/>
      <c r="AA591" s="241"/>
      <c r="AB591" s="241"/>
      <c r="AC591" s="241"/>
      <c r="AD591" s="241"/>
      <c r="AE591" s="241"/>
      <c r="AF591" s="241"/>
      <c r="AG591" s="241"/>
      <c r="AH591" s="241"/>
      <c r="AI591" s="241"/>
      <c r="AJ591" s="241"/>
      <c r="AK591" s="241"/>
      <c r="AL591" s="241"/>
      <c r="AM591" s="241"/>
      <c r="AN591" s="241"/>
      <c r="AO591" s="241"/>
      <c r="AP591" s="241"/>
      <c r="AQ591" s="241"/>
      <c r="AR591" s="241"/>
      <c r="AS591" s="241"/>
      <c r="AT591" s="241"/>
      <c r="AU591" s="241"/>
      <c r="AV591" s="241"/>
      <c r="AW591" s="241"/>
      <c r="AX591" s="241"/>
      <c r="AY591" s="241"/>
      <c r="AZ591" s="241"/>
    </row>
    <row r="592" spans="1:52" s="71" customFormat="1" ht="18" hidden="1" customHeight="1" outlineLevel="2">
      <c r="A592" s="175">
        <v>80</v>
      </c>
      <c r="B592" s="312" t="str">
        <f>(IF('Inputs Whole-Project Water Use'!B592&lt;&gt;"",'Inputs Whole-Project Water Use'!B592,""))</f>
        <v/>
      </c>
      <c r="C592" s="313" t="str">
        <f>IF(AND(K592&lt;&gt;"",'Inputs Whole-Project Water Use'!C592=""),1,IF('Inputs Whole-Project Water Use'!C592&lt;&gt;"",'Inputs Whole-Project Water Use'!C592,""))</f>
        <v/>
      </c>
      <c r="D592" s="397" t="str">
        <f>IF('Inputs Whole-Project Water Use'!D592&lt;&gt;"",'Inputs Whole-Project Water Use'!D592,"")</f>
        <v/>
      </c>
      <c r="E592" s="398"/>
      <c r="F592" s="314" t="str">
        <f>IF('Inputs Whole-Project Water Use'!F592&lt;&gt;"",'Inputs Whole-Project Water Use'!F592,"")</f>
        <v/>
      </c>
      <c r="G592" s="314" t="str">
        <f>IF('Inputs Whole-Project Water Use'!G592&lt;&gt;"",'Inputs Whole-Project Water Use'!G592,"")</f>
        <v/>
      </c>
      <c r="H592" s="315" t="str">
        <f>IF('Inputs Whole-Project Water Use'!H592&lt;&gt;"",'Inputs Whole-Project Water Use'!H592,"")</f>
        <v/>
      </c>
      <c r="I592" s="344" t="str">
        <f>IF('Inputs Whole-Project Water Use'!I592&lt;&gt;"",'Inputs Whole-Project Water Use'!I592,"")</f>
        <v/>
      </c>
      <c r="J592" s="345"/>
      <c r="K592" s="316" t="str">
        <f>IF('Inputs Whole-Project Water Use'!K592&lt;&gt;"",'Inputs Whole-Project Water Use'!K592,"")</f>
        <v/>
      </c>
      <c r="L592" s="316" t="str">
        <f>IF('Inputs Whole-Project Water Use'!L592&lt;&gt;"",'Inputs Whole-Project Water Use'!L592,"")</f>
        <v/>
      </c>
      <c r="M592" s="390" t="str">
        <f t="shared" si="62"/>
        <v/>
      </c>
      <c r="N592" s="391"/>
      <c r="O592" s="225" t="str">
        <f t="shared" si="63"/>
        <v/>
      </c>
      <c r="P592" s="225" t="str">
        <f t="shared" si="64"/>
        <v/>
      </c>
      <c r="Q592" s="289" t="str">
        <f>IF(AND(L592&lt;&gt;"",'Inputs Whole-Project Water Use'!Q592=""),0,IF('Inputs Whole-Project Water Use'!Q592&lt;&gt;"",'Inputs Whole-Project Water Use'!Q592,""))</f>
        <v/>
      </c>
      <c r="R592" s="225" t="str">
        <f t="shared" si="65"/>
        <v/>
      </c>
      <c r="S592" s="225" t="str">
        <f t="shared" si="66"/>
        <v/>
      </c>
      <c r="T592" s="231" t="str">
        <f t="shared" si="67"/>
        <v/>
      </c>
      <c r="U592" s="176"/>
      <c r="V592" s="241"/>
      <c r="W592" s="241"/>
      <c r="X592" s="241"/>
      <c r="Y592" s="241"/>
      <c r="Z592" s="241"/>
      <c r="AA592" s="241"/>
      <c r="AB592" s="241"/>
      <c r="AC592" s="241"/>
      <c r="AD592" s="241"/>
      <c r="AE592" s="241"/>
      <c r="AF592" s="241"/>
      <c r="AG592" s="241"/>
      <c r="AH592" s="241"/>
      <c r="AI592" s="241"/>
      <c r="AJ592" s="241"/>
      <c r="AK592" s="241"/>
      <c r="AL592" s="241"/>
      <c r="AM592" s="241"/>
      <c r="AN592" s="241"/>
      <c r="AO592" s="241"/>
      <c r="AP592" s="241"/>
      <c r="AQ592" s="241"/>
      <c r="AR592" s="241"/>
      <c r="AS592" s="241"/>
      <c r="AT592" s="241"/>
      <c r="AU592" s="241"/>
      <c r="AV592" s="241"/>
      <c r="AW592" s="241"/>
      <c r="AX592" s="241"/>
      <c r="AY592" s="241"/>
      <c r="AZ592" s="241"/>
    </row>
    <row r="593" spans="1:52" s="71" customFormat="1" ht="18" hidden="1" customHeight="1" outlineLevel="2">
      <c r="A593" s="175">
        <v>81</v>
      </c>
      <c r="B593" s="312" t="str">
        <f>(IF('Inputs Whole-Project Water Use'!B593&lt;&gt;"",'Inputs Whole-Project Water Use'!B593,""))</f>
        <v/>
      </c>
      <c r="C593" s="313" t="str">
        <f>IF(AND(K593&lt;&gt;"",'Inputs Whole-Project Water Use'!C593=""),1,IF('Inputs Whole-Project Water Use'!C593&lt;&gt;"",'Inputs Whole-Project Water Use'!C593,""))</f>
        <v/>
      </c>
      <c r="D593" s="397" t="str">
        <f>IF('Inputs Whole-Project Water Use'!D593&lt;&gt;"",'Inputs Whole-Project Water Use'!D593,"")</f>
        <v/>
      </c>
      <c r="E593" s="398"/>
      <c r="F593" s="314" t="str">
        <f>IF('Inputs Whole-Project Water Use'!F593&lt;&gt;"",'Inputs Whole-Project Water Use'!F593,"")</f>
        <v/>
      </c>
      <c r="G593" s="314" t="str">
        <f>IF('Inputs Whole-Project Water Use'!G593&lt;&gt;"",'Inputs Whole-Project Water Use'!G593,"")</f>
        <v/>
      </c>
      <c r="H593" s="315" t="str">
        <f>IF('Inputs Whole-Project Water Use'!H593&lt;&gt;"",'Inputs Whole-Project Water Use'!H593,"")</f>
        <v/>
      </c>
      <c r="I593" s="344" t="str">
        <f>IF('Inputs Whole-Project Water Use'!I593&lt;&gt;"",'Inputs Whole-Project Water Use'!I593,"")</f>
        <v/>
      </c>
      <c r="J593" s="345"/>
      <c r="K593" s="316" t="str">
        <f>IF('Inputs Whole-Project Water Use'!K593&lt;&gt;"",'Inputs Whole-Project Water Use'!K593,"")</f>
        <v/>
      </c>
      <c r="L593" s="316" t="str">
        <f>IF('Inputs Whole-Project Water Use'!L593&lt;&gt;"",'Inputs Whole-Project Water Use'!L593,"")</f>
        <v/>
      </c>
      <c r="M593" s="390" t="str">
        <f t="shared" si="62"/>
        <v/>
      </c>
      <c r="N593" s="391"/>
      <c r="O593" s="225" t="str">
        <f t="shared" si="63"/>
        <v/>
      </c>
      <c r="P593" s="225" t="str">
        <f t="shared" si="64"/>
        <v/>
      </c>
      <c r="Q593" s="289" t="str">
        <f>IF(AND(L593&lt;&gt;"",'Inputs Whole-Project Water Use'!Q593=""),0,IF('Inputs Whole-Project Water Use'!Q593&lt;&gt;"",'Inputs Whole-Project Water Use'!Q593,""))</f>
        <v/>
      </c>
      <c r="R593" s="225" t="str">
        <f t="shared" si="65"/>
        <v/>
      </c>
      <c r="S593" s="225" t="str">
        <f t="shared" si="66"/>
        <v/>
      </c>
      <c r="T593" s="231" t="str">
        <f t="shared" si="67"/>
        <v/>
      </c>
      <c r="U593" s="176"/>
      <c r="V593" s="241"/>
      <c r="W593" s="241"/>
      <c r="X593" s="241"/>
      <c r="Y593" s="241"/>
      <c r="Z593" s="241"/>
      <c r="AA593" s="241"/>
      <c r="AB593" s="241"/>
      <c r="AC593" s="241"/>
      <c r="AD593" s="241"/>
      <c r="AE593" s="241"/>
      <c r="AF593" s="241"/>
      <c r="AG593" s="241"/>
      <c r="AH593" s="241"/>
      <c r="AI593" s="241"/>
      <c r="AJ593" s="241"/>
      <c r="AK593" s="241"/>
      <c r="AL593" s="241"/>
      <c r="AM593" s="241"/>
      <c r="AN593" s="241"/>
      <c r="AO593" s="241"/>
      <c r="AP593" s="241"/>
      <c r="AQ593" s="241"/>
      <c r="AR593" s="241"/>
      <c r="AS593" s="241"/>
      <c r="AT593" s="241"/>
      <c r="AU593" s="241"/>
      <c r="AV593" s="241"/>
      <c r="AW593" s="241"/>
      <c r="AX593" s="241"/>
      <c r="AY593" s="241"/>
      <c r="AZ593" s="241"/>
    </row>
    <row r="594" spans="1:52" s="71" customFormat="1" ht="18" hidden="1" customHeight="1" outlineLevel="2">
      <c r="A594" s="175">
        <v>82</v>
      </c>
      <c r="B594" s="312" t="str">
        <f>(IF('Inputs Whole-Project Water Use'!B594&lt;&gt;"",'Inputs Whole-Project Water Use'!B594,""))</f>
        <v/>
      </c>
      <c r="C594" s="313" t="str">
        <f>IF(AND(K594&lt;&gt;"",'Inputs Whole-Project Water Use'!C594=""),1,IF('Inputs Whole-Project Water Use'!C594&lt;&gt;"",'Inputs Whole-Project Water Use'!C594,""))</f>
        <v/>
      </c>
      <c r="D594" s="397" t="str">
        <f>IF('Inputs Whole-Project Water Use'!D594&lt;&gt;"",'Inputs Whole-Project Water Use'!D594,"")</f>
        <v/>
      </c>
      <c r="E594" s="398"/>
      <c r="F594" s="314" t="str">
        <f>IF('Inputs Whole-Project Water Use'!F594&lt;&gt;"",'Inputs Whole-Project Water Use'!F594,"")</f>
        <v/>
      </c>
      <c r="G594" s="314" t="str">
        <f>IF('Inputs Whole-Project Water Use'!G594&lt;&gt;"",'Inputs Whole-Project Water Use'!G594,"")</f>
        <v/>
      </c>
      <c r="H594" s="315" t="str">
        <f>IF('Inputs Whole-Project Water Use'!H594&lt;&gt;"",'Inputs Whole-Project Water Use'!H594,"")</f>
        <v/>
      </c>
      <c r="I594" s="344" t="str">
        <f>IF('Inputs Whole-Project Water Use'!I594&lt;&gt;"",'Inputs Whole-Project Water Use'!I594,"")</f>
        <v/>
      </c>
      <c r="J594" s="345"/>
      <c r="K594" s="316" t="str">
        <f>IF('Inputs Whole-Project Water Use'!K594&lt;&gt;"",'Inputs Whole-Project Water Use'!K594,"")</f>
        <v/>
      </c>
      <c r="L594" s="316" t="str">
        <f>IF('Inputs Whole-Project Water Use'!L594&lt;&gt;"",'Inputs Whole-Project Water Use'!L594,"")</f>
        <v/>
      </c>
      <c r="M594" s="390" t="str">
        <f t="shared" si="62"/>
        <v/>
      </c>
      <c r="N594" s="391"/>
      <c r="O594" s="225" t="str">
        <f t="shared" si="63"/>
        <v/>
      </c>
      <c r="P594" s="225" t="str">
        <f t="shared" si="64"/>
        <v/>
      </c>
      <c r="Q594" s="289" t="str">
        <f>IF(AND(L594&lt;&gt;"",'Inputs Whole-Project Water Use'!Q594=""),0,IF('Inputs Whole-Project Water Use'!Q594&lt;&gt;"",'Inputs Whole-Project Water Use'!Q594,""))</f>
        <v/>
      </c>
      <c r="R594" s="225" t="str">
        <f t="shared" si="65"/>
        <v/>
      </c>
      <c r="S594" s="225" t="str">
        <f t="shared" si="66"/>
        <v/>
      </c>
      <c r="T594" s="231" t="str">
        <f t="shared" si="67"/>
        <v/>
      </c>
      <c r="U594" s="176"/>
      <c r="V594" s="241"/>
      <c r="W594" s="241"/>
      <c r="X594" s="241"/>
      <c r="Y594" s="241"/>
      <c r="Z594" s="241"/>
      <c r="AA594" s="241"/>
      <c r="AB594" s="241"/>
      <c r="AC594" s="241"/>
      <c r="AD594" s="241"/>
      <c r="AE594" s="241"/>
      <c r="AF594" s="241"/>
      <c r="AG594" s="241"/>
      <c r="AH594" s="241"/>
      <c r="AI594" s="241"/>
      <c r="AJ594" s="241"/>
      <c r="AK594" s="241"/>
      <c r="AL594" s="241"/>
      <c r="AM594" s="241"/>
      <c r="AN594" s="241"/>
      <c r="AO594" s="241"/>
      <c r="AP594" s="241"/>
      <c r="AQ594" s="241"/>
      <c r="AR594" s="241"/>
      <c r="AS594" s="241"/>
      <c r="AT594" s="241"/>
      <c r="AU594" s="241"/>
      <c r="AV594" s="241"/>
      <c r="AW594" s="241"/>
      <c r="AX594" s="241"/>
      <c r="AY594" s="241"/>
      <c r="AZ594" s="241"/>
    </row>
    <row r="595" spans="1:52" s="71" customFormat="1" ht="18" hidden="1" customHeight="1" outlineLevel="2">
      <c r="A595" s="175">
        <v>83</v>
      </c>
      <c r="B595" s="312" t="str">
        <f>(IF('Inputs Whole-Project Water Use'!B595&lt;&gt;"",'Inputs Whole-Project Water Use'!B595,""))</f>
        <v/>
      </c>
      <c r="C595" s="313" t="str">
        <f>IF(AND(K595&lt;&gt;"",'Inputs Whole-Project Water Use'!C595=""),1,IF('Inputs Whole-Project Water Use'!C595&lt;&gt;"",'Inputs Whole-Project Water Use'!C595,""))</f>
        <v/>
      </c>
      <c r="D595" s="397" t="str">
        <f>IF('Inputs Whole-Project Water Use'!D595&lt;&gt;"",'Inputs Whole-Project Water Use'!D595,"")</f>
        <v/>
      </c>
      <c r="E595" s="398"/>
      <c r="F595" s="314" t="str">
        <f>IF('Inputs Whole-Project Water Use'!F595&lt;&gt;"",'Inputs Whole-Project Water Use'!F595,"")</f>
        <v/>
      </c>
      <c r="G595" s="314" t="str">
        <f>IF('Inputs Whole-Project Water Use'!G595&lt;&gt;"",'Inputs Whole-Project Water Use'!G595,"")</f>
        <v/>
      </c>
      <c r="H595" s="315" t="str">
        <f>IF('Inputs Whole-Project Water Use'!H595&lt;&gt;"",'Inputs Whole-Project Water Use'!H595,"")</f>
        <v/>
      </c>
      <c r="I595" s="344" t="str">
        <f>IF('Inputs Whole-Project Water Use'!I595&lt;&gt;"",'Inputs Whole-Project Water Use'!I595,"")</f>
        <v/>
      </c>
      <c r="J595" s="345"/>
      <c r="K595" s="316" t="str">
        <f>IF('Inputs Whole-Project Water Use'!K595&lt;&gt;"",'Inputs Whole-Project Water Use'!K595,"")</f>
        <v/>
      </c>
      <c r="L595" s="316" t="str">
        <f>IF('Inputs Whole-Project Water Use'!L595&lt;&gt;"",'Inputs Whole-Project Water Use'!L595,"")</f>
        <v/>
      </c>
      <c r="M595" s="390" t="str">
        <f t="shared" si="62"/>
        <v/>
      </c>
      <c r="N595" s="391"/>
      <c r="O595" s="225" t="str">
        <f t="shared" si="63"/>
        <v/>
      </c>
      <c r="P595" s="225" t="str">
        <f t="shared" si="64"/>
        <v/>
      </c>
      <c r="Q595" s="289" t="str">
        <f>IF(AND(L595&lt;&gt;"",'Inputs Whole-Project Water Use'!Q595=""),0,IF('Inputs Whole-Project Water Use'!Q595&lt;&gt;"",'Inputs Whole-Project Water Use'!Q595,""))</f>
        <v/>
      </c>
      <c r="R595" s="225" t="str">
        <f t="shared" si="65"/>
        <v/>
      </c>
      <c r="S595" s="225" t="str">
        <f t="shared" si="66"/>
        <v/>
      </c>
      <c r="T595" s="231" t="str">
        <f t="shared" si="67"/>
        <v/>
      </c>
      <c r="U595" s="176"/>
      <c r="V595" s="241"/>
      <c r="W595" s="241"/>
      <c r="X595" s="241"/>
      <c r="Y595" s="241"/>
      <c r="Z595" s="241"/>
      <c r="AA595" s="241"/>
      <c r="AB595" s="241"/>
      <c r="AC595" s="241"/>
      <c r="AD595" s="241"/>
      <c r="AE595" s="241"/>
      <c r="AF595" s="241"/>
      <c r="AG595" s="241"/>
      <c r="AH595" s="241"/>
      <c r="AI595" s="241"/>
      <c r="AJ595" s="241"/>
      <c r="AK595" s="241"/>
      <c r="AL595" s="241"/>
      <c r="AM595" s="241"/>
      <c r="AN595" s="241"/>
      <c r="AO595" s="241"/>
      <c r="AP595" s="241"/>
      <c r="AQ595" s="241"/>
      <c r="AR595" s="241"/>
      <c r="AS595" s="241"/>
      <c r="AT595" s="241"/>
      <c r="AU595" s="241"/>
      <c r="AV595" s="241"/>
      <c r="AW595" s="241"/>
      <c r="AX595" s="241"/>
      <c r="AY595" s="241"/>
      <c r="AZ595" s="241"/>
    </row>
    <row r="596" spans="1:52" s="71" customFormat="1" ht="18" hidden="1" customHeight="1" outlineLevel="2">
      <c r="A596" s="175">
        <v>84</v>
      </c>
      <c r="B596" s="312" t="str">
        <f>(IF('Inputs Whole-Project Water Use'!B596&lt;&gt;"",'Inputs Whole-Project Water Use'!B596,""))</f>
        <v/>
      </c>
      <c r="C596" s="313" t="str">
        <f>IF(AND(K596&lt;&gt;"",'Inputs Whole-Project Water Use'!C596=""),1,IF('Inputs Whole-Project Water Use'!C596&lt;&gt;"",'Inputs Whole-Project Water Use'!C596,""))</f>
        <v/>
      </c>
      <c r="D596" s="397" t="str">
        <f>IF('Inputs Whole-Project Water Use'!D596&lt;&gt;"",'Inputs Whole-Project Water Use'!D596,"")</f>
        <v/>
      </c>
      <c r="E596" s="398"/>
      <c r="F596" s="314" t="str">
        <f>IF('Inputs Whole-Project Water Use'!F596&lt;&gt;"",'Inputs Whole-Project Water Use'!F596,"")</f>
        <v/>
      </c>
      <c r="G596" s="314" t="str">
        <f>IF('Inputs Whole-Project Water Use'!G596&lt;&gt;"",'Inputs Whole-Project Water Use'!G596,"")</f>
        <v/>
      </c>
      <c r="H596" s="315" t="str">
        <f>IF('Inputs Whole-Project Water Use'!H596&lt;&gt;"",'Inputs Whole-Project Water Use'!H596,"")</f>
        <v/>
      </c>
      <c r="I596" s="344" t="str">
        <f>IF('Inputs Whole-Project Water Use'!I596&lt;&gt;"",'Inputs Whole-Project Water Use'!I596,"")</f>
        <v/>
      </c>
      <c r="J596" s="345"/>
      <c r="K596" s="316" t="str">
        <f>IF('Inputs Whole-Project Water Use'!K596&lt;&gt;"",'Inputs Whole-Project Water Use'!K596,"")</f>
        <v/>
      </c>
      <c r="L596" s="316" t="str">
        <f>IF('Inputs Whole-Project Water Use'!L596&lt;&gt;"",'Inputs Whole-Project Water Use'!L596,"")</f>
        <v/>
      </c>
      <c r="M596" s="390" t="str">
        <f t="shared" si="62"/>
        <v/>
      </c>
      <c r="N596" s="391"/>
      <c r="O596" s="225" t="str">
        <f t="shared" si="63"/>
        <v/>
      </c>
      <c r="P596" s="225" t="str">
        <f t="shared" si="64"/>
        <v/>
      </c>
      <c r="Q596" s="289" t="str">
        <f>IF(AND(L596&lt;&gt;"",'Inputs Whole-Project Water Use'!Q596=""),0,IF('Inputs Whole-Project Water Use'!Q596&lt;&gt;"",'Inputs Whole-Project Water Use'!Q596,""))</f>
        <v/>
      </c>
      <c r="R596" s="225" t="str">
        <f t="shared" si="65"/>
        <v/>
      </c>
      <c r="S596" s="225" t="str">
        <f t="shared" si="66"/>
        <v/>
      </c>
      <c r="T596" s="231" t="str">
        <f t="shared" si="67"/>
        <v/>
      </c>
      <c r="U596" s="176"/>
      <c r="V596" s="241"/>
      <c r="W596" s="241"/>
      <c r="X596" s="241"/>
      <c r="Y596" s="241"/>
      <c r="Z596" s="241"/>
      <c r="AA596" s="241"/>
      <c r="AB596" s="241"/>
      <c r="AC596" s="241"/>
      <c r="AD596" s="241"/>
      <c r="AE596" s="241"/>
      <c r="AF596" s="241"/>
      <c r="AG596" s="241"/>
      <c r="AH596" s="241"/>
      <c r="AI596" s="241"/>
      <c r="AJ596" s="241"/>
      <c r="AK596" s="241"/>
      <c r="AL596" s="241"/>
      <c r="AM596" s="241"/>
      <c r="AN596" s="241"/>
      <c r="AO596" s="241"/>
      <c r="AP596" s="241"/>
      <c r="AQ596" s="241"/>
      <c r="AR596" s="241"/>
      <c r="AS596" s="241"/>
      <c r="AT596" s="241"/>
      <c r="AU596" s="241"/>
      <c r="AV596" s="241"/>
      <c r="AW596" s="241"/>
      <c r="AX596" s="241"/>
      <c r="AY596" s="241"/>
      <c r="AZ596" s="241"/>
    </row>
    <row r="597" spans="1:52" s="71" customFormat="1" ht="18" hidden="1" customHeight="1" outlineLevel="2">
      <c r="A597" s="175">
        <v>85</v>
      </c>
      <c r="B597" s="312" t="str">
        <f>(IF('Inputs Whole-Project Water Use'!B597&lt;&gt;"",'Inputs Whole-Project Water Use'!B597,""))</f>
        <v/>
      </c>
      <c r="C597" s="313" t="str">
        <f>IF(AND(K597&lt;&gt;"",'Inputs Whole-Project Water Use'!C597=""),1,IF('Inputs Whole-Project Water Use'!C597&lt;&gt;"",'Inputs Whole-Project Water Use'!C597,""))</f>
        <v/>
      </c>
      <c r="D597" s="397" t="str">
        <f>IF('Inputs Whole-Project Water Use'!D597&lt;&gt;"",'Inputs Whole-Project Water Use'!D597,"")</f>
        <v/>
      </c>
      <c r="E597" s="398"/>
      <c r="F597" s="314" t="str">
        <f>IF('Inputs Whole-Project Water Use'!F597&lt;&gt;"",'Inputs Whole-Project Water Use'!F597,"")</f>
        <v/>
      </c>
      <c r="G597" s="314" t="str">
        <f>IF('Inputs Whole-Project Water Use'!G597&lt;&gt;"",'Inputs Whole-Project Water Use'!G597,"")</f>
        <v/>
      </c>
      <c r="H597" s="315" t="str">
        <f>IF('Inputs Whole-Project Water Use'!H597&lt;&gt;"",'Inputs Whole-Project Water Use'!H597,"")</f>
        <v/>
      </c>
      <c r="I597" s="344" t="str">
        <f>IF('Inputs Whole-Project Water Use'!I597&lt;&gt;"",'Inputs Whole-Project Water Use'!I597,"")</f>
        <v/>
      </c>
      <c r="J597" s="345"/>
      <c r="K597" s="316" t="str">
        <f>IF('Inputs Whole-Project Water Use'!K597&lt;&gt;"",'Inputs Whole-Project Water Use'!K597,"")</f>
        <v/>
      </c>
      <c r="L597" s="316" t="str">
        <f>IF('Inputs Whole-Project Water Use'!L597&lt;&gt;"",'Inputs Whole-Project Water Use'!L597,"")</f>
        <v/>
      </c>
      <c r="M597" s="390" t="str">
        <f t="shared" si="62"/>
        <v/>
      </c>
      <c r="N597" s="391"/>
      <c r="O597" s="225" t="str">
        <f t="shared" si="63"/>
        <v/>
      </c>
      <c r="P597" s="225" t="str">
        <f t="shared" si="64"/>
        <v/>
      </c>
      <c r="Q597" s="289" t="str">
        <f>IF(AND(L597&lt;&gt;"",'Inputs Whole-Project Water Use'!Q597=""),0,IF('Inputs Whole-Project Water Use'!Q597&lt;&gt;"",'Inputs Whole-Project Water Use'!Q597,""))</f>
        <v/>
      </c>
      <c r="R597" s="225" t="str">
        <f t="shared" si="65"/>
        <v/>
      </c>
      <c r="S597" s="225" t="str">
        <f t="shared" si="66"/>
        <v/>
      </c>
      <c r="T597" s="231" t="str">
        <f t="shared" si="67"/>
        <v/>
      </c>
      <c r="U597" s="176"/>
      <c r="V597" s="241"/>
      <c r="W597" s="241"/>
      <c r="X597" s="241"/>
      <c r="Y597" s="241"/>
      <c r="Z597" s="241"/>
      <c r="AA597" s="241"/>
      <c r="AB597" s="241"/>
      <c r="AC597" s="241"/>
      <c r="AD597" s="241"/>
      <c r="AE597" s="241"/>
      <c r="AF597" s="241"/>
      <c r="AG597" s="241"/>
      <c r="AH597" s="241"/>
      <c r="AI597" s="241"/>
      <c r="AJ597" s="241"/>
      <c r="AK597" s="241"/>
      <c r="AL597" s="241"/>
      <c r="AM597" s="241"/>
      <c r="AN597" s="241"/>
      <c r="AO597" s="241"/>
      <c r="AP597" s="241"/>
      <c r="AQ597" s="241"/>
      <c r="AR597" s="241"/>
      <c r="AS597" s="241"/>
      <c r="AT597" s="241"/>
      <c r="AU597" s="241"/>
      <c r="AV597" s="241"/>
      <c r="AW597" s="241"/>
      <c r="AX597" s="241"/>
      <c r="AY597" s="241"/>
      <c r="AZ597" s="241"/>
    </row>
    <row r="598" spans="1:52" s="71" customFormat="1" ht="18" hidden="1" customHeight="1" outlineLevel="2">
      <c r="A598" s="175">
        <v>86</v>
      </c>
      <c r="B598" s="312" t="str">
        <f>(IF('Inputs Whole-Project Water Use'!B598&lt;&gt;"",'Inputs Whole-Project Water Use'!B598,""))</f>
        <v/>
      </c>
      <c r="C598" s="313" t="str">
        <f>IF(AND(K598&lt;&gt;"",'Inputs Whole-Project Water Use'!C598=""),1,IF('Inputs Whole-Project Water Use'!C598&lt;&gt;"",'Inputs Whole-Project Water Use'!C598,""))</f>
        <v/>
      </c>
      <c r="D598" s="397" t="str">
        <f>IF('Inputs Whole-Project Water Use'!D598&lt;&gt;"",'Inputs Whole-Project Water Use'!D598,"")</f>
        <v/>
      </c>
      <c r="E598" s="398"/>
      <c r="F598" s="314" t="str">
        <f>IF('Inputs Whole-Project Water Use'!F598&lt;&gt;"",'Inputs Whole-Project Water Use'!F598,"")</f>
        <v/>
      </c>
      <c r="G598" s="314" t="str">
        <f>IF('Inputs Whole-Project Water Use'!G598&lt;&gt;"",'Inputs Whole-Project Water Use'!G598,"")</f>
        <v/>
      </c>
      <c r="H598" s="315" t="str">
        <f>IF('Inputs Whole-Project Water Use'!H598&lt;&gt;"",'Inputs Whole-Project Water Use'!H598,"")</f>
        <v/>
      </c>
      <c r="I598" s="344" t="str">
        <f>IF('Inputs Whole-Project Water Use'!I598&lt;&gt;"",'Inputs Whole-Project Water Use'!I598,"")</f>
        <v/>
      </c>
      <c r="J598" s="345"/>
      <c r="K598" s="316" t="str">
        <f>IF('Inputs Whole-Project Water Use'!K598&lt;&gt;"",'Inputs Whole-Project Water Use'!K598,"")</f>
        <v/>
      </c>
      <c r="L598" s="316" t="str">
        <f>IF('Inputs Whole-Project Water Use'!L598&lt;&gt;"",'Inputs Whole-Project Water Use'!L598,"")</f>
        <v/>
      </c>
      <c r="M598" s="390" t="str">
        <f t="shared" si="62"/>
        <v/>
      </c>
      <c r="N598" s="391"/>
      <c r="O598" s="225" t="str">
        <f t="shared" si="63"/>
        <v/>
      </c>
      <c r="P598" s="225" t="str">
        <f t="shared" si="64"/>
        <v/>
      </c>
      <c r="Q598" s="289" t="str">
        <f>IF(AND(L598&lt;&gt;"",'Inputs Whole-Project Water Use'!Q598=""),0,IF('Inputs Whole-Project Water Use'!Q598&lt;&gt;"",'Inputs Whole-Project Water Use'!Q598,""))</f>
        <v/>
      </c>
      <c r="R598" s="225" t="str">
        <f t="shared" si="65"/>
        <v/>
      </c>
      <c r="S598" s="225" t="str">
        <f t="shared" si="66"/>
        <v/>
      </c>
      <c r="T598" s="231" t="str">
        <f t="shared" si="67"/>
        <v/>
      </c>
      <c r="U598" s="176"/>
      <c r="V598" s="241"/>
      <c r="W598" s="241"/>
      <c r="X598" s="241"/>
      <c r="Y598" s="241"/>
      <c r="Z598" s="241"/>
      <c r="AA598" s="241"/>
      <c r="AB598" s="241"/>
      <c r="AC598" s="241"/>
      <c r="AD598" s="241"/>
      <c r="AE598" s="241"/>
      <c r="AF598" s="241"/>
      <c r="AG598" s="241"/>
      <c r="AH598" s="241"/>
      <c r="AI598" s="241"/>
      <c r="AJ598" s="241"/>
      <c r="AK598" s="241"/>
      <c r="AL598" s="241"/>
      <c r="AM598" s="241"/>
      <c r="AN598" s="241"/>
      <c r="AO598" s="241"/>
      <c r="AP598" s="241"/>
      <c r="AQ598" s="241"/>
      <c r="AR598" s="241"/>
      <c r="AS598" s="241"/>
      <c r="AT598" s="241"/>
      <c r="AU598" s="241"/>
      <c r="AV598" s="241"/>
      <c r="AW598" s="241"/>
      <c r="AX598" s="241"/>
      <c r="AY598" s="241"/>
      <c r="AZ598" s="241"/>
    </row>
    <row r="599" spans="1:52" s="71" customFormat="1" ht="18" hidden="1" customHeight="1" outlineLevel="2">
      <c r="A599" s="175">
        <v>87</v>
      </c>
      <c r="B599" s="312" t="str">
        <f>(IF('Inputs Whole-Project Water Use'!B599&lt;&gt;"",'Inputs Whole-Project Water Use'!B599,""))</f>
        <v/>
      </c>
      <c r="C599" s="313" t="str">
        <f>IF(AND(K599&lt;&gt;"",'Inputs Whole-Project Water Use'!C599=""),1,IF('Inputs Whole-Project Water Use'!C599&lt;&gt;"",'Inputs Whole-Project Water Use'!C599,""))</f>
        <v/>
      </c>
      <c r="D599" s="397" t="str">
        <f>IF('Inputs Whole-Project Water Use'!D599&lt;&gt;"",'Inputs Whole-Project Water Use'!D599,"")</f>
        <v/>
      </c>
      <c r="E599" s="398"/>
      <c r="F599" s="314" t="str">
        <f>IF('Inputs Whole-Project Water Use'!F599&lt;&gt;"",'Inputs Whole-Project Water Use'!F599,"")</f>
        <v/>
      </c>
      <c r="G599" s="314" t="str">
        <f>IF('Inputs Whole-Project Water Use'!G599&lt;&gt;"",'Inputs Whole-Project Water Use'!G599,"")</f>
        <v/>
      </c>
      <c r="H599" s="315" t="str">
        <f>IF('Inputs Whole-Project Water Use'!H599&lt;&gt;"",'Inputs Whole-Project Water Use'!H599,"")</f>
        <v/>
      </c>
      <c r="I599" s="344" t="str">
        <f>IF('Inputs Whole-Project Water Use'!I599&lt;&gt;"",'Inputs Whole-Project Water Use'!I599,"")</f>
        <v/>
      </c>
      <c r="J599" s="345"/>
      <c r="K599" s="316" t="str">
        <f>IF('Inputs Whole-Project Water Use'!K599&lt;&gt;"",'Inputs Whole-Project Water Use'!K599,"")</f>
        <v/>
      </c>
      <c r="L599" s="316" t="str">
        <f>IF('Inputs Whole-Project Water Use'!L599&lt;&gt;"",'Inputs Whole-Project Water Use'!L599,"")</f>
        <v/>
      </c>
      <c r="M599" s="390" t="str">
        <f t="shared" si="62"/>
        <v/>
      </c>
      <c r="N599" s="391"/>
      <c r="O599" s="225" t="str">
        <f t="shared" si="63"/>
        <v/>
      </c>
      <c r="P599" s="225" t="str">
        <f t="shared" si="64"/>
        <v/>
      </c>
      <c r="Q599" s="289" t="str">
        <f>IF(AND(L599&lt;&gt;"",'Inputs Whole-Project Water Use'!Q599=""),0,IF('Inputs Whole-Project Water Use'!Q599&lt;&gt;"",'Inputs Whole-Project Water Use'!Q599,""))</f>
        <v/>
      </c>
      <c r="R599" s="225" t="str">
        <f t="shared" si="65"/>
        <v/>
      </c>
      <c r="S599" s="225" t="str">
        <f t="shared" si="66"/>
        <v/>
      </c>
      <c r="T599" s="231" t="str">
        <f t="shared" si="67"/>
        <v/>
      </c>
      <c r="U599" s="176"/>
      <c r="V599" s="241"/>
      <c r="W599" s="241"/>
      <c r="X599" s="241"/>
      <c r="Y599" s="241"/>
      <c r="Z599" s="241"/>
      <c r="AA599" s="241"/>
      <c r="AB599" s="241"/>
      <c r="AC599" s="241"/>
      <c r="AD599" s="241"/>
      <c r="AE599" s="241"/>
      <c r="AF599" s="241"/>
      <c r="AG599" s="241"/>
      <c r="AH599" s="241"/>
      <c r="AI599" s="241"/>
      <c r="AJ599" s="241"/>
      <c r="AK599" s="241"/>
      <c r="AL599" s="241"/>
      <c r="AM599" s="241"/>
      <c r="AN599" s="241"/>
      <c r="AO599" s="241"/>
      <c r="AP599" s="241"/>
      <c r="AQ599" s="241"/>
      <c r="AR599" s="241"/>
      <c r="AS599" s="241"/>
      <c r="AT599" s="241"/>
      <c r="AU599" s="241"/>
      <c r="AV599" s="241"/>
      <c r="AW599" s="241"/>
      <c r="AX599" s="241"/>
      <c r="AY599" s="241"/>
      <c r="AZ599" s="241"/>
    </row>
    <row r="600" spans="1:52" s="71" customFormat="1" ht="18" hidden="1" customHeight="1" outlineLevel="2">
      <c r="A600" s="175">
        <v>88</v>
      </c>
      <c r="B600" s="312" t="str">
        <f>(IF('Inputs Whole-Project Water Use'!B600&lt;&gt;"",'Inputs Whole-Project Water Use'!B600,""))</f>
        <v/>
      </c>
      <c r="C600" s="313" t="str">
        <f>IF(AND(K600&lt;&gt;"",'Inputs Whole-Project Water Use'!C600=""),1,IF('Inputs Whole-Project Water Use'!C600&lt;&gt;"",'Inputs Whole-Project Water Use'!C600,""))</f>
        <v/>
      </c>
      <c r="D600" s="397" t="str">
        <f>IF('Inputs Whole-Project Water Use'!D600&lt;&gt;"",'Inputs Whole-Project Water Use'!D600,"")</f>
        <v/>
      </c>
      <c r="E600" s="398"/>
      <c r="F600" s="314" t="str">
        <f>IF('Inputs Whole-Project Water Use'!F600&lt;&gt;"",'Inputs Whole-Project Water Use'!F600,"")</f>
        <v/>
      </c>
      <c r="G600" s="314" t="str">
        <f>IF('Inputs Whole-Project Water Use'!G600&lt;&gt;"",'Inputs Whole-Project Water Use'!G600,"")</f>
        <v/>
      </c>
      <c r="H600" s="315" t="str">
        <f>IF('Inputs Whole-Project Water Use'!H600&lt;&gt;"",'Inputs Whole-Project Water Use'!H600,"")</f>
        <v/>
      </c>
      <c r="I600" s="344" t="str">
        <f>IF('Inputs Whole-Project Water Use'!I600&lt;&gt;"",'Inputs Whole-Project Water Use'!I600,"")</f>
        <v/>
      </c>
      <c r="J600" s="345"/>
      <c r="K600" s="316" t="str">
        <f>IF('Inputs Whole-Project Water Use'!K600&lt;&gt;"",'Inputs Whole-Project Water Use'!K600,"")</f>
        <v/>
      </c>
      <c r="L600" s="316" t="str">
        <f>IF('Inputs Whole-Project Water Use'!L600&lt;&gt;"",'Inputs Whole-Project Water Use'!L600,"")</f>
        <v/>
      </c>
      <c r="M600" s="390" t="str">
        <f t="shared" si="62"/>
        <v/>
      </c>
      <c r="N600" s="391"/>
      <c r="O600" s="225" t="str">
        <f t="shared" si="63"/>
        <v/>
      </c>
      <c r="P600" s="225" t="str">
        <f t="shared" si="64"/>
        <v/>
      </c>
      <c r="Q600" s="289" t="str">
        <f>IF(AND(L600&lt;&gt;"",'Inputs Whole-Project Water Use'!Q600=""),0,IF('Inputs Whole-Project Water Use'!Q600&lt;&gt;"",'Inputs Whole-Project Water Use'!Q600,""))</f>
        <v/>
      </c>
      <c r="R600" s="225" t="str">
        <f t="shared" si="65"/>
        <v/>
      </c>
      <c r="S600" s="225" t="str">
        <f t="shared" si="66"/>
        <v/>
      </c>
      <c r="T600" s="231" t="str">
        <f t="shared" si="67"/>
        <v/>
      </c>
      <c r="U600" s="176"/>
      <c r="V600" s="241"/>
      <c r="W600" s="241"/>
      <c r="X600" s="241"/>
      <c r="Y600" s="241"/>
      <c r="Z600" s="241"/>
      <c r="AA600" s="241"/>
      <c r="AB600" s="241"/>
      <c r="AC600" s="241"/>
      <c r="AD600" s="241"/>
      <c r="AE600" s="241"/>
      <c r="AF600" s="241"/>
      <c r="AG600" s="241"/>
      <c r="AH600" s="241"/>
      <c r="AI600" s="241"/>
      <c r="AJ600" s="241"/>
      <c r="AK600" s="241"/>
      <c r="AL600" s="241"/>
      <c r="AM600" s="241"/>
      <c r="AN600" s="241"/>
      <c r="AO600" s="241"/>
      <c r="AP600" s="241"/>
      <c r="AQ600" s="241"/>
      <c r="AR600" s="241"/>
      <c r="AS600" s="241"/>
      <c r="AT600" s="241"/>
      <c r="AU600" s="241"/>
      <c r="AV600" s="241"/>
      <c r="AW600" s="241"/>
      <c r="AX600" s="241"/>
      <c r="AY600" s="241"/>
      <c r="AZ600" s="241"/>
    </row>
    <row r="601" spans="1:52" s="71" customFormat="1" ht="18" hidden="1" customHeight="1" outlineLevel="2">
      <c r="A601" s="175">
        <v>89</v>
      </c>
      <c r="B601" s="312" t="str">
        <f>(IF('Inputs Whole-Project Water Use'!B601&lt;&gt;"",'Inputs Whole-Project Water Use'!B601,""))</f>
        <v/>
      </c>
      <c r="C601" s="313" t="str">
        <f>IF(AND(K601&lt;&gt;"",'Inputs Whole-Project Water Use'!C601=""),1,IF('Inputs Whole-Project Water Use'!C601&lt;&gt;"",'Inputs Whole-Project Water Use'!C601,""))</f>
        <v/>
      </c>
      <c r="D601" s="397" t="str">
        <f>IF('Inputs Whole-Project Water Use'!D601&lt;&gt;"",'Inputs Whole-Project Water Use'!D601,"")</f>
        <v/>
      </c>
      <c r="E601" s="398"/>
      <c r="F601" s="314" t="str">
        <f>IF('Inputs Whole-Project Water Use'!F601&lt;&gt;"",'Inputs Whole-Project Water Use'!F601,"")</f>
        <v/>
      </c>
      <c r="G601" s="314" t="str">
        <f>IF('Inputs Whole-Project Water Use'!G601&lt;&gt;"",'Inputs Whole-Project Water Use'!G601,"")</f>
        <v/>
      </c>
      <c r="H601" s="315" t="str">
        <f>IF('Inputs Whole-Project Water Use'!H601&lt;&gt;"",'Inputs Whole-Project Water Use'!H601,"")</f>
        <v/>
      </c>
      <c r="I601" s="344" t="str">
        <f>IF('Inputs Whole-Project Water Use'!I601&lt;&gt;"",'Inputs Whole-Project Water Use'!I601,"")</f>
        <v/>
      </c>
      <c r="J601" s="345"/>
      <c r="K601" s="316" t="str">
        <f>IF('Inputs Whole-Project Water Use'!K601&lt;&gt;"",'Inputs Whole-Project Water Use'!K601,"")</f>
        <v/>
      </c>
      <c r="L601" s="316" t="str">
        <f>IF('Inputs Whole-Project Water Use'!L601&lt;&gt;"",'Inputs Whole-Project Water Use'!L601,"")</f>
        <v/>
      </c>
      <c r="M601" s="390" t="str">
        <f t="shared" si="62"/>
        <v/>
      </c>
      <c r="N601" s="391"/>
      <c r="O601" s="225" t="str">
        <f t="shared" si="63"/>
        <v/>
      </c>
      <c r="P601" s="225" t="str">
        <f t="shared" si="64"/>
        <v/>
      </c>
      <c r="Q601" s="289" t="str">
        <f>IF(AND(L601&lt;&gt;"",'Inputs Whole-Project Water Use'!Q601=""),0,IF('Inputs Whole-Project Water Use'!Q601&lt;&gt;"",'Inputs Whole-Project Water Use'!Q601,""))</f>
        <v/>
      </c>
      <c r="R601" s="225" t="str">
        <f t="shared" si="65"/>
        <v/>
      </c>
      <c r="S601" s="225" t="str">
        <f t="shared" si="66"/>
        <v/>
      </c>
      <c r="T601" s="231" t="str">
        <f t="shared" si="67"/>
        <v/>
      </c>
      <c r="U601" s="176"/>
      <c r="V601" s="241"/>
      <c r="W601" s="241"/>
      <c r="X601" s="241"/>
      <c r="Y601" s="241"/>
      <c r="Z601" s="241"/>
      <c r="AA601" s="241"/>
      <c r="AB601" s="241"/>
      <c r="AC601" s="241"/>
      <c r="AD601" s="241"/>
      <c r="AE601" s="241"/>
      <c r="AF601" s="241"/>
      <c r="AG601" s="241"/>
      <c r="AH601" s="241"/>
      <c r="AI601" s="241"/>
      <c r="AJ601" s="241"/>
      <c r="AK601" s="241"/>
      <c r="AL601" s="241"/>
      <c r="AM601" s="241"/>
      <c r="AN601" s="241"/>
      <c r="AO601" s="241"/>
      <c r="AP601" s="241"/>
      <c r="AQ601" s="241"/>
      <c r="AR601" s="241"/>
      <c r="AS601" s="241"/>
      <c r="AT601" s="241"/>
      <c r="AU601" s="241"/>
      <c r="AV601" s="241"/>
      <c r="AW601" s="241"/>
      <c r="AX601" s="241"/>
      <c r="AY601" s="241"/>
      <c r="AZ601" s="241"/>
    </row>
    <row r="602" spans="1:52" s="71" customFormat="1" ht="18" hidden="1" customHeight="1" outlineLevel="2">
      <c r="A602" s="175">
        <v>90</v>
      </c>
      <c r="B602" s="312" t="str">
        <f>(IF('Inputs Whole-Project Water Use'!B602&lt;&gt;"",'Inputs Whole-Project Water Use'!B602,""))</f>
        <v/>
      </c>
      <c r="C602" s="313" t="str">
        <f>IF(AND(K602&lt;&gt;"",'Inputs Whole-Project Water Use'!C602=""),1,IF('Inputs Whole-Project Water Use'!C602&lt;&gt;"",'Inputs Whole-Project Water Use'!C602,""))</f>
        <v/>
      </c>
      <c r="D602" s="397" t="str">
        <f>IF('Inputs Whole-Project Water Use'!D602&lt;&gt;"",'Inputs Whole-Project Water Use'!D602,"")</f>
        <v/>
      </c>
      <c r="E602" s="398"/>
      <c r="F602" s="314" t="str">
        <f>IF('Inputs Whole-Project Water Use'!F602&lt;&gt;"",'Inputs Whole-Project Water Use'!F602,"")</f>
        <v/>
      </c>
      <c r="G602" s="314" t="str">
        <f>IF('Inputs Whole-Project Water Use'!G602&lt;&gt;"",'Inputs Whole-Project Water Use'!G602,"")</f>
        <v/>
      </c>
      <c r="H602" s="315" t="str">
        <f>IF('Inputs Whole-Project Water Use'!H602&lt;&gt;"",'Inputs Whole-Project Water Use'!H602,"")</f>
        <v/>
      </c>
      <c r="I602" s="344" t="str">
        <f>IF('Inputs Whole-Project Water Use'!I602&lt;&gt;"",'Inputs Whole-Project Water Use'!I602,"")</f>
        <v/>
      </c>
      <c r="J602" s="345"/>
      <c r="K602" s="316" t="str">
        <f>IF('Inputs Whole-Project Water Use'!K602&lt;&gt;"",'Inputs Whole-Project Water Use'!K602,"")</f>
        <v/>
      </c>
      <c r="L602" s="316" t="str">
        <f>IF('Inputs Whole-Project Water Use'!L602&lt;&gt;"",'Inputs Whole-Project Water Use'!L602,"")</f>
        <v/>
      </c>
      <c r="M602" s="390" t="str">
        <f t="shared" si="62"/>
        <v/>
      </c>
      <c r="N602" s="391"/>
      <c r="O602" s="225" t="str">
        <f t="shared" si="63"/>
        <v/>
      </c>
      <c r="P602" s="225" t="str">
        <f t="shared" si="64"/>
        <v/>
      </c>
      <c r="Q602" s="289" t="str">
        <f>IF(AND(L602&lt;&gt;"",'Inputs Whole-Project Water Use'!Q602=""),0,IF('Inputs Whole-Project Water Use'!Q602&lt;&gt;"",'Inputs Whole-Project Water Use'!Q602,""))</f>
        <v/>
      </c>
      <c r="R602" s="225" t="str">
        <f t="shared" si="65"/>
        <v/>
      </c>
      <c r="S602" s="225" t="str">
        <f t="shared" si="66"/>
        <v/>
      </c>
      <c r="T602" s="231" t="str">
        <f t="shared" si="67"/>
        <v/>
      </c>
      <c r="U602" s="176"/>
      <c r="V602" s="241"/>
      <c r="W602" s="241"/>
      <c r="X602" s="241"/>
      <c r="Y602" s="241"/>
      <c r="Z602" s="241"/>
      <c r="AA602" s="241"/>
      <c r="AB602" s="241"/>
      <c r="AC602" s="241"/>
      <c r="AD602" s="241"/>
      <c r="AE602" s="241"/>
      <c r="AF602" s="241"/>
      <c r="AG602" s="241"/>
      <c r="AH602" s="241"/>
      <c r="AI602" s="241"/>
      <c r="AJ602" s="241"/>
      <c r="AK602" s="241"/>
      <c r="AL602" s="241"/>
      <c r="AM602" s="241"/>
      <c r="AN602" s="241"/>
      <c r="AO602" s="241"/>
      <c r="AP602" s="241"/>
      <c r="AQ602" s="241"/>
      <c r="AR602" s="241"/>
      <c r="AS602" s="241"/>
      <c r="AT602" s="241"/>
      <c r="AU602" s="241"/>
      <c r="AV602" s="241"/>
      <c r="AW602" s="241"/>
      <c r="AX602" s="241"/>
      <c r="AY602" s="241"/>
      <c r="AZ602" s="241"/>
    </row>
    <row r="603" spans="1:52" s="71" customFormat="1" ht="18" hidden="1" customHeight="1" outlineLevel="1" collapsed="1">
      <c r="A603" s="175">
        <v>91</v>
      </c>
      <c r="B603" s="312" t="str">
        <f>(IF('Inputs Whole-Project Water Use'!B603&lt;&gt;"",'Inputs Whole-Project Water Use'!B603,""))</f>
        <v/>
      </c>
      <c r="C603" s="313" t="str">
        <f>IF(AND(K603&lt;&gt;"",'Inputs Whole-Project Water Use'!C603=""),1,IF('Inputs Whole-Project Water Use'!C603&lt;&gt;"",'Inputs Whole-Project Water Use'!C603,""))</f>
        <v/>
      </c>
      <c r="D603" s="397" t="str">
        <f>IF('Inputs Whole-Project Water Use'!D603&lt;&gt;"",'Inputs Whole-Project Water Use'!D603,"")</f>
        <v/>
      </c>
      <c r="E603" s="398"/>
      <c r="F603" s="314" t="str">
        <f>IF('Inputs Whole-Project Water Use'!F603&lt;&gt;"",'Inputs Whole-Project Water Use'!F603,"")</f>
        <v/>
      </c>
      <c r="G603" s="314" t="str">
        <f>IF('Inputs Whole-Project Water Use'!G603&lt;&gt;"",'Inputs Whole-Project Water Use'!G603,"")</f>
        <v/>
      </c>
      <c r="H603" s="315" t="str">
        <f>IF('Inputs Whole-Project Water Use'!H603&lt;&gt;"",'Inputs Whole-Project Water Use'!H603,"")</f>
        <v/>
      </c>
      <c r="I603" s="344" t="str">
        <f>IF('Inputs Whole-Project Water Use'!I603&lt;&gt;"",'Inputs Whole-Project Water Use'!I603,"")</f>
        <v/>
      </c>
      <c r="J603" s="345"/>
      <c r="K603" s="316" t="str">
        <f>IF('Inputs Whole-Project Water Use'!K603&lt;&gt;"",'Inputs Whole-Project Water Use'!K603,"")</f>
        <v/>
      </c>
      <c r="L603" s="316" t="str">
        <f>IF('Inputs Whole-Project Water Use'!L603&lt;&gt;"",'Inputs Whole-Project Water Use'!L603,"")</f>
        <v/>
      </c>
      <c r="M603" s="390" t="str">
        <f t="shared" si="62"/>
        <v/>
      </c>
      <c r="N603" s="391"/>
      <c r="O603" s="225" t="str">
        <f t="shared" si="63"/>
        <v/>
      </c>
      <c r="P603" s="225" t="str">
        <f t="shared" si="64"/>
        <v/>
      </c>
      <c r="Q603" s="289" t="str">
        <f>IF(AND(L603&lt;&gt;"",'Inputs Whole-Project Water Use'!Q603=""),0,IF('Inputs Whole-Project Water Use'!Q603&lt;&gt;"",'Inputs Whole-Project Water Use'!Q603,""))</f>
        <v/>
      </c>
      <c r="R603" s="225" t="str">
        <f t="shared" si="65"/>
        <v/>
      </c>
      <c r="S603" s="225" t="str">
        <f t="shared" si="66"/>
        <v/>
      </c>
      <c r="T603" s="231" t="str">
        <f t="shared" si="67"/>
        <v/>
      </c>
      <c r="U603" s="176" t="s">
        <v>165</v>
      </c>
      <c r="V603" s="241"/>
      <c r="W603" s="241"/>
      <c r="X603" s="241"/>
      <c r="Y603" s="241"/>
      <c r="Z603" s="241"/>
      <c r="AA603" s="241"/>
      <c r="AB603" s="241"/>
      <c r="AC603" s="241"/>
      <c r="AD603" s="241"/>
      <c r="AE603" s="241"/>
      <c r="AF603" s="241"/>
      <c r="AG603" s="241"/>
      <c r="AH603" s="241"/>
      <c r="AI603" s="241"/>
      <c r="AJ603" s="241"/>
      <c r="AK603" s="241"/>
      <c r="AL603" s="241"/>
      <c r="AM603" s="241"/>
      <c r="AN603" s="241"/>
      <c r="AO603" s="241"/>
      <c r="AP603" s="241"/>
      <c r="AQ603" s="241"/>
      <c r="AR603" s="241"/>
      <c r="AS603" s="241"/>
      <c r="AT603" s="241"/>
      <c r="AU603" s="241"/>
      <c r="AV603" s="241"/>
      <c r="AW603" s="241"/>
      <c r="AX603" s="241"/>
      <c r="AY603" s="241"/>
      <c r="AZ603" s="241"/>
    </row>
    <row r="604" spans="1:52" s="71" customFormat="1" ht="18" hidden="1" customHeight="1" outlineLevel="2">
      <c r="A604" s="175">
        <v>92</v>
      </c>
      <c r="B604" s="312" t="str">
        <f>(IF('Inputs Whole-Project Water Use'!B604&lt;&gt;"",'Inputs Whole-Project Water Use'!B604,""))</f>
        <v/>
      </c>
      <c r="C604" s="313" t="str">
        <f>IF(AND(K604&lt;&gt;"",'Inputs Whole-Project Water Use'!C604=""),1,IF('Inputs Whole-Project Water Use'!C604&lt;&gt;"",'Inputs Whole-Project Water Use'!C604,""))</f>
        <v/>
      </c>
      <c r="D604" s="397" t="str">
        <f>IF('Inputs Whole-Project Water Use'!D604&lt;&gt;"",'Inputs Whole-Project Water Use'!D604,"")</f>
        <v/>
      </c>
      <c r="E604" s="398"/>
      <c r="F604" s="314" t="str">
        <f>IF('Inputs Whole-Project Water Use'!F604&lt;&gt;"",'Inputs Whole-Project Water Use'!F604,"")</f>
        <v/>
      </c>
      <c r="G604" s="314" t="str">
        <f>IF('Inputs Whole-Project Water Use'!G604&lt;&gt;"",'Inputs Whole-Project Water Use'!G604,"")</f>
        <v/>
      </c>
      <c r="H604" s="315" t="str">
        <f>IF('Inputs Whole-Project Water Use'!H604&lt;&gt;"",'Inputs Whole-Project Water Use'!H604,"")</f>
        <v/>
      </c>
      <c r="I604" s="344" t="str">
        <f>IF('Inputs Whole-Project Water Use'!I604&lt;&gt;"",'Inputs Whole-Project Water Use'!I604,"")</f>
        <v/>
      </c>
      <c r="J604" s="345"/>
      <c r="K604" s="316" t="str">
        <f>IF('Inputs Whole-Project Water Use'!K604&lt;&gt;"",'Inputs Whole-Project Water Use'!K604,"")</f>
        <v/>
      </c>
      <c r="L604" s="316" t="str">
        <f>IF('Inputs Whole-Project Water Use'!L604&lt;&gt;"",'Inputs Whole-Project Water Use'!L604,"")</f>
        <v/>
      </c>
      <c r="M604" s="390" t="str">
        <f t="shared" si="62"/>
        <v/>
      </c>
      <c r="N604" s="391"/>
      <c r="O604" s="225" t="str">
        <f t="shared" si="63"/>
        <v/>
      </c>
      <c r="P604" s="225" t="str">
        <f t="shared" si="64"/>
        <v/>
      </c>
      <c r="Q604" s="289" t="str">
        <f>IF(AND(L604&lt;&gt;"",'Inputs Whole-Project Water Use'!Q604=""),0,IF('Inputs Whole-Project Water Use'!Q604&lt;&gt;"",'Inputs Whole-Project Water Use'!Q604,""))</f>
        <v/>
      </c>
      <c r="R604" s="225" t="str">
        <f t="shared" si="65"/>
        <v/>
      </c>
      <c r="S604" s="225" t="str">
        <f t="shared" si="66"/>
        <v/>
      </c>
      <c r="T604" s="231" t="str">
        <f t="shared" si="67"/>
        <v/>
      </c>
      <c r="U604" s="176"/>
      <c r="V604" s="241"/>
      <c r="W604" s="241"/>
      <c r="X604" s="241"/>
      <c r="Y604" s="241"/>
      <c r="Z604" s="241"/>
      <c r="AA604" s="241"/>
      <c r="AB604" s="241"/>
      <c r="AC604" s="241"/>
      <c r="AD604" s="241"/>
      <c r="AE604" s="241"/>
      <c r="AF604" s="241"/>
      <c r="AG604" s="241"/>
      <c r="AH604" s="241"/>
      <c r="AI604" s="241"/>
      <c r="AJ604" s="241"/>
      <c r="AK604" s="241"/>
      <c r="AL604" s="241"/>
      <c r="AM604" s="241"/>
      <c r="AN604" s="241"/>
      <c r="AO604" s="241"/>
      <c r="AP604" s="241"/>
      <c r="AQ604" s="241"/>
      <c r="AR604" s="241"/>
      <c r="AS604" s="241"/>
      <c r="AT604" s="241"/>
      <c r="AU604" s="241"/>
      <c r="AV604" s="241"/>
      <c r="AW604" s="241"/>
      <c r="AX604" s="241"/>
      <c r="AY604" s="241"/>
      <c r="AZ604" s="241"/>
    </row>
    <row r="605" spans="1:52" s="71" customFormat="1" ht="18" hidden="1" customHeight="1" outlineLevel="2">
      <c r="A605" s="175">
        <v>93</v>
      </c>
      <c r="B605" s="312" t="str">
        <f>(IF('Inputs Whole-Project Water Use'!B605&lt;&gt;"",'Inputs Whole-Project Water Use'!B605,""))</f>
        <v/>
      </c>
      <c r="C605" s="313" t="str">
        <f>IF(AND(K605&lt;&gt;"",'Inputs Whole-Project Water Use'!C605=""),1,IF('Inputs Whole-Project Water Use'!C605&lt;&gt;"",'Inputs Whole-Project Water Use'!C605,""))</f>
        <v/>
      </c>
      <c r="D605" s="397" t="str">
        <f>IF('Inputs Whole-Project Water Use'!D605&lt;&gt;"",'Inputs Whole-Project Water Use'!D605,"")</f>
        <v/>
      </c>
      <c r="E605" s="398"/>
      <c r="F605" s="314" t="str">
        <f>IF('Inputs Whole-Project Water Use'!F605&lt;&gt;"",'Inputs Whole-Project Water Use'!F605,"")</f>
        <v/>
      </c>
      <c r="G605" s="314" t="str">
        <f>IF('Inputs Whole-Project Water Use'!G605&lt;&gt;"",'Inputs Whole-Project Water Use'!G605,"")</f>
        <v/>
      </c>
      <c r="H605" s="315" t="str">
        <f>IF('Inputs Whole-Project Water Use'!H605&lt;&gt;"",'Inputs Whole-Project Water Use'!H605,"")</f>
        <v/>
      </c>
      <c r="I605" s="344" t="str">
        <f>IF('Inputs Whole-Project Water Use'!I605&lt;&gt;"",'Inputs Whole-Project Water Use'!I605,"")</f>
        <v/>
      </c>
      <c r="J605" s="345"/>
      <c r="K605" s="316" t="str">
        <f>IF('Inputs Whole-Project Water Use'!K605&lt;&gt;"",'Inputs Whole-Project Water Use'!K605,"")</f>
        <v/>
      </c>
      <c r="L605" s="316" t="str">
        <f>IF('Inputs Whole-Project Water Use'!L605&lt;&gt;"",'Inputs Whole-Project Water Use'!L605,"")</f>
        <v/>
      </c>
      <c r="M605" s="390" t="str">
        <f t="shared" si="62"/>
        <v/>
      </c>
      <c r="N605" s="391"/>
      <c r="O605" s="225" t="str">
        <f t="shared" si="63"/>
        <v/>
      </c>
      <c r="P605" s="225" t="str">
        <f t="shared" si="64"/>
        <v/>
      </c>
      <c r="Q605" s="289" t="str">
        <f>IF(AND(L605&lt;&gt;"",'Inputs Whole-Project Water Use'!Q605=""),0,IF('Inputs Whole-Project Water Use'!Q605&lt;&gt;"",'Inputs Whole-Project Water Use'!Q605,""))</f>
        <v/>
      </c>
      <c r="R605" s="225" t="str">
        <f t="shared" si="65"/>
        <v/>
      </c>
      <c r="S605" s="225" t="str">
        <f t="shared" si="66"/>
        <v/>
      </c>
      <c r="T605" s="231" t="str">
        <f t="shared" si="67"/>
        <v/>
      </c>
      <c r="U605" s="176"/>
      <c r="V605" s="241"/>
      <c r="W605" s="241"/>
      <c r="X605" s="241"/>
      <c r="Y605" s="241"/>
      <c r="Z605" s="241"/>
      <c r="AA605" s="241"/>
      <c r="AB605" s="241"/>
      <c r="AC605" s="241"/>
      <c r="AD605" s="241"/>
      <c r="AE605" s="241"/>
      <c r="AF605" s="241"/>
      <c r="AG605" s="241"/>
      <c r="AH605" s="241"/>
      <c r="AI605" s="241"/>
      <c r="AJ605" s="241"/>
      <c r="AK605" s="241"/>
      <c r="AL605" s="241"/>
      <c r="AM605" s="241"/>
      <c r="AN605" s="241"/>
      <c r="AO605" s="241"/>
      <c r="AP605" s="241"/>
      <c r="AQ605" s="241"/>
      <c r="AR605" s="241"/>
      <c r="AS605" s="241"/>
      <c r="AT605" s="241"/>
      <c r="AU605" s="241"/>
      <c r="AV605" s="241"/>
      <c r="AW605" s="241"/>
      <c r="AX605" s="241"/>
      <c r="AY605" s="241"/>
      <c r="AZ605" s="241"/>
    </row>
    <row r="606" spans="1:52" s="71" customFormat="1" ht="18" hidden="1" customHeight="1" outlineLevel="2">
      <c r="A606" s="175">
        <v>94</v>
      </c>
      <c r="B606" s="312" t="str">
        <f>(IF('Inputs Whole-Project Water Use'!B606&lt;&gt;"",'Inputs Whole-Project Water Use'!B606,""))</f>
        <v/>
      </c>
      <c r="C606" s="313" t="str">
        <f>IF(AND(K606&lt;&gt;"",'Inputs Whole-Project Water Use'!C606=""),1,IF('Inputs Whole-Project Water Use'!C606&lt;&gt;"",'Inputs Whole-Project Water Use'!C606,""))</f>
        <v/>
      </c>
      <c r="D606" s="397" t="str">
        <f>IF('Inputs Whole-Project Water Use'!D606&lt;&gt;"",'Inputs Whole-Project Water Use'!D606,"")</f>
        <v/>
      </c>
      <c r="E606" s="398"/>
      <c r="F606" s="314" t="str">
        <f>IF('Inputs Whole-Project Water Use'!F606&lt;&gt;"",'Inputs Whole-Project Water Use'!F606,"")</f>
        <v/>
      </c>
      <c r="G606" s="314" t="str">
        <f>IF('Inputs Whole-Project Water Use'!G606&lt;&gt;"",'Inputs Whole-Project Water Use'!G606,"")</f>
        <v/>
      </c>
      <c r="H606" s="315" t="str">
        <f>IF('Inputs Whole-Project Water Use'!H606&lt;&gt;"",'Inputs Whole-Project Water Use'!H606,"")</f>
        <v/>
      </c>
      <c r="I606" s="344" t="str">
        <f>IF('Inputs Whole-Project Water Use'!I606&lt;&gt;"",'Inputs Whole-Project Water Use'!I606,"")</f>
        <v/>
      </c>
      <c r="J606" s="345"/>
      <c r="K606" s="316" t="str">
        <f>IF('Inputs Whole-Project Water Use'!K606&lt;&gt;"",'Inputs Whole-Project Water Use'!K606,"")</f>
        <v/>
      </c>
      <c r="L606" s="316" t="str">
        <f>IF('Inputs Whole-Project Water Use'!L606&lt;&gt;"",'Inputs Whole-Project Water Use'!L606,"")</f>
        <v/>
      </c>
      <c r="M606" s="390" t="str">
        <f t="shared" si="62"/>
        <v/>
      </c>
      <c r="N606" s="391"/>
      <c r="O606" s="225" t="str">
        <f t="shared" si="63"/>
        <v/>
      </c>
      <c r="P606" s="225" t="str">
        <f t="shared" si="64"/>
        <v/>
      </c>
      <c r="Q606" s="289" t="str">
        <f>IF(AND(L606&lt;&gt;"",'Inputs Whole-Project Water Use'!Q606=""),0,IF('Inputs Whole-Project Water Use'!Q606&lt;&gt;"",'Inputs Whole-Project Water Use'!Q606,""))</f>
        <v/>
      </c>
      <c r="R606" s="225" t="str">
        <f t="shared" si="65"/>
        <v/>
      </c>
      <c r="S606" s="225" t="str">
        <f t="shared" si="66"/>
        <v/>
      </c>
      <c r="T606" s="231" t="str">
        <f t="shared" si="67"/>
        <v/>
      </c>
      <c r="U606" s="176"/>
      <c r="V606" s="241"/>
      <c r="W606" s="241"/>
      <c r="X606" s="241"/>
      <c r="Y606" s="241"/>
      <c r="Z606" s="241"/>
      <c r="AA606" s="241"/>
      <c r="AB606" s="241"/>
      <c r="AC606" s="241"/>
      <c r="AD606" s="241"/>
      <c r="AE606" s="241"/>
      <c r="AF606" s="241"/>
      <c r="AG606" s="241"/>
      <c r="AH606" s="241"/>
      <c r="AI606" s="241"/>
      <c r="AJ606" s="241"/>
      <c r="AK606" s="241"/>
      <c r="AL606" s="241"/>
      <c r="AM606" s="241"/>
      <c r="AN606" s="241"/>
      <c r="AO606" s="241"/>
      <c r="AP606" s="241"/>
      <c r="AQ606" s="241"/>
      <c r="AR606" s="241"/>
      <c r="AS606" s="241"/>
      <c r="AT606" s="241"/>
      <c r="AU606" s="241"/>
      <c r="AV606" s="241"/>
      <c r="AW606" s="241"/>
      <c r="AX606" s="241"/>
      <c r="AY606" s="241"/>
      <c r="AZ606" s="241"/>
    </row>
    <row r="607" spans="1:52" s="71" customFormat="1" ht="18" hidden="1" customHeight="1" outlineLevel="2">
      <c r="A607" s="175">
        <v>95</v>
      </c>
      <c r="B607" s="312" t="str">
        <f>(IF('Inputs Whole-Project Water Use'!B607&lt;&gt;"",'Inputs Whole-Project Water Use'!B607,""))</f>
        <v/>
      </c>
      <c r="C607" s="313" t="str">
        <f>IF(AND(K607&lt;&gt;"",'Inputs Whole-Project Water Use'!C607=""),1,IF('Inputs Whole-Project Water Use'!C607&lt;&gt;"",'Inputs Whole-Project Water Use'!C607,""))</f>
        <v/>
      </c>
      <c r="D607" s="397" t="str">
        <f>IF('Inputs Whole-Project Water Use'!D607&lt;&gt;"",'Inputs Whole-Project Water Use'!D607,"")</f>
        <v/>
      </c>
      <c r="E607" s="398"/>
      <c r="F607" s="314" t="str">
        <f>IF('Inputs Whole-Project Water Use'!F607&lt;&gt;"",'Inputs Whole-Project Water Use'!F607,"")</f>
        <v/>
      </c>
      <c r="G607" s="314" t="str">
        <f>IF('Inputs Whole-Project Water Use'!G607&lt;&gt;"",'Inputs Whole-Project Water Use'!G607,"")</f>
        <v/>
      </c>
      <c r="H607" s="315" t="str">
        <f>IF('Inputs Whole-Project Water Use'!H607&lt;&gt;"",'Inputs Whole-Project Water Use'!H607,"")</f>
        <v/>
      </c>
      <c r="I607" s="344" t="str">
        <f>IF('Inputs Whole-Project Water Use'!I607&lt;&gt;"",'Inputs Whole-Project Water Use'!I607,"")</f>
        <v/>
      </c>
      <c r="J607" s="345"/>
      <c r="K607" s="316" t="str">
        <f>IF('Inputs Whole-Project Water Use'!K607&lt;&gt;"",'Inputs Whole-Project Water Use'!K607,"")</f>
        <v/>
      </c>
      <c r="L607" s="316" t="str">
        <f>IF('Inputs Whole-Project Water Use'!L607&lt;&gt;"",'Inputs Whole-Project Water Use'!L607,"")</f>
        <v/>
      </c>
      <c r="M607" s="390" t="str">
        <f t="shared" si="62"/>
        <v/>
      </c>
      <c r="N607" s="391"/>
      <c r="O607" s="225" t="str">
        <f t="shared" si="63"/>
        <v/>
      </c>
      <c r="P607" s="225" t="str">
        <f t="shared" si="64"/>
        <v/>
      </c>
      <c r="Q607" s="289" t="str">
        <f>IF(AND(L607&lt;&gt;"",'Inputs Whole-Project Water Use'!Q607=""),0,IF('Inputs Whole-Project Water Use'!Q607&lt;&gt;"",'Inputs Whole-Project Water Use'!Q607,""))</f>
        <v/>
      </c>
      <c r="R607" s="225" t="str">
        <f t="shared" si="65"/>
        <v/>
      </c>
      <c r="S607" s="225" t="str">
        <f t="shared" si="66"/>
        <v/>
      </c>
      <c r="T607" s="231" t="str">
        <f t="shared" si="67"/>
        <v/>
      </c>
      <c r="U607" s="176"/>
      <c r="V607" s="241"/>
      <c r="W607" s="241"/>
      <c r="X607" s="241"/>
      <c r="Y607" s="241"/>
      <c r="Z607" s="241"/>
      <c r="AA607" s="241"/>
      <c r="AB607" s="241"/>
      <c r="AC607" s="241"/>
      <c r="AD607" s="241"/>
      <c r="AE607" s="241"/>
      <c r="AF607" s="241"/>
      <c r="AG607" s="241"/>
      <c r="AH607" s="241"/>
      <c r="AI607" s="241"/>
      <c r="AJ607" s="241"/>
      <c r="AK607" s="241"/>
      <c r="AL607" s="241"/>
      <c r="AM607" s="241"/>
      <c r="AN607" s="241"/>
      <c r="AO607" s="241"/>
      <c r="AP607" s="241"/>
      <c r="AQ607" s="241"/>
      <c r="AR607" s="241"/>
      <c r="AS607" s="241"/>
      <c r="AT607" s="241"/>
      <c r="AU607" s="241"/>
      <c r="AV607" s="241"/>
      <c r="AW607" s="241"/>
      <c r="AX607" s="241"/>
      <c r="AY607" s="241"/>
      <c r="AZ607" s="241"/>
    </row>
    <row r="608" spans="1:52" s="71" customFormat="1" ht="18" hidden="1" customHeight="1" outlineLevel="2">
      <c r="A608" s="175">
        <v>96</v>
      </c>
      <c r="B608" s="312" t="str">
        <f>(IF('Inputs Whole-Project Water Use'!B608&lt;&gt;"",'Inputs Whole-Project Water Use'!B608,""))</f>
        <v/>
      </c>
      <c r="C608" s="313" t="str">
        <f>IF(AND(K608&lt;&gt;"",'Inputs Whole-Project Water Use'!C608=""),1,IF('Inputs Whole-Project Water Use'!C608&lt;&gt;"",'Inputs Whole-Project Water Use'!C608,""))</f>
        <v/>
      </c>
      <c r="D608" s="397" t="str">
        <f>IF('Inputs Whole-Project Water Use'!D608&lt;&gt;"",'Inputs Whole-Project Water Use'!D608,"")</f>
        <v/>
      </c>
      <c r="E608" s="398"/>
      <c r="F608" s="314" t="str">
        <f>IF('Inputs Whole-Project Water Use'!F608&lt;&gt;"",'Inputs Whole-Project Water Use'!F608,"")</f>
        <v/>
      </c>
      <c r="G608" s="314" t="str">
        <f>IF('Inputs Whole-Project Water Use'!G608&lt;&gt;"",'Inputs Whole-Project Water Use'!G608,"")</f>
        <v/>
      </c>
      <c r="H608" s="315" t="str">
        <f>IF('Inputs Whole-Project Water Use'!H608&lt;&gt;"",'Inputs Whole-Project Water Use'!H608,"")</f>
        <v/>
      </c>
      <c r="I608" s="344" t="str">
        <f>IF('Inputs Whole-Project Water Use'!I608&lt;&gt;"",'Inputs Whole-Project Water Use'!I608,"")</f>
        <v/>
      </c>
      <c r="J608" s="345"/>
      <c r="K608" s="316" t="str">
        <f>IF('Inputs Whole-Project Water Use'!K608&lt;&gt;"",'Inputs Whole-Project Water Use'!K608,"")</f>
        <v/>
      </c>
      <c r="L608" s="316" t="str">
        <f>IF('Inputs Whole-Project Water Use'!L608&lt;&gt;"",'Inputs Whole-Project Water Use'!L608,"")</f>
        <v/>
      </c>
      <c r="M608" s="390" t="str">
        <f t="shared" si="62"/>
        <v/>
      </c>
      <c r="N608" s="391"/>
      <c r="O608" s="225" t="str">
        <f t="shared" si="63"/>
        <v/>
      </c>
      <c r="P608" s="225" t="str">
        <f t="shared" si="64"/>
        <v/>
      </c>
      <c r="Q608" s="289" t="str">
        <f>IF(AND(L608&lt;&gt;"",'Inputs Whole-Project Water Use'!Q608=""),0,IF('Inputs Whole-Project Water Use'!Q608&lt;&gt;"",'Inputs Whole-Project Water Use'!Q608,""))</f>
        <v/>
      </c>
      <c r="R608" s="225" t="str">
        <f t="shared" si="65"/>
        <v/>
      </c>
      <c r="S608" s="225" t="str">
        <f t="shared" si="66"/>
        <v/>
      </c>
      <c r="T608" s="231" t="str">
        <f t="shared" si="67"/>
        <v/>
      </c>
      <c r="U608" s="176"/>
      <c r="V608" s="241"/>
      <c r="W608" s="241"/>
      <c r="X608" s="241"/>
      <c r="Y608" s="241"/>
      <c r="Z608" s="241"/>
      <c r="AA608" s="241"/>
      <c r="AB608" s="241"/>
      <c r="AC608" s="241"/>
      <c r="AD608" s="241"/>
      <c r="AE608" s="241"/>
      <c r="AF608" s="241"/>
      <c r="AG608" s="241"/>
      <c r="AH608" s="241"/>
      <c r="AI608" s="241"/>
      <c r="AJ608" s="241"/>
      <c r="AK608" s="241"/>
      <c r="AL608" s="241"/>
      <c r="AM608" s="241"/>
      <c r="AN608" s="241"/>
      <c r="AO608" s="241"/>
      <c r="AP608" s="241"/>
      <c r="AQ608" s="241"/>
      <c r="AR608" s="241"/>
      <c r="AS608" s="241"/>
      <c r="AT608" s="241"/>
      <c r="AU608" s="241"/>
      <c r="AV608" s="241"/>
      <c r="AW608" s="241"/>
      <c r="AX608" s="241"/>
      <c r="AY608" s="241"/>
      <c r="AZ608" s="241"/>
    </row>
    <row r="609" spans="1:52" s="71" customFormat="1" ht="18" hidden="1" customHeight="1" outlineLevel="2">
      <c r="A609" s="175">
        <v>97</v>
      </c>
      <c r="B609" s="312" t="str">
        <f>(IF('Inputs Whole-Project Water Use'!B609&lt;&gt;"",'Inputs Whole-Project Water Use'!B609,""))</f>
        <v/>
      </c>
      <c r="C609" s="313" t="str">
        <f>IF(AND(K609&lt;&gt;"",'Inputs Whole-Project Water Use'!C609=""),1,IF('Inputs Whole-Project Water Use'!C609&lt;&gt;"",'Inputs Whole-Project Water Use'!C609,""))</f>
        <v/>
      </c>
      <c r="D609" s="397" t="str">
        <f>IF('Inputs Whole-Project Water Use'!D609&lt;&gt;"",'Inputs Whole-Project Water Use'!D609,"")</f>
        <v/>
      </c>
      <c r="E609" s="398"/>
      <c r="F609" s="314" t="str">
        <f>IF('Inputs Whole-Project Water Use'!F609&lt;&gt;"",'Inputs Whole-Project Water Use'!F609,"")</f>
        <v/>
      </c>
      <c r="G609" s="314" t="str">
        <f>IF('Inputs Whole-Project Water Use'!G609&lt;&gt;"",'Inputs Whole-Project Water Use'!G609,"")</f>
        <v/>
      </c>
      <c r="H609" s="315" t="str">
        <f>IF('Inputs Whole-Project Water Use'!H609&lt;&gt;"",'Inputs Whole-Project Water Use'!H609,"")</f>
        <v/>
      </c>
      <c r="I609" s="344" t="str">
        <f>IF('Inputs Whole-Project Water Use'!I609&lt;&gt;"",'Inputs Whole-Project Water Use'!I609,"")</f>
        <v/>
      </c>
      <c r="J609" s="345"/>
      <c r="K609" s="316" t="str">
        <f>IF('Inputs Whole-Project Water Use'!K609&lt;&gt;"",'Inputs Whole-Project Water Use'!K609,"")</f>
        <v/>
      </c>
      <c r="L609" s="316" t="str">
        <f>IF('Inputs Whole-Project Water Use'!L609&lt;&gt;"",'Inputs Whole-Project Water Use'!L609,"")</f>
        <v/>
      </c>
      <c r="M609" s="390" t="str">
        <f t="shared" si="62"/>
        <v/>
      </c>
      <c r="N609" s="391"/>
      <c r="O609" s="225" t="str">
        <f t="shared" si="63"/>
        <v/>
      </c>
      <c r="P609" s="225" t="str">
        <f t="shared" si="64"/>
        <v/>
      </c>
      <c r="Q609" s="289" t="str">
        <f>IF(AND(L609&lt;&gt;"",'Inputs Whole-Project Water Use'!Q609=""),0,IF('Inputs Whole-Project Water Use'!Q609&lt;&gt;"",'Inputs Whole-Project Water Use'!Q609,""))</f>
        <v/>
      </c>
      <c r="R609" s="225" t="str">
        <f t="shared" si="65"/>
        <v/>
      </c>
      <c r="S609" s="225" t="str">
        <f t="shared" si="66"/>
        <v/>
      </c>
      <c r="T609" s="231" t="str">
        <f t="shared" si="67"/>
        <v/>
      </c>
      <c r="U609" s="176"/>
      <c r="V609" s="241"/>
      <c r="W609" s="241"/>
      <c r="X609" s="241"/>
      <c r="Y609" s="241"/>
      <c r="Z609" s="241"/>
      <c r="AA609" s="241"/>
      <c r="AB609" s="241"/>
      <c r="AC609" s="241"/>
      <c r="AD609" s="241"/>
      <c r="AE609" s="241"/>
      <c r="AF609" s="241"/>
      <c r="AG609" s="241"/>
      <c r="AH609" s="241"/>
      <c r="AI609" s="241"/>
      <c r="AJ609" s="241"/>
      <c r="AK609" s="241"/>
      <c r="AL609" s="241"/>
      <c r="AM609" s="241"/>
      <c r="AN609" s="241"/>
      <c r="AO609" s="241"/>
      <c r="AP609" s="241"/>
      <c r="AQ609" s="241"/>
      <c r="AR609" s="241"/>
      <c r="AS609" s="241"/>
      <c r="AT609" s="241"/>
      <c r="AU609" s="241"/>
      <c r="AV609" s="241"/>
      <c r="AW609" s="241"/>
      <c r="AX609" s="241"/>
      <c r="AY609" s="241"/>
      <c r="AZ609" s="241"/>
    </row>
    <row r="610" spans="1:52" s="71" customFormat="1" ht="18" hidden="1" customHeight="1" outlineLevel="2">
      <c r="A610" s="175">
        <v>98</v>
      </c>
      <c r="B610" s="312" t="str">
        <f>(IF('Inputs Whole-Project Water Use'!B610&lt;&gt;"",'Inputs Whole-Project Water Use'!B610,""))</f>
        <v/>
      </c>
      <c r="C610" s="313" t="str">
        <f>IF(AND(K610&lt;&gt;"",'Inputs Whole-Project Water Use'!C610=""),1,IF('Inputs Whole-Project Water Use'!C610&lt;&gt;"",'Inputs Whole-Project Water Use'!C610,""))</f>
        <v/>
      </c>
      <c r="D610" s="397" t="str">
        <f>IF('Inputs Whole-Project Water Use'!D610&lt;&gt;"",'Inputs Whole-Project Water Use'!D610,"")</f>
        <v/>
      </c>
      <c r="E610" s="398"/>
      <c r="F610" s="314" t="str">
        <f>IF('Inputs Whole-Project Water Use'!F610&lt;&gt;"",'Inputs Whole-Project Water Use'!F610,"")</f>
        <v/>
      </c>
      <c r="G610" s="314" t="str">
        <f>IF('Inputs Whole-Project Water Use'!G610&lt;&gt;"",'Inputs Whole-Project Water Use'!G610,"")</f>
        <v/>
      </c>
      <c r="H610" s="315" t="str">
        <f>IF('Inputs Whole-Project Water Use'!H610&lt;&gt;"",'Inputs Whole-Project Water Use'!H610,"")</f>
        <v/>
      </c>
      <c r="I610" s="344" t="str">
        <f>IF('Inputs Whole-Project Water Use'!I610&lt;&gt;"",'Inputs Whole-Project Water Use'!I610,"")</f>
        <v/>
      </c>
      <c r="J610" s="345"/>
      <c r="K610" s="316" t="str">
        <f>IF('Inputs Whole-Project Water Use'!K610&lt;&gt;"",'Inputs Whole-Project Water Use'!K610,"")</f>
        <v/>
      </c>
      <c r="L610" s="316" t="str">
        <f>IF('Inputs Whole-Project Water Use'!L610&lt;&gt;"",'Inputs Whole-Project Water Use'!L610,"")</f>
        <v/>
      </c>
      <c r="M610" s="390" t="str">
        <f t="shared" si="62"/>
        <v/>
      </c>
      <c r="N610" s="391"/>
      <c r="O610" s="225" t="str">
        <f t="shared" si="63"/>
        <v/>
      </c>
      <c r="P610" s="225" t="str">
        <f t="shared" si="64"/>
        <v/>
      </c>
      <c r="Q610" s="289" t="str">
        <f>IF(AND(L610&lt;&gt;"",'Inputs Whole-Project Water Use'!Q610=""),0,IF('Inputs Whole-Project Water Use'!Q610&lt;&gt;"",'Inputs Whole-Project Water Use'!Q610,""))</f>
        <v/>
      </c>
      <c r="R610" s="225" t="str">
        <f t="shared" si="65"/>
        <v/>
      </c>
      <c r="S610" s="225" t="str">
        <f t="shared" si="66"/>
        <v/>
      </c>
      <c r="T610" s="231" t="str">
        <f t="shared" si="67"/>
        <v/>
      </c>
      <c r="U610" s="176"/>
      <c r="V610" s="241"/>
      <c r="W610" s="241"/>
      <c r="X610" s="241"/>
      <c r="Y610" s="241"/>
      <c r="Z610" s="241"/>
      <c r="AA610" s="241"/>
      <c r="AB610" s="241"/>
      <c r="AC610" s="241"/>
      <c r="AD610" s="241"/>
      <c r="AE610" s="241"/>
      <c r="AF610" s="241"/>
      <c r="AG610" s="241"/>
      <c r="AH610" s="241"/>
      <c r="AI610" s="241"/>
      <c r="AJ610" s="241"/>
      <c r="AK610" s="241"/>
      <c r="AL610" s="241"/>
      <c r="AM610" s="241"/>
      <c r="AN610" s="241"/>
      <c r="AO610" s="241"/>
      <c r="AP610" s="241"/>
      <c r="AQ610" s="241"/>
      <c r="AR610" s="241"/>
      <c r="AS610" s="241"/>
      <c r="AT610" s="241"/>
      <c r="AU610" s="241"/>
      <c r="AV610" s="241"/>
      <c r="AW610" s="241"/>
      <c r="AX610" s="241"/>
      <c r="AY610" s="241"/>
      <c r="AZ610" s="241"/>
    </row>
    <row r="611" spans="1:52" s="71" customFormat="1" ht="18" hidden="1" customHeight="1" outlineLevel="2">
      <c r="A611" s="175">
        <v>99</v>
      </c>
      <c r="B611" s="312" t="str">
        <f>(IF('Inputs Whole-Project Water Use'!B611&lt;&gt;"",'Inputs Whole-Project Water Use'!B611,""))</f>
        <v/>
      </c>
      <c r="C611" s="313" t="str">
        <f>IF(AND(K611&lt;&gt;"",'Inputs Whole-Project Water Use'!C611=""),1,IF('Inputs Whole-Project Water Use'!C611&lt;&gt;"",'Inputs Whole-Project Water Use'!C611,""))</f>
        <v/>
      </c>
      <c r="D611" s="397" t="str">
        <f>IF('Inputs Whole-Project Water Use'!D611&lt;&gt;"",'Inputs Whole-Project Water Use'!D611,"")</f>
        <v/>
      </c>
      <c r="E611" s="398"/>
      <c r="F611" s="314" t="str">
        <f>IF('Inputs Whole-Project Water Use'!F611&lt;&gt;"",'Inputs Whole-Project Water Use'!F611,"")</f>
        <v/>
      </c>
      <c r="G611" s="314" t="str">
        <f>IF('Inputs Whole-Project Water Use'!G611&lt;&gt;"",'Inputs Whole-Project Water Use'!G611,"")</f>
        <v/>
      </c>
      <c r="H611" s="315" t="str">
        <f>IF('Inputs Whole-Project Water Use'!H611&lt;&gt;"",'Inputs Whole-Project Water Use'!H611,"")</f>
        <v/>
      </c>
      <c r="I611" s="344" t="str">
        <f>IF('Inputs Whole-Project Water Use'!I611&lt;&gt;"",'Inputs Whole-Project Water Use'!I611,"")</f>
        <v/>
      </c>
      <c r="J611" s="345"/>
      <c r="K611" s="316" t="str">
        <f>IF('Inputs Whole-Project Water Use'!K611&lt;&gt;"",'Inputs Whole-Project Water Use'!K611,"")</f>
        <v/>
      </c>
      <c r="L611" s="316" t="str">
        <f>IF('Inputs Whole-Project Water Use'!L611&lt;&gt;"",'Inputs Whole-Project Water Use'!L611,"")</f>
        <v/>
      </c>
      <c r="M611" s="390" t="str">
        <f t="shared" si="62"/>
        <v/>
      </c>
      <c r="N611" s="391"/>
      <c r="O611" s="225" t="str">
        <f t="shared" si="63"/>
        <v/>
      </c>
      <c r="P611" s="225" t="str">
        <f t="shared" si="64"/>
        <v/>
      </c>
      <c r="Q611" s="289" t="str">
        <f>IF(AND(L611&lt;&gt;"",'Inputs Whole-Project Water Use'!Q611=""),0,IF('Inputs Whole-Project Water Use'!Q611&lt;&gt;"",'Inputs Whole-Project Water Use'!Q611,""))</f>
        <v/>
      </c>
      <c r="R611" s="225" t="str">
        <f t="shared" si="65"/>
        <v/>
      </c>
      <c r="S611" s="225" t="str">
        <f t="shared" si="66"/>
        <v/>
      </c>
      <c r="T611" s="231" t="str">
        <f t="shared" si="67"/>
        <v/>
      </c>
      <c r="U611" s="176"/>
      <c r="V611" s="241"/>
      <c r="W611" s="241"/>
      <c r="X611" s="241"/>
      <c r="Y611" s="241"/>
      <c r="Z611" s="241"/>
      <c r="AA611" s="241"/>
      <c r="AB611" s="241"/>
      <c r="AC611" s="241"/>
      <c r="AD611" s="241"/>
      <c r="AE611" s="241"/>
      <c r="AF611" s="241"/>
      <c r="AG611" s="241"/>
      <c r="AH611" s="241"/>
      <c r="AI611" s="241"/>
      <c r="AJ611" s="241"/>
      <c r="AK611" s="241"/>
      <c r="AL611" s="241"/>
      <c r="AM611" s="241"/>
      <c r="AN611" s="241"/>
      <c r="AO611" s="241"/>
      <c r="AP611" s="241"/>
      <c r="AQ611" s="241"/>
      <c r="AR611" s="241"/>
      <c r="AS611" s="241"/>
      <c r="AT611" s="241"/>
      <c r="AU611" s="241"/>
      <c r="AV611" s="241"/>
      <c r="AW611" s="241"/>
      <c r="AX611" s="241"/>
      <c r="AY611" s="241"/>
      <c r="AZ611" s="241"/>
    </row>
    <row r="612" spans="1:52" s="71" customFormat="1" ht="18" hidden="1" customHeight="1" outlineLevel="2">
      <c r="A612" s="175">
        <v>100</v>
      </c>
      <c r="B612" s="312" t="str">
        <f>(IF('Inputs Whole-Project Water Use'!B612&lt;&gt;"",'Inputs Whole-Project Water Use'!B612,""))</f>
        <v/>
      </c>
      <c r="C612" s="313" t="str">
        <f>IF(AND(K612&lt;&gt;"",'Inputs Whole-Project Water Use'!C612=""),1,IF('Inputs Whole-Project Water Use'!C612&lt;&gt;"",'Inputs Whole-Project Water Use'!C612,""))</f>
        <v/>
      </c>
      <c r="D612" s="397" t="str">
        <f>IF('Inputs Whole-Project Water Use'!D612&lt;&gt;"",'Inputs Whole-Project Water Use'!D612,"")</f>
        <v/>
      </c>
      <c r="E612" s="398"/>
      <c r="F612" s="314" t="str">
        <f>IF('Inputs Whole-Project Water Use'!F612&lt;&gt;"",'Inputs Whole-Project Water Use'!F612,"")</f>
        <v/>
      </c>
      <c r="G612" s="314" t="str">
        <f>IF('Inputs Whole-Project Water Use'!G612&lt;&gt;"",'Inputs Whole-Project Water Use'!G612,"")</f>
        <v/>
      </c>
      <c r="H612" s="315" t="str">
        <f>IF('Inputs Whole-Project Water Use'!H612&lt;&gt;"",'Inputs Whole-Project Water Use'!H612,"")</f>
        <v/>
      </c>
      <c r="I612" s="344" t="str">
        <f>IF('Inputs Whole-Project Water Use'!I612&lt;&gt;"",'Inputs Whole-Project Water Use'!I612,"")</f>
        <v/>
      </c>
      <c r="J612" s="345"/>
      <c r="K612" s="316" t="str">
        <f>IF('Inputs Whole-Project Water Use'!K612&lt;&gt;"",'Inputs Whole-Project Water Use'!K612,"")</f>
        <v/>
      </c>
      <c r="L612" s="316" t="str">
        <f>IF('Inputs Whole-Project Water Use'!L612&lt;&gt;"",'Inputs Whole-Project Water Use'!L612,"")</f>
        <v/>
      </c>
      <c r="M612" s="390" t="str">
        <f t="shared" si="62"/>
        <v/>
      </c>
      <c r="N612" s="391"/>
      <c r="O612" s="225" t="str">
        <f t="shared" si="63"/>
        <v/>
      </c>
      <c r="P612" s="225" t="str">
        <f t="shared" si="64"/>
        <v/>
      </c>
      <c r="Q612" s="289" t="str">
        <f>IF(AND(L612&lt;&gt;"",'Inputs Whole-Project Water Use'!Q612=""),0,IF('Inputs Whole-Project Water Use'!Q612&lt;&gt;"",'Inputs Whole-Project Water Use'!Q612,""))</f>
        <v/>
      </c>
      <c r="R612" s="225" t="str">
        <f t="shared" si="65"/>
        <v/>
      </c>
      <c r="S612" s="225" t="str">
        <f t="shared" si="66"/>
        <v/>
      </c>
      <c r="T612" s="231" t="str">
        <f t="shared" si="67"/>
        <v/>
      </c>
      <c r="U612" s="176"/>
      <c r="V612" s="241"/>
      <c r="W612" s="241"/>
      <c r="X612" s="241"/>
      <c r="Y612" s="241"/>
      <c r="Z612" s="241"/>
      <c r="AA612" s="241"/>
      <c r="AB612" s="241"/>
      <c r="AC612" s="241"/>
      <c r="AD612" s="241"/>
      <c r="AE612" s="241"/>
      <c r="AF612" s="241"/>
      <c r="AG612" s="241"/>
      <c r="AH612" s="241"/>
      <c r="AI612" s="241"/>
      <c r="AJ612" s="241"/>
      <c r="AK612" s="241"/>
      <c r="AL612" s="241"/>
      <c r="AM612" s="241"/>
      <c r="AN612" s="241"/>
      <c r="AO612" s="241"/>
      <c r="AP612" s="241"/>
      <c r="AQ612" s="241"/>
      <c r="AR612" s="241"/>
      <c r="AS612" s="241"/>
      <c r="AT612" s="241"/>
      <c r="AU612" s="241"/>
      <c r="AV612" s="241"/>
      <c r="AW612" s="241"/>
      <c r="AX612" s="241"/>
      <c r="AY612" s="241"/>
      <c r="AZ612" s="241"/>
    </row>
    <row r="613" spans="1:52" s="71" customFormat="1" ht="18" hidden="1" customHeight="1" outlineLevel="2">
      <c r="A613" s="175">
        <v>101</v>
      </c>
      <c r="B613" s="312" t="str">
        <f>(IF('Inputs Whole-Project Water Use'!B613&lt;&gt;"",'Inputs Whole-Project Water Use'!B613,""))</f>
        <v/>
      </c>
      <c r="C613" s="313" t="str">
        <f>IF(AND(K613&lt;&gt;"",'Inputs Whole-Project Water Use'!C613=""),1,IF('Inputs Whole-Project Water Use'!C613&lt;&gt;"",'Inputs Whole-Project Water Use'!C613,""))</f>
        <v/>
      </c>
      <c r="D613" s="397" t="str">
        <f>IF('Inputs Whole-Project Water Use'!D613&lt;&gt;"",'Inputs Whole-Project Water Use'!D613,"")</f>
        <v/>
      </c>
      <c r="E613" s="398"/>
      <c r="F613" s="314" t="str">
        <f>IF('Inputs Whole-Project Water Use'!F613&lt;&gt;"",'Inputs Whole-Project Water Use'!F613,"")</f>
        <v/>
      </c>
      <c r="G613" s="314" t="str">
        <f>IF('Inputs Whole-Project Water Use'!G613&lt;&gt;"",'Inputs Whole-Project Water Use'!G613,"")</f>
        <v/>
      </c>
      <c r="H613" s="315" t="str">
        <f>IF('Inputs Whole-Project Water Use'!H613&lt;&gt;"",'Inputs Whole-Project Water Use'!H613,"")</f>
        <v/>
      </c>
      <c r="I613" s="344" t="str">
        <f>IF('Inputs Whole-Project Water Use'!I613&lt;&gt;"",'Inputs Whole-Project Water Use'!I613,"")</f>
        <v/>
      </c>
      <c r="J613" s="345"/>
      <c r="K613" s="316" t="str">
        <f>IF('Inputs Whole-Project Water Use'!K613&lt;&gt;"",'Inputs Whole-Project Water Use'!K613,"")</f>
        <v/>
      </c>
      <c r="L613" s="316" t="str">
        <f>IF('Inputs Whole-Project Water Use'!L613&lt;&gt;"",'Inputs Whole-Project Water Use'!L613,"")</f>
        <v/>
      </c>
      <c r="M613" s="390" t="str">
        <f t="shared" si="62"/>
        <v/>
      </c>
      <c r="N613" s="391"/>
      <c r="O613" s="225" t="str">
        <f t="shared" si="63"/>
        <v/>
      </c>
      <c r="P613" s="225" t="str">
        <f t="shared" si="64"/>
        <v/>
      </c>
      <c r="Q613" s="289" t="str">
        <f>IF(AND(L613&lt;&gt;"",'Inputs Whole-Project Water Use'!Q613=""),0,IF('Inputs Whole-Project Water Use'!Q613&lt;&gt;"",'Inputs Whole-Project Water Use'!Q613,""))</f>
        <v/>
      </c>
      <c r="R613" s="225" t="str">
        <f t="shared" si="65"/>
        <v/>
      </c>
      <c r="S613" s="225" t="str">
        <f t="shared" si="66"/>
        <v/>
      </c>
      <c r="T613" s="231" t="str">
        <f t="shared" si="67"/>
        <v/>
      </c>
      <c r="U613" s="176"/>
      <c r="V613" s="241"/>
      <c r="W613" s="241"/>
      <c r="X613" s="241"/>
      <c r="Y613" s="241"/>
      <c r="Z613" s="241"/>
      <c r="AA613" s="241"/>
      <c r="AB613" s="241"/>
      <c r="AC613" s="241"/>
      <c r="AD613" s="241"/>
      <c r="AE613" s="241"/>
      <c r="AF613" s="241"/>
      <c r="AG613" s="241"/>
      <c r="AH613" s="241"/>
      <c r="AI613" s="241"/>
      <c r="AJ613" s="241"/>
      <c r="AK613" s="241"/>
      <c r="AL613" s="241"/>
      <c r="AM613" s="241"/>
      <c r="AN613" s="241"/>
      <c r="AO613" s="241"/>
      <c r="AP613" s="241"/>
      <c r="AQ613" s="241"/>
      <c r="AR613" s="241"/>
      <c r="AS613" s="241"/>
      <c r="AT613" s="241"/>
      <c r="AU613" s="241"/>
      <c r="AV613" s="241"/>
      <c r="AW613" s="241"/>
      <c r="AX613" s="241"/>
      <c r="AY613" s="241"/>
      <c r="AZ613" s="241"/>
    </row>
    <row r="614" spans="1:52" s="71" customFormat="1" ht="18" hidden="1" customHeight="1" outlineLevel="2">
      <c r="A614" s="175">
        <v>102</v>
      </c>
      <c r="B614" s="312" t="str">
        <f>(IF('Inputs Whole-Project Water Use'!B614&lt;&gt;"",'Inputs Whole-Project Water Use'!B614,""))</f>
        <v/>
      </c>
      <c r="C614" s="313" t="str">
        <f>IF(AND(K614&lt;&gt;"",'Inputs Whole-Project Water Use'!C614=""),1,IF('Inputs Whole-Project Water Use'!C614&lt;&gt;"",'Inputs Whole-Project Water Use'!C614,""))</f>
        <v/>
      </c>
      <c r="D614" s="397" t="str">
        <f>IF('Inputs Whole-Project Water Use'!D614&lt;&gt;"",'Inputs Whole-Project Water Use'!D614,"")</f>
        <v/>
      </c>
      <c r="E614" s="398"/>
      <c r="F614" s="314" t="str">
        <f>IF('Inputs Whole-Project Water Use'!F614&lt;&gt;"",'Inputs Whole-Project Water Use'!F614,"")</f>
        <v/>
      </c>
      <c r="G614" s="314" t="str">
        <f>IF('Inputs Whole-Project Water Use'!G614&lt;&gt;"",'Inputs Whole-Project Water Use'!G614,"")</f>
        <v/>
      </c>
      <c r="H614" s="315" t="str">
        <f>IF('Inputs Whole-Project Water Use'!H614&lt;&gt;"",'Inputs Whole-Project Water Use'!H614,"")</f>
        <v/>
      </c>
      <c r="I614" s="344" t="str">
        <f>IF('Inputs Whole-Project Water Use'!I614&lt;&gt;"",'Inputs Whole-Project Water Use'!I614,"")</f>
        <v/>
      </c>
      <c r="J614" s="345"/>
      <c r="K614" s="316" t="str">
        <f>IF('Inputs Whole-Project Water Use'!K614&lt;&gt;"",'Inputs Whole-Project Water Use'!K614,"")</f>
        <v/>
      </c>
      <c r="L614" s="316" t="str">
        <f>IF('Inputs Whole-Project Water Use'!L614&lt;&gt;"",'Inputs Whole-Project Water Use'!L614,"")</f>
        <v/>
      </c>
      <c r="M614" s="390" t="str">
        <f t="shared" si="62"/>
        <v/>
      </c>
      <c r="N614" s="391"/>
      <c r="O614" s="225" t="str">
        <f t="shared" si="63"/>
        <v/>
      </c>
      <c r="P614" s="225" t="str">
        <f t="shared" si="64"/>
        <v/>
      </c>
      <c r="Q614" s="289" t="str">
        <f>IF(AND(L614&lt;&gt;"",'Inputs Whole-Project Water Use'!Q614=""),0,IF('Inputs Whole-Project Water Use'!Q614&lt;&gt;"",'Inputs Whole-Project Water Use'!Q614,""))</f>
        <v/>
      </c>
      <c r="R614" s="225" t="str">
        <f t="shared" si="65"/>
        <v/>
      </c>
      <c r="S614" s="225" t="str">
        <f t="shared" si="66"/>
        <v/>
      </c>
      <c r="T614" s="231" t="str">
        <f t="shared" si="67"/>
        <v/>
      </c>
      <c r="U614" s="176"/>
      <c r="V614" s="241"/>
      <c r="W614" s="241"/>
      <c r="X614" s="241"/>
      <c r="Y614" s="241"/>
      <c r="Z614" s="241"/>
      <c r="AA614" s="241"/>
      <c r="AB614" s="241"/>
      <c r="AC614" s="241"/>
      <c r="AD614" s="241"/>
      <c r="AE614" s="241"/>
      <c r="AF614" s="241"/>
      <c r="AG614" s="241"/>
      <c r="AH614" s="241"/>
      <c r="AI614" s="241"/>
      <c r="AJ614" s="241"/>
      <c r="AK614" s="241"/>
      <c r="AL614" s="241"/>
      <c r="AM614" s="241"/>
      <c r="AN614" s="241"/>
      <c r="AO614" s="241"/>
      <c r="AP614" s="241"/>
      <c r="AQ614" s="241"/>
      <c r="AR614" s="241"/>
      <c r="AS614" s="241"/>
      <c r="AT614" s="241"/>
      <c r="AU614" s="241"/>
      <c r="AV614" s="241"/>
      <c r="AW614" s="241"/>
      <c r="AX614" s="241"/>
      <c r="AY614" s="241"/>
      <c r="AZ614" s="241"/>
    </row>
    <row r="615" spans="1:52" s="71" customFormat="1" ht="18" hidden="1" customHeight="1" outlineLevel="2">
      <c r="A615" s="175">
        <v>103</v>
      </c>
      <c r="B615" s="312" t="str">
        <f>(IF('Inputs Whole-Project Water Use'!B615&lt;&gt;"",'Inputs Whole-Project Water Use'!B615,""))</f>
        <v/>
      </c>
      <c r="C615" s="313" t="str">
        <f>IF(AND(K615&lt;&gt;"",'Inputs Whole-Project Water Use'!C615=""),1,IF('Inputs Whole-Project Water Use'!C615&lt;&gt;"",'Inputs Whole-Project Water Use'!C615,""))</f>
        <v/>
      </c>
      <c r="D615" s="397" t="str">
        <f>IF('Inputs Whole-Project Water Use'!D615&lt;&gt;"",'Inputs Whole-Project Water Use'!D615,"")</f>
        <v/>
      </c>
      <c r="E615" s="398"/>
      <c r="F615" s="314" t="str">
        <f>IF('Inputs Whole-Project Water Use'!F615&lt;&gt;"",'Inputs Whole-Project Water Use'!F615,"")</f>
        <v/>
      </c>
      <c r="G615" s="314" t="str">
        <f>IF('Inputs Whole-Project Water Use'!G615&lt;&gt;"",'Inputs Whole-Project Water Use'!G615,"")</f>
        <v/>
      </c>
      <c r="H615" s="315" t="str">
        <f>IF('Inputs Whole-Project Water Use'!H615&lt;&gt;"",'Inputs Whole-Project Water Use'!H615,"")</f>
        <v/>
      </c>
      <c r="I615" s="344" t="str">
        <f>IF('Inputs Whole-Project Water Use'!I615&lt;&gt;"",'Inputs Whole-Project Water Use'!I615,"")</f>
        <v/>
      </c>
      <c r="J615" s="345"/>
      <c r="K615" s="316" t="str">
        <f>IF('Inputs Whole-Project Water Use'!K615&lt;&gt;"",'Inputs Whole-Project Water Use'!K615,"")</f>
        <v/>
      </c>
      <c r="L615" s="316" t="str">
        <f>IF('Inputs Whole-Project Water Use'!L615&lt;&gt;"",'Inputs Whole-Project Water Use'!L615,"")</f>
        <v/>
      </c>
      <c r="M615" s="390" t="str">
        <f t="shared" si="62"/>
        <v/>
      </c>
      <c r="N615" s="391"/>
      <c r="O615" s="225" t="str">
        <f t="shared" si="63"/>
        <v/>
      </c>
      <c r="P615" s="225" t="str">
        <f t="shared" si="64"/>
        <v/>
      </c>
      <c r="Q615" s="289" t="str">
        <f>IF(AND(L615&lt;&gt;"",'Inputs Whole-Project Water Use'!Q615=""),0,IF('Inputs Whole-Project Water Use'!Q615&lt;&gt;"",'Inputs Whole-Project Water Use'!Q615,""))</f>
        <v/>
      </c>
      <c r="R615" s="225" t="str">
        <f t="shared" si="65"/>
        <v/>
      </c>
      <c r="S615" s="225" t="str">
        <f t="shared" si="66"/>
        <v/>
      </c>
      <c r="T615" s="231" t="str">
        <f t="shared" si="67"/>
        <v/>
      </c>
      <c r="U615" s="176"/>
      <c r="V615" s="241"/>
      <c r="W615" s="241"/>
      <c r="X615" s="241"/>
      <c r="Y615" s="241"/>
      <c r="Z615" s="241"/>
      <c r="AA615" s="241"/>
      <c r="AB615" s="241"/>
      <c r="AC615" s="241"/>
      <c r="AD615" s="241"/>
      <c r="AE615" s="241"/>
      <c r="AF615" s="241"/>
      <c r="AG615" s="241"/>
      <c r="AH615" s="241"/>
      <c r="AI615" s="241"/>
      <c r="AJ615" s="241"/>
      <c r="AK615" s="241"/>
      <c r="AL615" s="241"/>
      <c r="AM615" s="241"/>
      <c r="AN615" s="241"/>
      <c r="AO615" s="241"/>
      <c r="AP615" s="241"/>
      <c r="AQ615" s="241"/>
      <c r="AR615" s="241"/>
      <c r="AS615" s="241"/>
      <c r="AT615" s="241"/>
      <c r="AU615" s="241"/>
      <c r="AV615" s="241"/>
      <c r="AW615" s="241"/>
      <c r="AX615" s="241"/>
      <c r="AY615" s="241"/>
      <c r="AZ615" s="241"/>
    </row>
    <row r="616" spans="1:52" s="71" customFormat="1" ht="18" hidden="1" customHeight="1" outlineLevel="2">
      <c r="A616" s="175">
        <v>104</v>
      </c>
      <c r="B616" s="312" t="str">
        <f>(IF('Inputs Whole-Project Water Use'!B616&lt;&gt;"",'Inputs Whole-Project Water Use'!B616,""))</f>
        <v/>
      </c>
      <c r="C616" s="313" t="str">
        <f>IF(AND(K616&lt;&gt;"",'Inputs Whole-Project Water Use'!C616=""),1,IF('Inputs Whole-Project Water Use'!C616&lt;&gt;"",'Inputs Whole-Project Water Use'!C616,""))</f>
        <v/>
      </c>
      <c r="D616" s="397" t="str">
        <f>IF('Inputs Whole-Project Water Use'!D616&lt;&gt;"",'Inputs Whole-Project Water Use'!D616,"")</f>
        <v/>
      </c>
      <c r="E616" s="398"/>
      <c r="F616" s="314" t="str">
        <f>IF('Inputs Whole-Project Water Use'!F616&lt;&gt;"",'Inputs Whole-Project Water Use'!F616,"")</f>
        <v/>
      </c>
      <c r="G616" s="314" t="str">
        <f>IF('Inputs Whole-Project Water Use'!G616&lt;&gt;"",'Inputs Whole-Project Water Use'!G616,"")</f>
        <v/>
      </c>
      <c r="H616" s="315" t="str">
        <f>IF('Inputs Whole-Project Water Use'!H616&lt;&gt;"",'Inputs Whole-Project Water Use'!H616,"")</f>
        <v/>
      </c>
      <c r="I616" s="344" t="str">
        <f>IF('Inputs Whole-Project Water Use'!I616&lt;&gt;"",'Inputs Whole-Project Water Use'!I616,"")</f>
        <v/>
      </c>
      <c r="J616" s="345"/>
      <c r="K616" s="316" t="str">
        <f>IF('Inputs Whole-Project Water Use'!K616&lt;&gt;"",'Inputs Whole-Project Water Use'!K616,"")</f>
        <v/>
      </c>
      <c r="L616" s="316" t="str">
        <f>IF('Inputs Whole-Project Water Use'!L616&lt;&gt;"",'Inputs Whole-Project Water Use'!L616,"")</f>
        <v/>
      </c>
      <c r="M616" s="390" t="str">
        <f t="shared" si="62"/>
        <v/>
      </c>
      <c r="N616" s="391"/>
      <c r="O616" s="225" t="str">
        <f t="shared" si="63"/>
        <v/>
      </c>
      <c r="P616" s="225" t="str">
        <f t="shared" si="64"/>
        <v/>
      </c>
      <c r="Q616" s="289" t="str">
        <f>IF(AND(L616&lt;&gt;"",'Inputs Whole-Project Water Use'!Q616=""),0,IF('Inputs Whole-Project Water Use'!Q616&lt;&gt;"",'Inputs Whole-Project Water Use'!Q616,""))</f>
        <v/>
      </c>
      <c r="R616" s="225" t="str">
        <f t="shared" si="65"/>
        <v/>
      </c>
      <c r="S616" s="225" t="str">
        <f t="shared" si="66"/>
        <v/>
      </c>
      <c r="T616" s="231" t="str">
        <f t="shared" si="67"/>
        <v/>
      </c>
      <c r="U616" s="176"/>
      <c r="V616" s="241"/>
      <c r="W616" s="241"/>
      <c r="X616" s="241"/>
      <c r="Y616" s="241"/>
      <c r="Z616" s="241"/>
      <c r="AA616" s="241"/>
      <c r="AB616" s="241"/>
      <c r="AC616" s="241"/>
      <c r="AD616" s="241"/>
      <c r="AE616" s="241"/>
      <c r="AF616" s="241"/>
      <c r="AG616" s="241"/>
      <c r="AH616" s="241"/>
      <c r="AI616" s="241"/>
      <c r="AJ616" s="241"/>
      <c r="AK616" s="241"/>
      <c r="AL616" s="241"/>
      <c r="AM616" s="241"/>
      <c r="AN616" s="241"/>
      <c r="AO616" s="241"/>
      <c r="AP616" s="241"/>
      <c r="AQ616" s="241"/>
      <c r="AR616" s="241"/>
      <c r="AS616" s="241"/>
      <c r="AT616" s="241"/>
      <c r="AU616" s="241"/>
      <c r="AV616" s="241"/>
      <c r="AW616" s="241"/>
      <c r="AX616" s="241"/>
      <c r="AY616" s="241"/>
      <c r="AZ616" s="241"/>
    </row>
    <row r="617" spans="1:52" s="71" customFormat="1" ht="18" hidden="1" customHeight="1" outlineLevel="2">
      <c r="A617" s="175">
        <v>105</v>
      </c>
      <c r="B617" s="312" t="str">
        <f>(IF('Inputs Whole-Project Water Use'!B617&lt;&gt;"",'Inputs Whole-Project Water Use'!B617,""))</f>
        <v/>
      </c>
      <c r="C617" s="313" t="str">
        <f>IF(AND(K617&lt;&gt;"",'Inputs Whole-Project Water Use'!C617=""),1,IF('Inputs Whole-Project Water Use'!C617&lt;&gt;"",'Inputs Whole-Project Water Use'!C617,""))</f>
        <v/>
      </c>
      <c r="D617" s="397" t="str">
        <f>IF('Inputs Whole-Project Water Use'!D617&lt;&gt;"",'Inputs Whole-Project Water Use'!D617,"")</f>
        <v/>
      </c>
      <c r="E617" s="398"/>
      <c r="F617" s="314" t="str">
        <f>IF('Inputs Whole-Project Water Use'!F617&lt;&gt;"",'Inputs Whole-Project Water Use'!F617,"")</f>
        <v/>
      </c>
      <c r="G617" s="314" t="str">
        <f>IF('Inputs Whole-Project Water Use'!G617&lt;&gt;"",'Inputs Whole-Project Water Use'!G617,"")</f>
        <v/>
      </c>
      <c r="H617" s="315" t="str">
        <f>IF('Inputs Whole-Project Water Use'!H617&lt;&gt;"",'Inputs Whole-Project Water Use'!H617,"")</f>
        <v/>
      </c>
      <c r="I617" s="344" t="str">
        <f>IF('Inputs Whole-Project Water Use'!I617&lt;&gt;"",'Inputs Whole-Project Water Use'!I617,"")</f>
        <v/>
      </c>
      <c r="J617" s="345"/>
      <c r="K617" s="316" t="str">
        <f>IF('Inputs Whole-Project Water Use'!K617&lt;&gt;"",'Inputs Whole-Project Water Use'!K617,"")</f>
        <v/>
      </c>
      <c r="L617" s="316" t="str">
        <f>IF('Inputs Whole-Project Water Use'!L617&lt;&gt;"",'Inputs Whole-Project Water Use'!L617,"")</f>
        <v/>
      </c>
      <c r="M617" s="390" t="str">
        <f t="shared" si="62"/>
        <v/>
      </c>
      <c r="N617" s="391"/>
      <c r="O617" s="225" t="str">
        <f t="shared" si="63"/>
        <v/>
      </c>
      <c r="P617" s="225" t="str">
        <f t="shared" si="64"/>
        <v/>
      </c>
      <c r="Q617" s="289" t="str">
        <f>IF(AND(L617&lt;&gt;"",'Inputs Whole-Project Water Use'!Q617=""),0,IF('Inputs Whole-Project Water Use'!Q617&lt;&gt;"",'Inputs Whole-Project Water Use'!Q617,""))</f>
        <v/>
      </c>
      <c r="R617" s="225" t="str">
        <f t="shared" si="65"/>
        <v/>
      </c>
      <c r="S617" s="225" t="str">
        <f t="shared" si="66"/>
        <v/>
      </c>
      <c r="T617" s="231" t="str">
        <f t="shared" si="67"/>
        <v/>
      </c>
      <c r="U617" s="176"/>
      <c r="V617" s="241"/>
      <c r="W617" s="241"/>
      <c r="X617" s="241"/>
      <c r="Y617" s="241"/>
      <c r="Z617" s="241"/>
      <c r="AA617" s="241"/>
      <c r="AB617" s="241"/>
      <c r="AC617" s="241"/>
      <c r="AD617" s="241"/>
      <c r="AE617" s="241"/>
      <c r="AF617" s="241"/>
      <c r="AG617" s="241"/>
      <c r="AH617" s="241"/>
      <c r="AI617" s="241"/>
      <c r="AJ617" s="241"/>
      <c r="AK617" s="241"/>
      <c r="AL617" s="241"/>
      <c r="AM617" s="241"/>
      <c r="AN617" s="241"/>
      <c r="AO617" s="241"/>
      <c r="AP617" s="241"/>
      <c r="AQ617" s="241"/>
      <c r="AR617" s="241"/>
      <c r="AS617" s="241"/>
      <c r="AT617" s="241"/>
      <c r="AU617" s="241"/>
      <c r="AV617" s="241"/>
      <c r="AW617" s="241"/>
      <c r="AX617" s="241"/>
      <c r="AY617" s="241"/>
      <c r="AZ617" s="241"/>
    </row>
    <row r="618" spans="1:52" s="71" customFormat="1" ht="18" hidden="1" customHeight="1" outlineLevel="2">
      <c r="A618" s="175">
        <v>106</v>
      </c>
      <c r="B618" s="312" t="str">
        <f>(IF('Inputs Whole-Project Water Use'!B618&lt;&gt;"",'Inputs Whole-Project Water Use'!B618,""))</f>
        <v/>
      </c>
      <c r="C618" s="313" t="str">
        <f>IF(AND(K618&lt;&gt;"",'Inputs Whole-Project Water Use'!C618=""),1,IF('Inputs Whole-Project Water Use'!C618&lt;&gt;"",'Inputs Whole-Project Water Use'!C618,""))</f>
        <v/>
      </c>
      <c r="D618" s="397" t="str">
        <f>IF('Inputs Whole-Project Water Use'!D618&lt;&gt;"",'Inputs Whole-Project Water Use'!D618,"")</f>
        <v/>
      </c>
      <c r="E618" s="398"/>
      <c r="F618" s="314" t="str">
        <f>IF('Inputs Whole-Project Water Use'!F618&lt;&gt;"",'Inputs Whole-Project Water Use'!F618,"")</f>
        <v/>
      </c>
      <c r="G618" s="314" t="str">
        <f>IF('Inputs Whole-Project Water Use'!G618&lt;&gt;"",'Inputs Whole-Project Water Use'!G618,"")</f>
        <v/>
      </c>
      <c r="H618" s="315" t="str">
        <f>IF('Inputs Whole-Project Water Use'!H618&lt;&gt;"",'Inputs Whole-Project Water Use'!H618,"")</f>
        <v/>
      </c>
      <c r="I618" s="344" t="str">
        <f>IF('Inputs Whole-Project Water Use'!I618&lt;&gt;"",'Inputs Whole-Project Water Use'!I618,"")</f>
        <v/>
      </c>
      <c r="J618" s="345"/>
      <c r="K618" s="316" t="str">
        <f>IF('Inputs Whole-Project Water Use'!K618&lt;&gt;"",'Inputs Whole-Project Water Use'!K618,"")</f>
        <v/>
      </c>
      <c r="L618" s="316" t="str">
        <f>IF('Inputs Whole-Project Water Use'!L618&lt;&gt;"",'Inputs Whole-Project Water Use'!L618,"")</f>
        <v/>
      </c>
      <c r="M618" s="390" t="str">
        <f t="shared" si="62"/>
        <v/>
      </c>
      <c r="N618" s="391"/>
      <c r="O618" s="225" t="str">
        <f t="shared" si="63"/>
        <v/>
      </c>
      <c r="P618" s="225" t="str">
        <f t="shared" si="64"/>
        <v/>
      </c>
      <c r="Q618" s="289" t="str">
        <f>IF(AND(L618&lt;&gt;"",'Inputs Whole-Project Water Use'!Q618=""),0,IF('Inputs Whole-Project Water Use'!Q618&lt;&gt;"",'Inputs Whole-Project Water Use'!Q618,""))</f>
        <v/>
      </c>
      <c r="R618" s="225" t="str">
        <f t="shared" si="65"/>
        <v/>
      </c>
      <c r="S618" s="225" t="str">
        <f t="shared" si="66"/>
        <v/>
      </c>
      <c r="T618" s="231" t="str">
        <f t="shared" si="67"/>
        <v/>
      </c>
      <c r="U618" s="176"/>
      <c r="V618" s="241"/>
      <c r="W618" s="241"/>
      <c r="X618" s="241"/>
      <c r="Y618" s="241"/>
      <c r="Z618" s="241"/>
      <c r="AA618" s="241"/>
      <c r="AB618" s="241"/>
      <c r="AC618" s="241"/>
      <c r="AD618" s="241"/>
      <c r="AE618" s="241"/>
      <c r="AF618" s="241"/>
      <c r="AG618" s="241"/>
      <c r="AH618" s="241"/>
      <c r="AI618" s="241"/>
      <c r="AJ618" s="241"/>
      <c r="AK618" s="241"/>
      <c r="AL618" s="241"/>
      <c r="AM618" s="241"/>
      <c r="AN618" s="241"/>
      <c r="AO618" s="241"/>
      <c r="AP618" s="241"/>
      <c r="AQ618" s="241"/>
      <c r="AR618" s="241"/>
      <c r="AS618" s="241"/>
      <c r="AT618" s="241"/>
      <c r="AU618" s="241"/>
      <c r="AV618" s="241"/>
      <c r="AW618" s="241"/>
      <c r="AX618" s="241"/>
      <c r="AY618" s="241"/>
      <c r="AZ618" s="241"/>
    </row>
    <row r="619" spans="1:52" s="71" customFormat="1" ht="18" hidden="1" customHeight="1" outlineLevel="2">
      <c r="A619" s="175">
        <v>107</v>
      </c>
      <c r="B619" s="312" t="str">
        <f>(IF('Inputs Whole-Project Water Use'!B619&lt;&gt;"",'Inputs Whole-Project Water Use'!B619,""))</f>
        <v/>
      </c>
      <c r="C619" s="313" t="str">
        <f>IF(AND(K619&lt;&gt;"",'Inputs Whole-Project Water Use'!C619=""),1,IF('Inputs Whole-Project Water Use'!C619&lt;&gt;"",'Inputs Whole-Project Water Use'!C619,""))</f>
        <v/>
      </c>
      <c r="D619" s="397" t="str">
        <f>IF('Inputs Whole-Project Water Use'!D619&lt;&gt;"",'Inputs Whole-Project Water Use'!D619,"")</f>
        <v/>
      </c>
      <c r="E619" s="398"/>
      <c r="F619" s="314" t="str">
        <f>IF('Inputs Whole-Project Water Use'!F619&lt;&gt;"",'Inputs Whole-Project Water Use'!F619,"")</f>
        <v/>
      </c>
      <c r="G619" s="314" t="str">
        <f>IF('Inputs Whole-Project Water Use'!G619&lt;&gt;"",'Inputs Whole-Project Water Use'!G619,"")</f>
        <v/>
      </c>
      <c r="H619" s="315" t="str">
        <f>IF('Inputs Whole-Project Water Use'!H619&lt;&gt;"",'Inputs Whole-Project Water Use'!H619,"")</f>
        <v/>
      </c>
      <c r="I619" s="344" t="str">
        <f>IF('Inputs Whole-Project Water Use'!I619&lt;&gt;"",'Inputs Whole-Project Water Use'!I619,"")</f>
        <v/>
      </c>
      <c r="J619" s="345"/>
      <c r="K619" s="316" t="str">
        <f>IF('Inputs Whole-Project Water Use'!K619&lt;&gt;"",'Inputs Whole-Project Water Use'!K619,"")</f>
        <v/>
      </c>
      <c r="L619" s="316" t="str">
        <f>IF('Inputs Whole-Project Water Use'!L619&lt;&gt;"",'Inputs Whole-Project Water Use'!L619,"")</f>
        <v/>
      </c>
      <c r="M619" s="390" t="str">
        <f t="shared" si="62"/>
        <v/>
      </c>
      <c r="N619" s="391"/>
      <c r="O619" s="225" t="str">
        <f t="shared" si="63"/>
        <v/>
      </c>
      <c r="P619" s="225" t="str">
        <f t="shared" si="64"/>
        <v/>
      </c>
      <c r="Q619" s="289" t="str">
        <f>IF(AND(L619&lt;&gt;"",'Inputs Whole-Project Water Use'!Q619=""),0,IF('Inputs Whole-Project Water Use'!Q619&lt;&gt;"",'Inputs Whole-Project Water Use'!Q619,""))</f>
        <v/>
      </c>
      <c r="R619" s="225" t="str">
        <f t="shared" si="65"/>
        <v/>
      </c>
      <c r="S619" s="225" t="str">
        <f t="shared" si="66"/>
        <v/>
      </c>
      <c r="T619" s="231" t="str">
        <f t="shared" si="67"/>
        <v/>
      </c>
      <c r="U619" s="176"/>
      <c r="V619" s="241"/>
      <c r="W619" s="241"/>
      <c r="X619" s="241"/>
      <c r="Y619" s="241"/>
      <c r="Z619" s="241"/>
      <c r="AA619" s="241"/>
      <c r="AB619" s="241"/>
      <c r="AC619" s="241"/>
      <c r="AD619" s="241"/>
      <c r="AE619" s="241"/>
      <c r="AF619" s="241"/>
      <c r="AG619" s="241"/>
      <c r="AH619" s="241"/>
      <c r="AI619" s="241"/>
      <c r="AJ619" s="241"/>
      <c r="AK619" s="241"/>
      <c r="AL619" s="241"/>
      <c r="AM619" s="241"/>
      <c r="AN619" s="241"/>
      <c r="AO619" s="241"/>
      <c r="AP619" s="241"/>
      <c r="AQ619" s="241"/>
      <c r="AR619" s="241"/>
      <c r="AS619" s="241"/>
      <c r="AT619" s="241"/>
      <c r="AU619" s="241"/>
      <c r="AV619" s="241"/>
      <c r="AW619" s="241"/>
      <c r="AX619" s="241"/>
      <c r="AY619" s="241"/>
      <c r="AZ619" s="241"/>
    </row>
    <row r="620" spans="1:52" s="71" customFormat="1" ht="18" hidden="1" customHeight="1" outlineLevel="2">
      <c r="A620" s="175">
        <v>108</v>
      </c>
      <c r="B620" s="312" t="str">
        <f>(IF('Inputs Whole-Project Water Use'!B620&lt;&gt;"",'Inputs Whole-Project Water Use'!B620,""))</f>
        <v/>
      </c>
      <c r="C620" s="313" t="str">
        <f>IF(AND(K620&lt;&gt;"",'Inputs Whole-Project Water Use'!C620=""),1,IF('Inputs Whole-Project Water Use'!C620&lt;&gt;"",'Inputs Whole-Project Water Use'!C620,""))</f>
        <v/>
      </c>
      <c r="D620" s="397" t="str">
        <f>IF('Inputs Whole-Project Water Use'!D620&lt;&gt;"",'Inputs Whole-Project Water Use'!D620,"")</f>
        <v/>
      </c>
      <c r="E620" s="398"/>
      <c r="F620" s="314" t="str">
        <f>IF('Inputs Whole-Project Water Use'!F620&lt;&gt;"",'Inputs Whole-Project Water Use'!F620,"")</f>
        <v/>
      </c>
      <c r="G620" s="314" t="str">
        <f>IF('Inputs Whole-Project Water Use'!G620&lt;&gt;"",'Inputs Whole-Project Water Use'!G620,"")</f>
        <v/>
      </c>
      <c r="H620" s="315" t="str">
        <f>IF('Inputs Whole-Project Water Use'!H620&lt;&gt;"",'Inputs Whole-Project Water Use'!H620,"")</f>
        <v/>
      </c>
      <c r="I620" s="344" t="str">
        <f>IF('Inputs Whole-Project Water Use'!I620&lt;&gt;"",'Inputs Whole-Project Water Use'!I620,"")</f>
        <v/>
      </c>
      <c r="J620" s="345"/>
      <c r="K620" s="316" t="str">
        <f>IF('Inputs Whole-Project Water Use'!K620&lt;&gt;"",'Inputs Whole-Project Water Use'!K620,"")</f>
        <v/>
      </c>
      <c r="L620" s="316" t="str">
        <f>IF('Inputs Whole-Project Water Use'!L620&lt;&gt;"",'Inputs Whole-Project Water Use'!L620,"")</f>
        <v/>
      </c>
      <c r="M620" s="390" t="str">
        <f t="shared" si="62"/>
        <v/>
      </c>
      <c r="N620" s="391"/>
      <c r="O620" s="225" t="str">
        <f t="shared" si="63"/>
        <v/>
      </c>
      <c r="P620" s="225" t="str">
        <f t="shared" si="64"/>
        <v/>
      </c>
      <c r="Q620" s="289" t="str">
        <f>IF(AND(L620&lt;&gt;"",'Inputs Whole-Project Water Use'!Q620=""),0,IF('Inputs Whole-Project Water Use'!Q620&lt;&gt;"",'Inputs Whole-Project Water Use'!Q620,""))</f>
        <v/>
      </c>
      <c r="R620" s="225" t="str">
        <f t="shared" si="65"/>
        <v/>
      </c>
      <c r="S620" s="225" t="str">
        <f t="shared" si="66"/>
        <v/>
      </c>
      <c r="T620" s="231" t="str">
        <f t="shared" si="67"/>
        <v/>
      </c>
      <c r="U620" s="176"/>
      <c r="V620" s="241"/>
      <c r="W620" s="241"/>
      <c r="X620" s="241"/>
      <c r="Y620" s="241"/>
      <c r="Z620" s="241"/>
      <c r="AA620" s="241"/>
      <c r="AB620" s="241"/>
      <c r="AC620" s="241"/>
      <c r="AD620" s="241"/>
      <c r="AE620" s="241"/>
      <c r="AF620" s="241"/>
      <c r="AG620" s="241"/>
      <c r="AH620" s="241"/>
      <c r="AI620" s="241"/>
      <c r="AJ620" s="241"/>
      <c r="AK620" s="241"/>
      <c r="AL620" s="241"/>
      <c r="AM620" s="241"/>
      <c r="AN620" s="241"/>
      <c r="AO620" s="241"/>
      <c r="AP620" s="241"/>
      <c r="AQ620" s="241"/>
      <c r="AR620" s="241"/>
      <c r="AS620" s="241"/>
      <c r="AT620" s="241"/>
      <c r="AU620" s="241"/>
      <c r="AV620" s="241"/>
      <c r="AW620" s="241"/>
      <c r="AX620" s="241"/>
      <c r="AY620" s="241"/>
      <c r="AZ620" s="241"/>
    </row>
    <row r="621" spans="1:52" s="71" customFormat="1" ht="18" hidden="1" customHeight="1" outlineLevel="2">
      <c r="A621" s="175">
        <v>109</v>
      </c>
      <c r="B621" s="312" t="str">
        <f>(IF('Inputs Whole-Project Water Use'!B621&lt;&gt;"",'Inputs Whole-Project Water Use'!B621,""))</f>
        <v/>
      </c>
      <c r="C621" s="313" t="str">
        <f>IF(AND(K621&lt;&gt;"",'Inputs Whole-Project Water Use'!C621=""),1,IF('Inputs Whole-Project Water Use'!C621&lt;&gt;"",'Inputs Whole-Project Water Use'!C621,""))</f>
        <v/>
      </c>
      <c r="D621" s="397" t="str">
        <f>IF('Inputs Whole-Project Water Use'!D621&lt;&gt;"",'Inputs Whole-Project Water Use'!D621,"")</f>
        <v/>
      </c>
      <c r="E621" s="398"/>
      <c r="F621" s="314" t="str">
        <f>IF('Inputs Whole-Project Water Use'!F621&lt;&gt;"",'Inputs Whole-Project Water Use'!F621,"")</f>
        <v/>
      </c>
      <c r="G621" s="314" t="str">
        <f>IF('Inputs Whole-Project Water Use'!G621&lt;&gt;"",'Inputs Whole-Project Water Use'!G621,"")</f>
        <v/>
      </c>
      <c r="H621" s="315" t="str">
        <f>IF('Inputs Whole-Project Water Use'!H621&lt;&gt;"",'Inputs Whole-Project Water Use'!H621,"")</f>
        <v/>
      </c>
      <c r="I621" s="344" t="str">
        <f>IF('Inputs Whole-Project Water Use'!I621&lt;&gt;"",'Inputs Whole-Project Water Use'!I621,"")</f>
        <v/>
      </c>
      <c r="J621" s="345"/>
      <c r="K621" s="316" t="str">
        <f>IF('Inputs Whole-Project Water Use'!K621&lt;&gt;"",'Inputs Whole-Project Water Use'!K621,"")</f>
        <v/>
      </c>
      <c r="L621" s="316" t="str">
        <f>IF('Inputs Whole-Project Water Use'!L621&lt;&gt;"",'Inputs Whole-Project Water Use'!L621,"")</f>
        <v/>
      </c>
      <c r="M621" s="390" t="str">
        <f t="shared" si="62"/>
        <v/>
      </c>
      <c r="N621" s="391"/>
      <c r="O621" s="225" t="str">
        <f t="shared" si="63"/>
        <v/>
      </c>
      <c r="P621" s="225" t="str">
        <f t="shared" si="64"/>
        <v/>
      </c>
      <c r="Q621" s="289" t="str">
        <f>IF(AND(L621&lt;&gt;"",'Inputs Whole-Project Water Use'!Q621=""),0,IF('Inputs Whole-Project Water Use'!Q621&lt;&gt;"",'Inputs Whole-Project Water Use'!Q621,""))</f>
        <v/>
      </c>
      <c r="R621" s="225" t="str">
        <f t="shared" si="65"/>
        <v/>
      </c>
      <c r="S621" s="225" t="str">
        <f t="shared" si="66"/>
        <v/>
      </c>
      <c r="T621" s="231" t="str">
        <f t="shared" si="67"/>
        <v/>
      </c>
      <c r="U621" s="241"/>
      <c r="V621" s="241"/>
      <c r="W621" s="241"/>
      <c r="X621" s="241"/>
      <c r="Y621" s="241"/>
      <c r="Z621" s="241"/>
      <c r="AA621" s="241"/>
      <c r="AB621" s="241"/>
      <c r="AC621" s="241"/>
      <c r="AD621" s="241"/>
      <c r="AE621" s="241"/>
      <c r="AF621" s="241"/>
      <c r="AG621" s="241"/>
      <c r="AH621" s="241"/>
      <c r="AI621" s="241"/>
      <c r="AJ621" s="241"/>
      <c r="AK621" s="241"/>
      <c r="AL621" s="241"/>
      <c r="AM621" s="241"/>
      <c r="AN621" s="241"/>
      <c r="AO621" s="241"/>
      <c r="AP621" s="241"/>
      <c r="AQ621" s="241"/>
      <c r="AR621" s="241"/>
      <c r="AS621" s="241"/>
      <c r="AT621" s="241"/>
      <c r="AU621" s="241"/>
      <c r="AV621" s="241"/>
      <c r="AW621" s="241"/>
      <c r="AX621" s="241"/>
      <c r="AY621" s="241"/>
      <c r="AZ621" s="241"/>
    </row>
    <row r="622" spans="1:52" s="71" customFormat="1" ht="18" hidden="1" customHeight="1" outlineLevel="2">
      <c r="A622" s="175">
        <v>110</v>
      </c>
      <c r="B622" s="312" t="str">
        <f>(IF('Inputs Whole-Project Water Use'!B622&lt;&gt;"",'Inputs Whole-Project Water Use'!B622,""))</f>
        <v/>
      </c>
      <c r="C622" s="313" t="str">
        <f>IF(AND(K622&lt;&gt;"",'Inputs Whole-Project Water Use'!C622=""),1,IF('Inputs Whole-Project Water Use'!C622&lt;&gt;"",'Inputs Whole-Project Water Use'!C622,""))</f>
        <v/>
      </c>
      <c r="D622" s="397" t="str">
        <f>IF('Inputs Whole-Project Water Use'!D622&lt;&gt;"",'Inputs Whole-Project Water Use'!D622,"")</f>
        <v/>
      </c>
      <c r="E622" s="398"/>
      <c r="F622" s="314" t="str">
        <f>IF('Inputs Whole-Project Water Use'!F622&lt;&gt;"",'Inputs Whole-Project Water Use'!F622,"")</f>
        <v/>
      </c>
      <c r="G622" s="314" t="str">
        <f>IF('Inputs Whole-Project Water Use'!G622&lt;&gt;"",'Inputs Whole-Project Water Use'!G622,"")</f>
        <v/>
      </c>
      <c r="H622" s="315" t="str">
        <f>IF('Inputs Whole-Project Water Use'!H622&lt;&gt;"",'Inputs Whole-Project Water Use'!H622,"")</f>
        <v/>
      </c>
      <c r="I622" s="344" t="str">
        <f>IF('Inputs Whole-Project Water Use'!I622&lt;&gt;"",'Inputs Whole-Project Water Use'!I622,"")</f>
        <v/>
      </c>
      <c r="J622" s="345"/>
      <c r="K622" s="316" t="str">
        <f>IF('Inputs Whole-Project Water Use'!K622&lt;&gt;"",'Inputs Whole-Project Water Use'!K622,"")</f>
        <v/>
      </c>
      <c r="L622" s="316" t="str">
        <f>IF('Inputs Whole-Project Water Use'!L622&lt;&gt;"",'Inputs Whole-Project Water Use'!L622,"")</f>
        <v/>
      </c>
      <c r="M622" s="390" t="str">
        <f t="shared" si="62"/>
        <v/>
      </c>
      <c r="N622" s="391"/>
      <c r="O622" s="225" t="str">
        <f t="shared" si="63"/>
        <v/>
      </c>
      <c r="P622" s="225" t="str">
        <f t="shared" si="64"/>
        <v/>
      </c>
      <c r="Q622" s="289" t="str">
        <f>IF(AND(L622&lt;&gt;"",'Inputs Whole-Project Water Use'!Q622=""),0,IF('Inputs Whole-Project Water Use'!Q622&lt;&gt;"",'Inputs Whole-Project Water Use'!Q622,""))</f>
        <v/>
      </c>
      <c r="R622" s="225" t="str">
        <f t="shared" si="65"/>
        <v/>
      </c>
      <c r="S622" s="225" t="str">
        <f t="shared" si="66"/>
        <v/>
      </c>
      <c r="T622" s="231" t="str">
        <f t="shared" si="67"/>
        <v/>
      </c>
      <c r="U622" s="241"/>
      <c r="V622" s="241"/>
      <c r="W622" s="241"/>
      <c r="X622" s="241"/>
      <c r="Y622" s="241"/>
      <c r="Z622" s="241"/>
      <c r="AA622" s="241"/>
      <c r="AB622" s="241"/>
      <c r="AC622" s="241"/>
      <c r="AD622" s="241"/>
      <c r="AE622" s="241"/>
      <c r="AF622" s="241"/>
      <c r="AG622" s="241"/>
      <c r="AH622" s="241"/>
      <c r="AI622" s="241"/>
      <c r="AJ622" s="241"/>
      <c r="AK622" s="241"/>
      <c r="AL622" s="241"/>
      <c r="AM622" s="241"/>
      <c r="AN622" s="241"/>
      <c r="AO622" s="241"/>
      <c r="AP622" s="241"/>
      <c r="AQ622" s="241"/>
      <c r="AR622" s="241"/>
      <c r="AS622" s="241"/>
      <c r="AT622" s="241"/>
      <c r="AU622" s="241"/>
      <c r="AV622" s="241"/>
      <c r="AW622" s="241"/>
      <c r="AX622" s="241"/>
      <c r="AY622" s="241"/>
      <c r="AZ622" s="241"/>
    </row>
    <row r="623" spans="1:52" s="71" customFormat="1" ht="15" hidden="1" customHeight="1" outlineLevel="1" collapsed="1">
      <c r="A623" s="288"/>
      <c r="B623" s="302"/>
      <c r="C623" s="300"/>
      <c r="D623" s="300"/>
      <c r="E623" s="300"/>
      <c r="F623" s="300"/>
      <c r="G623" s="300"/>
      <c r="H623" s="300"/>
      <c r="I623" s="300"/>
      <c r="J623" s="300"/>
      <c r="K623" s="300"/>
      <c r="L623" s="300"/>
      <c r="M623" s="300"/>
      <c r="N623" s="257"/>
      <c r="O623" s="300"/>
      <c r="P623" s="300"/>
      <c r="Q623" s="300"/>
      <c r="R623" s="257"/>
      <c r="S623" s="300"/>
      <c r="T623" s="295"/>
      <c r="U623" s="176"/>
      <c r="V623" s="241"/>
      <c r="W623" s="241"/>
      <c r="X623" s="241"/>
      <c r="Y623" s="241"/>
      <c r="Z623" s="241"/>
      <c r="AA623" s="241"/>
      <c r="AB623" s="241"/>
      <c r="AC623" s="241"/>
      <c r="AD623" s="241"/>
      <c r="AE623" s="241"/>
      <c r="AF623" s="241"/>
      <c r="AG623" s="241"/>
      <c r="AH623" s="241"/>
      <c r="AI623" s="241"/>
      <c r="AJ623" s="241"/>
      <c r="AK623" s="241"/>
      <c r="AL623" s="241"/>
      <c r="AM623" s="241"/>
      <c r="AN623" s="241"/>
      <c r="AO623" s="241"/>
      <c r="AP623" s="241"/>
      <c r="AQ623" s="241"/>
      <c r="AR623" s="241"/>
      <c r="AS623" s="241"/>
      <c r="AT623" s="241"/>
      <c r="AU623" s="241"/>
      <c r="AV623" s="241"/>
      <c r="AW623" s="241"/>
      <c r="AX623" s="241"/>
      <c r="AY623" s="241"/>
      <c r="AZ623" s="241"/>
    </row>
    <row r="624" spans="1:52" ht="18" customHeight="1" collapsed="1">
      <c r="A624" s="250"/>
      <c r="B624" s="152" t="str">
        <f>'Inputs Whole-Project Water Use'!B624</f>
        <v>Total Annual Other Water Use | Water Use Savings (unit)</v>
      </c>
      <c r="C624" s="257"/>
      <c r="D624" s="257"/>
      <c r="E624" s="257"/>
      <c r="F624" s="257"/>
      <c r="G624" s="257"/>
      <c r="H624" s="257"/>
      <c r="I624" s="257"/>
      <c r="J624" s="257"/>
      <c r="K624" s="257"/>
      <c r="L624" s="257"/>
      <c r="M624" s="257"/>
      <c r="N624" s="257"/>
      <c r="O624" s="309">
        <f>SUM(logic_othawub)</f>
        <v>0</v>
      </c>
      <c r="P624" s="309">
        <f>SUM(logic_othawudwoaw)</f>
        <v>0</v>
      </c>
      <c r="Q624" s="309">
        <f>SUM(logic_othawuawa)</f>
        <v>0</v>
      </c>
      <c r="R624" s="309">
        <f>SUM(logic_othawud)</f>
        <v>0</v>
      </c>
      <c r="S624" s="309">
        <f>SUM(logic_othawusa)</f>
        <v>0</v>
      </c>
      <c r="T624" s="231">
        <f>IFERROR(S624/O624,0)</f>
        <v>0</v>
      </c>
      <c r="U624" s="241"/>
      <c r="V624" s="241"/>
      <c r="W624" s="241"/>
      <c r="X624" s="241"/>
      <c r="Y624" s="241"/>
      <c r="Z624" s="241"/>
      <c r="AA624" s="241"/>
      <c r="AB624" s="241"/>
      <c r="AC624" s="241"/>
      <c r="AD624" s="241"/>
      <c r="AE624" s="241"/>
      <c r="AF624" s="241"/>
      <c r="AG624" s="241"/>
      <c r="AH624" s="241"/>
      <c r="AI624" s="241"/>
      <c r="AJ624" s="241"/>
      <c r="AK624" s="241"/>
      <c r="AL624" s="241"/>
      <c r="AM624" s="241"/>
      <c r="AN624" s="241"/>
      <c r="AO624" s="241"/>
      <c r="AP624" s="241"/>
      <c r="AQ624" s="241"/>
      <c r="AR624" s="241"/>
      <c r="AS624" s="241"/>
      <c r="AT624" s="241"/>
      <c r="AU624" s="241"/>
      <c r="AV624" s="241"/>
      <c r="AW624" s="241"/>
      <c r="AX624" s="241"/>
      <c r="AY624" s="241"/>
      <c r="AZ624" s="241"/>
    </row>
    <row r="625" spans="1:52" ht="18" customHeight="1">
      <c r="A625" s="250"/>
      <c r="B625" s="250"/>
      <c r="C625" s="250"/>
      <c r="D625" s="250"/>
      <c r="E625" s="250"/>
      <c r="F625" s="250"/>
      <c r="G625" s="250"/>
      <c r="H625" s="250"/>
      <c r="I625" s="250"/>
      <c r="J625" s="250"/>
      <c r="K625" s="250"/>
      <c r="L625" s="250"/>
      <c r="M625" s="250"/>
      <c r="N625" s="250"/>
      <c r="O625" s="250"/>
      <c r="P625" s="250"/>
      <c r="Q625" s="241"/>
      <c r="R625" s="241"/>
      <c r="S625" s="241"/>
      <c r="T625" s="241"/>
      <c r="U625" s="241"/>
      <c r="V625" s="241"/>
      <c r="W625" s="241"/>
      <c r="X625" s="241"/>
      <c r="Y625" s="241"/>
      <c r="Z625" s="241"/>
      <c r="AA625" s="241"/>
      <c r="AB625" s="241"/>
      <c r="AC625" s="241"/>
      <c r="AD625" s="241"/>
      <c r="AE625" s="241"/>
      <c r="AF625" s="241"/>
      <c r="AG625" s="241"/>
      <c r="AH625" s="241"/>
      <c r="AI625" s="241"/>
      <c r="AJ625" s="241"/>
      <c r="AK625" s="241"/>
      <c r="AL625" s="241"/>
      <c r="AM625" s="241"/>
      <c r="AN625" s="241"/>
      <c r="AO625" s="241"/>
      <c r="AP625" s="241"/>
      <c r="AQ625" s="241"/>
      <c r="AR625" s="241"/>
      <c r="AS625" s="241"/>
      <c r="AT625" s="241"/>
      <c r="AU625" s="241"/>
      <c r="AV625" s="241"/>
      <c r="AW625" s="241"/>
      <c r="AX625" s="241"/>
      <c r="AY625" s="241"/>
      <c r="AZ625" s="241"/>
    </row>
    <row r="626" spans="1:52" ht="18" customHeight="1">
      <c r="A626" s="250"/>
      <c r="B626" s="241"/>
      <c r="C626" s="241"/>
      <c r="D626" s="241"/>
      <c r="E626" s="241"/>
      <c r="F626" s="241"/>
      <c r="G626" s="241"/>
      <c r="H626" s="241"/>
      <c r="I626" s="241"/>
      <c r="J626" s="241"/>
      <c r="K626" s="241"/>
      <c r="L626" s="241"/>
      <c r="M626" s="241"/>
      <c r="N626" s="241"/>
      <c r="O626" s="241"/>
      <c r="P626" s="241"/>
      <c r="Q626" s="241"/>
      <c r="R626" s="241"/>
      <c r="S626" s="241"/>
      <c r="T626" s="241"/>
      <c r="U626" s="241"/>
      <c r="V626" s="241"/>
      <c r="W626" s="241"/>
      <c r="X626" s="241"/>
      <c r="Y626" s="241"/>
      <c r="Z626" s="241"/>
      <c r="AA626" s="241"/>
      <c r="AB626" s="241"/>
      <c r="AC626" s="241"/>
      <c r="AD626" s="241"/>
      <c r="AE626" s="241"/>
      <c r="AF626" s="241"/>
      <c r="AG626" s="241"/>
      <c r="AH626" s="241"/>
      <c r="AI626" s="241"/>
      <c r="AJ626" s="241"/>
      <c r="AK626" s="241"/>
      <c r="AL626" s="241"/>
      <c r="AM626" s="241"/>
      <c r="AN626" s="241"/>
      <c r="AO626" s="241"/>
      <c r="AP626" s="241"/>
      <c r="AQ626" s="241"/>
      <c r="AR626" s="241"/>
      <c r="AS626" s="241"/>
      <c r="AT626" s="241"/>
      <c r="AU626" s="241"/>
      <c r="AV626" s="241"/>
      <c r="AW626" s="241"/>
      <c r="AX626" s="241"/>
      <c r="AY626" s="241"/>
      <c r="AZ626" s="241"/>
    </row>
    <row r="627" spans="1:52" s="2" customFormat="1" ht="18" customHeight="1">
      <c r="A627" s="250"/>
      <c r="B627" s="142" t="s">
        <v>177</v>
      </c>
      <c r="C627" s="143"/>
      <c r="D627" s="143"/>
      <c r="E627" s="143"/>
      <c r="F627" s="143"/>
      <c r="G627" s="143"/>
      <c r="H627" s="143"/>
      <c r="I627" s="143"/>
      <c r="J627" s="143"/>
      <c r="K627" s="144"/>
      <c r="L627" s="242"/>
      <c r="M627" s="242"/>
      <c r="N627" s="242"/>
      <c r="O627" s="242"/>
      <c r="P627" s="242"/>
      <c r="Q627" s="242"/>
      <c r="R627" s="242"/>
      <c r="S627" s="242"/>
      <c r="T627" s="242"/>
      <c r="U627" s="242"/>
      <c r="V627" s="242"/>
      <c r="W627" s="242"/>
      <c r="X627" s="242"/>
      <c r="Y627" s="242"/>
      <c r="Z627" s="242"/>
      <c r="AA627" s="242"/>
      <c r="AB627" s="242"/>
      <c r="AC627" s="242"/>
      <c r="AD627" s="242"/>
      <c r="AE627" s="242"/>
      <c r="AF627" s="242"/>
      <c r="AG627" s="242"/>
      <c r="AH627" s="242"/>
      <c r="AI627" s="242"/>
      <c r="AJ627" s="242"/>
      <c r="AK627" s="242"/>
      <c r="AL627" s="242"/>
      <c r="AM627" s="242"/>
      <c r="AN627" s="242"/>
      <c r="AO627" s="242"/>
      <c r="AP627" s="242"/>
      <c r="AQ627" s="242"/>
      <c r="AR627" s="242"/>
      <c r="AS627" s="242"/>
      <c r="AT627" s="242"/>
      <c r="AU627" s="242"/>
      <c r="AV627" s="242"/>
      <c r="AW627" s="242"/>
      <c r="AX627" s="242"/>
      <c r="AY627" s="242"/>
      <c r="AZ627" s="242"/>
    </row>
    <row r="628" spans="1:52" s="2" customFormat="1" ht="18" customHeight="1">
      <c r="A628" s="250"/>
      <c r="B628" s="242"/>
      <c r="C628" s="242"/>
      <c r="D628" s="242"/>
      <c r="E628" s="242"/>
      <c r="F628" s="242"/>
      <c r="G628" s="242"/>
      <c r="H628" s="242"/>
      <c r="I628" s="242"/>
      <c r="J628" s="242"/>
      <c r="K628" s="242"/>
      <c r="L628" s="242"/>
      <c r="M628" s="242"/>
      <c r="N628" s="242"/>
      <c r="O628" s="242"/>
      <c r="P628" s="242"/>
      <c r="Q628" s="242"/>
      <c r="R628" s="242"/>
      <c r="S628" s="242"/>
      <c r="T628" s="242"/>
      <c r="U628" s="242"/>
      <c r="V628" s="242"/>
      <c r="W628" s="242"/>
      <c r="X628" s="242"/>
      <c r="Y628" s="242"/>
      <c r="Z628" s="242"/>
      <c r="AA628" s="242"/>
      <c r="AB628" s="242"/>
      <c r="AC628" s="242"/>
      <c r="AD628" s="242"/>
      <c r="AE628" s="242"/>
      <c r="AF628" s="242"/>
      <c r="AG628" s="242"/>
      <c r="AH628" s="242"/>
      <c r="AI628" s="242"/>
      <c r="AJ628" s="242"/>
      <c r="AK628" s="242"/>
      <c r="AL628" s="242"/>
      <c r="AM628" s="242"/>
      <c r="AN628" s="242"/>
      <c r="AO628" s="242"/>
      <c r="AP628" s="242"/>
      <c r="AQ628" s="242"/>
      <c r="AR628" s="242"/>
      <c r="AS628" s="242"/>
      <c r="AT628" s="242"/>
      <c r="AU628" s="242"/>
      <c r="AV628" s="242"/>
      <c r="AW628" s="242"/>
      <c r="AX628" s="242"/>
      <c r="AY628" s="242"/>
      <c r="AZ628" s="242"/>
    </row>
    <row r="629" spans="1:52" s="324" customFormat="1" ht="18" customHeight="1">
      <c r="A629" s="322"/>
      <c r="B629" s="364" t="s">
        <v>178</v>
      </c>
      <c r="C629" s="364"/>
      <c r="D629" s="364" t="str">
        <f>CONCATENATE("Total Water Use Baseline (",IF(logic_units&lt;&gt;"",INDEX(data_genunitsvol,MATCH(logic_units,data_genunits,0)),"unit"),")")</f>
        <v>Total Water Use Baseline (unit)</v>
      </c>
      <c r="E629" s="364" t="str">
        <f>CONCATENATE("Total Water Use Design (",IF(logic_units&lt;&gt;"",INDEX(data_genunitsvol,MATCH(logic_units,data_genunits,0)),"unit"),")")</f>
        <v>Total Water Use Design (unit)</v>
      </c>
      <c r="F629" s="364" t="str">
        <f>CONCATENATE("Total Alternative Water (",IF(logic_units&lt;&gt;"",INDEX(data_genunitsvol,MATCH(logic_units,data_genunits,0)),"unit"),")")</f>
        <v>Total Alternative Water (unit)</v>
      </c>
      <c r="G629" s="364"/>
      <c r="H629" s="364" t="str">
        <f>CONCATENATE("Total Annual Water Use Savings (",IF(inputs_units&lt;&gt;"",INDEX(data_genunitsvol,MATCH(inputs_units,data_genunits,0)),"unit"),")")</f>
        <v>Total Annual Water Use Savings (unit)</v>
      </c>
      <c r="I629" s="364"/>
      <c r="J629" s="364" t="s">
        <v>179</v>
      </c>
      <c r="K629" s="364"/>
      <c r="L629" s="241"/>
      <c r="M629" s="241"/>
      <c r="N629" s="241"/>
      <c r="O629" s="241"/>
      <c r="P629" s="241"/>
      <c r="Q629" s="323"/>
      <c r="R629" s="323"/>
      <c r="S629" s="323"/>
      <c r="T629" s="323"/>
      <c r="U629" s="323"/>
      <c r="V629" s="323"/>
      <c r="W629" s="323"/>
      <c r="X629" s="323"/>
      <c r="Y629" s="323"/>
      <c r="Z629" s="323"/>
      <c r="AA629" s="323"/>
      <c r="AB629" s="323"/>
      <c r="AC629" s="323"/>
      <c r="AD629" s="323"/>
      <c r="AE629" s="323"/>
      <c r="AF629" s="323"/>
      <c r="AG629" s="323"/>
      <c r="AH629" s="323"/>
      <c r="AI629" s="323"/>
      <c r="AJ629" s="323"/>
      <c r="AK629" s="323"/>
      <c r="AL629" s="323"/>
      <c r="AM629" s="323"/>
      <c r="AN629" s="323"/>
      <c r="AO629" s="323"/>
      <c r="AP629" s="323"/>
      <c r="AQ629" s="323"/>
      <c r="AR629" s="323"/>
      <c r="AS629" s="323"/>
      <c r="AT629" s="323"/>
      <c r="AU629" s="323"/>
      <c r="AV629" s="323"/>
      <c r="AW629" s="323"/>
      <c r="AX629" s="323"/>
      <c r="AY629" s="323"/>
      <c r="AZ629" s="323"/>
    </row>
    <row r="630" spans="1:52" s="324" customFormat="1" ht="18" customHeight="1">
      <c r="A630" s="322"/>
      <c r="B630" s="364"/>
      <c r="C630" s="364"/>
      <c r="D630" s="364"/>
      <c r="E630" s="364"/>
      <c r="F630" s="364"/>
      <c r="G630" s="364"/>
      <c r="H630" s="364"/>
      <c r="I630" s="364"/>
      <c r="J630" s="364"/>
      <c r="K630" s="364"/>
      <c r="L630" s="241"/>
      <c r="M630" s="241"/>
      <c r="N630" s="241"/>
      <c r="O630" s="241"/>
      <c r="P630" s="241"/>
      <c r="Q630" s="323"/>
      <c r="R630" s="323"/>
      <c r="S630" s="323"/>
      <c r="T630" s="323"/>
      <c r="U630" s="323"/>
      <c r="V630" s="323"/>
      <c r="W630" s="323"/>
      <c r="X630" s="323"/>
      <c r="Y630" s="323"/>
      <c r="Z630" s="323"/>
      <c r="AA630" s="323"/>
      <c r="AB630" s="323"/>
      <c r="AC630" s="323"/>
      <c r="AD630" s="323"/>
      <c r="AE630" s="323"/>
      <c r="AF630" s="323"/>
      <c r="AG630" s="323"/>
      <c r="AH630" s="323"/>
      <c r="AI630" s="323"/>
      <c r="AJ630" s="323"/>
      <c r="AK630" s="323"/>
      <c r="AL630" s="323"/>
      <c r="AM630" s="323"/>
      <c r="AN630" s="323"/>
      <c r="AO630" s="323"/>
      <c r="AP630" s="323"/>
      <c r="AQ630" s="323"/>
      <c r="AR630" s="323"/>
      <c r="AS630" s="323"/>
      <c r="AT630" s="323"/>
      <c r="AU630" s="323"/>
      <c r="AV630" s="323"/>
      <c r="AW630" s="323"/>
      <c r="AX630" s="323"/>
      <c r="AY630" s="323"/>
      <c r="AZ630" s="323"/>
    </row>
    <row r="631" spans="1:52" s="2" customFormat="1" ht="18" customHeight="1">
      <c r="A631" s="250"/>
      <c r="B631" s="412" t="s">
        <v>180</v>
      </c>
      <c r="C631" s="413"/>
      <c r="D631" s="326">
        <f>inputs_bdffwub</f>
        <v>0</v>
      </c>
      <c r="E631" s="326">
        <f>inputs_bdffwud</f>
        <v>0</v>
      </c>
      <c r="F631" s="399">
        <f>inputs_bdffwuwa</f>
        <v>0</v>
      </c>
      <c r="G631" s="399"/>
      <c r="H631" s="399">
        <f>logic_bdffwuasam</f>
        <v>0</v>
      </c>
      <c r="I631" s="399"/>
      <c r="J631" s="401">
        <f>logic_bdffwuasprc</f>
        <v>0</v>
      </c>
      <c r="K631" s="401"/>
      <c r="L631" s="241"/>
      <c r="M631" s="241"/>
      <c r="N631" s="241"/>
      <c r="O631" s="241"/>
      <c r="P631" s="241"/>
      <c r="Q631" s="242"/>
      <c r="R631" s="242"/>
      <c r="S631" s="242"/>
      <c r="T631" s="242"/>
      <c r="U631" s="242"/>
      <c r="V631" s="242"/>
      <c r="W631" s="242"/>
      <c r="X631" s="242"/>
      <c r="Y631" s="242"/>
      <c r="Z631" s="242"/>
      <c r="AA631" s="242"/>
      <c r="AB631" s="242"/>
      <c r="AC631" s="242"/>
      <c r="AD631" s="242"/>
      <c r="AE631" s="242"/>
      <c r="AF631" s="242"/>
      <c r="AG631" s="242"/>
      <c r="AH631" s="242"/>
      <c r="AI631" s="242"/>
      <c r="AJ631" s="242"/>
      <c r="AK631" s="242"/>
      <c r="AL631" s="242"/>
      <c r="AM631" s="242"/>
      <c r="AN631" s="242"/>
      <c r="AO631" s="242"/>
      <c r="AP631" s="242"/>
      <c r="AQ631" s="242"/>
      <c r="AR631" s="242"/>
      <c r="AS631" s="242"/>
      <c r="AT631" s="242"/>
      <c r="AU631" s="242"/>
      <c r="AV631" s="242"/>
      <c r="AW631" s="242"/>
      <c r="AX631" s="242"/>
      <c r="AY631" s="242"/>
      <c r="AZ631" s="242"/>
    </row>
    <row r="632" spans="1:52" s="2" customFormat="1" ht="18" customHeight="1">
      <c r="A632" s="250"/>
      <c r="B632" s="412" t="s">
        <v>181</v>
      </c>
      <c r="C632" s="413"/>
      <c r="D632" s="326">
        <f>inputs_bdoutwub</f>
        <v>0</v>
      </c>
      <c r="E632" s="326">
        <f>inputs_bdoutwud</f>
        <v>0</v>
      </c>
      <c r="F632" s="399">
        <f>inputs_bdoutwuwa</f>
        <v>0</v>
      </c>
      <c r="G632" s="399"/>
      <c r="H632" s="399">
        <f>logic_bdoutwuasam</f>
        <v>0</v>
      </c>
      <c r="I632" s="399"/>
      <c r="J632" s="401">
        <f>logic_bdoutwuasprc</f>
        <v>0</v>
      </c>
      <c r="K632" s="401"/>
      <c r="L632" s="241"/>
      <c r="M632" s="241"/>
      <c r="N632" s="241"/>
      <c r="O632" s="241"/>
      <c r="P632" s="241"/>
      <c r="Q632" s="242"/>
      <c r="R632" s="242"/>
      <c r="S632" s="242"/>
      <c r="T632" s="242"/>
      <c r="U632" s="242"/>
      <c r="V632" s="242"/>
      <c r="W632" s="242"/>
      <c r="X632" s="242"/>
      <c r="Y632" s="242"/>
      <c r="Z632" s="242"/>
      <c r="AA632" s="242"/>
      <c r="AB632" s="242"/>
      <c r="AC632" s="242"/>
      <c r="AD632" s="242"/>
      <c r="AE632" s="242"/>
      <c r="AF632" s="242"/>
      <c r="AG632" s="242"/>
      <c r="AH632" s="242"/>
      <c r="AI632" s="242"/>
      <c r="AJ632" s="242"/>
      <c r="AK632" s="242"/>
      <c r="AL632" s="242"/>
      <c r="AM632" s="242"/>
      <c r="AN632" s="242"/>
      <c r="AO632" s="242"/>
      <c r="AP632" s="242"/>
      <c r="AQ632" s="242"/>
      <c r="AR632" s="242"/>
      <c r="AS632" s="242"/>
      <c r="AT632" s="242"/>
      <c r="AU632" s="242"/>
      <c r="AV632" s="242"/>
      <c r="AW632" s="242"/>
      <c r="AX632" s="242"/>
      <c r="AY632" s="242"/>
      <c r="AZ632" s="242"/>
    </row>
    <row r="633" spans="1:52" s="2" customFormat="1" ht="18" customHeight="1">
      <c r="A633" s="250"/>
      <c r="B633" s="412" t="s">
        <v>182</v>
      </c>
      <c r="C633" s="413"/>
      <c r="D633" s="326">
        <f>logic_sumappawub</f>
        <v>0</v>
      </c>
      <c r="E633" s="326">
        <f>logic_sumappawud</f>
        <v>0</v>
      </c>
      <c r="F633" s="399">
        <f>logic_sumappawuawa</f>
        <v>0</v>
      </c>
      <c r="G633" s="399"/>
      <c r="H633" s="399">
        <f>logic_sumappawusa</f>
        <v>0</v>
      </c>
      <c r="I633" s="399"/>
      <c r="J633" s="401">
        <f>logic_sumappawusp</f>
        <v>0</v>
      </c>
      <c r="K633" s="401"/>
      <c r="L633" s="241"/>
      <c r="M633" s="241"/>
      <c r="N633" s="241"/>
      <c r="O633" s="241"/>
      <c r="P633" s="241"/>
      <c r="Q633" s="242"/>
      <c r="R633" s="242"/>
      <c r="S633" s="242"/>
      <c r="T633" s="242"/>
      <c r="U633" s="242"/>
      <c r="V633" s="242"/>
      <c r="W633" s="242"/>
      <c r="X633" s="242"/>
      <c r="Y633" s="242"/>
      <c r="Z633" s="242"/>
      <c r="AA633" s="242"/>
      <c r="AB633" s="242"/>
      <c r="AC633" s="242"/>
      <c r="AD633" s="242"/>
      <c r="AE633" s="242"/>
      <c r="AF633" s="242"/>
      <c r="AG633" s="242"/>
      <c r="AH633" s="242"/>
      <c r="AI633" s="242"/>
      <c r="AJ633" s="242"/>
      <c r="AK633" s="242"/>
      <c r="AL633" s="242"/>
      <c r="AM633" s="242"/>
      <c r="AN633" s="242"/>
      <c r="AO633" s="242"/>
      <c r="AP633" s="242"/>
      <c r="AQ633" s="242"/>
      <c r="AR633" s="242"/>
      <c r="AS633" s="242"/>
      <c r="AT633" s="242"/>
      <c r="AU633" s="242"/>
      <c r="AV633" s="242"/>
      <c r="AW633" s="242"/>
      <c r="AX633" s="242"/>
      <c r="AY633" s="242"/>
      <c r="AZ633" s="242"/>
    </row>
    <row r="634" spans="1:52" s="2" customFormat="1" ht="18" customHeight="1">
      <c r="A634" s="250"/>
      <c r="B634" s="412" t="s">
        <v>183</v>
      </c>
      <c r="C634" s="413"/>
      <c r="D634" s="326">
        <f>logic_sumkitchawub</f>
        <v>0</v>
      </c>
      <c r="E634" s="326">
        <f>logic_sumkitchawud</f>
        <v>0</v>
      </c>
      <c r="F634" s="399">
        <f>logic_sumkitchawuawa</f>
        <v>0</v>
      </c>
      <c r="G634" s="399"/>
      <c r="H634" s="399">
        <f>logic_sumkitchawusa</f>
        <v>0</v>
      </c>
      <c r="I634" s="399"/>
      <c r="J634" s="401">
        <f>logic_sumkitchawusp</f>
        <v>0</v>
      </c>
      <c r="K634" s="401"/>
      <c r="L634" s="241"/>
      <c r="M634" s="241"/>
      <c r="N634" s="241"/>
      <c r="O634" s="241"/>
      <c r="P634" s="241"/>
      <c r="Q634" s="242"/>
      <c r="R634" s="242"/>
      <c r="S634" s="242"/>
      <c r="T634" s="242"/>
      <c r="U634" s="242"/>
      <c r="V634" s="242"/>
      <c r="W634" s="242"/>
      <c r="X634" s="242"/>
      <c r="Y634" s="242"/>
      <c r="Z634" s="242"/>
      <c r="AA634" s="242"/>
      <c r="AB634" s="242"/>
      <c r="AC634" s="242"/>
      <c r="AD634" s="242"/>
      <c r="AE634" s="242"/>
      <c r="AF634" s="242"/>
      <c r="AG634" s="242"/>
      <c r="AH634" s="242"/>
      <c r="AI634" s="242"/>
      <c r="AJ634" s="242"/>
      <c r="AK634" s="242"/>
      <c r="AL634" s="242"/>
      <c r="AM634" s="242"/>
      <c r="AN634" s="242"/>
      <c r="AO634" s="242"/>
      <c r="AP634" s="242"/>
      <c r="AQ634" s="242"/>
      <c r="AR634" s="242"/>
      <c r="AS634" s="242"/>
      <c r="AT634" s="242"/>
      <c r="AU634" s="242"/>
      <c r="AV634" s="242"/>
      <c r="AW634" s="242"/>
      <c r="AX634" s="242"/>
      <c r="AY634" s="242"/>
      <c r="AZ634" s="242"/>
    </row>
    <row r="635" spans="1:52" s="2" customFormat="1" ht="18" customHeight="1">
      <c r="A635" s="250"/>
      <c r="B635" s="412" t="s">
        <v>184</v>
      </c>
      <c r="C635" s="413"/>
      <c r="D635" s="326">
        <f>logic_sumlabmedawub</f>
        <v>0</v>
      </c>
      <c r="E635" s="326">
        <f>logic_sumlabmedawud</f>
        <v>0</v>
      </c>
      <c r="F635" s="399">
        <f>logic_sumlabmedawuawa</f>
        <v>0</v>
      </c>
      <c r="G635" s="399"/>
      <c r="H635" s="399">
        <f>logic_sumlabmedawusa</f>
        <v>0</v>
      </c>
      <c r="I635" s="399"/>
      <c r="J635" s="401">
        <f>logic_sumlabmedawusp</f>
        <v>0</v>
      </c>
      <c r="K635" s="401"/>
      <c r="L635" s="241"/>
      <c r="M635" s="241"/>
      <c r="N635" s="241"/>
      <c r="O635" s="241"/>
      <c r="P635" s="241"/>
      <c r="Q635" s="242"/>
      <c r="R635" s="242"/>
      <c r="S635" s="242"/>
      <c r="T635" s="242"/>
      <c r="U635" s="242"/>
      <c r="V635" s="242"/>
      <c r="W635" s="242"/>
      <c r="X635" s="242"/>
      <c r="Y635" s="242"/>
      <c r="Z635" s="242"/>
      <c r="AA635" s="242"/>
      <c r="AB635" s="242"/>
      <c r="AC635" s="242"/>
      <c r="AD635" s="242"/>
      <c r="AE635" s="242"/>
      <c r="AF635" s="242"/>
      <c r="AG635" s="242"/>
      <c r="AH635" s="242"/>
      <c r="AI635" s="242"/>
      <c r="AJ635" s="242"/>
      <c r="AK635" s="242"/>
      <c r="AL635" s="242"/>
      <c r="AM635" s="242"/>
      <c r="AN635" s="242"/>
      <c r="AO635" s="242"/>
      <c r="AP635" s="242"/>
      <c r="AQ635" s="242"/>
      <c r="AR635" s="242"/>
      <c r="AS635" s="242"/>
      <c r="AT635" s="242"/>
      <c r="AU635" s="242"/>
      <c r="AV635" s="242"/>
      <c r="AW635" s="242"/>
      <c r="AX635" s="242"/>
      <c r="AY635" s="242"/>
      <c r="AZ635" s="242"/>
    </row>
    <row r="636" spans="1:52" s="2" customFormat="1" ht="18" customHeight="1">
      <c r="A636" s="250"/>
      <c r="B636" s="412" t="s">
        <v>185</v>
      </c>
      <c r="C636" s="413"/>
      <c r="D636" s="326">
        <f>logic_sumhvacawub</f>
        <v>0</v>
      </c>
      <c r="E636" s="326">
        <f>logic_sumhvacawud</f>
        <v>0</v>
      </c>
      <c r="F636" s="399">
        <f>logic_sumhvacawuawa</f>
        <v>0</v>
      </c>
      <c r="G636" s="399"/>
      <c r="H636" s="399">
        <f>logic_sumhvacawusa</f>
        <v>0</v>
      </c>
      <c r="I636" s="399"/>
      <c r="J636" s="401">
        <f>logic_sumhvacawusp</f>
        <v>0</v>
      </c>
      <c r="K636" s="401"/>
      <c r="L636" s="241"/>
      <c r="M636" s="241"/>
      <c r="N636" s="241"/>
      <c r="O636" s="241"/>
      <c r="P636" s="241"/>
      <c r="Q636" s="242"/>
      <c r="R636" s="242"/>
      <c r="S636" s="242"/>
      <c r="T636" s="242"/>
      <c r="U636" s="242"/>
      <c r="V636" s="242"/>
      <c r="W636" s="242"/>
      <c r="X636" s="242"/>
      <c r="Y636" s="242"/>
      <c r="Z636" s="242"/>
      <c r="AA636" s="242"/>
      <c r="AB636" s="242"/>
      <c r="AC636" s="242"/>
      <c r="AD636" s="242"/>
      <c r="AE636" s="242"/>
      <c r="AF636" s="242"/>
      <c r="AG636" s="242"/>
      <c r="AH636" s="242"/>
      <c r="AI636" s="242"/>
      <c r="AJ636" s="242"/>
      <c r="AK636" s="242"/>
      <c r="AL636" s="242"/>
      <c r="AM636" s="242"/>
      <c r="AN636" s="242"/>
      <c r="AO636" s="242"/>
      <c r="AP636" s="242"/>
      <c r="AQ636" s="242"/>
      <c r="AR636" s="242"/>
      <c r="AS636" s="242"/>
      <c r="AT636" s="242"/>
      <c r="AU636" s="242"/>
      <c r="AV636" s="242"/>
      <c r="AW636" s="242"/>
      <c r="AX636" s="242"/>
      <c r="AY636" s="242"/>
      <c r="AZ636" s="242"/>
    </row>
    <row r="637" spans="1:52" s="2" customFormat="1" ht="18" customHeight="1">
      <c r="A637" s="250"/>
      <c r="B637" s="412" t="s">
        <v>186</v>
      </c>
      <c r="C637" s="413"/>
      <c r="D637" s="326">
        <f>logic_sumothawub</f>
        <v>0</v>
      </c>
      <c r="E637" s="326">
        <f>logic_sumothawud</f>
        <v>0</v>
      </c>
      <c r="F637" s="399">
        <f>logic_sumothawuawa</f>
        <v>0</v>
      </c>
      <c r="G637" s="399"/>
      <c r="H637" s="399">
        <f>logic_sumothawusa</f>
        <v>0</v>
      </c>
      <c r="I637" s="399"/>
      <c r="J637" s="401">
        <f>logic_sumothawusp</f>
        <v>0</v>
      </c>
      <c r="K637" s="401"/>
      <c r="L637" s="241"/>
      <c r="M637" s="241"/>
      <c r="N637" s="241"/>
      <c r="O637" s="241"/>
      <c r="P637" s="241"/>
      <c r="Q637" s="242"/>
      <c r="R637" s="242"/>
      <c r="S637" s="242"/>
      <c r="T637" s="242"/>
      <c r="U637" s="242"/>
      <c r="V637" s="242"/>
      <c r="W637" s="242"/>
      <c r="X637" s="242"/>
      <c r="Y637" s="242"/>
      <c r="Z637" s="242"/>
      <c r="AA637" s="242"/>
      <c r="AB637" s="242"/>
      <c r="AC637" s="242"/>
      <c r="AD637" s="242"/>
      <c r="AE637" s="242"/>
      <c r="AF637" s="242"/>
      <c r="AG637" s="242"/>
      <c r="AH637" s="242"/>
      <c r="AI637" s="242"/>
      <c r="AJ637" s="242"/>
      <c r="AK637" s="242"/>
      <c r="AL637" s="242"/>
      <c r="AM637" s="242"/>
      <c r="AN637" s="242"/>
      <c r="AO637" s="242"/>
      <c r="AP637" s="242"/>
      <c r="AQ637" s="242"/>
      <c r="AR637" s="242"/>
      <c r="AS637" s="242"/>
      <c r="AT637" s="242"/>
      <c r="AU637" s="242"/>
      <c r="AV637" s="242"/>
      <c r="AW637" s="242"/>
      <c r="AX637" s="242"/>
      <c r="AY637" s="242"/>
      <c r="AZ637" s="242"/>
    </row>
    <row r="638" spans="1:52" s="2" customFormat="1" ht="18" customHeight="1">
      <c r="A638" s="250"/>
      <c r="B638" s="412" t="s">
        <v>187</v>
      </c>
      <c r="C638" s="413"/>
      <c r="D638" s="327">
        <f>SUM(D631:D637)</f>
        <v>0</v>
      </c>
      <c r="E638" s="327">
        <f>SUM(E631:E637)</f>
        <v>0</v>
      </c>
      <c r="F638" s="400">
        <f>SUM(F631:F637)</f>
        <v>0</v>
      </c>
      <c r="G638" s="400"/>
      <c r="H638" s="400">
        <f>SUM(H631:I637)</f>
        <v>0</v>
      </c>
      <c r="I638" s="400"/>
      <c r="J638" s="402">
        <f>IFERROR($H638/$D638,0)</f>
        <v>0</v>
      </c>
      <c r="K638" s="402"/>
      <c r="L638" s="241"/>
      <c r="M638" s="241"/>
      <c r="N638" s="241"/>
      <c r="O638" s="241"/>
      <c r="P638" s="241"/>
      <c r="Q638" s="242"/>
      <c r="R638" s="242"/>
      <c r="S638" s="242"/>
      <c r="T638" s="242"/>
      <c r="U638" s="242"/>
      <c r="V638" s="242"/>
      <c r="W638" s="242"/>
      <c r="X638" s="242"/>
      <c r="Y638" s="242"/>
      <c r="Z638" s="242"/>
      <c r="AA638" s="242"/>
      <c r="AB638" s="242"/>
      <c r="AC638" s="242"/>
      <c r="AD638" s="242"/>
      <c r="AE638" s="242"/>
      <c r="AF638" s="242"/>
      <c r="AG638" s="242"/>
      <c r="AH638" s="242"/>
      <c r="AI638" s="242"/>
      <c r="AJ638" s="242"/>
      <c r="AK638" s="242"/>
      <c r="AL638" s="242"/>
      <c r="AM638" s="242"/>
      <c r="AN638" s="242"/>
      <c r="AO638" s="242"/>
      <c r="AP638" s="242"/>
      <c r="AQ638" s="242"/>
      <c r="AR638" s="242"/>
      <c r="AS638" s="242"/>
      <c r="AT638" s="242"/>
      <c r="AU638" s="242"/>
      <c r="AV638" s="242"/>
      <c r="AW638" s="242"/>
      <c r="AX638" s="242"/>
      <c r="AY638" s="242"/>
      <c r="AZ638" s="242"/>
    </row>
    <row r="639" spans="1:52" ht="18" customHeight="1">
      <c r="A639" s="250"/>
      <c r="B639" s="152" t="s">
        <v>188</v>
      </c>
      <c r="C639" s="153"/>
      <c r="D639" s="325"/>
      <c r="E639" s="328"/>
      <c r="F639" s="410" t="str">
        <f>IF(F638&gt;0, "Yes", "No")</f>
        <v>No</v>
      </c>
      <c r="G639" s="411"/>
      <c r="H639" s="414"/>
      <c r="I639" s="414"/>
      <c r="J639" s="414"/>
      <c r="K639" s="415"/>
      <c r="L639" s="241"/>
      <c r="M639" s="241"/>
      <c r="N639" s="241"/>
      <c r="O639" s="241"/>
      <c r="P639" s="241"/>
      <c r="Q639" s="241"/>
      <c r="R639" s="241"/>
      <c r="S639" s="241"/>
      <c r="T639" s="241"/>
      <c r="U639" s="241"/>
      <c r="V639" s="241"/>
      <c r="W639" s="241"/>
      <c r="X639" s="241"/>
      <c r="Y639" s="241"/>
      <c r="Z639" s="241"/>
      <c r="AA639" s="241"/>
      <c r="AB639" s="241"/>
      <c r="AC639" s="241"/>
      <c r="AD639" s="241"/>
      <c r="AE639" s="241"/>
      <c r="AF639" s="241"/>
      <c r="AG639" s="241"/>
      <c r="AH639" s="241"/>
      <c r="AI639" s="241"/>
      <c r="AJ639" s="241"/>
      <c r="AK639" s="241"/>
      <c r="AL639" s="241"/>
      <c r="AM639" s="241"/>
      <c r="AN639" s="241"/>
      <c r="AO639" s="241"/>
      <c r="AP639" s="241"/>
      <c r="AQ639" s="241"/>
      <c r="AR639" s="241"/>
      <c r="AS639" s="241"/>
      <c r="AT639" s="241"/>
      <c r="AU639" s="241"/>
      <c r="AV639" s="241"/>
      <c r="AW639" s="241"/>
      <c r="AX639" s="241"/>
      <c r="AY639" s="241"/>
      <c r="AZ639" s="241"/>
    </row>
    <row r="640" spans="1:52" ht="18" customHeight="1">
      <c r="A640" s="250"/>
      <c r="B640" s="241"/>
      <c r="C640" s="241"/>
      <c r="D640" s="241"/>
      <c r="E640" s="241"/>
      <c r="F640" s="241"/>
      <c r="G640" s="241"/>
      <c r="H640" s="241"/>
      <c r="I640" s="241"/>
      <c r="J640" s="241"/>
      <c r="K640" s="241"/>
      <c r="L640" s="241"/>
      <c r="M640" s="241"/>
      <c r="N640" s="241"/>
      <c r="O640" s="241"/>
      <c r="P640" s="241"/>
      <c r="Q640" s="241"/>
      <c r="R640" s="241"/>
      <c r="S640" s="241"/>
      <c r="T640" s="241"/>
      <c r="U640" s="241"/>
      <c r="V640" s="241"/>
      <c r="W640" s="241"/>
      <c r="X640" s="241"/>
      <c r="Y640" s="241"/>
      <c r="Z640" s="241"/>
      <c r="AA640" s="241"/>
      <c r="AB640" s="241"/>
      <c r="AC640" s="241"/>
      <c r="AD640" s="241"/>
      <c r="AE640" s="241"/>
      <c r="AF640" s="241"/>
      <c r="AG640" s="241"/>
      <c r="AH640" s="241"/>
      <c r="AI640" s="241"/>
      <c r="AJ640" s="241"/>
      <c r="AK640" s="241"/>
      <c r="AL640" s="241"/>
      <c r="AM640" s="241"/>
      <c r="AN640" s="241"/>
      <c r="AO640" s="241"/>
      <c r="AP640" s="241"/>
      <c r="AQ640" s="241"/>
      <c r="AR640" s="241"/>
      <c r="AS640" s="241"/>
      <c r="AT640" s="241"/>
      <c r="AU640" s="241"/>
      <c r="AV640" s="241"/>
      <c r="AW640" s="241"/>
      <c r="AX640" s="241"/>
      <c r="AY640" s="241"/>
      <c r="AZ640" s="241"/>
    </row>
    <row r="641" spans="1:52" ht="18" customHeight="1">
      <c r="A641" s="250"/>
      <c r="B641" s="241"/>
      <c r="C641" s="241"/>
      <c r="D641" s="241"/>
      <c r="E641" s="241"/>
      <c r="F641" s="241"/>
      <c r="G641" s="241"/>
      <c r="H641" s="241"/>
      <c r="I641" s="241"/>
      <c r="J641" s="241"/>
      <c r="K641" s="241"/>
      <c r="L641" s="241"/>
      <c r="M641" s="241"/>
      <c r="N641" s="241"/>
      <c r="O641" s="241"/>
      <c r="P641" s="241"/>
      <c r="Q641" s="241"/>
      <c r="R641" s="241"/>
      <c r="S641" s="241"/>
      <c r="T641" s="241"/>
      <c r="U641" s="241"/>
      <c r="V641" s="241"/>
      <c r="W641" s="241"/>
      <c r="X641" s="241"/>
      <c r="Y641" s="241"/>
      <c r="Z641" s="241"/>
      <c r="AA641" s="241"/>
      <c r="AB641" s="241"/>
      <c r="AC641" s="241"/>
      <c r="AD641" s="241"/>
      <c r="AE641" s="241"/>
      <c r="AF641" s="241"/>
      <c r="AG641" s="241"/>
      <c r="AH641" s="241"/>
      <c r="AI641" s="241"/>
      <c r="AJ641" s="241"/>
      <c r="AK641" s="241"/>
      <c r="AL641" s="241"/>
      <c r="AM641" s="241"/>
      <c r="AN641" s="241"/>
      <c r="AO641" s="241"/>
      <c r="AP641" s="241"/>
      <c r="AQ641" s="241"/>
      <c r="AR641" s="241"/>
      <c r="AS641" s="241"/>
      <c r="AT641" s="241"/>
      <c r="AU641" s="241"/>
      <c r="AV641" s="241"/>
      <c r="AW641" s="241"/>
      <c r="AX641" s="241"/>
      <c r="AY641" s="241"/>
      <c r="AZ641" s="241"/>
    </row>
    <row r="642" spans="1:52" ht="18" customHeight="1">
      <c r="A642" s="250"/>
      <c r="B642" s="241"/>
      <c r="C642" s="241"/>
      <c r="D642" s="241"/>
      <c r="E642" s="241"/>
      <c r="F642" s="241"/>
      <c r="G642" s="241"/>
      <c r="H642" s="241"/>
      <c r="I642" s="241"/>
      <c r="J642" s="241"/>
      <c r="K642" s="241"/>
      <c r="L642" s="241"/>
      <c r="M642" s="241"/>
      <c r="N642" s="241"/>
      <c r="O642" s="241"/>
      <c r="P642" s="241"/>
      <c r="Q642" s="241"/>
      <c r="R642" s="241"/>
      <c r="S642" s="241"/>
      <c r="T642" s="241"/>
      <c r="U642" s="241"/>
      <c r="V642" s="241"/>
      <c r="W642" s="241"/>
      <c r="X642" s="241"/>
      <c r="Y642" s="241"/>
      <c r="Z642" s="241"/>
      <c r="AA642" s="241"/>
      <c r="AB642" s="241"/>
      <c r="AC642" s="241"/>
      <c r="AD642" s="241"/>
      <c r="AE642" s="241"/>
      <c r="AF642" s="241"/>
      <c r="AG642" s="241"/>
      <c r="AH642" s="241"/>
      <c r="AI642" s="241"/>
      <c r="AJ642" s="241"/>
      <c r="AK642" s="241"/>
      <c r="AL642" s="241"/>
      <c r="AM642" s="241"/>
      <c r="AN642" s="241"/>
      <c r="AO642" s="241"/>
      <c r="AP642" s="241"/>
      <c r="AQ642" s="241"/>
      <c r="AR642" s="241"/>
      <c r="AS642" s="241"/>
      <c r="AT642" s="241"/>
      <c r="AU642" s="241"/>
      <c r="AV642" s="241"/>
      <c r="AW642" s="241"/>
      <c r="AX642" s="241"/>
      <c r="AY642" s="241"/>
      <c r="AZ642" s="241"/>
    </row>
    <row r="643" spans="1:52" ht="18" customHeight="1">
      <c r="A643" s="250"/>
      <c r="B643" s="241"/>
      <c r="C643" s="241"/>
      <c r="D643" s="241"/>
      <c r="E643" s="241"/>
      <c r="F643" s="241"/>
      <c r="G643" s="241"/>
      <c r="H643" s="241"/>
      <c r="I643" s="241"/>
      <c r="J643" s="241"/>
      <c r="K643" s="241"/>
      <c r="L643" s="241"/>
      <c r="M643" s="241"/>
      <c r="N643" s="241"/>
      <c r="O643" s="241"/>
      <c r="P643" s="241"/>
      <c r="Q643" s="241"/>
      <c r="R643" s="241"/>
      <c r="S643" s="241"/>
      <c r="T643" s="241"/>
      <c r="U643" s="241"/>
      <c r="V643" s="241"/>
      <c r="W643" s="241"/>
      <c r="X643" s="241"/>
      <c r="Y643" s="241"/>
      <c r="Z643" s="241"/>
      <c r="AA643" s="241"/>
      <c r="AB643" s="241"/>
      <c r="AC643" s="241"/>
      <c r="AD643" s="241"/>
      <c r="AE643" s="241"/>
      <c r="AF643" s="241"/>
      <c r="AG643" s="241"/>
      <c r="AH643" s="241"/>
      <c r="AI643" s="241"/>
      <c r="AJ643" s="241"/>
      <c r="AK643" s="241"/>
      <c r="AL643" s="241"/>
      <c r="AM643" s="241"/>
      <c r="AN643" s="241"/>
      <c r="AO643" s="241"/>
      <c r="AP643" s="241"/>
      <c r="AQ643" s="241"/>
      <c r="AR643" s="241"/>
      <c r="AS643" s="241"/>
      <c r="AT643" s="241"/>
      <c r="AU643" s="241"/>
      <c r="AV643" s="241"/>
      <c r="AW643" s="241"/>
      <c r="AX643" s="241"/>
      <c r="AY643" s="241"/>
      <c r="AZ643" s="241"/>
    </row>
    <row r="644" spans="1:52" ht="18" customHeight="1">
      <c r="A644" s="250"/>
      <c r="B644" s="241"/>
      <c r="C644" s="241"/>
      <c r="D644" s="241"/>
      <c r="E644" s="241"/>
      <c r="F644" s="241"/>
      <c r="G644" s="241"/>
      <c r="H644" s="241"/>
      <c r="I644" s="241"/>
      <c r="J644" s="241"/>
      <c r="K644" s="241"/>
      <c r="L644" s="241"/>
      <c r="M644" s="241"/>
      <c r="N644" s="241"/>
      <c r="O644" s="241"/>
      <c r="P644" s="241"/>
      <c r="Q644" s="241"/>
      <c r="R644" s="241"/>
      <c r="S644" s="241"/>
      <c r="T644" s="241"/>
      <c r="U644" s="241"/>
      <c r="V644" s="241"/>
      <c r="W644" s="241"/>
      <c r="X644" s="241"/>
      <c r="Y644" s="241"/>
      <c r="Z644" s="241"/>
      <c r="AA644" s="241"/>
      <c r="AB644" s="241"/>
      <c r="AC644" s="241"/>
      <c r="AD644" s="241"/>
      <c r="AE644" s="241"/>
      <c r="AF644" s="241"/>
      <c r="AG644" s="241"/>
      <c r="AH644" s="241"/>
      <c r="AI644" s="241"/>
      <c r="AJ644" s="241"/>
      <c r="AK644" s="241"/>
      <c r="AL644" s="241"/>
      <c r="AM644" s="241"/>
      <c r="AN644" s="241"/>
      <c r="AO644" s="241"/>
      <c r="AP644" s="241"/>
      <c r="AQ644" s="241"/>
      <c r="AR644" s="241"/>
      <c r="AS644" s="241"/>
      <c r="AT644" s="241"/>
      <c r="AU644" s="241"/>
      <c r="AV644" s="241"/>
      <c r="AW644" s="241"/>
      <c r="AX644" s="241"/>
      <c r="AY644" s="241"/>
      <c r="AZ644" s="241"/>
    </row>
    <row r="645" spans="1:52" ht="18" customHeight="1">
      <c r="A645" s="250"/>
      <c r="B645" s="241"/>
      <c r="C645" s="241"/>
      <c r="D645" s="241"/>
      <c r="E645" s="241"/>
      <c r="F645" s="241"/>
      <c r="G645" s="241"/>
      <c r="H645" s="241"/>
      <c r="I645" s="241"/>
      <c r="J645" s="241"/>
      <c r="K645" s="241"/>
      <c r="L645" s="241"/>
      <c r="M645" s="241"/>
      <c r="N645" s="241"/>
      <c r="O645" s="241"/>
      <c r="P645" s="241"/>
      <c r="Q645" s="241"/>
      <c r="R645" s="241"/>
      <c r="S645" s="241"/>
      <c r="T645" s="241"/>
      <c r="U645" s="241"/>
      <c r="V645" s="241"/>
      <c r="W645" s="241"/>
      <c r="X645" s="241"/>
      <c r="Y645" s="241"/>
      <c r="Z645" s="241"/>
      <c r="AA645" s="241"/>
      <c r="AB645" s="241"/>
      <c r="AC645" s="241"/>
      <c r="AD645" s="241"/>
      <c r="AE645" s="241"/>
      <c r="AF645" s="241"/>
      <c r="AG645" s="241"/>
      <c r="AH645" s="241"/>
      <c r="AI645" s="241"/>
      <c r="AJ645" s="241"/>
      <c r="AK645" s="241"/>
      <c r="AL645" s="241"/>
      <c r="AM645" s="241"/>
      <c r="AN645" s="241"/>
      <c r="AO645" s="241"/>
      <c r="AP645" s="241"/>
      <c r="AQ645" s="241"/>
      <c r="AR645" s="241"/>
      <c r="AS645" s="241"/>
      <c r="AT645" s="241"/>
      <c r="AU645" s="241"/>
      <c r="AV645" s="241"/>
      <c r="AW645" s="241"/>
      <c r="AX645" s="241"/>
      <c r="AY645" s="241"/>
      <c r="AZ645" s="241"/>
    </row>
    <row r="646" spans="1:52" ht="18" customHeight="1">
      <c r="A646" s="250"/>
      <c r="B646" s="241"/>
      <c r="C646" s="241"/>
      <c r="D646" s="241"/>
      <c r="E646" s="241"/>
      <c r="F646" s="241"/>
      <c r="G646" s="241"/>
      <c r="H646" s="241"/>
      <c r="I646" s="241"/>
      <c r="J646" s="241"/>
      <c r="K646" s="241"/>
      <c r="L646" s="241"/>
      <c r="M646" s="241"/>
      <c r="N646" s="241"/>
      <c r="O646" s="241"/>
      <c r="P646" s="241"/>
      <c r="Q646" s="241"/>
      <c r="R646" s="241"/>
      <c r="S646" s="241"/>
      <c r="T646" s="241"/>
      <c r="U646" s="241"/>
      <c r="V646" s="241"/>
      <c r="W646" s="241"/>
      <c r="X646" s="241"/>
      <c r="Y646" s="241"/>
      <c r="Z646" s="241"/>
      <c r="AA646" s="241"/>
      <c r="AB646" s="241"/>
      <c r="AC646" s="241"/>
      <c r="AD646" s="241"/>
      <c r="AE646" s="241"/>
      <c r="AF646" s="241"/>
      <c r="AG646" s="241"/>
      <c r="AH646" s="241"/>
      <c r="AI646" s="241"/>
      <c r="AJ646" s="241"/>
      <c r="AK646" s="241"/>
      <c r="AL646" s="241"/>
      <c r="AM646" s="241"/>
      <c r="AN646" s="241"/>
      <c r="AO646" s="241"/>
      <c r="AP646" s="241"/>
      <c r="AQ646" s="241"/>
      <c r="AR646" s="241"/>
      <c r="AS646" s="241"/>
      <c r="AT646" s="241"/>
      <c r="AU646" s="241"/>
      <c r="AV646" s="241"/>
      <c r="AW646" s="241"/>
      <c r="AX646" s="241"/>
      <c r="AY646" s="241"/>
      <c r="AZ646" s="241"/>
    </row>
    <row r="647" spans="1:52" ht="18" customHeight="1">
      <c r="A647" s="250"/>
      <c r="B647" s="241"/>
      <c r="C647" s="241"/>
      <c r="D647" s="241"/>
      <c r="E647" s="241"/>
      <c r="F647" s="241"/>
      <c r="G647" s="241"/>
      <c r="H647" s="241"/>
      <c r="I647" s="241"/>
      <c r="J647" s="241"/>
      <c r="K647" s="241"/>
      <c r="L647" s="241"/>
      <c r="M647" s="241"/>
      <c r="N647" s="241"/>
      <c r="O647" s="241"/>
      <c r="P647" s="241"/>
      <c r="Q647" s="241"/>
      <c r="R647" s="241"/>
      <c r="S647" s="241"/>
      <c r="T647" s="241"/>
      <c r="U647" s="241"/>
      <c r="V647" s="241"/>
      <c r="W647" s="241"/>
      <c r="X647" s="241"/>
      <c r="Y647" s="241"/>
      <c r="Z647" s="241"/>
      <c r="AA647" s="241"/>
      <c r="AB647" s="241"/>
      <c r="AC647" s="241"/>
      <c r="AD647" s="241"/>
      <c r="AE647" s="241"/>
      <c r="AF647" s="241"/>
      <c r="AG647" s="241"/>
      <c r="AH647" s="241"/>
      <c r="AI647" s="241"/>
      <c r="AJ647" s="241"/>
      <c r="AK647" s="241"/>
      <c r="AL647" s="241"/>
      <c r="AM647" s="241"/>
      <c r="AN647" s="241"/>
      <c r="AO647" s="241"/>
      <c r="AP647" s="241"/>
      <c r="AQ647" s="241"/>
      <c r="AR647" s="241"/>
      <c r="AS647" s="241"/>
      <c r="AT647" s="241"/>
      <c r="AU647" s="241"/>
      <c r="AV647" s="241"/>
      <c r="AW647" s="241"/>
      <c r="AX647" s="241"/>
      <c r="AY647" s="241"/>
      <c r="AZ647" s="241"/>
    </row>
    <row r="648" spans="1:52" ht="18" customHeight="1">
      <c r="A648" s="250"/>
      <c r="B648" s="241"/>
      <c r="C648" s="241"/>
      <c r="D648" s="241"/>
      <c r="E648" s="241"/>
      <c r="F648" s="241"/>
      <c r="G648" s="241"/>
      <c r="H648" s="241"/>
      <c r="I648" s="241"/>
      <c r="J648" s="241"/>
      <c r="K648" s="241"/>
      <c r="L648" s="241"/>
      <c r="M648" s="241"/>
      <c r="N648" s="241"/>
      <c r="O648" s="241"/>
      <c r="P648" s="241"/>
      <c r="Q648" s="241"/>
      <c r="R648" s="241"/>
      <c r="S648" s="241"/>
      <c r="T648" s="241"/>
      <c r="U648" s="241"/>
      <c r="V648" s="241"/>
      <c r="W648" s="241"/>
      <c r="X648" s="241"/>
      <c r="Y648" s="241"/>
      <c r="Z648" s="241"/>
      <c r="AA648" s="241"/>
      <c r="AB648" s="241"/>
      <c r="AC648" s="241"/>
      <c r="AD648" s="241"/>
      <c r="AE648" s="241"/>
      <c r="AF648" s="241"/>
      <c r="AG648" s="241"/>
      <c r="AH648" s="241"/>
      <c r="AI648" s="241"/>
      <c r="AJ648" s="241"/>
      <c r="AK648" s="241"/>
      <c r="AL648" s="241"/>
      <c r="AM648" s="241"/>
      <c r="AN648" s="241"/>
      <c r="AO648" s="241"/>
      <c r="AP648" s="241"/>
      <c r="AQ648" s="241"/>
      <c r="AR648" s="241"/>
      <c r="AS648" s="241"/>
      <c r="AT648" s="241"/>
      <c r="AU648" s="241"/>
      <c r="AV648" s="241"/>
      <c r="AW648" s="241"/>
      <c r="AX648" s="241"/>
      <c r="AY648" s="241"/>
      <c r="AZ648" s="241"/>
    </row>
    <row r="649" spans="1:52" ht="18" customHeight="1">
      <c r="A649" s="250"/>
      <c r="B649" s="241"/>
      <c r="C649" s="241"/>
      <c r="D649" s="241"/>
      <c r="E649" s="241"/>
      <c r="F649" s="241"/>
      <c r="G649" s="241"/>
      <c r="H649" s="241"/>
      <c r="I649" s="241"/>
      <c r="J649" s="241"/>
      <c r="K649" s="241"/>
      <c r="L649" s="241"/>
      <c r="M649" s="241"/>
      <c r="N649" s="241"/>
      <c r="O649" s="241"/>
      <c r="P649" s="241"/>
      <c r="Q649" s="241"/>
      <c r="R649" s="241"/>
      <c r="S649" s="241"/>
      <c r="T649" s="241"/>
      <c r="U649" s="241"/>
      <c r="V649" s="241"/>
      <c r="W649" s="241"/>
      <c r="X649" s="241"/>
      <c r="Y649" s="241"/>
      <c r="Z649" s="241"/>
      <c r="AA649" s="241"/>
      <c r="AB649" s="241"/>
      <c r="AC649" s="241"/>
      <c r="AD649" s="241"/>
      <c r="AE649" s="241"/>
      <c r="AF649" s="241"/>
      <c r="AG649" s="241"/>
      <c r="AH649" s="241"/>
      <c r="AI649" s="241"/>
      <c r="AJ649" s="241"/>
      <c r="AK649" s="241"/>
      <c r="AL649" s="241"/>
      <c r="AM649" s="241"/>
      <c r="AN649" s="241"/>
      <c r="AO649" s="241"/>
      <c r="AP649" s="241"/>
      <c r="AQ649" s="241"/>
      <c r="AR649" s="241"/>
      <c r="AS649" s="241"/>
      <c r="AT649" s="241"/>
      <c r="AU649" s="241"/>
      <c r="AV649" s="241"/>
      <c r="AW649" s="241"/>
      <c r="AX649" s="241"/>
      <c r="AY649" s="241"/>
      <c r="AZ649" s="241"/>
    </row>
    <row r="650" spans="1:52" ht="18" customHeight="1">
      <c r="A650" s="250"/>
      <c r="B650" s="241"/>
      <c r="C650" s="241"/>
      <c r="D650" s="241"/>
      <c r="E650" s="241"/>
      <c r="F650" s="241"/>
      <c r="G650" s="241"/>
      <c r="H650" s="241"/>
      <c r="I650" s="241"/>
      <c r="J650" s="241"/>
      <c r="K650" s="241"/>
      <c r="L650" s="241"/>
      <c r="M650" s="241"/>
      <c r="N650" s="241"/>
      <c r="O650" s="241"/>
      <c r="P650" s="241"/>
      <c r="Q650" s="241"/>
      <c r="R650" s="241"/>
      <c r="S650" s="241"/>
      <c r="T650" s="241"/>
      <c r="U650" s="241"/>
      <c r="V650" s="241"/>
      <c r="W650" s="241"/>
      <c r="X650" s="241"/>
      <c r="Y650" s="241"/>
      <c r="Z650" s="241"/>
      <c r="AA650" s="241"/>
      <c r="AB650" s="241"/>
      <c r="AC650" s="241"/>
      <c r="AD650" s="241"/>
      <c r="AE650" s="241"/>
      <c r="AF650" s="241"/>
      <c r="AG650" s="241"/>
      <c r="AH650" s="241"/>
      <c r="AI650" s="241"/>
      <c r="AJ650" s="241"/>
      <c r="AK650" s="241"/>
      <c r="AL650" s="241"/>
      <c r="AM650" s="241"/>
      <c r="AN650" s="241"/>
      <c r="AO650" s="241"/>
      <c r="AP650" s="241"/>
      <c r="AQ650" s="241"/>
      <c r="AR650" s="241"/>
      <c r="AS650" s="241"/>
      <c r="AT650" s="241"/>
      <c r="AU650" s="241"/>
      <c r="AV650" s="241"/>
      <c r="AW650" s="241"/>
      <c r="AX650" s="241"/>
      <c r="AY650" s="241"/>
      <c r="AZ650" s="241"/>
    </row>
    <row r="651" spans="1:52" ht="18" customHeight="1">
      <c r="A651" s="250"/>
      <c r="B651" s="241"/>
      <c r="C651" s="241"/>
      <c r="D651" s="241"/>
      <c r="E651" s="241"/>
      <c r="F651" s="241"/>
      <c r="G651" s="241"/>
      <c r="H651" s="241"/>
      <c r="I651" s="241"/>
      <c r="J651" s="241"/>
      <c r="K651" s="241"/>
      <c r="L651" s="241"/>
      <c r="M651" s="241"/>
      <c r="N651" s="241"/>
      <c r="O651" s="241"/>
      <c r="P651" s="241"/>
      <c r="Q651" s="241"/>
      <c r="R651" s="241"/>
      <c r="S651" s="241"/>
      <c r="T651" s="241"/>
      <c r="U651" s="241"/>
      <c r="V651" s="241"/>
      <c r="W651" s="241"/>
      <c r="X651" s="241"/>
      <c r="Y651" s="241"/>
      <c r="Z651" s="241"/>
      <c r="AA651" s="241"/>
      <c r="AB651" s="241"/>
      <c r="AC651" s="241"/>
      <c r="AD651" s="241"/>
      <c r="AE651" s="241"/>
      <c r="AF651" s="241"/>
      <c r="AG651" s="241"/>
      <c r="AH651" s="241"/>
      <c r="AI651" s="241"/>
      <c r="AJ651" s="241"/>
      <c r="AK651" s="241"/>
      <c r="AL651" s="241"/>
      <c r="AM651" s="241"/>
      <c r="AN651" s="241"/>
      <c r="AO651" s="241"/>
      <c r="AP651" s="241"/>
      <c r="AQ651" s="241"/>
      <c r="AR651" s="241"/>
      <c r="AS651" s="241"/>
      <c r="AT651" s="241"/>
      <c r="AU651" s="241"/>
      <c r="AV651" s="241"/>
      <c r="AW651" s="241"/>
      <c r="AX651" s="241"/>
      <c r="AY651" s="241"/>
      <c r="AZ651" s="241"/>
    </row>
    <row r="652" spans="1:52" ht="18" customHeight="1">
      <c r="A652" s="250"/>
      <c r="B652" s="241"/>
      <c r="C652" s="241"/>
      <c r="D652" s="241"/>
      <c r="E652" s="241"/>
      <c r="F652" s="241"/>
      <c r="G652" s="241"/>
      <c r="H652" s="241"/>
      <c r="I652" s="241"/>
      <c r="J652" s="241"/>
      <c r="K652" s="241"/>
      <c r="L652" s="241"/>
      <c r="M652" s="241"/>
      <c r="N652" s="241"/>
      <c r="O652" s="241"/>
      <c r="P652" s="241"/>
      <c r="Q652" s="241"/>
      <c r="R652" s="241"/>
      <c r="S652" s="241"/>
      <c r="T652" s="241"/>
      <c r="U652" s="241"/>
      <c r="V652" s="241"/>
      <c r="W652" s="241"/>
      <c r="X652" s="241"/>
      <c r="Y652" s="241"/>
      <c r="Z652" s="241"/>
      <c r="AA652" s="241"/>
      <c r="AB652" s="241"/>
      <c r="AC652" s="241"/>
      <c r="AD652" s="241"/>
      <c r="AE652" s="241"/>
      <c r="AF652" s="241"/>
      <c r="AG652" s="241"/>
      <c r="AH652" s="241"/>
      <c r="AI652" s="241"/>
      <c r="AJ652" s="241"/>
      <c r="AK652" s="241"/>
      <c r="AL652" s="241"/>
      <c r="AM652" s="241"/>
      <c r="AN652" s="241"/>
      <c r="AO652" s="241"/>
      <c r="AP652" s="241"/>
      <c r="AQ652" s="241"/>
      <c r="AR652" s="241"/>
      <c r="AS652" s="241"/>
      <c r="AT652" s="241"/>
      <c r="AU652" s="241"/>
      <c r="AV652" s="241"/>
      <c r="AW652" s="241"/>
      <c r="AX652" s="241"/>
      <c r="AY652" s="241"/>
      <c r="AZ652" s="241"/>
    </row>
    <row r="653" spans="1:52" ht="18" customHeight="1">
      <c r="A653" s="250"/>
      <c r="B653" s="241"/>
      <c r="C653" s="241"/>
      <c r="D653" s="241"/>
      <c r="E653" s="241"/>
      <c r="F653" s="241"/>
      <c r="G653" s="241"/>
      <c r="H653" s="241"/>
      <c r="I653" s="241"/>
      <c r="J653" s="241"/>
      <c r="K653" s="241"/>
      <c r="L653" s="241"/>
      <c r="M653" s="241"/>
      <c r="N653" s="241"/>
      <c r="O653" s="241"/>
      <c r="P653" s="241"/>
      <c r="Q653" s="241"/>
      <c r="R653" s="241"/>
      <c r="S653" s="241"/>
      <c r="T653" s="241"/>
      <c r="U653" s="241"/>
      <c r="V653" s="241"/>
      <c r="W653" s="241"/>
      <c r="X653" s="241"/>
      <c r="Y653" s="241"/>
      <c r="Z653" s="241"/>
      <c r="AA653" s="241"/>
      <c r="AB653" s="241"/>
      <c r="AC653" s="241"/>
      <c r="AD653" s="241"/>
      <c r="AE653" s="241"/>
      <c r="AF653" s="241"/>
      <c r="AG653" s="241"/>
      <c r="AH653" s="241"/>
      <c r="AI653" s="241"/>
      <c r="AJ653" s="241"/>
      <c r="AK653" s="241"/>
      <c r="AL653" s="241"/>
      <c r="AM653" s="241"/>
      <c r="AN653" s="241"/>
      <c r="AO653" s="241"/>
      <c r="AP653" s="241"/>
      <c r="AQ653" s="241"/>
      <c r="AR653" s="241"/>
      <c r="AS653" s="241"/>
      <c r="AT653" s="241"/>
      <c r="AU653" s="241"/>
      <c r="AV653" s="241"/>
      <c r="AW653" s="241"/>
      <c r="AX653" s="241"/>
      <c r="AY653" s="241"/>
      <c r="AZ653" s="241"/>
    </row>
    <row r="654" spans="1:52" ht="18" customHeight="1">
      <c r="A654" s="250"/>
      <c r="B654" s="241"/>
      <c r="C654" s="241"/>
      <c r="D654" s="241"/>
      <c r="E654" s="241"/>
      <c r="F654" s="241"/>
      <c r="G654" s="241"/>
      <c r="H654" s="241"/>
      <c r="I654" s="241"/>
      <c r="J654" s="241"/>
      <c r="K654" s="241"/>
      <c r="L654" s="241"/>
      <c r="M654" s="241"/>
      <c r="N654" s="241"/>
      <c r="O654" s="241"/>
      <c r="P654" s="241"/>
      <c r="Q654" s="241"/>
      <c r="R654" s="241"/>
      <c r="S654" s="241"/>
      <c r="T654" s="241"/>
      <c r="U654" s="241"/>
      <c r="V654" s="241"/>
      <c r="W654" s="241"/>
      <c r="X654" s="241"/>
      <c r="Y654" s="241"/>
      <c r="Z654" s="241"/>
      <c r="AA654" s="241"/>
      <c r="AB654" s="241"/>
      <c r="AC654" s="241"/>
      <c r="AD654" s="241"/>
      <c r="AE654" s="241"/>
      <c r="AF654" s="241"/>
      <c r="AG654" s="241"/>
      <c r="AH654" s="241"/>
      <c r="AI654" s="241"/>
      <c r="AJ654" s="241"/>
      <c r="AK654" s="241"/>
      <c r="AL654" s="241"/>
      <c r="AM654" s="241"/>
      <c r="AN654" s="241"/>
      <c r="AO654" s="241"/>
      <c r="AP654" s="241"/>
      <c r="AQ654" s="241"/>
      <c r="AR654" s="241"/>
      <c r="AS654" s="241"/>
      <c r="AT654" s="241"/>
      <c r="AU654" s="241"/>
      <c r="AV654" s="241"/>
      <c r="AW654" s="241"/>
      <c r="AX654" s="241"/>
      <c r="AY654" s="241"/>
      <c r="AZ654" s="241"/>
    </row>
    <row r="655" spans="1:52" ht="18" customHeight="1">
      <c r="A655" s="250"/>
      <c r="B655" s="241"/>
      <c r="C655" s="241"/>
      <c r="D655" s="241"/>
      <c r="E655" s="241"/>
      <c r="F655" s="241"/>
      <c r="G655" s="241"/>
      <c r="H655" s="241"/>
      <c r="I655" s="241"/>
      <c r="J655" s="241"/>
      <c r="K655" s="241"/>
      <c r="L655" s="241"/>
      <c r="M655" s="241"/>
      <c r="N655" s="241"/>
      <c r="O655" s="241"/>
      <c r="P655" s="241"/>
      <c r="Q655" s="241"/>
      <c r="R655" s="241"/>
      <c r="S655" s="241"/>
      <c r="T655" s="241"/>
      <c r="U655" s="241"/>
      <c r="V655" s="241"/>
      <c r="W655" s="241"/>
      <c r="X655" s="241"/>
      <c r="Y655" s="241"/>
      <c r="Z655" s="241"/>
      <c r="AA655" s="241"/>
      <c r="AB655" s="241"/>
      <c r="AC655" s="241"/>
      <c r="AD655" s="241"/>
      <c r="AE655" s="241"/>
      <c r="AF655" s="241"/>
      <c r="AG655" s="241"/>
      <c r="AH655" s="241"/>
      <c r="AI655" s="241"/>
      <c r="AJ655" s="241"/>
      <c r="AK655" s="241"/>
      <c r="AL655" s="241"/>
      <c r="AM655" s="241"/>
      <c r="AN655" s="241"/>
      <c r="AO655" s="241"/>
      <c r="AP655" s="241"/>
      <c r="AQ655" s="241"/>
      <c r="AR655" s="241"/>
      <c r="AS655" s="241"/>
      <c r="AT655" s="241"/>
      <c r="AU655" s="241"/>
      <c r="AV655" s="241"/>
      <c r="AW655" s="241"/>
      <c r="AX655" s="241"/>
      <c r="AY655" s="241"/>
      <c r="AZ655" s="241"/>
    </row>
    <row r="656" spans="1:52" ht="18" customHeight="1">
      <c r="A656" s="250"/>
      <c r="B656" s="241"/>
      <c r="C656" s="241"/>
      <c r="D656" s="241"/>
      <c r="E656" s="241"/>
      <c r="F656" s="241"/>
      <c r="G656" s="241"/>
      <c r="H656" s="241"/>
      <c r="I656" s="241"/>
      <c r="J656" s="241"/>
      <c r="K656" s="241"/>
      <c r="L656" s="241"/>
      <c r="M656" s="241"/>
      <c r="N656" s="241"/>
      <c r="O656" s="241"/>
      <c r="P656" s="241"/>
      <c r="Q656" s="241"/>
      <c r="R656" s="241"/>
      <c r="S656" s="241"/>
      <c r="T656" s="241"/>
      <c r="U656" s="241"/>
      <c r="V656" s="241"/>
      <c r="W656" s="241"/>
      <c r="X656" s="241"/>
      <c r="Y656" s="241"/>
      <c r="Z656" s="241"/>
      <c r="AA656" s="241"/>
      <c r="AB656" s="241"/>
      <c r="AC656" s="241"/>
      <c r="AD656" s="241"/>
      <c r="AE656" s="241"/>
      <c r="AF656" s="241"/>
      <c r="AG656" s="241"/>
      <c r="AH656" s="241"/>
      <c r="AI656" s="241"/>
      <c r="AJ656" s="241"/>
      <c r="AK656" s="241"/>
      <c r="AL656" s="241"/>
      <c r="AM656" s="241"/>
      <c r="AN656" s="241"/>
      <c r="AO656" s="241"/>
      <c r="AP656" s="241"/>
      <c r="AQ656" s="241"/>
      <c r="AR656" s="241"/>
      <c r="AS656" s="241"/>
      <c r="AT656" s="241"/>
      <c r="AU656" s="241"/>
      <c r="AV656" s="241"/>
      <c r="AW656" s="241"/>
      <c r="AX656" s="241"/>
      <c r="AY656" s="241"/>
      <c r="AZ656" s="241"/>
    </row>
    <row r="657" spans="1:52" ht="18" customHeight="1">
      <c r="A657" s="250"/>
      <c r="B657" s="241"/>
      <c r="C657" s="241"/>
      <c r="D657" s="241"/>
      <c r="E657" s="241"/>
      <c r="F657" s="241"/>
      <c r="G657" s="241"/>
      <c r="H657" s="241"/>
      <c r="I657" s="241"/>
      <c r="J657" s="241"/>
      <c r="K657" s="241"/>
      <c r="L657" s="241"/>
      <c r="M657" s="241"/>
      <c r="N657" s="241"/>
      <c r="O657" s="241"/>
      <c r="P657" s="241"/>
      <c r="Q657" s="241"/>
      <c r="R657" s="241"/>
      <c r="S657" s="241"/>
      <c r="T657" s="241"/>
      <c r="U657" s="241"/>
      <c r="V657" s="241"/>
      <c r="W657" s="241"/>
      <c r="X657" s="241"/>
      <c r="Y657" s="241"/>
      <c r="Z657" s="241"/>
      <c r="AA657" s="241"/>
      <c r="AB657" s="241"/>
      <c r="AC657" s="241"/>
      <c r="AD657" s="241"/>
      <c r="AE657" s="241"/>
      <c r="AF657" s="241"/>
      <c r="AG657" s="241"/>
      <c r="AH657" s="241"/>
      <c r="AI657" s="241"/>
      <c r="AJ657" s="241"/>
      <c r="AK657" s="241"/>
      <c r="AL657" s="241"/>
      <c r="AM657" s="241"/>
      <c r="AN657" s="241"/>
      <c r="AO657" s="241"/>
      <c r="AP657" s="241"/>
      <c r="AQ657" s="241"/>
      <c r="AR657" s="241"/>
      <c r="AS657" s="241"/>
      <c r="AT657" s="241"/>
      <c r="AU657" s="241"/>
      <c r="AV657" s="241"/>
      <c r="AW657" s="241"/>
      <c r="AX657" s="241"/>
      <c r="AY657" s="241"/>
      <c r="AZ657" s="241"/>
    </row>
    <row r="658" spans="1:52" ht="18" customHeight="1">
      <c r="A658" s="250"/>
      <c r="B658" s="241"/>
      <c r="C658" s="241"/>
      <c r="D658" s="241"/>
      <c r="E658" s="241"/>
      <c r="F658" s="241"/>
      <c r="G658" s="241"/>
      <c r="H658" s="241"/>
      <c r="I658" s="241"/>
      <c r="J658" s="241"/>
      <c r="K658" s="241"/>
      <c r="L658" s="241"/>
      <c r="M658" s="241"/>
      <c r="N658" s="241"/>
      <c r="O658" s="241"/>
      <c r="P658" s="241"/>
      <c r="Q658" s="241"/>
      <c r="R658" s="241"/>
      <c r="S658" s="241"/>
      <c r="T658" s="241"/>
      <c r="U658" s="241"/>
      <c r="V658" s="241"/>
      <c r="W658" s="241"/>
      <c r="X658" s="241"/>
      <c r="Y658" s="241"/>
      <c r="Z658" s="241"/>
      <c r="AA658" s="241"/>
      <c r="AB658" s="241"/>
      <c r="AC658" s="241"/>
      <c r="AD658" s="241"/>
      <c r="AE658" s="241"/>
      <c r="AF658" s="241"/>
      <c r="AG658" s="241"/>
      <c r="AH658" s="241"/>
      <c r="AI658" s="241"/>
      <c r="AJ658" s="241"/>
      <c r="AK658" s="241"/>
      <c r="AL658" s="241"/>
      <c r="AM658" s="241"/>
      <c r="AN658" s="241"/>
      <c r="AO658" s="241"/>
      <c r="AP658" s="241"/>
      <c r="AQ658" s="241"/>
      <c r="AR658" s="241"/>
      <c r="AS658" s="241"/>
      <c r="AT658" s="241"/>
      <c r="AU658" s="241"/>
      <c r="AV658" s="241"/>
      <c r="AW658" s="241"/>
      <c r="AX658" s="241"/>
      <c r="AY658" s="241"/>
      <c r="AZ658" s="241"/>
    </row>
    <row r="659" spans="1:52" ht="18" customHeight="1">
      <c r="A659" s="250"/>
      <c r="B659" s="241"/>
      <c r="C659" s="241"/>
      <c r="D659" s="241"/>
      <c r="E659" s="241"/>
      <c r="F659" s="241"/>
      <c r="G659" s="241"/>
      <c r="H659" s="241"/>
      <c r="I659" s="241"/>
      <c r="J659" s="241"/>
      <c r="K659" s="241"/>
      <c r="L659" s="241"/>
      <c r="M659" s="241"/>
      <c r="N659" s="241"/>
      <c r="O659" s="241"/>
      <c r="P659" s="241"/>
      <c r="Q659" s="241"/>
      <c r="R659" s="241"/>
      <c r="S659" s="241"/>
      <c r="T659" s="241"/>
      <c r="U659" s="241"/>
      <c r="V659" s="241"/>
      <c r="W659" s="241"/>
      <c r="X659" s="241"/>
      <c r="Y659" s="241"/>
      <c r="Z659" s="241"/>
      <c r="AA659" s="241"/>
      <c r="AB659" s="241"/>
      <c r="AC659" s="241"/>
      <c r="AD659" s="241"/>
      <c r="AE659" s="241"/>
      <c r="AF659" s="241"/>
      <c r="AG659" s="241"/>
      <c r="AH659" s="241"/>
      <c r="AI659" s="241"/>
      <c r="AJ659" s="241"/>
      <c r="AK659" s="241"/>
      <c r="AL659" s="241"/>
      <c r="AM659" s="241"/>
      <c r="AN659" s="241"/>
      <c r="AO659" s="241"/>
      <c r="AP659" s="241"/>
      <c r="AQ659" s="241"/>
      <c r="AR659" s="241"/>
      <c r="AS659" s="241"/>
      <c r="AT659" s="241"/>
      <c r="AU659" s="241"/>
      <c r="AV659" s="241"/>
      <c r="AW659" s="241"/>
      <c r="AX659" s="241"/>
      <c r="AY659" s="241"/>
      <c r="AZ659" s="241"/>
    </row>
    <row r="660" spans="1:52" ht="18" customHeight="1">
      <c r="A660" s="250"/>
      <c r="B660" s="241"/>
      <c r="C660" s="241"/>
      <c r="D660" s="241"/>
      <c r="E660" s="241"/>
      <c r="F660" s="241"/>
      <c r="G660" s="241"/>
      <c r="H660" s="241"/>
      <c r="I660" s="241"/>
      <c r="J660" s="241"/>
      <c r="K660" s="241"/>
      <c r="L660" s="241"/>
      <c r="M660" s="241"/>
      <c r="N660" s="241"/>
      <c r="O660" s="241"/>
      <c r="P660" s="241"/>
      <c r="Q660" s="241"/>
      <c r="R660" s="241"/>
      <c r="S660" s="241"/>
      <c r="T660" s="241"/>
      <c r="U660" s="241"/>
      <c r="V660" s="241"/>
      <c r="W660" s="241"/>
      <c r="X660" s="241"/>
      <c r="Y660" s="241"/>
      <c r="Z660" s="241"/>
      <c r="AA660" s="241"/>
      <c r="AB660" s="241"/>
      <c r="AC660" s="241"/>
      <c r="AD660" s="241"/>
      <c r="AE660" s="241"/>
      <c r="AF660" s="241"/>
      <c r="AG660" s="241"/>
      <c r="AH660" s="241"/>
      <c r="AI660" s="241"/>
      <c r="AJ660" s="241"/>
      <c r="AK660" s="241"/>
      <c r="AL660" s="241"/>
      <c r="AM660" s="241"/>
      <c r="AN660" s="241"/>
      <c r="AO660" s="241"/>
      <c r="AP660" s="241"/>
      <c r="AQ660" s="241"/>
      <c r="AR660" s="241"/>
      <c r="AS660" s="241"/>
      <c r="AT660" s="241"/>
      <c r="AU660" s="241"/>
      <c r="AV660" s="241"/>
      <c r="AW660" s="241"/>
      <c r="AX660" s="241"/>
      <c r="AY660" s="241"/>
      <c r="AZ660" s="241"/>
    </row>
    <row r="661" spans="1:52" ht="18" customHeight="1">
      <c r="A661" s="250"/>
      <c r="B661" s="241"/>
      <c r="C661" s="241"/>
      <c r="D661" s="241"/>
      <c r="E661" s="241"/>
      <c r="F661" s="241"/>
      <c r="G661" s="241"/>
      <c r="H661" s="241"/>
      <c r="I661" s="241"/>
      <c r="J661" s="241"/>
      <c r="K661" s="241"/>
      <c r="L661" s="241"/>
      <c r="M661" s="241"/>
      <c r="N661" s="241"/>
      <c r="O661" s="241"/>
      <c r="P661" s="241"/>
      <c r="Q661" s="241"/>
      <c r="R661" s="241"/>
      <c r="S661" s="241"/>
      <c r="T661" s="241"/>
      <c r="U661" s="241"/>
      <c r="V661" s="241"/>
      <c r="W661" s="241"/>
      <c r="X661" s="241"/>
      <c r="Y661" s="241"/>
      <c r="Z661" s="241"/>
      <c r="AA661" s="241"/>
      <c r="AB661" s="241"/>
      <c r="AC661" s="241"/>
      <c r="AD661" s="241"/>
      <c r="AE661" s="241"/>
      <c r="AF661" s="241"/>
      <c r="AG661" s="241"/>
      <c r="AH661" s="241"/>
      <c r="AI661" s="241"/>
      <c r="AJ661" s="241"/>
      <c r="AK661" s="241"/>
      <c r="AL661" s="241"/>
      <c r="AM661" s="241"/>
      <c r="AN661" s="241"/>
      <c r="AO661" s="241"/>
      <c r="AP661" s="241"/>
      <c r="AQ661" s="241"/>
      <c r="AR661" s="241"/>
      <c r="AS661" s="241"/>
      <c r="AT661" s="241"/>
      <c r="AU661" s="241"/>
      <c r="AV661" s="241"/>
      <c r="AW661" s="241"/>
      <c r="AX661" s="241"/>
      <c r="AY661" s="241"/>
      <c r="AZ661" s="241"/>
    </row>
    <row r="662" spans="1:52" ht="18" customHeight="1">
      <c r="A662" s="250"/>
      <c r="B662" s="241"/>
      <c r="C662" s="241"/>
      <c r="D662" s="241"/>
      <c r="E662" s="241"/>
      <c r="F662" s="241"/>
      <c r="G662" s="241"/>
      <c r="H662" s="241"/>
      <c r="I662" s="241"/>
      <c r="J662" s="241"/>
      <c r="K662" s="241"/>
      <c r="L662" s="241"/>
      <c r="M662" s="241"/>
      <c r="N662" s="241"/>
      <c r="O662" s="241"/>
      <c r="P662" s="241"/>
      <c r="Q662" s="241"/>
      <c r="R662" s="241"/>
      <c r="S662" s="241"/>
      <c r="T662" s="241"/>
      <c r="U662" s="241"/>
      <c r="V662" s="241"/>
      <c r="W662" s="241"/>
      <c r="X662" s="241"/>
      <c r="Y662" s="241"/>
      <c r="Z662" s="241"/>
      <c r="AA662" s="241"/>
      <c r="AB662" s="241"/>
      <c r="AC662" s="241"/>
      <c r="AD662" s="241"/>
      <c r="AE662" s="241"/>
      <c r="AF662" s="241"/>
      <c r="AG662" s="241"/>
      <c r="AH662" s="241"/>
      <c r="AI662" s="241"/>
      <c r="AJ662" s="241"/>
      <c r="AK662" s="241"/>
      <c r="AL662" s="241"/>
      <c r="AM662" s="241"/>
      <c r="AN662" s="241"/>
      <c r="AO662" s="241"/>
      <c r="AP662" s="241"/>
      <c r="AQ662" s="241"/>
      <c r="AR662" s="241"/>
      <c r="AS662" s="241"/>
      <c r="AT662" s="241"/>
      <c r="AU662" s="241"/>
      <c r="AV662" s="241"/>
      <c r="AW662" s="241"/>
      <c r="AX662" s="241"/>
      <c r="AY662" s="241"/>
      <c r="AZ662" s="241"/>
    </row>
    <row r="663" spans="1:52" ht="18" customHeight="1">
      <c r="A663" s="250"/>
      <c r="B663" s="241"/>
      <c r="C663" s="241"/>
      <c r="D663" s="241"/>
      <c r="E663" s="241"/>
      <c r="F663" s="241"/>
      <c r="G663" s="241"/>
      <c r="H663" s="241"/>
      <c r="I663" s="241"/>
      <c r="J663" s="241"/>
      <c r="K663" s="241"/>
      <c r="L663" s="241"/>
      <c r="M663" s="241"/>
      <c r="N663" s="241"/>
      <c r="O663" s="241"/>
      <c r="P663" s="241"/>
      <c r="Q663" s="241"/>
      <c r="R663" s="241"/>
      <c r="S663" s="241"/>
      <c r="T663" s="241"/>
      <c r="U663" s="241"/>
      <c r="V663" s="241"/>
      <c r="W663" s="241"/>
      <c r="X663" s="241"/>
      <c r="Y663" s="241"/>
      <c r="Z663" s="241"/>
      <c r="AA663" s="241"/>
      <c r="AB663" s="241"/>
      <c r="AC663" s="241"/>
      <c r="AD663" s="241"/>
      <c r="AE663" s="241"/>
      <c r="AF663" s="241"/>
      <c r="AG663" s="241"/>
      <c r="AH663" s="241"/>
      <c r="AI663" s="241"/>
      <c r="AJ663" s="241"/>
      <c r="AK663" s="241"/>
      <c r="AL663" s="241"/>
      <c r="AM663" s="241"/>
      <c r="AN663" s="241"/>
      <c r="AO663" s="241"/>
      <c r="AP663" s="241"/>
      <c r="AQ663" s="241"/>
      <c r="AR663" s="241"/>
      <c r="AS663" s="241"/>
      <c r="AT663" s="241"/>
      <c r="AU663" s="241"/>
      <c r="AV663" s="241"/>
      <c r="AW663" s="241"/>
      <c r="AX663" s="241"/>
      <c r="AY663" s="241"/>
      <c r="AZ663" s="241"/>
    </row>
    <row r="664" spans="1:52" ht="18" customHeight="1">
      <c r="A664" s="250"/>
      <c r="B664" s="241"/>
      <c r="C664" s="241"/>
      <c r="D664" s="241"/>
      <c r="E664" s="241"/>
      <c r="F664" s="241"/>
      <c r="G664" s="241"/>
      <c r="H664" s="241"/>
      <c r="I664" s="241"/>
      <c r="J664" s="241"/>
      <c r="K664" s="241"/>
      <c r="L664" s="241"/>
      <c r="M664" s="241"/>
      <c r="N664" s="241"/>
      <c r="O664" s="241"/>
      <c r="P664" s="241"/>
      <c r="Q664" s="241"/>
      <c r="R664" s="241"/>
      <c r="S664" s="241"/>
      <c r="T664" s="241"/>
      <c r="U664" s="241"/>
      <c r="V664" s="241"/>
      <c r="W664" s="241"/>
      <c r="X664" s="241"/>
      <c r="Y664" s="241"/>
      <c r="Z664" s="241"/>
      <c r="AA664" s="241"/>
      <c r="AB664" s="241"/>
      <c r="AC664" s="241"/>
      <c r="AD664" s="241"/>
      <c r="AE664" s="241"/>
      <c r="AF664" s="241"/>
      <c r="AG664" s="241"/>
      <c r="AH664" s="241"/>
      <c r="AI664" s="241"/>
      <c r="AJ664" s="241"/>
      <c r="AK664" s="241"/>
      <c r="AL664" s="241"/>
      <c r="AM664" s="241"/>
      <c r="AN664" s="241"/>
      <c r="AO664" s="241"/>
      <c r="AP664" s="241"/>
      <c r="AQ664" s="241"/>
      <c r="AR664" s="241"/>
      <c r="AS664" s="241"/>
      <c r="AT664" s="241"/>
      <c r="AU664" s="241"/>
      <c r="AV664" s="241"/>
      <c r="AW664" s="241"/>
      <c r="AX664" s="241"/>
      <c r="AY664" s="241"/>
      <c r="AZ664" s="241"/>
    </row>
    <row r="665" spans="1:52" ht="18" customHeight="1">
      <c r="A665" s="250"/>
      <c r="B665" s="241"/>
      <c r="C665" s="241"/>
      <c r="D665" s="241"/>
      <c r="E665" s="241"/>
      <c r="F665" s="241"/>
      <c r="G665" s="241"/>
      <c r="H665" s="241"/>
      <c r="I665" s="241"/>
      <c r="J665" s="241"/>
      <c r="K665" s="241"/>
      <c r="L665" s="241"/>
      <c r="M665" s="241"/>
      <c r="N665" s="241"/>
      <c r="O665" s="241"/>
      <c r="P665" s="241"/>
      <c r="Q665" s="241"/>
      <c r="R665" s="241"/>
      <c r="S665" s="241"/>
      <c r="T665" s="241"/>
      <c r="U665" s="241"/>
      <c r="V665" s="241"/>
      <c r="W665" s="241"/>
      <c r="X665" s="241"/>
      <c r="Y665" s="241"/>
      <c r="Z665" s="241"/>
      <c r="AA665" s="241"/>
      <c r="AB665" s="241"/>
      <c r="AC665" s="241"/>
      <c r="AD665" s="241"/>
      <c r="AE665" s="241"/>
      <c r="AF665" s="241"/>
      <c r="AG665" s="241"/>
      <c r="AH665" s="241"/>
      <c r="AI665" s="241"/>
      <c r="AJ665" s="241"/>
      <c r="AK665" s="241"/>
      <c r="AL665" s="241"/>
      <c r="AM665" s="241"/>
      <c r="AN665" s="241"/>
      <c r="AO665" s="241"/>
      <c r="AP665" s="241"/>
      <c r="AQ665" s="241"/>
      <c r="AR665" s="241"/>
      <c r="AS665" s="241"/>
      <c r="AT665" s="241"/>
      <c r="AU665" s="241"/>
      <c r="AV665" s="241"/>
      <c r="AW665" s="241"/>
      <c r="AX665" s="241"/>
      <c r="AY665" s="241"/>
      <c r="AZ665" s="241"/>
    </row>
    <row r="666" spans="1:52" ht="18" customHeight="1">
      <c r="A666" s="250"/>
      <c r="B666" s="241"/>
      <c r="C666" s="241"/>
      <c r="D666" s="241"/>
      <c r="E666" s="241"/>
      <c r="F666" s="241"/>
      <c r="G666" s="241"/>
      <c r="H666" s="241"/>
      <c r="I666" s="241"/>
      <c r="J666" s="241"/>
      <c r="K666" s="241"/>
      <c r="L666" s="241"/>
      <c r="M666" s="241"/>
      <c r="N666" s="241"/>
      <c r="O666" s="241"/>
      <c r="P666" s="241"/>
      <c r="Q666" s="241"/>
      <c r="R666" s="241"/>
      <c r="S666" s="241"/>
      <c r="T666" s="241"/>
      <c r="U666" s="241"/>
      <c r="V666" s="241"/>
      <c r="W666" s="241"/>
      <c r="X666" s="241"/>
      <c r="Y666" s="241"/>
      <c r="Z666" s="241"/>
      <c r="AA666" s="241"/>
      <c r="AB666" s="241"/>
      <c r="AC666" s="241"/>
      <c r="AD666" s="241"/>
      <c r="AE666" s="241"/>
      <c r="AF666" s="241"/>
      <c r="AG666" s="241"/>
      <c r="AH666" s="241"/>
      <c r="AI666" s="241"/>
      <c r="AJ666" s="241"/>
      <c r="AK666" s="241"/>
      <c r="AL666" s="241"/>
      <c r="AM666" s="241"/>
      <c r="AN666" s="241"/>
      <c r="AO666" s="241"/>
      <c r="AP666" s="241"/>
      <c r="AQ666" s="241"/>
      <c r="AR666" s="241"/>
      <c r="AS666" s="241"/>
      <c r="AT666" s="241"/>
      <c r="AU666" s="241"/>
      <c r="AV666" s="241"/>
      <c r="AW666" s="241"/>
      <c r="AX666" s="241"/>
      <c r="AY666" s="241"/>
      <c r="AZ666" s="241"/>
    </row>
    <row r="667" spans="1:52" ht="18" customHeight="1">
      <c r="A667" s="250"/>
      <c r="B667" s="241"/>
      <c r="C667" s="241"/>
      <c r="D667" s="241"/>
      <c r="E667" s="241"/>
      <c r="F667" s="241"/>
      <c r="G667" s="241"/>
      <c r="H667" s="241"/>
      <c r="I667" s="241"/>
      <c r="J667" s="241"/>
      <c r="K667" s="241"/>
      <c r="L667" s="241"/>
      <c r="M667" s="241"/>
      <c r="N667" s="241"/>
      <c r="O667" s="241"/>
      <c r="P667" s="241"/>
      <c r="Q667" s="241"/>
      <c r="R667" s="241"/>
      <c r="S667" s="241"/>
      <c r="T667" s="241"/>
      <c r="U667" s="241"/>
      <c r="V667" s="241"/>
      <c r="W667" s="241"/>
      <c r="X667" s="241"/>
      <c r="Y667" s="241"/>
      <c r="Z667" s="241"/>
      <c r="AA667" s="241"/>
      <c r="AB667" s="241"/>
      <c r="AC667" s="241"/>
      <c r="AD667" s="241"/>
      <c r="AE667" s="241"/>
      <c r="AF667" s="241"/>
      <c r="AG667" s="241"/>
      <c r="AH667" s="241"/>
      <c r="AI667" s="241"/>
      <c r="AJ667" s="241"/>
      <c r="AK667" s="241"/>
      <c r="AL667" s="241"/>
      <c r="AM667" s="241"/>
      <c r="AN667" s="241"/>
      <c r="AO667" s="241"/>
      <c r="AP667" s="241"/>
      <c r="AQ667" s="241"/>
      <c r="AR667" s="241"/>
      <c r="AS667" s="241"/>
      <c r="AT667" s="241"/>
      <c r="AU667" s="241"/>
      <c r="AV667" s="241"/>
      <c r="AW667" s="241"/>
      <c r="AX667" s="241"/>
      <c r="AY667" s="241"/>
      <c r="AZ667" s="241"/>
    </row>
    <row r="668" spans="1:52" ht="18" customHeight="1">
      <c r="A668" s="250"/>
      <c r="B668" s="241"/>
      <c r="C668" s="241"/>
      <c r="D668" s="241"/>
      <c r="E668" s="241"/>
      <c r="F668" s="241"/>
      <c r="G668" s="241"/>
      <c r="H668" s="241"/>
      <c r="I668" s="241"/>
      <c r="J668" s="241"/>
      <c r="K668" s="241"/>
      <c r="L668" s="241"/>
      <c r="M668" s="241"/>
      <c r="N668" s="241"/>
      <c r="O668" s="241"/>
      <c r="P668" s="241"/>
      <c r="Q668" s="241"/>
      <c r="R668" s="241"/>
      <c r="S668" s="241"/>
      <c r="T668" s="241"/>
      <c r="U668" s="241"/>
      <c r="V668" s="241"/>
      <c r="W668" s="241"/>
      <c r="X668" s="241"/>
      <c r="Y668" s="241"/>
      <c r="Z668" s="241"/>
      <c r="AA668" s="241"/>
      <c r="AB668" s="241"/>
      <c r="AC668" s="241"/>
      <c r="AD668" s="241"/>
      <c r="AE668" s="241"/>
      <c r="AF668" s="241"/>
      <c r="AG668" s="241"/>
      <c r="AH668" s="241"/>
      <c r="AI668" s="241"/>
      <c r="AJ668" s="241"/>
      <c r="AK668" s="241"/>
      <c r="AL668" s="241"/>
      <c r="AM668" s="241"/>
      <c r="AN668" s="241"/>
      <c r="AO668" s="241"/>
      <c r="AP668" s="241"/>
      <c r="AQ668" s="241"/>
      <c r="AR668" s="241"/>
      <c r="AS668" s="241"/>
      <c r="AT668" s="241"/>
      <c r="AU668" s="241"/>
      <c r="AV668" s="241"/>
      <c r="AW668" s="241"/>
      <c r="AX668" s="241"/>
      <c r="AY668" s="241"/>
      <c r="AZ668" s="241"/>
    </row>
    <row r="669" spans="1:52" ht="18" customHeight="1">
      <c r="A669" s="250"/>
      <c r="B669" s="241"/>
      <c r="C669" s="241"/>
      <c r="D669" s="241"/>
      <c r="E669" s="241"/>
      <c r="F669" s="241"/>
      <c r="G669" s="241"/>
      <c r="H669" s="241"/>
      <c r="I669" s="241"/>
      <c r="J669" s="241"/>
      <c r="K669" s="241"/>
      <c r="L669" s="241"/>
      <c r="M669" s="241"/>
      <c r="N669" s="241"/>
      <c r="O669" s="241"/>
      <c r="P669" s="241"/>
      <c r="Q669" s="241"/>
      <c r="R669" s="241"/>
      <c r="S669" s="241"/>
      <c r="T669" s="241"/>
      <c r="U669" s="241"/>
      <c r="V669" s="241"/>
      <c r="W669" s="241"/>
      <c r="X669" s="241"/>
      <c r="Y669" s="241"/>
      <c r="Z669" s="241"/>
      <c r="AA669" s="241"/>
      <c r="AB669" s="241"/>
      <c r="AC669" s="241"/>
      <c r="AD669" s="241"/>
      <c r="AE669" s="241"/>
      <c r="AF669" s="241"/>
      <c r="AG669" s="241"/>
      <c r="AH669" s="241"/>
      <c r="AI669" s="241"/>
      <c r="AJ669" s="241"/>
      <c r="AK669" s="241"/>
      <c r="AL669" s="241"/>
      <c r="AM669" s="241"/>
      <c r="AN669" s="241"/>
      <c r="AO669" s="241"/>
      <c r="AP669" s="241"/>
      <c r="AQ669" s="241"/>
      <c r="AR669" s="241"/>
      <c r="AS669" s="241"/>
      <c r="AT669" s="241"/>
      <c r="AU669" s="241"/>
      <c r="AV669" s="241"/>
      <c r="AW669" s="241"/>
      <c r="AX669" s="241"/>
      <c r="AY669" s="241"/>
      <c r="AZ669" s="241"/>
    </row>
    <row r="670" spans="1:52" ht="18" customHeight="1">
      <c r="A670" s="250"/>
      <c r="B670" s="241"/>
      <c r="C670" s="241"/>
      <c r="D670" s="241"/>
      <c r="E670" s="241"/>
      <c r="F670" s="241"/>
      <c r="G670" s="241"/>
      <c r="H670" s="241"/>
      <c r="I670" s="241"/>
      <c r="J670" s="241"/>
      <c r="K670" s="241"/>
      <c r="L670" s="241"/>
      <c r="M670" s="241"/>
      <c r="N670" s="241"/>
      <c r="O670" s="241"/>
      <c r="P670" s="241"/>
      <c r="Q670" s="241"/>
      <c r="R670" s="241"/>
      <c r="S670" s="241"/>
      <c r="T670" s="241"/>
      <c r="U670" s="241"/>
      <c r="V670" s="241"/>
      <c r="W670" s="241"/>
      <c r="X670" s="241"/>
      <c r="Y670" s="241"/>
      <c r="Z670" s="241"/>
      <c r="AA670" s="241"/>
      <c r="AB670" s="241"/>
      <c r="AC670" s="241"/>
      <c r="AD670" s="241"/>
      <c r="AE670" s="241"/>
      <c r="AF670" s="241"/>
      <c r="AG670" s="241"/>
      <c r="AH670" s="241"/>
      <c r="AI670" s="241"/>
      <c r="AJ670" s="241"/>
      <c r="AK670" s="241"/>
      <c r="AL670" s="241"/>
      <c r="AM670" s="241"/>
      <c r="AN670" s="241"/>
      <c r="AO670" s="241"/>
      <c r="AP670" s="241"/>
      <c r="AQ670" s="241"/>
      <c r="AR670" s="241"/>
      <c r="AS670" s="241"/>
      <c r="AT670" s="241"/>
      <c r="AU670" s="241"/>
      <c r="AV670" s="241"/>
      <c r="AW670" s="241"/>
      <c r="AX670" s="241"/>
      <c r="AY670" s="241"/>
      <c r="AZ670" s="241"/>
    </row>
    <row r="671" spans="1:52" ht="18" customHeight="1">
      <c r="A671" s="250"/>
      <c r="B671" s="241"/>
      <c r="C671" s="241"/>
      <c r="D671" s="241"/>
      <c r="E671" s="241"/>
      <c r="F671" s="241"/>
      <c r="G671" s="241"/>
      <c r="H671" s="241"/>
      <c r="I671" s="241"/>
      <c r="J671" s="241"/>
      <c r="K671" s="241"/>
      <c r="L671" s="241"/>
      <c r="M671" s="241"/>
      <c r="N671" s="241"/>
      <c r="O671" s="241"/>
      <c r="P671" s="241"/>
      <c r="Q671" s="241"/>
      <c r="R671" s="241"/>
      <c r="S671" s="241"/>
      <c r="T671" s="241"/>
      <c r="U671" s="241"/>
      <c r="V671" s="241"/>
      <c r="W671" s="241"/>
      <c r="X671" s="241"/>
      <c r="Y671" s="241"/>
      <c r="Z671" s="241"/>
      <c r="AA671" s="241"/>
      <c r="AB671" s="241"/>
      <c r="AC671" s="241"/>
      <c r="AD671" s="241"/>
      <c r="AE671" s="241"/>
      <c r="AF671" s="241"/>
      <c r="AG671" s="241"/>
      <c r="AH671" s="241"/>
      <c r="AI671" s="241"/>
      <c r="AJ671" s="241"/>
      <c r="AK671" s="241"/>
      <c r="AL671" s="241"/>
      <c r="AM671" s="241"/>
      <c r="AN671" s="241"/>
      <c r="AO671" s="241"/>
      <c r="AP671" s="241"/>
      <c r="AQ671" s="241"/>
      <c r="AR671" s="241"/>
      <c r="AS671" s="241"/>
      <c r="AT671" s="241"/>
      <c r="AU671" s="241"/>
      <c r="AV671" s="241"/>
      <c r="AW671" s="241"/>
      <c r="AX671" s="241"/>
      <c r="AY671" s="241"/>
      <c r="AZ671" s="241"/>
    </row>
    <row r="672" spans="1:52" ht="18" customHeight="1">
      <c r="A672" s="250"/>
      <c r="B672" s="241"/>
      <c r="C672" s="241"/>
      <c r="D672" s="241"/>
      <c r="E672" s="241"/>
      <c r="F672" s="241"/>
      <c r="G672" s="241"/>
      <c r="H672" s="241"/>
      <c r="I672" s="241"/>
      <c r="J672" s="241"/>
      <c r="K672" s="241"/>
      <c r="L672" s="241"/>
      <c r="M672" s="241"/>
      <c r="N672" s="241"/>
      <c r="O672" s="241"/>
      <c r="P672" s="241"/>
      <c r="Q672" s="241"/>
      <c r="R672" s="241"/>
      <c r="S672" s="241"/>
      <c r="T672" s="241"/>
      <c r="U672" s="241"/>
      <c r="V672" s="241"/>
      <c r="W672" s="241"/>
      <c r="X672" s="241"/>
      <c r="Y672" s="241"/>
      <c r="Z672" s="241"/>
      <c r="AA672" s="241"/>
      <c r="AB672" s="241"/>
      <c r="AC672" s="241"/>
      <c r="AD672" s="241"/>
      <c r="AE672" s="241"/>
      <c r="AF672" s="241"/>
      <c r="AG672" s="241"/>
      <c r="AH672" s="241"/>
      <c r="AI672" s="241"/>
      <c r="AJ672" s="241"/>
      <c r="AK672" s="241"/>
      <c r="AL672" s="241"/>
      <c r="AM672" s="241"/>
      <c r="AN672" s="241"/>
      <c r="AO672" s="241"/>
      <c r="AP672" s="241"/>
      <c r="AQ672" s="241"/>
      <c r="AR672" s="241"/>
      <c r="AS672" s="241"/>
      <c r="AT672" s="241"/>
      <c r="AU672" s="241"/>
      <c r="AV672" s="241"/>
      <c r="AW672" s="241"/>
      <c r="AX672" s="241"/>
      <c r="AY672" s="241"/>
      <c r="AZ672" s="241"/>
    </row>
    <row r="673" spans="1:52" ht="18" customHeight="1">
      <c r="A673" s="250"/>
      <c r="B673" s="241"/>
      <c r="C673" s="241"/>
      <c r="D673" s="241"/>
      <c r="E673" s="241"/>
      <c r="F673" s="241"/>
      <c r="G673" s="241"/>
      <c r="H673" s="241"/>
      <c r="I673" s="241"/>
      <c r="J673" s="241"/>
      <c r="K673" s="241"/>
      <c r="L673" s="241"/>
      <c r="M673" s="241"/>
      <c r="N673" s="241"/>
      <c r="O673" s="241"/>
      <c r="P673" s="241"/>
      <c r="Q673" s="241"/>
      <c r="R673" s="241"/>
      <c r="S673" s="241"/>
      <c r="T673" s="241"/>
      <c r="U673" s="241"/>
      <c r="V673" s="241"/>
      <c r="W673" s="241"/>
      <c r="X673" s="241"/>
      <c r="Y673" s="241"/>
      <c r="Z673" s="241"/>
      <c r="AA673" s="241"/>
      <c r="AB673" s="241"/>
      <c r="AC673" s="241"/>
      <c r="AD673" s="241"/>
      <c r="AE673" s="241"/>
      <c r="AF673" s="241"/>
      <c r="AG673" s="241"/>
      <c r="AH673" s="241"/>
      <c r="AI673" s="241"/>
      <c r="AJ673" s="241"/>
      <c r="AK673" s="241"/>
      <c r="AL673" s="241"/>
      <c r="AM673" s="241"/>
      <c r="AN673" s="241"/>
      <c r="AO673" s="241"/>
      <c r="AP673" s="241"/>
      <c r="AQ673" s="241"/>
      <c r="AR673" s="241"/>
      <c r="AS673" s="241"/>
      <c r="AT673" s="241"/>
      <c r="AU673" s="241"/>
      <c r="AV673" s="241"/>
      <c r="AW673" s="241"/>
      <c r="AX673" s="241"/>
      <c r="AY673" s="241"/>
      <c r="AZ673" s="241"/>
    </row>
    <row r="674" spans="1:52" ht="18" customHeight="1">
      <c r="A674" s="250"/>
      <c r="B674" s="241"/>
      <c r="C674" s="241"/>
      <c r="D674" s="241"/>
      <c r="E674" s="241"/>
      <c r="F674" s="241"/>
      <c r="G674" s="241"/>
      <c r="H674" s="241"/>
      <c r="I674" s="241"/>
      <c r="J674" s="241"/>
      <c r="K674" s="241"/>
      <c r="L674" s="241"/>
      <c r="M674" s="241"/>
      <c r="N674" s="241"/>
      <c r="O674" s="241"/>
      <c r="P674" s="241"/>
      <c r="Q674" s="241"/>
      <c r="R674" s="241"/>
      <c r="S674" s="241"/>
      <c r="T674" s="241"/>
      <c r="U674" s="241"/>
      <c r="V674" s="241"/>
      <c r="W674" s="241"/>
      <c r="X674" s="241"/>
      <c r="Y674" s="241"/>
      <c r="Z674" s="241"/>
      <c r="AA674" s="241"/>
      <c r="AB674" s="241"/>
      <c r="AC674" s="241"/>
      <c r="AD674" s="241"/>
      <c r="AE674" s="241"/>
      <c r="AF674" s="241"/>
      <c r="AG674" s="241"/>
      <c r="AH674" s="241"/>
      <c r="AI674" s="241"/>
      <c r="AJ674" s="241"/>
      <c r="AK674" s="241"/>
      <c r="AL674" s="241"/>
      <c r="AM674" s="241"/>
      <c r="AN674" s="241"/>
      <c r="AO674" s="241"/>
      <c r="AP674" s="241"/>
      <c r="AQ674" s="241"/>
      <c r="AR674" s="241"/>
      <c r="AS674" s="241"/>
      <c r="AT674" s="241"/>
      <c r="AU674" s="241"/>
      <c r="AV674" s="241"/>
      <c r="AW674" s="241"/>
      <c r="AX674" s="241"/>
      <c r="AY674" s="241"/>
      <c r="AZ674" s="241"/>
    </row>
    <row r="675" spans="1:52" ht="18" customHeight="1">
      <c r="A675" s="250"/>
      <c r="B675" s="241"/>
      <c r="C675" s="241"/>
      <c r="D675" s="241"/>
      <c r="E675" s="241"/>
      <c r="F675" s="241"/>
      <c r="G675" s="241"/>
      <c r="H675" s="241"/>
      <c r="I675" s="241"/>
      <c r="J675" s="241"/>
      <c r="K675" s="241"/>
      <c r="L675" s="241"/>
      <c r="M675" s="241"/>
      <c r="N675" s="241"/>
      <c r="O675" s="241"/>
      <c r="P675" s="241"/>
      <c r="Q675" s="241"/>
      <c r="R675" s="241"/>
      <c r="S675" s="241"/>
      <c r="T675" s="241"/>
      <c r="U675" s="241"/>
      <c r="V675" s="241"/>
      <c r="W675" s="241"/>
      <c r="X675" s="241"/>
      <c r="Y675" s="241"/>
      <c r="Z675" s="241"/>
      <c r="AA675" s="241"/>
      <c r="AB675" s="241"/>
      <c r="AC675" s="241"/>
      <c r="AD675" s="241"/>
      <c r="AE675" s="241"/>
      <c r="AF675" s="241"/>
      <c r="AG675" s="241"/>
      <c r="AH675" s="241"/>
      <c r="AI675" s="241"/>
      <c r="AJ675" s="241"/>
      <c r="AK675" s="241"/>
      <c r="AL675" s="241"/>
      <c r="AM675" s="241"/>
      <c r="AN675" s="241"/>
      <c r="AO675" s="241"/>
      <c r="AP675" s="241"/>
      <c r="AQ675" s="241"/>
      <c r="AR675" s="241"/>
      <c r="AS675" s="241"/>
      <c r="AT675" s="241"/>
      <c r="AU675" s="241"/>
      <c r="AV675" s="241"/>
      <c r="AW675" s="241"/>
      <c r="AX675" s="241"/>
      <c r="AY675" s="241"/>
      <c r="AZ675" s="241"/>
    </row>
    <row r="676" spans="1:52" ht="18" customHeight="1">
      <c r="A676" s="250"/>
      <c r="B676" s="241"/>
      <c r="C676" s="241"/>
      <c r="D676" s="241"/>
      <c r="E676" s="241"/>
      <c r="F676" s="241"/>
      <c r="G676" s="241"/>
      <c r="H676" s="241"/>
      <c r="I676" s="241"/>
      <c r="J676" s="241"/>
      <c r="K676" s="241"/>
      <c r="L676" s="241"/>
      <c r="M676" s="241"/>
      <c r="N676" s="241"/>
      <c r="O676" s="241"/>
      <c r="P676" s="241"/>
      <c r="Q676" s="241"/>
      <c r="R676" s="241"/>
      <c r="S676" s="241"/>
      <c r="T676" s="241"/>
      <c r="U676" s="241"/>
      <c r="V676" s="241"/>
      <c r="W676" s="241"/>
      <c r="X676" s="241"/>
      <c r="Y676" s="241"/>
      <c r="Z676" s="241"/>
      <c r="AA676" s="241"/>
      <c r="AB676" s="241"/>
      <c r="AC676" s="241"/>
      <c r="AD676" s="241"/>
      <c r="AE676" s="241"/>
      <c r="AF676" s="241"/>
      <c r="AG676" s="241"/>
      <c r="AH676" s="241"/>
      <c r="AI676" s="241"/>
      <c r="AJ676" s="241"/>
      <c r="AK676" s="241"/>
      <c r="AL676" s="241"/>
      <c r="AM676" s="241"/>
      <c r="AN676" s="241"/>
      <c r="AO676" s="241"/>
      <c r="AP676" s="241"/>
      <c r="AQ676" s="241"/>
      <c r="AR676" s="241"/>
      <c r="AS676" s="241"/>
      <c r="AT676" s="241"/>
      <c r="AU676" s="241"/>
      <c r="AV676" s="241"/>
      <c r="AW676" s="241"/>
      <c r="AX676" s="241"/>
      <c r="AY676" s="241"/>
      <c r="AZ676" s="241"/>
    </row>
    <row r="677" spans="1:52" ht="18" customHeight="1">
      <c r="A677" s="250"/>
      <c r="B677" s="241"/>
      <c r="C677" s="241"/>
      <c r="D677" s="241"/>
      <c r="E677" s="241"/>
      <c r="F677" s="241"/>
      <c r="G677" s="241"/>
      <c r="H677" s="241"/>
      <c r="I677" s="241"/>
      <c r="J677" s="241"/>
      <c r="K677" s="241"/>
      <c r="L677" s="241"/>
      <c r="M677" s="241"/>
      <c r="N677" s="241"/>
      <c r="O677" s="241"/>
      <c r="P677" s="241"/>
      <c r="Q677" s="241"/>
      <c r="R677" s="241"/>
      <c r="S677" s="241"/>
      <c r="T677" s="241"/>
      <c r="U677" s="241"/>
      <c r="V677" s="241"/>
      <c r="W677" s="241"/>
      <c r="X677" s="241"/>
      <c r="Y677" s="241"/>
      <c r="Z677" s="241"/>
      <c r="AA677" s="241"/>
      <c r="AB677" s="241"/>
      <c r="AC677" s="241"/>
      <c r="AD677" s="241"/>
      <c r="AE677" s="241"/>
      <c r="AF677" s="241"/>
      <c r="AG677" s="241"/>
      <c r="AH677" s="241"/>
      <c r="AI677" s="241"/>
      <c r="AJ677" s="241"/>
      <c r="AK677" s="241"/>
      <c r="AL677" s="241"/>
      <c r="AM677" s="241"/>
      <c r="AN677" s="241"/>
      <c r="AO677" s="241"/>
      <c r="AP677" s="241"/>
      <c r="AQ677" s="241"/>
      <c r="AR677" s="241"/>
      <c r="AS677" s="241"/>
      <c r="AT677" s="241"/>
      <c r="AU677" s="241"/>
      <c r="AV677" s="241"/>
      <c r="AW677" s="241"/>
      <c r="AX677" s="241"/>
      <c r="AY677" s="241"/>
      <c r="AZ677" s="241"/>
    </row>
    <row r="678" spans="1:52" ht="18" customHeight="1">
      <c r="A678" s="250"/>
      <c r="B678" s="241"/>
      <c r="C678" s="241"/>
      <c r="D678" s="241"/>
      <c r="E678" s="241"/>
      <c r="F678" s="241"/>
      <c r="G678" s="241"/>
      <c r="H678" s="241"/>
      <c r="I678" s="241"/>
      <c r="J678" s="241"/>
      <c r="K678" s="241"/>
      <c r="L678" s="241"/>
      <c r="M678" s="241"/>
      <c r="N678" s="241"/>
      <c r="O678" s="241"/>
      <c r="P678" s="241"/>
      <c r="Q678" s="241"/>
      <c r="R678" s="241"/>
      <c r="S678" s="241"/>
      <c r="T678" s="241"/>
      <c r="U678" s="241"/>
      <c r="V678" s="241"/>
      <c r="W678" s="241"/>
      <c r="X678" s="241"/>
      <c r="Y678" s="241"/>
      <c r="Z678" s="241"/>
      <c r="AA678" s="241"/>
      <c r="AB678" s="241"/>
      <c r="AC678" s="241"/>
      <c r="AD678" s="241"/>
      <c r="AE678" s="241"/>
      <c r="AF678" s="241"/>
      <c r="AG678" s="241"/>
      <c r="AH678" s="241"/>
      <c r="AI678" s="241"/>
      <c r="AJ678" s="241"/>
      <c r="AK678" s="241"/>
      <c r="AL678" s="241"/>
      <c r="AM678" s="241"/>
      <c r="AN678" s="241"/>
      <c r="AO678" s="241"/>
      <c r="AP678" s="241"/>
      <c r="AQ678" s="241"/>
      <c r="AR678" s="241"/>
      <c r="AS678" s="241"/>
      <c r="AT678" s="241"/>
      <c r="AU678" s="241"/>
      <c r="AV678" s="241"/>
      <c r="AW678" s="241"/>
      <c r="AX678" s="241"/>
      <c r="AY678" s="241"/>
      <c r="AZ678" s="241"/>
    </row>
    <row r="679" spans="1:52" ht="18" customHeight="1">
      <c r="A679" s="250"/>
      <c r="B679" s="241"/>
      <c r="C679" s="241"/>
      <c r="D679" s="241"/>
      <c r="E679" s="241"/>
      <c r="F679" s="241"/>
      <c r="G679" s="241"/>
      <c r="H679" s="241"/>
      <c r="I679" s="241"/>
      <c r="J679" s="241"/>
      <c r="K679" s="241"/>
      <c r="L679" s="241"/>
      <c r="M679" s="241"/>
      <c r="N679" s="241"/>
      <c r="O679" s="241"/>
      <c r="P679" s="241"/>
      <c r="Q679" s="241"/>
      <c r="R679" s="241"/>
      <c r="S679" s="241"/>
      <c r="T679" s="241"/>
      <c r="U679" s="241"/>
      <c r="V679" s="241"/>
      <c r="W679" s="241"/>
      <c r="X679" s="241"/>
      <c r="Y679" s="241"/>
      <c r="Z679" s="241"/>
      <c r="AA679" s="241"/>
      <c r="AB679" s="241"/>
      <c r="AC679" s="241"/>
      <c r="AD679" s="241"/>
      <c r="AE679" s="241"/>
      <c r="AF679" s="241"/>
      <c r="AG679" s="241"/>
      <c r="AH679" s="241"/>
      <c r="AI679" s="241"/>
      <c r="AJ679" s="241"/>
      <c r="AK679" s="241"/>
      <c r="AL679" s="241"/>
      <c r="AM679" s="241"/>
      <c r="AN679" s="241"/>
      <c r="AO679" s="241"/>
      <c r="AP679" s="241"/>
      <c r="AQ679" s="241"/>
      <c r="AR679" s="241"/>
      <c r="AS679" s="241"/>
      <c r="AT679" s="241"/>
      <c r="AU679" s="241"/>
      <c r="AV679" s="241"/>
      <c r="AW679" s="241"/>
      <c r="AX679" s="241"/>
      <c r="AY679" s="241"/>
      <c r="AZ679" s="241"/>
    </row>
    <row r="680" spans="1:52" ht="18" customHeight="1">
      <c r="A680" s="250"/>
      <c r="B680" s="241"/>
      <c r="C680" s="241"/>
      <c r="D680" s="241"/>
      <c r="E680" s="241"/>
      <c r="F680" s="241"/>
      <c r="G680" s="241"/>
      <c r="H680" s="241"/>
      <c r="I680" s="241"/>
      <c r="J680" s="241"/>
      <c r="K680" s="241"/>
      <c r="L680" s="241"/>
      <c r="M680" s="241"/>
      <c r="N680" s="241"/>
      <c r="O680" s="241"/>
      <c r="P680" s="241"/>
      <c r="Q680" s="241"/>
      <c r="R680" s="241"/>
      <c r="S680" s="241"/>
      <c r="T680" s="241"/>
      <c r="U680" s="241"/>
      <c r="V680" s="241"/>
      <c r="W680" s="241"/>
      <c r="X680" s="241"/>
      <c r="Y680" s="241"/>
      <c r="Z680" s="241"/>
      <c r="AA680" s="241"/>
      <c r="AB680" s="241"/>
      <c r="AC680" s="241"/>
      <c r="AD680" s="241"/>
      <c r="AE680" s="241"/>
      <c r="AF680" s="241"/>
      <c r="AG680" s="241"/>
      <c r="AH680" s="241"/>
      <c r="AI680" s="241"/>
      <c r="AJ680" s="241"/>
      <c r="AK680" s="241"/>
      <c r="AL680" s="241"/>
      <c r="AM680" s="241"/>
      <c r="AN680" s="241"/>
      <c r="AO680" s="241"/>
      <c r="AP680" s="241"/>
      <c r="AQ680" s="241"/>
      <c r="AR680" s="241"/>
      <c r="AS680" s="241"/>
      <c r="AT680" s="241"/>
      <c r="AU680" s="241"/>
      <c r="AV680" s="241"/>
      <c r="AW680" s="241"/>
      <c r="AX680" s="241"/>
      <c r="AY680" s="241"/>
      <c r="AZ680" s="241"/>
    </row>
    <row r="681" spans="1:52" ht="18" customHeight="1">
      <c r="A681" s="250"/>
      <c r="B681" s="241"/>
      <c r="C681" s="241"/>
      <c r="D681" s="241"/>
      <c r="E681" s="241"/>
      <c r="F681" s="241"/>
      <c r="G681" s="241"/>
      <c r="H681" s="241"/>
      <c r="I681" s="241"/>
      <c r="J681" s="241"/>
      <c r="K681" s="241"/>
      <c r="L681" s="241"/>
      <c r="M681" s="241"/>
      <c r="N681" s="241"/>
      <c r="O681" s="241"/>
      <c r="P681" s="241"/>
      <c r="Q681" s="241"/>
      <c r="R681" s="241"/>
      <c r="S681" s="241"/>
      <c r="T681" s="241"/>
      <c r="U681" s="241"/>
      <c r="V681" s="241"/>
      <c r="W681" s="241"/>
      <c r="X681" s="241"/>
      <c r="Y681" s="241"/>
      <c r="Z681" s="241"/>
      <c r="AA681" s="241"/>
      <c r="AB681" s="241"/>
      <c r="AC681" s="241"/>
      <c r="AD681" s="241"/>
      <c r="AE681" s="241"/>
      <c r="AF681" s="241"/>
      <c r="AG681" s="241"/>
      <c r="AH681" s="241"/>
      <c r="AI681" s="241"/>
      <c r="AJ681" s="241"/>
      <c r="AK681" s="241"/>
      <c r="AL681" s="241"/>
      <c r="AM681" s="241"/>
      <c r="AN681" s="241"/>
      <c r="AO681" s="241"/>
      <c r="AP681" s="241"/>
      <c r="AQ681" s="241"/>
      <c r="AR681" s="241"/>
      <c r="AS681" s="241"/>
      <c r="AT681" s="241"/>
      <c r="AU681" s="241"/>
      <c r="AV681" s="241"/>
      <c r="AW681" s="241"/>
      <c r="AX681" s="241"/>
      <c r="AY681" s="241"/>
      <c r="AZ681" s="241"/>
    </row>
    <row r="682" spans="1:52" ht="18" customHeight="1">
      <c r="A682" s="250"/>
      <c r="B682" s="241"/>
      <c r="C682" s="241"/>
      <c r="D682" s="241"/>
      <c r="E682" s="241"/>
      <c r="F682" s="241"/>
      <c r="G682" s="241"/>
      <c r="H682" s="241"/>
      <c r="I682" s="241"/>
      <c r="J682" s="241"/>
      <c r="K682" s="241"/>
      <c r="L682" s="241"/>
      <c r="M682" s="241"/>
      <c r="N682" s="241"/>
      <c r="O682" s="241"/>
      <c r="P682" s="241"/>
      <c r="Q682" s="241"/>
      <c r="R682" s="241"/>
      <c r="S682" s="241"/>
      <c r="T682" s="241"/>
      <c r="U682" s="241"/>
      <c r="V682" s="241"/>
      <c r="W682" s="241"/>
      <c r="X682" s="241"/>
      <c r="Y682" s="241"/>
      <c r="Z682" s="241"/>
      <c r="AA682" s="241"/>
      <c r="AB682" s="241"/>
      <c r="AC682" s="241"/>
      <c r="AD682" s="241"/>
      <c r="AE682" s="241"/>
      <c r="AF682" s="241"/>
      <c r="AG682" s="241"/>
      <c r="AH682" s="241"/>
      <c r="AI682" s="241"/>
      <c r="AJ682" s="241"/>
      <c r="AK682" s="241"/>
      <c r="AL682" s="241"/>
      <c r="AM682" s="241"/>
      <c r="AN682" s="241"/>
      <c r="AO682" s="241"/>
      <c r="AP682" s="241"/>
      <c r="AQ682" s="241"/>
      <c r="AR682" s="241"/>
      <c r="AS682" s="241"/>
      <c r="AT682" s="241"/>
      <c r="AU682" s="241"/>
      <c r="AV682" s="241"/>
      <c r="AW682" s="241"/>
      <c r="AX682" s="241"/>
      <c r="AY682" s="241"/>
      <c r="AZ682" s="241"/>
    </row>
    <row r="683" spans="1:52" ht="18" customHeight="1">
      <c r="A683" s="250"/>
      <c r="B683" s="241"/>
      <c r="C683" s="241"/>
      <c r="D683" s="241"/>
      <c r="E683" s="241"/>
      <c r="F683" s="241"/>
      <c r="G683" s="241"/>
      <c r="H683" s="241"/>
      <c r="I683" s="241"/>
      <c r="J683" s="241"/>
      <c r="K683" s="241"/>
      <c r="L683" s="241"/>
      <c r="M683" s="241"/>
      <c r="N683" s="241"/>
      <c r="O683" s="241"/>
      <c r="P683" s="241"/>
      <c r="Q683" s="241"/>
      <c r="R683" s="241"/>
      <c r="S683" s="241"/>
      <c r="T683" s="241"/>
      <c r="U683" s="241"/>
      <c r="V683" s="241"/>
      <c r="W683" s="241"/>
      <c r="X683" s="241"/>
      <c r="Y683" s="241"/>
      <c r="Z683" s="241"/>
      <c r="AA683" s="241"/>
      <c r="AB683" s="241"/>
      <c r="AC683" s="241"/>
      <c r="AD683" s="241"/>
      <c r="AE683" s="241"/>
      <c r="AF683" s="241"/>
      <c r="AG683" s="241"/>
      <c r="AH683" s="241"/>
      <c r="AI683" s="241"/>
      <c r="AJ683" s="241"/>
      <c r="AK683" s="241"/>
      <c r="AL683" s="241"/>
      <c r="AM683" s="241"/>
      <c r="AN683" s="241"/>
      <c r="AO683" s="241"/>
      <c r="AP683" s="241"/>
      <c r="AQ683" s="241"/>
      <c r="AR683" s="241"/>
      <c r="AS683" s="241"/>
      <c r="AT683" s="241"/>
      <c r="AU683" s="241"/>
      <c r="AV683" s="241"/>
      <c r="AW683" s="241"/>
      <c r="AX683" s="241"/>
      <c r="AY683" s="241"/>
      <c r="AZ683" s="241"/>
    </row>
    <row r="684" spans="1:52" ht="18" customHeight="1">
      <c r="A684" s="250"/>
      <c r="B684" s="241"/>
      <c r="C684" s="241"/>
      <c r="D684" s="241"/>
      <c r="E684" s="241"/>
      <c r="F684" s="241"/>
      <c r="G684" s="241"/>
      <c r="H684" s="241"/>
      <c r="I684" s="241"/>
      <c r="J684" s="241"/>
      <c r="K684" s="241"/>
      <c r="L684" s="241"/>
      <c r="M684" s="241"/>
      <c r="N684" s="241"/>
      <c r="O684" s="241"/>
      <c r="P684" s="241"/>
      <c r="Q684" s="241"/>
      <c r="R684" s="241"/>
      <c r="S684" s="241"/>
      <c r="T684" s="241"/>
      <c r="U684" s="241"/>
      <c r="V684" s="241"/>
      <c r="W684" s="241"/>
      <c r="X684" s="241"/>
      <c r="Y684" s="241"/>
      <c r="Z684" s="241"/>
      <c r="AA684" s="241"/>
      <c r="AB684" s="241"/>
      <c r="AC684" s="241"/>
      <c r="AD684" s="241"/>
      <c r="AE684" s="241"/>
      <c r="AF684" s="241"/>
      <c r="AG684" s="241"/>
      <c r="AH684" s="241"/>
      <c r="AI684" s="241"/>
      <c r="AJ684" s="241"/>
      <c r="AK684" s="241"/>
      <c r="AL684" s="241"/>
      <c r="AM684" s="241"/>
      <c r="AN684" s="241"/>
      <c r="AO684" s="241"/>
      <c r="AP684" s="241"/>
      <c r="AQ684" s="241"/>
      <c r="AR684" s="241"/>
      <c r="AS684" s="241"/>
      <c r="AT684" s="241"/>
      <c r="AU684" s="241"/>
      <c r="AV684" s="241"/>
      <c r="AW684" s="241"/>
      <c r="AX684" s="241"/>
      <c r="AY684" s="241"/>
      <c r="AZ684" s="241"/>
    </row>
    <row r="685" spans="1:52" ht="18" customHeight="1">
      <c r="A685" s="250"/>
      <c r="B685" s="241"/>
      <c r="C685" s="241"/>
      <c r="D685" s="241"/>
      <c r="E685" s="241"/>
      <c r="F685" s="241"/>
      <c r="G685" s="241"/>
      <c r="H685" s="241"/>
      <c r="I685" s="241"/>
      <c r="J685" s="241"/>
      <c r="K685" s="241"/>
      <c r="L685" s="241"/>
      <c r="M685" s="241"/>
      <c r="N685" s="241"/>
      <c r="O685" s="241"/>
      <c r="P685" s="241"/>
      <c r="Q685" s="241"/>
      <c r="R685" s="241"/>
      <c r="S685" s="241"/>
      <c r="T685" s="241"/>
      <c r="U685" s="241"/>
      <c r="V685" s="241"/>
      <c r="W685" s="241"/>
      <c r="X685" s="241"/>
      <c r="Y685" s="241"/>
      <c r="Z685" s="241"/>
      <c r="AA685" s="241"/>
      <c r="AB685" s="241"/>
      <c r="AC685" s="241"/>
      <c r="AD685" s="241"/>
      <c r="AE685" s="241"/>
      <c r="AF685" s="241"/>
      <c r="AG685" s="241"/>
      <c r="AH685" s="241"/>
      <c r="AI685" s="241"/>
      <c r="AJ685" s="241"/>
      <c r="AK685" s="241"/>
      <c r="AL685" s="241"/>
      <c r="AM685" s="241"/>
      <c r="AN685" s="241"/>
      <c r="AO685" s="241"/>
      <c r="AP685" s="241"/>
      <c r="AQ685" s="241"/>
      <c r="AR685" s="241"/>
      <c r="AS685" s="241"/>
      <c r="AT685" s="241"/>
      <c r="AU685" s="241"/>
      <c r="AV685" s="241"/>
      <c r="AW685" s="241"/>
      <c r="AX685" s="241"/>
      <c r="AY685" s="241"/>
      <c r="AZ685" s="241"/>
    </row>
    <row r="686" spans="1:52" ht="18" customHeight="1">
      <c r="A686" s="250"/>
      <c r="B686" s="241"/>
      <c r="C686" s="241"/>
      <c r="D686" s="241"/>
      <c r="E686" s="241"/>
      <c r="F686" s="241"/>
      <c r="G686" s="241"/>
      <c r="H686" s="241"/>
      <c r="I686" s="241"/>
      <c r="J686" s="241"/>
      <c r="K686" s="241"/>
      <c r="L686" s="241"/>
      <c r="M686" s="241"/>
      <c r="N686" s="241"/>
      <c r="O686" s="241"/>
      <c r="P686" s="241"/>
      <c r="Q686" s="241"/>
      <c r="R686" s="241"/>
      <c r="S686" s="241"/>
      <c r="T686" s="241"/>
      <c r="U686" s="241"/>
      <c r="V686" s="241"/>
      <c r="W686" s="241"/>
      <c r="X686" s="241"/>
      <c r="Y686" s="241"/>
      <c r="Z686" s="241"/>
      <c r="AA686" s="241"/>
      <c r="AB686" s="241"/>
      <c r="AC686" s="241"/>
      <c r="AD686" s="241"/>
      <c r="AE686" s="241"/>
      <c r="AF686" s="241"/>
      <c r="AG686" s="241"/>
      <c r="AH686" s="241"/>
      <c r="AI686" s="241"/>
      <c r="AJ686" s="241"/>
      <c r="AK686" s="241"/>
      <c r="AL686" s="241"/>
      <c r="AM686" s="241"/>
      <c r="AN686" s="241"/>
      <c r="AO686" s="241"/>
      <c r="AP686" s="241"/>
      <c r="AQ686" s="241"/>
      <c r="AR686" s="241"/>
      <c r="AS686" s="241"/>
      <c r="AT686" s="241"/>
      <c r="AU686" s="241"/>
      <c r="AV686" s="241"/>
      <c r="AW686" s="241"/>
      <c r="AX686" s="241"/>
      <c r="AY686" s="241"/>
      <c r="AZ686" s="241"/>
    </row>
    <row r="687" spans="1:52" ht="18" customHeight="1">
      <c r="A687" s="250"/>
      <c r="B687" s="241"/>
      <c r="C687" s="241"/>
      <c r="D687" s="241"/>
      <c r="E687" s="241"/>
      <c r="F687" s="241"/>
      <c r="G687" s="241"/>
      <c r="H687" s="241"/>
      <c r="I687" s="241"/>
      <c r="J687" s="241"/>
      <c r="K687" s="241"/>
      <c r="L687" s="241"/>
      <c r="M687" s="241"/>
      <c r="N687" s="241"/>
      <c r="O687" s="241"/>
      <c r="P687" s="241"/>
      <c r="Q687" s="241"/>
      <c r="R687" s="241"/>
      <c r="S687" s="241"/>
      <c r="T687" s="241"/>
      <c r="U687" s="241"/>
      <c r="V687" s="241"/>
      <c r="W687" s="241"/>
      <c r="X687" s="241"/>
      <c r="Y687" s="241"/>
      <c r="Z687" s="241"/>
      <c r="AA687" s="241"/>
      <c r="AB687" s="241"/>
      <c r="AC687" s="241"/>
      <c r="AD687" s="241"/>
      <c r="AE687" s="241"/>
      <c r="AF687" s="241"/>
      <c r="AG687" s="241"/>
      <c r="AH687" s="241"/>
      <c r="AI687" s="241"/>
      <c r="AJ687" s="241"/>
      <c r="AK687" s="241"/>
      <c r="AL687" s="241"/>
      <c r="AM687" s="241"/>
      <c r="AN687" s="241"/>
      <c r="AO687" s="241"/>
      <c r="AP687" s="241"/>
      <c r="AQ687" s="241"/>
      <c r="AR687" s="241"/>
      <c r="AS687" s="241"/>
      <c r="AT687" s="241"/>
      <c r="AU687" s="241"/>
      <c r="AV687" s="241"/>
      <c r="AW687" s="241"/>
      <c r="AX687" s="241"/>
      <c r="AY687" s="241"/>
      <c r="AZ687" s="241"/>
    </row>
    <row r="688" spans="1:52" ht="18" customHeight="1">
      <c r="A688" s="250"/>
      <c r="B688" s="241"/>
      <c r="C688" s="241"/>
      <c r="D688" s="241"/>
      <c r="E688" s="241"/>
      <c r="F688" s="241"/>
      <c r="G688" s="241"/>
      <c r="H688" s="241"/>
      <c r="I688" s="241"/>
      <c r="J688" s="241"/>
      <c r="K688" s="241"/>
      <c r="L688" s="241"/>
      <c r="M688" s="241"/>
      <c r="N688" s="241"/>
      <c r="O688" s="241"/>
      <c r="P688" s="241"/>
      <c r="Q688" s="241"/>
      <c r="R688" s="241"/>
      <c r="S688" s="241"/>
      <c r="T688" s="241"/>
      <c r="U688" s="241"/>
      <c r="V688" s="241"/>
      <c r="W688" s="241"/>
      <c r="X688" s="241"/>
      <c r="Y688" s="241"/>
      <c r="Z688" s="241"/>
      <c r="AA688" s="241"/>
      <c r="AB688" s="241"/>
      <c r="AC688" s="241"/>
      <c r="AD688" s="241"/>
      <c r="AE688" s="241"/>
      <c r="AF688" s="241"/>
      <c r="AG688" s="241"/>
      <c r="AH688" s="241"/>
      <c r="AI688" s="241"/>
      <c r="AJ688" s="241"/>
      <c r="AK688" s="241"/>
      <c r="AL688" s="241"/>
      <c r="AM688" s="241"/>
      <c r="AN688" s="241"/>
      <c r="AO688" s="241"/>
      <c r="AP688" s="241"/>
      <c r="AQ688" s="241"/>
      <c r="AR688" s="241"/>
      <c r="AS688" s="241"/>
      <c r="AT688" s="241"/>
      <c r="AU688" s="241"/>
      <c r="AV688" s="241"/>
      <c r="AW688" s="241"/>
      <c r="AX688" s="241"/>
      <c r="AY688" s="241"/>
      <c r="AZ688" s="241"/>
    </row>
    <row r="689" spans="1:52" ht="18" customHeight="1">
      <c r="A689" s="250"/>
      <c r="B689" s="241"/>
      <c r="C689" s="241"/>
      <c r="D689" s="241"/>
      <c r="E689" s="241"/>
      <c r="F689" s="241"/>
      <c r="G689" s="241"/>
      <c r="H689" s="241"/>
      <c r="I689" s="241"/>
      <c r="J689" s="241"/>
      <c r="K689" s="241"/>
      <c r="L689" s="241"/>
      <c r="M689" s="241"/>
      <c r="N689" s="241"/>
      <c r="O689" s="241"/>
      <c r="P689" s="241"/>
      <c r="Q689" s="241"/>
      <c r="R689" s="241"/>
      <c r="S689" s="241"/>
      <c r="T689" s="241"/>
      <c r="U689" s="241"/>
      <c r="V689" s="241"/>
      <c r="W689" s="241"/>
      <c r="X689" s="241"/>
      <c r="Y689" s="241"/>
      <c r="Z689" s="241"/>
      <c r="AA689" s="241"/>
      <c r="AB689" s="241"/>
      <c r="AC689" s="241"/>
      <c r="AD689" s="241"/>
      <c r="AE689" s="241"/>
      <c r="AF689" s="241"/>
      <c r="AG689" s="241"/>
      <c r="AH689" s="241"/>
      <c r="AI689" s="241"/>
      <c r="AJ689" s="241"/>
      <c r="AK689" s="241"/>
      <c r="AL689" s="241"/>
      <c r="AM689" s="241"/>
      <c r="AN689" s="241"/>
      <c r="AO689" s="241"/>
      <c r="AP689" s="241"/>
      <c r="AQ689" s="241"/>
      <c r="AR689" s="241"/>
      <c r="AS689" s="241"/>
      <c r="AT689" s="241"/>
      <c r="AU689" s="241"/>
      <c r="AV689" s="241"/>
      <c r="AW689" s="241"/>
      <c r="AX689" s="241"/>
      <c r="AY689" s="241"/>
      <c r="AZ689" s="241"/>
    </row>
    <row r="690" spans="1:52" ht="18" customHeight="1">
      <c r="A690" s="250"/>
      <c r="B690" s="241"/>
      <c r="C690" s="241"/>
      <c r="D690" s="241"/>
      <c r="E690" s="241"/>
      <c r="F690" s="241"/>
      <c r="G690" s="241"/>
      <c r="H690" s="241"/>
      <c r="I690" s="241"/>
      <c r="J690" s="241"/>
      <c r="K690" s="241"/>
      <c r="L690" s="241"/>
      <c r="M690" s="241"/>
      <c r="N690" s="241"/>
      <c r="O690" s="241"/>
      <c r="P690" s="241"/>
      <c r="Q690" s="241"/>
      <c r="R690" s="241"/>
      <c r="S690" s="241"/>
      <c r="T690" s="241"/>
      <c r="U690" s="241"/>
      <c r="V690" s="241"/>
      <c r="W690" s="241"/>
      <c r="X690" s="241"/>
      <c r="Y690" s="241"/>
      <c r="Z690" s="241"/>
      <c r="AA690" s="241"/>
      <c r="AB690" s="241"/>
      <c r="AC690" s="241"/>
      <c r="AD690" s="241"/>
      <c r="AE690" s="241"/>
      <c r="AF690" s="241"/>
      <c r="AG690" s="241"/>
      <c r="AH690" s="241"/>
      <c r="AI690" s="241"/>
      <c r="AJ690" s="241"/>
      <c r="AK690" s="241"/>
      <c r="AL690" s="241"/>
      <c r="AM690" s="241"/>
      <c r="AN690" s="241"/>
      <c r="AO690" s="241"/>
      <c r="AP690" s="241"/>
      <c r="AQ690" s="241"/>
      <c r="AR690" s="241"/>
      <c r="AS690" s="241"/>
      <c r="AT690" s="241"/>
      <c r="AU690" s="241"/>
      <c r="AV690" s="241"/>
      <c r="AW690" s="241"/>
      <c r="AX690" s="241"/>
      <c r="AY690" s="241"/>
      <c r="AZ690" s="241"/>
    </row>
    <row r="691" spans="1:52" ht="18" customHeight="1">
      <c r="A691" s="250"/>
      <c r="B691" s="241"/>
      <c r="C691" s="241"/>
      <c r="D691" s="241"/>
      <c r="E691" s="241"/>
      <c r="F691" s="241"/>
      <c r="G691" s="241"/>
      <c r="H691" s="241"/>
      <c r="I691" s="241"/>
      <c r="J691" s="241"/>
      <c r="K691" s="241"/>
      <c r="L691" s="241"/>
      <c r="M691" s="241"/>
      <c r="N691" s="241"/>
      <c r="O691" s="241"/>
      <c r="P691" s="241"/>
      <c r="Q691" s="241"/>
      <c r="R691" s="241"/>
      <c r="S691" s="241"/>
      <c r="T691" s="241"/>
      <c r="U691" s="241"/>
      <c r="V691" s="241"/>
      <c r="W691" s="241"/>
      <c r="X691" s="241"/>
      <c r="Y691" s="241"/>
      <c r="Z691" s="241"/>
      <c r="AA691" s="241"/>
      <c r="AB691" s="241"/>
      <c r="AC691" s="241"/>
      <c r="AD691" s="241"/>
      <c r="AE691" s="241"/>
      <c r="AF691" s="241"/>
      <c r="AG691" s="241"/>
      <c r="AH691" s="241"/>
      <c r="AI691" s="241"/>
      <c r="AJ691" s="241"/>
      <c r="AK691" s="241"/>
      <c r="AL691" s="241"/>
      <c r="AM691" s="241"/>
      <c r="AN691" s="241"/>
      <c r="AO691" s="241"/>
      <c r="AP691" s="241"/>
      <c r="AQ691" s="241"/>
      <c r="AR691" s="241"/>
      <c r="AS691" s="241"/>
      <c r="AT691" s="241"/>
      <c r="AU691" s="241"/>
      <c r="AV691" s="241"/>
      <c r="AW691" s="241"/>
      <c r="AX691" s="241"/>
      <c r="AY691" s="241"/>
      <c r="AZ691" s="241"/>
    </row>
    <row r="692" spans="1:52" ht="18" customHeight="1">
      <c r="A692" s="250"/>
      <c r="B692" s="241"/>
      <c r="C692" s="241"/>
      <c r="D692" s="241"/>
      <c r="E692" s="241"/>
      <c r="F692" s="241"/>
      <c r="G692" s="241"/>
      <c r="H692" s="241"/>
      <c r="I692" s="241"/>
      <c r="J692" s="241"/>
      <c r="K692" s="241"/>
      <c r="L692" s="241"/>
      <c r="M692" s="241"/>
      <c r="N692" s="241"/>
      <c r="O692" s="241"/>
      <c r="P692" s="241"/>
      <c r="Q692" s="241"/>
      <c r="R692" s="241"/>
      <c r="S692" s="241"/>
      <c r="T692" s="241"/>
      <c r="U692" s="241"/>
      <c r="V692" s="241"/>
      <c r="W692" s="241"/>
      <c r="X692" s="241"/>
      <c r="Y692" s="241"/>
      <c r="Z692" s="241"/>
      <c r="AA692" s="241"/>
      <c r="AB692" s="241"/>
      <c r="AC692" s="241"/>
      <c r="AD692" s="241"/>
      <c r="AE692" s="241"/>
      <c r="AF692" s="241"/>
      <c r="AG692" s="241"/>
      <c r="AH692" s="241"/>
      <c r="AI692" s="241"/>
      <c r="AJ692" s="241"/>
      <c r="AK692" s="241"/>
      <c r="AL692" s="241"/>
      <c r="AM692" s="241"/>
      <c r="AN692" s="241"/>
      <c r="AO692" s="241"/>
      <c r="AP692" s="241"/>
      <c r="AQ692" s="241"/>
      <c r="AR692" s="241"/>
      <c r="AS692" s="241"/>
      <c r="AT692" s="241"/>
      <c r="AU692" s="241"/>
      <c r="AV692" s="241"/>
      <c r="AW692" s="241"/>
      <c r="AX692" s="241"/>
      <c r="AY692" s="241"/>
      <c r="AZ692" s="241"/>
    </row>
    <row r="693" spans="1:52" ht="18" customHeight="1">
      <c r="A693" s="250"/>
      <c r="B693" s="241"/>
      <c r="C693" s="241"/>
      <c r="D693" s="241"/>
      <c r="E693" s="241"/>
      <c r="F693" s="241"/>
      <c r="G693" s="241"/>
      <c r="H693" s="241"/>
      <c r="I693" s="241"/>
      <c r="J693" s="241"/>
      <c r="K693" s="241"/>
      <c r="L693" s="241"/>
      <c r="M693" s="241"/>
      <c r="N693" s="241"/>
      <c r="O693" s="241"/>
      <c r="P693" s="241"/>
      <c r="Q693" s="241"/>
      <c r="R693" s="241"/>
      <c r="S693" s="241"/>
      <c r="T693" s="241"/>
      <c r="U693" s="241"/>
      <c r="V693" s="241"/>
      <c r="W693" s="241"/>
      <c r="X693" s="241"/>
      <c r="Y693" s="241"/>
      <c r="Z693" s="241"/>
      <c r="AA693" s="241"/>
      <c r="AB693" s="241"/>
      <c r="AC693" s="241"/>
      <c r="AD693" s="241"/>
      <c r="AE693" s="241"/>
      <c r="AF693" s="241"/>
      <c r="AG693" s="241"/>
      <c r="AH693" s="241"/>
      <c r="AI693" s="241"/>
      <c r="AJ693" s="241"/>
      <c r="AK693" s="241"/>
      <c r="AL693" s="241"/>
      <c r="AM693" s="241"/>
      <c r="AN693" s="241"/>
      <c r="AO693" s="241"/>
      <c r="AP693" s="241"/>
      <c r="AQ693" s="241"/>
      <c r="AR693" s="241"/>
      <c r="AS693" s="241"/>
      <c r="AT693" s="241"/>
      <c r="AU693" s="241"/>
      <c r="AV693" s="241"/>
      <c r="AW693" s="241"/>
      <c r="AX693" s="241"/>
      <c r="AY693" s="241"/>
      <c r="AZ693" s="241"/>
    </row>
    <row r="694" spans="1:52" ht="18" customHeight="1">
      <c r="A694" s="250"/>
      <c r="B694" s="241"/>
      <c r="C694" s="241"/>
      <c r="D694" s="241"/>
      <c r="E694" s="241"/>
      <c r="F694" s="241"/>
      <c r="G694" s="241"/>
      <c r="H694" s="241"/>
      <c r="I694" s="241"/>
      <c r="J694" s="241"/>
      <c r="K694" s="241"/>
      <c r="L694" s="241"/>
      <c r="M694" s="241"/>
      <c r="N694" s="241"/>
      <c r="O694" s="241"/>
      <c r="P694" s="241"/>
      <c r="Q694" s="241"/>
      <c r="R694" s="241"/>
      <c r="S694" s="241"/>
      <c r="T694" s="241"/>
      <c r="U694" s="241"/>
      <c r="V694" s="241"/>
      <c r="W694" s="241"/>
      <c r="X694" s="241"/>
      <c r="Y694" s="241"/>
      <c r="Z694" s="241"/>
      <c r="AA694" s="241"/>
      <c r="AB694" s="241"/>
      <c r="AC694" s="241"/>
      <c r="AD694" s="241"/>
      <c r="AE694" s="241"/>
      <c r="AF694" s="241"/>
      <c r="AG694" s="241"/>
      <c r="AH694" s="241"/>
      <c r="AI694" s="241"/>
      <c r="AJ694" s="241"/>
      <c r="AK694" s="241"/>
      <c r="AL694" s="241"/>
      <c r="AM694" s="241"/>
      <c r="AN694" s="241"/>
      <c r="AO694" s="241"/>
      <c r="AP694" s="241"/>
      <c r="AQ694" s="241"/>
      <c r="AR694" s="241"/>
      <c r="AS694" s="241"/>
      <c r="AT694" s="241"/>
      <c r="AU694" s="241"/>
      <c r="AV694" s="241"/>
      <c r="AW694" s="241"/>
      <c r="AX694" s="241"/>
      <c r="AY694" s="241"/>
      <c r="AZ694" s="241"/>
    </row>
    <row r="695" spans="1:52" ht="18" customHeight="1">
      <c r="A695" s="250"/>
      <c r="B695" s="241"/>
      <c r="C695" s="241"/>
      <c r="D695" s="241"/>
      <c r="E695" s="241"/>
      <c r="F695" s="241"/>
      <c r="G695" s="241"/>
      <c r="H695" s="241"/>
      <c r="I695" s="241"/>
      <c r="J695" s="241"/>
      <c r="K695" s="241"/>
      <c r="L695" s="241"/>
      <c r="M695" s="241"/>
      <c r="N695" s="241"/>
      <c r="O695" s="241"/>
      <c r="P695" s="241"/>
      <c r="Q695" s="241"/>
      <c r="R695" s="241"/>
      <c r="S695" s="241"/>
      <c r="T695" s="241"/>
      <c r="U695" s="241"/>
      <c r="V695" s="241"/>
      <c r="W695" s="241"/>
      <c r="X695" s="241"/>
      <c r="Y695" s="241"/>
      <c r="Z695" s="241"/>
      <c r="AA695" s="241"/>
      <c r="AB695" s="241"/>
      <c r="AC695" s="241"/>
      <c r="AD695" s="241"/>
      <c r="AE695" s="241"/>
      <c r="AF695" s="241"/>
      <c r="AG695" s="241"/>
      <c r="AH695" s="241"/>
      <c r="AI695" s="241"/>
      <c r="AJ695" s="241"/>
      <c r="AK695" s="241"/>
      <c r="AL695" s="241"/>
      <c r="AM695" s="241"/>
      <c r="AN695" s="241"/>
      <c r="AO695" s="241"/>
      <c r="AP695" s="241"/>
      <c r="AQ695" s="241"/>
      <c r="AR695" s="241"/>
      <c r="AS695" s="241"/>
      <c r="AT695" s="241"/>
      <c r="AU695" s="241"/>
      <c r="AV695" s="241"/>
      <c r="AW695" s="241"/>
      <c r="AX695" s="241"/>
      <c r="AY695" s="241"/>
      <c r="AZ695" s="241"/>
    </row>
    <row r="696" spans="1:52" ht="18" customHeight="1">
      <c r="A696" s="250"/>
      <c r="B696" s="241"/>
      <c r="C696" s="241"/>
      <c r="D696" s="241"/>
      <c r="E696" s="241"/>
      <c r="F696" s="241"/>
      <c r="G696" s="241"/>
      <c r="H696" s="241"/>
      <c r="I696" s="241"/>
      <c r="J696" s="241"/>
      <c r="K696" s="241"/>
      <c r="L696" s="241"/>
      <c r="M696" s="241"/>
      <c r="N696" s="241"/>
      <c r="O696" s="241"/>
      <c r="P696" s="241"/>
      <c r="Q696" s="241"/>
      <c r="R696" s="241"/>
      <c r="S696" s="241"/>
      <c r="T696" s="241"/>
      <c r="U696" s="241"/>
      <c r="V696" s="241"/>
      <c r="W696" s="241"/>
      <c r="X696" s="241"/>
      <c r="Y696" s="241"/>
      <c r="Z696" s="241"/>
      <c r="AA696" s="241"/>
      <c r="AB696" s="241"/>
      <c r="AC696" s="241"/>
      <c r="AD696" s="241"/>
      <c r="AE696" s="241"/>
      <c r="AF696" s="241"/>
      <c r="AG696" s="241"/>
      <c r="AH696" s="241"/>
      <c r="AI696" s="241"/>
      <c r="AJ696" s="241"/>
      <c r="AK696" s="241"/>
      <c r="AL696" s="241"/>
      <c r="AM696" s="241"/>
      <c r="AN696" s="241"/>
      <c r="AO696" s="241"/>
      <c r="AP696" s="241"/>
      <c r="AQ696" s="241"/>
      <c r="AR696" s="241"/>
      <c r="AS696" s="241"/>
      <c r="AT696" s="241"/>
      <c r="AU696" s="241"/>
      <c r="AV696" s="241"/>
      <c r="AW696" s="241"/>
      <c r="AX696" s="241"/>
      <c r="AY696" s="241"/>
      <c r="AZ696" s="241"/>
    </row>
    <row r="697" spans="1:52" ht="18" customHeight="1">
      <c r="A697" s="250"/>
      <c r="B697" s="241"/>
      <c r="C697" s="241"/>
      <c r="D697" s="241"/>
      <c r="E697" s="241"/>
      <c r="F697" s="241"/>
      <c r="G697" s="241"/>
      <c r="H697" s="241"/>
      <c r="I697" s="241"/>
      <c r="J697" s="241"/>
      <c r="K697" s="241"/>
      <c r="L697" s="241"/>
      <c r="M697" s="241"/>
      <c r="N697" s="241"/>
      <c r="O697" s="241"/>
      <c r="P697" s="241"/>
      <c r="Q697" s="241"/>
      <c r="R697" s="241"/>
      <c r="S697" s="241"/>
      <c r="T697" s="241"/>
      <c r="U697" s="241"/>
      <c r="V697" s="241"/>
      <c r="W697" s="241"/>
      <c r="X697" s="241"/>
      <c r="Y697" s="241"/>
      <c r="Z697" s="241"/>
      <c r="AA697" s="241"/>
      <c r="AB697" s="241"/>
      <c r="AC697" s="241"/>
      <c r="AD697" s="241"/>
      <c r="AE697" s="241"/>
      <c r="AF697" s="241"/>
      <c r="AG697" s="241"/>
      <c r="AH697" s="241"/>
      <c r="AI697" s="241"/>
      <c r="AJ697" s="241"/>
      <c r="AK697" s="241"/>
      <c r="AL697" s="241"/>
      <c r="AM697" s="241"/>
      <c r="AN697" s="241"/>
      <c r="AO697" s="241"/>
      <c r="AP697" s="241"/>
      <c r="AQ697" s="241"/>
      <c r="AR697" s="241"/>
      <c r="AS697" s="241"/>
      <c r="AT697" s="241"/>
      <c r="AU697" s="241"/>
      <c r="AV697" s="241"/>
      <c r="AW697" s="241"/>
      <c r="AX697" s="241"/>
      <c r="AY697" s="241"/>
      <c r="AZ697" s="241"/>
    </row>
    <row r="698" spans="1:52" ht="18" customHeight="1">
      <c r="A698" s="250"/>
      <c r="B698" s="241"/>
      <c r="C698" s="241"/>
      <c r="D698" s="241"/>
      <c r="E698" s="241"/>
      <c r="F698" s="241"/>
      <c r="G698" s="241"/>
      <c r="H698" s="241"/>
      <c r="I698" s="241"/>
      <c r="J698" s="241"/>
      <c r="K698" s="241"/>
      <c r="L698" s="241"/>
      <c r="M698" s="241"/>
      <c r="N698" s="241"/>
      <c r="O698" s="241"/>
      <c r="P698" s="241"/>
      <c r="Q698" s="241"/>
      <c r="R698" s="241"/>
      <c r="S698" s="241"/>
      <c r="T698" s="241"/>
      <c r="U698" s="241"/>
      <c r="V698" s="241"/>
      <c r="W698" s="241"/>
      <c r="X698" s="241"/>
      <c r="Y698" s="241"/>
      <c r="Z698" s="241"/>
      <c r="AA698" s="241"/>
      <c r="AB698" s="241"/>
      <c r="AC698" s="241"/>
      <c r="AD698" s="241"/>
      <c r="AE698" s="241"/>
      <c r="AF698" s="241"/>
      <c r="AG698" s="241"/>
      <c r="AH698" s="241"/>
      <c r="AI698" s="241"/>
      <c r="AJ698" s="241"/>
      <c r="AK698" s="241"/>
      <c r="AL698" s="241"/>
      <c r="AM698" s="241"/>
      <c r="AN698" s="241"/>
      <c r="AO698" s="241"/>
      <c r="AP698" s="241"/>
      <c r="AQ698" s="241"/>
      <c r="AR698" s="241"/>
      <c r="AS698" s="241"/>
      <c r="AT698" s="241"/>
      <c r="AU698" s="241"/>
      <c r="AV698" s="241"/>
      <c r="AW698" s="241"/>
      <c r="AX698" s="241"/>
      <c r="AY698" s="241"/>
      <c r="AZ698" s="241"/>
    </row>
    <row r="699" spans="1:52" ht="18" customHeight="1">
      <c r="A699" s="250"/>
      <c r="B699" s="241"/>
      <c r="C699" s="241"/>
      <c r="D699" s="241"/>
      <c r="E699" s="241"/>
      <c r="F699" s="241"/>
      <c r="G699" s="241"/>
      <c r="H699" s="241"/>
      <c r="I699" s="241"/>
      <c r="J699" s="241"/>
      <c r="K699" s="241"/>
      <c r="L699" s="241"/>
      <c r="M699" s="241"/>
      <c r="N699" s="241"/>
      <c r="O699" s="241"/>
      <c r="P699" s="241"/>
      <c r="Q699" s="241"/>
      <c r="R699" s="241"/>
      <c r="S699" s="241"/>
      <c r="T699" s="241"/>
      <c r="U699" s="241"/>
      <c r="V699" s="241"/>
      <c r="W699" s="241"/>
      <c r="X699" s="241"/>
      <c r="Y699" s="241"/>
      <c r="Z699" s="241"/>
      <c r="AA699" s="241"/>
      <c r="AB699" s="241"/>
      <c r="AC699" s="241"/>
      <c r="AD699" s="241"/>
      <c r="AE699" s="241"/>
      <c r="AF699" s="241"/>
      <c r="AG699" s="241"/>
      <c r="AH699" s="241"/>
      <c r="AI699" s="241"/>
      <c r="AJ699" s="241"/>
      <c r="AK699" s="241"/>
      <c r="AL699" s="241"/>
      <c r="AM699" s="241"/>
      <c r="AN699" s="241"/>
      <c r="AO699" s="241"/>
      <c r="AP699" s="241"/>
      <c r="AQ699" s="241"/>
      <c r="AR699" s="241"/>
      <c r="AS699" s="241"/>
      <c r="AT699" s="241"/>
      <c r="AU699" s="241"/>
      <c r="AV699" s="241"/>
      <c r="AW699" s="241"/>
      <c r="AX699" s="241"/>
      <c r="AY699" s="241"/>
      <c r="AZ699" s="241"/>
    </row>
    <row r="700" spans="1:52" ht="18" customHeight="1">
      <c r="A700" s="250"/>
      <c r="B700" s="241"/>
      <c r="C700" s="241"/>
      <c r="D700" s="241"/>
      <c r="E700" s="241"/>
      <c r="F700" s="241"/>
      <c r="G700" s="241"/>
      <c r="H700" s="241"/>
      <c r="I700" s="241"/>
      <c r="J700" s="241"/>
      <c r="K700" s="241"/>
      <c r="L700" s="241"/>
      <c r="M700" s="241"/>
      <c r="N700" s="241"/>
      <c r="O700" s="241"/>
      <c r="P700" s="241"/>
      <c r="Q700" s="241"/>
      <c r="R700" s="241"/>
      <c r="S700" s="241"/>
      <c r="T700" s="241"/>
      <c r="U700" s="241"/>
      <c r="V700" s="241"/>
      <c r="W700" s="241"/>
      <c r="X700" s="241"/>
      <c r="Y700" s="241"/>
      <c r="Z700" s="241"/>
      <c r="AA700" s="241"/>
      <c r="AB700" s="241"/>
      <c r="AC700" s="241"/>
      <c r="AD700" s="241"/>
      <c r="AE700" s="241"/>
      <c r="AF700" s="241"/>
      <c r="AG700" s="241"/>
      <c r="AH700" s="241"/>
      <c r="AI700" s="241"/>
      <c r="AJ700" s="241"/>
      <c r="AK700" s="241"/>
      <c r="AL700" s="241"/>
      <c r="AM700" s="241"/>
      <c r="AN700" s="241"/>
      <c r="AO700" s="241"/>
      <c r="AP700" s="241"/>
      <c r="AQ700" s="241"/>
      <c r="AR700" s="241"/>
      <c r="AS700" s="241"/>
      <c r="AT700" s="241"/>
      <c r="AU700" s="241"/>
      <c r="AV700" s="241"/>
      <c r="AW700" s="241"/>
      <c r="AX700" s="241"/>
      <c r="AY700" s="241"/>
      <c r="AZ700" s="241"/>
    </row>
    <row r="701" spans="1:52" ht="18" customHeight="1">
      <c r="A701" s="250"/>
      <c r="B701" s="241"/>
      <c r="C701" s="241"/>
      <c r="D701" s="241"/>
      <c r="E701" s="241"/>
      <c r="F701" s="241"/>
      <c r="G701" s="241"/>
      <c r="H701" s="241"/>
      <c r="I701" s="241"/>
      <c r="J701" s="241"/>
      <c r="K701" s="241"/>
      <c r="L701" s="241"/>
      <c r="M701" s="241"/>
      <c r="N701" s="241"/>
      <c r="O701" s="241"/>
      <c r="P701" s="241"/>
      <c r="Q701" s="241"/>
      <c r="R701" s="241"/>
      <c r="S701" s="241"/>
      <c r="T701" s="241"/>
      <c r="U701" s="241"/>
      <c r="V701" s="241"/>
      <c r="W701" s="241"/>
      <c r="X701" s="241"/>
      <c r="Y701" s="241"/>
      <c r="Z701" s="241"/>
      <c r="AA701" s="241"/>
      <c r="AB701" s="241"/>
      <c r="AC701" s="241"/>
      <c r="AD701" s="241"/>
      <c r="AE701" s="241"/>
      <c r="AF701" s="241"/>
      <c r="AG701" s="241"/>
      <c r="AH701" s="241"/>
      <c r="AI701" s="241"/>
      <c r="AJ701" s="241"/>
      <c r="AK701" s="241"/>
      <c r="AL701" s="241"/>
      <c r="AM701" s="241"/>
      <c r="AN701" s="241"/>
      <c r="AO701" s="241"/>
      <c r="AP701" s="241"/>
      <c r="AQ701" s="241"/>
      <c r="AR701" s="241"/>
      <c r="AS701" s="241"/>
      <c r="AT701" s="241"/>
      <c r="AU701" s="241"/>
      <c r="AV701" s="241"/>
      <c r="AW701" s="241"/>
      <c r="AX701" s="241"/>
      <c r="AY701" s="241"/>
      <c r="AZ701" s="241"/>
    </row>
    <row r="702" spans="1:52" ht="18" customHeight="1">
      <c r="A702" s="250"/>
      <c r="B702" s="241"/>
      <c r="C702" s="241"/>
      <c r="D702" s="241"/>
      <c r="E702" s="241"/>
      <c r="F702" s="241"/>
      <c r="G702" s="241"/>
      <c r="H702" s="241"/>
      <c r="I702" s="241"/>
      <c r="J702" s="241"/>
      <c r="K702" s="241"/>
      <c r="L702" s="241"/>
      <c r="M702" s="241"/>
      <c r="N702" s="241"/>
      <c r="O702" s="241"/>
      <c r="P702" s="241"/>
      <c r="Q702" s="241"/>
      <c r="R702" s="241"/>
      <c r="S702" s="241"/>
      <c r="T702" s="241"/>
      <c r="U702" s="241"/>
      <c r="V702" s="241"/>
      <c r="W702" s="241"/>
      <c r="X702" s="241"/>
      <c r="Y702" s="241"/>
      <c r="Z702" s="241"/>
      <c r="AA702" s="241"/>
      <c r="AB702" s="241"/>
      <c r="AC702" s="241"/>
      <c r="AD702" s="241"/>
      <c r="AE702" s="241"/>
      <c r="AF702" s="241"/>
      <c r="AG702" s="241"/>
      <c r="AH702" s="241"/>
      <c r="AI702" s="241"/>
      <c r="AJ702" s="241"/>
      <c r="AK702" s="241"/>
      <c r="AL702" s="241"/>
      <c r="AM702" s="241"/>
      <c r="AN702" s="241"/>
      <c r="AO702" s="241"/>
      <c r="AP702" s="241"/>
      <c r="AQ702" s="241"/>
      <c r="AR702" s="241"/>
      <c r="AS702" s="241"/>
      <c r="AT702" s="241"/>
      <c r="AU702" s="241"/>
      <c r="AV702" s="241"/>
      <c r="AW702" s="241"/>
      <c r="AX702" s="241"/>
      <c r="AY702" s="241"/>
      <c r="AZ702" s="241"/>
    </row>
    <row r="703" spans="1:52" ht="18" customHeight="1">
      <c r="A703" s="250"/>
      <c r="B703" s="241"/>
      <c r="C703" s="241"/>
      <c r="D703" s="241"/>
      <c r="E703" s="241"/>
      <c r="F703" s="241"/>
      <c r="G703" s="241"/>
      <c r="H703" s="241"/>
      <c r="I703" s="241"/>
      <c r="J703" s="241"/>
      <c r="K703" s="241"/>
      <c r="L703" s="241"/>
      <c r="M703" s="241"/>
      <c r="N703" s="241"/>
      <c r="O703" s="241"/>
      <c r="P703" s="241"/>
      <c r="Q703" s="241"/>
      <c r="R703" s="241"/>
      <c r="S703" s="241"/>
      <c r="T703" s="241"/>
      <c r="U703" s="241"/>
      <c r="V703" s="241"/>
      <c r="W703" s="241"/>
      <c r="X703" s="241"/>
      <c r="Y703" s="241"/>
      <c r="Z703" s="241"/>
      <c r="AA703" s="241"/>
      <c r="AB703" s="241"/>
      <c r="AC703" s="241"/>
      <c r="AD703" s="241"/>
      <c r="AE703" s="241"/>
      <c r="AF703" s="241"/>
      <c r="AG703" s="241"/>
      <c r="AH703" s="241"/>
      <c r="AI703" s="241"/>
      <c r="AJ703" s="241"/>
      <c r="AK703" s="241"/>
      <c r="AL703" s="241"/>
      <c r="AM703" s="241"/>
      <c r="AN703" s="241"/>
      <c r="AO703" s="241"/>
      <c r="AP703" s="241"/>
      <c r="AQ703" s="241"/>
      <c r="AR703" s="241"/>
      <c r="AS703" s="241"/>
      <c r="AT703" s="241"/>
      <c r="AU703" s="241"/>
      <c r="AV703" s="241"/>
      <c r="AW703" s="241"/>
      <c r="AX703" s="241"/>
      <c r="AY703" s="241"/>
      <c r="AZ703" s="241"/>
    </row>
    <row r="704" spans="1:52" ht="18" customHeight="1">
      <c r="A704" s="250"/>
      <c r="B704" s="241"/>
      <c r="C704" s="241"/>
      <c r="D704" s="241"/>
      <c r="E704" s="241"/>
      <c r="F704" s="241"/>
      <c r="G704" s="241"/>
      <c r="H704" s="241"/>
      <c r="I704" s="241"/>
      <c r="J704" s="241"/>
      <c r="K704" s="241"/>
      <c r="L704" s="241"/>
      <c r="M704" s="241"/>
      <c r="N704" s="241"/>
      <c r="O704" s="241"/>
      <c r="P704" s="241"/>
      <c r="Q704" s="241"/>
      <c r="R704" s="241"/>
      <c r="S704" s="241"/>
      <c r="T704" s="241"/>
      <c r="U704" s="241"/>
      <c r="V704" s="241"/>
      <c r="W704" s="241"/>
      <c r="X704" s="241"/>
      <c r="Y704" s="241"/>
      <c r="Z704" s="241"/>
      <c r="AA704" s="241"/>
      <c r="AB704" s="241"/>
      <c r="AC704" s="241"/>
      <c r="AD704" s="241"/>
      <c r="AE704" s="241"/>
      <c r="AF704" s="241"/>
      <c r="AG704" s="241"/>
      <c r="AH704" s="241"/>
      <c r="AI704" s="241"/>
      <c r="AJ704" s="241"/>
      <c r="AK704" s="241"/>
      <c r="AL704" s="241"/>
      <c r="AM704" s="241"/>
      <c r="AN704" s="241"/>
      <c r="AO704" s="241"/>
      <c r="AP704" s="241"/>
      <c r="AQ704" s="241"/>
      <c r="AR704" s="241"/>
      <c r="AS704" s="241"/>
      <c r="AT704" s="241"/>
      <c r="AU704" s="241"/>
      <c r="AV704" s="241"/>
      <c r="AW704" s="241"/>
      <c r="AX704" s="241"/>
      <c r="AY704" s="241"/>
      <c r="AZ704" s="241"/>
    </row>
    <row r="705" spans="1:52" ht="18" customHeight="1">
      <c r="A705" s="250"/>
      <c r="B705" s="241"/>
      <c r="C705" s="241"/>
      <c r="D705" s="241"/>
      <c r="E705" s="241"/>
      <c r="F705" s="241"/>
      <c r="G705" s="241"/>
      <c r="H705" s="241"/>
      <c r="I705" s="241"/>
      <c r="J705" s="241"/>
      <c r="K705" s="241"/>
      <c r="L705" s="241"/>
      <c r="M705" s="241"/>
      <c r="N705" s="241"/>
      <c r="O705" s="241"/>
      <c r="P705" s="241"/>
      <c r="Q705" s="241"/>
      <c r="R705" s="241"/>
      <c r="S705" s="241"/>
      <c r="T705" s="241"/>
      <c r="U705" s="241"/>
      <c r="V705" s="241"/>
      <c r="W705" s="241"/>
      <c r="X705" s="241"/>
      <c r="Y705" s="241"/>
      <c r="Z705" s="241"/>
      <c r="AA705" s="241"/>
      <c r="AB705" s="241"/>
      <c r="AC705" s="241"/>
      <c r="AD705" s="241"/>
      <c r="AE705" s="241"/>
      <c r="AF705" s="241"/>
      <c r="AG705" s="241"/>
      <c r="AH705" s="241"/>
      <c r="AI705" s="241"/>
      <c r="AJ705" s="241"/>
      <c r="AK705" s="241"/>
      <c r="AL705" s="241"/>
      <c r="AM705" s="241"/>
      <c r="AN705" s="241"/>
      <c r="AO705" s="241"/>
      <c r="AP705" s="241"/>
      <c r="AQ705" s="241"/>
      <c r="AR705" s="241"/>
      <c r="AS705" s="241"/>
      <c r="AT705" s="241"/>
      <c r="AU705" s="241"/>
      <c r="AV705" s="241"/>
      <c r="AW705" s="241"/>
      <c r="AX705" s="241"/>
      <c r="AY705" s="241"/>
      <c r="AZ705" s="241"/>
    </row>
    <row r="706" spans="1:52" ht="18" customHeight="1">
      <c r="A706" s="250"/>
      <c r="B706" s="241"/>
      <c r="C706" s="241"/>
      <c r="D706" s="241"/>
      <c r="E706" s="241"/>
      <c r="F706" s="241"/>
      <c r="G706" s="241"/>
      <c r="H706" s="241"/>
      <c r="I706" s="241"/>
      <c r="J706" s="241"/>
      <c r="K706" s="241"/>
      <c r="L706" s="241"/>
      <c r="M706" s="241"/>
      <c r="N706" s="241"/>
      <c r="O706" s="241"/>
      <c r="P706" s="241"/>
      <c r="Q706" s="241"/>
      <c r="R706" s="241"/>
      <c r="S706" s="241"/>
      <c r="T706" s="241"/>
      <c r="U706" s="241"/>
      <c r="V706" s="241"/>
      <c r="W706" s="241"/>
      <c r="X706" s="241"/>
      <c r="Y706" s="241"/>
      <c r="Z706" s="241"/>
      <c r="AA706" s="241"/>
      <c r="AB706" s="241"/>
      <c r="AC706" s="241"/>
      <c r="AD706" s="241"/>
      <c r="AE706" s="241"/>
      <c r="AF706" s="241"/>
      <c r="AG706" s="241"/>
      <c r="AH706" s="241"/>
      <c r="AI706" s="241"/>
      <c r="AJ706" s="241"/>
      <c r="AK706" s="241"/>
      <c r="AL706" s="241"/>
      <c r="AM706" s="241"/>
      <c r="AN706" s="241"/>
      <c r="AO706" s="241"/>
      <c r="AP706" s="241"/>
      <c r="AQ706" s="241"/>
      <c r="AR706" s="241"/>
      <c r="AS706" s="241"/>
      <c r="AT706" s="241"/>
      <c r="AU706" s="241"/>
      <c r="AV706" s="241"/>
      <c r="AW706" s="241"/>
      <c r="AX706" s="241"/>
      <c r="AY706" s="241"/>
      <c r="AZ706" s="241"/>
    </row>
    <row r="707" spans="1:52" ht="18" customHeight="1">
      <c r="A707" s="250"/>
      <c r="B707" s="241"/>
      <c r="C707" s="241"/>
      <c r="D707" s="241"/>
      <c r="E707" s="241"/>
      <c r="F707" s="241"/>
      <c r="G707" s="241"/>
      <c r="H707" s="241"/>
      <c r="I707" s="241"/>
      <c r="J707" s="241"/>
      <c r="K707" s="241"/>
      <c r="L707" s="241"/>
      <c r="M707" s="241"/>
      <c r="N707" s="241"/>
      <c r="O707" s="241"/>
      <c r="P707" s="241"/>
      <c r="Q707" s="241"/>
      <c r="R707" s="241"/>
      <c r="S707" s="241"/>
      <c r="T707" s="241"/>
      <c r="U707" s="241"/>
      <c r="V707" s="241"/>
      <c r="W707" s="241"/>
      <c r="X707" s="241"/>
      <c r="Y707" s="241"/>
      <c r="Z707" s="241"/>
      <c r="AA707" s="241"/>
      <c r="AB707" s="241"/>
      <c r="AC707" s="241"/>
      <c r="AD707" s="241"/>
      <c r="AE707" s="241"/>
      <c r="AF707" s="241"/>
      <c r="AG707" s="241"/>
      <c r="AH707" s="241"/>
      <c r="AI707" s="241"/>
      <c r="AJ707" s="241"/>
      <c r="AK707" s="241"/>
      <c r="AL707" s="241"/>
      <c r="AM707" s="241"/>
      <c r="AN707" s="241"/>
      <c r="AO707" s="241"/>
      <c r="AP707" s="241"/>
      <c r="AQ707" s="241"/>
      <c r="AR707" s="241"/>
      <c r="AS707" s="241"/>
      <c r="AT707" s="241"/>
      <c r="AU707" s="241"/>
      <c r="AV707" s="241"/>
      <c r="AW707" s="241"/>
      <c r="AX707" s="241"/>
      <c r="AY707" s="241"/>
      <c r="AZ707" s="241"/>
    </row>
    <row r="708" spans="1:52" ht="18" customHeight="1">
      <c r="A708" s="250"/>
      <c r="B708" s="241"/>
      <c r="C708" s="241"/>
      <c r="D708" s="241"/>
      <c r="E708" s="241"/>
      <c r="F708" s="241"/>
      <c r="G708" s="241"/>
      <c r="H708" s="241"/>
      <c r="I708" s="241"/>
      <c r="J708" s="241"/>
      <c r="K708" s="241"/>
      <c r="L708" s="241"/>
      <c r="M708" s="241"/>
      <c r="N708" s="241"/>
      <c r="O708" s="241"/>
      <c r="P708" s="241"/>
      <c r="Q708" s="241"/>
      <c r="R708" s="241"/>
      <c r="S708" s="241"/>
      <c r="T708" s="241"/>
      <c r="U708" s="241"/>
      <c r="V708" s="241"/>
      <c r="W708" s="241"/>
      <c r="X708" s="241"/>
      <c r="Y708" s="241"/>
      <c r="Z708" s="241"/>
      <c r="AA708" s="241"/>
      <c r="AB708" s="241"/>
      <c r="AC708" s="241"/>
      <c r="AD708" s="241"/>
      <c r="AE708" s="241"/>
      <c r="AF708" s="241"/>
      <c r="AG708" s="241"/>
      <c r="AH708" s="241"/>
      <c r="AI708" s="241"/>
      <c r="AJ708" s="241"/>
      <c r="AK708" s="241"/>
      <c r="AL708" s="241"/>
      <c r="AM708" s="241"/>
      <c r="AN708" s="241"/>
      <c r="AO708" s="241"/>
      <c r="AP708" s="241"/>
      <c r="AQ708" s="241"/>
      <c r="AR708" s="241"/>
      <c r="AS708" s="241"/>
      <c r="AT708" s="241"/>
      <c r="AU708" s="241"/>
      <c r="AV708" s="241"/>
      <c r="AW708" s="241"/>
      <c r="AX708" s="241"/>
      <c r="AY708" s="241"/>
      <c r="AZ708" s="241"/>
    </row>
    <row r="709" spans="1:52" ht="18" customHeight="1">
      <c r="A709" s="250"/>
      <c r="B709" s="241"/>
      <c r="C709" s="241"/>
      <c r="D709" s="241"/>
      <c r="E709" s="241"/>
      <c r="F709" s="241"/>
      <c r="G709" s="241"/>
      <c r="H709" s="241"/>
      <c r="I709" s="241"/>
      <c r="J709" s="241"/>
      <c r="K709" s="241"/>
      <c r="L709" s="241"/>
      <c r="M709" s="241"/>
      <c r="N709" s="241"/>
      <c r="O709" s="241"/>
      <c r="P709" s="241"/>
      <c r="Q709" s="241"/>
      <c r="R709" s="241"/>
      <c r="S709" s="241"/>
      <c r="T709" s="241"/>
      <c r="U709" s="241"/>
      <c r="V709" s="241"/>
      <c r="W709" s="241"/>
      <c r="X709" s="241"/>
      <c r="Y709" s="241"/>
      <c r="Z709" s="241"/>
      <c r="AA709" s="241"/>
      <c r="AB709" s="241"/>
      <c r="AC709" s="241"/>
      <c r="AD709" s="241"/>
      <c r="AE709" s="241"/>
      <c r="AF709" s="241"/>
      <c r="AG709" s="241"/>
      <c r="AH709" s="241"/>
      <c r="AI709" s="241"/>
      <c r="AJ709" s="241"/>
      <c r="AK709" s="241"/>
      <c r="AL709" s="241"/>
      <c r="AM709" s="241"/>
      <c r="AN709" s="241"/>
      <c r="AO709" s="241"/>
      <c r="AP709" s="241"/>
      <c r="AQ709" s="241"/>
      <c r="AR709" s="241"/>
      <c r="AS709" s="241"/>
      <c r="AT709" s="241"/>
      <c r="AU709" s="241"/>
      <c r="AV709" s="241"/>
      <c r="AW709" s="241"/>
      <c r="AX709" s="241"/>
      <c r="AY709" s="241"/>
      <c r="AZ709" s="241"/>
    </row>
    <row r="710" spans="1:52" ht="18" customHeight="1">
      <c r="A710" s="250"/>
      <c r="B710" s="241"/>
      <c r="C710" s="241"/>
      <c r="D710" s="241"/>
      <c r="E710" s="241"/>
      <c r="F710" s="241"/>
      <c r="G710" s="241"/>
      <c r="H710" s="241"/>
      <c r="I710" s="241"/>
      <c r="J710" s="241"/>
      <c r="K710" s="241"/>
      <c r="L710" s="241"/>
      <c r="M710" s="241"/>
      <c r="N710" s="241"/>
      <c r="O710" s="241"/>
      <c r="P710" s="241"/>
      <c r="Q710" s="241"/>
      <c r="R710" s="241"/>
      <c r="S710" s="241"/>
      <c r="T710" s="241"/>
      <c r="U710" s="241"/>
      <c r="V710" s="241"/>
      <c r="W710" s="241"/>
      <c r="X710" s="241"/>
      <c r="Y710" s="241"/>
      <c r="Z710" s="241"/>
      <c r="AA710" s="241"/>
      <c r="AB710" s="241"/>
      <c r="AC710" s="241"/>
      <c r="AD710" s="241"/>
      <c r="AE710" s="241"/>
      <c r="AF710" s="241"/>
      <c r="AG710" s="241"/>
      <c r="AH710" s="241"/>
      <c r="AI710" s="241"/>
      <c r="AJ710" s="241"/>
      <c r="AK710" s="241"/>
      <c r="AL710" s="241"/>
      <c r="AM710" s="241"/>
      <c r="AN710" s="241"/>
      <c r="AO710" s="241"/>
      <c r="AP710" s="241"/>
      <c r="AQ710" s="241"/>
      <c r="AR710" s="241"/>
      <c r="AS710" s="241"/>
      <c r="AT710" s="241"/>
      <c r="AU710" s="241"/>
      <c r="AV710" s="241"/>
      <c r="AW710" s="241"/>
      <c r="AX710" s="241"/>
      <c r="AY710" s="241"/>
      <c r="AZ710" s="241"/>
    </row>
    <row r="711" spans="1:52" ht="18" customHeight="1">
      <c r="A711" s="250"/>
      <c r="B711" s="241"/>
      <c r="C711" s="241"/>
      <c r="D711" s="241"/>
      <c r="E711" s="241"/>
      <c r="F711" s="241"/>
      <c r="G711" s="241"/>
      <c r="H711" s="241"/>
      <c r="I711" s="241"/>
      <c r="J711" s="241"/>
      <c r="K711" s="241"/>
      <c r="L711" s="241"/>
      <c r="M711" s="241"/>
      <c r="N711" s="241"/>
      <c r="O711" s="241"/>
      <c r="P711" s="241"/>
      <c r="Q711" s="241"/>
      <c r="R711" s="241"/>
      <c r="S711" s="241"/>
      <c r="T711" s="241"/>
      <c r="U711" s="241"/>
      <c r="V711" s="241"/>
      <c r="W711" s="241"/>
      <c r="X711" s="241"/>
      <c r="Y711" s="241"/>
      <c r="Z711" s="241"/>
      <c r="AA711" s="241"/>
      <c r="AB711" s="241"/>
      <c r="AC711" s="241"/>
      <c r="AD711" s="241"/>
      <c r="AE711" s="241"/>
      <c r="AF711" s="241"/>
      <c r="AG711" s="241"/>
      <c r="AH711" s="241"/>
      <c r="AI711" s="241"/>
      <c r="AJ711" s="241"/>
      <c r="AK711" s="241"/>
      <c r="AL711" s="241"/>
      <c r="AM711" s="241"/>
      <c r="AN711" s="241"/>
      <c r="AO711" s="241"/>
      <c r="AP711" s="241"/>
      <c r="AQ711" s="241"/>
      <c r="AR711" s="241"/>
      <c r="AS711" s="241"/>
      <c r="AT711" s="241"/>
      <c r="AU711" s="241"/>
      <c r="AV711" s="241"/>
      <c r="AW711" s="241"/>
      <c r="AX711" s="241"/>
      <c r="AY711" s="241"/>
      <c r="AZ711" s="241"/>
    </row>
    <row r="712" spans="1:52" ht="18" customHeight="1">
      <c r="A712" s="250"/>
      <c r="B712" s="241"/>
      <c r="C712" s="241"/>
      <c r="D712" s="241"/>
      <c r="E712" s="241"/>
      <c r="F712" s="241"/>
      <c r="G712" s="241"/>
      <c r="H712" s="241"/>
      <c r="I712" s="241"/>
      <c r="J712" s="241"/>
      <c r="K712" s="241"/>
      <c r="L712" s="241"/>
      <c r="M712" s="241"/>
      <c r="N712" s="241"/>
      <c r="O712" s="241"/>
      <c r="P712" s="241"/>
      <c r="Q712" s="241"/>
      <c r="R712" s="241"/>
      <c r="S712" s="241"/>
      <c r="T712" s="241"/>
      <c r="U712" s="241"/>
      <c r="V712" s="241"/>
      <c r="W712" s="241"/>
      <c r="X712" s="241"/>
      <c r="Y712" s="241"/>
      <c r="Z712" s="241"/>
      <c r="AA712" s="241"/>
      <c r="AB712" s="241"/>
      <c r="AC712" s="241"/>
      <c r="AD712" s="241"/>
      <c r="AE712" s="241"/>
      <c r="AF712" s="241"/>
      <c r="AG712" s="241"/>
      <c r="AH712" s="241"/>
      <c r="AI712" s="241"/>
      <c r="AJ712" s="241"/>
      <c r="AK712" s="241"/>
      <c r="AL712" s="241"/>
      <c r="AM712" s="241"/>
      <c r="AN712" s="241"/>
      <c r="AO712" s="241"/>
      <c r="AP712" s="241"/>
      <c r="AQ712" s="241"/>
      <c r="AR712" s="241"/>
      <c r="AS712" s="241"/>
      <c r="AT712" s="241"/>
      <c r="AU712" s="241"/>
      <c r="AV712" s="241"/>
      <c r="AW712" s="241"/>
      <c r="AX712" s="241"/>
      <c r="AY712" s="241"/>
      <c r="AZ712" s="241"/>
    </row>
    <row r="713" spans="1:52" ht="18" customHeight="1">
      <c r="A713" s="250"/>
      <c r="B713" s="241"/>
      <c r="C713" s="241"/>
      <c r="D713" s="241"/>
      <c r="E713" s="241"/>
      <c r="F713" s="241"/>
      <c r="G713" s="241"/>
      <c r="H713" s="241"/>
      <c r="I713" s="241"/>
      <c r="J713" s="241"/>
      <c r="K713" s="241"/>
      <c r="L713" s="241"/>
      <c r="M713" s="241"/>
      <c r="N713" s="241"/>
      <c r="O713" s="241"/>
      <c r="P713" s="241"/>
      <c r="Q713" s="241"/>
      <c r="R713" s="241"/>
      <c r="S713" s="241"/>
      <c r="T713" s="241"/>
      <c r="U713" s="241"/>
      <c r="V713" s="241"/>
      <c r="W713" s="241"/>
      <c r="X713" s="241"/>
      <c r="Y713" s="241"/>
      <c r="Z713" s="241"/>
      <c r="AA713" s="241"/>
      <c r="AB713" s="241"/>
      <c r="AC713" s="241"/>
      <c r="AD713" s="241"/>
      <c r="AE713" s="241"/>
      <c r="AF713" s="241"/>
      <c r="AG713" s="241"/>
      <c r="AH713" s="241"/>
      <c r="AI713" s="241"/>
      <c r="AJ713" s="241"/>
      <c r="AK713" s="241"/>
      <c r="AL713" s="241"/>
      <c r="AM713" s="241"/>
      <c r="AN713" s="241"/>
      <c r="AO713" s="241"/>
      <c r="AP713" s="241"/>
      <c r="AQ713" s="241"/>
      <c r="AR713" s="241"/>
      <c r="AS713" s="241"/>
      <c r="AT713" s="241"/>
      <c r="AU713" s="241"/>
      <c r="AV713" s="241"/>
      <c r="AW713" s="241"/>
      <c r="AX713" s="241"/>
      <c r="AY713" s="241"/>
      <c r="AZ713" s="241"/>
    </row>
    <row r="714" spans="1:52" ht="18" customHeight="1">
      <c r="A714" s="250"/>
      <c r="B714" s="241"/>
      <c r="C714" s="241"/>
      <c r="D714" s="241"/>
      <c r="E714" s="241"/>
      <c r="F714" s="241"/>
      <c r="G714" s="241"/>
      <c r="H714" s="241"/>
      <c r="I714" s="241"/>
      <c r="J714" s="241"/>
      <c r="K714" s="241"/>
      <c r="L714" s="241"/>
      <c r="M714" s="241"/>
      <c r="N714" s="241"/>
      <c r="O714" s="241"/>
      <c r="P714" s="241"/>
      <c r="Q714" s="241"/>
      <c r="R714" s="241"/>
      <c r="S714" s="241"/>
      <c r="T714" s="241"/>
      <c r="U714" s="241"/>
      <c r="V714" s="241"/>
      <c r="W714" s="241"/>
      <c r="X714" s="241"/>
      <c r="Y714" s="241"/>
      <c r="Z714" s="241"/>
      <c r="AA714" s="241"/>
      <c r="AB714" s="241"/>
      <c r="AC714" s="241"/>
      <c r="AD714" s="241"/>
      <c r="AE714" s="241"/>
      <c r="AF714" s="241"/>
      <c r="AG714" s="241"/>
      <c r="AH714" s="241"/>
      <c r="AI714" s="241"/>
      <c r="AJ714" s="241"/>
      <c r="AK714" s="241"/>
      <c r="AL714" s="241"/>
      <c r="AM714" s="241"/>
      <c r="AN714" s="241"/>
      <c r="AO714" s="241"/>
      <c r="AP714" s="241"/>
      <c r="AQ714" s="241"/>
      <c r="AR714" s="241"/>
      <c r="AS714" s="241"/>
      <c r="AT714" s="241"/>
      <c r="AU714" s="241"/>
      <c r="AV714" s="241"/>
      <c r="AW714" s="241"/>
      <c r="AX714" s="241"/>
      <c r="AY714" s="241"/>
      <c r="AZ714" s="241"/>
    </row>
    <row r="715" spans="1:52" ht="18" customHeight="1">
      <c r="A715" s="250"/>
      <c r="B715" s="241"/>
      <c r="C715" s="241"/>
      <c r="D715" s="241"/>
      <c r="E715" s="241"/>
      <c r="F715" s="241"/>
      <c r="G715" s="241"/>
      <c r="H715" s="241"/>
      <c r="I715" s="241"/>
      <c r="J715" s="241"/>
      <c r="K715" s="241"/>
      <c r="L715" s="241"/>
      <c r="M715" s="241"/>
      <c r="N715" s="241"/>
      <c r="O715" s="241"/>
      <c r="P715" s="241"/>
      <c r="Q715" s="241"/>
      <c r="R715" s="241"/>
      <c r="S715" s="241"/>
      <c r="T715" s="241"/>
      <c r="U715" s="241"/>
      <c r="V715" s="241"/>
      <c r="W715" s="241"/>
      <c r="X715" s="241"/>
      <c r="Y715" s="241"/>
      <c r="Z715" s="241"/>
      <c r="AA715" s="241"/>
      <c r="AB715" s="241"/>
      <c r="AC715" s="241"/>
      <c r="AD715" s="241"/>
      <c r="AE715" s="241"/>
      <c r="AF715" s="241"/>
      <c r="AG715" s="241"/>
      <c r="AH715" s="241"/>
      <c r="AI715" s="241"/>
      <c r="AJ715" s="241"/>
      <c r="AK715" s="241"/>
      <c r="AL715" s="241"/>
      <c r="AM715" s="241"/>
      <c r="AN715" s="241"/>
      <c r="AO715" s="241"/>
      <c r="AP715" s="241"/>
      <c r="AQ715" s="241"/>
      <c r="AR715" s="241"/>
      <c r="AS715" s="241"/>
      <c r="AT715" s="241"/>
      <c r="AU715" s="241"/>
      <c r="AV715" s="241"/>
      <c r="AW715" s="241"/>
      <c r="AX715" s="241"/>
      <c r="AY715" s="241"/>
      <c r="AZ715" s="241"/>
    </row>
    <row r="716" spans="1:52" ht="18" customHeight="1">
      <c r="A716" s="250"/>
      <c r="B716" s="241"/>
      <c r="C716" s="241"/>
      <c r="D716" s="241"/>
      <c r="E716" s="241"/>
      <c r="F716" s="241"/>
      <c r="G716" s="241"/>
      <c r="H716" s="241"/>
      <c r="I716" s="241"/>
      <c r="J716" s="241"/>
      <c r="K716" s="241"/>
      <c r="L716" s="241"/>
      <c r="M716" s="241"/>
      <c r="N716" s="241"/>
      <c r="O716" s="241"/>
      <c r="P716" s="241"/>
      <c r="Q716" s="241"/>
      <c r="R716" s="241"/>
      <c r="S716" s="241"/>
      <c r="T716" s="241"/>
      <c r="U716" s="241"/>
      <c r="V716" s="241"/>
      <c r="W716" s="241"/>
      <c r="X716" s="241"/>
      <c r="Y716" s="241"/>
      <c r="Z716" s="241"/>
      <c r="AA716" s="241"/>
      <c r="AB716" s="241"/>
      <c r="AC716" s="241"/>
      <c r="AD716" s="241"/>
      <c r="AE716" s="241"/>
      <c r="AF716" s="241"/>
      <c r="AG716" s="241"/>
      <c r="AH716" s="241"/>
      <c r="AI716" s="241"/>
      <c r="AJ716" s="241"/>
      <c r="AK716" s="241"/>
      <c r="AL716" s="241"/>
      <c r="AM716" s="241"/>
      <c r="AN716" s="241"/>
      <c r="AO716" s="241"/>
      <c r="AP716" s="241"/>
      <c r="AQ716" s="241"/>
      <c r="AR716" s="241"/>
      <c r="AS716" s="241"/>
      <c r="AT716" s="241"/>
      <c r="AU716" s="241"/>
      <c r="AV716" s="241"/>
      <c r="AW716" s="241"/>
      <c r="AX716" s="241"/>
      <c r="AY716" s="241"/>
      <c r="AZ716" s="241"/>
    </row>
    <row r="717" spans="1:52" ht="18" customHeight="1">
      <c r="A717" s="250"/>
      <c r="B717" s="241"/>
      <c r="C717" s="241"/>
      <c r="D717" s="241"/>
      <c r="E717" s="241"/>
      <c r="F717" s="241"/>
      <c r="G717" s="241"/>
      <c r="H717" s="241"/>
      <c r="I717" s="241"/>
      <c r="J717" s="241"/>
      <c r="K717" s="241"/>
      <c r="L717" s="241"/>
      <c r="M717" s="241"/>
      <c r="N717" s="241"/>
      <c r="O717" s="241"/>
      <c r="P717" s="241"/>
      <c r="Q717" s="241"/>
      <c r="R717" s="241"/>
      <c r="S717" s="241"/>
      <c r="T717" s="241"/>
      <c r="U717" s="241"/>
      <c r="V717" s="241"/>
      <c r="W717" s="241"/>
      <c r="X717" s="241"/>
      <c r="Y717" s="241"/>
      <c r="Z717" s="241"/>
      <c r="AA717" s="241"/>
      <c r="AB717" s="241"/>
      <c r="AC717" s="241"/>
      <c r="AD717" s="241"/>
      <c r="AE717" s="241"/>
      <c r="AF717" s="241"/>
      <c r="AG717" s="241"/>
      <c r="AH717" s="241"/>
      <c r="AI717" s="241"/>
      <c r="AJ717" s="241"/>
      <c r="AK717" s="241"/>
      <c r="AL717" s="241"/>
      <c r="AM717" s="241"/>
      <c r="AN717" s="241"/>
      <c r="AO717" s="241"/>
      <c r="AP717" s="241"/>
      <c r="AQ717" s="241"/>
      <c r="AR717" s="241"/>
      <c r="AS717" s="241"/>
      <c r="AT717" s="241"/>
      <c r="AU717" s="241"/>
      <c r="AV717" s="241"/>
      <c r="AW717" s="241"/>
      <c r="AX717" s="241"/>
      <c r="AY717" s="241"/>
      <c r="AZ717" s="241"/>
    </row>
    <row r="718" spans="1:52" ht="18" customHeight="1">
      <c r="A718" s="250"/>
      <c r="B718" s="241"/>
      <c r="C718" s="241"/>
      <c r="D718" s="241"/>
      <c r="E718" s="241"/>
      <c r="F718" s="241"/>
      <c r="G718" s="241"/>
      <c r="H718" s="241"/>
      <c r="I718" s="241"/>
      <c r="J718" s="241"/>
      <c r="K718" s="241"/>
      <c r="L718" s="241"/>
      <c r="M718" s="241"/>
      <c r="N718" s="241"/>
      <c r="O718" s="241"/>
      <c r="P718" s="241"/>
      <c r="Q718" s="241"/>
      <c r="R718" s="241"/>
      <c r="S718" s="241"/>
      <c r="T718" s="241"/>
      <c r="U718" s="241"/>
      <c r="V718" s="241"/>
      <c r="W718" s="241"/>
      <c r="X718" s="241"/>
      <c r="Y718" s="241"/>
      <c r="Z718" s="241"/>
      <c r="AA718" s="241"/>
      <c r="AB718" s="241"/>
      <c r="AC718" s="241"/>
      <c r="AD718" s="241"/>
      <c r="AE718" s="241"/>
      <c r="AF718" s="241"/>
      <c r="AG718" s="241"/>
      <c r="AH718" s="241"/>
      <c r="AI718" s="241"/>
      <c r="AJ718" s="241"/>
      <c r="AK718" s="241"/>
      <c r="AL718" s="241"/>
      <c r="AM718" s="241"/>
      <c r="AN718" s="241"/>
      <c r="AO718" s="241"/>
      <c r="AP718" s="241"/>
      <c r="AQ718" s="241"/>
      <c r="AR718" s="241"/>
      <c r="AS718" s="241"/>
      <c r="AT718" s="241"/>
      <c r="AU718" s="241"/>
      <c r="AV718" s="241"/>
      <c r="AW718" s="241"/>
      <c r="AX718" s="241"/>
      <c r="AY718" s="241"/>
      <c r="AZ718" s="241"/>
    </row>
    <row r="719" spans="1:52" ht="18" customHeight="1">
      <c r="A719" s="250"/>
      <c r="B719" s="241"/>
      <c r="C719" s="241"/>
      <c r="D719" s="241"/>
      <c r="E719" s="241"/>
      <c r="F719" s="241"/>
      <c r="G719" s="241"/>
      <c r="H719" s="241"/>
      <c r="I719" s="241"/>
      <c r="J719" s="241"/>
      <c r="K719" s="241"/>
      <c r="L719" s="241"/>
      <c r="M719" s="241"/>
      <c r="N719" s="241"/>
      <c r="O719" s="241"/>
      <c r="P719" s="241"/>
      <c r="Q719" s="241"/>
      <c r="R719" s="241"/>
      <c r="S719" s="241"/>
      <c r="T719" s="241"/>
      <c r="U719" s="241"/>
      <c r="V719" s="241"/>
      <c r="W719" s="241"/>
      <c r="X719" s="241"/>
      <c r="Y719" s="241"/>
      <c r="Z719" s="241"/>
      <c r="AA719" s="241"/>
      <c r="AB719" s="241"/>
      <c r="AC719" s="241"/>
      <c r="AD719" s="241"/>
      <c r="AE719" s="241"/>
      <c r="AF719" s="241"/>
      <c r="AG719" s="241"/>
      <c r="AH719" s="241"/>
      <c r="AI719" s="241"/>
      <c r="AJ719" s="241"/>
      <c r="AK719" s="241"/>
      <c r="AL719" s="241"/>
      <c r="AM719" s="241"/>
      <c r="AN719" s="241"/>
      <c r="AO719" s="241"/>
      <c r="AP719" s="241"/>
      <c r="AQ719" s="241"/>
      <c r="AR719" s="241"/>
      <c r="AS719" s="241"/>
      <c r="AT719" s="241"/>
      <c r="AU719" s="241"/>
      <c r="AV719" s="241"/>
      <c r="AW719" s="241"/>
      <c r="AX719" s="241"/>
      <c r="AY719" s="241"/>
      <c r="AZ719" s="241"/>
    </row>
    <row r="720" spans="1:52" ht="18" customHeight="1">
      <c r="A720" s="250"/>
      <c r="B720" s="241"/>
      <c r="C720" s="241"/>
      <c r="D720" s="241"/>
      <c r="E720" s="241"/>
      <c r="F720" s="241"/>
      <c r="G720" s="241"/>
      <c r="H720" s="241"/>
      <c r="I720" s="241"/>
      <c r="J720" s="241"/>
      <c r="K720" s="241"/>
      <c r="L720" s="241"/>
      <c r="M720" s="241"/>
      <c r="N720" s="241"/>
      <c r="O720" s="241"/>
      <c r="P720" s="241"/>
      <c r="Q720" s="241"/>
      <c r="R720" s="241"/>
      <c r="S720" s="241"/>
      <c r="T720" s="241"/>
      <c r="U720" s="241"/>
      <c r="V720" s="241"/>
      <c r="W720" s="241"/>
      <c r="X720" s="241"/>
      <c r="Y720" s="241"/>
      <c r="Z720" s="241"/>
      <c r="AA720" s="241"/>
      <c r="AB720" s="241"/>
      <c r="AC720" s="241"/>
      <c r="AD720" s="241"/>
      <c r="AE720" s="241"/>
      <c r="AF720" s="241"/>
      <c r="AG720" s="241"/>
      <c r="AH720" s="241"/>
      <c r="AI720" s="241"/>
      <c r="AJ720" s="241"/>
      <c r="AK720" s="241"/>
      <c r="AL720" s="241"/>
      <c r="AM720" s="241"/>
      <c r="AN720" s="241"/>
      <c r="AO720" s="241"/>
      <c r="AP720" s="241"/>
      <c r="AQ720" s="241"/>
      <c r="AR720" s="241"/>
      <c r="AS720" s="241"/>
      <c r="AT720" s="241"/>
      <c r="AU720" s="241"/>
      <c r="AV720" s="241"/>
      <c r="AW720" s="241"/>
      <c r="AX720" s="241"/>
      <c r="AY720" s="241"/>
      <c r="AZ720" s="241"/>
    </row>
    <row r="721" spans="1:52" ht="18" customHeight="1">
      <c r="A721" s="250"/>
      <c r="B721" s="241"/>
      <c r="C721" s="241"/>
      <c r="D721" s="241"/>
      <c r="E721" s="241"/>
      <c r="F721" s="241"/>
      <c r="G721" s="241"/>
      <c r="H721" s="241"/>
      <c r="I721" s="241"/>
      <c r="J721" s="241"/>
      <c r="K721" s="241"/>
      <c r="L721" s="241"/>
      <c r="M721" s="241"/>
      <c r="N721" s="241"/>
      <c r="O721" s="241"/>
      <c r="P721" s="241"/>
      <c r="Q721" s="241"/>
      <c r="R721" s="241"/>
      <c r="S721" s="241"/>
      <c r="T721" s="241"/>
      <c r="U721" s="241"/>
      <c r="V721" s="241"/>
      <c r="W721" s="241"/>
      <c r="X721" s="241"/>
      <c r="Y721" s="241"/>
      <c r="Z721" s="241"/>
      <c r="AA721" s="241"/>
      <c r="AB721" s="241"/>
      <c r="AC721" s="241"/>
      <c r="AD721" s="241"/>
      <c r="AE721" s="241"/>
      <c r="AF721" s="241"/>
      <c r="AG721" s="241"/>
      <c r="AH721" s="241"/>
      <c r="AI721" s="241"/>
      <c r="AJ721" s="241"/>
      <c r="AK721" s="241"/>
      <c r="AL721" s="241"/>
      <c r="AM721" s="241"/>
      <c r="AN721" s="241"/>
      <c r="AO721" s="241"/>
      <c r="AP721" s="241"/>
      <c r="AQ721" s="241"/>
      <c r="AR721" s="241"/>
      <c r="AS721" s="241"/>
      <c r="AT721" s="241"/>
      <c r="AU721" s="241"/>
      <c r="AV721" s="241"/>
      <c r="AW721" s="241"/>
      <c r="AX721" s="241"/>
      <c r="AY721" s="241"/>
      <c r="AZ721" s="241"/>
    </row>
    <row r="722" spans="1:52" ht="18" customHeight="1">
      <c r="A722" s="250"/>
      <c r="B722" s="241"/>
      <c r="C722" s="241"/>
      <c r="D722" s="241"/>
      <c r="E722" s="241"/>
      <c r="F722" s="241"/>
      <c r="G722" s="241"/>
      <c r="H722" s="241"/>
      <c r="I722" s="241"/>
      <c r="J722" s="241"/>
      <c r="K722" s="241"/>
      <c r="L722" s="241"/>
      <c r="M722" s="241"/>
      <c r="N722" s="241"/>
      <c r="O722" s="241"/>
      <c r="P722" s="241"/>
      <c r="Q722" s="241"/>
      <c r="R722" s="241"/>
      <c r="S722" s="241"/>
      <c r="T722" s="241"/>
      <c r="U722" s="241"/>
      <c r="V722" s="241"/>
      <c r="W722" s="241"/>
      <c r="X722" s="241"/>
      <c r="Y722" s="241"/>
      <c r="Z722" s="241"/>
      <c r="AA722" s="241"/>
      <c r="AB722" s="241"/>
      <c r="AC722" s="241"/>
      <c r="AD722" s="241"/>
      <c r="AE722" s="241"/>
      <c r="AF722" s="241"/>
      <c r="AG722" s="241"/>
      <c r="AH722" s="241"/>
      <c r="AI722" s="241"/>
      <c r="AJ722" s="241"/>
      <c r="AK722" s="241"/>
      <c r="AL722" s="241"/>
      <c r="AM722" s="241"/>
      <c r="AN722" s="241"/>
      <c r="AO722" s="241"/>
      <c r="AP722" s="241"/>
      <c r="AQ722" s="241"/>
      <c r="AR722" s="241"/>
      <c r="AS722" s="241"/>
      <c r="AT722" s="241"/>
      <c r="AU722" s="241"/>
      <c r="AV722" s="241"/>
      <c r="AW722" s="241"/>
      <c r="AX722" s="241"/>
      <c r="AY722" s="241"/>
      <c r="AZ722" s="241"/>
    </row>
    <row r="723" spans="1:52" ht="18" customHeight="1">
      <c r="A723" s="250"/>
      <c r="B723" s="241"/>
      <c r="C723" s="241"/>
      <c r="D723" s="241"/>
      <c r="E723" s="241"/>
      <c r="F723" s="241"/>
      <c r="G723" s="241"/>
      <c r="H723" s="241"/>
      <c r="I723" s="241"/>
      <c r="J723" s="241"/>
      <c r="K723" s="241"/>
      <c r="L723" s="241"/>
      <c r="M723" s="241"/>
      <c r="N723" s="241"/>
      <c r="O723" s="241"/>
      <c r="P723" s="241"/>
      <c r="Q723" s="241"/>
      <c r="R723" s="241"/>
      <c r="S723" s="241"/>
      <c r="T723" s="241"/>
      <c r="U723" s="241"/>
      <c r="V723" s="241"/>
      <c r="W723" s="241"/>
      <c r="X723" s="241"/>
      <c r="Y723" s="241"/>
      <c r="Z723" s="241"/>
      <c r="AA723" s="241"/>
      <c r="AB723" s="241"/>
      <c r="AC723" s="241"/>
      <c r="AD723" s="241"/>
      <c r="AE723" s="241"/>
      <c r="AF723" s="241"/>
      <c r="AG723" s="241"/>
      <c r="AH723" s="241"/>
      <c r="AI723" s="241"/>
      <c r="AJ723" s="241"/>
      <c r="AK723" s="241"/>
      <c r="AL723" s="241"/>
      <c r="AM723" s="241"/>
      <c r="AN723" s="241"/>
      <c r="AO723" s="241"/>
      <c r="AP723" s="241"/>
      <c r="AQ723" s="241"/>
      <c r="AR723" s="241"/>
      <c r="AS723" s="241"/>
      <c r="AT723" s="241"/>
      <c r="AU723" s="241"/>
      <c r="AV723" s="241"/>
      <c r="AW723" s="241"/>
      <c r="AX723" s="241"/>
      <c r="AY723" s="241"/>
      <c r="AZ723" s="241"/>
    </row>
    <row r="724" spans="1:52" ht="18" customHeight="1">
      <c r="A724" s="250"/>
      <c r="B724" s="241"/>
      <c r="C724" s="241"/>
      <c r="D724" s="241"/>
      <c r="E724" s="241"/>
      <c r="F724" s="241"/>
      <c r="G724" s="241"/>
      <c r="H724" s="241"/>
      <c r="I724" s="241"/>
      <c r="J724" s="241"/>
      <c r="K724" s="241"/>
      <c r="L724" s="241"/>
      <c r="M724" s="241"/>
      <c r="N724" s="241"/>
      <c r="O724" s="241"/>
      <c r="P724" s="241"/>
      <c r="Q724" s="241"/>
      <c r="R724" s="241"/>
      <c r="S724" s="241"/>
      <c r="T724" s="241"/>
      <c r="U724" s="241"/>
      <c r="V724" s="241"/>
      <c r="W724" s="241"/>
      <c r="X724" s="241"/>
      <c r="Y724" s="241"/>
      <c r="Z724" s="241"/>
      <c r="AA724" s="241"/>
      <c r="AB724" s="241"/>
      <c r="AC724" s="241"/>
      <c r="AD724" s="241"/>
      <c r="AE724" s="241"/>
      <c r="AF724" s="241"/>
      <c r="AG724" s="241"/>
      <c r="AH724" s="241"/>
      <c r="AI724" s="241"/>
      <c r="AJ724" s="241"/>
      <c r="AK724" s="241"/>
      <c r="AL724" s="241"/>
      <c r="AM724" s="241"/>
      <c r="AN724" s="241"/>
      <c r="AO724" s="241"/>
      <c r="AP724" s="241"/>
      <c r="AQ724" s="241"/>
      <c r="AR724" s="241"/>
      <c r="AS724" s="241"/>
      <c r="AT724" s="241"/>
      <c r="AU724" s="241"/>
      <c r="AV724" s="241"/>
      <c r="AW724" s="241"/>
      <c r="AX724" s="241"/>
      <c r="AY724" s="241"/>
      <c r="AZ724" s="241"/>
    </row>
    <row r="725" spans="1:52" ht="18" customHeight="1">
      <c r="A725" s="250"/>
      <c r="B725" s="241"/>
      <c r="C725" s="241"/>
      <c r="D725" s="241"/>
      <c r="E725" s="241"/>
      <c r="F725" s="241"/>
      <c r="G725" s="241"/>
      <c r="H725" s="241"/>
      <c r="I725" s="241"/>
      <c r="J725" s="241"/>
      <c r="K725" s="241"/>
      <c r="L725" s="241"/>
      <c r="M725" s="241"/>
      <c r="N725" s="241"/>
      <c r="O725" s="241"/>
      <c r="P725" s="241"/>
      <c r="Q725" s="241"/>
      <c r="R725" s="241"/>
      <c r="S725" s="241"/>
      <c r="T725" s="241"/>
      <c r="U725" s="241"/>
      <c r="V725" s="241"/>
      <c r="W725" s="241"/>
      <c r="X725" s="241"/>
      <c r="Y725" s="241"/>
      <c r="Z725" s="241"/>
      <c r="AA725" s="241"/>
      <c r="AB725" s="241"/>
      <c r="AC725" s="241"/>
      <c r="AD725" s="241"/>
      <c r="AE725" s="241"/>
      <c r="AF725" s="241"/>
      <c r="AG725" s="241"/>
      <c r="AH725" s="241"/>
      <c r="AI725" s="241"/>
      <c r="AJ725" s="241"/>
      <c r="AK725" s="241"/>
      <c r="AL725" s="241"/>
      <c r="AM725" s="241"/>
      <c r="AN725" s="241"/>
      <c r="AO725" s="241"/>
      <c r="AP725" s="241"/>
      <c r="AQ725" s="241"/>
      <c r="AR725" s="241"/>
      <c r="AS725" s="241"/>
      <c r="AT725" s="241"/>
      <c r="AU725" s="241"/>
      <c r="AV725" s="241"/>
      <c r="AW725" s="241"/>
      <c r="AX725" s="241"/>
      <c r="AY725" s="241"/>
      <c r="AZ725" s="241"/>
    </row>
    <row r="726" spans="1:52" ht="18" customHeight="1">
      <c r="A726" s="250"/>
      <c r="B726" s="241"/>
      <c r="C726" s="241"/>
      <c r="D726" s="241"/>
      <c r="E726" s="241"/>
      <c r="F726" s="241"/>
      <c r="G726" s="241"/>
      <c r="H726" s="241"/>
      <c r="I726" s="241"/>
      <c r="J726" s="241"/>
      <c r="K726" s="241"/>
      <c r="L726" s="241"/>
      <c r="M726" s="241"/>
      <c r="N726" s="241"/>
      <c r="O726" s="241"/>
      <c r="P726" s="241"/>
      <c r="Q726" s="241"/>
      <c r="R726" s="241"/>
      <c r="S726" s="241"/>
      <c r="T726" s="241"/>
      <c r="U726" s="241"/>
      <c r="V726" s="241"/>
      <c r="W726" s="241"/>
      <c r="X726" s="241"/>
      <c r="Y726" s="241"/>
      <c r="Z726" s="241"/>
      <c r="AA726" s="241"/>
      <c r="AB726" s="241"/>
      <c r="AC726" s="241"/>
      <c r="AD726" s="241"/>
      <c r="AE726" s="241"/>
      <c r="AF726" s="241"/>
      <c r="AG726" s="241"/>
      <c r="AH726" s="241"/>
      <c r="AI726" s="241"/>
      <c r="AJ726" s="241"/>
      <c r="AK726" s="241"/>
      <c r="AL726" s="241"/>
      <c r="AM726" s="241"/>
      <c r="AN726" s="241"/>
      <c r="AO726" s="241"/>
      <c r="AP726" s="241"/>
      <c r="AQ726" s="241"/>
      <c r="AR726" s="241"/>
      <c r="AS726" s="241"/>
      <c r="AT726" s="241"/>
      <c r="AU726" s="241"/>
      <c r="AV726" s="241"/>
      <c r="AW726" s="241"/>
      <c r="AX726" s="241"/>
      <c r="AY726" s="241"/>
      <c r="AZ726" s="241"/>
    </row>
    <row r="727" spans="1:52" ht="18" customHeight="1">
      <c r="A727" s="250"/>
      <c r="B727" s="241"/>
      <c r="C727" s="241"/>
      <c r="D727" s="241"/>
      <c r="E727" s="241"/>
      <c r="F727" s="241"/>
      <c r="G727" s="241"/>
      <c r="H727" s="241"/>
      <c r="I727" s="241"/>
      <c r="J727" s="241"/>
      <c r="K727" s="241"/>
      <c r="L727" s="241"/>
      <c r="M727" s="241"/>
      <c r="N727" s="241"/>
      <c r="O727" s="241"/>
      <c r="P727" s="241"/>
      <c r="Q727" s="241"/>
      <c r="R727" s="241"/>
      <c r="S727" s="241"/>
      <c r="T727" s="241"/>
      <c r="U727" s="241"/>
      <c r="V727" s="241"/>
      <c r="W727" s="241"/>
      <c r="X727" s="241"/>
      <c r="Y727" s="241"/>
      <c r="Z727" s="241"/>
      <c r="AA727" s="241"/>
      <c r="AB727" s="241"/>
      <c r="AC727" s="241"/>
      <c r="AD727" s="241"/>
      <c r="AE727" s="241"/>
      <c r="AF727" s="241"/>
      <c r="AG727" s="241"/>
      <c r="AH727" s="241"/>
      <c r="AI727" s="241"/>
      <c r="AJ727" s="241"/>
      <c r="AK727" s="241"/>
      <c r="AL727" s="241"/>
      <c r="AM727" s="241"/>
      <c r="AN727" s="241"/>
      <c r="AO727" s="241"/>
      <c r="AP727" s="241"/>
      <c r="AQ727" s="241"/>
      <c r="AR727" s="241"/>
      <c r="AS727" s="241"/>
      <c r="AT727" s="241"/>
      <c r="AU727" s="241"/>
      <c r="AV727" s="241"/>
      <c r="AW727" s="241"/>
      <c r="AX727" s="241"/>
      <c r="AY727" s="241"/>
      <c r="AZ727" s="241"/>
    </row>
    <row r="728" spans="1:52" ht="18" customHeight="1">
      <c r="A728" s="250"/>
      <c r="B728" s="241"/>
      <c r="C728" s="241"/>
      <c r="D728" s="241"/>
      <c r="E728" s="241"/>
      <c r="F728" s="241"/>
      <c r="G728" s="241"/>
      <c r="H728" s="241"/>
      <c r="I728" s="241"/>
      <c r="J728" s="241"/>
      <c r="K728" s="241"/>
      <c r="L728" s="241"/>
      <c r="M728" s="241"/>
      <c r="N728" s="241"/>
      <c r="O728" s="241"/>
      <c r="P728" s="241"/>
      <c r="Q728" s="241"/>
      <c r="R728" s="241"/>
      <c r="S728" s="241"/>
      <c r="T728" s="241"/>
      <c r="U728" s="241"/>
      <c r="V728" s="241"/>
      <c r="W728" s="241"/>
      <c r="X728" s="241"/>
      <c r="Y728" s="241"/>
      <c r="Z728" s="241"/>
      <c r="AA728" s="241"/>
      <c r="AB728" s="241"/>
      <c r="AC728" s="241"/>
      <c r="AD728" s="241"/>
      <c r="AE728" s="241"/>
      <c r="AF728" s="241"/>
      <c r="AG728" s="241"/>
      <c r="AH728" s="241"/>
      <c r="AI728" s="241"/>
      <c r="AJ728" s="241"/>
      <c r="AK728" s="241"/>
      <c r="AL728" s="241"/>
      <c r="AM728" s="241"/>
      <c r="AN728" s="241"/>
      <c r="AO728" s="241"/>
      <c r="AP728" s="241"/>
      <c r="AQ728" s="241"/>
      <c r="AR728" s="241"/>
      <c r="AS728" s="241"/>
      <c r="AT728" s="241"/>
      <c r="AU728" s="241"/>
      <c r="AV728" s="241"/>
      <c r="AW728" s="241"/>
      <c r="AX728" s="241"/>
      <c r="AY728" s="241"/>
      <c r="AZ728" s="241"/>
    </row>
    <row r="729" spans="1:52" ht="18" customHeight="1">
      <c r="A729" s="250"/>
      <c r="B729" s="241"/>
      <c r="C729" s="241"/>
      <c r="D729" s="241"/>
      <c r="E729" s="241"/>
      <c r="F729" s="241"/>
      <c r="G729" s="241"/>
      <c r="H729" s="241"/>
      <c r="I729" s="241"/>
      <c r="J729" s="241"/>
      <c r="K729" s="241"/>
      <c r="L729" s="241"/>
      <c r="M729" s="241"/>
      <c r="N729" s="241"/>
      <c r="O729" s="241"/>
      <c r="P729" s="241"/>
      <c r="Q729" s="241"/>
      <c r="R729" s="241"/>
      <c r="S729" s="241"/>
      <c r="T729" s="241"/>
      <c r="U729" s="241"/>
      <c r="V729" s="241"/>
      <c r="W729" s="241"/>
      <c r="X729" s="241"/>
      <c r="Y729" s="241"/>
      <c r="Z729" s="241"/>
      <c r="AA729" s="241"/>
      <c r="AB729" s="241"/>
      <c r="AC729" s="241"/>
      <c r="AD729" s="241"/>
      <c r="AE729" s="241"/>
      <c r="AF729" s="241"/>
      <c r="AG729" s="241"/>
      <c r="AH729" s="241"/>
      <c r="AI729" s="241"/>
      <c r="AJ729" s="241"/>
      <c r="AK729" s="241"/>
      <c r="AL729" s="241"/>
      <c r="AM729" s="241"/>
      <c r="AN729" s="241"/>
      <c r="AO729" s="241"/>
      <c r="AP729" s="241"/>
      <c r="AQ729" s="241"/>
      <c r="AR729" s="241"/>
      <c r="AS729" s="241"/>
      <c r="AT729" s="241"/>
      <c r="AU729" s="241"/>
      <c r="AV729" s="241"/>
      <c r="AW729" s="241"/>
      <c r="AX729" s="241"/>
      <c r="AY729" s="241"/>
      <c r="AZ729" s="241"/>
    </row>
    <row r="730" spans="1:52" ht="18" customHeight="1">
      <c r="A730" s="250"/>
      <c r="B730" s="241"/>
      <c r="C730" s="241"/>
      <c r="D730" s="241"/>
      <c r="E730" s="241"/>
      <c r="F730" s="241"/>
      <c r="G730" s="241"/>
      <c r="H730" s="241"/>
      <c r="I730" s="241"/>
      <c r="J730" s="241"/>
      <c r="K730" s="241"/>
      <c r="L730" s="241"/>
      <c r="M730" s="241"/>
      <c r="N730" s="241"/>
      <c r="O730" s="241"/>
      <c r="P730" s="241"/>
      <c r="Q730" s="241"/>
      <c r="R730" s="241"/>
      <c r="S730" s="241"/>
      <c r="T730" s="241"/>
      <c r="U730" s="241"/>
      <c r="V730" s="241"/>
      <c r="W730" s="241"/>
      <c r="X730" s="241"/>
      <c r="Y730" s="241"/>
      <c r="Z730" s="241"/>
      <c r="AA730" s="241"/>
      <c r="AB730" s="241"/>
      <c r="AC730" s="241"/>
      <c r="AD730" s="241"/>
      <c r="AE730" s="241"/>
      <c r="AF730" s="241"/>
      <c r="AG730" s="241"/>
      <c r="AH730" s="241"/>
      <c r="AI730" s="241"/>
      <c r="AJ730" s="241"/>
      <c r="AK730" s="241"/>
      <c r="AL730" s="241"/>
      <c r="AM730" s="241"/>
      <c r="AN730" s="241"/>
      <c r="AO730" s="241"/>
      <c r="AP730" s="241"/>
      <c r="AQ730" s="241"/>
      <c r="AR730" s="241"/>
      <c r="AS730" s="241"/>
      <c r="AT730" s="241"/>
      <c r="AU730" s="241"/>
      <c r="AV730" s="241"/>
      <c r="AW730" s="241"/>
      <c r="AX730" s="241"/>
      <c r="AY730" s="241"/>
      <c r="AZ730" s="241"/>
    </row>
    <row r="731" spans="1:52" ht="18" customHeight="1">
      <c r="A731" s="250"/>
      <c r="B731" s="241"/>
      <c r="C731" s="241"/>
      <c r="D731" s="241"/>
      <c r="E731" s="241"/>
      <c r="F731" s="241"/>
      <c r="G731" s="241"/>
      <c r="H731" s="241"/>
      <c r="I731" s="241"/>
      <c r="J731" s="241"/>
      <c r="K731" s="241"/>
      <c r="L731" s="241"/>
      <c r="M731" s="241"/>
      <c r="N731" s="241"/>
      <c r="O731" s="241"/>
      <c r="P731" s="241"/>
      <c r="Q731" s="241"/>
      <c r="R731" s="241"/>
      <c r="S731" s="241"/>
      <c r="T731" s="241"/>
      <c r="U731" s="241"/>
      <c r="V731" s="241"/>
      <c r="W731" s="241"/>
      <c r="X731" s="241"/>
      <c r="Y731" s="241"/>
      <c r="Z731" s="241"/>
      <c r="AA731" s="241"/>
      <c r="AB731" s="241"/>
      <c r="AC731" s="241"/>
      <c r="AD731" s="241"/>
      <c r="AE731" s="241"/>
      <c r="AF731" s="241"/>
      <c r="AG731" s="241"/>
      <c r="AH731" s="241"/>
      <c r="AI731" s="241"/>
      <c r="AJ731" s="241"/>
      <c r="AK731" s="241"/>
      <c r="AL731" s="241"/>
      <c r="AM731" s="241"/>
      <c r="AN731" s="241"/>
      <c r="AO731" s="241"/>
      <c r="AP731" s="241"/>
      <c r="AQ731" s="241"/>
      <c r="AR731" s="241"/>
      <c r="AS731" s="241"/>
      <c r="AT731" s="241"/>
      <c r="AU731" s="241"/>
      <c r="AV731" s="241"/>
      <c r="AW731" s="241"/>
      <c r="AX731" s="241"/>
      <c r="AY731" s="241"/>
      <c r="AZ731" s="241"/>
    </row>
    <row r="732" spans="1:52" ht="18" customHeight="1">
      <c r="A732" s="250"/>
      <c r="B732" s="241"/>
      <c r="C732" s="241"/>
      <c r="D732" s="241"/>
      <c r="E732" s="241"/>
      <c r="F732" s="241"/>
      <c r="G732" s="241"/>
      <c r="H732" s="241"/>
      <c r="I732" s="241"/>
      <c r="J732" s="241"/>
      <c r="K732" s="241"/>
      <c r="L732" s="241"/>
      <c r="M732" s="241"/>
      <c r="N732" s="241"/>
      <c r="O732" s="241"/>
      <c r="P732" s="241"/>
      <c r="Q732" s="241"/>
      <c r="R732" s="241"/>
      <c r="S732" s="241"/>
      <c r="T732" s="241"/>
      <c r="U732" s="241"/>
      <c r="V732" s="241"/>
      <c r="W732" s="241"/>
      <c r="X732" s="241"/>
      <c r="Y732" s="241"/>
      <c r="Z732" s="241"/>
      <c r="AA732" s="241"/>
      <c r="AB732" s="241"/>
      <c r="AC732" s="241"/>
      <c r="AD732" s="241"/>
      <c r="AE732" s="241"/>
      <c r="AF732" s="241"/>
      <c r="AG732" s="241"/>
      <c r="AH732" s="241"/>
      <c r="AI732" s="241"/>
      <c r="AJ732" s="241"/>
      <c r="AK732" s="241"/>
      <c r="AL732" s="241"/>
      <c r="AM732" s="241"/>
      <c r="AN732" s="241"/>
      <c r="AO732" s="241"/>
      <c r="AP732" s="241"/>
      <c r="AQ732" s="241"/>
      <c r="AR732" s="241"/>
      <c r="AS732" s="241"/>
      <c r="AT732" s="241"/>
      <c r="AU732" s="241"/>
      <c r="AV732" s="241"/>
      <c r="AW732" s="241"/>
      <c r="AX732" s="241"/>
      <c r="AY732" s="241"/>
      <c r="AZ732" s="241"/>
    </row>
    <row r="733" spans="1:52" ht="18" customHeight="1">
      <c r="A733" s="250"/>
      <c r="B733" s="241"/>
      <c r="C733" s="241"/>
      <c r="D733" s="241"/>
      <c r="E733" s="241"/>
      <c r="F733" s="241"/>
      <c r="G733" s="241"/>
      <c r="H733" s="241"/>
      <c r="I733" s="241"/>
      <c r="J733" s="241"/>
      <c r="K733" s="241"/>
      <c r="L733" s="241"/>
      <c r="M733" s="241"/>
      <c r="N733" s="241"/>
      <c r="O733" s="241"/>
      <c r="P733" s="241"/>
      <c r="Q733" s="241"/>
      <c r="R733" s="241"/>
      <c r="S733" s="241"/>
      <c r="T733" s="241"/>
      <c r="U733" s="241"/>
      <c r="V733" s="241"/>
      <c r="W733" s="241"/>
      <c r="X733" s="241"/>
      <c r="Y733" s="241"/>
      <c r="Z733" s="241"/>
      <c r="AA733" s="241"/>
      <c r="AB733" s="241"/>
      <c r="AC733" s="241"/>
      <c r="AD733" s="241"/>
      <c r="AE733" s="241"/>
      <c r="AF733" s="241"/>
      <c r="AG733" s="241"/>
      <c r="AH733" s="241"/>
      <c r="AI733" s="241"/>
      <c r="AJ733" s="241"/>
      <c r="AK733" s="241"/>
      <c r="AL733" s="241"/>
      <c r="AM733" s="241"/>
      <c r="AN733" s="241"/>
      <c r="AO733" s="241"/>
      <c r="AP733" s="241"/>
      <c r="AQ733" s="241"/>
      <c r="AR733" s="241"/>
      <c r="AS733" s="241"/>
      <c r="AT733" s="241"/>
      <c r="AU733" s="241"/>
      <c r="AV733" s="241"/>
      <c r="AW733" s="241"/>
      <c r="AX733" s="241"/>
      <c r="AY733" s="241"/>
      <c r="AZ733" s="241"/>
    </row>
    <row r="734" spans="1:52" ht="18" customHeight="1">
      <c r="A734" s="250"/>
      <c r="B734" s="241"/>
      <c r="C734" s="241"/>
      <c r="D734" s="241"/>
      <c r="E734" s="241"/>
      <c r="F734" s="241"/>
      <c r="G734" s="241"/>
      <c r="H734" s="241"/>
      <c r="I734" s="241"/>
      <c r="J734" s="241"/>
      <c r="K734" s="241"/>
      <c r="L734" s="241"/>
      <c r="M734" s="241"/>
      <c r="N734" s="241"/>
      <c r="O734" s="241"/>
      <c r="P734" s="241"/>
      <c r="Q734" s="241"/>
      <c r="R734" s="241"/>
      <c r="S734" s="241"/>
      <c r="T734" s="241"/>
      <c r="U734" s="241"/>
      <c r="V734" s="241"/>
      <c r="W734" s="241"/>
      <c r="X734" s="241"/>
      <c r="Y734" s="241"/>
      <c r="Z734" s="241"/>
      <c r="AA734" s="241"/>
      <c r="AB734" s="241"/>
      <c r="AC734" s="241"/>
      <c r="AD734" s="241"/>
      <c r="AE734" s="241"/>
      <c r="AF734" s="241"/>
      <c r="AG734" s="241"/>
      <c r="AH734" s="241"/>
      <c r="AI734" s="241"/>
      <c r="AJ734" s="241"/>
      <c r="AK734" s="241"/>
      <c r="AL734" s="241"/>
      <c r="AM734" s="241"/>
      <c r="AN734" s="241"/>
      <c r="AO734" s="241"/>
      <c r="AP734" s="241"/>
      <c r="AQ734" s="241"/>
      <c r="AR734" s="241"/>
      <c r="AS734" s="241"/>
      <c r="AT734" s="241"/>
      <c r="AU734" s="241"/>
      <c r="AV734" s="241"/>
      <c r="AW734" s="241"/>
      <c r="AX734" s="241"/>
      <c r="AY734" s="241"/>
      <c r="AZ734" s="241"/>
    </row>
    <row r="735" spans="1:52" ht="18" customHeight="1">
      <c r="A735" s="250"/>
      <c r="B735" s="241"/>
      <c r="C735" s="241"/>
      <c r="D735" s="241"/>
      <c r="E735" s="241"/>
      <c r="F735" s="241"/>
      <c r="G735" s="241"/>
      <c r="H735" s="241"/>
      <c r="I735" s="241"/>
      <c r="J735" s="241"/>
      <c r="K735" s="241"/>
      <c r="L735" s="241"/>
      <c r="M735" s="241"/>
      <c r="N735" s="241"/>
      <c r="O735" s="241"/>
      <c r="P735" s="241"/>
      <c r="Q735" s="241"/>
      <c r="R735" s="241"/>
      <c r="S735" s="241"/>
      <c r="T735" s="241"/>
      <c r="U735" s="241"/>
      <c r="V735" s="241"/>
      <c r="W735" s="241"/>
      <c r="X735" s="241"/>
      <c r="Y735" s="241"/>
      <c r="Z735" s="241"/>
      <c r="AA735" s="241"/>
      <c r="AB735" s="241"/>
      <c r="AC735" s="241"/>
      <c r="AD735" s="241"/>
      <c r="AE735" s="241"/>
      <c r="AF735" s="241"/>
      <c r="AG735" s="241"/>
      <c r="AH735" s="241"/>
      <c r="AI735" s="241"/>
      <c r="AJ735" s="241"/>
      <c r="AK735" s="241"/>
      <c r="AL735" s="241"/>
      <c r="AM735" s="241"/>
      <c r="AN735" s="241"/>
      <c r="AO735" s="241"/>
      <c r="AP735" s="241"/>
      <c r="AQ735" s="241"/>
      <c r="AR735" s="241"/>
      <c r="AS735" s="241"/>
      <c r="AT735" s="241"/>
      <c r="AU735" s="241"/>
      <c r="AV735" s="241"/>
      <c r="AW735" s="241"/>
      <c r="AX735" s="241"/>
      <c r="AY735" s="241"/>
      <c r="AZ735" s="241"/>
    </row>
    <row r="736" spans="1:52" ht="18" customHeight="1">
      <c r="A736" s="250"/>
      <c r="B736" s="241"/>
      <c r="C736" s="241"/>
      <c r="D736" s="241"/>
      <c r="E736" s="241"/>
      <c r="F736" s="241"/>
      <c r="G736" s="241"/>
      <c r="H736" s="241"/>
      <c r="I736" s="241"/>
      <c r="J736" s="241"/>
      <c r="K736" s="241"/>
      <c r="L736" s="241"/>
      <c r="M736" s="241"/>
      <c r="N736" s="241"/>
      <c r="O736" s="241"/>
      <c r="P736" s="241"/>
      <c r="Q736" s="241"/>
      <c r="R736" s="241"/>
      <c r="S736" s="241"/>
      <c r="T736" s="241"/>
      <c r="U736" s="241"/>
      <c r="V736" s="241"/>
      <c r="W736" s="241"/>
      <c r="X736" s="241"/>
      <c r="Y736" s="241"/>
      <c r="Z736" s="241"/>
      <c r="AA736" s="241"/>
      <c r="AB736" s="241"/>
      <c r="AC736" s="241"/>
      <c r="AD736" s="241"/>
      <c r="AE736" s="241"/>
      <c r="AF736" s="241"/>
      <c r="AG736" s="241"/>
      <c r="AH736" s="241"/>
      <c r="AI736" s="241"/>
      <c r="AJ736" s="241"/>
      <c r="AK736" s="241"/>
      <c r="AL736" s="241"/>
      <c r="AM736" s="241"/>
      <c r="AN736" s="241"/>
      <c r="AO736" s="241"/>
      <c r="AP736" s="241"/>
      <c r="AQ736" s="241"/>
      <c r="AR736" s="241"/>
      <c r="AS736" s="241"/>
      <c r="AT736" s="241"/>
      <c r="AU736" s="241"/>
      <c r="AV736" s="241"/>
      <c r="AW736" s="241"/>
      <c r="AX736" s="241"/>
      <c r="AY736" s="241"/>
      <c r="AZ736" s="241"/>
    </row>
    <row r="737" spans="1:52" ht="18" customHeight="1">
      <c r="A737" s="250"/>
      <c r="B737" s="241"/>
      <c r="C737" s="241"/>
      <c r="D737" s="241"/>
      <c r="E737" s="241"/>
      <c r="F737" s="241"/>
      <c r="G737" s="241"/>
      <c r="H737" s="241"/>
      <c r="I737" s="241"/>
      <c r="J737" s="241"/>
      <c r="K737" s="241"/>
      <c r="L737" s="241"/>
      <c r="M737" s="241"/>
      <c r="N737" s="241"/>
      <c r="O737" s="241"/>
      <c r="P737" s="241"/>
      <c r="Q737" s="241"/>
      <c r="R737" s="241"/>
      <c r="S737" s="241"/>
      <c r="T737" s="241"/>
      <c r="U737" s="241"/>
      <c r="V737" s="241"/>
      <c r="W737" s="241"/>
      <c r="X737" s="241"/>
      <c r="Y737" s="241"/>
      <c r="Z737" s="241"/>
      <c r="AA737" s="241"/>
      <c r="AB737" s="241"/>
      <c r="AC737" s="241"/>
      <c r="AD737" s="241"/>
      <c r="AE737" s="241"/>
      <c r="AF737" s="241"/>
      <c r="AG737" s="241"/>
      <c r="AH737" s="241"/>
      <c r="AI737" s="241"/>
      <c r="AJ737" s="241"/>
      <c r="AK737" s="241"/>
      <c r="AL737" s="241"/>
      <c r="AM737" s="241"/>
      <c r="AN737" s="241"/>
      <c r="AO737" s="241"/>
      <c r="AP737" s="241"/>
      <c r="AQ737" s="241"/>
      <c r="AR737" s="241"/>
      <c r="AS737" s="241"/>
      <c r="AT737" s="241"/>
      <c r="AU737" s="241"/>
      <c r="AV737" s="241"/>
      <c r="AW737" s="241"/>
      <c r="AX737" s="241"/>
      <c r="AY737" s="241"/>
      <c r="AZ737" s="241"/>
    </row>
    <row r="738" spans="1:52" ht="18" customHeight="1">
      <c r="A738" s="250"/>
      <c r="B738" s="241"/>
      <c r="C738" s="241"/>
      <c r="D738" s="241"/>
      <c r="E738" s="241"/>
      <c r="F738" s="241"/>
      <c r="G738" s="241"/>
      <c r="H738" s="241"/>
      <c r="I738" s="241"/>
      <c r="J738" s="241"/>
      <c r="K738" s="241"/>
      <c r="L738" s="241"/>
      <c r="M738" s="241"/>
      <c r="N738" s="241"/>
      <c r="O738" s="241"/>
      <c r="P738" s="241"/>
      <c r="Q738" s="241"/>
      <c r="R738" s="241"/>
      <c r="S738" s="241"/>
      <c r="T738" s="241"/>
      <c r="U738" s="241"/>
      <c r="V738" s="241"/>
      <c r="W738" s="241"/>
      <c r="X738" s="241"/>
      <c r="Y738" s="241"/>
      <c r="Z738" s="241"/>
      <c r="AA738" s="241"/>
      <c r="AB738" s="241"/>
      <c r="AC738" s="241"/>
      <c r="AD738" s="241"/>
      <c r="AE738" s="241"/>
      <c r="AF738" s="241"/>
      <c r="AG738" s="241"/>
      <c r="AH738" s="241"/>
      <c r="AI738" s="241"/>
      <c r="AJ738" s="241"/>
      <c r="AK738" s="241"/>
      <c r="AL738" s="241"/>
      <c r="AM738" s="241"/>
      <c r="AN738" s="241"/>
      <c r="AO738" s="241"/>
      <c r="AP738" s="241"/>
      <c r="AQ738" s="241"/>
      <c r="AR738" s="241"/>
      <c r="AS738" s="241"/>
      <c r="AT738" s="241"/>
      <c r="AU738" s="241"/>
      <c r="AV738" s="241"/>
      <c r="AW738" s="241"/>
      <c r="AX738" s="241"/>
      <c r="AY738" s="241"/>
      <c r="AZ738" s="241"/>
    </row>
    <row r="739" spans="1:52" ht="18" customHeight="1">
      <c r="A739" s="250"/>
      <c r="B739" s="241"/>
      <c r="C739" s="241"/>
      <c r="D739" s="241"/>
      <c r="E739" s="241"/>
      <c r="F739" s="241"/>
      <c r="G739" s="241"/>
      <c r="H739" s="241"/>
      <c r="I739" s="241"/>
      <c r="J739" s="241"/>
      <c r="K739" s="241"/>
      <c r="L739" s="241"/>
      <c r="M739" s="241"/>
      <c r="N739" s="241"/>
      <c r="O739" s="241"/>
      <c r="P739" s="241"/>
      <c r="Q739" s="241"/>
      <c r="R739" s="241"/>
      <c r="S739" s="241"/>
      <c r="T739" s="241"/>
      <c r="U739" s="241"/>
      <c r="V739" s="241"/>
      <c r="W739" s="241"/>
      <c r="X739" s="241"/>
      <c r="Y739" s="241"/>
      <c r="Z739" s="241"/>
      <c r="AA739" s="241"/>
      <c r="AB739" s="241"/>
      <c r="AC739" s="241"/>
      <c r="AD739" s="241"/>
      <c r="AE739" s="241"/>
      <c r="AF739" s="241"/>
      <c r="AG739" s="241"/>
      <c r="AH739" s="241"/>
      <c r="AI739" s="241"/>
      <c r="AJ739" s="241"/>
      <c r="AK739" s="241"/>
      <c r="AL739" s="241"/>
      <c r="AM739" s="241"/>
      <c r="AN739" s="241"/>
      <c r="AO739" s="241"/>
      <c r="AP739" s="241"/>
      <c r="AQ739" s="241"/>
      <c r="AR739" s="241"/>
      <c r="AS739" s="241"/>
      <c r="AT739" s="241"/>
      <c r="AU739" s="241"/>
      <c r="AV739" s="241"/>
      <c r="AW739" s="241"/>
      <c r="AX739" s="241"/>
      <c r="AY739" s="241"/>
      <c r="AZ739" s="241"/>
    </row>
    <row r="740" spans="1:52" ht="18" customHeight="1">
      <c r="A740" s="250"/>
      <c r="B740" s="241"/>
      <c r="C740" s="241"/>
      <c r="D740" s="241"/>
      <c r="E740" s="241"/>
      <c r="F740" s="241"/>
      <c r="G740" s="241"/>
      <c r="H740" s="241"/>
      <c r="I740" s="241"/>
      <c r="J740" s="241"/>
      <c r="K740" s="241"/>
      <c r="L740" s="241"/>
      <c r="M740" s="241"/>
      <c r="N740" s="241"/>
      <c r="O740" s="241"/>
      <c r="P740" s="241"/>
      <c r="Q740" s="241"/>
      <c r="R740" s="241"/>
      <c r="S740" s="241"/>
      <c r="T740" s="241"/>
      <c r="U740" s="241"/>
      <c r="V740" s="241"/>
      <c r="W740" s="241"/>
      <c r="X740" s="241"/>
      <c r="Y740" s="241"/>
      <c r="Z740" s="241"/>
      <c r="AA740" s="241"/>
      <c r="AB740" s="241"/>
      <c r="AC740" s="241"/>
      <c r="AD740" s="241"/>
      <c r="AE740" s="241"/>
      <c r="AF740" s="241"/>
      <c r="AG740" s="241"/>
      <c r="AH740" s="241"/>
      <c r="AI740" s="241"/>
      <c r="AJ740" s="241"/>
      <c r="AK740" s="241"/>
      <c r="AL740" s="241"/>
      <c r="AM740" s="241"/>
      <c r="AN740" s="241"/>
      <c r="AO740" s="241"/>
      <c r="AP740" s="241"/>
      <c r="AQ740" s="241"/>
      <c r="AR740" s="241"/>
      <c r="AS740" s="241"/>
      <c r="AT740" s="241"/>
      <c r="AU740" s="241"/>
      <c r="AV740" s="241"/>
      <c r="AW740" s="241"/>
      <c r="AX740" s="241"/>
      <c r="AY740" s="241"/>
      <c r="AZ740" s="241"/>
    </row>
    <row r="741" spans="1:52" ht="18" customHeight="1">
      <c r="A741" s="250"/>
      <c r="B741" s="241"/>
      <c r="C741" s="241"/>
      <c r="D741" s="241"/>
      <c r="E741" s="241"/>
      <c r="F741" s="241"/>
      <c r="G741" s="241"/>
      <c r="H741" s="241"/>
      <c r="I741" s="241"/>
      <c r="J741" s="241"/>
      <c r="K741" s="241"/>
      <c r="L741" s="241"/>
      <c r="M741" s="241"/>
      <c r="N741" s="241"/>
      <c r="O741" s="241"/>
      <c r="P741" s="241"/>
      <c r="Q741" s="241"/>
      <c r="R741" s="241"/>
      <c r="S741" s="241"/>
      <c r="T741" s="241"/>
      <c r="U741" s="241"/>
      <c r="V741" s="241"/>
      <c r="W741" s="241"/>
      <c r="X741" s="241"/>
      <c r="Y741" s="241"/>
      <c r="Z741" s="241"/>
      <c r="AA741" s="241"/>
      <c r="AB741" s="241"/>
      <c r="AC741" s="241"/>
      <c r="AD741" s="241"/>
      <c r="AE741" s="241"/>
      <c r="AF741" s="241"/>
      <c r="AG741" s="241"/>
      <c r="AH741" s="241"/>
      <c r="AI741" s="241"/>
      <c r="AJ741" s="241"/>
      <c r="AK741" s="241"/>
      <c r="AL741" s="241"/>
      <c r="AM741" s="241"/>
      <c r="AN741" s="241"/>
      <c r="AO741" s="241"/>
      <c r="AP741" s="241"/>
      <c r="AQ741" s="241"/>
      <c r="AR741" s="241"/>
      <c r="AS741" s="241"/>
      <c r="AT741" s="241"/>
      <c r="AU741" s="241"/>
      <c r="AV741" s="241"/>
      <c r="AW741" s="241"/>
      <c r="AX741" s="241"/>
      <c r="AY741" s="241"/>
      <c r="AZ741" s="241"/>
    </row>
    <row r="742" spans="1:52" ht="18" customHeight="1">
      <c r="A742" s="250"/>
      <c r="B742" s="241"/>
      <c r="C742" s="241"/>
      <c r="D742" s="241"/>
      <c r="E742" s="241"/>
      <c r="F742" s="241"/>
      <c r="G742" s="241"/>
      <c r="H742" s="241"/>
      <c r="I742" s="241"/>
      <c r="J742" s="241"/>
      <c r="K742" s="241"/>
      <c r="L742" s="241"/>
      <c r="M742" s="241"/>
      <c r="N742" s="241"/>
      <c r="O742" s="241"/>
      <c r="P742" s="241"/>
      <c r="Q742" s="241"/>
      <c r="R742" s="241"/>
      <c r="S742" s="241"/>
      <c r="T742" s="241"/>
      <c r="U742" s="241"/>
      <c r="V742" s="241"/>
      <c r="W742" s="241"/>
      <c r="X742" s="241"/>
      <c r="Y742" s="241"/>
      <c r="Z742" s="241"/>
      <c r="AA742" s="241"/>
      <c r="AB742" s="241"/>
      <c r="AC742" s="241"/>
      <c r="AD742" s="241"/>
      <c r="AE742" s="241"/>
      <c r="AF742" s="241"/>
      <c r="AG742" s="241"/>
      <c r="AH742" s="241"/>
      <c r="AI742" s="241"/>
      <c r="AJ742" s="241"/>
      <c r="AK742" s="241"/>
      <c r="AL742" s="241"/>
      <c r="AM742" s="241"/>
      <c r="AN742" s="241"/>
      <c r="AO742" s="241"/>
      <c r="AP742" s="241"/>
      <c r="AQ742" s="241"/>
      <c r="AR742" s="241"/>
      <c r="AS742" s="241"/>
      <c r="AT742" s="241"/>
      <c r="AU742" s="241"/>
      <c r="AV742" s="241"/>
      <c r="AW742" s="241"/>
      <c r="AX742" s="241"/>
      <c r="AY742" s="241"/>
      <c r="AZ742" s="241"/>
    </row>
    <row r="743" spans="1:52" ht="18" customHeight="1">
      <c r="A743" s="250"/>
      <c r="B743" s="241"/>
      <c r="C743" s="241"/>
      <c r="D743" s="241"/>
      <c r="E743" s="241"/>
      <c r="F743" s="241"/>
      <c r="G743" s="241"/>
      <c r="H743" s="241"/>
      <c r="I743" s="241"/>
      <c r="J743" s="241"/>
      <c r="K743" s="241"/>
      <c r="L743" s="241"/>
      <c r="M743" s="241"/>
      <c r="N743" s="241"/>
      <c r="O743" s="241"/>
      <c r="P743" s="241"/>
      <c r="Q743" s="241"/>
      <c r="R743" s="241"/>
      <c r="S743" s="241"/>
      <c r="T743" s="241"/>
      <c r="U743" s="241"/>
      <c r="V743" s="241"/>
      <c r="W743" s="241"/>
      <c r="X743" s="241"/>
      <c r="Y743" s="241"/>
      <c r="Z743" s="241"/>
      <c r="AA743" s="241"/>
      <c r="AB743" s="241"/>
      <c r="AC743" s="241"/>
      <c r="AD743" s="241"/>
      <c r="AE743" s="241"/>
      <c r="AF743" s="241"/>
      <c r="AG743" s="241"/>
      <c r="AH743" s="241"/>
      <c r="AI743" s="241"/>
      <c r="AJ743" s="241"/>
      <c r="AK743" s="241"/>
      <c r="AL743" s="241"/>
      <c r="AM743" s="241"/>
      <c r="AN743" s="241"/>
      <c r="AO743" s="241"/>
      <c r="AP743" s="241"/>
      <c r="AQ743" s="241"/>
      <c r="AR743" s="241"/>
      <c r="AS743" s="241"/>
      <c r="AT743" s="241"/>
      <c r="AU743" s="241"/>
      <c r="AV743" s="241"/>
      <c r="AW743" s="241"/>
      <c r="AX743" s="241"/>
      <c r="AY743" s="241"/>
      <c r="AZ743" s="241"/>
    </row>
    <row r="744" spans="1:52" ht="18" customHeight="1">
      <c r="A744" s="250"/>
      <c r="B744" s="241"/>
      <c r="C744" s="241"/>
      <c r="D744" s="241"/>
      <c r="E744" s="241"/>
      <c r="F744" s="241"/>
      <c r="G744" s="241"/>
      <c r="H744" s="241"/>
      <c r="I744" s="241"/>
      <c r="J744" s="241"/>
      <c r="K744" s="241"/>
      <c r="L744" s="241"/>
      <c r="M744" s="241"/>
      <c r="N744" s="241"/>
      <c r="O744" s="241"/>
      <c r="P744" s="241"/>
      <c r="Q744" s="241"/>
      <c r="R744" s="241"/>
      <c r="S744" s="241"/>
      <c r="T744" s="241"/>
      <c r="U744" s="241"/>
      <c r="V744" s="241"/>
      <c r="W744" s="241"/>
      <c r="X744" s="241"/>
      <c r="Y744" s="241"/>
      <c r="Z744" s="241"/>
      <c r="AA744" s="241"/>
      <c r="AB744" s="241"/>
      <c r="AC744" s="241"/>
      <c r="AD744" s="241"/>
      <c r="AE744" s="241"/>
      <c r="AF744" s="241"/>
      <c r="AG744" s="241"/>
      <c r="AH744" s="241"/>
      <c r="AI744" s="241"/>
      <c r="AJ744" s="241"/>
      <c r="AK744" s="241"/>
      <c r="AL744" s="241"/>
      <c r="AM744" s="241"/>
      <c r="AN744" s="241"/>
      <c r="AO744" s="241"/>
      <c r="AP744" s="241"/>
      <c r="AQ744" s="241"/>
      <c r="AR744" s="241"/>
      <c r="AS744" s="241"/>
      <c r="AT744" s="241"/>
      <c r="AU744" s="241"/>
      <c r="AV744" s="241"/>
      <c r="AW744" s="241"/>
      <c r="AX744" s="241"/>
      <c r="AY744" s="241"/>
      <c r="AZ744" s="241"/>
    </row>
    <row r="745" spans="1:52" ht="18" customHeight="1">
      <c r="A745" s="250"/>
      <c r="B745" s="241"/>
      <c r="C745" s="241"/>
      <c r="D745" s="241"/>
      <c r="E745" s="241"/>
      <c r="F745" s="241"/>
      <c r="G745" s="241"/>
      <c r="H745" s="241"/>
      <c r="I745" s="241"/>
      <c r="J745" s="241"/>
      <c r="K745" s="241"/>
      <c r="L745" s="241"/>
      <c r="M745" s="241"/>
      <c r="N745" s="241"/>
      <c r="O745" s="241"/>
      <c r="P745" s="241"/>
      <c r="Q745" s="241"/>
      <c r="R745" s="241"/>
      <c r="S745" s="241"/>
      <c r="T745" s="241"/>
      <c r="U745" s="241"/>
      <c r="V745" s="241"/>
      <c r="W745" s="241"/>
      <c r="X745" s="241"/>
      <c r="Y745" s="241"/>
      <c r="Z745" s="241"/>
      <c r="AA745" s="241"/>
      <c r="AB745" s="241"/>
      <c r="AC745" s="241"/>
      <c r="AD745" s="241"/>
      <c r="AE745" s="241"/>
      <c r="AF745" s="241"/>
      <c r="AG745" s="241"/>
      <c r="AH745" s="241"/>
      <c r="AI745" s="241"/>
      <c r="AJ745" s="241"/>
      <c r="AK745" s="241"/>
      <c r="AL745" s="241"/>
      <c r="AM745" s="241"/>
      <c r="AN745" s="241"/>
      <c r="AO745" s="241"/>
      <c r="AP745" s="241"/>
      <c r="AQ745" s="241"/>
      <c r="AR745" s="241"/>
      <c r="AS745" s="241"/>
      <c r="AT745" s="241"/>
      <c r="AU745" s="241"/>
      <c r="AV745" s="241"/>
      <c r="AW745" s="241"/>
      <c r="AX745" s="241"/>
      <c r="AY745" s="241"/>
      <c r="AZ745" s="241"/>
    </row>
    <row r="746" spans="1:52" ht="18" customHeight="1">
      <c r="A746" s="250"/>
      <c r="B746" s="241"/>
      <c r="C746" s="241"/>
      <c r="D746" s="241"/>
      <c r="E746" s="241"/>
      <c r="F746" s="241"/>
      <c r="G746" s="241"/>
      <c r="H746" s="241"/>
      <c r="I746" s="241"/>
      <c r="J746" s="241"/>
      <c r="K746" s="241"/>
      <c r="L746" s="241"/>
      <c r="M746" s="241"/>
      <c r="N746" s="241"/>
      <c r="O746" s="241"/>
      <c r="P746" s="241"/>
      <c r="Q746" s="241"/>
      <c r="R746" s="241"/>
      <c r="S746" s="241"/>
      <c r="T746" s="241"/>
      <c r="U746" s="241"/>
      <c r="V746" s="241"/>
      <c r="W746" s="241"/>
      <c r="X746" s="241"/>
      <c r="Y746" s="241"/>
      <c r="Z746" s="241"/>
      <c r="AA746" s="241"/>
      <c r="AB746" s="241"/>
      <c r="AC746" s="241"/>
      <c r="AD746" s="241"/>
      <c r="AE746" s="241"/>
      <c r="AF746" s="241"/>
      <c r="AG746" s="241"/>
      <c r="AH746" s="241"/>
      <c r="AI746" s="241"/>
      <c r="AJ746" s="241"/>
      <c r="AK746" s="241"/>
      <c r="AL746" s="241"/>
      <c r="AM746" s="241"/>
      <c r="AN746" s="241"/>
      <c r="AO746" s="241"/>
      <c r="AP746" s="241"/>
      <c r="AQ746" s="241"/>
      <c r="AR746" s="241"/>
      <c r="AS746" s="241"/>
      <c r="AT746" s="241"/>
      <c r="AU746" s="241"/>
      <c r="AV746" s="241"/>
      <c r="AW746" s="241"/>
      <c r="AX746" s="241"/>
      <c r="AY746" s="241"/>
      <c r="AZ746" s="241"/>
    </row>
    <row r="747" spans="1:52" ht="18" customHeight="1">
      <c r="A747" s="250"/>
      <c r="B747" s="241"/>
      <c r="C747" s="241"/>
      <c r="D747" s="241"/>
      <c r="E747" s="241"/>
      <c r="F747" s="241"/>
      <c r="G747" s="241"/>
      <c r="H747" s="241"/>
      <c r="I747" s="241"/>
      <c r="J747" s="241"/>
      <c r="K747" s="241"/>
      <c r="L747" s="241"/>
      <c r="M747" s="241"/>
      <c r="N747" s="241"/>
      <c r="O747" s="241"/>
      <c r="P747" s="241"/>
      <c r="Q747" s="241"/>
      <c r="R747" s="241"/>
      <c r="S747" s="241"/>
      <c r="T747" s="241"/>
      <c r="U747" s="241"/>
      <c r="V747" s="241"/>
      <c r="W747" s="241"/>
      <c r="X747" s="241"/>
      <c r="Y747" s="241"/>
      <c r="Z747" s="241"/>
      <c r="AA747" s="241"/>
      <c r="AB747" s="241"/>
      <c r="AC747" s="241"/>
      <c r="AD747" s="241"/>
      <c r="AE747" s="241"/>
      <c r="AF747" s="241"/>
      <c r="AG747" s="241"/>
      <c r="AH747" s="241"/>
      <c r="AI747" s="241"/>
      <c r="AJ747" s="241"/>
      <c r="AK747" s="241"/>
      <c r="AL747" s="241"/>
      <c r="AM747" s="241"/>
      <c r="AN747" s="241"/>
      <c r="AO747" s="241"/>
      <c r="AP747" s="241"/>
      <c r="AQ747" s="241"/>
      <c r="AR747" s="241"/>
      <c r="AS747" s="241"/>
      <c r="AT747" s="241"/>
      <c r="AU747" s="241"/>
      <c r="AV747" s="241"/>
      <c r="AW747" s="241"/>
      <c r="AX747" s="241"/>
      <c r="AY747" s="241"/>
      <c r="AZ747" s="241"/>
    </row>
    <row r="748" spans="1:52" ht="18" customHeight="1">
      <c r="A748" s="250"/>
      <c r="B748" s="241"/>
      <c r="C748" s="241"/>
      <c r="D748" s="241"/>
      <c r="E748" s="241"/>
      <c r="F748" s="241"/>
      <c r="G748" s="241"/>
      <c r="H748" s="241"/>
      <c r="I748" s="241"/>
      <c r="J748" s="241"/>
      <c r="K748" s="241"/>
      <c r="L748" s="241"/>
      <c r="M748" s="241"/>
      <c r="N748" s="241"/>
      <c r="O748" s="241"/>
      <c r="P748" s="241"/>
      <c r="Q748" s="241"/>
      <c r="R748" s="241"/>
      <c r="S748" s="241"/>
      <c r="T748" s="241"/>
      <c r="U748" s="241"/>
      <c r="V748" s="241"/>
      <c r="W748" s="241"/>
      <c r="X748" s="241"/>
      <c r="Y748" s="241"/>
      <c r="Z748" s="241"/>
      <c r="AA748" s="241"/>
      <c r="AB748" s="241"/>
      <c r="AC748" s="241"/>
      <c r="AD748" s="241"/>
      <c r="AE748" s="241"/>
      <c r="AF748" s="241"/>
      <c r="AG748" s="241"/>
      <c r="AH748" s="241"/>
      <c r="AI748" s="241"/>
      <c r="AJ748" s="241"/>
      <c r="AK748" s="241"/>
      <c r="AL748" s="241"/>
      <c r="AM748" s="241"/>
      <c r="AN748" s="241"/>
      <c r="AO748" s="241"/>
      <c r="AP748" s="241"/>
      <c r="AQ748" s="241"/>
      <c r="AR748" s="241"/>
      <c r="AS748" s="241"/>
      <c r="AT748" s="241"/>
      <c r="AU748" s="241"/>
      <c r="AV748" s="241"/>
      <c r="AW748" s="241"/>
      <c r="AX748" s="241"/>
      <c r="AY748" s="241"/>
      <c r="AZ748" s="241"/>
    </row>
    <row r="749" spans="1:52" ht="18" customHeight="1">
      <c r="A749" s="250"/>
      <c r="B749" s="241"/>
      <c r="C749" s="241"/>
      <c r="D749" s="241"/>
      <c r="E749" s="241"/>
      <c r="F749" s="241"/>
      <c r="G749" s="241"/>
      <c r="H749" s="241"/>
      <c r="I749" s="241"/>
      <c r="J749" s="241"/>
      <c r="K749" s="241"/>
      <c r="L749" s="241"/>
      <c r="M749" s="241"/>
      <c r="N749" s="241"/>
      <c r="O749" s="241"/>
      <c r="P749" s="241"/>
      <c r="Q749" s="241"/>
      <c r="R749" s="241"/>
      <c r="S749" s="241"/>
      <c r="T749" s="241"/>
      <c r="U749" s="241"/>
      <c r="V749" s="241"/>
      <c r="W749" s="241"/>
      <c r="X749" s="241"/>
      <c r="Y749" s="241"/>
      <c r="Z749" s="241"/>
      <c r="AA749" s="241"/>
      <c r="AB749" s="241"/>
      <c r="AC749" s="241"/>
      <c r="AD749" s="241"/>
      <c r="AE749" s="241"/>
      <c r="AF749" s="241"/>
      <c r="AG749" s="241"/>
      <c r="AH749" s="241"/>
      <c r="AI749" s="241"/>
      <c r="AJ749" s="241"/>
      <c r="AK749" s="241"/>
      <c r="AL749" s="241"/>
      <c r="AM749" s="241"/>
      <c r="AN749" s="241"/>
      <c r="AO749" s="241"/>
      <c r="AP749" s="241"/>
      <c r="AQ749" s="241"/>
      <c r="AR749" s="241"/>
      <c r="AS749" s="241"/>
      <c r="AT749" s="241"/>
      <c r="AU749" s="241"/>
      <c r="AV749" s="241"/>
      <c r="AW749" s="241"/>
      <c r="AX749" s="241"/>
      <c r="AY749" s="241"/>
      <c r="AZ749" s="241"/>
    </row>
    <row r="750" spans="1:52" ht="18" customHeight="1">
      <c r="A750" s="250"/>
      <c r="B750" s="241"/>
      <c r="C750" s="241"/>
      <c r="D750" s="241"/>
      <c r="E750" s="241"/>
      <c r="F750" s="241"/>
      <c r="G750" s="241"/>
      <c r="H750" s="241"/>
      <c r="I750" s="241"/>
      <c r="J750" s="241"/>
      <c r="K750" s="241"/>
      <c r="L750" s="241"/>
      <c r="M750" s="241"/>
      <c r="N750" s="241"/>
      <c r="O750" s="241"/>
      <c r="P750" s="241"/>
      <c r="Q750" s="241"/>
      <c r="R750" s="241"/>
      <c r="S750" s="241"/>
      <c r="T750" s="241"/>
      <c r="U750" s="241"/>
      <c r="V750" s="241"/>
      <c r="W750" s="241"/>
      <c r="X750" s="241"/>
      <c r="Y750" s="241"/>
      <c r="Z750" s="241"/>
      <c r="AA750" s="241"/>
      <c r="AB750" s="241"/>
      <c r="AC750" s="241"/>
      <c r="AD750" s="241"/>
      <c r="AE750" s="241"/>
      <c r="AF750" s="241"/>
      <c r="AG750" s="241"/>
      <c r="AH750" s="241"/>
      <c r="AI750" s="241"/>
      <c r="AJ750" s="241"/>
      <c r="AK750" s="241"/>
      <c r="AL750" s="241"/>
      <c r="AM750" s="241"/>
      <c r="AN750" s="241"/>
      <c r="AO750" s="241"/>
      <c r="AP750" s="241"/>
      <c r="AQ750" s="241"/>
      <c r="AR750" s="241"/>
      <c r="AS750" s="241"/>
      <c r="AT750" s="241"/>
      <c r="AU750" s="241"/>
      <c r="AV750" s="241"/>
      <c r="AW750" s="241"/>
      <c r="AX750" s="241"/>
      <c r="AY750" s="241"/>
      <c r="AZ750" s="241"/>
    </row>
    <row r="751" spans="1:52" ht="18" customHeight="1">
      <c r="A751" s="250"/>
      <c r="B751" s="241"/>
      <c r="C751" s="241"/>
      <c r="D751" s="241"/>
      <c r="E751" s="241"/>
      <c r="F751" s="241"/>
      <c r="G751" s="241"/>
      <c r="H751" s="241"/>
      <c r="I751" s="241"/>
      <c r="J751" s="241"/>
      <c r="K751" s="241"/>
      <c r="L751" s="241"/>
      <c r="M751" s="241"/>
      <c r="N751" s="241"/>
      <c r="O751" s="241"/>
      <c r="P751" s="241"/>
      <c r="Q751" s="241"/>
      <c r="R751" s="241"/>
      <c r="S751" s="241"/>
      <c r="T751" s="241"/>
      <c r="U751" s="241"/>
      <c r="V751" s="241"/>
      <c r="W751" s="241"/>
      <c r="X751" s="241"/>
      <c r="Y751" s="241"/>
      <c r="Z751" s="241"/>
      <c r="AA751" s="241"/>
      <c r="AB751" s="241"/>
      <c r="AC751" s="241"/>
      <c r="AD751" s="241"/>
      <c r="AE751" s="241"/>
      <c r="AF751" s="241"/>
      <c r="AG751" s="241"/>
      <c r="AH751" s="241"/>
      <c r="AI751" s="241"/>
      <c r="AJ751" s="241"/>
      <c r="AK751" s="241"/>
      <c r="AL751" s="241"/>
      <c r="AM751" s="241"/>
      <c r="AN751" s="241"/>
      <c r="AO751" s="241"/>
      <c r="AP751" s="241"/>
      <c r="AQ751" s="241"/>
      <c r="AR751" s="241"/>
      <c r="AS751" s="241"/>
      <c r="AT751" s="241"/>
      <c r="AU751" s="241"/>
      <c r="AV751" s="241"/>
      <c r="AW751" s="241"/>
      <c r="AX751" s="241"/>
      <c r="AY751" s="241"/>
      <c r="AZ751" s="241"/>
    </row>
    <row r="752" spans="1:52" ht="18" customHeight="1">
      <c r="A752" s="250"/>
      <c r="B752" s="241"/>
      <c r="C752" s="241"/>
      <c r="D752" s="241"/>
      <c r="E752" s="241"/>
      <c r="F752" s="241"/>
      <c r="G752" s="241"/>
      <c r="H752" s="241"/>
      <c r="I752" s="241"/>
      <c r="J752" s="241"/>
      <c r="K752" s="241"/>
      <c r="L752" s="241"/>
      <c r="M752" s="241"/>
      <c r="N752" s="241"/>
      <c r="O752" s="241"/>
      <c r="P752" s="241"/>
      <c r="Q752" s="241"/>
      <c r="R752" s="241"/>
      <c r="S752" s="241"/>
      <c r="T752" s="241"/>
      <c r="U752" s="241"/>
      <c r="V752" s="241"/>
      <c r="W752" s="241"/>
      <c r="X752" s="241"/>
      <c r="Y752" s="241"/>
      <c r="Z752" s="241"/>
      <c r="AA752" s="241"/>
      <c r="AB752" s="241"/>
      <c r="AC752" s="241"/>
      <c r="AD752" s="241"/>
      <c r="AE752" s="241"/>
      <c r="AF752" s="241"/>
      <c r="AG752" s="241"/>
      <c r="AH752" s="241"/>
      <c r="AI752" s="241"/>
      <c r="AJ752" s="241"/>
      <c r="AK752" s="241"/>
      <c r="AL752" s="241"/>
      <c r="AM752" s="241"/>
      <c r="AN752" s="241"/>
      <c r="AO752" s="241"/>
      <c r="AP752" s="241"/>
      <c r="AQ752" s="241"/>
      <c r="AR752" s="241"/>
      <c r="AS752" s="241"/>
      <c r="AT752" s="241"/>
      <c r="AU752" s="241"/>
      <c r="AV752" s="241"/>
      <c r="AW752" s="241"/>
      <c r="AX752" s="241"/>
      <c r="AY752" s="241"/>
      <c r="AZ752" s="241"/>
    </row>
    <row r="753" spans="1:52" ht="18" customHeight="1">
      <c r="A753" s="250"/>
      <c r="B753" s="241"/>
      <c r="C753" s="241"/>
      <c r="D753" s="241"/>
      <c r="E753" s="241"/>
      <c r="F753" s="241"/>
      <c r="G753" s="241"/>
      <c r="H753" s="241"/>
      <c r="I753" s="241"/>
      <c r="J753" s="241"/>
      <c r="K753" s="241"/>
      <c r="L753" s="241"/>
      <c r="M753" s="241"/>
      <c r="N753" s="241"/>
      <c r="O753" s="241"/>
      <c r="P753" s="241"/>
      <c r="Q753" s="241"/>
      <c r="R753" s="241"/>
      <c r="S753" s="241"/>
      <c r="T753" s="241"/>
      <c r="U753" s="241"/>
      <c r="V753" s="241"/>
      <c r="W753" s="241"/>
      <c r="X753" s="241"/>
      <c r="Y753" s="241"/>
      <c r="Z753" s="241"/>
      <c r="AA753" s="241"/>
      <c r="AB753" s="241"/>
      <c r="AC753" s="241"/>
      <c r="AD753" s="241"/>
      <c r="AE753" s="241"/>
      <c r="AF753" s="241"/>
      <c r="AG753" s="241"/>
      <c r="AH753" s="241"/>
      <c r="AI753" s="241"/>
      <c r="AJ753" s="241"/>
      <c r="AK753" s="241"/>
      <c r="AL753" s="241"/>
      <c r="AM753" s="241"/>
      <c r="AN753" s="241"/>
      <c r="AO753" s="241"/>
      <c r="AP753" s="241"/>
      <c r="AQ753" s="241"/>
      <c r="AR753" s="241"/>
      <c r="AS753" s="241"/>
      <c r="AT753" s="241"/>
      <c r="AU753" s="241"/>
      <c r="AV753" s="241"/>
      <c r="AW753" s="241"/>
      <c r="AX753" s="241"/>
      <c r="AY753" s="241"/>
      <c r="AZ753" s="241"/>
    </row>
    <row r="754" spans="1:52" ht="18" customHeight="1">
      <c r="A754" s="250"/>
      <c r="B754" s="241"/>
      <c r="C754" s="241"/>
      <c r="D754" s="241"/>
      <c r="E754" s="241"/>
      <c r="F754" s="241"/>
      <c r="G754" s="241"/>
      <c r="H754" s="241"/>
      <c r="I754" s="241"/>
      <c r="J754" s="241"/>
      <c r="K754" s="241"/>
      <c r="L754" s="241"/>
      <c r="M754" s="241"/>
      <c r="N754" s="241"/>
      <c r="O754" s="241"/>
      <c r="P754" s="241"/>
      <c r="Q754" s="241"/>
      <c r="R754" s="241"/>
      <c r="S754" s="241"/>
      <c r="T754" s="241"/>
      <c r="U754" s="241"/>
      <c r="V754" s="241"/>
      <c r="W754" s="241"/>
      <c r="X754" s="241"/>
      <c r="Y754" s="241"/>
      <c r="Z754" s="241"/>
      <c r="AA754" s="241"/>
      <c r="AB754" s="241"/>
      <c r="AC754" s="241"/>
      <c r="AD754" s="241"/>
      <c r="AE754" s="241"/>
      <c r="AF754" s="241"/>
      <c r="AG754" s="241"/>
      <c r="AH754" s="241"/>
      <c r="AI754" s="241"/>
      <c r="AJ754" s="241"/>
      <c r="AK754" s="241"/>
      <c r="AL754" s="241"/>
      <c r="AM754" s="241"/>
      <c r="AN754" s="241"/>
      <c r="AO754" s="241"/>
      <c r="AP754" s="241"/>
      <c r="AQ754" s="241"/>
      <c r="AR754" s="241"/>
      <c r="AS754" s="241"/>
      <c r="AT754" s="241"/>
      <c r="AU754" s="241"/>
      <c r="AV754" s="241"/>
      <c r="AW754" s="241"/>
      <c r="AX754" s="241"/>
      <c r="AY754" s="241"/>
      <c r="AZ754" s="241"/>
    </row>
    <row r="755" spans="1:52" ht="18" customHeight="1">
      <c r="A755" s="250"/>
      <c r="B755" s="241"/>
      <c r="C755" s="241"/>
      <c r="D755" s="241"/>
      <c r="E755" s="241"/>
      <c r="F755" s="241"/>
      <c r="G755" s="241"/>
      <c r="H755" s="241"/>
      <c r="I755" s="241"/>
      <c r="J755" s="241"/>
      <c r="K755" s="241"/>
      <c r="L755" s="241"/>
      <c r="M755" s="241"/>
      <c r="N755" s="241"/>
      <c r="O755" s="241"/>
      <c r="P755" s="241"/>
      <c r="Q755" s="241"/>
      <c r="R755" s="241"/>
      <c r="S755" s="241"/>
      <c r="T755" s="241"/>
      <c r="U755" s="241"/>
      <c r="V755" s="241"/>
      <c r="W755" s="241"/>
      <c r="X755" s="241"/>
      <c r="Y755" s="241"/>
      <c r="Z755" s="241"/>
      <c r="AA755" s="241"/>
      <c r="AB755" s="241"/>
      <c r="AC755" s="241"/>
      <c r="AD755" s="241"/>
      <c r="AE755" s="241"/>
      <c r="AF755" s="241"/>
      <c r="AG755" s="241"/>
      <c r="AH755" s="241"/>
      <c r="AI755" s="241"/>
      <c r="AJ755" s="241"/>
      <c r="AK755" s="241"/>
      <c r="AL755" s="241"/>
      <c r="AM755" s="241"/>
      <c r="AN755" s="241"/>
      <c r="AO755" s="241"/>
      <c r="AP755" s="241"/>
      <c r="AQ755" s="241"/>
      <c r="AR755" s="241"/>
      <c r="AS755" s="241"/>
      <c r="AT755" s="241"/>
      <c r="AU755" s="241"/>
      <c r="AV755" s="241"/>
      <c r="AW755" s="241"/>
      <c r="AX755" s="241"/>
      <c r="AY755" s="241"/>
      <c r="AZ755" s="241"/>
    </row>
    <row r="756" spans="1:52" ht="18" customHeight="1">
      <c r="A756" s="250"/>
      <c r="B756" s="241"/>
      <c r="C756" s="241"/>
      <c r="D756" s="241"/>
      <c r="E756" s="241"/>
      <c r="F756" s="241"/>
      <c r="G756" s="241"/>
      <c r="H756" s="241"/>
      <c r="I756" s="241"/>
      <c r="J756" s="241"/>
      <c r="K756" s="241"/>
      <c r="L756" s="241"/>
      <c r="M756" s="241"/>
      <c r="N756" s="241"/>
      <c r="O756" s="241"/>
      <c r="P756" s="241"/>
      <c r="Q756" s="241"/>
      <c r="R756" s="241"/>
      <c r="S756" s="241"/>
      <c r="T756" s="241"/>
      <c r="U756" s="241"/>
      <c r="V756" s="241"/>
      <c r="W756" s="241"/>
      <c r="X756" s="241"/>
      <c r="Y756" s="241"/>
      <c r="Z756" s="241"/>
      <c r="AA756" s="241"/>
      <c r="AB756" s="241"/>
      <c r="AC756" s="241"/>
      <c r="AD756" s="241"/>
      <c r="AE756" s="241"/>
      <c r="AF756" s="241"/>
      <c r="AG756" s="241"/>
      <c r="AH756" s="241"/>
      <c r="AI756" s="241"/>
      <c r="AJ756" s="241"/>
      <c r="AK756" s="241"/>
      <c r="AL756" s="241"/>
      <c r="AM756" s="241"/>
      <c r="AN756" s="241"/>
      <c r="AO756" s="241"/>
      <c r="AP756" s="241"/>
      <c r="AQ756" s="241"/>
      <c r="AR756" s="241"/>
      <c r="AS756" s="241"/>
      <c r="AT756" s="241"/>
      <c r="AU756" s="241"/>
      <c r="AV756" s="241"/>
      <c r="AW756" s="241"/>
      <c r="AX756" s="241"/>
      <c r="AY756" s="241"/>
      <c r="AZ756" s="241"/>
    </row>
    <row r="757" spans="1:52" ht="18" customHeight="1">
      <c r="A757" s="250"/>
      <c r="B757" s="241"/>
      <c r="C757" s="241"/>
      <c r="D757" s="241"/>
      <c r="E757" s="241"/>
      <c r="F757" s="241"/>
      <c r="G757" s="241"/>
      <c r="H757" s="241"/>
      <c r="I757" s="241"/>
      <c r="J757" s="241"/>
      <c r="K757" s="241"/>
      <c r="L757" s="241"/>
      <c r="M757" s="241"/>
      <c r="N757" s="241"/>
      <c r="O757" s="241"/>
      <c r="P757" s="241"/>
      <c r="Q757" s="241"/>
      <c r="R757" s="241"/>
      <c r="S757" s="241"/>
      <c r="T757" s="241"/>
      <c r="U757" s="241"/>
      <c r="V757" s="241"/>
      <c r="W757" s="241"/>
      <c r="X757" s="241"/>
      <c r="Y757" s="241"/>
      <c r="Z757" s="241"/>
      <c r="AA757" s="241"/>
      <c r="AB757" s="241"/>
      <c r="AC757" s="241"/>
      <c r="AD757" s="241"/>
      <c r="AE757" s="241"/>
      <c r="AF757" s="241"/>
      <c r="AG757" s="241"/>
      <c r="AH757" s="241"/>
      <c r="AI757" s="241"/>
      <c r="AJ757" s="241"/>
      <c r="AK757" s="241"/>
      <c r="AL757" s="241"/>
      <c r="AM757" s="241"/>
      <c r="AN757" s="241"/>
      <c r="AO757" s="241"/>
      <c r="AP757" s="241"/>
      <c r="AQ757" s="241"/>
      <c r="AR757" s="241"/>
      <c r="AS757" s="241"/>
      <c r="AT757" s="241"/>
      <c r="AU757" s="241"/>
      <c r="AV757" s="241"/>
      <c r="AW757" s="241"/>
      <c r="AX757" s="241"/>
      <c r="AY757" s="241"/>
      <c r="AZ757" s="241"/>
    </row>
    <row r="758" spans="1:52" ht="18" customHeight="1">
      <c r="A758" s="250"/>
      <c r="B758" s="241"/>
      <c r="C758" s="241"/>
      <c r="D758" s="241"/>
      <c r="E758" s="241"/>
      <c r="F758" s="241"/>
      <c r="G758" s="241"/>
      <c r="H758" s="241"/>
      <c r="I758" s="241"/>
      <c r="J758" s="241"/>
      <c r="K758" s="241"/>
      <c r="L758" s="241"/>
      <c r="M758" s="241"/>
      <c r="N758" s="241"/>
      <c r="O758" s="241"/>
      <c r="P758" s="241"/>
      <c r="Q758" s="241"/>
      <c r="R758" s="241"/>
      <c r="S758" s="241"/>
      <c r="T758" s="241"/>
      <c r="U758" s="241"/>
      <c r="V758" s="241"/>
      <c r="W758" s="241"/>
      <c r="X758" s="241"/>
      <c r="Y758" s="241"/>
      <c r="Z758" s="241"/>
      <c r="AA758" s="241"/>
      <c r="AB758" s="241"/>
      <c r="AC758" s="241"/>
      <c r="AD758" s="241"/>
      <c r="AE758" s="241"/>
      <c r="AF758" s="241"/>
      <c r="AG758" s="241"/>
      <c r="AH758" s="241"/>
      <c r="AI758" s="241"/>
      <c r="AJ758" s="241"/>
      <c r="AK758" s="241"/>
      <c r="AL758" s="241"/>
      <c r="AM758" s="241"/>
      <c r="AN758" s="241"/>
      <c r="AO758" s="241"/>
      <c r="AP758" s="241"/>
      <c r="AQ758" s="241"/>
      <c r="AR758" s="241"/>
      <c r="AS758" s="241"/>
      <c r="AT758" s="241"/>
      <c r="AU758" s="241"/>
      <c r="AV758" s="241"/>
      <c r="AW758" s="241"/>
      <c r="AX758" s="241"/>
      <c r="AY758" s="241"/>
      <c r="AZ758" s="241"/>
    </row>
    <row r="759" spans="1:52" ht="18" customHeight="1">
      <c r="A759" s="250"/>
      <c r="B759" s="241"/>
      <c r="C759" s="241"/>
      <c r="D759" s="241"/>
      <c r="E759" s="241"/>
      <c r="F759" s="241"/>
      <c r="G759" s="241"/>
      <c r="H759" s="241"/>
      <c r="I759" s="241"/>
      <c r="J759" s="241"/>
      <c r="K759" s="241"/>
      <c r="L759" s="241"/>
      <c r="M759" s="241"/>
      <c r="N759" s="241"/>
      <c r="O759" s="241"/>
      <c r="P759" s="241"/>
      <c r="Q759" s="241"/>
      <c r="R759" s="241"/>
      <c r="S759" s="241"/>
      <c r="T759" s="241"/>
      <c r="U759" s="241"/>
      <c r="V759" s="241"/>
      <c r="W759" s="241"/>
      <c r="X759" s="241"/>
      <c r="Y759" s="241"/>
      <c r="Z759" s="241"/>
      <c r="AA759" s="241"/>
      <c r="AB759" s="241"/>
      <c r="AC759" s="241"/>
      <c r="AD759" s="241"/>
      <c r="AE759" s="241"/>
      <c r="AF759" s="241"/>
      <c r="AG759" s="241"/>
      <c r="AH759" s="241"/>
      <c r="AI759" s="241"/>
      <c r="AJ759" s="241"/>
      <c r="AK759" s="241"/>
      <c r="AL759" s="241"/>
      <c r="AM759" s="241"/>
      <c r="AN759" s="241"/>
      <c r="AO759" s="241"/>
      <c r="AP759" s="241"/>
      <c r="AQ759" s="241"/>
      <c r="AR759" s="241"/>
      <c r="AS759" s="241"/>
      <c r="AT759" s="241"/>
      <c r="AU759" s="241"/>
      <c r="AV759" s="241"/>
      <c r="AW759" s="241"/>
      <c r="AX759" s="241"/>
      <c r="AY759" s="241"/>
      <c r="AZ759" s="241"/>
    </row>
    <row r="760" spans="1:52" ht="18" customHeight="1">
      <c r="A760" s="250"/>
      <c r="B760" s="241"/>
      <c r="C760" s="241"/>
      <c r="D760" s="241"/>
      <c r="E760" s="241"/>
      <c r="F760" s="241"/>
      <c r="G760" s="241"/>
      <c r="H760" s="241"/>
      <c r="I760" s="241"/>
      <c r="J760" s="241"/>
      <c r="K760" s="241"/>
      <c r="L760" s="241"/>
      <c r="M760" s="241"/>
      <c r="N760" s="241"/>
      <c r="O760" s="241"/>
      <c r="P760" s="241"/>
      <c r="Q760" s="241"/>
      <c r="R760" s="241"/>
      <c r="S760" s="241"/>
      <c r="T760" s="241"/>
      <c r="U760" s="241"/>
      <c r="V760" s="241"/>
      <c r="W760" s="241"/>
      <c r="X760" s="241"/>
      <c r="Y760" s="241"/>
      <c r="Z760" s="241"/>
      <c r="AA760" s="241"/>
      <c r="AB760" s="241"/>
      <c r="AC760" s="241"/>
      <c r="AD760" s="241"/>
      <c r="AE760" s="241"/>
      <c r="AF760" s="241"/>
      <c r="AG760" s="241"/>
      <c r="AH760" s="241"/>
      <c r="AI760" s="241"/>
      <c r="AJ760" s="241"/>
      <c r="AK760" s="241"/>
      <c r="AL760" s="241"/>
      <c r="AM760" s="241"/>
      <c r="AN760" s="241"/>
      <c r="AO760" s="241"/>
      <c r="AP760" s="241"/>
      <c r="AQ760" s="241"/>
      <c r="AR760" s="241"/>
      <c r="AS760" s="241"/>
      <c r="AT760" s="241"/>
      <c r="AU760" s="241"/>
      <c r="AV760" s="241"/>
      <c r="AW760" s="241"/>
      <c r="AX760" s="241"/>
      <c r="AY760" s="241"/>
      <c r="AZ760" s="241"/>
    </row>
    <row r="761" spans="1:52" ht="18" customHeight="1">
      <c r="A761" s="250"/>
      <c r="B761" s="241"/>
      <c r="C761" s="241"/>
      <c r="D761" s="241"/>
      <c r="E761" s="241"/>
      <c r="F761" s="241"/>
      <c r="G761" s="241"/>
      <c r="H761" s="241"/>
      <c r="I761" s="241"/>
      <c r="J761" s="241"/>
      <c r="K761" s="241"/>
      <c r="L761" s="241"/>
      <c r="M761" s="241"/>
      <c r="N761" s="241"/>
      <c r="O761" s="241"/>
      <c r="P761" s="241"/>
      <c r="Q761" s="241"/>
      <c r="R761" s="241"/>
      <c r="S761" s="241"/>
      <c r="T761" s="241"/>
      <c r="U761" s="241"/>
      <c r="V761" s="241"/>
      <c r="W761" s="241"/>
      <c r="X761" s="241"/>
      <c r="Y761" s="241"/>
      <c r="Z761" s="241"/>
      <c r="AA761" s="241"/>
      <c r="AB761" s="241"/>
      <c r="AC761" s="241"/>
      <c r="AD761" s="241"/>
      <c r="AE761" s="241"/>
      <c r="AF761" s="241"/>
      <c r="AG761" s="241"/>
      <c r="AH761" s="241"/>
      <c r="AI761" s="241"/>
      <c r="AJ761" s="241"/>
      <c r="AK761" s="241"/>
      <c r="AL761" s="241"/>
      <c r="AM761" s="241"/>
      <c r="AN761" s="241"/>
      <c r="AO761" s="241"/>
      <c r="AP761" s="241"/>
      <c r="AQ761" s="241"/>
      <c r="AR761" s="241"/>
      <c r="AS761" s="241"/>
      <c r="AT761" s="241"/>
      <c r="AU761" s="241"/>
      <c r="AV761" s="241"/>
      <c r="AW761" s="241"/>
      <c r="AX761" s="241"/>
      <c r="AY761" s="241"/>
      <c r="AZ761" s="241"/>
    </row>
    <row r="762" spans="1:52" ht="18" customHeight="1">
      <c r="A762" s="250"/>
      <c r="B762" s="241"/>
      <c r="C762" s="241"/>
      <c r="D762" s="241"/>
      <c r="E762" s="241"/>
      <c r="F762" s="241"/>
      <c r="G762" s="241"/>
      <c r="H762" s="241"/>
      <c r="I762" s="241"/>
      <c r="J762" s="241"/>
      <c r="K762" s="241"/>
      <c r="L762" s="241"/>
      <c r="M762" s="241"/>
      <c r="N762" s="241"/>
      <c r="O762" s="241"/>
      <c r="P762" s="241"/>
      <c r="Q762" s="241"/>
      <c r="R762" s="241"/>
      <c r="S762" s="241"/>
      <c r="T762" s="241"/>
      <c r="U762" s="241"/>
      <c r="V762" s="241"/>
      <c r="W762" s="241"/>
      <c r="X762" s="241"/>
      <c r="Y762" s="241"/>
      <c r="Z762" s="241"/>
      <c r="AA762" s="241"/>
      <c r="AB762" s="241"/>
      <c r="AC762" s="241"/>
      <c r="AD762" s="241"/>
      <c r="AE762" s="241"/>
      <c r="AF762" s="241"/>
      <c r="AG762" s="241"/>
      <c r="AH762" s="241"/>
      <c r="AI762" s="241"/>
      <c r="AJ762" s="241"/>
      <c r="AK762" s="241"/>
      <c r="AL762" s="241"/>
      <c r="AM762" s="241"/>
      <c r="AN762" s="241"/>
      <c r="AO762" s="241"/>
      <c r="AP762" s="241"/>
      <c r="AQ762" s="241"/>
      <c r="AR762" s="241"/>
      <c r="AS762" s="241"/>
      <c r="AT762" s="241"/>
      <c r="AU762" s="241"/>
      <c r="AV762" s="241"/>
      <c r="AW762" s="241"/>
      <c r="AX762" s="241"/>
      <c r="AY762" s="241"/>
      <c r="AZ762" s="241"/>
    </row>
    <row r="763" spans="1:52" ht="18" customHeight="1">
      <c r="A763" s="250"/>
      <c r="B763" s="241"/>
      <c r="C763" s="241"/>
      <c r="D763" s="241"/>
      <c r="E763" s="241"/>
      <c r="F763" s="241"/>
      <c r="G763" s="241"/>
      <c r="H763" s="241"/>
      <c r="I763" s="241"/>
      <c r="J763" s="241"/>
      <c r="K763" s="241"/>
      <c r="L763" s="241"/>
      <c r="M763" s="241"/>
      <c r="N763" s="241"/>
      <c r="O763" s="241"/>
      <c r="P763" s="241"/>
      <c r="Q763" s="241"/>
      <c r="R763" s="241"/>
      <c r="S763" s="241"/>
      <c r="T763" s="241"/>
      <c r="U763" s="241"/>
      <c r="V763" s="241"/>
      <c r="W763" s="241"/>
      <c r="X763" s="241"/>
      <c r="Y763" s="241"/>
      <c r="Z763" s="241"/>
      <c r="AA763" s="241"/>
      <c r="AB763" s="241"/>
      <c r="AC763" s="241"/>
      <c r="AD763" s="241"/>
      <c r="AE763" s="241"/>
      <c r="AF763" s="241"/>
      <c r="AG763" s="241"/>
      <c r="AH763" s="241"/>
      <c r="AI763" s="241"/>
      <c r="AJ763" s="241"/>
      <c r="AK763" s="241"/>
      <c r="AL763" s="241"/>
      <c r="AM763" s="241"/>
      <c r="AN763" s="241"/>
      <c r="AO763" s="241"/>
      <c r="AP763" s="241"/>
      <c r="AQ763" s="241"/>
      <c r="AR763" s="241"/>
      <c r="AS763" s="241"/>
      <c r="AT763" s="241"/>
      <c r="AU763" s="241"/>
      <c r="AV763" s="241"/>
      <c r="AW763" s="241"/>
      <c r="AX763" s="241"/>
      <c r="AY763" s="241"/>
      <c r="AZ763" s="241"/>
    </row>
    <row r="764" spans="1:52" ht="18" customHeight="1">
      <c r="A764" s="250"/>
      <c r="B764" s="241"/>
      <c r="C764" s="241"/>
      <c r="D764" s="241"/>
      <c r="E764" s="241"/>
      <c r="F764" s="241"/>
      <c r="G764" s="241"/>
      <c r="H764" s="241"/>
      <c r="I764" s="241"/>
      <c r="J764" s="241"/>
      <c r="K764" s="241"/>
      <c r="L764" s="241"/>
      <c r="M764" s="241"/>
      <c r="N764" s="241"/>
      <c r="O764" s="241"/>
      <c r="P764" s="241"/>
      <c r="Q764" s="241"/>
      <c r="R764" s="241"/>
      <c r="S764" s="241"/>
      <c r="T764" s="241"/>
      <c r="U764" s="241"/>
      <c r="V764" s="241"/>
      <c r="W764" s="241"/>
      <c r="X764" s="241"/>
      <c r="Y764" s="241"/>
      <c r="Z764" s="241"/>
      <c r="AA764" s="241"/>
      <c r="AB764" s="241"/>
      <c r="AC764" s="241"/>
      <c r="AD764" s="241"/>
      <c r="AE764" s="241"/>
      <c r="AF764" s="241"/>
      <c r="AG764" s="241"/>
      <c r="AH764" s="241"/>
      <c r="AI764" s="241"/>
      <c r="AJ764" s="241"/>
      <c r="AK764" s="241"/>
      <c r="AL764" s="241"/>
      <c r="AM764" s="241"/>
      <c r="AN764" s="241"/>
      <c r="AO764" s="241"/>
      <c r="AP764" s="241"/>
      <c r="AQ764" s="241"/>
      <c r="AR764" s="241"/>
      <c r="AS764" s="241"/>
      <c r="AT764" s="241"/>
      <c r="AU764" s="241"/>
      <c r="AV764" s="241"/>
      <c r="AW764" s="241"/>
      <c r="AX764" s="241"/>
      <c r="AY764" s="241"/>
      <c r="AZ764" s="241"/>
    </row>
    <row r="765" spans="1:52" ht="18" customHeight="1">
      <c r="A765" s="250"/>
      <c r="B765" s="241"/>
      <c r="C765" s="241"/>
      <c r="D765" s="241"/>
      <c r="E765" s="241"/>
      <c r="F765" s="241"/>
      <c r="G765" s="241"/>
      <c r="H765" s="241"/>
      <c r="I765" s="241"/>
      <c r="J765" s="241"/>
      <c r="K765" s="241"/>
      <c r="L765" s="241"/>
      <c r="M765" s="241"/>
      <c r="N765" s="241"/>
      <c r="O765" s="241"/>
      <c r="P765" s="241"/>
      <c r="Q765" s="241"/>
      <c r="R765" s="241"/>
      <c r="S765" s="241"/>
      <c r="T765" s="241"/>
      <c r="U765" s="241"/>
      <c r="V765" s="241"/>
      <c r="W765" s="241"/>
      <c r="X765" s="241"/>
      <c r="Y765" s="241"/>
      <c r="Z765" s="241"/>
      <c r="AA765" s="241"/>
      <c r="AB765" s="241"/>
      <c r="AC765" s="241"/>
      <c r="AD765" s="241"/>
      <c r="AE765" s="241"/>
      <c r="AF765" s="241"/>
      <c r="AG765" s="241"/>
      <c r="AH765" s="241"/>
      <c r="AI765" s="241"/>
      <c r="AJ765" s="241"/>
      <c r="AK765" s="241"/>
      <c r="AL765" s="241"/>
      <c r="AM765" s="241"/>
      <c r="AN765" s="241"/>
      <c r="AO765" s="241"/>
      <c r="AP765" s="241"/>
      <c r="AQ765" s="241"/>
      <c r="AR765" s="241"/>
      <c r="AS765" s="241"/>
      <c r="AT765" s="241"/>
      <c r="AU765" s="241"/>
      <c r="AV765" s="241"/>
      <c r="AW765" s="241"/>
      <c r="AX765" s="241"/>
      <c r="AY765" s="241"/>
      <c r="AZ765" s="241"/>
    </row>
    <row r="766" spans="1:52" ht="18" customHeight="1">
      <c r="A766" s="250"/>
      <c r="B766" s="241"/>
      <c r="C766" s="241"/>
      <c r="D766" s="241"/>
      <c r="E766" s="241"/>
      <c r="F766" s="241"/>
      <c r="G766" s="241"/>
      <c r="H766" s="241"/>
      <c r="I766" s="241"/>
      <c r="J766" s="241"/>
      <c r="K766" s="241"/>
      <c r="L766" s="241"/>
      <c r="M766" s="241"/>
      <c r="N766" s="241"/>
      <c r="O766" s="241"/>
      <c r="P766" s="241"/>
      <c r="Q766" s="241"/>
      <c r="R766" s="241"/>
      <c r="S766" s="241"/>
      <c r="T766" s="241"/>
      <c r="U766" s="241"/>
      <c r="V766" s="241"/>
      <c r="W766" s="241"/>
      <c r="X766" s="241"/>
      <c r="Y766" s="241"/>
      <c r="Z766" s="241"/>
      <c r="AA766" s="241"/>
      <c r="AB766" s="241"/>
      <c r="AC766" s="241"/>
      <c r="AD766" s="241"/>
      <c r="AE766" s="241"/>
      <c r="AF766" s="241"/>
      <c r="AG766" s="241"/>
      <c r="AH766" s="241"/>
      <c r="AI766" s="241"/>
      <c r="AJ766" s="241"/>
      <c r="AK766" s="241"/>
      <c r="AL766" s="241"/>
      <c r="AM766" s="241"/>
      <c r="AN766" s="241"/>
      <c r="AO766" s="241"/>
      <c r="AP766" s="241"/>
      <c r="AQ766" s="241"/>
      <c r="AR766" s="241"/>
      <c r="AS766" s="241"/>
      <c r="AT766" s="241"/>
      <c r="AU766" s="241"/>
      <c r="AV766" s="241"/>
      <c r="AW766" s="241"/>
      <c r="AX766" s="241"/>
      <c r="AY766" s="241"/>
      <c r="AZ766" s="241"/>
    </row>
    <row r="767" spans="1:52" ht="18" customHeight="1">
      <c r="A767" s="250"/>
      <c r="B767" s="241"/>
      <c r="C767" s="241"/>
      <c r="D767" s="241"/>
      <c r="E767" s="241"/>
      <c r="F767" s="241"/>
      <c r="G767" s="241"/>
      <c r="H767" s="241"/>
      <c r="I767" s="241"/>
      <c r="J767" s="241"/>
      <c r="K767" s="241"/>
      <c r="L767" s="241"/>
      <c r="M767" s="241"/>
      <c r="N767" s="241"/>
      <c r="O767" s="241"/>
      <c r="P767" s="241"/>
      <c r="Q767" s="241"/>
      <c r="R767" s="241"/>
      <c r="S767" s="241"/>
      <c r="T767" s="241"/>
      <c r="U767" s="241"/>
      <c r="V767" s="241"/>
      <c r="W767" s="241"/>
      <c r="X767" s="241"/>
      <c r="Y767" s="241"/>
      <c r="Z767" s="241"/>
      <c r="AA767" s="241"/>
      <c r="AB767" s="241"/>
      <c r="AC767" s="241"/>
      <c r="AD767" s="241"/>
      <c r="AE767" s="241"/>
      <c r="AF767" s="241"/>
      <c r="AG767" s="241"/>
      <c r="AH767" s="241"/>
      <c r="AI767" s="241"/>
      <c r="AJ767" s="241"/>
      <c r="AK767" s="241"/>
      <c r="AL767" s="241"/>
      <c r="AM767" s="241"/>
      <c r="AN767" s="241"/>
      <c r="AO767" s="241"/>
      <c r="AP767" s="241"/>
      <c r="AQ767" s="241"/>
      <c r="AR767" s="241"/>
      <c r="AS767" s="241"/>
      <c r="AT767" s="241"/>
      <c r="AU767" s="241"/>
      <c r="AV767" s="241"/>
      <c r="AW767" s="241"/>
      <c r="AX767" s="241"/>
      <c r="AY767" s="241"/>
      <c r="AZ767" s="241"/>
    </row>
    <row r="768" spans="1:52" ht="18" customHeight="1">
      <c r="A768" s="250"/>
      <c r="B768" s="241"/>
      <c r="C768" s="241"/>
      <c r="D768" s="241"/>
      <c r="E768" s="241"/>
      <c r="F768" s="241"/>
      <c r="G768" s="241"/>
      <c r="H768" s="241"/>
      <c r="I768" s="241"/>
      <c r="J768" s="241"/>
      <c r="K768" s="241"/>
      <c r="L768" s="241"/>
      <c r="M768" s="241"/>
      <c r="N768" s="241"/>
      <c r="O768" s="241"/>
      <c r="P768" s="241"/>
      <c r="Q768" s="241"/>
      <c r="R768" s="241"/>
      <c r="S768" s="241"/>
      <c r="T768" s="241"/>
      <c r="U768" s="241"/>
      <c r="V768" s="241"/>
      <c r="W768" s="241"/>
      <c r="X768" s="241"/>
      <c r="Y768" s="241"/>
      <c r="Z768" s="241"/>
      <c r="AA768" s="241"/>
      <c r="AB768" s="241"/>
      <c r="AC768" s="241"/>
      <c r="AD768" s="241"/>
      <c r="AE768" s="241"/>
      <c r="AF768" s="241"/>
      <c r="AG768" s="241"/>
      <c r="AH768" s="241"/>
      <c r="AI768" s="241"/>
      <c r="AJ768" s="241"/>
      <c r="AK768" s="241"/>
      <c r="AL768" s="241"/>
      <c r="AM768" s="241"/>
      <c r="AN768" s="241"/>
      <c r="AO768" s="241"/>
      <c r="AP768" s="241"/>
      <c r="AQ768" s="241"/>
      <c r="AR768" s="241"/>
      <c r="AS768" s="241"/>
      <c r="AT768" s="241"/>
      <c r="AU768" s="241"/>
      <c r="AV768" s="241"/>
      <c r="AW768" s="241"/>
      <c r="AX768" s="241"/>
      <c r="AY768" s="241"/>
      <c r="AZ768" s="241"/>
    </row>
    <row r="769" spans="1:52" ht="18" customHeight="1">
      <c r="A769" s="250"/>
      <c r="B769" s="241"/>
      <c r="C769" s="241"/>
      <c r="D769" s="241"/>
      <c r="E769" s="241"/>
      <c r="F769" s="241"/>
      <c r="G769" s="241"/>
      <c r="H769" s="241"/>
      <c r="I769" s="241"/>
      <c r="J769" s="241"/>
      <c r="K769" s="241"/>
      <c r="L769" s="241"/>
      <c r="M769" s="241"/>
      <c r="N769" s="241"/>
      <c r="O769" s="241"/>
      <c r="P769" s="241"/>
      <c r="Q769" s="241"/>
      <c r="R769" s="241"/>
      <c r="S769" s="241"/>
      <c r="T769" s="241"/>
      <c r="U769" s="241"/>
      <c r="V769" s="241"/>
      <c r="W769" s="241"/>
      <c r="X769" s="241"/>
      <c r="Y769" s="241"/>
      <c r="Z769" s="241"/>
      <c r="AA769" s="241"/>
      <c r="AB769" s="241"/>
      <c r="AC769" s="241"/>
      <c r="AD769" s="241"/>
      <c r="AE769" s="241"/>
      <c r="AF769" s="241"/>
      <c r="AG769" s="241"/>
      <c r="AH769" s="241"/>
      <c r="AI769" s="241"/>
      <c r="AJ769" s="241"/>
      <c r="AK769" s="241"/>
      <c r="AL769" s="241"/>
      <c r="AM769" s="241"/>
      <c r="AN769" s="241"/>
      <c r="AO769" s="241"/>
      <c r="AP769" s="241"/>
      <c r="AQ769" s="241"/>
      <c r="AR769" s="241"/>
      <c r="AS769" s="241"/>
      <c r="AT769" s="241"/>
      <c r="AU769" s="241"/>
      <c r="AV769" s="241"/>
      <c r="AW769" s="241"/>
      <c r="AX769" s="241"/>
      <c r="AY769" s="241"/>
      <c r="AZ769" s="241"/>
    </row>
    <row r="770" spans="1:52" ht="18" customHeight="1">
      <c r="A770" s="250"/>
      <c r="B770" s="241"/>
      <c r="C770" s="241"/>
      <c r="D770" s="241"/>
      <c r="E770" s="241"/>
      <c r="F770" s="241"/>
      <c r="G770" s="241"/>
      <c r="H770" s="241"/>
      <c r="I770" s="241"/>
      <c r="J770" s="241"/>
      <c r="K770" s="241"/>
      <c r="L770" s="241"/>
      <c r="M770" s="241"/>
      <c r="N770" s="241"/>
      <c r="O770" s="241"/>
      <c r="P770" s="241"/>
      <c r="Q770" s="241"/>
      <c r="R770" s="241"/>
      <c r="S770" s="241"/>
      <c r="T770" s="241"/>
      <c r="U770" s="241"/>
      <c r="V770" s="241"/>
      <c r="W770" s="241"/>
      <c r="X770" s="241"/>
      <c r="Y770" s="241"/>
      <c r="Z770" s="241"/>
      <c r="AA770" s="241"/>
      <c r="AB770" s="241"/>
      <c r="AC770" s="241"/>
      <c r="AD770" s="241"/>
      <c r="AE770" s="241"/>
      <c r="AF770" s="241"/>
      <c r="AG770" s="241"/>
      <c r="AH770" s="241"/>
      <c r="AI770" s="241"/>
      <c r="AJ770" s="241"/>
      <c r="AK770" s="241"/>
      <c r="AL770" s="241"/>
      <c r="AM770" s="241"/>
      <c r="AN770" s="241"/>
      <c r="AO770" s="241"/>
      <c r="AP770" s="241"/>
      <c r="AQ770" s="241"/>
      <c r="AR770" s="241"/>
      <c r="AS770" s="241"/>
      <c r="AT770" s="241"/>
      <c r="AU770" s="241"/>
      <c r="AV770" s="241"/>
      <c r="AW770" s="241"/>
      <c r="AX770" s="241"/>
      <c r="AY770" s="241"/>
      <c r="AZ770" s="241"/>
    </row>
    <row r="771" spans="1:52" ht="18" customHeight="1">
      <c r="A771" s="250"/>
      <c r="B771" s="241"/>
      <c r="C771" s="241"/>
      <c r="D771" s="241"/>
      <c r="E771" s="241"/>
      <c r="F771" s="241"/>
      <c r="G771" s="241"/>
      <c r="H771" s="241"/>
      <c r="I771" s="241"/>
      <c r="J771" s="241"/>
      <c r="K771" s="241"/>
      <c r="L771" s="241"/>
      <c r="M771" s="241"/>
      <c r="N771" s="241"/>
      <c r="O771" s="241"/>
      <c r="P771" s="241"/>
      <c r="Q771" s="241"/>
      <c r="R771" s="241"/>
      <c r="S771" s="241"/>
      <c r="T771" s="241"/>
      <c r="U771" s="241"/>
      <c r="V771" s="241"/>
      <c r="W771" s="241"/>
      <c r="X771" s="241"/>
      <c r="Y771" s="241"/>
      <c r="Z771" s="241"/>
      <c r="AA771" s="241"/>
      <c r="AB771" s="241"/>
      <c r="AC771" s="241"/>
      <c r="AD771" s="241"/>
      <c r="AE771" s="241"/>
      <c r="AF771" s="241"/>
      <c r="AG771" s="241"/>
      <c r="AH771" s="241"/>
      <c r="AI771" s="241"/>
      <c r="AJ771" s="241"/>
      <c r="AK771" s="241"/>
      <c r="AL771" s="241"/>
      <c r="AM771" s="241"/>
      <c r="AN771" s="241"/>
      <c r="AO771" s="241"/>
      <c r="AP771" s="241"/>
      <c r="AQ771" s="241"/>
      <c r="AR771" s="241"/>
      <c r="AS771" s="241"/>
      <c r="AT771" s="241"/>
      <c r="AU771" s="241"/>
      <c r="AV771" s="241"/>
      <c r="AW771" s="241"/>
      <c r="AX771" s="241"/>
      <c r="AY771" s="241"/>
      <c r="AZ771" s="241"/>
    </row>
    <row r="772" spans="1:52" ht="18" customHeight="1">
      <c r="A772" s="250"/>
      <c r="B772" s="241"/>
      <c r="C772" s="241"/>
      <c r="D772" s="241"/>
      <c r="E772" s="241"/>
      <c r="F772" s="241"/>
      <c r="G772" s="241"/>
      <c r="H772" s="241"/>
      <c r="I772" s="241"/>
      <c r="J772" s="241"/>
      <c r="K772" s="241"/>
      <c r="L772" s="241"/>
      <c r="M772" s="241"/>
      <c r="N772" s="241"/>
      <c r="O772" s="241"/>
      <c r="P772" s="241"/>
      <c r="Q772" s="241"/>
      <c r="R772" s="241"/>
      <c r="S772" s="241"/>
      <c r="T772" s="241"/>
      <c r="U772" s="241"/>
      <c r="V772" s="241"/>
      <c r="W772" s="241"/>
      <c r="X772" s="241"/>
      <c r="Y772" s="241"/>
      <c r="Z772" s="241"/>
      <c r="AA772" s="241"/>
      <c r="AB772" s="241"/>
      <c r="AC772" s="241"/>
      <c r="AD772" s="241"/>
      <c r="AE772" s="241"/>
      <c r="AF772" s="241"/>
      <c r="AG772" s="241"/>
      <c r="AH772" s="241"/>
      <c r="AI772" s="241"/>
      <c r="AJ772" s="241"/>
      <c r="AK772" s="241"/>
      <c r="AL772" s="241"/>
      <c r="AM772" s="241"/>
      <c r="AN772" s="241"/>
      <c r="AO772" s="241"/>
      <c r="AP772" s="241"/>
      <c r="AQ772" s="241"/>
      <c r="AR772" s="241"/>
      <c r="AS772" s="241"/>
      <c r="AT772" s="241"/>
      <c r="AU772" s="241"/>
      <c r="AV772" s="241"/>
      <c r="AW772" s="241"/>
      <c r="AX772" s="241"/>
      <c r="AY772" s="241"/>
      <c r="AZ772" s="241"/>
    </row>
    <row r="773" spans="1:52" ht="18" customHeight="1">
      <c r="A773" s="250"/>
      <c r="B773" s="241"/>
      <c r="C773" s="241"/>
      <c r="D773" s="241"/>
      <c r="E773" s="241"/>
      <c r="F773" s="241"/>
      <c r="G773" s="241"/>
      <c r="H773" s="241"/>
      <c r="I773" s="241"/>
      <c r="J773" s="241"/>
      <c r="K773" s="241"/>
      <c r="L773" s="241"/>
      <c r="M773" s="241"/>
      <c r="N773" s="241"/>
      <c r="O773" s="241"/>
      <c r="P773" s="241"/>
      <c r="Q773" s="241"/>
      <c r="R773" s="241"/>
      <c r="S773" s="241"/>
      <c r="T773" s="241"/>
      <c r="U773" s="241"/>
      <c r="V773" s="241"/>
      <c r="W773" s="241"/>
      <c r="X773" s="241"/>
      <c r="Y773" s="241"/>
      <c r="Z773" s="241"/>
      <c r="AA773" s="241"/>
      <c r="AB773" s="241"/>
      <c r="AC773" s="241"/>
      <c r="AD773" s="241"/>
      <c r="AE773" s="241"/>
      <c r="AF773" s="241"/>
      <c r="AG773" s="241"/>
      <c r="AH773" s="241"/>
      <c r="AI773" s="241"/>
      <c r="AJ773" s="241"/>
      <c r="AK773" s="241"/>
      <c r="AL773" s="241"/>
      <c r="AM773" s="241"/>
      <c r="AN773" s="241"/>
      <c r="AO773" s="241"/>
      <c r="AP773" s="241"/>
      <c r="AQ773" s="241"/>
      <c r="AR773" s="241"/>
      <c r="AS773" s="241"/>
      <c r="AT773" s="241"/>
      <c r="AU773" s="241"/>
      <c r="AV773" s="241"/>
      <c r="AW773" s="241"/>
      <c r="AX773" s="241"/>
      <c r="AY773" s="241"/>
      <c r="AZ773" s="241"/>
    </row>
    <row r="774" spans="1:52" ht="18" customHeight="1">
      <c r="A774" s="250"/>
      <c r="B774" s="241"/>
      <c r="C774" s="241"/>
      <c r="D774" s="241"/>
      <c r="E774" s="241"/>
      <c r="F774" s="241"/>
      <c r="G774" s="241"/>
      <c r="H774" s="241"/>
      <c r="I774" s="241"/>
      <c r="J774" s="241"/>
      <c r="K774" s="241"/>
      <c r="L774" s="241"/>
      <c r="M774" s="241"/>
      <c r="N774" s="241"/>
      <c r="O774" s="241"/>
      <c r="P774" s="241"/>
      <c r="Q774" s="241"/>
      <c r="R774" s="241"/>
      <c r="S774" s="241"/>
      <c r="T774" s="241"/>
      <c r="U774" s="241"/>
      <c r="V774" s="241"/>
      <c r="W774" s="241"/>
      <c r="X774" s="241"/>
      <c r="Y774" s="241"/>
      <c r="Z774" s="241"/>
      <c r="AA774" s="241"/>
      <c r="AB774" s="241"/>
      <c r="AC774" s="241"/>
      <c r="AD774" s="241"/>
      <c r="AE774" s="241"/>
      <c r="AF774" s="241"/>
      <c r="AG774" s="241"/>
      <c r="AH774" s="241"/>
      <c r="AI774" s="241"/>
      <c r="AJ774" s="241"/>
      <c r="AK774" s="241"/>
      <c r="AL774" s="241"/>
      <c r="AM774" s="241"/>
      <c r="AN774" s="241"/>
      <c r="AO774" s="241"/>
      <c r="AP774" s="241"/>
      <c r="AQ774" s="241"/>
      <c r="AR774" s="241"/>
      <c r="AS774" s="241"/>
      <c r="AT774" s="241"/>
      <c r="AU774" s="241"/>
      <c r="AV774" s="241"/>
      <c r="AW774" s="241"/>
      <c r="AX774" s="241"/>
      <c r="AY774" s="241"/>
      <c r="AZ774" s="241"/>
    </row>
    <row r="775" spans="1:52" ht="18" customHeight="1">
      <c r="A775" s="250"/>
      <c r="B775" s="241"/>
      <c r="C775" s="241"/>
      <c r="D775" s="241"/>
      <c r="E775" s="241"/>
      <c r="F775" s="241"/>
      <c r="G775" s="241"/>
      <c r="H775" s="241"/>
      <c r="I775" s="241"/>
      <c r="J775" s="241"/>
      <c r="K775" s="241"/>
      <c r="L775" s="241"/>
      <c r="M775" s="241"/>
      <c r="N775" s="241"/>
      <c r="O775" s="241"/>
      <c r="P775" s="241"/>
      <c r="Q775" s="241"/>
      <c r="R775" s="241"/>
      <c r="S775" s="241"/>
      <c r="T775" s="241"/>
      <c r="U775" s="241"/>
      <c r="V775" s="241"/>
      <c r="W775" s="241"/>
      <c r="X775" s="241"/>
      <c r="Y775" s="241"/>
      <c r="Z775" s="241"/>
      <c r="AA775" s="241"/>
      <c r="AB775" s="241"/>
      <c r="AC775" s="241"/>
      <c r="AD775" s="241"/>
      <c r="AE775" s="241"/>
      <c r="AF775" s="241"/>
      <c r="AG775" s="241"/>
      <c r="AH775" s="241"/>
      <c r="AI775" s="241"/>
      <c r="AJ775" s="241"/>
      <c r="AK775" s="241"/>
      <c r="AL775" s="241"/>
      <c r="AM775" s="241"/>
      <c r="AN775" s="241"/>
      <c r="AO775" s="241"/>
      <c r="AP775" s="241"/>
      <c r="AQ775" s="241"/>
      <c r="AR775" s="241"/>
      <c r="AS775" s="241"/>
      <c r="AT775" s="241"/>
      <c r="AU775" s="241"/>
      <c r="AV775" s="241"/>
      <c r="AW775" s="241"/>
      <c r="AX775" s="241"/>
      <c r="AY775" s="241"/>
      <c r="AZ775" s="241"/>
    </row>
    <row r="776" spans="1:52" ht="18" customHeight="1">
      <c r="A776" s="250"/>
      <c r="B776" s="241"/>
      <c r="C776" s="241"/>
      <c r="D776" s="241"/>
      <c r="E776" s="241"/>
      <c r="F776" s="241"/>
      <c r="G776" s="241"/>
      <c r="H776" s="241"/>
      <c r="I776" s="241"/>
      <c r="J776" s="241"/>
      <c r="K776" s="241"/>
      <c r="L776" s="241"/>
      <c r="M776" s="241"/>
      <c r="N776" s="241"/>
      <c r="O776" s="241"/>
      <c r="P776" s="241"/>
      <c r="Q776" s="241"/>
      <c r="R776" s="241"/>
      <c r="S776" s="241"/>
      <c r="T776" s="241"/>
      <c r="U776" s="241"/>
      <c r="V776" s="241"/>
      <c r="W776" s="241"/>
      <c r="X776" s="241"/>
      <c r="Y776" s="241"/>
      <c r="Z776" s="241"/>
      <c r="AA776" s="241"/>
      <c r="AB776" s="241"/>
      <c r="AC776" s="241"/>
      <c r="AD776" s="241"/>
      <c r="AE776" s="241"/>
      <c r="AF776" s="241"/>
      <c r="AG776" s="241"/>
      <c r="AH776" s="241"/>
      <c r="AI776" s="241"/>
      <c r="AJ776" s="241"/>
      <c r="AK776" s="241"/>
      <c r="AL776" s="241"/>
      <c r="AM776" s="241"/>
      <c r="AN776" s="241"/>
      <c r="AO776" s="241"/>
      <c r="AP776" s="241"/>
      <c r="AQ776" s="241"/>
      <c r="AR776" s="241"/>
      <c r="AS776" s="241"/>
      <c r="AT776" s="241"/>
      <c r="AU776" s="241"/>
      <c r="AV776" s="241"/>
      <c r="AW776" s="241"/>
      <c r="AX776" s="241"/>
      <c r="AY776" s="241"/>
      <c r="AZ776" s="241"/>
    </row>
    <row r="777" spans="1:52" ht="18" customHeight="1">
      <c r="A777" s="250"/>
      <c r="B777" s="241"/>
      <c r="C777" s="241"/>
      <c r="D777" s="241"/>
      <c r="E777" s="241"/>
      <c r="F777" s="241"/>
      <c r="G777" s="241"/>
      <c r="H777" s="241"/>
      <c r="I777" s="241"/>
      <c r="J777" s="241"/>
      <c r="K777" s="241"/>
      <c r="L777" s="241"/>
      <c r="M777" s="241"/>
      <c r="N777" s="241"/>
      <c r="O777" s="241"/>
      <c r="P777" s="241"/>
      <c r="Q777" s="241"/>
      <c r="R777" s="241"/>
      <c r="S777" s="241"/>
      <c r="T777" s="241"/>
      <c r="U777" s="241"/>
      <c r="V777" s="241"/>
      <c r="W777" s="241"/>
      <c r="X777" s="241"/>
      <c r="Y777" s="241"/>
      <c r="Z777" s="241"/>
      <c r="AA777" s="241"/>
      <c r="AB777" s="241"/>
      <c r="AC777" s="241"/>
      <c r="AD777" s="241"/>
      <c r="AE777" s="241"/>
      <c r="AF777" s="241"/>
      <c r="AG777" s="241"/>
      <c r="AH777" s="241"/>
      <c r="AI777" s="241"/>
      <c r="AJ777" s="241"/>
      <c r="AK777" s="241"/>
      <c r="AL777" s="241"/>
      <c r="AM777" s="241"/>
      <c r="AN777" s="241"/>
      <c r="AO777" s="241"/>
      <c r="AP777" s="241"/>
      <c r="AQ777" s="241"/>
      <c r="AR777" s="241"/>
      <c r="AS777" s="241"/>
      <c r="AT777" s="241"/>
      <c r="AU777" s="241"/>
      <c r="AV777" s="241"/>
      <c r="AW777" s="241"/>
      <c r="AX777" s="241"/>
      <c r="AY777" s="241"/>
      <c r="AZ777" s="241"/>
    </row>
    <row r="778" spans="1:52" ht="18" customHeight="1">
      <c r="A778" s="250"/>
      <c r="B778" s="241"/>
      <c r="C778" s="241"/>
      <c r="D778" s="241"/>
      <c r="E778" s="241"/>
      <c r="F778" s="241"/>
      <c r="G778" s="241"/>
      <c r="H778" s="241"/>
      <c r="I778" s="241"/>
      <c r="J778" s="241"/>
      <c r="K778" s="241"/>
      <c r="L778" s="241"/>
      <c r="M778" s="241"/>
      <c r="N778" s="241"/>
      <c r="O778" s="241"/>
      <c r="P778" s="241"/>
      <c r="Q778" s="241"/>
      <c r="R778" s="241"/>
      <c r="S778" s="241"/>
      <c r="T778" s="241"/>
      <c r="U778" s="241"/>
      <c r="V778" s="241"/>
      <c r="W778" s="241"/>
      <c r="X778" s="241"/>
      <c r="Y778" s="241"/>
      <c r="Z778" s="241"/>
      <c r="AA778" s="241"/>
      <c r="AB778" s="241"/>
      <c r="AC778" s="241"/>
      <c r="AD778" s="241"/>
      <c r="AE778" s="241"/>
      <c r="AF778" s="241"/>
      <c r="AG778" s="241"/>
      <c r="AH778" s="241"/>
      <c r="AI778" s="241"/>
      <c r="AJ778" s="241"/>
      <c r="AK778" s="241"/>
      <c r="AL778" s="241"/>
      <c r="AM778" s="241"/>
      <c r="AN778" s="241"/>
      <c r="AO778" s="241"/>
      <c r="AP778" s="241"/>
      <c r="AQ778" s="241"/>
      <c r="AR778" s="241"/>
      <c r="AS778" s="241"/>
      <c r="AT778" s="241"/>
      <c r="AU778" s="241"/>
      <c r="AV778" s="241"/>
      <c r="AW778" s="241"/>
      <c r="AX778" s="241"/>
      <c r="AY778" s="241"/>
      <c r="AZ778" s="241"/>
    </row>
    <row r="779" spans="1:52" ht="18" customHeight="1">
      <c r="A779" s="250"/>
      <c r="B779" s="241"/>
      <c r="C779" s="241"/>
      <c r="D779" s="241"/>
      <c r="E779" s="241"/>
      <c r="F779" s="241"/>
      <c r="G779" s="241"/>
      <c r="H779" s="241"/>
      <c r="I779" s="241"/>
      <c r="J779" s="241"/>
      <c r="K779" s="241"/>
      <c r="L779" s="241"/>
      <c r="M779" s="241"/>
      <c r="N779" s="241"/>
      <c r="O779" s="241"/>
      <c r="P779" s="241"/>
      <c r="Q779" s="241"/>
      <c r="R779" s="241"/>
      <c r="S779" s="241"/>
      <c r="T779" s="241"/>
      <c r="U779" s="241"/>
      <c r="V779" s="241"/>
      <c r="W779" s="241"/>
      <c r="X779" s="241"/>
      <c r="Y779" s="241"/>
      <c r="Z779" s="241"/>
      <c r="AA779" s="241"/>
      <c r="AB779" s="241"/>
      <c r="AC779" s="241"/>
      <c r="AD779" s="241"/>
      <c r="AE779" s="241"/>
      <c r="AF779" s="241"/>
      <c r="AG779" s="241"/>
      <c r="AH779" s="241"/>
      <c r="AI779" s="241"/>
      <c r="AJ779" s="241"/>
      <c r="AK779" s="241"/>
      <c r="AL779" s="241"/>
      <c r="AM779" s="241"/>
      <c r="AN779" s="241"/>
      <c r="AO779" s="241"/>
      <c r="AP779" s="241"/>
      <c r="AQ779" s="241"/>
      <c r="AR779" s="241"/>
      <c r="AS779" s="241"/>
      <c r="AT779" s="241"/>
      <c r="AU779" s="241"/>
      <c r="AV779" s="241"/>
      <c r="AW779" s="241"/>
      <c r="AX779" s="241"/>
      <c r="AY779" s="241"/>
      <c r="AZ779" s="241"/>
    </row>
    <row r="780" spans="1:52" ht="18" customHeight="1">
      <c r="A780" s="250"/>
      <c r="B780" s="241"/>
      <c r="C780" s="241"/>
      <c r="D780" s="241"/>
      <c r="E780" s="241"/>
      <c r="F780" s="241"/>
      <c r="G780" s="241"/>
      <c r="H780" s="241"/>
      <c r="I780" s="241"/>
      <c r="J780" s="241"/>
      <c r="K780" s="241"/>
      <c r="L780" s="241"/>
      <c r="M780" s="241"/>
      <c r="N780" s="241"/>
      <c r="O780" s="241"/>
      <c r="P780" s="241"/>
      <c r="Q780" s="241"/>
      <c r="R780" s="241"/>
      <c r="S780" s="241"/>
      <c r="T780" s="241"/>
      <c r="U780" s="241"/>
      <c r="V780" s="241"/>
      <c r="W780" s="241"/>
      <c r="X780" s="241"/>
      <c r="Y780" s="241"/>
      <c r="Z780" s="241"/>
      <c r="AA780" s="241"/>
      <c r="AB780" s="241"/>
      <c r="AC780" s="241"/>
      <c r="AD780" s="241"/>
      <c r="AE780" s="241"/>
      <c r="AF780" s="241"/>
      <c r="AG780" s="241"/>
      <c r="AH780" s="241"/>
      <c r="AI780" s="241"/>
      <c r="AJ780" s="241"/>
      <c r="AK780" s="241"/>
      <c r="AL780" s="241"/>
      <c r="AM780" s="241"/>
      <c r="AN780" s="241"/>
      <c r="AO780" s="241"/>
      <c r="AP780" s="241"/>
      <c r="AQ780" s="241"/>
      <c r="AR780" s="241"/>
      <c r="AS780" s="241"/>
      <c r="AT780" s="241"/>
      <c r="AU780" s="241"/>
      <c r="AV780" s="241"/>
      <c r="AW780" s="241"/>
      <c r="AX780" s="241"/>
      <c r="AY780" s="241"/>
      <c r="AZ780" s="241"/>
    </row>
    <row r="781" spans="1:52" ht="18" customHeight="1">
      <c r="A781" s="250"/>
      <c r="B781" s="241"/>
      <c r="C781" s="241"/>
      <c r="D781" s="241"/>
      <c r="E781" s="241"/>
      <c r="F781" s="241"/>
      <c r="G781" s="241"/>
      <c r="H781" s="241"/>
      <c r="I781" s="241"/>
      <c r="J781" s="241"/>
      <c r="K781" s="241"/>
      <c r="L781" s="241"/>
      <c r="M781" s="241"/>
      <c r="N781" s="241"/>
      <c r="O781" s="241"/>
      <c r="P781" s="241"/>
      <c r="Q781" s="241"/>
      <c r="R781" s="241"/>
      <c r="S781" s="241"/>
      <c r="T781" s="241"/>
      <c r="U781" s="241"/>
      <c r="V781" s="241"/>
      <c r="W781" s="241"/>
      <c r="X781" s="241"/>
      <c r="Y781" s="241"/>
      <c r="Z781" s="241"/>
      <c r="AA781" s="241"/>
      <c r="AB781" s="241"/>
      <c r="AC781" s="241"/>
      <c r="AD781" s="241"/>
      <c r="AE781" s="241"/>
      <c r="AF781" s="241"/>
      <c r="AG781" s="241"/>
      <c r="AH781" s="241"/>
      <c r="AI781" s="241"/>
      <c r="AJ781" s="241"/>
      <c r="AK781" s="241"/>
      <c r="AL781" s="241"/>
      <c r="AM781" s="241"/>
      <c r="AN781" s="241"/>
      <c r="AO781" s="241"/>
      <c r="AP781" s="241"/>
      <c r="AQ781" s="241"/>
      <c r="AR781" s="241"/>
      <c r="AS781" s="241"/>
      <c r="AT781" s="241"/>
      <c r="AU781" s="241"/>
      <c r="AV781" s="241"/>
      <c r="AW781" s="241"/>
      <c r="AX781" s="241"/>
      <c r="AY781" s="241"/>
      <c r="AZ781" s="241"/>
    </row>
    <row r="782" spans="1:52" ht="18" customHeight="1">
      <c r="A782" s="250"/>
      <c r="B782" s="241"/>
      <c r="C782" s="241"/>
      <c r="D782" s="241"/>
      <c r="E782" s="241"/>
      <c r="F782" s="241"/>
      <c r="G782" s="241"/>
      <c r="H782" s="241"/>
      <c r="I782" s="241"/>
      <c r="J782" s="241"/>
      <c r="K782" s="241"/>
      <c r="L782" s="241"/>
      <c r="M782" s="241"/>
      <c r="N782" s="241"/>
      <c r="O782" s="241"/>
      <c r="P782" s="241"/>
      <c r="Q782" s="241"/>
      <c r="R782" s="241"/>
      <c r="S782" s="241"/>
      <c r="T782" s="241"/>
      <c r="U782" s="241"/>
      <c r="V782" s="241"/>
      <c r="W782" s="241"/>
      <c r="X782" s="241"/>
      <c r="Y782" s="241"/>
      <c r="Z782" s="241"/>
      <c r="AA782" s="241"/>
      <c r="AB782" s="241"/>
      <c r="AC782" s="241"/>
      <c r="AD782" s="241"/>
      <c r="AE782" s="241"/>
      <c r="AF782" s="241"/>
      <c r="AG782" s="241"/>
      <c r="AH782" s="241"/>
      <c r="AI782" s="241"/>
      <c r="AJ782" s="241"/>
      <c r="AK782" s="241"/>
      <c r="AL782" s="241"/>
      <c r="AM782" s="241"/>
      <c r="AN782" s="241"/>
      <c r="AO782" s="241"/>
      <c r="AP782" s="241"/>
      <c r="AQ782" s="241"/>
      <c r="AR782" s="241"/>
      <c r="AS782" s="241"/>
      <c r="AT782" s="241"/>
      <c r="AU782" s="241"/>
      <c r="AV782" s="241"/>
      <c r="AW782" s="241"/>
      <c r="AX782" s="241"/>
      <c r="AY782" s="241"/>
      <c r="AZ782" s="241"/>
    </row>
    <row r="783" spans="1:52" ht="18" customHeight="1">
      <c r="A783" s="250"/>
      <c r="B783" s="241"/>
      <c r="C783" s="241"/>
      <c r="D783" s="241"/>
      <c r="E783" s="241"/>
      <c r="F783" s="241"/>
      <c r="G783" s="241"/>
      <c r="H783" s="241"/>
      <c r="I783" s="241"/>
      <c r="J783" s="241"/>
      <c r="K783" s="241"/>
      <c r="L783" s="241"/>
      <c r="M783" s="241"/>
      <c r="N783" s="241"/>
      <c r="O783" s="241"/>
      <c r="P783" s="241"/>
      <c r="Q783" s="241"/>
      <c r="R783" s="241"/>
      <c r="S783" s="241"/>
      <c r="T783" s="241"/>
      <c r="U783" s="241"/>
      <c r="V783" s="241"/>
      <c r="W783" s="241"/>
      <c r="X783" s="241"/>
      <c r="Y783" s="241"/>
      <c r="Z783" s="241"/>
      <c r="AA783" s="241"/>
      <c r="AB783" s="241"/>
      <c r="AC783" s="241"/>
      <c r="AD783" s="241"/>
      <c r="AE783" s="241"/>
      <c r="AF783" s="241"/>
      <c r="AG783" s="241"/>
      <c r="AH783" s="241"/>
      <c r="AI783" s="241"/>
      <c r="AJ783" s="241"/>
      <c r="AK783" s="241"/>
      <c r="AL783" s="241"/>
      <c r="AM783" s="241"/>
      <c r="AN783" s="241"/>
      <c r="AO783" s="241"/>
      <c r="AP783" s="241"/>
      <c r="AQ783" s="241"/>
      <c r="AR783" s="241"/>
      <c r="AS783" s="241"/>
      <c r="AT783" s="241"/>
      <c r="AU783" s="241"/>
      <c r="AV783" s="241"/>
      <c r="AW783" s="241"/>
      <c r="AX783" s="241"/>
      <c r="AY783" s="241"/>
      <c r="AZ783" s="241"/>
    </row>
    <row r="784" spans="1:52" ht="18" customHeight="1">
      <c r="A784" s="250"/>
      <c r="B784" s="241"/>
      <c r="C784" s="241"/>
      <c r="D784" s="241"/>
      <c r="E784" s="241"/>
      <c r="F784" s="241"/>
      <c r="G784" s="241"/>
      <c r="H784" s="241"/>
      <c r="I784" s="241"/>
      <c r="J784" s="241"/>
      <c r="K784" s="241"/>
      <c r="L784" s="241"/>
      <c r="M784" s="241"/>
      <c r="N784" s="241"/>
      <c r="O784" s="241"/>
      <c r="P784" s="241"/>
      <c r="Q784" s="241"/>
      <c r="R784" s="241"/>
      <c r="S784" s="241"/>
      <c r="T784" s="241"/>
      <c r="U784" s="241"/>
      <c r="V784" s="241"/>
      <c r="W784" s="241"/>
      <c r="X784" s="241"/>
      <c r="Y784" s="241"/>
      <c r="Z784" s="241"/>
      <c r="AA784" s="241"/>
      <c r="AB784" s="241"/>
      <c r="AC784" s="241"/>
      <c r="AD784" s="241"/>
      <c r="AE784" s="241"/>
      <c r="AF784" s="241"/>
      <c r="AG784" s="241"/>
      <c r="AH784" s="241"/>
      <c r="AI784" s="241"/>
      <c r="AJ784" s="241"/>
      <c r="AK784" s="241"/>
      <c r="AL784" s="241"/>
      <c r="AM784" s="241"/>
      <c r="AN784" s="241"/>
      <c r="AO784" s="241"/>
      <c r="AP784" s="241"/>
      <c r="AQ784" s="241"/>
      <c r="AR784" s="241"/>
      <c r="AS784" s="241"/>
      <c r="AT784" s="241"/>
      <c r="AU784" s="241"/>
      <c r="AV784" s="241"/>
      <c r="AW784" s="241"/>
      <c r="AX784" s="241"/>
      <c r="AY784" s="241"/>
      <c r="AZ784" s="241"/>
    </row>
    <row r="785" spans="1:52" ht="18" customHeight="1">
      <c r="A785" s="250"/>
      <c r="B785" s="241"/>
      <c r="C785" s="241"/>
      <c r="D785" s="241"/>
      <c r="E785" s="241"/>
      <c r="F785" s="241"/>
      <c r="G785" s="241"/>
      <c r="H785" s="241"/>
      <c r="I785" s="241"/>
      <c r="J785" s="241"/>
      <c r="K785" s="241"/>
      <c r="L785" s="241"/>
      <c r="M785" s="241"/>
      <c r="N785" s="241"/>
      <c r="O785" s="241"/>
      <c r="P785" s="241"/>
      <c r="Q785" s="241"/>
      <c r="R785" s="241"/>
      <c r="S785" s="241"/>
      <c r="T785" s="241"/>
      <c r="U785" s="241"/>
      <c r="V785" s="241"/>
      <c r="W785" s="241"/>
      <c r="X785" s="241"/>
      <c r="Y785" s="241"/>
      <c r="Z785" s="241"/>
      <c r="AA785" s="241"/>
      <c r="AB785" s="241"/>
      <c r="AC785" s="241"/>
      <c r="AD785" s="241"/>
      <c r="AE785" s="241"/>
      <c r="AF785" s="241"/>
      <c r="AG785" s="241"/>
      <c r="AH785" s="241"/>
      <c r="AI785" s="241"/>
      <c r="AJ785" s="241"/>
      <c r="AK785" s="241"/>
      <c r="AL785" s="241"/>
      <c r="AM785" s="241"/>
      <c r="AN785" s="241"/>
      <c r="AO785" s="241"/>
      <c r="AP785" s="241"/>
      <c r="AQ785" s="241"/>
      <c r="AR785" s="241"/>
      <c r="AS785" s="241"/>
      <c r="AT785" s="241"/>
      <c r="AU785" s="241"/>
      <c r="AV785" s="241"/>
      <c r="AW785" s="241"/>
      <c r="AX785" s="241"/>
      <c r="AY785" s="241"/>
      <c r="AZ785" s="241"/>
    </row>
    <row r="786" spans="1:52" ht="18" customHeight="1">
      <c r="A786" s="250"/>
      <c r="B786" s="241"/>
      <c r="C786" s="241"/>
      <c r="D786" s="241"/>
      <c r="E786" s="241"/>
      <c r="F786" s="241"/>
      <c r="G786" s="241"/>
      <c r="H786" s="241"/>
      <c r="I786" s="241"/>
      <c r="J786" s="241"/>
      <c r="K786" s="241"/>
      <c r="L786" s="241"/>
      <c r="M786" s="241"/>
      <c r="N786" s="241"/>
      <c r="O786" s="241"/>
      <c r="P786" s="241"/>
      <c r="Q786" s="241"/>
      <c r="R786" s="241"/>
      <c r="S786" s="241"/>
      <c r="T786" s="241"/>
      <c r="U786" s="241"/>
      <c r="V786" s="241"/>
      <c r="W786" s="241"/>
      <c r="X786" s="241"/>
      <c r="Y786" s="241"/>
      <c r="Z786" s="241"/>
      <c r="AA786" s="241"/>
      <c r="AB786" s="241"/>
      <c r="AC786" s="241"/>
      <c r="AD786" s="241"/>
      <c r="AE786" s="241"/>
      <c r="AF786" s="241"/>
      <c r="AG786" s="241"/>
      <c r="AH786" s="241"/>
      <c r="AI786" s="241"/>
      <c r="AJ786" s="241"/>
      <c r="AK786" s="241"/>
      <c r="AL786" s="241"/>
      <c r="AM786" s="241"/>
      <c r="AN786" s="241"/>
      <c r="AO786" s="241"/>
      <c r="AP786" s="241"/>
      <c r="AQ786" s="241"/>
      <c r="AR786" s="241"/>
      <c r="AS786" s="241"/>
      <c r="AT786" s="241"/>
      <c r="AU786" s="241"/>
      <c r="AV786" s="241"/>
      <c r="AW786" s="241"/>
      <c r="AX786" s="241"/>
      <c r="AY786" s="241"/>
      <c r="AZ786" s="241"/>
    </row>
    <row r="787" spans="1:52" ht="18" customHeight="1">
      <c r="A787" s="250"/>
      <c r="B787" s="241"/>
      <c r="C787" s="241"/>
      <c r="D787" s="241"/>
      <c r="E787" s="241"/>
      <c r="F787" s="241"/>
      <c r="G787" s="241"/>
      <c r="H787" s="241"/>
      <c r="I787" s="241"/>
      <c r="J787" s="241"/>
      <c r="K787" s="241"/>
      <c r="L787" s="241"/>
      <c r="M787" s="241"/>
      <c r="N787" s="241"/>
      <c r="O787" s="241"/>
      <c r="P787" s="241"/>
      <c r="Q787" s="241"/>
      <c r="R787" s="241"/>
      <c r="S787" s="241"/>
      <c r="T787" s="241"/>
      <c r="U787" s="241"/>
      <c r="V787" s="241"/>
      <c r="W787" s="241"/>
      <c r="X787" s="241"/>
      <c r="Y787" s="241"/>
      <c r="Z787" s="241"/>
      <c r="AA787" s="241"/>
      <c r="AB787" s="241"/>
      <c r="AC787" s="241"/>
      <c r="AD787" s="241"/>
      <c r="AE787" s="241"/>
      <c r="AF787" s="241"/>
      <c r="AG787" s="241"/>
      <c r="AH787" s="241"/>
      <c r="AI787" s="241"/>
      <c r="AJ787" s="241"/>
      <c r="AK787" s="241"/>
      <c r="AL787" s="241"/>
      <c r="AM787" s="241"/>
      <c r="AN787" s="241"/>
      <c r="AO787" s="241"/>
      <c r="AP787" s="241"/>
      <c r="AQ787" s="241"/>
      <c r="AR787" s="241"/>
      <c r="AS787" s="241"/>
      <c r="AT787" s="241"/>
      <c r="AU787" s="241"/>
      <c r="AV787" s="241"/>
      <c r="AW787" s="241"/>
      <c r="AX787" s="241"/>
      <c r="AY787" s="241"/>
      <c r="AZ787" s="241"/>
    </row>
    <row r="788" spans="1:52" ht="18" customHeight="1">
      <c r="A788" s="250"/>
      <c r="B788" s="241"/>
      <c r="C788" s="241"/>
      <c r="D788" s="241"/>
      <c r="E788" s="241"/>
      <c r="F788" s="241"/>
      <c r="G788" s="241"/>
      <c r="H788" s="241"/>
      <c r="I788" s="241"/>
      <c r="J788" s="241"/>
      <c r="K788" s="241"/>
      <c r="L788" s="241"/>
      <c r="M788" s="241"/>
      <c r="N788" s="241"/>
      <c r="O788" s="241"/>
      <c r="P788" s="241"/>
      <c r="Q788" s="241"/>
      <c r="R788" s="241"/>
      <c r="S788" s="241"/>
      <c r="T788" s="241"/>
      <c r="U788" s="241"/>
      <c r="V788" s="241"/>
      <c r="W788" s="241"/>
      <c r="X788" s="241"/>
      <c r="Y788" s="241"/>
      <c r="Z788" s="241"/>
      <c r="AA788" s="241"/>
      <c r="AB788" s="241"/>
      <c r="AC788" s="241"/>
      <c r="AD788" s="241"/>
      <c r="AE788" s="241"/>
      <c r="AF788" s="241"/>
      <c r="AG788" s="241"/>
      <c r="AH788" s="241"/>
      <c r="AI788" s="241"/>
      <c r="AJ788" s="241"/>
      <c r="AK788" s="241"/>
      <c r="AL788" s="241"/>
      <c r="AM788" s="241"/>
      <c r="AN788" s="241"/>
      <c r="AO788" s="241"/>
      <c r="AP788" s="241"/>
      <c r="AQ788" s="241"/>
      <c r="AR788" s="241"/>
      <c r="AS788" s="241"/>
      <c r="AT788" s="241"/>
      <c r="AU788" s="241"/>
      <c r="AV788" s="241"/>
      <c r="AW788" s="241"/>
      <c r="AX788" s="241"/>
      <c r="AY788" s="241"/>
      <c r="AZ788" s="241"/>
    </row>
    <row r="789" spans="1:52" ht="18" customHeight="1">
      <c r="A789" s="250"/>
      <c r="B789" s="241"/>
      <c r="C789" s="241"/>
      <c r="D789" s="241"/>
      <c r="E789" s="241"/>
      <c r="F789" s="241"/>
      <c r="G789" s="241"/>
      <c r="H789" s="241"/>
      <c r="I789" s="241"/>
      <c r="J789" s="241"/>
      <c r="K789" s="241"/>
      <c r="L789" s="241"/>
      <c r="M789" s="241"/>
      <c r="N789" s="241"/>
      <c r="O789" s="241"/>
      <c r="P789" s="241"/>
      <c r="Q789" s="241"/>
      <c r="R789" s="241"/>
      <c r="S789" s="241"/>
      <c r="T789" s="241"/>
      <c r="U789" s="241"/>
      <c r="V789" s="241"/>
      <c r="W789" s="241"/>
      <c r="X789" s="241"/>
      <c r="Y789" s="241"/>
      <c r="Z789" s="241"/>
      <c r="AA789" s="241"/>
      <c r="AB789" s="241"/>
      <c r="AC789" s="241"/>
      <c r="AD789" s="241"/>
      <c r="AE789" s="241"/>
      <c r="AF789" s="241"/>
      <c r="AG789" s="241"/>
      <c r="AH789" s="241"/>
      <c r="AI789" s="241"/>
      <c r="AJ789" s="241"/>
      <c r="AK789" s="241"/>
      <c r="AL789" s="241"/>
      <c r="AM789" s="241"/>
      <c r="AN789" s="241"/>
      <c r="AO789" s="241"/>
      <c r="AP789" s="241"/>
      <c r="AQ789" s="241"/>
      <c r="AR789" s="241"/>
      <c r="AS789" s="241"/>
      <c r="AT789" s="241"/>
      <c r="AU789" s="241"/>
      <c r="AV789" s="241"/>
      <c r="AW789" s="241"/>
      <c r="AX789" s="241"/>
      <c r="AY789" s="241"/>
      <c r="AZ789" s="241"/>
    </row>
    <row r="790" spans="1:52" ht="18" customHeight="1">
      <c r="A790" s="250"/>
      <c r="B790" s="241"/>
      <c r="C790" s="241"/>
      <c r="D790" s="241"/>
      <c r="E790" s="241"/>
      <c r="F790" s="241"/>
      <c r="G790" s="241"/>
      <c r="H790" s="241"/>
      <c r="I790" s="241"/>
      <c r="J790" s="241"/>
      <c r="K790" s="241"/>
      <c r="L790" s="241"/>
      <c r="M790" s="241"/>
      <c r="N790" s="241"/>
      <c r="O790" s="241"/>
      <c r="P790" s="241"/>
      <c r="Q790" s="241"/>
      <c r="R790" s="241"/>
      <c r="S790" s="241"/>
      <c r="T790" s="241"/>
      <c r="U790" s="241"/>
      <c r="V790" s="241"/>
      <c r="W790" s="241"/>
      <c r="X790" s="241"/>
      <c r="Y790" s="241"/>
      <c r="Z790" s="241"/>
      <c r="AA790" s="241"/>
      <c r="AB790" s="241"/>
      <c r="AC790" s="241"/>
      <c r="AD790" s="241"/>
      <c r="AE790" s="241"/>
      <c r="AF790" s="241"/>
      <c r="AG790" s="241"/>
      <c r="AH790" s="241"/>
      <c r="AI790" s="241"/>
      <c r="AJ790" s="241"/>
      <c r="AK790" s="241"/>
      <c r="AL790" s="241"/>
      <c r="AM790" s="241"/>
      <c r="AN790" s="241"/>
      <c r="AO790" s="241"/>
      <c r="AP790" s="241"/>
      <c r="AQ790" s="241"/>
      <c r="AR790" s="241"/>
      <c r="AS790" s="241"/>
      <c r="AT790" s="241"/>
      <c r="AU790" s="241"/>
      <c r="AV790" s="241"/>
      <c r="AW790" s="241"/>
      <c r="AX790" s="241"/>
      <c r="AY790" s="241"/>
      <c r="AZ790" s="241"/>
    </row>
    <row r="791" spans="1:52" ht="18" customHeight="1">
      <c r="A791" s="250"/>
      <c r="B791" s="241"/>
      <c r="C791" s="241"/>
      <c r="D791" s="241"/>
      <c r="E791" s="241"/>
      <c r="F791" s="241"/>
      <c r="G791" s="241"/>
      <c r="H791" s="241"/>
      <c r="I791" s="241"/>
      <c r="J791" s="241"/>
      <c r="K791" s="241"/>
      <c r="L791" s="241"/>
      <c r="M791" s="241"/>
      <c r="N791" s="241"/>
      <c r="O791" s="241"/>
      <c r="P791" s="241"/>
      <c r="Q791" s="241"/>
      <c r="R791" s="241"/>
      <c r="S791" s="241"/>
      <c r="T791" s="241"/>
      <c r="U791" s="241"/>
      <c r="V791" s="241"/>
      <c r="W791" s="241"/>
      <c r="X791" s="241"/>
      <c r="Y791" s="241"/>
      <c r="Z791" s="241"/>
      <c r="AA791" s="241"/>
      <c r="AB791" s="241"/>
      <c r="AC791" s="241"/>
      <c r="AD791" s="241"/>
      <c r="AE791" s="241"/>
      <c r="AF791" s="241"/>
      <c r="AG791" s="241"/>
      <c r="AH791" s="241"/>
      <c r="AI791" s="241"/>
      <c r="AJ791" s="241"/>
      <c r="AK791" s="241"/>
      <c r="AL791" s="241"/>
      <c r="AM791" s="241"/>
      <c r="AN791" s="241"/>
      <c r="AO791" s="241"/>
      <c r="AP791" s="241"/>
      <c r="AQ791" s="241"/>
      <c r="AR791" s="241"/>
      <c r="AS791" s="241"/>
      <c r="AT791" s="241"/>
      <c r="AU791" s="241"/>
      <c r="AV791" s="241"/>
      <c r="AW791" s="241"/>
      <c r="AX791" s="241"/>
      <c r="AY791" s="241"/>
      <c r="AZ791" s="241"/>
    </row>
    <row r="792" spans="1:52" ht="18" customHeight="1">
      <c r="A792" s="250"/>
      <c r="B792" s="241"/>
      <c r="C792" s="241"/>
      <c r="D792" s="241"/>
      <c r="E792" s="241"/>
      <c r="F792" s="241"/>
      <c r="G792" s="241"/>
      <c r="H792" s="241"/>
      <c r="I792" s="241"/>
      <c r="J792" s="241"/>
      <c r="K792" s="241"/>
      <c r="L792" s="241"/>
      <c r="M792" s="241"/>
      <c r="N792" s="241"/>
      <c r="O792" s="241"/>
      <c r="P792" s="241"/>
      <c r="Q792" s="241"/>
      <c r="R792" s="241"/>
      <c r="S792" s="241"/>
      <c r="T792" s="241"/>
      <c r="U792" s="241"/>
      <c r="V792" s="241"/>
      <c r="W792" s="241"/>
      <c r="X792" s="241"/>
      <c r="Y792" s="241"/>
      <c r="Z792" s="241"/>
      <c r="AA792" s="241"/>
      <c r="AB792" s="241"/>
      <c r="AC792" s="241"/>
      <c r="AD792" s="241"/>
      <c r="AE792" s="241"/>
      <c r="AF792" s="241"/>
      <c r="AG792" s="241"/>
      <c r="AH792" s="241"/>
      <c r="AI792" s="241"/>
      <c r="AJ792" s="241"/>
      <c r="AK792" s="241"/>
      <c r="AL792" s="241"/>
      <c r="AM792" s="241"/>
      <c r="AN792" s="241"/>
      <c r="AO792" s="241"/>
      <c r="AP792" s="241"/>
      <c r="AQ792" s="241"/>
      <c r="AR792" s="241"/>
      <c r="AS792" s="241"/>
      <c r="AT792" s="241"/>
      <c r="AU792" s="241"/>
      <c r="AV792" s="241"/>
      <c r="AW792" s="241"/>
      <c r="AX792" s="241"/>
      <c r="AY792" s="241"/>
      <c r="AZ792" s="241"/>
    </row>
    <row r="793" spans="1:52" ht="18" customHeight="1">
      <c r="A793" s="250"/>
      <c r="B793" s="241"/>
      <c r="C793" s="241"/>
      <c r="D793" s="241"/>
      <c r="E793" s="241"/>
      <c r="F793" s="241"/>
      <c r="G793" s="241"/>
      <c r="H793" s="241"/>
      <c r="I793" s="241"/>
      <c r="J793" s="241"/>
      <c r="K793" s="241"/>
      <c r="L793" s="241"/>
      <c r="M793" s="241"/>
      <c r="N793" s="241"/>
      <c r="O793" s="241"/>
      <c r="P793" s="241"/>
      <c r="Q793" s="241"/>
      <c r="R793" s="241"/>
      <c r="S793" s="241"/>
      <c r="T793" s="241"/>
      <c r="U793" s="241"/>
      <c r="V793" s="241"/>
      <c r="W793" s="241"/>
      <c r="X793" s="241"/>
      <c r="Y793" s="241"/>
      <c r="Z793" s="241"/>
      <c r="AA793" s="241"/>
      <c r="AB793" s="241"/>
      <c r="AC793" s="241"/>
      <c r="AD793" s="241"/>
      <c r="AE793" s="241"/>
      <c r="AF793" s="241"/>
      <c r="AG793" s="241"/>
      <c r="AH793" s="241"/>
      <c r="AI793" s="241"/>
      <c r="AJ793" s="241"/>
      <c r="AK793" s="241"/>
      <c r="AL793" s="241"/>
      <c r="AM793" s="241"/>
      <c r="AN793" s="241"/>
      <c r="AO793" s="241"/>
      <c r="AP793" s="241"/>
      <c r="AQ793" s="241"/>
      <c r="AR793" s="241"/>
      <c r="AS793" s="241"/>
      <c r="AT793" s="241"/>
      <c r="AU793" s="241"/>
      <c r="AV793" s="241"/>
      <c r="AW793" s="241"/>
      <c r="AX793" s="241"/>
      <c r="AY793" s="241"/>
      <c r="AZ793" s="241"/>
    </row>
    <row r="794" spans="1:52" ht="18" customHeight="1">
      <c r="A794" s="250"/>
      <c r="B794" s="241"/>
      <c r="C794" s="241"/>
      <c r="D794" s="241"/>
      <c r="E794" s="241"/>
      <c r="F794" s="241"/>
      <c r="G794" s="241"/>
      <c r="H794" s="241"/>
      <c r="I794" s="241"/>
      <c r="J794" s="241"/>
      <c r="K794" s="241"/>
      <c r="L794" s="241"/>
      <c r="M794" s="241"/>
      <c r="N794" s="241"/>
      <c r="O794" s="241"/>
      <c r="P794" s="241"/>
      <c r="Q794" s="241"/>
      <c r="R794" s="241"/>
      <c r="S794" s="241"/>
      <c r="T794" s="241"/>
      <c r="U794" s="241"/>
      <c r="V794" s="241"/>
      <c r="W794" s="241"/>
      <c r="X794" s="241"/>
      <c r="Y794" s="241"/>
      <c r="Z794" s="241"/>
      <c r="AA794" s="241"/>
      <c r="AB794" s="241"/>
      <c r="AC794" s="241"/>
      <c r="AD794" s="241"/>
      <c r="AE794" s="241"/>
      <c r="AF794" s="241"/>
      <c r="AG794" s="241"/>
      <c r="AH794" s="241"/>
      <c r="AI794" s="241"/>
      <c r="AJ794" s="241"/>
      <c r="AK794" s="241"/>
      <c r="AL794" s="241"/>
      <c r="AM794" s="241"/>
      <c r="AN794" s="241"/>
      <c r="AO794" s="241"/>
      <c r="AP794" s="241"/>
      <c r="AQ794" s="241"/>
      <c r="AR794" s="241"/>
      <c r="AS794" s="241"/>
      <c r="AT794" s="241"/>
      <c r="AU794" s="241"/>
      <c r="AV794" s="241"/>
      <c r="AW794" s="241"/>
      <c r="AX794" s="241"/>
      <c r="AY794" s="241"/>
      <c r="AZ794" s="241"/>
    </row>
    <row r="795" spans="1:52" ht="18" customHeight="1">
      <c r="A795" s="250"/>
      <c r="B795" s="241"/>
      <c r="C795" s="241"/>
      <c r="D795" s="241"/>
      <c r="E795" s="241"/>
      <c r="F795" s="241"/>
      <c r="G795" s="241"/>
      <c r="H795" s="241"/>
      <c r="I795" s="241"/>
      <c r="J795" s="241"/>
      <c r="K795" s="241"/>
      <c r="L795" s="241"/>
      <c r="M795" s="241"/>
      <c r="N795" s="241"/>
      <c r="O795" s="241"/>
      <c r="P795" s="241"/>
      <c r="Q795" s="241"/>
      <c r="R795" s="241"/>
      <c r="S795" s="241"/>
      <c r="T795" s="241"/>
      <c r="U795" s="241"/>
      <c r="V795" s="241"/>
      <c r="W795" s="241"/>
      <c r="X795" s="241"/>
      <c r="Y795" s="241"/>
      <c r="Z795" s="241"/>
      <c r="AA795" s="241"/>
      <c r="AB795" s="241"/>
      <c r="AC795" s="241"/>
      <c r="AD795" s="241"/>
      <c r="AE795" s="241"/>
      <c r="AF795" s="241"/>
      <c r="AG795" s="241"/>
      <c r="AH795" s="241"/>
      <c r="AI795" s="241"/>
      <c r="AJ795" s="241"/>
      <c r="AK795" s="241"/>
      <c r="AL795" s="241"/>
      <c r="AM795" s="241"/>
      <c r="AN795" s="241"/>
      <c r="AO795" s="241"/>
      <c r="AP795" s="241"/>
      <c r="AQ795" s="241"/>
      <c r="AR795" s="241"/>
      <c r="AS795" s="241"/>
      <c r="AT795" s="241"/>
      <c r="AU795" s="241"/>
      <c r="AV795" s="241"/>
      <c r="AW795" s="241"/>
      <c r="AX795" s="241"/>
      <c r="AY795" s="241"/>
      <c r="AZ795" s="241"/>
    </row>
    <row r="796" spans="1:52" ht="18" customHeight="1">
      <c r="A796" s="250"/>
      <c r="B796" s="241"/>
      <c r="C796" s="241"/>
      <c r="D796" s="241"/>
      <c r="E796" s="241"/>
      <c r="F796" s="241"/>
      <c r="G796" s="241"/>
      <c r="H796" s="241"/>
      <c r="I796" s="241"/>
      <c r="J796" s="241"/>
      <c r="K796" s="241"/>
      <c r="L796" s="241"/>
      <c r="M796" s="241"/>
      <c r="N796" s="241"/>
      <c r="O796" s="241"/>
      <c r="P796" s="241"/>
      <c r="Q796" s="241"/>
      <c r="R796" s="241"/>
      <c r="S796" s="241"/>
      <c r="T796" s="241"/>
      <c r="U796" s="241"/>
      <c r="V796" s="241"/>
      <c r="W796" s="241"/>
      <c r="X796" s="241"/>
      <c r="Y796" s="241"/>
      <c r="Z796" s="241"/>
      <c r="AA796" s="241"/>
      <c r="AB796" s="241"/>
      <c r="AC796" s="241"/>
      <c r="AD796" s="241"/>
      <c r="AE796" s="241"/>
      <c r="AF796" s="241"/>
      <c r="AG796" s="241"/>
      <c r="AH796" s="241"/>
      <c r="AI796" s="241"/>
      <c r="AJ796" s="241"/>
      <c r="AK796" s="241"/>
      <c r="AL796" s="241"/>
      <c r="AM796" s="241"/>
      <c r="AN796" s="241"/>
      <c r="AO796" s="241"/>
      <c r="AP796" s="241"/>
      <c r="AQ796" s="241"/>
      <c r="AR796" s="241"/>
      <c r="AS796" s="241"/>
      <c r="AT796" s="241"/>
      <c r="AU796" s="241"/>
      <c r="AV796" s="241"/>
      <c r="AW796" s="241"/>
      <c r="AX796" s="241"/>
      <c r="AY796" s="241"/>
      <c r="AZ796" s="241"/>
    </row>
    <row r="797" spans="1:52" ht="18" customHeight="1">
      <c r="A797" s="250"/>
      <c r="B797" s="241"/>
      <c r="C797" s="241"/>
      <c r="D797" s="241"/>
      <c r="E797" s="241"/>
      <c r="F797" s="241"/>
      <c r="G797" s="241"/>
      <c r="H797" s="241"/>
      <c r="I797" s="241"/>
      <c r="J797" s="241"/>
      <c r="K797" s="241"/>
      <c r="L797" s="241"/>
      <c r="M797" s="241"/>
      <c r="N797" s="241"/>
      <c r="O797" s="241"/>
      <c r="P797" s="241"/>
      <c r="Q797" s="241"/>
      <c r="R797" s="241"/>
      <c r="S797" s="241"/>
      <c r="T797" s="241"/>
      <c r="U797" s="241"/>
      <c r="V797" s="241"/>
      <c r="W797" s="241"/>
      <c r="X797" s="241"/>
      <c r="Y797" s="241"/>
      <c r="Z797" s="241"/>
      <c r="AA797" s="241"/>
      <c r="AB797" s="241"/>
      <c r="AC797" s="241"/>
      <c r="AD797" s="241"/>
      <c r="AE797" s="241"/>
      <c r="AF797" s="241"/>
      <c r="AG797" s="241"/>
      <c r="AH797" s="241"/>
      <c r="AI797" s="241"/>
      <c r="AJ797" s="241"/>
      <c r="AK797" s="241"/>
      <c r="AL797" s="241"/>
      <c r="AM797" s="241"/>
      <c r="AN797" s="241"/>
      <c r="AO797" s="241"/>
      <c r="AP797" s="241"/>
      <c r="AQ797" s="241"/>
      <c r="AR797" s="241"/>
      <c r="AS797" s="241"/>
      <c r="AT797" s="241"/>
      <c r="AU797" s="241"/>
      <c r="AV797" s="241"/>
      <c r="AW797" s="241"/>
      <c r="AX797" s="241"/>
      <c r="AY797" s="241"/>
      <c r="AZ797" s="241"/>
    </row>
    <row r="798" spans="1:52" ht="18" customHeight="1">
      <c r="A798" s="250"/>
      <c r="B798" s="241"/>
      <c r="C798" s="241"/>
      <c r="D798" s="241"/>
      <c r="E798" s="241"/>
      <c r="F798" s="241"/>
      <c r="G798" s="241"/>
      <c r="H798" s="241"/>
      <c r="I798" s="241"/>
      <c r="J798" s="241"/>
      <c r="K798" s="241"/>
      <c r="L798" s="241"/>
      <c r="M798" s="241"/>
      <c r="N798" s="241"/>
      <c r="O798" s="241"/>
      <c r="P798" s="241"/>
      <c r="Q798" s="241"/>
      <c r="R798" s="241"/>
      <c r="S798" s="241"/>
      <c r="T798" s="241"/>
      <c r="U798" s="241"/>
      <c r="V798" s="241"/>
      <c r="W798" s="241"/>
      <c r="X798" s="241"/>
      <c r="Y798" s="241"/>
      <c r="Z798" s="241"/>
      <c r="AA798" s="241"/>
      <c r="AB798" s="241"/>
      <c r="AC798" s="241"/>
      <c r="AD798" s="241"/>
      <c r="AE798" s="241"/>
      <c r="AF798" s="241"/>
      <c r="AG798" s="241"/>
      <c r="AH798" s="241"/>
      <c r="AI798" s="241"/>
      <c r="AJ798" s="241"/>
      <c r="AK798" s="241"/>
      <c r="AL798" s="241"/>
      <c r="AM798" s="241"/>
      <c r="AN798" s="241"/>
      <c r="AO798" s="241"/>
      <c r="AP798" s="241"/>
      <c r="AQ798" s="241"/>
      <c r="AR798" s="241"/>
      <c r="AS798" s="241"/>
      <c r="AT798" s="241"/>
      <c r="AU798" s="241"/>
      <c r="AV798" s="241"/>
      <c r="AW798" s="241"/>
      <c r="AX798" s="241"/>
      <c r="AY798" s="241"/>
      <c r="AZ798" s="241"/>
    </row>
    <row r="799" spans="1:52" ht="18" customHeight="1">
      <c r="A799" s="250"/>
      <c r="B799" s="241"/>
      <c r="C799" s="241"/>
      <c r="D799" s="241"/>
      <c r="E799" s="241"/>
      <c r="F799" s="241"/>
      <c r="G799" s="241"/>
      <c r="H799" s="241"/>
      <c r="I799" s="241"/>
      <c r="J799" s="241"/>
      <c r="K799" s="241"/>
      <c r="L799" s="241"/>
      <c r="M799" s="241"/>
      <c r="N799" s="241"/>
      <c r="O799" s="241"/>
      <c r="P799" s="241"/>
      <c r="Q799" s="241"/>
      <c r="R799" s="241"/>
      <c r="S799" s="241"/>
      <c r="T799" s="241"/>
      <c r="U799" s="241"/>
      <c r="V799" s="241"/>
      <c r="W799" s="241"/>
      <c r="X799" s="241"/>
      <c r="Y799" s="241"/>
      <c r="Z799" s="241"/>
      <c r="AA799" s="241"/>
      <c r="AB799" s="241"/>
      <c r="AC799" s="241"/>
      <c r="AD799" s="241"/>
      <c r="AE799" s="241"/>
      <c r="AF799" s="241"/>
      <c r="AG799" s="241"/>
      <c r="AH799" s="241"/>
      <c r="AI799" s="241"/>
      <c r="AJ799" s="241"/>
      <c r="AK799" s="241"/>
      <c r="AL799" s="241"/>
      <c r="AM799" s="241"/>
      <c r="AN799" s="241"/>
      <c r="AO799" s="241"/>
      <c r="AP799" s="241"/>
      <c r="AQ799" s="241"/>
      <c r="AR799" s="241"/>
      <c r="AS799" s="241"/>
      <c r="AT799" s="241"/>
      <c r="AU799" s="241"/>
      <c r="AV799" s="241"/>
      <c r="AW799" s="241"/>
      <c r="AX799" s="241"/>
      <c r="AY799" s="241"/>
      <c r="AZ799" s="241"/>
    </row>
    <row r="800" spans="1:52" ht="18" customHeight="1">
      <c r="A800" s="250"/>
      <c r="B800" s="241"/>
      <c r="C800" s="241"/>
      <c r="D800" s="241"/>
      <c r="E800" s="241"/>
      <c r="F800" s="241"/>
      <c r="G800" s="241"/>
      <c r="H800" s="241"/>
      <c r="I800" s="241"/>
      <c r="J800" s="241"/>
      <c r="K800" s="241"/>
      <c r="L800" s="241"/>
      <c r="M800" s="241"/>
      <c r="N800" s="241"/>
      <c r="O800" s="241"/>
      <c r="P800" s="241"/>
      <c r="Q800" s="241"/>
      <c r="R800" s="241"/>
      <c r="S800" s="241"/>
      <c r="T800" s="241"/>
      <c r="U800" s="241"/>
      <c r="V800" s="241"/>
      <c r="W800" s="241"/>
      <c r="X800" s="241"/>
      <c r="Y800" s="241"/>
      <c r="Z800" s="241"/>
      <c r="AA800" s="241"/>
      <c r="AB800" s="241"/>
      <c r="AC800" s="241"/>
      <c r="AD800" s="241"/>
      <c r="AE800" s="241"/>
      <c r="AF800" s="241"/>
      <c r="AG800" s="241"/>
      <c r="AH800" s="241"/>
      <c r="AI800" s="241"/>
      <c r="AJ800" s="241"/>
      <c r="AK800" s="241"/>
      <c r="AL800" s="241"/>
      <c r="AM800" s="241"/>
      <c r="AN800" s="241"/>
      <c r="AO800" s="241"/>
      <c r="AP800" s="241"/>
      <c r="AQ800" s="241"/>
      <c r="AR800" s="241"/>
      <c r="AS800" s="241"/>
      <c r="AT800" s="241"/>
      <c r="AU800" s="241"/>
      <c r="AV800" s="241"/>
      <c r="AW800" s="241"/>
      <c r="AX800" s="241"/>
      <c r="AY800" s="241"/>
      <c r="AZ800" s="241"/>
    </row>
    <row r="801" spans="1:52" ht="18" customHeight="1">
      <c r="A801" s="250"/>
      <c r="B801" s="241"/>
      <c r="C801" s="241"/>
      <c r="D801" s="241"/>
      <c r="E801" s="241"/>
      <c r="F801" s="241"/>
      <c r="G801" s="241"/>
      <c r="H801" s="241"/>
      <c r="I801" s="241"/>
      <c r="J801" s="241"/>
      <c r="K801" s="241"/>
      <c r="L801" s="241"/>
      <c r="M801" s="241"/>
      <c r="N801" s="241"/>
      <c r="O801" s="241"/>
      <c r="P801" s="241"/>
      <c r="Q801" s="241"/>
      <c r="R801" s="241"/>
      <c r="S801" s="241"/>
      <c r="T801" s="241"/>
      <c r="U801" s="241"/>
      <c r="V801" s="241"/>
      <c r="W801" s="241"/>
      <c r="X801" s="241"/>
      <c r="Y801" s="241"/>
      <c r="Z801" s="241"/>
      <c r="AA801" s="241"/>
      <c r="AB801" s="241"/>
      <c r="AC801" s="241"/>
      <c r="AD801" s="241"/>
      <c r="AE801" s="241"/>
      <c r="AF801" s="241"/>
      <c r="AG801" s="241"/>
      <c r="AH801" s="241"/>
      <c r="AI801" s="241"/>
      <c r="AJ801" s="241"/>
      <c r="AK801" s="241"/>
      <c r="AL801" s="241"/>
      <c r="AM801" s="241"/>
      <c r="AN801" s="241"/>
      <c r="AO801" s="241"/>
      <c r="AP801" s="241"/>
      <c r="AQ801" s="241"/>
      <c r="AR801" s="241"/>
      <c r="AS801" s="241"/>
      <c r="AT801" s="241"/>
      <c r="AU801" s="241"/>
      <c r="AV801" s="241"/>
      <c r="AW801" s="241"/>
      <c r="AX801" s="241"/>
      <c r="AY801" s="241"/>
      <c r="AZ801" s="241"/>
    </row>
    <row r="802" spans="1:52" ht="18" customHeight="1">
      <c r="A802" s="250"/>
      <c r="B802" s="241"/>
      <c r="C802" s="241"/>
      <c r="D802" s="241"/>
      <c r="E802" s="241"/>
      <c r="F802" s="241"/>
      <c r="G802" s="241"/>
      <c r="H802" s="241"/>
      <c r="I802" s="241"/>
      <c r="J802" s="241"/>
      <c r="K802" s="241"/>
      <c r="L802" s="241"/>
      <c r="M802" s="241"/>
      <c r="N802" s="241"/>
      <c r="O802" s="241"/>
      <c r="P802" s="241"/>
      <c r="Q802" s="241"/>
      <c r="R802" s="241"/>
      <c r="S802" s="241"/>
      <c r="T802" s="241"/>
      <c r="U802" s="241"/>
      <c r="V802" s="241"/>
      <c r="W802" s="241"/>
      <c r="X802" s="241"/>
      <c r="Y802" s="241"/>
      <c r="Z802" s="241"/>
      <c r="AA802" s="241"/>
      <c r="AB802" s="241"/>
      <c r="AC802" s="241"/>
      <c r="AD802" s="241"/>
      <c r="AE802" s="241"/>
      <c r="AF802" s="241"/>
      <c r="AG802" s="241"/>
      <c r="AH802" s="241"/>
      <c r="AI802" s="241"/>
      <c r="AJ802" s="241"/>
      <c r="AK802" s="241"/>
      <c r="AL802" s="241"/>
      <c r="AM802" s="241"/>
      <c r="AN802" s="241"/>
      <c r="AO802" s="241"/>
      <c r="AP802" s="241"/>
      <c r="AQ802" s="241"/>
      <c r="AR802" s="241"/>
      <c r="AS802" s="241"/>
      <c r="AT802" s="241"/>
      <c r="AU802" s="241"/>
      <c r="AV802" s="241"/>
      <c r="AW802" s="241"/>
      <c r="AX802" s="241"/>
      <c r="AY802" s="241"/>
      <c r="AZ802" s="241"/>
    </row>
    <row r="803" spans="1:52" ht="18" customHeight="1">
      <c r="A803" s="250"/>
      <c r="B803" s="241"/>
      <c r="C803" s="241"/>
      <c r="D803" s="241"/>
      <c r="E803" s="241"/>
      <c r="F803" s="241"/>
      <c r="G803" s="241"/>
      <c r="H803" s="241"/>
      <c r="I803" s="241"/>
      <c r="J803" s="241"/>
      <c r="K803" s="241"/>
      <c r="L803" s="241"/>
      <c r="M803" s="241"/>
      <c r="N803" s="241"/>
      <c r="O803" s="241"/>
      <c r="P803" s="241"/>
      <c r="Q803" s="241"/>
      <c r="R803" s="241"/>
      <c r="S803" s="241"/>
      <c r="T803" s="241"/>
      <c r="U803" s="241"/>
      <c r="V803" s="241"/>
      <c r="W803" s="241"/>
      <c r="X803" s="241"/>
      <c r="Y803" s="241"/>
      <c r="Z803" s="241"/>
      <c r="AA803" s="241"/>
      <c r="AB803" s="241"/>
      <c r="AC803" s="241"/>
      <c r="AD803" s="241"/>
      <c r="AE803" s="241"/>
      <c r="AF803" s="241"/>
      <c r="AG803" s="241"/>
      <c r="AH803" s="241"/>
      <c r="AI803" s="241"/>
      <c r="AJ803" s="241"/>
      <c r="AK803" s="241"/>
      <c r="AL803" s="241"/>
      <c r="AM803" s="241"/>
      <c r="AN803" s="241"/>
      <c r="AO803" s="241"/>
      <c r="AP803" s="241"/>
      <c r="AQ803" s="241"/>
      <c r="AR803" s="241"/>
      <c r="AS803" s="241"/>
      <c r="AT803" s="241"/>
      <c r="AU803" s="241"/>
      <c r="AV803" s="241"/>
      <c r="AW803" s="241"/>
      <c r="AX803" s="241"/>
      <c r="AY803" s="241"/>
      <c r="AZ803" s="241"/>
    </row>
    <row r="804" spans="1:52" ht="18" customHeight="1">
      <c r="A804" s="250"/>
      <c r="B804" s="241"/>
      <c r="C804" s="241"/>
      <c r="D804" s="241"/>
      <c r="E804" s="241"/>
      <c r="F804" s="241"/>
      <c r="G804" s="241"/>
      <c r="H804" s="241"/>
      <c r="I804" s="241"/>
      <c r="J804" s="241"/>
      <c r="K804" s="241"/>
      <c r="L804" s="241"/>
      <c r="M804" s="241"/>
      <c r="N804" s="241"/>
      <c r="O804" s="241"/>
      <c r="P804" s="241"/>
      <c r="Q804" s="241"/>
      <c r="R804" s="241"/>
      <c r="S804" s="241"/>
      <c r="T804" s="241"/>
      <c r="U804" s="241"/>
      <c r="V804" s="241"/>
      <c r="W804" s="241"/>
      <c r="X804" s="241"/>
      <c r="Y804" s="241"/>
      <c r="Z804" s="241"/>
      <c r="AA804" s="241"/>
      <c r="AB804" s="241"/>
      <c r="AC804" s="241"/>
      <c r="AD804" s="241"/>
      <c r="AE804" s="241"/>
      <c r="AF804" s="241"/>
      <c r="AG804" s="241"/>
      <c r="AH804" s="241"/>
      <c r="AI804" s="241"/>
      <c r="AJ804" s="241"/>
      <c r="AK804" s="241"/>
      <c r="AL804" s="241"/>
      <c r="AM804" s="241"/>
      <c r="AN804" s="241"/>
      <c r="AO804" s="241"/>
      <c r="AP804" s="241"/>
      <c r="AQ804" s="241"/>
      <c r="AR804" s="241"/>
      <c r="AS804" s="241"/>
      <c r="AT804" s="241"/>
      <c r="AU804" s="241"/>
      <c r="AV804" s="241"/>
      <c r="AW804" s="241"/>
      <c r="AX804" s="241"/>
      <c r="AY804" s="241"/>
      <c r="AZ804" s="241"/>
    </row>
    <row r="805" spans="1:52" ht="18" customHeight="1">
      <c r="A805" s="250"/>
      <c r="B805" s="241"/>
      <c r="C805" s="241"/>
      <c r="D805" s="241"/>
      <c r="E805" s="241"/>
      <c r="F805" s="241"/>
      <c r="G805" s="241"/>
      <c r="H805" s="241"/>
      <c r="I805" s="241"/>
      <c r="J805" s="241"/>
      <c r="K805" s="241"/>
      <c r="L805" s="241"/>
      <c r="M805" s="241"/>
      <c r="N805" s="241"/>
      <c r="O805" s="241"/>
      <c r="P805" s="241"/>
      <c r="Q805" s="241"/>
      <c r="R805" s="241"/>
      <c r="S805" s="241"/>
      <c r="T805" s="241"/>
      <c r="U805" s="241"/>
      <c r="V805" s="241"/>
      <c r="W805" s="241"/>
      <c r="X805" s="241"/>
      <c r="Y805" s="241"/>
      <c r="Z805" s="241"/>
      <c r="AA805" s="241"/>
      <c r="AB805" s="241"/>
      <c r="AC805" s="241"/>
      <c r="AD805" s="241"/>
      <c r="AE805" s="241"/>
      <c r="AF805" s="241"/>
      <c r="AG805" s="241"/>
      <c r="AH805" s="241"/>
      <c r="AI805" s="241"/>
      <c r="AJ805" s="241"/>
      <c r="AK805" s="241"/>
      <c r="AL805" s="241"/>
      <c r="AM805" s="241"/>
      <c r="AN805" s="241"/>
      <c r="AO805" s="241"/>
      <c r="AP805" s="241"/>
      <c r="AQ805" s="241"/>
      <c r="AR805" s="241"/>
      <c r="AS805" s="241"/>
      <c r="AT805" s="241"/>
      <c r="AU805" s="241"/>
      <c r="AV805" s="241"/>
      <c r="AW805" s="241"/>
      <c r="AX805" s="241"/>
      <c r="AY805" s="241"/>
      <c r="AZ805" s="241"/>
    </row>
    <row r="806" spans="1:52" ht="18" customHeight="1">
      <c r="A806" s="250"/>
      <c r="B806" s="241"/>
      <c r="C806" s="241"/>
      <c r="D806" s="241"/>
      <c r="E806" s="241"/>
      <c r="F806" s="241"/>
      <c r="G806" s="241"/>
      <c r="H806" s="241"/>
      <c r="I806" s="241"/>
      <c r="J806" s="241"/>
      <c r="K806" s="241"/>
      <c r="L806" s="241"/>
      <c r="M806" s="241"/>
      <c r="N806" s="241"/>
      <c r="O806" s="241"/>
      <c r="P806" s="241"/>
      <c r="Q806" s="241"/>
      <c r="R806" s="241"/>
      <c r="S806" s="241"/>
      <c r="T806" s="241"/>
      <c r="U806" s="241"/>
      <c r="V806" s="241"/>
      <c r="W806" s="241"/>
      <c r="X806" s="241"/>
      <c r="Y806" s="241"/>
      <c r="Z806" s="241"/>
      <c r="AA806" s="241"/>
      <c r="AB806" s="241"/>
      <c r="AC806" s="241"/>
      <c r="AD806" s="241"/>
      <c r="AE806" s="241"/>
      <c r="AF806" s="241"/>
      <c r="AG806" s="241"/>
      <c r="AH806" s="241"/>
      <c r="AI806" s="241"/>
      <c r="AJ806" s="241"/>
      <c r="AK806" s="241"/>
      <c r="AL806" s="241"/>
      <c r="AM806" s="241"/>
      <c r="AN806" s="241"/>
      <c r="AO806" s="241"/>
      <c r="AP806" s="241"/>
      <c r="AQ806" s="241"/>
      <c r="AR806" s="241"/>
      <c r="AS806" s="241"/>
      <c r="AT806" s="241"/>
      <c r="AU806" s="241"/>
      <c r="AV806" s="241"/>
      <c r="AW806" s="241"/>
      <c r="AX806" s="241"/>
      <c r="AY806" s="241"/>
      <c r="AZ806" s="241"/>
    </row>
    <row r="807" spans="1:52" ht="18" customHeight="1">
      <c r="A807" s="250"/>
      <c r="B807" s="241"/>
      <c r="C807" s="241"/>
      <c r="D807" s="241"/>
      <c r="E807" s="241"/>
      <c r="F807" s="241"/>
      <c r="G807" s="241"/>
      <c r="H807" s="241"/>
      <c r="I807" s="241"/>
      <c r="J807" s="241"/>
      <c r="K807" s="241"/>
      <c r="L807" s="241"/>
      <c r="M807" s="241"/>
      <c r="N807" s="241"/>
      <c r="O807" s="241"/>
      <c r="P807" s="241"/>
      <c r="Q807" s="241"/>
      <c r="R807" s="241"/>
      <c r="S807" s="241"/>
      <c r="T807" s="241"/>
      <c r="U807" s="241"/>
      <c r="V807" s="241"/>
      <c r="W807" s="241"/>
      <c r="X807" s="241"/>
      <c r="Y807" s="241"/>
      <c r="Z807" s="241"/>
      <c r="AA807" s="241"/>
      <c r="AB807" s="241"/>
      <c r="AC807" s="241"/>
      <c r="AD807" s="241"/>
      <c r="AE807" s="241"/>
      <c r="AF807" s="241"/>
      <c r="AG807" s="241"/>
      <c r="AH807" s="241"/>
      <c r="AI807" s="241"/>
      <c r="AJ807" s="241"/>
      <c r="AK807" s="241"/>
      <c r="AL807" s="241"/>
      <c r="AM807" s="241"/>
      <c r="AN807" s="241"/>
      <c r="AO807" s="241"/>
      <c r="AP807" s="241"/>
      <c r="AQ807" s="241"/>
      <c r="AR807" s="241"/>
      <c r="AS807" s="241"/>
      <c r="AT807" s="241"/>
      <c r="AU807" s="241"/>
      <c r="AV807" s="241"/>
      <c r="AW807" s="241"/>
      <c r="AX807" s="241"/>
      <c r="AY807" s="241"/>
      <c r="AZ807" s="241"/>
    </row>
    <row r="808" spans="1:52" ht="18" customHeight="1">
      <c r="A808" s="250"/>
      <c r="B808" s="241"/>
      <c r="C808" s="241"/>
      <c r="D808" s="241"/>
      <c r="E808" s="241"/>
      <c r="F808" s="241"/>
      <c r="G808" s="241"/>
      <c r="H808" s="241"/>
      <c r="I808" s="241"/>
      <c r="J808" s="241"/>
      <c r="K808" s="241"/>
      <c r="L808" s="241"/>
      <c r="M808" s="241"/>
      <c r="N808" s="241"/>
      <c r="O808" s="241"/>
      <c r="P808" s="241"/>
      <c r="Q808" s="241"/>
      <c r="R808" s="241"/>
      <c r="S808" s="241"/>
      <c r="T808" s="241"/>
      <c r="U808" s="241"/>
      <c r="V808" s="241"/>
      <c r="W808" s="241"/>
      <c r="X808" s="241"/>
      <c r="Y808" s="241"/>
      <c r="Z808" s="241"/>
      <c r="AA808" s="241"/>
      <c r="AB808" s="241"/>
      <c r="AC808" s="241"/>
      <c r="AD808" s="241"/>
      <c r="AE808" s="241"/>
      <c r="AF808" s="241"/>
      <c r="AG808" s="241"/>
      <c r="AH808" s="241"/>
      <c r="AI808" s="241"/>
      <c r="AJ808" s="241"/>
      <c r="AK808" s="241"/>
      <c r="AL808" s="241"/>
      <c r="AM808" s="241"/>
      <c r="AN808" s="241"/>
      <c r="AO808" s="241"/>
      <c r="AP808" s="241"/>
      <c r="AQ808" s="241"/>
      <c r="AR808" s="241"/>
      <c r="AS808" s="241"/>
      <c r="AT808" s="241"/>
      <c r="AU808" s="241"/>
      <c r="AV808" s="241"/>
      <c r="AW808" s="241"/>
      <c r="AX808" s="241"/>
      <c r="AY808" s="241"/>
      <c r="AZ808" s="241"/>
    </row>
    <row r="809" spans="1:52" ht="18" customHeight="1">
      <c r="A809" s="250"/>
      <c r="B809" s="241"/>
      <c r="C809" s="241"/>
      <c r="D809" s="241"/>
      <c r="E809" s="241"/>
      <c r="F809" s="241"/>
      <c r="G809" s="241"/>
      <c r="H809" s="241"/>
      <c r="I809" s="241"/>
      <c r="J809" s="241"/>
      <c r="K809" s="241"/>
      <c r="L809" s="241"/>
      <c r="M809" s="241"/>
      <c r="N809" s="241"/>
      <c r="O809" s="241"/>
      <c r="P809" s="241"/>
      <c r="Q809" s="241"/>
      <c r="R809" s="241"/>
      <c r="S809" s="241"/>
      <c r="T809" s="241"/>
      <c r="U809" s="241"/>
      <c r="V809" s="241"/>
      <c r="W809" s="241"/>
      <c r="X809" s="241"/>
      <c r="Y809" s="241"/>
      <c r="Z809" s="241"/>
      <c r="AA809" s="241"/>
      <c r="AB809" s="241"/>
      <c r="AC809" s="241"/>
      <c r="AD809" s="241"/>
      <c r="AE809" s="241"/>
      <c r="AF809" s="241"/>
      <c r="AG809" s="241"/>
      <c r="AH809" s="241"/>
      <c r="AI809" s="241"/>
      <c r="AJ809" s="241"/>
      <c r="AK809" s="241"/>
      <c r="AL809" s="241"/>
      <c r="AM809" s="241"/>
      <c r="AN809" s="241"/>
      <c r="AO809" s="241"/>
      <c r="AP809" s="241"/>
      <c r="AQ809" s="241"/>
      <c r="AR809" s="241"/>
      <c r="AS809" s="241"/>
      <c r="AT809" s="241"/>
      <c r="AU809" s="241"/>
      <c r="AV809" s="241"/>
      <c r="AW809" s="241"/>
      <c r="AX809" s="241"/>
      <c r="AY809" s="241"/>
      <c r="AZ809" s="241"/>
    </row>
    <row r="810" spans="1:52" ht="18" customHeight="1">
      <c r="A810" s="250"/>
      <c r="B810" s="241"/>
      <c r="C810" s="241"/>
      <c r="D810" s="241"/>
      <c r="E810" s="241"/>
      <c r="F810" s="241"/>
      <c r="G810" s="241"/>
      <c r="H810" s="241"/>
      <c r="I810" s="241"/>
      <c r="J810" s="241"/>
      <c r="K810" s="241"/>
      <c r="L810" s="241"/>
      <c r="M810" s="241"/>
      <c r="N810" s="241"/>
      <c r="O810" s="241"/>
      <c r="P810" s="241"/>
      <c r="Q810" s="241"/>
      <c r="R810" s="241"/>
      <c r="S810" s="241"/>
      <c r="T810" s="241"/>
      <c r="U810" s="241"/>
      <c r="V810" s="241"/>
      <c r="W810" s="241"/>
      <c r="X810" s="241"/>
      <c r="Y810" s="241"/>
      <c r="Z810" s="241"/>
      <c r="AA810" s="241"/>
      <c r="AB810" s="241"/>
      <c r="AC810" s="241"/>
      <c r="AD810" s="241"/>
      <c r="AE810" s="241"/>
      <c r="AF810" s="241"/>
      <c r="AG810" s="241"/>
      <c r="AH810" s="241"/>
      <c r="AI810" s="241"/>
      <c r="AJ810" s="241"/>
      <c r="AK810" s="241"/>
      <c r="AL810" s="241"/>
      <c r="AM810" s="241"/>
      <c r="AN810" s="241"/>
      <c r="AO810" s="241"/>
      <c r="AP810" s="241"/>
      <c r="AQ810" s="241"/>
      <c r="AR810" s="241"/>
      <c r="AS810" s="241"/>
      <c r="AT810" s="241"/>
      <c r="AU810" s="241"/>
      <c r="AV810" s="241"/>
      <c r="AW810" s="241"/>
      <c r="AX810" s="241"/>
      <c r="AY810" s="241"/>
      <c r="AZ810" s="241"/>
    </row>
    <row r="811" spans="1:52" ht="18" customHeight="1">
      <c r="A811" s="250"/>
      <c r="B811" s="241"/>
      <c r="C811" s="241"/>
      <c r="D811" s="241"/>
      <c r="E811" s="241"/>
      <c r="F811" s="241"/>
      <c r="G811" s="241"/>
      <c r="H811" s="241"/>
      <c r="I811" s="241"/>
      <c r="J811" s="241"/>
      <c r="K811" s="241"/>
      <c r="L811" s="241"/>
      <c r="M811" s="241"/>
      <c r="N811" s="241"/>
      <c r="O811" s="241"/>
      <c r="P811" s="241"/>
      <c r="Q811" s="241"/>
      <c r="R811" s="241"/>
      <c r="S811" s="241"/>
      <c r="T811" s="241"/>
      <c r="U811" s="241"/>
      <c r="V811" s="241"/>
      <c r="W811" s="241"/>
      <c r="X811" s="241"/>
      <c r="Y811" s="241"/>
      <c r="Z811" s="241"/>
      <c r="AA811" s="241"/>
      <c r="AB811" s="241"/>
      <c r="AC811" s="241"/>
      <c r="AD811" s="241"/>
      <c r="AE811" s="241"/>
      <c r="AF811" s="241"/>
      <c r="AG811" s="241"/>
      <c r="AH811" s="241"/>
      <c r="AI811" s="241"/>
      <c r="AJ811" s="241"/>
      <c r="AK811" s="241"/>
      <c r="AL811" s="241"/>
      <c r="AM811" s="241"/>
      <c r="AN811" s="241"/>
      <c r="AO811" s="241"/>
      <c r="AP811" s="241"/>
      <c r="AQ811" s="241"/>
      <c r="AR811" s="241"/>
      <c r="AS811" s="241"/>
      <c r="AT811" s="241"/>
      <c r="AU811" s="241"/>
      <c r="AV811" s="241"/>
      <c r="AW811" s="241"/>
      <c r="AX811" s="241"/>
      <c r="AY811" s="241"/>
      <c r="AZ811" s="241"/>
    </row>
    <row r="812" spans="1:52" ht="18" customHeight="1">
      <c r="A812" s="250"/>
      <c r="B812" s="241"/>
      <c r="C812" s="241"/>
      <c r="D812" s="241"/>
      <c r="E812" s="241"/>
      <c r="F812" s="241"/>
      <c r="G812" s="241"/>
      <c r="H812" s="241"/>
      <c r="I812" s="241"/>
      <c r="J812" s="241"/>
      <c r="K812" s="241"/>
      <c r="L812" s="241"/>
      <c r="M812" s="241"/>
      <c r="N812" s="241"/>
      <c r="O812" s="241"/>
      <c r="P812" s="241"/>
      <c r="Q812" s="241"/>
      <c r="R812" s="241"/>
      <c r="S812" s="241"/>
      <c r="T812" s="241"/>
      <c r="U812" s="241"/>
      <c r="V812" s="241"/>
      <c r="W812" s="241"/>
      <c r="X812" s="241"/>
      <c r="Y812" s="241"/>
      <c r="Z812" s="241"/>
      <c r="AA812" s="241"/>
      <c r="AB812" s="241"/>
      <c r="AC812" s="241"/>
      <c r="AD812" s="241"/>
      <c r="AE812" s="241"/>
      <c r="AF812" s="241"/>
      <c r="AG812" s="241"/>
      <c r="AH812" s="241"/>
      <c r="AI812" s="241"/>
      <c r="AJ812" s="241"/>
      <c r="AK812" s="241"/>
      <c r="AL812" s="241"/>
      <c r="AM812" s="241"/>
      <c r="AN812" s="241"/>
      <c r="AO812" s="241"/>
      <c r="AP812" s="241"/>
      <c r="AQ812" s="241"/>
      <c r="AR812" s="241"/>
      <c r="AS812" s="241"/>
      <c r="AT812" s="241"/>
      <c r="AU812" s="241"/>
      <c r="AV812" s="241"/>
      <c r="AW812" s="241"/>
      <c r="AX812" s="241"/>
      <c r="AY812" s="241"/>
      <c r="AZ812" s="241"/>
    </row>
    <row r="813" spans="1:52" ht="18" customHeight="1">
      <c r="A813" s="250"/>
      <c r="B813" s="241"/>
      <c r="C813" s="241"/>
      <c r="D813" s="241"/>
      <c r="E813" s="241"/>
      <c r="F813" s="241"/>
      <c r="G813" s="241"/>
      <c r="H813" s="241"/>
      <c r="I813" s="241"/>
      <c r="J813" s="241"/>
      <c r="K813" s="241"/>
      <c r="L813" s="241"/>
      <c r="M813" s="241"/>
      <c r="N813" s="241"/>
      <c r="O813" s="241"/>
      <c r="P813" s="241"/>
      <c r="Q813" s="241"/>
      <c r="R813" s="241"/>
      <c r="S813" s="241"/>
      <c r="T813" s="241"/>
      <c r="U813" s="241"/>
      <c r="V813" s="241"/>
      <c r="W813" s="241"/>
      <c r="X813" s="241"/>
      <c r="Y813" s="241"/>
      <c r="Z813" s="241"/>
      <c r="AA813" s="241"/>
      <c r="AB813" s="241"/>
      <c r="AC813" s="241"/>
      <c r="AD813" s="241"/>
      <c r="AE813" s="241"/>
      <c r="AF813" s="241"/>
      <c r="AG813" s="241"/>
      <c r="AH813" s="241"/>
      <c r="AI813" s="241"/>
      <c r="AJ813" s="241"/>
      <c r="AK813" s="241"/>
      <c r="AL813" s="241"/>
      <c r="AM813" s="241"/>
      <c r="AN813" s="241"/>
      <c r="AO813" s="241"/>
      <c r="AP813" s="241"/>
      <c r="AQ813" s="241"/>
      <c r="AR813" s="241"/>
      <c r="AS813" s="241"/>
      <c r="AT813" s="241"/>
      <c r="AU813" s="241"/>
      <c r="AV813" s="241"/>
      <c r="AW813" s="241"/>
      <c r="AX813" s="241"/>
      <c r="AY813" s="241"/>
      <c r="AZ813" s="241"/>
    </row>
    <row r="814" spans="1:52" ht="18" customHeight="1">
      <c r="A814" s="250"/>
      <c r="B814" s="241"/>
      <c r="C814" s="241"/>
      <c r="D814" s="241"/>
      <c r="E814" s="241"/>
      <c r="F814" s="241"/>
      <c r="G814" s="241"/>
      <c r="H814" s="241"/>
      <c r="I814" s="241"/>
      <c r="J814" s="241"/>
      <c r="K814" s="241"/>
      <c r="L814" s="241"/>
      <c r="M814" s="241"/>
      <c r="N814" s="241"/>
      <c r="O814" s="241"/>
      <c r="P814" s="241"/>
      <c r="Q814" s="241"/>
      <c r="R814" s="241"/>
      <c r="S814" s="241"/>
      <c r="T814" s="241"/>
      <c r="U814" s="241"/>
      <c r="V814" s="241"/>
      <c r="W814" s="241"/>
      <c r="X814" s="241"/>
      <c r="Y814" s="241"/>
      <c r="Z814" s="241"/>
      <c r="AA814" s="241"/>
      <c r="AB814" s="241"/>
      <c r="AC814" s="241"/>
      <c r="AD814" s="241"/>
      <c r="AE814" s="241"/>
      <c r="AF814" s="241"/>
      <c r="AG814" s="241"/>
      <c r="AH814" s="241"/>
      <c r="AI814" s="241"/>
      <c r="AJ814" s="241"/>
      <c r="AK814" s="241"/>
      <c r="AL814" s="241"/>
      <c r="AM814" s="241"/>
      <c r="AN814" s="241"/>
      <c r="AO814" s="241"/>
      <c r="AP814" s="241"/>
      <c r="AQ814" s="241"/>
      <c r="AR814" s="241"/>
      <c r="AS814" s="241"/>
      <c r="AT814" s="241"/>
      <c r="AU814" s="241"/>
      <c r="AV814" s="241"/>
      <c r="AW814" s="241"/>
      <c r="AX814" s="241"/>
      <c r="AY814" s="241"/>
      <c r="AZ814" s="241"/>
    </row>
    <row r="815" spans="1:52" ht="18" customHeight="1">
      <c r="A815" s="250"/>
      <c r="B815" s="241"/>
      <c r="C815" s="241"/>
      <c r="D815" s="241"/>
      <c r="E815" s="241"/>
      <c r="F815" s="241"/>
      <c r="G815" s="241"/>
      <c r="H815" s="241"/>
      <c r="I815" s="241"/>
      <c r="J815" s="241"/>
      <c r="K815" s="241"/>
      <c r="L815" s="241"/>
      <c r="M815" s="241"/>
      <c r="N815" s="241"/>
      <c r="O815" s="241"/>
      <c r="P815" s="241"/>
      <c r="Q815" s="241"/>
      <c r="R815" s="241"/>
      <c r="S815" s="241"/>
      <c r="T815" s="241"/>
      <c r="U815" s="241"/>
      <c r="V815" s="241"/>
      <c r="W815" s="241"/>
      <c r="X815" s="241"/>
      <c r="Y815" s="241"/>
      <c r="Z815" s="241"/>
      <c r="AA815" s="241"/>
      <c r="AB815" s="241"/>
      <c r="AC815" s="241"/>
      <c r="AD815" s="241"/>
      <c r="AE815" s="241"/>
      <c r="AF815" s="241"/>
      <c r="AG815" s="241"/>
      <c r="AH815" s="241"/>
      <c r="AI815" s="241"/>
      <c r="AJ815" s="241"/>
      <c r="AK815" s="241"/>
      <c r="AL815" s="241"/>
      <c r="AM815" s="241"/>
      <c r="AN815" s="241"/>
      <c r="AO815" s="241"/>
      <c r="AP815" s="241"/>
      <c r="AQ815" s="241"/>
      <c r="AR815" s="241"/>
      <c r="AS815" s="241"/>
      <c r="AT815" s="241"/>
      <c r="AU815" s="241"/>
      <c r="AV815" s="241"/>
      <c r="AW815" s="241"/>
      <c r="AX815" s="241"/>
      <c r="AY815" s="241"/>
      <c r="AZ815" s="241"/>
    </row>
    <row r="816" spans="1:52" ht="18" customHeight="1">
      <c r="A816" s="250"/>
      <c r="B816" s="241"/>
      <c r="C816" s="241"/>
      <c r="D816" s="241"/>
      <c r="E816" s="241"/>
      <c r="F816" s="241"/>
      <c r="G816" s="241"/>
      <c r="H816" s="241"/>
      <c r="I816" s="241"/>
      <c r="J816" s="241"/>
      <c r="K816" s="241"/>
      <c r="L816" s="241"/>
      <c r="M816" s="241"/>
      <c r="N816" s="241"/>
      <c r="O816" s="241"/>
      <c r="P816" s="241"/>
      <c r="Q816" s="241"/>
      <c r="R816" s="241"/>
      <c r="S816" s="241"/>
      <c r="T816" s="241"/>
      <c r="U816" s="241"/>
      <c r="V816" s="241"/>
      <c r="W816" s="241"/>
      <c r="X816" s="241"/>
      <c r="Y816" s="241"/>
      <c r="Z816" s="241"/>
      <c r="AA816" s="241"/>
      <c r="AB816" s="241"/>
      <c r="AC816" s="241"/>
      <c r="AD816" s="241"/>
      <c r="AE816" s="241"/>
      <c r="AF816" s="241"/>
      <c r="AG816" s="241"/>
      <c r="AH816" s="241"/>
      <c r="AI816" s="241"/>
      <c r="AJ816" s="241"/>
      <c r="AK816" s="241"/>
      <c r="AL816" s="241"/>
      <c r="AM816" s="241"/>
      <c r="AN816" s="241"/>
      <c r="AO816" s="241"/>
      <c r="AP816" s="241"/>
      <c r="AQ816" s="241"/>
      <c r="AR816" s="241"/>
      <c r="AS816" s="241"/>
      <c r="AT816" s="241"/>
      <c r="AU816" s="241"/>
      <c r="AV816" s="241"/>
      <c r="AW816" s="241"/>
      <c r="AX816" s="241"/>
      <c r="AY816" s="241"/>
      <c r="AZ816" s="241"/>
    </row>
    <row r="817" spans="1:52" ht="18" customHeight="1">
      <c r="A817" s="250"/>
      <c r="B817" s="241"/>
      <c r="C817" s="241"/>
      <c r="D817" s="241"/>
      <c r="E817" s="241"/>
      <c r="F817" s="241"/>
      <c r="G817" s="241"/>
      <c r="H817" s="241"/>
      <c r="I817" s="241"/>
      <c r="J817" s="241"/>
      <c r="K817" s="241"/>
      <c r="L817" s="241"/>
      <c r="M817" s="241"/>
      <c r="N817" s="241"/>
      <c r="O817" s="241"/>
      <c r="P817" s="241"/>
      <c r="Q817" s="241"/>
      <c r="R817" s="241"/>
      <c r="S817" s="241"/>
      <c r="T817" s="241"/>
      <c r="U817" s="241"/>
      <c r="V817" s="241"/>
      <c r="W817" s="241"/>
      <c r="X817" s="241"/>
      <c r="Y817" s="241"/>
      <c r="Z817" s="241"/>
      <c r="AA817" s="241"/>
      <c r="AB817" s="241"/>
      <c r="AC817" s="241"/>
      <c r="AD817" s="241"/>
      <c r="AE817" s="241"/>
      <c r="AF817" s="241"/>
      <c r="AG817" s="241"/>
      <c r="AH817" s="241"/>
      <c r="AI817" s="241"/>
      <c r="AJ817" s="241"/>
      <c r="AK817" s="241"/>
      <c r="AL817" s="241"/>
      <c r="AM817" s="241"/>
      <c r="AN817" s="241"/>
      <c r="AO817" s="241"/>
      <c r="AP817" s="241"/>
      <c r="AQ817" s="241"/>
      <c r="AR817" s="241"/>
      <c r="AS817" s="241"/>
      <c r="AT817" s="241"/>
      <c r="AU817" s="241"/>
      <c r="AV817" s="241"/>
      <c r="AW817" s="241"/>
      <c r="AX817" s="241"/>
      <c r="AY817" s="241"/>
      <c r="AZ817" s="241"/>
    </row>
    <row r="818" spans="1:52" ht="18" customHeight="1">
      <c r="A818" s="250"/>
      <c r="B818" s="241"/>
      <c r="C818" s="241"/>
      <c r="D818" s="241"/>
      <c r="E818" s="241"/>
      <c r="F818" s="241"/>
      <c r="G818" s="241"/>
      <c r="H818" s="241"/>
      <c r="I818" s="241"/>
      <c r="J818" s="241"/>
      <c r="K818" s="241"/>
      <c r="L818" s="241"/>
      <c r="M818" s="241"/>
      <c r="N818" s="241"/>
      <c r="O818" s="241"/>
      <c r="P818" s="241"/>
      <c r="Q818" s="241"/>
      <c r="R818" s="241"/>
      <c r="S818" s="241"/>
      <c r="T818" s="241"/>
      <c r="U818" s="241"/>
      <c r="V818" s="241"/>
      <c r="W818" s="241"/>
      <c r="X818" s="241"/>
      <c r="Y818" s="241"/>
      <c r="Z818" s="241"/>
      <c r="AA818" s="241"/>
      <c r="AB818" s="241"/>
      <c r="AC818" s="241"/>
      <c r="AD818" s="241"/>
      <c r="AE818" s="241"/>
      <c r="AF818" s="241"/>
      <c r="AG818" s="241"/>
      <c r="AH818" s="241"/>
      <c r="AI818" s="241"/>
      <c r="AJ818" s="241"/>
      <c r="AK818" s="241"/>
      <c r="AL818" s="241"/>
      <c r="AM818" s="241"/>
      <c r="AN818" s="241"/>
      <c r="AO818" s="241"/>
      <c r="AP818" s="241"/>
      <c r="AQ818" s="241"/>
      <c r="AR818" s="241"/>
      <c r="AS818" s="241"/>
      <c r="AT818" s="241"/>
      <c r="AU818" s="241"/>
      <c r="AV818" s="241"/>
      <c r="AW818" s="241"/>
      <c r="AX818" s="241"/>
      <c r="AY818" s="241"/>
      <c r="AZ818" s="241"/>
    </row>
    <row r="819" spans="1:52" ht="18" customHeight="1">
      <c r="A819" s="250"/>
      <c r="B819" s="241"/>
      <c r="C819" s="241"/>
      <c r="D819" s="241"/>
      <c r="E819" s="241"/>
      <c r="F819" s="241"/>
      <c r="G819" s="241"/>
      <c r="H819" s="241"/>
      <c r="I819" s="241"/>
      <c r="J819" s="241"/>
      <c r="K819" s="241"/>
      <c r="L819" s="241"/>
      <c r="M819" s="241"/>
      <c r="N819" s="241"/>
      <c r="O819" s="241"/>
      <c r="P819" s="241"/>
      <c r="Q819" s="241"/>
      <c r="R819" s="241"/>
      <c r="S819" s="241"/>
      <c r="T819" s="241"/>
      <c r="U819" s="241"/>
      <c r="V819" s="241"/>
      <c r="W819" s="241"/>
      <c r="X819" s="241"/>
      <c r="Y819" s="241"/>
      <c r="Z819" s="241"/>
      <c r="AA819" s="241"/>
      <c r="AB819" s="241"/>
      <c r="AC819" s="241"/>
      <c r="AD819" s="241"/>
      <c r="AE819" s="241"/>
      <c r="AF819" s="241"/>
      <c r="AG819" s="241"/>
      <c r="AH819" s="241"/>
      <c r="AI819" s="241"/>
      <c r="AJ819" s="241"/>
      <c r="AK819" s="241"/>
      <c r="AL819" s="241"/>
      <c r="AM819" s="241"/>
      <c r="AN819" s="241"/>
      <c r="AO819" s="241"/>
      <c r="AP819" s="241"/>
      <c r="AQ819" s="241"/>
      <c r="AR819" s="241"/>
      <c r="AS819" s="241"/>
      <c r="AT819" s="241"/>
      <c r="AU819" s="241"/>
      <c r="AV819" s="241"/>
      <c r="AW819" s="241"/>
      <c r="AX819" s="241"/>
      <c r="AY819" s="241"/>
      <c r="AZ819" s="241"/>
    </row>
    <row r="820" spans="1:52" ht="18" customHeight="1">
      <c r="A820" s="250"/>
      <c r="B820" s="241"/>
      <c r="C820" s="241"/>
      <c r="D820" s="241"/>
      <c r="E820" s="241"/>
      <c r="F820" s="241"/>
      <c r="G820" s="241"/>
      <c r="H820" s="241"/>
      <c r="I820" s="241"/>
      <c r="J820" s="241"/>
      <c r="K820" s="241"/>
      <c r="L820" s="241"/>
      <c r="M820" s="241"/>
      <c r="N820" s="241"/>
      <c r="O820" s="241"/>
      <c r="P820" s="241"/>
      <c r="Q820" s="241"/>
      <c r="R820" s="241"/>
      <c r="S820" s="241"/>
      <c r="T820" s="241"/>
      <c r="U820" s="241"/>
      <c r="V820" s="241"/>
      <c r="W820" s="241"/>
      <c r="X820" s="241"/>
      <c r="Y820" s="241"/>
      <c r="Z820" s="241"/>
      <c r="AA820" s="241"/>
      <c r="AB820" s="241"/>
      <c r="AC820" s="241"/>
      <c r="AD820" s="241"/>
      <c r="AE820" s="241"/>
      <c r="AF820" s="241"/>
      <c r="AG820" s="241"/>
      <c r="AH820" s="241"/>
      <c r="AI820" s="241"/>
      <c r="AJ820" s="241"/>
      <c r="AK820" s="241"/>
      <c r="AL820" s="241"/>
      <c r="AM820" s="241"/>
      <c r="AN820" s="241"/>
      <c r="AO820" s="241"/>
      <c r="AP820" s="241"/>
      <c r="AQ820" s="241"/>
      <c r="AR820" s="241"/>
      <c r="AS820" s="241"/>
      <c r="AT820" s="241"/>
      <c r="AU820" s="241"/>
      <c r="AV820" s="241"/>
      <c r="AW820" s="241"/>
      <c r="AX820" s="241"/>
      <c r="AY820" s="241"/>
      <c r="AZ820" s="241"/>
    </row>
    <row r="821" spans="1:52" ht="18" customHeight="1">
      <c r="A821" s="250"/>
      <c r="B821" s="241"/>
      <c r="C821" s="241"/>
      <c r="D821" s="241"/>
      <c r="E821" s="241"/>
      <c r="F821" s="241"/>
      <c r="G821" s="241"/>
      <c r="H821" s="241"/>
      <c r="I821" s="241"/>
      <c r="J821" s="241"/>
      <c r="K821" s="241"/>
      <c r="L821" s="241"/>
      <c r="M821" s="241"/>
      <c r="N821" s="241"/>
      <c r="O821" s="241"/>
      <c r="P821" s="241"/>
      <c r="Q821" s="241"/>
      <c r="R821" s="241"/>
      <c r="S821" s="241"/>
      <c r="T821" s="241"/>
      <c r="U821" s="241"/>
      <c r="V821" s="241"/>
      <c r="W821" s="241"/>
      <c r="X821" s="241"/>
      <c r="Y821" s="241"/>
      <c r="Z821" s="241"/>
      <c r="AA821" s="241"/>
      <c r="AB821" s="241"/>
      <c r="AC821" s="241"/>
      <c r="AD821" s="241"/>
      <c r="AE821" s="241"/>
      <c r="AF821" s="241"/>
      <c r="AG821" s="241"/>
      <c r="AH821" s="241"/>
      <c r="AI821" s="241"/>
      <c r="AJ821" s="241"/>
      <c r="AK821" s="241"/>
      <c r="AL821" s="241"/>
      <c r="AM821" s="241"/>
      <c r="AN821" s="241"/>
      <c r="AO821" s="241"/>
      <c r="AP821" s="241"/>
      <c r="AQ821" s="241"/>
      <c r="AR821" s="241"/>
      <c r="AS821" s="241"/>
      <c r="AT821" s="241"/>
      <c r="AU821" s="241"/>
      <c r="AV821" s="241"/>
      <c r="AW821" s="241"/>
      <c r="AX821" s="241"/>
      <c r="AY821" s="241"/>
      <c r="AZ821" s="241"/>
    </row>
    <row r="822" spans="1:52" ht="18" customHeight="1">
      <c r="A822" s="250"/>
      <c r="B822" s="241"/>
      <c r="C822" s="241"/>
      <c r="D822" s="241"/>
      <c r="E822" s="241"/>
      <c r="F822" s="241"/>
      <c r="G822" s="241"/>
      <c r="H822" s="241"/>
      <c r="I822" s="241"/>
      <c r="J822" s="241"/>
      <c r="K822" s="241"/>
      <c r="L822" s="241"/>
      <c r="M822" s="241"/>
      <c r="N822" s="241"/>
      <c r="O822" s="241"/>
      <c r="P822" s="241"/>
      <c r="Q822" s="241"/>
      <c r="R822" s="241"/>
      <c r="S822" s="241"/>
      <c r="T822" s="241"/>
      <c r="U822" s="241"/>
      <c r="V822" s="241"/>
      <c r="W822" s="241"/>
      <c r="X822" s="241"/>
      <c r="Y822" s="241"/>
      <c r="Z822" s="241"/>
      <c r="AA822" s="241"/>
      <c r="AB822" s="241"/>
      <c r="AC822" s="241"/>
      <c r="AD822" s="241"/>
      <c r="AE822" s="241"/>
      <c r="AF822" s="241"/>
      <c r="AG822" s="241"/>
      <c r="AH822" s="241"/>
      <c r="AI822" s="241"/>
      <c r="AJ822" s="241"/>
      <c r="AK822" s="241"/>
      <c r="AL822" s="241"/>
      <c r="AM822" s="241"/>
      <c r="AN822" s="241"/>
      <c r="AO822" s="241"/>
      <c r="AP822" s="241"/>
      <c r="AQ822" s="241"/>
      <c r="AR822" s="241"/>
      <c r="AS822" s="241"/>
      <c r="AT822" s="241"/>
      <c r="AU822" s="241"/>
      <c r="AV822" s="241"/>
      <c r="AW822" s="241"/>
      <c r="AX822" s="241"/>
      <c r="AY822" s="241"/>
      <c r="AZ822" s="241"/>
    </row>
    <row r="823" spans="1:52" ht="18" customHeight="1">
      <c r="A823" s="250"/>
      <c r="B823" s="241"/>
      <c r="C823" s="241"/>
      <c r="D823" s="241"/>
      <c r="E823" s="241"/>
      <c r="F823" s="241"/>
      <c r="G823" s="241"/>
      <c r="H823" s="241"/>
      <c r="I823" s="241"/>
      <c r="J823" s="241"/>
      <c r="K823" s="241"/>
      <c r="L823" s="241"/>
      <c r="M823" s="241"/>
      <c r="N823" s="241"/>
      <c r="O823" s="241"/>
      <c r="P823" s="241"/>
      <c r="Q823" s="241"/>
      <c r="R823" s="241"/>
      <c r="S823" s="241"/>
      <c r="T823" s="241"/>
      <c r="U823" s="241"/>
      <c r="V823" s="241"/>
      <c r="W823" s="241"/>
      <c r="X823" s="241"/>
      <c r="Y823" s="241"/>
      <c r="Z823" s="241"/>
      <c r="AA823" s="241"/>
      <c r="AB823" s="241"/>
      <c r="AC823" s="241"/>
      <c r="AD823" s="241"/>
      <c r="AE823" s="241"/>
      <c r="AF823" s="241"/>
      <c r="AG823" s="241"/>
      <c r="AH823" s="241"/>
      <c r="AI823" s="241"/>
      <c r="AJ823" s="241"/>
      <c r="AK823" s="241"/>
      <c r="AL823" s="241"/>
      <c r="AM823" s="241"/>
      <c r="AN823" s="241"/>
      <c r="AO823" s="241"/>
      <c r="AP823" s="241"/>
      <c r="AQ823" s="241"/>
      <c r="AR823" s="241"/>
      <c r="AS823" s="241"/>
      <c r="AT823" s="241"/>
      <c r="AU823" s="241"/>
      <c r="AV823" s="241"/>
      <c r="AW823" s="241"/>
      <c r="AX823" s="241"/>
      <c r="AY823" s="241"/>
      <c r="AZ823" s="241"/>
    </row>
    <row r="824" spans="1:52" ht="18" customHeight="1">
      <c r="A824" s="250"/>
      <c r="B824" s="241"/>
      <c r="C824" s="241"/>
      <c r="D824" s="241"/>
      <c r="E824" s="241"/>
      <c r="F824" s="241"/>
      <c r="G824" s="241"/>
      <c r="H824" s="241"/>
      <c r="I824" s="241"/>
      <c r="J824" s="241"/>
      <c r="K824" s="241"/>
      <c r="L824" s="241"/>
      <c r="M824" s="241"/>
      <c r="N824" s="241"/>
      <c r="O824" s="241"/>
      <c r="P824" s="241"/>
      <c r="Q824" s="241"/>
      <c r="R824" s="241"/>
      <c r="S824" s="241"/>
      <c r="T824" s="241"/>
      <c r="U824" s="241"/>
      <c r="V824" s="241"/>
      <c r="W824" s="241"/>
      <c r="X824" s="241"/>
      <c r="Y824" s="241"/>
      <c r="Z824" s="241"/>
      <c r="AA824" s="241"/>
      <c r="AB824" s="241"/>
      <c r="AC824" s="241"/>
      <c r="AD824" s="241"/>
      <c r="AE824" s="241"/>
      <c r="AF824" s="241"/>
      <c r="AG824" s="241"/>
      <c r="AH824" s="241"/>
      <c r="AI824" s="241"/>
      <c r="AJ824" s="241"/>
      <c r="AK824" s="241"/>
      <c r="AL824" s="241"/>
      <c r="AM824" s="241"/>
      <c r="AN824" s="241"/>
      <c r="AO824" s="241"/>
      <c r="AP824" s="241"/>
      <c r="AQ824" s="241"/>
      <c r="AR824" s="241"/>
      <c r="AS824" s="241"/>
      <c r="AT824" s="241"/>
      <c r="AU824" s="241"/>
      <c r="AV824" s="241"/>
      <c r="AW824" s="241"/>
      <c r="AX824" s="241"/>
      <c r="AY824" s="241"/>
      <c r="AZ824" s="241"/>
    </row>
    <row r="825" spans="1:52" ht="18" customHeight="1">
      <c r="A825" s="250"/>
      <c r="B825" s="241"/>
      <c r="C825" s="241"/>
      <c r="D825" s="241"/>
      <c r="E825" s="241"/>
      <c r="F825" s="241"/>
      <c r="G825" s="241"/>
      <c r="H825" s="241"/>
      <c r="I825" s="241"/>
      <c r="J825" s="241"/>
      <c r="K825" s="241"/>
      <c r="L825" s="241"/>
      <c r="M825" s="241"/>
      <c r="N825" s="241"/>
      <c r="O825" s="241"/>
      <c r="P825" s="241"/>
      <c r="Q825" s="241"/>
      <c r="R825" s="241"/>
      <c r="S825" s="241"/>
      <c r="T825" s="241"/>
      <c r="U825" s="241"/>
      <c r="V825" s="241"/>
      <c r="W825" s="241"/>
      <c r="X825" s="241"/>
      <c r="Y825" s="241"/>
      <c r="Z825" s="241"/>
      <c r="AA825" s="241"/>
      <c r="AB825" s="241"/>
      <c r="AC825" s="241"/>
      <c r="AD825" s="241"/>
      <c r="AE825" s="241"/>
      <c r="AF825" s="241"/>
      <c r="AG825" s="241"/>
      <c r="AH825" s="241"/>
      <c r="AI825" s="241"/>
      <c r="AJ825" s="241"/>
      <c r="AK825" s="241"/>
      <c r="AL825" s="241"/>
      <c r="AM825" s="241"/>
      <c r="AN825" s="241"/>
      <c r="AO825" s="241"/>
      <c r="AP825" s="241"/>
      <c r="AQ825" s="241"/>
      <c r="AR825" s="241"/>
      <c r="AS825" s="241"/>
      <c r="AT825" s="241"/>
      <c r="AU825" s="241"/>
      <c r="AV825" s="241"/>
      <c r="AW825" s="241"/>
      <c r="AX825" s="241"/>
      <c r="AY825" s="241"/>
      <c r="AZ825" s="241"/>
    </row>
    <row r="826" spans="1:52" ht="18" customHeight="1">
      <c r="A826" s="250"/>
      <c r="B826" s="241"/>
      <c r="C826" s="241"/>
      <c r="D826" s="241"/>
      <c r="E826" s="241"/>
      <c r="F826" s="241"/>
      <c r="G826" s="241"/>
      <c r="H826" s="241"/>
      <c r="I826" s="241"/>
      <c r="J826" s="241"/>
      <c r="K826" s="241"/>
      <c r="L826" s="241"/>
      <c r="M826" s="241"/>
      <c r="N826" s="241"/>
      <c r="O826" s="241"/>
      <c r="P826" s="241"/>
      <c r="Q826" s="241"/>
      <c r="R826" s="241"/>
      <c r="S826" s="241"/>
      <c r="T826" s="241"/>
      <c r="U826" s="241"/>
      <c r="V826" s="241"/>
      <c r="W826" s="241"/>
      <c r="X826" s="241"/>
      <c r="Y826" s="241"/>
      <c r="Z826" s="241"/>
      <c r="AA826" s="241"/>
      <c r="AB826" s="241"/>
      <c r="AC826" s="241"/>
      <c r="AD826" s="241"/>
      <c r="AE826" s="241"/>
      <c r="AF826" s="241"/>
      <c r="AG826" s="241"/>
      <c r="AH826" s="241"/>
      <c r="AI826" s="241"/>
      <c r="AJ826" s="241"/>
      <c r="AK826" s="241"/>
      <c r="AL826" s="241"/>
      <c r="AM826" s="241"/>
      <c r="AN826" s="241"/>
      <c r="AO826" s="241"/>
      <c r="AP826" s="241"/>
      <c r="AQ826" s="241"/>
      <c r="AR826" s="241"/>
      <c r="AS826" s="241"/>
      <c r="AT826" s="241"/>
      <c r="AU826" s="241"/>
      <c r="AV826" s="241"/>
      <c r="AW826" s="241"/>
      <c r="AX826" s="241"/>
      <c r="AY826" s="241"/>
      <c r="AZ826" s="241"/>
    </row>
    <row r="827" spans="1:52" ht="18" customHeight="1">
      <c r="A827" s="250"/>
      <c r="B827" s="241"/>
      <c r="C827" s="241"/>
      <c r="D827" s="241"/>
      <c r="E827" s="241"/>
      <c r="F827" s="241"/>
      <c r="G827" s="241"/>
      <c r="H827" s="241"/>
      <c r="I827" s="241"/>
      <c r="J827" s="241"/>
      <c r="K827" s="241"/>
      <c r="L827" s="241"/>
      <c r="M827" s="241"/>
      <c r="N827" s="241"/>
      <c r="O827" s="241"/>
      <c r="P827" s="241"/>
      <c r="Q827" s="241"/>
      <c r="R827" s="241"/>
      <c r="S827" s="241"/>
      <c r="T827" s="241"/>
      <c r="U827" s="241"/>
      <c r="V827" s="241"/>
      <c r="W827" s="241"/>
      <c r="X827" s="241"/>
      <c r="Y827" s="241"/>
      <c r="Z827" s="241"/>
      <c r="AA827" s="241"/>
      <c r="AB827" s="241"/>
      <c r="AC827" s="241"/>
      <c r="AD827" s="241"/>
      <c r="AE827" s="241"/>
      <c r="AF827" s="241"/>
      <c r="AG827" s="241"/>
      <c r="AH827" s="241"/>
      <c r="AI827" s="241"/>
      <c r="AJ827" s="241"/>
      <c r="AK827" s="241"/>
      <c r="AL827" s="241"/>
      <c r="AM827" s="241"/>
      <c r="AN827" s="241"/>
      <c r="AO827" s="241"/>
      <c r="AP827" s="241"/>
      <c r="AQ827" s="241"/>
      <c r="AR827" s="241"/>
      <c r="AS827" s="241"/>
      <c r="AT827" s="241"/>
      <c r="AU827" s="241"/>
      <c r="AV827" s="241"/>
      <c r="AW827" s="241"/>
      <c r="AX827" s="241"/>
      <c r="AY827" s="241"/>
      <c r="AZ827" s="241"/>
    </row>
    <row r="828" spans="1:52" ht="18" customHeight="1">
      <c r="A828" s="250"/>
      <c r="B828" s="241"/>
      <c r="C828" s="241"/>
      <c r="D828" s="241"/>
      <c r="E828" s="241"/>
      <c r="F828" s="241"/>
      <c r="G828" s="241"/>
      <c r="H828" s="241"/>
      <c r="I828" s="241"/>
      <c r="J828" s="241"/>
      <c r="K828" s="241"/>
      <c r="L828" s="241"/>
      <c r="M828" s="241"/>
      <c r="N828" s="241"/>
      <c r="O828" s="241"/>
      <c r="P828" s="241"/>
      <c r="Q828" s="241"/>
      <c r="R828" s="241"/>
      <c r="S828" s="241"/>
      <c r="T828" s="241"/>
      <c r="U828" s="241"/>
      <c r="V828" s="241"/>
      <c r="W828" s="241"/>
      <c r="X828" s="241"/>
      <c r="Y828" s="241"/>
      <c r="Z828" s="241"/>
      <c r="AA828" s="241"/>
      <c r="AB828" s="241"/>
      <c r="AC828" s="241"/>
      <c r="AD828" s="241"/>
      <c r="AE828" s="241"/>
      <c r="AF828" s="241"/>
      <c r="AG828" s="241"/>
      <c r="AH828" s="241"/>
      <c r="AI828" s="241"/>
      <c r="AJ828" s="241"/>
      <c r="AK828" s="241"/>
      <c r="AL828" s="241"/>
      <c r="AM828" s="241"/>
      <c r="AN828" s="241"/>
      <c r="AO828" s="241"/>
      <c r="AP828" s="241"/>
      <c r="AQ828" s="241"/>
      <c r="AR828" s="241"/>
      <c r="AS828" s="241"/>
      <c r="AT828" s="241"/>
      <c r="AU828" s="241"/>
      <c r="AV828" s="241"/>
      <c r="AW828" s="241"/>
      <c r="AX828" s="241"/>
      <c r="AY828" s="241"/>
      <c r="AZ828" s="241"/>
    </row>
    <row r="829" spans="1:52" ht="18" customHeight="1">
      <c r="A829" s="250"/>
      <c r="B829" s="241"/>
      <c r="C829" s="241"/>
      <c r="D829" s="241"/>
      <c r="E829" s="241"/>
      <c r="F829" s="241"/>
      <c r="G829" s="241"/>
      <c r="H829" s="241"/>
      <c r="I829" s="241"/>
      <c r="J829" s="241"/>
      <c r="K829" s="241"/>
      <c r="L829" s="241"/>
      <c r="M829" s="241"/>
      <c r="N829" s="241"/>
      <c r="O829" s="241"/>
      <c r="P829" s="241"/>
      <c r="Q829" s="241"/>
      <c r="R829" s="241"/>
      <c r="S829" s="241"/>
      <c r="T829" s="241"/>
      <c r="U829" s="241"/>
      <c r="V829" s="241"/>
      <c r="W829" s="241"/>
      <c r="X829" s="241"/>
      <c r="Y829" s="241"/>
      <c r="Z829" s="241"/>
      <c r="AA829" s="241"/>
      <c r="AB829" s="241"/>
      <c r="AC829" s="241"/>
      <c r="AD829" s="241"/>
      <c r="AE829" s="241"/>
      <c r="AF829" s="241"/>
      <c r="AG829" s="241"/>
      <c r="AH829" s="241"/>
      <c r="AI829" s="241"/>
      <c r="AJ829" s="241"/>
      <c r="AK829" s="241"/>
      <c r="AL829" s="241"/>
      <c r="AM829" s="241"/>
      <c r="AN829" s="241"/>
      <c r="AO829" s="241"/>
      <c r="AP829" s="241"/>
      <c r="AQ829" s="241"/>
      <c r="AR829" s="241"/>
      <c r="AS829" s="241"/>
      <c r="AT829" s="241"/>
      <c r="AU829" s="241"/>
      <c r="AV829" s="241"/>
      <c r="AW829" s="241"/>
      <c r="AX829" s="241"/>
      <c r="AY829" s="241"/>
      <c r="AZ829" s="241"/>
    </row>
    <row r="830" spans="1:52" ht="18" customHeight="1">
      <c r="A830" s="250"/>
      <c r="B830" s="241"/>
      <c r="C830" s="241"/>
      <c r="D830" s="241"/>
      <c r="E830" s="241"/>
      <c r="F830" s="241"/>
      <c r="G830" s="241"/>
      <c r="H830" s="241"/>
      <c r="I830" s="241"/>
      <c r="J830" s="241"/>
      <c r="K830" s="241"/>
      <c r="L830" s="241"/>
      <c r="M830" s="241"/>
      <c r="N830" s="241"/>
      <c r="O830" s="241"/>
      <c r="P830" s="241"/>
      <c r="Q830" s="241"/>
      <c r="R830" s="241"/>
      <c r="S830" s="241"/>
      <c r="T830" s="241"/>
      <c r="U830" s="241"/>
      <c r="V830" s="241"/>
      <c r="W830" s="241"/>
      <c r="X830" s="241"/>
      <c r="Y830" s="241"/>
      <c r="Z830" s="241"/>
      <c r="AA830" s="241"/>
      <c r="AB830" s="241"/>
      <c r="AC830" s="241"/>
      <c r="AD830" s="241"/>
      <c r="AE830" s="241"/>
      <c r="AF830" s="241"/>
      <c r="AG830" s="241"/>
      <c r="AH830" s="241"/>
      <c r="AI830" s="241"/>
      <c r="AJ830" s="241"/>
      <c r="AK830" s="241"/>
      <c r="AL830" s="241"/>
      <c r="AM830" s="241"/>
      <c r="AN830" s="241"/>
      <c r="AO830" s="241"/>
      <c r="AP830" s="241"/>
      <c r="AQ830" s="241"/>
      <c r="AR830" s="241"/>
      <c r="AS830" s="241"/>
      <c r="AT830" s="241"/>
      <c r="AU830" s="241"/>
      <c r="AV830" s="241"/>
      <c r="AW830" s="241"/>
      <c r="AX830" s="241"/>
      <c r="AY830" s="241"/>
      <c r="AZ830" s="241"/>
    </row>
    <row r="831" spans="1:52" ht="18" customHeight="1">
      <c r="A831" s="250"/>
      <c r="B831" s="241"/>
      <c r="C831" s="241"/>
      <c r="D831" s="241"/>
      <c r="E831" s="241"/>
      <c r="F831" s="241"/>
      <c r="G831" s="241"/>
      <c r="H831" s="241"/>
      <c r="I831" s="241"/>
      <c r="J831" s="241"/>
      <c r="K831" s="241"/>
      <c r="L831" s="241"/>
      <c r="M831" s="241"/>
      <c r="N831" s="241"/>
      <c r="O831" s="241"/>
      <c r="P831" s="241"/>
      <c r="Q831" s="241"/>
      <c r="R831" s="241"/>
      <c r="S831" s="241"/>
      <c r="T831" s="241"/>
      <c r="U831" s="241"/>
      <c r="V831" s="241"/>
      <c r="W831" s="241"/>
      <c r="X831" s="241"/>
      <c r="Y831" s="241"/>
      <c r="Z831" s="241"/>
      <c r="AA831" s="241"/>
      <c r="AB831" s="241"/>
      <c r="AC831" s="241"/>
      <c r="AD831" s="241"/>
      <c r="AE831" s="241"/>
      <c r="AF831" s="241"/>
      <c r="AG831" s="241"/>
      <c r="AH831" s="241"/>
      <c r="AI831" s="241"/>
      <c r="AJ831" s="241"/>
      <c r="AK831" s="241"/>
      <c r="AL831" s="241"/>
      <c r="AM831" s="241"/>
      <c r="AN831" s="241"/>
      <c r="AO831" s="241"/>
      <c r="AP831" s="241"/>
      <c r="AQ831" s="241"/>
      <c r="AR831" s="241"/>
      <c r="AS831" s="241"/>
      <c r="AT831" s="241"/>
      <c r="AU831" s="241"/>
      <c r="AV831" s="241"/>
      <c r="AW831" s="241"/>
      <c r="AX831" s="241"/>
      <c r="AY831" s="241"/>
      <c r="AZ831" s="241"/>
    </row>
    <row r="832" spans="1:52" ht="18" customHeight="1">
      <c r="A832" s="250"/>
      <c r="B832" s="241"/>
      <c r="C832" s="241"/>
      <c r="D832" s="241"/>
      <c r="E832" s="241"/>
      <c r="F832" s="241"/>
      <c r="G832" s="241"/>
      <c r="H832" s="241"/>
      <c r="I832" s="241"/>
      <c r="J832" s="241"/>
      <c r="K832" s="241"/>
      <c r="L832" s="241"/>
      <c r="M832" s="241"/>
      <c r="N832" s="241"/>
      <c r="O832" s="241"/>
      <c r="P832" s="241"/>
      <c r="Q832" s="241"/>
      <c r="R832" s="241"/>
      <c r="S832" s="241"/>
      <c r="T832" s="241"/>
      <c r="U832" s="241"/>
      <c r="V832" s="241"/>
      <c r="W832" s="241"/>
      <c r="X832" s="241"/>
      <c r="Y832" s="241"/>
      <c r="Z832" s="241"/>
      <c r="AA832" s="241"/>
      <c r="AB832" s="241"/>
      <c r="AC832" s="241"/>
      <c r="AD832" s="241"/>
      <c r="AE832" s="241"/>
      <c r="AF832" s="241"/>
      <c r="AG832" s="241"/>
      <c r="AH832" s="241"/>
      <c r="AI832" s="241"/>
      <c r="AJ832" s="241"/>
      <c r="AK832" s="241"/>
      <c r="AL832" s="241"/>
      <c r="AM832" s="241"/>
      <c r="AN832" s="241"/>
      <c r="AO832" s="241"/>
      <c r="AP832" s="241"/>
      <c r="AQ832" s="241"/>
      <c r="AR832" s="241"/>
      <c r="AS832" s="241"/>
      <c r="AT832" s="241"/>
      <c r="AU832" s="241"/>
      <c r="AV832" s="241"/>
      <c r="AW832" s="241"/>
      <c r="AX832" s="241"/>
      <c r="AY832" s="241"/>
      <c r="AZ832" s="241"/>
    </row>
    <row r="833" spans="1:52" ht="18" customHeight="1">
      <c r="A833" s="250"/>
      <c r="B833" s="241"/>
      <c r="C833" s="241"/>
      <c r="D833" s="241"/>
      <c r="E833" s="241"/>
      <c r="F833" s="241"/>
      <c r="G833" s="241"/>
      <c r="H833" s="241"/>
      <c r="I833" s="241"/>
      <c r="J833" s="241"/>
      <c r="K833" s="241"/>
      <c r="L833" s="241"/>
      <c r="M833" s="241"/>
      <c r="N833" s="241"/>
      <c r="O833" s="241"/>
      <c r="P833" s="241"/>
      <c r="Q833" s="241"/>
      <c r="R833" s="241"/>
      <c r="S833" s="241"/>
      <c r="T833" s="241"/>
      <c r="U833" s="241"/>
      <c r="V833" s="241"/>
      <c r="W833" s="241"/>
      <c r="X833" s="241"/>
      <c r="Y833" s="241"/>
      <c r="Z833" s="241"/>
      <c r="AA833" s="241"/>
      <c r="AB833" s="241"/>
      <c r="AC833" s="241"/>
      <c r="AD833" s="241"/>
      <c r="AE833" s="241"/>
      <c r="AF833" s="241"/>
      <c r="AG833" s="241"/>
      <c r="AH833" s="241"/>
      <c r="AI833" s="241"/>
      <c r="AJ833" s="241"/>
      <c r="AK833" s="241"/>
      <c r="AL833" s="241"/>
      <c r="AM833" s="241"/>
      <c r="AN833" s="241"/>
      <c r="AO833" s="241"/>
      <c r="AP833" s="241"/>
      <c r="AQ833" s="241"/>
      <c r="AR833" s="241"/>
      <c r="AS833" s="241"/>
      <c r="AT833" s="241"/>
      <c r="AU833" s="241"/>
      <c r="AV833" s="241"/>
      <c r="AW833" s="241"/>
      <c r="AX833" s="241"/>
      <c r="AY833" s="241"/>
      <c r="AZ833" s="241"/>
    </row>
    <row r="834" spans="1:52" ht="18" customHeight="1">
      <c r="A834" s="250"/>
      <c r="B834" s="241"/>
      <c r="C834" s="241"/>
      <c r="D834" s="241"/>
      <c r="E834" s="241"/>
      <c r="F834" s="241"/>
      <c r="G834" s="241"/>
      <c r="H834" s="241"/>
      <c r="I834" s="241"/>
      <c r="J834" s="241"/>
      <c r="K834" s="241"/>
      <c r="L834" s="241"/>
      <c r="M834" s="241"/>
      <c r="N834" s="241"/>
      <c r="O834" s="241"/>
      <c r="P834" s="241"/>
      <c r="Q834" s="241"/>
      <c r="R834" s="241"/>
      <c r="S834" s="241"/>
      <c r="T834" s="241"/>
      <c r="U834" s="241"/>
      <c r="V834" s="241"/>
      <c r="W834" s="241"/>
      <c r="X834" s="241"/>
      <c r="Y834" s="241"/>
      <c r="Z834" s="241"/>
      <c r="AA834" s="241"/>
      <c r="AB834" s="241"/>
      <c r="AC834" s="241"/>
      <c r="AD834" s="241"/>
      <c r="AE834" s="241"/>
      <c r="AF834" s="241"/>
      <c r="AG834" s="241"/>
      <c r="AH834" s="241"/>
      <c r="AI834" s="241"/>
      <c r="AJ834" s="241"/>
      <c r="AK834" s="241"/>
      <c r="AL834" s="241"/>
      <c r="AM834" s="241"/>
      <c r="AN834" s="241"/>
      <c r="AO834" s="241"/>
      <c r="AP834" s="241"/>
      <c r="AQ834" s="241"/>
      <c r="AR834" s="241"/>
      <c r="AS834" s="241"/>
      <c r="AT834" s="241"/>
      <c r="AU834" s="241"/>
      <c r="AV834" s="241"/>
      <c r="AW834" s="241"/>
      <c r="AX834" s="241"/>
      <c r="AY834" s="241"/>
      <c r="AZ834" s="241"/>
    </row>
    <row r="835" spans="1:52" ht="18" customHeight="1">
      <c r="A835" s="250"/>
      <c r="B835" s="241"/>
      <c r="C835" s="241"/>
      <c r="D835" s="241"/>
      <c r="E835" s="241"/>
      <c r="F835" s="241"/>
      <c r="G835" s="241"/>
      <c r="H835" s="241"/>
      <c r="I835" s="241"/>
      <c r="J835" s="241"/>
      <c r="K835" s="241"/>
      <c r="L835" s="241"/>
      <c r="M835" s="241"/>
      <c r="N835" s="241"/>
      <c r="O835" s="241"/>
      <c r="P835" s="241"/>
      <c r="Q835" s="241"/>
      <c r="R835" s="241"/>
      <c r="S835" s="241"/>
      <c r="T835" s="241"/>
      <c r="U835" s="241"/>
      <c r="V835" s="241"/>
      <c r="W835" s="241"/>
      <c r="X835" s="241"/>
      <c r="Y835" s="241"/>
      <c r="Z835" s="241"/>
      <c r="AA835" s="241"/>
      <c r="AB835" s="241"/>
      <c r="AC835" s="241"/>
      <c r="AD835" s="241"/>
      <c r="AE835" s="241"/>
      <c r="AF835" s="241"/>
      <c r="AG835" s="241"/>
      <c r="AH835" s="241"/>
      <c r="AI835" s="241"/>
      <c r="AJ835" s="241"/>
      <c r="AK835" s="241"/>
      <c r="AL835" s="241"/>
      <c r="AM835" s="241"/>
      <c r="AN835" s="241"/>
      <c r="AO835" s="241"/>
      <c r="AP835" s="241"/>
      <c r="AQ835" s="241"/>
      <c r="AR835" s="241"/>
      <c r="AS835" s="241"/>
      <c r="AT835" s="241"/>
      <c r="AU835" s="241"/>
      <c r="AV835" s="241"/>
      <c r="AW835" s="241"/>
      <c r="AX835" s="241"/>
      <c r="AY835" s="241"/>
      <c r="AZ835" s="241"/>
    </row>
    <row r="836" spans="1:52" ht="18" customHeight="1">
      <c r="A836" s="250"/>
      <c r="B836" s="241"/>
      <c r="C836" s="241"/>
      <c r="D836" s="241"/>
      <c r="E836" s="241"/>
      <c r="F836" s="241"/>
      <c r="G836" s="241"/>
      <c r="H836" s="241"/>
      <c r="I836" s="241"/>
      <c r="J836" s="241"/>
      <c r="K836" s="241"/>
      <c r="L836" s="241"/>
      <c r="M836" s="241"/>
      <c r="N836" s="241"/>
      <c r="O836" s="241"/>
      <c r="P836" s="241"/>
      <c r="Q836" s="241"/>
      <c r="R836" s="241"/>
      <c r="S836" s="241"/>
      <c r="T836" s="241"/>
      <c r="U836" s="241"/>
      <c r="V836" s="241"/>
      <c r="W836" s="241"/>
      <c r="X836" s="241"/>
      <c r="Y836" s="241"/>
      <c r="Z836" s="241"/>
      <c r="AA836" s="241"/>
      <c r="AB836" s="241"/>
      <c r="AC836" s="241"/>
      <c r="AD836" s="241"/>
      <c r="AE836" s="241"/>
      <c r="AF836" s="241"/>
      <c r="AG836" s="241"/>
      <c r="AH836" s="241"/>
      <c r="AI836" s="241"/>
      <c r="AJ836" s="241"/>
      <c r="AK836" s="241"/>
      <c r="AL836" s="241"/>
      <c r="AM836" s="241"/>
      <c r="AN836" s="241"/>
      <c r="AO836" s="241"/>
      <c r="AP836" s="241"/>
      <c r="AQ836" s="241"/>
      <c r="AR836" s="241"/>
      <c r="AS836" s="241"/>
      <c r="AT836" s="241"/>
      <c r="AU836" s="241"/>
      <c r="AV836" s="241"/>
      <c r="AW836" s="241"/>
      <c r="AX836" s="241"/>
      <c r="AY836" s="241"/>
      <c r="AZ836" s="241"/>
    </row>
    <row r="837" spans="1:52" ht="18" customHeight="1">
      <c r="A837" s="250"/>
      <c r="B837" s="241"/>
      <c r="C837" s="241"/>
      <c r="D837" s="241"/>
      <c r="E837" s="241"/>
      <c r="F837" s="241"/>
      <c r="G837" s="241"/>
      <c r="H837" s="241"/>
      <c r="I837" s="241"/>
      <c r="J837" s="241"/>
      <c r="K837" s="241"/>
      <c r="L837" s="241"/>
      <c r="M837" s="241"/>
      <c r="N837" s="241"/>
      <c r="O837" s="241"/>
      <c r="P837" s="241"/>
      <c r="Q837" s="241"/>
      <c r="R837" s="241"/>
      <c r="S837" s="241"/>
      <c r="T837" s="241"/>
      <c r="U837" s="241"/>
      <c r="V837" s="241"/>
      <c r="W837" s="241"/>
      <c r="X837" s="241"/>
      <c r="Y837" s="241"/>
      <c r="Z837" s="241"/>
      <c r="AA837" s="241"/>
      <c r="AB837" s="241"/>
      <c r="AC837" s="241"/>
      <c r="AD837" s="241"/>
      <c r="AE837" s="241"/>
      <c r="AF837" s="241"/>
      <c r="AG837" s="241"/>
      <c r="AH837" s="241"/>
      <c r="AI837" s="241"/>
      <c r="AJ837" s="241"/>
      <c r="AK837" s="241"/>
      <c r="AL837" s="241"/>
      <c r="AM837" s="241"/>
      <c r="AN837" s="241"/>
      <c r="AO837" s="241"/>
      <c r="AP837" s="241"/>
      <c r="AQ837" s="241"/>
      <c r="AR837" s="241"/>
      <c r="AS837" s="241"/>
      <c r="AT837" s="241"/>
      <c r="AU837" s="241"/>
      <c r="AV837" s="241"/>
      <c r="AW837" s="241"/>
      <c r="AX837" s="241"/>
      <c r="AY837" s="241"/>
      <c r="AZ837" s="241"/>
    </row>
    <row r="838" spans="1:52" ht="18" customHeight="1">
      <c r="A838" s="250"/>
      <c r="B838" s="241"/>
      <c r="C838" s="241"/>
      <c r="D838" s="241"/>
      <c r="E838" s="241"/>
      <c r="F838" s="241"/>
      <c r="G838" s="241"/>
      <c r="H838" s="241"/>
      <c r="I838" s="241"/>
      <c r="J838" s="241"/>
      <c r="K838" s="241"/>
      <c r="L838" s="241"/>
      <c r="M838" s="241"/>
      <c r="N838" s="241"/>
      <c r="O838" s="241"/>
      <c r="P838" s="241"/>
      <c r="Q838" s="241"/>
      <c r="R838" s="241"/>
      <c r="S838" s="241"/>
      <c r="T838" s="241"/>
      <c r="U838" s="241"/>
      <c r="V838" s="241"/>
      <c r="W838" s="241"/>
      <c r="X838" s="241"/>
      <c r="Y838" s="241"/>
      <c r="Z838" s="241"/>
      <c r="AA838" s="241"/>
      <c r="AB838" s="241"/>
      <c r="AC838" s="241"/>
      <c r="AD838" s="241"/>
      <c r="AE838" s="241"/>
      <c r="AF838" s="241"/>
      <c r="AG838" s="241"/>
      <c r="AH838" s="241"/>
      <c r="AI838" s="241"/>
      <c r="AJ838" s="241"/>
      <c r="AK838" s="241"/>
      <c r="AL838" s="241"/>
      <c r="AM838" s="241"/>
      <c r="AN838" s="241"/>
      <c r="AO838" s="241"/>
      <c r="AP838" s="241"/>
      <c r="AQ838" s="241"/>
      <c r="AR838" s="241"/>
      <c r="AS838" s="241"/>
      <c r="AT838" s="241"/>
      <c r="AU838" s="241"/>
      <c r="AV838" s="241"/>
      <c r="AW838" s="241"/>
      <c r="AX838" s="241"/>
      <c r="AY838" s="241"/>
      <c r="AZ838" s="241"/>
    </row>
    <row r="839" spans="1:52" ht="18" customHeight="1">
      <c r="A839" s="250"/>
      <c r="B839" s="241"/>
      <c r="C839" s="241"/>
      <c r="D839" s="241"/>
      <c r="E839" s="241"/>
      <c r="F839" s="241"/>
      <c r="G839" s="241"/>
      <c r="H839" s="241"/>
      <c r="I839" s="241"/>
      <c r="J839" s="241"/>
      <c r="K839" s="241"/>
      <c r="L839" s="241"/>
      <c r="M839" s="241"/>
      <c r="N839" s="241"/>
      <c r="O839" s="241"/>
      <c r="P839" s="241"/>
      <c r="Q839" s="241"/>
      <c r="R839" s="241"/>
      <c r="S839" s="241"/>
      <c r="T839" s="241"/>
      <c r="U839" s="241"/>
      <c r="V839" s="241"/>
      <c r="W839" s="241"/>
      <c r="X839" s="241"/>
      <c r="Y839" s="241"/>
      <c r="Z839" s="241"/>
      <c r="AA839" s="241"/>
      <c r="AB839" s="241"/>
      <c r="AC839" s="241"/>
      <c r="AD839" s="241"/>
      <c r="AE839" s="241"/>
      <c r="AF839" s="241"/>
      <c r="AG839" s="241"/>
      <c r="AH839" s="241"/>
      <c r="AI839" s="241"/>
      <c r="AJ839" s="241"/>
      <c r="AK839" s="241"/>
      <c r="AL839" s="241"/>
      <c r="AM839" s="241"/>
      <c r="AN839" s="241"/>
      <c r="AO839" s="241"/>
      <c r="AP839" s="241"/>
      <c r="AQ839" s="241"/>
      <c r="AR839" s="241"/>
      <c r="AS839" s="241"/>
      <c r="AT839" s="241"/>
      <c r="AU839" s="241"/>
      <c r="AV839" s="241"/>
      <c r="AW839" s="241"/>
      <c r="AX839" s="241"/>
      <c r="AY839" s="241"/>
      <c r="AZ839" s="241"/>
    </row>
    <row r="840" spans="1:52" ht="18" customHeight="1">
      <c r="A840" s="250"/>
      <c r="B840" s="241"/>
      <c r="C840" s="241"/>
      <c r="D840" s="241"/>
      <c r="E840" s="241"/>
      <c r="F840" s="241"/>
      <c r="G840" s="241"/>
      <c r="H840" s="241"/>
      <c r="I840" s="241"/>
      <c r="J840" s="241"/>
      <c r="K840" s="241"/>
      <c r="L840" s="241"/>
      <c r="M840" s="241"/>
      <c r="N840" s="241"/>
      <c r="O840" s="241"/>
      <c r="P840" s="241"/>
      <c r="Q840" s="241"/>
      <c r="R840" s="241"/>
      <c r="S840" s="241"/>
      <c r="T840" s="241"/>
      <c r="U840" s="241"/>
      <c r="V840" s="241"/>
      <c r="W840" s="241"/>
      <c r="X840" s="241"/>
      <c r="Y840" s="241"/>
      <c r="Z840" s="241"/>
      <c r="AA840" s="241"/>
      <c r="AB840" s="241"/>
      <c r="AC840" s="241"/>
      <c r="AD840" s="241"/>
      <c r="AE840" s="241"/>
      <c r="AF840" s="241"/>
      <c r="AG840" s="241"/>
      <c r="AH840" s="241"/>
      <c r="AI840" s="241"/>
      <c r="AJ840" s="241"/>
      <c r="AK840" s="241"/>
      <c r="AL840" s="241"/>
      <c r="AM840" s="241"/>
      <c r="AN840" s="241"/>
      <c r="AO840" s="241"/>
      <c r="AP840" s="241"/>
      <c r="AQ840" s="241"/>
      <c r="AR840" s="241"/>
      <c r="AS840" s="241"/>
      <c r="AT840" s="241"/>
      <c r="AU840" s="241"/>
      <c r="AV840" s="241"/>
      <c r="AW840" s="241"/>
      <c r="AX840" s="241"/>
      <c r="AY840" s="241"/>
      <c r="AZ840" s="241"/>
    </row>
    <row r="841" spans="1:52" ht="18" customHeight="1">
      <c r="A841" s="250"/>
      <c r="B841" s="241"/>
      <c r="C841" s="241"/>
      <c r="D841" s="241"/>
      <c r="E841" s="241"/>
      <c r="F841" s="241"/>
      <c r="G841" s="241"/>
      <c r="H841" s="241"/>
      <c r="I841" s="241"/>
      <c r="J841" s="241"/>
      <c r="K841" s="241"/>
      <c r="L841" s="241"/>
      <c r="M841" s="241"/>
      <c r="N841" s="241"/>
      <c r="O841" s="241"/>
      <c r="P841" s="241"/>
      <c r="Q841" s="241"/>
      <c r="R841" s="241"/>
      <c r="S841" s="241"/>
      <c r="T841" s="241"/>
      <c r="U841" s="241"/>
      <c r="V841" s="241"/>
      <c r="W841" s="241"/>
      <c r="X841" s="241"/>
      <c r="Y841" s="241"/>
      <c r="Z841" s="241"/>
      <c r="AA841" s="241"/>
      <c r="AB841" s="241"/>
      <c r="AC841" s="241"/>
      <c r="AD841" s="241"/>
      <c r="AE841" s="241"/>
      <c r="AF841" s="241"/>
      <c r="AG841" s="241"/>
      <c r="AH841" s="241"/>
      <c r="AI841" s="241"/>
      <c r="AJ841" s="241"/>
      <c r="AK841" s="241"/>
      <c r="AL841" s="241"/>
      <c r="AM841" s="241"/>
      <c r="AN841" s="241"/>
      <c r="AO841" s="241"/>
      <c r="AP841" s="241"/>
      <c r="AQ841" s="241"/>
      <c r="AR841" s="241"/>
      <c r="AS841" s="241"/>
      <c r="AT841" s="241"/>
      <c r="AU841" s="241"/>
      <c r="AV841" s="241"/>
      <c r="AW841" s="241"/>
      <c r="AX841" s="241"/>
      <c r="AY841" s="241"/>
      <c r="AZ841" s="241"/>
    </row>
    <row r="842" spans="1:52" ht="18" customHeight="1">
      <c r="A842" s="250"/>
      <c r="B842" s="241"/>
      <c r="C842" s="241"/>
      <c r="D842" s="241"/>
      <c r="E842" s="241"/>
      <c r="F842" s="241"/>
      <c r="G842" s="241"/>
      <c r="H842" s="241"/>
      <c r="I842" s="241"/>
      <c r="J842" s="241"/>
      <c r="K842" s="241"/>
      <c r="L842" s="241"/>
      <c r="M842" s="241"/>
      <c r="N842" s="241"/>
      <c r="O842" s="241"/>
      <c r="P842" s="241"/>
      <c r="Q842" s="241"/>
      <c r="R842" s="241"/>
      <c r="S842" s="241"/>
      <c r="T842" s="241"/>
      <c r="U842" s="241"/>
      <c r="V842" s="241"/>
      <c r="W842" s="241"/>
      <c r="X842" s="241"/>
      <c r="Y842" s="241"/>
      <c r="Z842" s="241"/>
      <c r="AA842" s="241"/>
      <c r="AB842" s="241"/>
      <c r="AC842" s="241"/>
      <c r="AD842" s="241"/>
      <c r="AE842" s="241"/>
      <c r="AF842" s="241"/>
      <c r="AG842" s="241"/>
      <c r="AH842" s="241"/>
      <c r="AI842" s="241"/>
      <c r="AJ842" s="241"/>
      <c r="AK842" s="241"/>
      <c r="AL842" s="241"/>
      <c r="AM842" s="241"/>
      <c r="AN842" s="241"/>
      <c r="AO842" s="241"/>
      <c r="AP842" s="241"/>
      <c r="AQ842" s="241"/>
      <c r="AR842" s="241"/>
      <c r="AS842" s="241"/>
      <c r="AT842" s="241"/>
      <c r="AU842" s="241"/>
      <c r="AV842" s="241"/>
      <c r="AW842" s="241"/>
      <c r="AX842" s="241"/>
      <c r="AY842" s="241"/>
      <c r="AZ842" s="241"/>
    </row>
    <row r="843" spans="1:52" ht="18" customHeight="1">
      <c r="A843" s="250"/>
      <c r="B843" s="241"/>
      <c r="C843" s="241"/>
      <c r="D843" s="241"/>
      <c r="E843" s="241"/>
      <c r="F843" s="241"/>
      <c r="G843" s="241"/>
      <c r="H843" s="241"/>
      <c r="I843" s="241"/>
      <c r="J843" s="241"/>
      <c r="K843" s="241"/>
      <c r="L843" s="241"/>
      <c r="M843" s="241"/>
      <c r="N843" s="241"/>
      <c r="O843" s="241"/>
      <c r="P843" s="241"/>
      <c r="Q843" s="241"/>
      <c r="R843" s="241"/>
      <c r="S843" s="241"/>
      <c r="T843" s="241"/>
      <c r="U843" s="241"/>
      <c r="V843" s="241"/>
      <c r="W843" s="241"/>
      <c r="X843" s="241"/>
      <c r="Y843" s="241"/>
      <c r="Z843" s="241"/>
      <c r="AA843" s="241"/>
      <c r="AB843" s="241"/>
      <c r="AC843" s="241"/>
      <c r="AD843" s="241"/>
      <c r="AE843" s="241"/>
      <c r="AF843" s="241"/>
      <c r="AG843" s="241"/>
      <c r="AH843" s="241"/>
      <c r="AI843" s="241"/>
      <c r="AJ843" s="241"/>
      <c r="AK843" s="241"/>
      <c r="AL843" s="241"/>
      <c r="AM843" s="241"/>
      <c r="AN843" s="241"/>
      <c r="AO843" s="241"/>
      <c r="AP843" s="241"/>
      <c r="AQ843" s="241"/>
      <c r="AR843" s="241"/>
      <c r="AS843" s="241"/>
      <c r="AT843" s="241"/>
      <c r="AU843" s="241"/>
      <c r="AV843" s="241"/>
      <c r="AW843" s="241"/>
      <c r="AX843" s="241"/>
      <c r="AY843" s="241"/>
      <c r="AZ843" s="241"/>
    </row>
    <row r="844" spans="1:52" ht="18" customHeight="1">
      <c r="A844" s="250"/>
      <c r="B844" s="241"/>
      <c r="C844" s="241"/>
      <c r="D844" s="241"/>
      <c r="E844" s="241"/>
      <c r="F844" s="241"/>
      <c r="G844" s="241"/>
      <c r="H844" s="241"/>
      <c r="I844" s="241"/>
      <c r="J844" s="241"/>
      <c r="K844" s="241"/>
      <c r="L844" s="241"/>
      <c r="M844" s="241"/>
      <c r="N844" s="241"/>
      <c r="O844" s="241"/>
      <c r="P844" s="241"/>
      <c r="Q844" s="241"/>
      <c r="R844" s="241"/>
      <c r="S844" s="241"/>
      <c r="T844" s="241"/>
      <c r="U844" s="241"/>
      <c r="V844" s="241"/>
      <c r="W844" s="241"/>
      <c r="X844" s="241"/>
      <c r="Y844" s="241"/>
      <c r="Z844" s="241"/>
      <c r="AA844" s="241"/>
      <c r="AB844" s="241"/>
      <c r="AC844" s="241"/>
      <c r="AD844" s="241"/>
      <c r="AE844" s="241"/>
      <c r="AF844" s="241"/>
      <c r="AG844" s="241"/>
      <c r="AH844" s="241"/>
      <c r="AI844" s="241"/>
      <c r="AJ844" s="241"/>
      <c r="AK844" s="241"/>
      <c r="AL844" s="241"/>
      <c r="AM844" s="241"/>
      <c r="AN844" s="241"/>
      <c r="AO844" s="241"/>
      <c r="AP844" s="241"/>
      <c r="AQ844" s="241"/>
      <c r="AR844" s="241"/>
      <c r="AS844" s="241"/>
      <c r="AT844" s="241"/>
      <c r="AU844" s="241"/>
      <c r="AV844" s="241"/>
      <c r="AW844" s="241"/>
      <c r="AX844" s="241"/>
      <c r="AY844" s="241"/>
      <c r="AZ844" s="241"/>
    </row>
    <row r="845" spans="1:52" ht="18" customHeight="1">
      <c r="A845" s="250"/>
      <c r="B845" s="241"/>
      <c r="C845" s="241"/>
      <c r="D845" s="241"/>
      <c r="E845" s="241"/>
      <c r="F845" s="241"/>
      <c r="G845" s="241"/>
      <c r="H845" s="241"/>
      <c r="I845" s="241"/>
      <c r="J845" s="241"/>
      <c r="K845" s="241"/>
      <c r="L845" s="241"/>
      <c r="M845" s="241"/>
      <c r="N845" s="241"/>
      <c r="O845" s="241"/>
      <c r="P845" s="241"/>
      <c r="Q845" s="241"/>
      <c r="R845" s="241"/>
      <c r="S845" s="241"/>
      <c r="T845" s="241"/>
      <c r="U845" s="241"/>
      <c r="V845" s="241"/>
      <c r="W845" s="241"/>
      <c r="X845" s="241"/>
      <c r="Y845" s="241"/>
      <c r="Z845" s="241"/>
      <c r="AA845" s="241"/>
      <c r="AB845" s="241"/>
      <c r="AC845" s="241"/>
      <c r="AD845" s="241"/>
      <c r="AE845" s="241"/>
      <c r="AF845" s="241"/>
      <c r="AG845" s="241"/>
      <c r="AH845" s="241"/>
      <c r="AI845" s="241"/>
      <c r="AJ845" s="241"/>
      <c r="AK845" s="241"/>
      <c r="AL845" s="241"/>
      <c r="AM845" s="241"/>
      <c r="AN845" s="241"/>
      <c r="AO845" s="241"/>
      <c r="AP845" s="241"/>
      <c r="AQ845" s="241"/>
      <c r="AR845" s="241"/>
      <c r="AS845" s="241"/>
      <c r="AT845" s="241"/>
      <c r="AU845" s="241"/>
      <c r="AV845" s="241"/>
      <c r="AW845" s="241"/>
      <c r="AX845" s="241"/>
      <c r="AY845" s="241"/>
      <c r="AZ845" s="241"/>
    </row>
    <row r="846" spans="1:52" ht="18" customHeight="1">
      <c r="A846" s="250"/>
      <c r="B846" s="241"/>
      <c r="C846" s="241"/>
      <c r="D846" s="241"/>
      <c r="E846" s="241"/>
      <c r="F846" s="241"/>
      <c r="G846" s="241"/>
      <c r="H846" s="241"/>
      <c r="I846" s="241"/>
      <c r="J846" s="241"/>
      <c r="K846" s="241"/>
      <c r="L846" s="241"/>
      <c r="M846" s="241"/>
      <c r="N846" s="241"/>
      <c r="O846" s="241"/>
      <c r="P846" s="241"/>
      <c r="Q846" s="241"/>
      <c r="R846" s="241"/>
      <c r="S846" s="241"/>
      <c r="T846" s="241"/>
      <c r="U846" s="241"/>
      <c r="V846" s="241"/>
      <c r="W846" s="241"/>
      <c r="X846" s="241"/>
      <c r="Y846" s="241"/>
      <c r="Z846" s="241"/>
      <c r="AA846" s="241"/>
      <c r="AB846" s="241"/>
      <c r="AC846" s="241"/>
      <c r="AD846" s="241"/>
      <c r="AE846" s="241"/>
      <c r="AF846" s="241"/>
      <c r="AG846" s="241"/>
      <c r="AH846" s="241"/>
      <c r="AI846" s="241"/>
      <c r="AJ846" s="241"/>
      <c r="AK846" s="241"/>
      <c r="AL846" s="241"/>
      <c r="AM846" s="241"/>
      <c r="AN846" s="241"/>
      <c r="AO846" s="241"/>
      <c r="AP846" s="241"/>
      <c r="AQ846" s="241"/>
      <c r="AR846" s="241"/>
      <c r="AS846" s="241"/>
      <c r="AT846" s="241"/>
      <c r="AU846" s="241"/>
      <c r="AV846" s="241"/>
      <c r="AW846" s="241"/>
      <c r="AX846" s="241"/>
      <c r="AY846" s="241"/>
      <c r="AZ846" s="241"/>
    </row>
    <row r="847" spans="1:52" ht="18" customHeight="1">
      <c r="A847" s="250"/>
      <c r="B847" s="241"/>
      <c r="C847" s="241"/>
      <c r="D847" s="241"/>
      <c r="E847" s="241"/>
      <c r="F847" s="241"/>
      <c r="G847" s="241"/>
      <c r="H847" s="241"/>
      <c r="I847" s="241"/>
      <c r="J847" s="241"/>
      <c r="K847" s="241"/>
      <c r="L847" s="241"/>
      <c r="M847" s="241"/>
      <c r="N847" s="241"/>
      <c r="O847" s="241"/>
      <c r="P847" s="241"/>
      <c r="Q847" s="241"/>
      <c r="R847" s="241"/>
      <c r="S847" s="241"/>
      <c r="T847" s="241"/>
      <c r="U847" s="241"/>
      <c r="V847" s="241"/>
      <c r="W847" s="241"/>
      <c r="X847" s="241"/>
      <c r="Y847" s="241"/>
      <c r="Z847" s="241"/>
      <c r="AA847" s="241"/>
      <c r="AB847" s="241"/>
      <c r="AC847" s="241"/>
      <c r="AD847" s="241"/>
      <c r="AE847" s="241"/>
      <c r="AF847" s="241"/>
      <c r="AG847" s="241"/>
      <c r="AH847" s="241"/>
      <c r="AI847" s="241"/>
      <c r="AJ847" s="241"/>
      <c r="AK847" s="241"/>
      <c r="AL847" s="241"/>
      <c r="AM847" s="241"/>
      <c r="AN847" s="241"/>
      <c r="AO847" s="241"/>
      <c r="AP847" s="241"/>
      <c r="AQ847" s="241"/>
      <c r="AR847" s="241"/>
      <c r="AS847" s="241"/>
      <c r="AT847" s="241"/>
      <c r="AU847" s="241"/>
      <c r="AV847" s="241"/>
      <c r="AW847" s="241"/>
      <c r="AX847" s="241"/>
      <c r="AY847" s="241"/>
      <c r="AZ847" s="241"/>
    </row>
    <row r="848" spans="1:52" ht="18" customHeight="1">
      <c r="A848" s="250"/>
      <c r="B848" s="241"/>
      <c r="C848" s="241"/>
      <c r="D848" s="241"/>
      <c r="E848" s="241"/>
      <c r="F848" s="241"/>
      <c r="G848" s="241"/>
      <c r="H848" s="241"/>
      <c r="I848" s="241"/>
      <c r="J848" s="241"/>
      <c r="K848" s="241"/>
      <c r="L848" s="241"/>
      <c r="M848" s="241"/>
      <c r="N848" s="241"/>
      <c r="O848" s="241"/>
      <c r="P848" s="241"/>
      <c r="Q848" s="241"/>
      <c r="R848" s="241"/>
      <c r="S848" s="241"/>
      <c r="T848" s="241"/>
      <c r="U848" s="241"/>
      <c r="V848" s="241"/>
      <c r="W848" s="241"/>
      <c r="X848" s="241"/>
      <c r="Y848" s="241"/>
      <c r="Z848" s="241"/>
      <c r="AA848" s="241"/>
      <c r="AB848" s="241"/>
      <c r="AC848" s="241"/>
      <c r="AD848" s="241"/>
      <c r="AE848" s="241"/>
      <c r="AF848" s="241"/>
      <c r="AG848" s="241"/>
      <c r="AH848" s="241"/>
      <c r="AI848" s="241"/>
      <c r="AJ848" s="241"/>
      <c r="AK848" s="241"/>
      <c r="AL848" s="241"/>
      <c r="AM848" s="241"/>
      <c r="AN848" s="241"/>
      <c r="AO848" s="241"/>
      <c r="AP848" s="241"/>
      <c r="AQ848" s="241"/>
      <c r="AR848" s="241"/>
      <c r="AS848" s="241"/>
      <c r="AT848" s="241"/>
      <c r="AU848" s="241"/>
      <c r="AV848" s="241"/>
      <c r="AW848" s="241"/>
      <c r="AX848" s="241"/>
      <c r="AY848" s="241"/>
      <c r="AZ848" s="241"/>
    </row>
    <row r="849" spans="1:52" ht="18" customHeight="1">
      <c r="A849" s="250"/>
      <c r="B849" s="241"/>
      <c r="C849" s="241"/>
      <c r="D849" s="241"/>
      <c r="E849" s="241"/>
      <c r="F849" s="241"/>
      <c r="G849" s="241"/>
      <c r="H849" s="241"/>
      <c r="I849" s="241"/>
      <c r="J849" s="241"/>
      <c r="K849" s="241"/>
      <c r="L849" s="241"/>
      <c r="M849" s="241"/>
      <c r="N849" s="241"/>
      <c r="O849" s="241"/>
      <c r="P849" s="241"/>
      <c r="Q849" s="241"/>
      <c r="R849" s="241"/>
      <c r="S849" s="241"/>
      <c r="T849" s="241"/>
      <c r="U849" s="241"/>
      <c r="V849" s="241"/>
      <c r="W849" s="241"/>
      <c r="X849" s="241"/>
      <c r="Y849" s="241"/>
      <c r="Z849" s="241"/>
      <c r="AA849" s="241"/>
      <c r="AB849" s="241"/>
      <c r="AC849" s="241"/>
      <c r="AD849" s="241"/>
      <c r="AE849" s="241"/>
      <c r="AF849" s="241"/>
      <c r="AG849" s="241"/>
      <c r="AH849" s="241"/>
      <c r="AI849" s="241"/>
      <c r="AJ849" s="241"/>
      <c r="AK849" s="241"/>
      <c r="AL849" s="241"/>
      <c r="AM849" s="241"/>
      <c r="AN849" s="241"/>
      <c r="AO849" s="241"/>
      <c r="AP849" s="241"/>
      <c r="AQ849" s="241"/>
      <c r="AR849" s="241"/>
      <c r="AS849" s="241"/>
      <c r="AT849" s="241"/>
      <c r="AU849" s="241"/>
      <c r="AV849" s="241"/>
      <c r="AW849" s="241"/>
      <c r="AX849" s="241"/>
      <c r="AY849" s="241"/>
      <c r="AZ849" s="241"/>
    </row>
    <row r="850" spans="1:52" ht="18" customHeight="1">
      <c r="A850" s="250"/>
      <c r="B850" s="241"/>
      <c r="C850" s="241"/>
      <c r="D850" s="241"/>
      <c r="E850" s="241"/>
      <c r="F850" s="241"/>
      <c r="G850" s="241"/>
      <c r="H850" s="241"/>
      <c r="I850" s="241"/>
      <c r="J850" s="241"/>
      <c r="K850" s="241"/>
      <c r="L850" s="241"/>
      <c r="M850" s="241"/>
      <c r="N850" s="241"/>
      <c r="O850" s="241"/>
      <c r="P850" s="241"/>
      <c r="Q850" s="241"/>
      <c r="R850" s="241"/>
      <c r="S850" s="241"/>
      <c r="T850" s="241"/>
      <c r="U850" s="241"/>
      <c r="V850" s="241"/>
      <c r="W850" s="241"/>
      <c r="X850" s="241"/>
      <c r="Y850" s="241"/>
      <c r="Z850" s="241"/>
      <c r="AA850" s="241"/>
      <c r="AB850" s="241"/>
      <c r="AC850" s="241"/>
      <c r="AD850" s="241"/>
      <c r="AE850" s="241"/>
      <c r="AF850" s="241"/>
      <c r="AG850" s="241"/>
      <c r="AH850" s="241"/>
      <c r="AI850" s="241"/>
      <c r="AJ850" s="241"/>
      <c r="AK850" s="241"/>
      <c r="AL850" s="241"/>
      <c r="AM850" s="241"/>
      <c r="AN850" s="241"/>
      <c r="AO850" s="241"/>
      <c r="AP850" s="241"/>
      <c r="AQ850" s="241"/>
      <c r="AR850" s="241"/>
      <c r="AS850" s="241"/>
      <c r="AT850" s="241"/>
      <c r="AU850" s="241"/>
      <c r="AV850" s="241"/>
      <c r="AW850" s="241"/>
      <c r="AX850" s="241"/>
      <c r="AY850" s="241"/>
      <c r="AZ850" s="241"/>
    </row>
    <row r="851" spans="1:52" ht="18" customHeight="1">
      <c r="A851" s="250"/>
      <c r="B851" s="241"/>
      <c r="C851" s="241"/>
      <c r="D851" s="241"/>
      <c r="E851" s="241"/>
      <c r="F851" s="241"/>
      <c r="G851" s="241"/>
      <c r="H851" s="241"/>
      <c r="I851" s="241"/>
      <c r="J851" s="241"/>
      <c r="K851" s="241"/>
      <c r="L851" s="241"/>
      <c r="M851" s="241"/>
      <c r="N851" s="241"/>
      <c r="O851" s="241"/>
      <c r="P851" s="241"/>
      <c r="Q851" s="241"/>
      <c r="R851" s="241"/>
      <c r="S851" s="241"/>
      <c r="T851" s="241"/>
      <c r="U851" s="241"/>
      <c r="V851" s="241"/>
      <c r="W851" s="241"/>
      <c r="X851" s="241"/>
      <c r="Y851" s="241"/>
      <c r="Z851" s="241"/>
      <c r="AA851" s="241"/>
      <c r="AB851" s="241"/>
      <c r="AC851" s="241"/>
      <c r="AD851" s="241"/>
      <c r="AE851" s="241"/>
      <c r="AF851" s="241"/>
      <c r="AG851" s="241"/>
      <c r="AH851" s="241"/>
      <c r="AI851" s="241"/>
      <c r="AJ851" s="241"/>
      <c r="AK851" s="241"/>
      <c r="AL851" s="241"/>
      <c r="AM851" s="241"/>
      <c r="AN851" s="241"/>
      <c r="AO851" s="241"/>
      <c r="AP851" s="241"/>
      <c r="AQ851" s="241"/>
      <c r="AR851" s="241"/>
      <c r="AS851" s="241"/>
      <c r="AT851" s="241"/>
      <c r="AU851" s="241"/>
      <c r="AV851" s="241"/>
      <c r="AW851" s="241"/>
      <c r="AX851" s="241"/>
      <c r="AY851" s="241"/>
      <c r="AZ851" s="241"/>
    </row>
    <row r="852" spans="1:52" ht="18" customHeight="1">
      <c r="A852" s="250"/>
      <c r="B852" s="241"/>
      <c r="C852" s="241"/>
      <c r="D852" s="241"/>
      <c r="E852" s="241"/>
      <c r="F852" s="241"/>
      <c r="G852" s="241"/>
      <c r="H852" s="241"/>
      <c r="I852" s="241"/>
      <c r="J852" s="241"/>
      <c r="K852" s="241"/>
      <c r="L852" s="241"/>
      <c r="M852" s="241"/>
      <c r="N852" s="241"/>
      <c r="O852" s="241"/>
      <c r="P852" s="241"/>
      <c r="Q852" s="241"/>
      <c r="R852" s="241"/>
      <c r="S852" s="241"/>
      <c r="T852" s="241"/>
      <c r="U852" s="241"/>
      <c r="V852" s="241"/>
      <c r="W852" s="241"/>
      <c r="X852" s="241"/>
      <c r="Y852" s="241"/>
      <c r="Z852" s="241"/>
      <c r="AA852" s="241"/>
      <c r="AB852" s="241"/>
      <c r="AC852" s="241"/>
      <c r="AD852" s="241"/>
      <c r="AE852" s="241"/>
      <c r="AF852" s="241"/>
      <c r="AG852" s="241"/>
      <c r="AH852" s="241"/>
      <c r="AI852" s="241"/>
      <c r="AJ852" s="241"/>
      <c r="AK852" s="241"/>
      <c r="AL852" s="241"/>
      <c r="AM852" s="241"/>
      <c r="AN852" s="241"/>
      <c r="AO852" s="241"/>
      <c r="AP852" s="241"/>
      <c r="AQ852" s="241"/>
      <c r="AR852" s="241"/>
      <c r="AS852" s="241"/>
      <c r="AT852" s="241"/>
      <c r="AU852" s="241"/>
      <c r="AV852" s="241"/>
      <c r="AW852" s="241"/>
      <c r="AX852" s="241"/>
      <c r="AY852" s="241"/>
      <c r="AZ852" s="241"/>
    </row>
    <row r="853" spans="1:52" ht="18" customHeight="1">
      <c r="A853" s="250"/>
      <c r="B853" s="241"/>
      <c r="C853" s="241"/>
      <c r="D853" s="241"/>
      <c r="E853" s="241"/>
      <c r="F853" s="241"/>
      <c r="G853" s="241"/>
      <c r="H853" s="241"/>
      <c r="I853" s="241"/>
      <c r="J853" s="241"/>
      <c r="K853" s="241"/>
      <c r="L853" s="241"/>
      <c r="M853" s="241"/>
      <c r="N853" s="241"/>
      <c r="O853" s="241"/>
      <c r="P853" s="241"/>
      <c r="Q853" s="241"/>
      <c r="R853" s="241"/>
      <c r="S853" s="241"/>
      <c r="T853" s="241"/>
      <c r="U853" s="241"/>
      <c r="V853" s="241"/>
      <c r="W853" s="241"/>
      <c r="X853" s="241"/>
      <c r="Y853" s="241"/>
      <c r="Z853" s="241"/>
      <c r="AA853" s="241"/>
      <c r="AB853" s="241"/>
      <c r="AC853" s="241"/>
      <c r="AD853" s="241"/>
      <c r="AE853" s="241"/>
      <c r="AF853" s="241"/>
      <c r="AG853" s="241"/>
      <c r="AH853" s="241"/>
      <c r="AI853" s="241"/>
      <c r="AJ853" s="241"/>
      <c r="AK853" s="241"/>
      <c r="AL853" s="241"/>
      <c r="AM853" s="241"/>
      <c r="AN853" s="241"/>
      <c r="AO853" s="241"/>
      <c r="AP853" s="241"/>
      <c r="AQ853" s="241"/>
      <c r="AR853" s="241"/>
      <c r="AS853" s="241"/>
      <c r="AT853" s="241"/>
      <c r="AU853" s="241"/>
      <c r="AV853" s="241"/>
      <c r="AW853" s="241"/>
      <c r="AX853" s="241"/>
      <c r="AY853" s="241"/>
      <c r="AZ853" s="241"/>
    </row>
    <row r="854" spans="1:52" ht="18" customHeight="1">
      <c r="A854" s="250"/>
      <c r="B854" s="241"/>
      <c r="C854" s="241"/>
      <c r="D854" s="241"/>
      <c r="E854" s="241"/>
      <c r="F854" s="241"/>
      <c r="G854" s="241"/>
      <c r="H854" s="241"/>
      <c r="I854" s="241"/>
      <c r="J854" s="241"/>
      <c r="K854" s="241"/>
      <c r="L854" s="241"/>
      <c r="M854" s="241"/>
      <c r="N854" s="241"/>
      <c r="O854" s="241"/>
      <c r="P854" s="241"/>
      <c r="Q854" s="241"/>
      <c r="R854" s="241"/>
      <c r="S854" s="241"/>
      <c r="T854" s="241"/>
      <c r="U854" s="241"/>
      <c r="V854" s="241"/>
      <c r="W854" s="241"/>
      <c r="X854" s="241"/>
      <c r="Y854" s="241"/>
      <c r="Z854" s="241"/>
      <c r="AA854" s="241"/>
      <c r="AB854" s="241"/>
      <c r="AC854" s="241"/>
      <c r="AD854" s="241"/>
      <c r="AE854" s="241"/>
      <c r="AF854" s="241"/>
      <c r="AG854" s="241"/>
      <c r="AH854" s="241"/>
      <c r="AI854" s="241"/>
      <c r="AJ854" s="241"/>
      <c r="AK854" s="241"/>
      <c r="AL854" s="241"/>
      <c r="AM854" s="241"/>
      <c r="AN854" s="241"/>
      <c r="AO854" s="241"/>
      <c r="AP854" s="241"/>
      <c r="AQ854" s="241"/>
      <c r="AR854" s="241"/>
      <c r="AS854" s="241"/>
      <c r="AT854" s="241"/>
      <c r="AU854" s="241"/>
      <c r="AV854" s="241"/>
      <c r="AW854" s="241"/>
      <c r="AX854" s="241"/>
      <c r="AY854" s="241"/>
      <c r="AZ854" s="241"/>
    </row>
    <row r="855" spans="1:52" ht="18" customHeight="1">
      <c r="A855" s="250"/>
      <c r="B855" s="241"/>
      <c r="C855" s="241"/>
      <c r="D855" s="241"/>
      <c r="E855" s="241"/>
      <c r="F855" s="241"/>
      <c r="G855" s="241"/>
      <c r="H855" s="241"/>
      <c r="I855" s="241"/>
      <c r="J855" s="241"/>
      <c r="K855" s="241"/>
      <c r="L855" s="241"/>
      <c r="M855" s="241"/>
      <c r="N855" s="241"/>
      <c r="O855" s="241"/>
      <c r="P855" s="241"/>
      <c r="Q855" s="241"/>
      <c r="R855" s="241"/>
      <c r="S855" s="241"/>
      <c r="T855" s="241"/>
      <c r="U855" s="241"/>
      <c r="V855" s="241"/>
      <c r="W855" s="241"/>
      <c r="X855" s="241"/>
      <c r="Y855" s="241"/>
      <c r="Z855" s="241"/>
      <c r="AA855" s="241"/>
      <c r="AB855" s="241"/>
      <c r="AC855" s="241"/>
      <c r="AD855" s="241"/>
      <c r="AE855" s="241"/>
      <c r="AF855" s="241"/>
      <c r="AG855" s="241"/>
      <c r="AH855" s="241"/>
      <c r="AI855" s="241"/>
      <c r="AJ855" s="241"/>
      <c r="AK855" s="241"/>
      <c r="AL855" s="241"/>
      <c r="AM855" s="241"/>
      <c r="AN855" s="241"/>
      <c r="AO855" s="241"/>
      <c r="AP855" s="241"/>
      <c r="AQ855" s="241"/>
      <c r="AR855" s="241"/>
      <c r="AS855" s="241"/>
      <c r="AT855" s="241"/>
      <c r="AU855" s="241"/>
      <c r="AV855" s="241"/>
      <c r="AW855" s="241"/>
      <c r="AX855" s="241"/>
      <c r="AY855" s="241"/>
      <c r="AZ855" s="241"/>
    </row>
    <row r="856" spans="1:52" ht="18" customHeight="1">
      <c r="A856" s="250"/>
      <c r="B856" s="241"/>
      <c r="C856" s="241"/>
      <c r="D856" s="241"/>
      <c r="E856" s="241"/>
      <c r="F856" s="241"/>
      <c r="G856" s="241"/>
      <c r="H856" s="241"/>
      <c r="I856" s="241"/>
      <c r="J856" s="241"/>
      <c r="K856" s="241"/>
      <c r="L856" s="241"/>
      <c r="M856" s="241"/>
      <c r="N856" s="241"/>
      <c r="O856" s="241"/>
      <c r="P856" s="241"/>
      <c r="Q856" s="241"/>
      <c r="R856" s="241"/>
      <c r="S856" s="241"/>
      <c r="T856" s="241"/>
      <c r="U856" s="241"/>
      <c r="V856" s="241"/>
      <c r="W856" s="241"/>
      <c r="X856" s="241"/>
      <c r="Y856" s="241"/>
      <c r="Z856" s="241"/>
      <c r="AA856" s="241"/>
      <c r="AB856" s="241"/>
      <c r="AC856" s="241"/>
      <c r="AD856" s="241"/>
      <c r="AE856" s="241"/>
      <c r="AF856" s="241"/>
      <c r="AG856" s="241"/>
      <c r="AH856" s="241"/>
      <c r="AI856" s="241"/>
      <c r="AJ856" s="241"/>
      <c r="AK856" s="241"/>
      <c r="AL856" s="241"/>
      <c r="AM856" s="241"/>
      <c r="AN856" s="241"/>
      <c r="AO856" s="241"/>
      <c r="AP856" s="241"/>
      <c r="AQ856" s="241"/>
      <c r="AR856" s="241"/>
      <c r="AS856" s="241"/>
      <c r="AT856" s="241"/>
      <c r="AU856" s="241"/>
      <c r="AV856" s="241"/>
      <c r="AW856" s="241"/>
      <c r="AX856" s="241"/>
      <c r="AY856" s="241"/>
      <c r="AZ856" s="241"/>
    </row>
    <row r="857" spans="1:52" ht="18" customHeight="1">
      <c r="A857" s="250"/>
      <c r="B857" s="241"/>
      <c r="C857" s="241"/>
      <c r="D857" s="241"/>
      <c r="E857" s="241"/>
      <c r="F857" s="241"/>
      <c r="G857" s="241"/>
      <c r="H857" s="241"/>
      <c r="I857" s="241"/>
      <c r="J857" s="241"/>
      <c r="K857" s="241"/>
      <c r="L857" s="241"/>
      <c r="M857" s="241"/>
      <c r="N857" s="241"/>
      <c r="O857" s="241"/>
      <c r="P857" s="241"/>
      <c r="Q857" s="241"/>
      <c r="R857" s="241"/>
      <c r="S857" s="241"/>
      <c r="T857" s="241"/>
      <c r="U857" s="241"/>
      <c r="V857" s="241"/>
      <c r="W857" s="241"/>
      <c r="X857" s="241"/>
      <c r="Y857" s="241"/>
      <c r="Z857" s="241"/>
      <c r="AA857" s="241"/>
      <c r="AB857" s="241"/>
      <c r="AC857" s="241"/>
      <c r="AD857" s="241"/>
      <c r="AE857" s="241"/>
      <c r="AF857" s="241"/>
      <c r="AG857" s="241"/>
      <c r="AH857" s="241"/>
      <c r="AI857" s="241"/>
      <c r="AJ857" s="241"/>
      <c r="AK857" s="241"/>
      <c r="AL857" s="241"/>
      <c r="AM857" s="241"/>
      <c r="AN857" s="241"/>
      <c r="AO857" s="241"/>
      <c r="AP857" s="241"/>
      <c r="AQ857" s="241"/>
      <c r="AR857" s="241"/>
      <c r="AS857" s="241"/>
      <c r="AT857" s="241"/>
      <c r="AU857" s="241"/>
      <c r="AV857" s="241"/>
      <c r="AW857" s="241"/>
      <c r="AX857" s="241"/>
      <c r="AY857" s="241"/>
      <c r="AZ857" s="241"/>
    </row>
    <row r="858" spans="1:52" ht="18" customHeight="1">
      <c r="A858" s="250"/>
      <c r="B858" s="241"/>
      <c r="C858" s="241"/>
      <c r="D858" s="241"/>
      <c r="E858" s="241"/>
      <c r="F858" s="241"/>
      <c r="G858" s="241"/>
      <c r="H858" s="241"/>
      <c r="I858" s="241"/>
      <c r="J858" s="241"/>
      <c r="K858" s="241"/>
      <c r="L858" s="241"/>
      <c r="M858" s="241"/>
      <c r="N858" s="241"/>
      <c r="O858" s="241"/>
      <c r="P858" s="241"/>
      <c r="Q858" s="241"/>
      <c r="R858" s="241"/>
      <c r="S858" s="241"/>
      <c r="T858" s="241"/>
      <c r="U858" s="241"/>
      <c r="V858" s="241"/>
      <c r="W858" s="241"/>
      <c r="X858" s="241"/>
      <c r="Y858" s="241"/>
      <c r="Z858" s="241"/>
      <c r="AA858" s="241"/>
      <c r="AB858" s="241"/>
      <c r="AC858" s="241"/>
      <c r="AD858" s="241"/>
      <c r="AE858" s="241"/>
      <c r="AF858" s="241"/>
      <c r="AG858" s="241"/>
      <c r="AH858" s="241"/>
      <c r="AI858" s="241"/>
      <c r="AJ858" s="241"/>
      <c r="AK858" s="241"/>
      <c r="AL858" s="241"/>
      <c r="AM858" s="241"/>
      <c r="AN858" s="241"/>
      <c r="AO858" s="241"/>
      <c r="AP858" s="241"/>
      <c r="AQ858" s="241"/>
      <c r="AR858" s="241"/>
      <c r="AS858" s="241"/>
      <c r="AT858" s="241"/>
      <c r="AU858" s="241"/>
      <c r="AV858" s="241"/>
      <c r="AW858" s="241"/>
      <c r="AX858" s="241"/>
      <c r="AY858" s="241"/>
      <c r="AZ858" s="241"/>
    </row>
    <row r="859" spans="1:52" ht="18" customHeight="1">
      <c r="A859" s="250"/>
      <c r="B859" s="241"/>
      <c r="C859" s="241"/>
      <c r="D859" s="241"/>
      <c r="E859" s="241"/>
      <c r="F859" s="241"/>
      <c r="G859" s="241"/>
      <c r="H859" s="241"/>
      <c r="I859" s="241"/>
      <c r="J859" s="241"/>
      <c r="K859" s="241"/>
      <c r="L859" s="241"/>
      <c r="M859" s="241"/>
      <c r="N859" s="241"/>
      <c r="O859" s="241"/>
      <c r="P859" s="241"/>
      <c r="Q859" s="241"/>
      <c r="R859" s="241"/>
      <c r="S859" s="241"/>
      <c r="T859" s="241"/>
      <c r="U859" s="241"/>
      <c r="V859" s="241"/>
      <c r="W859" s="241"/>
      <c r="X859" s="241"/>
      <c r="Y859" s="241"/>
      <c r="Z859" s="241"/>
      <c r="AA859" s="241"/>
      <c r="AB859" s="241"/>
      <c r="AC859" s="241"/>
      <c r="AD859" s="241"/>
      <c r="AE859" s="241"/>
      <c r="AF859" s="241"/>
      <c r="AG859" s="241"/>
      <c r="AH859" s="241"/>
      <c r="AI859" s="241"/>
      <c r="AJ859" s="241"/>
      <c r="AK859" s="241"/>
      <c r="AL859" s="241"/>
      <c r="AM859" s="241"/>
      <c r="AN859" s="241"/>
      <c r="AO859" s="241"/>
      <c r="AP859" s="241"/>
      <c r="AQ859" s="241"/>
      <c r="AR859" s="241"/>
      <c r="AS859" s="241"/>
      <c r="AT859" s="241"/>
      <c r="AU859" s="241"/>
      <c r="AV859" s="241"/>
      <c r="AW859" s="241"/>
      <c r="AX859" s="241"/>
      <c r="AY859" s="241"/>
      <c r="AZ859" s="241"/>
    </row>
    <row r="860" spans="1:52" ht="18" customHeight="1">
      <c r="A860" s="250"/>
      <c r="B860" s="241"/>
      <c r="C860" s="241"/>
      <c r="D860" s="241"/>
      <c r="E860" s="241"/>
      <c r="F860" s="241"/>
      <c r="G860" s="241"/>
      <c r="H860" s="241"/>
      <c r="I860" s="241"/>
      <c r="J860" s="241"/>
      <c r="K860" s="241"/>
      <c r="L860" s="241"/>
      <c r="M860" s="241"/>
      <c r="N860" s="241"/>
      <c r="O860" s="241"/>
      <c r="P860" s="241"/>
      <c r="Q860" s="241"/>
      <c r="R860" s="241"/>
      <c r="S860" s="241"/>
      <c r="T860" s="241"/>
      <c r="U860" s="241"/>
      <c r="V860" s="241"/>
      <c r="W860" s="241"/>
      <c r="X860" s="241"/>
      <c r="Y860" s="241"/>
      <c r="Z860" s="241"/>
      <c r="AA860" s="241"/>
      <c r="AB860" s="241"/>
      <c r="AC860" s="241"/>
      <c r="AD860" s="241"/>
      <c r="AE860" s="241"/>
      <c r="AF860" s="241"/>
      <c r="AG860" s="241"/>
      <c r="AH860" s="241"/>
      <c r="AI860" s="241"/>
      <c r="AJ860" s="241"/>
      <c r="AK860" s="241"/>
      <c r="AL860" s="241"/>
      <c r="AM860" s="241"/>
      <c r="AN860" s="241"/>
      <c r="AO860" s="241"/>
      <c r="AP860" s="241"/>
      <c r="AQ860" s="241"/>
      <c r="AR860" s="241"/>
      <c r="AS860" s="241"/>
      <c r="AT860" s="241"/>
      <c r="AU860" s="241"/>
      <c r="AV860" s="241"/>
      <c r="AW860" s="241"/>
      <c r="AX860" s="241"/>
      <c r="AY860" s="241"/>
      <c r="AZ860" s="241"/>
    </row>
    <row r="861" spans="1:52" ht="18" customHeight="1">
      <c r="A861" s="250"/>
      <c r="B861" s="241"/>
      <c r="C861" s="241"/>
      <c r="D861" s="241"/>
      <c r="E861" s="241"/>
      <c r="F861" s="241"/>
      <c r="G861" s="241"/>
      <c r="H861" s="241"/>
      <c r="I861" s="241"/>
      <c r="J861" s="241"/>
      <c r="K861" s="241"/>
      <c r="L861" s="241"/>
      <c r="M861" s="241"/>
      <c r="N861" s="241"/>
      <c r="O861" s="241"/>
      <c r="P861" s="241"/>
      <c r="Q861" s="241"/>
      <c r="R861" s="241"/>
      <c r="S861" s="241"/>
      <c r="T861" s="241"/>
      <c r="U861" s="241"/>
      <c r="V861" s="241"/>
      <c r="W861" s="241"/>
      <c r="X861" s="241"/>
      <c r="Y861" s="241"/>
      <c r="Z861" s="241"/>
      <c r="AA861" s="241"/>
      <c r="AB861" s="241"/>
      <c r="AC861" s="241"/>
      <c r="AD861" s="241"/>
      <c r="AE861" s="241"/>
      <c r="AF861" s="241"/>
      <c r="AG861" s="241"/>
      <c r="AH861" s="241"/>
      <c r="AI861" s="241"/>
      <c r="AJ861" s="241"/>
      <c r="AK861" s="241"/>
      <c r="AL861" s="241"/>
      <c r="AM861" s="241"/>
      <c r="AN861" s="241"/>
      <c r="AO861" s="241"/>
      <c r="AP861" s="241"/>
      <c r="AQ861" s="241"/>
      <c r="AR861" s="241"/>
      <c r="AS861" s="241"/>
      <c r="AT861" s="241"/>
      <c r="AU861" s="241"/>
      <c r="AV861" s="241"/>
      <c r="AW861" s="241"/>
      <c r="AX861" s="241"/>
      <c r="AY861" s="241"/>
      <c r="AZ861" s="241"/>
    </row>
    <row r="862" spans="1:52" ht="18" customHeight="1">
      <c r="A862" s="250"/>
      <c r="B862" s="241"/>
      <c r="C862" s="241"/>
      <c r="D862" s="241"/>
      <c r="E862" s="241"/>
      <c r="F862" s="241"/>
      <c r="G862" s="241"/>
      <c r="H862" s="241"/>
      <c r="I862" s="241"/>
      <c r="J862" s="241"/>
      <c r="K862" s="241"/>
      <c r="L862" s="241"/>
      <c r="M862" s="241"/>
      <c r="N862" s="241"/>
      <c r="O862" s="241"/>
      <c r="P862" s="241"/>
      <c r="Q862" s="241"/>
      <c r="R862" s="241"/>
      <c r="S862" s="241"/>
      <c r="T862" s="241"/>
      <c r="U862" s="241"/>
      <c r="V862" s="241"/>
      <c r="W862" s="241"/>
      <c r="X862" s="241"/>
      <c r="Y862" s="241"/>
      <c r="Z862" s="241"/>
      <c r="AA862" s="241"/>
      <c r="AB862" s="241"/>
      <c r="AC862" s="241"/>
      <c r="AD862" s="241"/>
      <c r="AE862" s="241"/>
      <c r="AF862" s="241"/>
      <c r="AG862" s="241"/>
      <c r="AH862" s="241"/>
      <c r="AI862" s="241"/>
      <c r="AJ862" s="241"/>
      <c r="AK862" s="241"/>
      <c r="AL862" s="241"/>
      <c r="AM862" s="241"/>
      <c r="AN862" s="241"/>
      <c r="AO862" s="241"/>
      <c r="AP862" s="241"/>
      <c r="AQ862" s="241"/>
      <c r="AR862" s="241"/>
      <c r="AS862" s="241"/>
      <c r="AT862" s="241"/>
      <c r="AU862" s="241"/>
      <c r="AV862" s="241"/>
      <c r="AW862" s="241"/>
      <c r="AX862" s="241"/>
      <c r="AY862" s="241"/>
      <c r="AZ862" s="241"/>
    </row>
    <row r="863" spans="1:52" ht="18" customHeight="1">
      <c r="A863" s="250"/>
      <c r="B863" s="241"/>
      <c r="C863" s="241"/>
      <c r="D863" s="241"/>
      <c r="E863" s="241"/>
      <c r="F863" s="241"/>
      <c r="G863" s="241"/>
      <c r="H863" s="241"/>
      <c r="I863" s="241"/>
      <c r="J863" s="241"/>
      <c r="K863" s="241"/>
      <c r="L863" s="241"/>
      <c r="M863" s="241"/>
      <c r="N863" s="241"/>
      <c r="O863" s="241"/>
      <c r="P863" s="241"/>
      <c r="Q863" s="241"/>
      <c r="R863" s="241"/>
      <c r="S863" s="241"/>
      <c r="T863" s="241"/>
      <c r="U863" s="241"/>
      <c r="V863" s="241"/>
      <c r="W863" s="241"/>
      <c r="X863" s="241"/>
      <c r="Y863" s="241"/>
      <c r="Z863" s="241"/>
      <c r="AA863" s="241"/>
      <c r="AB863" s="241"/>
      <c r="AC863" s="241"/>
      <c r="AD863" s="241"/>
      <c r="AE863" s="241"/>
      <c r="AF863" s="241"/>
      <c r="AG863" s="241"/>
      <c r="AH863" s="241"/>
      <c r="AI863" s="241"/>
      <c r="AJ863" s="241"/>
      <c r="AK863" s="241"/>
      <c r="AL863" s="241"/>
      <c r="AM863" s="241"/>
      <c r="AN863" s="241"/>
      <c r="AO863" s="241"/>
      <c r="AP863" s="241"/>
      <c r="AQ863" s="241"/>
      <c r="AR863" s="241"/>
      <c r="AS863" s="241"/>
      <c r="AT863" s="241"/>
      <c r="AU863" s="241"/>
      <c r="AV863" s="241"/>
      <c r="AW863" s="241"/>
      <c r="AX863" s="241"/>
      <c r="AY863" s="241"/>
      <c r="AZ863" s="241"/>
    </row>
    <row r="864" spans="1:52" ht="18" customHeight="1">
      <c r="A864" s="250"/>
      <c r="B864" s="241"/>
      <c r="C864" s="241"/>
      <c r="D864" s="241"/>
      <c r="E864" s="241"/>
      <c r="F864" s="241"/>
      <c r="G864" s="241"/>
      <c r="H864" s="241"/>
      <c r="I864" s="241"/>
      <c r="J864" s="241"/>
      <c r="K864" s="241"/>
      <c r="L864" s="241"/>
      <c r="M864" s="241"/>
      <c r="N864" s="241"/>
      <c r="O864" s="241"/>
      <c r="P864" s="241"/>
      <c r="Q864" s="241"/>
      <c r="R864" s="241"/>
      <c r="S864" s="241"/>
      <c r="T864" s="241"/>
      <c r="U864" s="241"/>
      <c r="V864" s="241"/>
      <c r="W864" s="241"/>
      <c r="X864" s="241"/>
      <c r="Y864" s="241"/>
      <c r="Z864" s="241"/>
      <c r="AA864" s="241"/>
      <c r="AB864" s="241"/>
      <c r="AC864" s="241"/>
      <c r="AD864" s="241"/>
      <c r="AE864" s="241"/>
      <c r="AF864" s="241"/>
      <c r="AG864" s="241"/>
      <c r="AH864" s="241"/>
      <c r="AI864" s="241"/>
      <c r="AJ864" s="241"/>
      <c r="AK864" s="241"/>
      <c r="AL864" s="241"/>
      <c r="AM864" s="241"/>
      <c r="AN864" s="241"/>
      <c r="AO864" s="241"/>
      <c r="AP864" s="241"/>
      <c r="AQ864" s="241"/>
      <c r="AR864" s="241"/>
      <c r="AS864" s="241"/>
      <c r="AT864" s="241"/>
      <c r="AU864" s="241"/>
      <c r="AV864" s="241"/>
      <c r="AW864" s="241"/>
      <c r="AX864" s="241"/>
      <c r="AY864" s="241"/>
      <c r="AZ864" s="241"/>
    </row>
    <row r="865" spans="1:52" ht="18" customHeight="1">
      <c r="A865" s="250"/>
      <c r="B865" s="241"/>
      <c r="C865" s="241"/>
      <c r="D865" s="241"/>
      <c r="E865" s="241"/>
      <c r="F865" s="241"/>
      <c r="G865" s="241"/>
      <c r="H865" s="241"/>
      <c r="I865" s="241"/>
      <c r="J865" s="241"/>
      <c r="K865" s="241"/>
      <c r="L865" s="241"/>
      <c r="M865" s="241"/>
      <c r="N865" s="241"/>
      <c r="O865" s="241"/>
      <c r="P865" s="241"/>
      <c r="Q865" s="241"/>
      <c r="R865" s="241"/>
      <c r="S865" s="241"/>
      <c r="T865" s="241"/>
      <c r="U865" s="241"/>
      <c r="V865" s="241"/>
      <c r="W865" s="241"/>
      <c r="X865" s="241"/>
      <c r="Y865" s="241"/>
      <c r="Z865" s="241"/>
      <c r="AA865" s="241"/>
      <c r="AB865" s="241"/>
      <c r="AC865" s="241"/>
      <c r="AD865" s="241"/>
      <c r="AE865" s="241"/>
      <c r="AF865" s="241"/>
      <c r="AG865" s="241"/>
      <c r="AH865" s="241"/>
      <c r="AI865" s="241"/>
      <c r="AJ865" s="241"/>
      <c r="AK865" s="241"/>
      <c r="AL865" s="241"/>
      <c r="AM865" s="241"/>
      <c r="AN865" s="241"/>
      <c r="AO865" s="241"/>
      <c r="AP865" s="241"/>
      <c r="AQ865" s="241"/>
      <c r="AR865" s="241"/>
      <c r="AS865" s="241"/>
      <c r="AT865" s="241"/>
      <c r="AU865" s="241"/>
      <c r="AV865" s="241"/>
      <c r="AW865" s="241"/>
      <c r="AX865" s="241"/>
      <c r="AY865" s="241"/>
      <c r="AZ865" s="241"/>
    </row>
    <row r="866" spans="1:52" ht="18" customHeight="1">
      <c r="A866" s="250"/>
      <c r="B866" s="241"/>
      <c r="C866" s="241"/>
      <c r="D866" s="241"/>
      <c r="E866" s="241"/>
      <c r="F866" s="241"/>
      <c r="G866" s="241"/>
      <c r="H866" s="241"/>
      <c r="I866" s="241"/>
      <c r="J866" s="241"/>
      <c r="K866" s="241"/>
      <c r="L866" s="241"/>
      <c r="M866" s="241"/>
      <c r="N866" s="241"/>
      <c r="O866" s="241"/>
      <c r="P866" s="241"/>
      <c r="Q866" s="241"/>
      <c r="R866" s="241"/>
      <c r="S866" s="241"/>
      <c r="T866" s="241"/>
      <c r="U866" s="241"/>
      <c r="V866" s="241"/>
      <c r="W866" s="241"/>
      <c r="X866" s="241"/>
      <c r="Y866" s="241"/>
      <c r="Z866" s="241"/>
      <c r="AA866" s="241"/>
      <c r="AB866" s="241"/>
      <c r="AC866" s="241"/>
      <c r="AD866" s="241"/>
      <c r="AE866" s="241"/>
      <c r="AF866" s="241"/>
      <c r="AG866" s="241"/>
      <c r="AH866" s="241"/>
      <c r="AI866" s="241"/>
      <c r="AJ866" s="241"/>
      <c r="AK866" s="241"/>
      <c r="AL866" s="241"/>
      <c r="AM866" s="241"/>
      <c r="AN866" s="241"/>
      <c r="AO866" s="241"/>
      <c r="AP866" s="241"/>
      <c r="AQ866" s="241"/>
      <c r="AR866" s="241"/>
      <c r="AS866" s="241"/>
      <c r="AT866" s="241"/>
      <c r="AU866" s="241"/>
      <c r="AV866" s="241"/>
      <c r="AW866" s="241"/>
      <c r="AX866" s="241"/>
      <c r="AY866" s="241"/>
      <c r="AZ866" s="241"/>
    </row>
    <row r="867" spans="1:52" ht="18" customHeight="1">
      <c r="A867" s="250"/>
      <c r="B867" s="241"/>
      <c r="C867" s="241"/>
      <c r="D867" s="241"/>
      <c r="E867" s="241"/>
      <c r="F867" s="241"/>
      <c r="G867" s="241"/>
      <c r="H867" s="241"/>
      <c r="I867" s="241"/>
      <c r="J867" s="241"/>
      <c r="K867" s="241"/>
      <c r="L867" s="241"/>
      <c r="M867" s="241"/>
      <c r="N867" s="241"/>
      <c r="O867" s="241"/>
      <c r="P867" s="241"/>
      <c r="Q867" s="241"/>
      <c r="R867" s="241"/>
      <c r="S867" s="241"/>
      <c r="T867" s="241"/>
      <c r="U867" s="241"/>
      <c r="V867" s="241"/>
      <c r="W867" s="241"/>
      <c r="X867" s="241"/>
      <c r="Y867" s="241"/>
      <c r="Z867" s="241"/>
      <c r="AA867" s="241"/>
      <c r="AB867" s="241"/>
      <c r="AC867" s="241"/>
      <c r="AD867" s="241"/>
      <c r="AE867" s="241"/>
      <c r="AF867" s="241"/>
      <c r="AG867" s="241"/>
      <c r="AH867" s="241"/>
      <c r="AI867" s="241"/>
      <c r="AJ867" s="241"/>
      <c r="AK867" s="241"/>
      <c r="AL867" s="241"/>
      <c r="AM867" s="241"/>
      <c r="AN867" s="241"/>
      <c r="AO867" s="241"/>
      <c r="AP867" s="241"/>
      <c r="AQ867" s="241"/>
      <c r="AR867" s="241"/>
      <c r="AS867" s="241"/>
      <c r="AT867" s="241"/>
      <c r="AU867" s="241"/>
      <c r="AV867" s="241"/>
      <c r="AW867" s="241"/>
      <c r="AX867" s="241"/>
      <c r="AY867" s="241"/>
      <c r="AZ867" s="241"/>
    </row>
    <row r="868" spans="1:52" ht="18" customHeight="1">
      <c r="A868" s="250"/>
      <c r="B868" s="241"/>
      <c r="C868" s="241"/>
      <c r="D868" s="241"/>
      <c r="E868" s="241"/>
      <c r="F868" s="241"/>
      <c r="G868" s="241"/>
      <c r="H868" s="241"/>
      <c r="I868" s="241"/>
      <c r="J868" s="241"/>
      <c r="K868" s="241"/>
      <c r="L868" s="241"/>
      <c r="M868" s="241"/>
      <c r="N868" s="241"/>
      <c r="O868" s="241"/>
      <c r="P868" s="241"/>
      <c r="Q868" s="241"/>
      <c r="R868" s="241"/>
      <c r="S868" s="241"/>
      <c r="T868" s="241"/>
      <c r="U868" s="241"/>
      <c r="V868" s="241"/>
      <c r="W868" s="241"/>
      <c r="X868" s="241"/>
      <c r="Y868" s="241"/>
      <c r="Z868" s="241"/>
      <c r="AA868" s="241"/>
      <c r="AB868" s="241"/>
      <c r="AC868" s="241"/>
      <c r="AD868" s="241"/>
      <c r="AE868" s="241"/>
      <c r="AF868" s="241"/>
      <c r="AG868" s="241"/>
      <c r="AH868" s="241"/>
      <c r="AI868" s="241"/>
      <c r="AJ868" s="241"/>
      <c r="AK868" s="241"/>
      <c r="AL868" s="241"/>
      <c r="AM868" s="241"/>
      <c r="AN868" s="241"/>
      <c r="AO868" s="241"/>
      <c r="AP868" s="241"/>
      <c r="AQ868" s="241"/>
      <c r="AR868" s="241"/>
      <c r="AS868" s="241"/>
      <c r="AT868" s="241"/>
      <c r="AU868" s="241"/>
      <c r="AV868" s="241"/>
      <c r="AW868" s="241"/>
      <c r="AX868" s="241"/>
      <c r="AY868" s="241"/>
      <c r="AZ868" s="241"/>
    </row>
    <row r="869" spans="1:52" ht="18" customHeight="1">
      <c r="A869" s="250"/>
      <c r="B869" s="241"/>
      <c r="C869" s="241"/>
      <c r="D869" s="241"/>
      <c r="E869" s="241"/>
      <c r="F869" s="241"/>
      <c r="G869" s="241"/>
      <c r="H869" s="241"/>
      <c r="I869" s="241"/>
      <c r="J869" s="241"/>
      <c r="K869" s="241"/>
      <c r="L869" s="241"/>
      <c r="M869" s="241"/>
      <c r="N869" s="241"/>
      <c r="O869" s="241"/>
      <c r="P869" s="241"/>
      <c r="Q869" s="241"/>
      <c r="R869" s="241"/>
      <c r="S869" s="241"/>
      <c r="T869" s="241"/>
      <c r="U869" s="241"/>
      <c r="V869" s="241"/>
      <c r="W869" s="241"/>
      <c r="X869" s="241"/>
      <c r="Y869" s="241"/>
      <c r="Z869" s="241"/>
      <c r="AA869" s="241"/>
      <c r="AB869" s="241"/>
      <c r="AC869" s="241"/>
      <c r="AD869" s="241"/>
      <c r="AE869" s="241"/>
      <c r="AF869" s="241"/>
      <c r="AG869" s="241"/>
      <c r="AH869" s="241"/>
      <c r="AI869" s="241"/>
      <c r="AJ869" s="241"/>
      <c r="AK869" s="241"/>
      <c r="AL869" s="241"/>
      <c r="AM869" s="241"/>
      <c r="AN869" s="241"/>
      <c r="AO869" s="241"/>
      <c r="AP869" s="241"/>
      <c r="AQ869" s="241"/>
      <c r="AR869" s="241"/>
      <c r="AS869" s="241"/>
      <c r="AT869" s="241"/>
      <c r="AU869" s="241"/>
      <c r="AV869" s="241"/>
      <c r="AW869" s="241"/>
      <c r="AX869" s="241"/>
      <c r="AY869" s="241"/>
      <c r="AZ869" s="241"/>
    </row>
    <row r="870" spans="1:52" ht="18" customHeight="1">
      <c r="A870" s="250"/>
      <c r="B870" s="241"/>
      <c r="C870" s="241"/>
      <c r="D870" s="241"/>
      <c r="E870" s="241"/>
      <c r="F870" s="241"/>
      <c r="G870" s="241"/>
      <c r="H870" s="241"/>
      <c r="I870" s="241"/>
      <c r="J870" s="241"/>
      <c r="K870" s="241"/>
      <c r="L870" s="241"/>
      <c r="M870" s="241"/>
      <c r="N870" s="241"/>
      <c r="O870" s="241"/>
      <c r="P870" s="241"/>
      <c r="Q870" s="241"/>
      <c r="R870" s="241"/>
      <c r="S870" s="241"/>
      <c r="T870" s="241"/>
      <c r="U870" s="241"/>
      <c r="V870" s="241"/>
      <c r="W870" s="241"/>
      <c r="X870" s="241"/>
      <c r="Y870" s="241"/>
      <c r="Z870" s="241"/>
      <c r="AA870" s="241"/>
      <c r="AB870" s="241"/>
      <c r="AC870" s="241"/>
      <c r="AD870" s="241"/>
      <c r="AE870" s="241"/>
      <c r="AF870" s="241"/>
      <c r="AG870" s="241"/>
      <c r="AH870" s="241"/>
      <c r="AI870" s="241"/>
      <c r="AJ870" s="241"/>
      <c r="AK870" s="241"/>
      <c r="AL870" s="241"/>
      <c r="AM870" s="241"/>
      <c r="AN870" s="241"/>
      <c r="AO870" s="241"/>
      <c r="AP870" s="241"/>
      <c r="AQ870" s="241"/>
      <c r="AR870" s="241"/>
      <c r="AS870" s="241"/>
      <c r="AT870" s="241"/>
      <c r="AU870" s="241"/>
      <c r="AV870" s="241"/>
      <c r="AW870" s="241"/>
      <c r="AX870" s="241"/>
      <c r="AY870" s="241"/>
      <c r="AZ870" s="241"/>
    </row>
    <row r="871" spans="1:52" ht="18" customHeight="1">
      <c r="A871" s="250"/>
      <c r="B871" s="241"/>
      <c r="C871" s="241"/>
      <c r="D871" s="241"/>
      <c r="E871" s="241"/>
      <c r="F871" s="241"/>
      <c r="G871" s="241"/>
      <c r="H871" s="241"/>
      <c r="I871" s="241"/>
      <c r="J871" s="241"/>
      <c r="K871" s="241"/>
      <c r="L871" s="241"/>
      <c r="M871" s="241"/>
      <c r="N871" s="241"/>
      <c r="O871" s="241"/>
      <c r="P871" s="241"/>
      <c r="Q871" s="241"/>
      <c r="R871" s="241"/>
      <c r="S871" s="241"/>
      <c r="T871" s="241"/>
      <c r="U871" s="241"/>
      <c r="V871" s="241"/>
      <c r="W871" s="241"/>
      <c r="X871" s="241"/>
      <c r="Y871" s="241"/>
      <c r="Z871" s="241"/>
      <c r="AA871" s="241"/>
      <c r="AB871" s="241"/>
      <c r="AC871" s="241"/>
      <c r="AD871" s="241"/>
      <c r="AE871" s="241"/>
      <c r="AF871" s="241"/>
      <c r="AG871" s="241"/>
      <c r="AH871" s="241"/>
      <c r="AI871" s="241"/>
      <c r="AJ871" s="241"/>
      <c r="AK871" s="241"/>
      <c r="AL871" s="241"/>
      <c r="AM871" s="241"/>
      <c r="AN871" s="241"/>
      <c r="AO871" s="241"/>
      <c r="AP871" s="241"/>
      <c r="AQ871" s="241"/>
      <c r="AR871" s="241"/>
      <c r="AS871" s="241"/>
      <c r="AT871" s="241"/>
      <c r="AU871" s="241"/>
      <c r="AV871" s="241"/>
      <c r="AW871" s="241"/>
      <c r="AX871" s="241"/>
      <c r="AY871" s="241"/>
      <c r="AZ871" s="241"/>
    </row>
    <row r="872" spans="1:52" ht="18" customHeight="1">
      <c r="A872" s="250"/>
      <c r="B872" s="241"/>
      <c r="C872" s="241"/>
      <c r="D872" s="241"/>
      <c r="E872" s="241"/>
      <c r="F872" s="241"/>
      <c r="G872" s="241"/>
      <c r="H872" s="241"/>
      <c r="I872" s="241"/>
      <c r="J872" s="241"/>
      <c r="K872" s="241"/>
      <c r="L872" s="241"/>
      <c r="M872" s="241"/>
      <c r="N872" s="241"/>
      <c r="O872" s="241"/>
      <c r="P872" s="241"/>
      <c r="Q872" s="241"/>
      <c r="R872" s="241"/>
      <c r="S872" s="241"/>
      <c r="T872" s="241"/>
      <c r="U872" s="241"/>
      <c r="V872" s="241"/>
      <c r="W872" s="241"/>
      <c r="X872" s="241"/>
      <c r="Y872" s="241"/>
      <c r="Z872" s="241"/>
      <c r="AA872" s="241"/>
      <c r="AB872" s="241"/>
      <c r="AC872" s="241"/>
      <c r="AD872" s="241"/>
      <c r="AE872" s="241"/>
      <c r="AF872" s="241"/>
      <c r="AG872" s="241"/>
      <c r="AH872" s="241"/>
      <c r="AI872" s="241"/>
      <c r="AJ872" s="241"/>
      <c r="AK872" s="241"/>
      <c r="AL872" s="241"/>
      <c r="AM872" s="241"/>
      <c r="AN872" s="241"/>
      <c r="AO872" s="241"/>
      <c r="AP872" s="241"/>
      <c r="AQ872" s="241"/>
      <c r="AR872" s="241"/>
      <c r="AS872" s="241"/>
      <c r="AT872" s="241"/>
      <c r="AU872" s="241"/>
      <c r="AV872" s="241"/>
      <c r="AW872" s="241"/>
      <c r="AX872" s="241"/>
      <c r="AY872" s="241"/>
      <c r="AZ872" s="241"/>
    </row>
    <row r="873" spans="1:52" ht="18" customHeight="1">
      <c r="A873" s="250"/>
      <c r="B873" s="241"/>
      <c r="C873" s="241"/>
      <c r="D873" s="241"/>
      <c r="E873" s="241"/>
      <c r="F873" s="241"/>
      <c r="G873" s="241"/>
      <c r="H873" s="241"/>
      <c r="I873" s="241"/>
      <c r="J873" s="241"/>
      <c r="K873" s="241"/>
      <c r="L873" s="241"/>
      <c r="M873" s="241"/>
      <c r="N873" s="241"/>
      <c r="O873" s="241"/>
      <c r="P873" s="241"/>
      <c r="Q873" s="241"/>
      <c r="R873" s="241"/>
      <c r="S873" s="241"/>
      <c r="T873" s="241"/>
      <c r="U873" s="241"/>
      <c r="V873" s="241"/>
      <c r="W873" s="241"/>
      <c r="X873" s="241"/>
      <c r="Y873" s="241"/>
      <c r="Z873" s="241"/>
      <c r="AA873" s="241"/>
      <c r="AB873" s="241"/>
      <c r="AC873" s="241"/>
      <c r="AD873" s="241"/>
      <c r="AE873" s="241"/>
      <c r="AF873" s="241"/>
      <c r="AG873" s="241"/>
      <c r="AH873" s="241"/>
      <c r="AI873" s="241"/>
      <c r="AJ873" s="241"/>
      <c r="AK873" s="241"/>
      <c r="AL873" s="241"/>
      <c r="AM873" s="241"/>
      <c r="AN873" s="241"/>
      <c r="AO873" s="241"/>
      <c r="AP873" s="241"/>
      <c r="AQ873" s="241"/>
      <c r="AR873" s="241"/>
      <c r="AS873" s="241"/>
      <c r="AT873" s="241"/>
      <c r="AU873" s="241"/>
      <c r="AV873" s="241"/>
      <c r="AW873" s="241"/>
      <c r="AX873" s="241"/>
      <c r="AY873" s="241"/>
      <c r="AZ873" s="241"/>
    </row>
    <row r="874" spans="1:52" ht="18" customHeight="1">
      <c r="A874" s="250"/>
      <c r="B874" s="241"/>
      <c r="C874" s="241"/>
      <c r="D874" s="241"/>
      <c r="E874" s="241"/>
      <c r="F874" s="241"/>
      <c r="G874" s="241"/>
      <c r="H874" s="241"/>
      <c r="I874" s="241"/>
      <c r="J874" s="241"/>
      <c r="K874" s="241"/>
      <c r="L874" s="241"/>
      <c r="M874" s="241"/>
      <c r="N874" s="241"/>
      <c r="O874" s="241"/>
      <c r="P874" s="241"/>
      <c r="Q874" s="241"/>
      <c r="R874" s="241"/>
      <c r="S874" s="241"/>
      <c r="T874" s="241"/>
      <c r="U874" s="241"/>
      <c r="V874" s="241"/>
      <c r="W874" s="241"/>
      <c r="X874" s="241"/>
      <c r="Y874" s="241"/>
      <c r="Z874" s="241"/>
      <c r="AA874" s="241"/>
      <c r="AB874" s="241"/>
      <c r="AC874" s="241"/>
      <c r="AD874" s="241"/>
      <c r="AE874" s="241"/>
      <c r="AF874" s="241"/>
      <c r="AG874" s="241"/>
      <c r="AH874" s="241"/>
      <c r="AI874" s="241"/>
      <c r="AJ874" s="241"/>
      <c r="AK874" s="241"/>
      <c r="AL874" s="241"/>
      <c r="AM874" s="241"/>
      <c r="AN874" s="241"/>
      <c r="AO874" s="241"/>
      <c r="AP874" s="241"/>
      <c r="AQ874" s="241"/>
      <c r="AR874" s="241"/>
      <c r="AS874" s="241"/>
      <c r="AT874" s="241"/>
      <c r="AU874" s="241"/>
      <c r="AV874" s="241"/>
      <c r="AW874" s="241"/>
      <c r="AX874" s="241"/>
      <c r="AY874" s="241"/>
      <c r="AZ874" s="241"/>
    </row>
    <row r="875" spans="1:52" ht="18" customHeight="1">
      <c r="A875" s="250"/>
      <c r="B875" s="241"/>
      <c r="C875" s="241"/>
      <c r="D875" s="241"/>
      <c r="E875" s="241"/>
      <c r="F875" s="241"/>
      <c r="G875" s="241"/>
      <c r="H875" s="241"/>
      <c r="I875" s="241"/>
      <c r="J875" s="241"/>
      <c r="K875" s="241"/>
      <c r="L875" s="241"/>
      <c r="M875" s="241"/>
      <c r="N875" s="241"/>
      <c r="O875" s="241"/>
      <c r="P875" s="241"/>
      <c r="Q875" s="241"/>
      <c r="R875" s="241"/>
      <c r="S875" s="241"/>
      <c r="T875" s="241"/>
      <c r="U875" s="241"/>
      <c r="V875" s="241"/>
      <c r="W875" s="241"/>
      <c r="X875" s="241"/>
      <c r="Y875" s="241"/>
      <c r="Z875" s="241"/>
      <c r="AA875" s="241"/>
      <c r="AB875" s="241"/>
      <c r="AC875" s="241"/>
      <c r="AD875" s="241"/>
      <c r="AE875" s="241"/>
      <c r="AF875" s="241"/>
      <c r="AG875" s="241"/>
      <c r="AH875" s="241"/>
      <c r="AI875" s="241"/>
      <c r="AJ875" s="241"/>
      <c r="AK875" s="241"/>
      <c r="AL875" s="241"/>
      <c r="AM875" s="241"/>
      <c r="AN875" s="241"/>
      <c r="AO875" s="241"/>
      <c r="AP875" s="241"/>
      <c r="AQ875" s="241"/>
      <c r="AR875" s="241"/>
      <c r="AS875" s="241"/>
      <c r="AT875" s="241"/>
      <c r="AU875" s="241"/>
      <c r="AV875" s="241"/>
      <c r="AW875" s="241"/>
      <c r="AX875" s="241"/>
      <c r="AY875" s="241"/>
      <c r="AZ875" s="241"/>
    </row>
    <row r="876" spans="1:52" ht="18" customHeight="1">
      <c r="A876" s="250"/>
      <c r="B876" s="241"/>
      <c r="C876" s="241"/>
      <c r="D876" s="241"/>
      <c r="E876" s="241"/>
      <c r="F876" s="241"/>
      <c r="G876" s="241"/>
      <c r="H876" s="241"/>
      <c r="I876" s="241"/>
      <c r="J876" s="241"/>
      <c r="K876" s="241"/>
      <c r="L876" s="241"/>
      <c r="M876" s="241"/>
      <c r="N876" s="241"/>
      <c r="O876" s="241"/>
      <c r="P876" s="241"/>
      <c r="Q876" s="241"/>
      <c r="R876" s="241"/>
      <c r="S876" s="241"/>
      <c r="T876" s="241"/>
      <c r="U876" s="241"/>
      <c r="V876" s="241"/>
      <c r="W876" s="241"/>
      <c r="X876" s="241"/>
      <c r="Y876" s="241"/>
      <c r="Z876" s="241"/>
      <c r="AA876" s="241"/>
      <c r="AB876" s="241"/>
      <c r="AC876" s="241"/>
      <c r="AD876" s="241"/>
      <c r="AE876" s="241"/>
      <c r="AF876" s="241"/>
      <c r="AG876" s="241"/>
      <c r="AH876" s="241"/>
      <c r="AI876" s="241"/>
      <c r="AJ876" s="241"/>
      <c r="AK876" s="241"/>
      <c r="AL876" s="241"/>
      <c r="AM876" s="241"/>
      <c r="AN876" s="241"/>
      <c r="AO876" s="241"/>
      <c r="AP876" s="241"/>
      <c r="AQ876" s="241"/>
      <c r="AR876" s="241"/>
      <c r="AS876" s="241"/>
      <c r="AT876" s="241"/>
      <c r="AU876" s="241"/>
      <c r="AV876" s="241"/>
      <c r="AW876" s="241"/>
      <c r="AX876" s="241"/>
      <c r="AY876" s="241"/>
      <c r="AZ876" s="241"/>
    </row>
    <row r="877" spans="1:52" ht="18" customHeight="1">
      <c r="A877" s="250"/>
      <c r="B877" s="241"/>
      <c r="C877" s="241"/>
      <c r="D877" s="241"/>
      <c r="E877" s="241"/>
      <c r="F877" s="241"/>
      <c r="G877" s="241"/>
      <c r="H877" s="241"/>
      <c r="I877" s="241"/>
      <c r="J877" s="241"/>
      <c r="K877" s="241"/>
      <c r="L877" s="241"/>
      <c r="M877" s="241"/>
      <c r="N877" s="241"/>
      <c r="O877" s="241"/>
      <c r="P877" s="241"/>
      <c r="Q877" s="241"/>
      <c r="R877" s="241"/>
      <c r="S877" s="241"/>
      <c r="T877" s="241"/>
      <c r="U877" s="241"/>
      <c r="V877" s="241"/>
      <c r="W877" s="241"/>
      <c r="X877" s="241"/>
      <c r="Y877" s="241"/>
      <c r="Z877" s="241"/>
      <c r="AA877" s="241"/>
      <c r="AB877" s="241"/>
      <c r="AC877" s="241"/>
      <c r="AD877" s="241"/>
      <c r="AE877" s="241"/>
      <c r="AF877" s="241"/>
      <c r="AG877" s="241"/>
      <c r="AH877" s="241"/>
      <c r="AI877" s="241"/>
      <c r="AJ877" s="241"/>
      <c r="AK877" s="241"/>
      <c r="AL877" s="241"/>
      <c r="AM877" s="241"/>
      <c r="AN877" s="241"/>
      <c r="AO877" s="241"/>
      <c r="AP877" s="241"/>
      <c r="AQ877" s="241"/>
      <c r="AR877" s="241"/>
      <c r="AS877" s="241"/>
      <c r="AT877" s="241"/>
      <c r="AU877" s="241"/>
      <c r="AV877" s="241"/>
      <c r="AW877" s="241"/>
      <c r="AX877" s="241"/>
      <c r="AY877" s="241"/>
      <c r="AZ877" s="241"/>
    </row>
    <row r="878" spans="1:52" ht="18" customHeight="1">
      <c r="A878" s="250"/>
      <c r="B878" s="241"/>
      <c r="C878" s="241"/>
      <c r="D878" s="241"/>
      <c r="E878" s="241"/>
      <c r="F878" s="241"/>
      <c r="G878" s="241"/>
      <c r="H878" s="241"/>
      <c r="I878" s="241"/>
      <c r="J878" s="241"/>
      <c r="K878" s="241"/>
      <c r="L878" s="241"/>
      <c r="M878" s="241"/>
      <c r="N878" s="241"/>
      <c r="O878" s="241"/>
      <c r="P878" s="241"/>
      <c r="Q878" s="241"/>
      <c r="R878" s="241"/>
      <c r="S878" s="241"/>
      <c r="T878" s="241"/>
      <c r="U878" s="241"/>
      <c r="V878" s="241"/>
      <c r="W878" s="241"/>
      <c r="X878" s="241"/>
      <c r="Y878" s="241"/>
      <c r="Z878" s="241"/>
      <c r="AA878" s="241"/>
      <c r="AB878" s="241"/>
      <c r="AC878" s="241"/>
      <c r="AD878" s="241"/>
      <c r="AE878" s="241"/>
      <c r="AF878" s="241"/>
      <c r="AG878" s="241"/>
      <c r="AH878" s="241"/>
      <c r="AI878" s="241"/>
      <c r="AJ878" s="241"/>
      <c r="AK878" s="241"/>
      <c r="AL878" s="241"/>
      <c r="AM878" s="241"/>
      <c r="AN878" s="241"/>
      <c r="AO878" s="241"/>
      <c r="AP878" s="241"/>
      <c r="AQ878" s="241"/>
      <c r="AR878" s="241"/>
      <c r="AS878" s="241"/>
      <c r="AT878" s="241"/>
      <c r="AU878" s="241"/>
      <c r="AV878" s="241"/>
      <c r="AW878" s="241"/>
      <c r="AX878" s="241"/>
      <c r="AY878" s="241"/>
      <c r="AZ878" s="241"/>
    </row>
    <row r="879" spans="1:52" ht="18" customHeight="1">
      <c r="A879" s="250"/>
      <c r="B879" s="241"/>
      <c r="C879" s="241"/>
      <c r="D879" s="241"/>
      <c r="E879" s="241"/>
      <c r="F879" s="241"/>
      <c r="G879" s="241"/>
      <c r="H879" s="241"/>
      <c r="I879" s="241"/>
      <c r="J879" s="241"/>
      <c r="K879" s="241"/>
      <c r="L879" s="241"/>
      <c r="M879" s="241"/>
      <c r="N879" s="241"/>
      <c r="O879" s="241"/>
      <c r="P879" s="241"/>
      <c r="Q879" s="241"/>
      <c r="R879" s="241"/>
      <c r="S879" s="241"/>
      <c r="T879" s="241"/>
      <c r="U879" s="241"/>
      <c r="V879" s="241"/>
      <c r="W879" s="241"/>
      <c r="X879" s="241"/>
      <c r="Y879" s="241"/>
      <c r="Z879" s="241"/>
      <c r="AA879" s="241"/>
      <c r="AB879" s="241"/>
      <c r="AC879" s="241"/>
      <c r="AD879" s="241"/>
      <c r="AE879" s="241"/>
      <c r="AF879" s="241"/>
      <c r="AG879" s="241"/>
      <c r="AH879" s="241"/>
      <c r="AI879" s="241"/>
      <c r="AJ879" s="241"/>
      <c r="AK879" s="241"/>
      <c r="AL879" s="241"/>
      <c r="AM879" s="241"/>
      <c r="AN879" s="241"/>
      <c r="AO879" s="241"/>
      <c r="AP879" s="241"/>
      <c r="AQ879" s="241"/>
      <c r="AR879" s="241"/>
      <c r="AS879" s="241"/>
      <c r="AT879" s="241"/>
      <c r="AU879" s="241"/>
      <c r="AV879" s="241"/>
      <c r="AW879" s="241"/>
      <c r="AX879" s="241"/>
      <c r="AY879" s="241"/>
      <c r="AZ879" s="241"/>
    </row>
    <row r="880" spans="1:52" ht="18" customHeight="1">
      <c r="A880" s="250"/>
      <c r="B880" s="241"/>
      <c r="C880" s="241"/>
      <c r="D880" s="241"/>
      <c r="E880" s="241"/>
      <c r="F880" s="241"/>
      <c r="G880" s="241"/>
      <c r="H880" s="241"/>
      <c r="I880" s="241"/>
      <c r="J880" s="241"/>
      <c r="K880" s="241"/>
      <c r="L880" s="241"/>
      <c r="M880" s="241"/>
      <c r="N880" s="241"/>
      <c r="O880" s="241"/>
      <c r="P880" s="241"/>
      <c r="Q880" s="241"/>
      <c r="R880" s="241"/>
      <c r="S880" s="241"/>
      <c r="T880" s="241"/>
      <c r="U880" s="241"/>
      <c r="V880" s="241"/>
      <c r="W880" s="241"/>
      <c r="X880" s="241"/>
      <c r="Y880" s="241"/>
      <c r="Z880" s="241"/>
      <c r="AA880" s="241"/>
      <c r="AB880" s="241"/>
      <c r="AC880" s="241"/>
      <c r="AD880" s="241"/>
      <c r="AE880" s="241"/>
      <c r="AF880" s="241"/>
      <c r="AG880" s="241"/>
      <c r="AH880" s="241"/>
      <c r="AI880" s="241"/>
      <c r="AJ880" s="241"/>
      <c r="AK880" s="241"/>
      <c r="AL880" s="241"/>
      <c r="AM880" s="241"/>
      <c r="AN880" s="241"/>
      <c r="AO880" s="241"/>
      <c r="AP880" s="241"/>
      <c r="AQ880" s="241"/>
      <c r="AR880" s="241"/>
      <c r="AS880" s="241"/>
      <c r="AT880" s="241"/>
      <c r="AU880" s="241"/>
      <c r="AV880" s="241"/>
      <c r="AW880" s="241"/>
      <c r="AX880" s="241"/>
      <c r="AY880" s="241"/>
      <c r="AZ880" s="241"/>
    </row>
    <row r="881" spans="1:52" ht="18" customHeight="1">
      <c r="A881" s="250"/>
      <c r="B881" s="241"/>
      <c r="C881" s="241"/>
      <c r="D881" s="241"/>
      <c r="E881" s="241"/>
      <c r="F881" s="241"/>
      <c r="G881" s="241"/>
      <c r="H881" s="241"/>
      <c r="I881" s="241"/>
      <c r="J881" s="241"/>
      <c r="K881" s="241"/>
      <c r="L881" s="241"/>
      <c r="M881" s="241"/>
      <c r="N881" s="241"/>
      <c r="O881" s="241"/>
      <c r="P881" s="241"/>
      <c r="Q881" s="241"/>
      <c r="R881" s="241"/>
      <c r="S881" s="241"/>
      <c r="T881" s="241"/>
      <c r="U881" s="241"/>
      <c r="V881" s="241"/>
      <c r="W881" s="241"/>
      <c r="X881" s="241"/>
      <c r="Y881" s="241"/>
      <c r="Z881" s="241"/>
      <c r="AA881" s="241"/>
      <c r="AB881" s="241"/>
      <c r="AC881" s="241"/>
      <c r="AD881" s="241"/>
      <c r="AE881" s="241"/>
      <c r="AF881" s="241"/>
      <c r="AG881" s="241"/>
      <c r="AH881" s="241"/>
      <c r="AI881" s="241"/>
      <c r="AJ881" s="241"/>
      <c r="AK881" s="241"/>
      <c r="AL881" s="241"/>
      <c r="AM881" s="241"/>
      <c r="AN881" s="241"/>
      <c r="AO881" s="241"/>
      <c r="AP881" s="241"/>
      <c r="AQ881" s="241"/>
      <c r="AR881" s="241"/>
      <c r="AS881" s="241"/>
      <c r="AT881" s="241"/>
      <c r="AU881" s="241"/>
      <c r="AV881" s="241"/>
      <c r="AW881" s="241"/>
      <c r="AX881" s="241"/>
      <c r="AY881" s="241"/>
      <c r="AZ881" s="241"/>
    </row>
    <row r="882" spans="1:52" ht="18" customHeight="1">
      <c r="A882" s="250"/>
      <c r="B882" s="241"/>
      <c r="C882" s="241"/>
      <c r="D882" s="241"/>
      <c r="E882" s="241"/>
      <c r="F882" s="241"/>
      <c r="G882" s="241"/>
      <c r="H882" s="241"/>
      <c r="I882" s="241"/>
      <c r="J882" s="241"/>
      <c r="K882" s="241"/>
      <c r="L882" s="241"/>
      <c r="M882" s="241"/>
      <c r="N882" s="241"/>
      <c r="O882" s="241"/>
      <c r="P882" s="241"/>
      <c r="Q882" s="241"/>
      <c r="R882" s="241"/>
      <c r="S882" s="241"/>
      <c r="T882" s="241"/>
      <c r="U882" s="241"/>
      <c r="V882" s="241"/>
      <c r="W882" s="241"/>
      <c r="X882" s="241"/>
      <c r="Y882" s="241"/>
      <c r="Z882" s="241"/>
      <c r="AA882" s="241"/>
      <c r="AB882" s="241"/>
      <c r="AC882" s="241"/>
      <c r="AD882" s="241"/>
      <c r="AE882" s="241"/>
      <c r="AF882" s="241"/>
      <c r="AG882" s="241"/>
      <c r="AH882" s="241"/>
      <c r="AI882" s="241"/>
      <c r="AJ882" s="241"/>
      <c r="AK882" s="241"/>
      <c r="AL882" s="241"/>
      <c r="AM882" s="241"/>
      <c r="AN882" s="241"/>
      <c r="AO882" s="241"/>
      <c r="AP882" s="241"/>
      <c r="AQ882" s="241"/>
      <c r="AR882" s="241"/>
      <c r="AS882" s="241"/>
      <c r="AT882" s="241"/>
      <c r="AU882" s="241"/>
      <c r="AV882" s="241"/>
      <c r="AW882" s="241"/>
      <c r="AX882" s="241"/>
      <c r="AY882" s="241"/>
      <c r="AZ882" s="241"/>
    </row>
    <row r="883" spans="1:52" ht="18" customHeight="1">
      <c r="A883" s="250"/>
      <c r="B883" s="241"/>
      <c r="C883" s="241"/>
      <c r="D883" s="241"/>
      <c r="E883" s="241"/>
      <c r="F883" s="241"/>
      <c r="G883" s="241"/>
      <c r="H883" s="241"/>
      <c r="I883" s="241"/>
      <c r="J883" s="241"/>
      <c r="K883" s="241"/>
      <c r="L883" s="241"/>
      <c r="M883" s="241"/>
      <c r="N883" s="241"/>
      <c r="O883" s="241"/>
      <c r="P883" s="241"/>
      <c r="Q883" s="241"/>
      <c r="R883" s="241"/>
      <c r="S883" s="241"/>
      <c r="T883" s="241"/>
      <c r="U883" s="241"/>
      <c r="V883" s="241"/>
      <c r="W883" s="241"/>
      <c r="X883" s="241"/>
      <c r="Y883" s="241"/>
      <c r="Z883" s="241"/>
      <c r="AA883" s="241"/>
      <c r="AB883" s="241"/>
      <c r="AC883" s="241"/>
      <c r="AD883" s="241"/>
      <c r="AE883" s="241"/>
      <c r="AF883" s="241"/>
      <c r="AG883" s="241"/>
      <c r="AH883" s="241"/>
      <c r="AI883" s="241"/>
      <c r="AJ883" s="241"/>
      <c r="AK883" s="241"/>
      <c r="AL883" s="241"/>
      <c r="AM883" s="241"/>
      <c r="AN883" s="241"/>
      <c r="AO883" s="241"/>
      <c r="AP883" s="241"/>
      <c r="AQ883" s="241"/>
      <c r="AR883" s="241"/>
      <c r="AS883" s="241"/>
      <c r="AT883" s="241"/>
      <c r="AU883" s="241"/>
      <c r="AV883" s="241"/>
      <c r="AW883" s="241"/>
      <c r="AX883" s="241"/>
      <c r="AY883" s="241"/>
      <c r="AZ883" s="241"/>
    </row>
    <row r="884" spans="1:52" ht="18" customHeight="1">
      <c r="A884" s="250"/>
      <c r="B884" s="241"/>
      <c r="C884" s="241"/>
      <c r="D884" s="241"/>
      <c r="E884" s="241"/>
      <c r="F884" s="241"/>
      <c r="G884" s="241"/>
      <c r="H884" s="241"/>
      <c r="I884" s="241"/>
      <c r="J884" s="241"/>
      <c r="K884" s="241"/>
      <c r="L884" s="241"/>
      <c r="M884" s="241"/>
      <c r="N884" s="241"/>
      <c r="O884" s="241"/>
      <c r="P884" s="241"/>
      <c r="Q884" s="241"/>
      <c r="R884" s="241"/>
      <c r="S884" s="241"/>
      <c r="T884" s="241"/>
      <c r="U884" s="241"/>
      <c r="V884" s="241"/>
      <c r="W884" s="241"/>
      <c r="X884" s="241"/>
      <c r="Y884" s="241"/>
      <c r="Z884" s="241"/>
      <c r="AA884" s="241"/>
      <c r="AB884" s="241"/>
      <c r="AC884" s="241"/>
      <c r="AD884" s="241"/>
      <c r="AE884" s="241"/>
      <c r="AF884" s="241"/>
      <c r="AG884" s="241"/>
      <c r="AH884" s="241"/>
      <c r="AI884" s="241"/>
      <c r="AJ884" s="241"/>
      <c r="AK884" s="241"/>
      <c r="AL884" s="241"/>
      <c r="AM884" s="241"/>
      <c r="AN884" s="241"/>
      <c r="AO884" s="241"/>
      <c r="AP884" s="241"/>
      <c r="AQ884" s="241"/>
      <c r="AR884" s="241"/>
      <c r="AS884" s="241"/>
      <c r="AT884" s="241"/>
      <c r="AU884" s="241"/>
      <c r="AV884" s="241"/>
      <c r="AW884" s="241"/>
      <c r="AX884" s="241"/>
      <c r="AY884" s="241"/>
      <c r="AZ884" s="241"/>
    </row>
    <row r="885" spans="1:52" ht="18" customHeight="1">
      <c r="A885" s="250"/>
      <c r="B885" s="241"/>
      <c r="C885" s="241"/>
      <c r="D885" s="241"/>
      <c r="E885" s="241"/>
      <c r="F885" s="241"/>
      <c r="G885" s="241"/>
      <c r="H885" s="241"/>
      <c r="I885" s="241"/>
      <c r="J885" s="241"/>
      <c r="K885" s="241"/>
      <c r="L885" s="241"/>
      <c r="M885" s="241"/>
      <c r="N885" s="241"/>
      <c r="O885" s="241"/>
      <c r="P885" s="241"/>
      <c r="Q885" s="241"/>
      <c r="R885" s="241"/>
      <c r="S885" s="241"/>
      <c r="T885" s="241"/>
      <c r="U885" s="241"/>
      <c r="V885" s="241"/>
      <c r="W885" s="241"/>
      <c r="X885" s="241"/>
      <c r="Y885" s="241"/>
      <c r="Z885" s="241"/>
      <c r="AA885" s="241"/>
      <c r="AB885" s="241"/>
      <c r="AC885" s="241"/>
      <c r="AD885" s="241"/>
      <c r="AE885" s="241"/>
      <c r="AF885" s="241"/>
      <c r="AG885" s="241"/>
      <c r="AH885" s="241"/>
      <c r="AI885" s="241"/>
      <c r="AJ885" s="241"/>
      <c r="AK885" s="241"/>
      <c r="AL885" s="241"/>
      <c r="AM885" s="241"/>
      <c r="AN885" s="241"/>
      <c r="AO885" s="241"/>
      <c r="AP885" s="241"/>
      <c r="AQ885" s="241"/>
      <c r="AR885" s="241"/>
      <c r="AS885" s="241"/>
      <c r="AT885" s="241"/>
      <c r="AU885" s="241"/>
      <c r="AV885" s="241"/>
      <c r="AW885" s="241"/>
      <c r="AX885" s="241"/>
      <c r="AY885" s="241"/>
      <c r="AZ885" s="241"/>
    </row>
    <row r="886" spans="1:52" ht="18" customHeight="1">
      <c r="A886" s="250"/>
      <c r="B886" s="241"/>
      <c r="C886" s="241"/>
      <c r="D886" s="241"/>
      <c r="E886" s="241"/>
      <c r="F886" s="241"/>
      <c r="G886" s="241"/>
      <c r="H886" s="241"/>
      <c r="I886" s="241"/>
      <c r="J886" s="241"/>
      <c r="K886" s="241"/>
      <c r="L886" s="241"/>
      <c r="M886" s="241"/>
      <c r="N886" s="241"/>
      <c r="O886" s="241"/>
      <c r="P886" s="241"/>
      <c r="Q886" s="241"/>
      <c r="R886" s="241"/>
      <c r="S886" s="241"/>
      <c r="T886" s="241"/>
      <c r="U886" s="241"/>
      <c r="V886" s="241"/>
      <c r="W886" s="241"/>
      <c r="X886" s="241"/>
      <c r="Y886" s="241"/>
      <c r="Z886" s="241"/>
      <c r="AA886" s="241"/>
      <c r="AB886" s="241"/>
      <c r="AC886" s="241"/>
      <c r="AD886" s="241"/>
      <c r="AE886" s="241"/>
      <c r="AF886" s="241"/>
      <c r="AG886" s="241"/>
      <c r="AH886" s="241"/>
      <c r="AI886" s="241"/>
      <c r="AJ886" s="241"/>
      <c r="AK886" s="241"/>
      <c r="AL886" s="241"/>
      <c r="AM886" s="241"/>
      <c r="AN886" s="241"/>
      <c r="AO886" s="241"/>
      <c r="AP886" s="241"/>
      <c r="AQ886" s="241"/>
      <c r="AR886" s="241"/>
      <c r="AS886" s="241"/>
      <c r="AT886" s="241"/>
      <c r="AU886" s="241"/>
      <c r="AV886" s="241"/>
      <c r="AW886" s="241"/>
      <c r="AX886" s="241"/>
      <c r="AY886" s="241"/>
      <c r="AZ886" s="241"/>
    </row>
    <row r="887" spans="1:52" ht="18" customHeight="1">
      <c r="A887" s="250"/>
      <c r="B887" s="241"/>
      <c r="C887" s="241"/>
      <c r="D887" s="241"/>
      <c r="E887" s="241"/>
      <c r="F887" s="241"/>
      <c r="G887" s="241"/>
      <c r="H887" s="241"/>
      <c r="I887" s="241"/>
      <c r="J887" s="241"/>
      <c r="K887" s="241"/>
      <c r="L887" s="241"/>
      <c r="M887" s="241"/>
      <c r="N887" s="241"/>
      <c r="O887" s="241"/>
      <c r="P887" s="241"/>
      <c r="Q887" s="241"/>
      <c r="R887" s="241"/>
      <c r="S887" s="241"/>
      <c r="T887" s="241"/>
      <c r="U887" s="241"/>
      <c r="V887" s="241"/>
      <c r="W887" s="241"/>
      <c r="X887" s="241"/>
      <c r="Y887" s="241"/>
      <c r="Z887" s="241"/>
      <c r="AA887" s="241"/>
      <c r="AB887" s="241"/>
      <c r="AC887" s="241"/>
      <c r="AD887" s="241"/>
      <c r="AE887" s="241"/>
      <c r="AF887" s="241"/>
      <c r="AG887" s="241"/>
      <c r="AH887" s="241"/>
      <c r="AI887" s="241"/>
      <c r="AJ887" s="241"/>
      <c r="AK887" s="241"/>
      <c r="AL887" s="241"/>
      <c r="AM887" s="241"/>
      <c r="AN887" s="241"/>
      <c r="AO887" s="241"/>
      <c r="AP887" s="241"/>
      <c r="AQ887" s="241"/>
      <c r="AR887" s="241"/>
      <c r="AS887" s="241"/>
      <c r="AT887" s="241"/>
      <c r="AU887" s="241"/>
      <c r="AV887" s="241"/>
      <c r="AW887" s="241"/>
      <c r="AX887" s="241"/>
      <c r="AY887" s="241"/>
      <c r="AZ887" s="241"/>
    </row>
    <row r="888" spans="1:52" ht="18" customHeight="1">
      <c r="A888" s="250"/>
      <c r="B888" s="241"/>
      <c r="C888" s="241"/>
      <c r="D888" s="241"/>
      <c r="E888" s="241"/>
      <c r="F888" s="241"/>
      <c r="G888" s="241"/>
      <c r="H888" s="241"/>
      <c r="I888" s="241"/>
      <c r="J888" s="241"/>
      <c r="K888" s="241"/>
      <c r="L888" s="241"/>
      <c r="M888" s="241"/>
      <c r="N888" s="241"/>
      <c r="O888" s="241"/>
      <c r="P888" s="241"/>
      <c r="Q888" s="241"/>
      <c r="R888" s="241"/>
      <c r="S888" s="241"/>
      <c r="T888" s="241"/>
      <c r="U888" s="241"/>
      <c r="V888" s="241"/>
      <c r="W888" s="241"/>
      <c r="X888" s="241"/>
      <c r="Y888" s="241"/>
      <c r="Z888" s="241"/>
      <c r="AA888" s="241"/>
      <c r="AB888" s="241"/>
      <c r="AC888" s="241"/>
      <c r="AD888" s="241"/>
      <c r="AE888" s="241"/>
      <c r="AF888" s="241"/>
      <c r="AG888" s="241"/>
      <c r="AH888" s="241"/>
      <c r="AI888" s="241"/>
      <c r="AJ888" s="241"/>
      <c r="AK888" s="241"/>
      <c r="AL888" s="241"/>
      <c r="AM888" s="241"/>
      <c r="AN888" s="241"/>
      <c r="AO888" s="241"/>
      <c r="AP888" s="241"/>
      <c r="AQ888" s="241"/>
      <c r="AR888" s="241"/>
      <c r="AS888" s="241"/>
      <c r="AT888" s="241"/>
      <c r="AU888" s="241"/>
      <c r="AV888" s="241"/>
      <c r="AW888" s="241"/>
      <c r="AX888" s="241"/>
      <c r="AY888" s="241"/>
      <c r="AZ888" s="241"/>
    </row>
    <row r="889" spans="1:52" ht="18" customHeight="1">
      <c r="A889" s="250"/>
      <c r="B889" s="241"/>
      <c r="C889" s="241"/>
      <c r="D889" s="241"/>
      <c r="E889" s="241"/>
      <c r="F889" s="241"/>
      <c r="G889" s="241"/>
      <c r="H889" s="241"/>
      <c r="I889" s="241"/>
      <c r="J889" s="241"/>
      <c r="K889" s="241"/>
      <c r="L889" s="241"/>
      <c r="M889" s="241"/>
      <c r="N889" s="241"/>
      <c r="O889" s="241"/>
      <c r="P889" s="241"/>
      <c r="Q889" s="241"/>
      <c r="R889" s="241"/>
      <c r="S889" s="241"/>
      <c r="T889" s="241"/>
      <c r="U889" s="241"/>
      <c r="V889" s="241"/>
      <c r="W889" s="241"/>
      <c r="X889" s="241"/>
      <c r="Y889" s="241"/>
      <c r="Z889" s="241"/>
      <c r="AA889" s="241"/>
      <c r="AB889" s="241"/>
      <c r="AC889" s="241"/>
      <c r="AD889" s="241"/>
      <c r="AE889" s="241"/>
      <c r="AF889" s="241"/>
      <c r="AG889" s="241"/>
      <c r="AH889" s="241"/>
      <c r="AI889" s="241"/>
      <c r="AJ889" s="241"/>
      <c r="AK889" s="241"/>
      <c r="AL889" s="241"/>
      <c r="AM889" s="241"/>
      <c r="AN889" s="241"/>
      <c r="AO889" s="241"/>
      <c r="AP889" s="241"/>
      <c r="AQ889" s="241"/>
      <c r="AR889" s="241"/>
      <c r="AS889" s="241"/>
      <c r="AT889" s="241"/>
      <c r="AU889" s="241"/>
      <c r="AV889" s="241"/>
      <c r="AW889" s="241"/>
      <c r="AX889" s="241"/>
      <c r="AY889" s="241"/>
      <c r="AZ889" s="241"/>
    </row>
    <row r="890" spans="1:52" ht="18" customHeight="1">
      <c r="A890" s="250"/>
      <c r="B890" s="241"/>
      <c r="C890" s="241"/>
      <c r="D890" s="241"/>
      <c r="E890" s="241"/>
      <c r="F890" s="241"/>
      <c r="G890" s="241"/>
      <c r="H890" s="241"/>
      <c r="I890" s="241"/>
      <c r="J890" s="241"/>
      <c r="K890" s="241"/>
      <c r="L890" s="241"/>
      <c r="M890" s="241"/>
      <c r="N890" s="241"/>
      <c r="O890" s="241"/>
      <c r="P890" s="241"/>
      <c r="Q890" s="241"/>
      <c r="R890" s="241"/>
      <c r="S890" s="241"/>
      <c r="T890" s="241"/>
      <c r="U890" s="241"/>
      <c r="V890" s="241"/>
      <c r="W890" s="241"/>
      <c r="X890" s="241"/>
      <c r="Y890" s="241"/>
      <c r="Z890" s="241"/>
      <c r="AA890" s="241"/>
      <c r="AB890" s="241"/>
      <c r="AC890" s="241"/>
      <c r="AD890" s="241"/>
      <c r="AE890" s="241"/>
      <c r="AF890" s="241"/>
      <c r="AG890" s="241"/>
      <c r="AH890" s="241"/>
      <c r="AI890" s="241"/>
      <c r="AJ890" s="241"/>
      <c r="AK890" s="241"/>
      <c r="AL890" s="241"/>
      <c r="AM890" s="241"/>
      <c r="AN890" s="241"/>
      <c r="AO890" s="241"/>
      <c r="AP890" s="241"/>
      <c r="AQ890" s="241"/>
      <c r="AR890" s="241"/>
      <c r="AS890" s="241"/>
      <c r="AT890" s="241"/>
      <c r="AU890" s="241"/>
      <c r="AV890" s="241"/>
      <c r="AW890" s="241"/>
      <c r="AX890" s="241"/>
      <c r="AY890" s="241"/>
      <c r="AZ890" s="241"/>
    </row>
    <row r="891" spans="1:52" ht="18" customHeight="1">
      <c r="A891" s="250"/>
      <c r="B891" s="241"/>
      <c r="C891" s="241"/>
      <c r="D891" s="241"/>
      <c r="E891" s="241"/>
      <c r="F891" s="241"/>
      <c r="G891" s="241"/>
      <c r="H891" s="241"/>
      <c r="I891" s="241"/>
      <c r="J891" s="241"/>
      <c r="K891" s="241"/>
      <c r="L891" s="241"/>
      <c r="M891" s="241"/>
      <c r="N891" s="241"/>
      <c r="O891" s="241"/>
      <c r="P891" s="241"/>
      <c r="Q891" s="241"/>
      <c r="R891" s="241"/>
      <c r="S891" s="241"/>
      <c r="T891" s="241"/>
      <c r="U891" s="241"/>
      <c r="V891" s="241"/>
      <c r="W891" s="241"/>
      <c r="X891" s="241"/>
      <c r="Y891" s="241"/>
      <c r="Z891" s="241"/>
      <c r="AA891" s="241"/>
      <c r="AB891" s="241"/>
      <c r="AC891" s="241"/>
      <c r="AD891" s="241"/>
      <c r="AE891" s="241"/>
      <c r="AF891" s="241"/>
      <c r="AG891" s="241"/>
      <c r="AH891" s="241"/>
      <c r="AI891" s="241"/>
      <c r="AJ891" s="241"/>
      <c r="AK891" s="241"/>
      <c r="AL891" s="241"/>
      <c r="AM891" s="241"/>
      <c r="AN891" s="241"/>
      <c r="AO891" s="241"/>
      <c r="AP891" s="241"/>
      <c r="AQ891" s="241"/>
      <c r="AR891" s="241"/>
      <c r="AS891" s="241"/>
      <c r="AT891" s="241"/>
      <c r="AU891" s="241"/>
      <c r="AV891" s="241"/>
      <c r="AW891" s="241"/>
      <c r="AX891" s="241"/>
      <c r="AY891" s="241"/>
      <c r="AZ891" s="241"/>
    </row>
    <row r="892" spans="1:52" ht="18" customHeight="1">
      <c r="A892" s="250"/>
      <c r="B892" s="241"/>
      <c r="C892" s="241"/>
      <c r="D892" s="241"/>
      <c r="E892" s="241"/>
      <c r="F892" s="241"/>
      <c r="G892" s="241"/>
      <c r="H892" s="241"/>
      <c r="I892" s="241"/>
      <c r="J892" s="241"/>
      <c r="K892" s="241"/>
      <c r="L892" s="241"/>
      <c r="M892" s="241"/>
      <c r="N892" s="241"/>
      <c r="O892" s="241"/>
      <c r="P892" s="241"/>
      <c r="Q892" s="241"/>
      <c r="R892" s="241"/>
      <c r="S892" s="241"/>
      <c r="T892" s="241"/>
      <c r="U892" s="241"/>
      <c r="V892" s="241"/>
      <c r="W892" s="241"/>
      <c r="X892" s="241"/>
      <c r="Y892" s="241"/>
      <c r="Z892" s="241"/>
      <c r="AA892" s="241"/>
      <c r="AB892" s="241"/>
      <c r="AC892" s="241"/>
      <c r="AD892" s="241"/>
      <c r="AE892" s="241"/>
      <c r="AF892" s="241"/>
      <c r="AG892" s="241"/>
      <c r="AH892" s="241"/>
      <c r="AI892" s="241"/>
      <c r="AJ892" s="241"/>
      <c r="AK892" s="241"/>
      <c r="AL892" s="241"/>
      <c r="AM892" s="241"/>
      <c r="AN892" s="241"/>
      <c r="AO892" s="241"/>
      <c r="AP892" s="241"/>
      <c r="AQ892" s="241"/>
      <c r="AR892" s="241"/>
      <c r="AS892" s="241"/>
      <c r="AT892" s="241"/>
      <c r="AU892" s="241"/>
      <c r="AV892" s="241"/>
      <c r="AW892" s="241"/>
      <c r="AX892" s="241"/>
      <c r="AY892" s="241"/>
      <c r="AZ892" s="241"/>
    </row>
    <row r="893" spans="1:52" ht="18" customHeight="1">
      <c r="A893" s="250"/>
      <c r="B893" s="241"/>
      <c r="C893" s="241"/>
      <c r="D893" s="241"/>
      <c r="E893" s="241"/>
      <c r="F893" s="241"/>
      <c r="G893" s="241"/>
      <c r="H893" s="241"/>
      <c r="I893" s="241"/>
      <c r="J893" s="241"/>
      <c r="K893" s="241"/>
      <c r="L893" s="241"/>
      <c r="M893" s="241"/>
      <c r="N893" s="241"/>
      <c r="O893" s="241"/>
      <c r="P893" s="241"/>
      <c r="Q893" s="241"/>
      <c r="R893" s="241"/>
      <c r="S893" s="241"/>
      <c r="T893" s="241"/>
      <c r="U893" s="241"/>
      <c r="V893" s="241"/>
      <c r="W893" s="241"/>
      <c r="X893" s="241"/>
      <c r="Y893" s="241"/>
      <c r="Z893" s="241"/>
      <c r="AA893" s="241"/>
      <c r="AB893" s="241"/>
      <c r="AC893" s="241"/>
      <c r="AD893" s="241"/>
      <c r="AE893" s="241"/>
      <c r="AF893" s="241"/>
      <c r="AG893" s="241"/>
      <c r="AH893" s="241"/>
      <c r="AI893" s="241"/>
      <c r="AJ893" s="241"/>
      <c r="AK893" s="241"/>
      <c r="AL893" s="241"/>
      <c r="AM893" s="241"/>
      <c r="AN893" s="241"/>
      <c r="AO893" s="241"/>
      <c r="AP893" s="241"/>
      <c r="AQ893" s="241"/>
      <c r="AR893" s="241"/>
      <c r="AS893" s="241"/>
      <c r="AT893" s="241"/>
      <c r="AU893" s="241"/>
      <c r="AV893" s="241"/>
      <c r="AW893" s="241"/>
      <c r="AX893" s="241"/>
      <c r="AY893" s="241"/>
      <c r="AZ893" s="241"/>
    </row>
    <row r="894" spans="1:52" ht="18" customHeight="1">
      <c r="A894" s="250"/>
      <c r="B894" s="241"/>
      <c r="C894" s="241"/>
      <c r="D894" s="241"/>
      <c r="E894" s="241"/>
      <c r="F894" s="241"/>
      <c r="G894" s="241"/>
      <c r="H894" s="241"/>
      <c r="I894" s="241"/>
      <c r="J894" s="241"/>
      <c r="K894" s="241"/>
      <c r="L894" s="241"/>
      <c r="M894" s="241"/>
      <c r="N894" s="241"/>
      <c r="O894" s="241"/>
      <c r="P894" s="241"/>
      <c r="Q894" s="241"/>
      <c r="R894" s="241"/>
      <c r="S894" s="241"/>
      <c r="T894" s="241"/>
      <c r="U894" s="241"/>
      <c r="V894" s="241"/>
      <c r="W894" s="241"/>
      <c r="X894" s="241"/>
      <c r="Y894" s="241"/>
      <c r="Z894" s="241"/>
      <c r="AA894" s="241"/>
      <c r="AB894" s="241"/>
      <c r="AC894" s="241"/>
      <c r="AD894" s="241"/>
      <c r="AE894" s="241"/>
      <c r="AF894" s="241"/>
      <c r="AG894" s="241"/>
      <c r="AH894" s="241"/>
      <c r="AI894" s="241"/>
      <c r="AJ894" s="241"/>
      <c r="AK894" s="241"/>
      <c r="AL894" s="241"/>
      <c r="AM894" s="241"/>
      <c r="AN894" s="241"/>
      <c r="AO894" s="241"/>
      <c r="AP894" s="241"/>
      <c r="AQ894" s="241"/>
      <c r="AR894" s="241"/>
      <c r="AS894" s="241"/>
      <c r="AT894" s="241"/>
      <c r="AU894" s="241"/>
      <c r="AV894" s="241"/>
      <c r="AW894" s="241"/>
      <c r="AX894" s="241"/>
      <c r="AY894" s="241"/>
      <c r="AZ894" s="241"/>
    </row>
    <row r="895" spans="1:52" ht="18" customHeight="1">
      <c r="A895" s="250"/>
      <c r="B895" s="241"/>
      <c r="C895" s="241"/>
      <c r="D895" s="241"/>
      <c r="E895" s="241"/>
      <c r="F895" s="241"/>
      <c r="G895" s="241"/>
      <c r="H895" s="241"/>
      <c r="I895" s="241"/>
      <c r="J895" s="241"/>
      <c r="K895" s="241"/>
      <c r="L895" s="241"/>
      <c r="M895" s="241"/>
      <c r="N895" s="241"/>
      <c r="O895" s="241"/>
      <c r="P895" s="241"/>
      <c r="Q895" s="241"/>
      <c r="R895" s="241"/>
      <c r="S895" s="241"/>
      <c r="T895" s="241"/>
      <c r="U895" s="241"/>
      <c r="V895" s="241"/>
      <c r="W895" s="241"/>
      <c r="X895" s="241"/>
      <c r="Y895" s="241"/>
      <c r="Z895" s="241"/>
      <c r="AA895" s="241"/>
      <c r="AB895" s="241"/>
      <c r="AC895" s="241"/>
      <c r="AD895" s="241"/>
      <c r="AE895" s="241"/>
      <c r="AF895" s="241"/>
      <c r="AG895" s="241"/>
      <c r="AH895" s="241"/>
      <c r="AI895" s="241"/>
      <c r="AJ895" s="241"/>
      <c r="AK895" s="241"/>
      <c r="AL895" s="241"/>
      <c r="AM895" s="241"/>
      <c r="AN895" s="241"/>
      <c r="AO895" s="241"/>
      <c r="AP895" s="241"/>
      <c r="AQ895" s="241"/>
      <c r="AR895" s="241"/>
      <c r="AS895" s="241"/>
      <c r="AT895" s="241"/>
      <c r="AU895" s="241"/>
      <c r="AV895" s="241"/>
      <c r="AW895" s="241"/>
      <c r="AX895" s="241"/>
      <c r="AY895" s="241"/>
      <c r="AZ895" s="241"/>
    </row>
    <row r="896" spans="1:52" ht="18" customHeight="1">
      <c r="A896" s="250"/>
      <c r="B896" s="241"/>
      <c r="C896" s="241"/>
      <c r="D896" s="241"/>
      <c r="E896" s="241"/>
      <c r="F896" s="241"/>
      <c r="G896" s="241"/>
      <c r="H896" s="241"/>
      <c r="I896" s="241"/>
      <c r="J896" s="241"/>
      <c r="K896" s="241"/>
      <c r="L896" s="241"/>
      <c r="M896" s="241"/>
      <c r="N896" s="241"/>
      <c r="O896" s="241"/>
      <c r="P896" s="241"/>
      <c r="Q896" s="241"/>
      <c r="R896" s="241"/>
      <c r="S896" s="241"/>
      <c r="T896" s="241"/>
      <c r="U896" s="241"/>
      <c r="V896" s="241"/>
      <c r="W896" s="241"/>
      <c r="X896" s="241"/>
      <c r="Y896" s="241"/>
      <c r="Z896" s="241"/>
      <c r="AA896" s="241"/>
      <c r="AB896" s="241"/>
      <c r="AC896" s="241"/>
      <c r="AD896" s="241"/>
      <c r="AE896" s="241"/>
      <c r="AF896" s="241"/>
      <c r="AG896" s="241"/>
      <c r="AH896" s="241"/>
      <c r="AI896" s="241"/>
      <c r="AJ896" s="241"/>
      <c r="AK896" s="241"/>
      <c r="AL896" s="241"/>
      <c r="AM896" s="241"/>
      <c r="AN896" s="241"/>
      <c r="AO896" s="241"/>
      <c r="AP896" s="241"/>
      <c r="AQ896" s="241"/>
      <c r="AR896" s="241"/>
      <c r="AS896" s="241"/>
      <c r="AT896" s="241"/>
      <c r="AU896" s="241"/>
      <c r="AV896" s="241"/>
      <c r="AW896" s="241"/>
      <c r="AX896" s="241"/>
      <c r="AY896" s="241"/>
      <c r="AZ896" s="241"/>
    </row>
    <row r="897" spans="1:52" ht="18" customHeight="1">
      <c r="A897" s="250"/>
      <c r="B897" s="241"/>
      <c r="C897" s="241"/>
      <c r="D897" s="241"/>
      <c r="E897" s="241"/>
      <c r="F897" s="241"/>
      <c r="G897" s="241"/>
      <c r="H897" s="241"/>
      <c r="I897" s="241"/>
      <c r="J897" s="241"/>
      <c r="K897" s="241"/>
      <c r="L897" s="241"/>
      <c r="M897" s="241"/>
      <c r="N897" s="241"/>
      <c r="O897" s="241"/>
      <c r="P897" s="241"/>
      <c r="Q897" s="241"/>
      <c r="R897" s="241"/>
      <c r="S897" s="241"/>
      <c r="T897" s="241"/>
      <c r="U897" s="241"/>
      <c r="V897" s="241"/>
      <c r="W897" s="241"/>
      <c r="X897" s="241"/>
      <c r="Y897" s="241"/>
      <c r="Z897" s="241"/>
      <c r="AA897" s="241"/>
      <c r="AB897" s="241"/>
      <c r="AC897" s="241"/>
      <c r="AD897" s="241"/>
      <c r="AE897" s="241"/>
      <c r="AF897" s="241"/>
      <c r="AG897" s="241"/>
      <c r="AH897" s="241"/>
      <c r="AI897" s="241"/>
      <c r="AJ897" s="241"/>
      <c r="AK897" s="241"/>
      <c r="AL897" s="241"/>
      <c r="AM897" s="241"/>
      <c r="AN897" s="241"/>
      <c r="AO897" s="241"/>
      <c r="AP897" s="241"/>
      <c r="AQ897" s="241"/>
      <c r="AR897" s="241"/>
      <c r="AS897" s="241"/>
      <c r="AT897" s="241"/>
      <c r="AU897" s="241"/>
      <c r="AV897" s="241"/>
      <c r="AW897" s="241"/>
      <c r="AX897" s="241"/>
      <c r="AY897" s="241"/>
      <c r="AZ897" s="241"/>
    </row>
    <row r="898" spans="1:52" ht="18" customHeight="1">
      <c r="A898" s="250"/>
      <c r="B898" s="241"/>
      <c r="C898" s="241"/>
      <c r="D898" s="241"/>
      <c r="E898" s="241"/>
      <c r="F898" s="241"/>
      <c r="G898" s="241"/>
      <c r="H898" s="241"/>
      <c r="I898" s="241"/>
      <c r="J898" s="241"/>
      <c r="K898" s="241"/>
      <c r="L898" s="241"/>
      <c r="M898" s="241"/>
      <c r="N898" s="241"/>
      <c r="O898" s="241"/>
      <c r="P898" s="241"/>
      <c r="Q898" s="241"/>
      <c r="R898" s="241"/>
      <c r="S898" s="241"/>
      <c r="T898" s="241"/>
      <c r="U898" s="241"/>
      <c r="V898" s="241"/>
      <c r="W898" s="241"/>
      <c r="X898" s="241"/>
      <c r="Y898" s="241"/>
      <c r="Z898" s="241"/>
      <c r="AA898" s="241"/>
      <c r="AB898" s="241"/>
      <c r="AC898" s="241"/>
      <c r="AD898" s="241"/>
      <c r="AE898" s="241"/>
      <c r="AF898" s="241"/>
      <c r="AG898" s="241"/>
      <c r="AH898" s="241"/>
      <c r="AI898" s="241"/>
      <c r="AJ898" s="241"/>
      <c r="AK898" s="241"/>
      <c r="AL898" s="241"/>
      <c r="AM898" s="241"/>
      <c r="AN898" s="241"/>
      <c r="AO898" s="241"/>
      <c r="AP898" s="241"/>
      <c r="AQ898" s="241"/>
      <c r="AR898" s="241"/>
      <c r="AS898" s="241"/>
      <c r="AT898" s="241"/>
      <c r="AU898" s="241"/>
      <c r="AV898" s="241"/>
      <c r="AW898" s="241"/>
      <c r="AX898" s="241"/>
      <c r="AY898" s="241"/>
      <c r="AZ898" s="241"/>
    </row>
    <row r="899" spans="1:52" ht="18" customHeight="1">
      <c r="A899" s="250"/>
      <c r="B899" s="241"/>
      <c r="C899" s="241"/>
      <c r="D899" s="241"/>
      <c r="E899" s="241"/>
      <c r="F899" s="241"/>
      <c r="G899" s="241"/>
      <c r="H899" s="241"/>
      <c r="I899" s="241"/>
      <c r="J899" s="241"/>
      <c r="K899" s="241"/>
      <c r="L899" s="241"/>
      <c r="M899" s="241"/>
      <c r="N899" s="241"/>
      <c r="O899" s="241"/>
      <c r="P899" s="241"/>
      <c r="Q899" s="241"/>
      <c r="R899" s="241"/>
      <c r="S899" s="241"/>
      <c r="T899" s="241"/>
      <c r="U899" s="241"/>
      <c r="V899" s="241"/>
      <c r="W899" s="241"/>
      <c r="X899" s="241"/>
      <c r="Y899" s="241"/>
      <c r="Z899" s="241"/>
      <c r="AA899" s="241"/>
      <c r="AB899" s="241"/>
      <c r="AC899" s="241"/>
      <c r="AD899" s="241"/>
      <c r="AE899" s="241"/>
      <c r="AF899" s="241"/>
      <c r="AG899" s="241"/>
      <c r="AH899" s="241"/>
      <c r="AI899" s="241"/>
      <c r="AJ899" s="241"/>
      <c r="AK899" s="241"/>
      <c r="AL899" s="241"/>
      <c r="AM899" s="241"/>
      <c r="AN899" s="241"/>
      <c r="AO899" s="241"/>
      <c r="AP899" s="241"/>
      <c r="AQ899" s="241"/>
      <c r="AR899" s="241"/>
      <c r="AS899" s="241"/>
      <c r="AT899" s="241"/>
      <c r="AU899" s="241"/>
      <c r="AV899" s="241"/>
      <c r="AW899" s="241"/>
      <c r="AX899" s="241"/>
      <c r="AY899" s="241"/>
      <c r="AZ899" s="241"/>
    </row>
    <row r="900" spans="1:52" ht="18" customHeight="1">
      <c r="A900" s="250"/>
      <c r="B900" s="241"/>
      <c r="C900" s="241"/>
      <c r="D900" s="241"/>
      <c r="E900" s="241"/>
      <c r="F900" s="241"/>
      <c r="G900" s="241"/>
      <c r="H900" s="241"/>
      <c r="I900" s="241"/>
      <c r="J900" s="241"/>
      <c r="K900" s="241"/>
      <c r="L900" s="241"/>
      <c r="M900" s="241"/>
      <c r="N900" s="241"/>
      <c r="O900" s="241"/>
      <c r="P900" s="241"/>
      <c r="Q900" s="241"/>
      <c r="R900" s="241"/>
      <c r="S900" s="241"/>
      <c r="T900" s="241"/>
      <c r="U900" s="241"/>
      <c r="V900" s="241"/>
      <c r="W900" s="241"/>
      <c r="X900" s="241"/>
      <c r="Y900" s="241"/>
      <c r="Z900" s="241"/>
      <c r="AA900" s="241"/>
      <c r="AB900" s="241"/>
      <c r="AC900" s="241"/>
      <c r="AD900" s="241"/>
      <c r="AE900" s="241"/>
      <c r="AF900" s="241"/>
      <c r="AG900" s="241"/>
      <c r="AH900" s="241"/>
      <c r="AI900" s="241"/>
      <c r="AJ900" s="241"/>
      <c r="AK900" s="241"/>
      <c r="AL900" s="241"/>
      <c r="AM900" s="241"/>
      <c r="AN900" s="241"/>
      <c r="AO900" s="241"/>
      <c r="AP900" s="241"/>
      <c r="AQ900" s="241"/>
      <c r="AR900" s="241"/>
      <c r="AS900" s="241"/>
      <c r="AT900" s="241"/>
      <c r="AU900" s="241"/>
      <c r="AV900" s="241"/>
      <c r="AW900" s="241"/>
      <c r="AX900" s="241"/>
      <c r="AY900" s="241"/>
      <c r="AZ900" s="241"/>
    </row>
    <row r="901" spans="1:52" ht="18" customHeight="1">
      <c r="A901" s="259"/>
      <c r="B901" s="244"/>
      <c r="C901" s="244"/>
      <c r="D901" s="244"/>
      <c r="E901" s="244"/>
      <c r="F901" s="244"/>
      <c r="G901" s="244"/>
      <c r="H901" s="244"/>
      <c r="I901" s="244"/>
      <c r="J901" s="244"/>
      <c r="K901" s="244"/>
      <c r="L901" s="244"/>
      <c r="M901" s="244"/>
      <c r="N901" s="244"/>
      <c r="O901" s="244"/>
      <c r="P901" s="244"/>
      <c r="Q901" s="244"/>
      <c r="R901" s="244"/>
      <c r="S901" s="244"/>
      <c r="T901" s="244"/>
      <c r="U901" s="244"/>
      <c r="V901" s="244"/>
      <c r="W901" s="244"/>
      <c r="X901" s="244"/>
      <c r="Y901" s="244"/>
      <c r="Z901" s="244"/>
      <c r="AA901" s="244"/>
      <c r="AB901" s="244"/>
      <c r="AC901" s="244"/>
      <c r="AD901" s="244"/>
      <c r="AE901" s="244"/>
      <c r="AF901" s="244"/>
      <c r="AG901" s="244"/>
      <c r="AH901" s="244"/>
      <c r="AI901" s="244"/>
      <c r="AJ901" s="244"/>
      <c r="AK901" s="244"/>
      <c r="AL901" s="244"/>
      <c r="AM901" s="244"/>
      <c r="AN901" s="244"/>
      <c r="AO901" s="244"/>
      <c r="AP901" s="244"/>
      <c r="AQ901" s="244"/>
      <c r="AR901" s="244"/>
      <c r="AS901" s="244"/>
      <c r="AT901" s="244"/>
      <c r="AU901" s="244"/>
      <c r="AV901" s="244"/>
      <c r="AW901" s="244"/>
      <c r="AX901" s="244"/>
      <c r="AY901" s="244"/>
      <c r="AZ901" s="244"/>
    </row>
    <row r="902" spans="1:52" ht="18" customHeight="1">
      <c r="A902" s="259"/>
      <c r="B902" s="244"/>
      <c r="C902" s="244"/>
      <c r="D902" s="244"/>
      <c r="E902" s="244"/>
      <c r="F902" s="244"/>
      <c r="G902" s="244"/>
      <c r="H902" s="244"/>
      <c r="I902" s="244"/>
      <c r="J902" s="244"/>
      <c r="K902" s="244"/>
      <c r="L902" s="244"/>
      <c r="M902" s="244"/>
      <c r="N902" s="244"/>
      <c r="O902" s="244"/>
      <c r="P902" s="244"/>
      <c r="Q902" s="244"/>
      <c r="R902" s="244"/>
      <c r="S902" s="244"/>
      <c r="T902" s="244"/>
      <c r="U902" s="244"/>
      <c r="V902" s="244"/>
      <c r="W902" s="244"/>
      <c r="X902" s="244"/>
      <c r="Y902" s="244"/>
      <c r="Z902" s="244"/>
      <c r="AA902" s="244"/>
      <c r="AB902" s="244"/>
      <c r="AC902" s="244"/>
      <c r="AD902" s="244"/>
      <c r="AE902" s="244"/>
      <c r="AF902" s="244"/>
      <c r="AG902" s="244"/>
      <c r="AH902" s="244"/>
      <c r="AI902" s="244"/>
      <c r="AJ902" s="244"/>
      <c r="AK902" s="244"/>
      <c r="AL902" s="244"/>
      <c r="AM902" s="244"/>
      <c r="AN902" s="244"/>
      <c r="AO902" s="244"/>
      <c r="AP902" s="244"/>
      <c r="AQ902" s="244"/>
      <c r="AR902" s="244"/>
      <c r="AS902" s="244"/>
      <c r="AT902" s="244"/>
      <c r="AU902" s="244"/>
      <c r="AV902" s="244"/>
      <c r="AW902" s="244"/>
      <c r="AX902" s="244"/>
      <c r="AY902" s="244"/>
      <c r="AZ902" s="244"/>
    </row>
    <row r="903" spans="1:52" ht="18" customHeight="1">
      <c r="A903" s="259"/>
      <c r="B903" s="244"/>
      <c r="C903" s="244"/>
      <c r="D903" s="244"/>
      <c r="E903" s="244"/>
      <c r="F903" s="244"/>
      <c r="G903" s="244"/>
      <c r="H903" s="244"/>
      <c r="I903" s="244"/>
      <c r="J903" s="244"/>
      <c r="K903" s="244"/>
      <c r="L903" s="244"/>
      <c r="M903" s="244"/>
      <c r="N903" s="244"/>
      <c r="O903" s="244"/>
      <c r="P903" s="244"/>
      <c r="Q903" s="244"/>
      <c r="R903" s="244"/>
      <c r="S903" s="244"/>
      <c r="T903" s="244"/>
      <c r="U903" s="244"/>
      <c r="V903" s="244"/>
      <c r="W903" s="244"/>
      <c r="X903" s="244"/>
      <c r="Y903" s="244"/>
      <c r="Z903" s="244"/>
      <c r="AA903" s="244"/>
      <c r="AB903" s="244"/>
      <c r="AC903" s="244"/>
      <c r="AD903" s="244"/>
      <c r="AE903" s="244"/>
      <c r="AF903" s="244"/>
      <c r="AG903" s="244"/>
      <c r="AH903" s="244"/>
      <c r="AI903" s="244"/>
      <c r="AJ903" s="244"/>
      <c r="AK903" s="244"/>
      <c r="AL903" s="244"/>
      <c r="AM903" s="244"/>
      <c r="AN903" s="244"/>
      <c r="AO903" s="244"/>
      <c r="AP903" s="244"/>
      <c r="AQ903" s="244"/>
      <c r="AR903" s="244"/>
      <c r="AS903" s="244"/>
      <c r="AT903" s="244"/>
      <c r="AU903" s="244"/>
      <c r="AV903" s="244"/>
      <c r="AW903" s="244"/>
      <c r="AX903" s="244"/>
      <c r="AY903" s="244"/>
      <c r="AZ903" s="244"/>
    </row>
    <row r="904" spans="1:52" ht="18" customHeight="1">
      <c r="A904" s="259"/>
      <c r="B904" s="244"/>
      <c r="C904" s="244"/>
      <c r="D904" s="244"/>
      <c r="E904" s="244"/>
      <c r="F904" s="244"/>
      <c r="G904" s="244"/>
      <c r="H904" s="244"/>
      <c r="I904" s="244"/>
      <c r="J904" s="244"/>
      <c r="K904" s="244"/>
      <c r="L904" s="244"/>
      <c r="M904" s="244"/>
      <c r="N904" s="244"/>
      <c r="O904" s="244"/>
      <c r="P904" s="244"/>
      <c r="Q904" s="244"/>
      <c r="R904" s="244"/>
      <c r="S904" s="244"/>
      <c r="T904" s="244"/>
      <c r="U904" s="244"/>
      <c r="V904" s="244"/>
      <c r="W904" s="244"/>
      <c r="X904" s="244"/>
      <c r="Y904" s="244"/>
      <c r="Z904" s="244"/>
      <c r="AA904" s="244"/>
      <c r="AB904" s="244"/>
      <c r="AC904" s="244"/>
      <c r="AD904" s="244"/>
      <c r="AE904" s="244"/>
      <c r="AF904" s="244"/>
      <c r="AG904" s="244"/>
      <c r="AH904" s="244"/>
      <c r="AI904" s="244"/>
      <c r="AJ904" s="244"/>
      <c r="AK904" s="244"/>
      <c r="AL904" s="244"/>
      <c r="AM904" s="244"/>
      <c r="AN904" s="244"/>
      <c r="AO904" s="244"/>
      <c r="AP904" s="244"/>
      <c r="AQ904" s="244"/>
      <c r="AR904" s="244"/>
      <c r="AS904" s="244"/>
      <c r="AT904" s="244"/>
      <c r="AU904" s="244"/>
      <c r="AV904" s="244"/>
      <c r="AW904" s="244"/>
      <c r="AX904" s="244"/>
      <c r="AY904" s="244"/>
      <c r="AZ904" s="244"/>
    </row>
    <row r="905" spans="1:52" ht="18" customHeight="1">
      <c r="A905" s="259"/>
      <c r="B905" s="244"/>
      <c r="C905" s="244"/>
      <c r="D905" s="244"/>
      <c r="E905" s="244"/>
      <c r="F905" s="244"/>
      <c r="G905" s="244"/>
      <c r="H905" s="244"/>
      <c r="I905" s="244"/>
      <c r="J905" s="244"/>
      <c r="K905" s="244"/>
      <c r="L905" s="244"/>
      <c r="M905" s="244"/>
      <c r="N905" s="244"/>
      <c r="O905" s="244"/>
      <c r="P905" s="244"/>
      <c r="Q905" s="244"/>
      <c r="R905" s="244"/>
      <c r="S905" s="244"/>
      <c r="T905" s="244"/>
      <c r="U905" s="244"/>
      <c r="V905" s="244"/>
      <c r="W905" s="244"/>
      <c r="X905" s="244"/>
      <c r="Y905" s="244"/>
      <c r="Z905" s="244"/>
      <c r="AA905" s="244"/>
      <c r="AB905" s="244"/>
      <c r="AC905" s="244"/>
      <c r="AD905" s="244"/>
      <c r="AE905" s="244"/>
      <c r="AF905" s="244"/>
      <c r="AG905" s="244"/>
      <c r="AH905" s="244"/>
      <c r="AI905" s="244"/>
      <c r="AJ905" s="244"/>
      <c r="AK905" s="244"/>
      <c r="AL905" s="244"/>
      <c r="AM905" s="244"/>
      <c r="AN905" s="244"/>
      <c r="AO905" s="244"/>
      <c r="AP905" s="244"/>
      <c r="AQ905" s="244"/>
      <c r="AR905" s="244"/>
      <c r="AS905" s="244"/>
      <c r="AT905" s="244"/>
      <c r="AU905" s="244"/>
      <c r="AV905" s="244"/>
      <c r="AW905" s="244"/>
      <c r="AX905" s="244"/>
      <c r="AY905" s="244"/>
      <c r="AZ905" s="244"/>
    </row>
    <row r="906" spans="1:52" ht="18" customHeight="1">
      <c r="A906" s="259"/>
      <c r="B906" s="244"/>
      <c r="C906" s="244"/>
      <c r="D906" s="244"/>
      <c r="E906" s="244"/>
      <c r="F906" s="244"/>
      <c r="G906" s="244"/>
      <c r="H906" s="244"/>
      <c r="I906" s="244"/>
      <c r="J906" s="244"/>
      <c r="K906" s="244"/>
      <c r="L906" s="244"/>
      <c r="M906" s="244"/>
      <c r="N906" s="244"/>
      <c r="O906" s="244"/>
      <c r="P906" s="244"/>
      <c r="Q906" s="244"/>
      <c r="R906" s="244"/>
      <c r="S906" s="244"/>
      <c r="T906" s="244"/>
      <c r="U906" s="244"/>
      <c r="V906" s="244"/>
      <c r="W906" s="244"/>
      <c r="X906" s="244"/>
      <c r="Y906" s="244"/>
      <c r="Z906" s="244"/>
      <c r="AA906" s="244"/>
      <c r="AB906" s="244"/>
      <c r="AC906" s="244"/>
      <c r="AD906" s="244"/>
      <c r="AE906" s="244"/>
      <c r="AF906" s="244"/>
      <c r="AG906" s="244"/>
      <c r="AH906" s="244"/>
      <c r="AI906" s="244"/>
      <c r="AJ906" s="244"/>
      <c r="AK906" s="244"/>
      <c r="AL906" s="244"/>
      <c r="AM906" s="244"/>
      <c r="AN906" s="244"/>
      <c r="AO906" s="244"/>
      <c r="AP906" s="244"/>
      <c r="AQ906" s="244"/>
      <c r="AR906" s="244"/>
      <c r="AS906" s="244"/>
      <c r="AT906" s="244"/>
      <c r="AU906" s="244"/>
      <c r="AV906" s="244"/>
      <c r="AW906" s="244"/>
      <c r="AX906" s="244"/>
      <c r="AY906" s="244"/>
      <c r="AZ906" s="244"/>
    </row>
    <row r="907" spans="1:52" ht="18" customHeight="1">
      <c r="A907" s="259"/>
      <c r="B907" s="244"/>
      <c r="C907" s="244"/>
      <c r="D907" s="244"/>
      <c r="E907" s="244"/>
      <c r="F907" s="244"/>
      <c r="G907" s="244"/>
      <c r="H907" s="244"/>
      <c r="I907" s="244"/>
      <c r="J907" s="244"/>
      <c r="K907" s="244"/>
      <c r="L907" s="244"/>
      <c r="M907" s="244"/>
      <c r="N907" s="244"/>
      <c r="O907" s="244"/>
      <c r="P907" s="244"/>
      <c r="Q907" s="244"/>
      <c r="R907" s="244"/>
      <c r="S907" s="244"/>
      <c r="T907" s="244"/>
      <c r="U907" s="244"/>
      <c r="V907" s="244"/>
      <c r="W907" s="244"/>
      <c r="X907" s="244"/>
      <c r="Y907" s="244"/>
      <c r="Z907" s="244"/>
      <c r="AA907" s="244"/>
      <c r="AB907" s="244"/>
      <c r="AC907" s="244"/>
      <c r="AD907" s="244"/>
      <c r="AE907" s="244"/>
      <c r="AF907" s="244"/>
      <c r="AG907" s="244"/>
      <c r="AH907" s="244"/>
      <c r="AI907" s="244"/>
      <c r="AJ907" s="244"/>
      <c r="AK907" s="244"/>
      <c r="AL907" s="244"/>
      <c r="AM907" s="244"/>
      <c r="AN907" s="244"/>
      <c r="AO907" s="244"/>
      <c r="AP907" s="244"/>
      <c r="AQ907" s="244"/>
      <c r="AR907" s="244"/>
      <c r="AS907" s="244"/>
      <c r="AT907" s="244"/>
      <c r="AU907" s="244"/>
      <c r="AV907" s="244"/>
      <c r="AW907" s="244"/>
      <c r="AX907" s="244"/>
      <c r="AY907" s="244"/>
      <c r="AZ907" s="244"/>
    </row>
    <row r="908" spans="1:52" ht="18" customHeight="1">
      <c r="A908" s="259"/>
      <c r="B908" s="244"/>
      <c r="C908" s="244"/>
      <c r="D908" s="244"/>
      <c r="E908" s="244"/>
      <c r="F908" s="244"/>
      <c r="G908" s="244"/>
      <c r="H908" s="244"/>
      <c r="I908" s="244"/>
      <c r="J908" s="244"/>
      <c r="K908" s="244"/>
      <c r="L908" s="244"/>
      <c r="M908" s="244"/>
      <c r="N908" s="244"/>
      <c r="O908" s="244"/>
      <c r="P908" s="244"/>
      <c r="Q908" s="244"/>
      <c r="R908" s="244"/>
      <c r="S908" s="244"/>
      <c r="T908" s="244"/>
      <c r="U908" s="244"/>
      <c r="V908" s="244"/>
      <c r="W908" s="244"/>
      <c r="X908" s="244"/>
      <c r="Y908" s="244"/>
      <c r="Z908" s="244"/>
      <c r="AA908" s="244"/>
      <c r="AB908" s="244"/>
      <c r="AC908" s="244"/>
      <c r="AD908" s="244"/>
      <c r="AE908" s="244"/>
      <c r="AF908" s="244"/>
      <c r="AG908" s="244"/>
      <c r="AH908" s="244"/>
      <c r="AI908" s="244"/>
      <c r="AJ908" s="244"/>
      <c r="AK908" s="244"/>
      <c r="AL908" s="244"/>
      <c r="AM908" s="244"/>
      <c r="AN908" s="244"/>
      <c r="AO908" s="244"/>
      <c r="AP908" s="244"/>
      <c r="AQ908" s="244"/>
      <c r="AR908" s="244"/>
      <c r="AS908" s="244"/>
      <c r="AT908" s="244"/>
      <c r="AU908" s="244"/>
      <c r="AV908" s="244"/>
      <c r="AW908" s="244"/>
      <c r="AX908" s="244"/>
      <c r="AY908" s="244"/>
      <c r="AZ908" s="244"/>
    </row>
    <row r="909" spans="1:52" ht="18" customHeight="1"/>
    <row r="910" spans="1:52" ht="18" customHeight="1"/>
    <row r="911" spans="1:52" ht="18" customHeight="1"/>
    <row r="912" spans="1:52" ht="18" customHeight="1"/>
    <row r="913" ht="18" customHeight="1"/>
    <row r="914" ht="18" customHeight="1"/>
    <row r="915" ht="18" customHeight="1"/>
    <row r="916" ht="18" customHeight="1"/>
    <row r="917" ht="18" customHeight="1"/>
    <row r="918" ht="18" customHeight="1"/>
    <row r="919" ht="18" customHeight="1"/>
    <row r="920" ht="18" customHeight="1"/>
    <row r="921" ht="18" customHeight="1"/>
    <row r="922" ht="18" customHeight="1"/>
    <row r="923" ht="18" customHeight="1"/>
    <row r="924" ht="18" customHeight="1"/>
    <row r="925" ht="18" customHeight="1"/>
    <row r="926" ht="18" customHeight="1"/>
    <row r="927" ht="18" customHeight="1"/>
    <row r="928" ht="18" customHeight="1"/>
    <row r="929" ht="18" customHeight="1"/>
    <row r="930" ht="18" customHeight="1"/>
    <row r="931" ht="18" customHeight="1"/>
    <row r="932" ht="18" customHeight="1"/>
    <row r="933" ht="18" customHeight="1"/>
    <row r="934" ht="18" customHeight="1"/>
    <row r="935" ht="18" customHeight="1"/>
    <row r="936" ht="18" customHeight="1"/>
    <row r="937" ht="18" customHeight="1"/>
    <row r="938" ht="18" customHeight="1"/>
    <row r="939" ht="18" customHeight="1"/>
    <row r="940" ht="18" customHeight="1"/>
    <row r="941" ht="18" customHeight="1"/>
    <row r="942" ht="18" customHeight="1"/>
    <row r="943" ht="18" customHeight="1"/>
    <row r="944" ht="18" customHeight="1"/>
    <row r="945" ht="18" customHeight="1"/>
    <row r="946" ht="18" customHeight="1"/>
    <row r="947" ht="18" customHeight="1"/>
    <row r="948" ht="18" customHeight="1"/>
    <row r="949" ht="18" customHeight="1"/>
    <row r="950" ht="18" customHeight="1"/>
    <row r="951" ht="18" customHeight="1"/>
    <row r="952" ht="18" customHeight="1"/>
    <row r="953" ht="18" customHeight="1"/>
    <row r="954" ht="18" customHeight="1"/>
    <row r="955" ht="18" customHeight="1"/>
    <row r="956" ht="18" customHeight="1"/>
    <row r="957" ht="18" customHeight="1"/>
    <row r="958" ht="18" customHeight="1"/>
    <row r="959" ht="18" customHeight="1"/>
    <row r="960" ht="18" customHeight="1"/>
    <row r="961" ht="18" customHeight="1"/>
    <row r="962" ht="18" customHeight="1"/>
    <row r="963" ht="18" customHeight="1"/>
    <row r="964" ht="18" customHeight="1"/>
    <row r="965" ht="18" customHeight="1"/>
    <row r="966" ht="18" customHeight="1"/>
    <row r="967" ht="18" customHeight="1"/>
    <row r="968" ht="18" customHeight="1"/>
    <row r="969" ht="18" customHeight="1"/>
    <row r="970" ht="18" customHeight="1"/>
    <row r="971" ht="18" customHeight="1"/>
    <row r="972" ht="18" customHeight="1"/>
    <row r="973" ht="18" customHeight="1"/>
    <row r="974" ht="18" customHeight="1"/>
    <row r="975" ht="18" customHeight="1"/>
    <row r="976" ht="18" customHeight="1"/>
    <row r="977" ht="18" customHeight="1"/>
    <row r="978" ht="18" customHeight="1"/>
    <row r="979" ht="18" customHeight="1"/>
    <row r="980" ht="18" customHeight="1"/>
    <row r="981" ht="18" customHeight="1"/>
    <row r="982" ht="18" customHeight="1"/>
    <row r="983" ht="18" customHeight="1"/>
    <row r="984" ht="18" customHeight="1"/>
    <row r="985" ht="18" customHeight="1"/>
    <row r="986" ht="18" customHeight="1"/>
    <row r="987" ht="18" customHeight="1"/>
    <row r="988" ht="18" customHeight="1"/>
    <row r="989" ht="18" customHeight="1"/>
    <row r="990" ht="18" customHeight="1"/>
    <row r="991" ht="18" customHeight="1"/>
    <row r="992" ht="18" customHeight="1"/>
    <row r="993" ht="18" customHeight="1"/>
    <row r="994" ht="18" customHeight="1"/>
    <row r="995" ht="18" customHeight="1"/>
    <row r="996" ht="18" customHeight="1"/>
    <row r="997" ht="18" customHeight="1"/>
    <row r="998" ht="18" customHeight="1"/>
    <row r="999" ht="18" customHeight="1"/>
    <row r="1000" ht="18" customHeight="1"/>
    <row r="1001" ht="18" customHeight="1"/>
    <row r="1002" ht="18" customHeight="1"/>
    <row r="1003" ht="18" customHeight="1"/>
    <row r="1004" ht="18" customHeight="1"/>
    <row r="1005" ht="18" customHeight="1"/>
    <row r="1006" ht="18" customHeight="1"/>
    <row r="1007" ht="18" customHeight="1"/>
    <row r="1008" ht="18" customHeight="1"/>
    <row r="1009" ht="18" customHeight="1"/>
    <row r="1010" ht="18" customHeight="1"/>
    <row r="1011" ht="18" customHeight="1"/>
    <row r="1012" ht="18" customHeight="1"/>
    <row r="1013" ht="18" customHeight="1"/>
    <row r="1014" ht="18" customHeight="1"/>
    <row r="1015" ht="18" customHeight="1"/>
    <row r="1016" ht="18" customHeight="1"/>
    <row r="1017" ht="18" customHeight="1"/>
    <row r="1018" ht="18" customHeight="1"/>
    <row r="1019" ht="18" customHeight="1"/>
    <row r="1020" ht="18" customHeight="1"/>
    <row r="1021" ht="18" customHeight="1"/>
    <row r="1022" ht="18" customHeight="1"/>
    <row r="1023" ht="18" customHeight="1"/>
    <row r="1024" ht="18" customHeight="1"/>
    <row r="1025" ht="18" customHeight="1"/>
    <row r="1026" ht="18" customHeight="1"/>
    <row r="1027" ht="18" customHeight="1"/>
    <row r="1028" ht="18" customHeight="1"/>
    <row r="1029" ht="18" customHeight="1"/>
    <row r="1030" ht="18" customHeight="1"/>
    <row r="1031" ht="18" customHeight="1"/>
    <row r="1032" ht="18" customHeight="1"/>
    <row r="1033" ht="18" customHeight="1"/>
    <row r="1034" ht="18" customHeight="1"/>
    <row r="1035" ht="18" customHeight="1"/>
    <row r="1036" ht="18" customHeight="1"/>
    <row r="1037" ht="18" customHeight="1"/>
    <row r="1038" ht="18" customHeight="1"/>
    <row r="1039" ht="18" customHeight="1"/>
    <row r="1040" ht="18" customHeight="1"/>
    <row r="1041" ht="18" customHeight="1"/>
    <row r="1042" ht="18" customHeight="1"/>
    <row r="1043" ht="18" customHeight="1"/>
    <row r="1044" ht="18" customHeight="1"/>
    <row r="1045" ht="18" customHeight="1"/>
    <row r="1046" ht="18" customHeight="1"/>
    <row r="1047" ht="18" customHeight="1"/>
    <row r="1048" ht="18" customHeight="1"/>
    <row r="1049" ht="18" customHeight="1"/>
    <row r="1050" ht="18" customHeight="1"/>
    <row r="1051" ht="18" customHeight="1"/>
    <row r="1052" ht="18" customHeight="1"/>
    <row r="1053" ht="18" customHeight="1"/>
    <row r="1054" ht="18" customHeight="1"/>
    <row r="1055" ht="18" customHeight="1"/>
    <row r="1056" ht="18" customHeight="1"/>
    <row r="1057" ht="18" customHeight="1"/>
    <row r="1058" ht="18" customHeight="1"/>
    <row r="1059" ht="18" customHeight="1"/>
    <row r="1060" ht="18" customHeight="1"/>
    <row r="1061" ht="18" customHeight="1"/>
    <row r="1062" ht="18" customHeight="1"/>
    <row r="1063" ht="15.75" customHeight="1"/>
    <row r="1064" ht="15.75" customHeight="1"/>
    <row r="1065" ht="15.75" customHeight="1"/>
    <row r="1066" ht="15.75" customHeight="1"/>
    <row r="1067" ht="15.75" customHeight="1"/>
    <row r="1068" ht="15.75" customHeight="1"/>
    <row r="1069" ht="15.75" customHeight="1"/>
    <row r="1070" ht="15.75" customHeight="1"/>
    <row r="1071" ht="15.75" customHeight="1"/>
    <row r="1072" ht="15.75" customHeight="1"/>
    <row r="1073" ht="15.75" customHeight="1"/>
    <row r="1074" ht="15.75" customHeight="1"/>
    <row r="1075" ht="15.75" customHeight="1"/>
    <row r="1076" ht="15.75" customHeight="1"/>
    <row r="1077" ht="15.75" customHeight="1"/>
    <row r="1078" ht="15.75" customHeight="1"/>
    <row r="1079" ht="15.75" customHeight="1"/>
    <row r="1080" ht="15.75" customHeight="1"/>
    <row r="1081" ht="15.75" customHeight="1"/>
    <row r="1082" ht="15.75" customHeight="1"/>
    <row r="1083" ht="15.75" customHeight="1"/>
    <row r="1084" ht="15.75" customHeight="1"/>
    <row r="1085" ht="15.75" customHeight="1"/>
    <row r="1086" ht="15.75" customHeight="1"/>
    <row r="1087" ht="15.75" customHeight="1"/>
    <row r="1088" ht="15.75" customHeight="1"/>
    <row r="1089" ht="15.75" customHeight="1"/>
    <row r="1090" ht="15.75" customHeight="1"/>
    <row r="1091" ht="15.75" customHeight="1"/>
    <row r="1092" ht="15.75" customHeight="1"/>
    <row r="1093" ht="15.75" customHeight="1"/>
    <row r="1094" ht="15.75" customHeight="1"/>
    <row r="1095" ht="15.75" customHeight="1"/>
    <row r="1096" ht="15.75" customHeight="1"/>
    <row r="1097" ht="15.75" customHeight="1"/>
    <row r="1098" ht="15.75" customHeight="1"/>
    <row r="1099" ht="15.75" customHeight="1"/>
    <row r="1100" ht="15.75" customHeight="1"/>
    <row r="1101" ht="15.75" customHeight="1"/>
    <row r="1102" ht="15.75" customHeight="1"/>
    <row r="1103" ht="15.75" customHeight="1"/>
    <row r="1104" ht="15.75" customHeight="1"/>
    <row r="1105" ht="15.75" customHeight="1"/>
    <row r="1106" ht="15.75" customHeight="1"/>
    <row r="1107" ht="15.75" customHeight="1"/>
    <row r="1108" ht="15.75" customHeight="1"/>
    <row r="1109" ht="15.75" customHeight="1"/>
    <row r="1110" ht="15.75" customHeight="1"/>
    <row r="1111" ht="15.75" customHeight="1"/>
    <row r="1112" ht="15.75" customHeight="1"/>
    <row r="1113" ht="15.75" customHeight="1"/>
    <row r="1114" ht="15.75" customHeight="1"/>
    <row r="1115" ht="15.75" customHeight="1"/>
    <row r="1116" ht="15.75" customHeight="1"/>
    <row r="1117" ht="15.75" customHeight="1"/>
    <row r="1118" ht="15.75" customHeight="1"/>
    <row r="1119" ht="15.75" customHeight="1"/>
    <row r="1120" ht="15.75" customHeight="1"/>
    <row r="1121" ht="15.75" customHeight="1"/>
    <row r="1122" ht="15.75" customHeight="1"/>
    <row r="1123" ht="15.75" customHeight="1"/>
    <row r="1124" ht="15.75" customHeight="1"/>
    <row r="1125" ht="15.75" customHeight="1"/>
    <row r="1126" ht="15.75" customHeight="1"/>
    <row r="1127" ht="15.75" customHeight="1"/>
    <row r="1128" ht="15.75" customHeight="1"/>
    <row r="1129" ht="15.75" customHeight="1"/>
    <row r="1130" ht="15.75" customHeight="1"/>
    <row r="1131" ht="15.75" customHeight="1"/>
    <row r="1132" ht="15.75" customHeight="1"/>
    <row r="1133" ht="15.75" customHeight="1"/>
    <row r="1134" ht="15.75" customHeight="1"/>
    <row r="1135" ht="15.75" customHeight="1"/>
    <row r="1136" ht="15.75" customHeight="1"/>
    <row r="1137" ht="15.75" customHeight="1"/>
    <row r="1138" ht="15.75" customHeight="1"/>
    <row r="1139" ht="15.75" customHeight="1"/>
    <row r="1140" ht="15.75" customHeight="1"/>
    <row r="1141" ht="15.75" customHeight="1"/>
    <row r="1142" ht="15.75" customHeight="1"/>
    <row r="1143" ht="15.75" customHeight="1"/>
    <row r="1144" ht="15.75" customHeight="1"/>
    <row r="1145" ht="15.75" customHeight="1"/>
    <row r="1146" ht="15.75" customHeight="1"/>
    <row r="1147" ht="15.75" customHeight="1"/>
    <row r="1148" ht="15.75" customHeight="1"/>
    <row r="1149" ht="15.75" customHeight="1"/>
    <row r="1150" ht="15.75" customHeight="1"/>
    <row r="1151" ht="15.75" customHeight="1"/>
    <row r="1152" ht="15.75" customHeight="1"/>
    <row r="1153" ht="15.75" customHeight="1"/>
    <row r="1154" ht="15.75" customHeight="1"/>
    <row r="1155" ht="15.75" customHeight="1"/>
    <row r="1156" ht="15.75" customHeight="1"/>
    <row r="1157" ht="15.75" customHeight="1"/>
    <row r="1158" ht="15.75" customHeight="1"/>
    <row r="1159" ht="15.75" customHeight="1"/>
    <row r="1160" ht="15.75" customHeight="1"/>
    <row r="1161" ht="15.75" customHeight="1"/>
    <row r="1162" ht="15.75" customHeight="1"/>
    <row r="1163" ht="15.75" customHeight="1"/>
    <row r="1164" ht="15.75" customHeight="1"/>
    <row r="1165" ht="15.75" customHeight="1"/>
    <row r="1166" ht="15.75" customHeight="1"/>
    <row r="1167" ht="15.75" customHeight="1"/>
    <row r="1168" ht="15.75" customHeight="1"/>
    <row r="1169" ht="15.75" customHeight="1"/>
    <row r="1170" ht="15.75" customHeight="1"/>
    <row r="1171" ht="15.75" customHeight="1"/>
    <row r="1172" ht="15.75" customHeight="1"/>
    <row r="1173" ht="15.75" customHeight="1"/>
    <row r="1174" ht="15.75" customHeight="1"/>
    <row r="1175" ht="15.75" customHeight="1"/>
    <row r="1176" ht="15.75" customHeight="1"/>
    <row r="1177" ht="15.75" customHeight="1"/>
    <row r="1178" ht="15.75" customHeight="1"/>
    <row r="1179" ht="15.75" customHeight="1"/>
    <row r="1180" ht="15.75" customHeight="1"/>
    <row r="1181" ht="15.75" customHeight="1"/>
    <row r="1182" ht="15.75" customHeight="1"/>
    <row r="1183" ht="15.75" customHeight="1"/>
    <row r="1184" ht="15.75" customHeight="1"/>
    <row r="1185" ht="15.75" customHeight="1"/>
    <row r="1186" ht="15.75" customHeight="1"/>
    <row r="1187" ht="15.75" customHeight="1"/>
    <row r="1188" ht="15.75" customHeight="1"/>
    <row r="1189" ht="15.75" customHeight="1"/>
    <row r="1190" ht="15.75" customHeight="1"/>
    <row r="1191" ht="15.75" customHeight="1"/>
    <row r="1192" ht="15.75" customHeight="1"/>
    <row r="1193" ht="15.75" customHeight="1"/>
    <row r="1194" ht="15.75" customHeight="1"/>
    <row r="1195" ht="15.75" customHeight="1"/>
    <row r="1196" ht="15.75" customHeight="1"/>
    <row r="1197" ht="15.75" customHeight="1"/>
    <row r="1198" ht="15.75" customHeight="1"/>
    <row r="1199" ht="15.75" customHeight="1"/>
    <row r="1200" ht="15.75" customHeight="1"/>
    <row r="1201" ht="15.75" customHeight="1"/>
    <row r="1202" ht="15.75" customHeight="1"/>
    <row r="1203" ht="15.75" customHeight="1"/>
    <row r="1204" ht="15.75" customHeight="1"/>
    <row r="1205" ht="15.75" customHeight="1"/>
    <row r="1206" ht="15.75" customHeight="1"/>
    <row r="1207" ht="15.75" customHeight="1"/>
    <row r="1208" ht="15.75" customHeight="1"/>
    <row r="1209" ht="15.75" customHeight="1"/>
    <row r="1210" ht="15.75" customHeight="1"/>
    <row r="1211" ht="15.75" customHeight="1"/>
    <row r="1212" ht="15.75" customHeight="1"/>
    <row r="1213" ht="15.75" customHeight="1"/>
    <row r="1214" ht="15.75" customHeight="1"/>
    <row r="1215" ht="15.75" customHeight="1"/>
    <row r="1216" ht="15.75" customHeight="1"/>
    <row r="1217" ht="15.75" customHeight="1"/>
    <row r="1218" ht="15.75" customHeight="1"/>
    <row r="1219" ht="15.75" customHeight="1"/>
    <row r="1220" ht="15.75" customHeight="1"/>
    <row r="1221" ht="15.75" customHeight="1"/>
    <row r="1222" ht="15.75" customHeight="1"/>
    <row r="1223" ht="15.75" customHeight="1"/>
    <row r="1224" ht="15.75" customHeight="1"/>
    <row r="1225" ht="15.75" customHeight="1"/>
    <row r="1226" ht="15.75" customHeight="1"/>
    <row r="1227" ht="15.75" customHeight="1"/>
    <row r="1228" ht="15.75" customHeight="1"/>
    <row r="1229" ht="15.75" customHeight="1"/>
    <row r="1230" ht="15.75" customHeight="1"/>
    <row r="1231" ht="15.75" customHeight="1"/>
    <row r="1232" ht="15.75" customHeight="1"/>
    <row r="1233" ht="15.75" customHeight="1"/>
    <row r="1234" ht="15.75" customHeight="1"/>
    <row r="1235" ht="15.75" customHeight="1"/>
    <row r="1236" ht="15.75" customHeight="1"/>
    <row r="1237" ht="15.75" customHeight="1"/>
    <row r="1238" ht="15.75" customHeight="1"/>
    <row r="1239" ht="15.75" customHeight="1"/>
    <row r="1240" ht="15.75" customHeight="1"/>
    <row r="1241" ht="15.75" customHeight="1"/>
    <row r="1242" ht="15.75" customHeight="1"/>
    <row r="1243" ht="15.75" customHeight="1"/>
    <row r="1244" ht="15.75" customHeight="1"/>
    <row r="1245" ht="15.75" customHeight="1"/>
    <row r="1246" ht="15.75" customHeight="1"/>
    <row r="1247" ht="15.75" customHeight="1"/>
    <row r="1248" ht="15.75" customHeight="1"/>
    <row r="1249" ht="15.75" customHeight="1"/>
    <row r="1250" ht="15.75" customHeight="1"/>
    <row r="1251" ht="15.75" customHeight="1"/>
    <row r="1252" ht="15.75" customHeight="1"/>
    <row r="1253" ht="15.75" customHeight="1"/>
    <row r="1254" ht="15.75" customHeight="1"/>
    <row r="1255" ht="15.75" customHeight="1"/>
    <row r="1256" ht="15.75" customHeight="1"/>
    <row r="1257" ht="15.75" customHeight="1"/>
    <row r="1258" ht="15.75" customHeight="1"/>
    <row r="1259" ht="15.75" customHeight="1"/>
    <row r="1260" ht="15.75" customHeight="1"/>
    <row r="1261" ht="15.75" customHeight="1"/>
    <row r="1262" ht="15.75" customHeight="1"/>
    <row r="1263" ht="15.75" customHeight="1"/>
    <row r="1264" ht="15.75" customHeight="1"/>
    <row r="1265" ht="15.75" customHeight="1"/>
    <row r="1266" ht="15.75" customHeight="1"/>
    <row r="1267" ht="15.75" customHeight="1"/>
    <row r="1268" ht="15.75" customHeight="1"/>
    <row r="1269" ht="15.75" customHeight="1"/>
    <row r="1270" ht="15.75" customHeight="1"/>
    <row r="1271" ht="15.75" customHeight="1"/>
    <row r="1272" ht="15.75" customHeight="1"/>
    <row r="1273" ht="15.75" customHeight="1"/>
    <row r="1274" ht="15.75" customHeight="1"/>
    <row r="1275" ht="15.75" customHeight="1"/>
    <row r="1276" ht="15.75" customHeight="1"/>
    <row r="1277" ht="15.75" customHeight="1"/>
    <row r="1278" ht="15.75" customHeight="1"/>
    <row r="1279" ht="15.75" customHeight="1"/>
    <row r="1280" ht="15.75" customHeight="1"/>
    <row r="1281" ht="15.75" customHeight="1"/>
    <row r="1282" ht="15.75" customHeight="1"/>
    <row r="1283" ht="15.75" customHeight="1"/>
    <row r="1284" ht="15.75" customHeight="1"/>
    <row r="1285" ht="15.75" customHeight="1"/>
    <row r="1286" ht="15.75" customHeight="1"/>
    <row r="1287" ht="15.75" customHeight="1"/>
    <row r="1288" ht="15.75" customHeight="1"/>
    <row r="1289" ht="15.75" customHeight="1"/>
    <row r="1290" ht="15.75" customHeight="1"/>
    <row r="1291" ht="15.75" customHeight="1"/>
    <row r="1292" ht="15.75" customHeight="1"/>
    <row r="1293" ht="15.75" customHeight="1"/>
    <row r="1294" ht="15.75" customHeight="1"/>
    <row r="1295" ht="15.75" customHeight="1"/>
    <row r="1296" ht="15.75" customHeight="1"/>
    <row r="1297" ht="15.75" customHeight="1"/>
    <row r="1298" ht="15.75" customHeight="1"/>
    <row r="1299" ht="15.75" customHeight="1"/>
    <row r="1300" ht="15.75" customHeight="1"/>
    <row r="1301" ht="15.75" customHeight="1"/>
    <row r="1302" ht="15.75" customHeight="1"/>
    <row r="1303" ht="15.75" customHeight="1"/>
    <row r="1304" ht="15.75" customHeight="1"/>
    <row r="1305" ht="15.75" customHeight="1"/>
    <row r="1306" ht="15.75" customHeight="1"/>
    <row r="1307" ht="15.75" customHeight="1"/>
    <row r="1308" ht="15.75" customHeight="1"/>
    <row r="1309" ht="15.75" customHeight="1"/>
    <row r="1310" ht="15.75" customHeight="1"/>
    <row r="1311" ht="15.75" customHeight="1"/>
    <row r="1312" ht="15.75" customHeight="1"/>
    <row r="1313" ht="15.75" customHeight="1"/>
    <row r="1314" ht="15.75" customHeight="1"/>
    <row r="1315" ht="15.75" customHeight="1"/>
    <row r="1316" ht="15.75" customHeight="1"/>
    <row r="1317" ht="15.75" customHeight="1"/>
    <row r="1318" ht="15.75" customHeight="1"/>
    <row r="1319" ht="15.75" customHeight="1"/>
    <row r="1320" ht="15.75" customHeight="1"/>
    <row r="1321" ht="15.75" customHeight="1"/>
    <row r="1322" ht="15.75" customHeight="1"/>
    <row r="1323" ht="15.75" customHeight="1"/>
    <row r="1324" ht="15.75" customHeight="1"/>
    <row r="1325" ht="15.75" customHeight="1"/>
    <row r="1326" ht="15.75" customHeight="1"/>
    <row r="1327" ht="15.75" customHeight="1"/>
    <row r="1328" ht="15.75" customHeight="1"/>
    <row r="1329" ht="15.75" customHeight="1"/>
    <row r="1330" ht="15.75" customHeight="1"/>
    <row r="1331" ht="15.75" customHeight="1"/>
    <row r="1332" ht="15.75" customHeight="1"/>
    <row r="1333" ht="15.75" customHeight="1"/>
    <row r="1334" ht="15.75" customHeight="1"/>
    <row r="1335" ht="15.75" customHeight="1"/>
    <row r="1336" ht="15.75" customHeight="1"/>
    <row r="1337" ht="15.75" customHeight="1"/>
    <row r="1338" ht="15.75" customHeight="1"/>
    <row r="1339" ht="15.75" customHeight="1"/>
    <row r="1340" ht="15.75" customHeight="1"/>
    <row r="1341" ht="15.75" customHeight="1"/>
    <row r="1342" ht="15.75" customHeight="1"/>
    <row r="1343" ht="15.75" customHeight="1"/>
    <row r="1344" ht="15.75" customHeight="1"/>
    <row r="1345" ht="15.75" customHeight="1"/>
    <row r="1346" ht="15.75" customHeight="1"/>
    <row r="1347" ht="15.75" customHeight="1"/>
    <row r="1348" ht="15.75" customHeight="1"/>
    <row r="1349" ht="15.75" customHeight="1"/>
    <row r="1350" ht="15.75" customHeight="1"/>
    <row r="1351" ht="15.75" customHeight="1"/>
    <row r="1352" ht="15.75" customHeight="1"/>
    <row r="1353" ht="15.75" customHeight="1"/>
    <row r="1354" ht="15.75" customHeight="1"/>
    <row r="1355" ht="15.75" customHeight="1"/>
    <row r="1356" ht="15.75" customHeight="1"/>
    <row r="1357" ht="15.75" customHeight="1"/>
    <row r="1358" ht="15.75" customHeight="1"/>
    <row r="1359" ht="15.75" customHeight="1"/>
    <row r="1360" ht="15.75" customHeight="1"/>
    <row r="1361" ht="15.75" customHeight="1"/>
    <row r="1362" ht="15.75" customHeight="1"/>
    <row r="1363" ht="15.75" customHeight="1"/>
    <row r="1364" ht="15.75" customHeight="1"/>
    <row r="1365" ht="15.75" customHeight="1"/>
    <row r="1366" ht="15.75" customHeight="1"/>
    <row r="1367" ht="15.75" customHeight="1"/>
    <row r="1368" ht="15.75" customHeight="1"/>
    <row r="1369" ht="15.75" customHeight="1"/>
    <row r="1370" ht="15.75" customHeight="1"/>
    <row r="1371" ht="15.75" customHeight="1"/>
    <row r="1372" ht="15.75" customHeight="1"/>
    <row r="1373" ht="15.75" customHeight="1"/>
    <row r="1374" ht="15.75" customHeight="1"/>
    <row r="1375" ht="15.75" customHeight="1"/>
    <row r="1376" ht="15.75" customHeight="1"/>
    <row r="1377" ht="15.75" customHeight="1"/>
    <row r="1378" ht="15.75" customHeight="1"/>
    <row r="1379" ht="15.75" customHeight="1"/>
    <row r="1380" ht="15.75" customHeight="1"/>
    <row r="1381" ht="15.75" customHeight="1"/>
    <row r="1382" ht="15.75" customHeight="1"/>
    <row r="1383" ht="15.75" customHeight="1"/>
    <row r="1384" ht="15.75" customHeight="1"/>
    <row r="1385" ht="15.75" customHeight="1"/>
    <row r="1386" ht="15.75" customHeight="1"/>
    <row r="1387" ht="15.75" customHeight="1"/>
    <row r="1388" ht="15.75" customHeight="1"/>
    <row r="1389" ht="15.75" customHeight="1"/>
    <row r="1390" ht="15.75" customHeight="1"/>
    <row r="1391" ht="15.75" customHeight="1"/>
    <row r="1392" ht="15.75" customHeight="1"/>
    <row r="1393" ht="15.75" customHeight="1"/>
    <row r="1394" ht="15.75" customHeight="1"/>
    <row r="1395" ht="15.75" customHeight="1"/>
    <row r="1396" ht="15.75" customHeight="1"/>
    <row r="1397" ht="15.75" customHeight="1"/>
    <row r="1398" ht="15.75" customHeight="1"/>
    <row r="1399" ht="15.75" customHeight="1"/>
    <row r="1400" ht="15.75" customHeight="1"/>
    <row r="1401" ht="15.75" customHeight="1"/>
    <row r="1402" ht="15.75" customHeight="1"/>
    <row r="1403" ht="15.75" customHeight="1"/>
    <row r="1404" ht="15.75" customHeight="1"/>
    <row r="1405" ht="15.75" customHeight="1"/>
    <row r="1406" ht="15.75" customHeight="1"/>
    <row r="1407" ht="15.75" customHeight="1"/>
    <row r="1408" ht="15.75" customHeight="1"/>
    <row r="1409" ht="15.75" customHeight="1"/>
    <row r="1410" ht="15.75" customHeight="1"/>
    <row r="1411" ht="15.75" customHeight="1"/>
    <row r="1412" ht="15.75" customHeight="1"/>
    <row r="1413" ht="15.75" customHeight="1"/>
    <row r="1414" ht="15.75" customHeight="1"/>
    <row r="1415" ht="15.75" customHeight="1"/>
    <row r="1416" ht="15.75" customHeight="1"/>
    <row r="1417" ht="15.75" customHeight="1"/>
    <row r="1418" ht="15.75" customHeight="1"/>
    <row r="1419" ht="15.75" customHeight="1"/>
    <row r="1420" ht="15.75" customHeight="1"/>
    <row r="1421" ht="15.75" customHeight="1"/>
    <row r="1422" ht="15.75" customHeight="1"/>
    <row r="1423" ht="15.75" customHeight="1"/>
    <row r="1424" ht="15.75" customHeight="1"/>
    <row r="1425" ht="15.75" customHeight="1"/>
    <row r="1426" ht="15.75" customHeight="1"/>
    <row r="1427" ht="15.75" customHeight="1"/>
    <row r="1428" ht="15.75" customHeight="1"/>
    <row r="1429" ht="15.75" customHeight="1"/>
    <row r="1430" ht="15.75" customHeight="1"/>
    <row r="1431" ht="15.75" customHeight="1"/>
    <row r="1432" ht="15.75" customHeight="1"/>
    <row r="1433" ht="15.75" customHeight="1"/>
    <row r="1434" ht="15.75" customHeight="1"/>
    <row r="1435" ht="15.75" customHeight="1"/>
    <row r="1436" ht="15.75" customHeight="1"/>
    <row r="1437" ht="15.75" customHeight="1"/>
    <row r="1438" ht="15.75" customHeight="1"/>
    <row r="1439" ht="15.75" customHeight="1"/>
    <row r="1440" ht="15.75" customHeight="1"/>
    <row r="1441" ht="15.75" customHeight="1"/>
    <row r="1442" ht="15.75" customHeight="1"/>
    <row r="1443" ht="15.75" customHeight="1"/>
    <row r="1444" ht="15.75" customHeight="1"/>
    <row r="1445" ht="15.75" customHeight="1"/>
    <row r="1446" ht="15.75" customHeight="1"/>
    <row r="1447" ht="15.75" customHeight="1"/>
    <row r="1448" ht="15.75" customHeight="1"/>
    <row r="1449" ht="15.75" customHeight="1"/>
    <row r="1450" ht="15.75" customHeight="1"/>
    <row r="1451" ht="15.75" customHeight="1"/>
    <row r="1452" ht="15.75" customHeight="1"/>
    <row r="1453" ht="15.75" customHeight="1"/>
    <row r="1454" ht="15.75" customHeight="1"/>
    <row r="1455" ht="15.75" customHeight="1"/>
    <row r="1456" ht="15.75" customHeight="1"/>
    <row r="1457" ht="15.75" customHeight="1"/>
    <row r="1458" ht="15.75" customHeight="1"/>
    <row r="1459" ht="15.75" customHeight="1"/>
    <row r="1460" ht="15.75" customHeight="1"/>
    <row r="1461" ht="15.75" customHeight="1"/>
    <row r="1462" ht="15.75" customHeight="1"/>
    <row r="1463" ht="15.75" customHeight="1"/>
    <row r="1464" ht="15.75" customHeight="1"/>
    <row r="1465" ht="15.75" customHeight="1"/>
    <row r="1466" ht="15.75" customHeight="1"/>
    <row r="1467" ht="15.75" customHeight="1"/>
    <row r="1468" ht="15.75" customHeight="1"/>
    <row r="1469" ht="15.75" customHeight="1"/>
    <row r="1470" ht="15.75" customHeight="1"/>
    <row r="1471" ht="15.75" customHeight="1"/>
    <row r="1472" ht="15.75" customHeight="1"/>
    <row r="1473" ht="15.75" customHeight="1"/>
    <row r="1474" ht="15.75" customHeight="1"/>
    <row r="1475" ht="15.75" customHeight="1"/>
    <row r="1476" ht="15.75" customHeight="1"/>
    <row r="1477" ht="15.75" customHeight="1"/>
    <row r="1478" ht="15.75" customHeight="1"/>
    <row r="1479" ht="15.75" customHeight="1"/>
    <row r="1480" ht="15.75" customHeight="1"/>
    <row r="1481" ht="15.75" customHeight="1"/>
    <row r="1482" ht="15.75" customHeight="1"/>
    <row r="1483" ht="15.75" customHeight="1"/>
    <row r="1484" ht="15.75" customHeight="1"/>
    <row r="1485" ht="15.75" customHeight="1"/>
    <row r="1486" ht="15.75" customHeight="1"/>
    <row r="1487" ht="15.75" customHeight="1"/>
    <row r="1488" ht="15.75" customHeight="1"/>
    <row r="1489" ht="15.75" customHeight="1"/>
    <row r="1490" ht="15.75" customHeight="1"/>
    <row r="1491" ht="15.75" customHeight="1"/>
    <row r="1492" ht="15.75" customHeight="1"/>
    <row r="1493" ht="15.75" customHeight="1"/>
    <row r="1494" ht="15.75" customHeight="1"/>
    <row r="1495" ht="15.75" customHeight="1"/>
    <row r="1496" ht="15.75" customHeight="1"/>
    <row r="1497" ht="15.75" customHeight="1"/>
    <row r="1498" ht="15.75" customHeight="1"/>
    <row r="1499" ht="15.75" customHeight="1"/>
    <row r="1500" ht="15.75" customHeight="1"/>
    <row r="1501" ht="15.75" customHeight="1"/>
    <row r="1502" ht="15.75" customHeight="1"/>
    <row r="1503" ht="15.75" customHeight="1"/>
    <row r="1504" ht="15.75" customHeight="1"/>
    <row r="1505" ht="15.75" customHeight="1"/>
    <row r="1506" ht="15.75" customHeight="1"/>
    <row r="1507" ht="15.75" customHeight="1"/>
    <row r="1508" ht="15.75" customHeight="1"/>
    <row r="1509" ht="15.75" customHeight="1"/>
    <row r="1510" ht="15.75" customHeight="1"/>
    <row r="1511" ht="15.75" customHeight="1"/>
    <row r="1512" ht="15.75" customHeight="1"/>
    <row r="1513" ht="15.75" customHeight="1"/>
    <row r="1514" ht="15.75" customHeight="1"/>
    <row r="1515" ht="15.75" customHeight="1"/>
    <row r="1516" ht="15.75" customHeight="1"/>
    <row r="1517" ht="15.75" customHeight="1"/>
    <row r="1518" ht="15.75" customHeight="1"/>
    <row r="1519" ht="15.75" customHeight="1"/>
    <row r="1520" ht="15.75" customHeight="1"/>
    <row r="1521" ht="15.75" customHeight="1"/>
    <row r="1522" ht="15.75" customHeight="1"/>
    <row r="1523" ht="15.75" customHeight="1"/>
    <row r="1524" ht="15.75" customHeight="1"/>
    <row r="1525" ht="15.75" customHeight="1"/>
    <row r="1526" ht="15.75" customHeight="1"/>
    <row r="1527" ht="15.75" customHeight="1"/>
    <row r="1528" ht="15.75" customHeight="1"/>
    <row r="1529" ht="15.75" customHeight="1"/>
    <row r="1530" ht="15.75" customHeight="1"/>
    <row r="1531" ht="15.75" customHeight="1"/>
    <row r="1532" ht="15.75" customHeight="1"/>
    <row r="1533" ht="15.75" customHeight="1"/>
    <row r="1534" ht="15.75" customHeight="1"/>
    <row r="1535" ht="15.75" customHeight="1"/>
    <row r="1536" ht="15.75" customHeight="1"/>
    <row r="1537" ht="15.75" customHeight="1"/>
    <row r="1538" ht="15.75" customHeight="1"/>
    <row r="1539" ht="15.75" customHeight="1"/>
    <row r="1540" ht="15.75" customHeight="1"/>
    <row r="1541" ht="15.75" customHeight="1"/>
    <row r="1542" ht="15.75" customHeight="1"/>
    <row r="1543" ht="15.75" customHeight="1"/>
    <row r="1544" ht="15.75" customHeight="1"/>
    <row r="1545" ht="15.75" customHeight="1"/>
    <row r="1546" ht="15.75" customHeight="1"/>
    <row r="1547" ht="15.75" customHeight="1"/>
    <row r="1548" ht="15.75" customHeight="1"/>
    <row r="1549" ht="15.75" customHeight="1"/>
    <row r="1550" ht="15.75" customHeight="1"/>
    <row r="1551" ht="15.75" customHeight="1"/>
    <row r="1552" ht="15.75" customHeight="1"/>
    <row r="1553" ht="15.75" customHeight="1"/>
    <row r="1554" ht="15.75" customHeight="1"/>
    <row r="1555" ht="15.75" customHeight="1"/>
    <row r="1556" ht="15.75" customHeight="1"/>
    <row r="1557" ht="15.75" customHeight="1"/>
    <row r="1558" ht="15.75" customHeight="1"/>
    <row r="1559" ht="15.75" customHeight="1"/>
    <row r="1560" ht="15.75" customHeight="1"/>
    <row r="1561" ht="15.75" customHeight="1"/>
    <row r="1562" ht="15.75" customHeight="1"/>
    <row r="1563" ht="15.75" customHeight="1"/>
    <row r="1564" ht="15.75" customHeight="1"/>
    <row r="1565" ht="15.75" customHeight="1"/>
    <row r="1566" ht="15.75" customHeight="1"/>
  </sheetData>
  <sheetProtection algorithmName="SHA-512" hashValue="3mt2azuMNdFeBtEStg+PuH9EMLZFH9fAc2OPWA3xhSZ0V4/Fy5hkTg1SCnbNGzMSpNmlcH7kBQBEbbUEtXVEmA==" saltValue="7fxgE4cn8pOaaSZkpN76tw==" spinCount="100000" sheet="1" objects="1" scenarios="1" formatColumns="0" formatRows="0"/>
  <mergeCells count="1571">
    <mergeCell ref="F634:G634"/>
    <mergeCell ref="F635:G635"/>
    <mergeCell ref="F636:G636"/>
    <mergeCell ref="F637:G637"/>
    <mergeCell ref="F638:G638"/>
    <mergeCell ref="F639:G639"/>
    <mergeCell ref="B632:C632"/>
    <mergeCell ref="B633:C633"/>
    <mergeCell ref="B634:C634"/>
    <mergeCell ref="B635:C635"/>
    <mergeCell ref="B636:C636"/>
    <mergeCell ref="B637:C637"/>
    <mergeCell ref="B638:C638"/>
    <mergeCell ref="B631:C631"/>
    <mergeCell ref="H639:I639"/>
    <mergeCell ref="J639:K639"/>
    <mergeCell ref="D494:E494"/>
    <mergeCell ref="D495:E495"/>
    <mergeCell ref="D496:E496"/>
    <mergeCell ref="D497:E497"/>
    <mergeCell ref="D498:E498"/>
    <mergeCell ref="D499:E499"/>
    <mergeCell ref="D500:E500"/>
    <mergeCell ref="D501:E501"/>
    <mergeCell ref="D593:E593"/>
    <mergeCell ref="D594:E594"/>
    <mergeCell ref="D595:E595"/>
    <mergeCell ref="D584:E584"/>
    <mergeCell ref="D585:E585"/>
    <mergeCell ref="D586:E586"/>
    <mergeCell ref="D587:E587"/>
    <mergeCell ref="D588:E588"/>
    <mergeCell ref="D389:E391"/>
    <mergeCell ref="F629:G630"/>
    <mergeCell ref="F631:G631"/>
    <mergeCell ref="F632:G632"/>
    <mergeCell ref="F633:G633"/>
    <mergeCell ref="D441:E441"/>
    <mergeCell ref="D442:E442"/>
    <mergeCell ref="D443:E443"/>
    <mergeCell ref="D444:E444"/>
    <mergeCell ref="D445:E445"/>
    <mergeCell ref="D446:E446"/>
    <mergeCell ref="D447:E447"/>
    <mergeCell ref="D448:E448"/>
    <mergeCell ref="D449:E449"/>
    <mergeCell ref="D450:E450"/>
    <mergeCell ref="D451:E451"/>
    <mergeCell ref="D452:E452"/>
    <mergeCell ref="D453:E453"/>
    <mergeCell ref="D454:E454"/>
    <mergeCell ref="D455:E455"/>
    <mergeCell ref="D456:E456"/>
    <mergeCell ref="D392:E392"/>
    <mergeCell ref="D393:E393"/>
    <mergeCell ref="D394:E394"/>
    <mergeCell ref="D395:E395"/>
    <mergeCell ref="D396:E396"/>
    <mergeCell ref="D397:E397"/>
    <mergeCell ref="D398:E398"/>
    <mergeCell ref="D399:E399"/>
    <mergeCell ref="D400:E400"/>
    <mergeCell ref="D401:E401"/>
    <mergeCell ref="D402:E402"/>
    <mergeCell ref="D403:E403"/>
    <mergeCell ref="D404:E404"/>
    <mergeCell ref="D405:E405"/>
    <mergeCell ref="D406:E406"/>
    <mergeCell ref="D407:E407"/>
    <mergeCell ref="D408:E408"/>
    <mergeCell ref="D409:E409"/>
    <mergeCell ref="D410:E410"/>
    <mergeCell ref="D411:E411"/>
    <mergeCell ref="D412:E412"/>
    <mergeCell ref="D413:E413"/>
    <mergeCell ref="D414:E414"/>
    <mergeCell ref="D415:E415"/>
    <mergeCell ref="D416:E416"/>
    <mergeCell ref="D417:E417"/>
    <mergeCell ref="D418:E418"/>
    <mergeCell ref="D419:E419"/>
    <mergeCell ref="D488:E488"/>
    <mergeCell ref="D489:E489"/>
    <mergeCell ref="D490:E490"/>
    <mergeCell ref="D491:E491"/>
    <mergeCell ref="D492:E492"/>
    <mergeCell ref="D493:E493"/>
    <mergeCell ref="D466:E466"/>
    <mergeCell ref="D467:E467"/>
    <mergeCell ref="D468:E468"/>
    <mergeCell ref="D469:E469"/>
    <mergeCell ref="D470:E470"/>
    <mergeCell ref="D471:E471"/>
    <mergeCell ref="D472:E472"/>
    <mergeCell ref="D473:E473"/>
    <mergeCell ref="D474:E474"/>
    <mergeCell ref="D475:E475"/>
    <mergeCell ref="D476:E476"/>
    <mergeCell ref="D477:E477"/>
    <mergeCell ref="D478:E478"/>
    <mergeCell ref="D479:E479"/>
    <mergeCell ref="D480:E480"/>
    <mergeCell ref="D432:E432"/>
    <mergeCell ref="D433:E433"/>
    <mergeCell ref="D434:E434"/>
    <mergeCell ref="D435:E435"/>
    <mergeCell ref="D436:E436"/>
    <mergeCell ref="D437:E437"/>
    <mergeCell ref="D438:E438"/>
    <mergeCell ref="D439:E439"/>
    <mergeCell ref="D440:E440"/>
    <mergeCell ref="D420:E420"/>
    <mergeCell ref="D481:E481"/>
    <mergeCell ref="D482:E482"/>
    <mergeCell ref="D483:E483"/>
    <mergeCell ref="D484:E484"/>
    <mergeCell ref="D485:E485"/>
    <mergeCell ref="D486:E486"/>
    <mergeCell ref="D487:E487"/>
    <mergeCell ref="D457:E457"/>
    <mergeCell ref="D458:E458"/>
    <mergeCell ref="D459:E459"/>
    <mergeCell ref="D607:E607"/>
    <mergeCell ref="D596:E596"/>
    <mergeCell ref="D597:E597"/>
    <mergeCell ref="D598:E598"/>
    <mergeCell ref="D599:E599"/>
    <mergeCell ref="D600:E600"/>
    <mergeCell ref="D601:E601"/>
    <mergeCell ref="D620:E620"/>
    <mergeCell ref="D621:E621"/>
    <mergeCell ref="D622:E622"/>
    <mergeCell ref="D29:E29"/>
    <mergeCell ref="D30:E30"/>
    <mergeCell ref="D614:E614"/>
    <mergeCell ref="D615:E615"/>
    <mergeCell ref="D616:E616"/>
    <mergeCell ref="D617:E617"/>
    <mergeCell ref="D618:E618"/>
    <mergeCell ref="D619:E619"/>
    <mergeCell ref="D608:E608"/>
    <mergeCell ref="D609:E609"/>
    <mergeCell ref="D610:E610"/>
    <mergeCell ref="D611:E611"/>
    <mergeCell ref="D612:E612"/>
    <mergeCell ref="D613:E613"/>
    <mergeCell ref="D590:E590"/>
    <mergeCell ref="D591:E591"/>
    <mergeCell ref="D592:E592"/>
    <mergeCell ref="D460:E460"/>
    <mergeCell ref="D461:E461"/>
    <mergeCell ref="D462:E462"/>
    <mergeCell ref="D463:E463"/>
    <mergeCell ref="D464:E464"/>
    <mergeCell ref="D589:E589"/>
    <mergeCell ref="D602:E602"/>
    <mergeCell ref="D603:E603"/>
    <mergeCell ref="D604:E604"/>
    <mergeCell ref="D605:E605"/>
    <mergeCell ref="D606:E606"/>
    <mergeCell ref="D571:E571"/>
    <mergeCell ref="D560:E560"/>
    <mergeCell ref="D561:E561"/>
    <mergeCell ref="D562:E562"/>
    <mergeCell ref="D563:E563"/>
    <mergeCell ref="D564:E564"/>
    <mergeCell ref="D565:E565"/>
    <mergeCell ref="D578:E578"/>
    <mergeCell ref="D579:E579"/>
    <mergeCell ref="D580:E580"/>
    <mergeCell ref="D581:E581"/>
    <mergeCell ref="D582:E582"/>
    <mergeCell ref="D583:E583"/>
    <mergeCell ref="D572:E572"/>
    <mergeCell ref="D573:E573"/>
    <mergeCell ref="D574:E574"/>
    <mergeCell ref="D575:E575"/>
    <mergeCell ref="D576:E576"/>
    <mergeCell ref="D577:E577"/>
    <mergeCell ref="D554:E554"/>
    <mergeCell ref="D555:E555"/>
    <mergeCell ref="D556:E556"/>
    <mergeCell ref="D557:E557"/>
    <mergeCell ref="D558:E558"/>
    <mergeCell ref="D559:E559"/>
    <mergeCell ref="D548:E548"/>
    <mergeCell ref="D549:E549"/>
    <mergeCell ref="D550:E550"/>
    <mergeCell ref="D551:E551"/>
    <mergeCell ref="D552:E552"/>
    <mergeCell ref="D553:E553"/>
    <mergeCell ref="D566:E566"/>
    <mergeCell ref="D567:E567"/>
    <mergeCell ref="D568:E568"/>
    <mergeCell ref="D569:E569"/>
    <mergeCell ref="D570:E570"/>
    <mergeCell ref="D535:E535"/>
    <mergeCell ref="D524:E524"/>
    <mergeCell ref="D525:E525"/>
    <mergeCell ref="D526:E526"/>
    <mergeCell ref="D527:E527"/>
    <mergeCell ref="D528:E528"/>
    <mergeCell ref="D529:E529"/>
    <mergeCell ref="D542:E542"/>
    <mergeCell ref="D543:E543"/>
    <mergeCell ref="D544:E544"/>
    <mergeCell ref="D545:E545"/>
    <mergeCell ref="D546:E546"/>
    <mergeCell ref="D547:E547"/>
    <mergeCell ref="D536:E536"/>
    <mergeCell ref="D537:E537"/>
    <mergeCell ref="D538:E538"/>
    <mergeCell ref="D539:E539"/>
    <mergeCell ref="D540:E540"/>
    <mergeCell ref="D541:E541"/>
    <mergeCell ref="D513:E513"/>
    <mergeCell ref="D514:E514"/>
    <mergeCell ref="D515:E515"/>
    <mergeCell ref="D516:E516"/>
    <mergeCell ref="D517:E517"/>
    <mergeCell ref="D530:E530"/>
    <mergeCell ref="D531:E531"/>
    <mergeCell ref="D532:E532"/>
    <mergeCell ref="D533:E533"/>
    <mergeCell ref="I513:J513"/>
    <mergeCell ref="M513:N513"/>
    <mergeCell ref="I514:J514"/>
    <mergeCell ref="M514:N514"/>
    <mergeCell ref="I515:J515"/>
    <mergeCell ref="M515:N515"/>
    <mergeCell ref="I516:J516"/>
    <mergeCell ref="M516:N516"/>
    <mergeCell ref="I517:J517"/>
    <mergeCell ref="M517:N517"/>
    <mergeCell ref="I518:J518"/>
    <mergeCell ref="M518:N518"/>
    <mergeCell ref="I519:J519"/>
    <mergeCell ref="M519:N519"/>
    <mergeCell ref="I520:J520"/>
    <mergeCell ref="I523:J523"/>
    <mergeCell ref="M523:N523"/>
    <mergeCell ref="I524:J524"/>
    <mergeCell ref="M524:N524"/>
    <mergeCell ref="I525:J525"/>
    <mergeCell ref="M525:N525"/>
    <mergeCell ref="I526:J526"/>
    <mergeCell ref="M526:N526"/>
    <mergeCell ref="D372:E372"/>
    <mergeCell ref="D361:E361"/>
    <mergeCell ref="D362:E362"/>
    <mergeCell ref="D363:E363"/>
    <mergeCell ref="D364:E364"/>
    <mergeCell ref="D365:E365"/>
    <mergeCell ref="D366:E366"/>
    <mergeCell ref="D379:E379"/>
    <mergeCell ref="D380:E380"/>
    <mergeCell ref="B510:B512"/>
    <mergeCell ref="C510:C512"/>
    <mergeCell ref="D510:E512"/>
    <mergeCell ref="D373:E373"/>
    <mergeCell ref="D374:E374"/>
    <mergeCell ref="D375:E375"/>
    <mergeCell ref="D376:E376"/>
    <mergeCell ref="D377:E377"/>
    <mergeCell ref="D378:E378"/>
    <mergeCell ref="B389:B391"/>
    <mergeCell ref="C389:C391"/>
    <mergeCell ref="D421:E421"/>
    <mergeCell ref="D422:E422"/>
    <mergeCell ref="D423:E423"/>
    <mergeCell ref="D424:E424"/>
    <mergeCell ref="D425:E425"/>
    <mergeCell ref="D465:E465"/>
    <mergeCell ref="D426:E426"/>
    <mergeCell ref="D427:E427"/>
    <mergeCell ref="D428:E428"/>
    <mergeCell ref="D429:E429"/>
    <mergeCell ref="D430:E430"/>
    <mergeCell ref="D431:E431"/>
    <mergeCell ref="D355:E355"/>
    <mergeCell ref="D356:E356"/>
    <mergeCell ref="D357:E357"/>
    <mergeCell ref="D358:E358"/>
    <mergeCell ref="D359:E359"/>
    <mergeCell ref="D360:E360"/>
    <mergeCell ref="D349:E349"/>
    <mergeCell ref="D350:E350"/>
    <mergeCell ref="D351:E351"/>
    <mergeCell ref="D352:E352"/>
    <mergeCell ref="D353:E353"/>
    <mergeCell ref="D354:E354"/>
    <mergeCell ref="D367:E367"/>
    <mergeCell ref="D368:E368"/>
    <mergeCell ref="D369:E369"/>
    <mergeCell ref="D370:E370"/>
    <mergeCell ref="D371:E371"/>
    <mergeCell ref="D336:E336"/>
    <mergeCell ref="D325:E325"/>
    <mergeCell ref="D326:E326"/>
    <mergeCell ref="D327:E327"/>
    <mergeCell ref="D328:E328"/>
    <mergeCell ref="D329:E329"/>
    <mergeCell ref="D330:E330"/>
    <mergeCell ref="D343:E343"/>
    <mergeCell ref="D344:E344"/>
    <mergeCell ref="D345:E345"/>
    <mergeCell ref="D346:E346"/>
    <mergeCell ref="D347:E347"/>
    <mergeCell ref="D348:E348"/>
    <mergeCell ref="D337:E337"/>
    <mergeCell ref="D338:E338"/>
    <mergeCell ref="D339:E339"/>
    <mergeCell ref="D340:E340"/>
    <mergeCell ref="D341:E341"/>
    <mergeCell ref="D342:E342"/>
    <mergeCell ref="D319:E319"/>
    <mergeCell ref="D320:E320"/>
    <mergeCell ref="D321:E321"/>
    <mergeCell ref="D322:E322"/>
    <mergeCell ref="D323:E323"/>
    <mergeCell ref="D324:E324"/>
    <mergeCell ref="D313:E313"/>
    <mergeCell ref="D314:E314"/>
    <mergeCell ref="D315:E315"/>
    <mergeCell ref="D316:E316"/>
    <mergeCell ref="D317:E317"/>
    <mergeCell ref="D318:E318"/>
    <mergeCell ref="D331:E331"/>
    <mergeCell ref="D332:E332"/>
    <mergeCell ref="D333:E333"/>
    <mergeCell ref="D334:E334"/>
    <mergeCell ref="D335:E335"/>
    <mergeCell ref="D300:E300"/>
    <mergeCell ref="D289:E289"/>
    <mergeCell ref="D290:E290"/>
    <mergeCell ref="D291:E291"/>
    <mergeCell ref="D292:E292"/>
    <mergeCell ref="D293:E293"/>
    <mergeCell ref="D294:E294"/>
    <mergeCell ref="D307:E307"/>
    <mergeCell ref="D308:E308"/>
    <mergeCell ref="D309:E309"/>
    <mergeCell ref="D310:E310"/>
    <mergeCell ref="D311:E311"/>
    <mergeCell ref="D312:E312"/>
    <mergeCell ref="D301:E301"/>
    <mergeCell ref="D302:E302"/>
    <mergeCell ref="D303:E303"/>
    <mergeCell ref="D304:E304"/>
    <mergeCell ref="D305:E305"/>
    <mergeCell ref="D306:E306"/>
    <mergeCell ref="D283:E283"/>
    <mergeCell ref="D284:E284"/>
    <mergeCell ref="D285:E285"/>
    <mergeCell ref="D286:E286"/>
    <mergeCell ref="D287:E287"/>
    <mergeCell ref="D288:E288"/>
    <mergeCell ref="D277:E277"/>
    <mergeCell ref="D278:E278"/>
    <mergeCell ref="D279:E279"/>
    <mergeCell ref="D280:E280"/>
    <mergeCell ref="D281:E281"/>
    <mergeCell ref="D282:E282"/>
    <mergeCell ref="D295:E295"/>
    <mergeCell ref="D296:E296"/>
    <mergeCell ref="D297:E297"/>
    <mergeCell ref="D298:E298"/>
    <mergeCell ref="D299:E299"/>
    <mergeCell ref="B268:B270"/>
    <mergeCell ref="C268:C270"/>
    <mergeCell ref="D268:E270"/>
    <mergeCell ref="D271:E271"/>
    <mergeCell ref="D272:E272"/>
    <mergeCell ref="D273:E273"/>
    <mergeCell ref="D274:E274"/>
    <mergeCell ref="D275:E275"/>
    <mergeCell ref="D276:E276"/>
    <mergeCell ref="I271:J271"/>
    <mergeCell ref="M271:N271"/>
    <mergeCell ref="I272:J272"/>
    <mergeCell ref="M272:N272"/>
    <mergeCell ref="I273:J273"/>
    <mergeCell ref="M273:N273"/>
    <mergeCell ref="I274:J274"/>
    <mergeCell ref="M274:N274"/>
    <mergeCell ref="I275:J275"/>
    <mergeCell ref="M275:N275"/>
    <mergeCell ref="I276:J276"/>
    <mergeCell ref="M276:N276"/>
    <mergeCell ref="D253:E253"/>
    <mergeCell ref="D254:E254"/>
    <mergeCell ref="D255:E255"/>
    <mergeCell ref="D256:E256"/>
    <mergeCell ref="D257:E257"/>
    <mergeCell ref="D258:E258"/>
    <mergeCell ref="D247:E247"/>
    <mergeCell ref="D248:E248"/>
    <mergeCell ref="D249:E249"/>
    <mergeCell ref="D250:E250"/>
    <mergeCell ref="D251:E251"/>
    <mergeCell ref="D252:E252"/>
    <mergeCell ref="D259:E259"/>
    <mergeCell ref="I255:J255"/>
    <mergeCell ref="M255:N255"/>
    <mergeCell ref="I256:J256"/>
    <mergeCell ref="M256:N256"/>
    <mergeCell ref="I257:J257"/>
    <mergeCell ref="M257:N257"/>
    <mergeCell ref="I258:J258"/>
    <mergeCell ref="M258:N258"/>
    <mergeCell ref="I259:J259"/>
    <mergeCell ref="M259:N259"/>
    <mergeCell ref="I250:J250"/>
    <mergeCell ref="M250:N250"/>
    <mergeCell ref="I251:J251"/>
    <mergeCell ref="M251:N251"/>
    <mergeCell ref="I252:J252"/>
    <mergeCell ref="M252:N252"/>
    <mergeCell ref="I253:J253"/>
    <mergeCell ref="M253:N253"/>
    <mergeCell ref="I254:J254"/>
    <mergeCell ref="D234:E234"/>
    <mergeCell ref="D223:E223"/>
    <mergeCell ref="D224:E224"/>
    <mergeCell ref="D225:E225"/>
    <mergeCell ref="D226:E226"/>
    <mergeCell ref="D227:E227"/>
    <mergeCell ref="D228:E228"/>
    <mergeCell ref="D241:E241"/>
    <mergeCell ref="D242:E242"/>
    <mergeCell ref="D243:E243"/>
    <mergeCell ref="D244:E244"/>
    <mergeCell ref="D245:E245"/>
    <mergeCell ref="D246:E246"/>
    <mergeCell ref="D235:E235"/>
    <mergeCell ref="D236:E236"/>
    <mergeCell ref="D237:E237"/>
    <mergeCell ref="D238:E238"/>
    <mergeCell ref="D239:E239"/>
    <mergeCell ref="D240:E240"/>
    <mergeCell ref="D217:E217"/>
    <mergeCell ref="D218:E218"/>
    <mergeCell ref="D219:E219"/>
    <mergeCell ref="D220:E220"/>
    <mergeCell ref="D221:E221"/>
    <mergeCell ref="D222:E222"/>
    <mergeCell ref="D211:E211"/>
    <mergeCell ref="D212:E212"/>
    <mergeCell ref="D213:E213"/>
    <mergeCell ref="D214:E214"/>
    <mergeCell ref="D215:E215"/>
    <mergeCell ref="D216:E216"/>
    <mergeCell ref="D229:E229"/>
    <mergeCell ref="D230:E230"/>
    <mergeCell ref="D231:E231"/>
    <mergeCell ref="D232:E232"/>
    <mergeCell ref="D233:E233"/>
    <mergeCell ref="D198:E198"/>
    <mergeCell ref="D187:E187"/>
    <mergeCell ref="D188:E188"/>
    <mergeCell ref="D189:E189"/>
    <mergeCell ref="D190:E190"/>
    <mergeCell ref="D191:E191"/>
    <mergeCell ref="D192:E192"/>
    <mergeCell ref="D205:E205"/>
    <mergeCell ref="D206:E206"/>
    <mergeCell ref="D207:E207"/>
    <mergeCell ref="D208:E208"/>
    <mergeCell ref="D209:E209"/>
    <mergeCell ref="D210:E210"/>
    <mergeCell ref="D199:E199"/>
    <mergeCell ref="D200:E200"/>
    <mergeCell ref="D201:E201"/>
    <mergeCell ref="D202:E202"/>
    <mergeCell ref="D203:E203"/>
    <mergeCell ref="D204:E204"/>
    <mergeCell ref="D181:E181"/>
    <mergeCell ref="D182:E182"/>
    <mergeCell ref="D183:E183"/>
    <mergeCell ref="D184:E184"/>
    <mergeCell ref="D185:E185"/>
    <mergeCell ref="D186:E186"/>
    <mergeCell ref="D175:E175"/>
    <mergeCell ref="D176:E176"/>
    <mergeCell ref="D177:E177"/>
    <mergeCell ref="D178:E178"/>
    <mergeCell ref="D179:E179"/>
    <mergeCell ref="D180:E180"/>
    <mergeCell ref="D193:E193"/>
    <mergeCell ref="D194:E194"/>
    <mergeCell ref="D195:E195"/>
    <mergeCell ref="D196:E196"/>
    <mergeCell ref="D197:E197"/>
    <mergeCell ref="D161:E161"/>
    <mergeCell ref="D162:E162"/>
    <mergeCell ref="D151:E151"/>
    <mergeCell ref="D152:E152"/>
    <mergeCell ref="D153:E153"/>
    <mergeCell ref="D154:E154"/>
    <mergeCell ref="D155:E155"/>
    <mergeCell ref="D156:E156"/>
    <mergeCell ref="D169:E169"/>
    <mergeCell ref="D170:E170"/>
    <mergeCell ref="D171:E171"/>
    <mergeCell ref="D172:E172"/>
    <mergeCell ref="D173:E173"/>
    <mergeCell ref="D174:E174"/>
    <mergeCell ref="D163:E163"/>
    <mergeCell ref="D164:E164"/>
    <mergeCell ref="D165:E165"/>
    <mergeCell ref="D166:E166"/>
    <mergeCell ref="D167:E167"/>
    <mergeCell ref="D168:E168"/>
    <mergeCell ref="D158:E158"/>
    <mergeCell ref="D159:E159"/>
    <mergeCell ref="D160:E160"/>
    <mergeCell ref="S147:S149"/>
    <mergeCell ref="T147:T149"/>
    <mergeCell ref="I150:J150"/>
    <mergeCell ref="M150:N150"/>
    <mergeCell ref="I151:J151"/>
    <mergeCell ref="M151:N151"/>
    <mergeCell ref="I152:J152"/>
    <mergeCell ref="M152:N152"/>
    <mergeCell ref="I153:J153"/>
    <mergeCell ref="M153:N153"/>
    <mergeCell ref="I154:J154"/>
    <mergeCell ref="M154:N154"/>
    <mergeCell ref="I155:J155"/>
    <mergeCell ref="M155:N155"/>
    <mergeCell ref="I156:J156"/>
    <mergeCell ref="D133:E133"/>
    <mergeCell ref="D134:E134"/>
    <mergeCell ref="D135:E135"/>
    <mergeCell ref="D136:E136"/>
    <mergeCell ref="D137:E137"/>
    <mergeCell ref="D138:E138"/>
    <mergeCell ref="I135:J135"/>
    <mergeCell ref="I136:J136"/>
    <mergeCell ref="I137:J137"/>
    <mergeCell ref="I138:J138"/>
    <mergeCell ref="M134:N134"/>
    <mergeCell ref="M135:N135"/>
    <mergeCell ref="M136:N136"/>
    <mergeCell ref="M137:N137"/>
    <mergeCell ref="M138:N138"/>
    <mergeCell ref="F147:F149"/>
    <mergeCell ref="G147:G149"/>
    <mergeCell ref="D127:E127"/>
    <mergeCell ref="D128:E128"/>
    <mergeCell ref="D129:E129"/>
    <mergeCell ref="D130:E130"/>
    <mergeCell ref="D131:E131"/>
    <mergeCell ref="D132:E132"/>
    <mergeCell ref="D150:E150"/>
    <mergeCell ref="B147:B149"/>
    <mergeCell ref="C147:C149"/>
    <mergeCell ref="D147:E149"/>
    <mergeCell ref="D157:E157"/>
    <mergeCell ref="D114:E114"/>
    <mergeCell ref="D103:E103"/>
    <mergeCell ref="D104:E104"/>
    <mergeCell ref="D105:E105"/>
    <mergeCell ref="D106:E106"/>
    <mergeCell ref="D107:E107"/>
    <mergeCell ref="D108:E108"/>
    <mergeCell ref="D121:E121"/>
    <mergeCell ref="D122:E122"/>
    <mergeCell ref="D123:E123"/>
    <mergeCell ref="D124:E124"/>
    <mergeCell ref="D125:E125"/>
    <mergeCell ref="D126:E126"/>
    <mergeCell ref="D115:E115"/>
    <mergeCell ref="D116:E116"/>
    <mergeCell ref="D117:E117"/>
    <mergeCell ref="D118:E118"/>
    <mergeCell ref="D119:E119"/>
    <mergeCell ref="D120:E120"/>
    <mergeCell ref="D97:E97"/>
    <mergeCell ref="D98:E98"/>
    <mergeCell ref="D99:E99"/>
    <mergeCell ref="D100:E100"/>
    <mergeCell ref="D101:E101"/>
    <mergeCell ref="D102:E102"/>
    <mergeCell ref="D91:E91"/>
    <mergeCell ref="D92:E92"/>
    <mergeCell ref="D93:E93"/>
    <mergeCell ref="D94:E94"/>
    <mergeCell ref="D95:E95"/>
    <mergeCell ref="D96:E96"/>
    <mergeCell ref="D109:E109"/>
    <mergeCell ref="D110:E110"/>
    <mergeCell ref="D111:E111"/>
    <mergeCell ref="D112:E112"/>
    <mergeCell ref="D113:E113"/>
    <mergeCell ref="D78:E78"/>
    <mergeCell ref="D67:E67"/>
    <mergeCell ref="D68:E68"/>
    <mergeCell ref="D69:E69"/>
    <mergeCell ref="D70:E70"/>
    <mergeCell ref="D71:E71"/>
    <mergeCell ref="D72:E72"/>
    <mergeCell ref="D85:E85"/>
    <mergeCell ref="D86:E86"/>
    <mergeCell ref="D87:E87"/>
    <mergeCell ref="D88:E88"/>
    <mergeCell ref="D89:E89"/>
    <mergeCell ref="D90:E90"/>
    <mergeCell ref="D79:E79"/>
    <mergeCell ref="D80:E80"/>
    <mergeCell ref="D81:E81"/>
    <mergeCell ref="D82:E82"/>
    <mergeCell ref="D83:E83"/>
    <mergeCell ref="D84:E84"/>
    <mergeCell ref="D61:E61"/>
    <mergeCell ref="D62:E62"/>
    <mergeCell ref="D63:E63"/>
    <mergeCell ref="D64:E64"/>
    <mergeCell ref="D65:E65"/>
    <mergeCell ref="D66:E66"/>
    <mergeCell ref="D55:E55"/>
    <mergeCell ref="D56:E56"/>
    <mergeCell ref="D57:E57"/>
    <mergeCell ref="D58:E58"/>
    <mergeCell ref="D59:E59"/>
    <mergeCell ref="D60:E60"/>
    <mergeCell ref="D73:E73"/>
    <mergeCell ref="D74:E74"/>
    <mergeCell ref="D75:E75"/>
    <mergeCell ref="D76:E76"/>
    <mergeCell ref="D77:E77"/>
    <mergeCell ref="I41:J41"/>
    <mergeCell ref="I42:J42"/>
    <mergeCell ref="I43:J43"/>
    <mergeCell ref="I44:J44"/>
    <mergeCell ref="I45:J45"/>
    <mergeCell ref="I46:J46"/>
    <mergeCell ref="I47:J47"/>
    <mergeCell ref="I48:J48"/>
    <mergeCell ref="I49:J49"/>
    <mergeCell ref="D51:E51"/>
    <mergeCell ref="D52:E52"/>
    <mergeCell ref="D53:E53"/>
    <mergeCell ref="D54:E54"/>
    <mergeCell ref="D43:E43"/>
    <mergeCell ref="D44:E44"/>
    <mergeCell ref="D45:E45"/>
    <mergeCell ref="D46:E46"/>
    <mergeCell ref="D47:E47"/>
    <mergeCell ref="D48:E48"/>
    <mergeCell ref="B14:C14"/>
    <mergeCell ref="B629:C630"/>
    <mergeCell ref="D629:D630"/>
    <mergeCell ref="E629:E630"/>
    <mergeCell ref="B19:C19"/>
    <mergeCell ref="H19:I19"/>
    <mergeCell ref="J19:K19"/>
    <mergeCell ref="B15:C15"/>
    <mergeCell ref="H15:I15"/>
    <mergeCell ref="J15:K15"/>
    <mergeCell ref="B18:C18"/>
    <mergeCell ref="B26:B28"/>
    <mergeCell ref="C26:C28"/>
    <mergeCell ref="D26:E28"/>
    <mergeCell ref="G26:G28"/>
    <mergeCell ref="D37:E37"/>
    <mergeCell ref="D38:E38"/>
    <mergeCell ref="D39:E39"/>
    <mergeCell ref="D40:E40"/>
    <mergeCell ref="D41:E41"/>
    <mergeCell ref="D42:E42"/>
    <mergeCell ref="D31:E31"/>
    <mergeCell ref="D32:E32"/>
    <mergeCell ref="D33:E33"/>
    <mergeCell ref="D34:E34"/>
    <mergeCell ref="I60:J60"/>
    <mergeCell ref="I61:J61"/>
    <mergeCell ref="I62:J62"/>
    <mergeCell ref="I63:J63"/>
    <mergeCell ref="I64:J64"/>
    <mergeCell ref="I65:J65"/>
    <mergeCell ref="I66:J66"/>
    <mergeCell ref="H631:I631"/>
    <mergeCell ref="H632:I632"/>
    <mergeCell ref="H636:I636"/>
    <mergeCell ref="H633:I633"/>
    <mergeCell ref="H634:I634"/>
    <mergeCell ref="H635:I635"/>
    <mergeCell ref="H638:I638"/>
    <mergeCell ref="H629:I630"/>
    <mergeCell ref="J629:K630"/>
    <mergeCell ref="J631:K631"/>
    <mergeCell ref="J632:K632"/>
    <mergeCell ref="J636:K636"/>
    <mergeCell ref="J633:K633"/>
    <mergeCell ref="J634:K634"/>
    <mergeCell ref="J635:K635"/>
    <mergeCell ref="J638:K638"/>
    <mergeCell ref="H637:I637"/>
    <mergeCell ref="J637:K637"/>
    <mergeCell ref="G6:K6"/>
    <mergeCell ref="G8:K8"/>
    <mergeCell ref="F26:F28"/>
    <mergeCell ref="H26:J26"/>
    <mergeCell ref="K26:N26"/>
    <mergeCell ref="D518:E518"/>
    <mergeCell ref="D519:E519"/>
    <mergeCell ref="D520:E520"/>
    <mergeCell ref="D521:E521"/>
    <mergeCell ref="D522:E522"/>
    <mergeCell ref="D523:E523"/>
    <mergeCell ref="D534:E534"/>
    <mergeCell ref="D35:E35"/>
    <mergeCell ref="D36:E36"/>
    <mergeCell ref="D49:E49"/>
    <mergeCell ref="D50:E50"/>
    <mergeCell ref="I35:J35"/>
    <mergeCell ref="I36:J36"/>
    <mergeCell ref="I37:J37"/>
    <mergeCell ref="I38:J38"/>
    <mergeCell ref="I39:J39"/>
    <mergeCell ref="I40:J40"/>
    <mergeCell ref="I50:J50"/>
    <mergeCell ref="I51:J51"/>
    <mergeCell ref="I52:J52"/>
    <mergeCell ref="I53:J53"/>
    <mergeCell ref="I54:J54"/>
    <mergeCell ref="I55:J55"/>
    <mergeCell ref="I56:J56"/>
    <mergeCell ref="I57:J57"/>
    <mergeCell ref="I58:J58"/>
    <mergeCell ref="I59:J59"/>
    <mergeCell ref="P26:P28"/>
    <mergeCell ref="Q26:Q27"/>
    <mergeCell ref="R26:R28"/>
    <mergeCell ref="S26:S28"/>
    <mergeCell ref="T26:T28"/>
    <mergeCell ref="H27:H28"/>
    <mergeCell ref="I27:J28"/>
    <mergeCell ref="K27:K28"/>
    <mergeCell ref="L27:L28"/>
    <mergeCell ref="M27:N28"/>
    <mergeCell ref="I29:J29"/>
    <mergeCell ref="I30:J30"/>
    <mergeCell ref="I31:J31"/>
    <mergeCell ref="I32:J32"/>
    <mergeCell ref="I33:J33"/>
    <mergeCell ref="I34:J34"/>
    <mergeCell ref="F14:G14"/>
    <mergeCell ref="H14:I14"/>
    <mergeCell ref="J14:K14"/>
    <mergeCell ref="F15:G15"/>
    <mergeCell ref="F18:G18"/>
    <mergeCell ref="H18:I18"/>
    <mergeCell ref="J18:K18"/>
    <mergeCell ref="F19:G19"/>
    <mergeCell ref="O26:O28"/>
    <mergeCell ref="M29:N29"/>
    <mergeCell ref="M30:N30"/>
    <mergeCell ref="M31:N31"/>
    <mergeCell ref="M32:N32"/>
    <mergeCell ref="M33:N33"/>
    <mergeCell ref="M34:N34"/>
    <mergeCell ref="I67:J67"/>
    <mergeCell ref="I68:J68"/>
    <mergeCell ref="I69:J69"/>
    <mergeCell ref="I70:J70"/>
    <mergeCell ref="I71:J71"/>
    <mergeCell ref="I72:J72"/>
    <mergeCell ref="I73:J73"/>
    <mergeCell ref="I74:J74"/>
    <mergeCell ref="I75:J75"/>
    <mergeCell ref="I76:J76"/>
    <mergeCell ref="I77:J77"/>
    <mergeCell ref="I78:J78"/>
    <mergeCell ref="I79:J79"/>
    <mergeCell ref="I80:J80"/>
    <mergeCell ref="I81:J81"/>
    <mergeCell ref="I82:J82"/>
    <mergeCell ref="I83:J83"/>
    <mergeCell ref="I117:J117"/>
    <mergeCell ref="I84:J84"/>
    <mergeCell ref="I85:J85"/>
    <mergeCell ref="I86:J86"/>
    <mergeCell ref="I87:J87"/>
    <mergeCell ref="I88:J88"/>
    <mergeCell ref="I89:J89"/>
    <mergeCell ref="I90:J90"/>
    <mergeCell ref="I91:J91"/>
    <mergeCell ref="I92:J92"/>
    <mergeCell ref="I93:J93"/>
    <mergeCell ref="I94:J94"/>
    <mergeCell ref="I95:J95"/>
    <mergeCell ref="I96:J96"/>
    <mergeCell ref="I97:J97"/>
    <mergeCell ref="I98:J98"/>
    <mergeCell ref="I99:J99"/>
    <mergeCell ref="I100:J100"/>
    <mergeCell ref="I119:J119"/>
    <mergeCell ref="I120:J120"/>
    <mergeCell ref="I121:J121"/>
    <mergeCell ref="I122:J122"/>
    <mergeCell ref="I123:J123"/>
    <mergeCell ref="I124:J124"/>
    <mergeCell ref="I125:J125"/>
    <mergeCell ref="I126:J126"/>
    <mergeCell ref="I127:J127"/>
    <mergeCell ref="I128:J128"/>
    <mergeCell ref="I129:J129"/>
    <mergeCell ref="I130:J130"/>
    <mergeCell ref="I131:J131"/>
    <mergeCell ref="I132:J132"/>
    <mergeCell ref="I133:J133"/>
    <mergeCell ref="I134:J134"/>
    <mergeCell ref="I101:J101"/>
    <mergeCell ref="I102:J102"/>
    <mergeCell ref="I103:J103"/>
    <mergeCell ref="I104:J104"/>
    <mergeCell ref="I105:J105"/>
    <mergeCell ref="I106:J106"/>
    <mergeCell ref="I107:J107"/>
    <mergeCell ref="I108:J108"/>
    <mergeCell ref="I109:J109"/>
    <mergeCell ref="I110:J110"/>
    <mergeCell ref="I111:J111"/>
    <mergeCell ref="I112:J112"/>
    <mergeCell ref="I113:J113"/>
    <mergeCell ref="I114:J114"/>
    <mergeCell ref="I115:J115"/>
    <mergeCell ref="I116:J116"/>
    <mergeCell ref="M35:N35"/>
    <mergeCell ref="M36:N36"/>
    <mergeCell ref="M37:N37"/>
    <mergeCell ref="M38:N38"/>
    <mergeCell ref="M39:N39"/>
    <mergeCell ref="M40:N40"/>
    <mergeCell ref="M41:N41"/>
    <mergeCell ref="M42:N42"/>
    <mergeCell ref="M43:N43"/>
    <mergeCell ref="M44:N44"/>
    <mergeCell ref="M45:N45"/>
    <mergeCell ref="M46:N46"/>
    <mergeCell ref="M47:N47"/>
    <mergeCell ref="M48:N48"/>
    <mergeCell ref="M49:N49"/>
    <mergeCell ref="M50:N50"/>
    <mergeCell ref="I118:J118"/>
    <mergeCell ref="M51:N51"/>
    <mergeCell ref="M52:N52"/>
    <mergeCell ref="M53:N53"/>
    <mergeCell ref="M54:N54"/>
    <mergeCell ref="M55:N55"/>
    <mergeCell ref="M56:N56"/>
    <mergeCell ref="M57:N57"/>
    <mergeCell ref="M58:N58"/>
    <mergeCell ref="M59:N59"/>
    <mergeCell ref="M60:N60"/>
    <mergeCell ref="M61:N61"/>
    <mergeCell ref="M62:N62"/>
    <mergeCell ref="M63:N63"/>
    <mergeCell ref="M64:N64"/>
    <mergeCell ref="M65:N65"/>
    <mergeCell ref="M66:N66"/>
    <mergeCell ref="M67:N67"/>
    <mergeCell ref="M68:N68"/>
    <mergeCell ref="M69:N69"/>
    <mergeCell ref="M70:N70"/>
    <mergeCell ref="M71:N71"/>
    <mergeCell ref="M72:N72"/>
    <mergeCell ref="M73:N73"/>
    <mergeCell ref="M74:N74"/>
    <mergeCell ref="M75:N75"/>
    <mergeCell ref="M76:N76"/>
    <mergeCell ref="M77:N77"/>
    <mergeCell ref="M78:N78"/>
    <mergeCell ref="M79:N79"/>
    <mergeCell ref="M80:N80"/>
    <mergeCell ref="M81:N81"/>
    <mergeCell ref="M82:N82"/>
    <mergeCell ref="M83:N83"/>
    <mergeCell ref="M84:N84"/>
    <mergeCell ref="M85:N85"/>
    <mergeCell ref="M86:N86"/>
    <mergeCell ref="M87:N87"/>
    <mergeCell ref="M88:N88"/>
    <mergeCell ref="M89:N89"/>
    <mergeCell ref="M90:N90"/>
    <mergeCell ref="M91:N91"/>
    <mergeCell ref="M92:N92"/>
    <mergeCell ref="M93:N93"/>
    <mergeCell ref="M94:N94"/>
    <mergeCell ref="M95:N95"/>
    <mergeCell ref="M96:N96"/>
    <mergeCell ref="M97:N97"/>
    <mergeCell ref="M98:N98"/>
    <mergeCell ref="M99:N99"/>
    <mergeCell ref="M100:N100"/>
    <mergeCell ref="M101:N101"/>
    <mergeCell ref="M102:N102"/>
    <mergeCell ref="M103:N103"/>
    <mergeCell ref="M104:N104"/>
    <mergeCell ref="M105:N105"/>
    <mergeCell ref="M106:N106"/>
    <mergeCell ref="M107:N107"/>
    <mergeCell ref="M108:N108"/>
    <mergeCell ref="M109:N109"/>
    <mergeCell ref="M110:N110"/>
    <mergeCell ref="M111:N111"/>
    <mergeCell ref="M112:N112"/>
    <mergeCell ref="M113:N113"/>
    <mergeCell ref="M114:N114"/>
    <mergeCell ref="M115:N115"/>
    <mergeCell ref="M116:N116"/>
    <mergeCell ref="M117:N117"/>
    <mergeCell ref="M118:N118"/>
    <mergeCell ref="M119:N119"/>
    <mergeCell ref="M120:N120"/>
    <mergeCell ref="M121:N121"/>
    <mergeCell ref="M122:N122"/>
    <mergeCell ref="M123:N123"/>
    <mergeCell ref="M124:N124"/>
    <mergeCell ref="M125:N125"/>
    <mergeCell ref="M126:N126"/>
    <mergeCell ref="M127:N127"/>
    <mergeCell ref="M128:N128"/>
    <mergeCell ref="M129:N129"/>
    <mergeCell ref="M130:N130"/>
    <mergeCell ref="M131:N131"/>
    <mergeCell ref="M132:N132"/>
    <mergeCell ref="M133:N133"/>
    <mergeCell ref="H147:J147"/>
    <mergeCell ref="K147:N147"/>
    <mergeCell ref="O147:O149"/>
    <mergeCell ref="P147:P149"/>
    <mergeCell ref="Q147:Q148"/>
    <mergeCell ref="R147:R149"/>
    <mergeCell ref="H148:H149"/>
    <mergeCell ref="I148:J149"/>
    <mergeCell ref="K148:K149"/>
    <mergeCell ref="L148:L149"/>
    <mergeCell ref="M148:N149"/>
    <mergeCell ref="M156:N156"/>
    <mergeCell ref="I157:J157"/>
    <mergeCell ref="M157:N157"/>
    <mergeCell ref="I158:J158"/>
    <mergeCell ref="M158:N158"/>
    <mergeCell ref="I159:J159"/>
    <mergeCell ref="M159:N159"/>
    <mergeCell ref="I160:J160"/>
    <mergeCell ref="M160:N160"/>
    <mergeCell ref="I161:J161"/>
    <mergeCell ref="M161:N161"/>
    <mergeCell ref="I162:J162"/>
    <mergeCell ref="M162:N162"/>
    <mergeCell ref="I163:J163"/>
    <mergeCell ref="M163:N163"/>
    <mergeCell ref="I164:J164"/>
    <mergeCell ref="M164:N164"/>
    <mergeCell ref="I165:J165"/>
    <mergeCell ref="M165:N165"/>
    <mergeCell ref="I166:J166"/>
    <mergeCell ref="M166:N166"/>
    <mergeCell ref="I167:J167"/>
    <mergeCell ref="M167:N167"/>
    <mergeCell ref="I168:J168"/>
    <mergeCell ref="M168:N168"/>
    <mergeCell ref="I169:J169"/>
    <mergeCell ref="M169:N169"/>
    <mergeCell ref="I170:J170"/>
    <mergeCell ref="M170:N170"/>
    <mergeCell ref="I171:J171"/>
    <mergeCell ref="M171:N171"/>
    <mergeCell ref="I172:J172"/>
    <mergeCell ref="M172:N172"/>
    <mergeCell ref="I173:J173"/>
    <mergeCell ref="M173:N173"/>
    <mergeCell ref="I174:J174"/>
    <mergeCell ref="M174:N174"/>
    <mergeCell ref="I175:J175"/>
    <mergeCell ref="M175:N175"/>
    <mergeCell ref="I176:J176"/>
    <mergeCell ref="M176:N176"/>
    <mergeCell ref="I177:J177"/>
    <mergeCell ref="M177:N177"/>
    <mergeCell ref="I178:J178"/>
    <mergeCell ref="M178:N178"/>
    <mergeCell ref="I179:J179"/>
    <mergeCell ref="M179:N179"/>
    <mergeCell ref="I180:J180"/>
    <mergeCell ref="M180:N180"/>
    <mergeCell ref="I181:J181"/>
    <mergeCell ref="M181:N181"/>
    <mergeCell ref="I182:J182"/>
    <mergeCell ref="M182:N182"/>
    <mergeCell ref="I183:J183"/>
    <mergeCell ref="M183:N183"/>
    <mergeCell ref="I184:J184"/>
    <mergeCell ref="M184:N184"/>
    <mergeCell ref="I185:J185"/>
    <mergeCell ref="M185:N185"/>
    <mergeCell ref="I186:J186"/>
    <mergeCell ref="M186:N186"/>
    <mergeCell ref="I187:J187"/>
    <mergeCell ref="M187:N187"/>
    <mergeCell ref="I188:J188"/>
    <mergeCell ref="M188:N188"/>
    <mergeCell ref="I189:J189"/>
    <mergeCell ref="M189:N189"/>
    <mergeCell ref="I190:J190"/>
    <mergeCell ref="M190:N190"/>
    <mergeCell ref="I191:J191"/>
    <mergeCell ref="M191:N191"/>
    <mergeCell ref="I192:J192"/>
    <mergeCell ref="M192:N192"/>
    <mergeCell ref="I193:J193"/>
    <mergeCell ref="M193:N193"/>
    <mergeCell ref="I194:J194"/>
    <mergeCell ref="M194:N194"/>
    <mergeCell ref="I195:J195"/>
    <mergeCell ref="M195:N195"/>
    <mergeCell ref="I196:J196"/>
    <mergeCell ref="M196:N196"/>
    <mergeCell ref="I197:J197"/>
    <mergeCell ref="M197:N197"/>
    <mergeCell ref="I198:J198"/>
    <mergeCell ref="M198:N198"/>
    <mergeCell ref="I199:J199"/>
    <mergeCell ref="M199:N199"/>
    <mergeCell ref="I200:J200"/>
    <mergeCell ref="M200:N200"/>
    <mergeCell ref="I201:J201"/>
    <mergeCell ref="M201:N201"/>
    <mergeCell ref="I202:J202"/>
    <mergeCell ref="M202:N202"/>
    <mergeCell ref="I203:J203"/>
    <mergeCell ref="M203:N203"/>
    <mergeCell ref="I204:J204"/>
    <mergeCell ref="M204:N204"/>
    <mergeCell ref="I205:J205"/>
    <mergeCell ref="M205:N205"/>
    <mergeCell ref="I206:J206"/>
    <mergeCell ref="M206:N206"/>
    <mergeCell ref="I207:J207"/>
    <mergeCell ref="M207:N207"/>
    <mergeCell ref="I208:J208"/>
    <mergeCell ref="M208:N208"/>
    <mergeCell ref="I209:J209"/>
    <mergeCell ref="M209:N209"/>
    <mergeCell ref="I210:J210"/>
    <mergeCell ref="M210:N210"/>
    <mergeCell ref="I211:J211"/>
    <mergeCell ref="M211:N211"/>
    <mergeCell ref="I212:J212"/>
    <mergeCell ref="M212:N212"/>
    <mergeCell ref="I213:J213"/>
    <mergeCell ref="M213:N213"/>
    <mergeCell ref="I214:J214"/>
    <mergeCell ref="M214:N214"/>
    <mergeCell ref="I215:J215"/>
    <mergeCell ref="M215:N215"/>
    <mergeCell ref="I216:J216"/>
    <mergeCell ref="M216:N216"/>
    <mergeCell ref="I217:J217"/>
    <mergeCell ref="M217:N217"/>
    <mergeCell ref="I218:J218"/>
    <mergeCell ref="M218:N218"/>
    <mergeCell ref="I219:J219"/>
    <mergeCell ref="M219:N219"/>
    <mergeCell ref="I220:J220"/>
    <mergeCell ref="M220:N220"/>
    <mergeCell ref="I221:J221"/>
    <mergeCell ref="M221:N221"/>
    <mergeCell ref="I222:J222"/>
    <mergeCell ref="M222:N222"/>
    <mergeCell ref="I223:J223"/>
    <mergeCell ref="M223:N223"/>
    <mergeCell ref="I224:J224"/>
    <mergeCell ref="M224:N224"/>
    <mergeCell ref="I225:J225"/>
    <mergeCell ref="M225:N225"/>
    <mergeCell ref="I226:J226"/>
    <mergeCell ref="M226:N226"/>
    <mergeCell ref="I227:J227"/>
    <mergeCell ref="M227:N227"/>
    <mergeCell ref="I228:J228"/>
    <mergeCell ref="M228:N228"/>
    <mergeCell ref="I229:J229"/>
    <mergeCell ref="M229:N229"/>
    <mergeCell ref="I230:J230"/>
    <mergeCell ref="M230:N230"/>
    <mergeCell ref="I231:J231"/>
    <mergeCell ref="M231:N231"/>
    <mergeCell ref="I232:J232"/>
    <mergeCell ref="M232:N232"/>
    <mergeCell ref="I233:J233"/>
    <mergeCell ref="M233:N233"/>
    <mergeCell ref="I234:J234"/>
    <mergeCell ref="M234:N234"/>
    <mergeCell ref="I235:J235"/>
    <mergeCell ref="M235:N235"/>
    <mergeCell ref="I236:J236"/>
    <mergeCell ref="M236:N236"/>
    <mergeCell ref="I237:J237"/>
    <mergeCell ref="M237:N237"/>
    <mergeCell ref="I238:J238"/>
    <mergeCell ref="M238:N238"/>
    <mergeCell ref="I239:J239"/>
    <mergeCell ref="M239:N239"/>
    <mergeCell ref="I240:J240"/>
    <mergeCell ref="M240:N240"/>
    <mergeCell ref="I241:J241"/>
    <mergeCell ref="M241:N241"/>
    <mergeCell ref="I242:J242"/>
    <mergeCell ref="M242:N242"/>
    <mergeCell ref="I243:J243"/>
    <mergeCell ref="M243:N243"/>
    <mergeCell ref="I244:J244"/>
    <mergeCell ref="M244:N244"/>
    <mergeCell ref="I245:J245"/>
    <mergeCell ref="M245:N245"/>
    <mergeCell ref="I246:J246"/>
    <mergeCell ref="M246:N246"/>
    <mergeCell ref="I247:J247"/>
    <mergeCell ref="M247:N247"/>
    <mergeCell ref="I248:J248"/>
    <mergeCell ref="M248:N248"/>
    <mergeCell ref="I249:J249"/>
    <mergeCell ref="M249:N249"/>
    <mergeCell ref="M254:N254"/>
    <mergeCell ref="F268:F270"/>
    <mergeCell ref="G268:G270"/>
    <mergeCell ref="H268:J268"/>
    <mergeCell ref="K268:N268"/>
    <mergeCell ref="O268:O270"/>
    <mergeCell ref="P268:P270"/>
    <mergeCell ref="Q268:Q269"/>
    <mergeCell ref="R268:R270"/>
    <mergeCell ref="S268:S270"/>
    <mergeCell ref="T268:T270"/>
    <mergeCell ref="H269:H270"/>
    <mergeCell ref="I269:J270"/>
    <mergeCell ref="K269:K270"/>
    <mergeCell ref="L269:L270"/>
    <mergeCell ref="M269:N270"/>
    <mergeCell ref="I277:J277"/>
    <mergeCell ref="M277:N277"/>
    <mergeCell ref="I278:J278"/>
    <mergeCell ref="M278:N278"/>
    <mergeCell ref="I279:J279"/>
    <mergeCell ref="M279:N279"/>
    <mergeCell ref="I280:J280"/>
    <mergeCell ref="M280:N280"/>
    <mergeCell ref="I281:J281"/>
    <mergeCell ref="M281:N281"/>
    <mergeCell ref="I282:J282"/>
    <mergeCell ref="M282:N282"/>
    <mergeCell ref="I283:J283"/>
    <mergeCell ref="M283:N283"/>
    <mergeCell ref="I284:J284"/>
    <mergeCell ref="M284:N284"/>
    <mergeCell ref="I285:J285"/>
    <mergeCell ref="M285:N285"/>
    <mergeCell ref="I286:J286"/>
    <mergeCell ref="M286:N286"/>
    <mergeCell ref="I287:J287"/>
    <mergeCell ref="M287:N287"/>
    <mergeCell ref="I288:J288"/>
    <mergeCell ref="M288:N288"/>
    <mergeCell ref="I289:J289"/>
    <mergeCell ref="M289:N289"/>
    <mergeCell ref="I290:J290"/>
    <mergeCell ref="M290:N290"/>
    <mergeCell ref="I291:J291"/>
    <mergeCell ref="M291:N291"/>
    <mergeCell ref="I292:J292"/>
    <mergeCell ref="M292:N292"/>
    <mergeCell ref="I293:J293"/>
    <mergeCell ref="M293:N293"/>
    <mergeCell ref="I294:J294"/>
    <mergeCell ref="M294:N294"/>
    <mergeCell ref="I295:J295"/>
    <mergeCell ref="M295:N295"/>
    <mergeCell ref="I296:J296"/>
    <mergeCell ref="M296:N296"/>
    <mergeCell ref="I297:J297"/>
    <mergeCell ref="M297:N297"/>
    <mergeCell ref="I298:J298"/>
    <mergeCell ref="M298:N298"/>
    <mergeCell ref="I299:J299"/>
    <mergeCell ref="M299:N299"/>
    <mergeCell ref="I300:J300"/>
    <mergeCell ref="M300:N300"/>
    <mergeCell ref="I301:J301"/>
    <mergeCell ref="M301:N301"/>
    <mergeCell ref="I302:J302"/>
    <mergeCell ref="M302:N302"/>
    <mergeCell ref="I303:J303"/>
    <mergeCell ref="M303:N303"/>
    <mergeCell ref="I304:J304"/>
    <mergeCell ref="M304:N304"/>
    <mergeCell ref="I305:J305"/>
    <mergeCell ref="M305:N305"/>
    <mergeCell ref="I306:J306"/>
    <mergeCell ref="M306:N306"/>
    <mergeCell ref="I307:J307"/>
    <mergeCell ref="M307:N307"/>
    <mergeCell ref="I308:J308"/>
    <mergeCell ref="M308:N308"/>
    <mergeCell ref="I309:J309"/>
    <mergeCell ref="M309:N309"/>
    <mergeCell ref="I310:J310"/>
    <mergeCell ref="M310:N310"/>
    <mergeCell ref="I311:J311"/>
    <mergeCell ref="M311:N311"/>
    <mergeCell ref="I312:J312"/>
    <mergeCell ref="M312:N312"/>
    <mergeCell ref="I313:J313"/>
    <mergeCell ref="M313:N313"/>
    <mergeCell ref="I314:J314"/>
    <mergeCell ref="M314:N314"/>
    <mergeCell ref="I315:J315"/>
    <mergeCell ref="M315:N315"/>
    <mergeCell ref="I316:J316"/>
    <mergeCell ref="M316:N316"/>
    <mergeCell ref="I317:J317"/>
    <mergeCell ref="M317:N317"/>
    <mergeCell ref="I318:J318"/>
    <mergeCell ref="M318:N318"/>
    <mergeCell ref="I319:J319"/>
    <mergeCell ref="M319:N319"/>
    <mergeCell ref="I320:J320"/>
    <mergeCell ref="M320:N320"/>
    <mergeCell ref="I321:J321"/>
    <mergeCell ref="M321:N321"/>
    <mergeCell ref="I322:J322"/>
    <mergeCell ref="M322:N322"/>
    <mergeCell ref="I323:J323"/>
    <mergeCell ref="M323:N323"/>
    <mergeCell ref="I324:J324"/>
    <mergeCell ref="M324:N324"/>
    <mergeCell ref="I325:J325"/>
    <mergeCell ref="M325:N325"/>
    <mergeCell ref="I326:J326"/>
    <mergeCell ref="M326:N326"/>
    <mergeCell ref="I327:J327"/>
    <mergeCell ref="M327:N327"/>
    <mergeCell ref="I328:J328"/>
    <mergeCell ref="M328:N328"/>
    <mergeCell ref="I329:J329"/>
    <mergeCell ref="M329:N329"/>
    <mergeCell ref="I330:J330"/>
    <mergeCell ref="M330:N330"/>
    <mergeCell ref="I331:J331"/>
    <mergeCell ref="M331:N331"/>
    <mergeCell ref="I332:J332"/>
    <mergeCell ref="M332:N332"/>
    <mergeCell ref="I333:J333"/>
    <mergeCell ref="M333:N333"/>
    <mergeCell ref="I334:J334"/>
    <mergeCell ref="M334:N334"/>
    <mergeCell ref="I335:J335"/>
    <mergeCell ref="M335:N335"/>
    <mergeCell ref="I336:J336"/>
    <mergeCell ref="M336:N336"/>
    <mergeCell ref="I337:J337"/>
    <mergeCell ref="M337:N337"/>
    <mergeCell ref="I338:J338"/>
    <mergeCell ref="M338:N338"/>
    <mergeCell ref="I339:J339"/>
    <mergeCell ref="M339:N339"/>
    <mergeCell ref="I340:J340"/>
    <mergeCell ref="M340:N340"/>
    <mergeCell ref="I341:J341"/>
    <mergeCell ref="M341:N341"/>
    <mergeCell ref="I342:J342"/>
    <mergeCell ref="M342:N342"/>
    <mergeCell ref="I343:J343"/>
    <mergeCell ref="M343:N343"/>
    <mergeCell ref="I344:J344"/>
    <mergeCell ref="M344:N344"/>
    <mergeCell ref="I345:J345"/>
    <mergeCell ref="M345:N345"/>
    <mergeCell ref="I346:J346"/>
    <mergeCell ref="M346:N346"/>
    <mergeCell ref="I347:J347"/>
    <mergeCell ref="M347:N347"/>
    <mergeCell ref="I348:J348"/>
    <mergeCell ref="M348:N348"/>
    <mergeCell ref="I349:J349"/>
    <mergeCell ref="M349:N349"/>
    <mergeCell ref="I350:J350"/>
    <mergeCell ref="M350:N350"/>
    <mergeCell ref="I351:J351"/>
    <mergeCell ref="M351:N351"/>
    <mergeCell ref="I352:J352"/>
    <mergeCell ref="M352:N352"/>
    <mergeCell ref="I353:J353"/>
    <mergeCell ref="M353:N353"/>
    <mergeCell ref="I354:J354"/>
    <mergeCell ref="M354:N354"/>
    <mergeCell ref="I355:J355"/>
    <mergeCell ref="M355:N355"/>
    <mergeCell ref="I356:J356"/>
    <mergeCell ref="M356:N356"/>
    <mergeCell ref="I357:J357"/>
    <mergeCell ref="M357:N357"/>
    <mergeCell ref="I358:J358"/>
    <mergeCell ref="M358:N358"/>
    <mergeCell ref="I359:J359"/>
    <mergeCell ref="M359:N359"/>
    <mergeCell ref="I360:J360"/>
    <mergeCell ref="M360:N360"/>
    <mergeCell ref="I361:J361"/>
    <mergeCell ref="M361:N361"/>
    <mergeCell ref="I362:J362"/>
    <mergeCell ref="M362:N362"/>
    <mergeCell ref="I363:J363"/>
    <mergeCell ref="M363:N363"/>
    <mergeCell ref="I364:J364"/>
    <mergeCell ref="M364:N364"/>
    <mergeCell ref="I365:J365"/>
    <mergeCell ref="M365:N365"/>
    <mergeCell ref="I366:J366"/>
    <mergeCell ref="M366:N366"/>
    <mergeCell ref="I367:J367"/>
    <mergeCell ref="M367:N367"/>
    <mergeCell ref="I368:J368"/>
    <mergeCell ref="M368:N368"/>
    <mergeCell ref="I369:J369"/>
    <mergeCell ref="M369:N369"/>
    <mergeCell ref="I370:J370"/>
    <mergeCell ref="M370:N370"/>
    <mergeCell ref="I371:J371"/>
    <mergeCell ref="M371:N371"/>
    <mergeCell ref="I372:J372"/>
    <mergeCell ref="M372:N372"/>
    <mergeCell ref="I373:J373"/>
    <mergeCell ref="M373:N373"/>
    <mergeCell ref="I374:J374"/>
    <mergeCell ref="M374:N374"/>
    <mergeCell ref="I375:J375"/>
    <mergeCell ref="M375:N375"/>
    <mergeCell ref="I376:J376"/>
    <mergeCell ref="M376:N376"/>
    <mergeCell ref="I377:J377"/>
    <mergeCell ref="M377:N377"/>
    <mergeCell ref="I378:J378"/>
    <mergeCell ref="M378:N378"/>
    <mergeCell ref="I379:J379"/>
    <mergeCell ref="M379:N379"/>
    <mergeCell ref="I380:J380"/>
    <mergeCell ref="M380:N380"/>
    <mergeCell ref="F510:F512"/>
    <mergeCell ref="G510:G512"/>
    <mergeCell ref="H510:J510"/>
    <mergeCell ref="K510:N510"/>
    <mergeCell ref="O510:O512"/>
    <mergeCell ref="P510:P512"/>
    <mergeCell ref="Q510:Q511"/>
    <mergeCell ref="R510:R512"/>
    <mergeCell ref="S510:S512"/>
    <mergeCell ref="T510:T512"/>
    <mergeCell ref="H511:H512"/>
    <mergeCell ref="I511:J512"/>
    <mergeCell ref="K511:K512"/>
    <mergeCell ref="L511:L512"/>
    <mergeCell ref="M511:N512"/>
    <mergeCell ref="F389:F391"/>
    <mergeCell ref="G389:G391"/>
    <mergeCell ref="H389:H390"/>
    <mergeCell ref="I389:I391"/>
    <mergeCell ref="J389:J391"/>
    <mergeCell ref="K389:K391"/>
    <mergeCell ref="M520:N520"/>
    <mergeCell ref="I521:J521"/>
    <mergeCell ref="M521:N521"/>
    <mergeCell ref="I522:J522"/>
    <mergeCell ref="M522:N522"/>
    <mergeCell ref="I527:J527"/>
    <mergeCell ref="M527:N527"/>
    <mergeCell ref="I528:J528"/>
    <mergeCell ref="M528:N528"/>
    <mergeCell ref="I529:J529"/>
    <mergeCell ref="M529:N529"/>
    <mergeCell ref="I530:J530"/>
    <mergeCell ref="M530:N530"/>
    <mergeCell ref="I531:J531"/>
    <mergeCell ref="M531:N531"/>
    <mergeCell ref="I532:J532"/>
    <mergeCell ref="M532:N532"/>
    <mergeCell ref="I533:J533"/>
    <mergeCell ref="M533:N533"/>
    <mergeCell ref="I534:J534"/>
    <mergeCell ref="M534:N534"/>
    <mergeCell ref="I535:J535"/>
    <mergeCell ref="M535:N535"/>
    <mergeCell ref="I536:J536"/>
    <mergeCell ref="M536:N536"/>
    <mergeCell ref="I537:J537"/>
    <mergeCell ref="M537:N537"/>
    <mergeCell ref="I538:J538"/>
    <mergeCell ref="M538:N538"/>
    <mergeCell ref="I539:J539"/>
    <mergeCell ref="M539:N539"/>
    <mergeCell ref="I540:J540"/>
    <mergeCell ref="M540:N540"/>
    <mergeCell ref="I541:J541"/>
    <mergeCell ref="M541:N541"/>
    <mergeCell ref="I542:J542"/>
    <mergeCell ref="M542:N542"/>
    <mergeCell ref="I543:J543"/>
    <mergeCell ref="M543:N543"/>
    <mergeCell ref="I544:J544"/>
    <mergeCell ref="M544:N544"/>
    <mergeCell ref="I545:J545"/>
    <mergeCell ref="M545:N545"/>
    <mergeCell ref="I546:J546"/>
    <mergeCell ref="M546:N546"/>
    <mergeCell ref="I547:J547"/>
    <mergeCell ref="M547:N547"/>
    <mergeCell ref="I548:J548"/>
    <mergeCell ref="M548:N548"/>
    <mergeCell ref="I549:J549"/>
    <mergeCell ref="M549:N549"/>
    <mergeCell ref="I550:J550"/>
    <mergeCell ref="M550:N550"/>
    <mergeCell ref="I551:J551"/>
    <mergeCell ref="M551:N551"/>
    <mergeCell ref="I552:J552"/>
    <mergeCell ref="M552:N552"/>
    <mergeCell ref="I553:J553"/>
    <mergeCell ref="M553:N553"/>
    <mergeCell ref="I554:J554"/>
    <mergeCell ref="M554:N554"/>
    <mergeCell ref="I555:J555"/>
    <mergeCell ref="M555:N555"/>
    <mergeCell ref="I556:J556"/>
    <mergeCell ref="M556:N556"/>
    <mergeCell ref="I557:J557"/>
    <mergeCell ref="M557:N557"/>
    <mergeCell ref="I558:J558"/>
    <mergeCell ref="M558:N558"/>
    <mergeCell ref="I559:J559"/>
    <mergeCell ref="M559:N559"/>
    <mergeCell ref="I560:J560"/>
    <mergeCell ref="M560:N560"/>
    <mergeCell ref="I561:J561"/>
    <mergeCell ref="M561:N561"/>
    <mergeCell ref="I562:J562"/>
    <mergeCell ref="M562:N562"/>
    <mergeCell ref="I563:J563"/>
    <mergeCell ref="M563:N563"/>
    <mergeCell ref="I564:J564"/>
    <mergeCell ref="M564:N564"/>
    <mergeCell ref="I565:J565"/>
    <mergeCell ref="M565:N565"/>
    <mergeCell ref="I566:J566"/>
    <mergeCell ref="M566:N566"/>
    <mergeCell ref="I567:J567"/>
    <mergeCell ref="M567:N567"/>
    <mergeCell ref="I568:J568"/>
    <mergeCell ref="M568:N568"/>
    <mergeCell ref="I569:J569"/>
    <mergeCell ref="M569:N569"/>
    <mergeCell ref="I570:J570"/>
    <mergeCell ref="M570:N570"/>
    <mergeCell ref="I571:J571"/>
    <mergeCell ref="M571:N571"/>
    <mergeCell ref="I572:J572"/>
    <mergeCell ref="M572:N572"/>
    <mergeCell ref="I573:J573"/>
    <mergeCell ref="M573:N573"/>
    <mergeCell ref="I574:J574"/>
    <mergeCell ref="M574:N574"/>
    <mergeCell ref="I575:J575"/>
    <mergeCell ref="M575:N575"/>
    <mergeCell ref="I576:J576"/>
    <mergeCell ref="M576:N576"/>
    <mergeCell ref="I577:J577"/>
    <mergeCell ref="M577:N577"/>
    <mergeCell ref="I578:J578"/>
    <mergeCell ref="M578:N578"/>
    <mergeCell ref="I579:J579"/>
    <mergeCell ref="M579:N579"/>
    <mergeCell ref="I580:J580"/>
    <mergeCell ref="M580:N580"/>
    <mergeCell ref="M599:N599"/>
    <mergeCell ref="I600:J600"/>
    <mergeCell ref="M600:N600"/>
    <mergeCell ref="I581:J581"/>
    <mergeCell ref="M581:N581"/>
    <mergeCell ref="I582:J582"/>
    <mergeCell ref="M582:N582"/>
    <mergeCell ref="I583:J583"/>
    <mergeCell ref="M583:N583"/>
    <mergeCell ref="I584:J584"/>
    <mergeCell ref="M584:N584"/>
    <mergeCell ref="I585:J585"/>
    <mergeCell ref="M585:N585"/>
    <mergeCell ref="I586:J586"/>
    <mergeCell ref="M586:N586"/>
    <mergeCell ref="I587:J587"/>
    <mergeCell ref="M587:N587"/>
    <mergeCell ref="I588:J588"/>
    <mergeCell ref="M588:N588"/>
    <mergeCell ref="I589:J589"/>
    <mergeCell ref="M589:N589"/>
    <mergeCell ref="I614:J614"/>
    <mergeCell ref="M614:N614"/>
    <mergeCell ref="I615:J615"/>
    <mergeCell ref="M615:N615"/>
    <mergeCell ref="I616:J616"/>
    <mergeCell ref="M616:N616"/>
    <mergeCell ref="I617:J617"/>
    <mergeCell ref="M617:N617"/>
    <mergeCell ref="I618:J618"/>
    <mergeCell ref="M618:N618"/>
    <mergeCell ref="I590:J590"/>
    <mergeCell ref="M590:N590"/>
    <mergeCell ref="I591:J591"/>
    <mergeCell ref="M591:N591"/>
    <mergeCell ref="M608:N608"/>
    <mergeCell ref="I609:J609"/>
    <mergeCell ref="M609:N609"/>
    <mergeCell ref="I592:J592"/>
    <mergeCell ref="M592:N592"/>
    <mergeCell ref="I593:J593"/>
    <mergeCell ref="M593:N593"/>
    <mergeCell ref="I594:J594"/>
    <mergeCell ref="M594:N594"/>
    <mergeCell ref="I595:J595"/>
    <mergeCell ref="M595:N595"/>
    <mergeCell ref="I596:J596"/>
    <mergeCell ref="M596:N596"/>
    <mergeCell ref="I597:J597"/>
    <mergeCell ref="M597:N597"/>
    <mergeCell ref="I598:J598"/>
    <mergeCell ref="M598:N598"/>
    <mergeCell ref="I599:J599"/>
    <mergeCell ref="B2:K2"/>
    <mergeCell ref="I619:J619"/>
    <mergeCell ref="M619:N619"/>
    <mergeCell ref="I620:J620"/>
    <mergeCell ref="M620:N620"/>
    <mergeCell ref="I621:J621"/>
    <mergeCell ref="M621:N621"/>
    <mergeCell ref="I622:J622"/>
    <mergeCell ref="M622:N622"/>
    <mergeCell ref="I601:J601"/>
    <mergeCell ref="M601:N601"/>
    <mergeCell ref="I602:J602"/>
    <mergeCell ref="M602:N602"/>
    <mergeCell ref="I603:J603"/>
    <mergeCell ref="M603:N603"/>
    <mergeCell ref="I604:J604"/>
    <mergeCell ref="M604:N604"/>
    <mergeCell ref="I605:J605"/>
    <mergeCell ref="M605:N605"/>
    <mergeCell ref="I606:J606"/>
    <mergeCell ref="M606:N606"/>
    <mergeCell ref="I607:J607"/>
    <mergeCell ref="M607:N607"/>
    <mergeCell ref="I608:J608"/>
    <mergeCell ref="I610:J610"/>
    <mergeCell ref="M610:N610"/>
    <mergeCell ref="I611:J611"/>
    <mergeCell ref="M611:N611"/>
    <mergeCell ref="I612:J612"/>
    <mergeCell ref="M612:N612"/>
    <mergeCell ref="I613:J613"/>
    <mergeCell ref="M613:N613"/>
  </mergeCells>
  <conditionalFormatting sqref="B17:C17 S17 X17">
    <cfRule type="expression" dxfId="42" priority="334">
      <formula>$G$6="ID+C"</formula>
    </cfRule>
  </conditionalFormatting>
  <conditionalFormatting sqref="B422:K422 B442:K442 B462:K462 B482:K482">
    <cfRule type="expression" dxfId="41" priority="1">
      <formula>AND($B422="", $C422="", $D422="",$F422="", $G422="", $H422="")</formula>
    </cfRule>
  </conditionalFormatting>
  <conditionalFormatting sqref="B59:T59 B79:T79 B99:T99 B119:T119">
    <cfRule type="expression" dxfId="40" priority="5">
      <formula>AND($B59="", $C59="", $D59="", $E59="", $F59="", $G59="", $H59="", $K59="", $L59="")</formula>
    </cfRule>
  </conditionalFormatting>
  <conditionalFormatting sqref="B180:T180 B200:T200 B220:T220 B240:T240">
    <cfRule type="expression" dxfId="39" priority="4">
      <formula>AND($B180="", $C180="", $D180="", $E180="", $F180="", $G180="", $H180="", $K180="", $L180="")</formula>
    </cfRule>
  </conditionalFormatting>
  <conditionalFormatting sqref="B301:T301 B321:T321 B341:T341 B361:T361">
    <cfRule type="expression" dxfId="38" priority="3">
      <formula>AND($B301="", $C301="", $D301="", $E301="", $F301="", $G301="", $H301="", $K301="", $L301="")</formula>
    </cfRule>
  </conditionalFormatting>
  <conditionalFormatting sqref="B543:T543 B563:T563 B583:T583 B603:T603">
    <cfRule type="expression" dxfId="37" priority="2">
      <formula>AND($B543="", $C543="", $D543="", $E543="", $F543="", $G543="", $H543="", $K543="", $L543="")</formula>
    </cfRule>
  </conditionalFormatting>
  <conditionalFormatting sqref="C13:K13 B17:K17">
    <cfRule type="expression" dxfId="36" priority="196">
      <formula>#REF!&lt;&gt;"Yes"</formula>
    </cfRule>
  </conditionalFormatting>
  <conditionalFormatting sqref="E19:F19">
    <cfRule type="expression" dxfId="35" priority="335">
      <formula>$G$6="ID+C"</formula>
    </cfRule>
  </conditionalFormatting>
  <conditionalFormatting sqref="F17 K17 E19:F19">
    <cfRule type="expression" dxfId="34" priority="197">
      <formula>$G$6="ID+C"</formula>
    </cfRule>
  </conditionalFormatting>
  <conditionalFormatting sqref="F787:F806">
    <cfRule type="containsText" dxfId="33" priority="332" operator="containsText" text="Manual Input">
      <formula>NOT(ISERROR(SEARCH("Manual Input",F787)))</formula>
    </cfRule>
  </conditionalFormatting>
  <conditionalFormatting sqref="F808:F817">
    <cfRule type="containsText" dxfId="32" priority="331" operator="containsText" text="Manual Input">
      <formula>NOT(ISERROR(SEARCH("Manual Input",F808)))</formula>
    </cfRule>
  </conditionalFormatting>
  <conditionalFormatting sqref="H15 J15 H19 J19 H140 K140:L140 J638">
    <cfRule type="cellIs" dxfId="31" priority="327" operator="lessThan">
      <formula>0</formula>
    </cfRule>
  </conditionalFormatting>
  <conditionalFormatting sqref="H624 K624:L624">
    <cfRule type="cellIs" dxfId="30" priority="189" operator="lessThan">
      <formula>0</formula>
    </cfRule>
  </conditionalFormatting>
  <conditionalFormatting sqref="H261:T261">
    <cfRule type="cellIs" dxfId="29" priority="174" operator="lessThan">
      <formula>0</formula>
    </cfRule>
  </conditionalFormatting>
  <conditionalFormatting sqref="H382:T382">
    <cfRule type="cellIs" dxfId="28" priority="167" operator="lessThan">
      <formula>0</formula>
    </cfRule>
  </conditionalFormatting>
  <conditionalFormatting sqref="I392:K501">
    <cfRule type="cellIs" dxfId="27" priority="159" operator="lessThan">
      <formula>0</formula>
    </cfRule>
  </conditionalFormatting>
  <conditionalFormatting sqref="J139:K139">
    <cfRule type="cellIs" dxfId="26" priority="13" operator="lessThan">
      <formula>0</formula>
    </cfRule>
  </conditionalFormatting>
  <conditionalFormatting sqref="J260:K260">
    <cfRule type="cellIs" dxfId="25" priority="33" operator="lessThan">
      <formula>0</formula>
    </cfRule>
  </conditionalFormatting>
  <conditionalFormatting sqref="J381:K381">
    <cfRule type="cellIs" dxfId="24" priority="53" operator="lessThan">
      <formula>0</formula>
    </cfRule>
  </conditionalFormatting>
  <conditionalFormatting sqref="K502:K503">
    <cfRule type="cellIs" dxfId="23" priority="139" operator="lessThan">
      <formula>0</formula>
    </cfRule>
  </conditionalFormatting>
  <conditionalFormatting sqref="N139:O139">
    <cfRule type="cellIs" dxfId="22" priority="11" operator="lessThan">
      <formula>0</formula>
    </cfRule>
  </conditionalFormatting>
  <conditionalFormatting sqref="N260:O260">
    <cfRule type="cellIs" dxfId="21" priority="31" operator="lessThan">
      <formula>0</formula>
    </cfRule>
  </conditionalFormatting>
  <conditionalFormatting sqref="N381:O381">
    <cfRule type="cellIs" dxfId="20" priority="51" operator="lessThan">
      <formula>0</formula>
    </cfRule>
  </conditionalFormatting>
  <conditionalFormatting sqref="N623:O623">
    <cfRule type="cellIs" dxfId="19" priority="71" operator="lessThan">
      <formula>0</formula>
    </cfRule>
  </conditionalFormatting>
  <conditionalFormatting sqref="N502:S502">
    <cfRule type="cellIs" dxfId="18" priority="145" operator="lessThan">
      <formula>0</formula>
    </cfRule>
  </conditionalFormatting>
  <conditionalFormatting sqref="O513:P622">
    <cfRule type="cellIs" dxfId="17" priority="117" operator="lessThan">
      <formula>0</formula>
    </cfRule>
  </conditionalFormatting>
  <conditionalFormatting sqref="O29:T138 O150:T259 S139:T139 S260:T260 F503:J503 O624:T624">
    <cfRule type="cellIs" dxfId="16" priority="185" operator="lessThan">
      <formula>0</formula>
    </cfRule>
  </conditionalFormatting>
  <conditionalFormatting sqref="O140:T140">
    <cfRule type="cellIs" dxfId="15" priority="112" operator="lessThan">
      <formula>0</formula>
    </cfRule>
  </conditionalFormatting>
  <conditionalFormatting sqref="O271:T380">
    <cfRule type="cellIs" dxfId="14" priority="103" operator="lessThan">
      <formula>0</formula>
    </cfRule>
  </conditionalFormatting>
  <conditionalFormatting sqref="R119:R139 R150:R260 R271:R381 Q513:R623 H392:H502 F639">
    <cfRule type="cellIs" dxfId="13" priority="237" operator="lessThan">
      <formula>0</formula>
    </cfRule>
  </conditionalFormatting>
  <conditionalFormatting sqref="R513:T622">
    <cfRule type="cellIs" dxfId="12" priority="138" operator="lessThan">
      <formula>0</formula>
    </cfRule>
  </conditionalFormatting>
  <conditionalFormatting sqref="S381:T381">
    <cfRule type="cellIs" dxfId="11" priority="169" operator="lessThan">
      <formula>0</formula>
    </cfRule>
  </conditionalFormatting>
  <conditionalFormatting sqref="S623:T623">
    <cfRule type="cellIs" dxfId="10" priority="127" operator="lessThan">
      <formula>0</formula>
    </cfRule>
  </conditionalFormatting>
  <conditionalFormatting sqref="S13:AZ13 S17:AZ17">
    <cfRule type="expression" dxfId="9" priority="322">
      <formula>#REF!&lt;&gt;"Yes"</formula>
    </cfRule>
  </conditionalFormatting>
  <dataValidations count="1">
    <dataValidation operator="greaterThan" allowBlank="1" showInputMessage="1" showErrorMessage="1" sqref="L629:XFD639 J639 F631:F639 H629:H639 C1:H259 D380:D389 F380:F387 E380:E388 D260:H379 U621:U628 L1:L421 L489:L628 U1:U542 V1:XFD628 M1:T628 F389:F629 G380:H628 C260:C630 I1:K638 A1:B1048576 D392:E1048576 F640:XFD1048576 C639:C1048576" xr:uid="{9294D49E-112D-4F52-B715-96F8AE2284BB}"/>
  </dataValidations>
  <pageMargins left="0.7" right="0.7" top="0.75" bottom="0.75" header="0" footer="0"/>
  <pageSetup orientation="landscape" r:id="rId1"/>
  <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50AA48-DD22-4002-87D2-22FAC2D09881}">
  <sheetPr>
    <tabColor rgb="FF7F7F7F"/>
  </sheetPr>
  <dimension ref="A1:Z980"/>
  <sheetViews>
    <sheetView showGridLines="0" topLeftCell="A44" zoomScaleNormal="100" workbookViewId="0">
      <selection activeCell="B2" sqref="B2:G2"/>
    </sheetView>
  </sheetViews>
  <sheetFormatPr defaultColWidth="9" defaultRowHeight="15" customHeight="1"/>
  <cols>
    <col min="1" max="1" width="4.19921875" style="88" customWidth="1"/>
    <col min="2" max="4" width="25.69921875" style="94" customWidth="1"/>
    <col min="5" max="5" width="25.69921875" style="95" customWidth="1"/>
    <col min="6" max="7" width="25.69921875" style="94" customWidth="1"/>
    <col min="8" max="8" width="25.69921875" style="95" customWidth="1"/>
    <col min="9" max="10" width="26.69921875" style="95" customWidth="1"/>
    <col min="11" max="11" width="13.69921875" style="94" customWidth="1"/>
    <col min="12" max="24" width="9.59765625" style="94" customWidth="1"/>
    <col min="25" max="25" width="12.09765625" style="94" customWidth="1"/>
    <col min="26" max="26" width="9.59765625" style="94" customWidth="1"/>
    <col min="27" max="16384" width="9" style="94"/>
  </cols>
  <sheetData>
    <row r="1" spans="1:26" s="2" customFormat="1" ht="19.95" customHeight="1">
      <c r="A1" s="250"/>
      <c r="B1" s="242"/>
      <c r="C1" s="242"/>
      <c r="D1" s="242"/>
      <c r="E1" s="251"/>
      <c r="F1" s="251"/>
      <c r="G1" s="242"/>
      <c r="H1" s="242"/>
      <c r="I1" s="242"/>
      <c r="J1" s="242"/>
      <c r="K1" s="242"/>
      <c r="L1" s="242"/>
      <c r="M1" s="242"/>
      <c r="N1" s="242"/>
      <c r="O1" s="242"/>
      <c r="P1" s="242"/>
      <c r="Q1" s="242"/>
      <c r="R1" s="242"/>
      <c r="S1" s="242"/>
      <c r="T1" s="242"/>
      <c r="U1" s="242"/>
      <c r="V1" s="242"/>
      <c r="W1" s="242"/>
      <c r="X1" s="242"/>
      <c r="Y1" s="242"/>
      <c r="Z1" s="242"/>
    </row>
    <row r="2" spans="1:26" s="26" customFormat="1" ht="94.95" customHeight="1">
      <c r="A2" s="250"/>
      <c r="B2" s="338" t="s">
        <v>382</v>
      </c>
      <c r="C2" s="339"/>
      <c r="D2" s="339"/>
      <c r="E2" s="339"/>
      <c r="F2" s="339"/>
      <c r="G2" s="340"/>
      <c r="H2" s="242"/>
      <c r="I2" s="242"/>
      <c r="J2" s="242"/>
      <c r="K2" s="242"/>
      <c r="L2" s="241"/>
      <c r="M2" s="241"/>
      <c r="N2" s="241"/>
      <c r="O2" s="241"/>
      <c r="P2" s="241"/>
      <c r="Q2" s="241"/>
      <c r="R2" s="241"/>
      <c r="S2" s="241"/>
      <c r="T2" s="241"/>
      <c r="U2" s="241"/>
      <c r="V2" s="241"/>
      <c r="W2" s="241"/>
      <c r="X2" s="241"/>
      <c r="Y2" s="241"/>
      <c r="Z2" s="241"/>
    </row>
    <row r="3" spans="1:26" s="2" customFormat="1" ht="18" customHeight="1">
      <c r="A3" s="250"/>
      <c r="B3" s="242"/>
      <c r="C3" s="242"/>
      <c r="D3" s="242"/>
      <c r="E3" s="251"/>
      <c r="F3" s="242"/>
      <c r="G3" s="242"/>
      <c r="H3" s="242"/>
      <c r="I3" s="242"/>
      <c r="J3" s="242"/>
      <c r="K3" s="242"/>
      <c r="L3" s="242"/>
      <c r="M3" s="242"/>
      <c r="N3" s="242"/>
      <c r="O3" s="242"/>
      <c r="P3" s="242"/>
      <c r="Q3" s="242"/>
      <c r="R3" s="242"/>
      <c r="S3" s="242"/>
      <c r="T3" s="242"/>
      <c r="U3" s="242"/>
      <c r="V3" s="242"/>
      <c r="W3" s="242"/>
      <c r="X3" s="242"/>
      <c r="Y3" s="242"/>
      <c r="Z3" s="242"/>
    </row>
    <row r="4" spans="1:26" s="2" customFormat="1" ht="18" customHeight="1">
      <c r="A4" s="250"/>
      <c r="B4" s="142" t="s">
        <v>189</v>
      </c>
      <c r="C4" s="156"/>
      <c r="D4" s="156"/>
      <c r="E4" s="157"/>
      <c r="F4" s="156"/>
      <c r="G4" s="158"/>
      <c r="H4" s="242"/>
      <c r="I4" s="242"/>
      <c r="J4" s="242"/>
      <c r="K4" s="242"/>
      <c r="L4" s="242"/>
      <c r="M4" s="242"/>
      <c r="N4" s="242"/>
      <c r="O4" s="242"/>
      <c r="P4" s="242"/>
      <c r="Q4" s="242"/>
      <c r="R4" s="242"/>
      <c r="S4" s="242"/>
      <c r="T4" s="242"/>
      <c r="U4" s="242"/>
      <c r="V4" s="242"/>
      <c r="W4" s="242"/>
      <c r="X4" s="242"/>
      <c r="Y4" s="242"/>
      <c r="Z4" s="242"/>
    </row>
    <row r="5" spans="1:26" s="2" customFormat="1" ht="18" customHeight="1">
      <c r="A5" s="250"/>
      <c r="B5" s="145"/>
      <c r="C5" s="145"/>
      <c r="D5" s="145"/>
      <c r="E5" s="149"/>
      <c r="F5" s="145"/>
      <c r="G5" s="145"/>
      <c r="H5" s="242"/>
      <c r="I5" s="242"/>
      <c r="J5" s="242"/>
      <c r="K5" s="242"/>
      <c r="L5" s="242"/>
      <c r="M5" s="242"/>
      <c r="N5" s="242"/>
      <c r="O5" s="242"/>
      <c r="P5" s="242"/>
      <c r="Q5" s="242"/>
      <c r="R5" s="242"/>
      <c r="S5" s="242"/>
      <c r="T5" s="242"/>
      <c r="U5" s="242"/>
      <c r="V5" s="242"/>
      <c r="W5" s="242"/>
      <c r="X5" s="242"/>
      <c r="Y5" s="242"/>
      <c r="Z5" s="242"/>
    </row>
    <row r="6" spans="1:26" s="2" customFormat="1" ht="18" customHeight="1">
      <c r="A6" s="250"/>
      <c r="B6" s="151" t="s">
        <v>147</v>
      </c>
      <c r="C6" s="420" t="s">
        <v>190</v>
      </c>
      <c r="D6" s="421"/>
      <c r="E6" s="68" t="s">
        <v>191</v>
      </c>
      <c r="F6" s="81"/>
      <c r="G6" s="69"/>
      <c r="H6" s="242"/>
      <c r="I6" s="242"/>
      <c r="J6" s="242"/>
      <c r="K6" s="242"/>
      <c r="L6" s="242"/>
      <c r="M6" s="242"/>
      <c r="N6" s="242"/>
      <c r="O6" s="242"/>
      <c r="P6" s="242"/>
      <c r="Q6" s="242"/>
      <c r="R6" s="242"/>
      <c r="S6" s="242"/>
      <c r="T6" s="242"/>
      <c r="U6" s="242"/>
      <c r="V6" s="242"/>
      <c r="W6" s="242"/>
      <c r="X6" s="242"/>
      <c r="Y6" s="242"/>
      <c r="Z6" s="242"/>
    </row>
    <row r="7" spans="1:26" s="2" customFormat="1" ht="18" customHeight="1">
      <c r="A7" s="250"/>
      <c r="B7" s="145"/>
      <c r="C7" s="145"/>
      <c r="D7" s="145"/>
      <c r="E7" s="70" t="s">
        <v>192</v>
      </c>
      <c r="F7" s="81"/>
      <c r="G7" s="69"/>
      <c r="H7" s="242"/>
      <c r="I7" s="242"/>
      <c r="J7" s="242"/>
      <c r="K7" s="242"/>
      <c r="L7" s="242"/>
      <c r="M7" s="242"/>
      <c r="N7" s="242"/>
      <c r="O7" s="242"/>
      <c r="P7" s="242"/>
      <c r="Q7" s="242"/>
      <c r="R7" s="242"/>
      <c r="S7" s="242"/>
      <c r="T7" s="242"/>
      <c r="U7" s="242"/>
      <c r="V7" s="242"/>
      <c r="W7" s="242"/>
      <c r="X7" s="242"/>
      <c r="Y7" s="242"/>
      <c r="Z7" s="242"/>
    </row>
    <row r="8" spans="1:26" s="2" customFormat="1" ht="18" customHeight="1">
      <c r="A8" s="250"/>
      <c r="B8" s="145"/>
      <c r="C8" s="145"/>
      <c r="D8" s="145"/>
      <c r="E8" s="70" t="s">
        <v>148</v>
      </c>
      <c r="F8" s="81"/>
      <c r="G8" s="69"/>
      <c r="H8" s="242"/>
      <c r="I8" s="242"/>
      <c r="J8" s="242"/>
      <c r="K8" s="242"/>
      <c r="L8" s="242"/>
      <c r="M8" s="242"/>
      <c r="N8" s="242"/>
      <c r="O8" s="242"/>
      <c r="P8" s="242"/>
      <c r="Q8" s="242"/>
      <c r="R8" s="242"/>
      <c r="S8" s="242"/>
      <c r="T8" s="242"/>
      <c r="U8" s="242"/>
      <c r="V8" s="242"/>
      <c r="W8" s="242"/>
      <c r="X8" s="242"/>
      <c r="Y8" s="242"/>
      <c r="Z8" s="242"/>
    </row>
    <row r="9" spans="1:26" s="2" customFormat="1" ht="18" customHeight="1">
      <c r="A9" s="250"/>
      <c r="B9" s="145"/>
      <c r="C9" s="145"/>
      <c r="D9" s="145"/>
      <c r="E9" s="70" t="s">
        <v>193</v>
      </c>
      <c r="F9" s="81"/>
      <c r="G9" s="69"/>
      <c r="H9" s="242"/>
      <c r="I9" s="242"/>
      <c r="J9" s="242"/>
      <c r="K9" s="242"/>
      <c r="L9" s="242"/>
      <c r="M9" s="242"/>
      <c r="N9" s="242"/>
      <c r="O9" s="242"/>
      <c r="P9" s="242"/>
      <c r="Q9" s="242"/>
      <c r="R9" s="242"/>
      <c r="S9" s="242"/>
      <c r="T9" s="242"/>
      <c r="U9" s="242"/>
      <c r="V9" s="242"/>
      <c r="W9" s="242"/>
      <c r="X9" s="242"/>
      <c r="Y9" s="242"/>
      <c r="Z9" s="242"/>
    </row>
    <row r="10" spans="1:26" s="2" customFormat="1" ht="18" customHeight="1">
      <c r="A10" s="250"/>
      <c r="B10" s="242"/>
      <c r="C10" s="242"/>
      <c r="D10" s="242"/>
      <c r="E10" s="149"/>
      <c r="F10" s="145"/>
      <c r="G10" s="145"/>
      <c r="H10" s="242"/>
      <c r="I10" s="242"/>
      <c r="J10" s="242"/>
      <c r="K10" s="242"/>
      <c r="L10" s="242"/>
      <c r="M10" s="242"/>
      <c r="N10" s="242"/>
      <c r="O10" s="242"/>
      <c r="P10" s="242"/>
      <c r="Q10" s="242"/>
      <c r="R10" s="242"/>
      <c r="S10" s="242"/>
      <c r="T10" s="242"/>
      <c r="U10" s="242"/>
      <c r="V10" s="242"/>
      <c r="W10" s="242"/>
      <c r="X10" s="242"/>
      <c r="Y10" s="242"/>
      <c r="Z10" s="242"/>
    </row>
    <row r="11" spans="1:26" s="2" customFormat="1" ht="18" customHeight="1">
      <c r="A11" s="250"/>
      <c r="B11" s="151" t="s">
        <v>194</v>
      </c>
      <c r="C11" s="420" t="s">
        <v>190</v>
      </c>
      <c r="D11" s="421"/>
      <c r="E11" s="67" t="s">
        <v>191</v>
      </c>
      <c r="F11" s="79" t="s">
        <v>195</v>
      </c>
      <c r="G11" s="80" t="s">
        <v>195</v>
      </c>
      <c r="H11" s="242"/>
      <c r="I11" s="242"/>
      <c r="J11" s="242"/>
      <c r="K11" s="242"/>
      <c r="L11" s="242"/>
      <c r="M11" s="242"/>
      <c r="N11" s="242"/>
      <c r="O11" s="242"/>
      <c r="P11" s="242"/>
      <c r="Q11" s="242"/>
      <c r="R11" s="242"/>
      <c r="S11" s="242"/>
      <c r="T11" s="242"/>
      <c r="U11" s="242"/>
      <c r="V11" s="242"/>
      <c r="W11" s="242"/>
      <c r="X11" s="242"/>
      <c r="Y11" s="242"/>
      <c r="Z11" s="242"/>
    </row>
    <row r="12" spans="1:26" s="2" customFormat="1" ht="18" customHeight="1">
      <c r="A12" s="250"/>
      <c r="B12" s="145"/>
      <c r="C12" s="145"/>
      <c r="D12" s="145"/>
      <c r="E12" s="78" t="s">
        <v>150</v>
      </c>
      <c r="F12" s="68" t="s">
        <v>196</v>
      </c>
      <c r="G12" s="80" t="s">
        <v>197</v>
      </c>
      <c r="H12" s="242"/>
      <c r="I12" s="242"/>
      <c r="J12" s="242"/>
      <c r="K12" s="242"/>
      <c r="L12" s="242"/>
      <c r="M12" s="242"/>
      <c r="N12" s="242"/>
      <c r="O12" s="242"/>
      <c r="P12" s="242"/>
      <c r="Q12" s="242"/>
      <c r="R12" s="242"/>
      <c r="S12" s="242"/>
      <c r="T12" s="242"/>
      <c r="U12" s="242"/>
      <c r="V12" s="242"/>
      <c r="W12" s="242"/>
      <c r="X12" s="242"/>
      <c r="Y12" s="242"/>
      <c r="Z12" s="242"/>
    </row>
    <row r="13" spans="1:26" s="2" customFormat="1" ht="18" customHeight="1">
      <c r="A13" s="250"/>
      <c r="B13" s="145"/>
      <c r="C13" s="145"/>
      <c r="D13" s="145"/>
      <c r="E13" s="78" t="s">
        <v>198</v>
      </c>
      <c r="F13" s="68" t="s">
        <v>199</v>
      </c>
      <c r="G13" s="80" t="s">
        <v>200</v>
      </c>
      <c r="H13" s="242"/>
      <c r="I13" s="242"/>
      <c r="J13" s="242"/>
      <c r="K13" s="242"/>
      <c r="L13" s="242"/>
      <c r="M13" s="242"/>
      <c r="N13" s="242"/>
      <c r="O13" s="242"/>
      <c r="P13" s="242"/>
      <c r="Q13" s="242"/>
      <c r="R13" s="242"/>
      <c r="S13" s="242"/>
      <c r="T13" s="242"/>
      <c r="U13" s="242"/>
      <c r="V13" s="242"/>
      <c r="W13" s="242"/>
      <c r="X13" s="242"/>
      <c r="Y13" s="242"/>
      <c r="Z13" s="242"/>
    </row>
    <row r="14" spans="1:26" s="2" customFormat="1" ht="18" customHeight="1">
      <c r="A14" s="250"/>
      <c r="B14" s="242"/>
      <c r="C14" s="242"/>
      <c r="D14" s="242"/>
      <c r="E14" s="149"/>
      <c r="F14" s="145"/>
      <c r="G14" s="145"/>
      <c r="H14" s="251"/>
      <c r="I14" s="251"/>
      <c r="J14" s="242"/>
      <c r="K14" s="242"/>
      <c r="L14" s="242"/>
      <c r="M14" s="242"/>
      <c r="N14" s="242"/>
      <c r="O14" s="242"/>
      <c r="P14" s="242"/>
      <c r="Q14" s="242"/>
      <c r="R14" s="242"/>
      <c r="S14" s="242"/>
      <c r="T14" s="242"/>
      <c r="U14" s="242"/>
      <c r="V14" s="242"/>
      <c r="W14" s="242"/>
      <c r="X14" s="242"/>
      <c r="Y14" s="242"/>
      <c r="Z14" s="242"/>
    </row>
    <row r="15" spans="1:26" s="2" customFormat="1" ht="18" customHeight="1">
      <c r="A15" s="250"/>
      <c r="B15" s="151" t="s">
        <v>201</v>
      </c>
      <c r="C15" s="420" t="s">
        <v>190</v>
      </c>
      <c r="D15" s="421"/>
      <c r="E15" s="68" t="s">
        <v>191</v>
      </c>
      <c r="F15" s="81"/>
      <c r="G15" s="69"/>
      <c r="H15" s="251"/>
      <c r="I15" s="251"/>
      <c r="J15" s="242"/>
      <c r="K15" s="242"/>
      <c r="L15" s="242"/>
      <c r="M15" s="242"/>
      <c r="N15" s="242"/>
      <c r="O15" s="242"/>
      <c r="P15" s="242"/>
      <c r="Q15" s="242"/>
      <c r="R15" s="242"/>
      <c r="S15" s="242"/>
      <c r="T15" s="242"/>
      <c r="U15" s="242"/>
      <c r="V15" s="242"/>
      <c r="W15" s="242"/>
      <c r="X15" s="242"/>
      <c r="Y15" s="242"/>
      <c r="Z15" s="242"/>
    </row>
    <row r="16" spans="1:26" s="2" customFormat="1" ht="18" customHeight="1">
      <c r="A16" s="250"/>
      <c r="B16" s="145"/>
      <c r="C16" s="145"/>
      <c r="D16" s="145"/>
      <c r="E16" s="70" t="s">
        <v>202</v>
      </c>
      <c r="F16" s="81"/>
      <c r="G16" s="69"/>
      <c r="H16" s="251"/>
      <c r="I16" s="251"/>
      <c r="J16" s="242"/>
      <c r="K16" s="242"/>
      <c r="L16" s="242"/>
      <c r="M16" s="242"/>
      <c r="N16" s="242"/>
      <c r="O16" s="242"/>
      <c r="P16" s="242"/>
      <c r="Q16" s="242"/>
      <c r="R16" s="242"/>
      <c r="S16" s="242"/>
      <c r="T16" s="242"/>
      <c r="U16" s="242"/>
      <c r="V16" s="242"/>
      <c r="W16" s="242"/>
      <c r="X16" s="242"/>
      <c r="Y16" s="242"/>
      <c r="Z16" s="242"/>
    </row>
    <row r="17" spans="1:26" s="2" customFormat="1" ht="18" customHeight="1">
      <c r="A17" s="250"/>
      <c r="B17" s="145"/>
      <c r="C17" s="145"/>
      <c r="D17" s="145"/>
      <c r="E17" s="70" t="s">
        <v>203</v>
      </c>
      <c r="F17" s="81"/>
      <c r="G17" s="69"/>
      <c r="H17" s="251"/>
      <c r="I17" s="251"/>
      <c r="J17" s="242"/>
      <c r="K17" s="242"/>
      <c r="L17" s="242"/>
      <c r="M17" s="242"/>
      <c r="N17" s="242"/>
      <c r="O17" s="242"/>
      <c r="P17" s="242"/>
      <c r="Q17" s="242"/>
      <c r="R17" s="242"/>
      <c r="S17" s="242"/>
      <c r="T17" s="242"/>
      <c r="U17" s="242"/>
      <c r="V17" s="242"/>
      <c r="W17" s="242"/>
      <c r="X17" s="242"/>
      <c r="Y17" s="242"/>
      <c r="Z17" s="242"/>
    </row>
    <row r="18" spans="1:26" s="2" customFormat="1" ht="18" customHeight="1">
      <c r="A18" s="250"/>
      <c r="B18" s="145"/>
      <c r="C18" s="145"/>
      <c r="D18" s="145"/>
      <c r="E18" s="149"/>
      <c r="F18" s="145"/>
      <c r="G18" s="145"/>
      <c r="H18" s="251"/>
      <c r="I18" s="251"/>
      <c r="J18" s="242"/>
      <c r="K18" s="242"/>
      <c r="L18" s="242"/>
      <c r="M18" s="242"/>
      <c r="N18" s="242"/>
      <c r="O18" s="242"/>
      <c r="P18" s="242"/>
      <c r="Q18" s="242"/>
      <c r="R18" s="242"/>
      <c r="S18" s="242"/>
      <c r="T18" s="242"/>
      <c r="U18" s="242"/>
      <c r="V18" s="242"/>
      <c r="W18" s="242"/>
      <c r="X18" s="242"/>
      <c r="Y18" s="242"/>
      <c r="Z18" s="242"/>
    </row>
    <row r="19" spans="1:26" s="2" customFormat="1" ht="18" customHeight="1">
      <c r="A19" s="250"/>
      <c r="B19" s="151" t="s">
        <v>204</v>
      </c>
      <c r="C19" s="420" t="s">
        <v>190</v>
      </c>
      <c r="D19" s="421"/>
      <c r="E19" s="68" t="s">
        <v>191</v>
      </c>
      <c r="F19" s="81"/>
      <c r="G19" s="69"/>
      <c r="H19" s="251"/>
      <c r="I19" s="251"/>
      <c r="J19" s="242"/>
      <c r="K19" s="242"/>
      <c r="L19" s="242"/>
      <c r="M19" s="242"/>
      <c r="N19" s="242"/>
      <c r="O19" s="242"/>
      <c r="P19" s="242"/>
      <c r="Q19" s="242"/>
      <c r="R19" s="242"/>
      <c r="S19" s="242"/>
      <c r="T19" s="242"/>
      <c r="U19" s="242"/>
      <c r="V19" s="242"/>
      <c r="W19" s="242"/>
      <c r="X19" s="242"/>
      <c r="Y19" s="242"/>
      <c r="Z19" s="242"/>
    </row>
    <row r="20" spans="1:26" s="2" customFormat="1" ht="18" customHeight="1">
      <c r="A20" s="250"/>
      <c r="B20" s="145"/>
      <c r="C20" s="145"/>
      <c r="D20" s="145"/>
      <c r="E20" s="70" t="s">
        <v>202</v>
      </c>
      <c r="F20" s="81"/>
      <c r="G20" s="69"/>
      <c r="H20" s="251"/>
      <c r="I20" s="251"/>
      <c r="J20" s="242"/>
      <c r="K20" s="242"/>
      <c r="L20" s="242"/>
      <c r="M20" s="242"/>
      <c r="N20" s="242"/>
      <c r="O20" s="242"/>
      <c r="P20" s="242"/>
      <c r="Q20" s="242"/>
      <c r="R20" s="242"/>
      <c r="S20" s="242"/>
      <c r="T20" s="242"/>
      <c r="U20" s="242"/>
      <c r="V20" s="242"/>
      <c r="W20" s="242"/>
      <c r="X20" s="242"/>
      <c r="Y20" s="242"/>
      <c r="Z20" s="242"/>
    </row>
    <row r="21" spans="1:26" s="2" customFormat="1" ht="18" customHeight="1">
      <c r="A21" s="250"/>
      <c r="B21" s="145"/>
      <c r="C21" s="145"/>
      <c r="D21" s="145"/>
      <c r="E21" s="70" t="s">
        <v>203</v>
      </c>
      <c r="F21" s="81"/>
      <c r="G21" s="69"/>
      <c r="H21" s="251"/>
      <c r="I21" s="251"/>
      <c r="J21" s="242"/>
      <c r="K21" s="242"/>
      <c r="L21" s="242"/>
      <c r="M21" s="242"/>
      <c r="N21" s="242"/>
      <c r="O21" s="242"/>
      <c r="P21" s="242"/>
      <c r="Q21" s="242"/>
      <c r="R21" s="242"/>
      <c r="S21" s="242"/>
      <c r="T21" s="242"/>
      <c r="U21" s="242"/>
      <c r="V21" s="242"/>
      <c r="W21" s="242"/>
      <c r="X21" s="242"/>
      <c r="Y21" s="242"/>
      <c r="Z21" s="242"/>
    </row>
    <row r="22" spans="1:26" s="2" customFormat="1" ht="18" customHeight="1">
      <c r="A22" s="250"/>
      <c r="B22" s="145"/>
      <c r="C22" s="145"/>
      <c r="D22" s="145"/>
      <c r="E22" s="149"/>
      <c r="F22" s="145"/>
      <c r="G22" s="145"/>
      <c r="H22" s="251"/>
      <c r="I22" s="251"/>
      <c r="J22" s="242"/>
      <c r="K22" s="242"/>
      <c r="L22" s="242"/>
      <c r="M22" s="242"/>
      <c r="N22" s="242"/>
      <c r="O22" s="242"/>
      <c r="P22" s="242"/>
      <c r="Q22" s="242"/>
      <c r="R22" s="242"/>
      <c r="S22" s="242"/>
      <c r="T22" s="242"/>
      <c r="U22" s="242"/>
      <c r="V22" s="242"/>
      <c r="W22" s="242"/>
      <c r="X22" s="242"/>
      <c r="Y22" s="242"/>
      <c r="Z22" s="242"/>
    </row>
    <row r="23" spans="1:26" s="2" customFormat="1" ht="18" customHeight="1">
      <c r="A23" s="250"/>
      <c r="B23" s="242"/>
      <c r="C23" s="242"/>
      <c r="D23" s="242"/>
      <c r="E23" s="149"/>
      <c r="F23" s="145"/>
      <c r="G23" s="145"/>
      <c r="H23" s="251"/>
      <c r="I23" s="251"/>
      <c r="J23" s="242"/>
      <c r="K23" s="242"/>
      <c r="L23" s="242"/>
      <c r="M23" s="242"/>
      <c r="N23" s="242"/>
      <c r="O23" s="242"/>
      <c r="P23" s="242"/>
      <c r="Q23" s="242"/>
      <c r="R23" s="242"/>
      <c r="S23" s="242"/>
      <c r="T23" s="242"/>
      <c r="U23" s="242"/>
      <c r="V23" s="242"/>
      <c r="W23" s="242"/>
      <c r="X23" s="242"/>
      <c r="Y23" s="242"/>
      <c r="Z23" s="242"/>
    </row>
    <row r="24" spans="1:26" s="2" customFormat="1" ht="18" customHeight="1">
      <c r="A24" s="250"/>
      <c r="B24" s="142" t="s">
        <v>205</v>
      </c>
      <c r="C24" s="156"/>
      <c r="D24" s="156"/>
      <c r="E24" s="156"/>
      <c r="F24" s="156"/>
      <c r="G24" s="156"/>
      <c r="H24" s="158"/>
      <c r="I24" s="242"/>
      <c r="J24" s="242"/>
      <c r="K24" s="242"/>
      <c r="L24" s="242"/>
      <c r="M24" s="242"/>
      <c r="N24" s="242"/>
      <c r="O24" s="242"/>
      <c r="P24" s="242"/>
      <c r="Q24" s="242"/>
      <c r="R24" s="242"/>
      <c r="S24" s="242"/>
      <c r="T24" s="242"/>
      <c r="U24" s="242"/>
      <c r="V24" s="242"/>
      <c r="W24" s="242"/>
      <c r="X24" s="242"/>
      <c r="Y24" s="242"/>
      <c r="Z24" s="242"/>
    </row>
    <row r="25" spans="1:26" s="2" customFormat="1" ht="18" customHeight="1">
      <c r="A25" s="250"/>
      <c r="B25" s="145"/>
      <c r="C25" s="145"/>
      <c r="D25" s="145"/>
      <c r="E25" s="242"/>
      <c r="F25" s="242"/>
      <c r="G25" s="242"/>
      <c r="H25" s="242"/>
      <c r="I25" s="242"/>
      <c r="J25" s="242"/>
      <c r="K25" s="242"/>
      <c r="L25" s="242"/>
      <c r="M25" s="242"/>
      <c r="N25" s="242"/>
      <c r="O25" s="242"/>
      <c r="P25" s="242"/>
      <c r="Q25" s="242"/>
      <c r="R25" s="242"/>
      <c r="S25" s="242"/>
      <c r="T25" s="242"/>
      <c r="U25" s="242"/>
      <c r="V25" s="242"/>
      <c r="W25" s="242"/>
      <c r="X25" s="242"/>
      <c r="Y25" s="242"/>
      <c r="Z25" s="242"/>
    </row>
    <row r="26" spans="1:26" s="2" customFormat="1" ht="18" customHeight="1">
      <c r="A26" s="250"/>
      <c r="B26" s="182" t="s">
        <v>206</v>
      </c>
      <c r="C26" s="408" t="s">
        <v>207</v>
      </c>
      <c r="D26" s="409"/>
      <c r="E26" s="286" t="s">
        <v>319</v>
      </c>
      <c r="F26" s="182" t="s">
        <v>320</v>
      </c>
      <c r="G26" s="182" t="s">
        <v>327</v>
      </c>
      <c r="H26" s="182" t="s">
        <v>328</v>
      </c>
      <c r="I26" s="242"/>
      <c r="J26" s="242"/>
      <c r="K26" s="242"/>
      <c r="L26" s="242"/>
      <c r="M26" s="242"/>
      <c r="N26" s="242"/>
      <c r="O26" s="242"/>
      <c r="P26" s="242"/>
      <c r="Q26" s="242"/>
      <c r="R26" s="242"/>
      <c r="S26" s="242"/>
      <c r="T26" s="242"/>
      <c r="U26" s="242"/>
      <c r="V26" s="242"/>
      <c r="W26" s="242"/>
      <c r="X26" s="242"/>
      <c r="Y26" s="242"/>
      <c r="Z26" s="242"/>
    </row>
    <row r="27" spans="1:26" s="2" customFormat="1" ht="18" customHeight="1">
      <c r="A27" s="250"/>
      <c r="B27" s="183" t="s">
        <v>208</v>
      </c>
      <c r="C27" s="422" t="s">
        <v>209</v>
      </c>
      <c r="D27" s="423"/>
      <c r="E27" s="183" t="s">
        <v>321</v>
      </c>
      <c r="F27" s="183" t="s">
        <v>322</v>
      </c>
      <c r="G27" s="183" t="s">
        <v>329</v>
      </c>
      <c r="H27" s="183" t="s">
        <v>330</v>
      </c>
      <c r="I27" s="242"/>
      <c r="J27" s="242"/>
      <c r="K27" s="242"/>
      <c r="L27" s="242"/>
      <c r="M27" s="242"/>
      <c r="N27" s="242"/>
      <c r="O27" s="242"/>
      <c r="P27" s="242"/>
      <c r="Q27" s="242"/>
      <c r="R27" s="242"/>
      <c r="S27" s="242"/>
      <c r="T27" s="242"/>
      <c r="U27" s="242"/>
      <c r="V27" s="242"/>
      <c r="W27" s="242"/>
      <c r="X27" s="242"/>
      <c r="Y27" s="242"/>
      <c r="Z27" s="242"/>
    </row>
    <row r="28" spans="1:26" s="2" customFormat="1" ht="18" customHeight="1">
      <c r="A28" s="250"/>
      <c r="B28" s="159" t="s">
        <v>182</v>
      </c>
      <c r="C28" s="418" t="s">
        <v>210</v>
      </c>
      <c r="D28" s="419"/>
      <c r="E28" s="159" t="s">
        <v>335</v>
      </c>
      <c r="F28" s="159" t="s">
        <v>336</v>
      </c>
      <c r="G28" s="159" t="s">
        <v>337</v>
      </c>
      <c r="H28" s="159" t="s">
        <v>338</v>
      </c>
      <c r="I28" s="242"/>
      <c r="J28" s="242"/>
      <c r="K28" s="242"/>
      <c r="L28" s="242"/>
      <c r="M28" s="242"/>
      <c r="N28" s="242"/>
      <c r="O28" s="242"/>
      <c r="P28" s="242"/>
      <c r="Q28" s="242"/>
      <c r="R28" s="242"/>
      <c r="S28" s="242"/>
      <c r="T28" s="242"/>
      <c r="U28" s="242"/>
      <c r="V28" s="242"/>
      <c r="W28" s="242"/>
      <c r="X28" s="242"/>
      <c r="Y28" s="242"/>
      <c r="Z28" s="242"/>
    </row>
    <row r="29" spans="1:26" s="2" customFormat="1" ht="18" customHeight="1">
      <c r="A29" s="250"/>
      <c r="B29" s="159" t="s">
        <v>182</v>
      </c>
      <c r="C29" s="418" t="s">
        <v>211</v>
      </c>
      <c r="D29" s="419"/>
      <c r="E29" s="159" t="s">
        <v>335</v>
      </c>
      <c r="F29" s="159" t="s">
        <v>336</v>
      </c>
      <c r="G29" s="159" t="s">
        <v>337</v>
      </c>
      <c r="H29" s="159" t="s">
        <v>338</v>
      </c>
      <c r="I29" s="242"/>
      <c r="J29" s="242"/>
      <c r="K29" s="242"/>
      <c r="L29" s="242"/>
      <c r="M29" s="242"/>
      <c r="N29" s="242"/>
      <c r="O29" s="242"/>
      <c r="P29" s="242"/>
      <c r="Q29" s="242"/>
      <c r="R29" s="242"/>
      <c r="S29" s="242"/>
      <c r="T29" s="242"/>
      <c r="U29" s="242"/>
      <c r="V29" s="242"/>
      <c r="W29" s="242"/>
      <c r="X29" s="242"/>
      <c r="Y29" s="242"/>
      <c r="Z29" s="242"/>
    </row>
    <row r="30" spans="1:26" s="2" customFormat="1" ht="18" customHeight="1">
      <c r="A30" s="250"/>
      <c r="B30" s="159" t="s">
        <v>182</v>
      </c>
      <c r="C30" s="418" t="s">
        <v>212</v>
      </c>
      <c r="D30" s="419"/>
      <c r="E30" s="159" t="s">
        <v>361</v>
      </c>
      <c r="F30" s="159" t="s">
        <v>361</v>
      </c>
      <c r="G30" s="159" t="s">
        <v>303</v>
      </c>
      <c r="H30" s="159" t="s">
        <v>309</v>
      </c>
      <c r="I30" s="242"/>
      <c r="J30" s="242"/>
      <c r="K30" s="242"/>
      <c r="L30" s="242"/>
      <c r="M30" s="242"/>
      <c r="N30" s="242"/>
      <c r="O30" s="242"/>
      <c r="P30" s="242"/>
      <c r="Q30" s="242"/>
      <c r="R30" s="242"/>
      <c r="S30" s="242"/>
      <c r="T30" s="242"/>
      <c r="U30" s="242"/>
      <c r="V30" s="242"/>
      <c r="W30" s="242"/>
      <c r="X30" s="242"/>
      <c r="Y30" s="242"/>
      <c r="Z30" s="242"/>
    </row>
    <row r="31" spans="1:26" s="2" customFormat="1" ht="18" customHeight="1">
      <c r="A31" s="250"/>
      <c r="B31" s="159" t="s">
        <v>182</v>
      </c>
      <c r="C31" s="418" t="s">
        <v>213</v>
      </c>
      <c r="D31" s="419"/>
      <c r="E31" s="159" t="s">
        <v>312</v>
      </c>
      <c r="F31" s="159" t="s">
        <v>312</v>
      </c>
      <c r="G31" s="159" t="s">
        <v>301</v>
      </c>
      <c r="H31" s="159" t="s">
        <v>307</v>
      </c>
      <c r="I31" s="242"/>
      <c r="J31" s="242"/>
      <c r="K31" s="242"/>
      <c r="L31" s="242"/>
      <c r="M31" s="242"/>
      <c r="N31" s="242"/>
      <c r="O31" s="242"/>
      <c r="P31" s="242"/>
      <c r="Q31" s="242"/>
      <c r="R31" s="242"/>
      <c r="S31" s="242"/>
      <c r="T31" s="242"/>
      <c r="U31" s="242"/>
      <c r="V31" s="242"/>
      <c r="W31" s="242"/>
      <c r="X31" s="242"/>
      <c r="Y31" s="242"/>
      <c r="Z31" s="242"/>
    </row>
    <row r="32" spans="1:26" s="2" customFormat="1" ht="18" customHeight="1">
      <c r="A32" s="250"/>
      <c r="B32" s="159" t="s">
        <v>182</v>
      </c>
      <c r="C32" s="418" t="s">
        <v>186</v>
      </c>
      <c r="D32" s="419"/>
      <c r="E32" s="159" t="s">
        <v>311</v>
      </c>
      <c r="F32" s="159" t="s">
        <v>311</v>
      </c>
      <c r="G32" s="159" t="s">
        <v>311</v>
      </c>
      <c r="H32" s="159" t="s">
        <v>311</v>
      </c>
      <c r="I32" s="242"/>
      <c r="J32" s="242"/>
      <c r="K32" s="242"/>
      <c r="L32" s="242"/>
      <c r="M32" s="242"/>
      <c r="N32" s="242"/>
      <c r="O32" s="242"/>
      <c r="P32" s="242"/>
      <c r="Q32" s="242"/>
      <c r="R32" s="242"/>
      <c r="S32" s="242"/>
      <c r="T32" s="242"/>
      <c r="U32" s="242"/>
      <c r="V32" s="242"/>
      <c r="W32" s="242"/>
      <c r="X32" s="242"/>
      <c r="Y32" s="242"/>
      <c r="Z32" s="242"/>
    </row>
    <row r="33" spans="1:26" s="2" customFormat="1" ht="18" customHeight="1">
      <c r="A33" s="250"/>
      <c r="B33" s="184" t="s">
        <v>214</v>
      </c>
      <c r="C33" s="416" t="s">
        <v>215</v>
      </c>
      <c r="D33" s="417"/>
      <c r="E33" s="184" t="s">
        <v>323</v>
      </c>
      <c r="F33" s="184" t="s">
        <v>324</v>
      </c>
      <c r="G33" s="184" t="s">
        <v>331</v>
      </c>
      <c r="H33" s="184" t="s">
        <v>332</v>
      </c>
      <c r="I33" s="242"/>
      <c r="J33" s="242"/>
      <c r="K33" s="242"/>
      <c r="L33" s="242"/>
      <c r="M33" s="242"/>
      <c r="N33" s="242"/>
      <c r="O33" s="242"/>
      <c r="P33" s="242"/>
      <c r="Q33" s="242"/>
      <c r="R33" s="242"/>
      <c r="S33" s="242"/>
      <c r="T33" s="242"/>
      <c r="U33" s="242"/>
      <c r="V33" s="242"/>
      <c r="W33" s="242"/>
      <c r="X33" s="242"/>
      <c r="Y33" s="242"/>
      <c r="Z33" s="242"/>
    </row>
    <row r="34" spans="1:26" s="2" customFormat="1" ht="18" customHeight="1">
      <c r="A34" s="250"/>
      <c r="B34" s="159" t="s">
        <v>183</v>
      </c>
      <c r="C34" s="418" t="s">
        <v>216</v>
      </c>
      <c r="D34" s="419"/>
      <c r="E34" s="159" t="s">
        <v>377</v>
      </c>
      <c r="F34" s="159" t="s">
        <v>377</v>
      </c>
      <c r="G34" s="159" t="s">
        <v>299</v>
      </c>
      <c r="H34" s="159" t="s">
        <v>305</v>
      </c>
      <c r="I34" s="242"/>
      <c r="J34" s="242"/>
      <c r="K34" s="242"/>
      <c r="L34" s="242"/>
      <c r="M34" s="242"/>
      <c r="N34" s="242"/>
      <c r="O34" s="242"/>
      <c r="P34" s="242"/>
      <c r="Q34" s="242"/>
      <c r="R34" s="242"/>
      <c r="S34" s="242"/>
      <c r="T34" s="242"/>
      <c r="U34" s="242"/>
      <c r="V34" s="242"/>
      <c r="W34" s="242"/>
      <c r="X34" s="242"/>
      <c r="Y34" s="242"/>
      <c r="Z34" s="242"/>
    </row>
    <row r="35" spans="1:26" s="2" customFormat="1" ht="18" customHeight="1">
      <c r="A35" s="250"/>
      <c r="B35" s="159" t="s">
        <v>183</v>
      </c>
      <c r="C35" s="418" t="s">
        <v>217</v>
      </c>
      <c r="D35" s="419"/>
      <c r="E35" s="159" t="s">
        <v>377</v>
      </c>
      <c r="F35" s="159" t="s">
        <v>377</v>
      </c>
      <c r="G35" s="159" t="s">
        <v>299</v>
      </c>
      <c r="H35" s="159" t="s">
        <v>305</v>
      </c>
      <c r="I35" s="242"/>
      <c r="J35" s="242"/>
      <c r="K35" s="242"/>
      <c r="L35" s="242"/>
      <c r="M35" s="242"/>
      <c r="N35" s="242"/>
      <c r="O35" s="242"/>
      <c r="P35" s="242"/>
      <c r="Q35" s="242"/>
      <c r="R35" s="242"/>
      <c r="S35" s="242"/>
      <c r="T35" s="242"/>
      <c r="U35" s="242"/>
      <c r="V35" s="242"/>
      <c r="W35" s="242"/>
      <c r="X35" s="242"/>
      <c r="Y35" s="242"/>
      <c r="Z35" s="242"/>
    </row>
    <row r="36" spans="1:26" s="2" customFormat="1" ht="18" customHeight="1">
      <c r="A36" s="250"/>
      <c r="B36" s="159" t="s">
        <v>183</v>
      </c>
      <c r="C36" s="418" t="s">
        <v>218</v>
      </c>
      <c r="D36" s="419"/>
      <c r="E36" s="159" t="s">
        <v>377</v>
      </c>
      <c r="F36" s="159" t="s">
        <v>377</v>
      </c>
      <c r="G36" s="159" t="s">
        <v>299</v>
      </c>
      <c r="H36" s="159" t="s">
        <v>305</v>
      </c>
      <c r="I36" s="242"/>
      <c r="J36" s="242"/>
      <c r="K36" s="242"/>
      <c r="L36" s="242"/>
      <c r="M36" s="242"/>
      <c r="N36" s="242"/>
      <c r="O36" s="242"/>
      <c r="P36" s="242"/>
      <c r="Q36" s="242"/>
      <c r="R36" s="242"/>
      <c r="S36" s="242"/>
      <c r="T36" s="242"/>
      <c r="U36" s="242"/>
      <c r="V36" s="242"/>
      <c r="W36" s="242"/>
      <c r="X36" s="242"/>
      <c r="Y36" s="242"/>
      <c r="Z36" s="242"/>
    </row>
    <row r="37" spans="1:26" s="2" customFormat="1" ht="18" customHeight="1">
      <c r="A37" s="250"/>
      <c r="B37" s="159" t="s">
        <v>183</v>
      </c>
      <c r="C37" s="418" t="s">
        <v>219</v>
      </c>
      <c r="D37" s="419"/>
      <c r="E37" s="159" t="s">
        <v>377</v>
      </c>
      <c r="F37" s="159" t="s">
        <v>377</v>
      </c>
      <c r="G37" s="159" t="s">
        <v>299</v>
      </c>
      <c r="H37" s="159" t="s">
        <v>305</v>
      </c>
      <c r="I37" s="242"/>
      <c r="J37" s="242"/>
      <c r="K37" s="242"/>
      <c r="L37" s="242"/>
      <c r="M37" s="242"/>
      <c r="N37" s="242"/>
      <c r="O37" s="242"/>
      <c r="P37" s="242"/>
      <c r="Q37" s="242"/>
      <c r="R37" s="242"/>
      <c r="S37" s="242"/>
      <c r="T37" s="242"/>
      <c r="U37" s="242"/>
      <c r="V37" s="242"/>
      <c r="W37" s="242"/>
      <c r="X37" s="242"/>
      <c r="Y37" s="242"/>
      <c r="Z37" s="242"/>
    </row>
    <row r="38" spans="1:26" s="2" customFormat="1" ht="18" customHeight="1">
      <c r="A38" s="250"/>
      <c r="B38" s="159" t="s">
        <v>183</v>
      </c>
      <c r="C38" s="418" t="s">
        <v>220</v>
      </c>
      <c r="D38" s="419"/>
      <c r="E38" s="159" t="s">
        <v>339</v>
      </c>
      <c r="F38" s="159" t="s">
        <v>339</v>
      </c>
      <c r="G38" s="159" t="s">
        <v>317</v>
      </c>
      <c r="H38" s="159" t="s">
        <v>316</v>
      </c>
      <c r="I38" s="242"/>
      <c r="J38" s="242"/>
      <c r="K38" s="242"/>
      <c r="L38" s="242"/>
      <c r="M38" s="242"/>
      <c r="N38" s="242"/>
      <c r="O38" s="242"/>
      <c r="P38" s="242"/>
      <c r="Q38" s="242"/>
      <c r="R38" s="242"/>
      <c r="S38" s="242"/>
      <c r="T38" s="242"/>
      <c r="U38" s="242"/>
      <c r="V38" s="242"/>
      <c r="W38" s="242"/>
      <c r="X38" s="242"/>
      <c r="Y38" s="242"/>
      <c r="Z38" s="242"/>
    </row>
    <row r="39" spans="1:26" s="2" customFormat="1" ht="18" customHeight="1">
      <c r="A39" s="250"/>
      <c r="B39" s="159" t="s">
        <v>183</v>
      </c>
      <c r="C39" s="418" t="s">
        <v>221</v>
      </c>
      <c r="D39" s="419"/>
      <c r="E39" s="159" t="s">
        <v>340</v>
      </c>
      <c r="F39" s="159" t="s">
        <v>340</v>
      </c>
      <c r="G39" s="159" t="s">
        <v>300</v>
      </c>
      <c r="H39" s="159" t="s">
        <v>306</v>
      </c>
      <c r="I39" s="242"/>
      <c r="J39" s="242"/>
      <c r="K39" s="242"/>
      <c r="L39" s="242"/>
      <c r="M39" s="242"/>
      <c r="N39" s="242"/>
      <c r="O39" s="242"/>
      <c r="P39" s="242"/>
      <c r="Q39" s="242"/>
      <c r="R39" s="242"/>
      <c r="S39" s="242"/>
      <c r="T39" s="242"/>
      <c r="U39" s="242"/>
      <c r="V39" s="242"/>
      <c r="W39" s="242"/>
      <c r="X39" s="242"/>
      <c r="Y39" s="242"/>
      <c r="Z39" s="242"/>
    </row>
    <row r="40" spans="1:26" s="2" customFormat="1" ht="18" customHeight="1">
      <c r="A40" s="250"/>
      <c r="B40" s="159" t="s">
        <v>183</v>
      </c>
      <c r="C40" s="418" t="s">
        <v>222</v>
      </c>
      <c r="D40" s="419"/>
      <c r="E40" s="159" t="s">
        <v>376</v>
      </c>
      <c r="F40" s="159" t="s">
        <v>376</v>
      </c>
      <c r="G40" s="159" t="s">
        <v>341</v>
      </c>
      <c r="H40" s="159" t="s">
        <v>342</v>
      </c>
      <c r="I40" s="242"/>
      <c r="J40" s="242"/>
      <c r="K40" s="242"/>
      <c r="L40" s="242"/>
      <c r="M40" s="242"/>
      <c r="N40" s="242"/>
      <c r="O40" s="242"/>
      <c r="P40" s="242"/>
      <c r="Q40" s="242"/>
      <c r="R40" s="242"/>
      <c r="S40" s="242"/>
      <c r="T40" s="242"/>
      <c r="U40" s="242"/>
      <c r="V40" s="242"/>
      <c r="W40" s="242"/>
      <c r="X40" s="242"/>
      <c r="Y40" s="242"/>
      <c r="Z40" s="242"/>
    </row>
    <row r="41" spans="1:26" s="2" customFormat="1" ht="18" customHeight="1">
      <c r="A41" s="250"/>
      <c r="B41" s="159" t="s">
        <v>183</v>
      </c>
      <c r="C41" s="418" t="s">
        <v>223</v>
      </c>
      <c r="D41" s="419"/>
      <c r="E41" s="159" t="s">
        <v>376</v>
      </c>
      <c r="F41" s="159" t="s">
        <v>376</v>
      </c>
      <c r="G41" s="159" t="s">
        <v>341</v>
      </c>
      <c r="H41" s="159" t="s">
        <v>342</v>
      </c>
      <c r="I41" s="242"/>
      <c r="J41" s="242"/>
      <c r="K41" s="242"/>
      <c r="L41" s="242"/>
      <c r="M41" s="242"/>
      <c r="N41" s="242"/>
      <c r="O41" s="242"/>
      <c r="P41" s="242"/>
      <c r="Q41" s="242"/>
      <c r="R41" s="242"/>
      <c r="S41" s="242"/>
      <c r="T41" s="242"/>
      <c r="U41" s="242"/>
      <c r="V41" s="242"/>
      <c r="W41" s="242"/>
      <c r="X41" s="242"/>
      <c r="Y41" s="242"/>
      <c r="Z41" s="242"/>
    </row>
    <row r="42" spans="1:26" s="2" customFormat="1" ht="18" customHeight="1">
      <c r="A42" s="250"/>
      <c r="B42" s="159" t="s">
        <v>183</v>
      </c>
      <c r="C42" s="418" t="s">
        <v>224</v>
      </c>
      <c r="D42" s="419"/>
      <c r="E42" s="159" t="s">
        <v>376</v>
      </c>
      <c r="F42" s="159" t="s">
        <v>376</v>
      </c>
      <c r="G42" s="159" t="s">
        <v>341</v>
      </c>
      <c r="H42" s="159" t="s">
        <v>342</v>
      </c>
      <c r="I42" s="242"/>
      <c r="J42" s="242"/>
      <c r="K42" s="242"/>
      <c r="L42" s="242"/>
      <c r="M42" s="242"/>
      <c r="N42" s="242"/>
      <c r="O42" s="242"/>
      <c r="P42" s="242"/>
      <c r="Q42" s="242"/>
      <c r="R42" s="242"/>
      <c r="S42" s="242"/>
      <c r="T42" s="242"/>
      <c r="U42" s="242"/>
      <c r="V42" s="242"/>
      <c r="W42" s="242"/>
      <c r="X42" s="242"/>
      <c r="Y42" s="242"/>
      <c r="Z42" s="242"/>
    </row>
    <row r="43" spans="1:26" s="2" customFormat="1" ht="18" customHeight="1">
      <c r="A43" s="250"/>
      <c r="B43" s="159" t="s">
        <v>183</v>
      </c>
      <c r="C43" s="418" t="s">
        <v>225</v>
      </c>
      <c r="D43" s="419"/>
      <c r="E43" s="159" t="s">
        <v>376</v>
      </c>
      <c r="F43" s="159" t="s">
        <v>376</v>
      </c>
      <c r="G43" s="159" t="s">
        <v>341</v>
      </c>
      <c r="H43" s="159" t="s">
        <v>342</v>
      </c>
      <c r="I43" s="242"/>
      <c r="J43" s="242"/>
      <c r="K43" s="242"/>
      <c r="L43" s="242"/>
      <c r="M43" s="242"/>
      <c r="N43" s="242"/>
      <c r="O43" s="242"/>
      <c r="P43" s="242"/>
      <c r="Q43" s="242"/>
      <c r="R43" s="242"/>
      <c r="S43" s="242"/>
      <c r="T43" s="242"/>
      <c r="U43" s="242"/>
      <c r="V43" s="242"/>
      <c r="W43" s="242"/>
      <c r="X43" s="242"/>
      <c r="Y43" s="242"/>
      <c r="Z43" s="242"/>
    </row>
    <row r="44" spans="1:26" s="2" customFormat="1" ht="18" customHeight="1">
      <c r="A44" s="250"/>
      <c r="B44" s="159" t="s">
        <v>183</v>
      </c>
      <c r="C44" s="418" t="s">
        <v>226</v>
      </c>
      <c r="D44" s="419"/>
      <c r="E44" s="159" t="s">
        <v>312</v>
      </c>
      <c r="F44" s="159" t="s">
        <v>312</v>
      </c>
      <c r="G44" s="159" t="s">
        <v>301</v>
      </c>
      <c r="H44" s="287" t="s">
        <v>307</v>
      </c>
      <c r="I44" s="242"/>
      <c r="J44" s="242"/>
      <c r="K44" s="242"/>
      <c r="L44" s="242"/>
      <c r="M44" s="242"/>
      <c r="N44" s="242"/>
      <c r="O44" s="242"/>
      <c r="P44" s="242"/>
      <c r="Q44" s="242"/>
      <c r="R44" s="242"/>
      <c r="S44" s="242"/>
      <c r="T44" s="242"/>
      <c r="U44" s="242"/>
      <c r="V44" s="242"/>
      <c r="W44" s="242"/>
      <c r="X44" s="242"/>
      <c r="Y44" s="242"/>
      <c r="Z44" s="242"/>
    </row>
    <row r="45" spans="1:26" s="2" customFormat="1" ht="18" customHeight="1">
      <c r="A45" s="250"/>
      <c r="B45" s="159" t="s">
        <v>183</v>
      </c>
      <c r="C45" s="418" t="s">
        <v>227</v>
      </c>
      <c r="D45" s="419"/>
      <c r="E45" s="159" t="s">
        <v>312</v>
      </c>
      <c r="F45" s="159" t="s">
        <v>312</v>
      </c>
      <c r="G45" s="159" t="s">
        <v>301</v>
      </c>
      <c r="H45" s="287" t="s">
        <v>307</v>
      </c>
      <c r="I45" s="242"/>
      <c r="J45" s="242"/>
      <c r="K45" s="242"/>
      <c r="L45" s="242"/>
      <c r="M45" s="242"/>
      <c r="N45" s="242"/>
      <c r="O45" s="242"/>
      <c r="P45" s="242"/>
      <c r="Q45" s="242"/>
      <c r="R45" s="242"/>
      <c r="S45" s="242"/>
      <c r="T45" s="242"/>
      <c r="U45" s="242"/>
      <c r="V45" s="242"/>
      <c r="W45" s="242"/>
      <c r="X45" s="242"/>
      <c r="Y45" s="242"/>
      <c r="Z45" s="242"/>
    </row>
    <row r="46" spans="1:26" s="2" customFormat="1" ht="18" customHeight="1">
      <c r="A46" s="250"/>
      <c r="B46" s="159" t="s">
        <v>183</v>
      </c>
      <c r="C46" s="418" t="s">
        <v>228</v>
      </c>
      <c r="D46" s="419"/>
      <c r="E46" s="159" t="s">
        <v>312</v>
      </c>
      <c r="F46" s="159" t="s">
        <v>312</v>
      </c>
      <c r="G46" s="159" t="s">
        <v>302</v>
      </c>
      <c r="H46" s="159" t="s">
        <v>308</v>
      </c>
      <c r="I46" s="242"/>
      <c r="J46" s="242"/>
      <c r="K46" s="242"/>
      <c r="L46" s="242"/>
      <c r="M46" s="242"/>
      <c r="N46" s="242"/>
      <c r="O46" s="242"/>
      <c r="P46" s="242"/>
      <c r="Q46" s="242"/>
      <c r="R46" s="242"/>
      <c r="S46" s="242"/>
      <c r="T46" s="242"/>
      <c r="U46" s="242"/>
      <c r="V46" s="242"/>
      <c r="W46" s="242"/>
      <c r="X46" s="242"/>
      <c r="Y46" s="242"/>
      <c r="Z46" s="242"/>
    </row>
    <row r="47" spans="1:26" s="2" customFormat="1" ht="18" customHeight="1">
      <c r="A47" s="250"/>
      <c r="B47" s="159" t="s">
        <v>183</v>
      </c>
      <c r="C47" s="418" t="s">
        <v>229</v>
      </c>
      <c r="D47" s="419"/>
      <c r="E47" s="159" t="s">
        <v>312</v>
      </c>
      <c r="F47" s="159" t="s">
        <v>312</v>
      </c>
      <c r="G47" s="159" t="s">
        <v>302</v>
      </c>
      <c r="H47" s="159" t="s">
        <v>308</v>
      </c>
      <c r="I47" s="242"/>
      <c r="J47" s="242"/>
      <c r="K47" s="242"/>
      <c r="L47" s="242"/>
      <c r="M47" s="242"/>
      <c r="N47" s="242"/>
      <c r="O47" s="242"/>
      <c r="P47" s="242"/>
      <c r="Q47" s="242"/>
      <c r="R47" s="242"/>
      <c r="S47" s="242"/>
      <c r="T47" s="242"/>
      <c r="U47" s="242"/>
      <c r="V47" s="242"/>
      <c r="W47" s="242"/>
      <c r="X47" s="242"/>
      <c r="Y47" s="242"/>
      <c r="Z47" s="242"/>
    </row>
    <row r="48" spans="1:26" s="2" customFormat="1" ht="18" customHeight="1">
      <c r="A48" s="250"/>
      <c r="B48" s="159" t="s">
        <v>183</v>
      </c>
      <c r="C48" s="418" t="s">
        <v>230</v>
      </c>
      <c r="D48" s="419"/>
      <c r="E48" s="159" t="s">
        <v>312</v>
      </c>
      <c r="F48" s="159" t="s">
        <v>312</v>
      </c>
      <c r="G48" s="159" t="s">
        <v>302</v>
      </c>
      <c r="H48" s="159" t="s">
        <v>308</v>
      </c>
      <c r="I48" s="242"/>
      <c r="J48" s="242"/>
      <c r="K48" s="242"/>
      <c r="L48" s="242"/>
      <c r="M48" s="242"/>
      <c r="N48" s="242"/>
      <c r="O48" s="242"/>
      <c r="P48" s="242"/>
      <c r="Q48" s="242"/>
      <c r="R48" s="242"/>
      <c r="S48" s="242"/>
      <c r="T48" s="242"/>
      <c r="U48" s="242"/>
      <c r="V48" s="242"/>
      <c r="W48" s="242"/>
      <c r="X48" s="242"/>
      <c r="Y48" s="242"/>
      <c r="Z48" s="242"/>
    </row>
    <row r="49" spans="1:26" s="2" customFormat="1" ht="18" customHeight="1">
      <c r="A49" s="250"/>
      <c r="B49" s="159" t="s">
        <v>183</v>
      </c>
      <c r="C49" s="418" t="s">
        <v>186</v>
      </c>
      <c r="D49" s="419"/>
      <c r="E49" s="159" t="s">
        <v>311</v>
      </c>
      <c r="F49" s="159" t="s">
        <v>311</v>
      </c>
      <c r="G49" s="159" t="s">
        <v>311</v>
      </c>
      <c r="H49" s="159" t="s">
        <v>311</v>
      </c>
      <c r="I49" s="242"/>
      <c r="J49" s="242"/>
      <c r="K49" s="242"/>
      <c r="L49" s="242"/>
      <c r="M49" s="242"/>
      <c r="N49" s="242"/>
      <c r="O49" s="242"/>
      <c r="P49" s="242"/>
      <c r="Q49" s="242"/>
      <c r="R49" s="242"/>
      <c r="S49" s="242"/>
      <c r="T49" s="242"/>
      <c r="U49" s="242"/>
      <c r="V49" s="242"/>
      <c r="W49" s="242"/>
      <c r="X49" s="242"/>
      <c r="Y49" s="242"/>
      <c r="Z49" s="242"/>
    </row>
    <row r="50" spans="1:26" s="2" customFormat="1" ht="18" customHeight="1">
      <c r="A50" s="250"/>
      <c r="B50" s="184" t="s">
        <v>231</v>
      </c>
      <c r="C50" s="416" t="s">
        <v>232</v>
      </c>
      <c r="D50" s="417"/>
      <c r="E50" s="184" t="s">
        <v>325</v>
      </c>
      <c r="F50" s="184" t="s">
        <v>326</v>
      </c>
      <c r="G50" s="184" t="s">
        <v>333</v>
      </c>
      <c r="H50" s="184" t="s">
        <v>334</v>
      </c>
      <c r="I50" s="242"/>
      <c r="J50" s="242"/>
      <c r="K50" s="242"/>
      <c r="L50" s="242"/>
      <c r="M50" s="242"/>
      <c r="N50" s="242"/>
      <c r="O50" s="242"/>
      <c r="P50" s="242"/>
      <c r="Q50" s="242"/>
      <c r="R50" s="242"/>
      <c r="S50" s="242"/>
      <c r="T50" s="242"/>
      <c r="U50" s="242"/>
      <c r="V50" s="242"/>
      <c r="W50" s="242"/>
      <c r="X50" s="242"/>
      <c r="Y50" s="242"/>
      <c r="Z50" s="242"/>
    </row>
    <row r="51" spans="1:26" s="2" customFormat="1" ht="18" customHeight="1">
      <c r="A51" s="250"/>
      <c r="B51" s="159" t="s">
        <v>233</v>
      </c>
      <c r="C51" s="418" t="s">
        <v>234</v>
      </c>
      <c r="D51" s="419"/>
      <c r="E51" s="159" t="s">
        <v>312</v>
      </c>
      <c r="F51" s="159" t="s">
        <v>312</v>
      </c>
      <c r="G51" s="159" t="s">
        <v>301</v>
      </c>
      <c r="H51" s="159" t="s">
        <v>307</v>
      </c>
      <c r="I51" s="242"/>
      <c r="J51" s="242"/>
      <c r="K51" s="242"/>
      <c r="L51" s="242"/>
      <c r="M51" s="242"/>
      <c r="N51" s="242"/>
      <c r="O51" s="242"/>
      <c r="P51" s="242"/>
      <c r="Q51" s="242"/>
      <c r="R51" s="242"/>
      <c r="S51" s="242"/>
      <c r="T51" s="242"/>
      <c r="U51" s="242"/>
      <c r="V51" s="242"/>
      <c r="W51" s="242"/>
      <c r="X51" s="242"/>
      <c r="Y51" s="242"/>
      <c r="Z51" s="242"/>
    </row>
    <row r="52" spans="1:26" s="2" customFormat="1" ht="18" customHeight="1">
      <c r="A52" s="250"/>
      <c r="B52" s="159" t="s">
        <v>233</v>
      </c>
      <c r="C52" s="418" t="s">
        <v>235</v>
      </c>
      <c r="D52" s="419"/>
      <c r="E52" s="159" t="s">
        <v>313</v>
      </c>
      <c r="F52" s="159" t="s">
        <v>314</v>
      </c>
      <c r="G52" s="159" t="s">
        <v>304</v>
      </c>
      <c r="H52" s="159" t="s">
        <v>310</v>
      </c>
      <c r="I52" s="242"/>
      <c r="J52" s="242"/>
      <c r="K52" s="242"/>
      <c r="L52" s="242"/>
      <c r="M52" s="242"/>
      <c r="N52" s="242"/>
      <c r="O52" s="242"/>
      <c r="P52" s="242"/>
      <c r="Q52" s="242"/>
      <c r="R52" s="242"/>
      <c r="S52" s="242"/>
      <c r="T52" s="242"/>
      <c r="U52" s="242"/>
      <c r="V52" s="242"/>
      <c r="W52" s="242"/>
      <c r="X52" s="242"/>
      <c r="Y52" s="242"/>
      <c r="Z52" s="242"/>
    </row>
    <row r="53" spans="1:26" s="2" customFormat="1" ht="18" customHeight="1">
      <c r="A53" s="250"/>
      <c r="B53" s="159" t="s">
        <v>233</v>
      </c>
      <c r="C53" s="418" t="s">
        <v>236</v>
      </c>
      <c r="D53" s="419"/>
      <c r="E53" s="159" t="s">
        <v>313</v>
      </c>
      <c r="F53" s="159" t="s">
        <v>314</v>
      </c>
      <c r="G53" s="159" t="s">
        <v>304</v>
      </c>
      <c r="H53" s="159" t="s">
        <v>310</v>
      </c>
      <c r="I53" s="242"/>
      <c r="J53" s="242"/>
      <c r="K53" s="242"/>
      <c r="L53" s="242"/>
      <c r="M53" s="242"/>
      <c r="N53" s="242"/>
      <c r="O53" s="242"/>
      <c r="P53" s="242"/>
      <c r="Q53" s="242"/>
      <c r="R53" s="242"/>
      <c r="S53" s="242"/>
      <c r="T53" s="242"/>
      <c r="U53" s="242"/>
      <c r="V53" s="242"/>
      <c r="W53" s="242"/>
      <c r="X53" s="242"/>
      <c r="Y53" s="242"/>
      <c r="Z53" s="242"/>
    </row>
    <row r="54" spans="1:26" s="2" customFormat="1" ht="18" customHeight="1">
      <c r="A54" s="250"/>
      <c r="B54" s="159" t="s">
        <v>233</v>
      </c>
      <c r="C54" s="418" t="s">
        <v>237</v>
      </c>
      <c r="D54" s="419"/>
      <c r="E54" s="159" t="s">
        <v>313</v>
      </c>
      <c r="F54" s="159" t="s">
        <v>314</v>
      </c>
      <c r="G54" s="159" t="s">
        <v>304</v>
      </c>
      <c r="H54" s="159" t="s">
        <v>310</v>
      </c>
      <c r="I54" s="242"/>
      <c r="J54" s="242"/>
      <c r="K54" s="242"/>
      <c r="L54" s="242"/>
      <c r="M54" s="242"/>
      <c r="N54" s="242"/>
      <c r="O54" s="242"/>
      <c r="P54" s="242"/>
      <c r="Q54" s="242"/>
      <c r="R54" s="242"/>
      <c r="S54" s="242"/>
      <c r="T54" s="242"/>
      <c r="U54" s="242"/>
      <c r="V54" s="242"/>
      <c r="W54" s="242"/>
      <c r="X54" s="242"/>
      <c r="Y54" s="242"/>
      <c r="Z54" s="242"/>
    </row>
    <row r="55" spans="1:26" s="2" customFormat="1" ht="18" customHeight="1">
      <c r="A55" s="250"/>
      <c r="B55" s="159" t="s">
        <v>233</v>
      </c>
      <c r="C55" s="228" t="s">
        <v>238</v>
      </c>
      <c r="D55" s="229"/>
      <c r="E55" s="159" t="s">
        <v>312</v>
      </c>
      <c r="F55" s="159" t="s">
        <v>312</v>
      </c>
      <c r="G55" s="159" t="s">
        <v>301</v>
      </c>
      <c r="H55" s="159" t="s">
        <v>307</v>
      </c>
      <c r="I55" s="242"/>
      <c r="J55" s="242"/>
      <c r="K55" s="242"/>
      <c r="L55" s="242"/>
      <c r="M55" s="242"/>
      <c r="N55" s="242"/>
      <c r="O55" s="242"/>
      <c r="P55" s="242"/>
      <c r="Q55" s="242"/>
      <c r="R55" s="242"/>
      <c r="S55" s="242"/>
      <c r="T55" s="242"/>
      <c r="U55" s="242"/>
      <c r="V55" s="242"/>
      <c r="W55" s="242"/>
      <c r="X55" s="242"/>
      <c r="Y55" s="242"/>
      <c r="Z55" s="242"/>
    </row>
    <row r="56" spans="1:26" s="2" customFormat="1" ht="18" customHeight="1">
      <c r="A56" s="250"/>
      <c r="B56" s="159" t="s">
        <v>233</v>
      </c>
      <c r="C56" s="418" t="s">
        <v>239</v>
      </c>
      <c r="D56" s="419"/>
      <c r="E56" s="159" t="s">
        <v>312</v>
      </c>
      <c r="F56" s="159" t="s">
        <v>312</v>
      </c>
      <c r="G56" s="159" t="s">
        <v>345</v>
      </c>
      <c r="H56" s="159" t="s">
        <v>345</v>
      </c>
      <c r="I56" s="242"/>
      <c r="J56" s="242"/>
      <c r="K56" s="242"/>
      <c r="L56" s="242"/>
      <c r="M56" s="242"/>
      <c r="N56" s="242"/>
      <c r="O56" s="242"/>
      <c r="P56" s="242"/>
      <c r="Q56" s="242"/>
      <c r="R56" s="242"/>
      <c r="S56" s="242"/>
      <c r="T56" s="242"/>
      <c r="U56" s="242"/>
      <c r="V56" s="242"/>
      <c r="W56" s="242"/>
      <c r="X56" s="242"/>
      <c r="Y56" s="242"/>
      <c r="Z56" s="242"/>
    </row>
    <row r="57" spans="1:26" s="2" customFormat="1" ht="18" customHeight="1">
      <c r="A57" s="250"/>
      <c r="B57" s="159" t="s">
        <v>233</v>
      </c>
      <c r="C57" s="418" t="s">
        <v>186</v>
      </c>
      <c r="D57" s="419"/>
      <c r="E57" s="159" t="s">
        <v>311</v>
      </c>
      <c r="F57" s="159" t="s">
        <v>311</v>
      </c>
      <c r="G57" s="159" t="s">
        <v>311</v>
      </c>
      <c r="H57" s="159" t="s">
        <v>311</v>
      </c>
      <c r="I57" s="242"/>
      <c r="J57" s="242"/>
      <c r="K57" s="242"/>
      <c r="L57" s="242"/>
      <c r="M57" s="242"/>
      <c r="N57" s="242"/>
      <c r="O57" s="242"/>
      <c r="P57" s="242"/>
      <c r="Q57" s="242"/>
      <c r="R57" s="242"/>
      <c r="S57" s="242"/>
      <c r="T57" s="242"/>
      <c r="U57" s="242"/>
      <c r="V57" s="242"/>
      <c r="W57" s="242"/>
      <c r="X57" s="242"/>
      <c r="Y57" s="242"/>
      <c r="Z57" s="242"/>
    </row>
    <row r="58" spans="1:26" s="2" customFormat="1" ht="18" customHeight="1">
      <c r="A58" s="250"/>
      <c r="B58" s="184" t="s">
        <v>240</v>
      </c>
      <c r="C58" s="416" t="s">
        <v>241</v>
      </c>
      <c r="D58" s="417"/>
      <c r="E58" s="184" t="s">
        <v>4</v>
      </c>
      <c r="F58" s="184" t="s">
        <v>4</v>
      </c>
      <c r="G58" s="184" t="s">
        <v>4</v>
      </c>
      <c r="H58" s="184" t="s">
        <v>4</v>
      </c>
      <c r="I58" s="242"/>
      <c r="J58" s="242"/>
      <c r="K58" s="242"/>
      <c r="L58" s="242"/>
      <c r="M58" s="242"/>
      <c r="N58" s="242"/>
      <c r="O58" s="242"/>
      <c r="P58" s="242"/>
      <c r="Q58" s="242"/>
      <c r="R58" s="242"/>
      <c r="S58" s="242"/>
      <c r="T58" s="242"/>
      <c r="U58" s="242"/>
      <c r="V58" s="242"/>
      <c r="W58" s="242"/>
      <c r="X58" s="242"/>
      <c r="Y58" s="242"/>
      <c r="Z58" s="242"/>
    </row>
    <row r="59" spans="1:26" s="2" customFormat="1" ht="18" customHeight="1">
      <c r="A59" s="250"/>
      <c r="B59" s="159" t="s">
        <v>185</v>
      </c>
      <c r="C59" s="418" t="s">
        <v>242</v>
      </c>
      <c r="D59" s="419"/>
      <c r="E59" s="159" t="s">
        <v>4</v>
      </c>
      <c r="F59" s="159" t="s">
        <v>4</v>
      </c>
      <c r="G59" s="159" t="s">
        <v>4</v>
      </c>
      <c r="H59" s="159" t="s">
        <v>4</v>
      </c>
      <c r="I59" s="242"/>
      <c r="J59" s="242"/>
      <c r="K59" s="242"/>
      <c r="L59" s="242"/>
      <c r="M59" s="242"/>
      <c r="N59" s="242"/>
      <c r="O59" s="242"/>
      <c r="P59" s="242"/>
      <c r="Q59" s="242"/>
      <c r="R59" s="242"/>
      <c r="S59" s="242"/>
      <c r="T59" s="242"/>
      <c r="U59" s="242"/>
      <c r="V59" s="242"/>
      <c r="W59" s="242"/>
      <c r="X59" s="242"/>
      <c r="Y59" s="242"/>
      <c r="Z59" s="242"/>
    </row>
    <row r="60" spans="1:26" s="2" customFormat="1" ht="18" customHeight="1">
      <c r="A60" s="250"/>
      <c r="B60" s="159" t="s">
        <v>185</v>
      </c>
      <c r="C60" s="418" t="s">
        <v>343</v>
      </c>
      <c r="D60" s="419"/>
      <c r="E60" s="159" t="s">
        <v>4</v>
      </c>
      <c r="F60" s="159" t="s">
        <v>4</v>
      </c>
      <c r="G60" s="159" t="s">
        <v>4</v>
      </c>
      <c r="H60" s="159" t="s">
        <v>4</v>
      </c>
      <c r="I60" s="242"/>
      <c r="J60" s="242"/>
      <c r="K60" s="242"/>
      <c r="L60" s="242"/>
      <c r="M60" s="242"/>
      <c r="N60" s="242"/>
      <c r="O60" s="242"/>
      <c r="P60" s="242"/>
      <c r="Q60" s="242"/>
      <c r="R60" s="242"/>
      <c r="S60" s="242"/>
      <c r="T60" s="242"/>
      <c r="U60" s="242"/>
      <c r="V60" s="242"/>
      <c r="W60" s="242"/>
      <c r="X60" s="242"/>
      <c r="Y60" s="242"/>
      <c r="Z60" s="242"/>
    </row>
    <row r="61" spans="1:26" s="2" customFormat="1" ht="18" customHeight="1">
      <c r="A61" s="250"/>
      <c r="B61" s="159" t="s">
        <v>185</v>
      </c>
      <c r="C61" s="418" t="s">
        <v>243</v>
      </c>
      <c r="D61" s="419"/>
      <c r="E61" s="159" t="s">
        <v>4</v>
      </c>
      <c r="F61" s="159" t="s">
        <v>4</v>
      </c>
      <c r="G61" s="159" t="s">
        <v>4</v>
      </c>
      <c r="H61" s="159" t="s">
        <v>4</v>
      </c>
      <c r="I61" s="242"/>
      <c r="J61" s="242"/>
      <c r="K61" s="242"/>
      <c r="L61" s="242"/>
      <c r="M61" s="242"/>
      <c r="N61" s="242"/>
      <c r="O61" s="242"/>
      <c r="P61" s="242"/>
      <c r="Q61" s="242"/>
      <c r="R61" s="242"/>
      <c r="S61" s="242"/>
      <c r="T61" s="242"/>
      <c r="U61" s="242"/>
      <c r="V61" s="242"/>
      <c r="W61" s="242"/>
      <c r="X61" s="242"/>
      <c r="Y61" s="242"/>
      <c r="Z61" s="242"/>
    </row>
    <row r="62" spans="1:26" s="2" customFormat="1" ht="18" customHeight="1">
      <c r="A62" s="250"/>
      <c r="B62" s="159" t="s">
        <v>185</v>
      </c>
      <c r="C62" s="418" t="s">
        <v>244</v>
      </c>
      <c r="D62" s="419"/>
      <c r="E62" s="159" t="s">
        <v>4</v>
      </c>
      <c r="F62" s="159" t="s">
        <v>4</v>
      </c>
      <c r="G62" s="159" t="s">
        <v>4</v>
      </c>
      <c r="H62" s="159" t="s">
        <v>4</v>
      </c>
      <c r="I62" s="242"/>
      <c r="J62" s="242"/>
      <c r="K62" s="242"/>
      <c r="L62" s="242"/>
      <c r="M62" s="242"/>
      <c r="N62" s="242"/>
      <c r="O62" s="242"/>
      <c r="P62" s="242"/>
      <c r="Q62" s="242"/>
      <c r="R62" s="242"/>
      <c r="S62" s="242"/>
      <c r="T62" s="242"/>
      <c r="U62" s="242"/>
      <c r="V62" s="242"/>
      <c r="W62" s="242"/>
      <c r="X62" s="242"/>
      <c r="Y62" s="242"/>
      <c r="Z62" s="242"/>
    </row>
    <row r="63" spans="1:26" s="2" customFormat="1" ht="18" customHeight="1">
      <c r="A63" s="250"/>
      <c r="B63" s="159" t="s">
        <v>185</v>
      </c>
      <c r="C63" s="418" t="s">
        <v>344</v>
      </c>
      <c r="D63" s="419"/>
      <c r="E63" s="159" t="s">
        <v>4</v>
      </c>
      <c r="F63" s="159" t="s">
        <v>4</v>
      </c>
      <c r="G63" s="159" t="s">
        <v>4</v>
      </c>
      <c r="H63" s="159" t="s">
        <v>4</v>
      </c>
      <c r="I63" s="242"/>
      <c r="J63" s="242"/>
      <c r="K63" s="242"/>
      <c r="L63" s="242"/>
      <c r="M63" s="242"/>
      <c r="N63" s="242"/>
      <c r="O63" s="242"/>
      <c r="P63" s="242"/>
      <c r="Q63" s="242"/>
      <c r="R63" s="242"/>
      <c r="S63" s="242"/>
      <c r="T63" s="242"/>
      <c r="U63" s="242"/>
      <c r="V63" s="242"/>
      <c r="W63" s="242"/>
      <c r="X63" s="242"/>
      <c r="Y63" s="242"/>
      <c r="Z63" s="242"/>
    </row>
    <row r="64" spans="1:26" s="2" customFormat="1" ht="18" customHeight="1">
      <c r="A64" s="250"/>
      <c r="B64" s="159" t="s">
        <v>185</v>
      </c>
      <c r="C64" s="418" t="s">
        <v>245</v>
      </c>
      <c r="D64" s="419"/>
      <c r="E64" s="159" t="s">
        <v>4</v>
      </c>
      <c r="F64" s="159" t="s">
        <v>4</v>
      </c>
      <c r="G64" s="159" t="s">
        <v>4</v>
      </c>
      <c r="H64" s="159" t="s">
        <v>4</v>
      </c>
      <c r="I64" s="242"/>
      <c r="J64" s="242"/>
      <c r="K64" s="242"/>
      <c r="L64" s="242"/>
      <c r="M64" s="242"/>
      <c r="N64" s="242"/>
      <c r="O64" s="242"/>
      <c r="P64" s="242"/>
      <c r="Q64" s="242"/>
      <c r="R64" s="242"/>
      <c r="S64" s="242"/>
      <c r="T64" s="242"/>
      <c r="U64" s="242"/>
      <c r="V64" s="242"/>
      <c r="W64" s="242"/>
      <c r="X64" s="242"/>
      <c r="Y64" s="242"/>
      <c r="Z64" s="242"/>
    </row>
    <row r="65" spans="1:26" s="2" customFormat="1" ht="18" customHeight="1">
      <c r="A65" s="250"/>
      <c r="B65" s="159" t="s">
        <v>185</v>
      </c>
      <c r="C65" s="418" t="s">
        <v>246</v>
      </c>
      <c r="D65" s="419"/>
      <c r="E65" s="159" t="s">
        <v>4</v>
      </c>
      <c r="F65" s="159" t="s">
        <v>4</v>
      </c>
      <c r="G65" s="159" t="s">
        <v>4</v>
      </c>
      <c r="H65" s="159" t="s">
        <v>4</v>
      </c>
      <c r="I65" s="242"/>
      <c r="J65" s="242"/>
      <c r="K65" s="242"/>
      <c r="L65" s="242"/>
      <c r="M65" s="242"/>
      <c r="N65" s="242"/>
      <c r="O65" s="242"/>
      <c r="P65" s="242"/>
      <c r="Q65" s="242"/>
      <c r="R65" s="242"/>
      <c r="S65" s="242"/>
      <c r="T65" s="242"/>
      <c r="U65" s="242"/>
      <c r="V65" s="242"/>
      <c r="W65" s="242"/>
      <c r="X65" s="242"/>
      <c r="Y65" s="242"/>
      <c r="Z65" s="242"/>
    </row>
    <row r="66" spans="1:26" s="2" customFormat="1" ht="18" customHeight="1">
      <c r="A66" s="250"/>
      <c r="B66" s="159" t="s">
        <v>185</v>
      </c>
      <c r="C66" s="418" t="s">
        <v>247</v>
      </c>
      <c r="D66" s="419"/>
      <c r="E66" s="159" t="s">
        <v>4</v>
      </c>
      <c r="F66" s="159" t="s">
        <v>4</v>
      </c>
      <c r="G66" s="159" t="s">
        <v>4</v>
      </c>
      <c r="H66" s="159" t="s">
        <v>4</v>
      </c>
      <c r="I66" s="242"/>
      <c r="J66" s="242"/>
      <c r="K66" s="242"/>
      <c r="L66" s="242"/>
      <c r="M66" s="242"/>
      <c r="N66" s="242"/>
      <c r="O66" s="242"/>
      <c r="P66" s="242"/>
      <c r="Q66" s="242"/>
      <c r="R66" s="242"/>
      <c r="S66" s="242"/>
      <c r="T66" s="242"/>
      <c r="U66" s="242"/>
      <c r="V66" s="242"/>
      <c r="W66" s="242"/>
      <c r="X66" s="242"/>
      <c r="Y66" s="242"/>
      <c r="Z66" s="242"/>
    </row>
    <row r="67" spans="1:26" s="2" customFormat="1" ht="18" customHeight="1">
      <c r="A67" s="250"/>
      <c r="B67" s="159" t="s">
        <v>185</v>
      </c>
      <c r="C67" s="418" t="s">
        <v>186</v>
      </c>
      <c r="D67" s="419"/>
      <c r="E67" s="159" t="s">
        <v>4</v>
      </c>
      <c r="F67" s="159" t="s">
        <v>4</v>
      </c>
      <c r="G67" s="159" t="s">
        <v>4</v>
      </c>
      <c r="H67" s="159" t="s">
        <v>4</v>
      </c>
      <c r="I67" s="150"/>
      <c r="J67" s="150"/>
      <c r="K67" s="150"/>
      <c r="L67" s="150"/>
      <c r="M67" s="242"/>
      <c r="N67" s="242"/>
      <c r="O67" s="242"/>
      <c r="P67" s="242"/>
      <c r="Q67" s="242"/>
      <c r="R67" s="242"/>
      <c r="S67" s="242"/>
      <c r="T67" s="242"/>
      <c r="U67" s="242"/>
      <c r="V67" s="242"/>
      <c r="W67" s="242"/>
      <c r="X67" s="242"/>
      <c r="Y67" s="242"/>
      <c r="Z67" s="242"/>
    </row>
    <row r="68" spans="1:26" s="2" customFormat="1" ht="18" customHeight="1">
      <c r="A68" s="250"/>
      <c r="B68" s="184" t="s">
        <v>350</v>
      </c>
      <c r="C68" s="416" t="s">
        <v>351</v>
      </c>
      <c r="D68" s="417"/>
      <c r="E68" s="184" t="s">
        <v>352</v>
      </c>
      <c r="F68" s="184" t="s">
        <v>353</v>
      </c>
      <c r="G68" s="184" t="s">
        <v>354</v>
      </c>
      <c r="H68" s="184" t="s">
        <v>355</v>
      </c>
      <c r="I68" s="242"/>
      <c r="J68" s="242"/>
      <c r="K68" s="242"/>
      <c r="L68" s="242"/>
      <c r="M68" s="242"/>
      <c r="N68" s="242"/>
      <c r="O68" s="242"/>
      <c r="P68" s="242"/>
      <c r="Q68" s="242"/>
      <c r="R68" s="242"/>
      <c r="S68" s="242"/>
      <c r="T68" s="242"/>
      <c r="U68" s="242"/>
      <c r="V68" s="242"/>
      <c r="W68" s="242"/>
      <c r="X68" s="242"/>
      <c r="Y68" s="242"/>
      <c r="Z68" s="242"/>
    </row>
    <row r="69" spans="1:26" s="2" customFormat="1" ht="18" customHeight="1">
      <c r="A69" s="250"/>
      <c r="B69" s="159" t="s">
        <v>186</v>
      </c>
      <c r="C69" s="418" t="s">
        <v>356</v>
      </c>
      <c r="D69" s="419"/>
      <c r="E69" s="159" t="s">
        <v>312</v>
      </c>
      <c r="F69" s="159" t="s">
        <v>312</v>
      </c>
      <c r="G69" s="159" t="s">
        <v>301</v>
      </c>
      <c r="H69" s="159" t="s">
        <v>307</v>
      </c>
      <c r="I69" s="242"/>
      <c r="J69" s="242"/>
      <c r="K69" s="242"/>
      <c r="L69" s="242"/>
      <c r="M69" s="242"/>
      <c r="N69" s="242"/>
      <c r="O69" s="242"/>
      <c r="P69" s="242"/>
      <c r="Q69" s="242"/>
      <c r="R69" s="242"/>
      <c r="S69" s="242"/>
      <c r="T69" s="242"/>
      <c r="U69" s="242"/>
      <c r="V69" s="242"/>
      <c r="W69" s="242"/>
      <c r="X69" s="242"/>
      <c r="Y69" s="242"/>
      <c r="Z69" s="242"/>
    </row>
    <row r="70" spans="1:26" s="2" customFormat="1" ht="18" customHeight="1">
      <c r="A70" s="250"/>
      <c r="B70" s="159" t="s">
        <v>186</v>
      </c>
      <c r="C70" s="418" t="s">
        <v>356</v>
      </c>
      <c r="D70" s="419"/>
      <c r="E70" s="159" t="s">
        <v>339</v>
      </c>
      <c r="F70" s="159" t="s">
        <v>339</v>
      </c>
      <c r="G70" s="159" t="s">
        <v>317</v>
      </c>
      <c r="H70" s="159" t="s">
        <v>316</v>
      </c>
      <c r="I70" s="242"/>
      <c r="J70" s="242"/>
      <c r="K70" s="242"/>
      <c r="L70" s="242"/>
      <c r="M70" s="242"/>
      <c r="N70" s="242"/>
      <c r="O70" s="242"/>
      <c r="P70" s="242"/>
      <c r="Q70" s="242"/>
      <c r="R70" s="242"/>
      <c r="S70" s="242"/>
      <c r="T70" s="242"/>
      <c r="U70" s="242"/>
      <c r="V70" s="242"/>
      <c r="W70" s="242"/>
      <c r="X70" s="242"/>
      <c r="Y70" s="242"/>
      <c r="Z70" s="242"/>
    </row>
    <row r="71" spans="1:26" s="2" customFormat="1" ht="18" customHeight="1">
      <c r="A71" s="250"/>
      <c r="B71" s="159" t="s">
        <v>186</v>
      </c>
      <c r="C71" s="418" t="s">
        <v>356</v>
      </c>
      <c r="D71" s="419"/>
      <c r="E71" s="159" t="s">
        <v>340</v>
      </c>
      <c r="F71" s="159" t="s">
        <v>340</v>
      </c>
      <c r="G71" s="159" t="s">
        <v>300</v>
      </c>
      <c r="H71" s="159" t="s">
        <v>306</v>
      </c>
      <c r="I71" s="242"/>
      <c r="J71" s="242"/>
      <c r="K71" s="242"/>
      <c r="L71" s="242"/>
      <c r="M71" s="242"/>
      <c r="N71" s="242"/>
      <c r="O71" s="242"/>
      <c r="P71" s="242"/>
      <c r="Q71" s="242"/>
      <c r="R71" s="242"/>
      <c r="S71" s="242"/>
      <c r="T71" s="242"/>
      <c r="U71" s="242"/>
      <c r="V71" s="242"/>
      <c r="W71" s="242"/>
      <c r="X71" s="242"/>
      <c r="Y71" s="242"/>
      <c r="Z71" s="242"/>
    </row>
    <row r="72" spans="1:26" s="2" customFormat="1" ht="18" customHeight="1">
      <c r="A72" s="250"/>
      <c r="B72" s="159" t="s">
        <v>186</v>
      </c>
      <c r="C72" s="418" t="s">
        <v>356</v>
      </c>
      <c r="D72" s="419"/>
      <c r="E72" s="159" t="s">
        <v>357</v>
      </c>
      <c r="F72" s="159" t="s">
        <v>357</v>
      </c>
      <c r="G72" s="159" t="s">
        <v>358</v>
      </c>
      <c r="H72" s="159" t="s">
        <v>359</v>
      </c>
      <c r="I72" s="242"/>
      <c r="J72" s="242"/>
      <c r="K72" s="242"/>
      <c r="L72" s="242"/>
      <c r="M72" s="242"/>
      <c r="N72" s="242"/>
      <c r="O72" s="242"/>
      <c r="P72" s="242"/>
      <c r="Q72" s="242"/>
      <c r="R72" s="242"/>
      <c r="S72" s="242"/>
      <c r="T72" s="242"/>
      <c r="U72" s="242"/>
      <c r="V72" s="242"/>
      <c r="W72" s="242"/>
      <c r="X72" s="242"/>
      <c r="Y72" s="242"/>
      <c r="Z72" s="242"/>
    </row>
    <row r="73" spans="1:26" s="2" customFormat="1" ht="18" customHeight="1">
      <c r="A73" s="250"/>
      <c r="B73" s="159" t="s">
        <v>186</v>
      </c>
      <c r="C73" s="418" t="s">
        <v>356</v>
      </c>
      <c r="D73" s="419"/>
      <c r="E73" s="159" t="s">
        <v>362</v>
      </c>
      <c r="F73" s="159" t="s">
        <v>362</v>
      </c>
      <c r="G73" s="159" t="s">
        <v>362</v>
      </c>
      <c r="H73" s="159" t="s">
        <v>362</v>
      </c>
      <c r="I73" s="242"/>
      <c r="J73" s="242"/>
      <c r="K73" s="242"/>
      <c r="L73" s="242"/>
      <c r="M73" s="242"/>
      <c r="N73" s="242"/>
      <c r="O73" s="242"/>
      <c r="P73" s="242"/>
      <c r="Q73" s="242"/>
      <c r="R73" s="242"/>
      <c r="S73" s="242"/>
      <c r="T73" s="242"/>
      <c r="U73" s="242"/>
      <c r="V73" s="242"/>
      <c r="W73" s="242"/>
      <c r="X73" s="242"/>
      <c r="Y73" s="242"/>
      <c r="Z73" s="242"/>
    </row>
    <row r="74" spans="1:26" s="2" customFormat="1" ht="18" customHeight="1">
      <c r="A74" s="250"/>
      <c r="B74" s="145"/>
      <c r="C74" s="145"/>
      <c r="D74" s="145"/>
      <c r="E74" s="149"/>
      <c r="F74" s="145"/>
      <c r="G74" s="145"/>
      <c r="H74" s="150"/>
      <c r="I74" s="150"/>
      <c r="J74" s="150"/>
      <c r="K74" s="150"/>
      <c r="L74" s="150"/>
      <c r="M74" s="242"/>
      <c r="N74" s="242"/>
      <c r="O74" s="242"/>
      <c r="P74" s="242"/>
      <c r="Q74" s="242"/>
      <c r="R74" s="242"/>
      <c r="S74" s="242"/>
      <c r="T74" s="242"/>
      <c r="U74" s="242"/>
      <c r="V74" s="242"/>
      <c r="W74" s="242"/>
      <c r="X74" s="242"/>
      <c r="Y74" s="242"/>
      <c r="Z74" s="242"/>
    </row>
    <row r="75" spans="1:26" s="2" customFormat="1" ht="18" customHeight="1">
      <c r="A75" s="250"/>
      <c r="B75" s="242"/>
      <c r="C75" s="242"/>
      <c r="D75" s="242"/>
      <c r="E75" s="149"/>
      <c r="F75" s="145"/>
      <c r="G75" s="145"/>
      <c r="H75" s="150"/>
      <c r="I75" s="150"/>
      <c r="J75" s="150"/>
      <c r="K75" s="150"/>
      <c r="L75" s="150"/>
      <c r="M75" s="242"/>
      <c r="N75" s="242"/>
      <c r="O75" s="242"/>
      <c r="P75" s="242"/>
      <c r="Q75" s="242"/>
      <c r="R75" s="242"/>
      <c r="S75" s="242"/>
      <c r="T75" s="242"/>
      <c r="U75" s="242"/>
      <c r="V75" s="242"/>
      <c r="W75" s="242"/>
      <c r="X75" s="242"/>
      <c r="Y75" s="242"/>
      <c r="Z75" s="242"/>
    </row>
    <row r="76" spans="1:26" s="2" customFormat="1" ht="18" customHeight="1">
      <c r="A76" s="250"/>
      <c r="B76" s="142" t="s">
        <v>248</v>
      </c>
      <c r="C76" s="156"/>
      <c r="D76" s="156"/>
      <c r="E76" s="156"/>
      <c r="F76" s="156"/>
      <c r="G76" s="158"/>
      <c r="H76" s="150"/>
      <c r="I76" s="150"/>
      <c r="J76" s="150"/>
      <c r="K76" s="150"/>
      <c r="L76" s="150"/>
      <c r="M76" s="242"/>
      <c r="N76" s="242"/>
      <c r="O76" s="242"/>
      <c r="P76" s="242"/>
      <c r="Q76" s="242"/>
      <c r="R76" s="242"/>
      <c r="S76" s="242"/>
      <c r="T76" s="242"/>
      <c r="U76" s="242"/>
      <c r="V76" s="242"/>
      <c r="W76" s="242"/>
      <c r="X76" s="242"/>
      <c r="Y76" s="242"/>
      <c r="Z76" s="242"/>
    </row>
    <row r="77" spans="1:26" s="2" customFormat="1" ht="18" customHeight="1">
      <c r="A77" s="250"/>
      <c r="B77" s="145"/>
      <c r="C77" s="145"/>
      <c r="D77" s="145"/>
      <c r="E77" s="149"/>
      <c r="F77" s="145"/>
      <c r="G77" s="150"/>
      <c r="H77" s="150"/>
      <c r="I77" s="150"/>
      <c r="J77" s="150"/>
      <c r="K77" s="150"/>
      <c r="L77" s="150"/>
      <c r="M77" s="242"/>
      <c r="N77" s="242"/>
      <c r="O77" s="242"/>
      <c r="P77" s="242"/>
      <c r="Q77" s="242"/>
      <c r="R77" s="242"/>
      <c r="S77" s="242"/>
      <c r="T77" s="242"/>
      <c r="U77" s="242"/>
      <c r="V77" s="242"/>
      <c r="W77" s="242"/>
      <c r="X77" s="242"/>
      <c r="Y77" s="242"/>
      <c r="Z77" s="242"/>
    </row>
    <row r="78" spans="1:26" s="2" customFormat="1" ht="18" customHeight="1">
      <c r="A78" s="250"/>
      <c r="B78" s="152" t="s">
        <v>249</v>
      </c>
      <c r="C78" s="153"/>
      <c r="D78" s="154" t="s">
        <v>250</v>
      </c>
      <c r="E78" s="145"/>
      <c r="F78" s="145"/>
      <c r="G78" s="150"/>
      <c r="H78" s="150"/>
      <c r="I78" s="150"/>
      <c r="J78" s="150"/>
      <c r="K78" s="150"/>
      <c r="L78" s="150"/>
      <c r="M78" s="242"/>
      <c r="N78" s="242"/>
      <c r="O78" s="242"/>
      <c r="P78" s="242"/>
      <c r="Q78" s="242"/>
      <c r="R78" s="242"/>
      <c r="S78" s="242"/>
      <c r="T78" s="242"/>
      <c r="U78" s="242"/>
      <c r="V78" s="242"/>
      <c r="W78" s="242"/>
      <c r="X78" s="242"/>
      <c r="Y78" s="242"/>
      <c r="Z78" s="242"/>
    </row>
    <row r="79" spans="1:26" s="2" customFormat="1" ht="18" customHeight="1">
      <c r="A79" s="250"/>
      <c r="B79" s="160" t="s">
        <v>251</v>
      </c>
      <c r="C79" s="161"/>
      <c r="D79" s="162" t="s">
        <v>192</v>
      </c>
      <c r="E79" s="145"/>
      <c r="F79" s="145"/>
      <c r="G79" s="150"/>
      <c r="H79" s="150"/>
      <c r="I79" s="150"/>
      <c r="J79" s="150"/>
      <c r="K79" s="150"/>
      <c r="L79" s="150"/>
      <c r="M79" s="242"/>
      <c r="N79" s="242"/>
      <c r="O79" s="242"/>
      <c r="P79" s="242"/>
      <c r="Q79" s="242"/>
      <c r="R79" s="242"/>
      <c r="S79" s="242"/>
      <c r="T79" s="242"/>
      <c r="U79" s="242"/>
      <c r="V79" s="242"/>
      <c r="W79" s="242"/>
      <c r="X79" s="242"/>
      <c r="Y79" s="242"/>
      <c r="Z79" s="242"/>
    </row>
    <row r="80" spans="1:26" s="2" customFormat="1" ht="18" customHeight="1">
      <c r="A80" s="250"/>
      <c r="B80" s="160" t="s">
        <v>252</v>
      </c>
      <c r="C80" s="161"/>
      <c r="D80" s="162" t="s">
        <v>148</v>
      </c>
      <c r="E80" s="145"/>
      <c r="F80" s="145"/>
      <c r="G80" s="150"/>
      <c r="H80" s="150"/>
      <c r="I80" s="150"/>
      <c r="J80" s="150"/>
      <c r="K80" s="150"/>
      <c r="L80" s="242"/>
      <c r="M80" s="242"/>
      <c r="N80" s="242"/>
      <c r="O80" s="242"/>
      <c r="P80" s="242"/>
      <c r="Q80" s="242"/>
      <c r="R80" s="242"/>
      <c r="S80" s="242"/>
      <c r="T80" s="242"/>
      <c r="U80" s="242"/>
      <c r="V80" s="242"/>
      <c r="W80" s="242"/>
      <c r="X80" s="242"/>
      <c r="Y80" s="242"/>
      <c r="Z80" s="242"/>
    </row>
    <row r="81" spans="1:26" s="2" customFormat="1" ht="18" customHeight="1">
      <c r="A81" s="250"/>
      <c r="B81" s="160" t="s">
        <v>253</v>
      </c>
      <c r="C81" s="161"/>
      <c r="D81" s="162" t="s">
        <v>193</v>
      </c>
      <c r="E81" s="145"/>
      <c r="F81" s="145"/>
      <c r="G81" s="150"/>
      <c r="H81" s="150"/>
      <c r="I81" s="150"/>
      <c r="J81" s="150"/>
      <c r="K81" s="150"/>
      <c r="L81" s="242"/>
      <c r="M81" s="242"/>
      <c r="N81" s="242"/>
      <c r="O81" s="242"/>
      <c r="P81" s="242"/>
      <c r="Q81" s="242"/>
      <c r="R81" s="242"/>
      <c r="S81" s="242"/>
      <c r="T81" s="242"/>
      <c r="U81" s="242"/>
      <c r="V81" s="242"/>
      <c r="W81" s="242"/>
      <c r="X81" s="242"/>
      <c r="Y81" s="242"/>
      <c r="Z81" s="242"/>
    </row>
    <row r="82" spans="1:26" s="2" customFormat="1" ht="18" customHeight="1">
      <c r="A82" s="250"/>
      <c r="B82" s="145"/>
      <c r="C82" s="145"/>
      <c r="D82" s="149"/>
      <c r="E82" s="145"/>
      <c r="F82" s="145"/>
      <c r="G82" s="150"/>
      <c r="H82" s="251"/>
      <c r="I82" s="251"/>
      <c r="J82" s="251"/>
      <c r="K82" s="242"/>
      <c r="L82" s="242"/>
      <c r="M82" s="242"/>
      <c r="N82" s="242"/>
      <c r="O82" s="242"/>
      <c r="P82" s="242"/>
      <c r="Q82" s="242"/>
      <c r="R82" s="242"/>
      <c r="S82" s="242"/>
      <c r="T82" s="242"/>
      <c r="U82" s="242"/>
      <c r="V82" s="242"/>
      <c r="W82" s="242"/>
      <c r="X82" s="242"/>
      <c r="Y82" s="242"/>
      <c r="Z82" s="242"/>
    </row>
    <row r="83" spans="1:26" s="2" customFormat="1" ht="18" customHeight="1">
      <c r="A83" s="250"/>
      <c r="B83" s="152" t="s">
        <v>251</v>
      </c>
      <c r="C83" s="153"/>
      <c r="D83" s="154" t="s">
        <v>192</v>
      </c>
      <c r="E83" s="145"/>
      <c r="F83" s="145"/>
      <c r="G83" s="150"/>
      <c r="H83" s="150"/>
      <c r="I83" s="150"/>
      <c r="J83" s="150"/>
      <c r="K83" s="150"/>
      <c r="L83" s="242"/>
      <c r="M83" s="242"/>
      <c r="N83" s="242"/>
      <c r="O83" s="242"/>
      <c r="P83" s="242"/>
      <c r="Q83" s="242"/>
      <c r="R83" s="242"/>
      <c r="S83" s="242"/>
      <c r="T83" s="242"/>
      <c r="U83" s="242"/>
      <c r="V83" s="242"/>
      <c r="W83" s="242"/>
      <c r="X83" s="242"/>
      <c r="Y83" s="242"/>
      <c r="Z83" s="242"/>
    </row>
    <row r="84" spans="1:26" s="2" customFormat="1" ht="18" customHeight="1">
      <c r="A84" s="250"/>
      <c r="B84" s="155" t="s">
        <v>249</v>
      </c>
      <c r="C84" s="155" t="s">
        <v>254</v>
      </c>
      <c r="D84" s="155" t="s">
        <v>255</v>
      </c>
      <c r="E84" s="145"/>
      <c r="F84" s="145"/>
      <c r="G84" s="150"/>
      <c r="H84" s="150"/>
      <c r="I84" s="150"/>
      <c r="J84" s="150"/>
      <c r="K84" s="150"/>
      <c r="L84" s="242"/>
      <c r="M84" s="242"/>
      <c r="N84" s="242"/>
      <c r="O84" s="242"/>
      <c r="P84" s="242"/>
      <c r="Q84" s="242"/>
      <c r="R84" s="242"/>
      <c r="S84" s="242"/>
      <c r="T84" s="242"/>
      <c r="U84" s="242"/>
      <c r="V84" s="242"/>
      <c r="W84" s="242"/>
      <c r="X84" s="242"/>
      <c r="Y84" s="242"/>
      <c r="Z84" s="242"/>
    </row>
    <row r="85" spans="1:26" s="2" customFormat="1" ht="18" customHeight="1">
      <c r="A85" s="250"/>
      <c r="B85" s="163">
        <v>0.3</v>
      </c>
      <c r="C85" s="164">
        <v>1</v>
      </c>
      <c r="D85" s="164">
        <v>2</v>
      </c>
      <c r="E85" s="145"/>
      <c r="F85" s="145"/>
      <c r="G85" s="150"/>
      <c r="H85" s="150"/>
      <c r="I85" s="150"/>
      <c r="J85" s="150"/>
      <c r="K85" s="150"/>
      <c r="L85" s="242"/>
      <c r="M85" s="242"/>
      <c r="N85" s="242"/>
      <c r="O85" s="242"/>
      <c r="P85" s="242"/>
      <c r="Q85" s="242"/>
      <c r="R85" s="242"/>
      <c r="S85" s="242"/>
      <c r="T85" s="242"/>
      <c r="U85" s="242"/>
      <c r="V85" s="242"/>
      <c r="W85" s="242"/>
      <c r="X85" s="242"/>
      <c r="Y85" s="242"/>
      <c r="Z85" s="242"/>
    </row>
    <row r="86" spans="1:26" s="2" customFormat="1" ht="18" customHeight="1">
      <c r="A86" s="250"/>
      <c r="B86" s="163">
        <v>0.35</v>
      </c>
      <c r="C86" s="164">
        <v>2</v>
      </c>
      <c r="D86" s="164">
        <v>3</v>
      </c>
      <c r="E86" s="145"/>
      <c r="F86" s="145"/>
      <c r="G86" s="150"/>
      <c r="H86" s="150"/>
      <c r="I86" s="150"/>
      <c r="J86" s="150"/>
      <c r="K86" s="150"/>
      <c r="L86" s="242"/>
      <c r="M86" s="242"/>
      <c r="N86" s="242"/>
      <c r="O86" s="242"/>
      <c r="P86" s="242"/>
      <c r="Q86" s="242"/>
      <c r="R86" s="242"/>
      <c r="S86" s="242"/>
      <c r="T86" s="242"/>
      <c r="U86" s="242"/>
      <c r="V86" s="242"/>
      <c r="W86" s="242"/>
      <c r="X86" s="242"/>
      <c r="Y86" s="242"/>
      <c r="Z86" s="242"/>
    </row>
    <row r="87" spans="1:26" s="2" customFormat="1" ht="18" customHeight="1">
      <c r="A87" s="250"/>
      <c r="B87" s="163">
        <v>0.4</v>
      </c>
      <c r="C87" s="164">
        <v>3</v>
      </c>
      <c r="D87" s="164">
        <v>4</v>
      </c>
      <c r="E87" s="145"/>
      <c r="F87" s="145"/>
      <c r="G87" s="150"/>
      <c r="H87" s="150"/>
      <c r="I87" s="150"/>
      <c r="J87" s="150"/>
      <c r="K87" s="150"/>
      <c r="L87" s="242"/>
      <c r="M87" s="242"/>
      <c r="N87" s="242"/>
      <c r="O87" s="242"/>
      <c r="P87" s="242"/>
      <c r="Q87" s="242"/>
      <c r="R87" s="242"/>
      <c r="S87" s="242"/>
      <c r="T87" s="242"/>
      <c r="U87" s="242"/>
      <c r="V87" s="242"/>
      <c r="W87" s="242"/>
      <c r="X87" s="242"/>
      <c r="Y87" s="242"/>
      <c r="Z87" s="242"/>
    </row>
    <row r="88" spans="1:26" s="2" customFormat="1" ht="18" customHeight="1">
      <c r="A88" s="250"/>
      <c r="B88" s="163">
        <v>0.45</v>
      </c>
      <c r="C88" s="164">
        <v>4</v>
      </c>
      <c r="D88" s="164">
        <v>5</v>
      </c>
      <c r="E88" s="145"/>
      <c r="F88" s="145"/>
      <c r="G88" s="150"/>
      <c r="H88" s="150"/>
      <c r="I88" s="150"/>
      <c r="J88" s="150"/>
      <c r="K88" s="150"/>
      <c r="L88" s="242"/>
      <c r="M88" s="242"/>
      <c r="N88" s="242"/>
      <c r="O88" s="242"/>
      <c r="P88" s="242"/>
      <c r="Q88" s="242"/>
      <c r="R88" s="242"/>
      <c r="S88" s="242"/>
      <c r="T88" s="242"/>
      <c r="U88" s="242"/>
      <c r="V88" s="242"/>
      <c r="W88" s="242"/>
      <c r="X88" s="242"/>
      <c r="Y88" s="242"/>
      <c r="Z88" s="242"/>
    </row>
    <row r="89" spans="1:26" s="2" customFormat="1" ht="18" customHeight="1">
      <c r="A89" s="250"/>
      <c r="B89" s="163">
        <v>0.5</v>
      </c>
      <c r="C89" s="164">
        <v>5</v>
      </c>
      <c r="D89" s="164">
        <v>6</v>
      </c>
      <c r="E89" s="145"/>
      <c r="F89" s="145"/>
      <c r="G89" s="150"/>
      <c r="H89" s="150"/>
      <c r="I89" s="150"/>
      <c r="J89" s="150"/>
      <c r="K89" s="150"/>
      <c r="L89" s="242"/>
      <c r="M89" s="242"/>
      <c r="N89" s="242"/>
      <c r="O89" s="242"/>
      <c r="P89" s="242"/>
      <c r="Q89" s="242"/>
      <c r="R89" s="242"/>
      <c r="S89" s="242"/>
      <c r="T89" s="242"/>
      <c r="U89" s="242"/>
      <c r="V89" s="242"/>
      <c r="W89" s="242"/>
      <c r="X89" s="242"/>
      <c r="Y89" s="242"/>
      <c r="Z89" s="242"/>
    </row>
    <row r="90" spans="1:26" s="2" customFormat="1" ht="18" customHeight="1">
      <c r="A90" s="250"/>
      <c r="B90" s="163">
        <v>0.55000000000000004</v>
      </c>
      <c r="C90" s="164">
        <v>6</v>
      </c>
      <c r="D90" s="164">
        <v>7</v>
      </c>
      <c r="E90" s="145"/>
      <c r="F90" s="145"/>
      <c r="G90" s="150"/>
      <c r="H90" s="150"/>
      <c r="I90" s="150"/>
      <c r="J90" s="150"/>
      <c r="K90" s="150"/>
      <c r="L90" s="242"/>
      <c r="M90" s="242"/>
      <c r="N90" s="242"/>
      <c r="O90" s="242"/>
      <c r="P90" s="242"/>
      <c r="Q90" s="242"/>
      <c r="R90" s="242"/>
      <c r="S90" s="242"/>
      <c r="T90" s="242"/>
      <c r="U90" s="242"/>
      <c r="V90" s="242"/>
      <c r="W90" s="242"/>
      <c r="X90" s="242"/>
      <c r="Y90" s="242"/>
      <c r="Z90" s="242"/>
    </row>
    <row r="91" spans="1:26" s="2" customFormat="1" ht="18" customHeight="1">
      <c r="A91" s="250"/>
      <c r="B91" s="163">
        <v>0.6</v>
      </c>
      <c r="C91" s="164">
        <v>7</v>
      </c>
      <c r="D91" s="164">
        <v>8</v>
      </c>
      <c r="E91" s="145"/>
      <c r="F91" s="145"/>
      <c r="G91" s="150"/>
      <c r="H91" s="150"/>
      <c r="I91" s="150"/>
      <c r="J91" s="150"/>
      <c r="K91" s="150"/>
      <c r="L91" s="242"/>
      <c r="M91" s="242"/>
      <c r="N91" s="242"/>
      <c r="O91" s="242"/>
      <c r="P91" s="242"/>
      <c r="Q91" s="242"/>
      <c r="R91" s="242"/>
      <c r="S91" s="242"/>
      <c r="T91" s="242"/>
      <c r="U91" s="242"/>
      <c r="V91" s="242"/>
      <c r="W91" s="242"/>
      <c r="X91" s="242"/>
      <c r="Y91" s="242"/>
      <c r="Z91" s="242"/>
    </row>
    <row r="92" spans="1:26" s="2" customFormat="1" ht="18" customHeight="1">
      <c r="A92" s="250"/>
      <c r="B92" s="163">
        <v>0.65</v>
      </c>
      <c r="C92" s="164">
        <v>8</v>
      </c>
      <c r="D92" s="164" t="s">
        <v>256</v>
      </c>
      <c r="E92" s="145"/>
      <c r="F92" s="145"/>
      <c r="G92" s="150"/>
      <c r="H92" s="150"/>
      <c r="I92" s="150"/>
      <c r="J92" s="150"/>
      <c r="K92" s="150"/>
      <c r="L92" s="242"/>
      <c r="M92" s="242"/>
      <c r="N92" s="242"/>
      <c r="O92" s="242"/>
      <c r="P92" s="242"/>
      <c r="Q92" s="242"/>
      <c r="R92" s="242"/>
      <c r="S92" s="242"/>
      <c r="T92" s="242"/>
      <c r="U92" s="242"/>
      <c r="V92" s="242"/>
      <c r="W92" s="242"/>
      <c r="X92" s="242"/>
      <c r="Y92" s="242"/>
      <c r="Z92" s="242"/>
    </row>
    <row r="93" spans="1:26" s="2" customFormat="1" ht="18" customHeight="1">
      <c r="A93" s="250"/>
      <c r="B93" s="145"/>
      <c r="C93" s="145"/>
      <c r="D93" s="149"/>
      <c r="E93" s="145"/>
      <c r="F93" s="145"/>
      <c r="G93" s="150"/>
      <c r="H93" s="150"/>
      <c r="I93" s="150"/>
      <c r="J93" s="150"/>
      <c r="K93" s="150"/>
      <c r="L93" s="242"/>
      <c r="M93" s="242"/>
      <c r="N93" s="242"/>
      <c r="O93" s="242"/>
      <c r="P93" s="242"/>
      <c r="Q93" s="242"/>
      <c r="R93" s="242"/>
      <c r="S93" s="242"/>
      <c r="T93" s="242"/>
      <c r="U93" s="242"/>
      <c r="V93" s="242"/>
      <c r="W93" s="242"/>
      <c r="X93" s="242"/>
      <c r="Y93" s="242"/>
      <c r="Z93" s="242"/>
    </row>
    <row r="94" spans="1:26" s="2" customFormat="1" ht="18" customHeight="1">
      <c r="A94" s="250"/>
      <c r="B94" s="152" t="s">
        <v>252</v>
      </c>
      <c r="C94" s="153"/>
      <c r="D94" s="154" t="s">
        <v>148</v>
      </c>
      <c r="E94" s="145"/>
      <c r="F94" s="145"/>
      <c r="G94" s="150"/>
      <c r="H94" s="150"/>
      <c r="I94" s="150"/>
      <c r="J94" s="150"/>
      <c r="K94" s="150"/>
      <c r="L94" s="242"/>
      <c r="M94" s="242"/>
      <c r="N94" s="242"/>
      <c r="O94" s="242"/>
      <c r="P94" s="242"/>
      <c r="Q94" s="242"/>
      <c r="R94" s="242"/>
      <c r="S94" s="242"/>
      <c r="T94" s="242"/>
      <c r="U94" s="242"/>
      <c r="V94" s="242"/>
      <c r="W94" s="242"/>
      <c r="X94" s="242"/>
      <c r="Y94" s="242"/>
      <c r="Z94" s="242"/>
    </row>
    <row r="95" spans="1:26" s="2" customFormat="1" ht="18" customHeight="1">
      <c r="A95" s="250"/>
      <c r="B95" s="155" t="s">
        <v>249</v>
      </c>
      <c r="C95" s="155" t="s">
        <v>254</v>
      </c>
      <c r="D95" s="155" t="s">
        <v>255</v>
      </c>
      <c r="E95" s="145"/>
      <c r="F95" s="145"/>
      <c r="G95" s="150"/>
      <c r="H95" s="150"/>
      <c r="I95" s="150"/>
      <c r="J95" s="150"/>
      <c r="K95" s="150"/>
      <c r="L95" s="242"/>
      <c r="M95" s="242"/>
      <c r="N95" s="242"/>
      <c r="O95" s="242"/>
      <c r="P95" s="242"/>
      <c r="Q95" s="242"/>
      <c r="R95" s="242"/>
      <c r="S95" s="242"/>
      <c r="T95" s="242"/>
      <c r="U95" s="242"/>
      <c r="V95" s="242"/>
      <c r="W95" s="242"/>
      <c r="X95" s="242"/>
      <c r="Y95" s="242"/>
      <c r="Z95" s="242"/>
    </row>
    <row r="96" spans="1:26" s="2" customFormat="1" ht="18" customHeight="1">
      <c r="A96" s="250"/>
      <c r="B96" s="163">
        <v>0.3</v>
      </c>
      <c r="C96" s="164">
        <v>1</v>
      </c>
      <c r="D96" s="164">
        <v>2</v>
      </c>
      <c r="E96" s="145"/>
      <c r="F96" s="145"/>
      <c r="G96" s="150"/>
      <c r="H96" s="251"/>
      <c r="I96" s="251"/>
      <c r="J96" s="251"/>
      <c r="K96" s="242"/>
      <c r="L96" s="242"/>
      <c r="M96" s="242"/>
      <c r="N96" s="242"/>
      <c r="O96" s="242"/>
      <c r="P96" s="242"/>
      <c r="Q96" s="242"/>
      <c r="R96" s="242"/>
      <c r="S96" s="242"/>
      <c r="T96" s="242"/>
      <c r="U96" s="242"/>
      <c r="V96" s="242"/>
      <c r="W96" s="242"/>
      <c r="X96" s="242"/>
      <c r="Y96" s="242"/>
      <c r="Z96" s="242"/>
    </row>
    <row r="97" spans="1:26" s="2" customFormat="1" ht="18" customHeight="1">
      <c r="A97" s="250"/>
      <c r="B97" s="163">
        <v>0.35</v>
      </c>
      <c r="C97" s="164">
        <v>2</v>
      </c>
      <c r="D97" s="164">
        <v>3</v>
      </c>
      <c r="E97" s="145"/>
      <c r="F97" s="145"/>
      <c r="G97" s="150"/>
      <c r="H97" s="251"/>
      <c r="I97" s="251"/>
      <c r="J97" s="251"/>
      <c r="K97" s="242"/>
      <c r="L97" s="242"/>
      <c r="M97" s="242"/>
      <c r="N97" s="242"/>
      <c r="O97" s="242"/>
      <c r="P97" s="242"/>
      <c r="Q97" s="242"/>
      <c r="R97" s="242"/>
      <c r="S97" s="242"/>
      <c r="T97" s="242"/>
      <c r="U97" s="242"/>
      <c r="V97" s="242"/>
      <c r="W97" s="242"/>
      <c r="X97" s="242"/>
      <c r="Y97" s="242"/>
      <c r="Z97" s="242"/>
    </row>
    <row r="98" spans="1:26" s="2" customFormat="1" ht="18" customHeight="1">
      <c r="A98" s="250"/>
      <c r="B98" s="163">
        <v>0.4</v>
      </c>
      <c r="C98" s="164">
        <v>3</v>
      </c>
      <c r="D98" s="164">
        <v>4</v>
      </c>
      <c r="E98" s="145"/>
      <c r="F98" s="145"/>
      <c r="G98" s="150"/>
      <c r="H98" s="251"/>
      <c r="I98" s="251"/>
      <c r="J98" s="251"/>
      <c r="K98" s="242"/>
      <c r="L98" s="242"/>
      <c r="M98" s="242"/>
      <c r="N98" s="242"/>
      <c r="O98" s="242"/>
      <c r="P98" s="242"/>
      <c r="Q98" s="242"/>
      <c r="R98" s="242"/>
      <c r="S98" s="242"/>
      <c r="T98" s="242"/>
      <c r="U98" s="242"/>
      <c r="V98" s="242"/>
      <c r="W98" s="242"/>
      <c r="X98" s="242"/>
      <c r="Y98" s="242"/>
      <c r="Z98" s="242"/>
    </row>
    <row r="99" spans="1:26" s="2" customFormat="1" ht="18" customHeight="1">
      <c r="A99" s="250"/>
      <c r="B99" s="163">
        <v>0.45</v>
      </c>
      <c r="C99" s="164">
        <v>4</v>
      </c>
      <c r="D99" s="164">
        <v>5</v>
      </c>
      <c r="E99" s="145"/>
      <c r="F99" s="145"/>
      <c r="G99" s="150"/>
      <c r="H99" s="251"/>
      <c r="I99" s="251"/>
      <c r="J99" s="251"/>
      <c r="K99" s="242"/>
      <c r="L99" s="242"/>
      <c r="M99" s="242"/>
      <c r="N99" s="242"/>
      <c r="O99" s="242"/>
      <c r="P99" s="242"/>
      <c r="Q99" s="242"/>
      <c r="R99" s="242"/>
      <c r="S99" s="242"/>
      <c r="T99" s="242"/>
      <c r="U99" s="242"/>
      <c r="V99" s="242"/>
      <c r="W99" s="242"/>
      <c r="X99" s="242"/>
      <c r="Y99" s="242"/>
      <c r="Z99" s="242"/>
    </row>
    <row r="100" spans="1:26" s="2" customFormat="1" ht="18" customHeight="1">
      <c r="A100" s="250"/>
      <c r="B100" s="163">
        <v>0.5</v>
      </c>
      <c r="C100" s="164">
        <v>5</v>
      </c>
      <c r="D100" s="164">
        <v>6</v>
      </c>
      <c r="E100" s="145"/>
      <c r="F100" s="145"/>
      <c r="G100" s="150"/>
      <c r="H100" s="251"/>
      <c r="I100" s="251"/>
      <c r="J100" s="251"/>
      <c r="K100" s="242"/>
      <c r="L100" s="242"/>
      <c r="M100" s="242"/>
      <c r="N100" s="242"/>
      <c r="O100" s="242"/>
      <c r="P100" s="242"/>
      <c r="Q100" s="242"/>
      <c r="R100" s="242"/>
      <c r="S100" s="242"/>
      <c r="T100" s="242"/>
      <c r="U100" s="242"/>
      <c r="V100" s="242"/>
      <c r="W100" s="242"/>
      <c r="X100" s="242"/>
      <c r="Y100" s="242"/>
      <c r="Z100" s="242"/>
    </row>
    <row r="101" spans="1:26" s="2" customFormat="1" ht="18" customHeight="1">
      <c r="A101" s="250"/>
      <c r="B101" s="163">
        <v>0.55000000000000004</v>
      </c>
      <c r="C101" s="164">
        <v>6</v>
      </c>
      <c r="D101" s="164">
        <v>7</v>
      </c>
      <c r="E101" s="145"/>
      <c r="F101" s="145"/>
      <c r="G101" s="150"/>
      <c r="H101" s="251"/>
      <c r="I101" s="251"/>
      <c r="J101" s="251"/>
      <c r="K101" s="242"/>
      <c r="L101" s="242"/>
      <c r="M101" s="242"/>
      <c r="N101" s="242"/>
      <c r="O101" s="242"/>
      <c r="P101" s="242"/>
      <c r="Q101" s="242"/>
      <c r="R101" s="242"/>
      <c r="S101" s="242"/>
      <c r="T101" s="242"/>
      <c r="U101" s="242"/>
      <c r="V101" s="242"/>
      <c r="W101" s="242"/>
      <c r="X101" s="242"/>
      <c r="Y101" s="242"/>
      <c r="Z101" s="242"/>
    </row>
    <row r="102" spans="1:26" s="2" customFormat="1" ht="18" customHeight="1">
      <c r="A102" s="250"/>
      <c r="B102" s="163">
        <v>0.6</v>
      </c>
      <c r="C102" s="164">
        <v>7</v>
      </c>
      <c r="D102" s="164" t="s">
        <v>257</v>
      </c>
      <c r="E102" s="145"/>
      <c r="F102" s="145"/>
      <c r="G102" s="150"/>
      <c r="H102" s="251"/>
      <c r="I102" s="251"/>
      <c r="J102" s="251"/>
      <c r="K102" s="242"/>
      <c r="L102" s="242"/>
      <c r="M102" s="242"/>
      <c r="N102" s="242"/>
      <c r="O102" s="242"/>
      <c r="P102" s="242"/>
      <c r="Q102" s="242"/>
      <c r="R102" s="242"/>
      <c r="S102" s="242"/>
      <c r="T102" s="242"/>
      <c r="U102" s="242"/>
      <c r="V102" s="242"/>
      <c r="W102" s="242"/>
      <c r="X102" s="242"/>
      <c r="Y102" s="242"/>
      <c r="Z102" s="242"/>
    </row>
    <row r="103" spans="1:26" s="2" customFormat="1" ht="18" customHeight="1">
      <c r="A103" s="250"/>
      <c r="B103" s="163"/>
      <c r="C103" s="164"/>
      <c r="D103" s="164"/>
      <c r="E103" s="145"/>
      <c r="F103" s="145"/>
      <c r="G103" s="150"/>
      <c r="H103" s="251"/>
      <c r="I103" s="251"/>
      <c r="J103" s="251"/>
      <c r="K103" s="242"/>
      <c r="L103" s="242"/>
      <c r="M103" s="242"/>
      <c r="N103" s="242"/>
      <c r="O103" s="242"/>
      <c r="P103" s="242"/>
      <c r="Q103" s="242"/>
      <c r="R103" s="242"/>
      <c r="S103" s="242"/>
      <c r="T103" s="242"/>
      <c r="U103" s="242"/>
      <c r="V103" s="242"/>
      <c r="W103" s="242"/>
      <c r="X103" s="242"/>
      <c r="Y103" s="242"/>
      <c r="Z103" s="242"/>
    </row>
    <row r="104" spans="1:26" s="2" customFormat="1" ht="18" customHeight="1">
      <c r="A104" s="250"/>
      <c r="B104" s="145"/>
      <c r="C104" s="145"/>
      <c r="D104" s="149"/>
      <c r="E104" s="145"/>
      <c r="F104" s="145"/>
      <c r="G104" s="150"/>
      <c r="H104" s="251"/>
      <c r="I104" s="251"/>
      <c r="J104" s="251"/>
      <c r="K104" s="242"/>
      <c r="L104" s="242"/>
      <c r="M104" s="242"/>
      <c r="N104" s="242"/>
      <c r="O104" s="242"/>
      <c r="P104" s="242"/>
      <c r="Q104" s="242"/>
      <c r="R104" s="242"/>
      <c r="S104" s="242"/>
      <c r="T104" s="242"/>
      <c r="U104" s="242"/>
      <c r="V104" s="242"/>
      <c r="W104" s="242"/>
      <c r="X104" s="242"/>
      <c r="Y104" s="242"/>
      <c r="Z104" s="242"/>
    </row>
    <row r="105" spans="1:26" s="2" customFormat="1" ht="18" customHeight="1">
      <c r="A105" s="250"/>
      <c r="B105" s="152" t="s">
        <v>253</v>
      </c>
      <c r="C105" s="153"/>
      <c r="D105" s="154" t="s">
        <v>193</v>
      </c>
      <c r="E105" s="145"/>
      <c r="F105" s="145"/>
      <c r="G105" s="150"/>
      <c r="H105" s="150"/>
      <c r="I105" s="150"/>
      <c r="J105" s="150"/>
      <c r="K105" s="150"/>
      <c r="L105" s="242"/>
      <c r="M105" s="242"/>
      <c r="N105" s="242"/>
      <c r="O105" s="242"/>
      <c r="P105" s="242"/>
      <c r="Q105" s="242"/>
      <c r="R105" s="242"/>
      <c r="S105" s="242"/>
      <c r="T105" s="242"/>
      <c r="U105" s="242"/>
      <c r="V105" s="242"/>
      <c r="W105" s="242"/>
      <c r="X105" s="242"/>
      <c r="Y105" s="242"/>
      <c r="Z105" s="242"/>
    </row>
    <row r="106" spans="1:26" s="2" customFormat="1" ht="18" customHeight="1">
      <c r="A106" s="250"/>
      <c r="B106" s="155" t="s">
        <v>249</v>
      </c>
      <c r="C106" s="155" t="s">
        <v>254</v>
      </c>
      <c r="D106" s="155" t="s">
        <v>255</v>
      </c>
      <c r="E106" s="145"/>
      <c r="F106" s="145"/>
      <c r="G106" s="150"/>
      <c r="H106" s="150"/>
      <c r="I106" s="150"/>
      <c r="J106" s="150"/>
      <c r="K106" s="150"/>
      <c r="L106" s="242"/>
      <c r="M106" s="242"/>
      <c r="N106" s="242"/>
      <c r="O106" s="242"/>
      <c r="P106" s="242"/>
      <c r="Q106" s="242"/>
      <c r="R106" s="242"/>
      <c r="S106" s="242"/>
      <c r="T106" s="242"/>
      <c r="U106" s="242"/>
      <c r="V106" s="242"/>
      <c r="W106" s="242"/>
      <c r="X106" s="242"/>
      <c r="Y106" s="242"/>
      <c r="Z106" s="242"/>
    </row>
    <row r="107" spans="1:26" s="2" customFormat="1" ht="18" customHeight="1">
      <c r="A107" s="250"/>
      <c r="B107" s="163">
        <v>0.3</v>
      </c>
      <c r="C107" s="164">
        <v>1</v>
      </c>
      <c r="D107" s="164">
        <v>2</v>
      </c>
      <c r="E107" s="145"/>
      <c r="F107" s="145"/>
      <c r="G107" s="150"/>
      <c r="H107" s="251"/>
      <c r="I107" s="251"/>
      <c r="J107" s="251"/>
      <c r="K107" s="242"/>
      <c r="L107" s="242"/>
      <c r="M107" s="242"/>
      <c r="N107" s="242"/>
      <c r="O107" s="242"/>
      <c r="P107" s="242"/>
      <c r="Q107" s="242"/>
      <c r="R107" s="242"/>
      <c r="S107" s="242"/>
      <c r="T107" s="242"/>
      <c r="U107" s="242"/>
      <c r="V107" s="242"/>
      <c r="W107" s="242"/>
      <c r="X107" s="242"/>
      <c r="Y107" s="242"/>
      <c r="Z107" s="242"/>
    </row>
    <row r="108" spans="1:26" s="2" customFormat="1" ht="18" customHeight="1">
      <c r="A108" s="250"/>
      <c r="B108" s="163">
        <v>0.35</v>
      </c>
      <c r="C108" s="164">
        <v>2</v>
      </c>
      <c r="D108" s="164">
        <v>3</v>
      </c>
      <c r="E108" s="145"/>
      <c r="F108" s="145"/>
      <c r="G108" s="150"/>
      <c r="H108" s="251"/>
      <c r="I108" s="251"/>
      <c r="J108" s="251"/>
      <c r="K108" s="242"/>
      <c r="L108" s="242"/>
      <c r="M108" s="242"/>
      <c r="N108" s="242"/>
      <c r="O108" s="242"/>
      <c r="P108" s="242"/>
      <c r="Q108" s="242"/>
      <c r="R108" s="242"/>
      <c r="S108" s="242"/>
      <c r="T108" s="242"/>
      <c r="U108" s="242"/>
      <c r="V108" s="242"/>
      <c r="W108" s="242"/>
      <c r="X108" s="242"/>
      <c r="Y108" s="242"/>
      <c r="Z108" s="242"/>
    </row>
    <row r="109" spans="1:26" s="2" customFormat="1" ht="18" customHeight="1">
      <c r="A109" s="250"/>
      <c r="B109" s="163">
        <v>0.4</v>
      </c>
      <c r="C109" s="164">
        <v>3</v>
      </c>
      <c r="D109" s="164">
        <v>4</v>
      </c>
      <c r="E109" s="145"/>
      <c r="F109" s="145"/>
      <c r="G109" s="150"/>
      <c r="H109" s="251"/>
      <c r="I109" s="251"/>
      <c r="J109" s="251"/>
      <c r="K109" s="242"/>
      <c r="L109" s="242"/>
      <c r="M109" s="242"/>
      <c r="N109" s="242"/>
      <c r="O109" s="242"/>
      <c r="P109" s="242"/>
      <c r="Q109" s="242"/>
      <c r="R109" s="242"/>
      <c r="S109" s="242"/>
      <c r="T109" s="242"/>
      <c r="U109" s="242"/>
      <c r="V109" s="242"/>
      <c r="W109" s="242"/>
      <c r="X109" s="242"/>
      <c r="Y109" s="242"/>
      <c r="Z109" s="242"/>
    </row>
    <row r="110" spans="1:26" s="2" customFormat="1" ht="18" customHeight="1">
      <c r="A110" s="250"/>
      <c r="B110" s="163">
        <v>0.45</v>
      </c>
      <c r="C110" s="164">
        <v>4</v>
      </c>
      <c r="D110" s="164">
        <v>5</v>
      </c>
      <c r="E110" s="145"/>
      <c r="F110" s="145"/>
      <c r="G110" s="150"/>
      <c r="H110" s="251"/>
      <c r="I110" s="251"/>
      <c r="J110" s="251"/>
      <c r="K110" s="242"/>
      <c r="L110" s="242"/>
      <c r="M110" s="242"/>
      <c r="N110" s="242"/>
      <c r="O110" s="242"/>
      <c r="P110" s="242"/>
      <c r="Q110" s="242"/>
      <c r="R110" s="242"/>
      <c r="S110" s="242"/>
      <c r="T110" s="242"/>
      <c r="U110" s="242"/>
      <c r="V110" s="242"/>
      <c r="W110" s="242"/>
      <c r="X110" s="242"/>
      <c r="Y110" s="242"/>
      <c r="Z110" s="242"/>
    </row>
    <row r="111" spans="1:26" s="2" customFormat="1" ht="18" customHeight="1">
      <c r="A111" s="250"/>
      <c r="B111" s="163">
        <v>0.5</v>
      </c>
      <c r="C111" s="164">
        <v>5</v>
      </c>
      <c r="D111" s="164">
        <v>6</v>
      </c>
      <c r="E111" s="145"/>
      <c r="F111" s="145"/>
      <c r="G111" s="150"/>
      <c r="H111" s="251"/>
      <c r="I111" s="251"/>
      <c r="J111" s="251"/>
      <c r="K111" s="242"/>
      <c r="L111" s="242"/>
      <c r="M111" s="242"/>
      <c r="N111" s="242"/>
      <c r="O111" s="242"/>
      <c r="P111" s="242"/>
      <c r="Q111" s="242"/>
      <c r="R111" s="242"/>
      <c r="S111" s="242"/>
      <c r="T111" s="242"/>
      <c r="U111" s="242"/>
      <c r="V111" s="242"/>
      <c r="W111" s="242"/>
      <c r="X111" s="242"/>
      <c r="Y111" s="242"/>
      <c r="Z111" s="242"/>
    </row>
    <row r="112" spans="1:26" s="2" customFormat="1" ht="18" customHeight="1">
      <c r="A112" s="250"/>
      <c r="B112" s="163">
        <v>0.55000000000000004</v>
      </c>
      <c r="C112" s="164">
        <v>6</v>
      </c>
      <c r="D112" s="164">
        <v>7</v>
      </c>
      <c r="E112" s="145"/>
      <c r="F112" s="145"/>
      <c r="G112" s="150"/>
      <c r="H112" s="251"/>
      <c r="I112" s="251"/>
      <c r="J112" s="251"/>
      <c r="K112" s="242"/>
      <c r="L112" s="242"/>
      <c r="M112" s="242"/>
      <c r="N112" s="242"/>
      <c r="O112" s="242"/>
      <c r="P112" s="242"/>
      <c r="Q112" s="242"/>
      <c r="R112" s="242"/>
      <c r="S112" s="242"/>
      <c r="T112" s="242"/>
      <c r="U112" s="242"/>
      <c r="V112" s="242"/>
      <c r="W112" s="242"/>
      <c r="X112" s="242"/>
      <c r="Y112" s="242"/>
      <c r="Z112" s="242"/>
    </row>
    <row r="113" spans="1:26" s="2" customFormat="1" ht="18" customHeight="1">
      <c r="A113" s="250"/>
      <c r="B113" s="163">
        <v>0.6</v>
      </c>
      <c r="C113" s="164">
        <v>7</v>
      </c>
      <c r="D113" s="164">
        <v>8</v>
      </c>
      <c r="E113" s="145"/>
      <c r="F113" s="145"/>
      <c r="G113" s="150"/>
      <c r="H113" s="150"/>
      <c r="I113" s="150"/>
      <c r="J113" s="150"/>
      <c r="K113" s="150"/>
      <c r="L113" s="242"/>
      <c r="M113" s="242"/>
      <c r="N113" s="242"/>
      <c r="O113" s="242"/>
      <c r="P113" s="242"/>
      <c r="Q113" s="242"/>
      <c r="R113" s="242"/>
      <c r="S113" s="242"/>
      <c r="T113" s="242"/>
      <c r="U113" s="242"/>
      <c r="V113" s="242"/>
      <c r="W113" s="242"/>
      <c r="X113" s="242"/>
      <c r="Y113" s="242"/>
      <c r="Z113" s="242"/>
    </row>
    <row r="114" spans="1:26" s="2" customFormat="1" ht="18" customHeight="1">
      <c r="A114" s="250"/>
      <c r="B114" s="163">
        <v>0.65</v>
      </c>
      <c r="C114" s="164">
        <v>8</v>
      </c>
      <c r="D114" s="164">
        <v>0</v>
      </c>
      <c r="E114" s="145"/>
      <c r="F114" s="145"/>
      <c r="G114" s="150"/>
      <c r="H114" s="150"/>
      <c r="I114" s="150"/>
      <c r="J114" s="150"/>
      <c r="K114" s="150"/>
      <c r="L114" s="242"/>
      <c r="M114" s="242"/>
      <c r="N114" s="242"/>
      <c r="O114" s="242"/>
      <c r="P114" s="242"/>
      <c r="Q114" s="242"/>
      <c r="R114" s="242"/>
      <c r="S114" s="242"/>
      <c r="T114" s="242"/>
      <c r="U114" s="242"/>
      <c r="V114" s="242"/>
      <c r="W114" s="242"/>
      <c r="X114" s="242"/>
      <c r="Y114" s="242"/>
      <c r="Z114" s="242"/>
    </row>
    <row r="115" spans="1:26" s="2" customFormat="1" ht="18" customHeight="1">
      <c r="A115" s="250"/>
      <c r="B115" s="145"/>
      <c r="C115" s="145"/>
      <c r="D115" s="145"/>
      <c r="E115" s="149"/>
      <c r="F115" s="145"/>
      <c r="G115" s="150"/>
      <c r="H115" s="251"/>
      <c r="I115" s="251"/>
      <c r="J115" s="251"/>
      <c r="K115" s="242"/>
      <c r="L115" s="242"/>
      <c r="M115" s="242"/>
      <c r="N115" s="242"/>
      <c r="O115" s="242"/>
      <c r="P115" s="242"/>
      <c r="Q115" s="242"/>
      <c r="R115" s="242"/>
      <c r="S115" s="242"/>
      <c r="T115" s="242"/>
      <c r="U115" s="242"/>
      <c r="V115" s="242"/>
      <c r="W115" s="242"/>
      <c r="X115" s="242"/>
      <c r="Y115" s="242"/>
      <c r="Z115" s="242"/>
    </row>
    <row r="116" spans="1:26" s="2" customFormat="1" ht="18" customHeight="1">
      <c r="A116" s="250"/>
      <c r="B116" s="152" t="s">
        <v>147</v>
      </c>
      <c r="C116" s="153"/>
      <c r="D116" s="186"/>
      <c r="E116" s="155" t="s">
        <v>249</v>
      </c>
      <c r="F116" s="155" t="s">
        <v>254</v>
      </c>
      <c r="G116" s="155" t="s">
        <v>255</v>
      </c>
      <c r="H116" s="251"/>
      <c r="I116" s="251"/>
      <c r="J116" s="251"/>
      <c r="K116" s="242"/>
      <c r="L116" s="242"/>
      <c r="M116" s="242"/>
      <c r="N116" s="242"/>
      <c r="O116" s="242"/>
      <c r="P116" s="242"/>
      <c r="Q116" s="242"/>
      <c r="R116" s="242"/>
      <c r="S116" s="242"/>
      <c r="T116" s="242"/>
      <c r="U116" s="242"/>
      <c r="V116" s="242"/>
      <c r="W116" s="242"/>
      <c r="X116" s="242"/>
      <c r="Y116" s="242"/>
      <c r="Z116" s="242"/>
    </row>
    <row r="117" spans="1:26" s="2" customFormat="1" ht="18" customHeight="1">
      <c r="A117" s="250"/>
      <c r="B117" s="107" t="s">
        <v>249</v>
      </c>
      <c r="C117" s="260"/>
      <c r="D117" s="261"/>
      <c r="E117" s="77">
        <v>0.3</v>
      </c>
      <c r="F117" s="76">
        <v>1</v>
      </c>
      <c r="G117" s="76">
        <v>2</v>
      </c>
      <c r="H117" s="251"/>
      <c r="I117" s="251"/>
      <c r="J117" s="251"/>
      <c r="K117" s="242"/>
      <c r="L117" s="242"/>
      <c r="M117" s="242"/>
      <c r="N117" s="242"/>
      <c r="O117" s="242"/>
      <c r="P117" s="242"/>
      <c r="Q117" s="242"/>
      <c r="R117" s="242"/>
      <c r="S117" s="242"/>
      <c r="T117" s="242"/>
      <c r="U117" s="242"/>
      <c r="V117" s="242"/>
      <c r="W117" s="242"/>
      <c r="X117" s="242"/>
      <c r="Y117" s="242"/>
      <c r="Z117" s="242"/>
    </row>
    <row r="118" spans="1:26" s="2" customFormat="1" ht="18" customHeight="1">
      <c r="A118" s="250"/>
      <c r="B118" s="107" t="s">
        <v>249</v>
      </c>
      <c r="C118" s="260"/>
      <c r="D118" s="261"/>
      <c r="E118" s="77">
        <v>0.35</v>
      </c>
      <c r="F118" s="76">
        <v>2</v>
      </c>
      <c r="G118" s="76">
        <v>3</v>
      </c>
      <c r="H118" s="251"/>
      <c r="I118" s="251"/>
      <c r="J118" s="251"/>
      <c r="K118" s="242"/>
      <c r="L118" s="242"/>
      <c r="M118" s="242"/>
      <c r="N118" s="242"/>
      <c r="O118" s="242"/>
      <c r="P118" s="242"/>
      <c r="Q118" s="242"/>
      <c r="R118" s="242"/>
      <c r="S118" s="242"/>
      <c r="T118" s="242"/>
      <c r="U118" s="242"/>
      <c r="V118" s="242"/>
      <c r="W118" s="242"/>
      <c r="X118" s="242"/>
      <c r="Y118" s="242"/>
      <c r="Z118" s="242"/>
    </row>
    <row r="119" spans="1:26" s="2" customFormat="1" ht="18" customHeight="1">
      <c r="A119" s="250"/>
      <c r="B119" s="107" t="s">
        <v>249</v>
      </c>
      <c r="C119" s="260"/>
      <c r="D119" s="261"/>
      <c r="E119" s="77">
        <v>0.4</v>
      </c>
      <c r="F119" s="76">
        <v>3</v>
      </c>
      <c r="G119" s="76">
        <v>4</v>
      </c>
      <c r="H119" s="251"/>
      <c r="I119" s="251"/>
      <c r="J119" s="251"/>
      <c r="K119" s="242"/>
      <c r="L119" s="242"/>
      <c r="M119" s="242"/>
      <c r="N119" s="242"/>
      <c r="O119" s="242"/>
      <c r="P119" s="242"/>
      <c r="Q119" s="242"/>
      <c r="R119" s="242"/>
      <c r="S119" s="242"/>
      <c r="T119" s="242"/>
      <c r="U119" s="242"/>
      <c r="V119" s="242"/>
      <c r="W119" s="242"/>
      <c r="X119" s="242"/>
      <c r="Y119" s="242"/>
      <c r="Z119" s="242"/>
    </row>
    <row r="120" spans="1:26" s="2" customFormat="1" ht="18" customHeight="1">
      <c r="A120" s="250"/>
      <c r="B120" s="107" t="s">
        <v>249</v>
      </c>
      <c r="C120" s="260"/>
      <c r="D120" s="261"/>
      <c r="E120" s="77">
        <v>0.45</v>
      </c>
      <c r="F120" s="76">
        <v>4</v>
      </c>
      <c r="G120" s="76">
        <v>5</v>
      </c>
      <c r="H120" s="251"/>
      <c r="I120" s="251"/>
      <c r="J120" s="251"/>
      <c r="K120" s="242"/>
      <c r="L120" s="242"/>
      <c r="M120" s="242"/>
      <c r="N120" s="242"/>
      <c r="O120" s="242"/>
      <c r="P120" s="242"/>
      <c r="Q120" s="242"/>
      <c r="R120" s="242"/>
      <c r="S120" s="242"/>
      <c r="T120" s="242"/>
      <c r="U120" s="242"/>
      <c r="V120" s="242"/>
      <c r="W120" s="242"/>
      <c r="X120" s="242"/>
      <c r="Y120" s="242"/>
      <c r="Z120" s="242"/>
    </row>
    <row r="121" spans="1:26" s="2" customFormat="1" ht="18" customHeight="1">
      <c r="A121" s="250"/>
      <c r="B121" s="107" t="s">
        <v>249</v>
      </c>
      <c r="C121" s="260"/>
      <c r="D121" s="261"/>
      <c r="E121" s="77">
        <v>0.5</v>
      </c>
      <c r="F121" s="76">
        <v>5</v>
      </c>
      <c r="G121" s="76">
        <v>6</v>
      </c>
      <c r="H121" s="251"/>
      <c r="I121" s="251"/>
      <c r="J121" s="251"/>
      <c r="K121" s="242"/>
      <c r="L121" s="242"/>
      <c r="M121" s="242"/>
      <c r="N121" s="242"/>
      <c r="O121" s="242"/>
      <c r="P121" s="242"/>
      <c r="Q121" s="242"/>
      <c r="R121" s="242"/>
      <c r="S121" s="242"/>
      <c r="T121" s="242"/>
      <c r="U121" s="242"/>
      <c r="V121" s="242"/>
      <c r="W121" s="242"/>
      <c r="X121" s="242"/>
      <c r="Y121" s="242"/>
      <c r="Z121" s="242"/>
    </row>
    <row r="122" spans="1:26" s="2" customFormat="1" ht="18" customHeight="1">
      <c r="A122" s="250"/>
      <c r="B122" s="107" t="s">
        <v>249</v>
      </c>
      <c r="C122" s="260"/>
      <c r="D122" s="261"/>
      <c r="E122" s="77">
        <v>0.55000000000000004</v>
      </c>
      <c r="F122" s="76">
        <v>6</v>
      </c>
      <c r="G122" s="76">
        <v>7</v>
      </c>
      <c r="H122" s="251"/>
      <c r="I122" s="251"/>
      <c r="J122" s="251"/>
      <c r="K122" s="242"/>
      <c r="L122" s="242"/>
      <c r="M122" s="242"/>
      <c r="N122" s="242"/>
      <c r="O122" s="242"/>
      <c r="P122" s="242"/>
      <c r="Q122" s="242"/>
      <c r="R122" s="242"/>
      <c r="S122" s="242"/>
      <c r="T122" s="242"/>
      <c r="U122" s="242"/>
      <c r="V122" s="242"/>
      <c r="W122" s="242"/>
      <c r="X122" s="242"/>
      <c r="Y122" s="242"/>
      <c r="Z122" s="242"/>
    </row>
    <row r="123" spans="1:26" s="2" customFormat="1" ht="18" customHeight="1">
      <c r="A123" s="250"/>
      <c r="B123" s="107" t="s">
        <v>249</v>
      </c>
      <c r="C123" s="260"/>
      <c r="D123" s="261"/>
      <c r="E123" s="77">
        <v>0.6</v>
      </c>
      <c r="F123" s="76">
        <v>7</v>
      </c>
      <c r="G123" s="76" t="s">
        <v>258</v>
      </c>
      <c r="H123" s="251"/>
      <c r="I123" s="251"/>
      <c r="J123" s="251"/>
      <c r="K123" s="242"/>
      <c r="L123" s="242"/>
      <c r="M123" s="242"/>
      <c r="N123" s="242"/>
      <c r="O123" s="242"/>
      <c r="P123" s="242"/>
      <c r="Q123" s="242"/>
      <c r="R123" s="242"/>
      <c r="S123" s="242"/>
      <c r="T123" s="242"/>
      <c r="U123" s="242"/>
      <c r="V123" s="242"/>
      <c r="W123" s="242"/>
      <c r="X123" s="242"/>
      <c r="Y123" s="242"/>
      <c r="Z123" s="242"/>
    </row>
    <row r="124" spans="1:26" s="2" customFormat="1" ht="18" customHeight="1">
      <c r="A124" s="250"/>
      <c r="B124" s="107" t="s">
        <v>249</v>
      </c>
      <c r="C124" s="260"/>
      <c r="D124" s="261"/>
      <c r="E124" s="77">
        <v>0.65</v>
      </c>
      <c r="F124" s="76" t="s">
        <v>258</v>
      </c>
      <c r="G124" s="76" t="s">
        <v>259</v>
      </c>
      <c r="H124" s="251"/>
      <c r="I124" s="251"/>
      <c r="J124" s="251"/>
      <c r="K124" s="242"/>
      <c r="L124" s="242"/>
      <c r="M124" s="242"/>
      <c r="N124" s="242"/>
      <c r="O124" s="242"/>
      <c r="P124" s="242"/>
      <c r="Q124" s="242"/>
      <c r="R124" s="242"/>
      <c r="S124" s="242"/>
      <c r="T124" s="242"/>
      <c r="U124" s="242"/>
      <c r="V124" s="242"/>
      <c r="W124" s="242"/>
      <c r="X124" s="242"/>
      <c r="Y124" s="242"/>
      <c r="Z124" s="242"/>
    </row>
    <row r="125" spans="1:26" s="2" customFormat="1" ht="18" customHeight="1">
      <c r="A125" s="250"/>
      <c r="B125" s="107" t="s">
        <v>251</v>
      </c>
      <c r="C125" s="260"/>
      <c r="D125" s="261"/>
      <c r="E125" s="77">
        <v>0.3</v>
      </c>
      <c r="F125" s="76">
        <v>1</v>
      </c>
      <c r="G125" s="76">
        <v>2</v>
      </c>
      <c r="H125" s="251"/>
      <c r="I125" s="251"/>
      <c r="J125" s="251"/>
      <c r="K125" s="242"/>
      <c r="L125" s="242"/>
      <c r="M125" s="242"/>
      <c r="N125" s="242"/>
      <c r="O125" s="242"/>
      <c r="P125" s="242"/>
      <c r="Q125" s="242"/>
      <c r="R125" s="242"/>
      <c r="S125" s="242"/>
      <c r="T125" s="242"/>
      <c r="U125" s="242"/>
      <c r="V125" s="242"/>
      <c r="W125" s="242"/>
      <c r="X125" s="242"/>
      <c r="Y125" s="242"/>
      <c r="Z125" s="242"/>
    </row>
    <row r="126" spans="1:26" s="2" customFormat="1" ht="18" customHeight="1">
      <c r="A126" s="250"/>
      <c r="B126" s="107" t="s">
        <v>251</v>
      </c>
      <c r="C126" s="260"/>
      <c r="D126" s="261"/>
      <c r="E126" s="77">
        <v>0.35</v>
      </c>
      <c r="F126" s="76">
        <v>2</v>
      </c>
      <c r="G126" s="76">
        <v>3</v>
      </c>
      <c r="H126" s="251"/>
      <c r="I126" s="251"/>
      <c r="J126" s="251"/>
      <c r="K126" s="242"/>
      <c r="L126" s="242"/>
      <c r="M126" s="242"/>
      <c r="N126" s="242"/>
      <c r="O126" s="242"/>
      <c r="P126" s="242"/>
      <c r="Q126" s="242"/>
      <c r="R126" s="242"/>
      <c r="S126" s="242"/>
      <c r="T126" s="242"/>
      <c r="U126" s="242"/>
      <c r="V126" s="242"/>
      <c r="W126" s="242"/>
      <c r="X126" s="242"/>
      <c r="Y126" s="242"/>
      <c r="Z126" s="242"/>
    </row>
    <row r="127" spans="1:26" s="2" customFormat="1" ht="18" customHeight="1">
      <c r="A127" s="250"/>
      <c r="B127" s="107" t="s">
        <v>251</v>
      </c>
      <c r="C127" s="260"/>
      <c r="D127" s="261"/>
      <c r="E127" s="77">
        <v>0.4</v>
      </c>
      <c r="F127" s="76">
        <v>3</v>
      </c>
      <c r="G127" s="76">
        <v>4</v>
      </c>
      <c r="H127" s="251"/>
      <c r="I127" s="251"/>
      <c r="J127" s="251"/>
      <c r="K127" s="242"/>
      <c r="L127" s="242"/>
      <c r="M127" s="242"/>
      <c r="N127" s="242"/>
      <c r="O127" s="242"/>
      <c r="P127" s="242"/>
      <c r="Q127" s="242"/>
      <c r="R127" s="242"/>
      <c r="S127" s="242"/>
      <c r="T127" s="242"/>
      <c r="U127" s="242"/>
      <c r="V127" s="242"/>
      <c r="W127" s="242"/>
      <c r="X127" s="242"/>
      <c r="Y127" s="242"/>
      <c r="Z127" s="242"/>
    </row>
    <row r="128" spans="1:26" s="2" customFormat="1" ht="18" customHeight="1">
      <c r="A128" s="250"/>
      <c r="B128" s="107" t="s">
        <v>251</v>
      </c>
      <c r="C128" s="260"/>
      <c r="D128" s="261"/>
      <c r="E128" s="77">
        <v>0.45</v>
      </c>
      <c r="F128" s="76">
        <v>4</v>
      </c>
      <c r="G128" s="76">
        <v>5</v>
      </c>
      <c r="H128" s="251"/>
      <c r="I128" s="251"/>
      <c r="J128" s="251"/>
      <c r="K128" s="242"/>
      <c r="L128" s="242"/>
      <c r="M128" s="242"/>
      <c r="N128" s="242"/>
      <c r="O128" s="242"/>
      <c r="P128" s="242"/>
      <c r="Q128" s="242"/>
      <c r="R128" s="242"/>
      <c r="S128" s="242"/>
      <c r="T128" s="242"/>
      <c r="U128" s="242"/>
      <c r="V128" s="242"/>
      <c r="W128" s="242"/>
      <c r="X128" s="242"/>
      <c r="Y128" s="242"/>
      <c r="Z128" s="242"/>
    </row>
    <row r="129" spans="1:26" s="2" customFormat="1" ht="18" customHeight="1">
      <c r="A129" s="250"/>
      <c r="B129" s="107" t="s">
        <v>251</v>
      </c>
      <c r="C129" s="260"/>
      <c r="D129" s="261"/>
      <c r="E129" s="77">
        <v>0.5</v>
      </c>
      <c r="F129" s="76">
        <v>5</v>
      </c>
      <c r="G129" s="76">
        <v>6</v>
      </c>
      <c r="H129" s="251"/>
      <c r="I129" s="251"/>
      <c r="J129" s="251"/>
      <c r="K129" s="242"/>
      <c r="L129" s="242"/>
      <c r="M129" s="242"/>
      <c r="N129" s="242"/>
      <c r="O129" s="242"/>
      <c r="P129" s="242"/>
      <c r="Q129" s="242"/>
      <c r="R129" s="242"/>
      <c r="S129" s="242"/>
      <c r="T129" s="242"/>
      <c r="U129" s="242"/>
      <c r="V129" s="242"/>
      <c r="W129" s="242"/>
      <c r="X129" s="242"/>
      <c r="Y129" s="242"/>
      <c r="Z129" s="242"/>
    </row>
    <row r="130" spans="1:26" s="2" customFormat="1" ht="18" customHeight="1">
      <c r="A130" s="250"/>
      <c r="B130" s="107" t="s">
        <v>251</v>
      </c>
      <c r="C130" s="260"/>
      <c r="D130" s="261"/>
      <c r="E130" s="77">
        <v>0.55000000000000004</v>
      </c>
      <c r="F130" s="76">
        <v>6</v>
      </c>
      <c r="G130" s="76">
        <v>7</v>
      </c>
      <c r="H130" s="251"/>
      <c r="I130" s="251"/>
      <c r="J130" s="251"/>
      <c r="K130" s="242"/>
      <c r="L130" s="242"/>
      <c r="M130" s="242"/>
      <c r="N130" s="242"/>
      <c r="O130" s="242"/>
      <c r="P130" s="242"/>
      <c r="Q130" s="242"/>
      <c r="R130" s="242"/>
      <c r="S130" s="242"/>
      <c r="T130" s="242"/>
      <c r="U130" s="242"/>
      <c r="V130" s="242"/>
      <c r="W130" s="242"/>
      <c r="X130" s="242"/>
      <c r="Y130" s="242"/>
      <c r="Z130" s="242"/>
    </row>
    <row r="131" spans="1:26" s="2" customFormat="1" ht="18" customHeight="1">
      <c r="A131" s="250"/>
      <c r="B131" s="107" t="s">
        <v>251</v>
      </c>
      <c r="C131" s="260"/>
      <c r="D131" s="261"/>
      <c r="E131" s="77">
        <v>0.6</v>
      </c>
      <c r="F131" s="76">
        <v>7</v>
      </c>
      <c r="G131" s="76">
        <v>8</v>
      </c>
      <c r="H131" s="251"/>
      <c r="I131" s="251"/>
      <c r="J131" s="251"/>
      <c r="K131" s="242"/>
      <c r="L131" s="242"/>
      <c r="M131" s="242"/>
      <c r="N131" s="242"/>
      <c r="O131" s="242"/>
      <c r="P131" s="242"/>
      <c r="Q131" s="242"/>
      <c r="R131" s="242"/>
      <c r="S131" s="242"/>
      <c r="T131" s="242"/>
      <c r="U131" s="242"/>
      <c r="V131" s="242"/>
      <c r="W131" s="242"/>
      <c r="X131" s="242"/>
      <c r="Y131" s="242"/>
      <c r="Z131" s="242"/>
    </row>
    <row r="132" spans="1:26" s="2" customFormat="1" ht="18" customHeight="1">
      <c r="A132" s="250"/>
      <c r="B132" s="107" t="s">
        <v>251</v>
      </c>
      <c r="C132" s="260"/>
      <c r="D132" s="261"/>
      <c r="E132" s="77">
        <v>0.65</v>
      </c>
      <c r="F132" s="76">
        <v>8</v>
      </c>
      <c r="G132" s="76" t="s">
        <v>260</v>
      </c>
      <c r="H132" s="251"/>
      <c r="I132" s="251"/>
      <c r="J132" s="251"/>
      <c r="K132" s="242"/>
      <c r="L132" s="242"/>
      <c r="M132" s="242"/>
      <c r="N132" s="242"/>
      <c r="O132" s="242"/>
      <c r="P132" s="242"/>
      <c r="Q132" s="242"/>
      <c r="R132" s="242"/>
      <c r="S132" s="242"/>
      <c r="T132" s="242"/>
      <c r="U132" s="242"/>
      <c r="V132" s="242"/>
      <c r="W132" s="242"/>
      <c r="X132" s="242"/>
      <c r="Y132" s="242"/>
      <c r="Z132" s="242"/>
    </row>
    <row r="133" spans="1:26" s="2" customFormat="1" ht="18" customHeight="1">
      <c r="A133" s="250"/>
      <c r="B133" s="107" t="s">
        <v>252</v>
      </c>
      <c r="C133" s="260"/>
      <c r="D133" s="261"/>
      <c r="E133" s="77">
        <v>0.3</v>
      </c>
      <c r="F133" s="76">
        <v>1</v>
      </c>
      <c r="G133" s="76">
        <v>2</v>
      </c>
      <c r="H133" s="251"/>
      <c r="I133" s="251"/>
      <c r="J133" s="251"/>
      <c r="K133" s="242"/>
      <c r="L133" s="242"/>
      <c r="M133" s="242"/>
      <c r="N133" s="242"/>
      <c r="O133" s="242"/>
      <c r="P133" s="242"/>
      <c r="Q133" s="242"/>
      <c r="R133" s="242"/>
      <c r="S133" s="242"/>
      <c r="T133" s="242"/>
      <c r="U133" s="242"/>
      <c r="V133" s="242"/>
      <c r="W133" s="242"/>
      <c r="X133" s="242"/>
      <c r="Y133" s="242"/>
      <c r="Z133" s="242"/>
    </row>
    <row r="134" spans="1:26" s="2" customFormat="1" ht="18" customHeight="1">
      <c r="A134" s="250"/>
      <c r="B134" s="107" t="s">
        <v>252</v>
      </c>
      <c r="C134" s="260"/>
      <c r="D134" s="261"/>
      <c r="E134" s="77">
        <v>0.35</v>
      </c>
      <c r="F134" s="76">
        <v>2</v>
      </c>
      <c r="G134" s="76">
        <v>3</v>
      </c>
      <c r="H134" s="251"/>
      <c r="I134" s="251"/>
      <c r="J134" s="251"/>
      <c r="K134" s="242"/>
      <c r="L134" s="242"/>
      <c r="M134" s="242"/>
      <c r="N134" s="242"/>
      <c r="O134" s="242"/>
      <c r="P134" s="242"/>
      <c r="Q134" s="242"/>
      <c r="R134" s="242"/>
      <c r="S134" s="242"/>
      <c r="T134" s="242"/>
      <c r="U134" s="242"/>
      <c r="V134" s="242"/>
      <c r="W134" s="242"/>
      <c r="X134" s="242"/>
      <c r="Y134" s="242"/>
      <c r="Z134" s="242"/>
    </row>
    <row r="135" spans="1:26" s="2" customFormat="1" ht="18" customHeight="1">
      <c r="A135" s="250"/>
      <c r="B135" s="107" t="s">
        <v>252</v>
      </c>
      <c r="C135" s="260"/>
      <c r="D135" s="261"/>
      <c r="E135" s="77">
        <v>0.4</v>
      </c>
      <c r="F135" s="76">
        <v>3</v>
      </c>
      <c r="G135" s="76">
        <v>4</v>
      </c>
      <c r="H135" s="251"/>
      <c r="I135" s="251"/>
      <c r="J135" s="251"/>
      <c r="K135" s="242"/>
      <c r="L135" s="242"/>
      <c r="M135" s="242"/>
      <c r="N135" s="242"/>
      <c r="O135" s="242"/>
      <c r="P135" s="242"/>
      <c r="Q135" s="242"/>
      <c r="R135" s="242"/>
      <c r="S135" s="242"/>
      <c r="T135" s="242"/>
      <c r="U135" s="242"/>
      <c r="V135" s="242"/>
      <c r="W135" s="242"/>
      <c r="X135" s="242"/>
      <c r="Y135" s="242"/>
      <c r="Z135" s="242"/>
    </row>
    <row r="136" spans="1:26" s="2" customFormat="1" ht="18" customHeight="1">
      <c r="A136" s="250"/>
      <c r="B136" s="107" t="s">
        <v>252</v>
      </c>
      <c r="C136" s="260"/>
      <c r="D136" s="261"/>
      <c r="E136" s="77">
        <v>0.45</v>
      </c>
      <c r="F136" s="76">
        <v>4</v>
      </c>
      <c r="G136" s="76">
        <v>5</v>
      </c>
      <c r="H136" s="251"/>
      <c r="I136" s="251"/>
      <c r="J136" s="251"/>
      <c r="K136" s="242"/>
      <c r="L136" s="242"/>
      <c r="M136" s="242"/>
      <c r="N136" s="242"/>
      <c r="O136" s="242"/>
      <c r="P136" s="242"/>
      <c r="Q136" s="242"/>
      <c r="R136" s="242"/>
      <c r="S136" s="242"/>
      <c r="T136" s="242"/>
      <c r="U136" s="242"/>
      <c r="V136" s="242"/>
      <c r="W136" s="242"/>
      <c r="X136" s="242"/>
      <c r="Y136" s="242"/>
      <c r="Z136" s="242"/>
    </row>
    <row r="137" spans="1:26" s="2" customFormat="1" ht="18" customHeight="1">
      <c r="A137" s="250"/>
      <c r="B137" s="107" t="s">
        <v>252</v>
      </c>
      <c r="C137" s="260"/>
      <c r="D137" s="261"/>
      <c r="E137" s="77">
        <v>0.5</v>
      </c>
      <c r="F137" s="76">
        <v>5</v>
      </c>
      <c r="G137" s="76">
        <v>6</v>
      </c>
      <c r="H137" s="251"/>
      <c r="I137" s="251"/>
      <c r="J137" s="251"/>
      <c r="K137" s="242"/>
      <c r="L137" s="242"/>
      <c r="M137" s="242"/>
      <c r="N137" s="242"/>
      <c r="O137" s="242"/>
      <c r="P137" s="242"/>
      <c r="Q137" s="242"/>
      <c r="R137" s="242"/>
      <c r="S137" s="242"/>
      <c r="T137" s="242"/>
      <c r="U137" s="242"/>
      <c r="V137" s="242"/>
      <c r="W137" s="242"/>
      <c r="X137" s="242"/>
      <c r="Y137" s="242"/>
      <c r="Z137" s="242"/>
    </row>
    <row r="138" spans="1:26" s="2" customFormat="1" ht="18" customHeight="1">
      <c r="A138" s="250"/>
      <c r="B138" s="107" t="s">
        <v>252</v>
      </c>
      <c r="C138" s="260"/>
      <c r="D138" s="261"/>
      <c r="E138" s="77">
        <v>0.55000000000000004</v>
      </c>
      <c r="F138" s="76">
        <v>6</v>
      </c>
      <c r="G138" s="76">
        <v>7</v>
      </c>
      <c r="H138" s="251"/>
      <c r="I138" s="251"/>
      <c r="J138" s="251"/>
      <c r="K138" s="242"/>
      <c r="L138" s="242"/>
      <c r="M138" s="242"/>
      <c r="N138" s="242"/>
      <c r="O138" s="242"/>
      <c r="P138" s="242"/>
      <c r="Q138" s="242"/>
      <c r="R138" s="242"/>
      <c r="S138" s="242"/>
      <c r="T138" s="242"/>
      <c r="U138" s="242"/>
      <c r="V138" s="242"/>
      <c r="W138" s="242"/>
      <c r="X138" s="242"/>
      <c r="Y138" s="242"/>
      <c r="Z138" s="242"/>
    </row>
    <row r="139" spans="1:26" s="2" customFormat="1" ht="18" customHeight="1">
      <c r="A139" s="250"/>
      <c r="B139" s="107" t="s">
        <v>252</v>
      </c>
      <c r="C139" s="260"/>
      <c r="D139" s="261"/>
      <c r="E139" s="77">
        <v>0.6</v>
      </c>
      <c r="F139" s="76">
        <v>7</v>
      </c>
      <c r="G139" s="76">
        <v>7</v>
      </c>
      <c r="H139" s="251"/>
      <c r="I139" s="251"/>
      <c r="J139" s="251"/>
      <c r="K139" s="242"/>
      <c r="L139" s="242"/>
      <c r="M139" s="242"/>
      <c r="N139" s="242"/>
      <c r="O139" s="242"/>
      <c r="P139" s="242"/>
      <c r="Q139" s="242"/>
      <c r="R139" s="242"/>
      <c r="S139" s="242"/>
      <c r="T139" s="242"/>
      <c r="U139" s="242"/>
      <c r="V139" s="242"/>
      <c r="W139" s="242"/>
      <c r="X139" s="242"/>
      <c r="Y139" s="242"/>
      <c r="Z139" s="242"/>
    </row>
    <row r="140" spans="1:26" s="2" customFormat="1" ht="18" customHeight="1">
      <c r="A140" s="250"/>
      <c r="B140" s="107" t="s">
        <v>252</v>
      </c>
      <c r="C140" s="260"/>
      <c r="D140" s="261"/>
      <c r="E140" s="77">
        <v>0.65</v>
      </c>
      <c r="F140" s="76">
        <v>7</v>
      </c>
      <c r="G140" s="76">
        <v>7</v>
      </c>
      <c r="H140" s="251"/>
      <c r="I140" s="251"/>
      <c r="J140" s="251"/>
      <c r="K140" s="242"/>
      <c r="L140" s="242"/>
      <c r="M140" s="242"/>
      <c r="N140" s="242"/>
      <c r="O140" s="242"/>
      <c r="P140" s="242"/>
      <c r="Q140" s="242"/>
      <c r="R140" s="242"/>
      <c r="S140" s="242"/>
      <c r="T140" s="242"/>
      <c r="U140" s="242"/>
      <c r="V140" s="242"/>
      <c r="W140" s="242"/>
      <c r="X140" s="242"/>
      <c r="Y140" s="242"/>
      <c r="Z140" s="242"/>
    </row>
    <row r="141" spans="1:26" s="2" customFormat="1" ht="18" customHeight="1">
      <c r="A141" s="250"/>
      <c r="B141" s="107" t="s">
        <v>253</v>
      </c>
      <c r="C141" s="260"/>
      <c r="D141" s="261"/>
      <c r="E141" s="77">
        <v>0.3</v>
      </c>
      <c r="F141" s="76">
        <v>1</v>
      </c>
      <c r="G141" s="76">
        <v>2</v>
      </c>
      <c r="H141" s="251"/>
      <c r="I141" s="251"/>
      <c r="J141" s="251"/>
      <c r="K141" s="242"/>
      <c r="L141" s="242"/>
      <c r="M141" s="242"/>
      <c r="N141" s="242"/>
      <c r="O141" s="242"/>
      <c r="P141" s="242"/>
      <c r="Q141" s="242"/>
      <c r="R141" s="242"/>
      <c r="S141" s="242"/>
      <c r="T141" s="242"/>
      <c r="U141" s="242"/>
      <c r="V141" s="242"/>
      <c r="W141" s="242"/>
      <c r="X141" s="242"/>
      <c r="Y141" s="242"/>
      <c r="Z141" s="242"/>
    </row>
    <row r="142" spans="1:26" s="2" customFormat="1" ht="18" customHeight="1">
      <c r="A142" s="250"/>
      <c r="B142" s="107" t="s">
        <v>253</v>
      </c>
      <c r="C142" s="260"/>
      <c r="D142" s="261"/>
      <c r="E142" s="77">
        <v>0.35</v>
      </c>
      <c r="F142" s="76">
        <v>2</v>
      </c>
      <c r="G142" s="76">
        <v>3</v>
      </c>
      <c r="H142" s="251"/>
      <c r="I142" s="251"/>
      <c r="J142" s="251"/>
      <c r="K142" s="242"/>
      <c r="L142" s="242"/>
      <c r="M142" s="242"/>
      <c r="N142" s="242"/>
      <c r="O142" s="242"/>
      <c r="P142" s="242"/>
      <c r="Q142" s="242"/>
      <c r="R142" s="242"/>
      <c r="S142" s="242"/>
      <c r="T142" s="242"/>
      <c r="U142" s="242"/>
      <c r="V142" s="242"/>
      <c r="W142" s="242"/>
      <c r="X142" s="242"/>
      <c r="Y142" s="242"/>
      <c r="Z142" s="242"/>
    </row>
    <row r="143" spans="1:26" s="2" customFormat="1" ht="18" customHeight="1">
      <c r="A143" s="250"/>
      <c r="B143" s="107" t="s">
        <v>253</v>
      </c>
      <c r="C143" s="260"/>
      <c r="D143" s="261"/>
      <c r="E143" s="77">
        <v>0.4</v>
      </c>
      <c r="F143" s="76">
        <v>3</v>
      </c>
      <c r="G143" s="76">
        <v>4</v>
      </c>
      <c r="H143" s="251"/>
      <c r="I143" s="251"/>
      <c r="J143" s="251"/>
      <c r="K143" s="242"/>
      <c r="L143" s="242"/>
      <c r="M143" s="242"/>
      <c r="N143" s="242"/>
      <c r="O143" s="242"/>
      <c r="P143" s="242"/>
      <c r="Q143" s="242"/>
      <c r="R143" s="242"/>
      <c r="S143" s="242"/>
      <c r="T143" s="242"/>
      <c r="U143" s="242"/>
      <c r="V143" s="242"/>
      <c r="W143" s="242"/>
      <c r="X143" s="242"/>
      <c r="Y143" s="242"/>
      <c r="Z143" s="242"/>
    </row>
    <row r="144" spans="1:26" s="2" customFormat="1" ht="18" customHeight="1">
      <c r="A144" s="250"/>
      <c r="B144" s="107" t="s">
        <v>253</v>
      </c>
      <c r="C144" s="260"/>
      <c r="D144" s="261"/>
      <c r="E144" s="77">
        <v>0.45</v>
      </c>
      <c r="F144" s="76">
        <v>4</v>
      </c>
      <c r="G144" s="76">
        <v>5</v>
      </c>
      <c r="H144" s="251"/>
      <c r="I144" s="251"/>
      <c r="J144" s="251"/>
      <c r="K144" s="242"/>
      <c r="L144" s="242"/>
      <c r="M144" s="242"/>
      <c r="N144" s="242"/>
      <c r="O144" s="242"/>
      <c r="P144" s="242"/>
      <c r="Q144" s="242"/>
      <c r="R144" s="242"/>
      <c r="S144" s="242"/>
      <c r="T144" s="242"/>
      <c r="U144" s="242"/>
      <c r="V144" s="242"/>
      <c r="W144" s="242"/>
      <c r="X144" s="242"/>
      <c r="Y144" s="242"/>
      <c r="Z144" s="242"/>
    </row>
    <row r="145" spans="1:26" s="2" customFormat="1" ht="18" customHeight="1">
      <c r="A145" s="250"/>
      <c r="B145" s="107" t="s">
        <v>253</v>
      </c>
      <c r="C145" s="260"/>
      <c r="D145" s="261"/>
      <c r="E145" s="77">
        <v>0.5</v>
      </c>
      <c r="F145" s="76">
        <v>5</v>
      </c>
      <c r="G145" s="76">
        <v>6</v>
      </c>
      <c r="H145" s="251"/>
      <c r="I145" s="251"/>
      <c r="J145" s="251"/>
      <c r="K145" s="242"/>
      <c r="L145" s="242"/>
      <c r="M145" s="242"/>
      <c r="N145" s="242"/>
      <c r="O145" s="242"/>
      <c r="P145" s="242"/>
      <c r="Q145" s="242"/>
      <c r="R145" s="242"/>
      <c r="S145" s="242"/>
      <c r="T145" s="242"/>
      <c r="U145" s="242"/>
      <c r="V145" s="242"/>
      <c r="W145" s="242"/>
      <c r="X145" s="242"/>
      <c r="Y145" s="242"/>
      <c r="Z145" s="242"/>
    </row>
    <row r="146" spans="1:26" s="2" customFormat="1" ht="18" customHeight="1">
      <c r="A146" s="250"/>
      <c r="B146" s="107" t="s">
        <v>253</v>
      </c>
      <c r="C146" s="260"/>
      <c r="D146" s="261"/>
      <c r="E146" s="77">
        <v>0.55000000000000004</v>
      </c>
      <c r="F146" s="76">
        <v>6</v>
      </c>
      <c r="G146" s="76">
        <v>7</v>
      </c>
      <c r="H146" s="251"/>
      <c r="I146" s="251"/>
      <c r="J146" s="251"/>
      <c r="K146" s="242"/>
      <c r="L146" s="242"/>
      <c r="M146" s="242"/>
      <c r="N146" s="242"/>
      <c r="O146" s="242"/>
      <c r="P146" s="242"/>
      <c r="Q146" s="242"/>
      <c r="R146" s="242"/>
      <c r="S146" s="242"/>
      <c r="T146" s="242"/>
      <c r="U146" s="242"/>
      <c r="V146" s="242"/>
      <c r="W146" s="242"/>
      <c r="X146" s="242"/>
      <c r="Y146" s="242"/>
      <c r="Z146" s="242"/>
    </row>
    <row r="147" spans="1:26" s="2" customFormat="1" ht="18" customHeight="1">
      <c r="A147" s="250"/>
      <c r="B147" s="107" t="s">
        <v>253</v>
      </c>
      <c r="C147" s="260"/>
      <c r="D147" s="261"/>
      <c r="E147" s="77">
        <v>0.6</v>
      </c>
      <c r="F147" s="76">
        <v>7</v>
      </c>
      <c r="G147" s="76">
        <v>8</v>
      </c>
      <c r="H147" s="251"/>
      <c r="I147" s="251"/>
      <c r="J147" s="251"/>
      <c r="K147" s="242"/>
      <c r="L147" s="242"/>
      <c r="M147" s="242"/>
      <c r="N147" s="242"/>
      <c r="O147" s="242"/>
      <c r="P147" s="242"/>
      <c r="Q147" s="242"/>
      <c r="R147" s="242"/>
      <c r="S147" s="242"/>
      <c r="T147" s="242"/>
      <c r="U147" s="242"/>
      <c r="V147" s="242"/>
      <c r="W147" s="242"/>
      <c r="X147" s="242"/>
      <c r="Y147" s="242"/>
      <c r="Z147" s="242"/>
    </row>
    <row r="148" spans="1:26" s="2" customFormat="1" ht="18" customHeight="1">
      <c r="A148" s="250"/>
      <c r="B148" s="107" t="s">
        <v>253</v>
      </c>
      <c r="C148" s="260"/>
      <c r="D148" s="261"/>
      <c r="E148" s="77">
        <v>0.65</v>
      </c>
      <c r="F148" s="76">
        <v>8</v>
      </c>
      <c r="G148" s="76">
        <v>8</v>
      </c>
      <c r="H148" s="251"/>
      <c r="I148" s="251"/>
      <c r="J148" s="251"/>
      <c r="K148" s="242"/>
      <c r="L148" s="242"/>
      <c r="M148" s="242"/>
      <c r="N148" s="242"/>
      <c r="O148" s="242"/>
      <c r="P148" s="242"/>
      <c r="Q148" s="242"/>
      <c r="R148" s="242"/>
      <c r="S148" s="242"/>
      <c r="T148" s="242"/>
      <c r="U148" s="242"/>
      <c r="V148" s="242"/>
      <c r="W148" s="242"/>
      <c r="X148" s="242"/>
      <c r="Y148" s="242"/>
      <c r="Z148" s="242"/>
    </row>
    <row r="149" spans="1:26" s="2" customFormat="1" ht="18" customHeight="1">
      <c r="A149" s="250"/>
      <c r="B149" s="145"/>
      <c r="C149" s="145"/>
      <c r="D149" s="145"/>
      <c r="E149" s="149"/>
      <c r="F149" s="145"/>
      <c r="G149" s="150"/>
      <c r="H149" s="251"/>
      <c r="I149" s="251"/>
      <c r="J149" s="251"/>
      <c r="K149" s="242"/>
      <c r="L149" s="242"/>
      <c r="M149" s="242"/>
      <c r="N149" s="242"/>
      <c r="O149" s="242"/>
      <c r="P149" s="242"/>
      <c r="Q149" s="242"/>
      <c r="R149" s="242"/>
      <c r="S149" s="242"/>
      <c r="T149" s="242"/>
      <c r="U149" s="242"/>
      <c r="V149" s="242"/>
      <c r="W149" s="242"/>
      <c r="X149" s="242"/>
      <c r="Y149" s="242"/>
      <c r="Z149" s="242"/>
    </row>
    <row r="150" spans="1:26" s="2" customFormat="1" ht="18" customHeight="1">
      <c r="A150" s="250"/>
      <c r="B150" s="145"/>
      <c r="C150" s="145"/>
      <c r="D150" s="145"/>
      <c r="E150" s="149"/>
      <c r="F150" s="145"/>
      <c r="G150" s="150"/>
      <c r="H150" s="251"/>
      <c r="I150" s="251"/>
      <c r="J150" s="251"/>
      <c r="K150" s="242"/>
      <c r="L150" s="242"/>
      <c r="M150" s="242"/>
      <c r="N150" s="242"/>
      <c r="O150" s="242"/>
      <c r="P150" s="242"/>
      <c r="Q150" s="242"/>
      <c r="R150" s="242"/>
      <c r="S150" s="242"/>
      <c r="T150" s="242"/>
      <c r="U150" s="242"/>
      <c r="V150" s="242"/>
      <c r="W150" s="242"/>
      <c r="X150" s="242"/>
      <c r="Y150" s="242"/>
      <c r="Z150" s="242"/>
    </row>
    <row r="151" spans="1:26" s="2" customFormat="1" ht="18" customHeight="1">
      <c r="A151" s="250"/>
      <c r="B151" s="145"/>
      <c r="C151" s="145"/>
      <c r="D151" s="145"/>
      <c r="E151" s="149"/>
      <c r="F151" s="145"/>
      <c r="G151" s="150"/>
      <c r="H151" s="251"/>
      <c r="I151" s="251"/>
      <c r="J151" s="251"/>
      <c r="K151" s="242"/>
      <c r="L151" s="242"/>
      <c r="M151" s="242"/>
      <c r="N151" s="242"/>
      <c r="O151" s="242"/>
      <c r="P151" s="242"/>
      <c r="Q151" s="242"/>
      <c r="R151" s="242"/>
      <c r="S151" s="242"/>
      <c r="T151" s="242"/>
      <c r="U151" s="242"/>
      <c r="V151" s="242"/>
      <c r="W151" s="242"/>
      <c r="X151" s="242"/>
      <c r="Y151" s="242"/>
      <c r="Z151" s="242"/>
    </row>
    <row r="152" spans="1:26" s="2" customFormat="1" ht="18" customHeight="1">
      <c r="A152" s="250"/>
      <c r="B152" s="145"/>
      <c r="C152" s="145"/>
      <c r="D152" s="145"/>
      <c r="E152" s="149"/>
      <c r="F152" s="145"/>
      <c r="G152" s="150"/>
      <c r="H152" s="251"/>
      <c r="I152" s="251"/>
      <c r="J152" s="251"/>
      <c r="K152" s="242"/>
      <c r="L152" s="242"/>
      <c r="M152" s="242"/>
      <c r="N152" s="242"/>
      <c r="O152" s="242"/>
      <c r="P152" s="242"/>
      <c r="Q152" s="242"/>
      <c r="R152" s="242"/>
      <c r="S152" s="242"/>
      <c r="T152" s="242"/>
      <c r="U152" s="242"/>
      <c r="V152" s="242"/>
      <c r="W152" s="242"/>
      <c r="X152" s="242"/>
      <c r="Y152" s="242"/>
      <c r="Z152" s="242"/>
    </row>
    <row r="153" spans="1:26" s="2" customFormat="1" ht="18" customHeight="1">
      <c r="A153" s="250"/>
      <c r="B153" s="145"/>
      <c r="C153" s="145"/>
      <c r="D153" s="145"/>
      <c r="E153" s="149"/>
      <c r="F153" s="145"/>
      <c r="G153" s="150"/>
      <c r="H153" s="251"/>
      <c r="I153" s="251"/>
      <c r="J153" s="251"/>
      <c r="K153" s="242"/>
      <c r="L153" s="242"/>
      <c r="M153" s="242"/>
      <c r="N153" s="242"/>
      <c r="O153" s="242"/>
      <c r="P153" s="242"/>
      <c r="Q153" s="242"/>
      <c r="R153" s="242"/>
      <c r="S153" s="242"/>
      <c r="T153" s="242"/>
      <c r="U153" s="242"/>
      <c r="V153" s="242"/>
      <c r="W153" s="242"/>
      <c r="X153" s="242"/>
      <c r="Y153" s="242"/>
      <c r="Z153" s="242"/>
    </row>
    <row r="154" spans="1:26" s="2" customFormat="1" ht="18" customHeight="1">
      <c r="A154" s="250"/>
      <c r="B154" s="145"/>
      <c r="C154" s="145"/>
      <c r="D154" s="145"/>
      <c r="E154" s="149"/>
      <c r="F154" s="145"/>
      <c r="G154" s="150"/>
      <c r="H154" s="251"/>
      <c r="I154" s="251"/>
      <c r="J154" s="251"/>
      <c r="K154" s="242"/>
      <c r="L154" s="242"/>
      <c r="M154" s="242"/>
      <c r="N154" s="242"/>
      <c r="O154" s="242"/>
      <c r="P154" s="242"/>
      <c r="Q154" s="242"/>
      <c r="R154" s="242"/>
      <c r="S154" s="242"/>
      <c r="T154" s="242"/>
      <c r="U154" s="242"/>
      <c r="V154" s="242"/>
      <c r="W154" s="242"/>
      <c r="X154" s="242"/>
      <c r="Y154" s="242"/>
      <c r="Z154" s="242"/>
    </row>
    <row r="155" spans="1:26" s="2" customFormat="1" ht="18" customHeight="1">
      <c r="A155" s="250"/>
      <c r="B155" s="145"/>
      <c r="C155" s="145"/>
      <c r="D155" s="145"/>
      <c r="E155" s="149"/>
      <c r="F155" s="145"/>
      <c r="G155" s="150"/>
      <c r="H155" s="251"/>
      <c r="I155" s="251"/>
      <c r="J155" s="251"/>
      <c r="K155" s="242"/>
      <c r="L155" s="242"/>
      <c r="M155" s="242"/>
      <c r="N155" s="242"/>
      <c r="O155" s="242"/>
      <c r="P155" s="242"/>
      <c r="Q155" s="242"/>
      <c r="R155" s="242"/>
      <c r="S155" s="242"/>
      <c r="T155" s="242"/>
      <c r="U155" s="242"/>
      <c r="V155" s="242"/>
      <c r="W155" s="242"/>
      <c r="X155" s="242"/>
      <c r="Y155" s="242"/>
      <c r="Z155" s="242"/>
    </row>
    <row r="156" spans="1:26" s="2" customFormat="1" ht="18" customHeight="1">
      <c r="A156" s="250"/>
      <c r="B156" s="145"/>
      <c r="C156" s="145"/>
      <c r="D156" s="145"/>
      <c r="E156" s="149"/>
      <c r="F156" s="145"/>
      <c r="G156" s="150"/>
      <c r="H156" s="251"/>
      <c r="I156" s="251"/>
      <c r="J156" s="251"/>
      <c r="K156" s="242"/>
      <c r="L156" s="242"/>
      <c r="M156" s="242"/>
      <c r="N156" s="242"/>
      <c r="O156" s="242"/>
      <c r="P156" s="242"/>
      <c r="Q156" s="242"/>
      <c r="R156" s="242"/>
      <c r="S156" s="242"/>
      <c r="T156" s="242"/>
      <c r="U156" s="242"/>
      <c r="V156" s="242"/>
      <c r="W156" s="242"/>
      <c r="X156" s="242"/>
      <c r="Y156" s="242"/>
      <c r="Z156" s="242"/>
    </row>
    <row r="157" spans="1:26" s="2" customFormat="1" ht="18" customHeight="1">
      <c r="A157" s="250"/>
      <c r="B157" s="145"/>
      <c r="C157" s="145"/>
      <c r="D157" s="145"/>
      <c r="E157" s="149"/>
      <c r="F157" s="145"/>
      <c r="G157" s="150"/>
      <c r="H157" s="251"/>
      <c r="I157" s="251"/>
      <c r="J157" s="251"/>
      <c r="K157" s="242"/>
      <c r="L157" s="242"/>
      <c r="M157" s="242"/>
      <c r="N157" s="242"/>
      <c r="O157" s="242"/>
      <c r="P157" s="242"/>
      <c r="Q157" s="242"/>
      <c r="R157" s="242"/>
      <c r="S157" s="242"/>
      <c r="T157" s="242"/>
      <c r="U157" s="242"/>
      <c r="V157" s="242"/>
      <c r="W157" s="242"/>
      <c r="X157" s="242"/>
      <c r="Y157" s="242"/>
      <c r="Z157" s="242"/>
    </row>
    <row r="158" spans="1:26" s="2" customFormat="1" ht="18" customHeight="1">
      <c r="A158" s="250"/>
      <c r="B158" s="145"/>
      <c r="C158" s="145"/>
      <c r="D158" s="145"/>
      <c r="E158" s="149"/>
      <c r="F158" s="145"/>
      <c r="G158" s="150"/>
      <c r="H158" s="251"/>
      <c r="I158" s="251"/>
      <c r="J158" s="251"/>
      <c r="K158" s="242"/>
      <c r="L158" s="242"/>
      <c r="M158" s="242"/>
      <c r="N158" s="242"/>
      <c r="O158" s="242"/>
      <c r="P158" s="242"/>
      <c r="Q158" s="242"/>
      <c r="R158" s="242"/>
      <c r="S158" s="242"/>
      <c r="T158" s="242"/>
      <c r="U158" s="242"/>
      <c r="V158" s="242"/>
      <c r="W158" s="242"/>
      <c r="X158" s="242"/>
      <c r="Y158" s="242"/>
      <c r="Z158" s="242"/>
    </row>
    <row r="159" spans="1:26" s="2" customFormat="1" ht="18" customHeight="1">
      <c r="A159" s="250"/>
      <c r="B159" s="145"/>
      <c r="C159" s="145"/>
      <c r="D159" s="145"/>
      <c r="E159" s="149"/>
      <c r="F159" s="145"/>
      <c r="G159" s="150"/>
      <c r="H159" s="251"/>
      <c r="I159" s="251"/>
      <c r="J159" s="251"/>
      <c r="K159" s="242"/>
      <c r="L159" s="242"/>
      <c r="M159" s="242"/>
      <c r="N159" s="242"/>
      <c r="O159" s="242"/>
      <c r="P159" s="242"/>
      <c r="Q159" s="242"/>
      <c r="R159" s="242"/>
      <c r="S159" s="242"/>
      <c r="T159" s="242"/>
      <c r="U159" s="242"/>
      <c r="V159" s="242"/>
      <c r="W159" s="242"/>
      <c r="X159" s="242"/>
      <c r="Y159" s="242"/>
      <c r="Z159" s="242"/>
    </row>
    <row r="160" spans="1:26" s="2" customFormat="1" ht="18" customHeight="1">
      <c r="A160" s="250"/>
      <c r="B160" s="145"/>
      <c r="C160" s="145"/>
      <c r="D160" s="145"/>
      <c r="E160" s="149"/>
      <c r="F160" s="145"/>
      <c r="G160" s="150"/>
      <c r="H160" s="251"/>
      <c r="I160" s="251"/>
      <c r="J160" s="251"/>
      <c r="K160" s="242"/>
      <c r="L160" s="242"/>
      <c r="M160" s="242"/>
      <c r="N160" s="242"/>
      <c r="O160" s="242"/>
      <c r="P160" s="242"/>
      <c r="Q160" s="242"/>
      <c r="R160" s="242"/>
      <c r="S160" s="242"/>
      <c r="T160" s="242"/>
      <c r="U160" s="242"/>
      <c r="V160" s="242"/>
      <c r="W160" s="242"/>
      <c r="X160" s="242"/>
      <c r="Y160" s="242"/>
      <c r="Z160" s="242"/>
    </row>
    <row r="161" spans="1:26" s="2" customFormat="1" ht="18" customHeight="1">
      <c r="A161" s="250"/>
      <c r="B161" s="145"/>
      <c r="C161" s="145"/>
      <c r="D161" s="145"/>
      <c r="E161" s="149"/>
      <c r="F161" s="145"/>
      <c r="G161" s="150"/>
      <c r="H161" s="251"/>
      <c r="I161" s="251"/>
      <c r="J161" s="251"/>
      <c r="K161" s="242"/>
      <c r="L161" s="242"/>
      <c r="M161" s="242"/>
      <c r="N161" s="242"/>
      <c r="O161" s="242"/>
      <c r="P161" s="242"/>
      <c r="Q161" s="242"/>
      <c r="R161" s="242"/>
      <c r="S161" s="242"/>
      <c r="T161" s="242"/>
      <c r="U161" s="242"/>
      <c r="V161" s="242"/>
      <c r="W161" s="242"/>
      <c r="X161" s="242"/>
      <c r="Y161" s="242"/>
      <c r="Z161" s="242"/>
    </row>
    <row r="162" spans="1:26" s="2" customFormat="1" ht="18" customHeight="1">
      <c r="A162" s="250"/>
      <c r="B162" s="145"/>
      <c r="C162" s="145"/>
      <c r="D162" s="145"/>
      <c r="E162" s="149"/>
      <c r="F162" s="145"/>
      <c r="G162" s="150"/>
      <c r="H162" s="251"/>
      <c r="I162" s="251"/>
      <c r="J162" s="251"/>
      <c r="K162" s="242"/>
      <c r="L162" s="242"/>
      <c r="M162" s="242"/>
      <c r="N162" s="242"/>
      <c r="O162" s="242"/>
      <c r="P162" s="242"/>
      <c r="Q162" s="242"/>
      <c r="R162" s="242"/>
      <c r="S162" s="242"/>
      <c r="T162" s="242"/>
      <c r="U162" s="242"/>
      <c r="V162" s="242"/>
      <c r="W162" s="242"/>
      <c r="X162" s="242"/>
      <c r="Y162" s="242"/>
      <c r="Z162" s="242"/>
    </row>
    <row r="163" spans="1:26" s="2" customFormat="1" ht="18" customHeight="1">
      <c r="A163" s="250"/>
      <c r="B163" s="145"/>
      <c r="C163" s="145"/>
      <c r="D163" s="145"/>
      <c r="E163" s="149"/>
      <c r="F163" s="145"/>
      <c r="G163" s="150"/>
      <c r="H163" s="251"/>
      <c r="I163" s="251"/>
      <c r="J163" s="251"/>
      <c r="K163" s="242"/>
      <c r="L163" s="242"/>
      <c r="M163" s="242"/>
      <c r="N163" s="242"/>
      <c r="O163" s="242"/>
      <c r="P163" s="242"/>
      <c r="Q163" s="242"/>
      <c r="R163" s="242"/>
      <c r="S163" s="242"/>
      <c r="T163" s="242"/>
      <c r="U163" s="242"/>
      <c r="V163" s="242"/>
      <c r="W163" s="242"/>
      <c r="X163" s="242"/>
      <c r="Y163" s="242"/>
      <c r="Z163" s="242"/>
    </row>
    <row r="164" spans="1:26" s="2" customFormat="1" ht="18" customHeight="1">
      <c r="A164" s="250"/>
      <c r="B164" s="145"/>
      <c r="C164" s="145"/>
      <c r="D164" s="145"/>
      <c r="E164" s="149"/>
      <c r="F164" s="145"/>
      <c r="G164" s="150"/>
      <c r="H164" s="251"/>
      <c r="I164" s="251"/>
      <c r="J164" s="251"/>
      <c r="K164" s="242"/>
      <c r="L164" s="242"/>
      <c r="M164" s="242"/>
      <c r="N164" s="242"/>
      <c r="O164" s="242"/>
      <c r="P164" s="242"/>
      <c r="Q164" s="242"/>
      <c r="R164" s="242"/>
      <c r="S164" s="242"/>
      <c r="T164" s="242"/>
      <c r="U164" s="242"/>
      <c r="V164" s="242"/>
      <c r="W164" s="242"/>
      <c r="X164" s="242"/>
      <c r="Y164" s="242"/>
      <c r="Z164" s="242"/>
    </row>
    <row r="165" spans="1:26" s="2" customFormat="1" ht="18" customHeight="1">
      <c r="A165" s="250"/>
      <c r="B165" s="145"/>
      <c r="C165" s="145"/>
      <c r="D165" s="145"/>
      <c r="E165" s="149"/>
      <c r="F165" s="145"/>
      <c r="G165" s="150"/>
      <c r="H165" s="251"/>
      <c r="I165" s="251"/>
      <c r="J165" s="251"/>
      <c r="K165" s="242"/>
      <c r="L165" s="242"/>
      <c r="M165" s="242"/>
      <c r="N165" s="242"/>
      <c r="O165" s="242"/>
      <c r="P165" s="242"/>
      <c r="Q165" s="242"/>
      <c r="R165" s="242"/>
      <c r="S165" s="242"/>
      <c r="T165" s="242"/>
      <c r="U165" s="242"/>
      <c r="V165" s="242"/>
      <c r="W165" s="242"/>
      <c r="X165" s="242"/>
      <c r="Y165" s="242"/>
      <c r="Z165" s="242"/>
    </row>
    <row r="166" spans="1:26" s="2" customFormat="1" ht="18" customHeight="1">
      <c r="A166" s="250"/>
      <c r="B166" s="145"/>
      <c r="C166" s="145"/>
      <c r="D166" s="145"/>
      <c r="E166" s="149"/>
      <c r="F166" s="145"/>
      <c r="G166" s="150"/>
      <c r="H166" s="251"/>
      <c r="I166" s="251"/>
      <c r="J166" s="251"/>
      <c r="K166" s="242"/>
      <c r="L166" s="242"/>
      <c r="M166" s="242"/>
      <c r="N166" s="242"/>
      <c r="O166" s="242"/>
      <c r="P166" s="242"/>
      <c r="Q166" s="242"/>
      <c r="R166" s="242"/>
      <c r="S166" s="242"/>
      <c r="T166" s="242"/>
      <c r="U166" s="242"/>
      <c r="V166" s="242"/>
      <c r="W166" s="242"/>
      <c r="X166" s="242"/>
      <c r="Y166" s="242"/>
      <c r="Z166" s="242"/>
    </row>
    <row r="167" spans="1:26" s="2" customFormat="1" ht="18" customHeight="1">
      <c r="A167" s="250"/>
      <c r="B167" s="145"/>
      <c r="C167" s="145"/>
      <c r="D167" s="145"/>
      <c r="E167" s="149"/>
      <c r="F167" s="145"/>
      <c r="G167" s="150"/>
      <c r="H167" s="251"/>
      <c r="I167" s="251"/>
      <c r="J167" s="251"/>
      <c r="K167" s="242"/>
      <c r="L167" s="242"/>
      <c r="M167" s="242"/>
      <c r="N167" s="242"/>
      <c r="O167" s="242"/>
      <c r="P167" s="242"/>
      <c r="Q167" s="242"/>
      <c r="R167" s="242"/>
      <c r="S167" s="242"/>
      <c r="T167" s="242"/>
      <c r="U167" s="242"/>
      <c r="V167" s="242"/>
      <c r="W167" s="242"/>
      <c r="X167" s="242"/>
      <c r="Y167" s="242"/>
      <c r="Z167" s="242"/>
    </row>
    <row r="168" spans="1:26" s="2" customFormat="1" ht="18" customHeight="1">
      <c r="A168" s="250"/>
      <c r="B168" s="145"/>
      <c r="C168" s="145"/>
      <c r="D168" s="145"/>
      <c r="E168" s="149"/>
      <c r="F168" s="145"/>
      <c r="G168" s="150"/>
      <c r="H168" s="251"/>
      <c r="I168" s="251"/>
      <c r="J168" s="251"/>
      <c r="K168" s="242"/>
      <c r="L168" s="242"/>
      <c r="M168" s="242"/>
      <c r="N168" s="242"/>
      <c r="O168" s="242"/>
      <c r="P168" s="242"/>
      <c r="Q168" s="242"/>
      <c r="R168" s="242"/>
      <c r="S168" s="242"/>
      <c r="T168" s="242"/>
      <c r="U168" s="242"/>
      <c r="V168" s="242"/>
      <c r="W168" s="242"/>
      <c r="X168" s="242"/>
      <c r="Y168" s="242"/>
      <c r="Z168" s="242"/>
    </row>
    <row r="169" spans="1:26" s="2" customFormat="1" ht="18" customHeight="1">
      <c r="A169" s="250"/>
      <c r="B169" s="145"/>
      <c r="C169" s="145"/>
      <c r="D169" s="145"/>
      <c r="E169" s="149"/>
      <c r="F169" s="145"/>
      <c r="G169" s="150"/>
      <c r="H169" s="251"/>
      <c r="I169" s="251"/>
      <c r="J169" s="251"/>
      <c r="K169" s="242"/>
      <c r="L169" s="242"/>
      <c r="M169" s="242"/>
      <c r="N169" s="242"/>
      <c r="O169" s="242"/>
      <c r="P169" s="242"/>
      <c r="Q169" s="242"/>
      <c r="R169" s="242"/>
      <c r="S169" s="242"/>
      <c r="T169" s="242"/>
      <c r="U169" s="242"/>
      <c r="V169" s="242"/>
      <c r="W169" s="242"/>
      <c r="X169" s="242"/>
      <c r="Y169" s="242"/>
      <c r="Z169" s="242"/>
    </row>
    <row r="170" spans="1:26" s="2" customFormat="1" ht="18" customHeight="1">
      <c r="A170" s="250"/>
      <c r="B170" s="145"/>
      <c r="C170" s="145"/>
      <c r="D170" s="145"/>
      <c r="E170" s="149"/>
      <c r="F170" s="145"/>
      <c r="G170" s="150"/>
      <c r="H170" s="251"/>
      <c r="I170" s="251"/>
      <c r="J170" s="251"/>
      <c r="K170" s="242"/>
      <c r="L170" s="242"/>
      <c r="M170" s="242"/>
      <c r="N170" s="242"/>
      <c r="O170" s="242"/>
      <c r="P170" s="242"/>
      <c r="Q170" s="242"/>
      <c r="R170" s="242"/>
      <c r="S170" s="242"/>
      <c r="T170" s="242"/>
      <c r="U170" s="242"/>
      <c r="V170" s="242"/>
      <c r="W170" s="242"/>
      <c r="X170" s="242"/>
      <c r="Y170" s="242"/>
      <c r="Z170" s="242"/>
    </row>
    <row r="171" spans="1:26" s="2" customFormat="1" ht="18" customHeight="1">
      <c r="A171" s="250"/>
      <c r="B171" s="145"/>
      <c r="C171" s="145"/>
      <c r="D171" s="145"/>
      <c r="E171" s="149"/>
      <c r="F171" s="145"/>
      <c r="G171" s="150"/>
      <c r="H171" s="251"/>
      <c r="I171" s="251"/>
      <c r="J171" s="251"/>
      <c r="K171" s="242"/>
      <c r="L171" s="242"/>
      <c r="M171" s="242"/>
      <c r="N171" s="242"/>
      <c r="O171" s="242"/>
      <c r="P171" s="242"/>
      <c r="Q171" s="242"/>
      <c r="R171" s="242"/>
      <c r="S171" s="242"/>
      <c r="T171" s="242"/>
      <c r="U171" s="242"/>
      <c r="V171" s="242"/>
      <c r="W171" s="242"/>
      <c r="X171" s="242"/>
      <c r="Y171" s="242"/>
      <c r="Z171" s="242"/>
    </row>
    <row r="172" spans="1:26" s="2" customFormat="1" ht="18" customHeight="1">
      <c r="A172" s="250"/>
      <c r="B172" s="145"/>
      <c r="C172" s="145"/>
      <c r="D172" s="145"/>
      <c r="E172" s="149"/>
      <c r="F172" s="145"/>
      <c r="G172" s="150"/>
      <c r="H172" s="251"/>
      <c r="I172" s="251"/>
      <c r="J172" s="251"/>
      <c r="K172" s="242"/>
      <c r="L172" s="242"/>
      <c r="M172" s="242"/>
      <c r="N172" s="242"/>
      <c r="O172" s="242"/>
      <c r="P172" s="242"/>
      <c r="Q172" s="242"/>
      <c r="R172" s="242"/>
      <c r="S172" s="242"/>
      <c r="T172" s="242"/>
      <c r="U172" s="242"/>
      <c r="V172" s="242"/>
      <c r="W172" s="242"/>
      <c r="X172" s="242"/>
      <c r="Y172" s="242"/>
      <c r="Z172" s="242"/>
    </row>
    <row r="173" spans="1:26" s="2" customFormat="1" ht="18" customHeight="1">
      <c r="A173" s="250"/>
      <c r="B173" s="145"/>
      <c r="C173" s="145"/>
      <c r="D173" s="145"/>
      <c r="E173" s="149"/>
      <c r="F173" s="145"/>
      <c r="G173" s="150"/>
      <c r="H173" s="251"/>
      <c r="I173" s="251"/>
      <c r="J173" s="251"/>
      <c r="K173" s="242"/>
      <c r="L173" s="242"/>
      <c r="M173" s="242"/>
      <c r="N173" s="242"/>
      <c r="O173" s="242"/>
      <c r="P173" s="242"/>
      <c r="Q173" s="242"/>
      <c r="R173" s="242"/>
      <c r="S173" s="242"/>
      <c r="T173" s="242"/>
      <c r="U173" s="242"/>
      <c r="V173" s="242"/>
      <c r="W173" s="242"/>
      <c r="X173" s="242"/>
      <c r="Y173" s="242"/>
      <c r="Z173" s="242"/>
    </row>
    <row r="174" spans="1:26" s="2" customFormat="1" ht="18" customHeight="1">
      <c r="A174" s="250"/>
      <c r="B174" s="145"/>
      <c r="C174" s="145"/>
      <c r="D174" s="145"/>
      <c r="E174" s="149"/>
      <c r="F174" s="145"/>
      <c r="G174" s="150"/>
      <c r="H174" s="251"/>
      <c r="I174" s="251"/>
      <c r="J174" s="251"/>
      <c r="K174" s="242"/>
      <c r="L174" s="242"/>
      <c r="M174" s="242"/>
      <c r="N174" s="242"/>
      <c r="O174" s="242"/>
      <c r="P174" s="242"/>
      <c r="Q174" s="242"/>
      <c r="R174" s="242"/>
      <c r="S174" s="242"/>
      <c r="T174" s="242"/>
      <c r="U174" s="242"/>
      <c r="V174" s="242"/>
      <c r="W174" s="242"/>
      <c r="X174" s="242"/>
      <c r="Y174" s="242"/>
      <c r="Z174" s="242"/>
    </row>
    <row r="175" spans="1:26" s="2" customFormat="1" ht="18" customHeight="1">
      <c r="A175" s="250"/>
      <c r="B175" s="145"/>
      <c r="C175" s="145"/>
      <c r="D175" s="145"/>
      <c r="E175" s="149"/>
      <c r="F175" s="145"/>
      <c r="G175" s="150"/>
      <c r="H175" s="251"/>
      <c r="I175" s="251"/>
      <c r="J175" s="251"/>
      <c r="K175" s="242"/>
      <c r="L175" s="242"/>
      <c r="M175" s="242"/>
      <c r="N175" s="242"/>
      <c r="O175" s="242"/>
      <c r="P175" s="242"/>
      <c r="Q175" s="242"/>
      <c r="R175" s="242"/>
      <c r="S175" s="242"/>
      <c r="T175" s="242"/>
      <c r="U175" s="242"/>
      <c r="V175" s="242"/>
      <c r="W175" s="242"/>
      <c r="X175" s="242"/>
      <c r="Y175" s="242"/>
      <c r="Z175" s="242"/>
    </row>
    <row r="176" spans="1:26" s="2" customFormat="1" ht="18" customHeight="1">
      <c r="A176" s="250"/>
      <c r="B176" s="145"/>
      <c r="C176" s="145"/>
      <c r="D176" s="145"/>
      <c r="E176" s="149"/>
      <c r="F176" s="145"/>
      <c r="G176" s="150"/>
      <c r="H176" s="251"/>
      <c r="I176" s="251"/>
      <c r="J176" s="251"/>
      <c r="K176" s="242"/>
      <c r="L176" s="242"/>
      <c r="M176" s="242"/>
      <c r="N176" s="242"/>
      <c r="O176" s="242"/>
      <c r="P176" s="242"/>
      <c r="Q176" s="242"/>
      <c r="R176" s="242"/>
      <c r="S176" s="242"/>
      <c r="T176" s="242"/>
      <c r="U176" s="242"/>
      <c r="V176" s="242"/>
      <c r="W176" s="242"/>
      <c r="X176" s="242"/>
      <c r="Y176" s="242"/>
      <c r="Z176" s="242"/>
    </row>
    <row r="177" spans="1:26" s="2" customFormat="1" ht="18" customHeight="1">
      <c r="A177" s="250"/>
      <c r="B177" s="145"/>
      <c r="C177" s="145"/>
      <c r="D177" s="145"/>
      <c r="E177" s="149"/>
      <c r="F177" s="145"/>
      <c r="G177" s="150"/>
      <c r="H177" s="251"/>
      <c r="I177" s="251"/>
      <c r="J177" s="251"/>
      <c r="K177" s="242"/>
      <c r="L177" s="242"/>
      <c r="M177" s="242"/>
      <c r="N177" s="242"/>
      <c r="O177" s="242"/>
      <c r="P177" s="242"/>
      <c r="Q177" s="242"/>
      <c r="R177" s="242"/>
      <c r="S177" s="242"/>
      <c r="T177" s="242"/>
      <c r="U177" s="242"/>
      <c r="V177" s="242"/>
      <c r="W177" s="242"/>
      <c r="X177" s="242"/>
      <c r="Y177" s="242"/>
      <c r="Z177" s="242"/>
    </row>
    <row r="178" spans="1:26" s="2" customFormat="1" ht="18" customHeight="1">
      <c r="A178" s="250"/>
      <c r="B178" s="145"/>
      <c r="C178" s="145"/>
      <c r="D178" s="145"/>
      <c r="E178" s="149"/>
      <c r="F178" s="145"/>
      <c r="G178" s="150"/>
      <c r="H178" s="251"/>
      <c r="I178" s="251"/>
      <c r="J178" s="251"/>
      <c r="K178" s="242"/>
      <c r="L178" s="242"/>
      <c r="M178" s="242"/>
      <c r="N178" s="242"/>
      <c r="O178" s="242"/>
      <c r="P178" s="242"/>
      <c r="Q178" s="242"/>
      <c r="R178" s="242"/>
      <c r="S178" s="242"/>
      <c r="T178" s="242"/>
      <c r="U178" s="242"/>
      <c r="V178" s="242"/>
      <c r="W178" s="242"/>
      <c r="X178" s="242"/>
      <c r="Y178" s="242"/>
      <c r="Z178" s="242"/>
    </row>
    <row r="179" spans="1:26" s="2" customFormat="1" ht="18" customHeight="1">
      <c r="A179" s="250"/>
      <c r="B179" s="145"/>
      <c r="C179" s="145"/>
      <c r="D179" s="145"/>
      <c r="E179" s="149"/>
      <c r="F179" s="145"/>
      <c r="G179" s="150"/>
      <c r="H179" s="251"/>
      <c r="I179" s="251"/>
      <c r="J179" s="251"/>
      <c r="K179" s="242"/>
      <c r="L179" s="242"/>
      <c r="M179" s="242"/>
      <c r="N179" s="242"/>
      <c r="O179" s="242"/>
      <c r="P179" s="242"/>
      <c r="Q179" s="242"/>
      <c r="R179" s="242"/>
      <c r="S179" s="242"/>
      <c r="T179" s="242"/>
      <c r="U179" s="242"/>
      <c r="V179" s="242"/>
      <c r="W179" s="242"/>
      <c r="X179" s="242"/>
      <c r="Y179" s="242"/>
      <c r="Z179" s="242"/>
    </row>
    <row r="180" spans="1:26" s="2" customFormat="1" ht="18" customHeight="1">
      <c r="A180" s="250"/>
      <c r="B180" s="145"/>
      <c r="C180" s="145"/>
      <c r="D180" s="145"/>
      <c r="E180" s="149"/>
      <c r="F180" s="145"/>
      <c r="G180" s="150"/>
      <c r="H180" s="251"/>
      <c r="I180" s="251"/>
      <c r="J180" s="251"/>
      <c r="K180" s="242"/>
      <c r="L180" s="242"/>
      <c r="M180" s="242"/>
      <c r="N180" s="242"/>
      <c r="O180" s="242"/>
      <c r="P180" s="242"/>
      <c r="Q180" s="242"/>
      <c r="R180" s="242"/>
      <c r="S180" s="242"/>
      <c r="T180" s="242"/>
      <c r="U180" s="242"/>
      <c r="V180" s="242"/>
      <c r="W180" s="242"/>
      <c r="X180" s="242"/>
      <c r="Y180" s="242"/>
      <c r="Z180" s="242"/>
    </row>
    <row r="181" spans="1:26" s="2" customFormat="1" ht="18" customHeight="1">
      <c r="A181" s="250"/>
      <c r="B181" s="145"/>
      <c r="C181" s="145"/>
      <c r="D181" s="145"/>
      <c r="E181" s="149"/>
      <c r="F181" s="145"/>
      <c r="G181" s="150"/>
      <c r="H181" s="251"/>
      <c r="I181" s="251"/>
      <c r="J181" s="251"/>
      <c r="K181" s="242"/>
      <c r="L181" s="242"/>
      <c r="M181" s="242"/>
      <c r="N181" s="242"/>
      <c r="O181" s="242"/>
      <c r="P181" s="242"/>
      <c r="Q181" s="242"/>
      <c r="R181" s="242"/>
      <c r="S181" s="242"/>
      <c r="T181" s="242"/>
      <c r="U181" s="242"/>
      <c r="V181" s="242"/>
      <c r="W181" s="242"/>
      <c r="X181" s="242"/>
      <c r="Y181" s="242"/>
      <c r="Z181" s="242"/>
    </row>
    <row r="182" spans="1:26" s="2" customFormat="1" ht="18" customHeight="1">
      <c r="A182" s="250"/>
      <c r="B182" s="145"/>
      <c r="C182" s="145"/>
      <c r="D182" s="145"/>
      <c r="E182" s="149"/>
      <c r="F182" s="145"/>
      <c r="G182" s="150"/>
      <c r="H182" s="251"/>
      <c r="I182" s="251"/>
      <c r="J182" s="251"/>
      <c r="K182" s="242"/>
      <c r="L182" s="242"/>
      <c r="M182" s="242"/>
      <c r="N182" s="242"/>
      <c r="O182" s="242"/>
      <c r="P182" s="242"/>
      <c r="Q182" s="242"/>
      <c r="R182" s="242"/>
      <c r="S182" s="242"/>
      <c r="T182" s="242"/>
      <c r="U182" s="242"/>
      <c r="V182" s="242"/>
      <c r="W182" s="242"/>
      <c r="X182" s="242"/>
      <c r="Y182" s="242"/>
      <c r="Z182" s="242"/>
    </row>
    <row r="183" spans="1:26" s="2" customFormat="1" ht="18" customHeight="1">
      <c r="A183" s="250"/>
      <c r="B183" s="145"/>
      <c r="C183" s="145"/>
      <c r="D183" s="145"/>
      <c r="E183" s="149"/>
      <c r="F183" s="145"/>
      <c r="G183" s="150"/>
      <c r="H183" s="251"/>
      <c r="I183" s="251"/>
      <c r="J183" s="251"/>
      <c r="K183" s="242"/>
      <c r="L183" s="242"/>
      <c r="M183" s="242"/>
      <c r="N183" s="242"/>
      <c r="O183" s="242"/>
      <c r="P183" s="242"/>
      <c r="Q183" s="242"/>
      <c r="R183" s="242"/>
      <c r="S183" s="242"/>
      <c r="T183" s="242"/>
      <c r="U183" s="242"/>
      <c r="V183" s="242"/>
      <c r="W183" s="242"/>
      <c r="X183" s="242"/>
      <c r="Y183" s="242"/>
      <c r="Z183" s="242"/>
    </row>
    <row r="184" spans="1:26" s="2" customFormat="1" ht="18" customHeight="1">
      <c r="A184" s="250"/>
      <c r="B184" s="145"/>
      <c r="C184" s="145"/>
      <c r="D184" s="145"/>
      <c r="E184" s="149"/>
      <c r="F184" s="145"/>
      <c r="G184" s="150"/>
      <c r="H184" s="251"/>
      <c r="I184" s="251"/>
      <c r="J184" s="251"/>
      <c r="K184" s="242"/>
      <c r="L184" s="242"/>
      <c r="M184" s="242"/>
      <c r="N184" s="242"/>
      <c r="O184" s="242"/>
      <c r="P184" s="242"/>
      <c r="Q184" s="242"/>
      <c r="R184" s="242"/>
      <c r="S184" s="242"/>
      <c r="T184" s="242"/>
      <c r="U184" s="242"/>
      <c r="V184" s="242"/>
      <c r="W184" s="242"/>
      <c r="X184" s="242"/>
      <c r="Y184" s="242"/>
      <c r="Z184" s="242"/>
    </row>
    <row r="185" spans="1:26" s="2" customFormat="1" ht="18" customHeight="1">
      <c r="A185" s="250"/>
      <c r="B185" s="145"/>
      <c r="C185" s="145"/>
      <c r="D185" s="145"/>
      <c r="E185" s="149"/>
      <c r="F185" s="145"/>
      <c r="G185" s="150"/>
      <c r="H185" s="251"/>
      <c r="I185" s="251"/>
      <c r="J185" s="251"/>
      <c r="K185" s="242"/>
      <c r="L185" s="242"/>
      <c r="M185" s="242"/>
      <c r="N185" s="242"/>
      <c r="O185" s="242"/>
      <c r="P185" s="242"/>
      <c r="Q185" s="242"/>
      <c r="R185" s="242"/>
      <c r="S185" s="242"/>
      <c r="T185" s="242"/>
      <c r="U185" s="242"/>
      <c r="V185" s="242"/>
      <c r="W185" s="242"/>
      <c r="X185" s="242"/>
      <c r="Y185" s="242"/>
      <c r="Z185" s="242"/>
    </row>
    <row r="186" spans="1:26" s="2" customFormat="1" ht="18" customHeight="1">
      <c r="A186" s="250"/>
      <c r="B186" s="145"/>
      <c r="C186" s="145"/>
      <c r="D186" s="145"/>
      <c r="E186" s="149"/>
      <c r="F186" s="145"/>
      <c r="G186" s="150"/>
      <c r="H186" s="251"/>
      <c r="I186" s="251"/>
      <c r="J186" s="251"/>
      <c r="K186" s="242"/>
      <c r="L186" s="242"/>
      <c r="M186" s="242"/>
      <c r="N186" s="242"/>
      <c r="O186" s="242"/>
      <c r="P186" s="242"/>
      <c r="Q186" s="242"/>
      <c r="R186" s="242"/>
      <c r="S186" s="242"/>
      <c r="T186" s="242"/>
      <c r="U186" s="242"/>
      <c r="V186" s="242"/>
      <c r="W186" s="242"/>
      <c r="X186" s="242"/>
      <c r="Y186" s="242"/>
      <c r="Z186" s="242"/>
    </row>
    <row r="187" spans="1:26" s="2" customFormat="1" ht="18" customHeight="1">
      <c r="A187" s="250"/>
      <c r="B187" s="145"/>
      <c r="C187" s="145"/>
      <c r="D187" s="145"/>
      <c r="E187" s="149"/>
      <c r="F187" s="145"/>
      <c r="G187" s="150"/>
      <c r="H187" s="251"/>
      <c r="I187" s="251"/>
      <c r="J187" s="251"/>
      <c r="K187" s="242"/>
      <c r="L187" s="242"/>
      <c r="M187" s="242"/>
      <c r="N187" s="242"/>
      <c r="O187" s="242"/>
      <c r="P187" s="242"/>
      <c r="Q187" s="242"/>
      <c r="R187" s="242"/>
      <c r="S187" s="242"/>
      <c r="T187" s="242"/>
      <c r="U187" s="242"/>
      <c r="V187" s="242"/>
      <c r="W187" s="242"/>
      <c r="X187" s="242"/>
      <c r="Y187" s="242"/>
      <c r="Z187" s="242"/>
    </row>
    <row r="188" spans="1:26" s="2" customFormat="1" ht="18" customHeight="1">
      <c r="A188" s="250"/>
      <c r="B188" s="145"/>
      <c r="C188" s="145"/>
      <c r="D188" s="145"/>
      <c r="E188" s="149"/>
      <c r="F188" s="145"/>
      <c r="G188" s="150"/>
      <c r="H188" s="251"/>
      <c r="I188" s="251"/>
      <c r="J188" s="251"/>
      <c r="K188" s="242"/>
      <c r="L188" s="242"/>
      <c r="M188" s="242"/>
      <c r="N188" s="242"/>
      <c r="O188" s="242"/>
      <c r="P188" s="242"/>
      <c r="Q188" s="242"/>
      <c r="R188" s="242"/>
      <c r="S188" s="242"/>
      <c r="T188" s="242"/>
      <c r="U188" s="242"/>
      <c r="V188" s="242"/>
      <c r="W188" s="242"/>
      <c r="X188" s="242"/>
      <c r="Y188" s="242"/>
      <c r="Z188" s="242"/>
    </row>
    <row r="189" spans="1:26" s="2" customFormat="1" ht="18" customHeight="1">
      <c r="A189" s="250"/>
      <c r="B189" s="145"/>
      <c r="C189" s="145"/>
      <c r="D189" s="145"/>
      <c r="E189" s="149"/>
      <c r="F189" s="145"/>
      <c r="G189" s="150"/>
      <c r="H189" s="251"/>
      <c r="I189" s="251"/>
      <c r="J189" s="251"/>
      <c r="K189" s="242"/>
      <c r="L189" s="242"/>
      <c r="M189" s="242"/>
      <c r="N189" s="242"/>
      <c r="O189" s="242"/>
      <c r="P189" s="242"/>
      <c r="Q189" s="242"/>
      <c r="R189" s="242"/>
      <c r="S189" s="242"/>
      <c r="T189" s="242"/>
      <c r="U189" s="242"/>
      <c r="V189" s="242"/>
      <c r="W189" s="242"/>
      <c r="X189" s="242"/>
      <c r="Y189" s="242"/>
      <c r="Z189" s="242"/>
    </row>
    <row r="190" spans="1:26" s="2" customFormat="1" ht="18" customHeight="1">
      <c r="A190" s="250"/>
      <c r="B190" s="145"/>
      <c r="C190" s="145"/>
      <c r="D190" s="145"/>
      <c r="E190" s="149"/>
      <c r="F190" s="145"/>
      <c r="G190" s="150"/>
      <c r="H190" s="251"/>
      <c r="I190" s="251"/>
      <c r="J190" s="251"/>
      <c r="K190" s="242"/>
      <c r="L190" s="242"/>
      <c r="M190" s="242"/>
      <c r="N190" s="242"/>
      <c r="O190" s="242"/>
      <c r="P190" s="242"/>
      <c r="Q190" s="242"/>
      <c r="R190" s="242"/>
      <c r="S190" s="242"/>
      <c r="T190" s="242"/>
      <c r="U190" s="242"/>
      <c r="V190" s="242"/>
      <c r="W190" s="242"/>
      <c r="X190" s="242"/>
      <c r="Y190" s="242"/>
      <c r="Z190" s="242"/>
    </row>
    <row r="191" spans="1:26" s="2" customFormat="1" ht="18" customHeight="1">
      <c r="A191" s="250"/>
      <c r="B191" s="145"/>
      <c r="C191" s="145"/>
      <c r="D191" s="145"/>
      <c r="E191" s="149"/>
      <c r="F191" s="145"/>
      <c r="G191" s="150"/>
      <c r="H191" s="251"/>
      <c r="I191" s="251"/>
      <c r="J191" s="251"/>
      <c r="K191" s="242"/>
      <c r="L191" s="242"/>
      <c r="M191" s="242"/>
      <c r="N191" s="242"/>
      <c r="O191" s="242"/>
      <c r="P191" s="242"/>
      <c r="Q191" s="242"/>
      <c r="R191" s="242"/>
      <c r="S191" s="242"/>
      <c r="T191" s="242"/>
      <c r="U191" s="242"/>
      <c r="V191" s="242"/>
      <c r="W191" s="242"/>
      <c r="X191" s="242"/>
      <c r="Y191" s="242"/>
      <c r="Z191" s="242"/>
    </row>
    <row r="192" spans="1:26" s="2" customFormat="1" ht="18" customHeight="1">
      <c r="A192" s="250"/>
      <c r="B192" s="145"/>
      <c r="C192" s="145"/>
      <c r="D192" s="145"/>
      <c r="E192" s="149"/>
      <c r="F192" s="145"/>
      <c r="G192" s="150"/>
      <c r="H192" s="251"/>
      <c r="I192" s="251"/>
      <c r="J192" s="251"/>
      <c r="K192" s="242"/>
      <c r="L192" s="242"/>
      <c r="M192" s="242"/>
      <c r="N192" s="242"/>
      <c r="O192" s="242"/>
      <c r="P192" s="242"/>
      <c r="Q192" s="242"/>
      <c r="R192" s="242"/>
      <c r="S192" s="242"/>
      <c r="T192" s="242"/>
      <c r="U192" s="242"/>
      <c r="V192" s="242"/>
      <c r="W192" s="242"/>
      <c r="X192" s="242"/>
      <c r="Y192" s="242"/>
      <c r="Z192" s="242"/>
    </row>
    <row r="193" spans="1:26" s="2" customFormat="1" ht="18" customHeight="1">
      <c r="A193" s="250"/>
      <c r="B193" s="145"/>
      <c r="C193" s="145"/>
      <c r="D193" s="145"/>
      <c r="E193" s="149"/>
      <c r="F193" s="145"/>
      <c r="G193" s="150"/>
      <c r="H193" s="251"/>
      <c r="I193" s="251"/>
      <c r="J193" s="251"/>
      <c r="K193" s="242"/>
      <c r="L193" s="242"/>
      <c r="M193" s="242"/>
      <c r="N193" s="242"/>
      <c r="O193" s="242"/>
      <c r="P193" s="242"/>
      <c r="Q193" s="242"/>
      <c r="R193" s="242"/>
      <c r="S193" s="242"/>
      <c r="T193" s="242"/>
      <c r="U193" s="242"/>
      <c r="V193" s="242"/>
      <c r="W193" s="242"/>
      <c r="X193" s="242"/>
      <c r="Y193" s="242"/>
      <c r="Z193" s="242"/>
    </row>
    <row r="194" spans="1:26" s="2" customFormat="1" ht="18" customHeight="1">
      <c r="A194" s="250"/>
      <c r="B194" s="145"/>
      <c r="C194" s="145"/>
      <c r="D194" s="145"/>
      <c r="E194" s="149"/>
      <c r="F194" s="145"/>
      <c r="G194" s="150"/>
      <c r="H194" s="251"/>
      <c r="I194" s="251"/>
      <c r="J194" s="251"/>
      <c r="K194" s="242"/>
      <c r="L194" s="242"/>
      <c r="M194" s="242"/>
      <c r="N194" s="242"/>
      <c r="O194" s="242"/>
      <c r="P194" s="242"/>
      <c r="Q194" s="242"/>
      <c r="R194" s="242"/>
      <c r="S194" s="242"/>
      <c r="T194" s="242"/>
      <c r="U194" s="242"/>
      <c r="V194" s="242"/>
      <c r="W194" s="242"/>
      <c r="X194" s="242"/>
      <c r="Y194" s="242"/>
      <c r="Z194" s="242"/>
    </row>
    <row r="195" spans="1:26" s="2" customFormat="1" ht="18" customHeight="1">
      <c r="A195" s="250"/>
      <c r="B195" s="145"/>
      <c r="C195" s="145"/>
      <c r="D195" s="145"/>
      <c r="E195" s="149"/>
      <c r="F195" s="145"/>
      <c r="G195" s="150"/>
      <c r="H195" s="251"/>
      <c r="I195" s="251"/>
      <c r="J195" s="251"/>
      <c r="K195" s="242"/>
      <c r="L195" s="242"/>
      <c r="M195" s="242"/>
      <c r="N195" s="242"/>
      <c r="O195" s="242"/>
      <c r="P195" s="242"/>
      <c r="Q195" s="242"/>
      <c r="R195" s="242"/>
      <c r="S195" s="242"/>
      <c r="T195" s="242"/>
      <c r="U195" s="242"/>
      <c r="V195" s="242"/>
      <c r="W195" s="242"/>
      <c r="X195" s="242"/>
      <c r="Y195" s="242"/>
      <c r="Z195" s="242"/>
    </row>
    <row r="196" spans="1:26" s="2" customFormat="1" ht="18" customHeight="1">
      <c r="A196" s="250"/>
      <c r="B196" s="145"/>
      <c r="C196" s="145"/>
      <c r="D196" s="145"/>
      <c r="E196" s="149"/>
      <c r="F196" s="145"/>
      <c r="G196" s="150"/>
      <c r="H196" s="251"/>
      <c r="I196" s="251"/>
      <c r="J196" s="251"/>
      <c r="K196" s="242"/>
      <c r="L196" s="242"/>
      <c r="M196" s="242"/>
      <c r="N196" s="242"/>
      <c r="O196" s="242"/>
      <c r="P196" s="242"/>
      <c r="Q196" s="242"/>
      <c r="R196" s="242"/>
      <c r="S196" s="242"/>
      <c r="T196" s="242"/>
      <c r="U196" s="242"/>
      <c r="V196" s="242"/>
      <c r="W196" s="242"/>
      <c r="X196" s="242"/>
      <c r="Y196" s="242"/>
      <c r="Z196" s="242"/>
    </row>
    <row r="197" spans="1:26" s="2" customFormat="1" ht="18" customHeight="1">
      <c r="A197" s="250"/>
      <c r="B197" s="145"/>
      <c r="C197" s="145"/>
      <c r="D197" s="145"/>
      <c r="E197" s="149"/>
      <c r="F197" s="145"/>
      <c r="G197" s="150"/>
      <c r="H197" s="251"/>
      <c r="I197" s="251"/>
      <c r="J197" s="251"/>
      <c r="K197" s="242"/>
      <c r="L197" s="242"/>
      <c r="M197" s="242"/>
      <c r="N197" s="242"/>
      <c r="O197" s="242"/>
      <c r="P197" s="242"/>
      <c r="Q197" s="242"/>
      <c r="R197" s="242"/>
      <c r="S197" s="242"/>
      <c r="T197" s="242"/>
      <c r="U197" s="242"/>
      <c r="V197" s="242"/>
      <c r="W197" s="242"/>
      <c r="X197" s="242"/>
      <c r="Y197" s="242"/>
      <c r="Z197" s="242"/>
    </row>
    <row r="198" spans="1:26" s="2" customFormat="1" ht="18" customHeight="1">
      <c r="A198" s="250"/>
      <c r="B198" s="145"/>
      <c r="C198" s="145"/>
      <c r="D198" s="145"/>
      <c r="E198" s="149"/>
      <c r="F198" s="145"/>
      <c r="G198" s="150"/>
      <c r="H198" s="251"/>
      <c r="I198" s="251"/>
      <c r="J198" s="251"/>
      <c r="K198" s="242"/>
      <c r="L198" s="242"/>
      <c r="M198" s="242"/>
      <c r="N198" s="242"/>
      <c r="O198" s="242"/>
      <c r="P198" s="242"/>
      <c r="Q198" s="242"/>
      <c r="R198" s="242"/>
      <c r="S198" s="242"/>
      <c r="T198" s="242"/>
      <c r="U198" s="242"/>
      <c r="V198" s="242"/>
      <c r="W198" s="242"/>
      <c r="X198" s="242"/>
      <c r="Y198" s="242"/>
      <c r="Z198" s="242"/>
    </row>
    <row r="199" spans="1:26" s="2" customFormat="1" ht="18" customHeight="1">
      <c r="A199" s="250"/>
      <c r="B199" s="145"/>
      <c r="C199" s="145"/>
      <c r="D199" s="145"/>
      <c r="E199" s="149"/>
      <c r="F199" s="145"/>
      <c r="G199" s="150"/>
      <c r="H199" s="251"/>
      <c r="I199" s="251"/>
      <c r="J199" s="251"/>
      <c r="K199" s="242"/>
      <c r="L199" s="242"/>
      <c r="M199" s="242"/>
      <c r="N199" s="242"/>
      <c r="O199" s="242"/>
      <c r="P199" s="242"/>
      <c r="Q199" s="242"/>
      <c r="R199" s="242"/>
      <c r="S199" s="242"/>
      <c r="T199" s="242"/>
      <c r="U199" s="242"/>
      <c r="V199" s="242"/>
      <c r="W199" s="242"/>
      <c r="X199" s="242"/>
      <c r="Y199" s="242"/>
      <c r="Z199" s="242"/>
    </row>
    <row r="200" spans="1:26" s="2" customFormat="1" ht="18" customHeight="1">
      <c r="A200" s="250"/>
      <c r="B200" s="145"/>
      <c r="C200" s="145"/>
      <c r="D200" s="145"/>
      <c r="E200" s="149"/>
      <c r="F200" s="145"/>
      <c r="G200" s="150"/>
      <c r="H200" s="251"/>
      <c r="I200" s="251"/>
      <c r="J200" s="251"/>
      <c r="K200" s="242"/>
      <c r="L200" s="242"/>
      <c r="M200" s="242"/>
      <c r="N200" s="242"/>
      <c r="O200" s="242"/>
      <c r="P200" s="242"/>
      <c r="Q200" s="242"/>
      <c r="R200" s="242"/>
      <c r="S200" s="242"/>
      <c r="T200" s="242"/>
      <c r="U200" s="242"/>
      <c r="V200" s="242"/>
      <c r="W200" s="242"/>
      <c r="X200" s="242"/>
      <c r="Y200" s="242"/>
      <c r="Z200" s="242"/>
    </row>
    <row r="201" spans="1:26" s="2" customFormat="1" ht="18" customHeight="1">
      <c r="A201" s="250"/>
      <c r="B201" s="145"/>
      <c r="C201" s="145"/>
      <c r="D201" s="145"/>
      <c r="E201" s="149"/>
      <c r="F201" s="145"/>
      <c r="G201" s="150"/>
      <c r="H201" s="251"/>
      <c r="I201" s="251"/>
      <c r="J201" s="251"/>
      <c r="K201" s="242"/>
      <c r="L201" s="242"/>
      <c r="M201" s="242"/>
      <c r="N201" s="242"/>
      <c r="O201" s="242"/>
      <c r="P201" s="242"/>
      <c r="Q201" s="242"/>
      <c r="R201" s="242"/>
      <c r="S201" s="242"/>
      <c r="T201" s="242"/>
      <c r="U201" s="242"/>
      <c r="V201" s="242"/>
      <c r="W201" s="242"/>
      <c r="X201" s="242"/>
      <c r="Y201" s="242"/>
      <c r="Z201" s="242"/>
    </row>
    <row r="202" spans="1:26" s="2" customFormat="1" ht="18" customHeight="1">
      <c r="A202" s="250"/>
      <c r="B202" s="145"/>
      <c r="C202" s="145"/>
      <c r="D202" s="145"/>
      <c r="E202" s="149"/>
      <c r="F202" s="145"/>
      <c r="G202" s="150"/>
      <c r="H202" s="251"/>
      <c r="I202" s="251"/>
      <c r="J202" s="251"/>
      <c r="K202" s="242"/>
      <c r="L202" s="242"/>
      <c r="M202" s="242"/>
      <c r="N202" s="242"/>
      <c r="O202" s="242"/>
      <c r="P202" s="242"/>
      <c r="Q202" s="242"/>
      <c r="R202" s="242"/>
      <c r="S202" s="242"/>
      <c r="T202" s="242"/>
      <c r="U202" s="242"/>
      <c r="V202" s="242"/>
      <c r="W202" s="242"/>
      <c r="X202" s="242"/>
      <c r="Y202" s="242"/>
      <c r="Z202" s="242"/>
    </row>
    <row r="203" spans="1:26" s="2" customFormat="1" ht="18" customHeight="1">
      <c r="A203" s="250"/>
      <c r="B203" s="145"/>
      <c r="C203" s="145"/>
      <c r="D203" s="145"/>
      <c r="E203" s="149"/>
      <c r="F203" s="145"/>
      <c r="G203" s="150"/>
      <c r="H203" s="251"/>
      <c r="I203" s="251"/>
      <c r="J203" s="251"/>
      <c r="K203" s="242"/>
      <c r="L203" s="242"/>
      <c r="M203" s="242"/>
      <c r="N203" s="242"/>
      <c r="O203" s="242"/>
      <c r="P203" s="242"/>
      <c r="Q203" s="242"/>
      <c r="R203" s="242"/>
      <c r="S203" s="242"/>
      <c r="T203" s="242"/>
      <c r="U203" s="242"/>
      <c r="V203" s="242"/>
      <c r="W203" s="242"/>
      <c r="X203" s="242"/>
      <c r="Y203" s="242"/>
      <c r="Z203" s="242"/>
    </row>
    <row r="204" spans="1:26" s="2" customFormat="1" ht="18" customHeight="1">
      <c r="A204" s="250"/>
      <c r="B204" s="145"/>
      <c r="C204" s="145"/>
      <c r="D204" s="145"/>
      <c r="E204" s="149"/>
      <c r="F204" s="145"/>
      <c r="G204" s="150"/>
      <c r="H204" s="251"/>
      <c r="I204" s="251"/>
      <c r="J204" s="251"/>
      <c r="K204" s="242"/>
      <c r="L204" s="242"/>
      <c r="M204" s="242"/>
      <c r="N204" s="242"/>
      <c r="O204" s="242"/>
      <c r="P204" s="242"/>
      <c r="Q204" s="242"/>
      <c r="R204" s="242"/>
      <c r="S204" s="242"/>
      <c r="T204" s="242"/>
      <c r="U204" s="242"/>
      <c r="V204" s="242"/>
      <c r="W204" s="242"/>
      <c r="X204" s="242"/>
      <c r="Y204" s="242"/>
      <c r="Z204" s="242"/>
    </row>
    <row r="205" spans="1:26" s="2" customFormat="1" ht="18" customHeight="1">
      <c r="A205" s="250"/>
      <c r="B205" s="145"/>
      <c r="C205" s="145"/>
      <c r="D205" s="145"/>
      <c r="E205" s="149"/>
      <c r="F205" s="145"/>
      <c r="G205" s="150"/>
      <c r="H205" s="251"/>
      <c r="I205" s="251"/>
      <c r="J205" s="251"/>
      <c r="K205" s="242"/>
      <c r="L205" s="242"/>
      <c r="M205" s="242"/>
      <c r="N205" s="242"/>
      <c r="O205" s="242"/>
      <c r="P205" s="242"/>
      <c r="Q205" s="242"/>
      <c r="R205" s="242"/>
      <c r="S205" s="242"/>
      <c r="T205" s="242"/>
      <c r="U205" s="242"/>
      <c r="V205" s="242"/>
      <c r="W205" s="242"/>
      <c r="X205" s="242"/>
      <c r="Y205" s="242"/>
      <c r="Z205" s="242"/>
    </row>
    <row r="206" spans="1:26" s="2" customFormat="1" ht="18" customHeight="1">
      <c r="A206" s="250"/>
      <c r="B206" s="145"/>
      <c r="C206" s="145"/>
      <c r="D206" s="145"/>
      <c r="E206" s="149"/>
      <c r="F206" s="145"/>
      <c r="G206" s="150"/>
      <c r="H206" s="251"/>
      <c r="I206" s="251"/>
      <c r="J206" s="251"/>
      <c r="K206" s="242"/>
      <c r="L206" s="242"/>
      <c r="M206" s="242"/>
      <c r="N206" s="242"/>
      <c r="O206" s="242"/>
      <c r="P206" s="242"/>
      <c r="Q206" s="242"/>
      <c r="R206" s="242"/>
      <c r="S206" s="242"/>
      <c r="T206" s="242"/>
      <c r="U206" s="242"/>
      <c r="V206" s="242"/>
      <c r="W206" s="242"/>
      <c r="X206" s="242"/>
      <c r="Y206" s="242"/>
      <c r="Z206" s="242"/>
    </row>
    <row r="207" spans="1:26" s="2" customFormat="1" ht="18" customHeight="1">
      <c r="A207" s="250"/>
      <c r="B207" s="145"/>
      <c r="C207" s="145"/>
      <c r="D207" s="145"/>
      <c r="E207" s="149"/>
      <c r="F207" s="145"/>
      <c r="G207" s="150"/>
      <c r="H207" s="251"/>
      <c r="I207" s="251"/>
      <c r="J207" s="251"/>
      <c r="K207" s="242"/>
      <c r="L207" s="242"/>
      <c r="M207" s="242"/>
      <c r="N207" s="242"/>
      <c r="O207" s="242"/>
      <c r="P207" s="242"/>
      <c r="Q207" s="242"/>
      <c r="R207" s="242"/>
      <c r="S207" s="242"/>
      <c r="T207" s="242"/>
      <c r="U207" s="242"/>
      <c r="V207" s="242"/>
      <c r="W207" s="242"/>
      <c r="X207" s="242"/>
      <c r="Y207" s="242"/>
      <c r="Z207" s="242"/>
    </row>
    <row r="208" spans="1:26" s="2" customFormat="1" ht="18" customHeight="1">
      <c r="A208" s="250"/>
      <c r="B208" s="145"/>
      <c r="C208" s="145"/>
      <c r="D208" s="145"/>
      <c r="E208" s="149"/>
      <c r="F208" s="145"/>
      <c r="G208" s="150"/>
      <c r="H208" s="251"/>
      <c r="I208" s="251"/>
      <c r="J208" s="251"/>
      <c r="K208" s="242"/>
      <c r="L208" s="242"/>
      <c r="M208" s="242"/>
      <c r="N208" s="242"/>
      <c r="O208" s="242"/>
      <c r="P208" s="242"/>
      <c r="Q208" s="242"/>
      <c r="R208" s="242"/>
      <c r="S208" s="242"/>
      <c r="T208" s="242"/>
      <c r="U208" s="242"/>
      <c r="V208" s="242"/>
      <c r="W208" s="242"/>
      <c r="X208" s="242"/>
      <c r="Y208" s="242"/>
      <c r="Z208" s="242"/>
    </row>
    <row r="209" spans="1:26" s="2" customFormat="1" ht="18" customHeight="1">
      <c r="A209" s="250"/>
      <c r="B209" s="145"/>
      <c r="C209" s="145"/>
      <c r="D209" s="145"/>
      <c r="E209" s="149"/>
      <c r="F209" s="145"/>
      <c r="G209" s="150"/>
      <c r="H209" s="251"/>
      <c r="I209" s="251"/>
      <c r="J209" s="251"/>
      <c r="K209" s="242"/>
      <c r="L209" s="242"/>
      <c r="M209" s="242"/>
      <c r="N209" s="242"/>
      <c r="O209" s="242"/>
      <c r="P209" s="242"/>
      <c r="Q209" s="242"/>
      <c r="R209" s="242"/>
      <c r="S209" s="242"/>
      <c r="T209" s="242"/>
      <c r="U209" s="242"/>
      <c r="V209" s="242"/>
      <c r="W209" s="242"/>
      <c r="X209" s="242"/>
      <c r="Y209" s="242"/>
      <c r="Z209" s="242"/>
    </row>
    <row r="210" spans="1:26" s="2" customFormat="1" ht="18" customHeight="1">
      <c r="A210" s="250"/>
      <c r="B210" s="145"/>
      <c r="C210" s="145"/>
      <c r="D210" s="145"/>
      <c r="E210" s="149"/>
      <c r="F210" s="145"/>
      <c r="G210" s="150"/>
      <c r="H210" s="251"/>
      <c r="I210" s="251"/>
      <c r="J210" s="251"/>
      <c r="K210" s="242"/>
      <c r="L210" s="242"/>
      <c r="M210" s="242"/>
      <c r="N210" s="242"/>
      <c r="O210" s="242"/>
      <c r="P210" s="242"/>
      <c r="Q210" s="242"/>
      <c r="R210" s="242"/>
      <c r="S210" s="242"/>
      <c r="T210" s="242"/>
      <c r="U210" s="242"/>
      <c r="V210" s="242"/>
      <c r="W210" s="242"/>
      <c r="X210" s="242"/>
      <c r="Y210" s="242"/>
      <c r="Z210" s="242"/>
    </row>
    <row r="211" spans="1:26" s="2" customFormat="1" ht="18" customHeight="1">
      <c r="A211" s="250"/>
      <c r="B211" s="145"/>
      <c r="C211" s="145"/>
      <c r="D211" s="145"/>
      <c r="E211" s="149"/>
      <c r="F211" s="145"/>
      <c r="G211" s="150"/>
      <c r="H211" s="251"/>
      <c r="I211" s="251"/>
      <c r="J211" s="251"/>
      <c r="K211" s="242"/>
      <c r="L211" s="242"/>
      <c r="M211" s="242"/>
      <c r="N211" s="242"/>
      <c r="O211" s="242"/>
      <c r="P211" s="242"/>
      <c r="Q211" s="242"/>
      <c r="R211" s="242"/>
      <c r="S211" s="242"/>
      <c r="T211" s="242"/>
      <c r="U211" s="242"/>
      <c r="V211" s="242"/>
      <c r="W211" s="242"/>
      <c r="X211" s="242"/>
      <c r="Y211" s="242"/>
      <c r="Z211" s="242"/>
    </row>
    <row r="212" spans="1:26" s="2" customFormat="1" ht="18" customHeight="1">
      <c r="A212" s="250"/>
      <c r="B212" s="145"/>
      <c r="C212" s="145"/>
      <c r="D212" s="145"/>
      <c r="E212" s="149"/>
      <c r="F212" s="145"/>
      <c r="G212" s="150"/>
      <c r="H212" s="251"/>
      <c r="I212" s="251"/>
      <c r="J212" s="251"/>
      <c r="K212" s="242"/>
      <c r="L212" s="242"/>
      <c r="M212" s="242"/>
      <c r="N212" s="242"/>
      <c r="O212" s="242"/>
      <c r="P212" s="242"/>
      <c r="Q212" s="242"/>
      <c r="R212" s="242"/>
      <c r="S212" s="242"/>
      <c r="T212" s="242"/>
      <c r="U212" s="242"/>
      <c r="V212" s="242"/>
      <c r="W212" s="242"/>
      <c r="X212" s="242"/>
      <c r="Y212" s="242"/>
      <c r="Z212" s="242"/>
    </row>
    <row r="213" spans="1:26" s="2" customFormat="1" ht="18" customHeight="1">
      <c r="A213" s="250"/>
      <c r="B213" s="145"/>
      <c r="C213" s="145"/>
      <c r="D213" s="145"/>
      <c r="E213" s="149"/>
      <c r="F213" s="145"/>
      <c r="G213" s="150"/>
      <c r="H213" s="251"/>
      <c r="I213" s="251"/>
      <c r="J213" s="251"/>
      <c r="K213" s="242"/>
      <c r="L213" s="242"/>
      <c r="M213" s="242"/>
      <c r="N213" s="242"/>
      <c r="O213" s="242"/>
      <c r="P213" s="242"/>
      <c r="Q213" s="242"/>
      <c r="R213" s="242"/>
      <c r="S213" s="242"/>
      <c r="T213" s="242"/>
      <c r="U213" s="242"/>
      <c r="V213" s="242"/>
      <c r="W213" s="242"/>
      <c r="X213" s="242"/>
      <c r="Y213" s="242"/>
      <c r="Z213" s="242"/>
    </row>
    <row r="214" spans="1:26" s="2" customFormat="1" ht="18" customHeight="1">
      <c r="A214" s="250"/>
      <c r="B214" s="145"/>
      <c r="C214" s="145"/>
      <c r="D214" s="145"/>
      <c r="E214" s="149"/>
      <c r="F214" s="145"/>
      <c r="G214" s="150"/>
      <c r="H214" s="251"/>
      <c r="I214" s="251"/>
      <c r="J214" s="251"/>
      <c r="K214" s="242"/>
      <c r="L214" s="242"/>
      <c r="M214" s="242"/>
      <c r="N214" s="242"/>
      <c r="O214" s="242"/>
      <c r="P214" s="242"/>
      <c r="Q214" s="242"/>
      <c r="R214" s="242"/>
      <c r="S214" s="242"/>
      <c r="T214" s="242"/>
      <c r="U214" s="242"/>
      <c r="V214" s="242"/>
      <c r="W214" s="242"/>
      <c r="X214" s="242"/>
      <c r="Y214" s="242"/>
      <c r="Z214" s="242"/>
    </row>
    <row r="215" spans="1:26" s="2" customFormat="1" ht="18" customHeight="1">
      <c r="A215" s="250"/>
      <c r="B215" s="145"/>
      <c r="C215" s="145"/>
      <c r="D215" s="145"/>
      <c r="E215" s="149"/>
      <c r="F215" s="145"/>
      <c r="G215" s="150"/>
      <c r="H215" s="251"/>
      <c r="I215" s="251"/>
      <c r="J215" s="251"/>
      <c r="K215" s="242"/>
      <c r="L215" s="242"/>
      <c r="M215" s="242"/>
      <c r="N215" s="242"/>
      <c r="O215" s="242"/>
      <c r="P215" s="242"/>
      <c r="Q215" s="242"/>
      <c r="R215" s="242"/>
      <c r="S215" s="242"/>
      <c r="T215" s="242"/>
      <c r="U215" s="242"/>
      <c r="V215" s="242"/>
      <c r="W215" s="242"/>
      <c r="X215" s="242"/>
      <c r="Y215" s="242"/>
      <c r="Z215" s="242"/>
    </row>
    <row r="216" spans="1:26" s="2" customFormat="1" ht="18" customHeight="1">
      <c r="A216" s="250"/>
      <c r="B216" s="145"/>
      <c r="C216" s="145"/>
      <c r="D216" s="145"/>
      <c r="E216" s="149"/>
      <c r="F216" s="145"/>
      <c r="G216" s="150"/>
      <c r="H216" s="251"/>
      <c r="I216" s="251"/>
      <c r="J216" s="251"/>
      <c r="K216" s="242"/>
      <c r="L216" s="242"/>
      <c r="M216" s="242"/>
      <c r="N216" s="242"/>
      <c r="O216" s="242"/>
      <c r="P216" s="242"/>
      <c r="Q216" s="242"/>
      <c r="R216" s="242"/>
      <c r="S216" s="242"/>
      <c r="T216" s="242"/>
      <c r="U216" s="242"/>
      <c r="V216" s="242"/>
      <c r="W216" s="242"/>
      <c r="X216" s="242"/>
      <c r="Y216" s="242"/>
      <c r="Z216" s="242"/>
    </row>
    <row r="217" spans="1:26" s="2" customFormat="1" ht="18" customHeight="1">
      <c r="A217" s="250"/>
      <c r="B217" s="145"/>
      <c r="C217" s="145"/>
      <c r="D217" s="145"/>
      <c r="E217" s="149"/>
      <c r="F217" s="145"/>
      <c r="G217" s="150"/>
      <c r="H217" s="251"/>
      <c r="I217" s="251"/>
      <c r="J217" s="251"/>
      <c r="K217" s="242"/>
      <c r="L217" s="242"/>
      <c r="M217" s="242"/>
      <c r="N217" s="242"/>
      <c r="O217" s="242"/>
      <c r="P217" s="242"/>
      <c r="Q217" s="242"/>
      <c r="R217" s="242"/>
      <c r="S217" s="242"/>
      <c r="T217" s="242"/>
      <c r="U217" s="242"/>
      <c r="V217" s="242"/>
      <c r="W217" s="242"/>
      <c r="X217" s="242"/>
      <c r="Y217" s="242"/>
      <c r="Z217" s="242"/>
    </row>
    <row r="218" spans="1:26" s="2" customFormat="1" ht="18" customHeight="1">
      <c r="A218" s="250"/>
      <c r="B218" s="145"/>
      <c r="C218" s="145"/>
      <c r="D218" s="145"/>
      <c r="E218" s="149"/>
      <c r="F218" s="145"/>
      <c r="G218" s="150"/>
      <c r="H218" s="251"/>
      <c r="I218" s="251"/>
      <c r="J218" s="251"/>
      <c r="K218" s="242"/>
      <c r="L218" s="242"/>
      <c r="M218" s="242"/>
      <c r="N218" s="242"/>
      <c r="O218" s="242"/>
      <c r="P218" s="242"/>
      <c r="Q218" s="242"/>
      <c r="R218" s="242"/>
      <c r="S218" s="242"/>
      <c r="T218" s="242"/>
      <c r="U218" s="242"/>
      <c r="V218" s="242"/>
      <c r="W218" s="242"/>
      <c r="X218" s="242"/>
      <c r="Y218" s="242"/>
      <c r="Z218" s="242"/>
    </row>
    <row r="219" spans="1:26" s="2" customFormat="1" ht="18" customHeight="1">
      <c r="A219" s="250"/>
      <c r="B219" s="145"/>
      <c r="C219" s="145"/>
      <c r="D219" s="145"/>
      <c r="E219" s="149"/>
      <c r="F219" s="145"/>
      <c r="G219" s="150"/>
      <c r="H219" s="251"/>
      <c r="I219" s="251"/>
      <c r="J219" s="251"/>
      <c r="K219" s="242"/>
      <c r="L219" s="242"/>
      <c r="M219" s="242"/>
      <c r="N219" s="242"/>
      <c r="O219" s="242"/>
      <c r="P219" s="242"/>
      <c r="Q219" s="242"/>
      <c r="R219" s="242"/>
      <c r="S219" s="242"/>
      <c r="T219" s="242"/>
      <c r="U219" s="242"/>
      <c r="V219" s="242"/>
      <c r="W219" s="242"/>
      <c r="X219" s="242"/>
      <c r="Y219" s="242"/>
      <c r="Z219" s="242"/>
    </row>
    <row r="220" spans="1:26" s="2" customFormat="1" ht="18" customHeight="1">
      <c r="A220" s="250"/>
      <c r="B220" s="145"/>
      <c r="C220" s="145"/>
      <c r="D220" s="145"/>
      <c r="E220" s="149"/>
      <c r="F220" s="145"/>
      <c r="G220" s="150"/>
      <c r="H220" s="251"/>
      <c r="I220" s="251"/>
      <c r="J220" s="251"/>
      <c r="K220" s="242"/>
      <c r="L220" s="242"/>
      <c r="M220" s="242"/>
      <c r="N220" s="242"/>
      <c r="O220" s="242"/>
      <c r="P220" s="242"/>
      <c r="Q220" s="242"/>
      <c r="R220" s="242"/>
      <c r="S220" s="242"/>
      <c r="T220" s="242"/>
      <c r="U220" s="242"/>
      <c r="V220" s="242"/>
      <c r="W220" s="242"/>
      <c r="X220" s="242"/>
      <c r="Y220" s="242"/>
      <c r="Z220" s="242"/>
    </row>
    <row r="221" spans="1:26" s="2" customFormat="1" ht="18" customHeight="1">
      <c r="A221" s="250"/>
      <c r="B221" s="145"/>
      <c r="C221" s="145"/>
      <c r="D221" s="145"/>
      <c r="E221" s="149"/>
      <c r="F221" s="145"/>
      <c r="G221" s="150"/>
      <c r="H221" s="251"/>
      <c r="I221" s="251"/>
      <c r="J221" s="251"/>
      <c r="K221" s="242"/>
      <c r="L221" s="242"/>
      <c r="M221" s="242"/>
      <c r="N221" s="242"/>
      <c r="O221" s="242"/>
      <c r="P221" s="242"/>
      <c r="Q221" s="242"/>
      <c r="R221" s="242"/>
      <c r="S221" s="242"/>
      <c r="T221" s="242"/>
      <c r="U221" s="242"/>
      <c r="V221" s="242"/>
      <c r="W221" s="242"/>
      <c r="X221" s="242"/>
      <c r="Y221" s="242"/>
      <c r="Z221" s="242"/>
    </row>
    <row r="222" spans="1:26" s="2" customFormat="1" ht="18" customHeight="1">
      <c r="A222" s="250"/>
      <c r="B222" s="145"/>
      <c r="C222" s="145"/>
      <c r="D222" s="145"/>
      <c r="E222" s="149"/>
      <c r="F222" s="145"/>
      <c r="G222" s="150"/>
      <c r="H222" s="251"/>
      <c r="I222" s="251"/>
      <c r="J222" s="251"/>
      <c r="K222" s="242"/>
      <c r="L222" s="242"/>
      <c r="M222" s="242"/>
      <c r="N222" s="242"/>
      <c r="O222" s="242"/>
      <c r="P222" s="242"/>
      <c r="Q222" s="242"/>
      <c r="R222" s="242"/>
      <c r="S222" s="242"/>
      <c r="T222" s="242"/>
      <c r="U222" s="242"/>
      <c r="V222" s="242"/>
      <c r="W222" s="242"/>
      <c r="X222" s="242"/>
      <c r="Y222" s="242"/>
      <c r="Z222" s="242"/>
    </row>
    <row r="223" spans="1:26" s="2" customFormat="1" ht="18" customHeight="1">
      <c r="A223" s="250"/>
      <c r="B223" s="145"/>
      <c r="C223" s="145"/>
      <c r="D223" s="145"/>
      <c r="E223" s="149"/>
      <c r="F223" s="145"/>
      <c r="G223" s="150"/>
      <c r="H223" s="251"/>
      <c r="I223" s="251"/>
      <c r="J223" s="251"/>
      <c r="K223" s="242"/>
      <c r="L223" s="242"/>
      <c r="M223" s="242"/>
      <c r="N223" s="242"/>
      <c r="O223" s="242"/>
      <c r="P223" s="242"/>
      <c r="Q223" s="242"/>
      <c r="R223" s="242"/>
      <c r="S223" s="242"/>
      <c r="T223" s="242"/>
      <c r="U223" s="242"/>
      <c r="V223" s="242"/>
      <c r="W223" s="242"/>
      <c r="X223" s="242"/>
      <c r="Y223" s="242"/>
      <c r="Z223" s="242"/>
    </row>
    <row r="224" spans="1:26" s="2" customFormat="1" ht="18" customHeight="1">
      <c r="A224" s="250"/>
      <c r="B224" s="145"/>
      <c r="C224" s="145"/>
      <c r="D224" s="145"/>
      <c r="E224" s="149"/>
      <c r="F224" s="145"/>
      <c r="G224" s="150"/>
      <c r="H224" s="251"/>
      <c r="I224" s="251"/>
      <c r="J224" s="251"/>
      <c r="K224" s="242"/>
      <c r="L224" s="242"/>
      <c r="M224" s="242"/>
      <c r="N224" s="242"/>
      <c r="O224" s="242"/>
      <c r="P224" s="242"/>
      <c r="Q224" s="242"/>
      <c r="R224" s="242"/>
      <c r="S224" s="242"/>
      <c r="T224" s="242"/>
      <c r="U224" s="242"/>
      <c r="V224" s="242"/>
      <c r="W224" s="242"/>
      <c r="X224" s="242"/>
      <c r="Y224" s="242"/>
      <c r="Z224" s="242"/>
    </row>
    <row r="225" spans="1:26" s="2" customFormat="1" ht="18" customHeight="1">
      <c r="A225" s="250"/>
      <c r="B225" s="145"/>
      <c r="C225" s="145"/>
      <c r="D225" s="145"/>
      <c r="E225" s="149"/>
      <c r="F225" s="145"/>
      <c r="G225" s="150"/>
      <c r="H225" s="251"/>
      <c r="I225" s="251"/>
      <c r="J225" s="251"/>
      <c r="K225" s="242"/>
      <c r="L225" s="242"/>
      <c r="M225" s="242"/>
      <c r="N225" s="242"/>
      <c r="O225" s="242"/>
      <c r="P225" s="242"/>
      <c r="Q225" s="242"/>
      <c r="R225" s="242"/>
      <c r="S225" s="242"/>
      <c r="T225" s="242"/>
      <c r="U225" s="242"/>
      <c r="V225" s="242"/>
      <c r="W225" s="242"/>
      <c r="X225" s="242"/>
      <c r="Y225" s="242"/>
      <c r="Z225" s="242"/>
    </row>
    <row r="226" spans="1:26" s="2" customFormat="1" ht="18" customHeight="1">
      <c r="A226" s="250"/>
      <c r="B226" s="145"/>
      <c r="C226" s="145"/>
      <c r="D226" s="145"/>
      <c r="E226" s="149"/>
      <c r="F226" s="145"/>
      <c r="G226" s="150"/>
      <c r="H226" s="251"/>
      <c r="I226" s="251"/>
      <c r="J226" s="251"/>
      <c r="K226" s="242"/>
      <c r="L226" s="242"/>
      <c r="M226" s="242"/>
      <c r="N226" s="242"/>
      <c r="O226" s="242"/>
      <c r="P226" s="242"/>
      <c r="Q226" s="242"/>
      <c r="R226" s="242"/>
      <c r="S226" s="242"/>
      <c r="T226" s="242"/>
      <c r="U226" s="242"/>
      <c r="V226" s="242"/>
      <c r="W226" s="242"/>
      <c r="X226" s="242"/>
      <c r="Y226" s="242"/>
      <c r="Z226" s="242"/>
    </row>
    <row r="227" spans="1:26" s="2" customFormat="1" ht="18" customHeight="1">
      <c r="A227" s="250"/>
      <c r="B227" s="145"/>
      <c r="C227" s="145"/>
      <c r="D227" s="145"/>
      <c r="E227" s="149"/>
      <c r="F227" s="145"/>
      <c r="G227" s="150"/>
      <c r="H227" s="251"/>
      <c r="I227" s="251"/>
      <c r="J227" s="251"/>
      <c r="K227" s="242"/>
      <c r="L227" s="242"/>
      <c r="M227" s="242"/>
      <c r="N227" s="242"/>
      <c r="O227" s="242"/>
      <c r="P227" s="242"/>
      <c r="Q227" s="242"/>
      <c r="R227" s="242"/>
      <c r="S227" s="242"/>
      <c r="T227" s="242"/>
      <c r="U227" s="242"/>
      <c r="V227" s="242"/>
      <c r="W227" s="242"/>
      <c r="X227" s="242"/>
      <c r="Y227" s="242"/>
      <c r="Z227" s="242"/>
    </row>
    <row r="228" spans="1:26" s="2" customFormat="1" ht="18" customHeight="1">
      <c r="A228" s="250"/>
      <c r="B228" s="145"/>
      <c r="C228" s="145"/>
      <c r="D228" s="145"/>
      <c r="E228" s="149"/>
      <c r="F228" s="145"/>
      <c r="G228" s="150"/>
      <c r="H228" s="251"/>
      <c r="I228" s="251"/>
      <c r="J228" s="251"/>
      <c r="K228" s="242"/>
      <c r="L228" s="242"/>
      <c r="M228" s="242"/>
      <c r="N228" s="242"/>
      <c r="O228" s="242"/>
      <c r="P228" s="242"/>
      <c r="Q228" s="242"/>
      <c r="R228" s="242"/>
      <c r="S228" s="242"/>
      <c r="T228" s="242"/>
      <c r="U228" s="242"/>
      <c r="V228" s="242"/>
      <c r="W228" s="242"/>
      <c r="X228" s="242"/>
      <c r="Y228" s="242"/>
      <c r="Z228" s="242"/>
    </row>
    <row r="229" spans="1:26" s="2" customFormat="1" ht="18" customHeight="1">
      <c r="A229" s="250"/>
      <c r="B229" s="145"/>
      <c r="C229" s="145"/>
      <c r="D229" s="145"/>
      <c r="E229" s="149"/>
      <c r="F229" s="145"/>
      <c r="G229" s="150"/>
      <c r="H229" s="251"/>
      <c r="I229" s="251"/>
      <c r="J229" s="251"/>
      <c r="K229" s="242"/>
      <c r="L229" s="242"/>
      <c r="M229" s="242"/>
      <c r="N229" s="242"/>
      <c r="O229" s="242"/>
      <c r="P229" s="242"/>
      <c r="Q229" s="242"/>
      <c r="R229" s="242"/>
      <c r="S229" s="242"/>
      <c r="T229" s="242"/>
      <c r="U229" s="242"/>
      <c r="V229" s="242"/>
      <c r="W229" s="242"/>
      <c r="X229" s="242"/>
      <c r="Y229" s="242"/>
      <c r="Z229" s="242"/>
    </row>
    <row r="230" spans="1:26" s="2" customFormat="1" ht="18" customHeight="1">
      <c r="A230" s="250"/>
      <c r="B230" s="145"/>
      <c r="C230" s="145"/>
      <c r="D230" s="145"/>
      <c r="E230" s="149"/>
      <c r="F230" s="145"/>
      <c r="G230" s="150"/>
      <c r="H230" s="251"/>
      <c r="I230" s="251"/>
      <c r="J230" s="251"/>
      <c r="K230" s="242"/>
      <c r="L230" s="242"/>
      <c r="M230" s="242"/>
      <c r="N230" s="242"/>
      <c r="O230" s="242"/>
      <c r="P230" s="242"/>
      <c r="Q230" s="242"/>
      <c r="R230" s="242"/>
      <c r="S230" s="242"/>
      <c r="T230" s="242"/>
      <c r="U230" s="242"/>
      <c r="V230" s="242"/>
      <c r="W230" s="242"/>
      <c r="X230" s="242"/>
      <c r="Y230" s="242"/>
      <c r="Z230" s="242"/>
    </row>
    <row r="231" spans="1:26" s="2" customFormat="1" ht="18" customHeight="1">
      <c r="A231" s="250"/>
      <c r="B231" s="145"/>
      <c r="C231" s="145"/>
      <c r="D231" s="145"/>
      <c r="E231" s="149"/>
      <c r="F231" s="145"/>
      <c r="G231" s="150"/>
      <c r="H231" s="251"/>
      <c r="I231" s="251"/>
      <c r="J231" s="251"/>
      <c r="K231" s="242"/>
      <c r="L231" s="242"/>
      <c r="M231" s="242"/>
      <c r="N231" s="242"/>
      <c r="O231" s="242"/>
      <c r="P231" s="242"/>
      <c r="Q231" s="242"/>
      <c r="R231" s="242"/>
      <c r="S231" s="242"/>
      <c r="T231" s="242"/>
      <c r="U231" s="242"/>
      <c r="V231" s="242"/>
      <c r="W231" s="242"/>
      <c r="X231" s="242"/>
      <c r="Y231" s="242"/>
      <c r="Z231" s="242"/>
    </row>
    <row r="232" spans="1:26" s="2" customFormat="1" ht="18" customHeight="1">
      <c r="A232" s="250"/>
      <c r="B232" s="145"/>
      <c r="C232" s="145"/>
      <c r="D232" s="145"/>
      <c r="E232" s="149"/>
      <c r="F232" s="145"/>
      <c r="G232" s="150"/>
      <c r="H232" s="251"/>
      <c r="I232" s="251"/>
      <c r="J232" s="251"/>
      <c r="K232" s="242"/>
      <c r="L232" s="242"/>
      <c r="M232" s="242"/>
      <c r="N232" s="242"/>
      <c r="O232" s="242"/>
      <c r="P232" s="242"/>
      <c r="Q232" s="242"/>
      <c r="R232" s="242"/>
      <c r="S232" s="242"/>
      <c r="T232" s="242"/>
      <c r="U232" s="242"/>
      <c r="V232" s="242"/>
      <c r="W232" s="242"/>
      <c r="X232" s="242"/>
      <c r="Y232" s="242"/>
      <c r="Z232" s="242"/>
    </row>
    <row r="233" spans="1:26" s="2" customFormat="1" ht="18" customHeight="1">
      <c r="A233" s="250"/>
      <c r="B233" s="145"/>
      <c r="C233" s="145"/>
      <c r="D233" s="145"/>
      <c r="E233" s="149"/>
      <c r="F233" s="145"/>
      <c r="G233" s="150"/>
      <c r="H233" s="251"/>
      <c r="I233" s="251"/>
      <c r="J233" s="251"/>
      <c r="K233" s="242"/>
      <c r="L233" s="242"/>
      <c r="M233" s="242"/>
      <c r="N233" s="242"/>
      <c r="O233" s="242"/>
      <c r="P233" s="242"/>
      <c r="Q233" s="242"/>
      <c r="R233" s="242"/>
      <c r="S233" s="242"/>
      <c r="T233" s="242"/>
      <c r="U233" s="242"/>
      <c r="V233" s="242"/>
      <c r="W233" s="242"/>
      <c r="X233" s="242"/>
      <c r="Y233" s="242"/>
      <c r="Z233" s="242"/>
    </row>
    <row r="234" spans="1:26" s="2" customFormat="1" ht="18" customHeight="1">
      <c r="A234" s="250"/>
      <c r="B234" s="145"/>
      <c r="C234" s="145"/>
      <c r="D234" s="145"/>
      <c r="E234" s="149"/>
      <c r="F234" s="145"/>
      <c r="G234" s="150"/>
      <c r="H234" s="251"/>
      <c r="I234" s="251"/>
      <c r="J234" s="251"/>
      <c r="K234" s="242"/>
      <c r="L234" s="242"/>
      <c r="M234" s="242"/>
      <c r="N234" s="242"/>
      <c r="O234" s="242"/>
      <c r="P234" s="242"/>
      <c r="Q234" s="242"/>
      <c r="R234" s="242"/>
      <c r="S234" s="242"/>
      <c r="T234" s="242"/>
      <c r="U234" s="242"/>
      <c r="V234" s="242"/>
      <c r="W234" s="242"/>
      <c r="X234" s="242"/>
      <c r="Y234" s="242"/>
      <c r="Z234" s="242"/>
    </row>
    <row r="235" spans="1:26" s="2" customFormat="1" ht="18" customHeight="1">
      <c r="A235" s="250"/>
      <c r="B235" s="145"/>
      <c r="C235" s="145"/>
      <c r="D235" s="145"/>
      <c r="E235" s="149"/>
      <c r="F235" s="145"/>
      <c r="G235" s="150"/>
      <c r="H235" s="251"/>
      <c r="I235" s="251"/>
      <c r="J235" s="251"/>
      <c r="K235" s="242"/>
      <c r="L235" s="242"/>
      <c r="M235" s="242"/>
      <c r="N235" s="242"/>
      <c r="O235" s="242"/>
      <c r="P235" s="242"/>
      <c r="Q235" s="242"/>
      <c r="R235" s="242"/>
      <c r="S235" s="242"/>
      <c r="T235" s="242"/>
      <c r="U235" s="242"/>
      <c r="V235" s="242"/>
      <c r="W235" s="242"/>
      <c r="X235" s="242"/>
      <c r="Y235" s="242"/>
      <c r="Z235" s="242"/>
    </row>
    <row r="236" spans="1:26" s="2" customFormat="1" ht="18" customHeight="1">
      <c r="A236" s="250"/>
      <c r="B236" s="145"/>
      <c r="C236" s="145"/>
      <c r="D236" s="145"/>
      <c r="E236" s="149"/>
      <c r="F236" s="145"/>
      <c r="G236" s="150"/>
      <c r="H236" s="251"/>
      <c r="I236" s="251"/>
      <c r="J236" s="251"/>
      <c r="K236" s="242"/>
      <c r="L236" s="242"/>
      <c r="M236" s="242"/>
      <c r="N236" s="242"/>
      <c r="O236" s="242"/>
      <c r="P236" s="242"/>
      <c r="Q236" s="242"/>
      <c r="R236" s="242"/>
      <c r="S236" s="242"/>
      <c r="T236" s="242"/>
      <c r="U236" s="242"/>
      <c r="V236" s="242"/>
      <c r="W236" s="242"/>
      <c r="X236" s="242"/>
      <c r="Y236" s="242"/>
      <c r="Z236" s="242"/>
    </row>
    <row r="237" spans="1:26" s="2" customFormat="1" ht="18" customHeight="1">
      <c r="A237" s="250"/>
      <c r="B237" s="145"/>
      <c r="C237" s="145"/>
      <c r="D237" s="145"/>
      <c r="E237" s="149"/>
      <c r="F237" s="145"/>
      <c r="G237" s="150"/>
      <c r="H237" s="251"/>
      <c r="I237" s="251"/>
      <c r="J237" s="251"/>
      <c r="K237" s="242"/>
      <c r="L237" s="242"/>
      <c r="M237" s="242"/>
      <c r="N237" s="242"/>
      <c r="O237" s="242"/>
      <c r="P237" s="242"/>
      <c r="Q237" s="242"/>
      <c r="R237" s="242"/>
      <c r="S237" s="242"/>
      <c r="T237" s="242"/>
      <c r="U237" s="242"/>
      <c r="V237" s="242"/>
      <c r="W237" s="242"/>
      <c r="X237" s="242"/>
      <c r="Y237" s="242"/>
      <c r="Z237" s="242"/>
    </row>
    <row r="238" spans="1:26" s="2" customFormat="1" ht="18" customHeight="1">
      <c r="A238" s="250"/>
      <c r="B238" s="145"/>
      <c r="C238" s="145"/>
      <c r="D238" s="145"/>
      <c r="E238" s="149"/>
      <c r="F238" s="145"/>
      <c r="G238" s="150"/>
      <c r="H238" s="251"/>
      <c r="I238" s="251"/>
      <c r="J238" s="251"/>
      <c r="K238" s="242"/>
      <c r="L238" s="242"/>
      <c r="M238" s="242"/>
      <c r="N238" s="242"/>
      <c r="O238" s="242"/>
      <c r="P238" s="242"/>
      <c r="Q238" s="242"/>
      <c r="R238" s="242"/>
      <c r="S238" s="242"/>
      <c r="T238" s="242"/>
      <c r="U238" s="242"/>
      <c r="V238" s="242"/>
      <c r="W238" s="242"/>
      <c r="X238" s="242"/>
      <c r="Y238" s="242"/>
      <c r="Z238" s="242"/>
    </row>
    <row r="239" spans="1:26" s="2" customFormat="1" ht="18" customHeight="1">
      <c r="A239" s="250"/>
      <c r="B239" s="145"/>
      <c r="C239" s="145"/>
      <c r="D239" s="145"/>
      <c r="E239" s="149"/>
      <c r="F239" s="145"/>
      <c r="G239" s="150"/>
      <c r="H239" s="251"/>
      <c r="I239" s="251"/>
      <c r="J239" s="251"/>
      <c r="K239" s="242"/>
      <c r="L239" s="242"/>
      <c r="M239" s="242"/>
      <c r="N239" s="242"/>
      <c r="O239" s="242"/>
      <c r="P239" s="242"/>
      <c r="Q239" s="242"/>
      <c r="R239" s="242"/>
      <c r="S239" s="242"/>
      <c r="T239" s="242"/>
      <c r="U239" s="242"/>
      <c r="V239" s="242"/>
      <c r="W239" s="242"/>
      <c r="X239" s="242"/>
      <c r="Y239" s="242"/>
      <c r="Z239" s="242"/>
    </row>
    <row r="240" spans="1:26" s="2" customFormat="1" ht="18" customHeight="1">
      <c r="A240" s="250"/>
      <c r="B240" s="145"/>
      <c r="C240" s="145"/>
      <c r="D240" s="145"/>
      <c r="E240" s="149"/>
      <c r="F240" s="145"/>
      <c r="G240" s="150"/>
      <c r="H240" s="251"/>
      <c r="I240" s="251"/>
      <c r="J240" s="251"/>
      <c r="K240" s="242"/>
      <c r="L240" s="242"/>
      <c r="M240" s="242"/>
      <c r="N240" s="242"/>
      <c r="O240" s="242"/>
      <c r="P240" s="242"/>
      <c r="Q240" s="242"/>
      <c r="R240" s="242"/>
      <c r="S240" s="242"/>
      <c r="T240" s="242"/>
      <c r="U240" s="242"/>
      <c r="V240" s="242"/>
      <c r="W240" s="242"/>
      <c r="X240" s="242"/>
      <c r="Y240" s="242"/>
      <c r="Z240" s="242"/>
    </row>
    <row r="241" spans="1:26" s="2" customFormat="1" ht="18" customHeight="1">
      <c r="A241" s="250"/>
      <c r="B241" s="145"/>
      <c r="C241" s="145"/>
      <c r="D241" s="145"/>
      <c r="E241" s="149"/>
      <c r="F241" s="145"/>
      <c r="G241" s="150"/>
      <c r="H241" s="251"/>
      <c r="I241" s="251"/>
      <c r="J241" s="251"/>
      <c r="K241" s="242"/>
      <c r="L241" s="242"/>
      <c r="M241" s="242"/>
      <c r="N241" s="242"/>
      <c r="O241" s="242"/>
      <c r="P241" s="242"/>
      <c r="Q241" s="242"/>
      <c r="R241" s="242"/>
      <c r="S241" s="242"/>
      <c r="T241" s="242"/>
      <c r="U241" s="242"/>
      <c r="V241" s="242"/>
      <c r="W241" s="242"/>
      <c r="X241" s="242"/>
      <c r="Y241" s="242"/>
      <c r="Z241" s="242"/>
    </row>
    <row r="242" spans="1:26" s="2" customFormat="1" ht="18" customHeight="1">
      <c r="A242" s="250"/>
      <c r="B242" s="145"/>
      <c r="C242" s="145"/>
      <c r="D242" s="145"/>
      <c r="E242" s="149"/>
      <c r="F242" s="145"/>
      <c r="G242" s="150"/>
      <c r="H242" s="251"/>
      <c r="I242" s="251"/>
      <c r="J242" s="251"/>
      <c r="K242" s="242"/>
      <c r="L242" s="242"/>
      <c r="M242" s="242"/>
      <c r="N242" s="242"/>
      <c r="O242" s="242"/>
      <c r="P242" s="242"/>
      <c r="Q242" s="242"/>
      <c r="R242" s="242"/>
      <c r="S242" s="242"/>
      <c r="T242" s="242"/>
      <c r="U242" s="242"/>
      <c r="V242" s="242"/>
      <c r="W242" s="242"/>
      <c r="X242" s="242"/>
      <c r="Y242" s="242"/>
      <c r="Z242" s="242"/>
    </row>
    <row r="243" spans="1:26" s="2" customFormat="1" ht="18" customHeight="1">
      <c r="A243" s="250"/>
      <c r="B243" s="145"/>
      <c r="C243" s="145"/>
      <c r="D243" s="145"/>
      <c r="E243" s="149"/>
      <c r="F243" s="145"/>
      <c r="G243" s="150"/>
      <c r="H243" s="251"/>
      <c r="I243" s="251"/>
      <c r="J243" s="251"/>
      <c r="K243" s="242"/>
      <c r="L243" s="242"/>
      <c r="M243" s="242"/>
      <c r="N243" s="242"/>
      <c r="O243" s="242"/>
      <c r="P243" s="242"/>
      <c r="Q243" s="242"/>
      <c r="R243" s="242"/>
      <c r="S243" s="242"/>
      <c r="T243" s="242"/>
      <c r="U243" s="242"/>
      <c r="V243" s="242"/>
      <c r="W243" s="242"/>
      <c r="X243" s="242"/>
      <c r="Y243" s="242"/>
      <c r="Z243" s="242"/>
    </row>
    <row r="244" spans="1:26" s="2" customFormat="1" ht="18" customHeight="1">
      <c r="A244" s="250"/>
      <c r="B244" s="145"/>
      <c r="C244" s="145"/>
      <c r="D244" s="145"/>
      <c r="E244" s="149"/>
      <c r="F244" s="145"/>
      <c r="G244" s="150"/>
      <c r="H244" s="251"/>
      <c r="I244" s="251"/>
      <c r="J244" s="251"/>
      <c r="K244" s="242"/>
      <c r="L244" s="242"/>
      <c r="M244" s="242"/>
      <c r="N244" s="242"/>
      <c r="O244" s="242"/>
      <c r="P244" s="242"/>
      <c r="Q244" s="242"/>
      <c r="R244" s="242"/>
      <c r="S244" s="242"/>
      <c r="T244" s="242"/>
      <c r="U244" s="242"/>
      <c r="V244" s="242"/>
      <c r="W244" s="242"/>
      <c r="X244" s="242"/>
      <c r="Y244" s="242"/>
      <c r="Z244" s="242"/>
    </row>
    <row r="245" spans="1:26" s="2" customFormat="1" ht="18" customHeight="1">
      <c r="A245" s="250"/>
      <c r="B245" s="145"/>
      <c r="C245" s="145"/>
      <c r="D245" s="145"/>
      <c r="E245" s="149"/>
      <c r="F245" s="145"/>
      <c r="G245" s="150"/>
      <c r="H245" s="251"/>
      <c r="I245" s="251"/>
      <c r="J245" s="251"/>
      <c r="K245" s="242"/>
      <c r="L245" s="242"/>
      <c r="M245" s="242"/>
      <c r="N245" s="242"/>
      <c r="O245" s="242"/>
      <c r="P245" s="242"/>
      <c r="Q245" s="242"/>
      <c r="R245" s="242"/>
      <c r="S245" s="242"/>
      <c r="T245" s="242"/>
      <c r="U245" s="242"/>
      <c r="V245" s="242"/>
      <c r="W245" s="242"/>
      <c r="X245" s="242"/>
      <c r="Y245" s="242"/>
      <c r="Z245" s="242"/>
    </row>
    <row r="246" spans="1:26" s="2" customFormat="1" ht="18" customHeight="1">
      <c r="A246" s="250"/>
      <c r="B246" s="145"/>
      <c r="C246" s="145"/>
      <c r="D246" s="145"/>
      <c r="E246" s="149"/>
      <c r="F246" s="145"/>
      <c r="G246" s="150"/>
      <c r="H246" s="251"/>
      <c r="I246" s="251"/>
      <c r="J246" s="251"/>
      <c r="K246" s="242"/>
      <c r="L246" s="242"/>
      <c r="M246" s="242"/>
      <c r="N246" s="242"/>
      <c r="O246" s="242"/>
      <c r="P246" s="242"/>
      <c r="Q246" s="242"/>
      <c r="R246" s="242"/>
      <c r="S246" s="242"/>
      <c r="T246" s="242"/>
      <c r="U246" s="242"/>
      <c r="V246" s="242"/>
      <c r="W246" s="242"/>
      <c r="X246" s="242"/>
      <c r="Y246" s="242"/>
      <c r="Z246" s="242"/>
    </row>
    <row r="247" spans="1:26" s="2" customFormat="1" ht="18" customHeight="1">
      <c r="A247" s="250"/>
      <c r="B247" s="145"/>
      <c r="C247" s="145"/>
      <c r="D247" s="145"/>
      <c r="E247" s="149"/>
      <c r="F247" s="145"/>
      <c r="G247" s="150"/>
      <c r="H247" s="251"/>
      <c r="I247" s="251"/>
      <c r="J247" s="251"/>
      <c r="K247" s="242"/>
      <c r="L247" s="242"/>
      <c r="M247" s="242"/>
      <c r="N247" s="242"/>
      <c r="O247" s="242"/>
      <c r="P247" s="242"/>
      <c r="Q247" s="242"/>
      <c r="R247" s="242"/>
      <c r="S247" s="242"/>
      <c r="T247" s="242"/>
      <c r="U247" s="242"/>
      <c r="V247" s="242"/>
      <c r="W247" s="242"/>
      <c r="X247" s="242"/>
      <c r="Y247" s="242"/>
      <c r="Z247" s="242"/>
    </row>
    <row r="248" spans="1:26" s="2" customFormat="1" ht="18" customHeight="1">
      <c r="A248" s="250"/>
      <c r="B248" s="145"/>
      <c r="C248" s="145"/>
      <c r="D248" s="145"/>
      <c r="E248" s="149"/>
      <c r="F248" s="145"/>
      <c r="G248" s="150"/>
      <c r="H248" s="251"/>
      <c r="I248" s="251"/>
      <c r="J248" s="251"/>
      <c r="K248" s="242"/>
      <c r="L248" s="242"/>
      <c r="M248" s="242"/>
      <c r="N248" s="242"/>
      <c r="O248" s="242"/>
      <c r="P248" s="242"/>
      <c r="Q248" s="242"/>
      <c r="R248" s="242"/>
      <c r="S248" s="242"/>
      <c r="T248" s="242"/>
      <c r="U248" s="242"/>
      <c r="V248" s="242"/>
      <c r="W248" s="242"/>
      <c r="X248" s="242"/>
      <c r="Y248" s="242"/>
      <c r="Z248" s="242"/>
    </row>
    <row r="249" spans="1:26" s="2" customFormat="1" ht="18" customHeight="1">
      <c r="A249" s="250"/>
      <c r="B249" s="145"/>
      <c r="C249" s="145"/>
      <c r="D249" s="145"/>
      <c r="E249" s="149"/>
      <c r="F249" s="145"/>
      <c r="G249" s="150"/>
      <c r="H249" s="251"/>
      <c r="I249" s="251"/>
      <c r="J249" s="251"/>
      <c r="K249" s="242"/>
      <c r="L249" s="242"/>
      <c r="M249" s="242"/>
      <c r="N249" s="242"/>
      <c r="O249" s="242"/>
      <c r="P249" s="242"/>
      <c r="Q249" s="242"/>
      <c r="R249" s="242"/>
      <c r="S249" s="242"/>
      <c r="T249" s="242"/>
      <c r="U249" s="242"/>
      <c r="V249" s="242"/>
      <c r="W249" s="242"/>
      <c r="X249" s="242"/>
      <c r="Y249" s="242"/>
      <c r="Z249" s="242"/>
    </row>
    <row r="250" spans="1:26" s="2" customFormat="1" ht="18" customHeight="1">
      <c r="A250" s="250"/>
      <c r="B250" s="145"/>
      <c r="C250" s="145"/>
      <c r="D250" s="145"/>
      <c r="E250" s="149"/>
      <c r="F250" s="145"/>
      <c r="G250" s="150"/>
      <c r="H250" s="251"/>
      <c r="I250" s="251"/>
      <c r="J250" s="251"/>
      <c r="K250" s="242"/>
      <c r="L250" s="242"/>
      <c r="M250" s="242"/>
      <c r="N250" s="242"/>
      <c r="O250" s="242"/>
      <c r="P250" s="242"/>
      <c r="Q250" s="242"/>
      <c r="R250" s="242"/>
      <c r="S250" s="242"/>
      <c r="T250" s="242"/>
      <c r="U250" s="242"/>
      <c r="V250" s="242"/>
      <c r="W250" s="242"/>
      <c r="X250" s="242"/>
      <c r="Y250" s="242"/>
      <c r="Z250" s="242"/>
    </row>
    <row r="251" spans="1:26" s="2" customFormat="1" ht="18" customHeight="1">
      <c r="A251" s="250"/>
      <c r="B251" s="145"/>
      <c r="C251" s="145"/>
      <c r="D251" s="145"/>
      <c r="E251" s="149"/>
      <c r="F251" s="145"/>
      <c r="G251" s="150"/>
      <c r="H251" s="251"/>
      <c r="I251" s="251"/>
      <c r="J251" s="251"/>
      <c r="K251" s="242"/>
      <c r="L251" s="242"/>
      <c r="M251" s="242"/>
      <c r="N251" s="242"/>
      <c r="O251" s="242"/>
      <c r="P251" s="242"/>
      <c r="Q251" s="242"/>
      <c r="R251" s="242"/>
      <c r="S251" s="242"/>
      <c r="T251" s="242"/>
      <c r="U251" s="242"/>
      <c r="V251" s="242"/>
      <c r="W251" s="242"/>
      <c r="X251" s="242"/>
      <c r="Y251" s="242"/>
      <c r="Z251" s="242"/>
    </row>
    <row r="252" spans="1:26" s="2" customFormat="1" ht="18" customHeight="1">
      <c r="A252" s="250"/>
      <c r="B252" s="145"/>
      <c r="C252" s="145"/>
      <c r="D252" s="145"/>
      <c r="E252" s="149"/>
      <c r="F252" s="145"/>
      <c r="G252" s="150"/>
      <c r="H252" s="251"/>
      <c r="I252" s="251"/>
      <c r="J252" s="251"/>
      <c r="K252" s="242"/>
      <c r="L252" s="242"/>
      <c r="M252" s="242"/>
      <c r="N252" s="242"/>
      <c r="O252" s="242"/>
      <c r="P252" s="242"/>
      <c r="Q252" s="242"/>
      <c r="R252" s="242"/>
      <c r="S252" s="242"/>
      <c r="T252" s="242"/>
      <c r="U252" s="242"/>
      <c r="V252" s="242"/>
      <c r="W252" s="242"/>
      <c r="X252" s="242"/>
      <c r="Y252" s="242"/>
      <c r="Z252" s="242"/>
    </row>
    <row r="253" spans="1:26" s="2" customFormat="1" ht="18" customHeight="1">
      <c r="A253" s="250"/>
      <c r="B253" s="145"/>
      <c r="C253" s="145"/>
      <c r="D253" s="145"/>
      <c r="E253" s="149"/>
      <c r="F253" s="145"/>
      <c r="G253" s="150"/>
      <c r="H253" s="251"/>
      <c r="I253" s="251"/>
      <c r="J253" s="251"/>
      <c r="K253" s="242"/>
      <c r="L253" s="242"/>
      <c r="M253" s="242"/>
      <c r="N253" s="242"/>
      <c r="O253" s="242"/>
      <c r="P253" s="242"/>
      <c r="Q253" s="242"/>
      <c r="R253" s="242"/>
      <c r="S253" s="242"/>
      <c r="T253" s="242"/>
      <c r="U253" s="242"/>
      <c r="V253" s="242"/>
      <c r="W253" s="242"/>
      <c r="X253" s="242"/>
      <c r="Y253" s="242"/>
      <c r="Z253" s="242"/>
    </row>
    <row r="254" spans="1:26" s="2" customFormat="1" ht="18" customHeight="1">
      <c r="A254" s="250"/>
      <c r="B254" s="145"/>
      <c r="C254" s="145"/>
      <c r="D254" s="145"/>
      <c r="E254" s="149"/>
      <c r="F254" s="145"/>
      <c r="G254" s="150"/>
      <c r="H254" s="251"/>
      <c r="I254" s="251"/>
      <c r="J254" s="251"/>
      <c r="K254" s="242"/>
      <c r="L254" s="242"/>
      <c r="M254" s="242"/>
      <c r="N254" s="242"/>
      <c r="O254" s="242"/>
      <c r="P254" s="242"/>
      <c r="Q254" s="242"/>
      <c r="R254" s="242"/>
      <c r="S254" s="242"/>
      <c r="T254" s="242"/>
      <c r="U254" s="242"/>
      <c r="V254" s="242"/>
      <c r="W254" s="242"/>
      <c r="X254" s="242"/>
      <c r="Y254" s="242"/>
      <c r="Z254" s="242"/>
    </row>
    <row r="255" spans="1:26" s="2" customFormat="1" ht="18" customHeight="1">
      <c r="A255" s="250"/>
      <c r="B255" s="145"/>
      <c r="C255" s="145"/>
      <c r="D255" s="145"/>
      <c r="E255" s="149"/>
      <c r="F255" s="145"/>
      <c r="G255" s="150"/>
      <c r="H255" s="251"/>
      <c r="I255" s="251"/>
      <c r="J255" s="251"/>
      <c r="K255" s="242"/>
      <c r="L255" s="242"/>
      <c r="M255" s="242"/>
      <c r="N255" s="242"/>
      <c r="O255" s="242"/>
      <c r="P255" s="242"/>
      <c r="Q255" s="242"/>
      <c r="R255" s="242"/>
      <c r="S255" s="242"/>
      <c r="T255" s="242"/>
      <c r="U255" s="242"/>
      <c r="V255" s="242"/>
      <c r="W255" s="242"/>
      <c r="X255" s="242"/>
      <c r="Y255" s="242"/>
      <c r="Z255" s="242"/>
    </row>
    <row r="256" spans="1:26" s="2" customFormat="1" ht="18" customHeight="1">
      <c r="A256" s="250"/>
      <c r="B256" s="145"/>
      <c r="C256" s="145"/>
      <c r="D256" s="145"/>
      <c r="E256" s="149"/>
      <c r="F256" s="145"/>
      <c r="G256" s="150"/>
      <c r="H256" s="251"/>
      <c r="I256" s="251"/>
      <c r="J256" s="251"/>
      <c r="K256" s="242"/>
      <c r="L256" s="242"/>
      <c r="M256" s="242"/>
      <c r="N256" s="242"/>
      <c r="O256" s="242"/>
      <c r="P256" s="242"/>
      <c r="Q256" s="242"/>
      <c r="R256" s="242"/>
      <c r="S256" s="242"/>
      <c r="T256" s="242"/>
      <c r="U256" s="242"/>
      <c r="V256" s="242"/>
      <c r="W256" s="242"/>
      <c r="X256" s="242"/>
      <c r="Y256" s="242"/>
      <c r="Z256" s="242"/>
    </row>
    <row r="257" spans="1:26" s="2" customFormat="1" ht="18" customHeight="1">
      <c r="A257" s="250"/>
      <c r="B257" s="145"/>
      <c r="C257" s="145"/>
      <c r="D257" s="145"/>
      <c r="E257" s="149"/>
      <c r="F257" s="145"/>
      <c r="G257" s="150"/>
      <c r="H257" s="251"/>
      <c r="I257" s="251"/>
      <c r="J257" s="251"/>
      <c r="K257" s="242"/>
      <c r="L257" s="242"/>
      <c r="M257" s="242"/>
      <c r="N257" s="242"/>
      <c r="O257" s="242"/>
      <c r="P257" s="242"/>
      <c r="Q257" s="242"/>
      <c r="R257" s="242"/>
      <c r="S257" s="242"/>
      <c r="T257" s="242"/>
      <c r="U257" s="242"/>
      <c r="V257" s="242"/>
      <c r="W257" s="242"/>
      <c r="X257" s="242"/>
      <c r="Y257" s="242"/>
      <c r="Z257" s="242"/>
    </row>
    <row r="258" spans="1:26" s="2" customFormat="1" ht="18" customHeight="1">
      <c r="A258" s="250"/>
      <c r="B258" s="145"/>
      <c r="C258" s="145"/>
      <c r="D258" s="145"/>
      <c r="E258" s="149"/>
      <c r="F258" s="145"/>
      <c r="G258" s="150"/>
      <c r="H258" s="251"/>
      <c r="I258" s="251"/>
      <c r="J258" s="251"/>
      <c r="K258" s="242"/>
      <c r="L258" s="242"/>
      <c r="M258" s="242"/>
      <c r="N258" s="242"/>
      <c r="O258" s="242"/>
      <c r="P258" s="242"/>
      <c r="Q258" s="242"/>
      <c r="R258" s="242"/>
      <c r="S258" s="242"/>
      <c r="T258" s="242"/>
      <c r="U258" s="242"/>
      <c r="V258" s="242"/>
      <c r="W258" s="242"/>
      <c r="X258" s="242"/>
      <c r="Y258" s="242"/>
      <c r="Z258" s="242"/>
    </row>
    <row r="259" spans="1:26" s="2" customFormat="1" ht="18" customHeight="1">
      <c r="A259" s="250"/>
      <c r="B259" s="145"/>
      <c r="C259" s="145"/>
      <c r="D259" s="145"/>
      <c r="E259" s="149"/>
      <c r="F259" s="145"/>
      <c r="G259" s="150"/>
      <c r="H259" s="251"/>
      <c r="I259" s="251"/>
      <c r="J259" s="251"/>
      <c r="K259" s="242"/>
      <c r="L259" s="242"/>
      <c r="M259" s="242"/>
      <c r="N259" s="242"/>
      <c r="O259" s="242"/>
      <c r="P259" s="242"/>
      <c r="Q259" s="242"/>
      <c r="R259" s="242"/>
      <c r="S259" s="242"/>
      <c r="T259" s="242"/>
      <c r="U259" s="242"/>
      <c r="V259" s="242"/>
      <c r="W259" s="242"/>
      <c r="X259" s="242"/>
      <c r="Y259" s="242"/>
      <c r="Z259" s="242"/>
    </row>
    <row r="260" spans="1:26" s="2" customFormat="1" ht="18" customHeight="1">
      <c r="A260" s="250"/>
      <c r="B260" s="145"/>
      <c r="C260" s="145"/>
      <c r="D260" s="145"/>
      <c r="E260" s="149"/>
      <c r="F260" s="145"/>
      <c r="G260" s="150"/>
      <c r="H260" s="251"/>
      <c r="I260" s="251"/>
      <c r="J260" s="251"/>
      <c r="K260" s="242"/>
      <c r="L260" s="242"/>
      <c r="M260" s="242"/>
      <c r="N260" s="242"/>
      <c r="O260" s="242"/>
      <c r="P260" s="242"/>
      <c r="Q260" s="242"/>
      <c r="R260" s="242"/>
      <c r="S260" s="242"/>
      <c r="T260" s="242"/>
      <c r="U260" s="242"/>
      <c r="V260" s="242"/>
      <c r="W260" s="242"/>
      <c r="X260" s="242"/>
      <c r="Y260" s="242"/>
      <c r="Z260" s="242"/>
    </row>
    <row r="261" spans="1:26" s="2" customFormat="1" ht="18" customHeight="1">
      <c r="A261" s="250"/>
      <c r="B261" s="145"/>
      <c r="C261" s="145"/>
      <c r="D261" s="145"/>
      <c r="E261" s="149"/>
      <c r="F261" s="145"/>
      <c r="G261" s="150"/>
      <c r="H261" s="251"/>
      <c r="I261" s="251"/>
      <c r="J261" s="251"/>
      <c r="K261" s="242"/>
      <c r="L261" s="242"/>
      <c r="M261" s="242"/>
      <c r="N261" s="242"/>
      <c r="O261" s="242"/>
      <c r="P261" s="242"/>
      <c r="Q261" s="242"/>
      <c r="R261" s="242"/>
      <c r="S261" s="242"/>
      <c r="T261" s="242"/>
      <c r="U261" s="242"/>
      <c r="V261" s="242"/>
      <c r="W261" s="242"/>
      <c r="X261" s="242"/>
      <c r="Y261" s="242"/>
      <c r="Z261" s="242"/>
    </row>
    <row r="262" spans="1:26" s="2" customFormat="1" ht="18" customHeight="1">
      <c r="A262" s="250"/>
      <c r="B262" s="145"/>
      <c r="C262" s="145"/>
      <c r="D262" s="145"/>
      <c r="E262" s="149"/>
      <c r="F262" s="145"/>
      <c r="G262" s="150"/>
      <c r="H262" s="251"/>
      <c r="I262" s="251"/>
      <c r="J262" s="251"/>
      <c r="K262" s="242"/>
      <c r="L262" s="242"/>
      <c r="M262" s="242"/>
      <c r="N262" s="242"/>
      <c r="O262" s="242"/>
      <c r="P262" s="242"/>
      <c r="Q262" s="242"/>
      <c r="R262" s="242"/>
      <c r="S262" s="242"/>
      <c r="T262" s="242"/>
      <c r="U262" s="242"/>
      <c r="V262" s="242"/>
      <c r="W262" s="242"/>
      <c r="X262" s="242"/>
      <c r="Y262" s="242"/>
      <c r="Z262" s="242"/>
    </row>
    <row r="263" spans="1:26" s="2" customFormat="1" ht="18" customHeight="1">
      <c r="A263" s="250"/>
      <c r="B263" s="145"/>
      <c r="C263" s="145"/>
      <c r="D263" s="145"/>
      <c r="E263" s="149"/>
      <c r="F263" s="145"/>
      <c r="G263" s="150"/>
      <c r="H263" s="251"/>
      <c r="I263" s="251"/>
      <c r="J263" s="251"/>
      <c r="K263" s="242"/>
      <c r="L263" s="242"/>
      <c r="M263" s="242"/>
      <c r="N263" s="242"/>
      <c r="O263" s="242"/>
      <c r="P263" s="242"/>
      <c r="Q263" s="242"/>
      <c r="R263" s="242"/>
      <c r="S263" s="242"/>
      <c r="T263" s="242"/>
      <c r="U263" s="242"/>
      <c r="V263" s="242"/>
      <c r="W263" s="242"/>
      <c r="X263" s="242"/>
      <c r="Y263" s="242"/>
      <c r="Z263" s="242"/>
    </row>
    <row r="264" spans="1:26" s="2" customFormat="1" ht="18" customHeight="1">
      <c r="A264" s="250"/>
      <c r="B264" s="145"/>
      <c r="C264" s="145"/>
      <c r="D264" s="145"/>
      <c r="E264" s="149"/>
      <c r="F264" s="145"/>
      <c r="G264" s="150"/>
      <c r="H264" s="251"/>
      <c r="I264" s="251"/>
      <c r="J264" s="251"/>
      <c r="K264" s="242"/>
      <c r="L264" s="242"/>
      <c r="M264" s="242"/>
      <c r="N264" s="242"/>
      <c r="O264" s="242"/>
      <c r="P264" s="242"/>
      <c r="Q264" s="242"/>
      <c r="R264" s="242"/>
      <c r="S264" s="242"/>
      <c r="T264" s="242"/>
      <c r="U264" s="242"/>
      <c r="V264" s="242"/>
      <c r="W264" s="242"/>
      <c r="X264" s="242"/>
      <c r="Y264" s="242"/>
      <c r="Z264" s="242"/>
    </row>
    <row r="265" spans="1:26" s="2" customFormat="1" ht="18" customHeight="1">
      <c r="A265" s="250"/>
      <c r="B265" s="145"/>
      <c r="C265" s="145"/>
      <c r="D265" s="145"/>
      <c r="E265" s="149"/>
      <c r="F265" s="145"/>
      <c r="G265" s="150"/>
      <c r="H265" s="251"/>
      <c r="I265" s="251"/>
      <c r="J265" s="251"/>
      <c r="K265" s="242"/>
      <c r="L265" s="242"/>
      <c r="M265" s="242"/>
      <c r="N265" s="242"/>
      <c r="O265" s="242"/>
      <c r="P265" s="242"/>
      <c r="Q265" s="242"/>
      <c r="R265" s="242"/>
      <c r="S265" s="242"/>
      <c r="T265" s="242"/>
      <c r="U265" s="242"/>
      <c r="V265" s="242"/>
      <c r="W265" s="242"/>
      <c r="X265" s="242"/>
      <c r="Y265" s="242"/>
      <c r="Z265" s="242"/>
    </row>
    <row r="266" spans="1:26" s="2" customFormat="1" ht="18" customHeight="1">
      <c r="A266" s="250"/>
      <c r="B266" s="145"/>
      <c r="C266" s="145"/>
      <c r="D266" s="145"/>
      <c r="E266" s="149"/>
      <c r="F266" s="145"/>
      <c r="G266" s="150"/>
      <c r="H266" s="251"/>
      <c r="I266" s="251"/>
      <c r="J266" s="251"/>
      <c r="K266" s="242"/>
      <c r="L266" s="242"/>
      <c r="M266" s="242"/>
      <c r="N266" s="242"/>
      <c r="O266" s="242"/>
      <c r="P266" s="242"/>
      <c r="Q266" s="242"/>
      <c r="R266" s="242"/>
      <c r="S266" s="242"/>
      <c r="T266" s="242"/>
      <c r="U266" s="242"/>
      <c r="V266" s="242"/>
      <c r="W266" s="242"/>
      <c r="X266" s="242"/>
      <c r="Y266" s="242"/>
      <c r="Z266" s="242"/>
    </row>
    <row r="267" spans="1:26" s="2" customFormat="1" ht="18" customHeight="1">
      <c r="A267" s="250"/>
      <c r="B267" s="145"/>
      <c r="C267" s="145"/>
      <c r="D267" s="145"/>
      <c r="E267" s="149"/>
      <c r="F267" s="145"/>
      <c r="G267" s="150"/>
      <c r="H267" s="251"/>
      <c r="I267" s="251"/>
      <c r="J267" s="251"/>
      <c r="K267" s="242"/>
      <c r="L267" s="242"/>
      <c r="M267" s="242"/>
      <c r="N267" s="242"/>
      <c r="O267" s="242"/>
      <c r="P267" s="242"/>
      <c r="Q267" s="242"/>
      <c r="R267" s="242"/>
      <c r="S267" s="242"/>
      <c r="T267" s="242"/>
      <c r="U267" s="242"/>
      <c r="V267" s="242"/>
      <c r="W267" s="242"/>
      <c r="X267" s="242"/>
      <c r="Y267" s="242"/>
      <c r="Z267" s="242"/>
    </row>
    <row r="268" spans="1:26" s="2" customFormat="1" ht="18" customHeight="1">
      <c r="A268" s="250"/>
      <c r="B268" s="145"/>
      <c r="C268" s="145"/>
      <c r="D268" s="145"/>
      <c r="E268" s="149"/>
      <c r="F268" s="145"/>
      <c r="G268" s="150"/>
      <c r="H268" s="251"/>
      <c r="I268" s="251"/>
      <c r="J268" s="251"/>
      <c r="K268" s="242"/>
      <c r="L268" s="242"/>
      <c r="M268" s="242"/>
      <c r="N268" s="242"/>
      <c r="O268" s="242"/>
      <c r="P268" s="242"/>
      <c r="Q268" s="242"/>
      <c r="R268" s="242"/>
      <c r="S268" s="242"/>
      <c r="T268" s="242"/>
      <c r="U268" s="242"/>
      <c r="V268" s="242"/>
      <c r="W268" s="242"/>
      <c r="X268" s="242"/>
      <c r="Y268" s="242"/>
      <c r="Z268" s="242"/>
    </row>
    <row r="269" spans="1:26" s="2" customFormat="1" ht="18" customHeight="1">
      <c r="A269" s="250"/>
      <c r="B269" s="145"/>
      <c r="C269" s="145"/>
      <c r="D269" s="145"/>
      <c r="E269" s="149"/>
      <c r="F269" s="145"/>
      <c r="G269" s="150"/>
      <c r="H269" s="251"/>
      <c r="I269" s="251"/>
      <c r="J269" s="251"/>
      <c r="K269" s="242"/>
      <c r="L269" s="242"/>
      <c r="M269" s="242"/>
      <c r="N269" s="242"/>
      <c r="O269" s="242"/>
      <c r="P269" s="242"/>
      <c r="Q269" s="242"/>
      <c r="R269" s="242"/>
      <c r="S269" s="242"/>
      <c r="T269" s="242"/>
      <c r="U269" s="242"/>
      <c r="V269" s="242"/>
      <c r="W269" s="242"/>
      <c r="X269" s="242"/>
      <c r="Y269" s="242"/>
      <c r="Z269" s="242"/>
    </row>
    <row r="270" spans="1:26" s="2" customFormat="1" ht="18" customHeight="1">
      <c r="A270" s="250"/>
      <c r="B270" s="145"/>
      <c r="C270" s="145"/>
      <c r="D270" s="145"/>
      <c r="E270" s="149"/>
      <c r="F270" s="145"/>
      <c r="G270" s="150"/>
      <c r="H270" s="251"/>
      <c r="I270" s="251"/>
      <c r="J270" s="251"/>
      <c r="K270" s="242"/>
      <c r="L270" s="242"/>
      <c r="M270" s="242"/>
      <c r="N270" s="242"/>
      <c r="O270" s="242"/>
      <c r="P270" s="242"/>
      <c r="Q270" s="242"/>
      <c r="R270" s="242"/>
      <c r="S270" s="242"/>
      <c r="T270" s="242"/>
      <c r="U270" s="242"/>
      <c r="V270" s="242"/>
      <c r="W270" s="242"/>
      <c r="X270" s="242"/>
      <c r="Y270" s="242"/>
      <c r="Z270" s="242"/>
    </row>
    <row r="271" spans="1:26" s="2" customFormat="1" ht="18" customHeight="1">
      <c r="A271" s="250"/>
      <c r="B271" s="145"/>
      <c r="C271" s="145"/>
      <c r="D271" s="145"/>
      <c r="E271" s="149"/>
      <c r="F271" s="145"/>
      <c r="G271" s="150"/>
      <c r="H271" s="251"/>
      <c r="I271" s="251"/>
      <c r="J271" s="251"/>
      <c r="K271" s="242"/>
      <c r="L271" s="242"/>
      <c r="M271" s="242"/>
      <c r="N271" s="242"/>
      <c r="O271" s="242"/>
      <c r="P271" s="242"/>
      <c r="Q271" s="242"/>
      <c r="R271" s="242"/>
      <c r="S271" s="242"/>
      <c r="T271" s="242"/>
      <c r="U271" s="242"/>
      <c r="V271" s="242"/>
      <c r="W271" s="242"/>
      <c r="X271" s="242"/>
      <c r="Y271" s="242"/>
      <c r="Z271" s="242"/>
    </row>
    <row r="272" spans="1:26" s="2" customFormat="1" ht="18" customHeight="1">
      <c r="A272" s="250"/>
      <c r="B272" s="145"/>
      <c r="C272" s="145"/>
      <c r="D272" s="145"/>
      <c r="E272" s="149"/>
      <c r="F272" s="145"/>
      <c r="G272" s="150"/>
      <c r="H272" s="251"/>
      <c r="I272" s="251"/>
      <c r="J272" s="251"/>
      <c r="K272" s="242"/>
      <c r="L272" s="242"/>
      <c r="M272" s="242"/>
      <c r="N272" s="242"/>
      <c r="O272" s="242"/>
      <c r="P272" s="242"/>
      <c r="Q272" s="242"/>
      <c r="R272" s="242"/>
      <c r="S272" s="242"/>
      <c r="T272" s="242"/>
      <c r="U272" s="242"/>
      <c r="V272" s="242"/>
      <c r="W272" s="242"/>
      <c r="X272" s="242"/>
      <c r="Y272" s="242"/>
      <c r="Z272" s="242"/>
    </row>
    <row r="273" spans="1:26" s="2" customFormat="1" ht="18" customHeight="1">
      <c r="A273" s="250"/>
      <c r="B273" s="145"/>
      <c r="C273" s="145"/>
      <c r="D273" s="145"/>
      <c r="E273" s="149"/>
      <c r="F273" s="145"/>
      <c r="G273" s="150"/>
      <c r="H273" s="251"/>
      <c r="I273" s="251"/>
      <c r="J273" s="251"/>
      <c r="K273" s="242"/>
      <c r="L273" s="242"/>
      <c r="M273" s="242"/>
      <c r="N273" s="242"/>
      <c r="O273" s="242"/>
      <c r="P273" s="242"/>
      <c r="Q273" s="242"/>
      <c r="R273" s="242"/>
      <c r="S273" s="242"/>
      <c r="T273" s="242"/>
      <c r="U273" s="242"/>
      <c r="V273" s="242"/>
      <c r="W273" s="242"/>
      <c r="X273" s="242"/>
      <c r="Y273" s="242"/>
      <c r="Z273" s="242"/>
    </row>
    <row r="274" spans="1:26" s="2" customFormat="1" ht="18" customHeight="1">
      <c r="A274" s="250"/>
      <c r="B274" s="145"/>
      <c r="C274" s="145"/>
      <c r="D274" s="145"/>
      <c r="E274" s="149"/>
      <c r="F274" s="145"/>
      <c r="G274" s="150"/>
      <c r="H274" s="251"/>
      <c r="I274" s="251"/>
      <c r="J274" s="251"/>
      <c r="K274" s="242"/>
      <c r="L274" s="242"/>
      <c r="M274" s="242"/>
      <c r="N274" s="242"/>
      <c r="O274" s="242"/>
      <c r="P274" s="242"/>
      <c r="Q274" s="242"/>
      <c r="R274" s="242"/>
      <c r="S274" s="242"/>
      <c r="T274" s="242"/>
      <c r="U274" s="242"/>
      <c r="V274" s="242"/>
      <c r="W274" s="242"/>
      <c r="X274" s="242"/>
      <c r="Y274" s="242"/>
      <c r="Z274" s="242"/>
    </row>
    <row r="275" spans="1:26" s="2" customFormat="1" ht="18" customHeight="1">
      <c r="A275" s="250"/>
      <c r="B275" s="145"/>
      <c r="C275" s="145"/>
      <c r="D275" s="145"/>
      <c r="E275" s="149"/>
      <c r="F275" s="145"/>
      <c r="G275" s="150"/>
      <c r="H275" s="251"/>
      <c r="I275" s="251"/>
      <c r="J275" s="251"/>
      <c r="K275" s="242"/>
      <c r="L275" s="242"/>
      <c r="M275" s="242"/>
      <c r="N275" s="242"/>
      <c r="O275" s="242"/>
      <c r="P275" s="242"/>
      <c r="Q275" s="242"/>
      <c r="R275" s="242"/>
      <c r="S275" s="242"/>
      <c r="T275" s="242"/>
      <c r="U275" s="242"/>
      <c r="V275" s="242"/>
      <c r="W275" s="242"/>
      <c r="X275" s="242"/>
      <c r="Y275" s="242"/>
      <c r="Z275" s="242"/>
    </row>
    <row r="276" spans="1:26" s="2" customFormat="1" ht="18" customHeight="1">
      <c r="A276" s="250"/>
      <c r="B276" s="145"/>
      <c r="C276" s="145"/>
      <c r="D276" s="145"/>
      <c r="E276" s="149"/>
      <c r="F276" s="145"/>
      <c r="G276" s="150"/>
      <c r="H276" s="251"/>
      <c r="I276" s="251"/>
      <c r="J276" s="251"/>
      <c r="K276" s="242"/>
      <c r="L276" s="242"/>
      <c r="M276" s="242"/>
      <c r="N276" s="242"/>
      <c r="O276" s="242"/>
      <c r="P276" s="242"/>
      <c r="Q276" s="242"/>
      <c r="R276" s="242"/>
      <c r="S276" s="242"/>
      <c r="T276" s="242"/>
      <c r="U276" s="242"/>
      <c r="V276" s="242"/>
      <c r="W276" s="242"/>
      <c r="X276" s="242"/>
      <c r="Y276" s="242"/>
      <c r="Z276" s="242"/>
    </row>
    <row r="277" spans="1:26" s="2" customFormat="1" ht="18" customHeight="1">
      <c r="A277" s="250"/>
      <c r="B277" s="145"/>
      <c r="C277" s="145"/>
      <c r="D277" s="145"/>
      <c r="E277" s="149"/>
      <c r="F277" s="145"/>
      <c r="G277" s="150"/>
      <c r="H277" s="251"/>
      <c r="I277" s="251"/>
      <c r="J277" s="251"/>
      <c r="K277" s="242"/>
      <c r="L277" s="242"/>
      <c r="M277" s="242"/>
      <c r="N277" s="242"/>
      <c r="O277" s="242"/>
      <c r="P277" s="242"/>
      <c r="Q277" s="242"/>
      <c r="R277" s="242"/>
      <c r="S277" s="242"/>
      <c r="T277" s="242"/>
      <c r="U277" s="242"/>
      <c r="V277" s="242"/>
      <c r="W277" s="242"/>
      <c r="X277" s="242"/>
      <c r="Y277" s="242"/>
      <c r="Z277" s="242"/>
    </row>
    <row r="278" spans="1:26" s="2" customFormat="1" ht="18" customHeight="1">
      <c r="A278" s="250"/>
      <c r="B278" s="145"/>
      <c r="C278" s="145"/>
      <c r="D278" s="145"/>
      <c r="E278" s="149"/>
      <c r="F278" s="145"/>
      <c r="G278" s="150"/>
      <c r="H278" s="251"/>
      <c r="I278" s="251"/>
      <c r="J278" s="251"/>
      <c r="K278" s="242"/>
      <c r="L278" s="242"/>
      <c r="M278" s="242"/>
      <c r="N278" s="242"/>
      <c r="O278" s="242"/>
      <c r="P278" s="242"/>
      <c r="Q278" s="242"/>
      <c r="R278" s="242"/>
      <c r="S278" s="242"/>
      <c r="T278" s="242"/>
      <c r="U278" s="242"/>
      <c r="V278" s="242"/>
      <c r="W278" s="242"/>
      <c r="X278" s="242"/>
      <c r="Y278" s="242"/>
      <c r="Z278" s="242"/>
    </row>
    <row r="279" spans="1:26" s="2" customFormat="1" ht="18" customHeight="1">
      <c r="A279" s="250"/>
      <c r="B279" s="145"/>
      <c r="C279" s="145"/>
      <c r="D279" s="145"/>
      <c r="E279" s="149"/>
      <c r="F279" s="145"/>
      <c r="G279" s="150"/>
      <c r="H279" s="251"/>
      <c r="I279" s="251"/>
      <c r="J279" s="251"/>
      <c r="K279" s="242"/>
      <c r="L279" s="242"/>
      <c r="M279" s="242"/>
      <c r="N279" s="242"/>
      <c r="O279" s="242"/>
      <c r="P279" s="242"/>
      <c r="Q279" s="242"/>
      <c r="R279" s="242"/>
      <c r="S279" s="242"/>
      <c r="T279" s="242"/>
      <c r="U279" s="242"/>
      <c r="V279" s="242"/>
      <c r="W279" s="242"/>
      <c r="X279" s="242"/>
      <c r="Y279" s="242"/>
      <c r="Z279" s="242"/>
    </row>
    <row r="280" spans="1:26" s="2" customFormat="1" ht="18" customHeight="1">
      <c r="A280" s="250"/>
      <c r="B280" s="145"/>
      <c r="C280" s="145"/>
      <c r="D280" s="145"/>
      <c r="E280" s="149"/>
      <c r="F280" s="145"/>
      <c r="G280" s="150"/>
      <c r="H280" s="251"/>
      <c r="I280" s="251"/>
      <c r="J280" s="251"/>
      <c r="K280" s="242"/>
      <c r="L280" s="242"/>
      <c r="M280" s="242"/>
      <c r="N280" s="242"/>
      <c r="O280" s="242"/>
      <c r="P280" s="242"/>
      <c r="Q280" s="242"/>
      <c r="R280" s="242"/>
      <c r="S280" s="242"/>
      <c r="T280" s="242"/>
      <c r="U280" s="242"/>
      <c r="V280" s="242"/>
      <c r="W280" s="242"/>
      <c r="X280" s="242"/>
      <c r="Y280" s="242"/>
      <c r="Z280" s="242"/>
    </row>
    <row r="281" spans="1:26" s="2" customFormat="1" ht="18" customHeight="1">
      <c r="A281" s="250"/>
      <c r="B281" s="145"/>
      <c r="C281" s="145"/>
      <c r="D281" s="145"/>
      <c r="E281" s="149"/>
      <c r="F281" s="145"/>
      <c r="G281" s="150"/>
      <c r="H281" s="251"/>
      <c r="I281" s="251"/>
      <c r="J281" s="251"/>
      <c r="K281" s="242"/>
      <c r="L281" s="242"/>
      <c r="M281" s="242"/>
      <c r="N281" s="242"/>
      <c r="O281" s="242"/>
      <c r="P281" s="242"/>
      <c r="Q281" s="242"/>
      <c r="R281" s="242"/>
      <c r="S281" s="242"/>
      <c r="T281" s="242"/>
      <c r="U281" s="242"/>
      <c r="V281" s="242"/>
      <c r="W281" s="242"/>
      <c r="X281" s="242"/>
      <c r="Y281" s="242"/>
      <c r="Z281" s="242"/>
    </row>
    <row r="282" spans="1:26" s="2" customFormat="1" ht="18" customHeight="1">
      <c r="A282" s="250"/>
      <c r="B282" s="145"/>
      <c r="C282" s="145"/>
      <c r="D282" s="145"/>
      <c r="E282" s="149"/>
      <c r="F282" s="145"/>
      <c r="G282" s="150"/>
      <c r="H282" s="251"/>
      <c r="I282" s="251"/>
      <c r="J282" s="251"/>
      <c r="K282" s="242"/>
      <c r="L282" s="242"/>
      <c r="M282" s="242"/>
      <c r="N282" s="242"/>
      <c r="O282" s="242"/>
      <c r="P282" s="242"/>
      <c r="Q282" s="242"/>
      <c r="R282" s="242"/>
      <c r="S282" s="242"/>
      <c r="T282" s="242"/>
      <c r="U282" s="242"/>
      <c r="V282" s="242"/>
      <c r="W282" s="242"/>
      <c r="X282" s="242"/>
      <c r="Y282" s="242"/>
      <c r="Z282" s="242"/>
    </row>
    <row r="283" spans="1:26" s="2" customFormat="1" ht="18" customHeight="1">
      <c r="A283" s="250"/>
      <c r="B283" s="145"/>
      <c r="C283" s="145"/>
      <c r="D283" s="145"/>
      <c r="E283" s="149"/>
      <c r="F283" s="145"/>
      <c r="G283" s="150"/>
      <c r="H283" s="251"/>
      <c r="I283" s="251"/>
      <c r="J283" s="251"/>
      <c r="K283" s="242"/>
      <c r="L283" s="242"/>
      <c r="M283" s="242"/>
      <c r="N283" s="242"/>
      <c r="O283" s="242"/>
      <c r="P283" s="242"/>
      <c r="Q283" s="242"/>
      <c r="R283" s="242"/>
      <c r="S283" s="242"/>
      <c r="T283" s="242"/>
      <c r="U283" s="242"/>
      <c r="V283" s="242"/>
      <c r="W283" s="242"/>
      <c r="X283" s="242"/>
      <c r="Y283" s="242"/>
      <c r="Z283" s="242"/>
    </row>
    <row r="284" spans="1:26" s="2" customFormat="1" ht="18" customHeight="1">
      <c r="A284" s="250"/>
      <c r="B284" s="145"/>
      <c r="C284" s="145"/>
      <c r="D284" s="145"/>
      <c r="E284" s="149"/>
      <c r="F284" s="145"/>
      <c r="G284" s="150"/>
      <c r="H284" s="251"/>
      <c r="I284" s="251"/>
      <c r="J284" s="251"/>
      <c r="K284" s="242"/>
      <c r="L284" s="242"/>
      <c r="M284" s="242"/>
      <c r="N284" s="242"/>
      <c r="O284" s="242"/>
      <c r="P284" s="242"/>
      <c r="Q284" s="242"/>
      <c r="R284" s="242"/>
      <c r="S284" s="242"/>
      <c r="T284" s="242"/>
      <c r="U284" s="242"/>
      <c r="V284" s="242"/>
      <c r="W284" s="242"/>
      <c r="X284" s="242"/>
      <c r="Y284" s="242"/>
      <c r="Z284" s="242"/>
    </row>
    <row r="285" spans="1:26" s="2" customFormat="1" ht="18" customHeight="1">
      <c r="A285" s="250"/>
      <c r="B285" s="145"/>
      <c r="C285" s="145"/>
      <c r="D285" s="145"/>
      <c r="E285" s="149"/>
      <c r="F285" s="145"/>
      <c r="G285" s="150"/>
      <c r="H285" s="251"/>
      <c r="I285" s="251"/>
      <c r="J285" s="251"/>
      <c r="K285" s="242"/>
      <c r="L285" s="242"/>
      <c r="M285" s="242"/>
      <c r="N285" s="242"/>
      <c r="O285" s="242"/>
      <c r="P285" s="242"/>
      <c r="Q285" s="242"/>
      <c r="R285" s="242"/>
      <c r="S285" s="242"/>
      <c r="T285" s="242"/>
      <c r="U285" s="242"/>
      <c r="V285" s="242"/>
      <c r="W285" s="242"/>
      <c r="X285" s="242"/>
      <c r="Y285" s="242"/>
      <c r="Z285" s="242"/>
    </row>
    <row r="286" spans="1:26" s="2" customFormat="1" ht="18" customHeight="1">
      <c r="A286" s="250"/>
      <c r="B286" s="145"/>
      <c r="C286" s="145"/>
      <c r="D286" s="145"/>
      <c r="E286" s="149"/>
      <c r="F286" s="145"/>
      <c r="G286" s="150"/>
      <c r="H286" s="251"/>
      <c r="I286" s="251"/>
      <c r="J286" s="251"/>
      <c r="K286" s="242"/>
      <c r="L286" s="242"/>
      <c r="M286" s="242"/>
      <c r="N286" s="242"/>
      <c r="O286" s="242"/>
      <c r="P286" s="242"/>
      <c r="Q286" s="242"/>
      <c r="R286" s="242"/>
      <c r="S286" s="242"/>
      <c r="T286" s="242"/>
      <c r="U286" s="242"/>
      <c r="V286" s="242"/>
      <c r="W286" s="242"/>
      <c r="X286" s="242"/>
      <c r="Y286" s="242"/>
      <c r="Z286" s="242"/>
    </row>
    <row r="287" spans="1:26" s="2" customFormat="1" ht="18" customHeight="1">
      <c r="A287" s="250"/>
      <c r="B287" s="145"/>
      <c r="C287" s="145"/>
      <c r="D287" s="145"/>
      <c r="E287" s="149"/>
      <c r="F287" s="145"/>
      <c r="G287" s="150"/>
      <c r="H287" s="251"/>
      <c r="I287" s="251"/>
      <c r="J287" s="251"/>
      <c r="K287" s="242"/>
      <c r="L287" s="242"/>
      <c r="M287" s="242"/>
      <c r="N287" s="242"/>
      <c r="O287" s="242"/>
      <c r="P287" s="242"/>
      <c r="Q287" s="242"/>
      <c r="R287" s="242"/>
      <c r="S287" s="242"/>
      <c r="T287" s="242"/>
      <c r="U287" s="242"/>
      <c r="V287" s="242"/>
      <c r="W287" s="242"/>
      <c r="X287" s="242"/>
      <c r="Y287" s="242"/>
      <c r="Z287" s="242"/>
    </row>
    <row r="288" spans="1:26" s="2" customFormat="1" ht="18" customHeight="1">
      <c r="A288" s="250"/>
      <c r="B288" s="145"/>
      <c r="C288" s="145"/>
      <c r="D288" s="145"/>
      <c r="E288" s="149"/>
      <c r="F288" s="145"/>
      <c r="G288" s="150"/>
      <c r="H288" s="251"/>
      <c r="I288" s="251"/>
      <c r="J288" s="251"/>
      <c r="K288" s="242"/>
      <c r="L288" s="242"/>
      <c r="M288" s="242"/>
      <c r="N288" s="242"/>
      <c r="O288" s="242"/>
      <c r="P288" s="242"/>
      <c r="Q288" s="242"/>
      <c r="R288" s="242"/>
      <c r="S288" s="242"/>
      <c r="T288" s="242"/>
      <c r="U288" s="242"/>
      <c r="V288" s="242"/>
      <c r="W288" s="242"/>
      <c r="X288" s="242"/>
      <c r="Y288" s="242"/>
      <c r="Z288" s="242"/>
    </row>
    <row r="289" spans="1:26" s="2" customFormat="1" ht="18" customHeight="1">
      <c r="A289" s="250"/>
      <c r="B289" s="145"/>
      <c r="C289" s="145"/>
      <c r="D289" s="145"/>
      <c r="E289" s="149"/>
      <c r="F289" s="145"/>
      <c r="G289" s="150"/>
      <c r="H289" s="251"/>
      <c r="I289" s="251"/>
      <c r="J289" s="251"/>
      <c r="K289" s="242"/>
      <c r="L289" s="242"/>
      <c r="M289" s="242"/>
      <c r="N289" s="242"/>
      <c r="O289" s="242"/>
      <c r="P289" s="242"/>
      <c r="Q289" s="242"/>
      <c r="R289" s="242"/>
      <c r="S289" s="242"/>
      <c r="T289" s="242"/>
      <c r="U289" s="242"/>
      <c r="V289" s="242"/>
      <c r="W289" s="242"/>
      <c r="X289" s="242"/>
      <c r="Y289" s="242"/>
      <c r="Z289" s="242"/>
    </row>
    <row r="290" spans="1:26" s="2" customFormat="1" ht="18" customHeight="1">
      <c r="A290" s="250"/>
      <c r="B290" s="145"/>
      <c r="C290" s="145"/>
      <c r="D290" s="145"/>
      <c r="E290" s="149"/>
      <c r="F290" s="145"/>
      <c r="G290" s="150"/>
      <c r="H290" s="251"/>
      <c r="I290" s="251"/>
      <c r="J290" s="251"/>
      <c r="K290" s="242"/>
      <c r="L290" s="242"/>
      <c r="M290" s="242"/>
      <c r="N290" s="242"/>
      <c r="O290" s="242"/>
      <c r="P290" s="242"/>
      <c r="Q290" s="242"/>
      <c r="R290" s="242"/>
      <c r="S290" s="242"/>
      <c r="T290" s="242"/>
      <c r="U290" s="242"/>
      <c r="V290" s="242"/>
      <c r="W290" s="242"/>
      <c r="X290" s="242"/>
      <c r="Y290" s="242"/>
      <c r="Z290" s="242"/>
    </row>
    <row r="291" spans="1:26" s="2" customFormat="1" ht="18" customHeight="1">
      <c r="A291" s="250"/>
      <c r="B291" s="145"/>
      <c r="C291" s="145"/>
      <c r="D291" s="145"/>
      <c r="E291" s="149"/>
      <c r="F291" s="145"/>
      <c r="G291" s="150"/>
      <c r="H291" s="251"/>
      <c r="I291" s="251"/>
      <c r="J291" s="251"/>
      <c r="K291" s="242"/>
      <c r="L291" s="242"/>
      <c r="M291" s="242"/>
      <c r="N291" s="242"/>
      <c r="O291" s="242"/>
      <c r="P291" s="242"/>
      <c r="Q291" s="242"/>
      <c r="R291" s="242"/>
      <c r="S291" s="242"/>
      <c r="T291" s="242"/>
      <c r="U291" s="242"/>
      <c r="V291" s="242"/>
      <c r="W291" s="242"/>
      <c r="X291" s="242"/>
      <c r="Y291" s="242"/>
      <c r="Z291" s="242"/>
    </row>
    <row r="292" spans="1:26" s="2" customFormat="1" ht="18" customHeight="1">
      <c r="A292" s="250"/>
      <c r="B292" s="145"/>
      <c r="C292" s="145"/>
      <c r="D292" s="145"/>
      <c r="E292" s="149"/>
      <c r="F292" s="145"/>
      <c r="G292" s="150"/>
      <c r="H292" s="251"/>
      <c r="I292" s="251"/>
      <c r="J292" s="251"/>
      <c r="K292" s="242"/>
      <c r="L292" s="242"/>
      <c r="M292" s="242"/>
      <c r="N292" s="242"/>
      <c r="O292" s="242"/>
      <c r="P292" s="242"/>
      <c r="Q292" s="242"/>
      <c r="R292" s="242"/>
      <c r="S292" s="242"/>
      <c r="T292" s="242"/>
      <c r="U292" s="242"/>
      <c r="V292" s="242"/>
      <c r="W292" s="242"/>
      <c r="X292" s="242"/>
      <c r="Y292" s="242"/>
      <c r="Z292" s="242"/>
    </row>
    <row r="293" spans="1:26" s="2" customFormat="1" ht="18" customHeight="1">
      <c r="A293" s="250"/>
      <c r="B293" s="145"/>
      <c r="C293" s="145"/>
      <c r="D293" s="145"/>
      <c r="E293" s="149"/>
      <c r="F293" s="145"/>
      <c r="G293" s="150"/>
      <c r="H293" s="251"/>
      <c r="I293" s="251"/>
      <c r="J293" s="251"/>
      <c r="K293" s="242"/>
      <c r="L293" s="242"/>
      <c r="M293" s="242"/>
      <c r="N293" s="242"/>
      <c r="O293" s="242"/>
      <c r="P293" s="242"/>
      <c r="Q293" s="242"/>
      <c r="R293" s="242"/>
      <c r="S293" s="242"/>
      <c r="T293" s="242"/>
      <c r="U293" s="242"/>
      <c r="V293" s="242"/>
      <c r="W293" s="242"/>
      <c r="X293" s="242"/>
      <c r="Y293" s="242"/>
      <c r="Z293" s="242"/>
    </row>
    <row r="294" spans="1:26" s="2" customFormat="1" ht="18" customHeight="1">
      <c r="A294" s="250"/>
      <c r="B294" s="145"/>
      <c r="C294" s="145"/>
      <c r="D294" s="145"/>
      <c r="E294" s="149"/>
      <c r="F294" s="145"/>
      <c r="G294" s="150"/>
      <c r="H294" s="251"/>
      <c r="I294" s="251"/>
      <c r="J294" s="251"/>
      <c r="K294" s="242"/>
      <c r="L294" s="242"/>
      <c r="M294" s="242"/>
      <c r="N294" s="242"/>
      <c r="O294" s="242"/>
      <c r="P294" s="242"/>
      <c r="Q294" s="242"/>
      <c r="R294" s="242"/>
      <c r="S294" s="242"/>
      <c r="T294" s="242"/>
      <c r="U294" s="242"/>
      <c r="V294" s="242"/>
      <c r="W294" s="242"/>
      <c r="X294" s="242"/>
      <c r="Y294" s="242"/>
      <c r="Z294" s="242"/>
    </row>
    <row r="295" spans="1:26" s="2" customFormat="1" ht="18" customHeight="1">
      <c r="A295" s="250"/>
      <c r="B295" s="145"/>
      <c r="C295" s="145"/>
      <c r="D295" s="145"/>
      <c r="E295" s="149"/>
      <c r="F295" s="145"/>
      <c r="G295" s="150"/>
      <c r="H295" s="251"/>
      <c r="I295" s="251"/>
      <c r="J295" s="251"/>
      <c r="K295" s="242"/>
      <c r="L295" s="242"/>
      <c r="M295" s="242"/>
      <c r="N295" s="242"/>
      <c r="O295" s="242"/>
      <c r="P295" s="242"/>
      <c r="Q295" s="242"/>
      <c r="R295" s="242"/>
      <c r="S295" s="242"/>
      <c r="T295" s="242"/>
      <c r="U295" s="242"/>
      <c r="V295" s="242"/>
      <c r="W295" s="242"/>
      <c r="X295" s="242"/>
      <c r="Y295" s="242"/>
      <c r="Z295" s="242"/>
    </row>
    <row r="296" spans="1:26" s="2" customFormat="1" ht="18" customHeight="1">
      <c r="A296" s="250"/>
      <c r="B296" s="145"/>
      <c r="C296" s="145"/>
      <c r="D296" s="145"/>
      <c r="E296" s="149"/>
      <c r="F296" s="145"/>
      <c r="G296" s="150"/>
      <c r="H296" s="251"/>
      <c r="I296" s="251"/>
      <c r="J296" s="251"/>
      <c r="K296" s="242"/>
      <c r="L296" s="242"/>
      <c r="M296" s="242"/>
      <c r="N296" s="242"/>
      <c r="O296" s="242"/>
      <c r="P296" s="242"/>
      <c r="Q296" s="242"/>
      <c r="R296" s="242"/>
      <c r="S296" s="242"/>
      <c r="T296" s="242"/>
      <c r="U296" s="242"/>
      <c r="V296" s="242"/>
      <c r="W296" s="242"/>
      <c r="X296" s="242"/>
      <c r="Y296" s="242"/>
      <c r="Z296" s="242"/>
    </row>
    <row r="297" spans="1:26" s="2" customFormat="1" ht="18" customHeight="1">
      <c r="A297" s="250"/>
      <c r="B297" s="145"/>
      <c r="C297" s="145"/>
      <c r="D297" s="145"/>
      <c r="E297" s="149"/>
      <c r="F297" s="145"/>
      <c r="G297" s="150"/>
      <c r="H297" s="251"/>
      <c r="I297" s="251"/>
      <c r="J297" s="251"/>
      <c r="K297" s="242"/>
      <c r="L297" s="242"/>
      <c r="M297" s="242"/>
      <c r="N297" s="242"/>
      <c r="O297" s="242"/>
      <c r="P297" s="242"/>
      <c r="Q297" s="242"/>
      <c r="R297" s="242"/>
      <c r="S297" s="242"/>
      <c r="T297" s="242"/>
      <c r="U297" s="242"/>
      <c r="V297" s="242"/>
      <c r="W297" s="242"/>
      <c r="X297" s="242"/>
      <c r="Y297" s="242"/>
      <c r="Z297" s="242"/>
    </row>
    <row r="298" spans="1:26" s="2" customFormat="1" ht="18" customHeight="1">
      <c r="A298" s="250"/>
      <c r="B298" s="145"/>
      <c r="C298" s="145"/>
      <c r="D298" s="145"/>
      <c r="E298" s="149"/>
      <c r="F298" s="145"/>
      <c r="G298" s="150"/>
      <c r="H298" s="251"/>
      <c r="I298" s="251"/>
      <c r="J298" s="251"/>
      <c r="K298" s="242"/>
      <c r="L298" s="242"/>
      <c r="M298" s="242"/>
      <c r="N298" s="242"/>
      <c r="O298" s="242"/>
      <c r="P298" s="242"/>
      <c r="Q298" s="242"/>
      <c r="R298" s="242"/>
      <c r="S298" s="242"/>
      <c r="T298" s="242"/>
      <c r="U298" s="242"/>
      <c r="V298" s="242"/>
      <c r="W298" s="242"/>
      <c r="X298" s="242"/>
      <c r="Y298" s="242"/>
      <c r="Z298" s="242"/>
    </row>
    <row r="299" spans="1:26" s="2" customFormat="1" ht="18" customHeight="1">
      <c r="A299" s="250"/>
      <c r="B299" s="145"/>
      <c r="C299" s="145"/>
      <c r="D299" s="145"/>
      <c r="E299" s="149"/>
      <c r="F299" s="145"/>
      <c r="G299" s="150"/>
      <c r="H299" s="251"/>
      <c r="I299" s="251"/>
      <c r="J299" s="251"/>
      <c r="K299" s="242"/>
      <c r="L299" s="242"/>
      <c r="M299" s="242"/>
      <c r="N299" s="242"/>
      <c r="O299" s="242"/>
      <c r="P299" s="242"/>
      <c r="Q299" s="242"/>
      <c r="R299" s="242"/>
      <c r="S299" s="242"/>
      <c r="T299" s="242"/>
      <c r="U299" s="242"/>
      <c r="V299" s="242"/>
      <c r="W299" s="242"/>
      <c r="X299" s="242"/>
      <c r="Y299" s="242"/>
      <c r="Z299" s="242"/>
    </row>
    <row r="300" spans="1:26" s="2" customFormat="1" ht="18" customHeight="1">
      <c r="A300" s="250"/>
      <c r="B300" s="145"/>
      <c r="C300" s="145"/>
      <c r="D300" s="145"/>
      <c r="E300" s="149"/>
      <c r="F300" s="145"/>
      <c r="G300" s="150"/>
      <c r="H300" s="251"/>
      <c r="I300" s="251"/>
      <c r="J300" s="251"/>
      <c r="K300" s="242"/>
      <c r="L300" s="242"/>
      <c r="M300" s="242"/>
      <c r="N300" s="242"/>
      <c r="O300" s="242"/>
      <c r="P300" s="242"/>
      <c r="Q300" s="242"/>
      <c r="R300" s="242"/>
      <c r="S300" s="242"/>
      <c r="T300" s="242"/>
      <c r="U300" s="242"/>
      <c r="V300" s="242"/>
      <c r="W300" s="242"/>
      <c r="X300" s="242"/>
      <c r="Y300" s="242"/>
      <c r="Z300" s="242"/>
    </row>
    <row r="301" spans="1:26" s="2" customFormat="1" ht="17.399999999999999" customHeight="1">
      <c r="A301" s="259"/>
      <c r="B301" s="15"/>
      <c r="C301" s="15"/>
      <c r="D301" s="15"/>
      <c r="E301" s="92"/>
      <c r="F301" s="15"/>
      <c r="G301" s="93"/>
      <c r="H301" s="262"/>
      <c r="I301" s="262"/>
      <c r="J301" s="262"/>
    </row>
    <row r="302" spans="1:26" s="2" customFormat="1" ht="17.399999999999999" customHeight="1">
      <c r="A302" s="259"/>
      <c r="B302" s="15"/>
      <c r="C302" s="15"/>
      <c r="D302" s="15"/>
      <c r="E302" s="92"/>
      <c r="F302" s="15"/>
      <c r="G302" s="93"/>
      <c r="H302" s="262"/>
      <c r="I302" s="262"/>
      <c r="J302" s="262"/>
    </row>
    <row r="303" spans="1:26" s="2" customFormat="1" ht="17.399999999999999" customHeight="1">
      <c r="A303" s="259"/>
      <c r="B303" s="15"/>
      <c r="C303" s="15"/>
      <c r="D303" s="15"/>
      <c r="E303" s="92"/>
      <c r="F303" s="15"/>
      <c r="G303" s="93"/>
      <c r="H303" s="262"/>
      <c r="I303" s="262"/>
      <c r="J303" s="262"/>
    </row>
    <row r="304" spans="1:26" s="2" customFormat="1" ht="17.399999999999999" customHeight="1">
      <c r="A304" s="259"/>
      <c r="B304" s="15"/>
      <c r="C304" s="15"/>
      <c r="D304" s="15"/>
      <c r="E304" s="92"/>
      <c r="F304" s="15"/>
      <c r="G304" s="93"/>
      <c r="H304" s="262"/>
      <c r="I304" s="262"/>
      <c r="J304" s="262"/>
    </row>
    <row r="305" spans="1:10" s="2" customFormat="1" ht="17.399999999999999" customHeight="1">
      <c r="A305" s="259"/>
      <c r="B305" s="15"/>
      <c r="C305" s="15"/>
      <c r="D305" s="15"/>
      <c r="E305" s="92"/>
      <c r="F305" s="15"/>
      <c r="G305" s="93"/>
      <c r="H305" s="262"/>
      <c r="I305" s="262"/>
      <c r="J305" s="262"/>
    </row>
    <row r="306" spans="1:10" s="2" customFormat="1" ht="17.399999999999999" customHeight="1">
      <c r="A306" s="259"/>
      <c r="B306" s="15"/>
      <c r="C306" s="15"/>
      <c r="D306" s="15"/>
      <c r="E306" s="92"/>
      <c r="F306" s="15"/>
      <c r="G306" s="93"/>
      <c r="H306" s="262"/>
      <c r="I306" s="262"/>
      <c r="J306" s="262"/>
    </row>
    <row r="307" spans="1:10" s="2" customFormat="1" ht="17.399999999999999" customHeight="1">
      <c r="A307" s="259"/>
      <c r="B307" s="15"/>
      <c r="C307" s="15"/>
      <c r="D307" s="15"/>
      <c r="E307" s="92"/>
      <c r="F307" s="15"/>
      <c r="G307" s="93"/>
      <c r="H307" s="262"/>
      <c r="I307" s="262"/>
      <c r="J307" s="262"/>
    </row>
    <row r="308" spans="1:10" s="2" customFormat="1" ht="17.399999999999999" customHeight="1">
      <c r="A308" s="259"/>
      <c r="B308" s="15"/>
      <c r="C308" s="15"/>
      <c r="D308" s="15"/>
      <c r="E308" s="92"/>
      <c r="F308" s="15"/>
      <c r="G308" s="93"/>
      <c r="H308" s="262"/>
      <c r="I308" s="262"/>
      <c r="J308" s="262"/>
    </row>
    <row r="309" spans="1:10" s="2" customFormat="1" ht="17.399999999999999" customHeight="1">
      <c r="A309" s="259"/>
      <c r="B309" s="15"/>
      <c r="C309" s="15"/>
      <c r="D309" s="15"/>
      <c r="E309" s="92"/>
      <c r="F309" s="15"/>
      <c r="G309" s="93"/>
      <c r="H309" s="262"/>
      <c r="I309" s="262"/>
      <c r="J309" s="262"/>
    </row>
    <row r="310" spans="1:10" s="2" customFormat="1" ht="17.399999999999999" customHeight="1">
      <c r="A310" s="259"/>
      <c r="B310" s="15"/>
      <c r="C310" s="15"/>
      <c r="D310" s="15"/>
      <c r="E310" s="92"/>
      <c r="F310" s="15"/>
      <c r="G310" s="93"/>
      <c r="H310" s="262"/>
      <c r="I310" s="262"/>
      <c r="J310" s="262"/>
    </row>
    <row r="311" spans="1:10" s="2" customFormat="1" ht="17.399999999999999" customHeight="1">
      <c r="A311" s="259"/>
      <c r="B311" s="15"/>
      <c r="C311" s="15"/>
      <c r="D311" s="15"/>
      <c r="E311" s="92"/>
      <c r="F311" s="15"/>
      <c r="G311" s="93"/>
      <c r="H311" s="262"/>
      <c r="I311" s="262"/>
      <c r="J311" s="262"/>
    </row>
    <row r="312" spans="1:10" s="2" customFormat="1" ht="17.399999999999999" customHeight="1">
      <c r="A312" s="259"/>
      <c r="B312" s="15"/>
      <c r="C312" s="15"/>
      <c r="D312" s="15"/>
      <c r="E312" s="92"/>
      <c r="F312" s="15"/>
      <c r="G312" s="93"/>
      <c r="H312" s="262"/>
      <c r="I312" s="262"/>
      <c r="J312" s="262"/>
    </row>
    <row r="313" spans="1:10" s="2" customFormat="1" ht="17.399999999999999" customHeight="1">
      <c r="A313" s="259"/>
      <c r="B313" s="15"/>
      <c r="C313" s="15"/>
      <c r="D313" s="15"/>
      <c r="E313" s="92"/>
      <c r="F313" s="15"/>
      <c r="G313" s="93"/>
      <c r="H313" s="262"/>
      <c r="I313" s="262"/>
      <c r="J313" s="262"/>
    </row>
    <row r="314" spans="1:10" s="2" customFormat="1" ht="17.399999999999999" customHeight="1">
      <c r="A314" s="259"/>
      <c r="B314" s="15"/>
      <c r="C314" s="15"/>
      <c r="D314" s="15"/>
      <c r="E314" s="92"/>
      <c r="F314" s="15"/>
      <c r="G314" s="93"/>
      <c r="H314" s="262"/>
      <c r="I314" s="262"/>
      <c r="J314" s="262"/>
    </row>
    <row r="315" spans="1:10" s="2" customFormat="1" ht="17.399999999999999" customHeight="1">
      <c r="A315" s="259"/>
      <c r="B315" s="15"/>
      <c r="C315" s="15"/>
      <c r="D315" s="15"/>
      <c r="E315" s="92"/>
      <c r="F315" s="15"/>
      <c r="G315" s="93"/>
      <c r="H315" s="262"/>
      <c r="I315" s="262"/>
      <c r="J315" s="262"/>
    </row>
    <row r="316" spans="1:10" s="2" customFormat="1" ht="17.399999999999999" customHeight="1">
      <c r="A316" s="259"/>
      <c r="B316" s="15"/>
      <c r="C316" s="15"/>
      <c r="D316" s="15"/>
      <c r="E316" s="92"/>
      <c r="F316" s="15"/>
      <c r="G316" s="93"/>
      <c r="H316" s="262"/>
      <c r="I316" s="262"/>
      <c r="J316" s="262"/>
    </row>
    <row r="317" spans="1:10" s="2" customFormat="1" ht="17.399999999999999" customHeight="1">
      <c r="A317" s="259"/>
      <c r="B317" s="15"/>
      <c r="C317" s="15"/>
      <c r="D317" s="15"/>
      <c r="E317" s="92"/>
      <c r="F317" s="15"/>
      <c r="G317" s="93"/>
      <c r="H317" s="262"/>
      <c r="I317" s="262"/>
      <c r="J317" s="262"/>
    </row>
    <row r="318" spans="1:10" s="2" customFormat="1" ht="17.399999999999999" customHeight="1">
      <c r="A318" s="259"/>
      <c r="B318" s="15"/>
      <c r="C318" s="15"/>
      <c r="D318" s="15"/>
      <c r="E318" s="92"/>
      <c r="F318" s="15"/>
      <c r="G318" s="93"/>
      <c r="H318" s="262"/>
      <c r="I318" s="262"/>
      <c r="J318" s="262"/>
    </row>
    <row r="319" spans="1:10" s="2" customFormat="1" ht="17.399999999999999" customHeight="1">
      <c r="A319" s="259"/>
      <c r="B319" s="15"/>
      <c r="C319" s="15"/>
      <c r="D319" s="15"/>
      <c r="E319" s="92"/>
      <c r="F319" s="15"/>
      <c r="G319" s="93"/>
      <c r="H319" s="262"/>
      <c r="I319" s="262"/>
      <c r="J319" s="262"/>
    </row>
    <row r="320" spans="1:10" s="2" customFormat="1" ht="17.399999999999999" customHeight="1">
      <c r="A320" s="259"/>
      <c r="B320" s="15"/>
      <c r="C320" s="15"/>
      <c r="D320" s="15"/>
      <c r="E320" s="92"/>
      <c r="F320" s="15"/>
      <c r="G320" s="93"/>
      <c r="H320" s="262"/>
      <c r="I320" s="262"/>
      <c r="J320" s="262"/>
    </row>
    <row r="321" spans="1:10" s="2" customFormat="1" ht="17.399999999999999" customHeight="1">
      <c r="A321" s="259"/>
      <c r="B321" s="15"/>
      <c r="C321" s="15"/>
      <c r="D321" s="15"/>
      <c r="E321" s="92"/>
      <c r="F321" s="15"/>
      <c r="G321" s="93"/>
      <c r="H321" s="262"/>
      <c r="I321" s="262"/>
      <c r="J321" s="262"/>
    </row>
    <row r="322" spans="1:10" s="2" customFormat="1" ht="17.399999999999999" customHeight="1">
      <c r="A322" s="259"/>
      <c r="B322" s="15"/>
      <c r="C322" s="15"/>
      <c r="D322" s="15"/>
      <c r="E322" s="92"/>
      <c r="F322" s="15"/>
      <c r="G322" s="93"/>
      <c r="H322" s="262"/>
      <c r="I322" s="262"/>
      <c r="J322" s="262"/>
    </row>
    <row r="323" spans="1:10" s="2" customFormat="1" ht="17.399999999999999" customHeight="1">
      <c r="A323" s="259"/>
      <c r="B323" s="15"/>
      <c r="C323" s="15"/>
      <c r="D323" s="15"/>
      <c r="E323" s="92"/>
      <c r="F323" s="15"/>
      <c r="G323" s="93"/>
      <c r="H323" s="262"/>
      <c r="I323" s="262"/>
      <c r="J323" s="262"/>
    </row>
    <row r="324" spans="1:10" s="2" customFormat="1" ht="17.399999999999999" customHeight="1">
      <c r="A324" s="259"/>
      <c r="B324" s="15"/>
      <c r="C324" s="15"/>
      <c r="D324" s="15"/>
      <c r="E324" s="92"/>
      <c r="F324" s="15"/>
      <c r="G324" s="93"/>
      <c r="H324" s="262"/>
      <c r="I324" s="262"/>
      <c r="J324" s="262"/>
    </row>
    <row r="325" spans="1:10" s="2" customFormat="1" ht="17.399999999999999" customHeight="1">
      <c r="A325" s="259"/>
      <c r="B325" s="15"/>
      <c r="C325" s="15"/>
      <c r="D325" s="15"/>
      <c r="E325" s="92"/>
      <c r="F325" s="15"/>
      <c r="G325" s="93"/>
      <c r="H325" s="262"/>
      <c r="I325" s="262"/>
      <c r="J325" s="262"/>
    </row>
    <row r="326" spans="1:10" s="2" customFormat="1" ht="17.399999999999999" customHeight="1">
      <c r="A326" s="259"/>
      <c r="B326" s="15"/>
      <c r="C326" s="15"/>
      <c r="D326" s="15"/>
      <c r="E326" s="92"/>
      <c r="F326" s="15"/>
      <c r="G326" s="93"/>
      <c r="H326" s="262"/>
      <c r="I326" s="262"/>
      <c r="J326" s="262"/>
    </row>
    <row r="327" spans="1:10" s="2" customFormat="1" ht="17.399999999999999" customHeight="1">
      <c r="A327" s="259"/>
      <c r="B327" s="15"/>
      <c r="C327" s="15"/>
      <c r="D327" s="15"/>
      <c r="E327" s="92"/>
      <c r="F327" s="15"/>
      <c r="G327" s="93"/>
      <c r="H327" s="262"/>
      <c r="I327" s="262"/>
      <c r="J327" s="262"/>
    </row>
    <row r="328" spans="1:10" s="2" customFormat="1" ht="17.399999999999999" customHeight="1">
      <c r="A328" s="259"/>
      <c r="B328" s="15"/>
      <c r="C328" s="15"/>
      <c r="D328" s="15"/>
      <c r="E328" s="92"/>
      <c r="F328" s="15"/>
      <c r="G328" s="93"/>
      <c r="H328" s="262"/>
      <c r="I328" s="262"/>
      <c r="J328" s="262"/>
    </row>
    <row r="329" spans="1:10" s="2" customFormat="1" ht="17.399999999999999" customHeight="1">
      <c r="A329" s="259"/>
      <c r="B329" s="15"/>
      <c r="C329" s="15"/>
      <c r="D329" s="15"/>
      <c r="E329" s="92"/>
      <c r="F329" s="15"/>
      <c r="G329" s="93"/>
      <c r="H329" s="262"/>
      <c r="I329" s="262"/>
      <c r="J329" s="262"/>
    </row>
    <row r="330" spans="1:10" s="2" customFormat="1" ht="17.399999999999999" customHeight="1">
      <c r="A330" s="259"/>
      <c r="B330" s="15"/>
      <c r="C330" s="15"/>
      <c r="D330" s="15"/>
      <c r="E330" s="92"/>
      <c r="F330" s="15"/>
      <c r="G330" s="93"/>
      <c r="H330" s="262"/>
      <c r="I330" s="262"/>
      <c r="J330" s="262"/>
    </row>
    <row r="331" spans="1:10" s="2" customFormat="1" ht="17.399999999999999" customHeight="1">
      <c r="A331" s="259"/>
      <c r="B331" s="15"/>
      <c r="C331" s="15"/>
      <c r="D331" s="15"/>
      <c r="E331" s="92"/>
      <c r="F331" s="15"/>
      <c r="G331" s="93"/>
      <c r="H331" s="262"/>
      <c r="I331" s="262"/>
      <c r="J331" s="262"/>
    </row>
    <row r="332" spans="1:10" s="2" customFormat="1" ht="17.399999999999999" customHeight="1">
      <c r="A332" s="259"/>
      <c r="B332" s="15"/>
      <c r="C332" s="15"/>
      <c r="D332" s="15"/>
      <c r="E332" s="92"/>
      <c r="F332" s="15"/>
      <c r="G332" s="93"/>
      <c r="H332" s="262"/>
      <c r="I332" s="262"/>
      <c r="J332" s="262"/>
    </row>
    <row r="333" spans="1:10" s="2" customFormat="1" ht="17.399999999999999" customHeight="1">
      <c r="A333" s="259"/>
      <c r="B333" s="15"/>
      <c r="C333" s="15"/>
      <c r="D333" s="15"/>
      <c r="E333" s="92"/>
      <c r="F333" s="15"/>
      <c r="G333" s="93"/>
      <c r="H333" s="262"/>
      <c r="I333" s="262"/>
      <c r="J333" s="262"/>
    </row>
    <row r="334" spans="1:10" s="2" customFormat="1" ht="17.399999999999999" customHeight="1">
      <c r="A334" s="259"/>
      <c r="B334" s="15"/>
      <c r="C334" s="15"/>
      <c r="D334" s="15"/>
      <c r="E334" s="92"/>
      <c r="F334" s="15"/>
      <c r="G334" s="93"/>
      <c r="H334" s="262"/>
      <c r="I334" s="262"/>
      <c r="J334" s="262"/>
    </row>
    <row r="335" spans="1:10" s="2" customFormat="1" ht="17.399999999999999" customHeight="1">
      <c r="A335" s="259"/>
      <c r="B335" s="15"/>
      <c r="C335" s="15"/>
      <c r="D335" s="15"/>
      <c r="E335" s="92"/>
      <c r="F335" s="15"/>
      <c r="G335" s="93"/>
      <c r="H335" s="262"/>
      <c r="I335" s="262"/>
      <c r="J335" s="262"/>
    </row>
    <row r="336" spans="1:10" s="2" customFormat="1" ht="17.399999999999999" customHeight="1">
      <c r="A336" s="259"/>
      <c r="B336" s="15"/>
      <c r="C336" s="15"/>
      <c r="D336" s="15"/>
      <c r="E336" s="92"/>
      <c r="F336" s="15"/>
      <c r="G336" s="93"/>
      <c r="H336" s="262"/>
      <c r="I336" s="262"/>
      <c r="J336" s="262"/>
    </row>
    <row r="337" spans="1:10" s="2" customFormat="1" ht="17.399999999999999" customHeight="1">
      <c r="A337" s="259"/>
      <c r="B337" s="15"/>
      <c r="C337" s="15"/>
      <c r="D337" s="15"/>
      <c r="E337" s="92"/>
      <c r="F337" s="15"/>
      <c r="G337" s="93"/>
      <c r="H337" s="262"/>
      <c r="I337" s="262"/>
      <c r="J337" s="262"/>
    </row>
    <row r="338" spans="1:10" s="2" customFormat="1" ht="17.399999999999999" customHeight="1">
      <c r="A338" s="259"/>
      <c r="B338" s="15"/>
      <c r="C338" s="15"/>
      <c r="D338" s="15"/>
      <c r="E338" s="92"/>
      <c r="F338" s="15"/>
      <c r="G338" s="93"/>
      <c r="H338" s="262"/>
      <c r="I338" s="262"/>
      <c r="J338" s="262"/>
    </row>
    <row r="339" spans="1:10" s="2" customFormat="1" ht="17.399999999999999" customHeight="1">
      <c r="A339" s="259"/>
      <c r="B339" s="15"/>
      <c r="C339" s="15"/>
      <c r="D339" s="15"/>
      <c r="E339" s="92"/>
      <c r="F339" s="15"/>
      <c r="G339" s="93"/>
      <c r="H339" s="262"/>
      <c r="I339" s="262"/>
      <c r="J339" s="262"/>
    </row>
    <row r="340" spans="1:10" s="2" customFormat="1" ht="17.399999999999999" customHeight="1">
      <c r="A340" s="259"/>
      <c r="B340" s="15"/>
      <c r="C340" s="15"/>
      <c r="D340" s="15"/>
      <c r="E340" s="92"/>
      <c r="F340" s="15"/>
      <c r="G340" s="93"/>
      <c r="H340" s="262"/>
      <c r="I340" s="262"/>
      <c r="J340" s="262"/>
    </row>
    <row r="341" spans="1:10" s="2" customFormat="1" ht="17.399999999999999" customHeight="1">
      <c r="A341" s="259"/>
      <c r="B341" s="15"/>
      <c r="C341" s="15"/>
      <c r="D341" s="15"/>
      <c r="E341" s="92"/>
      <c r="F341" s="15"/>
      <c r="G341" s="93"/>
      <c r="H341" s="262"/>
      <c r="I341" s="262"/>
      <c r="J341" s="262"/>
    </row>
    <row r="342" spans="1:10" s="2" customFormat="1" ht="17.399999999999999" customHeight="1">
      <c r="A342" s="259"/>
      <c r="B342" s="15"/>
      <c r="C342" s="15"/>
      <c r="D342" s="15"/>
      <c r="E342" s="92"/>
      <c r="F342" s="15"/>
      <c r="G342" s="93"/>
      <c r="H342" s="262"/>
      <c r="I342" s="262"/>
      <c r="J342" s="262"/>
    </row>
    <row r="343" spans="1:10" s="2" customFormat="1" ht="17.399999999999999" customHeight="1">
      <c r="A343" s="259"/>
      <c r="B343" s="15"/>
      <c r="C343" s="15"/>
      <c r="D343" s="15"/>
      <c r="E343" s="92"/>
      <c r="F343" s="15"/>
      <c r="G343" s="93"/>
      <c r="H343" s="262"/>
      <c r="I343" s="262"/>
      <c r="J343" s="262"/>
    </row>
    <row r="344" spans="1:10" s="2" customFormat="1" ht="17.399999999999999" customHeight="1">
      <c r="A344" s="259"/>
      <c r="B344" s="15"/>
      <c r="C344" s="15"/>
      <c r="D344" s="15"/>
      <c r="E344" s="92"/>
      <c r="F344" s="15"/>
      <c r="G344" s="93"/>
      <c r="H344" s="262"/>
      <c r="I344" s="262"/>
      <c r="J344" s="262"/>
    </row>
    <row r="345" spans="1:10" s="2" customFormat="1" ht="17.399999999999999" customHeight="1">
      <c r="A345" s="259"/>
      <c r="B345" s="15"/>
      <c r="C345" s="15"/>
      <c r="D345" s="15"/>
      <c r="E345" s="92"/>
      <c r="F345" s="15"/>
      <c r="G345" s="93"/>
      <c r="H345" s="262"/>
      <c r="I345" s="262"/>
      <c r="J345" s="262"/>
    </row>
    <row r="346" spans="1:10" s="2" customFormat="1" ht="17.399999999999999" customHeight="1">
      <c r="A346" s="259"/>
      <c r="B346" s="15"/>
      <c r="C346" s="15"/>
      <c r="D346" s="15"/>
      <c r="E346" s="92"/>
      <c r="F346" s="15"/>
      <c r="G346" s="93"/>
      <c r="H346" s="262"/>
      <c r="I346" s="262"/>
      <c r="J346" s="262"/>
    </row>
    <row r="347" spans="1:10" s="2" customFormat="1" ht="17.399999999999999" customHeight="1">
      <c r="A347" s="259"/>
      <c r="B347" s="15"/>
      <c r="C347" s="15"/>
      <c r="D347" s="15"/>
      <c r="E347" s="92"/>
      <c r="F347" s="15"/>
      <c r="G347" s="93"/>
      <c r="H347" s="262"/>
      <c r="I347" s="262"/>
      <c r="J347" s="262"/>
    </row>
    <row r="348" spans="1:10" s="2" customFormat="1" ht="17.399999999999999" customHeight="1">
      <c r="A348" s="259"/>
      <c r="B348" s="15"/>
      <c r="C348" s="15"/>
      <c r="D348" s="15"/>
      <c r="E348" s="92"/>
      <c r="F348" s="15"/>
      <c r="G348" s="93"/>
      <c r="H348" s="262"/>
      <c r="I348" s="262"/>
      <c r="J348" s="262"/>
    </row>
    <row r="349" spans="1:10" s="2" customFormat="1" ht="17.399999999999999" customHeight="1">
      <c r="A349" s="259"/>
      <c r="B349" s="15"/>
      <c r="C349" s="15"/>
      <c r="D349" s="15"/>
      <c r="E349" s="92"/>
      <c r="F349" s="15"/>
      <c r="G349" s="93"/>
      <c r="H349" s="262"/>
      <c r="I349" s="262"/>
      <c r="J349" s="262"/>
    </row>
    <row r="350" spans="1:10" s="2" customFormat="1" ht="17.399999999999999" customHeight="1">
      <c r="A350" s="259"/>
      <c r="B350" s="15"/>
      <c r="C350" s="15"/>
      <c r="D350" s="15"/>
      <c r="E350" s="92"/>
      <c r="F350" s="15"/>
      <c r="G350" s="93"/>
      <c r="H350" s="262"/>
      <c r="I350" s="262"/>
      <c r="J350" s="262"/>
    </row>
    <row r="351" spans="1:10" s="2" customFormat="1" ht="17.399999999999999" customHeight="1">
      <c r="A351" s="259"/>
      <c r="B351" s="15"/>
      <c r="C351" s="15"/>
      <c r="D351" s="15"/>
      <c r="E351" s="92"/>
      <c r="F351" s="15"/>
      <c r="G351" s="93"/>
      <c r="H351" s="262"/>
      <c r="I351" s="262"/>
      <c r="J351" s="262"/>
    </row>
    <row r="352" spans="1:10" s="2" customFormat="1" ht="17.399999999999999" customHeight="1">
      <c r="A352" s="259"/>
      <c r="B352" s="15"/>
      <c r="C352" s="15"/>
      <c r="D352" s="15"/>
      <c r="E352" s="92"/>
      <c r="F352" s="15"/>
      <c r="G352" s="93"/>
      <c r="H352" s="262"/>
      <c r="I352" s="262"/>
      <c r="J352" s="262"/>
    </row>
    <row r="353" spans="1:10" s="2" customFormat="1" ht="17.399999999999999" customHeight="1">
      <c r="A353" s="259"/>
      <c r="B353" s="15"/>
      <c r="C353" s="15"/>
      <c r="D353" s="15"/>
      <c r="E353" s="92"/>
      <c r="F353" s="15"/>
      <c r="G353" s="93"/>
      <c r="H353" s="262"/>
      <c r="I353" s="262"/>
      <c r="J353" s="262"/>
    </row>
    <row r="354" spans="1:10" s="2" customFormat="1" ht="17.399999999999999" customHeight="1">
      <c r="A354" s="259"/>
      <c r="B354" s="15"/>
      <c r="C354" s="15"/>
      <c r="D354" s="15"/>
      <c r="E354" s="92"/>
      <c r="F354" s="15"/>
      <c r="G354" s="93"/>
      <c r="H354" s="262"/>
      <c r="I354" s="262"/>
      <c r="J354" s="262"/>
    </row>
    <row r="355" spans="1:10" s="2" customFormat="1" ht="17.399999999999999" customHeight="1">
      <c r="A355" s="259"/>
      <c r="B355" s="15"/>
      <c r="C355" s="15"/>
      <c r="D355" s="15"/>
      <c r="E355" s="92"/>
      <c r="F355" s="15"/>
      <c r="G355" s="93"/>
      <c r="H355" s="262"/>
      <c r="I355" s="262"/>
      <c r="J355" s="262"/>
    </row>
    <row r="356" spans="1:10" s="2" customFormat="1" ht="17.399999999999999" customHeight="1">
      <c r="A356" s="259"/>
      <c r="B356" s="15"/>
      <c r="C356" s="15"/>
      <c r="D356" s="15"/>
      <c r="E356" s="92"/>
      <c r="F356" s="15"/>
      <c r="G356" s="93"/>
      <c r="H356" s="262"/>
      <c r="I356" s="262"/>
      <c r="J356" s="262"/>
    </row>
    <row r="357" spans="1:10" s="2" customFormat="1" ht="17.399999999999999" customHeight="1">
      <c r="A357" s="259"/>
      <c r="B357" s="15"/>
      <c r="C357" s="15"/>
      <c r="D357" s="15"/>
      <c r="E357" s="92"/>
      <c r="F357" s="15"/>
      <c r="G357" s="93"/>
      <c r="H357" s="262"/>
      <c r="I357" s="262"/>
      <c r="J357" s="262"/>
    </row>
    <row r="358" spans="1:10" s="2" customFormat="1" ht="17.399999999999999" customHeight="1">
      <c r="A358" s="259"/>
      <c r="B358" s="15"/>
      <c r="C358" s="15"/>
      <c r="D358" s="15"/>
      <c r="E358" s="92"/>
      <c r="F358" s="15"/>
      <c r="G358" s="93"/>
      <c r="H358" s="262"/>
      <c r="I358" s="262"/>
      <c r="J358" s="262"/>
    </row>
    <row r="359" spans="1:10" s="2" customFormat="1" ht="17.399999999999999" customHeight="1">
      <c r="A359" s="259"/>
      <c r="B359" s="15"/>
      <c r="C359" s="15"/>
      <c r="D359" s="15"/>
      <c r="E359" s="92"/>
      <c r="F359" s="15"/>
      <c r="G359" s="93"/>
      <c r="H359" s="262"/>
      <c r="I359" s="262"/>
      <c r="J359" s="262"/>
    </row>
    <row r="360" spans="1:10" s="2" customFormat="1" ht="17.399999999999999" customHeight="1">
      <c r="A360" s="259"/>
      <c r="B360" s="15"/>
      <c r="C360" s="15"/>
      <c r="D360" s="15"/>
      <c r="E360" s="92"/>
      <c r="F360" s="15"/>
      <c r="G360" s="93"/>
      <c r="H360" s="262"/>
      <c r="I360" s="262"/>
      <c r="J360" s="262"/>
    </row>
    <row r="361" spans="1:10" s="2" customFormat="1" ht="17.399999999999999" customHeight="1">
      <c r="A361" s="259"/>
      <c r="B361" s="15"/>
      <c r="C361" s="15"/>
      <c r="D361" s="15"/>
      <c r="E361" s="92"/>
      <c r="F361" s="15"/>
      <c r="G361" s="93"/>
      <c r="H361" s="262"/>
      <c r="I361" s="262"/>
      <c r="J361" s="262"/>
    </row>
    <row r="362" spans="1:10" s="2" customFormat="1" ht="17.399999999999999" customHeight="1">
      <c r="A362" s="259"/>
      <c r="B362" s="15"/>
      <c r="C362" s="15"/>
      <c r="D362" s="15"/>
      <c r="E362" s="92"/>
      <c r="F362" s="15"/>
      <c r="G362" s="93"/>
      <c r="H362" s="262"/>
      <c r="I362" s="262"/>
      <c r="J362" s="262"/>
    </row>
    <row r="363" spans="1:10" s="2" customFormat="1" ht="17.399999999999999" customHeight="1">
      <c r="A363" s="96"/>
      <c r="B363" s="15"/>
      <c r="C363" s="15"/>
      <c r="D363" s="15"/>
      <c r="E363" s="92"/>
      <c r="F363" s="15"/>
      <c r="G363" s="93"/>
      <c r="H363" s="262"/>
      <c r="I363" s="262"/>
      <c r="J363" s="262"/>
    </row>
    <row r="364" spans="1:10" s="2" customFormat="1" ht="17.399999999999999" customHeight="1">
      <c r="A364" s="96"/>
      <c r="B364" s="15"/>
      <c r="C364" s="15"/>
      <c r="D364" s="15"/>
      <c r="E364" s="92"/>
      <c r="F364" s="15"/>
      <c r="G364" s="93"/>
      <c r="H364" s="262"/>
      <c r="I364" s="262"/>
      <c r="J364" s="262"/>
    </row>
    <row r="365" spans="1:10" s="2" customFormat="1" ht="17.399999999999999" customHeight="1">
      <c r="A365" s="96"/>
      <c r="B365" s="15"/>
      <c r="C365" s="15"/>
      <c r="D365" s="15"/>
      <c r="E365" s="92"/>
      <c r="F365" s="15"/>
      <c r="G365" s="93"/>
      <c r="H365" s="262"/>
      <c r="I365" s="262"/>
      <c r="J365" s="262"/>
    </row>
    <row r="366" spans="1:10" s="2" customFormat="1" ht="17.399999999999999" customHeight="1">
      <c r="A366" s="96"/>
      <c r="B366" s="15"/>
      <c r="C366" s="15"/>
      <c r="D366" s="15"/>
      <c r="E366" s="92"/>
      <c r="F366" s="15"/>
      <c r="G366" s="93"/>
      <c r="H366" s="262"/>
      <c r="I366" s="262"/>
      <c r="J366" s="262"/>
    </row>
    <row r="367" spans="1:10" s="2" customFormat="1" ht="17.399999999999999" customHeight="1">
      <c r="A367" s="96"/>
      <c r="B367" s="15"/>
      <c r="C367" s="15"/>
      <c r="D367" s="15"/>
      <c r="E367" s="92"/>
      <c r="F367" s="15"/>
      <c r="G367" s="93"/>
      <c r="H367" s="262"/>
      <c r="I367" s="262"/>
      <c r="J367" s="262"/>
    </row>
    <row r="368" spans="1:10" s="2" customFormat="1" ht="17.399999999999999" customHeight="1">
      <c r="A368" s="96"/>
      <c r="B368" s="15"/>
      <c r="C368" s="15"/>
      <c r="D368" s="15"/>
      <c r="E368" s="92"/>
      <c r="F368" s="15"/>
      <c r="G368" s="93"/>
      <c r="H368" s="262"/>
      <c r="I368" s="262"/>
      <c r="J368" s="262"/>
    </row>
    <row r="369" spans="1:10" s="2" customFormat="1" ht="17.399999999999999" customHeight="1">
      <c r="A369" s="96"/>
      <c r="B369" s="15"/>
      <c r="C369" s="15"/>
      <c r="D369" s="15"/>
      <c r="E369" s="92"/>
      <c r="F369" s="15"/>
      <c r="G369" s="93"/>
      <c r="H369" s="262"/>
      <c r="I369" s="262"/>
      <c r="J369" s="262"/>
    </row>
    <row r="370" spans="1:10" s="2" customFormat="1" ht="17.399999999999999" customHeight="1">
      <c r="A370" s="96"/>
      <c r="B370" s="15"/>
      <c r="C370" s="15"/>
      <c r="D370" s="15"/>
      <c r="E370" s="92"/>
      <c r="F370" s="15"/>
      <c r="G370" s="93"/>
      <c r="H370" s="262"/>
      <c r="I370" s="262"/>
      <c r="J370" s="262"/>
    </row>
    <row r="371" spans="1:10" s="2" customFormat="1" ht="17.399999999999999" customHeight="1">
      <c r="A371" s="96"/>
      <c r="B371" s="15"/>
      <c r="C371" s="15"/>
      <c r="D371" s="15"/>
      <c r="E371" s="92"/>
      <c r="F371" s="15"/>
      <c r="G371" s="93"/>
      <c r="H371" s="262"/>
      <c r="I371" s="262"/>
      <c r="J371" s="262"/>
    </row>
    <row r="372" spans="1:10" s="2" customFormat="1" ht="17.399999999999999" customHeight="1">
      <c r="A372" s="96"/>
      <c r="B372" s="15"/>
      <c r="C372" s="15"/>
      <c r="D372" s="15"/>
      <c r="E372" s="92"/>
      <c r="F372" s="15"/>
      <c r="G372" s="93"/>
      <c r="H372" s="262"/>
      <c r="I372" s="262"/>
      <c r="J372" s="262"/>
    </row>
    <row r="373" spans="1:10" s="2" customFormat="1" ht="17.399999999999999" customHeight="1">
      <c r="A373" s="96"/>
      <c r="B373" s="15"/>
      <c r="C373" s="15"/>
      <c r="D373" s="15"/>
      <c r="E373" s="92"/>
      <c r="F373" s="15"/>
      <c r="G373" s="93"/>
      <c r="H373" s="262"/>
      <c r="I373" s="262"/>
      <c r="J373" s="262"/>
    </row>
    <row r="374" spans="1:10" s="2" customFormat="1" ht="17.399999999999999" customHeight="1">
      <c r="A374" s="96"/>
      <c r="B374" s="15"/>
      <c r="C374" s="15"/>
      <c r="D374" s="15"/>
      <c r="E374" s="92"/>
      <c r="F374" s="15"/>
      <c r="G374" s="93"/>
      <c r="H374" s="262"/>
      <c r="I374" s="262"/>
      <c r="J374" s="262"/>
    </row>
    <row r="375" spans="1:10" s="2" customFormat="1" ht="17.399999999999999" customHeight="1">
      <c r="A375" s="96"/>
      <c r="B375" s="15"/>
      <c r="C375" s="15"/>
      <c r="D375" s="15"/>
      <c r="E375" s="92"/>
      <c r="F375" s="15"/>
      <c r="G375" s="93"/>
      <c r="H375" s="262"/>
      <c r="I375" s="262"/>
      <c r="J375" s="262"/>
    </row>
    <row r="376" spans="1:10" s="2" customFormat="1" ht="17.399999999999999" customHeight="1">
      <c r="A376" s="96"/>
      <c r="B376" s="15"/>
      <c r="C376" s="15"/>
      <c r="D376" s="15"/>
      <c r="E376" s="92"/>
      <c r="F376" s="15"/>
      <c r="G376" s="93"/>
      <c r="H376" s="262"/>
      <c r="I376" s="262"/>
      <c r="J376" s="262"/>
    </row>
    <row r="377" spans="1:10" s="2" customFormat="1" ht="17.399999999999999" customHeight="1">
      <c r="A377" s="96"/>
      <c r="B377" s="15"/>
      <c r="C377" s="15"/>
      <c r="D377" s="15"/>
      <c r="E377" s="92"/>
      <c r="F377" s="15"/>
      <c r="G377" s="93"/>
      <c r="H377" s="262"/>
      <c r="I377" s="262"/>
      <c r="J377" s="262"/>
    </row>
    <row r="378" spans="1:10" s="2" customFormat="1" ht="17.399999999999999" customHeight="1">
      <c r="A378" s="96"/>
      <c r="B378" s="15"/>
      <c r="C378" s="15"/>
      <c r="D378" s="15"/>
      <c r="E378" s="92"/>
      <c r="F378" s="15"/>
      <c r="G378" s="93"/>
      <c r="H378" s="262"/>
      <c r="I378" s="262"/>
      <c r="J378" s="262"/>
    </row>
    <row r="379" spans="1:10" s="2" customFormat="1" ht="17.399999999999999" customHeight="1">
      <c r="A379" s="96"/>
      <c r="B379" s="15"/>
      <c r="C379" s="15"/>
      <c r="D379" s="15"/>
      <c r="E379" s="92"/>
      <c r="F379" s="15"/>
      <c r="G379" s="93"/>
      <c r="H379" s="262"/>
      <c r="I379" s="262"/>
      <c r="J379" s="262"/>
    </row>
    <row r="380" spans="1:10" s="2" customFormat="1" ht="17.399999999999999" customHeight="1">
      <c r="A380" s="96"/>
      <c r="B380" s="15"/>
      <c r="C380" s="15"/>
      <c r="D380" s="15"/>
      <c r="E380" s="92"/>
      <c r="F380" s="15"/>
      <c r="G380" s="93"/>
      <c r="H380" s="262"/>
      <c r="I380" s="262"/>
      <c r="J380" s="262"/>
    </row>
    <row r="381" spans="1:10" s="2" customFormat="1" ht="17.399999999999999" customHeight="1">
      <c r="A381" s="96"/>
      <c r="B381" s="15"/>
      <c r="C381" s="15"/>
      <c r="D381" s="15"/>
      <c r="E381" s="92"/>
      <c r="F381" s="15"/>
      <c r="G381" s="93"/>
      <c r="H381" s="262"/>
      <c r="I381" s="262"/>
      <c r="J381" s="262"/>
    </row>
    <row r="382" spans="1:10" s="2" customFormat="1" ht="17.399999999999999" customHeight="1">
      <c r="A382" s="96"/>
      <c r="B382" s="15"/>
      <c r="C382" s="15"/>
      <c r="D382" s="15"/>
      <c r="E382" s="92"/>
      <c r="F382" s="15"/>
      <c r="G382" s="93"/>
      <c r="H382" s="262"/>
      <c r="I382" s="262"/>
      <c r="J382" s="262"/>
    </row>
    <row r="383" spans="1:10" s="2" customFormat="1" ht="17.399999999999999" customHeight="1">
      <c r="A383" s="96"/>
      <c r="B383" s="15"/>
      <c r="C383" s="15"/>
      <c r="D383" s="15"/>
      <c r="E383" s="92"/>
      <c r="F383" s="15"/>
      <c r="G383" s="93"/>
      <c r="H383" s="262"/>
      <c r="I383" s="262"/>
      <c r="J383" s="262"/>
    </row>
    <row r="384" spans="1:10" s="2" customFormat="1" ht="17.399999999999999" customHeight="1">
      <c r="A384" s="96"/>
      <c r="B384" s="15"/>
      <c r="C384" s="15"/>
      <c r="D384" s="15"/>
      <c r="E384" s="92"/>
      <c r="F384" s="15"/>
      <c r="G384" s="93"/>
      <c r="H384" s="262"/>
      <c r="I384" s="262"/>
      <c r="J384" s="262"/>
    </row>
    <row r="385" spans="1:10" s="2" customFormat="1" ht="17.399999999999999" customHeight="1">
      <c r="A385" s="96"/>
      <c r="B385" s="15"/>
      <c r="C385" s="15"/>
      <c r="D385" s="15"/>
      <c r="E385" s="92"/>
      <c r="F385" s="15"/>
      <c r="G385" s="93"/>
      <c r="H385" s="262"/>
      <c r="I385" s="262"/>
      <c r="J385" s="262"/>
    </row>
    <row r="386" spans="1:10" s="2" customFormat="1" ht="17.399999999999999" customHeight="1">
      <c r="A386" s="96"/>
      <c r="B386" s="15"/>
      <c r="C386" s="15"/>
      <c r="D386" s="15"/>
      <c r="E386" s="92"/>
      <c r="F386" s="15"/>
      <c r="G386" s="93"/>
      <c r="H386" s="262"/>
      <c r="I386" s="262"/>
      <c r="J386" s="262"/>
    </row>
    <row r="387" spans="1:10" s="2" customFormat="1" ht="17.399999999999999" customHeight="1">
      <c r="A387" s="96"/>
      <c r="B387" s="15"/>
      <c r="C387" s="15"/>
      <c r="D387" s="15"/>
      <c r="E387" s="92"/>
      <c r="F387" s="15"/>
      <c r="G387" s="93"/>
      <c r="H387" s="262"/>
      <c r="I387" s="262"/>
      <c r="J387" s="262"/>
    </row>
    <row r="388" spans="1:10" s="2" customFormat="1" ht="17.399999999999999" customHeight="1">
      <c r="A388" s="96"/>
      <c r="B388" s="15"/>
      <c r="C388" s="15"/>
      <c r="D388" s="15"/>
      <c r="E388" s="92"/>
      <c r="F388" s="15"/>
      <c r="G388" s="93"/>
      <c r="H388" s="262"/>
      <c r="I388" s="262"/>
      <c r="J388" s="262"/>
    </row>
    <row r="389" spans="1:10" s="2" customFormat="1" ht="17.399999999999999" customHeight="1">
      <c r="A389" s="96"/>
      <c r="B389" s="15"/>
      <c r="C389" s="15"/>
      <c r="D389" s="15"/>
      <c r="E389" s="92"/>
      <c r="F389" s="15"/>
      <c r="G389" s="93"/>
      <c r="H389" s="262"/>
      <c r="I389" s="262"/>
      <c r="J389" s="262"/>
    </row>
    <row r="390" spans="1:10" s="2" customFormat="1" ht="17.399999999999999" customHeight="1">
      <c r="A390" s="96"/>
      <c r="B390" s="15"/>
      <c r="C390" s="15"/>
      <c r="D390" s="15"/>
      <c r="E390" s="92"/>
      <c r="F390" s="15"/>
      <c r="G390" s="93"/>
      <c r="H390" s="262"/>
      <c r="I390" s="262"/>
      <c r="J390" s="262"/>
    </row>
    <row r="391" spans="1:10" s="2" customFormat="1" ht="17.399999999999999" customHeight="1">
      <c r="A391" s="96"/>
      <c r="B391" s="15"/>
      <c r="C391" s="15"/>
      <c r="D391" s="15"/>
      <c r="E391" s="92"/>
      <c r="F391" s="15"/>
      <c r="G391" s="93"/>
      <c r="H391" s="262"/>
      <c r="I391" s="262"/>
      <c r="J391" s="262"/>
    </row>
    <row r="392" spans="1:10" s="2" customFormat="1" ht="17.399999999999999" customHeight="1">
      <c r="A392" s="96"/>
      <c r="B392" s="15"/>
      <c r="C392" s="15"/>
      <c r="D392" s="15"/>
      <c r="E392" s="92"/>
      <c r="F392" s="15"/>
      <c r="G392" s="93"/>
      <c r="H392" s="262"/>
      <c r="I392" s="262"/>
      <c r="J392" s="262"/>
    </row>
    <row r="393" spans="1:10" s="2" customFormat="1" ht="17.399999999999999" customHeight="1">
      <c r="A393" s="96"/>
      <c r="B393" s="15"/>
      <c r="C393" s="15"/>
      <c r="D393" s="15"/>
      <c r="E393" s="92"/>
      <c r="F393" s="15"/>
      <c r="G393" s="93"/>
      <c r="H393" s="262"/>
      <c r="I393" s="262"/>
      <c r="J393" s="262"/>
    </row>
    <row r="394" spans="1:10" s="2" customFormat="1" ht="17.399999999999999" customHeight="1">
      <c r="A394" s="96"/>
      <c r="B394" s="15"/>
      <c r="C394" s="15"/>
      <c r="D394" s="15"/>
      <c r="E394" s="92"/>
      <c r="F394" s="15"/>
      <c r="G394" s="93"/>
      <c r="H394" s="262"/>
      <c r="I394" s="262"/>
      <c r="J394" s="262"/>
    </row>
    <row r="395" spans="1:10" s="2" customFormat="1" ht="17.399999999999999" customHeight="1">
      <c r="A395" s="96"/>
      <c r="B395" s="15"/>
      <c r="C395" s="15"/>
      <c r="D395" s="15"/>
      <c r="E395" s="92"/>
      <c r="F395" s="15"/>
      <c r="G395" s="93"/>
      <c r="H395" s="262"/>
      <c r="I395" s="262"/>
      <c r="J395" s="262"/>
    </row>
    <row r="396" spans="1:10" s="2" customFormat="1" ht="17.399999999999999" customHeight="1">
      <c r="A396" s="96"/>
      <c r="B396" s="15"/>
      <c r="C396" s="15"/>
      <c r="D396" s="15"/>
      <c r="E396" s="92"/>
      <c r="F396" s="15"/>
      <c r="G396" s="93"/>
      <c r="H396" s="262"/>
      <c r="I396" s="262"/>
      <c r="J396" s="262"/>
    </row>
    <row r="397" spans="1:10" s="2" customFormat="1" ht="17.399999999999999" customHeight="1">
      <c r="A397" s="96"/>
      <c r="B397" s="15"/>
      <c r="C397" s="15"/>
      <c r="D397" s="15"/>
      <c r="E397" s="92"/>
      <c r="F397" s="15"/>
      <c r="G397" s="93"/>
      <c r="H397" s="262"/>
      <c r="I397" s="262"/>
      <c r="J397" s="262"/>
    </row>
    <row r="398" spans="1:10" s="2" customFormat="1" ht="17.399999999999999" customHeight="1">
      <c r="A398" s="96"/>
      <c r="B398" s="15"/>
      <c r="C398" s="15"/>
      <c r="D398" s="15"/>
      <c r="E398" s="92"/>
      <c r="F398" s="15"/>
      <c r="G398" s="93"/>
      <c r="H398" s="262"/>
      <c r="I398" s="262"/>
      <c r="J398" s="262"/>
    </row>
    <row r="399" spans="1:10" s="2" customFormat="1" ht="17.399999999999999" customHeight="1">
      <c r="A399" s="96"/>
      <c r="B399" s="15"/>
      <c r="C399" s="15"/>
      <c r="D399" s="15"/>
      <c r="E399" s="92"/>
      <c r="F399" s="15"/>
      <c r="G399" s="93"/>
      <c r="H399" s="262"/>
      <c r="I399" s="262"/>
      <c r="J399" s="262"/>
    </row>
    <row r="400" spans="1:10" s="2" customFormat="1" ht="17.399999999999999" customHeight="1">
      <c r="A400" s="96"/>
      <c r="B400" s="15"/>
      <c r="C400" s="15"/>
      <c r="D400" s="15"/>
      <c r="E400" s="92"/>
      <c r="F400" s="15"/>
      <c r="G400" s="93"/>
      <c r="H400" s="262"/>
      <c r="I400" s="262"/>
      <c r="J400" s="262"/>
    </row>
    <row r="401" spans="1:10" s="2" customFormat="1" ht="17.399999999999999" customHeight="1">
      <c r="A401" s="96"/>
      <c r="B401" s="15"/>
      <c r="C401" s="15"/>
      <c r="D401" s="15"/>
      <c r="E401" s="92"/>
      <c r="F401" s="15"/>
      <c r="G401" s="93"/>
      <c r="H401" s="262"/>
      <c r="I401" s="262"/>
      <c r="J401" s="262"/>
    </row>
    <row r="402" spans="1:10" s="2" customFormat="1" ht="17.399999999999999" customHeight="1">
      <c r="A402" s="96"/>
      <c r="B402" s="15"/>
      <c r="C402" s="15"/>
      <c r="D402" s="15"/>
      <c r="E402" s="92"/>
      <c r="F402" s="15"/>
      <c r="G402" s="93"/>
      <c r="H402" s="262"/>
      <c r="I402" s="262"/>
      <c r="J402" s="262"/>
    </row>
    <row r="403" spans="1:10" s="2" customFormat="1" ht="17.399999999999999" customHeight="1">
      <c r="A403" s="96"/>
      <c r="B403" s="15"/>
      <c r="C403" s="15"/>
      <c r="D403" s="15"/>
      <c r="E403" s="92"/>
      <c r="F403" s="15"/>
      <c r="G403" s="93"/>
      <c r="H403" s="262"/>
      <c r="I403" s="262"/>
      <c r="J403" s="262"/>
    </row>
    <row r="404" spans="1:10" s="2" customFormat="1" ht="17.399999999999999" customHeight="1">
      <c r="A404" s="96"/>
      <c r="B404" s="15"/>
      <c r="C404" s="15"/>
      <c r="D404" s="15"/>
      <c r="E404" s="92"/>
      <c r="F404" s="15"/>
      <c r="G404" s="93"/>
      <c r="H404" s="262"/>
      <c r="I404" s="262"/>
      <c r="J404" s="262"/>
    </row>
    <row r="405" spans="1:10" s="2" customFormat="1" ht="17.399999999999999" customHeight="1">
      <c r="A405" s="259"/>
      <c r="B405" s="15"/>
      <c r="C405" s="15"/>
      <c r="D405" s="15"/>
      <c r="E405" s="92"/>
      <c r="F405" s="15"/>
      <c r="G405" s="93"/>
      <c r="H405" s="262"/>
      <c r="I405" s="262"/>
      <c r="J405" s="262"/>
    </row>
    <row r="406" spans="1:10" s="2" customFormat="1" ht="17.399999999999999" customHeight="1">
      <c r="A406" s="259"/>
      <c r="B406" s="15"/>
      <c r="C406" s="15"/>
      <c r="D406" s="15"/>
      <c r="E406" s="92"/>
      <c r="F406" s="15"/>
      <c r="G406" s="93"/>
      <c r="H406" s="262"/>
      <c r="I406" s="262"/>
      <c r="J406" s="262"/>
    </row>
    <row r="407" spans="1:10" s="2" customFormat="1" ht="17.399999999999999" customHeight="1">
      <c r="A407" s="259"/>
      <c r="B407" s="15"/>
      <c r="C407" s="15"/>
      <c r="D407" s="15"/>
      <c r="E407" s="92"/>
      <c r="F407" s="15"/>
      <c r="G407" s="93"/>
      <c r="H407" s="262"/>
      <c r="I407" s="262"/>
      <c r="J407" s="262"/>
    </row>
    <row r="408" spans="1:10" s="2" customFormat="1" ht="17.399999999999999" customHeight="1">
      <c r="A408" s="259"/>
      <c r="B408" s="15"/>
      <c r="C408" s="15"/>
      <c r="D408" s="15"/>
      <c r="E408" s="92"/>
      <c r="F408" s="15"/>
      <c r="G408" s="93"/>
      <c r="H408" s="262"/>
      <c r="I408" s="262"/>
      <c r="J408" s="262"/>
    </row>
    <row r="409" spans="1:10" s="2" customFormat="1" ht="17.399999999999999" customHeight="1">
      <c r="A409" s="259"/>
      <c r="B409" s="15"/>
      <c r="C409" s="15"/>
      <c r="D409" s="15"/>
      <c r="E409" s="92"/>
      <c r="F409" s="15"/>
      <c r="G409" s="93"/>
      <c r="H409" s="262"/>
      <c r="I409" s="262"/>
      <c r="J409" s="262"/>
    </row>
    <row r="410" spans="1:10" s="2" customFormat="1" ht="17.399999999999999" customHeight="1">
      <c r="A410" s="259"/>
      <c r="B410" s="15"/>
      <c r="C410" s="15"/>
      <c r="D410" s="15"/>
      <c r="E410" s="92"/>
      <c r="F410" s="15"/>
      <c r="G410" s="93"/>
      <c r="H410" s="262"/>
      <c r="I410" s="262"/>
      <c r="J410" s="262"/>
    </row>
    <row r="411" spans="1:10" s="2" customFormat="1" ht="17.399999999999999" customHeight="1">
      <c r="A411" s="259"/>
      <c r="B411" s="15"/>
      <c r="C411" s="15"/>
      <c r="D411" s="15"/>
      <c r="E411" s="92"/>
      <c r="F411" s="15"/>
      <c r="G411" s="93"/>
      <c r="H411" s="262"/>
      <c r="I411" s="262"/>
      <c r="J411" s="262"/>
    </row>
    <row r="412" spans="1:10" s="2" customFormat="1" ht="17.399999999999999" customHeight="1">
      <c r="A412" s="259"/>
      <c r="B412" s="15"/>
      <c r="C412" s="15"/>
      <c r="D412" s="15"/>
      <c r="E412" s="92"/>
      <c r="F412" s="15"/>
      <c r="G412" s="93"/>
      <c r="H412" s="262"/>
      <c r="I412" s="262"/>
      <c r="J412" s="262"/>
    </row>
    <row r="413" spans="1:10" s="2" customFormat="1" ht="17.399999999999999" customHeight="1">
      <c r="A413" s="259"/>
      <c r="B413" s="15"/>
      <c r="C413" s="15"/>
      <c r="D413" s="15"/>
      <c r="E413" s="92"/>
      <c r="F413" s="15"/>
      <c r="G413" s="93"/>
      <c r="H413" s="262"/>
      <c r="I413" s="262"/>
      <c r="J413" s="262"/>
    </row>
    <row r="414" spans="1:10" s="2" customFormat="1" ht="17.399999999999999" customHeight="1">
      <c r="A414" s="259"/>
      <c r="B414" s="15"/>
      <c r="C414" s="15"/>
      <c r="D414" s="15"/>
      <c r="E414" s="92"/>
      <c r="F414" s="15"/>
      <c r="G414" s="93"/>
      <c r="H414" s="262"/>
      <c r="I414" s="262"/>
      <c r="J414" s="262"/>
    </row>
    <row r="415" spans="1:10" s="2" customFormat="1" ht="17.399999999999999" customHeight="1">
      <c r="A415" s="259"/>
      <c r="B415" s="15"/>
      <c r="C415" s="15"/>
      <c r="D415" s="15"/>
      <c r="E415" s="92"/>
      <c r="F415" s="15"/>
      <c r="G415" s="93"/>
      <c r="H415" s="262"/>
      <c r="I415" s="262"/>
      <c r="J415" s="262"/>
    </row>
    <row r="416" spans="1:10" s="2" customFormat="1" ht="17.399999999999999" customHeight="1">
      <c r="A416" s="259"/>
      <c r="B416" s="15"/>
      <c r="C416" s="15"/>
      <c r="D416" s="15"/>
      <c r="E416" s="92"/>
      <c r="F416" s="15"/>
      <c r="G416" s="93"/>
      <c r="H416" s="262"/>
      <c r="I416" s="262"/>
      <c r="J416" s="262"/>
    </row>
    <row r="417" spans="1:10" s="2" customFormat="1" ht="17.399999999999999" customHeight="1">
      <c r="A417" s="259"/>
      <c r="B417" s="15"/>
      <c r="C417" s="15"/>
      <c r="D417" s="15"/>
      <c r="E417" s="92"/>
      <c r="F417" s="15"/>
      <c r="G417" s="93"/>
      <c r="H417" s="262"/>
      <c r="I417" s="262"/>
      <c r="J417" s="262"/>
    </row>
    <row r="418" spans="1:10" s="2" customFormat="1" ht="17.399999999999999" customHeight="1">
      <c r="A418" s="259"/>
      <c r="B418" s="15"/>
      <c r="C418" s="15"/>
      <c r="D418" s="15"/>
      <c r="E418" s="92"/>
      <c r="F418" s="15"/>
      <c r="G418" s="93"/>
      <c r="H418" s="262"/>
      <c r="I418" s="262"/>
      <c r="J418" s="262"/>
    </row>
    <row r="419" spans="1:10" s="2" customFormat="1" ht="17.399999999999999" customHeight="1">
      <c r="A419" s="259"/>
      <c r="B419" s="15"/>
      <c r="C419" s="15"/>
      <c r="D419" s="15"/>
      <c r="E419" s="92"/>
      <c r="F419" s="15"/>
      <c r="G419" s="93"/>
      <c r="H419" s="262"/>
      <c r="I419" s="262"/>
      <c r="J419" s="262"/>
    </row>
    <row r="420" spans="1:10" s="2" customFormat="1" ht="17.399999999999999" customHeight="1">
      <c r="A420" s="259"/>
      <c r="B420" s="15"/>
      <c r="C420" s="15"/>
      <c r="D420" s="15"/>
      <c r="E420" s="92"/>
      <c r="F420" s="15"/>
      <c r="G420" s="93"/>
      <c r="H420" s="262"/>
      <c r="I420" s="262"/>
      <c r="J420" s="262"/>
    </row>
    <row r="421" spans="1:10" s="2" customFormat="1" ht="17.399999999999999" customHeight="1">
      <c r="A421" s="259"/>
      <c r="B421" s="15"/>
      <c r="C421" s="15"/>
      <c r="D421" s="15"/>
      <c r="E421" s="92"/>
      <c r="F421" s="15"/>
      <c r="G421" s="93"/>
      <c r="H421" s="262"/>
      <c r="I421" s="262"/>
      <c r="J421" s="262"/>
    </row>
    <row r="422" spans="1:10" s="2" customFormat="1" ht="17.399999999999999" customHeight="1">
      <c r="A422" s="259"/>
      <c r="B422" s="15"/>
      <c r="C422" s="15"/>
      <c r="D422" s="15"/>
      <c r="E422" s="92"/>
      <c r="F422" s="15"/>
      <c r="G422" s="93"/>
      <c r="H422" s="262"/>
      <c r="I422" s="262"/>
      <c r="J422" s="262"/>
    </row>
    <row r="423" spans="1:10" s="2" customFormat="1" ht="17.399999999999999" customHeight="1">
      <c r="A423" s="259"/>
      <c r="B423" s="15"/>
      <c r="C423" s="15"/>
      <c r="D423" s="15"/>
      <c r="E423" s="92"/>
      <c r="F423" s="15"/>
      <c r="G423" s="93"/>
      <c r="H423" s="262"/>
      <c r="I423" s="262"/>
      <c r="J423" s="262"/>
    </row>
    <row r="424" spans="1:10" s="2" customFormat="1" ht="17.399999999999999" customHeight="1">
      <c r="A424" s="259"/>
      <c r="B424" s="15"/>
      <c r="C424" s="15"/>
      <c r="D424" s="15"/>
      <c r="E424" s="92"/>
      <c r="F424" s="15"/>
      <c r="G424" s="93"/>
      <c r="H424" s="262"/>
      <c r="I424" s="262"/>
      <c r="J424" s="262"/>
    </row>
    <row r="425" spans="1:10" s="2" customFormat="1" ht="17.399999999999999" customHeight="1">
      <c r="A425" s="259"/>
      <c r="B425" s="15"/>
      <c r="C425" s="15"/>
      <c r="D425" s="15"/>
      <c r="E425" s="92"/>
      <c r="F425" s="15"/>
      <c r="G425" s="93"/>
      <c r="H425" s="262"/>
      <c r="I425" s="262"/>
      <c r="J425" s="262"/>
    </row>
    <row r="426" spans="1:10" s="2" customFormat="1" ht="17.399999999999999" customHeight="1">
      <c r="A426" s="259"/>
      <c r="B426" s="15"/>
      <c r="C426" s="15"/>
      <c r="D426" s="15"/>
      <c r="E426" s="92"/>
      <c r="F426" s="15"/>
      <c r="G426" s="93"/>
      <c r="H426" s="262"/>
      <c r="I426" s="262"/>
      <c r="J426" s="262"/>
    </row>
    <row r="427" spans="1:10" s="2" customFormat="1" ht="17.399999999999999" customHeight="1">
      <c r="A427" s="259"/>
      <c r="B427" s="15"/>
      <c r="C427" s="15"/>
      <c r="D427" s="15"/>
      <c r="E427" s="92"/>
      <c r="F427" s="15"/>
      <c r="G427" s="93"/>
      <c r="H427" s="262"/>
      <c r="I427" s="262"/>
      <c r="J427" s="262"/>
    </row>
    <row r="428" spans="1:10" s="2" customFormat="1" ht="17.399999999999999" customHeight="1">
      <c r="A428" s="259"/>
      <c r="B428" s="15"/>
      <c r="C428" s="15"/>
      <c r="D428" s="15"/>
      <c r="E428" s="92"/>
      <c r="F428" s="15"/>
      <c r="G428" s="93"/>
      <c r="H428" s="262"/>
      <c r="I428" s="262"/>
      <c r="J428" s="262"/>
    </row>
    <row r="429" spans="1:10" s="2" customFormat="1" ht="17.399999999999999" customHeight="1">
      <c r="A429" s="259"/>
      <c r="B429" s="15"/>
      <c r="C429" s="15"/>
      <c r="D429" s="15"/>
      <c r="E429" s="92"/>
      <c r="F429" s="15"/>
      <c r="G429" s="93"/>
      <c r="H429" s="262"/>
      <c r="I429" s="262"/>
      <c r="J429" s="262"/>
    </row>
    <row r="430" spans="1:10" s="2" customFormat="1" ht="17.399999999999999" customHeight="1">
      <c r="A430" s="259"/>
      <c r="B430" s="15"/>
      <c r="C430" s="15"/>
      <c r="D430" s="15"/>
      <c r="E430" s="92"/>
      <c r="F430" s="15"/>
      <c r="G430" s="93"/>
      <c r="H430" s="262"/>
      <c r="I430" s="262"/>
      <c r="J430" s="262"/>
    </row>
    <row r="431" spans="1:10" s="2" customFormat="1" ht="17.399999999999999" customHeight="1">
      <c r="A431" s="259"/>
      <c r="B431" s="15"/>
      <c r="C431" s="15"/>
      <c r="D431" s="15"/>
      <c r="E431" s="92"/>
      <c r="F431" s="15"/>
      <c r="G431" s="93"/>
      <c r="H431" s="262"/>
      <c r="I431" s="262"/>
      <c r="J431" s="262"/>
    </row>
    <row r="432" spans="1:10" s="2" customFormat="1" ht="17.399999999999999" customHeight="1">
      <c r="A432" s="259"/>
      <c r="B432" s="15"/>
      <c r="C432" s="15"/>
      <c r="D432" s="15"/>
      <c r="E432" s="92"/>
      <c r="F432" s="15"/>
      <c r="G432" s="93"/>
      <c r="H432" s="262"/>
      <c r="I432" s="262"/>
      <c r="J432" s="262"/>
    </row>
    <row r="433" spans="1:10" s="2" customFormat="1" ht="17.399999999999999" customHeight="1">
      <c r="A433" s="259"/>
      <c r="B433" s="15"/>
      <c r="C433" s="15"/>
      <c r="D433" s="15"/>
      <c r="E433" s="92"/>
      <c r="F433" s="15"/>
      <c r="G433" s="93"/>
      <c r="H433" s="262"/>
      <c r="I433" s="262"/>
      <c r="J433" s="262"/>
    </row>
    <row r="434" spans="1:10" s="2" customFormat="1" ht="17.399999999999999" customHeight="1">
      <c r="A434" s="259"/>
      <c r="B434" s="15"/>
      <c r="C434" s="15"/>
      <c r="D434" s="15"/>
      <c r="E434" s="92"/>
      <c r="F434" s="15"/>
      <c r="G434" s="93"/>
      <c r="H434" s="262"/>
      <c r="I434" s="262"/>
      <c r="J434" s="262"/>
    </row>
    <row r="435" spans="1:10" s="2" customFormat="1" ht="17.399999999999999" customHeight="1">
      <c r="A435" s="259"/>
      <c r="B435" s="15"/>
      <c r="C435" s="15"/>
      <c r="D435" s="15"/>
      <c r="E435" s="92"/>
      <c r="F435" s="15"/>
      <c r="G435" s="93"/>
      <c r="H435" s="262"/>
      <c r="I435" s="262"/>
      <c r="J435" s="262"/>
    </row>
    <row r="436" spans="1:10" s="2" customFormat="1" ht="17.399999999999999" customHeight="1">
      <c r="A436" s="259"/>
      <c r="B436" s="15"/>
      <c r="C436" s="15"/>
      <c r="D436" s="15"/>
      <c r="E436" s="92"/>
      <c r="F436" s="15"/>
      <c r="G436" s="93"/>
      <c r="H436" s="262"/>
      <c r="I436" s="262"/>
      <c r="J436" s="262"/>
    </row>
    <row r="437" spans="1:10" s="2" customFormat="1" ht="17.399999999999999" customHeight="1">
      <c r="A437" s="259"/>
      <c r="B437" s="15"/>
      <c r="C437" s="15"/>
      <c r="D437" s="15"/>
      <c r="E437" s="92"/>
      <c r="F437" s="15"/>
      <c r="G437" s="93"/>
      <c r="H437" s="262"/>
      <c r="I437" s="262"/>
      <c r="J437" s="262"/>
    </row>
    <row r="438" spans="1:10" s="2" customFormat="1" ht="17.399999999999999" customHeight="1">
      <c r="A438" s="259"/>
      <c r="B438" s="15"/>
      <c r="C438" s="15"/>
      <c r="D438" s="15"/>
      <c r="E438" s="92"/>
      <c r="F438" s="15"/>
      <c r="G438" s="93"/>
      <c r="H438" s="262"/>
      <c r="I438" s="262"/>
      <c r="J438" s="262"/>
    </row>
    <row r="439" spans="1:10" s="2" customFormat="1" ht="17.399999999999999" customHeight="1">
      <c r="A439" s="259"/>
      <c r="B439" s="15"/>
      <c r="C439" s="15"/>
      <c r="D439" s="15"/>
      <c r="E439" s="92"/>
      <c r="F439" s="15"/>
      <c r="G439" s="93"/>
      <c r="H439" s="262"/>
      <c r="I439" s="262"/>
      <c r="J439" s="262"/>
    </row>
    <row r="440" spans="1:10" s="2" customFormat="1" ht="17.399999999999999" customHeight="1">
      <c r="A440" s="259"/>
      <c r="B440" s="15"/>
      <c r="C440" s="15"/>
      <c r="D440" s="15"/>
      <c r="E440" s="92"/>
      <c r="F440" s="15"/>
      <c r="G440" s="93"/>
      <c r="H440" s="262"/>
      <c r="I440" s="262"/>
      <c r="J440" s="262"/>
    </row>
    <row r="441" spans="1:10" s="2" customFormat="1" ht="17.399999999999999" customHeight="1">
      <c r="A441" s="259"/>
      <c r="B441" s="15"/>
      <c r="C441" s="15"/>
      <c r="D441" s="15"/>
      <c r="E441" s="92"/>
      <c r="F441" s="15"/>
      <c r="G441" s="93"/>
      <c r="H441" s="262"/>
      <c r="I441" s="262"/>
      <c r="J441" s="262"/>
    </row>
    <row r="442" spans="1:10" s="2" customFormat="1" ht="17.399999999999999" customHeight="1">
      <c r="A442" s="259"/>
      <c r="B442" s="15"/>
      <c r="C442" s="15"/>
      <c r="D442" s="15"/>
      <c r="E442" s="92"/>
      <c r="F442" s="15"/>
      <c r="G442" s="93"/>
      <c r="H442" s="262"/>
      <c r="I442" s="262"/>
      <c r="J442" s="262"/>
    </row>
    <row r="443" spans="1:10" s="2" customFormat="1" ht="17.399999999999999" customHeight="1">
      <c r="A443" s="259"/>
      <c r="B443" s="15"/>
      <c r="C443" s="15"/>
      <c r="D443" s="15"/>
      <c r="E443" s="92"/>
      <c r="F443" s="15"/>
      <c r="G443" s="93"/>
      <c r="H443" s="262"/>
      <c r="I443" s="262"/>
      <c r="J443" s="262"/>
    </row>
    <row r="444" spans="1:10" s="2" customFormat="1" ht="17.399999999999999" customHeight="1">
      <c r="A444" s="259"/>
      <c r="B444" s="15"/>
      <c r="C444" s="15"/>
      <c r="D444" s="15"/>
      <c r="E444" s="92"/>
      <c r="F444" s="15"/>
      <c r="G444" s="93"/>
      <c r="H444" s="262"/>
      <c r="I444" s="262"/>
      <c r="J444" s="262"/>
    </row>
    <row r="445" spans="1:10" s="2" customFormat="1" ht="17.399999999999999" customHeight="1">
      <c r="A445" s="259"/>
      <c r="B445" s="15"/>
      <c r="C445" s="15"/>
      <c r="D445" s="15"/>
      <c r="E445" s="92"/>
      <c r="F445" s="15"/>
      <c r="G445" s="93"/>
      <c r="H445" s="262"/>
      <c r="I445" s="262"/>
      <c r="J445" s="262"/>
    </row>
    <row r="446" spans="1:10" s="2" customFormat="1" ht="17.399999999999999" customHeight="1">
      <c r="A446" s="259"/>
      <c r="B446" s="15"/>
      <c r="C446" s="15"/>
      <c r="D446" s="15"/>
      <c r="E446" s="92"/>
      <c r="F446" s="15"/>
      <c r="G446" s="93"/>
      <c r="H446" s="262"/>
      <c r="I446" s="262"/>
      <c r="J446" s="262"/>
    </row>
    <row r="447" spans="1:10" s="2" customFormat="1" ht="17.399999999999999" customHeight="1">
      <c r="A447" s="259"/>
      <c r="B447" s="15"/>
      <c r="C447" s="15"/>
      <c r="D447" s="15"/>
      <c r="E447" s="92"/>
      <c r="F447" s="15"/>
      <c r="G447" s="93"/>
      <c r="H447" s="262"/>
      <c r="I447" s="262"/>
      <c r="J447" s="262"/>
    </row>
    <row r="448" spans="1:10" s="2" customFormat="1" ht="17.399999999999999" customHeight="1">
      <c r="A448" s="259"/>
      <c r="B448" s="15"/>
      <c r="C448" s="15"/>
      <c r="D448" s="15"/>
      <c r="E448" s="92"/>
      <c r="F448" s="15"/>
      <c r="G448" s="93"/>
      <c r="H448" s="262"/>
      <c r="I448" s="262"/>
      <c r="J448" s="262"/>
    </row>
    <row r="449" spans="1:10" s="2" customFormat="1" ht="17.399999999999999" customHeight="1">
      <c r="A449" s="259"/>
      <c r="B449" s="15"/>
      <c r="C449" s="15"/>
      <c r="D449" s="15"/>
      <c r="E449" s="92"/>
      <c r="F449" s="15"/>
      <c r="G449" s="93"/>
      <c r="H449" s="262"/>
      <c r="I449" s="262"/>
      <c r="J449" s="262"/>
    </row>
    <row r="450" spans="1:10" s="2" customFormat="1" ht="17.399999999999999" customHeight="1">
      <c r="A450" s="259"/>
      <c r="B450" s="15"/>
      <c r="C450" s="15"/>
      <c r="D450" s="15"/>
      <c r="E450" s="92"/>
      <c r="F450" s="15"/>
      <c r="G450" s="93"/>
      <c r="H450" s="262"/>
      <c r="I450" s="262"/>
      <c r="J450" s="262"/>
    </row>
    <row r="451" spans="1:10" s="2" customFormat="1" ht="17.399999999999999" customHeight="1">
      <c r="A451" s="259"/>
      <c r="B451" s="15"/>
      <c r="C451" s="15"/>
      <c r="D451" s="15"/>
      <c r="E451" s="92"/>
      <c r="F451" s="15"/>
      <c r="G451" s="93"/>
      <c r="H451" s="262"/>
      <c r="I451" s="262"/>
      <c r="J451" s="262"/>
    </row>
    <row r="452" spans="1:10" s="2" customFormat="1" ht="17.399999999999999" customHeight="1">
      <c r="A452" s="259"/>
      <c r="B452" s="15"/>
      <c r="C452" s="15"/>
      <c r="D452" s="15"/>
      <c r="E452" s="92"/>
      <c r="F452" s="15"/>
      <c r="G452" s="93"/>
      <c r="H452" s="262"/>
      <c r="I452" s="262"/>
      <c r="J452" s="262"/>
    </row>
    <row r="453" spans="1:10" s="2" customFormat="1" ht="17.399999999999999" customHeight="1">
      <c r="A453" s="259"/>
      <c r="B453" s="15"/>
      <c r="C453" s="15"/>
      <c r="D453" s="15"/>
      <c r="E453" s="92"/>
      <c r="F453" s="15"/>
      <c r="G453" s="93"/>
      <c r="H453" s="262"/>
      <c r="I453" s="262"/>
      <c r="J453" s="262"/>
    </row>
    <row r="454" spans="1:10" s="2" customFormat="1" ht="17.399999999999999" customHeight="1">
      <c r="A454" s="259"/>
      <c r="B454" s="15"/>
      <c r="C454" s="15"/>
      <c r="D454" s="15"/>
      <c r="E454" s="92"/>
      <c r="F454" s="15"/>
      <c r="G454" s="93"/>
      <c r="H454" s="262"/>
      <c r="I454" s="262"/>
      <c r="J454" s="262"/>
    </row>
    <row r="455" spans="1:10" s="2" customFormat="1" ht="17.399999999999999" customHeight="1">
      <c r="A455" s="259"/>
      <c r="B455" s="15"/>
      <c r="C455" s="15"/>
      <c r="D455" s="15"/>
      <c r="E455" s="92"/>
      <c r="F455" s="15"/>
      <c r="G455" s="93"/>
      <c r="H455" s="262"/>
      <c r="I455" s="262"/>
      <c r="J455" s="262"/>
    </row>
    <row r="456" spans="1:10" s="2" customFormat="1" ht="17.399999999999999" customHeight="1">
      <c r="A456" s="259"/>
      <c r="B456" s="15"/>
      <c r="C456" s="15"/>
      <c r="D456" s="15"/>
      <c r="E456" s="92"/>
      <c r="F456" s="15"/>
      <c r="G456" s="93"/>
      <c r="H456" s="262"/>
      <c r="I456" s="262"/>
      <c r="J456" s="262"/>
    </row>
    <row r="457" spans="1:10" s="2" customFormat="1" ht="17.399999999999999" customHeight="1">
      <c r="A457" s="259"/>
      <c r="B457" s="15"/>
      <c r="C457" s="15"/>
      <c r="D457" s="15"/>
      <c r="E457" s="92"/>
      <c r="F457" s="15"/>
      <c r="G457" s="93"/>
      <c r="H457" s="262"/>
      <c r="I457" s="262"/>
      <c r="J457" s="262"/>
    </row>
    <row r="458" spans="1:10" s="2" customFormat="1" ht="17.399999999999999" customHeight="1">
      <c r="A458" s="259"/>
      <c r="B458" s="15"/>
      <c r="C458" s="15"/>
      <c r="D458" s="15"/>
      <c r="E458" s="92"/>
      <c r="F458" s="15"/>
      <c r="G458" s="93"/>
      <c r="H458" s="262"/>
      <c r="I458" s="262"/>
      <c r="J458" s="262"/>
    </row>
    <row r="459" spans="1:10" s="2" customFormat="1" ht="17.399999999999999" customHeight="1">
      <c r="A459" s="259"/>
      <c r="B459" s="15"/>
      <c r="C459" s="15"/>
      <c r="D459" s="15"/>
      <c r="E459" s="92"/>
      <c r="F459" s="15"/>
      <c r="G459" s="93"/>
      <c r="H459" s="262"/>
      <c r="I459" s="262"/>
      <c r="J459" s="262"/>
    </row>
    <row r="460" spans="1:10" s="2" customFormat="1" ht="17.399999999999999" customHeight="1">
      <c r="A460" s="259"/>
      <c r="B460" s="15"/>
      <c r="C460" s="15"/>
      <c r="D460" s="15"/>
      <c r="E460" s="92"/>
      <c r="F460" s="15"/>
      <c r="G460" s="93"/>
      <c r="H460" s="262"/>
      <c r="I460" s="262"/>
      <c r="J460" s="262"/>
    </row>
    <row r="461" spans="1:10" s="2" customFormat="1" ht="17.399999999999999" customHeight="1">
      <c r="A461" s="259"/>
      <c r="B461" s="15"/>
      <c r="C461" s="15"/>
      <c r="D461" s="15"/>
      <c r="E461" s="92"/>
      <c r="F461" s="15"/>
      <c r="G461" s="93"/>
      <c r="H461" s="262"/>
      <c r="I461" s="262"/>
      <c r="J461" s="262"/>
    </row>
    <row r="462" spans="1:10" s="2" customFormat="1" ht="17.399999999999999" customHeight="1">
      <c r="A462" s="259"/>
      <c r="B462" s="15"/>
      <c r="C462" s="15"/>
      <c r="D462" s="15"/>
      <c r="E462" s="92"/>
      <c r="F462" s="15"/>
      <c r="G462" s="93"/>
      <c r="H462" s="262"/>
      <c r="I462" s="262"/>
      <c r="J462" s="262"/>
    </row>
    <row r="463" spans="1:10" s="2" customFormat="1" ht="17.399999999999999" customHeight="1">
      <c r="A463" s="259"/>
      <c r="B463" s="15"/>
      <c r="C463" s="15"/>
      <c r="D463" s="15"/>
      <c r="E463" s="92"/>
      <c r="F463" s="15"/>
      <c r="G463" s="93"/>
      <c r="H463" s="262"/>
      <c r="I463" s="262"/>
      <c r="J463" s="262"/>
    </row>
    <row r="464" spans="1:10" s="2" customFormat="1" ht="17.399999999999999" customHeight="1">
      <c r="A464" s="259"/>
      <c r="B464" s="15"/>
      <c r="C464" s="15"/>
      <c r="D464" s="15"/>
      <c r="E464" s="92"/>
      <c r="F464" s="15"/>
      <c r="G464" s="93"/>
      <c r="H464" s="262"/>
      <c r="I464" s="262"/>
      <c r="J464" s="262"/>
    </row>
    <row r="465" spans="1:10" s="2" customFormat="1" ht="17.399999999999999" customHeight="1">
      <c r="A465" s="259"/>
      <c r="B465" s="15"/>
      <c r="C465" s="15"/>
      <c r="D465" s="15"/>
      <c r="E465" s="92"/>
      <c r="F465" s="15"/>
      <c r="G465" s="93"/>
      <c r="H465" s="262"/>
      <c r="I465" s="262"/>
      <c r="J465" s="262"/>
    </row>
    <row r="466" spans="1:10" s="2" customFormat="1" ht="17.399999999999999" customHeight="1">
      <c r="A466" s="259"/>
      <c r="B466" s="15"/>
      <c r="C466" s="15"/>
      <c r="D466" s="15"/>
      <c r="E466" s="92"/>
      <c r="F466" s="15"/>
      <c r="G466" s="93"/>
      <c r="H466" s="262"/>
      <c r="I466" s="262"/>
      <c r="J466" s="262"/>
    </row>
    <row r="467" spans="1:10" s="2" customFormat="1" ht="17.399999999999999" customHeight="1">
      <c r="A467" s="259"/>
      <c r="B467" s="15"/>
      <c r="C467" s="15"/>
      <c r="D467" s="15"/>
      <c r="E467" s="92"/>
      <c r="F467" s="15"/>
      <c r="G467" s="93"/>
      <c r="H467" s="262"/>
      <c r="I467" s="262"/>
      <c r="J467" s="262"/>
    </row>
    <row r="468" spans="1:10" s="2" customFormat="1" ht="17.399999999999999" customHeight="1">
      <c r="A468" s="259"/>
      <c r="B468" s="15"/>
      <c r="C468" s="15"/>
      <c r="D468" s="15"/>
      <c r="E468" s="92"/>
      <c r="F468" s="15"/>
      <c r="G468" s="93"/>
      <c r="H468" s="262"/>
      <c r="I468" s="262"/>
      <c r="J468" s="262"/>
    </row>
    <row r="469" spans="1:10" s="2" customFormat="1" ht="17.399999999999999" customHeight="1">
      <c r="A469" s="259"/>
      <c r="B469" s="15"/>
      <c r="C469" s="15"/>
      <c r="D469" s="15"/>
      <c r="E469" s="92"/>
      <c r="F469" s="15"/>
      <c r="G469" s="93"/>
      <c r="H469" s="262"/>
      <c r="I469" s="262"/>
      <c r="J469" s="262"/>
    </row>
    <row r="470" spans="1:10" s="2" customFormat="1" ht="17.399999999999999" customHeight="1">
      <c r="A470" s="259"/>
      <c r="B470" s="15"/>
      <c r="C470" s="15"/>
      <c r="D470" s="15"/>
      <c r="E470" s="92"/>
      <c r="F470" s="15"/>
      <c r="G470" s="93"/>
      <c r="H470" s="262"/>
      <c r="I470" s="262"/>
      <c r="J470" s="262"/>
    </row>
    <row r="471" spans="1:10" s="2" customFormat="1" ht="17.399999999999999" customHeight="1">
      <c r="A471" s="259"/>
      <c r="B471" s="15"/>
      <c r="C471" s="15"/>
      <c r="D471" s="15"/>
      <c r="E471" s="92"/>
      <c r="F471" s="15"/>
      <c r="G471" s="93"/>
      <c r="H471" s="262"/>
      <c r="I471" s="262"/>
      <c r="J471" s="262"/>
    </row>
    <row r="472" spans="1:10" s="2" customFormat="1" ht="17.399999999999999" customHeight="1">
      <c r="A472" s="259"/>
      <c r="B472" s="15"/>
      <c r="C472" s="15"/>
      <c r="D472" s="15"/>
      <c r="E472" s="92"/>
      <c r="F472" s="15"/>
      <c r="G472" s="93"/>
      <c r="H472" s="262"/>
      <c r="I472" s="262"/>
      <c r="J472" s="262"/>
    </row>
    <row r="473" spans="1:10" s="2" customFormat="1" ht="17.399999999999999" customHeight="1">
      <c r="A473" s="259"/>
      <c r="B473" s="15"/>
      <c r="C473" s="15"/>
      <c r="D473" s="15"/>
      <c r="E473" s="92"/>
      <c r="F473" s="15"/>
      <c r="G473" s="93"/>
      <c r="H473" s="262"/>
      <c r="I473" s="262"/>
      <c r="J473" s="262"/>
    </row>
    <row r="474" spans="1:10" s="2" customFormat="1" ht="17.399999999999999" customHeight="1">
      <c r="A474" s="259"/>
      <c r="B474" s="15"/>
      <c r="C474" s="15"/>
      <c r="D474" s="15"/>
      <c r="E474" s="92"/>
      <c r="F474" s="15"/>
      <c r="G474" s="93"/>
      <c r="H474" s="262"/>
      <c r="I474" s="262"/>
      <c r="J474" s="262"/>
    </row>
    <row r="475" spans="1:10" s="2" customFormat="1" ht="17.399999999999999" customHeight="1">
      <c r="A475" s="259"/>
      <c r="B475" s="15"/>
      <c r="C475" s="15"/>
      <c r="D475" s="15"/>
      <c r="E475" s="92"/>
      <c r="F475" s="15"/>
      <c r="G475" s="93"/>
      <c r="H475" s="262"/>
      <c r="I475" s="262"/>
      <c r="J475" s="262"/>
    </row>
    <row r="476" spans="1:10" s="2" customFormat="1" ht="17.399999999999999" customHeight="1">
      <c r="A476" s="259"/>
      <c r="B476" s="15"/>
      <c r="C476" s="15"/>
      <c r="D476" s="15"/>
      <c r="E476" s="92"/>
      <c r="F476" s="15"/>
      <c r="G476" s="93"/>
      <c r="H476" s="262"/>
      <c r="I476" s="262"/>
      <c r="J476" s="262"/>
    </row>
    <row r="477" spans="1:10" s="2" customFormat="1" ht="17.399999999999999" customHeight="1">
      <c r="A477" s="259"/>
      <c r="B477" s="15"/>
      <c r="C477" s="15"/>
      <c r="D477" s="15"/>
      <c r="E477" s="92"/>
      <c r="F477" s="15"/>
      <c r="G477" s="93"/>
      <c r="H477" s="262"/>
      <c r="I477" s="262"/>
      <c r="J477" s="262"/>
    </row>
    <row r="478" spans="1:10" s="2" customFormat="1" ht="17.399999999999999" customHeight="1">
      <c r="A478" s="259"/>
      <c r="B478" s="15"/>
      <c r="C478" s="15"/>
      <c r="D478" s="15"/>
      <c r="E478" s="92"/>
      <c r="F478" s="15"/>
      <c r="G478" s="93"/>
      <c r="H478" s="262"/>
      <c r="I478" s="262"/>
      <c r="J478" s="262"/>
    </row>
    <row r="479" spans="1:10" s="2" customFormat="1" ht="17.399999999999999" customHeight="1">
      <c r="A479" s="259"/>
      <c r="B479" s="15"/>
      <c r="C479" s="15"/>
      <c r="D479" s="15"/>
      <c r="E479" s="92"/>
      <c r="F479" s="15"/>
      <c r="G479" s="93"/>
      <c r="H479" s="262"/>
      <c r="I479" s="262"/>
      <c r="J479" s="262"/>
    </row>
    <row r="480" spans="1:10" s="2" customFormat="1" ht="17.399999999999999" customHeight="1">
      <c r="A480" s="259"/>
      <c r="B480" s="15"/>
      <c r="C480" s="15"/>
      <c r="D480" s="15"/>
      <c r="E480" s="92"/>
      <c r="F480" s="15"/>
      <c r="G480" s="93"/>
      <c r="H480" s="262"/>
      <c r="I480" s="262"/>
      <c r="J480" s="262"/>
    </row>
    <row r="481" spans="1:10" s="2" customFormat="1" ht="17.399999999999999" customHeight="1">
      <c r="A481" s="259"/>
      <c r="B481" s="15"/>
      <c r="C481" s="15"/>
      <c r="D481" s="15"/>
      <c r="E481" s="92"/>
      <c r="F481" s="15"/>
      <c r="G481" s="93"/>
      <c r="H481" s="262"/>
      <c r="I481" s="262"/>
      <c r="J481" s="262"/>
    </row>
    <row r="482" spans="1:10" s="2" customFormat="1" ht="17.399999999999999" customHeight="1">
      <c r="A482" s="259"/>
      <c r="B482" s="15"/>
      <c r="C482" s="15"/>
      <c r="D482" s="15"/>
      <c r="E482" s="92"/>
      <c r="F482" s="15"/>
      <c r="G482" s="93"/>
      <c r="H482" s="262"/>
      <c r="I482" s="262"/>
      <c r="J482" s="262"/>
    </row>
    <row r="483" spans="1:10" s="2" customFormat="1" ht="17.399999999999999" customHeight="1">
      <c r="A483" s="259"/>
      <c r="B483" s="15"/>
      <c r="C483" s="15"/>
      <c r="D483" s="15"/>
      <c r="E483" s="92"/>
      <c r="F483" s="15"/>
      <c r="G483" s="93"/>
      <c r="H483" s="262"/>
      <c r="I483" s="262"/>
      <c r="J483" s="262"/>
    </row>
    <row r="484" spans="1:10" s="2" customFormat="1" ht="17.399999999999999" customHeight="1">
      <c r="A484" s="259"/>
      <c r="B484" s="15"/>
      <c r="C484" s="15"/>
      <c r="D484" s="15"/>
      <c r="E484" s="92"/>
      <c r="F484" s="15"/>
      <c r="G484" s="93"/>
      <c r="H484" s="262"/>
      <c r="I484" s="262"/>
      <c r="J484" s="262"/>
    </row>
    <row r="485" spans="1:10" s="2" customFormat="1" ht="17.399999999999999" customHeight="1">
      <c r="A485" s="259"/>
      <c r="B485" s="15"/>
      <c r="C485" s="15"/>
      <c r="D485" s="15"/>
      <c r="E485" s="92"/>
      <c r="F485" s="15"/>
      <c r="G485" s="93"/>
      <c r="H485" s="262"/>
      <c r="I485" s="262"/>
      <c r="J485" s="262"/>
    </row>
    <row r="486" spans="1:10" s="2" customFormat="1" ht="17.399999999999999" customHeight="1">
      <c r="A486" s="259"/>
      <c r="B486" s="15"/>
      <c r="C486" s="15"/>
      <c r="D486" s="15"/>
      <c r="E486" s="92"/>
      <c r="F486" s="15"/>
      <c r="G486" s="93"/>
      <c r="H486" s="262"/>
      <c r="I486" s="262"/>
      <c r="J486" s="262"/>
    </row>
    <row r="487" spans="1:10" s="2" customFormat="1" ht="17.399999999999999" customHeight="1">
      <c r="A487" s="259"/>
      <c r="B487" s="15"/>
      <c r="C487" s="15"/>
      <c r="D487" s="15"/>
      <c r="E487" s="92"/>
      <c r="F487" s="15"/>
      <c r="G487" s="93"/>
      <c r="H487" s="262"/>
      <c r="I487" s="262"/>
      <c r="J487" s="262"/>
    </row>
    <row r="488" spans="1:10" s="2" customFormat="1" ht="17.399999999999999" customHeight="1">
      <c r="A488" s="259"/>
      <c r="B488" s="15"/>
      <c r="C488" s="15"/>
      <c r="D488" s="15"/>
      <c r="E488" s="92"/>
      <c r="F488" s="15"/>
      <c r="G488" s="93"/>
      <c r="H488" s="262"/>
      <c r="I488" s="262"/>
      <c r="J488" s="262"/>
    </row>
    <row r="489" spans="1:10" s="2" customFormat="1" ht="17.399999999999999" customHeight="1">
      <c r="A489" s="259"/>
      <c r="B489" s="15"/>
      <c r="C489" s="15"/>
      <c r="D489" s="15"/>
      <c r="E489" s="92"/>
      <c r="F489" s="15"/>
      <c r="G489" s="93"/>
      <c r="H489" s="262"/>
      <c r="I489" s="262"/>
      <c r="J489" s="262"/>
    </row>
    <row r="490" spans="1:10" s="2" customFormat="1" ht="17.399999999999999" customHeight="1">
      <c r="A490" s="259"/>
      <c r="B490" s="15"/>
      <c r="C490" s="15"/>
      <c r="D490" s="15"/>
      <c r="E490" s="92"/>
      <c r="F490" s="15"/>
      <c r="G490" s="93"/>
      <c r="H490" s="262"/>
      <c r="I490" s="262"/>
      <c r="J490" s="262"/>
    </row>
    <row r="491" spans="1:10" s="2" customFormat="1" ht="17.399999999999999" customHeight="1">
      <c r="A491" s="259"/>
      <c r="B491" s="15"/>
      <c r="C491" s="15"/>
      <c r="D491" s="15"/>
      <c r="E491" s="92"/>
      <c r="F491" s="15"/>
      <c r="G491" s="93"/>
      <c r="H491" s="262"/>
      <c r="I491" s="262"/>
      <c r="J491" s="262"/>
    </row>
    <row r="492" spans="1:10" s="2" customFormat="1" ht="17.399999999999999" customHeight="1">
      <c r="A492" s="259"/>
      <c r="B492" s="15"/>
      <c r="C492" s="15"/>
      <c r="D492" s="15"/>
      <c r="E492" s="92"/>
      <c r="F492" s="15"/>
      <c r="G492" s="93"/>
      <c r="H492" s="262"/>
      <c r="I492" s="262"/>
      <c r="J492" s="262"/>
    </row>
    <row r="493" spans="1:10" s="2" customFormat="1" ht="17.399999999999999" customHeight="1">
      <c r="A493" s="259"/>
      <c r="B493" s="15"/>
      <c r="C493" s="15"/>
      <c r="D493" s="15"/>
      <c r="E493" s="92"/>
      <c r="F493" s="15"/>
      <c r="G493" s="93"/>
      <c r="H493" s="262"/>
      <c r="I493" s="262"/>
      <c r="J493" s="262"/>
    </row>
    <row r="494" spans="1:10" s="2" customFormat="1" ht="17.399999999999999" customHeight="1">
      <c r="A494" s="259"/>
      <c r="B494" s="15"/>
      <c r="C494" s="15"/>
      <c r="D494" s="15"/>
      <c r="E494" s="92"/>
      <c r="F494" s="15"/>
      <c r="G494" s="93"/>
      <c r="H494" s="262"/>
      <c r="I494" s="262"/>
      <c r="J494" s="262"/>
    </row>
    <row r="495" spans="1:10" s="2" customFormat="1" ht="17.399999999999999" customHeight="1">
      <c r="A495" s="259"/>
      <c r="B495" s="15"/>
      <c r="C495" s="15"/>
      <c r="D495" s="15"/>
      <c r="E495" s="92"/>
      <c r="F495" s="15"/>
      <c r="G495" s="93"/>
      <c r="H495" s="262"/>
      <c r="I495" s="262"/>
      <c r="J495" s="262"/>
    </row>
    <row r="496" spans="1:10" s="2" customFormat="1" ht="17.399999999999999" customHeight="1">
      <c r="A496" s="259"/>
      <c r="B496" s="15"/>
      <c r="C496" s="15"/>
      <c r="D496" s="15"/>
      <c r="E496" s="92"/>
      <c r="F496" s="15"/>
      <c r="G496" s="93"/>
      <c r="H496" s="262"/>
      <c r="I496" s="262"/>
      <c r="J496" s="262"/>
    </row>
    <row r="497" spans="1:10" s="2" customFormat="1" ht="17.399999999999999" customHeight="1">
      <c r="A497" s="259"/>
      <c r="B497" s="15"/>
      <c r="C497" s="15"/>
      <c r="D497" s="15"/>
      <c r="E497" s="92"/>
      <c r="F497" s="15"/>
      <c r="G497" s="93"/>
      <c r="H497" s="262"/>
      <c r="I497" s="262"/>
      <c r="J497" s="262"/>
    </row>
    <row r="498" spans="1:10" s="2" customFormat="1" ht="17.399999999999999" customHeight="1">
      <c r="A498" s="259"/>
      <c r="B498" s="15"/>
      <c r="C498" s="15"/>
      <c r="D498" s="15"/>
      <c r="E498" s="92"/>
      <c r="F498" s="15"/>
      <c r="G498" s="93"/>
      <c r="H498" s="262"/>
      <c r="I498" s="262"/>
      <c r="J498" s="262"/>
    </row>
    <row r="499" spans="1:10" s="2" customFormat="1" ht="17.399999999999999" customHeight="1">
      <c r="A499" s="259"/>
      <c r="B499" s="15"/>
      <c r="C499" s="15"/>
      <c r="D499" s="15"/>
      <c r="E499" s="92"/>
      <c r="F499" s="15"/>
      <c r="G499" s="93"/>
      <c r="H499" s="262"/>
      <c r="I499" s="262"/>
      <c r="J499" s="262"/>
    </row>
    <row r="500" spans="1:10" s="2" customFormat="1" ht="17.399999999999999" customHeight="1">
      <c r="A500" s="259"/>
      <c r="B500" s="15"/>
      <c r="C500" s="15"/>
      <c r="D500" s="15"/>
      <c r="E500" s="92"/>
      <c r="F500" s="15"/>
      <c r="G500" s="93"/>
      <c r="H500" s="262"/>
      <c r="I500" s="262"/>
      <c r="J500" s="262"/>
    </row>
    <row r="501" spans="1:10" s="2" customFormat="1" ht="17.399999999999999" customHeight="1">
      <c r="A501" s="259"/>
      <c r="B501" s="15"/>
      <c r="C501" s="15"/>
      <c r="D501" s="15"/>
      <c r="E501" s="92"/>
      <c r="F501" s="15"/>
      <c r="G501" s="93"/>
      <c r="H501" s="262"/>
      <c r="I501" s="262"/>
      <c r="J501" s="262"/>
    </row>
    <row r="502" spans="1:10" s="2" customFormat="1" ht="17.399999999999999" customHeight="1">
      <c r="A502" s="259"/>
      <c r="B502" s="15"/>
      <c r="C502" s="15"/>
      <c r="D502" s="15"/>
      <c r="E502" s="92"/>
      <c r="F502" s="15"/>
      <c r="G502" s="93"/>
      <c r="H502" s="262"/>
      <c r="I502" s="262"/>
      <c r="J502" s="262"/>
    </row>
    <row r="503" spans="1:10" s="2" customFormat="1" ht="17.399999999999999" customHeight="1">
      <c r="A503" s="259"/>
      <c r="B503" s="15"/>
      <c r="C503" s="15"/>
      <c r="D503" s="15"/>
      <c r="E503" s="92"/>
      <c r="F503" s="15"/>
      <c r="G503" s="93"/>
      <c r="H503" s="262"/>
      <c r="I503" s="262"/>
      <c r="J503" s="262"/>
    </row>
    <row r="504" spans="1:10" s="2" customFormat="1" ht="17.399999999999999" customHeight="1">
      <c r="A504" s="259"/>
      <c r="B504" s="15"/>
      <c r="C504" s="15"/>
      <c r="D504" s="15"/>
      <c r="E504" s="92"/>
      <c r="F504" s="15"/>
      <c r="G504" s="93"/>
      <c r="H504" s="262"/>
      <c r="I504" s="262"/>
      <c r="J504" s="262"/>
    </row>
    <row r="505" spans="1:10" s="2" customFormat="1" ht="17.399999999999999" customHeight="1">
      <c r="A505" s="259"/>
      <c r="B505" s="15"/>
      <c r="C505" s="15"/>
      <c r="D505" s="15"/>
      <c r="E505" s="92"/>
      <c r="F505" s="15"/>
      <c r="G505" s="93"/>
      <c r="H505" s="262"/>
      <c r="I505" s="262"/>
      <c r="J505" s="262"/>
    </row>
    <row r="506" spans="1:10" s="2" customFormat="1" ht="17.399999999999999" customHeight="1">
      <c r="A506" s="259"/>
      <c r="B506" s="15"/>
      <c r="C506" s="15"/>
      <c r="D506" s="15"/>
      <c r="E506" s="92"/>
      <c r="F506" s="15"/>
      <c r="G506" s="93"/>
      <c r="H506" s="262"/>
      <c r="I506" s="262"/>
      <c r="J506" s="262"/>
    </row>
    <row r="507" spans="1:10" s="2" customFormat="1" ht="17.399999999999999" customHeight="1">
      <c r="A507" s="259"/>
      <c r="B507" s="15"/>
      <c r="C507" s="15"/>
      <c r="D507" s="15"/>
      <c r="E507" s="92"/>
      <c r="F507" s="15"/>
      <c r="G507" s="93"/>
      <c r="H507" s="262"/>
      <c r="I507" s="262"/>
      <c r="J507" s="262"/>
    </row>
    <row r="508" spans="1:10" s="2" customFormat="1" ht="17.399999999999999" customHeight="1">
      <c r="A508" s="259"/>
      <c r="B508" s="15"/>
      <c r="C508" s="15"/>
      <c r="D508" s="15"/>
      <c r="E508" s="92"/>
      <c r="F508" s="15"/>
      <c r="G508" s="93"/>
      <c r="H508" s="262"/>
      <c r="I508" s="262"/>
      <c r="J508" s="262"/>
    </row>
    <row r="509" spans="1:10" s="2" customFormat="1" ht="17.399999999999999" customHeight="1">
      <c r="A509" s="259"/>
      <c r="B509" s="15"/>
      <c r="C509" s="15"/>
      <c r="D509" s="15"/>
      <c r="E509" s="92"/>
      <c r="F509" s="15"/>
      <c r="G509" s="93"/>
      <c r="H509" s="262"/>
      <c r="I509" s="262"/>
      <c r="J509" s="262"/>
    </row>
    <row r="510" spans="1:10" s="2" customFormat="1" ht="17.399999999999999" customHeight="1">
      <c r="A510" s="259"/>
      <c r="B510" s="15"/>
      <c r="C510" s="15"/>
      <c r="D510" s="15"/>
      <c r="E510" s="92"/>
      <c r="F510" s="15"/>
      <c r="G510" s="93"/>
      <c r="H510" s="262"/>
      <c r="I510" s="262"/>
      <c r="J510" s="262"/>
    </row>
    <row r="511" spans="1:10" s="2" customFormat="1" ht="17.399999999999999" customHeight="1">
      <c r="A511" s="259"/>
      <c r="B511" s="15"/>
      <c r="C511" s="15"/>
      <c r="D511" s="15"/>
      <c r="E511" s="92"/>
      <c r="F511" s="15"/>
      <c r="G511" s="93"/>
      <c r="H511" s="262"/>
      <c r="I511" s="262"/>
      <c r="J511" s="262"/>
    </row>
    <row r="512" spans="1:10" s="2" customFormat="1" ht="17.399999999999999" customHeight="1">
      <c r="A512" s="259"/>
      <c r="B512" s="15"/>
      <c r="C512" s="15"/>
      <c r="D512" s="15"/>
      <c r="E512" s="92"/>
      <c r="F512" s="15"/>
      <c r="G512" s="93"/>
      <c r="H512" s="262"/>
      <c r="I512" s="262"/>
      <c r="J512" s="262"/>
    </row>
    <row r="513" spans="1:10" s="2" customFormat="1" ht="17.399999999999999" customHeight="1">
      <c r="A513" s="259"/>
      <c r="B513" s="15"/>
      <c r="C513" s="15"/>
      <c r="D513" s="15"/>
      <c r="E513" s="92"/>
      <c r="F513" s="15"/>
      <c r="G513" s="93"/>
      <c r="H513" s="262"/>
      <c r="I513" s="262"/>
      <c r="J513" s="262"/>
    </row>
    <row r="514" spans="1:10" s="2" customFormat="1" ht="17.399999999999999" customHeight="1">
      <c r="A514" s="259"/>
      <c r="B514" s="15"/>
      <c r="C514" s="15"/>
      <c r="D514" s="15"/>
      <c r="E514" s="92"/>
      <c r="F514" s="15"/>
      <c r="G514" s="93"/>
      <c r="H514" s="262"/>
      <c r="I514" s="262"/>
      <c r="J514" s="262"/>
    </row>
    <row r="515" spans="1:10" s="2" customFormat="1" ht="17.399999999999999" customHeight="1">
      <c r="A515" s="259"/>
      <c r="B515" s="15"/>
      <c r="C515" s="15"/>
      <c r="D515" s="15"/>
      <c r="E515" s="92"/>
      <c r="F515" s="15"/>
      <c r="G515" s="93"/>
      <c r="H515" s="262"/>
      <c r="I515" s="262"/>
      <c r="J515" s="262"/>
    </row>
    <row r="516" spans="1:10" s="2" customFormat="1" ht="17.399999999999999" customHeight="1">
      <c r="A516" s="259"/>
      <c r="B516" s="15"/>
      <c r="C516" s="15"/>
      <c r="D516" s="15"/>
      <c r="E516" s="92"/>
      <c r="F516" s="15"/>
      <c r="G516" s="93"/>
      <c r="H516" s="262"/>
      <c r="I516" s="262"/>
      <c r="J516" s="262"/>
    </row>
    <row r="517" spans="1:10" s="2" customFormat="1" ht="17.399999999999999" customHeight="1">
      <c r="A517" s="259"/>
      <c r="B517" s="15"/>
      <c r="C517" s="15"/>
      <c r="D517" s="15"/>
      <c r="E517" s="92"/>
      <c r="F517" s="15"/>
      <c r="G517" s="93"/>
      <c r="H517" s="262"/>
      <c r="I517" s="262"/>
      <c r="J517" s="262"/>
    </row>
    <row r="518" spans="1:10" s="2" customFormat="1" ht="17.399999999999999" customHeight="1">
      <c r="A518" s="259"/>
      <c r="B518" s="15"/>
      <c r="C518" s="15"/>
      <c r="D518" s="15"/>
      <c r="E518" s="92"/>
      <c r="F518" s="15"/>
      <c r="G518" s="93"/>
      <c r="H518" s="262"/>
      <c r="I518" s="262"/>
      <c r="J518" s="262"/>
    </row>
    <row r="519" spans="1:10" s="2" customFormat="1" ht="17.399999999999999" customHeight="1">
      <c r="A519" s="259"/>
      <c r="B519" s="15"/>
      <c r="C519" s="15"/>
      <c r="D519" s="15"/>
      <c r="E519" s="92"/>
      <c r="F519" s="15"/>
      <c r="G519" s="93"/>
      <c r="H519" s="262"/>
      <c r="I519" s="262"/>
      <c r="J519" s="262"/>
    </row>
    <row r="520" spans="1:10" s="2" customFormat="1" ht="17.399999999999999" customHeight="1">
      <c r="A520" s="259"/>
      <c r="B520" s="15"/>
      <c r="C520" s="15"/>
      <c r="D520" s="15"/>
      <c r="E520" s="92"/>
      <c r="F520" s="15"/>
      <c r="G520" s="93"/>
      <c r="H520" s="262"/>
      <c r="I520" s="262"/>
      <c r="J520" s="262"/>
    </row>
    <row r="521" spans="1:10" s="2" customFormat="1" ht="17.399999999999999" customHeight="1">
      <c r="A521" s="259"/>
      <c r="B521" s="15"/>
      <c r="C521" s="15"/>
      <c r="D521" s="15"/>
      <c r="E521" s="92"/>
      <c r="F521" s="15"/>
      <c r="G521" s="93"/>
      <c r="H521" s="262"/>
      <c r="I521" s="262"/>
      <c r="J521" s="262"/>
    </row>
    <row r="522" spans="1:10" s="2" customFormat="1" ht="17.399999999999999" customHeight="1">
      <c r="A522" s="259"/>
      <c r="B522" s="15"/>
      <c r="C522" s="15"/>
      <c r="D522" s="15"/>
      <c r="E522" s="92"/>
      <c r="F522" s="15"/>
      <c r="G522" s="93"/>
      <c r="H522" s="262"/>
      <c r="I522" s="262"/>
      <c r="J522" s="262"/>
    </row>
    <row r="523" spans="1:10" s="2" customFormat="1" ht="17.399999999999999" customHeight="1">
      <c r="A523" s="259"/>
      <c r="B523" s="15"/>
      <c r="C523" s="15"/>
      <c r="D523" s="15"/>
      <c r="E523" s="92"/>
      <c r="F523" s="15"/>
      <c r="G523" s="93"/>
      <c r="H523" s="262"/>
      <c r="I523" s="262"/>
      <c r="J523" s="262"/>
    </row>
    <row r="524" spans="1:10" s="2" customFormat="1" ht="17.399999999999999" customHeight="1">
      <c r="A524" s="259"/>
      <c r="B524" s="15"/>
      <c r="C524" s="15"/>
      <c r="D524" s="15"/>
      <c r="E524" s="92"/>
      <c r="F524" s="15"/>
      <c r="G524" s="93"/>
      <c r="H524" s="262"/>
      <c r="I524" s="262"/>
      <c r="J524" s="262"/>
    </row>
    <row r="525" spans="1:10" s="2" customFormat="1" ht="17.399999999999999" customHeight="1">
      <c r="A525" s="259"/>
      <c r="B525" s="15"/>
      <c r="C525" s="15"/>
      <c r="D525" s="15"/>
      <c r="E525" s="92"/>
      <c r="F525" s="15"/>
      <c r="G525" s="93"/>
      <c r="H525" s="262"/>
      <c r="I525" s="262"/>
      <c r="J525" s="262"/>
    </row>
    <row r="526" spans="1:10" s="2" customFormat="1" ht="17.399999999999999" customHeight="1">
      <c r="A526" s="259"/>
      <c r="B526" s="15"/>
      <c r="C526" s="15"/>
      <c r="D526" s="15"/>
      <c r="E526" s="92"/>
      <c r="F526" s="15"/>
      <c r="G526" s="93"/>
      <c r="H526" s="262"/>
      <c r="I526" s="262"/>
      <c r="J526" s="262"/>
    </row>
    <row r="527" spans="1:10" s="2" customFormat="1" ht="17.399999999999999" customHeight="1">
      <c r="A527" s="259"/>
      <c r="B527" s="15"/>
      <c r="C527" s="15"/>
      <c r="D527" s="15"/>
      <c r="E527" s="92"/>
      <c r="F527" s="15"/>
      <c r="G527" s="93"/>
      <c r="H527" s="262"/>
      <c r="I527" s="262"/>
      <c r="J527" s="262"/>
    </row>
    <row r="528" spans="1:10" s="2" customFormat="1" ht="17.399999999999999" customHeight="1">
      <c r="A528" s="259"/>
      <c r="B528" s="15"/>
      <c r="C528" s="15"/>
      <c r="D528" s="15"/>
      <c r="E528" s="92"/>
      <c r="F528" s="15"/>
      <c r="G528" s="93"/>
      <c r="H528" s="262"/>
      <c r="I528" s="262"/>
      <c r="J528" s="262"/>
    </row>
    <row r="529" spans="1:10" s="2" customFormat="1" ht="17.399999999999999" customHeight="1">
      <c r="A529" s="259"/>
      <c r="B529" s="15"/>
      <c r="C529" s="15"/>
      <c r="D529" s="15"/>
      <c r="E529" s="92"/>
      <c r="F529" s="15"/>
      <c r="G529" s="93"/>
      <c r="H529" s="262"/>
      <c r="I529" s="262"/>
      <c r="J529" s="262"/>
    </row>
    <row r="530" spans="1:10" s="2" customFormat="1" ht="17.399999999999999" customHeight="1">
      <c r="A530" s="259"/>
      <c r="B530" s="15"/>
      <c r="C530" s="15"/>
      <c r="D530" s="15"/>
      <c r="E530" s="92"/>
      <c r="F530" s="15"/>
      <c r="G530" s="93"/>
      <c r="H530" s="262"/>
      <c r="I530" s="262"/>
      <c r="J530" s="262"/>
    </row>
    <row r="531" spans="1:10" s="2" customFormat="1" ht="17.399999999999999" customHeight="1">
      <c r="A531" s="259"/>
      <c r="B531" s="15"/>
      <c r="C531" s="15"/>
      <c r="D531" s="15"/>
      <c r="E531" s="92"/>
      <c r="F531" s="15"/>
      <c r="G531" s="93"/>
      <c r="H531" s="262"/>
      <c r="I531" s="262"/>
      <c r="J531" s="262"/>
    </row>
    <row r="532" spans="1:10" s="2" customFormat="1" ht="17.399999999999999" customHeight="1">
      <c r="A532" s="259"/>
      <c r="B532" s="15"/>
      <c r="C532" s="15"/>
      <c r="D532" s="15"/>
      <c r="E532" s="92"/>
      <c r="F532" s="15"/>
      <c r="G532" s="93"/>
      <c r="H532" s="262"/>
      <c r="I532" s="262"/>
      <c r="J532" s="262"/>
    </row>
    <row r="533" spans="1:10" s="2" customFormat="1" ht="17.399999999999999" customHeight="1">
      <c r="A533" s="259"/>
      <c r="B533" s="15"/>
      <c r="C533" s="15"/>
      <c r="D533" s="15"/>
      <c r="E533" s="92"/>
      <c r="F533" s="15"/>
      <c r="G533" s="93"/>
      <c r="H533" s="262"/>
      <c r="I533" s="262"/>
      <c r="J533" s="262"/>
    </row>
    <row r="534" spans="1:10" s="2" customFormat="1" ht="17.399999999999999" customHeight="1">
      <c r="A534" s="259"/>
      <c r="B534" s="15"/>
      <c r="C534" s="15"/>
      <c r="D534" s="15"/>
      <c r="E534" s="92"/>
      <c r="F534" s="15"/>
      <c r="G534" s="93"/>
      <c r="H534" s="262"/>
      <c r="I534" s="262"/>
      <c r="J534" s="262"/>
    </row>
    <row r="535" spans="1:10" s="2" customFormat="1" ht="17.399999999999999" customHeight="1">
      <c r="A535" s="259"/>
      <c r="B535" s="15"/>
      <c r="C535" s="15"/>
      <c r="D535" s="15"/>
      <c r="E535" s="92"/>
      <c r="F535" s="15"/>
      <c r="G535" s="93"/>
      <c r="H535" s="262"/>
      <c r="I535" s="262"/>
      <c r="J535" s="262"/>
    </row>
    <row r="536" spans="1:10" s="2" customFormat="1" ht="17.399999999999999" customHeight="1">
      <c r="A536" s="259"/>
      <c r="B536" s="15"/>
      <c r="C536" s="15"/>
      <c r="D536" s="15"/>
      <c r="E536" s="92"/>
      <c r="F536" s="15"/>
      <c r="G536" s="93"/>
      <c r="H536" s="262"/>
      <c r="I536" s="262"/>
      <c r="J536" s="262"/>
    </row>
    <row r="537" spans="1:10" s="2" customFormat="1" ht="17.399999999999999" customHeight="1">
      <c r="A537" s="259"/>
      <c r="B537" s="15"/>
      <c r="C537" s="15"/>
      <c r="D537" s="15"/>
      <c r="E537" s="92"/>
      <c r="F537" s="15"/>
      <c r="G537" s="93"/>
      <c r="H537" s="262"/>
      <c r="I537" s="262"/>
      <c r="J537" s="262"/>
    </row>
    <row r="538" spans="1:10" s="2" customFormat="1" ht="17.399999999999999" customHeight="1">
      <c r="A538" s="259"/>
      <c r="B538" s="15"/>
      <c r="C538" s="15"/>
      <c r="D538" s="15"/>
      <c r="E538" s="92"/>
      <c r="F538" s="15"/>
      <c r="G538" s="93"/>
      <c r="H538" s="262"/>
      <c r="I538" s="262"/>
      <c r="J538" s="262"/>
    </row>
    <row r="539" spans="1:10" s="2" customFormat="1" ht="17.399999999999999" customHeight="1">
      <c r="A539" s="259"/>
      <c r="B539" s="15"/>
      <c r="C539" s="15"/>
      <c r="D539" s="15"/>
      <c r="E539" s="92"/>
      <c r="F539" s="15"/>
      <c r="G539" s="93"/>
      <c r="H539" s="262"/>
      <c r="I539" s="262"/>
      <c r="J539" s="262"/>
    </row>
    <row r="540" spans="1:10" s="2" customFormat="1" ht="17.399999999999999" customHeight="1">
      <c r="A540" s="259"/>
      <c r="B540" s="15"/>
      <c r="C540" s="15"/>
      <c r="D540" s="15"/>
      <c r="E540" s="92"/>
      <c r="F540" s="15"/>
      <c r="G540" s="93"/>
      <c r="H540" s="262"/>
      <c r="I540" s="262"/>
      <c r="J540" s="262"/>
    </row>
    <row r="541" spans="1:10" s="2" customFormat="1" ht="17.399999999999999" customHeight="1">
      <c r="A541" s="259"/>
      <c r="B541" s="15"/>
      <c r="C541" s="15"/>
      <c r="D541" s="15"/>
      <c r="E541" s="92"/>
      <c r="F541" s="15"/>
      <c r="G541" s="93"/>
      <c r="H541" s="262"/>
      <c r="I541" s="262"/>
      <c r="J541" s="262"/>
    </row>
    <row r="542" spans="1:10" s="2" customFormat="1" ht="17.399999999999999" customHeight="1">
      <c r="A542" s="259"/>
      <c r="B542" s="15"/>
      <c r="C542" s="15"/>
      <c r="D542" s="15"/>
      <c r="E542" s="92"/>
      <c r="F542" s="15"/>
      <c r="G542" s="93"/>
      <c r="H542" s="262"/>
      <c r="I542" s="262"/>
      <c r="J542" s="262"/>
    </row>
    <row r="543" spans="1:10" s="2" customFormat="1" ht="17.399999999999999" customHeight="1">
      <c r="A543" s="259"/>
      <c r="B543" s="15"/>
      <c r="C543" s="15"/>
      <c r="D543" s="15"/>
      <c r="E543" s="92"/>
      <c r="F543" s="15"/>
      <c r="G543" s="93"/>
      <c r="H543" s="262"/>
      <c r="I543" s="262"/>
      <c r="J543" s="262"/>
    </row>
    <row r="544" spans="1:10" s="2" customFormat="1" ht="17.399999999999999" customHeight="1">
      <c r="A544" s="259"/>
      <c r="B544" s="15"/>
      <c r="C544" s="15"/>
      <c r="D544" s="15"/>
      <c r="E544" s="92"/>
      <c r="F544" s="15"/>
      <c r="G544" s="93"/>
      <c r="H544" s="262"/>
      <c r="I544" s="262"/>
      <c r="J544" s="262"/>
    </row>
    <row r="545" spans="1:10" s="2" customFormat="1" ht="17.399999999999999" customHeight="1">
      <c r="A545" s="259"/>
      <c r="B545" s="15"/>
      <c r="C545" s="15"/>
      <c r="D545" s="15"/>
      <c r="E545" s="92"/>
      <c r="F545" s="15"/>
      <c r="G545" s="93"/>
      <c r="H545" s="262"/>
      <c r="I545" s="262"/>
      <c r="J545" s="262"/>
    </row>
    <row r="546" spans="1:10" s="2" customFormat="1" ht="17.399999999999999" customHeight="1">
      <c r="A546" s="259"/>
      <c r="B546" s="15"/>
      <c r="C546" s="15"/>
      <c r="D546" s="15"/>
      <c r="E546" s="92"/>
      <c r="F546" s="15"/>
      <c r="G546" s="93"/>
      <c r="H546" s="262"/>
      <c r="I546" s="262"/>
      <c r="J546" s="262"/>
    </row>
    <row r="547" spans="1:10" s="2" customFormat="1" ht="17.399999999999999" customHeight="1">
      <c r="A547" s="259"/>
      <c r="B547" s="15"/>
      <c r="C547" s="15"/>
      <c r="D547" s="15"/>
      <c r="E547" s="92"/>
      <c r="F547" s="15"/>
      <c r="G547" s="93"/>
      <c r="H547" s="262"/>
      <c r="I547" s="262"/>
      <c r="J547" s="262"/>
    </row>
    <row r="548" spans="1:10" s="2" customFormat="1" ht="17.399999999999999" customHeight="1">
      <c r="A548" s="259"/>
      <c r="B548" s="15"/>
      <c r="C548" s="15"/>
      <c r="D548" s="15"/>
      <c r="E548" s="92"/>
      <c r="F548" s="15"/>
      <c r="G548" s="93"/>
      <c r="H548" s="262"/>
      <c r="I548" s="262"/>
      <c r="J548" s="262"/>
    </row>
    <row r="549" spans="1:10" s="2" customFormat="1" ht="17.399999999999999" customHeight="1">
      <c r="A549" s="259"/>
      <c r="B549" s="15"/>
      <c r="C549" s="15"/>
      <c r="D549" s="15"/>
      <c r="E549" s="92"/>
      <c r="F549" s="15"/>
      <c r="G549" s="93"/>
      <c r="H549" s="262"/>
      <c r="I549" s="262"/>
      <c r="J549" s="262"/>
    </row>
    <row r="550" spans="1:10" s="2" customFormat="1" ht="17.399999999999999" customHeight="1">
      <c r="A550" s="259"/>
      <c r="B550" s="15"/>
      <c r="C550" s="15"/>
      <c r="D550" s="15"/>
      <c r="E550" s="92"/>
      <c r="F550" s="15"/>
      <c r="G550" s="93"/>
      <c r="H550" s="262"/>
      <c r="I550" s="262"/>
      <c r="J550" s="262"/>
    </row>
    <row r="551" spans="1:10" s="2" customFormat="1" ht="17.399999999999999" customHeight="1">
      <c r="A551" s="259"/>
      <c r="B551" s="15"/>
      <c r="C551" s="15"/>
      <c r="D551" s="15"/>
      <c r="E551" s="92"/>
      <c r="F551" s="15"/>
      <c r="G551" s="93"/>
      <c r="H551" s="262"/>
      <c r="I551" s="262"/>
      <c r="J551" s="262"/>
    </row>
    <row r="552" spans="1:10" s="2" customFormat="1" ht="17.399999999999999" customHeight="1">
      <c r="A552" s="259"/>
      <c r="B552" s="15"/>
      <c r="C552" s="15"/>
      <c r="D552" s="15"/>
      <c r="E552" s="92"/>
      <c r="F552" s="15"/>
      <c r="G552" s="93"/>
      <c r="H552" s="262"/>
      <c r="I552" s="262"/>
      <c r="J552" s="262"/>
    </row>
    <row r="553" spans="1:10" s="2" customFormat="1" ht="17.399999999999999" customHeight="1">
      <c r="A553" s="259"/>
      <c r="B553" s="15"/>
      <c r="C553" s="15"/>
      <c r="D553" s="15"/>
      <c r="E553" s="92"/>
      <c r="F553" s="15"/>
      <c r="G553" s="93"/>
      <c r="H553" s="262"/>
      <c r="I553" s="262"/>
      <c r="J553" s="262"/>
    </row>
    <row r="554" spans="1:10" s="2" customFormat="1" ht="17.399999999999999" customHeight="1">
      <c r="A554" s="259"/>
      <c r="B554" s="15"/>
      <c r="C554" s="15"/>
      <c r="D554" s="15"/>
      <c r="E554" s="92"/>
      <c r="F554" s="15"/>
      <c r="G554" s="93"/>
      <c r="H554" s="262"/>
      <c r="I554" s="262"/>
      <c r="J554" s="262"/>
    </row>
    <row r="555" spans="1:10" s="2" customFormat="1" ht="17.399999999999999" customHeight="1">
      <c r="A555" s="259"/>
      <c r="B555" s="15"/>
      <c r="C555" s="15"/>
      <c r="D555" s="15"/>
      <c r="E555" s="92"/>
      <c r="F555" s="15"/>
      <c r="G555" s="93"/>
      <c r="H555" s="262"/>
      <c r="I555" s="262"/>
      <c r="J555" s="262"/>
    </row>
    <row r="556" spans="1:10" s="2" customFormat="1" ht="17.399999999999999" customHeight="1">
      <c r="A556" s="259"/>
      <c r="B556" s="15"/>
      <c r="C556" s="15"/>
      <c r="D556" s="15"/>
      <c r="E556" s="92"/>
      <c r="F556" s="15"/>
      <c r="G556" s="93"/>
      <c r="H556" s="262"/>
      <c r="I556" s="262"/>
      <c r="J556" s="262"/>
    </row>
    <row r="557" spans="1:10" s="2" customFormat="1" ht="17.399999999999999" customHeight="1">
      <c r="A557" s="259"/>
      <c r="B557" s="15"/>
      <c r="C557" s="15"/>
      <c r="D557" s="15"/>
      <c r="E557" s="92"/>
      <c r="F557" s="15"/>
      <c r="G557" s="93"/>
      <c r="H557" s="262"/>
      <c r="I557" s="262"/>
      <c r="J557" s="262"/>
    </row>
    <row r="558" spans="1:10" s="2" customFormat="1" ht="17.399999999999999" customHeight="1">
      <c r="A558" s="259"/>
      <c r="B558" s="15"/>
      <c r="C558" s="15"/>
      <c r="D558" s="15"/>
      <c r="E558" s="92"/>
      <c r="F558" s="15"/>
      <c r="G558" s="93"/>
      <c r="H558" s="262"/>
      <c r="I558" s="262"/>
      <c r="J558" s="262"/>
    </row>
    <row r="559" spans="1:10" s="2" customFormat="1" ht="17.399999999999999" customHeight="1">
      <c r="A559" s="259"/>
      <c r="B559" s="15"/>
      <c r="C559" s="15"/>
      <c r="D559" s="15"/>
      <c r="E559" s="92"/>
      <c r="F559" s="15"/>
      <c r="G559" s="93"/>
      <c r="H559" s="262"/>
      <c r="I559" s="262"/>
      <c r="J559" s="262"/>
    </row>
    <row r="560" spans="1:10" s="2" customFormat="1" ht="17.399999999999999" customHeight="1">
      <c r="A560" s="259"/>
      <c r="B560" s="15"/>
      <c r="C560" s="15"/>
      <c r="D560" s="15"/>
      <c r="E560" s="92"/>
      <c r="F560" s="15"/>
      <c r="G560" s="93"/>
      <c r="H560" s="262"/>
      <c r="I560" s="262"/>
      <c r="J560" s="262"/>
    </row>
    <row r="561" spans="1:10" s="2" customFormat="1" ht="17.399999999999999" customHeight="1">
      <c r="A561" s="259"/>
      <c r="B561" s="15"/>
      <c r="C561" s="15"/>
      <c r="D561" s="15"/>
      <c r="E561" s="92"/>
      <c r="F561" s="15"/>
      <c r="G561" s="93"/>
      <c r="H561" s="262"/>
      <c r="I561" s="262"/>
      <c r="J561" s="262"/>
    </row>
    <row r="562" spans="1:10" s="2" customFormat="1" ht="17.399999999999999" customHeight="1">
      <c r="A562" s="259"/>
      <c r="B562" s="15"/>
      <c r="C562" s="15"/>
      <c r="D562" s="15"/>
      <c r="E562" s="92"/>
      <c r="F562" s="15"/>
      <c r="G562" s="93"/>
      <c r="H562" s="262"/>
      <c r="I562" s="262"/>
      <c r="J562" s="262"/>
    </row>
    <row r="563" spans="1:10" s="2" customFormat="1" ht="17.399999999999999" customHeight="1">
      <c r="A563" s="259"/>
      <c r="B563" s="15"/>
      <c r="C563" s="15"/>
      <c r="D563" s="15"/>
      <c r="E563" s="92"/>
      <c r="F563" s="15"/>
      <c r="G563" s="93"/>
      <c r="H563" s="262"/>
      <c r="I563" s="262"/>
      <c r="J563" s="262"/>
    </row>
    <row r="564" spans="1:10" s="2" customFormat="1" ht="17.399999999999999" customHeight="1">
      <c r="A564" s="259"/>
      <c r="B564" s="15"/>
      <c r="C564" s="15"/>
      <c r="D564" s="15"/>
      <c r="E564" s="92"/>
      <c r="F564" s="15"/>
      <c r="G564" s="93"/>
      <c r="H564" s="262"/>
      <c r="I564" s="262"/>
      <c r="J564" s="262"/>
    </row>
    <row r="565" spans="1:10" s="2" customFormat="1" ht="17.399999999999999" customHeight="1">
      <c r="A565" s="259"/>
      <c r="B565" s="15"/>
      <c r="C565" s="15"/>
      <c r="D565" s="15"/>
      <c r="E565" s="92"/>
      <c r="F565" s="15"/>
      <c r="G565" s="93"/>
      <c r="H565" s="262"/>
      <c r="I565" s="262"/>
      <c r="J565" s="262"/>
    </row>
    <row r="566" spans="1:10" s="2" customFormat="1" ht="17.399999999999999" customHeight="1">
      <c r="A566" s="259"/>
      <c r="B566" s="15"/>
      <c r="C566" s="15"/>
      <c r="D566" s="15"/>
      <c r="E566" s="92"/>
      <c r="F566" s="15"/>
      <c r="G566" s="93"/>
      <c r="H566" s="262"/>
      <c r="I566" s="262"/>
      <c r="J566" s="262"/>
    </row>
    <row r="567" spans="1:10" s="2" customFormat="1" ht="17.399999999999999" customHeight="1">
      <c r="A567" s="259"/>
      <c r="B567" s="15"/>
      <c r="C567" s="15"/>
      <c r="D567" s="15"/>
      <c r="E567" s="92"/>
      <c r="F567" s="15"/>
      <c r="G567" s="93"/>
      <c r="H567" s="262"/>
      <c r="I567" s="262"/>
      <c r="J567" s="262"/>
    </row>
    <row r="568" spans="1:10" s="2" customFormat="1" ht="17.399999999999999" customHeight="1">
      <c r="A568" s="259"/>
      <c r="B568" s="15"/>
      <c r="C568" s="15"/>
      <c r="D568" s="15"/>
      <c r="E568" s="92"/>
      <c r="F568" s="15"/>
      <c r="G568" s="93"/>
      <c r="H568" s="262"/>
      <c r="I568" s="262"/>
      <c r="J568" s="262"/>
    </row>
    <row r="569" spans="1:10" s="2" customFormat="1" ht="17.399999999999999" customHeight="1">
      <c r="A569" s="259"/>
      <c r="B569" s="15"/>
      <c r="C569" s="15"/>
      <c r="D569" s="15"/>
      <c r="E569" s="92"/>
      <c r="F569" s="15"/>
      <c r="G569" s="93"/>
      <c r="H569" s="262"/>
      <c r="I569" s="262"/>
      <c r="J569" s="262"/>
    </row>
    <row r="570" spans="1:10" s="2" customFormat="1" ht="17.399999999999999" customHeight="1">
      <c r="A570" s="259"/>
      <c r="B570" s="15"/>
      <c r="C570" s="15"/>
      <c r="D570" s="15"/>
      <c r="E570" s="92"/>
      <c r="F570" s="15"/>
      <c r="G570" s="93"/>
      <c r="H570" s="262"/>
      <c r="I570" s="262"/>
      <c r="J570" s="262"/>
    </row>
    <row r="571" spans="1:10" s="2" customFormat="1" ht="17.399999999999999" customHeight="1">
      <c r="A571" s="259"/>
      <c r="B571" s="15"/>
      <c r="C571" s="15"/>
      <c r="D571" s="15"/>
      <c r="E571" s="92"/>
      <c r="F571" s="15"/>
      <c r="G571" s="93"/>
      <c r="H571" s="262"/>
      <c r="I571" s="262"/>
      <c r="J571" s="262"/>
    </row>
    <row r="572" spans="1:10" s="2" customFormat="1" ht="17.399999999999999" customHeight="1">
      <c r="A572" s="259"/>
      <c r="B572" s="15"/>
      <c r="C572" s="15"/>
      <c r="D572" s="15"/>
      <c r="E572" s="92"/>
      <c r="F572" s="15"/>
      <c r="G572" s="93"/>
      <c r="H572" s="262"/>
      <c r="I572" s="262"/>
      <c r="J572" s="262"/>
    </row>
    <row r="573" spans="1:10" s="2" customFormat="1" ht="17.399999999999999" customHeight="1">
      <c r="A573" s="259"/>
      <c r="B573" s="15"/>
      <c r="C573" s="15"/>
      <c r="D573" s="15"/>
      <c r="E573" s="92"/>
      <c r="F573" s="15"/>
      <c r="G573" s="93"/>
      <c r="H573" s="262"/>
      <c r="I573" s="262"/>
      <c r="J573" s="262"/>
    </row>
    <row r="574" spans="1:10" s="2" customFormat="1" ht="17.399999999999999" customHeight="1">
      <c r="A574" s="259"/>
      <c r="B574" s="15"/>
      <c r="C574" s="15"/>
      <c r="D574" s="15"/>
      <c r="E574" s="92"/>
      <c r="F574" s="15"/>
      <c r="G574" s="93"/>
      <c r="H574" s="262"/>
      <c r="I574" s="262"/>
      <c r="J574" s="262"/>
    </row>
    <row r="575" spans="1:10" s="2" customFormat="1" ht="17.399999999999999" customHeight="1">
      <c r="A575" s="259"/>
      <c r="B575" s="15"/>
      <c r="C575" s="15"/>
      <c r="D575" s="15"/>
      <c r="E575" s="92"/>
      <c r="F575" s="15"/>
      <c r="G575" s="93"/>
      <c r="H575" s="262"/>
      <c r="I575" s="262"/>
      <c r="J575" s="262"/>
    </row>
    <row r="576" spans="1:10" s="2" customFormat="1" ht="17.399999999999999" customHeight="1">
      <c r="A576" s="259"/>
      <c r="B576" s="15"/>
      <c r="C576" s="15"/>
      <c r="D576" s="15"/>
      <c r="E576" s="92"/>
      <c r="F576" s="15"/>
      <c r="G576" s="93"/>
      <c r="H576" s="262"/>
      <c r="I576" s="262"/>
      <c r="J576" s="262"/>
    </row>
    <row r="577" spans="1:10" s="2" customFormat="1" ht="17.399999999999999" customHeight="1">
      <c r="A577" s="259"/>
      <c r="B577" s="15"/>
      <c r="C577" s="15"/>
      <c r="D577" s="15"/>
      <c r="E577" s="92"/>
      <c r="F577" s="15"/>
      <c r="G577" s="93"/>
      <c r="H577" s="262"/>
      <c r="I577" s="262"/>
      <c r="J577" s="262"/>
    </row>
    <row r="578" spans="1:10" s="2" customFormat="1" ht="17.399999999999999" customHeight="1">
      <c r="A578" s="259"/>
      <c r="B578" s="15"/>
      <c r="C578" s="15"/>
      <c r="D578" s="15"/>
      <c r="E578" s="92"/>
      <c r="F578" s="15"/>
      <c r="G578" s="93"/>
      <c r="H578" s="262"/>
      <c r="I578" s="262"/>
      <c r="J578" s="262"/>
    </row>
    <row r="579" spans="1:10" s="2" customFormat="1" ht="17.399999999999999" customHeight="1">
      <c r="A579" s="259"/>
      <c r="B579" s="15"/>
      <c r="C579" s="15"/>
      <c r="D579" s="15"/>
      <c r="E579" s="92"/>
      <c r="F579" s="15"/>
      <c r="G579" s="93"/>
      <c r="H579" s="262"/>
      <c r="I579" s="262"/>
      <c r="J579" s="262"/>
    </row>
    <row r="580" spans="1:10" s="2" customFormat="1" ht="17.399999999999999" customHeight="1">
      <c r="A580" s="259"/>
      <c r="B580" s="15"/>
      <c r="C580" s="15"/>
      <c r="D580" s="15"/>
      <c r="E580" s="92"/>
      <c r="F580" s="15"/>
      <c r="G580" s="93"/>
      <c r="H580" s="262"/>
      <c r="I580" s="262"/>
      <c r="J580" s="262"/>
    </row>
    <row r="581" spans="1:10" s="2" customFormat="1" ht="17.399999999999999" customHeight="1">
      <c r="A581" s="259"/>
      <c r="B581" s="15"/>
      <c r="C581" s="15"/>
      <c r="D581" s="15"/>
      <c r="E581" s="92"/>
      <c r="F581" s="15"/>
      <c r="G581" s="93"/>
      <c r="H581" s="262"/>
      <c r="I581" s="262"/>
      <c r="J581" s="262"/>
    </row>
    <row r="582" spans="1:10" s="2" customFormat="1" ht="17.399999999999999" customHeight="1">
      <c r="A582" s="259"/>
      <c r="B582" s="15"/>
      <c r="C582" s="15"/>
      <c r="D582" s="15"/>
      <c r="E582" s="92"/>
      <c r="F582" s="15"/>
      <c r="G582" s="93"/>
      <c r="H582" s="262"/>
      <c r="I582" s="262"/>
      <c r="J582" s="262"/>
    </row>
    <row r="583" spans="1:10" s="2" customFormat="1" ht="17.399999999999999" customHeight="1">
      <c r="A583" s="259"/>
      <c r="B583" s="15"/>
      <c r="C583" s="15"/>
      <c r="D583" s="15"/>
      <c r="E583" s="92"/>
      <c r="F583" s="15"/>
      <c r="G583" s="93"/>
      <c r="H583" s="262"/>
      <c r="I583" s="262"/>
      <c r="J583" s="262"/>
    </row>
    <row r="584" spans="1:10" s="2" customFormat="1" ht="17.399999999999999" customHeight="1">
      <c r="A584" s="259"/>
      <c r="B584" s="15"/>
      <c r="C584" s="15"/>
      <c r="D584" s="15"/>
      <c r="E584" s="92"/>
      <c r="F584" s="15"/>
      <c r="G584" s="93"/>
      <c r="H584" s="262"/>
      <c r="I584" s="262"/>
      <c r="J584" s="262"/>
    </row>
    <row r="585" spans="1:10" s="2" customFormat="1" ht="17.399999999999999" customHeight="1">
      <c r="A585" s="259"/>
      <c r="B585" s="15"/>
      <c r="C585" s="15"/>
      <c r="D585" s="15"/>
      <c r="E585" s="92"/>
      <c r="F585" s="15"/>
      <c r="G585" s="93"/>
      <c r="H585" s="262"/>
      <c r="I585" s="262"/>
      <c r="J585" s="262"/>
    </row>
    <row r="586" spans="1:10" s="2" customFormat="1" ht="17.399999999999999" customHeight="1">
      <c r="A586" s="259"/>
      <c r="B586" s="15"/>
      <c r="C586" s="15"/>
      <c r="D586" s="15"/>
      <c r="E586" s="92"/>
      <c r="F586" s="15"/>
      <c r="G586" s="93"/>
      <c r="H586" s="262"/>
      <c r="I586" s="262"/>
      <c r="J586" s="262"/>
    </row>
    <row r="587" spans="1:10" s="2" customFormat="1" ht="17.399999999999999" customHeight="1">
      <c r="A587" s="259"/>
      <c r="B587" s="15"/>
      <c r="C587" s="15"/>
      <c r="D587" s="15"/>
      <c r="E587" s="92"/>
      <c r="F587" s="15"/>
      <c r="G587" s="93"/>
      <c r="H587" s="262"/>
      <c r="I587" s="262"/>
      <c r="J587" s="262"/>
    </row>
    <row r="588" spans="1:10" s="2" customFormat="1" ht="17.399999999999999" customHeight="1">
      <c r="A588" s="259"/>
      <c r="B588" s="15"/>
      <c r="C588" s="15"/>
      <c r="D588" s="15"/>
      <c r="E588" s="92"/>
      <c r="F588" s="15"/>
      <c r="G588" s="93"/>
      <c r="H588" s="262"/>
      <c r="I588" s="262"/>
      <c r="J588" s="262"/>
    </row>
    <row r="589" spans="1:10" s="2" customFormat="1" ht="17.399999999999999" customHeight="1">
      <c r="A589" s="259"/>
      <c r="B589" s="15"/>
      <c r="C589" s="15"/>
      <c r="D589" s="15"/>
      <c r="E589" s="92"/>
      <c r="F589" s="15"/>
      <c r="G589" s="93"/>
      <c r="H589" s="262"/>
      <c r="I589" s="262"/>
      <c r="J589" s="262"/>
    </row>
    <row r="590" spans="1:10" s="2" customFormat="1" ht="17.399999999999999" customHeight="1">
      <c r="A590" s="259"/>
      <c r="B590" s="15"/>
      <c r="C590" s="15"/>
      <c r="D590" s="15"/>
      <c r="E590" s="92"/>
      <c r="F590" s="15"/>
      <c r="G590" s="93"/>
      <c r="H590" s="262"/>
      <c r="I590" s="262"/>
      <c r="J590" s="262"/>
    </row>
    <row r="591" spans="1:10" s="2" customFormat="1" ht="17.399999999999999" customHeight="1">
      <c r="A591" s="259"/>
      <c r="B591" s="15"/>
      <c r="C591" s="15"/>
      <c r="D591" s="15"/>
      <c r="E591" s="92"/>
      <c r="F591" s="15"/>
      <c r="G591" s="93"/>
      <c r="H591" s="262"/>
      <c r="I591" s="262"/>
      <c r="J591" s="262"/>
    </row>
    <row r="592" spans="1:10" s="2" customFormat="1" ht="17.399999999999999" customHeight="1">
      <c r="A592" s="259"/>
      <c r="B592" s="15"/>
      <c r="C592" s="15"/>
      <c r="D592" s="15"/>
      <c r="E592" s="92"/>
      <c r="F592" s="15"/>
      <c r="G592" s="93"/>
      <c r="H592" s="262"/>
      <c r="I592" s="262"/>
      <c r="J592" s="262"/>
    </row>
    <row r="593" spans="1:10" s="2" customFormat="1" ht="17.399999999999999" customHeight="1">
      <c r="A593" s="259"/>
      <c r="B593" s="15"/>
      <c r="C593" s="15"/>
      <c r="D593" s="15"/>
      <c r="E593" s="92"/>
      <c r="F593" s="15"/>
      <c r="G593" s="93"/>
      <c r="H593" s="262"/>
      <c r="I593" s="262"/>
      <c r="J593" s="262"/>
    </row>
    <row r="594" spans="1:10" s="2" customFormat="1" ht="17.399999999999999" customHeight="1">
      <c r="A594" s="259"/>
      <c r="B594" s="15"/>
      <c r="C594" s="15"/>
      <c r="D594" s="15"/>
      <c r="E594" s="92"/>
      <c r="F594" s="15"/>
      <c r="G594" s="93"/>
      <c r="H594" s="262"/>
      <c r="I594" s="262"/>
      <c r="J594" s="262"/>
    </row>
    <row r="595" spans="1:10" s="2" customFormat="1" ht="17.399999999999999" customHeight="1">
      <c r="A595" s="259"/>
      <c r="B595" s="15"/>
      <c r="C595" s="15"/>
      <c r="D595" s="15"/>
      <c r="E595" s="92"/>
      <c r="F595" s="15"/>
      <c r="G595" s="93"/>
      <c r="H595" s="262"/>
      <c r="I595" s="262"/>
      <c r="J595" s="262"/>
    </row>
    <row r="596" spans="1:10" s="2" customFormat="1" ht="17.399999999999999" customHeight="1">
      <c r="A596" s="259"/>
      <c r="B596" s="15"/>
      <c r="C596" s="15"/>
      <c r="D596" s="15"/>
      <c r="E596" s="92"/>
      <c r="F596" s="15"/>
      <c r="G596" s="93"/>
      <c r="H596" s="262"/>
      <c r="I596" s="262"/>
      <c r="J596" s="262"/>
    </row>
    <row r="597" spans="1:10" s="2" customFormat="1" ht="17.399999999999999" customHeight="1">
      <c r="A597" s="259"/>
      <c r="B597" s="15"/>
      <c r="C597" s="15"/>
      <c r="D597" s="15"/>
      <c r="E597" s="92"/>
      <c r="F597" s="15"/>
      <c r="G597" s="93"/>
      <c r="H597" s="262"/>
      <c r="I597" s="262"/>
      <c r="J597" s="262"/>
    </row>
    <row r="598" spans="1:10" s="2" customFormat="1" ht="17.399999999999999" customHeight="1">
      <c r="A598" s="259"/>
      <c r="B598" s="15"/>
      <c r="C598" s="15"/>
      <c r="D598" s="15"/>
      <c r="E598" s="92"/>
      <c r="F598" s="15"/>
      <c r="G598" s="93"/>
      <c r="H598" s="262"/>
      <c r="I598" s="262"/>
      <c r="J598" s="262"/>
    </row>
    <row r="599" spans="1:10" s="2" customFormat="1" ht="17.399999999999999" customHeight="1">
      <c r="A599" s="259"/>
      <c r="B599" s="15"/>
      <c r="C599" s="15"/>
      <c r="D599" s="15"/>
      <c r="E599" s="92"/>
      <c r="F599" s="15"/>
      <c r="G599" s="93"/>
      <c r="H599" s="262"/>
      <c r="I599" s="262"/>
      <c r="J599" s="262"/>
    </row>
    <row r="600" spans="1:10" s="2" customFormat="1" ht="17.399999999999999" customHeight="1">
      <c r="A600" s="259"/>
      <c r="B600" s="15"/>
      <c r="C600" s="15"/>
      <c r="D600" s="15"/>
      <c r="E600" s="92"/>
      <c r="F600" s="15"/>
      <c r="G600" s="93"/>
      <c r="H600" s="262"/>
      <c r="I600" s="262"/>
      <c r="J600" s="262"/>
    </row>
    <row r="601" spans="1:10" s="2" customFormat="1" ht="17.399999999999999" customHeight="1">
      <c r="A601" s="259"/>
      <c r="B601" s="15"/>
      <c r="C601" s="15"/>
      <c r="D601" s="15"/>
      <c r="E601" s="92"/>
      <c r="F601" s="15"/>
      <c r="G601" s="93"/>
      <c r="H601" s="262"/>
      <c r="I601" s="262"/>
      <c r="J601" s="262"/>
    </row>
    <row r="602" spans="1:10" s="2" customFormat="1" ht="17.399999999999999" customHeight="1">
      <c r="A602" s="259"/>
      <c r="B602" s="15"/>
      <c r="C602" s="15"/>
      <c r="D602" s="15"/>
      <c r="E602" s="92"/>
      <c r="F602" s="15"/>
      <c r="G602" s="93"/>
      <c r="H602" s="262"/>
      <c r="I602" s="262"/>
      <c r="J602" s="262"/>
    </row>
    <row r="603" spans="1:10" s="2" customFormat="1" ht="17.399999999999999" customHeight="1">
      <c r="A603" s="259"/>
      <c r="B603" s="15"/>
      <c r="C603" s="15"/>
      <c r="D603" s="15"/>
      <c r="E603" s="92"/>
      <c r="F603" s="15"/>
      <c r="G603" s="93"/>
      <c r="H603" s="262"/>
      <c r="I603" s="262"/>
      <c r="J603" s="262"/>
    </row>
    <row r="604" spans="1:10" s="2" customFormat="1" ht="17.399999999999999" customHeight="1">
      <c r="A604" s="259"/>
      <c r="B604" s="15"/>
      <c r="C604" s="15"/>
      <c r="D604" s="15"/>
      <c r="E604" s="92"/>
      <c r="F604" s="15"/>
      <c r="G604" s="93"/>
      <c r="H604" s="262"/>
      <c r="I604" s="262"/>
      <c r="J604" s="262"/>
    </row>
    <row r="605" spans="1:10" s="2" customFormat="1" ht="17.399999999999999" customHeight="1">
      <c r="A605" s="259"/>
      <c r="B605" s="15"/>
      <c r="C605" s="15"/>
      <c r="D605" s="15"/>
      <c r="E605" s="92"/>
      <c r="F605" s="15"/>
      <c r="G605" s="93"/>
      <c r="H605" s="262"/>
      <c r="I605" s="262"/>
      <c r="J605" s="262"/>
    </row>
    <row r="606" spans="1:10" s="2" customFormat="1" ht="17.399999999999999" customHeight="1">
      <c r="A606" s="259"/>
      <c r="B606" s="15"/>
      <c r="C606" s="15"/>
      <c r="D606" s="15"/>
      <c r="E606" s="92"/>
      <c r="F606" s="15"/>
      <c r="G606" s="93"/>
      <c r="H606" s="262"/>
      <c r="I606" s="262"/>
      <c r="J606" s="262"/>
    </row>
    <row r="607" spans="1:10" s="2" customFormat="1" ht="17.399999999999999" customHeight="1">
      <c r="A607" s="259"/>
      <c r="B607" s="15"/>
      <c r="C607" s="15"/>
      <c r="D607" s="15"/>
      <c r="E607" s="92"/>
      <c r="F607" s="15"/>
      <c r="G607" s="93"/>
      <c r="H607" s="262"/>
      <c r="I607" s="262"/>
      <c r="J607" s="262"/>
    </row>
    <row r="608" spans="1:10" s="2" customFormat="1" ht="17.399999999999999" customHeight="1">
      <c r="A608" s="259"/>
      <c r="B608" s="15"/>
      <c r="C608" s="15"/>
      <c r="D608" s="15"/>
      <c r="E608" s="92"/>
      <c r="F608" s="15"/>
      <c r="G608" s="93"/>
      <c r="H608" s="262"/>
      <c r="I608" s="262"/>
      <c r="J608" s="262"/>
    </row>
    <row r="609" spans="1:10" s="2" customFormat="1" ht="17.399999999999999" customHeight="1">
      <c r="A609" s="259"/>
      <c r="B609" s="15"/>
      <c r="C609" s="15"/>
      <c r="D609" s="15"/>
      <c r="E609" s="92"/>
      <c r="F609" s="15"/>
      <c r="G609" s="93"/>
      <c r="H609" s="262"/>
      <c r="I609" s="262"/>
      <c r="J609" s="262"/>
    </row>
    <row r="610" spans="1:10" s="2" customFormat="1" ht="17.399999999999999" customHeight="1">
      <c r="A610" s="259"/>
      <c r="B610" s="15"/>
      <c r="C610" s="15"/>
      <c r="D610" s="15"/>
      <c r="E610" s="92"/>
      <c r="F610" s="15"/>
      <c r="G610" s="93"/>
      <c r="H610" s="262"/>
      <c r="I610" s="262"/>
      <c r="J610" s="262"/>
    </row>
    <row r="611" spans="1:10" s="2" customFormat="1" ht="17.399999999999999" customHeight="1">
      <c r="A611" s="259"/>
      <c r="B611" s="15"/>
      <c r="C611" s="15"/>
      <c r="D611" s="15"/>
      <c r="E611" s="92"/>
      <c r="F611" s="15"/>
      <c r="G611" s="93"/>
      <c r="H611" s="262"/>
      <c r="I611" s="262"/>
      <c r="J611" s="262"/>
    </row>
    <row r="612" spans="1:10" s="2" customFormat="1" ht="17.399999999999999" customHeight="1">
      <c r="A612" s="259"/>
      <c r="B612" s="15"/>
      <c r="C612" s="15"/>
      <c r="D612" s="15"/>
      <c r="E612" s="92"/>
      <c r="F612" s="15"/>
      <c r="G612" s="93"/>
      <c r="H612" s="262"/>
      <c r="I612" s="262"/>
      <c r="J612" s="262"/>
    </row>
    <row r="613" spans="1:10" s="2" customFormat="1" ht="17.399999999999999" customHeight="1">
      <c r="A613" s="259"/>
      <c r="B613" s="15"/>
      <c r="C613" s="15"/>
      <c r="D613" s="15"/>
      <c r="E613" s="92"/>
      <c r="F613" s="15"/>
      <c r="G613" s="93"/>
      <c r="H613" s="262"/>
      <c r="I613" s="262"/>
      <c r="J613" s="262"/>
    </row>
    <row r="614" spans="1:10" s="2" customFormat="1" ht="17.399999999999999" customHeight="1">
      <c r="A614" s="259"/>
      <c r="B614" s="15"/>
      <c r="C614" s="15"/>
      <c r="D614" s="15"/>
      <c r="E614" s="92"/>
      <c r="F614" s="15"/>
      <c r="G614" s="93"/>
      <c r="H614" s="262"/>
      <c r="I614" s="262"/>
      <c r="J614" s="262"/>
    </row>
    <row r="615" spans="1:10" s="2" customFormat="1" ht="17.399999999999999" customHeight="1">
      <c r="A615" s="259"/>
      <c r="B615" s="15"/>
      <c r="C615" s="15"/>
      <c r="D615" s="15"/>
      <c r="E615" s="92"/>
      <c r="F615" s="15"/>
      <c r="G615" s="93"/>
      <c r="H615" s="262"/>
      <c r="I615" s="262"/>
      <c r="J615" s="262"/>
    </row>
    <row r="616" spans="1:10" s="2" customFormat="1" ht="17.399999999999999" customHeight="1">
      <c r="A616" s="259"/>
      <c r="B616" s="15"/>
      <c r="C616" s="15"/>
      <c r="D616" s="15"/>
      <c r="E616" s="92"/>
      <c r="F616" s="15"/>
      <c r="G616" s="93"/>
      <c r="H616" s="262"/>
      <c r="I616" s="262"/>
      <c r="J616" s="262"/>
    </row>
    <row r="617" spans="1:10" s="2" customFormat="1" ht="17.399999999999999" customHeight="1">
      <c r="A617" s="259"/>
      <c r="B617" s="15"/>
      <c r="C617" s="15"/>
      <c r="D617" s="15"/>
      <c r="E617" s="92"/>
      <c r="F617" s="15"/>
      <c r="G617" s="93"/>
      <c r="H617" s="262"/>
      <c r="I617" s="262"/>
      <c r="J617" s="262"/>
    </row>
    <row r="618" spans="1:10" s="2" customFormat="1" ht="17.399999999999999" customHeight="1">
      <c r="A618" s="259"/>
      <c r="B618" s="15"/>
      <c r="C618" s="15"/>
      <c r="D618" s="15"/>
      <c r="E618" s="92"/>
      <c r="F618" s="15"/>
      <c r="G618" s="93"/>
      <c r="H618" s="262"/>
      <c r="I618" s="262"/>
      <c r="J618" s="262"/>
    </row>
    <row r="619" spans="1:10" s="2" customFormat="1" ht="17.399999999999999" customHeight="1">
      <c r="A619" s="259"/>
      <c r="B619" s="15"/>
      <c r="C619" s="15"/>
      <c r="D619" s="15"/>
      <c r="E619" s="92"/>
      <c r="F619" s="15"/>
      <c r="G619" s="93"/>
      <c r="H619" s="262"/>
      <c r="I619" s="262"/>
      <c r="J619" s="262"/>
    </row>
    <row r="620" spans="1:10" s="2" customFormat="1" ht="17.399999999999999" customHeight="1">
      <c r="A620" s="259"/>
      <c r="B620" s="15"/>
      <c r="C620" s="15"/>
      <c r="D620" s="15"/>
      <c r="E620" s="92"/>
      <c r="F620" s="15"/>
      <c r="G620" s="93"/>
      <c r="H620" s="262"/>
      <c r="I620" s="262"/>
      <c r="J620" s="262"/>
    </row>
    <row r="621" spans="1:10" s="2" customFormat="1" ht="17.399999999999999" customHeight="1">
      <c r="A621" s="259"/>
      <c r="B621" s="15"/>
      <c r="C621" s="15"/>
      <c r="D621" s="15"/>
      <c r="E621" s="92"/>
      <c r="F621" s="15"/>
      <c r="G621" s="93"/>
      <c r="H621" s="262"/>
      <c r="I621" s="262"/>
      <c r="J621" s="262"/>
    </row>
    <row r="622" spans="1:10" s="2" customFormat="1" ht="17.399999999999999" customHeight="1">
      <c r="A622" s="259"/>
      <c r="B622" s="15"/>
      <c r="C622" s="15"/>
      <c r="D622" s="15"/>
      <c r="E622" s="92"/>
      <c r="F622" s="15"/>
      <c r="G622" s="93"/>
      <c r="H622" s="262"/>
      <c r="I622" s="262"/>
      <c r="J622" s="262"/>
    </row>
    <row r="623" spans="1:10" s="2" customFormat="1" ht="17.399999999999999" customHeight="1">
      <c r="A623" s="259"/>
      <c r="B623" s="15"/>
      <c r="C623" s="15"/>
      <c r="D623" s="15"/>
      <c r="E623" s="92"/>
      <c r="F623" s="15"/>
      <c r="G623" s="93"/>
      <c r="H623" s="262"/>
      <c r="I623" s="262"/>
      <c r="J623" s="262"/>
    </row>
    <row r="624" spans="1:10" s="2" customFormat="1" ht="17.399999999999999" customHeight="1">
      <c r="A624" s="259"/>
      <c r="B624" s="15"/>
      <c r="C624" s="15"/>
      <c r="D624" s="15"/>
      <c r="E624" s="92"/>
      <c r="F624" s="15"/>
      <c r="G624" s="93"/>
      <c r="H624" s="262"/>
      <c r="I624" s="262"/>
      <c r="J624" s="262"/>
    </row>
    <row r="625" spans="1:10" s="2" customFormat="1" ht="17.399999999999999" customHeight="1">
      <c r="A625" s="259"/>
      <c r="B625" s="15"/>
      <c r="C625" s="15"/>
      <c r="D625" s="15"/>
      <c r="E625" s="92"/>
      <c r="F625" s="15"/>
      <c r="G625" s="93"/>
      <c r="H625" s="262"/>
      <c r="I625" s="262"/>
      <c r="J625" s="262"/>
    </row>
    <row r="626" spans="1:10" s="2" customFormat="1" ht="17.399999999999999" customHeight="1">
      <c r="A626" s="259"/>
      <c r="B626" s="15"/>
      <c r="C626" s="15"/>
      <c r="D626" s="15"/>
      <c r="E626" s="92"/>
      <c r="F626" s="15"/>
      <c r="G626" s="93"/>
      <c r="H626" s="262"/>
      <c r="I626" s="262"/>
      <c r="J626" s="262"/>
    </row>
    <row r="627" spans="1:10" s="2" customFormat="1" ht="17.399999999999999" customHeight="1">
      <c r="A627" s="259"/>
      <c r="B627" s="15"/>
      <c r="C627" s="15"/>
      <c r="D627" s="15"/>
      <c r="E627" s="92"/>
      <c r="F627" s="15"/>
      <c r="G627" s="93"/>
      <c r="H627" s="262"/>
      <c r="I627" s="262"/>
      <c r="J627" s="262"/>
    </row>
    <row r="628" spans="1:10" s="2" customFormat="1" ht="17.399999999999999" customHeight="1">
      <c r="A628" s="259"/>
      <c r="B628" s="15"/>
      <c r="C628" s="15"/>
      <c r="D628" s="15"/>
      <c r="E628" s="92"/>
      <c r="F628" s="15"/>
      <c r="G628" s="93"/>
      <c r="H628" s="262"/>
      <c r="I628" s="262"/>
      <c r="J628" s="262"/>
    </row>
    <row r="629" spans="1:10" ht="15.75" customHeight="1">
      <c r="A629" s="259"/>
    </row>
    <row r="630" spans="1:10" ht="15.75" customHeight="1">
      <c r="A630" s="259"/>
    </row>
    <row r="631" spans="1:10" ht="15.75" customHeight="1">
      <c r="A631" s="259"/>
    </row>
    <row r="632" spans="1:10" ht="15.75" customHeight="1">
      <c r="A632" s="259"/>
    </row>
    <row r="633" spans="1:10" ht="15.75" customHeight="1">
      <c r="A633" s="259"/>
    </row>
    <row r="634" spans="1:10" ht="15.75" customHeight="1">
      <c r="A634" s="259"/>
    </row>
    <row r="635" spans="1:10" ht="15.75" customHeight="1">
      <c r="A635" s="259"/>
    </row>
    <row r="636" spans="1:10" ht="15.75" customHeight="1">
      <c r="A636" s="259"/>
    </row>
    <row r="637" spans="1:10" ht="15.75" customHeight="1"/>
    <row r="638" spans="1:10" ht="15.75" customHeight="1"/>
    <row r="639" spans="1:10" ht="15.75" customHeight="1"/>
    <row r="640" spans="1:1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sheetData>
  <sheetProtection algorithmName="SHA-512" hashValue="ojcVV7VPD3C2yZAyP3YtqwaNArPzjcf5xnuigYNWNA2NU99RcNMuxwiRrzQQPHh/N4Sh9dSht+mVHBHig9t1nQ==" saltValue="zI6pqEkdE1hrmusxjkC3Vg==" spinCount="100000" sheet="1" objects="1" scenarios="1"/>
  <mergeCells count="52">
    <mergeCell ref="C63:D63"/>
    <mergeCell ref="C64:D64"/>
    <mergeCell ref="C65:D65"/>
    <mergeCell ref="C66:D66"/>
    <mergeCell ref="C67:D67"/>
    <mergeCell ref="C62:D62"/>
    <mergeCell ref="C51:D51"/>
    <mergeCell ref="C52:D52"/>
    <mergeCell ref="C53:D53"/>
    <mergeCell ref="C54:D54"/>
    <mergeCell ref="C56:D56"/>
    <mergeCell ref="C57:D57"/>
    <mergeCell ref="C58:D58"/>
    <mergeCell ref="C59:D59"/>
    <mergeCell ref="C60:D60"/>
    <mergeCell ref="C61:D61"/>
    <mergeCell ref="C48:D48"/>
    <mergeCell ref="C30:D30"/>
    <mergeCell ref="C31:D31"/>
    <mergeCell ref="C49:D49"/>
    <mergeCell ref="C50:D50"/>
    <mergeCell ref="C43:D43"/>
    <mergeCell ref="C44:D44"/>
    <mergeCell ref="C45:D45"/>
    <mergeCell ref="C46:D46"/>
    <mergeCell ref="C47:D47"/>
    <mergeCell ref="C38:D38"/>
    <mergeCell ref="C39:D39"/>
    <mergeCell ref="C40:D40"/>
    <mergeCell ref="C41:D41"/>
    <mergeCell ref="C42:D42"/>
    <mergeCell ref="C33:D33"/>
    <mergeCell ref="C34:D34"/>
    <mergeCell ref="C35:D35"/>
    <mergeCell ref="C36:D36"/>
    <mergeCell ref="C37:D37"/>
    <mergeCell ref="C26:D26"/>
    <mergeCell ref="C27:D27"/>
    <mergeCell ref="C28:D28"/>
    <mergeCell ref="C29:D29"/>
    <mergeCell ref="C32:D32"/>
    <mergeCell ref="C6:D6"/>
    <mergeCell ref="C11:D11"/>
    <mergeCell ref="C19:D19"/>
    <mergeCell ref="C15:D15"/>
    <mergeCell ref="B2:G2"/>
    <mergeCell ref="C68:D68"/>
    <mergeCell ref="C69:D69"/>
    <mergeCell ref="C70:D70"/>
    <mergeCell ref="C72:D72"/>
    <mergeCell ref="C73:D73"/>
    <mergeCell ref="C71:D71"/>
  </mergeCells>
  <conditionalFormatting sqref="M26:N28 M31:N31">
    <cfRule type="containsText" dxfId="8" priority="6" operator="containsText" text="Manual Input">
      <formula>NOT(ISERROR(SEARCH("Manual Input",M26)))</formula>
    </cfRule>
  </conditionalFormatting>
  <conditionalFormatting sqref="M33:N33">
    <cfRule type="containsText" dxfId="7" priority="5" operator="containsText" text="Manual Input">
      <formula>NOT(ISERROR(SEARCH("Manual Input",M33)))</formula>
    </cfRule>
  </conditionalFormatting>
  <conditionalFormatting sqref="M50:N50">
    <cfRule type="containsText" dxfId="6" priority="4" operator="containsText" text="Manual Input">
      <formula>NOT(ISERROR(SEARCH("Manual Input",M50)))</formula>
    </cfRule>
  </conditionalFormatting>
  <conditionalFormatting sqref="M58:N58">
    <cfRule type="containsText" dxfId="5" priority="2" operator="containsText" text="Manual Input">
      <formula>NOT(ISERROR(SEARCH("Manual Input",M58)))</formula>
    </cfRule>
  </conditionalFormatting>
  <conditionalFormatting sqref="M68:N68">
    <cfRule type="containsText" dxfId="4" priority="1" operator="containsText" text="Manual Input">
      <formula>NOT(ISERROR(SEARCH("Manual Input",M68)))</formula>
    </cfRule>
  </conditionalFormatting>
  <pageMargins left="0.7" right="0.7" top="0.75" bottom="0.75" header="0" footer="0"/>
  <pageSetup orientation="landscape"/>
  <drawing r:id="rId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02F8EB-4CD5-4358-8F80-101CE19F4AD0}">
  <sheetPr>
    <tabColor theme="1"/>
  </sheetPr>
  <dimension ref="A1:Z416"/>
  <sheetViews>
    <sheetView showGridLines="0" zoomScaleNormal="100" workbookViewId="0">
      <selection activeCell="N18" sqref="N18"/>
    </sheetView>
  </sheetViews>
  <sheetFormatPr defaultColWidth="8.69921875" defaultRowHeight="15"/>
  <cols>
    <col min="1" max="1" width="4.19921875" style="88" customWidth="1"/>
    <col min="2" max="2" width="4.19921875" style="25" customWidth="1"/>
    <col min="3" max="8" width="17.19921875" style="25" customWidth="1"/>
    <col min="9" max="9" width="4.19921875" style="25" customWidth="1"/>
    <col min="10" max="26" width="10.09765625" style="25" customWidth="1"/>
    <col min="27" max="16384" width="8.69921875" style="25"/>
  </cols>
  <sheetData>
    <row r="1" spans="1:26" s="2" customFormat="1" ht="19.95" customHeight="1">
      <c r="A1" s="250"/>
      <c r="B1" s="242"/>
      <c r="C1" s="242"/>
      <c r="D1" s="251"/>
      <c r="E1" s="251"/>
      <c r="F1" s="242"/>
      <c r="G1" s="242"/>
      <c r="H1" s="242"/>
      <c r="I1" s="242"/>
      <c r="J1" s="242"/>
      <c r="K1" s="242"/>
      <c r="L1" s="242"/>
      <c r="M1" s="242"/>
      <c r="N1" s="242"/>
      <c r="O1" s="242"/>
      <c r="P1" s="242"/>
      <c r="Q1" s="242"/>
      <c r="R1" s="242"/>
      <c r="S1" s="242"/>
      <c r="T1" s="242"/>
      <c r="U1" s="242"/>
      <c r="V1" s="242"/>
      <c r="W1" s="242"/>
      <c r="X1" s="242"/>
      <c r="Y1" s="242"/>
      <c r="Z1" s="242"/>
    </row>
    <row r="2" spans="1:26" s="2" customFormat="1" ht="94.95" customHeight="1">
      <c r="A2" s="250"/>
      <c r="B2" s="338" t="s">
        <v>383</v>
      </c>
      <c r="C2" s="339"/>
      <c r="D2" s="339"/>
      <c r="E2" s="339"/>
      <c r="F2" s="339"/>
      <c r="G2" s="339"/>
      <c r="H2" s="339"/>
      <c r="I2" s="340"/>
      <c r="J2" s="242"/>
      <c r="K2" s="242"/>
      <c r="L2" s="242"/>
      <c r="M2" s="242"/>
      <c r="N2" s="242"/>
      <c r="O2" s="242"/>
      <c r="P2" s="242"/>
      <c r="Q2" s="242"/>
      <c r="R2" s="242"/>
      <c r="S2" s="242"/>
      <c r="T2" s="242"/>
      <c r="U2" s="242"/>
      <c r="V2" s="242"/>
      <c r="W2" s="242"/>
      <c r="X2" s="242"/>
      <c r="Y2" s="242"/>
      <c r="Z2" s="242"/>
    </row>
    <row r="3" spans="1:26" s="2" customFormat="1" ht="18" customHeight="1">
      <c r="A3" s="250"/>
      <c r="B3" s="242"/>
      <c r="C3" s="242"/>
      <c r="D3" s="251"/>
      <c r="E3" s="251"/>
      <c r="F3" s="242"/>
      <c r="G3" s="242"/>
      <c r="H3" s="242"/>
      <c r="I3" s="242"/>
      <c r="J3" s="242"/>
      <c r="K3" s="242"/>
      <c r="L3" s="242"/>
      <c r="M3" s="242"/>
      <c r="N3" s="242"/>
      <c r="O3" s="242"/>
      <c r="P3" s="242"/>
      <c r="Q3" s="242"/>
      <c r="R3" s="242"/>
      <c r="S3" s="242"/>
      <c r="T3" s="242"/>
      <c r="U3" s="242"/>
      <c r="V3" s="242"/>
      <c r="W3" s="242"/>
      <c r="X3" s="242"/>
      <c r="Y3" s="242"/>
      <c r="Z3" s="242"/>
    </row>
    <row r="4" spans="1:26" s="2" customFormat="1" ht="18" customHeight="1">
      <c r="A4" s="250"/>
      <c r="B4" s="253"/>
      <c r="C4" s="254"/>
      <c r="D4" s="263"/>
      <c r="E4" s="263"/>
      <c r="F4" s="254"/>
      <c r="G4" s="254"/>
      <c r="H4" s="254"/>
      <c r="I4" s="255"/>
      <c r="J4" s="242"/>
      <c r="K4" s="242"/>
      <c r="L4" s="242"/>
      <c r="M4" s="242"/>
      <c r="N4" s="242"/>
      <c r="O4" s="242"/>
      <c r="P4" s="242"/>
      <c r="Q4" s="242"/>
      <c r="R4" s="242"/>
      <c r="S4" s="242"/>
      <c r="T4" s="242"/>
      <c r="U4" s="242"/>
      <c r="V4" s="242"/>
      <c r="W4" s="242"/>
      <c r="X4" s="242"/>
      <c r="Y4" s="242"/>
      <c r="Z4" s="242"/>
    </row>
    <row r="5" spans="1:26" s="2" customFormat="1" ht="18" customHeight="1">
      <c r="A5" s="250"/>
      <c r="B5" s="264"/>
      <c r="C5" s="6" t="s">
        <v>147</v>
      </c>
      <c r="D5" s="238" t="str">
        <f>IF(logic_prjtyp&lt;&gt;"",logic_prjtyp,"")</f>
        <v/>
      </c>
      <c r="E5" s="265"/>
      <c r="F5" s="252"/>
      <c r="G5" s="252"/>
      <c r="H5" s="252"/>
      <c r="I5" s="266"/>
      <c r="J5" s="242"/>
      <c r="K5" s="242"/>
      <c r="L5" s="242"/>
      <c r="M5" s="242"/>
      <c r="N5" s="242"/>
      <c r="O5" s="242"/>
      <c r="P5" s="242"/>
      <c r="Q5" s="242"/>
      <c r="R5" s="242"/>
      <c r="S5" s="242"/>
      <c r="T5" s="242"/>
      <c r="U5" s="242"/>
      <c r="V5" s="242"/>
      <c r="W5" s="242"/>
      <c r="X5" s="242"/>
      <c r="Y5" s="242"/>
      <c r="Z5" s="242"/>
    </row>
    <row r="6" spans="1:26" s="2" customFormat="1" ht="18" customHeight="1">
      <c r="A6" s="250"/>
      <c r="B6" s="264"/>
      <c r="C6" s="267"/>
      <c r="D6" s="268"/>
      <c r="E6" s="268"/>
      <c r="F6" s="267"/>
      <c r="G6" s="267"/>
      <c r="H6" s="267"/>
      <c r="I6" s="266"/>
      <c r="J6" s="242"/>
      <c r="K6" s="242"/>
      <c r="L6" s="242"/>
      <c r="M6" s="242"/>
      <c r="N6" s="242"/>
      <c r="O6" s="242"/>
      <c r="P6" s="242"/>
      <c r="Q6" s="242"/>
      <c r="R6" s="242"/>
      <c r="S6" s="242"/>
      <c r="T6" s="242"/>
      <c r="U6" s="242"/>
      <c r="V6" s="242"/>
      <c r="W6" s="242"/>
      <c r="X6" s="242"/>
      <c r="Y6" s="242"/>
      <c r="Z6" s="242"/>
    </row>
    <row r="7" spans="1:26" s="280" customFormat="1" ht="18" customHeight="1">
      <c r="A7" s="274"/>
      <c r="B7" s="277"/>
      <c r="C7" s="146" t="s">
        <v>291</v>
      </c>
      <c r="D7" s="147"/>
      <c r="E7" s="147"/>
      <c r="F7" s="147"/>
      <c r="G7" s="147"/>
      <c r="H7" s="148"/>
      <c r="I7" s="278"/>
      <c r="J7" s="279"/>
      <c r="K7" s="279"/>
      <c r="L7" s="279"/>
      <c r="M7" s="279"/>
      <c r="N7" s="279"/>
      <c r="O7" s="279"/>
      <c r="P7" s="279"/>
      <c r="Q7" s="279"/>
      <c r="R7" s="279"/>
      <c r="S7" s="279"/>
      <c r="T7" s="279"/>
      <c r="U7" s="279"/>
      <c r="V7" s="279"/>
      <c r="W7" s="279"/>
      <c r="X7" s="279"/>
      <c r="Y7" s="279"/>
      <c r="Z7" s="279"/>
    </row>
    <row r="8" spans="1:26" s="280" customFormat="1" ht="18" customHeight="1">
      <c r="A8" s="274"/>
      <c r="B8" s="277"/>
      <c r="C8" s="62"/>
      <c r="D8" s="63"/>
      <c r="E8" s="63"/>
      <c r="F8" s="63"/>
      <c r="G8" s="113"/>
      <c r="H8" s="281"/>
      <c r="I8" s="278"/>
      <c r="J8" s="138"/>
      <c r="K8" s="282"/>
      <c r="L8" s="282"/>
      <c r="M8" s="282"/>
      <c r="N8" s="282"/>
      <c r="O8" s="282"/>
      <c r="P8" s="282"/>
      <c r="Q8" s="282"/>
      <c r="R8" s="282"/>
      <c r="S8" s="282"/>
      <c r="T8" s="282"/>
      <c r="U8" s="282"/>
      <c r="V8" s="282"/>
      <c r="W8" s="282"/>
      <c r="X8" s="282"/>
      <c r="Y8" s="282"/>
      <c r="Z8" s="282"/>
    </row>
    <row r="9" spans="1:26" s="280" customFormat="1" ht="18" customHeight="1">
      <c r="A9" s="274"/>
      <c r="B9" s="277"/>
      <c r="C9" s="14" t="s">
        <v>261</v>
      </c>
      <c r="D9" s="63"/>
      <c r="E9" s="63"/>
      <c r="F9" s="63"/>
      <c r="G9" s="113"/>
      <c r="H9" s="233" t="str">
        <f>logic_totalwuawyn</f>
        <v>No</v>
      </c>
      <c r="I9" s="278"/>
      <c r="J9" s="138"/>
      <c r="K9" s="282"/>
      <c r="L9" s="282"/>
      <c r="M9" s="282"/>
      <c r="N9" s="282"/>
      <c r="O9" s="282"/>
      <c r="P9" s="282"/>
      <c r="Q9" s="282"/>
      <c r="R9" s="282"/>
      <c r="S9" s="282"/>
      <c r="T9" s="282"/>
      <c r="U9" s="282"/>
      <c r="V9" s="282"/>
      <c r="W9" s="282"/>
      <c r="X9" s="282"/>
      <c r="Y9" s="282"/>
      <c r="Z9" s="282"/>
    </row>
    <row r="10" spans="1:26" ht="18" customHeight="1">
      <c r="A10" s="118"/>
      <c r="B10" s="277"/>
      <c r="C10" s="14" t="str">
        <f>CONCATENATE("Total Annual Water Use Baseline (",IF(logic_units&lt;&gt;"",INDEX(data_genunitsvol,MATCH(logic_units,data_genunits,0)),"unit"),"/year)")</f>
        <v>Total Annual Water Use Baseline (unit/year)</v>
      </c>
      <c r="D10" s="14"/>
      <c r="E10" s="112"/>
      <c r="F10" s="112"/>
      <c r="G10" s="113"/>
      <c r="H10" s="187">
        <f>logic_totalwub</f>
        <v>0</v>
      </c>
      <c r="I10" s="64"/>
      <c r="J10" s="138"/>
      <c r="K10" s="283"/>
      <c r="L10" s="283"/>
      <c r="M10" s="283"/>
      <c r="N10" s="138"/>
      <c r="O10" s="138"/>
      <c r="P10" s="138"/>
      <c r="Q10" s="138"/>
      <c r="R10" s="138"/>
      <c r="S10" s="138"/>
      <c r="T10" s="138"/>
      <c r="U10" s="138"/>
      <c r="V10" s="138"/>
      <c r="W10" s="138"/>
      <c r="X10" s="138"/>
      <c r="Y10" s="138"/>
      <c r="Z10" s="138"/>
    </row>
    <row r="11" spans="1:26" ht="18" customHeight="1">
      <c r="A11" s="118"/>
      <c r="B11" s="277"/>
      <c r="C11" s="14" t="str">
        <f>CONCATENATE("Total Annual Alternative Water Use (",IF(logic_units&lt;&gt;"",INDEX(data_genunitsvol,MATCH(logic_units,data_genunits,0)),"unit"),"/year)")</f>
        <v>Total Annual Alternative Water Use (unit/year)</v>
      </c>
      <c r="D11" s="14"/>
      <c r="E11" s="14"/>
      <c r="F11" s="14"/>
      <c r="G11" s="14"/>
      <c r="H11" s="187">
        <f>logic_totalwuaw</f>
        <v>0</v>
      </c>
      <c r="I11" s="64"/>
      <c r="J11" s="138"/>
      <c r="K11" s="283"/>
      <c r="L11" s="283"/>
      <c r="M11" s="283"/>
      <c r="N11" s="138"/>
      <c r="O11" s="138"/>
      <c r="P11" s="138"/>
      <c r="Q11" s="138"/>
      <c r="R11" s="138"/>
      <c r="S11" s="138"/>
      <c r="T11" s="138"/>
      <c r="U11" s="138"/>
      <c r="V11" s="138"/>
      <c r="W11" s="138"/>
      <c r="X11" s="138"/>
      <c r="Y11" s="138"/>
      <c r="Z11" s="138"/>
    </row>
    <row r="12" spans="1:26" ht="18" customHeight="1">
      <c r="A12" s="118"/>
      <c r="B12" s="277"/>
      <c r="C12" s="14" t="str">
        <f>CONCATENATE("Total Annual Water Use Design (including alternative water use) (",IF(logic_units&lt;&gt;"",INDEX(data_genunitsvol,MATCH(logic_units,data_genunits,0)),"unit"),"/year)")</f>
        <v>Total Annual Water Use Design (including alternative water use) (unit/year)</v>
      </c>
      <c r="D12" s="14"/>
      <c r="E12" s="14"/>
      <c r="F12" s="14"/>
      <c r="G12" s="14"/>
      <c r="H12" s="187">
        <f>logic_totalwud</f>
        <v>0</v>
      </c>
      <c r="I12" s="64"/>
      <c r="J12" s="138"/>
      <c r="K12" s="283"/>
      <c r="L12" s="283"/>
      <c r="M12" s="283"/>
      <c r="N12" s="138"/>
      <c r="O12" s="138"/>
      <c r="P12" s="138"/>
      <c r="Q12" s="138"/>
      <c r="R12" s="138"/>
      <c r="S12" s="138"/>
      <c r="T12" s="138"/>
      <c r="U12" s="138"/>
      <c r="V12" s="138"/>
      <c r="W12" s="138"/>
      <c r="X12" s="138"/>
      <c r="Y12" s="138"/>
      <c r="Z12" s="138"/>
    </row>
    <row r="13" spans="1:26" ht="18" customHeight="1">
      <c r="A13" s="118"/>
      <c r="B13" s="277"/>
      <c r="C13" s="14" t="s">
        <v>297</v>
      </c>
      <c r="D13" s="14"/>
      <c r="E13" s="14"/>
      <c r="F13" s="14"/>
      <c r="G13" s="14"/>
      <c r="H13" s="87">
        <f>logic_totalwusprc</f>
        <v>0</v>
      </c>
      <c r="I13" s="64"/>
      <c r="J13" s="138"/>
      <c r="K13" s="283"/>
      <c r="L13" s="283"/>
      <c r="M13" s="283"/>
      <c r="N13" s="138"/>
      <c r="O13" s="138"/>
      <c r="P13" s="138"/>
      <c r="Q13" s="138"/>
      <c r="R13" s="138"/>
      <c r="S13" s="138"/>
      <c r="T13" s="138"/>
      <c r="U13" s="138"/>
      <c r="V13" s="138"/>
      <c r="W13" s="138"/>
      <c r="X13" s="138"/>
      <c r="Y13" s="138"/>
      <c r="Z13" s="138"/>
    </row>
    <row r="14" spans="1:26" ht="18" customHeight="1">
      <c r="A14" s="118"/>
      <c r="B14" s="277"/>
      <c r="C14" s="424" t="s">
        <v>262</v>
      </c>
      <c r="D14" s="424"/>
      <c r="E14" s="424"/>
      <c r="F14" s="424"/>
      <c r="G14" s="424"/>
      <c r="H14" s="424"/>
      <c r="I14" s="64"/>
      <c r="J14" s="138"/>
      <c r="K14" s="283"/>
      <c r="L14" s="283"/>
      <c r="M14" s="283"/>
      <c r="N14" s="138"/>
      <c r="O14" s="138"/>
      <c r="P14" s="138"/>
      <c r="Q14" s="138"/>
      <c r="R14" s="138"/>
      <c r="S14" s="138"/>
      <c r="T14" s="138"/>
      <c r="U14" s="138"/>
      <c r="V14" s="138"/>
      <c r="W14" s="138"/>
      <c r="X14" s="138"/>
      <c r="Y14" s="138"/>
      <c r="Z14" s="138"/>
    </row>
    <row r="15" spans="1:26" ht="18" customHeight="1">
      <c r="A15" s="118"/>
      <c r="B15" s="277"/>
      <c r="C15" s="14"/>
      <c r="D15" s="14"/>
      <c r="E15" s="14"/>
      <c r="F15" s="14"/>
      <c r="G15" s="14"/>
      <c r="H15" s="14"/>
      <c r="I15" s="64"/>
      <c r="J15" s="138"/>
      <c r="K15" s="283"/>
      <c r="L15" s="283"/>
      <c r="M15" s="283"/>
      <c r="N15" s="138"/>
      <c r="O15" s="138"/>
      <c r="P15" s="138"/>
      <c r="Q15" s="138"/>
      <c r="R15" s="138"/>
      <c r="S15" s="138"/>
      <c r="T15" s="138"/>
      <c r="U15" s="138"/>
      <c r="V15" s="138"/>
      <c r="W15" s="138"/>
      <c r="X15" s="138"/>
      <c r="Y15" s="138"/>
      <c r="Z15" s="138"/>
    </row>
    <row r="16" spans="1:26" s="61" customFormat="1" ht="18" customHeight="1">
      <c r="A16" s="250"/>
      <c r="B16" s="269"/>
      <c r="C16" s="146" t="s">
        <v>290</v>
      </c>
      <c r="D16" s="147"/>
      <c r="E16" s="147"/>
      <c r="F16" s="147"/>
      <c r="G16" s="147"/>
      <c r="H16" s="148"/>
      <c r="I16" s="270"/>
      <c r="J16" s="271"/>
      <c r="K16" s="271"/>
      <c r="L16" s="271"/>
      <c r="M16" s="271"/>
      <c r="N16" s="271"/>
      <c r="O16" s="271"/>
      <c r="P16" s="271"/>
      <c r="Q16" s="271"/>
      <c r="R16" s="271"/>
      <c r="S16" s="271"/>
      <c r="T16" s="271"/>
      <c r="U16" s="271"/>
      <c r="V16" s="271"/>
      <c r="W16" s="271"/>
      <c r="X16" s="271"/>
      <c r="Y16" s="271"/>
      <c r="Z16" s="271"/>
    </row>
    <row r="17" spans="1:26" s="61" customFormat="1" ht="18" customHeight="1">
      <c r="A17" s="250"/>
      <c r="B17" s="269"/>
      <c r="C17" s="62"/>
      <c r="D17" s="63"/>
      <c r="E17" s="63"/>
      <c r="F17" s="63"/>
      <c r="G17" s="63"/>
      <c r="H17" s="63"/>
      <c r="I17" s="270"/>
      <c r="J17" s="271"/>
      <c r="K17" s="271"/>
      <c r="L17" s="271"/>
      <c r="M17" s="271"/>
      <c r="N17" s="271"/>
      <c r="O17" s="271"/>
      <c r="P17" s="271"/>
      <c r="Q17" s="271"/>
      <c r="R17" s="271"/>
      <c r="S17" s="271"/>
      <c r="T17" s="271"/>
      <c r="U17" s="271"/>
      <c r="V17" s="271"/>
      <c r="W17" s="271"/>
      <c r="X17" s="271"/>
      <c r="Y17" s="271"/>
      <c r="Z17" s="271"/>
    </row>
    <row r="18" spans="1:26" s="61" customFormat="1" ht="18" customHeight="1">
      <c r="A18" s="250"/>
      <c r="B18" s="269"/>
      <c r="C18" s="73" t="str">
        <f>IF($D5&lt;&gt;"",INDEX(data_ptspr,MATCH($D5,data_ptsdrp,0)),"Percent Reduction")</f>
        <v>Percent Reduction</v>
      </c>
      <c r="D18" s="74"/>
      <c r="E18" s="74"/>
      <c r="F18" s="74"/>
      <c r="G18" s="101" t="s">
        <v>254</v>
      </c>
      <c r="H18" s="102" t="s">
        <v>201</v>
      </c>
      <c r="I18" s="270"/>
      <c r="J18" s="271"/>
      <c r="K18" s="271"/>
      <c r="L18" s="271"/>
      <c r="M18" s="271"/>
      <c r="N18" s="271"/>
      <c r="O18" s="271"/>
      <c r="P18" s="271"/>
      <c r="Q18" s="271"/>
      <c r="R18" s="271"/>
      <c r="S18" s="271"/>
      <c r="T18" s="271"/>
      <c r="U18" s="271"/>
      <c r="V18" s="271"/>
      <c r="W18" s="271"/>
      <c r="X18" s="271"/>
      <c r="Y18" s="271"/>
      <c r="Z18" s="271"/>
    </row>
    <row r="19" spans="1:26" s="61" customFormat="1" ht="18" customHeight="1">
      <c r="A19" s="250"/>
      <c r="B19" s="269"/>
      <c r="C19" s="83">
        <v>0.3</v>
      </c>
      <c r="D19" s="84"/>
      <c r="E19" s="84"/>
      <c r="F19" s="84"/>
      <c r="G19" s="103" cm="1">
        <f t="array" ref="G19">INDEX(data_ptslkpnts,MATCH(1,(data_ptslkpr=$C19)*(data_ptslkpt=Summary!$C$18),0))</f>
        <v>1</v>
      </c>
      <c r="H19" s="108" cm="1">
        <f t="array" ref="H19">INDEX(data_ptslkaw,MATCH(1,(data_ptslkpr=$C19)*(data_ptslkpt=Summary!$C$18),0))</f>
        <v>2</v>
      </c>
      <c r="I19" s="270"/>
      <c r="J19" s="271"/>
      <c r="K19" s="271"/>
      <c r="L19" s="271"/>
      <c r="M19" s="271"/>
      <c r="N19" s="271"/>
      <c r="O19" s="271"/>
      <c r="P19" s="271"/>
      <c r="Q19" s="271"/>
      <c r="R19" s="271"/>
      <c r="S19" s="271"/>
      <c r="T19" s="271"/>
      <c r="U19" s="271"/>
      <c r="V19" s="271"/>
      <c r="W19" s="271"/>
      <c r="X19" s="271"/>
      <c r="Y19" s="271"/>
      <c r="Z19" s="271"/>
    </row>
    <row r="20" spans="1:26" s="61" customFormat="1" ht="18" customHeight="1">
      <c r="A20" s="250"/>
      <c r="B20" s="269"/>
      <c r="C20" s="82">
        <v>0.35</v>
      </c>
      <c r="D20" s="105"/>
      <c r="E20" s="105"/>
      <c r="F20" s="105"/>
      <c r="G20" s="106" cm="1">
        <f t="array" ref="G20">INDEX(data_ptslkpnts,MATCH(1,(data_ptslkpr=$C20)*(data_ptslkpt=Summary!$C$18),0))</f>
        <v>2</v>
      </c>
      <c r="H20" s="109" cm="1">
        <f t="array" ref="H20">INDEX(data_ptslkaw,MATCH(1,(data_ptslkpr=$C20)*(data_ptslkpt=Summary!$C$18),0))</f>
        <v>3</v>
      </c>
      <c r="I20" s="270"/>
      <c r="J20" s="271"/>
      <c r="K20" s="271"/>
      <c r="L20" s="271"/>
      <c r="M20" s="271"/>
      <c r="N20" s="271"/>
      <c r="O20" s="271"/>
      <c r="P20" s="271"/>
      <c r="Q20" s="271"/>
      <c r="R20" s="271"/>
      <c r="S20" s="271"/>
      <c r="T20" s="271"/>
      <c r="U20" s="271"/>
      <c r="V20" s="271"/>
      <c r="W20" s="271"/>
      <c r="X20" s="271"/>
      <c r="Y20" s="271"/>
      <c r="Z20" s="271"/>
    </row>
    <row r="21" spans="1:26" s="61" customFormat="1" ht="18" customHeight="1">
      <c r="A21" s="250"/>
      <c r="B21" s="269"/>
      <c r="C21" s="82">
        <v>0.4</v>
      </c>
      <c r="D21" s="105"/>
      <c r="E21" s="105"/>
      <c r="F21" s="105"/>
      <c r="G21" s="106" cm="1">
        <f t="array" ref="G21">INDEX(data_ptslkpnts,MATCH(1,(data_ptslkpr=$C21)*(data_ptslkpt=Summary!$C$18),0))</f>
        <v>3</v>
      </c>
      <c r="H21" s="109" cm="1">
        <f t="array" ref="H21">INDEX(data_ptslkaw,MATCH(1,(data_ptslkpr=$C21)*(data_ptslkpt=Summary!$C$18),0))</f>
        <v>4</v>
      </c>
      <c r="I21" s="270"/>
      <c r="J21" s="271"/>
      <c r="K21" s="271"/>
      <c r="L21" s="271"/>
      <c r="M21" s="271"/>
      <c r="N21" s="271"/>
      <c r="O21" s="271"/>
      <c r="P21" s="271"/>
      <c r="Q21" s="271"/>
      <c r="R21" s="271"/>
      <c r="S21" s="271"/>
      <c r="T21" s="271"/>
      <c r="U21" s="271"/>
      <c r="V21" s="271"/>
      <c r="W21" s="271"/>
      <c r="X21" s="271"/>
      <c r="Y21" s="271"/>
      <c r="Z21" s="271"/>
    </row>
    <row r="22" spans="1:26" s="61" customFormat="1" ht="18" customHeight="1">
      <c r="A22" s="250"/>
      <c r="B22" s="269"/>
      <c r="C22" s="82">
        <v>0.45</v>
      </c>
      <c r="D22" s="105"/>
      <c r="E22" s="105"/>
      <c r="F22" s="105"/>
      <c r="G22" s="106" cm="1">
        <f t="array" ref="G22">INDEX(data_ptslkpnts,MATCH(1,(data_ptslkpr=$C22)*(data_ptslkpt=Summary!$C$18),0))</f>
        <v>4</v>
      </c>
      <c r="H22" s="109" cm="1">
        <f t="array" ref="H22">INDEX(data_ptslkaw,MATCH(1,(data_ptslkpr=$C22)*(data_ptslkpt=Summary!$C$18),0))</f>
        <v>5</v>
      </c>
      <c r="I22" s="270"/>
      <c r="J22" s="271"/>
      <c r="K22" s="271"/>
      <c r="L22" s="271"/>
      <c r="M22" s="271"/>
      <c r="N22" s="271"/>
      <c r="O22" s="271"/>
      <c r="P22" s="271"/>
      <c r="Q22" s="271"/>
      <c r="R22" s="271"/>
      <c r="S22" s="271"/>
      <c r="T22" s="271"/>
      <c r="U22" s="271"/>
      <c r="V22" s="271"/>
      <c r="W22" s="271"/>
      <c r="X22" s="271"/>
      <c r="Y22" s="271"/>
      <c r="Z22" s="271"/>
    </row>
    <row r="23" spans="1:26" s="61" customFormat="1" ht="18" customHeight="1">
      <c r="A23" s="250"/>
      <c r="B23" s="269"/>
      <c r="C23" s="82">
        <v>0.5</v>
      </c>
      <c r="D23" s="105"/>
      <c r="E23" s="105"/>
      <c r="F23" s="105"/>
      <c r="G23" s="106" cm="1">
        <f t="array" ref="G23">INDEX(data_ptslkpnts,MATCH(1,(data_ptslkpr=$C23)*(data_ptslkpt=Summary!$C$18),0))</f>
        <v>5</v>
      </c>
      <c r="H23" s="109" cm="1">
        <f t="array" ref="H23">INDEX(data_ptslkaw,MATCH(1,(data_ptslkpr=$C23)*(data_ptslkpt=Summary!$C$18),0))</f>
        <v>6</v>
      </c>
      <c r="I23" s="270"/>
      <c r="J23" s="271"/>
      <c r="K23" s="271"/>
      <c r="L23" s="271"/>
      <c r="M23" s="271"/>
      <c r="N23" s="271"/>
      <c r="O23" s="271"/>
      <c r="P23" s="271"/>
      <c r="Q23" s="271"/>
      <c r="R23" s="271"/>
      <c r="S23" s="271"/>
      <c r="T23" s="271"/>
      <c r="U23" s="271"/>
      <c r="V23" s="271"/>
      <c r="W23" s="271"/>
      <c r="X23" s="271"/>
      <c r="Y23" s="271"/>
      <c r="Z23" s="271"/>
    </row>
    <row r="24" spans="1:26" s="61" customFormat="1" ht="18" customHeight="1">
      <c r="A24" s="250"/>
      <c r="B24" s="269"/>
      <c r="C24" s="82">
        <v>0.55000000000000004</v>
      </c>
      <c r="D24" s="105"/>
      <c r="E24" s="105"/>
      <c r="F24" s="105"/>
      <c r="G24" s="106" cm="1">
        <f t="array" ref="G24">INDEX(data_ptslkpnts,MATCH(1,(data_ptslkpr=$C24)*(data_ptslkpt=Summary!$C$18),0))</f>
        <v>6</v>
      </c>
      <c r="H24" s="109" cm="1">
        <f t="array" ref="H24">INDEX(data_ptslkaw,MATCH(1,(data_ptslkpr=$C24)*(data_ptslkpt=Summary!$C$18),0))</f>
        <v>7</v>
      </c>
      <c r="I24" s="270"/>
      <c r="J24" s="271"/>
      <c r="K24" s="271"/>
      <c r="L24" s="271"/>
      <c r="M24" s="271"/>
      <c r="N24" s="271"/>
      <c r="O24" s="271"/>
      <c r="P24" s="271"/>
      <c r="Q24" s="271"/>
      <c r="R24" s="271"/>
      <c r="S24" s="271"/>
      <c r="T24" s="271"/>
      <c r="U24" s="271"/>
      <c r="V24" s="271"/>
      <c r="W24" s="271"/>
      <c r="X24" s="271"/>
      <c r="Y24" s="271"/>
      <c r="Z24" s="271"/>
    </row>
    <row r="25" spans="1:26" s="61" customFormat="1" ht="18" customHeight="1">
      <c r="A25" s="250"/>
      <c r="B25" s="269"/>
      <c r="C25" s="82">
        <v>0.6</v>
      </c>
      <c r="D25" s="105"/>
      <c r="E25" s="105"/>
      <c r="F25" s="105"/>
      <c r="G25" s="106" cm="1">
        <f t="array" ref="G25">INDEX(data_ptslkpnts,MATCH(1,(data_ptslkpr=$C25)*(data_ptslkpt=Summary!$C$18),0))</f>
        <v>7</v>
      </c>
      <c r="H25" s="109" t="str" cm="1">
        <f t="array" ref="H25">INDEX(data_ptslkaw,MATCH(1,(data_ptslkpr=$C25)*(data_ptslkpt=Summary!$C$18),0))</f>
        <v>8 (only NC + IDC)</v>
      </c>
      <c r="I25" s="270"/>
      <c r="J25" s="271"/>
      <c r="K25" s="271"/>
      <c r="L25" s="271"/>
      <c r="M25" s="271"/>
      <c r="N25" s="271"/>
      <c r="O25" s="271"/>
      <c r="P25" s="271"/>
      <c r="Q25" s="271"/>
      <c r="R25" s="271"/>
      <c r="S25" s="271"/>
      <c r="T25" s="271"/>
      <c r="U25" s="271"/>
      <c r="V25" s="271"/>
      <c r="W25" s="271"/>
      <c r="X25" s="271"/>
      <c r="Y25" s="271"/>
      <c r="Z25" s="271"/>
    </row>
    <row r="26" spans="1:26" s="61" customFormat="1" ht="18" customHeight="1">
      <c r="A26" s="250"/>
      <c r="B26" s="269"/>
      <c r="C26" s="85">
        <v>0.65</v>
      </c>
      <c r="D26" s="72"/>
      <c r="E26" s="72"/>
      <c r="F26" s="72"/>
      <c r="G26" s="104" t="str" cm="1">
        <f t="array" ref="G26">INDEX(data_ptslkpnts,MATCH(1,(data_ptslkpr=$C26)*(data_ptslkpt=Summary!$C$18),0))</f>
        <v>8 (only NC + IDC)</v>
      </c>
      <c r="H26" s="110" t="str" cm="1">
        <f t="array" ref="H26">INDEX(data_ptslkaw,MATCH(1,(data_ptslkpr=$C26)*(data_ptslkpt=Summary!$C$18),0))</f>
        <v>EP (only NC)</v>
      </c>
      <c r="I26" s="270"/>
      <c r="J26" s="271"/>
      <c r="K26" s="271"/>
      <c r="L26" s="271"/>
      <c r="M26" s="271"/>
      <c r="N26" s="271"/>
      <c r="O26" s="271"/>
      <c r="P26" s="271"/>
      <c r="Q26" s="271"/>
      <c r="R26" s="271"/>
      <c r="S26" s="271"/>
      <c r="T26" s="271"/>
      <c r="U26" s="271"/>
      <c r="V26" s="271"/>
      <c r="W26" s="271"/>
      <c r="X26" s="271"/>
      <c r="Y26" s="271"/>
      <c r="Z26" s="271"/>
    </row>
    <row r="27" spans="1:26" s="61" customFormat="1" ht="18" customHeight="1">
      <c r="A27" s="250"/>
      <c r="B27" s="269"/>
      <c r="C27" s="111">
        <v>1</v>
      </c>
      <c r="D27" s="112"/>
      <c r="E27" s="112"/>
      <c r="F27" s="112"/>
      <c r="G27" s="113" t="str">
        <f>G26</f>
        <v>8 (only NC + IDC)</v>
      </c>
      <c r="H27" s="113" t="str">
        <f>H26</f>
        <v>EP (only NC)</v>
      </c>
      <c r="I27" s="270"/>
      <c r="J27" s="271"/>
      <c r="K27" s="271"/>
      <c r="L27" s="271"/>
      <c r="M27" s="271"/>
      <c r="N27" s="271"/>
      <c r="O27" s="271"/>
      <c r="P27" s="271"/>
      <c r="Q27" s="271"/>
      <c r="R27" s="271"/>
      <c r="S27" s="271"/>
      <c r="T27" s="271"/>
      <c r="U27" s="271"/>
      <c r="V27" s="271"/>
      <c r="W27" s="271"/>
      <c r="X27" s="271"/>
      <c r="Y27" s="271"/>
      <c r="Z27" s="271"/>
    </row>
    <row r="28" spans="1:26" ht="18" customHeight="1">
      <c r="A28" s="250"/>
      <c r="B28" s="65"/>
      <c r="C28" s="23"/>
      <c r="D28" s="23"/>
      <c r="E28" s="23"/>
      <c r="F28" s="23"/>
      <c r="G28" s="23"/>
      <c r="H28" s="23"/>
      <c r="I28" s="66"/>
      <c r="J28" s="138"/>
      <c r="K28" s="138"/>
      <c r="L28" s="138"/>
      <c r="M28" s="138"/>
      <c r="N28" s="138"/>
      <c r="O28" s="138"/>
      <c r="P28" s="138"/>
      <c r="Q28" s="138"/>
      <c r="R28" s="138"/>
      <c r="S28" s="138"/>
      <c r="T28" s="138"/>
      <c r="U28" s="138"/>
      <c r="V28" s="138"/>
      <c r="W28" s="138"/>
      <c r="X28" s="138"/>
      <c r="Y28" s="138"/>
      <c r="Z28" s="138"/>
    </row>
    <row r="29" spans="1:26" ht="18" customHeight="1">
      <c r="A29" s="250"/>
      <c r="B29" s="138"/>
      <c r="C29" s="138"/>
      <c r="D29" s="138"/>
      <c r="E29" s="138"/>
      <c r="F29" s="138"/>
      <c r="G29" s="138"/>
      <c r="H29" s="138"/>
      <c r="I29" s="138"/>
      <c r="J29" s="138"/>
      <c r="K29" s="138"/>
      <c r="L29" s="138"/>
      <c r="M29" s="138"/>
      <c r="N29" s="138"/>
      <c r="O29" s="138"/>
      <c r="P29" s="138"/>
      <c r="Q29" s="138"/>
      <c r="R29" s="138"/>
      <c r="S29" s="138"/>
      <c r="T29" s="138"/>
      <c r="U29" s="138"/>
      <c r="V29" s="138"/>
      <c r="W29" s="138"/>
      <c r="X29" s="138"/>
      <c r="Y29" s="138"/>
      <c r="Z29" s="138"/>
    </row>
    <row r="30" spans="1:26" ht="18" customHeight="1">
      <c r="A30" s="250"/>
      <c r="B30" s="118"/>
      <c r="C30" s="138"/>
      <c r="D30" s="138"/>
      <c r="E30" s="138"/>
      <c r="F30" s="138"/>
      <c r="G30" s="138"/>
      <c r="H30" s="138"/>
      <c r="I30" s="138"/>
      <c r="J30" s="138"/>
      <c r="K30" s="138"/>
      <c r="L30" s="138"/>
      <c r="M30" s="138"/>
      <c r="N30" s="138"/>
      <c r="O30" s="138"/>
      <c r="P30" s="138"/>
      <c r="Q30" s="138"/>
      <c r="R30" s="138"/>
      <c r="S30" s="138"/>
      <c r="T30" s="138"/>
      <c r="U30" s="138"/>
      <c r="V30" s="138"/>
      <c r="W30" s="138"/>
      <c r="X30" s="138"/>
      <c r="Y30" s="138"/>
      <c r="Z30" s="138"/>
    </row>
    <row r="31" spans="1:26" ht="18" customHeight="1">
      <c r="A31" s="250"/>
      <c r="B31" s="118"/>
      <c r="C31" s="138"/>
      <c r="D31" s="138"/>
      <c r="E31" s="138"/>
      <c r="F31" s="138"/>
      <c r="G31" s="138"/>
      <c r="H31" s="138"/>
      <c r="I31" s="138"/>
      <c r="J31" s="138"/>
      <c r="K31" s="138"/>
      <c r="L31" s="138"/>
      <c r="M31" s="138"/>
      <c r="N31" s="138"/>
      <c r="O31" s="138"/>
      <c r="P31" s="138"/>
      <c r="Q31" s="138"/>
      <c r="R31" s="138"/>
      <c r="S31" s="138"/>
      <c r="T31" s="138"/>
      <c r="U31" s="138"/>
      <c r="V31" s="138"/>
      <c r="W31" s="138"/>
      <c r="X31" s="138"/>
      <c r="Y31" s="138"/>
      <c r="Z31" s="138"/>
    </row>
    <row r="32" spans="1:26" ht="18" customHeight="1">
      <c r="A32" s="250"/>
      <c r="B32" s="118"/>
      <c r="C32" s="138"/>
      <c r="D32" s="138"/>
      <c r="E32" s="138"/>
      <c r="F32" s="138"/>
      <c r="G32" s="138"/>
      <c r="H32" s="138"/>
      <c r="I32" s="138"/>
      <c r="J32" s="138"/>
      <c r="K32" s="138"/>
      <c r="L32" s="138"/>
      <c r="M32" s="138"/>
      <c r="N32" s="138"/>
      <c r="O32" s="138"/>
      <c r="P32" s="138"/>
      <c r="Q32" s="138"/>
      <c r="R32" s="138"/>
      <c r="S32" s="138"/>
      <c r="T32" s="138"/>
      <c r="U32" s="138"/>
      <c r="V32" s="138"/>
      <c r="W32" s="138"/>
      <c r="X32" s="138"/>
      <c r="Y32" s="138"/>
      <c r="Z32" s="138"/>
    </row>
    <row r="33" spans="1:26" ht="18" customHeight="1">
      <c r="A33" s="250"/>
      <c r="B33" s="118"/>
      <c r="C33" s="138"/>
      <c r="D33" s="138"/>
      <c r="E33" s="138"/>
      <c r="F33" s="138"/>
      <c r="G33" s="138"/>
      <c r="H33" s="138"/>
      <c r="I33" s="138"/>
      <c r="J33" s="138"/>
      <c r="K33" s="138"/>
      <c r="L33" s="138"/>
      <c r="M33" s="138"/>
      <c r="N33" s="138"/>
      <c r="O33" s="138"/>
      <c r="P33" s="138"/>
      <c r="Q33" s="138"/>
      <c r="R33" s="138"/>
      <c r="S33" s="138"/>
      <c r="T33" s="138"/>
      <c r="U33" s="138"/>
      <c r="V33" s="138"/>
      <c r="W33" s="138"/>
      <c r="X33" s="138"/>
      <c r="Y33" s="138"/>
      <c r="Z33" s="138"/>
    </row>
    <row r="34" spans="1:26" ht="18" customHeight="1">
      <c r="A34" s="250"/>
      <c r="B34" s="118"/>
      <c r="C34" s="138"/>
      <c r="D34" s="138"/>
      <c r="E34" s="138"/>
      <c r="F34" s="138"/>
      <c r="G34" s="138"/>
      <c r="H34" s="138"/>
      <c r="I34" s="138"/>
      <c r="J34" s="138"/>
      <c r="K34" s="138"/>
      <c r="L34" s="138"/>
      <c r="M34" s="138"/>
      <c r="N34" s="138"/>
      <c r="O34" s="138"/>
      <c r="P34" s="138"/>
      <c r="Q34" s="138"/>
      <c r="R34" s="138"/>
      <c r="S34" s="138"/>
      <c r="T34" s="138"/>
      <c r="U34" s="138"/>
      <c r="V34" s="138"/>
      <c r="W34" s="138"/>
      <c r="X34" s="138"/>
      <c r="Y34" s="138"/>
      <c r="Z34" s="138"/>
    </row>
    <row r="35" spans="1:26" ht="18" customHeight="1">
      <c r="A35" s="250"/>
      <c r="B35" s="118"/>
      <c r="C35" s="138"/>
      <c r="D35" s="138"/>
      <c r="E35" s="138"/>
      <c r="F35" s="138"/>
      <c r="G35" s="138"/>
      <c r="H35" s="138"/>
      <c r="I35" s="138"/>
      <c r="J35" s="138"/>
      <c r="K35" s="138"/>
      <c r="L35" s="138"/>
      <c r="M35" s="138"/>
      <c r="N35" s="138"/>
      <c r="O35" s="138"/>
      <c r="P35" s="138"/>
      <c r="Q35" s="138"/>
      <c r="R35" s="138"/>
      <c r="S35" s="138"/>
      <c r="T35" s="138"/>
      <c r="U35" s="138"/>
      <c r="V35" s="138"/>
      <c r="W35" s="138"/>
      <c r="X35" s="138"/>
      <c r="Y35" s="138"/>
      <c r="Z35" s="138"/>
    </row>
    <row r="36" spans="1:26" ht="18" customHeight="1">
      <c r="A36" s="250"/>
      <c r="B36" s="118"/>
      <c r="C36" s="138"/>
      <c r="D36" s="138"/>
      <c r="E36" s="138"/>
      <c r="F36" s="138"/>
      <c r="G36" s="138"/>
      <c r="H36" s="138"/>
      <c r="I36" s="138"/>
      <c r="J36" s="138"/>
      <c r="K36" s="138"/>
      <c r="L36" s="138"/>
      <c r="M36" s="138"/>
      <c r="N36" s="138"/>
      <c r="O36" s="138"/>
      <c r="P36" s="138"/>
      <c r="Q36" s="138"/>
      <c r="R36" s="138"/>
      <c r="S36" s="138"/>
      <c r="T36" s="138"/>
      <c r="U36" s="138"/>
      <c r="V36" s="138"/>
      <c r="W36" s="138"/>
      <c r="X36" s="138"/>
      <c r="Y36" s="138"/>
      <c r="Z36" s="138"/>
    </row>
    <row r="37" spans="1:26" ht="18" customHeight="1">
      <c r="A37" s="250"/>
      <c r="B37" s="118"/>
      <c r="C37" s="138"/>
      <c r="D37" s="138"/>
      <c r="E37" s="138"/>
      <c r="F37" s="138"/>
      <c r="G37" s="138"/>
      <c r="H37" s="138"/>
      <c r="I37" s="138"/>
      <c r="J37" s="138"/>
      <c r="K37" s="138"/>
      <c r="L37" s="138"/>
      <c r="M37" s="138"/>
      <c r="N37" s="138"/>
      <c r="O37" s="138"/>
      <c r="P37" s="138"/>
      <c r="Q37" s="138"/>
      <c r="R37" s="138"/>
      <c r="S37" s="138"/>
      <c r="T37" s="138"/>
      <c r="U37" s="138"/>
      <c r="V37" s="138"/>
      <c r="W37" s="138"/>
      <c r="X37" s="138"/>
      <c r="Y37" s="138"/>
      <c r="Z37" s="138"/>
    </row>
    <row r="38" spans="1:26" ht="18" customHeight="1">
      <c r="A38" s="250"/>
      <c r="B38" s="118"/>
      <c r="C38" s="138"/>
      <c r="D38" s="138"/>
      <c r="E38" s="138"/>
      <c r="F38" s="138"/>
      <c r="G38" s="138"/>
      <c r="H38" s="138"/>
      <c r="I38" s="138"/>
      <c r="J38" s="138"/>
      <c r="K38" s="138"/>
      <c r="L38" s="138"/>
      <c r="M38" s="138"/>
      <c r="N38" s="138"/>
      <c r="O38" s="138"/>
      <c r="P38" s="138"/>
      <c r="Q38" s="138"/>
      <c r="R38" s="138"/>
      <c r="S38" s="138"/>
      <c r="T38" s="138"/>
      <c r="U38" s="138"/>
      <c r="V38" s="138"/>
      <c r="W38" s="138"/>
      <c r="X38" s="138"/>
      <c r="Y38" s="138"/>
      <c r="Z38" s="138"/>
    </row>
    <row r="39" spans="1:26" ht="18" customHeight="1">
      <c r="A39" s="250"/>
      <c r="B39" s="118"/>
      <c r="C39" s="138"/>
      <c r="D39" s="138"/>
      <c r="E39" s="138"/>
      <c r="F39" s="138"/>
      <c r="G39" s="138"/>
      <c r="H39" s="138"/>
      <c r="I39" s="138"/>
      <c r="J39" s="138"/>
      <c r="K39" s="138"/>
      <c r="L39" s="138"/>
      <c r="M39" s="138"/>
      <c r="N39" s="138"/>
      <c r="O39" s="138"/>
      <c r="P39" s="138"/>
      <c r="Q39" s="138"/>
      <c r="R39" s="138"/>
      <c r="S39" s="138"/>
      <c r="T39" s="138"/>
      <c r="U39" s="138"/>
      <c r="V39" s="138"/>
      <c r="W39" s="138"/>
      <c r="X39" s="138"/>
      <c r="Y39" s="138"/>
      <c r="Z39" s="138"/>
    </row>
    <row r="40" spans="1:26" ht="18" customHeight="1">
      <c r="A40" s="250"/>
      <c r="B40" s="118"/>
      <c r="C40" s="138"/>
      <c r="D40" s="138"/>
      <c r="E40" s="138"/>
      <c r="F40" s="138"/>
      <c r="G40" s="138"/>
      <c r="H40" s="138"/>
      <c r="I40" s="138"/>
      <c r="J40" s="138"/>
      <c r="K40" s="138"/>
      <c r="L40" s="138"/>
      <c r="M40" s="138"/>
      <c r="N40" s="138"/>
      <c r="O40" s="138"/>
      <c r="P40" s="138"/>
      <c r="Q40" s="138"/>
      <c r="R40" s="138"/>
      <c r="S40" s="138"/>
      <c r="T40" s="138"/>
      <c r="U40" s="138"/>
      <c r="V40" s="138"/>
      <c r="W40" s="138"/>
      <c r="X40" s="138"/>
      <c r="Y40" s="138"/>
      <c r="Z40" s="138"/>
    </row>
    <row r="41" spans="1:26" ht="18" customHeight="1">
      <c r="A41" s="250"/>
      <c r="B41" s="118"/>
      <c r="C41" s="138"/>
      <c r="D41" s="138"/>
      <c r="E41" s="138"/>
      <c r="F41" s="138"/>
      <c r="G41" s="138"/>
      <c r="H41" s="138"/>
      <c r="I41" s="138"/>
      <c r="J41" s="138"/>
      <c r="K41" s="138"/>
      <c r="L41" s="138"/>
      <c r="M41" s="138"/>
      <c r="N41" s="138"/>
      <c r="O41" s="138"/>
      <c r="P41" s="138"/>
      <c r="Q41" s="138"/>
      <c r="R41" s="138"/>
      <c r="S41" s="138"/>
      <c r="T41" s="138"/>
      <c r="U41" s="138"/>
      <c r="V41" s="138"/>
      <c r="W41" s="138"/>
      <c r="X41" s="138"/>
      <c r="Y41" s="138"/>
      <c r="Z41" s="138"/>
    </row>
    <row r="42" spans="1:26" ht="18" customHeight="1">
      <c r="A42" s="250"/>
      <c r="B42" s="118"/>
      <c r="C42" s="138"/>
      <c r="D42" s="138"/>
      <c r="E42" s="138"/>
      <c r="F42" s="138"/>
      <c r="G42" s="138"/>
      <c r="H42" s="138"/>
      <c r="I42" s="138"/>
      <c r="J42" s="138"/>
      <c r="K42" s="138"/>
      <c r="L42" s="138"/>
      <c r="M42" s="138"/>
      <c r="N42" s="138"/>
      <c r="O42" s="138"/>
      <c r="P42" s="138"/>
      <c r="Q42" s="138"/>
      <c r="R42" s="138"/>
      <c r="S42" s="138"/>
      <c r="T42" s="138"/>
      <c r="U42" s="138"/>
      <c r="V42" s="138"/>
      <c r="W42" s="138"/>
      <c r="X42" s="138"/>
      <c r="Y42" s="138"/>
      <c r="Z42" s="138"/>
    </row>
    <row r="43" spans="1:26" ht="18" customHeight="1">
      <c r="A43" s="250"/>
      <c r="B43" s="118"/>
      <c r="C43" s="138"/>
      <c r="D43" s="138"/>
      <c r="E43" s="138"/>
      <c r="F43" s="138"/>
      <c r="G43" s="138"/>
      <c r="H43" s="138"/>
      <c r="I43" s="138"/>
      <c r="J43" s="138"/>
      <c r="K43" s="138"/>
      <c r="L43" s="138"/>
      <c r="M43" s="138"/>
      <c r="N43" s="138"/>
      <c r="O43" s="138"/>
      <c r="P43" s="138"/>
      <c r="Q43" s="138"/>
      <c r="R43" s="138"/>
      <c r="S43" s="138"/>
      <c r="T43" s="138"/>
      <c r="U43" s="138"/>
      <c r="V43" s="138"/>
      <c r="W43" s="138"/>
      <c r="X43" s="138"/>
      <c r="Y43" s="138"/>
      <c r="Z43" s="138"/>
    </row>
    <row r="44" spans="1:26" ht="18" customHeight="1">
      <c r="A44" s="250"/>
      <c r="B44" s="118"/>
      <c r="C44" s="138"/>
      <c r="D44" s="138"/>
      <c r="E44" s="138"/>
      <c r="F44" s="138"/>
      <c r="G44" s="138"/>
      <c r="H44" s="138"/>
      <c r="I44" s="138"/>
      <c r="J44" s="138"/>
      <c r="K44" s="138"/>
      <c r="L44" s="138"/>
      <c r="M44" s="138"/>
      <c r="N44" s="138"/>
      <c r="O44" s="138"/>
      <c r="P44" s="138"/>
      <c r="Q44" s="138"/>
      <c r="R44" s="138"/>
      <c r="S44" s="138"/>
      <c r="T44" s="138"/>
      <c r="U44" s="138"/>
      <c r="V44" s="138"/>
      <c r="W44" s="138"/>
      <c r="X44" s="138"/>
      <c r="Y44" s="138"/>
      <c r="Z44" s="138"/>
    </row>
    <row r="45" spans="1:26" ht="18" customHeight="1">
      <c r="A45" s="250"/>
      <c r="B45" s="118"/>
      <c r="C45" s="138"/>
      <c r="D45" s="138"/>
      <c r="E45" s="138"/>
      <c r="F45" s="138"/>
      <c r="G45" s="138"/>
      <c r="H45" s="138"/>
      <c r="I45" s="138"/>
      <c r="J45" s="138"/>
      <c r="K45" s="138"/>
      <c r="L45" s="138"/>
      <c r="M45" s="138"/>
      <c r="N45" s="138"/>
      <c r="O45" s="138"/>
      <c r="P45" s="138"/>
      <c r="Q45" s="138"/>
      <c r="R45" s="138"/>
      <c r="S45" s="138"/>
      <c r="T45" s="138"/>
      <c r="U45" s="138"/>
      <c r="V45" s="138"/>
      <c r="W45" s="138"/>
      <c r="X45" s="138"/>
      <c r="Y45" s="138"/>
      <c r="Z45" s="138"/>
    </row>
    <row r="46" spans="1:26" ht="18" customHeight="1">
      <c r="A46" s="250"/>
      <c r="B46" s="118"/>
      <c r="C46" s="138"/>
      <c r="D46" s="138"/>
      <c r="E46" s="138"/>
      <c r="F46" s="138"/>
      <c r="G46" s="138"/>
      <c r="H46" s="138"/>
      <c r="I46" s="138"/>
      <c r="J46" s="138"/>
      <c r="K46" s="138"/>
      <c r="L46" s="138"/>
      <c r="M46" s="138"/>
      <c r="N46" s="138"/>
      <c r="O46" s="138"/>
      <c r="P46" s="138"/>
      <c r="Q46" s="138"/>
      <c r="R46" s="138"/>
      <c r="S46" s="138"/>
      <c r="T46" s="138"/>
      <c r="U46" s="138"/>
      <c r="V46" s="138"/>
      <c r="W46" s="138"/>
      <c r="X46" s="138"/>
      <c r="Y46" s="138"/>
      <c r="Z46" s="138"/>
    </row>
    <row r="47" spans="1:26" ht="18" customHeight="1">
      <c r="A47" s="250"/>
      <c r="B47" s="118"/>
      <c r="C47" s="138"/>
      <c r="D47" s="138"/>
      <c r="E47" s="138"/>
      <c r="F47" s="138"/>
      <c r="G47" s="138"/>
      <c r="H47" s="138"/>
      <c r="I47" s="138"/>
      <c r="J47" s="138"/>
      <c r="K47" s="138"/>
      <c r="L47" s="138"/>
      <c r="M47" s="138"/>
      <c r="N47" s="138"/>
      <c r="O47" s="138"/>
      <c r="P47" s="138"/>
      <c r="Q47" s="138"/>
      <c r="R47" s="138"/>
      <c r="S47" s="138"/>
      <c r="T47" s="138"/>
      <c r="U47" s="138"/>
      <c r="V47" s="138"/>
      <c r="W47" s="138"/>
      <c r="X47" s="138"/>
      <c r="Y47" s="138"/>
      <c r="Z47" s="138"/>
    </row>
    <row r="48" spans="1:26" ht="18" customHeight="1">
      <c r="A48" s="250"/>
      <c r="B48" s="118"/>
      <c r="C48" s="138"/>
      <c r="D48" s="138"/>
      <c r="E48" s="138"/>
      <c r="F48" s="138"/>
      <c r="G48" s="138"/>
      <c r="H48" s="138"/>
      <c r="I48" s="138"/>
      <c r="J48" s="138"/>
      <c r="K48" s="138"/>
      <c r="L48" s="138"/>
      <c r="M48" s="138"/>
      <c r="N48" s="138"/>
      <c r="O48" s="138"/>
      <c r="P48" s="138"/>
      <c r="Q48" s="138"/>
      <c r="R48" s="138"/>
      <c r="S48" s="138"/>
      <c r="T48" s="138"/>
      <c r="U48" s="138"/>
      <c r="V48" s="138"/>
      <c r="W48" s="138"/>
      <c r="X48" s="138"/>
      <c r="Y48" s="138"/>
      <c r="Z48" s="138"/>
    </row>
    <row r="49" spans="1:26" ht="18" customHeight="1">
      <c r="A49" s="250"/>
      <c r="B49" s="118"/>
      <c r="C49" s="138"/>
      <c r="D49" s="138"/>
      <c r="E49" s="138"/>
      <c r="F49" s="138"/>
      <c r="G49" s="138"/>
      <c r="H49" s="138"/>
      <c r="I49" s="138"/>
      <c r="J49" s="138"/>
      <c r="K49" s="138"/>
      <c r="L49" s="138"/>
      <c r="M49" s="138"/>
      <c r="N49" s="138"/>
      <c r="O49" s="138"/>
      <c r="P49" s="138"/>
      <c r="Q49" s="138"/>
      <c r="R49" s="138"/>
      <c r="S49" s="138"/>
      <c r="T49" s="138"/>
      <c r="U49" s="138"/>
      <c r="V49" s="138"/>
      <c r="W49" s="138"/>
      <c r="X49" s="138"/>
      <c r="Y49" s="138"/>
      <c r="Z49" s="138"/>
    </row>
    <row r="50" spans="1:26" ht="18" customHeight="1">
      <c r="A50" s="250"/>
      <c r="B50" s="118"/>
      <c r="C50" s="138"/>
      <c r="D50" s="138"/>
      <c r="E50" s="138"/>
      <c r="F50" s="138"/>
      <c r="G50" s="138"/>
      <c r="H50" s="138"/>
      <c r="I50" s="138"/>
      <c r="J50" s="138"/>
      <c r="K50" s="138"/>
      <c r="L50" s="138"/>
      <c r="M50" s="138"/>
      <c r="N50" s="138"/>
      <c r="O50" s="138"/>
      <c r="P50" s="138"/>
      <c r="Q50" s="138"/>
      <c r="R50" s="138"/>
      <c r="S50" s="138"/>
      <c r="T50" s="138"/>
      <c r="U50" s="138"/>
      <c r="V50" s="138"/>
      <c r="W50" s="138"/>
      <c r="X50" s="138"/>
      <c r="Y50" s="138"/>
      <c r="Z50" s="138"/>
    </row>
    <row r="51" spans="1:26" ht="18" customHeight="1">
      <c r="A51" s="250"/>
      <c r="B51" s="118"/>
      <c r="C51" s="138"/>
      <c r="D51" s="138"/>
      <c r="E51" s="138"/>
      <c r="F51" s="138"/>
      <c r="G51" s="138"/>
      <c r="H51" s="138"/>
      <c r="I51" s="138"/>
      <c r="J51" s="138"/>
      <c r="K51" s="138"/>
      <c r="L51" s="138"/>
      <c r="M51" s="138"/>
      <c r="N51" s="138"/>
      <c r="O51" s="138"/>
      <c r="P51" s="138"/>
      <c r="Q51" s="138"/>
      <c r="R51" s="138"/>
      <c r="S51" s="138"/>
      <c r="T51" s="138"/>
      <c r="U51" s="138"/>
      <c r="V51" s="138"/>
      <c r="W51" s="138"/>
      <c r="X51" s="138"/>
      <c r="Y51" s="138"/>
      <c r="Z51" s="138"/>
    </row>
    <row r="52" spans="1:26" ht="18" customHeight="1">
      <c r="A52" s="250"/>
      <c r="B52" s="250"/>
      <c r="C52" s="138"/>
      <c r="D52" s="138"/>
      <c r="E52" s="138"/>
      <c r="F52" s="138"/>
      <c r="G52" s="138"/>
      <c r="H52" s="138"/>
      <c r="I52" s="138"/>
      <c r="J52" s="138"/>
      <c r="K52" s="138"/>
      <c r="L52" s="138"/>
      <c r="M52" s="138"/>
      <c r="N52" s="138"/>
      <c r="O52" s="138"/>
      <c r="P52" s="138"/>
      <c r="Q52" s="138"/>
      <c r="R52" s="138"/>
      <c r="S52" s="138"/>
      <c r="T52" s="138"/>
      <c r="U52" s="138"/>
      <c r="V52" s="138"/>
      <c r="W52" s="138"/>
      <c r="X52" s="138"/>
      <c r="Y52" s="138"/>
      <c r="Z52" s="138"/>
    </row>
    <row r="53" spans="1:26" ht="18" customHeight="1">
      <c r="A53" s="250"/>
      <c r="B53" s="250"/>
      <c r="C53" s="138"/>
      <c r="D53" s="138"/>
      <c r="E53" s="138"/>
      <c r="F53" s="138"/>
      <c r="G53" s="138"/>
      <c r="H53" s="138"/>
      <c r="I53" s="138"/>
      <c r="J53" s="138"/>
      <c r="K53" s="138"/>
      <c r="L53" s="138"/>
      <c r="M53" s="138"/>
      <c r="N53" s="138"/>
      <c r="O53" s="138"/>
      <c r="P53" s="138"/>
      <c r="Q53" s="138"/>
      <c r="R53" s="138"/>
      <c r="S53" s="138"/>
      <c r="T53" s="138"/>
      <c r="U53" s="138"/>
      <c r="V53" s="138"/>
      <c r="W53" s="138"/>
      <c r="X53" s="138"/>
      <c r="Y53" s="138"/>
      <c r="Z53" s="138"/>
    </row>
    <row r="54" spans="1:26" ht="18" customHeight="1">
      <c r="A54" s="250"/>
      <c r="B54" s="250"/>
      <c r="C54" s="138"/>
      <c r="D54" s="138"/>
      <c r="E54" s="138"/>
      <c r="F54" s="138"/>
      <c r="G54" s="138"/>
      <c r="H54" s="138"/>
      <c r="I54" s="138"/>
      <c r="J54" s="138"/>
      <c r="K54" s="138"/>
      <c r="L54" s="138"/>
      <c r="M54" s="138"/>
      <c r="N54" s="138"/>
      <c r="O54" s="138"/>
      <c r="P54" s="138"/>
      <c r="Q54" s="138"/>
      <c r="R54" s="138"/>
      <c r="S54" s="138"/>
      <c r="T54" s="138"/>
      <c r="U54" s="138"/>
      <c r="V54" s="138"/>
      <c r="W54" s="138"/>
      <c r="X54" s="138"/>
      <c r="Y54" s="138"/>
      <c r="Z54" s="138"/>
    </row>
    <row r="55" spans="1:26" ht="18" customHeight="1">
      <c r="A55" s="250"/>
      <c r="B55" s="250"/>
      <c r="C55" s="138"/>
      <c r="D55" s="138"/>
      <c r="E55" s="138"/>
      <c r="F55" s="138"/>
      <c r="G55" s="138"/>
      <c r="H55" s="138"/>
      <c r="I55" s="138"/>
      <c r="J55" s="138"/>
      <c r="K55" s="138"/>
      <c r="L55" s="138"/>
      <c r="M55" s="138"/>
      <c r="N55" s="138"/>
      <c r="O55" s="138"/>
      <c r="P55" s="138"/>
      <c r="Q55" s="138"/>
      <c r="R55" s="138"/>
      <c r="S55" s="138"/>
      <c r="T55" s="138"/>
      <c r="U55" s="138"/>
      <c r="V55" s="138"/>
      <c r="W55" s="138"/>
      <c r="X55" s="138"/>
      <c r="Y55" s="138"/>
      <c r="Z55" s="138"/>
    </row>
    <row r="56" spans="1:26" ht="18" customHeight="1">
      <c r="A56" s="250"/>
      <c r="B56" s="250"/>
      <c r="C56" s="138"/>
      <c r="D56" s="138"/>
      <c r="E56" s="138"/>
      <c r="F56" s="138"/>
      <c r="G56" s="138"/>
      <c r="H56" s="138"/>
      <c r="I56" s="138"/>
      <c r="J56" s="138"/>
      <c r="K56" s="138"/>
      <c r="L56" s="138"/>
      <c r="M56" s="138"/>
      <c r="N56" s="138"/>
      <c r="O56" s="138"/>
      <c r="P56" s="138"/>
      <c r="Q56" s="138"/>
      <c r="R56" s="138"/>
      <c r="S56" s="138"/>
      <c r="T56" s="138"/>
      <c r="U56" s="138"/>
      <c r="V56" s="138"/>
      <c r="W56" s="138"/>
      <c r="X56" s="138"/>
      <c r="Y56" s="138"/>
      <c r="Z56" s="138"/>
    </row>
    <row r="57" spans="1:26" ht="18" customHeight="1">
      <c r="A57" s="250"/>
      <c r="B57" s="138"/>
      <c r="C57" s="138"/>
      <c r="D57" s="138"/>
      <c r="E57" s="138"/>
      <c r="F57" s="138"/>
      <c r="G57" s="138"/>
      <c r="H57" s="138"/>
      <c r="I57" s="138"/>
      <c r="J57" s="138"/>
      <c r="K57" s="138"/>
      <c r="L57" s="138"/>
      <c r="M57" s="138"/>
      <c r="N57" s="138"/>
      <c r="O57" s="138"/>
      <c r="P57" s="138"/>
      <c r="Q57" s="138"/>
      <c r="R57" s="138"/>
      <c r="S57" s="138"/>
      <c r="T57" s="138"/>
      <c r="U57" s="138"/>
      <c r="V57" s="138"/>
      <c r="W57" s="138"/>
      <c r="X57" s="138"/>
      <c r="Y57" s="138"/>
      <c r="Z57" s="138"/>
    </row>
    <row r="58" spans="1:26" ht="18" customHeight="1">
      <c r="A58" s="250"/>
      <c r="B58" s="138"/>
      <c r="C58" s="138"/>
      <c r="D58" s="138"/>
      <c r="E58" s="138"/>
      <c r="F58" s="138"/>
      <c r="G58" s="138"/>
      <c r="H58" s="138"/>
      <c r="I58" s="138"/>
      <c r="J58" s="138"/>
      <c r="K58" s="138"/>
      <c r="L58" s="138"/>
      <c r="M58" s="138"/>
      <c r="N58" s="138"/>
      <c r="O58" s="138"/>
      <c r="P58" s="138"/>
      <c r="Q58" s="138"/>
      <c r="R58" s="138"/>
      <c r="S58" s="138"/>
      <c r="T58" s="138"/>
      <c r="U58" s="138"/>
      <c r="V58" s="138"/>
      <c r="W58" s="138"/>
      <c r="X58" s="138"/>
      <c r="Y58" s="138"/>
      <c r="Z58" s="138"/>
    </row>
    <row r="59" spans="1:26" ht="18" customHeight="1">
      <c r="A59" s="250"/>
      <c r="B59" s="138"/>
      <c r="C59" s="138"/>
      <c r="D59" s="138"/>
      <c r="E59" s="138"/>
      <c r="F59" s="138"/>
      <c r="G59" s="138"/>
      <c r="H59" s="138"/>
      <c r="I59" s="138"/>
      <c r="J59" s="138"/>
      <c r="K59" s="138"/>
      <c r="L59" s="138"/>
      <c r="M59" s="138"/>
      <c r="N59" s="138"/>
      <c r="O59" s="138"/>
      <c r="P59" s="138"/>
      <c r="Q59" s="138"/>
      <c r="R59" s="138"/>
      <c r="S59" s="138"/>
      <c r="T59" s="138"/>
      <c r="U59" s="138"/>
      <c r="V59" s="138"/>
      <c r="W59" s="138"/>
      <c r="X59" s="138"/>
      <c r="Y59" s="138"/>
      <c r="Z59" s="138"/>
    </row>
    <row r="60" spans="1:26" ht="18" customHeight="1">
      <c r="A60" s="250"/>
      <c r="B60" s="138"/>
      <c r="C60" s="138"/>
      <c r="D60" s="138"/>
      <c r="E60" s="138"/>
      <c r="F60" s="138"/>
      <c r="G60" s="138"/>
      <c r="H60" s="138"/>
      <c r="I60" s="138"/>
      <c r="J60" s="138"/>
      <c r="K60" s="138"/>
      <c r="L60" s="138"/>
      <c r="M60" s="138"/>
      <c r="N60" s="138"/>
      <c r="O60" s="138"/>
      <c r="P60" s="138"/>
      <c r="Q60" s="138"/>
      <c r="R60" s="138"/>
      <c r="S60" s="138"/>
      <c r="T60" s="138"/>
      <c r="U60" s="138"/>
      <c r="V60" s="138"/>
      <c r="W60" s="138"/>
      <c r="X60" s="138"/>
      <c r="Y60" s="138"/>
      <c r="Z60" s="138"/>
    </row>
    <row r="61" spans="1:26" ht="18" customHeight="1">
      <c r="A61" s="250"/>
      <c r="B61" s="138"/>
      <c r="C61" s="138"/>
      <c r="D61" s="138"/>
      <c r="E61" s="138"/>
      <c r="F61" s="138"/>
      <c r="G61" s="138"/>
      <c r="H61" s="138"/>
      <c r="I61" s="138"/>
      <c r="J61" s="138"/>
      <c r="K61" s="138"/>
      <c r="L61" s="138"/>
      <c r="M61" s="138"/>
      <c r="N61" s="138"/>
      <c r="O61" s="138"/>
      <c r="P61" s="138"/>
      <c r="Q61" s="138"/>
      <c r="R61" s="138"/>
      <c r="S61" s="138"/>
      <c r="T61" s="138"/>
      <c r="U61" s="138"/>
      <c r="V61" s="138"/>
      <c r="W61" s="138"/>
      <c r="X61" s="138"/>
      <c r="Y61" s="138"/>
      <c r="Z61" s="138"/>
    </row>
    <row r="62" spans="1:26" ht="18" customHeight="1">
      <c r="A62" s="250"/>
      <c r="B62" s="138"/>
      <c r="C62" s="138"/>
      <c r="D62" s="138"/>
      <c r="E62" s="138"/>
      <c r="F62" s="138"/>
      <c r="G62" s="138"/>
      <c r="H62" s="138"/>
      <c r="I62" s="138"/>
      <c r="J62" s="138"/>
      <c r="K62" s="138"/>
      <c r="L62" s="138"/>
      <c r="M62" s="138"/>
      <c r="N62" s="138"/>
      <c r="O62" s="138"/>
      <c r="P62" s="138"/>
      <c r="Q62" s="138"/>
      <c r="R62" s="138"/>
      <c r="S62" s="138"/>
      <c r="T62" s="138"/>
      <c r="U62" s="138"/>
      <c r="V62" s="138"/>
      <c r="W62" s="138"/>
      <c r="X62" s="138"/>
      <c r="Y62" s="138"/>
      <c r="Z62" s="138"/>
    </row>
    <row r="63" spans="1:26" ht="18" customHeight="1">
      <c r="A63" s="250"/>
      <c r="B63" s="138"/>
      <c r="C63" s="138"/>
      <c r="D63" s="138"/>
      <c r="E63" s="138"/>
      <c r="F63" s="138"/>
      <c r="G63" s="138"/>
      <c r="H63" s="138"/>
      <c r="I63" s="138"/>
      <c r="J63" s="138"/>
      <c r="K63" s="138"/>
      <c r="L63" s="138"/>
      <c r="M63" s="138"/>
      <c r="N63" s="138"/>
      <c r="O63" s="138"/>
      <c r="P63" s="138"/>
      <c r="Q63" s="138"/>
      <c r="R63" s="138"/>
      <c r="S63" s="138"/>
      <c r="T63" s="138"/>
      <c r="U63" s="138"/>
      <c r="V63" s="138"/>
      <c r="W63" s="138"/>
      <c r="X63" s="138"/>
      <c r="Y63" s="138"/>
      <c r="Z63" s="138"/>
    </row>
    <row r="64" spans="1:26" ht="18" customHeight="1">
      <c r="A64" s="250"/>
      <c r="B64" s="138"/>
      <c r="C64" s="138"/>
      <c r="D64" s="138"/>
      <c r="E64" s="138"/>
      <c r="F64" s="138"/>
      <c r="G64" s="138"/>
      <c r="H64" s="138"/>
      <c r="I64" s="138"/>
      <c r="J64" s="138"/>
      <c r="K64" s="138"/>
      <c r="L64" s="138"/>
      <c r="M64" s="138"/>
      <c r="N64" s="138"/>
      <c r="O64" s="138"/>
      <c r="P64" s="138"/>
      <c r="Q64" s="138"/>
      <c r="R64" s="138"/>
      <c r="S64" s="138"/>
      <c r="T64" s="138"/>
      <c r="U64" s="138"/>
      <c r="V64" s="138"/>
      <c r="W64" s="138"/>
      <c r="X64" s="138"/>
      <c r="Y64" s="138"/>
      <c r="Z64" s="138"/>
    </row>
    <row r="65" spans="1:26" ht="18" customHeight="1">
      <c r="A65" s="250"/>
      <c r="B65" s="138"/>
      <c r="C65" s="138"/>
      <c r="D65" s="138"/>
      <c r="E65" s="138"/>
      <c r="F65" s="138"/>
      <c r="G65" s="138"/>
      <c r="H65" s="138"/>
      <c r="I65" s="138"/>
      <c r="J65" s="138"/>
      <c r="K65" s="138"/>
      <c r="L65" s="138"/>
      <c r="M65" s="138"/>
      <c r="N65" s="138"/>
      <c r="O65" s="138"/>
      <c r="P65" s="138"/>
      <c r="Q65" s="138"/>
      <c r="R65" s="138"/>
      <c r="S65" s="138"/>
      <c r="T65" s="138"/>
      <c r="U65" s="138"/>
      <c r="V65" s="138"/>
      <c r="W65" s="138"/>
      <c r="X65" s="138"/>
      <c r="Y65" s="138"/>
      <c r="Z65" s="138"/>
    </row>
    <row r="66" spans="1:26" ht="18" customHeight="1">
      <c r="A66" s="250"/>
      <c r="B66" s="138"/>
      <c r="C66" s="138"/>
      <c r="D66" s="138"/>
      <c r="E66" s="138"/>
      <c r="F66" s="138"/>
      <c r="G66" s="138"/>
      <c r="H66" s="138"/>
      <c r="I66" s="138"/>
      <c r="J66" s="138"/>
      <c r="K66" s="138"/>
      <c r="L66" s="138"/>
      <c r="M66" s="138"/>
      <c r="N66" s="138"/>
      <c r="O66" s="138"/>
      <c r="P66" s="138"/>
      <c r="Q66" s="138"/>
      <c r="R66" s="138"/>
      <c r="S66" s="138"/>
      <c r="T66" s="138"/>
      <c r="U66" s="138"/>
      <c r="V66" s="138"/>
      <c r="W66" s="138"/>
      <c r="X66" s="138"/>
      <c r="Y66" s="138"/>
      <c r="Z66" s="138"/>
    </row>
    <row r="67" spans="1:26" ht="18" customHeight="1">
      <c r="A67" s="250"/>
      <c r="B67" s="138"/>
      <c r="C67" s="138"/>
      <c r="D67" s="138"/>
      <c r="E67" s="138"/>
      <c r="F67" s="138"/>
      <c r="G67" s="138"/>
      <c r="H67" s="138"/>
      <c r="I67" s="138"/>
      <c r="J67" s="138"/>
      <c r="K67" s="138"/>
      <c r="L67" s="138"/>
      <c r="M67" s="138"/>
      <c r="N67" s="138"/>
      <c r="O67" s="138"/>
      <c r="P67" s="138"/>
      <c r="Q67" s="138"/>
      <c r="R67" s="138"/>
      <c r="S67" s="138"/>
      <c r="T67" s="138"/>
      <c r="U67" s="138"/>
      <c r="V67" s="138"/>
      <c r="W67" s="138"/>
      <c r="X67" s="138"/>
      <c r="Y67" s="138"/>
      <c r="Z67" s="138"/>
    </row>
    <row r="68" spans="1:26" ht="18" customHeight="1">
      <c r="A68" s="250"/>
      <c r="B68" s="138"/>
      <c r="C68" s="138"/>
      <c r="D68" s="138"/>
      <c r="E68" s="138"/>
      <c r="F68" s="138"/>
      <c r="G68" s="138"/>
      <c r="H68" s="138"/>
      <c r="I68" s="138"/>
      <c r="J68" s="138"/>
      <c r="K68" s="138"/>
      <c r="L68" s="138"/>
      <c r="M68" s="138"/>
      <c r="N68" s="138"/>
      <c r="O68" s="138"/>
      <c r="P68" s="138"/>
      <c r="Q68" s="138"/>
      <c r="R68" s="138"/>
      <c r="S68" s="138"/>
      <c r="T68" s="138"/>
      <c r="U68" s="138"/>
      <c r="V68" s="138"/>
      <c r="W68" s="138"/>
      <c r="X68" s="138"/>
      <c r="Y68" s="138"/>
      <c r="Z68" s="138"/>
    </row>
    <row r="69" spans="1:26" ht="18" customHeight="1">
      <c r="A69" s="250"/>
      <c r="B69" s="138"/>
      <c r="C69" s="138"/>
      <c r="D69" s="138"/>
      <c r="E69" s="138"/>
      <c r="F69" s="138"/>
      <c r="G69" s="138"/>
      <c r="H69" s="138"/>
      <c r="I69" s="138"/>
      <c r="J69" s="138"/>
      <c r="K69" s="138"/>
      <c r="L69" s="138"/>
      <c r="M69" s="138"/>
      <c r="N69" s="138"/>
      <c r="O69" s="138"/>
      <c r="P69" s="138"/>
      <c r="Q69" s="138"/>
      <c r="R69" s="138"/>
      <c r="S69" s="138"/>
      <c r="T69" s="138"/>
      <c r="U69" s="138"/>
      <c r="V69" s="138"/>
      <c r="W69" s="138"/>
      <c r="X69" s="138"/>
      <c r="Y69" s="138"/>
      <c r="Z69" s="138"/>
    </row>
    <row r="70" spans="1:26" ht="18" customHeight="1">
      <c r="A70" s="250"/>
      <c r="B70" s="138"/>
      <c r="C70" s="138"/>
      <c r="D70" s="138"/>
      <c r="E70" s="138"/>
      <c r="F70" s="138"/>
      <c r="G70" s="138"/>
      <c r="H70" s="138"/>
      <c r="I70" s="138"/>
      <c r="J70" s="138"/>
      <c r="K70" s="138"/>
      <c r="L70" s="138"/>
      <c r="M70" s="138"/>
      <c r="N70" s="138"/>
      <c r="O70" s="138"/>
      <c r="P70" s="138"/>
      <c r="Q70" s="138"/>
      <c r="R70" s="138"/>
      <c r="S70" s="138"/>
      <c r="T70" s="138"/>
      <c r="U70" s="138"/>
      <c r="V70" s="138"/>
      <c r="W70" s="138"/>
      <c r="X70" s="138"/>
      <c r="Y70" s="138"/>
      <c r="Z70" s="138"/>
    </row>
    <row r="71" spans="1:26" ht="18" customHeight="1">
      <c r="A71" s="250"/>
      <c r="B71" s="138"/>
      <c r="C71" s="138"/>
      <c r="D71" s="138"/>
      <c r="E71" s="138"/>
      <c r="F71" s="138"/>
      <c r="G71" s="138"/>
      <c r="H71" s="138"/>
      <c r="I71" s="138"/>
      <c r="J71" s="138"/>
      <c r="K71" s="138"/>
      <c r="L71" s="138"/>
      <c r="M71" s="138"/>
      <c r="N71" s="138"/>
      <c r="O71" s="138"/>
      <c r="P71" s="138"/>
      <c r="Q71" s="138"/>
      <c r="R71" s="138"/>
      <c r="S71" s="138"/>
      <c r="T71" s="138"/>
      <c r="U71" s="138"/>
      <c r="V71" s="138"/>
      <c r="W71" s="138"/>
      <c r="X71" s="138"/>
      <c r="Y71" s="138"/>
      <c r="Z71" s="138"/>
    </row>
    <row r="72" spans="1:26" ht="18" customHeight="1">
      <c r="A72" s="250"/>
      <c r="B72" s="138"/>
      <c r="C72" s="138"/>
      <c r="D72" s="138"/>
      <c r="E72" s="138"/>
      <c r="F72" s="138"/>
      <c r="G72" s="138"/>
      <c r="H72" s="138"/>
      <c r="I72" s="138"/>
      <c r="J72" s="138"/>
      <c r="K72" s="138"/>
      <c r="L72" s="138"/>
      <c r="M72" s="138"/>
      <c r="N72" s="138"/>
      <c r="O72" s="138"/>
      <c r="P72" s="138"/>
      <c r="Q72" s="138"/>
      <c r="R72" s="138"/>
      <c r="S72" s="138"/>
      <c r="T72" s="138"/>
      <c r="U72" s="138"/>
      <c r="V72" s="138"/>
      <c r="W72" s="138"/>
      <c r="X72" s="138"/>
      <c r="Y72" s="138"/>
      <c r="Z72" s="138"/>
    </row>
    <row r="73" spans="1:26" ht="18" customHeight="1">
      <c r="A73" s="250"/>
      <c r="B73" s="138"/>
      <c r="C73" s="138"/>
      <c r="D73" s="138"/>
      <c r="E73" s="138"/>
      <c r="F73" s="138"/>
      <c r="G73" s="138"/>
      <c r="H73" s="138"/>
      <c r="I73" s="138"/>
      <c r="J73" s="138"/>
      <c r="K73" s="138"/>
      <c r="L73" s="138"/>
      <c r="M73" s="138"/>
      <c r="N73" s="138"/>
      <c r="O73" s="138"/>
      <c r="P73" s="138"/>
      <c r="Q73" s="138"/>
      <c r="R73" s="138"/>
      <c r="S73" s="138"/>
      <c r="T73" s="138"/>
      <c r="U73" s="138"/>
      <c r="V73" s="138"/>
      <c r="W73" s="138"/>
      <c r="X73" s="138"/>
      <c r="Y73" s="138"/>
      <c r="Z73" s="138"/>
    </row>
    <row r="74" spans="1:26" ht="18" customHeight="1">
      <c r="A74" s="250"/>
      <c r="B74" s="138"/>
      <c r="C74" s="138"/>
      <c r="D74" s="138"/>
      <c r="E74" s="138"/>
      <c r="F74" s="138"/>
      <c r="G74" s="138"/>
      <c r="H74" s="138"/>
      <c r="I74" s="138"/>
      <c r="J74" s="138"/>
      <c r="K74" s="138"/>
      <c r="L74" s="138"/>
      <c r="M74" s="138"/>
      <c r="N74" s="138"/>
      <c r="O74" s="138"/>
      <c r="P74" s="138"/>
      <c r="Q74" s="138"/>
      <c r="R74" s="138"/>
      <c r="S74" s="138"/>
      <c r="T74" s="138"/>
      <c r="U74" s="138"/>
      <c r="V74" s="138"/>
      <c r="W74" s="138"/>
      <c r="X74" s="138"/>
      <c r="Y74" s="138"/>
      <c r="Z74" s="138"/>
    </row>
    <row r="75" spans="1:26" ht="18" customHeight="1">
      <c r="A75" s="250"/>
      <c r="B75" s="138"/>
      <c r="C75" s="138"/>
      <c r="D75" s="138"/>
      <c r="E75" s="138"/>
      <c r="F75" s="138"/>
      <c r="G75" s="138"/>
      <c r="H75" s="138"/>
      <c r="I75" s="138"/>
      <c r="J75" s="138"/>
      <c r="K75" s="138"/>
      <c r="L75" s="138"/>
      <c r="M75" s="138"/>
      <c r="N75" s="138"/>
      <c r="O75" s="138"/>
      <c r="P75" s="138"/>
      <c r="Q75" s="138"/>
      <c r="R75" s="138"/>
      <c r="S75" s="138"/>
      <c r="T75" s="138"/>
      <c r="U75" s="138"/>
      <c r="V75" s="138"/>
      <c r="W75" s="138"/>
      <c r="X75" s="138"/>
      <c r="Y75" s="138"/>
      <c r="Z75" s="138"/>
    </row>
    <row r="76" spans="1:26" ht="18" customHeight="1">
      <c r="A76" s="250"/>
      <c r="B76" s="138"/>
      <c r="C76" s="138"/>
      <c r="D76" s="138"/>
      <c r="E76" s="138"/>
      <c r="F76" s="138"/>
      <c r="G76" s="138"/>
      <c r="H76" s="138"/>
      <c r="I76" s="138"/>
      <c r="J76" s="138"/>
      <c r="K76" s="138"/>
      <c r="L76" s="138"/>
      <c r="M76" s="138"/>
      <c r="N76" s="138"/>
      <c r="O76" s="138"/>
      <c r="P76" s="138"/>
      <c r="Q76" s="138"/>
      <c r="R76" s="138"/>
      <c r="S76" s="138"/>
      <c r="T76" s="138"/>
      <c r="U76" s="138"/>
      <c r="V76" s="138"/>
      <c r="W76" s="138"/>
      <c r="X76" s="138"/>
      <c r="Y76" s="138"/>
      <c r="Z76" s="138"/>
    </row>
    <row r="77" spans="1:26" ht="18" customHeight="1">
      <c r="A77" s="250"/>
      <c r="B77" s="138"/>
      <c r="C77" s="138"/>
      <c r="D77" s="138"/>
      <c r="E77" s="138"/>
      <c r="F77" s="138"/>
      <c r="G77" s="138"/>
      <c r="H77" s="138"/>
      <c r="I77" s="138"/>
      <c r="J77" s="138"/>
      <c r="K77" s="138"/>
      <c r="L77" s="138"/>
      <c r="M77" s="138"/>
      <c r="N77" s="138"/>
      <c r="O77" s="138"/>
      <c r="P77" s="138"/>
      <c r="Q77" s="138"/>
      <c r="R77" s="138"/>
      <c r="S77" s="138"/>
      <c r="T77" s="138"/>
      <c r="U77" s="138"/>
      <c r="V77" s="138"/>
      <c r="W77" s="138"/>
      <c r="X77" s="138"/>
      <c r="Y77" s="138"/>
      <c r="Z77" s="138"/>
    </row>
    <row r="78" spans="1:26" ht="18" customHeight="1">
      <c r="A78" s="250"/>
      <c r="B78" s="138"/>
      <c r="C78" s="138"/>
      <c r="D78" s="138"/>
      <c r="E78" s="138"/>
      <c r="F78" s="138"/>
      <c r="G78" s="138"/>
      <c r="H78" s="138"/>
      <c r="I78" s="138"/>
      <c r="J78" s="138"/>
      <c r="K78" s="138"/>
      <c r="L78" s="138"/>
      <c r="M78" s="138"/>
      <c r="N78" s="138"/>
      <c r="O78" s="138"/>
      <c r="P78" s="138"/>
      <c r="Q78" s="138"/>
      <c r="R78" s="138"/>
      <c r="S78" s="138"/>
      <c r="T78" s="138"/>
      <c r="U78" s="138"/>
      <c r="V78" s="138"/>
      <c r="W78" s="138"/>
      <c r="X78" s="138"/>
      <c r="Y78" s="138"/>
      <c r="Z78" s="138"/>
    </row>
    <row r="79" spans="1:26" ht="18" customHeight="1">
      <c r="A79" s="250"/>
      <c r="B79" s="138"/>
      <c r="C79" s="138"/>
      <c r="D79" s="138"/>
      <c r="E79" s="138"/>
      <c r="F79" s="138"/>
      <c r="G79" s="138"/>
      <c r="H79" s="138"/>
      <c r="I79" s="138"/>
      <c r="J79" s="138"/>
      <c r="K79" s="138"/>
      <c r="L79" s="138"/>
      <c r="M79" s="138"/>
      <c r="N79" s="138"/>
      <c r="O79" s="138"/>
      <c r="P79" s="138"/>
      <c r="Q79" s="138"/>
      <c r="R79" s="138"/>
      <c r="S79" s="138"/>
      <c r="T79" s="138"/>
      <c r="U79" s="138"/>
      <c r="V79" s="138"/>
      <c r="W79" s="138"/>
      <c r="X79" s="138"/>
      <c r="Y79" s="138"/>
      <c r="Z79" s="138"/>
    </row>
    <row r="80" spans="1:26" ht="18" customHeight="1">
      <c r="A80" s="250"/>
      <c r="B80" s="138"/>
      <c r="C80" s="138"/>
      <c r="D80" s="138"/>
      <c r="E80" s="138"/>
      <c r="F80" s="138"/>
      <c r="G80" s="138"/>
      <c r="H80" s="138"/>
      <c r="I80" s="138"/>
      <c r="J80" s="138"/>
      <c r="K80" s="138"/>
      <c r="L80" s="138"/>
      <c r="M80" s="138"/>
      <c r="N80" s="138"/>
      <c r="O80" s="138"/>
      <c r="P80" s="138"/>
      <c r="Q80" s="138"/>
      <c r="R80" s="138"/>
      <c r="S80" s="138"/>
      <c r="T80" s="138"/>
      <c r="U80" s="138"/>
      <c r="V80" s="138"/>
      <c r="W80" s="138"/>
      <c r="X80" s="138"/>
      <c r="Y80" s="138"/>
      <c r="Z80" s="138"/>
    </row>
    <row r="81" spans="1:26" ht="18" customHeight="1">
      <c r="A81" s="250"/>
      <c r="B81" s="138"/>
      <c r="C81" s="138"/>
      <c r="D81" s="138"/>
      <c r="E81" s="138"/>
      <c r="F81" s="138"/>
      <c r="G81" s="138"/>
      <c r="H81" s="138"/>
      <c r="I81" s="138"/>
      <c r="J81" s="138"/>
      <c r="K81" s="138"/>
      <c r="L81" s="138"/>
      <c r="M81" s="138"/>
      <c r="N81" s="138"/>
      <c r="O81" s="138"/>
      <c r="P81" s="138"/>
      <c r="Q81" s="138"/>
      <c r="R81" s="138"/>
      <c r="S81" s="138"/>
      <c r="T81" s="138"/>
      <c r="U81" s="138"/>
      <c r="V81" s="138"/>
      <c r="W81" s="138"/>
      <c r="X81" s="138"/>
      <c r="Y81" s="138"/>
      <c r="Z81" s="138"/>
    </row>
    <row r="82" spans="1:26" ht="18" customHeight="1">
      <c r="A82" s="250"/>
      <c r="B82" s="138"/>
      <c r="C82" s="138"/>
      <c r="D82" s="138"/>
      <c r="E82" s="138"/>
      <c r="F82" s="138"/>
      <c r="G82" s="138"/>
      <c r="H82" s="138"/>
      <c r="I82" s="138"/>
      <c r="J82" s="138"/>
      <c r="K82" s="138"/>
      <c r="L82" s="138"/>
      <c r="M82" s="138"/>
      <c r="N82" s="138"/>
      <c r="O82" s="138"/>
      <c r="P82" s="138"/>
      <c r="Q82" s="138"/>
      <c r="R82" s="138"/>
      <c r="S82" s="138"/>
      <c r="T82" s="138"/>
      <c r="U82" s="138"/>
      <c r="V82" s="138"/>
      <c r="W82" s="138"/>
      <c r="X82" s="138"/>
      <c r="Y82" s="138"/>
      <c r="Z82" s="138"/>
    </row>
    <row r="83" spans="1:26" ht="18" customHeight="1">
      <c r="A83" s="250"/>
      <c r="B83" s="138"/>
      <c r="C83" s="138"/>
      <c r="D83" s="138"/>
      <c r="E83" s="138"/>
      <c r="F83" s="138"/>
      <c r="G83" s="138"/>
      <c r="H83" s="138"/>
      <c r="I83" s="138"/>
      <c r="J83" s="138"/>
      <c r="K83" s="138"/>
      <c r="L83" s="138"/>
      <c r="M83" s="138"/>
      <c r="N83" s="138"/>
      <c r="O83" s="138"/>
      <c r="P83" s="138"/>
      <c r="Q83" s="138"/>
      <c r="R83" s="138"/>
      <c r="S83" s="138"/>
      <c r="T83" s="138"/>
      <c r="U83" s="138"/>
      <c r="V83" s="138"/>
      <c r="W83" s="138"/>
      <c r="X83" s="138"/>
      <c r="Y83" s="138"/>
      <c r="Z83" s="138"/>
    </row>
    <row r="84" spans="1:26" ht="18" customHeight="1">
      <c r="A84" s="250"/>
      <c r="B84" s="138"/>
      <c r="C84" s="138"/>
      <c r="D84" s="138"/>
      <c r="E84" s="138"/>
      <c r="F84" s="138"/>
      <c r="G84" s="138"/>
      <c r="H84" s="138"/>
      <c r="I84" s="138"/>
      <c r="J84" s="138"/>
      <c r="K84" s="138"/>
      <c r="L84" s="138"/>
      <c r="M84" s="138"/>
      <c r="N84" s="138"/>
      <c r="O84" s="138"/>
      <c r="P84" s="138"/>
      <c r="Q84" s="138"/>
      <c r="R84" s="138"/>
      <c r="S84" s="138"/>
      <c r="T84" s="138"/>
      <c r="U84" s="138"/>
      <c r="V84" s="138"/>
      <c r="W84" s="138"/>
      <c r="X84" s="138"/>
      <c r="Y84" s="138"/>
      <c r="Z84" s="138"/>
    </row>
    <row r="85" spans="1:26" ht="18" customHeight="1">
      <c r="A85" s="250"/>
      <c r="B85" s="138"/>
      <c r="C85" s="138"/>
      <c r="D85" s="138"/>
      <c r="E85" s="138"/>
      <c r="F85" s="138"/>
      <c r="G85" s="138"/>
      <c r="H85" s="138"/>
      <c r="I85" s="138"/>
      <c r="J85" s="138"/>
      <c r="K85" s="138"/>
      <c r="L85" s="138"/>
      <c r="M85" s="138"/>
      <c r="N85" s="138"/>
      <c r="O85" s="138"/>
      <c r="P85" s="138"/>
      <c r="Q85" s="138"/>
      <c r="R85" s="138"/>
      <c r="S85" s="138"/>
      <c r="T85" s="138"/>
      <c r="U85" s="138"/>
      <c r="V85" s="138"/>
      <c r="W85" s="138"/>
      <c r="X85" s="138"/>
      <c r="Y85" s="138"/>
      <c r="Z85" s="138"/>
    </row>
    <row r="86" spans="1:26" ht="18" customHeight="1">
      <c r="A86" s="250"/>
      <c r="B86" s="138"/>
      <c r="C86" s="138"/>
      <c r="D86" s="138"/>
      <c r="E86" s="138"/>
      <c r="F86" s="138"/>
      <c r="G86" s="138"/>
      <c r="H86" s="138"/>
      <c r="I86" s="138"/>
      <c r="J86" s="138"/>
      <c r="K86" s="138"/>
      <c r="L86" s="138"/>
      <c r="M86" s="138"/>
      <c r="N86" s="138"/>
      <c r="O86" s="138"/>
      <c r="P86" s="138"/>
      <c r="Q86" s="138"/>
      <c r="R86" s="138"/>
      <c r="S86" s="138"/>
      <c r="T86" s="138"/>
      <c r="U86" s="138"/>
      <c r="V86" s="138"/>
      <c r="W86" s="138"/>
      <c r="X86" s="138"/>
      <c r="Y86" s="138"/>
      <c r="Z86" s="138"/>
    </row>
    <row r="87" spans="1:26" ht="18" customHeight="1">
      <c r="A87" s="250"/>
      <c r="B87" s="138"/>
      <c r="C87" s="138"/>
      <c r="D87" s="138"/>
      <c r="E87" s="138"/>
      <c r="F87" s="138"/>
      <c r="G87" s="138"/>
      <c r="H87" s="138"/>
      <c r="I87" s="138"/>
      <c r="J87" s="138"/>
      <c r="K87" s="138"/>
      <c r="L87" s="138"/>
      <c r="M87" s="138"/>
      <c r="N87" s="138"/>
      <c r="O87" s="138"/>
      <c r="P87" s="138"/>
      <c r="Q87" s="138"/>
      <c r="R87" s="138"/>
      <c r="S87" s="138"/>
      <c r="T87" s="138"/>
      <c r="U87" s="138"/>
      <c r="V87" s="138"/>
      <c r="W87" s="138"/>
      <c r="X87" s="138"/>
      <c r="Y87" s="138"/>
      <c r="Z87" s="138"/>
    </row>
    <row r="88" spans="1:26" ht="18" customHeight="1">
      <c r="A88" s="250"/>
      <c r="B88" s="138"/>
      <c r="C88" s="138"/>
      <c r="D88" s="138"/>
      <c r="E88" s="138"/>
      <c r="F88" s="138"/>
      <c r="G88" s="138"/>
      <c r="H88" s="138"/>
      <c r="I88" s="138"/>
      <c r="J88" s="138"/>
      <c r="K88" s="138"/>
      <c r="L88" s="138"/>
      <c r="M88" s="138"/>
      <c r="N88" s="138"/>
      <c r="O88" s="138"/>
      <c r="P88" s="138"/>
      <c r="Q88" s="138"/>
      <c r="R88" s="138"/>
      <c r="S88" s="138"/>
      <c r="T88" s="138"/>
      <c r="U88" s="138"/>
      <c r="V88" s="138"/>
      <c r="W88" s="138"/>
      <c r="X88" s="138"/>
      <c r="Y88" s="138"/>
      <c r="Z88" s="138"/>
    </row>
    <row r="89" spans="1:26" ht="18" customHeight="1">
      <c r="A89" s="250"/>
      <c r="B89" s="138"/>
      <c r="C89" s="138"/>
      <c r="D89" s="138"/>
      <c r="E89" s="138"/>
      <c r="F89" s="138"/>
      <c r="G89" s="138"/>
      <c r="H89" s="138"/>
      <c r="I89" s="138"/>
      <c r="J89" s="138"/>
      <c r="K89" s="138"/>
      <c r="L89" s="138"/>
      <c r="M89" s="138"/>
      <c r="N89" s="138"/>
      <c r="O89" s="138"/>
      <c r="P89" s="138"/>
      <c r="Q89" s="138"/>
      <c r="R89" s="138"/>
      <c r="S89" s="138"/>
      <c r="T89" s="138"/>
      <c r="U89" s="138"/>
      <c r="V89" s="138"/>
      <c r="W89" s="138"/>
      <c r="X89" s="138"/>
      <c r="Y89" s="138"/>
      <c r="Z89" s="138"/>
    </row>
    <row r="90" spans="1:26" ht="18" customHeight="1">
      <c r="A90" s="250"/>
      <c r="B90" s="138"/>
      <c r="C90" s="138"/>
      <c r="D90" s="138"/>
      <c r="E90" s="138"/>
      <c r="F90" s="138"/>
      <c r="G90" s="138"/>
      <c r="H90" s="138"/>
      <c r="I90" s="138"/>
      <c r="J90" s="138"/>
      <c r="K90" s="138"/>
      <c r="L90" s="138"/>
      <c r="M90" s="138"/>
      <c r="N90" s="138"/>
      <c r="O90" s="138"/>
      <c r="P90" s="138"/>
      <c r="Q90" s="138"/>
      <c r="R90" s="138"/>
      <c r="S90" s="138"/>
      <c r="T90" s="138"/>
      <c r="U90" s="138"/>
      <c r="V90" s="138"/>
      <c r="W90" s="138"/>
      <c r="X90" s="138"/>
      <c r="Y90" s="138"/>
      <c r="Z90" s="138"/>
    </row>
    <row r="91" spans="1:26" ht="18" customHeight="1">
      <c r="A91" s="250"/>
      <c r="B91" s="138"/>
      <c r="C91" s="138"/>
      <c r="D91" s="138"/>
      <c r="E91" s="138"/>
      <c r="F91" s="138"/>
      <c r="G91" s="138"/>
      <c r="H91" s="138"/>
      <c r="I91" s="138"/>
      <c r="J91" s="138"/>
      <c r="K91" s="138"/>
      <c r="L91" s="138"/>
      <c r="M91" s="138"/>
      <c r="N91" s="138"/>
      <c r="O91" s="138"/>
      <c r="P91" s="138"/>
      <c r="Q91" s="138"/>
      <c r="R91" s="138"/>
      <c r="S91" s="138"/>
      <c r="T91" s="138"/>
      <c r="U91" s="138"/>
      <c r="V91" s="138"/>
      <c r="W91" s="138"/>
      <c r="X91" s="138"/>
      <c r="Y91" s="138"/>
      <c r="Z91" s="138"/>
    </row>
    <row r="92" spans="1:26" ht="18" customHeight="1">
      <c r="A92" s="250"/>
      <c r="B92" s="138"/>
      <c r="C92" s="138"/>
      <c r="D92" s="138"/>
      <c r="E92" s="138"/>
      <c r="F92" s="138"/>
      <c r="G92" s="138"/>
      <c r="H92" s="138"/>
      <c r="I92" s="138"/>
      <c r="J92" s="138"/>
      <c r="K92" s="138"/>
      <c r="L92" s="138"/>
      <c r="M92" s="138"/>
      <c r="N92" s="138"/>
      <c r="O92" s="138"/>
      <c r="P92" s="138"/>
      <c r="Q92" s="138"/>
      <c r="R92" s="138"/>
      <c r="S92" s="138"/>
      <c r="T92" s="138"/>
      <c r="U92" s="138"/>
      <c r="V92" s="138"/>
      <c r="W92" s="138"/>
      <c r="X92" s="138"/>
      <c r="Y92" s="138"/>
      <c r="Z92" s="138"/>
    </row>
    <row r="93" spans="1:26" ht="18" customHeight="1">
      <c r="A93" s="250"/>
      <c r="B93" s="138"/>
      <c r="C93" s="138"/>
      <c r="D93" s="138"/>
      <c r="E93" s="138"/>
      <c r="F93" s="138"/>
      <c r="G93" s="138"/>
      <c r="H93" s="138"/>
      <c r="I93" s="138"/>
      <c r="J93" s="138"/>
      <c r="K93" s="138"/>
      <c r="L93" s="138"/>
      <c r="M93" s="138"/>
      <c r="N93" s="138"/>
      <c r="O93" s="138"/>
      <c r="P93" s="138"/>
      <c r="Q93" s="138"/>
      <c r="R93" s="138"/>
      <c r="S93" s="138"/>
      <c r="T93" s="138"/>
      <c r="U93" s="138"/>
      <c r="V93" s="138"/>
      <c r="W93" s="138"/>
      <c r="X93" s="138"/>
      <c r="Y93" s="138"/>
      <c r="Z93" s="138"/>
    </row>
    <row r="94" spans="1:26" ht="18" customHeight="1">
      <c r="A94" s="250"/>
      <c r="B94" s="138"/>
      <c r="C94" s="138"/>
      <c r="D94" s="138"/>
      <c r="E94" s="138"/>
      <c r="F94" s="138"/>
      <c r="G94" s="138"/>
      <c r="H94" s="138"/>
      <c r="I94" s="138"/>
      <c r="J94" s="138"/>
      <c r="K94" s="138"/>
      <c r="L94" s="138"/>
      <c r="M94" s="138"/>
      <c r="N94" s="138"/>
      <c r="O94" s="138"/>
      <c r="P94" s="138"/>
      <c r="Q94" s="138"/>
      <c r="R94" s="138"/>
      <c r="S94" s="138"/>
      <c r="T94" s="138"/>
      <c r="U94" s="138"/>
      <c r="V94" s="138"/>
      <c r="W94" s="138"/>
      <c r="X94" s="138"/>
      <c r="Y94" s="138"/>
      <c r="Z94" s="138"/>
    </row>
    <row r="95" spans="1:26" ht="18" customHeight="1">
      <c r="A95" s="250"/>
      <c r="B95" s="138"/>
      <c r="C95" s="138"/>
      <c r="D95" s="138"/>
      <c r="E95" s="138"/>
      <c r="F95" s="138"/>
      <c r="G95" s="138"/>
      <c r="H95" s="138"/>
      <c r="I95" s="138"/>
      <c r="J95" s="138"/>
      <c r="K95" s="138"/>
      <c r="L95" s="138"/>
      <c r="M95" s="138"/>
      <c r="N95" s="138"/>
      <c r="O95" s="138"/>
      <c r="P95" s="138"/>
      <c r="Q95" s="138"/>
      <c r="R95" s="138"/>
      <c r="S95" s="138"/>
      <c r="T95" s="138"/>
      <c r="U95" s="138"/>
      <c r="V95" s="138"/>
      <c r="W95" s="138"/>
      <c r="X95" s="138"/>
      <c r="Y95" s="138"/>
      <c r="Z95" s="138"/>
    </row>
    <row r="96" spans="1:26" ht="18" customHeight="1">
      <c r="A96" s="250"/>
      <c r="B96" s="138"/>
      <c r="C96" s="138"/>
      <c r="D96" s="138"/>
      <c r="E96" s="138"/>
      <c r="F96" s="138"/>
      <c r="G96" s="138"/>
      <c r="H96" s="138"/>
      <c r="I96" s="138"/>
      <c r="J96" s="138"/>
      <c r="K96" s="138"/>
      <c r="L96" s="138"/>
      <c r="M96" s="138"/>
      <c r="N96" s="138"/>
      <c r="O96" s="138"/>
      <c r="P96" s="138"/>
      <c r="Q96" s="138"/>
      <c r="R96" s="138"/>
      <c r="S96" s="138"/>
      <c r="T96" s="138"/>
      <c r="U96" s="138"/>
      <c r="V96" s="138"/>
      <c r="W96" s="138"/>
      <c r="X96" s="138"/>
      <c r="Y96" s="138"/>
      <c r="Z96" s="138"/>
    </row>
    <row r="97" spans="1:26" ht="18" customHeight="1">
      <c r="A97" s="250"/>
      <c r="B97" s="138"/>
      <c r="C97" s="138"/>
      <c r="D97" s="138"/>
      <c r="E97" s="138"/>
      <c r="F97" s="138"/>
      <c r="G97" s="138"/>
      <c r="H97" s="138"/>
      <c r="I97" s="138"/>
      <c r="J97" s="138"/>
      <c r="K97" s="138"/>
      <c r="L97" s="138"/>
      <c r="M97" s="138"/>
      <c r="N97" s="138"/>
      <c r="O97" s="138"/>
      <c r="P97" s="138"/>
      <c r="Q97" s="138"/>
      <c r="R97" s="138"/>
      <c r="S97" s="138"/>
      <c r="T97" s="138"/>
      <c r="U97" s="138"/>
      <c r="V97" s="138"/>
      <c r="W97" s="138"/>
      <c r="X97" s="138"/>
      <c r="Y97" s="138"/>
      <c r="Z97" s="138"/>
    </row>
    <row r="98" spans="1:26" ht="18" customHeight="1">
      <c r="A98" s="250"/>
      <c r="B98" s="138"/>
      <c r="C98" s="138"/>
      <c r="D98" s="138"/>
      <c r="E98" s="138"/>
      <c r="F98" s="138"/>
      <c r="G98" s="138"/>
      <c r="H98" s="138"/>
      <c r="I98" s="138"/>
      <c r="J98" s="138"/>
      <c r="K98" s="138"/>
      <c r="L98" s="138"/>
      <c r="M98" s="138"/>
      <c r="N98" s="138"/>
      <c r="O98" s="138"/>
      <c r="P98" s="138"/>
      <c r="Q98" s="138"/>
      <c r="R98" s="138"/>
      <c r="S98" s="138"/>
      <c r="T98" s="138"/>
      <c r="U98" s="138"/>
      <c r="V98" s="138"/>
      <c r="W98" s="138"/>
      <c r="X98" s="138"/>
      <c r="Y98" s="138"/>
      <c r="Z98" s="138"/>
    </row>
    <row r="99" spans="1:26" ht="18" customHeight="1">
      <c r="A99" s="250"/>
      <c r="B99" s="138"/>
      <c r="C99" s="138"/>
      <c r="D99" s="138"/>
      <c r="E99" s="138"/>
      <c r="F99" s="138"/>
      <c r="G99" s="138"/>
      <c r="H99" s="138"/>
      <c r="I99" s="138"/>
      <c r="J99" s="138"/>
      <c r="K99" s="138"/>
      <c r="L99" s="138"/>
      <c r="M99" s="138"/>
      <c r="N99" s="138"/>
      <c r="O99" s="138"/>
      <c r="P99" s="138"/>
      <c r="Q99" s="138"/>
      <c r="R99" s="138"/>
      <c r="S99" s="138"/>
      <c r="T99" s="138"/>
      <c r="U99" s="138"/>
      <c r="V99" s="138"/>
      <c r="W99" s="138"/>
      <c r="X99" s="138"/>
      <c r="Y99" s="138"/>
      <c r="Z99" s="138"/>
    </row>
    <row r="100" spans="1:26" ht="18" customHeight="1">
      <c r="A100" s="250"/>
      <c r="B100" s="138"/>
      <c r="C100" s="138"/>
      <c r="D100" s="138"/>
      <c r="E100" s="138"/>
      <c r="F100" s="138"/>
      <c r="G100" s="138"/>
      <c r="H100" s="138"/>
      <c r="I100" s="138"/>
      <c r="J100" s="138"/>
      <c r="K100" s="138"/>
      <c r="L100" s="138"/>
      <c r="M100" s="138"/>
      <c r="N100" s="138"/>
      <c r="O100" s="138"/>
      <c r="P100" s="138"/>
      <c r="Q100" s="138"/>
      <c r="R100" s="138"/>
      <c r="S100" s="138"/>
      <c r="T100" s="138"/>
      <c r="U100" s="138"/>
      <c r="V100" s="138"/>
      <c r="W100" s="138"/>
      <c r="X100" s="138"/>
      <c r="Y100" s="138"/>
      <c r="Z100" s="138"/>
    </row>
    <row r="101" spans="1:26" ht="18" customHeight="1">
      <c r="A101" s="250"/>
      <c r="B101" s="138"/>
      <c r="C101" s="138"/>
      <c r="D101" s="138"/>
      <c r="E101" s="138"/>
      <c r="F101" s="138"/>
      <c r="G101" s="138"/>
      <c r="H101" s="138"/>
      <c r="I101" s="138"/>
      <c r="J101" s="138"/>
      <c r="K101" s="138"/>
      <c r="L101" s="138"/>
      <c r="M101" s="138"/>
      <c r="N101" s="138"/>
      <c r="O101" s="138"/>
      <c r="P101" s="138"/>
      <c r="Q101" s="138"/>
      <c r="R101" s="138"/>
      <c r="S101" s="138"/>
      <c r="T101" s="138"/>
      <c r="U101" s="138"/>
      <c r="V101" s="138"/>
      <c r="W101" s="138"/>
      <c r="X101" s="138"/>
      <c r="Y101" s="138"/>
      <c r="Z101" s="138"/>
    </row>
    <row r="102" spans="1:26" ht="18" customHeight="1">
      <c r="A102" s="250"/>
      <c r="B102" s="138"/>
      <c r="C102" s="138"/>
      <c r="D102" s="138"/>
      <c r="E102" s="138"/>
      <c r="F102" s="138"/>
      <c r="G102" s="138"/>
      <c r="H102" s="138"/>
      <c r="I102" s="138"/>
      <c r="J102" s="138"/>
      <c r="K102" s="138"/>
      <c r="L102" s="138"/>
      <c r="M102" s="138"/>
      <c r="N102" s="138"/>
      <c r="O102" s="138"/>
      <c r="P102" s="138"/>
      <c r="Q102" s="138"/>
      <c r="R102" s="138"/>
      <c r="S102" s="138"/>
      <c r="T102" s="138"/>
      <c r="U102" s="138"/>
      <c r="V102" s="138"/>
      <c r="W102" s="138"/>
      <c r="X102" s="138"/>
      <c r="Y102" s="138"/>
      <c r="Z102" s="138"/>
    </row>
    <row r="103" spans="1:26" ht="18" customHeight="1">
      <c r="A103" s="250"/>
      <c r="B103" s="138"/>
      <c r="C103" s="138"/>
      <c r="D103" s="138"/>
      <c r="E103" s="138"/>
      <c r="F103" s="138"/>
      <c r="G103" s="138"/>
      <c r="H103" s="138"/>
      <c r="I103" s="138"/>
      <c r="J103" s="138"/>
      <c r="K103" s="138"/>
      <c r="L103" s="138"/>
      <c r="M103" s="138"/>
      <c r="N103" s="138"/>
      <c r="O103" s="138"/>
      <c r="P103" s="138"/>
      <c r="Q103" s="138"/>
      <c r="R103" s="138"/>
      <c r="S103" s="138"/>
      <c r="T103" s="138"/>
      <c r="U103" s="138"/>
      <c r="V103" s="138"/>
      <c r="W103" s="138"/>
      <c r="X103" s="138"/>
      <c r="Y103" s="138"/>
      <c r="Z103" s="138"/>
    </row>
    <row r="104" spans="1:26" ht="18" customHeight="1">
      <c r="A104" s="250"/>
      <c r="B104" s="138"/>
      <c r="C104" s="138"/>
      <c r="D104" s="138"/>
      <c r="E104" s="138"/>
      <c r="F104" s="138"/>
      <c r="G104" s="138"/>
      <c r="H104" s="138"/>
      <c r="I104" s="138"/>
      <c r="J104" s="138"/>
      <c r="K104" s="138"/>
      <c r="L104" s="138"/>
      <c r="M104" s="138"/>
      <c r="N104" s="138"/>
      <c r="O104" s="138"/>
      <c r="P104" s="138"/>
      <c r="Q104" s="138"/>
      <c r="R104" s="138"/>
      <c r="S104" s="138"/>
      <c r="T104" s="138"/>
      <c r="U104" s="138"/>
      <c r="V104" s="138"/>
      <c r="W104" s="138"/>
      <c r="X104" s="138"/>
      <c r="Y104" s="138"/>
      <c r="Z104" s="138"/>
    </row>
    <row r="105" spans="1:26" ht="18" customHeight="1">
      <c r="A105" s="250"/>
      <c r="B105" s="138"/>
      <c r="C105" s="138"/>
      <c r="D105" s="138"/>
      <c r="E105" s="138"/>
      <c r="F105" s="138"/>
      <c r="G105" s="138"/>
      <c r="H105" s="138"/>
      <c r="I105" s="138"/>
      <c r="J105" s="138"/>
      <c r="K105" s="138"/>
      <c r="L105" s="138"/>
      <c r="M105" s="138"/>
      <c r="N105" s="138"/>
      <c r="O105" s="138"/>
      <c r="P105" s="138"/>
      <c r="Q105" s="138"/>
      <c r="R105" s="138"/>
      <c r="S105" s="138"/>
      <c r="T105" s="138"/>
      <c r="U105" s="138"/>
      <c r="V105" s="138"/>
      <c r="W105" s="138"/>
      <c r="X105" s="138"/>
      <c r="Y105" s="138"/>
      <c r="Z105" s="138"/>
    </row>
    <row r="106" spans="1:26" ht="18" customHeight="1">
      <c r="A106" s="250"/>
      <c r="B106" s="138"/>
      <c r="C106" s="138"/>
      <c r="D106" s="138"/>
      <c r="E106" s="138"/>
      <c r="F106" s="138"/>
      <c r="G106" s="138"/>
      <c r="H106" s="138"/>
      <c r="I106" s="138"/>
      <c r="J106" s="138"/>
      <c r="K106" s="138"/>
      <c r="L106" s="138"/>
      <c r="M106" s="138"/>
      <c r="N106" s="138"/>
      <c r="O106" s="138"/>
      <c r="P106" s="138"/>
      <c r="Q106" s="138"/>
      <c r="R106" s="138"/>
      <c r="S106" s="138"/>
      <c r="T106" s="138"/>
      <c r="U106" s="138"/>
      <c r="V106" s="138"/>
      <c r="W106" s="138"/>
      <c r="X106" s="138"/>
      <c r="Y106" s="138"/>
      <c r="Z106" s="138"/>
    </row>
    <row r="107" spans="1:26" ht="18" customHeight="1">
      <c r="A107" s="250"/>
      <c r="B107" s="138"/>
      <c r="C107" s="138"/>
      <c r="D107" s="138"/>
      <c r="E107" s="138"/>
      <c r="F107" s="138"/>
      <c r="G107" s="138"/>
      <c r="H107" s="138"/>
      <c r="I107" s="138"/>
      <c r="J107" s="138"/>
      <c r="K107" s="138"/>
      <c r="L107" s="138"/>
      <c r="M107" s="138"/>
      <c r="N107" s="138"/>
      <c r="O107" s="138"/>
      <c r="P107" s="138"/>
      <c r="Q107" s="138"/>
      <c r="R107" s="138"/>
      <c r="S107" s="138"/>
      <c r="T107" s="138"/>
      <c r="U107" s="138"/>
      <c r="V107" s="138"/>
      <c r="W107" s="138"/>
      <c r="X107" s="138"/>
      <c r="Y107" s="138"/>
      <c r="Z107" s="138"/>
    </row>
    <row r="108" spans="1:26" ht="18" customHeight="1">
      <c r="A108" s="250"/>
      <c r="B108" s="138"/>
      <c r="C108" s="138"/>
      <c r="D108" s="138"/>
      <c r="E108" s="138"/>
      <c r="F108" s="138"/>
      <c r="G108" s="138"/>
      <c r="H108" s="138"/>
      <c r="I108" s="138"/>
      <c r="J108" s="138"/>
      <c r="K108" s="138"/>
      <c r="L108" s="138"/>
      <c r="M108" s="138"/>
      <c r="N108" s="138"/>
      <c r="O108" s="138"/>
      <c r="P108" s="138"/>
      <c r="Q108" s="138"/>
      <c r="R108" s="138"/>
      <c r="S108" s="138"/>
      <c r="T108" s="138"/>
      <c r="U108" s="138"/>
      <c r="V108" s="138"/>
      <c r="W108" s="138"/>
      <c r="X108" s="138"/>
      <c r="Y108" s="138"/>
      <c r="Z108" s="138"/>
    </row>
    <row r="109" spans="1:26" ht="18" customHeight="1">
      <c r="A109" s="250"/>
      <c r="B109" s="138"/>
      <c r="C109" s="138"/>
      <c r="D109" s="138"/>
      <c r="E109" s="138"/>
      <c r="F109" s="138"/>
      <c r="G109" s="138"/>
      <c r="H109" s="138"/>
      <c r="I109" s="138"/>
      <c r="J109" s="138"/>
      <c r="K109" s="138"/>
      <c r="L109" s="138"/>
      <c r="M109" s="138"/>
      <c r="N109" s="138"/>
      <c r="O109" s="138"/>
      <c r="P109" s="138"/>
      <c r="Q109" s="138"/>
      <c r="R109" s="138"/>
      <c r="S109" s="138"/>
      <c r="T109" s="138"/>
      <c r="U109" s="138"/>
      <c r="V109" s="138"/>
      <c r="W109" s="138"/>
      <c r="X109" s="138"/>
      <c r="Y109" s="138"/>
      <c r="Z109" s="138"/>
    </row>
    <row r="110" spans="1:26" ht="18" customHeight="1">
      <c r="A110" s="250"/>
      <c r="B110" s="138"/>
      <c r="C110" s="138"/>
      <c r="D110" s="138"/>
      <c r="E110" s="138"/>
      <c r="F110" s="138"/>
      <c r="G110" s="138"/>
      <c r="H110" s="138"/>
      <c r="I110" s="138"/>
      <c r="J110" s="138"/>
      <c r="K110" s="138"/>
      <c r="L110" s="138"/>
      <c r="M110" s="138"/>
      <c r="N110" s="138"/>
      <c r="O110" s="138"/>
      <c r="P110" s="138"/>
      <c r="Q110" s="138"/>
      <c r="R110" s="138"/>
      <c r="S110" s="138"/>
      <c r="T110" s="138"/>
      <c r="U110" s="138"/>
      <c r="V110" s="138"/>
      <c r="W110" s="138"/>
      <c r="X110" s="138"/>
      <c r="Y110" s="138"/>
      <c r="Z110" s="138"/>
    </row>
    <row r="111" spans="1:26" ht="18" customHeight="1">
      <c r="A111" s="250"/>
      <c r="B111" s="138"/>
      <c r="C111" s="138"/>
      <c r="D111" s="138"/>
      <c r="E111" s="138"/>
      <c r="F111" s="138"/>
      <c r="G111" s="138"/>
      <c r="H111" s="138"/>
      <c r="I111" s="138"/>
      <c r="J111" s="138"/>
      <c r="K111" s="138"/>
      <c r="L111" s="138"/>
      <c r="M111" s="138"/>
      <c r="N111" s="138"/>
      <c r="O111" s="138"/>
      <c r="P111" s="138"/>
      <c r="Q111" s="138"/>
      <c r="R111" s="138"/>
      <c r="S111" s="138"/>
      <c r="T111" s="138"/>
      <c r="U111" s="138"/>
      <c r="V111" s="138"/>
      <c r="W111" s="138"/>
      <c r="X111" s="138"/>
      <c r="Y111" s="138"/>
      <c r="Z111" s="138"/>
    </row>
    <row r="112" spans="1:26" ht="18" customHeight="1">
      <c r="A112" s="250"/>
      <c r="B112" s="138"/>
      <c r="C112" s="138"/>
      <c r="D112" s="138"/>
      <c r="E112" s="138"/>
      <c r="F112" s="138"/>
      <c r="G112" s="138"/>
      <c r="H112" s="138"/>
      <c r="I112" s="138"/>
      <c r="J112" s="138"/>
      <c r="K112" s="138"/>
      <c r="L112" s="138"/>
      <c r="M112" s="138"/>
      <c r="N112" s="138"/>
      <c r="O112" s="138"/>
      <c r="P112" s="138"/>
      <c r="Q112" s="138"/>
      <c r="R112" s="138"/>
      <c r="S112" s="138"/>
      <c r="T112" s="138"/>
      <c r="U112" s="138"/>
      <c r="V112" s="138"/>
      <c r="W112" s="138"/>
      <c r="X112" s="138"/>
      <c r="Y112" s="138"/>
      <c r="Z112" s="138"/>
    </row>
    <row r="113" spans="1:26" ht="18" customHeight="1">
      <c r="A113" s="250"/>
      <c r="B113" s="138"/>
      <c r="C113" s="138"/>
      <c r="D113" s="138"/>
      <c r="E113" s="138"/>
      <c r="F113" s="138"/>
      <c r="G113" s="138"/>
      <c r="H113" s="138"/>
      <c r="I113" s="138"/>
      <c r="J113" s="138"/>
      <c r="K113" s="138"/>
      <c r="L113" s="138"/>
      <c r="M113" s="138"/>
      <c r="N113" s="138"/>
      <c r="O113" s="138"/>
      <c r="P113" s="138"/>
      <c r="Q113" s="138"/>
      <c r="R113" s="138"/>
      <c r="S113" s="138"/>
      <c r="T113" s="138"/>
      <c r="U113" s="138"/>
      <c r="V113" s="138"/>
      <c r="W113" s="138"/>
      <c r="X113" s="138"/>
      <c r="Y113" s="138"/>
      <c r="Z113" s="138"/>
    </row>
    <row r="114" spans="1:26" ht="18" customHeight="1">
      <c r="A114" s="250"/>
      <c r="B114" s="138"/>
      <c r="C114" s="138"/>
      <c r="D114" s="138"/>
      <c r="E114" s="138"/>
      <c r="F114" s="138"/>
      <c r="G114" s="138"/>
      <c r="H114" s="138"/>
      <c r="I114" s="138"/>
      <c r="J114" s="138"/>
      <c r="K114" s="138"/>
      <c r="L114" s="138"/>
      <c r="M114" s="138"/>
      <c r="N114" s="138"/>
      <c r="O114" s="138"/>
      <c r="P114" s="138"/>
      <c r="Q114" s="138"/>
      <c r="R114" s="138"/>
      <c r="S114" s="138"/>
      <c r="T114" s="138"/>
      <c r="U114" s="138"/>
      <c r="V114" s="138"/>
      <c r="W114" s="138"/>
      <c r="X114" s="138"/>
      <c r="Y114" s="138"/>
      <c r="Z114" s="138"/>
    </row>
    <row r="115" spans="1:26" ht="18" customHeight="1">
      <c r="A115" s="250"/>
      <c r="B115" s="138"/>
      <c r="C115" s="138"/>
      <c r="D115" s="138"/>
      <c r="E115" s="138"/>
      <c r="F115" s="138"/>
      <c r="G115" s="138"/>
      <c r="H115" s="138"/>
      <c r="I115" s="138"/>
      <c r="J115" s="138"/>
      <c r="K115" s="138"/>
      <c r="L115" s="138"/>
      <c r="M115" s="138"/>
      <c r="N115" s="138"/>
      <c r="O115" s="138"/>
      <c r="P115" s="138"/>
      <c r="Q115" s="138"/>
      <c r="R115" s="138"/>
      <c r="S115" s="138"/>
      <c r="T115" s="138"/>
      <c r="U115" s="138"/>
      <c r="V115" s="138"/>
      <c r="W115" s="138"/>
      <c r="X115" s="138"/>
      <c r="Y115" s="138"/>
      <c r="Z115" s="138"/>
    </row>
    <row r="116" spans="1:26" ht="18" customHeight="1">
      <c r="A116" s="250"/>
      <c r="B116" s="138"/>
      <c r="C116" s="138"/>
      <c r="D116" s="138"/>
      <c r="E116" s="138"/>
      <c r="F116" s="138"/>
      <c r="G116" s="138"/>
      <c r="H116" s="138"/>
      <c r="I116" s="138"/>
      <c r="J116" s="138"/>
      <c r="K116" s="138"/>
      <c r="L116" s="138"/>
      <c r="M116" s="138"/>
      <c r="N116" s="138"/>
      <c r="O116" s="138"/>
      <c r="P116" s="138"/>
      <c r="Q116" s="138"/>
      <c r="R116" s="138"/>
      <c r="S116" s="138"/>
      <c r="T116" s="138"/>
      <c r="U116" s="138"/>
      <c r="V116" s="138"/>
      <c r="W116" s="138"/>
      <c r="X116" s="138"/>
      <c r="Y116" s="138"/>
      <c r="Z116" s="138"/>
    </row>
    <row r="117" spans="1:26" ht="18" customHeight="1">
      <c r="A117" s="250"/>
      <c r="B117" s="138"/>
      <c r="C117" s="138"/>
      <c r="D117" s="138"/>
      <c r="E117" s="138"/>
      <c r="F117" s="138"/>
      <c r="G117" s="138"/>
      <c r="H117" s="138"/>
      <c r="I117" s="138"/>
      <c r="J117" s="138"/>
      <c r="K117" s="138"/>
      <c r="L117" s="138"/>
      <c r="M117" s="138"/>
      <c r="N117" s="138"/>
      <c r="O117" s="138"/>
      <c r="P117" s="138"/>
      <c r="Q117" s="138"/>
      <c r="R117" s="138"/>
      <c r="S117" s="138"/>
      <c r="T117" s="138"/>
      <c r="U117" s="138"/>
      <c r="V117" s="138"/>
      <c r="W117" s="138"/>
      <c r="X117" s="138"/>
      <c r="Y117" s="138"/>
      <c r="Z117" s="138"/>
    </row>
    <row r="118" spans="1:26" ht="18" customHeight="1">
      <c r="A118" s="250"/>
      <c r="B118" s="138"/>
      <c r="C118" s="138"/>
      <c r="D118" s="138"/>
      <c r="E118" s="138"/>
      <c r="F118" s="138"/>
      <c r="G118" s="138"/>
      <c r="H118" s="138"/>
      <c r="I118" s="138"/>
      <c r="J118" s="138"/>
      <c r="K118" s="138"/>
      <c r="L118" s="138"/>
      <c r="M118" s="138"/>
      <c r="N118" s="138"/>
      <c r="O118" s="138"/>
      <c r="P118" s="138"/>
      <c r="Q118" s="138"/>
      <c r="R118" s="138"/>
      <c r="S118" s="138"/>
      <c r="T118" s="138"/>
      <c r="U118" s="138"/>
      <c r="V118" s="138"/>
      <c r="W118" s="138"/>
      <c r="X118" s="138"/>
      <c r="Y118" s="138"/>
      <c r="Z118" s="138"/>
    </row>
    <row r="119" spans="1:26" ht="18" customHeight="1">
      <c r="A119" s="250"/>
      <c r="B119" s="138"/>
      <c r="C119" s="138"/>
      <c r="D119" s="138"/>
      <c r="E119" s="138"/>
      <c r="F119" s="138"/>
      <c r="G119" s="138"/>
      <c r="H119" s="138"/>
      <c r="I119" s="138"/>
      <c r="J119" s="138"/>
      <c r="K119" s="138"/>
      <c r="L119" s="138"/>
      <c r="M119" s="138"/>
      <c r="N119" s="138"/>
      <c r="O119" s="138"/>
      <c r="P119" s="138"/>
      <c r="Q119" s="138"/>
      <c r="R119" s="138"/>
      <c r="S119" s="138"/>
      <c r="T119" s="138"/>
      <c r="U119" s="138"/>
      <c r="V119" s="138"/>
      <c r="W119" s="138"/>
      <c r="X119" s="138"/>
      <c r="Y119" s="138"/>
      <c r="Z119" s="138"/>
    </row>
    <row r="120" spans="1:26" ht="18" customHeight="1">
      <c r="A120" s="250"/>
      <c r="B120" s="138"/>
      <c r="C120" s="138"/>
      <c r="D120" s="138"/>
      <c r="E120" s="138"/>
      <c r="F120" s="138"/>
      <c r="G120" s="138"/>
      <c r="H120" s="138"/>
      <c r="I120" s="138"/>
      <c r="J120" s="138"/>
      <c r="K120" s="138"/>
      <c r="L120" s="138"/>
      <c r="M120" s="138"/>
      <c r="N120" s="138"/>
      <c r="O120" s="138"/>
      <c r="P120" s="138"/>
      <c r="Q120" s="138"/>
      <c r="R120" s="138"/>
      <c r="S120" s="138"/>
      <c r="T120" s="138"/>
      <c r="U120" s="138"/>
      <c r="V120" s="138"/>
      <c r="W120" s="138"/>
      <c r="X120" s="138"/>
      <c r="Y120" s="138"/>
      <c r="Z120" s="138"/>
    </row>
    <row r="121" spans="1:26" ht="18" customHeight="1">
      <c r="A121" s="250"/>
      <c r="B121" s="138"/>
      <c r="C121" s="138"/>
      <c r="D121" s="138"/>
      <c r="E121" s="138"/>
      <c r="F121" s="138"/>
      <c r="G121" s="138"/>
      <c r="H121" s="138"/>
      <c r="I121" s="138"/>
      <c r="J121" s="138"/>
      <c r="K121" s="138"/>
      <c r="L121" s="138"/>
      <c r="M121" s="138"/>
      <c r="N121" s="138"/>
      <c r="O121" s="138"/>
      <c r="P121" s="138"/>
      <c r="Q121" s="138"/>
      <c r="R121" s="138"/>
      <c r="S121" s="138"/>
      <c r="T121" s="138"/>
      <c r="U121" s="138"/>
      <c r="V121" s="138"/>
      <c r="W121" s="138"/>
      <c r="X121" s="138"/>
      <c r="Y121" s="138"/>
      <c r="Z121" s="138"/>
    </row>
    <row r="122" spans="1:26" ht="18" customHeight="1">
      <c r="A122" s="250"/>
      <c r="B122" s="138"/>
      <c r="C122" s="138"/>
      <c r="D122" s="138"/>
      <c r="E122" s="138"/>
      <c r="F122" s="138"/>
      <c r="G122" s="138"/>
      <c r="H122" s="138"/>
      <c r="I122" s="138"/>
      <c r="J122" s="138"/>
      <c r="K122" s="138"/>
      <c r="L122" s="138"/>
      <c r="M122" s="138"/>
      <c r="N122" s="138"/>
      <c r="O122" s="138"/>
      <c r="P122" s="138"/>
      <c r="Q122" s="138"/>
      <c r="R122" s="138"/>
      <c r="S122" s="138"/>
      <c r="T122" s="138"/>
      <c r="U122" s="138"/>
      <c r="V122" s="138"/>
      <c r="W122" s="138"/>
      <c r="X122" s="138"/>
      <c r="Y122" s="138"/>
      <c r="Z122" s="138"/>
    </row>
    <row r="123" spans="1:26" ht="18" customHeight="1">
      <c r="A123" s="250"/>
      <c r="B123" s="138"/>
      <c r="C123" s="138"/>
      <c r="D123" s="138"/>
      <c r="E123" s="138"/>
      <c r="F123" s="138"/>
      <c r="G123" s="138"/>
      <c r="H123" s="138"/>
      <c r="I123" s="138"/>
      <c r="J123" s="138"/>
      <c r="K123" s="138"/>
      <c r="L123" s="138"/>
      <c r="M123" s="138"/>
      <c r="N123" s="138"/>
      <c r="O123" s="138"/>
      <c r="P123" s="138"/>
      <c r="Q123" s="138"/>
      <c r="R123" s="138"/>
      <c r="S123" s="138"/>
      <c r="T123" s="138"/>
      <c r="U123" s="138"/>
      <c r="V123" s="138"/>
      <c r="W123" s="138"/>
      <c r="X123" s="138"/>
      <c r="Y123" s="138"/>
      <c r="Z123" s="138"/>
    </row>
    <row r="124" spans="1:26" ht="18" customHeight="1">
      <c r="A124" s="250"/>
      <c r="B124" s="138"/>
      <c r="C124" s="138"/>
      <c r="D124" s="138"/>
      <c r="E124" s="138"/>
      <c r="F124" s="138"/>
      <c r="G124" s="138"/>
      <c r="H124" s="138"/>
      <c r="I124" s="138"/>
      <c r="J124" s="138"/>
      <c r="K124" s="138"/>
      <c r="L124" s="138"/>
      <c r="M124" s="138"/>
      <c r="N124" s="138"/>
      <c r="O124" s="138"/>
      <c r="P124" s="138"/>
      <c r="Q124" s="138"/>
      <c r="R124" s="138"/>
      <c r="S124" s="138"/>
      <c r="T124" s="138"/>
      <c r="U124" s="138"/>
      <c r="V124" s="138"/>
      <c r="W124" s="138"/>
      <c r="X124" s="138"/>
      <c r="Y124" s="138"/>
      <c r="Z124" s="138"/>
    </row>
    <row r="125" spans="1:26" ht="18" customHeight="1">
      <c r="A125" s="250"/>
      <c r="B125" s="138"/>
      <c r="C125" s="138"/>
      <c r="D125" s="138"/>
      <c r="E125" s="138"/>
      <c r="F125" s="138"/>
      <c r="G125" s="138"/>
      <c r="H125" s="138"/>
      <c r="I125" s="138"/>
      <c r="J125" s="138"/>
      <c r="K125" s="138"/>
      <c r="L125" s="138"/>
      <c r="M125" s="138"/>
      <c r="N125" s="138"/>
      <c r="O125" s="138"/>
      <c r="P125" s="138"/>
      <c r="Q125" s="138"/>
      <c r="R125" s="138"/>
      <c r="S125" s="138"/>
      <c r="T125" s="138"/>
      <c r="U125" s="138"/>
      <c r="V125" s="138"/>
      <c r="W125" s="138"/>
      <c r="X125" s="138"/>
      <c r="Y125" s="138"/>
      <c r="Z125" s="138"/>
    </row>
    <row r="126" spans="1:26" ht="18" customHeight="1">
      <c r="A126" s="250"/>
      <c r="B126" s="138"/>
      <c r="C126" s="138"/>
      <c r="D126" s="138"/>
      <c r="E126" s="138"/>
      <c r="F126" s="138"/>
      <c r="G126" s="138"/>
      <c r="H126" s="138"/>
      <c r="I126" s="138"/>
      <c r="J126" s="138"/>
      <c r="K126" s="138"/>
      <c r="L126" s="138"/>
      <c r="M126" s="138"/>
      <c r="N126" s="138"/>
      <c r="O126" s="138"/>
      <c r="P126" s="138"/>
      <c r="Q126" s="138"/>
      <c r="R126" s="138"/>
      <c r="S126" s="138"/>
      <c r="T126" s="138"/>
      <c r="U126" s="138"/>
      <c r="V126" s="138"/>
      <c r="W126" s="138"/>
      <c r="X126" s="138"/>
      <c r="Y126" s="138"/>
      <c r="Z126" s="138"/>
    </row>
    <row r="127" spans="1:26" ht="18" customHeight="1">
      <c r="A127" s="250"/>
      <c r="B127" s="138"/>
      <c r="C127" s="138"/>
      <c r="D127" s="138"/>
      <c r="E127" s="138"/>
      <c r="F127" s="138"/>
      <c r="G127" s="138"/>
      <c r="H127" s="138"/>
      <c r="I127" s="138"/>
      <c r="J127" s="138"/>
      <c r="K127" s="138"/>
      <c r="L127" s="138"/>
      <c r="M127" s="138"/>
      <c r="N127" s="138"/>
      <c r="O127" s="138"/>
      <c r="P127" s="138"/>
      <c r="Q127" s="138"/>
      <c r="R127" s="138"/>
      <c r="S127" s="138"/>
      <c r="T127" s="138"/>
      <c r="U127" s="138"/>
      <c r="V127" s="138"/>
      <c r="W127" s="138"/>
      <c r="X127" s="138"/>
      <c r="Y127" s="138"/>
      <c r="Z127" s="138"/>
    </row>
    <row r="128" spans="1:26" ht="18" customHeight="1">
      <c r="A128" s="250"/>
      <c r="B128" s="138"/>
      <c r="C128" s="138"/>
      <c r="D128" s="138"/>
      <c r="E128" s="138"/>
      <c r="F128" s="138"/>
      <c r="G128" s="138"/>
      <c r="H128" s="138"/>
      <c r="I128" s="138"/>
      <c r="J128" s="138"/>
      <c r="K128" s="138"/>
      <c r="L128" s="138"/>
      <c r="M128" s="138"/>
      <c r="N128" s="138"/>
      <c r="O128" s="138"/>
      <c r="P128" s="138"/>
      <c r="Q128" s="138"/>
      <c r="R128" s="138"/>
      <c r="S128" s="138"/>
      <c r="T128" s="138"/>
      <c r="U128" s="138"/>
      <c r="V128" s="138"/>
      <c r="W128" s="138"/>
      <c r="X128" s="138"/>
      <c r="Y128" s="138"/>
      <c r="Z128" s="138"/>
    </row>
    <row r="129" spans="1:26" ht="18" customHeight="1">
      <c r="A129" s="250"/>
      <c r="B129" s="138"/>
      <c r="C129" s="138"/>
      <c r="D129" s="138"/>
      <c r="E129" s="138"/>
      <c r="F129" s="138"/>
      <c r="G129" s="138"/>
      <c r="H129" s="138"/>
      <c r="I129" s="138"/>
      <c r="J129" s="138"/>
      <c r="K129" s="138"/>
      <c r="L129" s="138"/>
      <c r="M129" s="138"/>
      <c r="N129" s="138"/>
      <c r="O129" s="138"/>
      <c r="P129" s="138"/>
      <c r="Q129" s="138"/>
      <c r="R129" s="138"/>
      <c r="S129" s="138"/>
      <c r="T129" s="138"/>
      <c r="U129" s="138"/>
      <c r="V129" s="138"/>
      <c r="W129" s="138"/>
      <c r="X129" s="138"/>
      <c r="Y129" s="138"/>
      <c r="Z129" s="138"/>
    </row>
    <row r="130" spans="1:26" ht="18" customHeight="1">
      <c r="A130" s="250"/>
      <c r="B130" s="138"/>
      <c r="C130" s="138"/>
      <c r="D130" s="138"/>
      <c r="E130" s="138"/>
      <c r="F130" s="138"/>
      <c r="G130" s="138"/>
      <c r="H130" s="138"/>
      <c r="I130" s="138"/>
      <c r="J130" s="138"/>
      <c r="K130" s="138"/>
      <c r="L130" s="138"/>
      <c r="M130" s="138"/>
      <c r="N130" s="138"/>
      <c r="O130" s="138"/>
      <c r="P130" s="138"/>
      <c r="Q130" s="138"/>
      <c r="R130" s="138"/>
      <c r="S130" s="138"/>
      <c r="T130" s="138"/>
      <c r="U130" s="138"/>
      <c r="V130" s="138"/>
      <c r="W130" s="138"/>
      <c r="X130" s="138"/>
      <c r="Y130" s="138"/>
      <c r="Z130" s="138"/>
    </row>
    <row r="131" spans="1:26" ht="18" customHeight="1">
      <c r="A131" s="250"/>
      <c r="B131" s="138"/>
      <c r="C131" s="138"/>
      <c r="D131" s="138"/>
      <c r="E131" s="138"/>
      <c r="F131" s="138"/>
      <c r="G131" s="138"/>
      <c r="H131" s="138"/>
      <c r="I131" s="138"/>
      <c r="J131" s="138"/>
      <c r="K131" s="138"/>
      <c r="L131" s="138"/>
      <c r="M131" s="138"/>
      <c r="N131" s="138"/>
      <c r="O131" s="138"/>
      <c r="P131" s="138"/>
      <c r="Q131" s="138"/>
      <c r="R131" s="138"/>
      <c r="S131" s="138"/>
      <c r="T131" s="138"/>
      <c r="U131" s="138"/>
      <c r="V131" s="138"/>
      <c r="W131" s="138"/>
      <c r="X131" s="138"/>
      <c r="Y131" s="138"/>
      <c r="Z131" s="138"/>
    </row>
    <row r="132" spans="1:26" ht="18" customHeight="1">
      <c r="A132" s="250"/>
      <c r="B132" s="138"/>
      <c r="C132" s="138"/>
      <c r="D132" s="138"/>
      <c r="E132" s="138"/>
      <c r="F132" s="138"/>
      <c r="G132" s="138"/>
      <c r="H132" s="138"/>
      <c r="I132" s="138"/>
      <c r="J132" s="138"/>
      <c r="K132" s="138"/>
      <c r="L132" s="138"/>
      <c r="M132" s="138"/>
      <c r="N132" s="138"/>
      <c r="O132" s="138"/>
      <c r="P132" s="138"/>
      <c r="Q132" s="138"/>
      <c r="R132" s="138"/>
      <c r="S132" s="138"/>
      <c r="T132" s="138"/>
      <c r="U132" s="138"/>
      <c r="V132" s="138"/>
      <c r="W132" s="138"/>
      <c r="X132" s="138"/>
      <c r="Y132" s="138"/>
      <c r="Z132" s="138"/>
    </row>
    <row r="133" spans="1:26" ht="18" customHeight="1">
      <c r="A133" s="250"/>
      <c r="B133" s="138"/>
      <c r="C133" s="138"/>
      <c r="D133" s="138"/>
      <c r="E133" s="138"/>
      <c r="F133" s="138"/>
      <c r="G133" s="138"/>
      <c r="H133" s="138"/>
      <c r="I133" s="138"/>
      <c r="J133" s="138"/>
      <c r="K133" s="138"/>
      <c r="L133" s="138"/>
      <c r="M133" s="138"/>
      <c r="N133" s="138"/>
      <c r="O133" s="138"/>
      <c r="P133" s="138"/>
      <c r="Q133" s="138"/>
      <c r="R133" s="138"/>
      <c r="S133" s="138"/>
      <c r="T133" s="138"/>
      <c r="U133" s="138"/>
      <c r="V133" s="138"/>
      <c r="W133" s="138"/>
      <c r="X133" s="138"/>
      <c r="Y133" s="138"/>
      <c r="Z133" s="138"/>
    </row>
    <row r="134" spans="1:26" ht="18" customHeight="1">
      <c r="A134" s="250"/>
      <c r="B134" s="138"/>
      <c r="C134" s="138"/>
      <c r="D134" s="138"/>
      <c r="E134" s="138"/>
      <c r="F134" s="138"/>
      <c r="G134" s="138"/>
      <c r="H134" s="138"/>
      <c r="I134" s="138"/>
      <c r="J134" s="138"/>
      <c r="K134" s="138"/>
      <c r="L134" s="138"/>
      <c r="M134" s="138"/>
      <c r="N134" s="138"/>
      <c r="O134" s="138"/>
      <c r="P134" s="138"/>
      <c r="Q134" s="138"/>
      <c r="R134" s="138"/>
      <c r="S134" s="138"/>
      <c r="T134" s="138"/>
      <c r="U134" s="138"/>
      <c r="V134" s="138"/>
      <c r="W134" s="138"/>
      <c r="X134" s="138"/>
      <c r="Y134" s="138"/>
      <c r="Z134" s="138"/>
    </row>
    <row r="135" spans="1:26" ht="18" customHeight="1">
      <c r="A135" s="250"/>
      <c r="B135" s="138"/>
      <c r="C135" s="138"/>
      <c r="D135" s="138"/>
      <c r="E135" s="138"/>
      <c r="F135" s="138"/>
      <c r="G135" s="138"/>
      <c r="H135" s="138"/>
      <c r="I135" s="138"/>
      <c r="J135" s="138"/>
      <c r="K135" s="138"/>
      <c r="L135" s="138"/>
      <c r="M135" s="138"/>
      <c r="N135" s="138"/>
      <c r="O135" s="138"/>
      <c r="P135" s="138"/>
      <c r="Q135" s="138"/>
      <c r="R135" s="138"/>
      <c r="S135" s="138"/>
      <c r="T135" s="138"/>
      <c r="U135" s="138"/>
      <c r="V135" s="138"/>
      <c r="W135" s="138"/>
      <c r="X135" s="138"/>
      <c r="Y135" s="138"/>
      <c r="Z135" s="138"/>
    </row>
    <row r="136" spans="1:26" ht="18" customHeight="1">
      <c r="A136" s="250"/>
      <c r="B136" s="138"/>
      <c r="C136" s="138"/>
      <c r="D136" s="138"/>
      <c r="E136" s="138"/>
      <c r="F136" s="138"/>
      <c r="G136" s="138"/>
      <c r="H136" s="138"/>
      <c r="I136" s="138"/>
      <c r="J136" s="138"/>
      <c r="K136" s="138"/>
      <c r="L136" s="138"/>
      <c r="M136" s="138"/>
      <c r="N136" s="138"/>
      <c r="O136" s="138"/>
      <c r="P136" s="138"/>
      <c r="Q136" s="138"/>
      <c r="R136" s="138"/>
      <c r="S136" s="138"/>
      <c r="T136" s="138"/>
      <c r="U136" s="138"/>
      <c r="V136" s="138"/>
      <c r="W136" s="138"/>
      <c r="X136" s="138"/>
      <c r="Y136" s="138"/>
      <c r="Z136" s="138"/>
    </row>
    <row r="137" spans="1:26" ht="18" customHeight="1">
      <c r="A137" s="250"/>
      <c r="B137" s="138"/>
      <c r="C137" s="138"/>
      <c r="D137" s="138"/>
      <c r="E137" s="138"/>
      <c r="F137" s="138"/>
      <c r="G137" s="138"/>
      <c r="H137" s="138"/>
      <c r="I137" s="138"/>
      <c r="J137" s="138"/>
      <c r="K137" s="138"/>
      <c r="L137" s="138"/>
      <c r="M137" s="138"/>
      <c r="N137" s="138"/>
      <c r="O137" s="138"/>
      <c r="P137" s="138"/>
      <c r="Q137" s="138"/>
      <c r="R137" s="138"/>
      <c r="S137" s="138"/>
      <c r="T137" s="138"/>
      <c r="U137" s="138"/>
      <c r="V137" s="138"/>
      <c r="W137" s="138"/>
      <c r="X137" s="138"/>
      <c r="Y137" s="138"/>
      <c r="Z137" s="138"/>
    </row>
    <row r="138" spans="1:26" ht="18" customHeight="1">
      <c r="A138" s="250"/>
      <c r="B138" s="138"/>
      <c r="C138" s="138"/>
      <c r="D138" s="138"/>
      <c r="E138" s="138"/>
      <c r="F138" s="138"/>
      <c r="G138" s="138"/>
      <c r="H138" s="138"/>
      <c r="I138" s="138"/>
      <c r="J138" s="138"/>
      <c r="K138" s="138"/>
      <c r="L138" s="138"/>
      <c r="M138" s="138"/>
      <c r="N138" s="138"/>
      <c r="O138" s="138"/>
      <c r="P138" s="138"/>
      <c r="Q138" s="138"/>
      <c r="R138" s="138"/>
      <c r="S138" s="138"/>
      <c r="T138" s="138"/>
      <c r="U138" s="138"/>
      <c r="V138" s="138"/>
      <c r="W138" s="138"/>
      <c r="X138" s="138"/>
      <c r="Y138" s="138"/>
      <c r="Z138" s="138"/>
    </row>
    <row r="139" spans="1:26" ht="18" customHeight="1">
      <c r="A139" s="250"/>
      <c r="B139" s="138"/>
      <c r="C139" s="138"/>
      <c r="D139" s="138"/>
      <c r="E139" s="138"/>
      <c r="F139" s="138"/>
      <c r="G139" s="138"/>
      <c r="H139" s="138"/>
      <c r="I139" s="138"/>
      <c r="J139" s="138"/>
      <c r="K139" s="138"/>
      <c r="L139" s="138"/>
      <c r="M139" s="138"/>
      <c r="N139" s="138"/>
      <c r="O139" s="138"/>
      <c r="P139" s="138"/>
      <c r="Q139" s="138"/>
      <c r="R139" s="138"/>
      <c r="S139" s="138"/>
      <c r="T139" s="138"/>
      <c r="U139" s="138"/>
      <c r="V139" s="138"/>
      <c r="W139" s="138"/>
      <c r="X139" s="138"/>
      <c r="Y139" s="138"/>
      <c r="Z139" s="138"/>
    </row>
    <row r="140" spans="1:26" ht="18" customHeight="1">
      <c r="A140" s="250"/>
      <c r="B140" s="138"/>
      <c r="C140" s="138"/>
      <c r="D140" s="138"/>
      <c r="E140" s="138"/>
      <c r="F140" s="138"/>
      <c r="G140" s="138"/>
      <c r="H140" s="138"/>
      <c r="I140" s="138"/>
      <c r="J140" s="138"/>
      <c r="K140" s="138"/>
      <c r="L140" s="138"/>
      <c r="M140" s="138"/>
      <c r="N140" s="138"/>
      <c r="O140" s="138"/>
      <c r="P140" s="138"/>
      <c r="Q140" s="138"/>
      <c r="R140" s="138"/>
      <c r="S140" s="138"/>
      <c r="T140" s="138"/>
      <c r="U140" s="138"/>
      <c r="V140" s="138"/>
      <c r="W140" s="138"/>
      <c r="X140" s="138"/>
      <c r="Y140" s="138"/>
      <c r="Z140" s="138"/>
    </row>
    <row r="141" spans="1:26" ht="18" customHeight="1">
      <c r="A141" s="250"/>
      <c r="B141" s="138"/>
      <c r="C141" s="138"/>
      <c r="D141" s="138"/>
      <c r="E141" s="138"/>
      <c r="F141" s="138"/>
      <c r="G141" s="138"/>
      <c r="H141" s="138"/>
      <c r="I141" s="138"/>
      <c r="J141" s="138"/>
      <c r="K141" s="138"/>
      <c r="L141" s="138"/>
      <c r="M141" s="138"/>
      <c r="N141" s="138"/>
      <c r="O141" s="138"/>
      <c r="P141" s="138"/>
      <c r="Q141" s="138"/>
      <c r="R141" s="138"/>
      <c r="S141" s="138"/>
      <c r="T141" s="138"/>
      <c r="U141" s="138"/>
      <c r="V141" s="138"/>
      <c r="W141" s="138"/>
      <c r="X141" s="138"/>
      <c r="Y141" s="138"/>
      <c r="Z141" s="138"/>
    </row>
    <row r="142" spans="1:26" ht="18" customHeight="1">
      <c r="A142" s="250"/>
      <c r="B142" s="138"/>
      <c r="C142" s="138"/>
      <c r="D142" s="138"/>
      <c r="E142" s="138"/>
      <c r="F142" s="138"/>
      <c r="G142" s="138"/>
      <c r="H142" s="138"/>
      <c r="I142" s="138"/>
      <c r="J142" s="138"/>
      <c r="K142" s="138"/>
      <c r="L142" s="138"/>
      <c r="M142" s="138"/>
      <c r="N142" s="138"/>
      <c r="O142" s="138"/>
      <c r="P142" s="138"/>
      <c r="Q142" s="138"/>
      <c r="R142" s="138"/>
      <c r="S142" s="138"/>
      <c r="T142" s="138"/>
      <c r="U142" s="138"/>
      <c r="V142" s="138"/>
      <c r="W142" s="138"/>
      <c r="X142" s="138"/>
      <c r="Y142" s="138"/>
      <c r="Z142" s="138"/>
    </row>
    <row r="143" spans="1:26" ht="18" customHeight="1">
      <c r="A143" s="250"/>
      <c r="B143" s="138"/>
      <c r="C143" s="138"/>
      <c r="D143" s="138"/>
      <c r="E143" s="138"/>
      <c r="F143" s="138"/>
      <c r="G143" s="138"/>
      <c r="H143" s="138"/>
      <c r="I143" s="138"/>
      <c r="J143" s="138"/>
      <c r="K143" s="138"/>
      <c r="L143" s="138"/>
      <c r="M143" s="138"/>
      <c r="N143" s="138"/>
      <c r="O143" s="138"/>
      <c r="P143" s="138"/>
      <c r="Q143" s="138"/>
      <c r="R143" s="138"/>
      <c r="S143" s="138"/>
      <c r="T143" s="138"/>
      <c r="U143" s="138"/>
      <c r="V143" s="138"/>
      <c r="W143" s="138"/>
      <c r="X143" s="138"/>
      <c r="Y143" s="138"/>
      <c r="Z143" s="138"/>
    </row>
    <row r="144" spans="1:26" ht="18" customHeight="1">
      <c r="A144" s="250"/>
      <c r="B144" s="138"/>
      <c r="C144" s="138"/>
      <c r="D144" s="138"/>
      <c r="E144" s="138"/>
      <c r="F144" s="138"/>
      <c r="G144" s="138"/>
      <c r="H144" s="138"/>
      <c r="I144" s="138"/>
      <c r="J144" s="138"/>
      <c r="K144" s="138"/>
      <c r="L144" s="138"/>
      <c r="M144" s="138"/>
      <c r="N144" s="138"/>
      <c r="O144" s="138"/>
      <c r="P144" s="138"/>
      <c r="Q144" s="138"/>
      <c r="R144" s="138"/>
      <c r="S144" s="138"/>
      <c r="T144" s="138"/>
      <c r="U144" s="138"/>
      <c r="V144" s="138"/>
      <c r="W144" s="138"/>
      <c r="X144" s="138"/>
      <c r="Y144" s="138"/>
      <c r="Z144" s="138"/>
    </row>
    <row r="145" spans="1:26" ht="18" customHeight="1">
      <c r="A145" s="250"/>
      <c r="B145" s="138"/>
      <c r="C145" s="138"/>
      <c r="D145" s="138"/>
      <c r="E145" s="138"/>
      <c r="F145" s="138"/>
      <c r="G145" s="138"/>
      <c r="H145" s="138"/>
      <c r="I145" s="138"/>
      <c r="J145" s="138"/>
      <c r="K145" s="138"/>
      <c r="L145" s="138"/>
      <c r="M145" s="138"/>
      <c r="N145" s="138"/>
      <c r="O145" s="138"/>
      <c r="P145" s="138"/>
      <c r="Q145" s="138"/>
      <c r="R145" s="138"/>
      <c r="S145" s="138"/>
      <c r="T145" s="138"/>
      <c r="U145" s="138"/>
      <c r="V145" s="138"/>
      <c r="W145" s="138"/>
      <c r="X145" s="138"/>
      <c r="Y145" s="138"/>
      <c r="Z145" s="138"/>
    </row>
    <row r="146" spans="1:26" ht="18" customHeight="1">
      <c r="A146" s="250"/>
      <c r="B146" s="138"/>
      <c r="C146" s="138"/>
      <c r="D146" s="138"/>
      <c r="E146" s="138"/>
      <c r="F146" s="138"/>
      <c r="G146" s="138"/>
      <c r="H146" s="138"/>
      <c r="I146" s="138"/>
      <c r="J146" s="138"/>
      <c r="K146" s="138"/>
      <c r="L146" s="138"/>
      <c r="M146" s="138"/>
      <c r="N146" s="138"/>
      <c r="O146" s="138"/>
      <c r="P146" s="138"/>
      <c r="Q146" s="138"/>
      <c r="R146" s="138"/>
      <c r="S146" s="138"/>
      <c r="T146" s="138"/>
      <c r="U146" s="138"/>
      <c r="V146" s="138"/>
      <c r="W146" s="138"/>
      <c r="X146" s="138"/>
      <c r="Y146" s="138"/>
      <c r="Z146" s="138"/>
    </row>
    <row r="147" spans="1:26" ht="18" customHeight="1">
      <c r="A147" s="250"/>
      <c r="B147" s="138"/>
      <c r="C147" s="138"/>
      <c r="D147" s="138"/>
      <c r="E147" s="138"/>
      <c r="F147" s="138"/>
      <c r="G147" s="138"/>
      <c r="H147" s="138"/>
      <c r="I147" s="138"/>
      <c r="J147" s="138"/>
      <c r="K147" s="138"/>
      <c r="L147" s="138"/>
      <c r="M147" s="138"/>
      <c r="N147" s="138"/>
      <c r="O147" s="138"/>
      <c r="P147" s="138"/>
      <c r="Q147" s="138"/>
      <c r="R147" s="138"/>
      <c r="S147" s="138"/>
      <c r="T147" s="138"/>
      <c r="U147" s="138"/>
      <c r="V147" s="138"/>
      <c r="W147" s="138"/>
      <c r="X147" s="138"/>
      <c r="Y147" s="138"/>
      <c r="Z147" s="138"/>
    </row>
    <row r="148" spans="1:26" ht="18" customHeight="1">
      <c r="A148" s="250"/>
      <c r="B148" s="138"/>
      <c r="C148" s="138"/>
      <c r="D148" s="138"/>
      <c r="E148" s="138"/>
      <c r="F148" s="138"/>
      <c r="G148" s="138"/>
      <c r="H148" s="138"/>
      <c r="I148" s="138"/>
      <c r="J148" s="138"/>
      <c r="K148" s="138"/>
      <c r="L148" s="138"/>
      <c r="M148" s="138"/>
      <c r="N148" s="138"/>
      <c r="O148" s="138"/>
      <c r="P148" s="138"/>
      <c r="Q148" s="138"/>
      <c r="R148" s="138"/>
      <c r="S148" s="138"/>
      <c r="T148" s="138"/>
      <c r="U148" s="138"/>
      <c r="V148" s="138"/>
      <c r="W148" s="138"/>
      <c r="X148" s="138"/>
      <c r="Y148" s="138"/>
      <c r="Z148" s="138"/>
    </row>
    <row r="149" spans="1:26" ht="18" customHeight="1">
      <c r="A149" s="250"/>
      <c r="B149" s="138"/>
      <c r="C149" s="138"/>
      <c r="D149" s="138"/>
      <c r="E149" s="138"/>
      <c r="F149" s="138"/>
      <c r="G149" s="138"/>
      <c r="H149" s="138"/>
      <c r="I149" s="138"/>
      <c r="J149" s="138"/>
      <c r="K149" s="138"/>
      <c r="L149" s="138"/>
      <c r="M149" s="138"/>
      <c r="N149" s="138"/>
      <c r="O149" s="138"/>
      <c r="P149" s="138"/>
      <c r="Q149" s="138"/>
      <c r="R149" s="138"/>
      <c r="S149" s="138"/>
      <c r="T149" s="138"/>
      <c r="U149" s="138"/>
      <c r="V149" s="138"/>
      <c r="W149" s="138"/>
      <c r="X149" s="138"/>
      <c r="Y149" s="138"/>
      <c r="Z149" s="138"/>
    </row>
    <row r="150" spans="1:26" ht="18" customHeight="1">
      <c r="A150" s="250"/>
      <c r="B150" s="138"/>
      <c r="C150" s="138"/>
      <c r="D150" s="138"/>
      <c r="E150" s="138"/>
      <c r="F150" s="138"/>
      <c r="G150" s="138"/>
      <c r="H150" s="138"/>
      <c r="I150" s="138"/>
      <c r="J150" s="138"/>
      <c r="K150" s="138"/>
      <c r="L150" s="138"/>
      <c r="M150" s="138"/>
      <c r="N150" s="138"/>
      <c r="O150" s="138"/>
      <c r="P150" s="138"/>
      <c r="Q150" s="138"/>
      <c r="R150" s="138"/>
      <c r="S150" s="138"/>
      <c r="T150" s="138"/>
      <c r="U150" s="138"/>
      <c r="V150" s="138"/>
      <c r="W150" s="138"/>
      <c r="X150" s="138"/>
      <c r="Y150" s="138"/>
      <c r="Z150" s="138"/>
    </row>
    <row r="151" spans="1:26" ht="18" customHeight="1">
      <c r="A151" s="250"/>
      <c r="B151" s="138"/>
      <c r="C151" s="138"/>
      <c r="D151" s="138"/>
      <c r="E151" s="138"/>
      <c r="F151" s="138"/>
      <c r="G151" s="138"/>
      <c r="H151" s="138"/>
      <c r="I151" s="138"/>
      <c r="J151" s="138"/>
      <c r="K151" s="138"/>
      <c r="L151" s="138"/>
      <c r="M151" s="138"/>
      <c r="N151" s="138"/>
      <c r="O151" s="138"/>
      <c r="P151" s="138"/>
      <c r="Q151" s="138"/>
      <c r="R151" s="138"/>
      <c r="S151" s="138"/>
      <c r="T151" s="138"/>
      <c r="U151" s="138"/>
      <c r="V151" s="138"/>
      <c r="W151" s="138"/>
      <c r="X151" s="138"/>
      <c r="Y151" s="138"/>
      <c r="Z151" s="138"/>
    </row>
    <row r="152" spans="1:26" ht="18" customHeight="1">
      <c r="A152" s="250"/>
      <c r="B152" s="138"/>
      <c r="C152" s="138"/>
      <c r="D152" s="138"/>
      <c r="E152" s="138"/>
      <c r="F152" s="138"/>
      <c r="G152" s="138"/>
      <c r="H152" s="138"/>
      <c r="I152" s="138"/>
      <c r="J152" s="138"/>
      <c r="K152" s="138"/>
      <c r="L152" s="138"/>
      <c r="M152" s="138"/>
      <c r="N152" s="138"/>
      <c r="O152" s="138"/>
      <c r="P152" s="138"/>
      <c r="Q152" s="138"/>
      <c r="R152" s="138"/>
      <c r="S152" s="138"/>
      <c r="T152" s="138"/>
      <c r="U152" s="138"/>
      <c r="V152" s="138"/>
      <c r="W152" s="138"/>
      <c r="X152" s="138"/>
      <c r="Y152" s="138"/>
      <c r="Z152" s="138"/>
    </row>
    <row r="153" spans="1:26" ht="18" customHeight="1">
      <c r="A153" s="250"/>
      <c r="B153" s="138"/>
      <c r="C153" s="138"/>
      <c r="D153" s="138"/>
      <c r="E153" s="138"/>
      <c r="F153" s="138"/>
      <c r="G153" s="138"/>
      <c r="H153" s="138"/>
      <c r="I153" s="138"/>
      <c r="J153" s="138"/>
      <c r="K153" s="138"/>
      <c r="L153" s="138"/>
      <c r="M153" s="138"/>
      <c r="N153" s="138"/>
      <c r="O153" s="138"/>
      <c r="P153" s="138"/>
      <c r="Q153" s="138"/>
      <c r="R153" s="138"/>
      <c r="S153" s="138"/>
      <c r="T153" s="138"/>
      <c r="U153" s="138"/>
      <c r="V153" s="138"/>
      <c r="W153" s="138"/>
      <c r="X153" s="138"/>
      <c r="Y153" s="138"/>
      <c r="Z153" s="138"/>
    </row>
    <row r="154" spans="1:26" ht="18" customHeight="1">
      <c r="A154" s="250"/>
      <c r="B154" s="138"/>
      <c r="C154" s="138"/>
      <c r="D154" s="138"/>
      <c r="E154" s="138"/>
      <c r="F154" s="138"/>
      <c r="G154" s="138"/>
      <c r="H154" s="138"/>
      <c r="I154" s="138"/>
      <c r="J154" s="138"/>
      <c r="K154" s="138"/>
      <c r="L154" s="138"/>
      <c r="M154" s="138"/>
      <c r="N154" s="138"/>
      <c r="O154" s="138"/>
      <c r="P154" s="138"/>
      <c r="Q154" s="138"/>
      <c r="R154" s="138"/>
      <c r="S154" s="138"/>
      <c r="T154" s="138"/>
      <c r="U154" s="138"/>
      <c r="V154" s="138"/>
      <c r="W154" s="138"/>
      <c r="X154" s="138"/>
      <c r="Y154" s="138"/>
      <c r="Z154" s="138"/>
    </row>
    <row r="155" spans="1:26" ht="18" customHeight="1">
      <c r="A155" s="250"/>
      <c r="B155" s="138"/>
      <c r="C155" s="138"/>
      <c r="D155" s="138"/>
      <c r="E155" s="138"/>
      <c r="F155" s="138"/>
      <c r="G155" s="138"/>
      <c r="H155" s="138"/>
      <c r="I155" s="138"/>
      <c r="J155" s="138"/>
      <c r="K155" s="138"/>
      <c r="L155" s="138"/>
      <c r="M155" s="138"/>
      <c r="N155" s="138"/>
      <c r="O155" s="138"/>
      <c r="P155" s="138"/>
      <c r="Q155" s="138"/>
      <c r="R155" s="138"/>
      <c r="S155" s="138"/>
      <c r="T155" s="138"/>
      <c r="U155" s="138"/>
      <c r="V155" s="138"/>
      <c r="W155" s="138"/>
      <c r="X155" s="138"/>
      <c r="Y155" s="138"/>
      <c r="Z155" s="138"/>
    </row>
    <row r="156" spans="1:26" ht="18" customHeight="1">
      <c r="A156" s="250"/>
      <c r="B156" s="138"/>
      <c r="C156" s="138"/>
      <c r="D156" s="138"/>
      <c r="E156" s="138"/>
      <c r="F156" s="138"/>
      <c r="G156" s="138"/>
      <c r="H156" s="138"/>
      <c r="I156" s="138"/>
      <c r="J156" s="138"/>
      <c r="K156" s="138"/>
      <c r="L156" s="138"/>
      <c r="M156" s="138"/>
      <c r="N156" s="138"/>
      <c r="O156" s="138"/>
      <c r="P156" s="138"/>
      <c r="Q156" s="138"/>
      <c r="R156" s="138"/>
      <c r="S156" s="138"/>
      <c r="T156" s="138"/>
      <c r="U156" s="138"/>
      <c r="V156" s="138"/>
      <c r="W156" s="138"/>
      <c r="X156" s="138"/>
      <c r="Y156" s="138"/>
      <c r="Z156" s="138"/>
    </row>
    <row r="157" spans="1:26" ht="18" customHeight="1">
      <c r="A157" s="250"/>
      <c r="B157" s="138"/>
      <c r="C157" s="138"/>
      <c r="D157" s="138"/>
      <c r="E157" s="138"/>
      <c r="F157" s="138"/>
      <c r="G157" s="138"/>
      <c r="H157" s="138"/>
      <c r="I157" s="138"/>
      <c r="J157" s="138"/>
      <c r="K157" s="138"/>
      <c r="L157" s="138"/>
      <c r="M157" s="138"/>
      <c r="N157" s="138"/>
      <c r="O157" s="138"/>
      <c r="P157" s="138"/>
      <c r="Q157" s="138"/>
      <c r="R157" s="138"/>
      <c r="S157" s="138"/>
      <c r="T157" s="138"/>
      <c r="U157" s="138"/>
      <c r="V157" s="138"/>
      <c r="W157" s="138"/>
      <c r="X157" s="138"/>
      <c r="Y157" s="138"/>
      <c r="Z157" s="138"/>
    </row>
    <row r="158" spans="1:26" ht="18" customHeight="1">
      <c r="A158" s="250"/>
      <c r="B158" s="138"/>
      <c r="C158" s="138"/>
      <c r="D158" s="138"/>
      <c r="E158" s="138"/>
      <c r="F158" s="138"/>
      <c r="G158" s="138"/>
      <c r="H158" s="138"/>
      <c r="I158" s="138"/>
      <c r="J158" s="138"/>
      <c r="K158" s="138"/>
      <c r="L158" s="138"/>
      <c r="M158" s="138"/>
      <c r="N158" s="138"/>
      <c r="O158" s="138"/>
      <c r="P158" s="138"/>
      <c r="Q158" s="138"/>
      <c r="R158" s="138"/>
      <c r="S158" s="138"/>
      <c r="T158" s="138"/>
      <c r="U158" s="138"/>
      <c r="V158" s="138"/>
      <c r="W158" s="138"/>
      <c r="X158" s="138"/>
      <c r="Y158" s="138"/>
      <c r="Z158" s="138"/>
    </row>
    <row r="159" spans="1:26" ht="18" customHeight="1">
      <c r="A159" s="250"/>
      <c r="B159" s="138"/>
      <c r="C159" s="138"/>
      <c r="D159" s="138"/>
      <c r="E159" s="138"/>
      <c r="F159" s="138"/>
      <c r="G159" s="138"/>
      <c r="H159" s="138"/>
      <c r="I159" s="138"/>
      <c r="J159" s="138"/>
      <c r="K159" s="138"/>
      <c r="L159" s="138"/>
      <c r="M159" s="138"/>
      <c r="N159" s="138"/>
      <c r="O159" s="138"/>
      <c r="P159" s="138"/>
      <c r="Q159" s="138"/>
      <c r="R159" s="138"/>
      <c r="S159" s="138"/>
      <c r="T159" s="138"/>
      <c r="U159" s="138"/>
      <c r="V159" s="138"/>
      <c r="W159" s="138"/>
      <c r="X159" s="138"/>
      <c r="Y159" s="138"/>
      <c r="Z159" s="138"/>
    </row>
    <row r="160" spans="1:26" ht="18" customHeight="1">
      <c r="A160" s="250"/>
      <c r="B160" s="138"/>
      <c r="C160" s="138"/>
      <c r="D160" s="138"/>
      <c r="E160" s="138"/>
      <c r="F160" s="138"/>
      <c r="G160" s="138"/>
      <c r="H160" s="138"/>
      <c r="I160" s="138"/>
      <c r="J160" s="138"/>
      <c r="K160" s="138"/>
      <c r="L160" s="138"/>
      <c r="M160" s="138"/>
      <c r="N160" s="138"/>
      <c r="O160" s="138"/>
      <c r="P160" s="138"/>
      <c r="Q160" s="138"/>
      <c r="R160" s="138"/>
      <c r="S160" s="138"/>
      <c r="T160" s="138"/>
      <c r="U160" s="138"/>
      <c r="V160" s="138"/>
      <c r="W160" s="138"/>
      <c r="X160" s="138"/>
      <c r="Y160" s="138"/>
      <c r="Z160" s="138"/>
    </row>
    <row r="161" spans="1:26" ht="18" customHeight="1">
      <c r="A161" s="250"/>
      <c r="B161" s="138"/>
      <c r="C161" s="138"/>
      <c r="D161" s="138"/>
      <c r="E161" s="138"/>
      <c r="F161" s="138"/>
      <c r="G161" s="138"/>
      <c r="H161" s="138"/>
      <c r="I161" s="138"/>
      <c r="J161" s="138"/>
      <c r="K161" s="138"/>
      <c r="L161" s="138"/>
      <c r="M161" s="138"/>
      <c r="N161" s="138"/>
      <c r="O161" s="138"/>
      <c r="P161" s="138"/>
      <c r="Q161" s="138"/>
      <c r="R161" s="138"/>
      <c r="S161" s="138"/>
      <c r="T161" s="138"/>
      <c r="U161" s="138"/>
      <c r="V161" s="138"/>
      <c r="W161" s="138"/>
      <c r="X161" s="138"/>
      <c r="Y161" s="138"/>
      <c r="Z161" s="138"/>
    </row>
    <row r="162" spans="1:26" ht="18" customHeight="1">
      <c r="A162" s="250"/>
      <c r="B162" s="138"/>
      <c r="C162" s="138"/>
      <c r="D162" s="138"/>
      <c r="E162" s="138"/>
      <c r="F162" s="138"/>
      <c r="G162" s="138"/>
      <c r="H162" s="138"/>
      <c r="I162" s="138"/>
      <c r="J162" s="138"/>
      <c r="K162" s="138"/>
      <c r="L162" s="138"/>
      <c r="M162" s="138"/>
      <c r="N162" s="138"/>
      <c r="O162" s="138"/>
      <c r="P162" s="138"/>
      <c r="Q162" s="138"/>
      <c r="R162" s="138"/>
      <c r="S162" s="138"/>
      <c r="T162" s="138"/>
      <c r="U162" s="138"/>
      <c r="V162" s="138"/>
      <c r="W162" s="138"/>
      <c r="X162" s="138"/>
      <c r="Y162" s="138"/>
      <c r="Z162" s="138"/>
    </row>
    <row r="163" spans="1:26" ht="18" customHeight="1">
      <c r="A163" s="250"/>
      <c r="B163" s="138"/>
      <c r="C163" s="138"/>
      <c r="D163" s="138"/>
      <c r="E163" s="138"/>
      <c r="F163" s="138"/>
      <c r="G163" s="138"/>
      <c r="H163" s="138"/>
      <c r="I163" s="138"/>
      <c r="J163" s="138"/>
      <c r="K163" s="138"/>
      <c r="L163" s="138"/>
      <c r="M163" s="138"/>
      <c r="N163" s="138"/>
      <c r="O163" s="138"/>
      <c r="P163" s="138"/>
      <c r="Q163" s="138"/>
      <c r="R163" s="138"/>
      <c r="S163" s="138"/>
      <c r="T163" s="138"/>
      <c r="U163" s="138"/>
      <c r="V163" s="138"/>
      <c r="W163" s="138"/>
      <c r="X163" s="138"/>
      <c r="Y163" s="138"/>
      <c r="Z163" s="138"/>
    </row>
    <row r="164" spans="1:26" ht="18" customHeight="1">
      <c r="A164" s="250"/>
      <c r="B164" s="138"/>
      <c r="C164" s="138"/>
      <c r="D164" s="138"/>
      <c r="E164" s="138"/>
      <c r="F164" s="138"/>
      <c r="G164" s="138"/>
      <c r="H164" s="138"/>
      <c r="I164" s="138"/>
      <c r="J164" s="138"/>
      <c r="K164" s="138"/>
      <c r="L164" s="138"/>
      <c r="M164" s="138"/>
      <c r="N164" s="138"/>
      <c r="O164" s="138"/>
      <c r="P164" s="138"/>
      <c r="Q164" s="138"/>
      <c r="R164" s="138"/>
      <c r="S164" s="138"/>
      <c r="T164" s="138"/>
      <c r="U164" s="138"/>
      <c r="V164" s="138"/>
      <c r="W164" s="138"/>
      <c r="X164" s="138"/>
      <c r="Y164" s="138"/>
      <c r="Z164" s="138"/>
    </row>
    <row r="165" spans="1:26" ht="18" customHeight="1">
      <c r="A165" s="250"/>
      <c r="B165" s="138"/>
      <c r="C165" s="138"/>
      <c r="D165" s="138"/>
      <c r="E165" s="138"/>
      <c r="F165" s="138"/>
      <c r="G165" s="138"/>
      <c r="H165" s="138"/>
      <c r="I165" s="138"/>
      <c r="J165" s="138"/>
      <c r="K165" s="138"/>
      <c r="L165" s="138"/>
      <c r="M165" s="138"/>
      <c r="N165" s="138"/>
      <c r="O165" s="138"/>
      <c r="P165" s="138"/>
      <c r="Q165" s="138"/>
      <c r="R165" s="138"/>
      <c r="S165" s="138"/>
      <c r="T165" s="138"/>
      <c r="U165" s="138"/>
      <c r="V165" s="138"/>
      <c r="W165" s="138"/>
      <c r="X165" s="138"/>
      <c r="Y165" s="138"/>
      <c r="Z165" s="138"/>
    </row>
    <row r="166" spans="1:26" ht="18" customHeight="1">
      <c r="A166" s="250"/>
      <c r="B166" s="138"/>
      <c r="C166" s="138"/>
      <c r="D166" s="138"/>
      <c r="E166" s="138"/>
      <c r="F166" s="138"/>
      <c r="G166" s="138"/>
      <c r="H166" s="138"/>
      <c r="I166" s="138"/>
      <c r="J166" s="138"/>
      <c r="K166" s="138"/>
      <c r="L166" s="138"/>
      <c r="M166" s="138"/>
      <c r="N166" s="138"/>
      <c r="O166" s="138"/>
      <c r="P166" s="138"/>
      <c r="Q166" s="138"/>
      <c r="R166" s="138"/>
      <c r="S166" s="138"/>
      <c r="T166" s="138"/>
      <c r="U166" s="138"/>
      <c r="V166" s="138"/>
      <c r="W166" s="138"/>
      <c r="X166" s="138"/>
      <c r="Y166" s="138"/>
      <c r="Z166" s="138"/>
    </row>
    <row r="167" spans="1:26" ht="18" customHeight="1">
      <c r="A167" s="250"/>
      <c r="B167" s="138"/>
      <c r="C167" s="138"/>
      <c r="D167" s="138"/>
      <c r="E167" s="138"/>
      <c r="F167" s="138"/>
      <c r="G167" s="138"/>
      <c r="H167" s="138"/>
      <c r="I167" s="138"/>
      <c r="J167" s="138"/>
      <c r="K167" s="138"/>
      <c r="L167" s="138"/>
      <c r="M167" s="138"/>
      <c r="N167" s="138"/>
      <c r="O167" s="138"/>
      <c r="P167" s="138"/>
      <c r="Q167" s="138"/>
      <c r="R167" s="138"/>
      <c r="S167" s="138"/>
      <c r="T167" s="138"/>
      <c r="U167" s="138"/>
      <c r="V167" s="138"/>
      <c r="W167" s="138"/>
      <c r="X167" s="138"/>
      <c r="Y167" s="138"/>
      <c r="Z167" s="138"/>
    </row>
    <row r="168" spans="1:26" ht="18" customHeight="1">
      <c r="A168" s="250"/>
      <c r="B168" s="138"/>
      <c r="C168" s="138"/>
      <c r="D168" s="138"/>
      <c r="E168" s="138"/>
      <c r="F168" s="138"/>
      <c r="G168" s="138"/>
      <c r="H168" s="138"/>
      <c r="I168" s="138"/>
      <c r="J168" s="138"/>
      <c r="K168" s="138"/>
      <c r="L168" s="138"/>
      <c r="M168" s="138"/>
      <c r="N168" s="138"/>
      <c r="O168" s="138"/>
      <c r="P168" s="138"/>
      <c r="Q168" s="138"/>
      <c r="R168" s="138"/>
      <c r="S168" s="138"/>
      <c r="T168" s="138"/>
      <c r="U168" s="138"/>
      <c r="V168" s="138"/>
      <c r="W168" s="138"/>
      <c r="X168" s="138"/>
      <c r="Y168" s="138"/>
      <c r="Z168" s="138"/>
    </row>
    <row r="169" spans="1:26" ht="18" customHeight="1">
      <c r="A169" s="250"/>
      <c r="B169" s="138"/>
      <c r="C169" s="138"/>
      <c r="D169" s="138"/>
      <c r="E169" s="138"/>
      <c r="F169" s="138"/>
      <c r="G169" s="138"/>
      <c r="H169" s="138"/>
      <c r="I169" s="138"/>
      <c r="J169" s="138"/>
      <c r="K169" s="138"/>
      <c r="L169" s="138"/>
      <c r="M169" s="138"/>
      <c r="N169" s="138"/>
      <c r="O169" s="138"/>
      <c r="P169" s="138"/>
      <c r="Q169" s="138"/>
      <c r="R169" s="138"/>
      <c r="S169" s="138"/>
      <c r="T169" s="138"/>
      <c r="U169" s="138"/>
      <c r="V169" s="138"/>
      <c r="W169" s="138"/>
      <c r="X169" s="138"/>
      <c r="Y169" s="138"/>
      <c r="Z169" s="138"/>
    </row>
    <row r="170" spans="1:26" ht="18" customHeight="1">
      <c r="A170" s="250"/>
      <c r="B170" s="138"/>
      <c r="C170" s="138"/>
      <c r="D170" s="138"/>
      <c r="E170" s="138"/>
      <c r="F170" s="138"/>
      <c r="G170" s="138"/>
      <c r="H170" s="138"/>
      <c r="I170" s="138"/>
      <c r="J170" s="138"/>
      <c r="K170" s="138"/>
      <c r="L170" s="138"/>
      <c r="M170" s="138"/>
      <c r="N170" s="138"/>
      <c r="O170" s="138"/>
      <c r="P170" s="138"/>
      <c r="Q170" s="138"/>
      <c r="R170" s="138"/>
      <c r="S170" s="138"/>
      <c r="T170" s="138"/>
      <c r="U170" s="138"/>
      <c r="V170" s="138"/>
      <c r="W170" s="138"/>
      <c r="X170" s="138"/>
      <c r="Y170" s="138"/>
      <c r="Z170" s="138"/>
    </row>
    <row r="171" spans="1:26" ht="18" customHeight="1">
      <c r="A171" s="250"/>
      <c r="B171" s="138"/>
      <c r="C171" s="138"/>
      <c r="D171" s="138"/>
      <c r="E171" s="138"/>
      <c r="F171" s="138"/>
      <c r="G171" s="138"/>
      <c r="H171" s="138"/>
      <c r="I171" s="138"/>
      <c r="J171" s="138"/>
      <c r="K171" s="138"/>
      <c r="L171" s="138"/>
      <c r="M171" s="138"/>
      <c r="N171" s="138"/>
      <c r="O171" s="138"/>
      <c r="P171" s="138"/>
      <c r="Q171" s="138"/>
      <c r="R171" s="138"/>
      <c r="S171" s="138"/>
      <c r="T171" s="138"/>
      <c r="U171" s="138"/>
      <c r="V171" s="138"/>
      <c r="W171" s="138"/>
      <c r="X171" s="138"/>
      <c r="Y171" s="138"/>
      <c r="Z171" s="138"/>
    </row>
    <row r="172" spans="1:26" ht="18" customHeight="1">
      <c r="A172" s="250"/>
      <c r="B172" s="138"/>
      <c r="C172" s="138"/>
      <c r="D172" s="138"/>
      <c r="E172" s="138"/>
      <c r="F172" s="138"/>
      <c r="G172" s="138"/>
      <c r="H172" s="138"/>
      <c r="I172" s="138"/>
      <c r="J172" s="138"/>
      <c r="K172" s="138"/>
      <c r="L172" s="138"/>
      <c r="M172" s="138"/>
      <c r="N172" s="138"/>
      <c r="O172" s="138"/>
      <c r="P172" s="138"/>
      <c r="Q172" s="138"/>
      <c r="R172" s="138"/>
      <c r="S172" s="138"/>
      <c r="T172" s="138"/>
      <c r="U172" s="138"/>
      <c r="V172" s="138"/>
      <c r="W172" s="138"/>
      <c r="X172" s="138"/>
      <c r="Y172" s="138"/>
      <c r="Z172" s="138"/>
    </row>
    <row r="173" spans="1:26" ht="18" customHeight="1">
      <c r="A173" s="250"/>
      <c r="B173" s="138"/>
      <c r="C173" s="138"/>
      <c r="D173" s="138"/>
      <c r="E173" s="138"/>
      <c r="F173" s="138"/>
      <c r="G173" s="138"/>
      <c r="H173" s="138"/>
      <c r="I173" s="138"/>
      <c r="J173" s="138"/>
      <c r="K173" s="138"/>
      <c r="L173" s="138"/>
      <c r="M173" s="138"/>
      <c r="N173" s="138"/>
      <c r="O173" s="138"/>
      <c r="P173" s="138"/>
      <c r="Q173" s="138"/>
      <c r="R173" s="138"/>
      <c r="S173" s="138"/>
      <c r="T173" s="138"/>
      <c r="U173" s="138"/>
      <c r="V173" s="138"/>
      <c r="W173" s="138"/>
      <c r="X173" s="138"/>
      <c r="Y173" s="138"/>
      <c r="Z173" s="138"/>
    </row>
    <row r="174" spans="1:26" ht="18" customHeight="1">
      <c r="A174" s="250"/>
      <c r="B174" s="138"/>
      <c r="C174" s="138"/>
      <c r="D174" s="138"/>
      <c r="E174" s="138"/>
      <c r="F174" s="138"/>
      <c r="G174" s="138"/>
      <c r="H174" s="138"/>
      <c r="I174" s="138"/>
      <c r="J174" s="138"/>
      <c r="K174" s="138"/>
      <c r="L174" s="138"/>
      <c r="M174" s="138"/>
      <c r="N174" s="138"/>
      <c r="O174" s="138"/>
      <c r="P174" s="138"/>
      <c r="Q174" s="138"/>
      <c r="R174" s="138"/>
      <c r="S174" s="138"/>
      <c r="T174" s="138"/>
      <c r="U174" s="138"/>
      <c r="V174" s="138"/>
      <c r="W174" s="138"/>
      <c r="X174" s="138"/>
      <c r="Y174" s="138"/>
      <c r="Z174" s="138"/>
    </row>
    <row r="175" spans="1:26" ht="18" customHeight="1">
      <c r="A175" s="250"/>
      <c r="B175" s="138"/>
      <c r="C175" s="138"/>
      <c r="D175" s="138"/>
      <c r="E175" s="138"/>
      <c r="F175" s="138"/>
      <c r="G175" s="138"/>
      <c r="H175" s="138"/>
      <c r="I175" s="138"/>
      <c r="J175" s="138"/>
      <c r="K175" s="138"/>
      <c r="L175" s="138"/>
      <c r="M175" s="138"/>
      <c r="N175" s="138"/>
      <c r="O175" s="138"/>
      <c r="P175" s="138"/>
      <c r="Q175" s="138"/>
      <c r="R175" s="138"/>
      <c r="S175" s="138"/>
      <c r="T175" s="138"/>
      <c r="U175" s="138"/>
      <c r="V175" s="138"/>
      <c r="W175" s="138"/>
      <c r="X175" s="138"/>
      <c r="Y175" s="138"/>
      <c r="Z175" s="138"/>
    </row>
    <row r="176" spans="1:26" ht="18" customHeight="1">
      <c r="A176" s="250"/>
      <c r="B176" s="138"/>
      <c r="C176" s="138"/>
      <c r="D176" s="138"/>
      <c r="E176" s="138"/>
      <c r="F176" s="138"/>
      <c r="G176" s="138"/>
      <c r="H176" s="138"/>
      <c r="I176" s="138"/>
      <c r="J176" s="138"/>
      <c r="K176" s="138"/>
      <c r="L176" s="138"/>
      <c r="M176" s="138"/>
      <c r="N176" s="138"/>
      <c r="O176" s="138"/>
      <c r="P176" s="138"/>
      <c r="Q176" s="138"/>
      <c r="R176" s="138"/>
      <c r="S176" s="138"/>
      <c r="T176" s="138"/>
      <c r="U176" s="138"/>
      <c r="V176" s="138"/>
      <c r="W176" s="138"/>
      <c r="X176" s="138"/>
      <c r="Y176" s="138"/>
      <c r="Z176" s="138"/>
    </row>
    <row r="177" spans="1:26" ht="18" customHeight="1">
      <c r="A177" s="250"/>
      <c r="B177" s="138"/>
      <c r="C177" s="138"/>
      <c r="D177" s="138"/>
      <c r="E177" s="138"/>
      <c r="F177" s="138"/>
      <c r="G177" s="138"/>
      <c r="H177" s="138"/>
      <c r="I177" s="138"/>
      <c r="J177" s="138"/>
      <c r="K177" s="138"/>
      <c r="L177" s="138"/>
      <c r="M177" s="138"/>
      <c r="N177" s="138"/>
      <c r="O177" s="138"/>
      <c r="P177" s="138"/>
      <c r="Q177" s="138"/>
      <c r="R177" s="138"/>
      <c r="S177" s="138"/>
      <c r="T177" s="138"/>
      <c r="U177" s="138"/>
      <c r="V177" s="138"/>
      <c r="W177" s="138"/>
      <c r="X177" s="138"/>
      <c r="Y177" s="138"/>
      <c r="Z177" s="138"/>
    </row>
    <row r="178" spans="1:26" ht="18" customHeight="1">
      <c r="A178" s="250"/>
      <c r="B178" s="138"/>
      <c r="C178" s="138"/>
      <c r="D178" s="138"/>
      <c r="E178" s="138"/>
      <c r="F178" s="138"/>
      <c r="G178" s="138"/>
      <c r="H178" s="138"/>
      <c r="I178" s="138"/>
      <c r="J178" s="138"/>
      <c r="K178" s="138"/>
      <c r="L178" s="138"/>
      <c r="M178" s="138"/>
      <c r="N178" s="138"/>
      <c r="O178" s="138"/>
      <c r="P178" s="138"/>
      <c r="Q178" s="138"/>
      <c r="R178" s="138"/>
      <c r="S178" s="138"/>
      <c r="T178" s="138"/>
      <c r="U178" s="138"/>
      <c r="V178" s="138"/>
      <c r="W178" s="138"/>
      <c r="X178" s="138"/>
      <c r="Y178" s="138"/>
      <c r="Z178" s="138"/>
    </row>
    <row r="179" spans="1:26" ht="18" customHeight="1">
      <c r="A179" s="250"/>
      <c r="B179" s="138"/>
      <c r="C179" s="138"/>
      <c r="D179" s="138"/>
      <c r="E179" s="138"/>
      <c r="F179" s="138"/>
      <c r="G179" s="138"/>
      <c r="H179" s="138"/>
      <c r="I179" s="138"/>
      <c r="J179" s="138"/>
      <c r="K179" s="138"/>
      <c r="L179" s="138"/>
      <c r="M179" s="138"/>
      <c r="N179" s="138"/>
      <c r="O179" s="138"/>
      <c r="P179" s="138"/>
      <c r="Q179" s="138"/>
      <c r="R179" s="138"/>
      <c r="S179" s="138"/>
      <c r="T179" s="138"/>
      <c r="U179" s="138"/>
      <c r="V179" s="138"/>
      <c r="W179" s="138"/>
      <c r="X179" s="138"/>
      <c r="Y179" s="138"/>
      <c r="Z179" s="138"/>
    </row>
    <row r="180" spans="1:26" ht="18" customHeight="1">
      <c r="A180" s="250"/>
      <c r="B180" s="138"/>
      <c r="C180" s="138"/>
      <c r="D180" s="138"/>
      <c r="E180" s="138"/>
      <c r="F180" s="138"/>
      <c r="G180" s="138"/>
      <c r="H180" s="138"/>
      <c r="I180" s="138"/>
      <c r="J180" s="138"/>
      <c r="K180" s="138"/>
      <c r="L180" s="138"/>
      <c r="M180" s="138"/>
      <c r="N180" s="138"/>
      <c r="O180" s="138"/>
      <c r="P180" s="138"/>
      <c r="Q180" s="138"/>
      <c r="R180" s="138"/>
      <c r="S180" s="138"/>
      <c r="T180" s="138"/>
      <c r="U180" s="138"/>
      <c r="V180" s="138"/>
      <c r="W180" s="138"/>
      <c r="X180" s="138"/>
      <c r="Y180" s="138"/>
      <c r="Z180" s="138"/>
    </row>
    <row r="181" spans="1:26" ht="18" customHeight="1">
      <c r="A181" s="250"/>
      <c r="B181" s="138"/>
      <c r="C181" s="138"/>
      <c r="D181" s="138"/>
      <c r="E181" s="138"/>
      <c r="F181" s="138"/>
      <c r="G181" s="138"/>
      <c r="H181" s="138"/>
      <c r="I181" s="138"/>
      <c r="J181" s="138"/>
      <c r="K181" s="138"/>
      <c r="L181" s="138"/>
      <c r="M181" s="138"/>
      <c r="N181" s="138"/>
      <c r="O181" s="138"/>
      <c r="P181" s="138"/>
      <c r="Q181" s="138"/>
      <c r="R181" s="138"/>
      <c r="S181" s="138"/>
      <c r="T181" s="138"/>
      <c r="U181" s="138"/>
      <c r="V181" s="138"/>
      <c r="W181" s="138"/>
      <c r="X181" s="138"/>
      <c r="Y181" s="138"/>
      <c r="Z181" s="138"/>
    </row>
    <row r="182" spans="1:26" ht="18" customHeight="1">
      <c r="A182" s="250"/>
      <c r="B182" s="138"/>
      <c r="C182" s="138"/>
      <c r="D182" s="138"/>
      <c r="E182" s="138"/>
      <c r="F182" s="138"/>
      <c r="G182" s="138"/>
      <c r="H182" s="138"/>
      <c r="I182" s="138"/>
      <c r="J182" s="138"/>
      <c r="K182" s="138"/>
      <c r="L182" s="138"/>
      <c r="M182" s="138"/>
      <c r="N182" s="138"/>
      <c r="O182" s="138"/>
      <c r="P182" s="138"/>
      <c r="Q182" s="138"/>
      <c r="R182" s="138"/>
      <c r="S182" s="138"/>
      <c r="T182" s="138"/>
      <c r="U182" s="138"/>
      <c r="V182" s="138"/>
      <c r="W182" s="138"/>
      <c r="X182" s="138"/>
      <c r="Y182" s="138"/>
      <c r="Z182" s="138"/>
    </row>
    <row r="183" spans="1:26" ht="18" customHeight="1">
      <c r="A183" s="250"/>
      <c r="B183" s="138"/>
      <c r="C183" s="138"/>
      <c r="D183" s="138"/>
      <c r="E183" s="138"/>
      <c r="F183" s="138"/>
      <c r="G183" s="138"/>
      <c r="H183" s="138"/>
      <c r="I183" s="138"/>
      <c r="J183" s="138"/>
      <c r="K183" s="138"/>
      <c r="L183" s="138"/>
      <c r="M183" s="138"/>
      <c r="N183" s="138"/>
      <c r="O183" s="138"/>
      <c r="P183" s="138"/>
      <c r="Q183" s="138"/>
      <c r="R183" s="138"/>
      <c r="S183" s="138"/>
      <c r="T183" s="138"/>
      <c r="U183" s="138"/>
      <c r="V183" s="138"/>
      <c r="W183" s="138"/>
      <c r="X183" s="138"/>
      <c r="Y183" s="138"/>
      <c r="Z183" s="138"/>
    </row>
    <row r="184" spans="1:26" ht="18" customHeight="1">
      <c r="A184" s="250"/>
      <c r="B184" s="138"/>
      <c r="C184" s="138"/>
      <c r="D184" s="138"/>
      <c r="E184" s="138"/>
      <c r="F184" s="138"/>
      <c r="G184" s="138"/>
      <c r="H184" s="138"/>
      <c r="I184" s="138"/>
      <c r="J184" s="138"/>
      <c r="K184" s="138"/>
      <c r="L184" s="138"/>
      <c r="M184" s="138"/>
      <c r="N184" s="138"/>
      <c r="O184" s="138"/>
      <c r="P184" s="138"/>
      <c r="Q184" s="138"/>
      <c r="R184" s="138"/>
      <c r="S184" s="138"/>
      <c r="T184" s="138"/>
      <c r="U184" s="138"/>
      <c r="V184" s="138"/>
      <c r="W184" s="138"/>
      <c r="X184" s="138"/>
      <c r="Y184" s="138"/>
      <c r="Z184" s="138"/>
    </row>
    <row r="185" spans="1:26" ht="18" customHeight="1">
      <c r="A185" s="250"/>
      <c r="B185" s="138"/>
      <c r="C185" s="138"/>
      <c r="D185" s="138"/>
      <c r="E185" s="138"/>
      <c r="F185" s="138"/>
      <c r="G185" s="138"/>
      <c r="H185" s="138"/>
      <c r="I185" s="138"/>
      <c r="J185" s="138"/>
      <c r="K185" s="138"/>
      <c r="L185" s="138"/>
      <c r="M185" s="138"/>
      <c r="N185" s="138"/>
      <c r="O185" s="138"/>
      <c r="P185" s="138"/>
      <c r="Q185" s="138"/>
      <c r="R185" s="138"/>
      <c r="S185" s="138"/>
      <c r="T185" s="138"/>
      <c r="U185" s="138"/>
      <c r="V185" s="138"/>
      <c r="W185" s="138"/>
      <c r="X185" s="138"/>
      <c r="Y185" s="138"/>
      <c r="Z185" s="138"/>
    </row>
    <row r="186" spans="1:26" ht="18" customHeight="1">
      <c r="A186" s="250"/>
      <c r="B186" s="138"/>
      <c r="C186" s="138"/>
      <c r="D186" s="138"/>
      <c r="E186" s="138"/>
      <c r="F186" s="138"/>
      <c r="G186" s="138"/>
      <c r="H186" s="138"/>
      <c r="I186" s="138"/>
      <c r="J186" s="138"/>
      <c r="K186" s="138"/>
      <c r="L186" s="138"/>
      <c r="M186" s="138"/>
      <c r="N186" s="138"/>
      <c r="O186" s="138"/>
      <c r="P186" s="138"/>
      <c r="Q186" s="138"/>
      <c r="R186" s="138"/>
      <c r="S186" s="138"/>
      <c r="T186" s="138"/>
      <c r="U186" s="138"/>
      <c r="V186" s="138"/>
      <c r="W186" s="138"/>
      <c r="X186" s="138"/>
      <c r="Y186" s="138"/>
      <c r="Z186" s="138"/>
    </row>
    <row r="187" spans="1:26" ht="18" customHeight="1">
      <c r="A187" s="250"/>
      <c r="B187" s="138"/>
      <c r="C187" s="138"/>
      <c r="D187" s="138"/>
      <c r="E187" s="138"/>
      <c r="F187" s="138"/>
      <c r="G187" s="138"/>
      <c r="H187" s="138"/>
      <c r="I187" s="138"/>
      <c r="J187" s="138"/>
      <c r="K187" s="138"/>
      <c r="L187" s="138"/>
      <c r="M187" s="138"/>
      <c r="N187" s="138"/>
      <c r="O187" s="138"/>
      <c r="P187" s="138"/>
      <c r="Q187" s="138"/>
      <c r="R187" s="138"/>
      <c r="S187" s="138"/>
      <c r="T187" s="138"/>
      <c r="U187" s="138"/>
      <c r="V187" s="138"/>
      <c r="W187" s="138"/>
      <c r="X187" s="138"/>
      <c r="Y187" s="138"/>
      <c r="Z187" s="138"/>
    </row>
    <row r="188" spans="1:26" ht="18" customHeight="1">
      <c r="A188" s="250"/>
      <c r="B188" s="138"/>
      <c r="C188" s="138"/>
      <c r="D188" s="138"/>
      <c r="E188" s="138"/>
      <c r="F188" s="138"/>
      <c r="G188" s="138"/>
      <c r="H188" s="138"/>
      <c r="I188" s="138"/>
      <c r="J188" s="138"/>
      <c r="K188" s="138"/>
      <c r="L188" s="138"/>
      <c r="M188" s="138"/>
      <c r="N188" s="138"/>
      <c r="O188" s="138"/>
      <c r="P188" s="138"/>
      <c r="Q188" s="138"/>
      <c r="R188" s="138"/>
      <c r="S188" s="138"/>
      <c r="T188" s="138"/>
      <c r="U188" s="138"/>
      <c r="V188" s="138"/>
      <c r="W188" s="138"/>
      <c r="X188" s="138"/>
      <c r="Y188" s="138"/>
      <c r="Z188" s="138"/>
    </row>
    <row r="189" spans="1:26" ht="18" customHeight="1">
      <c r="A189" s="250"/>
      <c r="B189" s="138"/>
      <c r="C189" s="138"/>
      <c r="D189" s="138"/>
      <c r="E189" s="138"/>
      <c r="F189" s="138"/>
      <c r="G189" s="138"/>
      <c r="H189" s="138"/>
      <c r="I189" s="138"/>
      <c r="J189" s="138"/>
      <c r="K189" s="138"/>
      <c r="L189" s="138"/>
      <c r="M189" s="138"/>
      <c r="N189" s="138"/>
      <c r="O189" s="138"/>
      <c r="P189" s="138"/>
      <c r="Q189" s="138"/>
      <c r="R189" s="138"/>
      <c r="S189" s="138"/>
      <c r="T189" s="138"/>
      <c r="U189" s="138"/>
      <c r="V189" s="138"/>
      <c r="W189" s="138"/>
      <c r="X189" s="138"/>
      <c r="Y189" s="138"/>
      <c r="Z189" s="138"/>
    </row>
    <row r="190" spans="1:26" ht="18" customHeight="1">
      <c r="A190" s="250"/>
      <c r="B190" s="138"/>
      <c r="C190" s="138"/>
      <c r="D190" s="138"/>
      <c r="E190" s="138"/>
      <c r="F190" s="138"/>
      <c r="G190" s="138"/>
      <c r="H190" s="138"/>
      <c r="I190" s="138"/>
      <c r="J190" s="138"/>
      <c r="K190" s="138"/>
      <c r="L190" s="138"/>
      <c r="M190" s="138"/>
      <c r="N190" s="138"/>
      <c r="O190" s="138"/>
      <c r="P190" s="138"/>
      <c r="Q190" s="138"/>
      <c r="R190" s="138"/>
      <c r="S190" s="138"/>
      <c r="T190" s="138"/>
      <c r="U190" s="138"/>
      <c r="V190" s="138"/>
      <c r="W190" s="138"/>
      <c r="X190" s="138"/>
      <c r="Y190" s="138"/>
      <c r="Z190" s="138"/>
    </row>
    <row r="191" spans="1:26" ht="18" customHeight="1">
      <c r="A191" s="250"/>
      <c r="B191" s="138"/>
      <c r="C191" s="138"/>
      <c r="D191" s="138"/>
      <c r="E191" s="138"/>
      <c r="F191" s="138"/>
      <c r="G191" s="138"/>
      <c r="H191" s="138"/>
      <c r="I191" s="138"/>
      <c r="J191" s="138"/>
      <c r="K191" s="138"/>
      <c r="L191" s="138"/>
      <c r="M191" s="138"/>
      <c r="N191" s="138"/>
      <c r="O191" s="138"/>
      <c r="P191" s="138"/>
      <c r="Q191" s="138"/>
      <c r="R191" s="138"/>
      <c r="S191" s="138"/>
      <c r="T191" s="138"/>
      <c r="U191" s="138"/>
      <c r="V191" s="138"/>
      <c r="W191" s="138"/>
      <c r="X191" s="138"/>
      <c r="Y191" s="138"/>
      <c r="Z191" s="138"/>
    </row>
    <row r="192" spans="1:26" ht="18" customHeight="1">
      <c r="A192" s="250"/>
      <c r="B192" s="138"/>
      <c r="C192" s="138"/>
      <c r="D192" s="138"/>
      <c r="E192" s="138"/>
      <c r="F192" s="138"/>
      <c r="G192" s="138"/>
      <c r="H192" s="138"/>
      <c r="I192" s="138"/>
      <c r="J192" s="138"/>
      <c r="K192" s="138"/>
      <c r="L192" s="138"/>
      <c r="M192" s="138"/>
      <c r="N192" s="138"/>
      <c r="O192" s="138"/>
      <c r="P192" s="138"/>
      <c r="Q192" s="138"/>
      <c r="R192" s="138"/>
      <c r="S192" s="138"/>
      <c r="T192" s="138"/>
      <c r="U192" s="138"/>
      <c r="V192" s="138"/>
      <c r="W192" s="138"/>
      <c r="X192" s="138"/>
      <c r="Y192" s="138"/>
      <c r="Z192" s="138"/>
    </row>
    <row r="193" spans="1:26" ht="18" customHeight="1">
      <c r="A193" s="250"/>
      <c r="B193" s="138"/>
      <c r="C193" s="138"/>
      <c r="D193" s="138"/>
      <c r="E193" s="138"/>
      <c r="F193" s="138"/>
      <c r="G193" s="138"/>
      <c r="H193" s="138"/>
      <c r="I193" s="138"/>
      <c r="J193" s="138"/>
      <c r="K193" s="138"/>
      <c r="L193" s="138"/>
      <c r="M193" s="138"/>
      <c r="N193" s="138"/>
      <c r="O193" s="138"/>
      <c r="P193" s="138"/>
      <c r="Q193" s="138"/>
      <c r="R193" s="138"/>
      <c r="S193" s="138"/>
      <c r="T193" s="138"/>
      <c r="U193" s="138"/>
      <c r="V193" s="138"/>
      <c r="W193" s="138"/>
      <c r="X193" s="138"/>
      <c r="Y193" s="138"/>
      <c r="Z193" s="138"/>
    </row>
    <row r="194" spans="1:26" ht="18" customHeight="1">
      <c r="A194" s="250"/>
      <c r="B194" s="138"/>
      <c r="C194" s="138"/>
      <c r="D194" s="138"/>
      <c r="E194" s="138"/>
      <c r="F194" s="138"/>
      <c r="G194" s="138"/>
      <c r="H194" s="138"/>
      <c r="I194" s="138"/>
      <c r="J194" s="138"/>
      <c r="K194" s="138"/>
      <c r="L194" s="138"/>
      <c r="M194" s="138"/>
      <c r="N194" s="138"/>
      <c r="O194" s="138"/>
      <c r="P194" s="138"/>
      <c r="Q194" s="138"/>
      <c r="R194" s="138"/>
      <c r="S194" s="138"/>
      <c r="T194" s="138"/>
      <c r="U194" s="138"/>
      <c r="V194" s="138"/>
      <c r="W194" s="138"/>
      <c r="X194" s="138"/>
      <c r="Y194" s="138"/>
      <c r="Z194" s="138"/>
    </row>
    <row r="195" spans="1:26" ht="18" customHeight="1">
      <c r="A195" s="250"/>
      <c r="B195" s="138"/>
      <c r="C195" s="138"/>
      <c r="D195" s="138"/>
      <c r="E195" s="138"/>
      <c r="F195" s="138"/>
      <c r="G195" s="138"/>
      <c r="H195" s="138"/>
      <c r="I195" s="138"/>
      <c r="J195" s="138"/>
      <c r="K195" s="138"/>
      <c r="L195" s="138"/>
      <c r="M195" s="138"/>
      <c r="N195" s="138"/>
      <c r="O195" s="138"/>
      <c r="P195" s="138"/>
      <c r="Q195" s="138"/>
      <c r="R195" s="138"/>
      <c r="S195" s="138"/>
      <c r="T195" s="138"/>
      <c r="U195" s="138"/>
      <c r="V195" s="138"/>
      <c r="W195" s="138"/>
      <c r="X195" s="138"/>
      <c r="Y195" s="138"/>
      <c r="Z195" s="138"/>
    </row>
    <row r="196" spans="1:26" ht="18" customHeight="1">
      <c r="A196" s="250"/>
      <c r="B196" s="138"/>
      <c r="C196" s="138"/>
      <c r="D196" s="138"/>
      <c r="E196" s="138"/>
      <c r="F196" s="138"/>
      <c r="G196" s="138"/>
      <c r="H196" s="138"/>
      <c r="I196" s="138"/>
      <c r="J196" s="138"/>
      <c r="K196" s="138"/>
      <c r="L196" s="138"/>
      <c r="M196" s="138"/>
      <c r="N196" s="138"/>
      <c r="O196" s="138"/>
      <c r="P196" s="138"/>
      <c r="Q196" s="138"/>
      <c r="R196" s="138"/>
      <c r="S196" s="138"/>
      <c r="T196" s="138"/>
      <c r="U196" s="138"/>
      <c r="V196" s="138"/>
      <c r="W196" s="138"/>
      <c r="X196" s="138"/>
      <c r="Y196" s="138"/>
      <c r="Z196" s="138"/>
    </row>
    <row r="197" spans="1:26" ht="18" customHeight="1">
      <c r="A197" s="250"/>
      <c r="B197" s="138"/>
      <c r="C197" s="138"/>
      <c r="D197" s="138"/>
      <c r="E197" s="138"/>
      <c r="F197" s="138"/>
      <c r="G197" s="138"/>
      <c r="H197" s="138"/>
      <c r="I197" s="138"/>
      <c r="J197" s="138"/>
      <c r="K197" s="138"/>
      <c r="L197" s="138"/>
      <c r="M197" s="138"/>
      <c r="N197" s="138"/>
      <c r="O197" s="138"/>
      <c r="P197" s="138"/>
      <c r="Q197" s="138"/>
      <c r="R197" s="138"/>
      <c r="S197" s="138"/>
      <c r="T197" s="138"/>
      <c r="U197" s="138"/>
      <c r="V197" s="138"/>
      <c r="W197" s="138"/>
      <c r="X197" s="138"/>
      <c r="Y197" s="138"/>
      <c r="Z197" s="138"/>
    </row>
    <row r="198" spans="1:26" ht="18" customHeight="1">
      <c r="A198" s="250"/>
      <c r="B198" s="138"/>
      <c r="C198" s="138"/>
      <c r="D198" s="138"/>
      <c r="E198" s="138"/>
      <c r="F198" s="138"/>
      <c r="G198" s="138"/>
      <c r="H198" s="138"/>
      <c r="I198" s="138"/>
      <c r="J198" s="138"/>
      <c r="K198" s="138"/>
      <c r="L198" s="138"/>
      <c r="M198" s="138"/>
      <c r="N198" s="138"/>
      <c r="O198" s="138"/>
      <c r="P198" s="138"/>
      <c r="Q198" s="138"/>
      <c r="R198" s="138"/>
      <c r="S198" s="138"/>
      <c r="T198" s="138"/>
      <c r="U198" s="138"/>
      <c r="V198" s="138"/>
      <c r="W198" s="138"/>
      <c r="X198" s="138"/>
      <c r="Y198" s="138"/>
      <c r="Z198" s="138"/>
    </row>
    <row r="199" spans="1:26" ht="18" customHeight="1">
      <c r="A199" s="250"/>
      <c r="B199" s="138"/>
      <c r="C199" s="138"/>
      <c r="D199" s="138"/>
      <c r="E199" s="138"/>
      <c r="F199" s="138"/>
      <c r="G199" s="138"/>
      <c r="H199" s="138"/>
      <c r="I199" s="138"/>
      <c r="J199" s="138"/>
      <c r="K199" s="138"/>
      <c r="L199" s="138"/>
      <c r="M199" s="138"/>
      <c r="N199" s="138"/>
      <c r="O199" s="138"/>
      <c r="P199" s="138"/>
      <c r="Q199" s="138"/>
      <c r="R199" s="138"/>
      <c r="S199" s="138"/>
      <c r="T199" s="138"/>
      <c r="U199" s="138"/>
      <c r="V199" s="138"/>
      <c r="W199" s="138"/>
      <c r="X199" s="138"/>
      <c r="Y199" s="138"/>
      <c r="Z199" s="138"/>
    </row>
    <row r="200" spans="1:26" ht="18" customHeight="1">
      <c r="A200" s="250"/>
      <c r="B200" s="138"/>
      <c r="C200" s="138"/>
      <c r="D200" s="138"/>
      <c r="E200" s="138"/>
      <c r="F200" s="138"/>
      <c r="G200" s="138"/>
      <c r="H200" s="138"/>
      <c r="I200" s="138"/>
      <c r="J200" s="138"/>
      <c r="K200" s="138"/>
      <c r="L200" s="138"/>
      <c r="M200" s="138"/>
      <c r="N200" s="138"/>
      <c r="O200" s="138"/>
      <c r="P200" s="138"/>
      <c r="Q200" s="138"/>
      <c r="R200" s="138"/>
      <c r="S200" s="138"/>
      <c r="T200" s="138"/>
      <c r="U200" s="138"/>
      <c r="V200" s="138"/>
      <c r="W200" s="138"/>
      <c r="X200" s="138"/>
      <c r="Y200" s="138"/>
      <c r="Z200" s="138"/>
    </row>
    <row r="201" spans="1:26" ht="18" customHeight="1">
      <c r="A201" s="250"/>
      <c r="B201" s="138"/>
      <c r="C201" s="138"/>
      <c r="D201" s="138"/>
      <c r="E201" s="138"/>
      <c r="F201" s="138"/>
      <c r="G201" s="138"/>
      <c r="H201" s="138"/>
      <c r="I201" s="138"/>
      <c r="J201" s="138"/>
      <c r="K201" s="138"/>
      <c r="L201" s="138"/>
      <c r="M201" s="138"/>
      <c r="N201" s="138"/>
      <c r="O201" s="138"/>
      <c r="P201" s="138"/>
      <c r="Q201" s="138"/>
      <c r="R201" s="138"/>
      <c r="S201" s="138"/>
      <c r="T201" s="138"/>
      <c r="U201" s="138"/>
      <c r="V201" s="138"/>
      <c r="W201" s="138"/>
      <c r="X201" s="138"/>
      <c r="Y201" s="138"/>
      <c r="Z201" s="138"/>
    </row>
    <row r="202" spans="1:26" ht="18" customHeight="1">
      <c r="A202" s="250"/>
      <c r="B202" s="138"/>
      <c r="C202" s="138"/>
      <c r="D202" s="138"/>
      <c r="E202" s="138"/>
      <c r="F202" s="138"/>
      <c r="G202" s="138"/>
      <c r="H202" s="138"/>
      <c r="I202" s="138"/>
      <c r="J202" s="138"/>
      <c r="K202" s="138"/>
      <c r="L202" s="138"/>
      <c r="M202" s="138"/>
      <c r="N202" s="138"/>
      <c r="O202" s="138"/>
      <c r="P202" s="138"/>
      <c r="Q202" s="138"/>
      <c r="R202" s="138"/>
      <c r="S202" s="138"/>
      <c r="T202" s="138"/>
      <c r="U202" s="138"/>
      <c r="V202" s="138"/>
      <c r="W202" s="138"/>
      <c r="X202" s="138"/>
      <c r="Y202" s="138"/>
      <c r="Z202" s="138"/>
    </row>
    <row r="203" spans="1:26" ht="18" customHeight="1">
      <c r="A203" s="250"/>
      <c r="B203" s="138"/>
      <c r="C203" s="138"/>
      <c r="D203" s="138"/>
      <c r="E203" s="138"/>
      <c r="F203" s="138"/>
      <c r="G203" s="138"/>
      <c r="H203" s="138"/>
      <c r="I203" s="138"/>
      <c r="J203" s="138"/>
      <c r="K203" s="138"/>
      <c r="L203" s="138"/>
      <c r="M203" s="138"/>
      <c r="N203" s="138"/>
      <c r="O203" s="138"/>
      <c r="P203" s="138"/>
      <c r="Q203" s="138"/>
      <c r="R203" s="138"/>
      <c r="S203" s="138"/>
      <c r="T203" s="138"/>
      <c r="U203" s="138"/>
      <c r="V203" s="138"/>
      <c r="W203" s="138"/>
      <c r="X203" s="138"/>
      <c r="Y203" s="138"/>
      <c r="Z203" s="138"/>
    </row>
    <row r="204" spans="1:26" ht="18" customHeight="1">
      <c r="A204" s="250"/>
      <c r="B204" s="138"/>
      <c r="C204" s="138"/>
      <c r="D204" s="138"/>
      <c r="E204" s="138"/>
      <c r="F204" s="138"/>
      <c r="G204" s="138"/>
      <c r="H204" s="138"/>
      <c r="I204" s="138"/>
      <c r="J204" s="138"/>
      <c r="K204" s="138"/>
      <c r="L204" s="138"/>
      <c r="M204" s="138"/>
      <c r="N204" s="138"/>
      <c r="O204" s="138"/>
      <c r="P204" s="138"/>
      <c r="Q204" s="138"/>
      <c r="R204" s="138"/>
      <c r="S204" s="138"/>
      <c r="T204" s="138"/>
      <c r="U204" s="138"/>
      <c r="V204" s="138"/>
      <c r="W204" s="138"/>
      <c r="X204" s="138"/>
      <c r="Y204" s="138"/>
      <c r="Z204" s="138"/>
    </row>
    <row r="205" spans="1:26" ht="18" customHeight="1">
      <c r="A205" s="250"/>
      <c r="B205" s="138"/>
      <c r="C205" s="138"/>
      <c r="D205" s="138"/>
      <c r="E205" s="138"/>
      <c r="F205" s="138"/>
      <c r="G205" s="138"/>
      <c r="H205" s="138"/>
      <c r="I205" s="138"/>
      <c r="J205" s="138"/>
      <c r="K205" s="138"/>
      <c r="L205" s="138"/>
      <c r="M205" s="138"/>
      <c r="N205" s="138"/>
      <c r="O205" s="138"/>
      <c r="P205" s="138"/>
      <c r="Q205" s="138"/>
      <c r="R205" s="138"/>
      <c r="S205" s="138"/>
      <c r="T205" s="138"/>
      <c r="U205" s="138"/>
      <c r="V205" s="138"/>
      <c r="W205" s="138"/>
      <c r="X205" s="138"/>
      <c r="Y205" s="138"/>
      <c r="Z205" s="138"/>
    </row>
    <row r="206" spans="1:26" ht="18" customHeight="1">
      <c r="A206" s="250"/>
      <c r="B206" s="138"/>
      <c r="C206" s="138"/>
      <c r="D206" s="138"/>
      <c r="E206" s="138"/>
      <c r="F206" s="138"/>
      <c r="G206" s="138"/>
      <c r="H206" s="138"/>
      <c r="I206" s="138"/>
      <c r="J206" s="138"/>
      <c r="K206" s="138"/>
      <c r="L206" s="138"/>
      <c r="M206" s="138"/>
      <c r="N206" s="138"/>
      <c r="O206" s="138"/>
      <c r="P206" s="138"/>
      <c r="Q206" s="138"/>
      <c r="R206" s="138"/>
      <c r="S206" s="138"/>
      <c r="T206" s="138"/>
      <c r="U206" s="138"/>
      <c r="V206" s="138"/>
      <c r="W206" s="138"/>
      <c r="X206" s="138"/>
      <c r="Y206" s="138"/>
      <c r="Z206" s="138"/>
    </row>
    <row r="207" spans="1:26" ht="18" customHeight="1">
      <c r="A207" s="250"/>
      <c r="B207" s="138"/>
      <c r="C207" s="138"/>
      <c r="D207" s="138"/>
      <c r="E207" s="138"/>
      <c r="F207" s="138"/>
      <c r="G207" s="138"/>
      <c r="H207" s="138"/>
      <c r="I207" s="138"/>
      <c r="J207" s="138"/>
      <c r="K207" s="138"/>
      <c r="L207" s="138"/>
      <c r="M207" s="138"/>
      <c r="N207" s="138"/>
      <c r="O207" s="138"/>
      <c r="P207" s="138"/>
      <c r="Q207" s="138"/>
      <c r="R207" s="138"/>
      <c r="S207" s="138"/>
      <c r="T207" s="138"/>
      <c r="U207" s="138"/>
      <c r="V207" s="138"/>
      <c r="W207" s="138"/>
      <c r="X207" s="138"/>
      <c r="Y207" s="138"/>
      <c r="Z207" s="138"/>
    </row>
    <row r="208" spans="1:26" ht="18" customHeight="1">
      <c r="A208" s="250"/>
      <c r="B208" s="138"/>
      <c r="C208" s="138"/>
      <c r="D208" s="138"/>
      <c r="E208" s="138"/>
      <c r="F208" s="138"/>
      <c r="G208" s="138"/>
      <c r="H208" s="138"/>
      <c r="I208" s="138"/>
      <c r="J208" s="138"/>
      <c r="K208" s="138"/>
      <c r="L208" s="138"/>
      <c r="M208" s="138"/>
      <c r="N208" s="138"/>
      <c r="O208" s="138"/>
      <c r="P208" s="138"/>
      <c r="Q208" s="138"/>
      <c r="R208" s="138"/>
      <c r="S208" s="138"/>
      <c r="T208" s="138"/>
      <c r="U208" s="138"/>
      <c r="V208" s="138"/>
      <c r="W208" s="138"/>
      <c r="X208" s="138"/>
      <c r="Y208" s="138"/>
      <c r="Z208" s="138"/>
    </row>
    <row r="209" spans="1:26" ht="18" customHeight="1">
      <c r="A209" s="250"/>
      <c r="B209" s="138"/>
      <c r="C209" s="138"/>
      <c r="D209" s="138"/>
      <c r="E209" s="138"/>
      <c r="F209" s="138"/>
      <c r="G209" s="138"/>
      <c r="H209" s="138"/>
      <c r="I209" s="138"/>
      <c r="J209" s="138"/>
      <c r="K209" s="138"/>
      <c r="L209" s="138"/>
      <c r="M209" s="138"/>
      <c r="N209" s="138"/>
      <c r="O209" s="138"/>
      <c r="P209" s="138"/>
      <c r="Q209" s="138"/>
      <c r="R209" s="138"/>
      <c r="S209" s="138"/>
      <c r="T209" s="138"/>
      <c r="U209" s="138"/>
      <c r="V209" s="138"/>
      <c r="W209" s="138"/>
      <c r="X209" s="138"/>
      <c r="Y209" s="138"/>
      <c r="Z209" s="138"/>
    </row>
    <row r="210" spans="1:26" ht="18" customHeight="1">
      <c r="A210" s="250"/>
      <c r="B210" s="138"/>
      <c r="C210" s="138"/>
      <c r="D210" s="138"/>
      <c r="E210" s="138"/>
      <c r="F210" s="138"/>
      <c r="G210" s="138"/>
      <c r="H210" s="138"/>
      <c r="I210" s="138"/>
      <c r="J210" s="138"/>
      <c r="K210" s="138"/>
      <c r="L210" s="138"/>
      <c r="M210" s="138"/>
      <c r="N210" s="138"/>
      <c r="O210" s="138"/>
      <c r="P210" s="138"/>
      <c r="Q210" s="138"/>
      <c r="R210" s="138"/>
      <c r="S210" s="138"/>
      <c r="T210" s="138"/>
      <c r="U210" s="138"/>
      <c r="V210" s="138"/>
      <c r="W210" s="138"/>
      <c r="X210" s="138"/>
      <c r="Y210" s="138"/>
      <c r="Z210" s="138"/>
    </row>
    <row r="211" spans="1:26" ht="18" customHeight="1">
      <c r="A211" s="250"/>
      <c r="B211" s="138"/>
      <c r="C211" s="138"/>
      <c r="D211" s="138"/>
      <c r="E211" s="138"/>
      <c r="F211" s="138"/>
      <c r="G211" s="138"/>
      <c r="H211" s="138"/>
      <c r="I211" s="138"/>
      <c r="J211" s="138"/>
      <c r="K211" s="138"/>
      <c r="L211" s="138"/>
      <c r="M211" s="138"/>
      <c r="N211" s="138"/>
      <c r="O211" s="138"/>
      <c r="P211" s="138"/>
      <c r="Q211" s="138"/>
      <c r="R211" s="138"/>
      <c r="S211" s="138"/>
      <c r="T211" s="138"/>
      <c r="U211" s="138"/>
      <c r="V211" s="138"/>
      <c r="W211" s="138"/>
      <c r="X211" s="138"/>
      <c r="Y211" s="138"/>
      <c r="Z211" s="138"/>
    </row>
    <row r="212" spans="1:26" ht="18" customHeight="1">
      <c r="A212" s="250"/>
      <c r="B212" s="138"/>
      <c r="C212" s="138"/>
      <c r="D212" s="138"/>
      <c r="E212" s="138"/>
      <c r="F212" s="138"/>
      <c r="G212" s="138"/>
      <c r="H212" s="138"/>
      <c r="I212" s="138"/>
      <c r="J212" s="138"/>
      <c r="K212" s="138"/>
      <c r="L212" s="138"/>
      <c r="M212" s="138"/>
      <c r="N212" s="138"/>
      <c r="O212" s="138"/>
      <c r="P212" s="138"/>
      <c r="Q212" s="138"/>
      <c r="R212" s="138"/>
      <c r="S212" s="138"/>
      <c r="T212" s="138"/>
      <c r="U212" s="138"/>
      <c r="V212" s="138"/>
      <c r="W212" s="138"/>
      <c r="X212" s="138"/>
      <c r="Y212" s="138"/>
      <c r="Z212" s="138"/>
    </row>
    <row r="213" spans="1:26" ht="18" customHeight="1">
      <c r="A213" s="250"/>
      <c r="B213" s="138"/>
      <c r="C213" s="138"/>
      <c r="D213" s="138"/>
      <c r="E213" s="138"/>
      <c r="F213" s="138"/>
      <c r="G213" s="138"/>
      <c r="H213" s="138"/>
      <c r="I213" s="138"/>
      <c r="J213" s="138"/>
      <c r="K213" s="138"/>
      <c r="L213" s="138"/>
      <c r="M213" s="138"/>
      <c r="N213" s="138"/>
      <c r="O213" s="138"/>
      <c r="P213" s="138"/>
      <c r="Q213" s="138"/>
      <c r="R213" s="138"/>
      <c r="S213" s="138"/>
      <c r="T213" s="138"/>
      <c r="U213" s="138"/>
      <c r="V213" s="138"/>
      <c r="W213" s="138"/>
      <c r="X213" s="138"/>
      <c r="Y213" s="138"/>
      <c r="Z213" s="138"/>
    </row>
    <row r="214" spans="1:26" ht="18" customHeight="1">
      <c r="A214" s="250"/>
      <c r="B214" s="138"/>
      <c r="C214" s="138"/>
      <c r="D214" s="138"/>
      <c r="E214" s="138"/>
      <c r="F214" s="138"/>
      <c r="G214" s="138"/>
      <c r="H214" s="138"/>
      <c r="I214" s="138"/>
      <c r="J214" s="138"/>
      <c r="K214" s="138"/>
      <c r="L214" s="138"/>
      <c r="M214" s="138"/>
      <c r="N214" s="138"/>
      <c r="O214" s="138"/>
      <c r="P214" s="138"/>
      <c r="Q214" s="138"/>
      <c r="R214" s="138"/>
      <c r="S214" s="138"/>
      <c r="T214" s="138"/>
      <c r="U214" s="138"/>
      <c r="V214" s="138"/>
      <c r="W214" s="138"/>
      <c r="X214" s="138"/>
      <c r="Y214" s="138"/>
      <c r="Z214" s="138"/>
    </row>
    <row r="215" spans="1:26" ht="18" customHeight="1">
      <c r="A215" s="250"/>
      <c r="B215" s="138"/>
      <c r="C215" s="138"/>
      <c r="D215" s="138"/>
      <c r="E215" s="138"/>
      <c r="F215" s="138"/>
      <c r="G215" s="138"/>
      <c r="H215" s="138"/>
      <c r="I215" s="138"/>
      <c r="J215" s="138"/>
      <c r="K215" s="138"/>
      <c r="L215" s="138"/>
      <c r="M215" s="138"/>
      <c r="N215" s="138"/>
      <c r="O215" s="138"/>
      <c r="P215" s="138"/>
      <c r="Q215" s="138"/>
      <c r="R215" s="138"/>
      <c r="S215" s="138"/>
      <c r="T215" s="138"/>
      <c r="U215" s="138"/>
      <c r="V215" s="138"/>
      <c r="W215" s="138"/>
      <c r="X215" s="138"/>
      <c r="Y215" s="138"/>
      <c r="Z215" s="138"/>
    </row>
    <row r="216" spans="1:26" ht="18" customHeight="1">
      <c r="A216" s="250"/>
      <c r="B216" s="138"/>
      <c r="C216" s="138"/>
      <c r="D216" s="138"/>
      <c r="E216" s="138"/>
      <c r="F216" s="138"/>
      <c r="G216" s="138"/>
      <c r="H216" s="138"/>
      <c r="I216" s="138"/>
      <c r="J216" s="138"/>
      <c r="K216" s="138"/>
      <c r="L216" s="138"/>
      <c r="M216" s="138"/>
      <c r="N216" s="138"/>
      <c r="O216" s="138"/>
      <c r="P216" s="138"/>
      <c r="Q216" s="138"/>
      <c r="R216" s="138"/>
      <c r="S216" s="138"/>
      <c r="T216" s="138"/>
      <c r="U216" s="138"/>
      <c r="V216" s="138"/>
      <c r="W216" s="138"/>
      <c r="X216" s="138"/>
      <c r="Y216" s="138"/>
      <c r="Z216" s="138"/>
    </row>
    <row r="217" spans="1:26" ht="18" customHeight="1">
      <c r="A217" s="250"/>
      <c r="B217" s="138"/>
      <c r="C217" s="138"/>
      <c r="D217" s="138"/>
      <c r="E217" s="138"/>
      <c r="F217" s="138"/>
      <c r="G217" s="138"/>
      <c r="H217" s="138"/>
      <c r="I217" s="138"/>
      <c r="J217" s="138"/>
      <c r="K217" s="138"/>
      <c r="L217" s="138"/>
      <c r="M217" s="138"/>
      <c r="N217" s="138"/>
      <c r="O217" s="138"/>
      <c r="P217" s="138"/>
      <c r="Q217" s="138"/>
      <c r="R217" s="138"/>
      <c r="S217" s="138"/>
      <c r="T217" s="138"/>
      <c r="U217" s="138"/>
      <c r="V217" s="138"/>
      <c r="W217" s="138"/>
      <c r="X217" s="138"/>
      <c r="Y217" s="138"/>
      <c r="Z217" s="138"/>
    </row>
    <row r="218" spans="1:26" ht="18" customHeight="1">
      <c r="A218" s="250"/>
      <c r="B218" s="138"/>
      <c r="C218" s="138"/>
      <c r="D218" s="138"/>
      <c r="E218" s="138"/>
      <c r="F218" s="138"/>
      <c r="G218" s="138"/>
      <c r="H218" s="138"/>
      <c r="I218" s="138"/>
      <c r="J218" s="138"/>
      <c r="K218" s="138"/>
      <c r="L218" s="138"/>
      <c r="M218" s="138"/>
      <c r="N218" s="138"/>
      <c r="O218" s="138"/>
      <c r="P218" s="138"/>
      <c r="Q218" s="138"/>
      <c r="R218" s="138"/>
      <c r="S218" s="138"/>
      <c r="T218" s="138"/>
      <c r="U218" s="138"/>
      <c r="V218" s="138"/>
      <c r="W218" s="138"/>
      <c r="X218" s="138"/>
      <c r="Y218" s="138"/>
      <c r="Z218" s="138"/>
    </row>
    <row r="219" spans="1:26" ht="18" customHeight="1">
      <c r="A219" s="250"/>
      <c r="B219" s="138"/>
      <c r="C219" s="138"/>
      <c r="D219" s="138"/>
      <c r="E219" s="138"/>
      <c r="F219" s="138"/>
      <c r="G219" s="138"/>
      <c r="H219" s="138"/>
      <c r="I219" s="138"/>
      <c r="J219" s="138"/>
      <c r="K219" s="138"/>
      <c r="L219" s="138"/>
      <c r="M219" s="138"/>
      <c r="N219" s="138"/>
      <c r="O219" s="138"/>
      <c r="P219" s="138"/>
      <c r="Q219" s="138"/>
      <c r="R219" s="138"/>
      <c r="S219" s="138"/>
      <c r="T219" s="138"/>
      <c r="U219" s="138"/>
      <c r="V219" s="138"/>
      <c r="W219" s="138"/>
      <c r="X219" s="138"/>
      <c r="Y219" s="138"/>
      <c r="Z219" s="138"/>
    </row>
    <row r="220" spans="1:26" ht="18" customHeight="1">
      <c r="A220" s="250"/>
      <c r="B220" s="138"/>
      <c r="C220" s="138"/>
      <c r="D220" s="138"/>
      <c r="E220" s="138"/>
      <c r="F220" s="138"/>
      <c r="G220" s="138"/>
      <c r="H220" s="138"/>
      <c r="I220" s="138"/>
      <c r="J220" s="138"/>
      <c r="K220" s="138"/>
      <c r="L220" s="138"/>
      <c r="M220" s="138"/>
      <c r="N220" s="138"/>
      <c r="O220" s="138"/>
      <c r="P220" s="138"/>
      <c r="Q220" s="138"/>
      <c r="R220" s="138"/>
      <c r="S220" s="138"/>
      <c r="T220" s="138"/>
      <c r="U220" s="138"/>
      <c r="V220" s="138"/>
      <c r="W220" s="138"/>
      <c r="X220" s="138"/>
      <c r="Y220" s="138"/>
      <c r="Z220" s="138"/>
    </row>
    <row r="221" spans="1:26" ht="18" customHeight="1">
      <c r="A221" s="250"/>
      <c r="B221" s="138"/>
      <c r="C221" s="138"/>
      <c r="D221" s="138"/>
      <c r="E221" s="138"/>
      <c r="F221" s="138"/>
      <c r="G221" s="138"/>
      <c r="H221" s="138"/>
      <c r="I221" s="138"/>
      <c r="J221" s="138"/>
      <c r="K221" s="138"/>
      <c r="L221" s="138"/>
      <c r="M221" s="138"/>
      <c r="N221" s="138"/>
      <c r="O221" s="138"/>
      <c r="P221" s="138"/>
      <c r="Q221" s="138"/>
      <c r="R221" s="138"/>
      <c r="S221" s="138"/>
      <c r="T221" s="138"/>
      <c r="U221" s="138"/>
      <c r="V221" s="138"/>
      <c r="W221" s="138"/>
      <c r="X221" s="138"/>
      <c r="Y221" s="138"/>
      <c r="Z221" s="138"/>
    </row>
    <row r="222" spans="1:26" ht="18" customHeight="1">
      <c r="A222" s="250"/>
      <c r="B222" s="138"/>
      <c r="C222" s="138"/>
      <c r="D222" s="138"/>
      <c r="E222" s="138"/>
      <c r="F222" s="138"/>
      <c r="G222" s="138"/>
      <c r="H222" s="138"/>
      <c r="I222" s="138"/>
      <c r="J222" s="138"/>
      <c r="K222" s="138"/>
      <c r="L222" s="138"/>
      <c r="M222" s="138"/>
      <c r="N222" s="138"/>
      <c r="O222" s="138"/>
      <c r="P222" s="138"/>
      <c r="Q222" s="138"/>
      <c r="R222" s="138"/>
      <c r="S222" s="138"/>
      <c r="T222" s="138"/>
      <c r="U222" s="138"/>
      <c r="V222" s="138"/>
      <c r="W222" s="138"/>
      <c r="X222" s="138"/>
      <c r="Y222" s="138"/>
      <c r="Z222" s="138"/>
    </row>
    <row r="223" spans="1:26" ht="18" customHeight="1">
      <c r="A223" s="250"/>
      <c r="B223" s="138"/>
      <c r="C223" s="138"/>
      <c r="D223" s="138"/>
      <c r="E223" s="138"/>
      <c r="F223" s="138"/>
      <c r="G223" s="138"/>
      <c r="H223" s="138"/>
      <c r="I223" s="138"/>
      <c r="J223" s="138"/>
      <c r="K223" s="138"/>
      <c r="L223" s="138"/>
      <c r="M223" s="138"/>
      <c r="N223" s="138"/>
      <c r="O223" s="138"/>
      <c r="P223" s="138"/>
      <c r="Q223" s="138"/>
      <c r="R223" s="138"/>
      <c r="S223" s="138"/>
      <c r="T223" s="138"/>
      <c r="U223" s="138"/>
      <c r="V223" s="138"/>
      <c r="W223" s="138"/>
      <c r="X223" s="138"/>
      <c r="Y223" s="138"/>
      <c r="Z223" s="138"/>
    </row>
    <row r="224" spans="1:26" ht="18" customHeight="1">
      <c r="A224" s="250"/>
      <c r="B224" s="138"/>
      <c r="C224" s="138"/>
      <c r="D224" s="138"/>
      <c r="E224" s="138"/>
      <c r="F224" s="138"/>
      <c r="G224" s="138"/>
      <c r="H224" s="138"/>
      <c r="I224" s="138"/>
      <c r="J224" s="138"/>
      <c r="K224" s="138"/>
      <c r="L224" s="138"/>
      <c r="M224" s="138"/>
      <c r="N224" s="138"/>
      <c r="O224" s="138"/>
      <c r="P224" s="138"/>
      <c r="Q224" s="138"/>
      <c r="R224" s="138"/>
      <c r="S224" s="138"/>
      <c r="T224" s="138"/>
      <c r="U224" s="138"/>
      <c r="V224" s="138"/>
      <c r="W224" s="138"/>
      <c r="X224" s="138"/>
      <c r="Y224" s="138"/>
      <c r="Z224" s="138"/>
    </row>
    <row r="225" spans="1:26" ht="18" customHeight="1">
      <c r="A225" s="250"/>
      <c r="B225" s="138"/>
      <c r="C225" s="138"/>
      <c r="D225" s="138"/>
      <c r="E225" s="138"/>
      <c r="F225" s="138"/>
      <c r="G225" s="138"/>
      <c r="H225" s="138"/>
      <c r="I225" s="138"/>
      <c r="J225" s="138"/>
      <c r="K225" s="138"/>
      <c r="L225" s="138"/>
      <c r="M225" s="138"/>
      <c r="N225" s="138"/>
      <c r="O225" s="138"/>
      <c r="P225" s="138"/>
      <c r="Q225" s="138"/>
      <c r="R225" s="138"/>
      <c r="S225" s="138"/>
      <c r="T225" s="138"/>
      <c r="U225" s="138"/>
      <c r="V225" s="138"/>
      <c r="W225" s="138"/>
      <c r="X225" s="138"/>
      <c r="Y225" s="138"/>
      <c r="Z225" s="138"/>
    </row>
    <row r="226" spans="1:26" ht="18" customHeight="1">
      <c r="A226" s="250"/>
      <c r="B226" s="138"/>
      <c r="C226" s="138"/>
      <c r="D226" s="138"/>
      <c r="E226" s="138"/>
      <c r="F226" s="138"/>
      <c r="G226" s="138"/>
      <c r="H226" s="138"/>
      <c r="I226" s="138"/>
      <c r="J226" s="138"/>
      <c r="K226" s="138"/>
      <c r="L226" s="138"/>
      <c r="M226" s="138"/>
      <c r="N226" s="138"/>
      <c r="O226" s="138"/>
      <c r="P226" s="138"/>
      <c r="Q226" s="138"/>
      <c r="R226" s="138"/>
      <c r="S226" s="138"/>
      <c r="T226" s="138"/>
      <c r="U226" s="138"/>
      <c r="V226" s="138"/>
      <c r="W226" s="138"/>
      <c r="X226" s="138"/>
      <c r="Y226" s="138"/>
      <c r="Z226" s="138"/>
    </row>
    <row r="227" spans="1:26" ht="18" customHeight="1">
      <c r="A227" s="250"/>
      <c r="B227" s="138"/>
      <c r="C227" s="138"/>
      <c r="D227" s="138"/>
      <c r="E227" s="138"/>
      <c r="F227" s="138"/>
      <c r="G227" s="138"/>
      <c r="H227" s="138"/>
      <c r="I227" s="138"/>
      <c r="J227" s="138"/>
      <c r="K227" s="138"/>
      <c r="L227" s="138"/>
      <c r="M227" s="138"/>
      <c r="N227" s="138"/>
      <c r="O227" s="138"/>
      <c r="P227" s="138"/>
      <c r="Q227" s="138"/>
      <c r="R227" s="138"/>
      <c r="S227" s="138"/>
      <c r="T227" s="138"/>
      <c r="U227" s="138"/>
      <c r="V227" s="138"/>
      <c r="W227" s="138"/>
      <c r="X227" s="138"/>
      <c r="Y227" s="138"/>
      <c r="Z227" s="138"/>
    </row>
    <row r="228" spans="1:26" ht="18" customHeight="1">
      <c r="A228" s="250"/>
      <c r="B228" s="138"/>
      <c r="C228" s="138"/>
      <c r="D228" s="138"/>
      <c r="E228" s="138"/>
      <c r="F228" s="138"/>
      <c r="G228" s="138"/>
      <c r="H228" s="138"/>
      <c r="I228" s="138"/>
      <c r="J228" s="138"/>
      <c r="K228" s="138"/>
      <c r="L228" s="138"/>
      <c r="M228" s="138"/>
      <c r="N228" s="138"/>
      <c r="O228" s="138"/>
      <c r="P228" s="138"/>
      <c r="Q228" s="138"/>
      <c r="R228" s="138"/>
      <c r="S228" s="138"/>
      <c r="T228" s="138"/>
      <c r="U228" s="138"/>
      <c r="V228" s="138"/>
      <c r="W228" s="138"/>
      <c r="X228" s="138"/>
      <c r="Y228" s="138"/>
      <c r="Z228" s="138"/>
    </row>
    <row r="229" spans="1:26" ht="18" customHeight="1">
      <c r="A229" s="250"/>
      <c r="B229" s="138"/>
      <c r="C229" s="138"/>
      <c r="D229" s="138"/>
      <c r="E229" s="138"/>
      <c r="F229" s="138"/>
      <c r="G229" s="138"/>
      <c r="H229" s="138"/>
      <c r="I229" s="138"/>
      <c r="J229" s="138"/>
      <c r="K229" s="138"/>
      <c r="L229" s="138"/>
      <c r="M229" s="138"/>
      <c r="N229" s="138"/>
      <c r="O229" s="138"/>
      <c r="P229" s="138"/>
      <c r="Q229" s="138"/>
      <c r="R229" s="138"/>
      <c r="S229" s="138"/>
      <c r="T229" s="138"/>
      <c r="U229" s="138"/>
      <c r="V229" s="138"/>
      <c r="W229" s="138"/>
      <c r="X229" s="138"/>
      <c r="Y229" s="138"/>
      <c r="Z229" s="138"/>
    </row>
    <row r="230" spans="1:26" ht="18" customHeight="1">
      <c r="A230" s="250"/>
      <c r="B230" s="138"/>
      <c r="C230" s="138"/>
      <c r="D230" s="138"/>
      <c r="E230" s="138"/>
      <c r="F230" s="138"/>
      <c r="G230" s="138"/>
      <c r="H230" s="138"/>
      <c r="I230" s="138"/>
      <c r="J230" s="138"/>
      <c r="K230" s="138"/>
      <c r="L230" s="138"/>
      <c r="M230" s="138"/>
      <c r="N230" s="138"/>
      <c r="O230" s="138"/>
      <c r="P230" s="138"/>
      <c r="Q230" s="138"/>
      <c r="R230" s="138"/>
      <c r="S230" s="138"/>
      <c r="T230" s="138"/>
      <c r="U230" s="138"/>
      <c r="V230" s="138"/>
      <c r="W230" s="138"/>
      <c r="X230" s="138"/>
      <c r="Y230" s="138"/>
      <c r="Z230" s="138"/>
    </row>
    <row r="231" spans="1:26" ht="18" customHeight="1">
      <c r="A231" s="250"/>
      <c r="B231" s="138"/>
      <c r="C231" s="138"/>
      <c r="D231" s="138"/>
      <c r="E231" s="138"/>
      <c r="F231" s="138"/>
      <c r="G231" s="138"/>
      <c r="H231" s="138"/>
      <c r="I231" s="138"/>
      <c r="J231" s="138"/>
      <c r="K231" s="138"/>
      <c r="L231" s="138"/>
      <c r="M231" s="138"/>
      <c r="N231" s="138"/>
      <c r="O231" s="138"/>
      <c r="P231" s="138"/>
      <c r="Q231" s="138"/>
      <c r="R231" s="138"/>
      <c r="S231" s="138"/>
      <c r="T231" s="138"/>
      <c r="U231" s="138"/>
      <c r="V231" s="138"/>
      <c r="W231" s="138"/>
      <c r="X231" s="138"/>
      <c r="Y231" s="138"/>
      <c r="Z231" s="138"/>
    </row>
    <row r="232" spans="1:26" ht="18" customHeight="1">
      <c r="A232" s="250"/>
      <c r="B232" s="138"/>
      <c r="C232" s="138"/>
      <c r="D232" s="138"/>
      <c r="E232" s="138"/>
      <c r="F232" s="138"/>
      <c r="G232" s="138"/>
      <c r="H232" s="138"/>
      <c r="I232" s="138"/>
      <c r="J232" s="138"/>
      <c r="K232" s="138"/>
      <c r="L232" s="138"/>
      <c r="M232" s="138"/>
      <c r="N232" s="138"/>
      <c r="O232" s="138"/>
      <c r="P232" s="138"/>
      <c r="Q232" s="138"/>
      <c r="R232" s="138"/>
      <c r="S232" s="138"/>
      <c r="T232" s="138"/>
      <c r="U232" s="138"/>
      <c r="V232" s="138"/>
      <c r="W232" s="138"/>
      <c r="X232" s="138"/>
      <c r="Y232" s="138"/>
      <c r="Z232" s="138"/>
    </row>
    <row r="233" spans="1:26" ht="18" customHeight="1">
      <c r="A233" s="250"/>
      <c r="B233" s="138"/>
      <c r="C233" s="138"/>
      <c r="D233" s="138"/>
      <c r="E233" s="138"/>
      <c r="F233" s="138"/>
      <c r="G233" s="138"/>
      <c r="H233" s="138"/>
      <c r="I233" s="138"/>
      <c r="J233" s="138"/>
      <c r="K233" s="138"/>
      <c r="L233" s="138"/>
      <c r="M233" s="138"/>
      <c r="N233" s="138"/>
      <c r="O233" s="138"/>
      <c r="P233" s="138"/>
      <c r="Q233" s="138"/>
      <c r="R233" s="138"/>
      <c r="S233" s="138"/>
      <c r="T233" s="138"/>
      <c r="U233" s="138"/>
      <c r="V233" s="138"/>
      <c r="W233" s="138"/>
      <c r="X233" s="138"/>
      <c r="Y233" s="138"/>
      <c r="Z233" s="138"/>
    </row>
    <row r="234" spans="1:26" ht="18" customHeight="1">
      <c r="A234" s="250"/>
      <c r="B234" s="138"/>
      <c r="C234" s="138"/>
      <c r="D234" s="138"/>
      <c r="E234" s="138"/>
      <c r="F234" s="138"/>
      <c r="G234" s="138"/>
      <c r="H234" s="138"/>
      <c r="I234" s="138"/>
      <c r="J234" s="138"/>
      <c r="K234" s="138"/>
      <c r="L234" s="138"/>
      <c r="M234" s="138"/>
      <c r="N234" s="138"/>
      <c r="O234" s="138"/>
      <c r="P234" s="138"/>
      <c r="Q234" s="138"/>
      <c r="R234" s="138"/>
      <c r="S234" s="138"/>
      <c r="T234" s="138"/>
      <c r="U234" s="138"/>
      <c r="V234" s="138"/>
      <c r="W234" s="138"/>
      <c r="X234" s="138"/>
      <c r="Y234" s="138"/>
      <c r="Z234" s="138"/>
    </row>
    <row r="235" spans="1:26" ht="18" customHeight="1">
      <c r="A235" s="250"/>
      <c r="B235" s="138"/>
      <c r="C235" s="138"/>
      <c r="D235" s="138"/>
      <c r="E235" s="138"/>
      <c r="F235" s="138"/>
      <c r="G235" s="138"/>
      <c r="H235" s="138"/>
      <c r="I235" s="138"/>
      <c r="J235" s="138"/>
      <c r="K235" s="138"/>
      <c r="L235" s="138"/>
      <c r="M235" s="138"/>
      <c r="N235" s="138"/>
      <c r="O235" s="138"/>
      <c r="P235" s="138"/>
      <c r="Q235" s="138"/>
      <c r="R235" s="138"/>
      <c r="S235" s="138"/>
      <c r="T235" s="138"/>
      <c r="U235" s="138"/>
      <c r="V235" s="138"/>
      <c r="W235" s="138"/>
      <c r="X235" s="138"/>
      <c r="Y235" s="138"/>
      <c r="Z235" s="138"/>
    </row>
    <row r="236" spans="1:26" ht="18" customHeight="1">
      <c r="A236" s="250"/>
      <c r="B236" s="138"/>
      <c r="C236" s="138"/>
      <c r="D236" s="138"/>
      <c r="E236" s="138"/>
      <c r="F236" s="138"/>
      <c r="G236" s="138"/>
      <c r="H236" s="138"/>
      <c r="I236" s="138"/>
      <c r="J236" s="138"/>
      <c r="K236" s="138"/>
      <c r="L236" s="138"/>
      <c r="M236" s="138"/>
      <c r="N236" s="138"/>
      <c r="O236" s="138"/>
      <c r="P236" s="138"/>
      <c r="Q236" s="138"/>
      <c r="R236" s="138"/>
      <c r="S236" s="138"/>
      <c r="T236" s="138"/>
      <c r="U236" s="138"/>
      <c r="V236" s="138"/>
      <c r="W236" s="138"/>
      <c r="X236" s="138"/>
      <c r="Y236" s="138"/>
      <c r="Z236" s="138"/>
    </row>
    <row r="237" spans="1:26" ht="18" customHeight="1">
      <c r="A237" s="250"/>
      <c r="B237" s="138"/>
      <c r="C237" s="138"/>
      <c r="D237" s="138"/>
      <c r="E237" s="138"/>
      <c r="F237" s="138"/>
      <c r="G237" s="138"/>
      <c r="H237" s="138"/>
      <c r="I237" s="138"/>
      <c r="J237" s="138"/>
      <c r="K237" s="138"/>
      <c r="L237" s="138"/>
      <c r="M237" s="138"/>
      <c r="N237" s="138"/>
      <c r="O237" s="138"/>
      <c r="P237" s="138"/>
      <c r="Q237" s="138"/>
      <c r="R237" s="138"/>
      <c r="S237" s="138"/>
      <c r="T237" s="138"/>
      <c r="U237" s="138"/>
      <c r="V237" s="138"/>
      <c r="W237" s="138"/>
      <c r="X237" s="138"/>
      <c r="Y237" s="138"/>
      <c r="Z237" s="138"/>
    </row>
    <row r="238" spans="1:26" ht="18" customHeight="1">
      <c r="A238" s="250"/>
      <c r="B238" s="138"/>
      <c r="C238" s="138"/>
      <c r="D238" s="138"/>
      <c r="E238" s="138"/>
      <c r="F238" s="138"/>
      <c r="G238" s="138"/>
      <c r="H238" s="138"/>
      <c r="I238" s="138"/>
      <c r="J238" s="138"/>
      <c r="K238" s="138"/>
      <c r="L238" s="138"/>
      <c r="M238" s="138"/>
      <c r="N238" s="138"/>
      <c r="O238" s="138"/>
      <c r="P238" s="138"/>
      <c r="Q238" s="138"/>
      <c r="R238" s="138"/>
      <c r="S238" s="138"/>
      <c r="T238" s="138"/>
      <c r="U238" s="138"/>
      <c r="V238" s="138"/>
      <c r="W238" s="138"/>
      <c r="X238" s="138"/>
      <c r="Y238" s="138"/>
      <c r="Z238" s="138"/>
    </row>
    <row r="239" spans="1:26" ht="18" customHeight="1">
      <c r="A239" s="250"/>
      <c r="B239" s="138"/>
      <c r="C239" s="138"/>
      <c r="D239" s="138"/>
      <c r="E239" s="138"/>
      <c r="F239" s="138"/>
      <c r="G239" s="138"/>
      <c r="H239" s="138"/>
      <c r="I239" s="138"/>
      <c r="J239" s="138"/>
      <c r="K239" s="138"/>
      <c r="L239" s="138"/>
      <c r="M239" s="138"/>
      <c r="N239" s="138"/>
      <c r="O239" s="138"/>
      <c r="P239" s="138"/>
      <c r="Q239" s="138"/>
      <c r="R239" s="138"/>
      <c r="S239" s="138"/>
      <c r="T239" s="138"/>
      <c r="U239" s="138"/>
      <c r="V239" s="138"/>
      <c r="W239" s="138"/>
      <c r="X239" s="138"/>
      <c r="Y239" s="138"/>
      <c r="Z239" s="138"/>
    </row>
    <row r="240" spans="1:26" ht="18" customHeight="1">
      <c r="A240" s="250"/>
      <c r="B240" s="138"/>
      <c r="C240" s="138"/>
      <c r="D240" s="138"/>
      <c r="E240" s="138"/>
      <c r="F240" s="138"/>
      <c r="G240" s="138"/>
      <c r="H240" s="138"/>
      <c r="I240" s="138"/>
      <c r="J240" s="138"/>
      <c r="K240" s="138"/>
      <c r="L240" s="138"/>
      <c r="M240" s="138"/>
      <c r="N240" s="138"/>
      <c r="O240" s="138"/>
      <c r="P240" s="138"/>
      <c r="Q240" s="138"/>
      <c r="R240" s="138"/>
      <c r="S240" s="138"/>
      <c r="T240" s="138"/>
      <c r="U240" s="138"/>
      <c r="V240" s="138"/>
      <c r="W240" s="138"/>
      <c r="X240" s="138"/>
      <c r="Y240" s="138"/>
      <c r="Z240" s="138"/>
    </row>
    <row r="241" spans="1:26" ht="18" customHeight="1">
      <c r="A241" s="250"/>
      <c r="B241" s="138"/>
      <c r="C241" s="138"/>
      <c r="D241" s="138"/>
      <c r="E241" s="138"/>
      <c r="F241" s="138"/>
      <c r="G241" s="138"/>
      <c r="H241" s="138"/>
      <c r="I241" s="138"/>
      <c r="J241" s="138"/>
      <c r="K241" s="138"/>
      <c r="L241" s="138"/>
      <c r="M241" s="138"/>
      <c r="N241" s="138"/>
      <c r="O241" s="138"/>
      <c r="P241" s="138"/>
      <c r="Q241" s="138"/>
      <c r="R241" s="138"/>
      <c r="S241" s="138"/>
      <c r="T241" s="138"/>
      <c r="U241" s="138"/>
      <c r="V241" s="138"/>
      <c r="W241" s="138"/>
      <c r="X241" s="138"/>
      <c r="Y241" s="138"/>
      <c r="Z241" s="138"/>
    </row>
    <row r="242" spans="1:26" ht="18" customHeight="1">
      <c r="A242" s="250"/>
      <c r="B242" s="138"/>
      <c r="C242" s="138"/>
      <c r="D242" s="138"/>
      <c r="E242" s="138"/>
      <c r="F242" s="138"/>
      <c r="G242" s="138"/>
      <c r="H242" s="138"/>
      <c r="I242" s="138"/>
      <c r="J242" s="138"/>
      <c r="K242" s="138"/>
      <c r="L242" s="138"/>
      <c r="M242" s="138"/>
      <c r="N242" s="138"/>
      <c r="O242" s="138"/>
      <c r="P242" s="138"/>
      <c r="Q242" s="138"/>
      <c r="R242" s="138"/>
      <c r="S242" s="138"/>
      <c r="T242" s="138"/>
      <c r="U242" s="138"/>
      <c r="V242" s="138"/>
      <c r="W242" s="138"/>
      <c r="X242" s="138"/>
      <c r="Y242" s="138"/>
      <c r="Z242" s="138"/>
    </row>
    <row r="243" spans="1:26" ht="18" customHeight="1">
      <c r="A243" s="250"/>
      <c r="B243" s="138"/>
      <c r="C243" s="138"/>
      <c r="D243" s="138"/>
      <c r="E243" s="138"/>
      <c r="F243" s="138"/>
      <c r="G243" s="138"/>
      <c r="H243" s="138"/>
      <c r="I243" s="138"/>
      <c r="J243" s="138"/>
      <c r="K243" s="138"/>
      <c r="L243" s="138"/>
      <c r="M243" s="138"/>
      <c r="N243" s="138"/>
      <c r="O243" s="138"/>
      <c r="P243" s="138"/>
      <c r="Q243" s="138"/>
      <c r="R243" s="138"/>
      <c r="S243" s="138"/>
      <c r="T243" s="138"/>
      <c r="U243" s="138"/>
      <c r="V243" s="138"/>
      <c r="W243" s="138"/>
      <c r="X243" s="138"/>
      <c r="Y243" s="138"/>
      <c r="Z243" s="138"/>
    </row>
    <row r="244" spans="1:26" ht="18" customHeight="1">
      <c r="A244" s="250"/>
      <c r="B244" s="138"/>
      <c r="C244" s="138"/>
      <c r="D244" s="138"/>
      <c r="E244" s="138"/>
      <c r="F244" s="138"/>
      <c r="G244" s="138"/>
      <c r="H244" s="138"/>
      <c r="I244" s="138"/>
      <c r="J244" s="138"/>
      <c r="K244" s="138"/>
      <c r="L244" s="138"/>
      <c r="M244" s="138"/>
      <c r="N244" s="138"/>
      <c r="O244" s="138"/>
      <c r="P244" s="138"/>
      <c r="Q244" s="138"/>
      <c r="R244" s="138"/>
      <c r="S244" s="138"/>
      <c r="T244" s="138"/>
      <c r="U244" s="138"/>
      <c r="V244" s="138"/>
      <c r="W244" s="138"/>
      <c r="X244" s="138"/>
      <c r="Y244" s="138"/>
      <c r="Z244" s="138"/>
    </row>
    <row r="245" spans="1:26" ht="18" customHeight="1">
      <c r="A245" s="250"/>
      <c r="B245" s="138"/>
      <c r="C245" s="138"/>
      <c r="D245" s="138"/>
      <c r="E245" s="138"/>
      <c r="F245" s="138"/>
      <c r="G245" s="138"/>
      <c r="H245" s="138"/>
      <c r="I245" s="138"/>
      <c r="J245" s="138"/>
      <c r="K245" s="138"/>
      <c r="L245" s="138"/>
      <c r="M245" s="138"/>
      <c r="N245" s="138"/>
      <c r="O245" s="138"/>
      <c r="P245" s="138"/>
      <c r="Q245" s="138"/>
      <c r="R245" s="138"/>
      <c r="S245" s="138"/>
      <c r="T245" s="138"/>
      <c r="U245" s="138"/>
      <c r="V245" s="138"/>
      <c r="W245" s="138"/>
      <c r="X245" s="138"/>
      <c r="Y245" s="138"/>
      <c r="Z245" s="138"/>
    </row>
    <row r="246" spans="1:26" ht="18" customHeight="1">
      <c r="A246" s="250"/>
      <c r="B246" s="138"/>
      <c r="C246" s="138"/>
      <c r="D246" s="138"/>
      <c r="E246" s="138"/>
      <c r="F246" s="138"/>
      <c r="G246" s="138"/>
      <c r="H246" s="138"/>
      <c r="I246" s="138"/>
      <c r="J246" s="138"/>
      <c r="K246" s="138"/>
      <c r="L246" s="138"/>
      <c r="M246" s="138"/>
      <c r="N246" s="138"/>
      <c r="O246" s="138"/>
      <c r="P246" s="138"/>
      <c r="Q246" s="138"/>
      <c r="R246" s="138"/>
      <c r="S246" s="138"/>
      <c r="T246" s="138"/>
      <c r="U246" s="138"/>
      <c r="V246" s="138"/>
      <c r="W246" s="138"/>
      <c r="X246" s="138"/>
      <c r="Y246" s="138"/>
      <c r="Z246" s="138"/>
    </row>
    <row r="247" spans="1:26" ht="18" customHeight="1">
      <c r="A247" s="250"/>
      <c r="B247" s="138"/>
      <c r="C247" s="138"/>
      <c r="D247" s="138"/>
      <c r="E247" s="138"/>
      <c r="F247" s="138"/>
      <c r="G247" s="138"/>
      <c r="H247" s="138"/>
      <c r="I247" s="138"/>
      <c r="J247" s="138"/>
      <c r="K247" s="138"/>
      <c r="L247" s="138"/>
      <c r="M247" s="138"/>
      <c r="N247" s="138"/>
      <c r="O247" s="138"/>
      <c r="P247" s="138"/>
      <c r="Q247" s="138"/>
      <c r="R247" s="138"/>
      <c r="S247" s="138"/>
      <c r="T247" s="138"/>
      <c r="U247" s="138"/>
      <c r="V247" s="138"/>
      <c r="W247" s="138"/>
      <c r="X247" s="138"/>
      <c r="Y247" s="138"/>
      <c r="Z247" s="138"/>
    </row>
    <row r="248" spans="1:26" ht="18" customHeight="1">
      <c r="A248" s="250"/>
      <c r="B248" s="138"/>
      <c r="C248" s="138"/>
      <c r="D248" s="138"/>
      <c r="E248" s="138"/>
      <c r="F248" s="138"/>
      <c r="G248" s="138"/>
      <c r="H248" s="138"/>
      <c r="I248" s="138"/>
      <c r="J248" s="138"/>
      <c r="K248" s="138"/>
      <c r="L248" s="138"/>
      <c r="M248" s="138"/>
      <c r="N248" s="138"/>
      <c r="O248" s="138"/>
      <c r="P248" s="138"/>
      <c r="Q248" s="138"/>
      <c r="R248" s="138"/>
      <c r="S248" s="138"/>
      <c r="T248" s="138"/>
      <c r="U248" s="138"/>
      <c r="V248" s="138"/>
      <c r="W248" s="138"/>
      <c r="X248" s="138"/>
      <c r="Y248" s="138"/>
      <c r="Z248" s="138"/>
    </row>
    <row r="249" spans="1:26" ht="18" customHeight="1">
      <c r="A249" s="250"/>
      <c r="B249" s="138"/>
      <c r="C249" s="138"/>
      <c r="D249" s="138"/>
      <c r="E249" s="138"/>
      <c r="F249" s="138"/>
      <c r="G249" s="138"/>
      <c r="H249" s="138"/>
      <c r="I249" s="138"/>
      <c r="J249" s="138"/>
      <c r="K249" s="138"/>
      <c r="L249" s="138"/>
      <c r="M249" s="138"/>
      <c r="N249" s="138"/>
      <c r="O249" s="138"/>
      <c r="P249" s="138"/>
      <c r="Q249" s="138"/>
      <c r="R249" s="138"/>
      <c r="S249" s="138"/>
      <c r="T249" s="138"/>
      <c r="U249" s="138"/>
      <c r="V249" s="138"/>
      <c r="W249" s="138"/>
      <c r="X249" s="138"/>
      <c r="Y249" s="138"/>
      <c r="Z249" s="138"/>
    </row>
    <row r="250" spans="1:26" ht="18" customHeight="1">
      <c r="A250" s="250"/>
      <c r="B250" s="138"/>
      <c r="C250" s="138"/>
      <c r="D250" s="138"/>
      <c r="E250" s="138"/>
      <c r="F250" s="138"/>
      <c r="G250" s="138"/>
      <c r="H250" s="138"/>
      <c r="I250" s="138"/>
      <c r="J250" s="138"/>
      <c r="K250" s="138"/>
      <c r="L250" s="138"/>
      <c r="M250" s="138"/>
      <c r="N250" s="138"/>
      <c r="O250" s="138"/>
      <c r="P250" s="138"/>
      <c r="Q250" s="138"/>
      <c r="R250" s="138"/>
      <c r="S250" s="138"/>
      <c r="T250" s="138"/>
      <c r="U250" s="138"/>
      <c r="V250" s="138"/>
      <c r="W250" s="138"/>
      <c r="X250" s="138"/>
      <c r="Y250" s="138"/>
      <c r="Z250" s="138"/>
    </row>
    <row r="251" spans="1:26" ht="18" customHeight="1">
      <c r="A251" s="250"/>
      <c r="B251" s="138"/>
      <c r="C251" s="138"/>
      <c r="D251" s="138"/>
      <c r="E251" s="138"/>
      <c r="F251" s="138"/>
      <c r="G251" s="138"/>
      <c r="H251" s="138"/>
      <c r="I251" s="138"/>
      <c r="J251" s="138"/>
      <c r="K251" s="138"/>
      <c r="L251" s="138"/>
      <c r="M251" s="138"/>
      <c r="N251" s="138"/>
      <c r="O251" s="138"/>
      <c r="P251" s="138"/>
      <c r="Q251" s="138"/>
      <c r="R251" s="138"/>
      <c r="S251" s="138"/>
      <c r="T251" s="138"/>
      <c r="U251" s="138"/>
      <c r="V251" s="138"/>
      <c r="W251" s="138"/>
      <c r="X251" s="138"/>
      <c r="Y251" s="138"/>
      <c r="Z251" s="138"/>
    </row>
    <row r="252" spans="1:26" ht="18" customHeight="1">
      <c r="A252" s="250"/>
      <c r="B252" s="138"/>
      <c r="C252" s="138"/>
      <c r="D252" s="138"/>
      <c r="E252" s="138"/>
      <c r="F252" s="138"/>
      <c r="G252" s="138"/>
      <c r="H252" s="138"/>
      <c r="I252" s="138"/>
      <c r="J252" s="138"/>
      <c r="K252" s="138"/>
      <c r="L252" s="138"/>
      <c r="M252" s="138"/>
      <c r="N252" s="138"/>
      <c r="O252" s="138"/>
      <c r="P252" s="138"/>
      <c r="Q252" s="138"/>
      <c r="R252" s="138"/>
      <c r="S252" s="138"/>
      <c r="T252" s="138"/>
      <c r="U252" s="138"/>
      <c r="V252" s="138"/>
      <c r="W252" s="138"/>
      <c r="X252" s="138"/>
      <c r="Y252" s="138"/>
      <c r="Z252" s="138"/>
    </row>
    <row r="253" spans="1:26" ht="18" customHeight="1">
      <c r="A253" s="250"/>
      <c r="B253" s="138"/>
      <c r="C253" s="138"/>
      <c r="D253" s="138"/>
      <c r="E253" s="138"/>
      <c r="F253" s="138"/>
      <c r="G253" s="138"/>
      <c r="H253" s="138"/>
      <c r="I253" s="138"/>
      <c r="J253" s="138"/>
      <c r="K253" s="138"/>
      <c r="L253" s="138"/>
      <c r="M253" s="138"/>
      <c r="N253" s="138"/>
      <c r="O253" s="138"/>
      <c r="P253" s="138"/>
      <c r="Q253" s="138"/>
      <c r="R253" s="138"/>
      <c r="S253" s="138"/>
      <c r="T253" s="138"/>
      <c r="U253" s="138"/>
      <c r="V253" s="138"/>
      <c r="W253" s="138"/>
      <c r="X253" s="138"/>
      <c r="Y253" s="138"/>
      <c r="Z253" s="138"/>
    </row>
    <row r="254" spans="1:26" ht="18" customHeight="1">
      <c r="A254" s="250"/>
      <c r="B254" s="138"/>
      <c r="C254" s="138"/>
      <c r="D254" s="138"/>
      <c r="E254" s="138"/>
      <c r="F254" s="138"/>
      <c r="G254" s="138"/>
      <c r="H254" s="138"/>
      <c r="I254" s="138"/>
      <c r="J254" s="138"/>
      <c r="K254" s="138"/>
      <c r="L254" s="138"/>
      <c r="M254" s="138"/>
      <c r="N254" s="138"/>
      <c r="O254" s="138"/>
      <c r="P254" s="138"/>
      <c r="Q254" s="138"/>
      <c r="R254" s="138"/>
      <c r="S254" s="138"/>
      <c r="T254" s="138"/>
      <c r="U254" s="138"/>
      <c r="V254" s="138"/>
      <c r="W254" s="138"/>
      <c r="X254" s="138"/>
      <c r="Y254" s="138"/>
      <c r="Z254" s="138"/>
    </row>
    <row r="255" spans="1:26" ht="18" customHeight="1">
      <c r="A255" s="250"/>
      <c r="B255" s="138"/>
      <c r="C255" s="138"/>
      <c r="D255" s="138"/>
      <c r="E255" s="138"/>
      <c r="F255" s="138"/>
      <c r="G255" s="138"/>
      <c r="H255" s="138"/>
      <c r="I255" s="138"/>
      <c r="J255" s="138"/>
      <c r="K255" s="138"/>
      <c r="L255" s="138"/>
      <c r="M255" s="138"/>
      <c r="N255" s="138"/>
      <c r="O255" s="138"/>
      <c r="P255" s="138"/>
      <c r="Q255" s="138"/>
      <c r="R255" s="138"/>
      <c r="S255" s="138"/>
      <c r="T255" s="138"/>
      <c r="U255" s="138"/>
      <c r="V255" s="138"/>
      <c r="W255" s="138"/>
      <c r="X255" s="138"/>
      <c r="Y255" s="138"/>
      <c r="Z255" s="138"/>
    </row>
    <row r="256" spans="1:26" ht="18" customHeight="1">
      <c r="A256" s="250"/>
      <c r="B256" s="138"/>
      <c r="C256" s="138"/>
      <c r="D256" s="138"/>
      <c r="E256" s="138"/>
      <c r="F256" s="138"/>
      <c r="G256" s="138"/>
      <c r="H256" s="138"/>
      <c r="I256" s="138"/>
      <c r="J256" s="138"/>
      <c r="K256" s="138"/>
      <c r="L256" s="138"/>
      <c r="M256" s="138"/>
      <c r="N256" s="138"/>
      <c r="O256" s="138"/>
      <c r="P256" s="138"/>
      <c r="Q256" s="138"/>
      <c r="R256" s="138"/>
      <c r="S256" s="138"/>
      <c r="T256" s="138"/>
      <c r="U256" s="138"/>
      <c r="V256" s="138"/>
      <c r="W256" s="138"/>
      <c r="X256" s="138"/>
      <c r="Y256" s="138"/>
      <c r="Z256" s="138"/>
    </row>
    <row r="257" spans="1:26" ht="18" customHeight="1">
      <c r="A257" s="250"/>
      <c r="B257" s="138"/>
      <c r="C257" s="138"/>
      <c r="D257" s="138"/>
      <c r="E257" s="138"/>
      <c r="F257" s="138"/>
      <c r="G257" s="138"/>
      <c r="H257" s="138"/>
      <c r="I257" s="138"/>
      <c r="J257" s="138"/>
      <c r="K257" s="138"/>
      <c r="L257" s="138"/>
      <c r="M257" s="138"/>
      <c r="N257" s="138"/>
      <c r="O257" s="138"/>
      <c r="P257" s="138"/>
      <c r="Q257" s="138"/>
      <c r="R257" s="138"/>
      <c r="S257" s="138"/>
      <c r="T257" s="138"/>
      <c r="U257" s="138"/>
      <c r="V257" s="138"/>
      <c r="W257" s="138"/>
      <c r="X257" s="138"/>
      <c r="Y257" s="138"/>
      <c r="Z257" s="138"/>
    </row>
    <row r="258" spans="1:26" ht="18" customHeight="1">
      <c r="A258" s="250"/>
      <c r="B258" s="138"/>
      <c r="C258" s="138"/>
      <c r="D258" s="138"/>
      <c r="E258" s="138"/>
      <c r="F258" s="138"/>
      <c r="G258" s="138"/>
      <c r="H258" s="138"/>
      <c r="I258" s="138"/>
      <c r="J258" s="138"/>
      <c r="K258" s="138"/>
      <c r="L258" s="138"/>
      <c r="M258" s="138"/>
      <c r="N258" s="138"/>
      <c r="O258" s="138"/>
      <c r="P258" s="138"/>
      <c r="Q258" s="138"/>
      <c r="R258" s="138"/>
      <c r="S258" s="138"/>
      <c r="T258" s="138"/>
      <c r="U258" s="138"/>
      <c r="V258" s="138"/>
      <c r="W258" s="138"/>
      <c r="X258" s="138"/>
      <c r="Y258" s="138"/>
      <c r="Z258" s="138"/>
    </row>
    <row r="259" spans="1:26" ht="18" customHeight="1">
      <c r="A259" s="250"/>
      <c r="B259" s="138"/>
      <c r="C259" s="138"/>
      <c r="D259" s="138"/>
      <c r="E259" s="138"/>
      <c r="F259" s="138"/>
      <c r="G259" s="138"/>
      <c r="H259" s="138"/>
      <c r="I259" s="138"/>
      <c r="J259" s="138"/>
      <c r="K259" s="138"/>
      <c r="L259" s="138"/>
      <c r="M259" s="138"/>
      <c r="N259" s="138"/>
      <c r="O259" s="138"/>
      <c r="P259" s="138"/>
      <c r="Q259" s="138"/>
      <c r="R259" s="138"/>
      <c r="S259" s="138"/>
      <c r="T259" s="138"/>
      <c r="U259" s="138"/>
      <c r="V259" s="138"/>
      <c r="W259" s="138"/>
      <c r="X259" s="138"/>
      <c r="Y259" s="138"/>
      <c r="Z259" s="138"/>
    </row>
    <row r="260" spans="1:26" ht="18" customHeight="1">
      <c r="A260" s="250"/>
      <c r="B260" s="138"/>
      <c r="C260" s="138"/>
      <c r="D260" s="138"/>
      <c r="E260" s="138"/>
      <c r="F260" s="138"/>
      <c r="G260" s="138"/>
      <c r="H260" s="138"/>
      <c r="I260" s="138"/>
      <c r="J260" s="138"/>
      <c r="K260" s="138"/>
      <c r="L260" s="138"/>
      <c r="M260" s="138"/>
      <c r="N260" s="138"/>
      <c r="O260" s="138"/>
      <c r="P260" s="138"/>
      <c r="Q260" s="138"/>
      <c r="R260" s="138"/>
      <c r="S260" s="138"/>
      <c r="T260" s="138"/>
      <c r="U260" s="138"/>
      <c r="V260" s="138"/>
      <c r="W260" s="138"/>
      <c r="X260" s="138"/>
      <c r="Y260" s="138"/>
      <c r="Z260" s="138"/>
    </row>
    <row r="261" spans="1:26" ht="18" customHeight="1">
      <c r="A261" s="250"/>
      <c r="B261" s="138"/>
      <c r="C261" s="138"/>
      <c r="D261" s="138"/>
      <c r="E261" s="138"/>
      <c r="F261" s="138"/>
      <c r="G261" s="138"/>
      <c r="H261" s="138"/>
      <c r="I261" s="138"/>
      <c r="J261" s="138"/>
      <c r="K261" s="138"/>
      <c r="L261" s="138"/>
      <c r="M261" s="138"/>
      <c r="N261" s="138"/>
      <c r="O261" s="138"/>
      <c r="P261" s="138"/>
      <c r="Q261" s="138"/>
      <c r="R261" s="138"/>
      <c r="S261" s="138"/>
      <c r="T261" s="138"/>
      <c r="U261" s="138"/>
      <c r="V261" s="138"/>
      <c r="W261" s="138"/>
      <c r="X261" s="138"/>
      <c r="Y261" s="138"/>
      <c r="Z261" s="138"/>
    </row>
    <row r="262" spans="1:26" ht="18" customHeight="1">
      <c r="A262" s="250"/>
      <c r="B262" s="138"/>
      <c r="C262" s="138"/>
      <c r="D262" s="138"/>
      <c r="E262" s="138"/>
      <c r="F262" s="138"/>
      <c r="G262" s="138"/>
      <c r="H262" s="138"/>
      <c r="I262" s="138"/>
      <c r="J262" s="138"/>
      <c r="K262" s="138"/>
      <c r="L262" s="138"/>
      <c r="M262" s="138"/>
      <c r="N262" s="138"/>
      <c r="O262" s="138"/>
      <c r="P262" s="138"/>
      <c r="Q262" s="138"/>
      <c r="R262" s="138"/>
      <c r="S262" s="138"/>
      <c r="T262" s="138"/>
      <c r="U262" s="138"/>
      <c r="V262" s="138"/>
      <c r="W262" s="138"/>
      <c r="X262" s="138"/>
      <c r="Y262" s="138"/>
      <c r="Z262" s="138"/>
    </row>
    <row r="263" spans="1:26" ht="18" customHeight="1">
      <c r="A263" s="250"/>
      <c r="B263" s="138"/>
      <c r="C263" s="138"/>
      <c r="D263" s="138"/>
      <c r="E263" s="138"/>
      <c r="F263" s="138"/>
      <c r="G263" s="138"/>
      <c r="H263" s="138"/>
      <c r="I263" s="138"/>
      <c r="J263" s="138"/>
      <c r="K263" s="138"/>
      <c r="L263" s="138"/>
      <c r="M263" s="138"/>
      <c r="N263" s="138"/>
      <c r="O263" s="138"/>
      <c r="P263" s="138"/>
      <c r="Q263" s="138"/>
      <c r="R263" s="138"/>
      <c r="S263" s="138"/>
      <c r="T263" s="138"/>
      <c r="U263" s="138"/>
      <c r="V263" s="138"/>
      <c r="W263" s="138"/>
      <c r="X263" s="138"/>
      <c r="Y263" s="138"/>
      <c r="Z263" s="138"/>
    </row>
    <row r="264" spans="1:26" ht="18" customHeight="1">
      <c r="A264" s="250"/>
      <c r="B264" s="138"/>
      <c r="C264" s="138"/>
      <c r="D264" s="138"/>
      <c r="E264" s="138"/>
      <c r="F264" s="138"/>
      <c r="G264" s="138"/>
      <c r="H264" s="138"/>
      <c r="I264" s="138"/>
      <c r="J264" s="138"/>
      <c r="K264" s="138"/>
      <c r="L264" s="138"/>
      <c r="M264" s="138"/>
      <c r="N264" s="138"/>
      <c r="O264" s="138"/>
      <c r="P264" s="138"/>
      <c r="Q264" s="138"/>
      <c r="R264" s="138"/>
      <c r="S264" s="138"/>
      <c r="T264" s="138"/>
      <c r="U264" s="138"/>
      <c r="V264" s="138"/>
      <c r="W264" s="138"/>
      <c r="X264" s="138"/>
      <c r="Y264" s="138"/>
      <c r="Z264" s="138"/>
    </row>
    <row r="265" spans="1:26" ht="18" customHeight="1">
      <c r="A265" s="250"/>
      <c r="B265" s="138"/>
      <c r="C265" s="138"/>
      <c r="D265" s="138"/>
      <c r="E265" s="138"/>
      <c r="F265" s="138"/>
      <c r="G265" s="138"/>
      <c r="H265" s="138"/>
      <c r="I265" s="138"/>
      <c r="J265" s="138"/>
      <c r="K265" s="138"/>
      <c r="L265" s="138"/>
      <c r="M265" s="138"/>
      <c r="N265" s="138"/>
      <c r="O265" s="138"/>
      <c r="P265" s="138"/>
      <c r="Q265" s="138"/>
      <c r="R265" s="138"/>
      <c r="S265" s="138"/>
      <c r="T265" s="138"/>
      <c r="U265" s="138"/>
      <c r="V265" s="138"/>
      <c r="W265" s="138"/>
      <c r="X265" s="138"/>
      <c r="Y265" s="138"/>
      <c r="Z265" s="138"/>
    </row>
    <row r="266" spans="1:26" ht="18" customHeight="1">
      <c r="A266" s="250"/>
      <c r="B266" s="138"/>
      <c r="C266" s="138"/>
      <c r="D266" s="138"/>
      <c r="E266" s="138"/>
      <c r="F266" s="138"/>
      <c r="G266" s="138"/>
      <c r="H266" s="138"/>
      <c r="I266" s="138"/>
      <c r="J266" s="138"/>
      <c r="K266" s="138"/>
      <c r="L266" s="138"/>
      <c r="M266" s="138"/>
      <c r="N266" s="138"/>
      <c r="O266" s="138"/>
      <c r="P266" s="138"/>
      <c r="Q266" s="138"/>
      <c r="R266" s="138"/>
      <c r="S266" s="138"/>
      <c r="T266" s="138"/>
      <c r="U266" s="138"/>
      <c r="V266" s="138"/>
      <c r="W266" s="138"/>
      <c r="X266" s="138"/>
      <c r="Y266" s="138"/>
      <c r="Z266" s="138"/>
    </row>
    <row r="267" spans="1:26" ht="18" customHeight="1">
      <c r="A267" s="250"/>
      <c r="B267" s="138"/>
      <c r="C267" s="138"/>
      <c r="D267" s="138"/>
      <c r="E267" s="138"/>
      <c r="F267" s="138"/>
      <c r="G267" s="138"/>
      <c r="H267" s="138"/>
      <c r="I267" s="138"/>
      <c r="J267" s="138"/>
      <c r="K267" s="138"/>
      <c r="L267" s="138"/>
      <c r="M267" s="138"/>
      <c r="N267" s="138"/>
      <c r="O267" s="138"/>
      <c r="P267" s="138"/>
      <c r="Q267" s="138"/>
      <c r="R267" s="138"/>
      <c r="S267" s="138"/>
      <c r="T267" s="138"/>
      <c r="U267" s="138"/>
      <c r="V267" s="138"/>
      <c r="W267" s="138"/>
      <c r="X267" s="138"/>
      <c r="Y267" s="138"/>
      <c r="Z267" s="138"/>
    </row>
    <row r="268" spans="1:26" ht="18" customHeight="1">
      <c r="A268" s="250"/>
      <c r="B268" s="138"/>
      <c r="C268" s="138"/>
      <c r="D268" s="138"/>
      <c r="E268" s="138"/>
      <c r="F268" s="138"/>
      <c r="G268" s="138"/>
      <c r="H268" s="138"/>
      <c r="I268" s="138"/>
      <c r="J268" s="138"/>
      <c r="K268" s="138"/>
      <c r="L268" s="138"/>
      <c r="M268" s="138"/>
      <c r="N268" s="138"/>
      <c r="O268" s="138"/>
      <c r="P268" s="138"/>
      <c r="Q268" s="138"/>
      <c r="R268" s="138"/>
      <c r="S268" s="138"/>
      <c r="T268" s="138"/>
      <c r="U268" s="138"/>
      <c r="V268" s="138"/>
      <c r="W268" s="138"/>
      <c r="X268" s="138"/>
      <c r="Y268" s="138"/>
      <c r="Z268" s="138"/>
    </row>
    <row r="269" spans="1:26" ht="18" customHeight="1">
      <c r="A269" s="250"/>
      <c r="B269" s="138"/>
      <c r="C269" s="138"/>
      <c r="D269" s="138"/>
      <c r="E269" s="138"/>
      <c r="F269" s="138"/>
      <c r="G269" s="138"/>
      <c r="H269" s="138"/>
      <c r="I269" s="138"/>
      <c r="J269" s="138"/>
      <c r="K269" s="138"/>
      <c r="L269" s="138"/>
      <c r="M269" s="138"/>
      <c r="N269" s="138"/>
      <c r="O269" s="138"/>
      <c r="P269" s="138"/>
      <c r="Q269" s="138"/>
      <c r="R269" s="138"/>
      <c r="S269" s="138"/>
      <c r="T269" s="138"/>
      <c r="U269" s="138"/>
      <c r="V269" s="138"/>
      <c r="W269" s="138"/>
      <c r="X269" s="138"/>
      <c r="Y269" s="138"/>
      <c r="Z269" s="138"/>
    </row>
    <row r="270" spans="1:26" ht="18" customHeight="1">
      <c r="A270" s="250"/>
      <c r="B270" s="138"/>
      <c r="C270" s="138"/>
      <c r="D270" s="138"/>
      <c r="E270" s="138"/>
      <c r="F270" s="138"/>
      <c r="G270" s="138"/>
      <c r="H270" s="138"/>
      <c r="I270" s="138"/>
      <c r="J270" s="138"/>
      <c r="K270" s="138"/>
      <c r="L270" s="138"/>
      <c r="M270" s="138"/>
      <c r="N270" s="138"/>
      <c r="O270" s="138"/>
      <c r="P270" s="138"/>
      <c r="Q270" s="138"/>
      <c r="R270" s="138"/>
      <c r="S270" s="138"/>
      <c r="T270" s="138"/>
      <c r="U270" s="138"/>
      <c r="V270" s="138"/>
      <c r="W270" s="138"/>
      <c r="X270" s="138"/>
      <c r="Y270" s="138"/>
      <c r="Z270" s="138"/>
    </row>
    <row r="271" spans="1:26" ht="18" customHeight="1">
      <c r="A271" s="250"/>
      <c r="B271" s="138"/>
      <c r="C271" s="138"/>
      <c r="D271" s="138"/>
      <c r="E271" s="138"/>
      <c r="F271" s="138"/>
      <c r="G271" s="138"/>
      <c r="H271" s="138"/>
      <c r="I271" s="138"/>
      <c r="J271" s="138"/>
      <c r="K271" s="138"/>
      <c r="L271" s="138"/>
      <c r="M271" s="138"/>
      <c r="N271" s="138"/>
      <c r="O271" s="138"/>
      <c r="P271" s="138"/>
      <c r="Q271" s="138"/>
      <c r="R271" s="138"/>
      <c r="S271" s="138"/>
      <c r="T271" s="138"/>
      <c r="U271" s="138"/>
      <c r="V271" s="138"/>
      <c r="W271" s="138"/>
      <c r="X271" s="138"/>
      <c r="Y271" s="138"/>
      <c r="Z271" s="138"/>
    </row>
    <row r="272" spans="1:26" ht="18" customHeight="1">
      <c r="A272" s="250"/>
      <c r="B272" s="138"/>
      <c r="C272" s="138"/>
      <c r="D272" s="138"/>
      <c r="E272" s="138"/>
      <c r="F272" s="138"/>
      <c r="G272" s="138"/>
      <c r="H272" s="138"/>
      <c r="I272" s="138"/>
      <c r="J272" s="138"/>
      <c r="K272" s="138"/>
      <c r="L272" s="138"/>
      <c r="M272" s="138"/>
      <c r="N272" s="138"/>
      <c r="O272" s="138"/>
      <c r="P272" s="138"/>
      <c r="Q272" s="138"/>
      <c r="R272" s="138"/>
      <c r="S272" s="138"/>
      <c r="T272" s="138"/>
      <c r="U272" s="138"/>
      <c r="V272" s="138"/>
      <c r="W272" s="138"/>
      <c r="X272" s="138"/>
      <c r="Y272" s="138"/>
      <c r="Z272" s="138"/>
    </row>
    <row r="273" spans="1:26" ht="18" customHeight="1">
      <c r="A273" s="250"/>
      <c r="B273" s="138"/>
      <c r="C273" s="138"/>
      <c r="D273" s="138"/>
      <c r="E273" s="138"/>
      <c r="F273" s="138"/>
      <c r="G273" s="138"/>
      <c r="H273" s="138"/>
      <c r="I273" s="138"/>
      <c r="J273" s="138"/>
      <c r="K273" s="138"/>
      <c r="L273" s="138"/>
      <c r="M273" s="138"/>
      <c r="N273" s="138"/>
      <c r="O273" s="138"/>
      <c r="P273" s="138"/>
      <c r="Q273" s="138"/>
      <c r="R273" s="138"/>
      <c r="S273" s="138"/>
      <c r="T273" s="138"/>
      <c r="U273" s="138"/>
      <c r="V273" s="138"/>
      <c r="W273" s="138"/>
      <c r="X273" s="138"/>
      <c r="Y273" s="138"/>
      <c r="Z273" s="138"/>
    </row>
    <row r="274" spans="1:26" ht="18" customHeight="1">
      <c r="A274" s="250"/>
      <c r="B274" s="138"/>
      <c r="C274" s="138"/>
      <c r="D274" s="138"/>
      <c r="E274" s="138"/>
      <c r="F274" s="138"/>
      <c r="G274" s="138"/>
      <c r="H274" s="138"/>
      <c r="I274" s="138"/>
      <c r="J274" s="138"/>
      <c r="K274" s="138"/>
      <c r="L274" s="138"/>
      <c r="M274" s="138"/>
      <c r="N274" s="138"/>
      <c r="O274" s="138"/>
      <c r="P274" s="138"/>
      <c r="Q274" s="138"/>
      <c r="R274" s="138"/>
      <c r="S274" s="138"/>
      <c r="T274" s="138"/>
      <c r="U274" s="138"/>
      <c r="V274" s="138"/>
      <c r="W274" s="138"/>
      <c r="X274" s="138"/>
      <c r="Y274" s="138"/>
      <c r="Z274" s="138"/>
    </row>
    <row r="275" spans="1:26" ht="18" customHeight="1">
      <c r="A275" s="250"/>
      <c r="B275" s="138"/>
      <c r="C275" s="138"/>
      <c r="D275" s="138"/>
      <c r="E275" s="138"/>
      <c r="F275" s="138"/>
      <c r="G275" s="138"/>
      <c r="H275" s="138"/>
      <c r="I275" s="138"/>
      <c r="J275" s="138"/>
      <c r="K275" s="138"/>
      <c r="L275" s="138"/>
      <c r="M275" s="138"/>
      <c r="N275" s="138"/>
      <c r="O275" s="138"/>
      <c r="P275" s="138"/>
      <c r="Q275" s="138"/>
      <c r="R275" s="138"/>
      <c r="S275" s="138"/>
      <c r="T275" s="138"/>
      <c r="U275" s="138"/>
      <c r="V275" s="138"/>
      <c r="W275" s="138"/>
      <c r="X275" s="138"/>
      <c r="Y275" s="138"/>
      <c r="Z275" s="138"/>
    </row>
    <row r="276" spans="1:26" ht="18" customHeight="1">
      <c r="A276" s="250"/>
      <c r="B276" s="138"/>
      <c r="C276" s="138"/>
      <c r="D276" s="138"/>
      <c r="E276" s="138"/>
      <c r="F276" s="138"/>
      <c r="G276" s="138"/>
      <c r="H276" s="138"/>
      <c r="I276" s="138"/>
      <c r="J276" s="138"/>
      <c r="K276" s="138"/>
      <c r="L276" s="138"/>
      <c r="M276" s="138"/>
      <c r="N276" s="138"/>
      <c r="O276" s="138"/>
      <c r="P276" s="138"/>
      <c r="Q276" s="138"/>
      <c r="R276" s="138"/>
      <c r="S276" s="138"/>
      <c r="T276" s="138"/>
      <c r="U276" s="138"/>
      <c r="V276" s="138"/>
      <c r="W276" s="138"/>
      <c r="X276" s="138"/>
      <c r="Y276" s="138"/>
      <c r="Z276" s="138"/>
    </row>
    <row r="277" spans="1:26" ht="18" customHeight="1">
      <c r="A277" s="250"/>
      <c r="B277" s="138"/>
      <c r="C277" s="138"/>
      <c r="D277" s="138"/>
      <c r="E277" s="138"/>
      <c r="F277" s="138"/>
      <c r="G277" s="138"/>
      <c r="H277" s="138"/>
      <c r="I277" s="138"/>
      <c r="J277" s="138"/>
      <c r="K277" s="138"/>
      <c r="L277" s="138"/>
      <c r="M277" s="138"/>
      <c r="N277" s="138"/>
      <c r="O277" s="138"/>
      <c r="P277" s="138"/>
      <c r="Q277" s="138"/>
      <c r="R277" s="138"/>
      <c r="S277" s="138"/>
      <c r="T277" s="138"/>
      <c r="U277" s="138"/>
      <c r="V277" s="138"/>
      <c r="W277" s="138"/>
      <c r="X277" s="138"/>
      <c r="Y277" s="138"/>
      <c r="Z277" s="138"/>
    </row>
    <row r="278" spans="1:26" ht="18" customHeight="1">
      <c r="A278" s="250"/>
      <c r="B278" s="138"/>
      <c r="C278" s="138"/>
      <c r="D278" s="138"/>
      <c r="E278" s="138"/>
      <c r="F278" s="138"/>
      <c r="G278" s="138"/>
      <c r="H278" s="138"/>
      <c r="I278" s="138"/>
      <c r="J278" s="138"/>
      <c r="K278" s="138"/>
      <c r="L278" s="138"/>
      <c r="M278" s="138"/>
      <c r="N278" s="138"/>
      <c r="O278" s="138"/>
      <c r="P278" s="138"/>
      <c r="Q278" s="138"/>
      <c r="R278" s="138"/>
      <c r="S278" s="138"/>
      <c r="T278" s="138"/>
      <c r="U278" s="138"/>
      <c r="V278" s="138"/>
      <c r="W278" s="138"/>
      <c r="X278" s="138"/>
      <c r="Y278" s="138"/>
      <c r="Z278" s="138"/>
    </row>
    <row r="279" spans="1:26" ht="18" customHeight="1">
      <c r="A279" s="250"/>
      <c r="B279" s="138"/>
      <c r="C279" s="138"/>
      <c r="D279" s="138"/>
      <c r="E279" s="138"/>
      <c r="F279" s="138"/>
      <c r="G279" s="138"/>
      <c r="H279" s="138"/>
      <c r="I279" s="138"/>
      <c r="J279" s="138"/>
      <c r="K279" s="138"/>
      <c r="L279" s="138"/>
      <c r="M279" s="138"/>
      <c r="N279" s="138"/>
      <c r="O279" s="138"/>
      <c r="P279" s="138"/>
      <c r="Q279" s="138"/>
      <c r="R279" s="138"/>
      <c r="S279" s="138"/>
      <c r="T279" s="138"/>
      <c r="U279" s="138"/>
      <c r="V279" s="138"/>
      <c r="W279" s="138"/>
      <c r="X279" s="138"/>
      <c r="Y279" s="138"/>
      <c r="Z279" s="138"/>
    </row>
    <row r="280" spans="1:26" ht="18" customHeight="1">
      <c r="A280" s="250"/>
      <c r="B280" s="138"/>
      <c r="C280" s="138"/>
      <c r="D280" s="138"/>
      <c r="E280" s="138"/>
      <c r="F280" s="138"/>
      <c r="G280" s="138"/>
      <c r="H280" s="138"/>
      <c r="I280" s="138"/>
      <c r="J280" s="138"/>
      <c r="K280" s="138"/>
      <c r="L280" s="138"/>
      <c r="M280" s="138"/>
      <c r="N280" s="138"/>
      <c r="O280" s="138"/>
      <c r="P280" s="138"/>
      <c r="Q280" s="138"/>
      <c r="R280" s="138"/>
      <c r="S280" s="138"/>
      <c r="T280" s="138"/>
      <c r="U280" s="138"/>
      <c r="V280" s="138"/>
      <c r="W280" s="138"/>
      <c r="X280" s="138"/>
      <c r="Y280" s="138"/>
      <c r="Z280" s="138"/>
    </row>
    <row r="281" spans="1:26" ht="18" customHeight="1">
      <c r="A281" s="250"/>
      <c r="B281" s="138"/>
      <c r="C281" s="138"/>
      <c r="D281" s="138"/>
      <c r="E281" s="138"/>
      <c r="F281" s="138"/>
      <c r="G281" s="138"/>
      <c r="H281" s="138"/>
      <c r="I281" s="138"/>
      <c r="J281" s="138"/>
      <c r="K281" s="138"/>
      <c r="L281" s="138"/>
      <c r="M281" s="138"/>
      <c r="N281" s="138"/>
      <c r="O281" s="138"/>
      <c r="P281" s="138"/>
      <c r="Q281" s="138"/>
      <c r="R281" s="138"/>
      <c r="S281" s="138"/>
      <c r="T281" s="138"/>
      <c r="U281" s="138"/>
      <c r="V281" s="138"/>
      <c r="W281" s="138"/>
      <c r="X281" s="138"/>
      <c r="Y281" s="138"/>
      <c r="Z281" s="138"/>
    </row>
    <row r="282" spans="1:26" ht="18" customHeight="1">
      <c r="A282" s="250"/>
      <c r="B282" s="138"/>
      <c r="C282" s="138"/>
      <c r="D282" s="138"/>
      <c r="E282" s="138"/>
      <c r="F282" s="138"/>
      <c r="G282" s="138"/>
      <c r="H282" s="138"/>
      <c r="I282" s="138"/>
      <c r="J282" s="138"/>
      <c r="K282" s="138"/>
      <c r="L282" s="138"/>
      <c r="M282" s="138"/>
      <c r="N282" s="138"/>
      <c r="O282" s="138"/>
      <c r="P282" s="138"/>
      <c r="Q282" s="138"/>
      <c r="R282" s="138"/>
      <c r="S282" s="138"/>
      <c r="T282" s="138"/>
      <c r="U282" s="138"/>
      <c r="V282" s="138"/>
      <c r="W282" s="138"/>
      <c r="X282" s="138"/>
      <c r="Y282" s="138"/>
      <c r="Z282" s="138"/>
    </row>
    <row r="283" spans="1:26" ht="18" customHeight="1">
      <c r="A283" s="250"/>
      <c r="B283" s="138"/>
      <c r="C283" s="138"/>
      <c r="D283" s="138"/>
      <c r="E283" s="138"/>
      <c r="F283" s="138"/>
      <c r="G283" s="138"/>
      <c r="H283" s="138"/>
      <c r="I283" s="138"/>
      <c r="J283" s="138"/>
      <c r="K283" s="138"/>
      <c r="L283" s="138"/>
      <c r="M283" s="138"/>
      <c r="N283" s="138"/>
      <c r="O283" s="138"/>
      <c r="P283" s="138"/>
      <c r="Q283" s="138"/>
      <c r="R283" s="138"/>
      <c r="S283" s="138"/>
      <c r="T283" s="138"/>
      <c r="U283" s="138"/>
      <c r="V283" s="138"/>
      <c r="W283" s="138"/>
      <c r="X283" s="138"/>
      <c r="Y283" s="138"/>
      <c r="Z283" s="138"/>
    </row>
    <row r="284" spans="1:26" ht="18" customHeight="1">
      <c r="A284" s="250"/>
      <c r="B284" s="138"/>
      <c r="C284" s="138"/>
      <c r="D284" s="138"/>
      <c r="E284" s="138"/>
      <c r="F284" s="138"/>
      <c r="G284" s="138"/>
      <c r="H284" s="138"/>
      <c r="I284" s="138"/>
      <c r="J284" s="138"/>
      <c r="K284" s="138"/>
      <c r="L284" s="138"/>
      <c r="M284" s="138"/>
      <c r="N284" s="138"/>
      <c r="O284" s="138"/>
      <c r="P284" s="138"/>
      <c r="Q284" s="138"/>
      <c r="R284" s="138"/>
      <c r="S284" s="138"/>
      <c r="T284" s="138"/>
      <c r="U284" s="138"/>
      <c r="V284" s="138"/>
      <c r="W284" s="138"/>
      <c r="X284" s="138"/>
      <c r="Y284" s="138"/>
      <c r="Z284" s="138"/>
    </row>
    <row r="285" spans="1:26" ht="18" customHeight="1">
      <c r="A285" s="250"/>
      <c r="B285" s="138"/>
      <c r="C285" s="138"/>
      <c r="D285" s="138"/>
      <c r="E285" s="138"/>
      <c r="F285" s="138"/>
      <c r="G285" s="138"/>
      <c r="H285" s="138"/>
      <c r="I285" s="138"/>
      <c r="J285" s="138"/>
      <c r="K285" s="138"/>
      <c r="L285" s="138"/>
      <c r="M285" s="138"/>
      <c r="N285" s="138"/>
      <c r="O285" s="138"/>
      <c r="P285" s="138"/>
      <c r="Q285" s="138"/>
      <c r="R285" s="138"/>
      <c r="S285" s="138"/>
      <c r="T285" s="138"/>
      <c r="U285" s="138"/>
      <c r="V285" s="138"/>
      <c r="W285" s="138"/>
      <c r="X285" s="138"/>
      <c r="Y285" s="138"/>
      <c r="Z285" s="138"/>
    </row>
    <row r="286" spans="1:26" ht="18" customHeight="1">
      <c r="A286" s="250"/>
      <c r="B286" s="138"/>
      <c r="C286" s="138"/>
      <c r="D286" s="138"/>
      <c r="E286" s="138"/>
      <c r="F286" s="138"/>
      <c r="G286" s="138"/>
      <c r="H286" s="138"/>
      <c r="I286" s="138"/>
      <c r="J286" s="138"/>
      <c r="K286" s="138"/>
      <c r="L286" s="138"/>
      <c r="M286" s="138"/>
      <c r="N286" s="138"/>
      <c r="O286" s="138"/>
      <c r="P286" s="138"/>
      <c r="Q286" s="138"/>
      <c r="R286" s="138"/>
      <c r="S286" s="138"/>
      <c r="T286" s="138"/>
      <c r="U286" s="138"/>
      <c r="V286" s="138"/>
      <c r="W286" s="138"/>
      <c r="X286" s="138"/>
      <c r="Y286" s="138"/>
      <c r="Z286" s="138"/>
    </row>
    <row r="287" spans="1:26" ht="18" customHeight="1">
      <c r="A287" s="250"/>
      <c r="B287" s="138"/>
      <c r="C287" s="138"/>
      <c r="D287" s="138"/>
      <c r="E287" s="138"/>
      <c r="F287" s="138"/>
      <c r="G287" s="138"/>
      <c r="H287" s="138"/>
      <c r="I287" s="138"/>
      <c r="J287" s="138"/>
      <c r="K287" s="138"/>
      <c r="L287" s="138"/>
      <c r="M287" s="138"/>
      <c r="N287" s="138"/>
      <c r="O287" s="138"/>
      <c r="P287" s="138"/>
      <c r="Q287" s="138"/>
      <c r="R287" s="138"/>
      <c r="S287" s="138"/>
      <c r="T287" s="138"/>
      <c r="U287" s="138"/>
      <c r="V287" s="138"/>
      <c r="W287" s="138"/>
      <c r="X287" s="138"/>
      <c r="Y287" s="138"/>
      <c r="Z287" s="138"/>
    </row>
    <row r="288" spans="1:26" ht="18" customHeight="1">
      <c r="A288" s="250"/>
      <c r="B288" s="138"/>
      <c r="C288" s="138"/>
      <c r="D288" s="138"/>
      <c r="E288" s="138"/>
      <c r="F288" s="138"/>
      <c r="G288" s="138"/>
      <c r="H288" s="138"/>
      <c r="I288" s="138"/>
      <c r="J288" s="138"/>
      <c r="K288" s="138"/>
      <c r="L288" s="138"/>
      <c r="M288" s="138"/>
      <c r="N288" s="138"/>
      <c r="O288" s="138"/>
      <c r="P288" s="138"/>
      <c r="Q288" s="138"/>
      <c r="R288" s="138"/>
      <c r="S288" s="138"/>
      <c r="T288" s="138"/>
      <c r="U288" s="138"/>
      <c r="V288" s="138"/>
      <c r="W288" s="138"/>
      <c r="X288" s="138"/>
      <c r="Y288" s="138"/>
      <c r="Z288" s="138"/>
    </row>
    <row r="289" spans="1:26" ht="18" customHeight="1">
      <c r="A289" s="250"/>
      <c r="B289" s="138"/>
      <c r="C289" s="138"/>
      <c r="D289" s="138"/>
      <c r="E289" s="138"/>
      <c r="F289" s="138"/>
      <c r="G289" s="138"/>
      <c r="H289" s="138"/>
      <c r="I289" s="138"/>
      <c r="J289" s="138"/>
      <c r="K289" s="138"/>
      <c r="L289" s="138"/>
      <c r="M289" s="138"/>
      <c r="N289" s="138"/>
      <c r="O289" s="138"/>
      <c r="P289" s="138"/>
      <c r="Q289" s="138"/>
      <c r="R289" s="138"/>
      <c r="S289" s="138"/>
      <c r="T289" s="138"/>
      <c r="U289" s="138"/>
      <c r="V289" s="138"/>
      <c r="W289" s="138"/>
      <c r="X289" s="138"/>
      <c r="Y289" s="138"/>
      <c r="Z289" s="138"/>
    </row>
    <row r="290" spans="1:26" ht="18" customHeight="1">
      <c r="A290" s="250"/>
      <c r="B290" s="138"/>
      <c r="C290" s="138"/>
      <c r="D290" s="138"/>
      <c r="E290" s="138"/>
      <c r="F290" s="138"/>
      <c r="G290" s="138"/>
      <c r="H290" s="138"/>
      <c r="I290" s="138"/>
      <c r="J290" s="138"/>
      <c r="K290" s="138"/>
      <c r="L290" s="138"/>
      <c r="M290" s="138"/>
      <c r="N290" s="138"/>
      <c r="O290" s="138"/>
      <c r="P290" s="138"/>
      <c r="Q290" s="138"/>
      <c r="R290" s="138"/>
      <c r="S290" s="138"/>
      <c r="T290" s="138"/>
      <c r="U290" s="138"/>
      <c r="V290" s="138"/>
      <c r="W290" s="138"/>
      <c r="X290" s="138"/>
      <c r="Y290" s="138"/>
      <c r="Z290" s="138"/>
    </row>
    <row r="291" spans="1:26" ht="18" customHeight="1">
      <c r="A291" s="250"/>
      <c r="B291" s="138"/>
      <c r="C291" s="138"/>
      <c r="D291" s="138"/>
      <c r="E291" s="138"/>
      <c r="F291" s="138"/>
      <c r="G291" s="138"/>
      <c r="H291" s="138"/>
      <c r="I291" s="138"/>
      <c r="J291" s="138"/>
      <c r="K291" s="138"/>
      <c r="L291" s="138"/>
      <c r="M291" s="138"/>
      <c r="N291" s="138"/>
      <c r="O291" s="138"/>
      <c r="P291" s="138"/>
      <c r="Q291" s="138"/>
      <c r="R291" s="138"/>
      <c r="S291" s="138"/>
      <c r="T291" s="138"/>
      <c r="U291" s="138"/>
      <c r="V291" s="138"/>
      <c r="W291" s="138"/>
      <c r="X291" s="138"/>
      <c r="Y291" s="138"/>
      <c r="Z291" s="138"/>
    </row>
    <row r="292" spans="1:26" ht="18" customHeight="1">
      <c r="A292" s="250"/>
      <c r="B292" s="138"/>
      <c r="C292" s="138"/>
      <c r="D292" s="138"/>
      <c r="E292" s="138"/>
      <c r="F292" s="138"/>
      <c r="G292" s="138"/>
      <c r="H292" s="138"/>
      <c r="I292" s="138"/>
      <c r="J292" s="138"/>
      <c r="K292" s="138"/>
      <c r="L292" s="138"/>
      <c r="M292" s="138"/>
      <c r="N292" s="138"/>
      <c r="O292" s="138"/>
      <c r="P292" s="138"/>
      <c r="Q292" s="138"/>
      <c r="R292" s="138"/>
      <c r="S292" s="138"/>
      <c r="T292" s="138"/>
      <c r="U292" s="138"/>
      <c r="V292" s="138"/>
      <c r="W292" s="138"/>
      <c r="X292" s="138"/>
      <c r="Y292" s="138"/>
      <c r="Z292" s="138"/>
    </row>
    <row r="293" spans="1:26" ht="18" customHeight="1">
      <c r="A293" s="250"/>
      <c r="B293" s="138"/>
      <c r="C293" s="138"/>
      <c r="D293" s="138"/>
      <c r="E293" s="138"/>
      <c r="F293" s="138"/>
      <c r="G293" s="138"/>
      <c r="H293" s="138"/>
      <c r="I293" s="138"/>
      <c r="J293" s="138"/>
      <c r="K293" s="138"/>
      <c r="L293" s="138"/>
      <c r="M293" s="138"/>
      <c r="N293" s="138"/>
      <c r="O293" s="138"/>
      <c r="P293" s="138"/>
      <c r="Q293" s="138"/>
      <c r="R293" s="138"/>
      <c r="S293" s="138"/>
      <c r="T293" s="138"/>
      <c r="U293" s="138"/>
      <c r="V293" s="138"/>
      <c r="W293" s="138"/>
      <c r="X293" s="138"/>
      <c r="Y293" s="138"/>
      <c r="Z293" s="138"/>
    </row>
    <row r="294" spans="1:26" ht="18" customHeight="1">
      <c r="A294" s="250"/>
      <c r="B294" s="138"/>
      <c r="C294" s="138"/>
      <c r="D294" s="138"/>
      <c r="E294" s="138"/>
      <c r="F294" s="138"/>
      <c r="G294" s="138"/>
      <c r="H294" s="138"/>
      <c r="I294" s="138"/>
      <c r="J294" s="138"/>
      <c r="K294" s="138"/>
      <c r="L294" s="138"/>
      <c r="M294" s="138"/>
      <c r="N294" s="138"/>
      <c r="O294" s="138"/>
      <c r="P294" s="138"/>
      <c r="Q294" s="138"/>
      <c r="R294" s="138"/>
      <c r="S294" s="138"/>
      <c r="T294" s="138"/>
      <c r="U294" s="138"/>
      <c r="V294" s="138"/>
      <c r="W294" s="138"/>
      <c r="X294" s="138"/>
      <c r="Y294" s="138"/>
      <c r="Z294" s="138"/>
    </row>
    <row r="295" spans="1:26" ht="18" customHeight="1">
      <c r="A295" s="250"/>
      <c r="B295" s="138"/>
      <c r="C295" s="138"/>
      <c r="D295" s="138"/>
      <c r="E295" s="138"/>
      <c r="F295" s="138"/>
      <c r="G295" s="138"/>
      <c r="H295" s="138"/>
      <c r="I295" s="138"/>
      <c r="J295" s="138"/>
      <c r="K295" s="138"/>
      <c r="L295" s="138"/>
      <c r="M295" s="138"/>
      <c r="N295" s="138"/>
      <c r="O295" s="138"/>
      <c r="P295" s="138"/>
      <c r="Q295" s="138"/>
      <c r="R295" s="138"/>
      <c r="S295" s="138"/>
      <c r="T295" s="138"/>
      <c r="U295" s="138"/>
      <c r="V295" s="138"/>
      <c r="W295" s="138"/>
      <c r="X295" s="138"/>
      <c r="Y295" s="138"/>
      <c r="Z295" s="138"/>
    </row>
    <row r="296" spans="1:26" ht="18" customHeight="1">
      <c r="A296" s="250"/>
      <c r="B296" s="138"/>
      <c r="C296" s="138"/>
      <c r="D296" s="138"/>
      <c r="E296" s="138"/>
      <c r="F296" s="138"/>
      <c r="G296" s="138"/>
      <c r="H296" s="138"/>
      <c r="I296" s="138"/>
      <c r="J296" s="138"/>
      <c r="K296" s="138"/>
      <c r="L296" s="138"/>
      <c r="M296" s="138"/>
      <c r="N296" s="138"/>
      <c r="O296" s="138"/>
      <c r="P296" s="138"/>
      <c r="Q296" s="138"/>
      <c r="R296" s="138"/>
      <c r="S296" s="138"/>
      <c r="T296" s="138"/>
      <c r="U296" s="138"/>
      <c r="V296" s="138"/>
      <c r="W296" s="138"/>
      <c r="X296" s="138"/>
      <c r="Y296" s="138"/>
      <c r="Z296" s="138"/>
    </row>
    <row r="297" spans="1:26" ht="18" customHeight="1">
      <c r="A297" s="250"/>
      <c r="B297" s="138"/>
      <c r="C297" s="138"/>
      <c r="D297" s="138"/>
      <c r="E297" s="138"/>
      <c r="F297" s="138"/>
      <c r="G297" s="138"/>
      <c r="H297" s="138"/>
      <c r="I297" s="138"/>
      <c r="J297" s="138"/>
      <c r="K297" s="138"/>
      <c r="L297" s="138"/>
      <c r="M297" s="138"/>
      <c r="N297" s="138"/>
      <c r="O297" s="138"/>
      <c r="P297" s="138"/>
      <c r="Q297" s="138"/>
      <c r="R297" s="138"/>
      <c r="S297" s="138"/>
      <c r="T297" s="138"/>
      <c r="U297" s="138"/>
      <c r="V297" s="138"/>
      <c r="W297" s="138"/>
      <c r="X297" s="138"/>
      <c r="Y297" s="138"/>
      <c r="Z297" s="138"/>
    </row>
    <row r="298" spans="1:26" ht="18" customHeight="1">
      <c r="A298" s="250"/>
      <c r="B298" s="138"/>
      <c r="C298" s="138"/>
      <c r="D298" s="138"/>
      <c r="E298" s="138"/>
      <c r="F298" s="138"/>
      <c r="G298" s="138"/>
      <c r="H298" s="138"/>
      <c r="I298" s="138"/>
      <c r="J298" s="138"/>
      <c r="K298" s="138"/>
      <c r="L298" s="138"/>
      <c r="M298" s="138"/>
      <c r="N298" s="138"/>
      <c r="O298" s="138"/>
      <c r="P298" s="138"/>
      <c r="Q298" s="138"/>
      <c r="R298" s="138"/>
      <c r="S298" s="138"/>
      <c r="T298" s="138"/>
      <c r="U298" s="138"/>
      <c r="V298" s="138"/>
      <c r="W298" s="138"/>
      <c r="X298" s="138"/>
      <c r="Y298" s="138"/>
      <c r="Z298" s="138"/>
    </row>
    <row r="299" spans="1:26" ht="18" customHeight="1">
      <c r="A299" s="250"/>
      <c r="B299" s="138"/>
      <c r="C299" s="138"/>
      <c r="D299" s="138"/>
      <c r="E299" s="138"/>
      <c r="F299" s="138"/>
      <c r="G299" s="138"/>
      <c r="H299" s="138"/>
      <c r="I299" s="138"/>
      <c r="J299" s="138"/>
      <c r="K299" s="138"/>
      <c r="L299" s="138"/>
      <c r="M299" s="138"/>
      <c r="N299" s="138"/>
      <c r="O299" s="138"/>
      <c r="P299" s="138"/>
      <c r="Q299" s="138"/>
      <c r="R299" s="138"/>
      <c r="S299" s="138"/>
      <c r="T299" s="138"/>
      <c r="U299" s="138"/>
      <c r="V299" s="138"/>
      <c r="W299" s="138"/>
      <c r="X299" s="138"/>
      <c r="Y299" s="138"/>
      <c r="Z299" s="138"/>
    </row>
    <row r="300" spans="1:26" ht="18" customHeight="1">
      <c r="A300" s="250"/>
      <c r="B300" s="138"/>
      <c r="C300" s="138"/>
      <c r="D300" s="138"/>
      <c r="E300" s="138"/>
      <c r="F300" s="138"/>
      <c r="G300" s="138"/>
      <c r="H300" s="138"/>
      <c r="I300" s="138"/>
      <c r="J300" s="138"/>
      <c r="K300" s="138"/>
      <c r="L300" s="138"/>
      <c r="M300" s="138"/>
      <c r="N300" s="138"/>
      <c r="O300" s="138"/>
      <c r="P300" s="138"/>
      <c r="Q300" s="138"/>
      <c r="R300" s="138"/>
      <c r="S300" s="138"/>
      <c r="T300" s="138"/>
      <c r="U300" s="138"/>
      <c r="V300" s="138"/>
      <c r="W300" s="138"/>
      <c r="X300" s="138"/>
      <c r="Y300" s="138"/>
      <c r="Z300" s="138"/>
    </row>
    <row r="375" spans="1:1">
      <c r="A375" s="96"/>
    </row>
    <row r="376" spans="1:1">
      <c r="A376" s="96"/>
    </row>
    <row r="377" spans="1:1">
      <c r="A377" s="96"/>
    </row>
    <row r="378" spans="1:1">
      <c r="A378" s="96"/>
    </row>
    <row r="379" spans="1:1">
      <c r="A379" s="96"/>
    </row>
    <row r="380" spans="1:1">
      <c r="A380" s="96"/>
    </row>
    <row r="381" spans="1:1">
      <c r="A381" s="96"/>
    </row>
    <row r="382" spans="1:1">
      <c r="A382" s="96"/>
    </row>
    <row r="383" spans="1:1">
      <c r="A383" s="96"/>
    </row>
    <row r="384" spans="1:1">
      <c r="A384" s="96"/>
    </row>
    <row r="385" spans="1:1">
      <c r="A385" s="96"/>
    </row>
    <row r="386" spans="1:1">
      <c r="A386" s="96"/>
    </row>
    <row r="387" spans="1:1">
      <c r="A387" s="96"/>
    </row>
    <row r="388" spans="1:1">
      <c r="A388" s="96"/>
    </row>
    <row r="389" spans="1:1">
      <c r="A389" s="96"/>
    </row>
    <row r="390" spans="1:1">
      <c r="A390" s="96"/>
    </row>
    <row r="391" spans="1:1">
      <c r="A391" s="96"/>
    </row>
    <row r="392" spans="1:1">
      <c r="A392" s="96"/>
    </row>
    <row r="393" spans="1:1">
      <c r="A393" s="96"/>
    </row>
    <row r="394" spans="1:1">
      <c r="A394" s="96"/>
    </row>
    <row r="395" spans="1:1">
      <c r="A395" s="96"/>
    </row>
    <row r="396" spans="1:1">
      <c r="A396" s="96"/>
    </row>
    <row r="397" spans="1:1">
      <c r="A397" s="96"/>
    </row>
    <row r="398" spans="1:1">
      <c r="A398" s="96"/>
    </row>
    <row r="399" spans="1:1">
      <c r="A399" s="96"/>
    </row>
    <row r="400" spans="1:1">
      <c r="A400" s="96"/>
    </row>
    <row r="401" spans="1:1">
      <c r="A401" s="96"/>
    </row>
    <row r="402" spans="1:1">
      <c r="A402" s="96"/>
    </row>
    <row r="403" spans="1:1">
      <c r="A403" s="96"/>
    </row>
    <row r="404" spans="1:1">
      <c r="A404" s="96"/>
    </row>
    <row r="405" spans="1:1">
      <c r="A405" s="96"/>
    </row>
    <row r="406" spans="1:1">
      <c r="A406" s="96"/>
    </row>
    <row r="407" spans="1:1">
      <c r="A407" s="96"/>
    </row>
    <row r="408" spans="1:1">
      <c r="A408" s="96"/>
    </row>
    <row r="409" spans="1:1">
      <c r="A409" s="96"/>
    </row>
    <row r="410" spans="1:1">
      <c r="A410" s="96"/>
    </row>
    <row r="411" spans="1:1">
      <c r="A411" s="96"/>
    </row>
    <row r="412" spans="1:1">
      <c r="A412" s="96"/>
    </row>
    <row r="413" spans="1:1">
      <c r="A413" s="96"/>
    </row>
    <row r="414" spans="1:1">
      <c r="A414" s="96"/>
    </row>
    <row r="415" spans="1:1">
      <c r="A415" s="96"/>
    </row>
    <row r="416" spans="1:1">
      <c r="A416" s="96"/>
    </row>
  </sheetData>
  <sheetProtection algorithmName="SHA-512" hashValue="GA8Kw4SK7c2/mSjdbE4kq75wTgKe7nirXRNk4LK6PI47rsHSrMLtO/jjWSD+ZnQSU+CNiUkGAqdy3FRP6lJBUw==" saltValue="YjKNp5/QKGKlzBwnmbR/uA==" spinCount="100000" sheet="1" objects="1" scenarios="1"/>
  <mergeCells count="2">
    <mergeCell ref="B2:I2"/>
    <mergeCell ref="C14:H14"/>
  </mergeCells>
  <conditionalFormatting sqref="H9:H13">
    <cfRule type="cellIs" dxfId="3" priority="1" operator="lessThan">
      <formula>0</formula>
    </cfRule>
  </conditionalFormatting>
  <conditionalFormatting sqref="H15">
    <cfRule type="cellIs" dxfId="2" priority="4" operator="lessThan">
      <formula>0</formula>
    </cfRule>
  </conditionalFormatting>
  <conditionalFormatting sqref="H25 C26:H26">
    <cfRule type="expression" dxfId="1" priority="142">
      <formula>$D$5="BD+C Core and Shell (CS)"</formula>
    </cfRule>
  </conditionalFormatting>
  <conditionalFormatting sqref="H26">
    <cfRule type="expression" dxfId="0" priority="144">
      <formula>$D$5="ID+C"</formula>
    </cfRule>
  </conditionalFormatting>
  <dataValidations count="1">
    <dataValidation allowBlank="1" sqref="C52:G56 B28:G51 I28:I51 F16:H17 F18:G27 D5 F7:H7 F8:G9 C16:E27 C7:E9 H9 B57:G1048576 C15:H15 H19:H1048576 C10:H13" xr:uid="{BCAEA7B9-18F6-4830-9F87-44191319D465}"/>
  </dataValidation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1FF25DD9E404D47B4D42F6BE6E7B1CE" ma:contentTypeVersion="19" ma:contentTypeDescription="Create a new document." ma:contentTypeScope="" ma:versionID="844abc4e8401c1450a9aa475f60ba8c4">
  <xsd:schema xmlns:xsd="http://www.w3.org/2001/XMLSchema" xmlns:xs="http://www.w3.org/2001/XMLSchema" xmlns:p="http://schemas.microsoft.com/office/2006/metadata/properties" xmlns:ns2="5ff4af7e-cfd7-415a-baed-ead09a9487b3" xmlns:ns3="ff5b7889-32f6-4f7a-ad46-d91d7f417e7c" targetNamespace="http://schemas.microsoft.com/office/2006/metadata/properties" ma:root="true" ma:fieldsID="24de2162e127409559ea9d392cb77ab2" ns2:_="" ns3:_="">
    <xsd:import namespace="5ff4af7e-cfd7-415a-baed-ead09a9487b3"/>
    <xsd:import namespace="ff5b7889-32f6-4f7a-ad46-d91d7f417e7c"/>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ff4af7e-cfd7-415a-baed-ead09a9487b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971b379c-1df0-4d09-9e1f-75e90cd1f60b"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f5b7889-32f6-4f7a-ad46-d91d7f417e7c"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d3fcc327-06d5-4d54-8212-b6b5f17e5e28}" ma:internalName="TaxCatchAll" ma:showField="CatchAllData" ma:web="ff5b7889-32f6-4f7a-ad46-d91d7f417e7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ff5b7889-32f6-4f7a-ad46-d91d7f417e7c" xsi:nil="true"/>
    <lcf76f155ced4ddcb4097134ff3c332f xmlns="5ff4af7e-cfd7-415a-baed-ead09a9487b3">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3E68553B-87F2-4E1A-9722-BC1C57304A8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ff4af7e-cfd7-415a-baed-ead09a9487b3"/>
    <ds:schemaRef ds:uri="ff5b7889-32f6-4f7a-ad46-d91d7f417e7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A2FAE8F-5A26-440A-BDAA-51968BF60BA4}">
  <ds:schemaRefs>
    <ds:schemaRef ds:uri="http://schemas.microsoft.com/sharepoint/v3/contenttype/forms"/>
  </ds:schemaRefs>
</ds:datastoreItem>
</file>

<file path=customXml/itemProps3.xml><?xml version="1.0" encoding="utf-8"?>
<ds:datastoreItem xmlns:ds="http://schemas.openxmlformats.org/officeDocument/2006/customXml" ds:itemID="{8B02C8C1-004E-4E9B-B462-894FD9E92E33}">
  <ds:schemaRefs>
    <ds:schemaRef ds:uri="http://purl.org/dc/dcmitype/"/>
    <ds:schemaRef ds:uri="http://purl.org/dc/elements/1.1/"/>
    <ds:schemaRef ds:uri="http://www.w3.org/XML/1998/namespace"/>
    <ds:schemaRef ds:uri="f6de9568-614d-4f6d-90f4-ce1bf79edf3e"/>
    <ds:schemaRef ds:uri="78762aea-3521-4cb4-8249-54cadcbfb64d"/>
    <ds:schemaRef ds:uri="http://purl.org/dc/terms/"/>
    <ds:schemaRef ds:uri="http://schemas.microsoft.com/office/2006/documentManagement/types"/>
    <ds:schemaRef ds:uri="http://schemas.microsoft.com/office/infopath/2007/PartnerControls"/>
    <ds:schemaRef ds:uri="http://schemas.openxmlformats.org/package/2006/metadata/core-properties"/>
    <ds:schemaRef ds:uri="http://schemas.microsoft.com/office/2006/metadata/properties"/>
    <ds:schemaRef ds:uri="ff5b7889-32f6-4f7a-ad46-d91d7f417e7c"/>
    <ds:schemaRef ds:uri="5ff4af7e-cfd7-415a-baed-ead09a9487b3"/>
  </ds:schemaRefs>
</ds:datastoreItem>
</file>

<file path=docMetadata/LabelInfo.xml><?xml version="1.0" encoding="utf-8"?>
<clbl:labelList xmlns:clbl="http://schemas.microsoft.com/office/2020/mipLabelMetadata">
  <clbl:label id="{59096ad9-8b60-446a-90b7-017dbb9421a3}" enabled="1" method="Standard" siteId="{3d234255-e20f-4205-88a5-9658a402999b}" removed="0"/>
  <clbl:label id="{6473bd35-a793-4476-b755-d10c6831b239}" enabled="0" method="" siteId="{6473bd35-a793-4476-b755-d10c6831b239}"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168</vt:i4>
      </vt:variant>
    </vt:vector>
  </HeadingPairs>
  <TitlesOfParts>
    <vt:vector size="175" baseType="lpstr">
      <vt:lpstr>Revision History</vt:lpstr>
      <vt:lpstr>Internal Style Guide</vt:lpstr>
      <vt:lpstr>Instructions</vt:lpstr>
      <vt:lpstr>Inputs Whole-Project Water Use</vt:lpstr>
      <vt:lpstr>Logic</vt:lpstr>
      <vt:lpstr>Database</vt:lpstr>
      <vt:lpstr>Summary</vt:lpstr>
      <vt:lpstr>data_dumip</vt:lpstr>
      <vt:lpstr>data_dumipother</vt:lpstr>
      <vt:lpstr>data_dumsi</vt:lpstr>
      <vt:lpstr>data_dumsiother</vt:lpstr>
      <vt:lpstr>data_genaw</vt:lpstr>
      <vt:lpstr>data_genct</vt:lpstr>
      <vt:lpstr>data_genpt</vt:lpstr>
      <vt:lpstr>data_genunits</vt:lpstr>
      <vt:lpstr>data_genunitsval</vt:lpstr>
      <vt:lpstr>data_genunitsvol</vt:lpstr>
      <vt:lpstr>data_pntsnmbdccs</vt:lpstr>
      <vt:lpstr>data_pntsnmbdccsdrp</vt:lpstr>
      <vt:lpstr>data_pntsnmbdcnc</vt:lpstr>
      <vt:lpstr>data_pntsnmbdcncdrp</vt:lpstr>
      <vt:lpstr>data_pntsnmidc</vt:lpstr>
      <vt:lpstr>data_pntsnmidcdrp</vt:lpstr>
      <vt:lpstr>data_ptsdrp</vt:lpstr>
      <vt:lpstr>data_ptslkaw</vt:lpstr>
      <vt:lpstr>data_ptslkpnts</vt:lpstr>
      <vt:lpstr>data_ptslkpr</vt:lpstr>
      <vt:lpstr>data_ptslkpt</vt:lpstr>
      <vt:lpstr>data_ptspr</vt:lpstr>
      <vt:lpstr>data_wateruseapp</vt:lpstr>
      <vt:lpstr>data_waterusehvac</vt:lpstr>
      <vt:lpstr>data_waterusekitch</vt:lpstr>
      <vt:lpstr>data_wateruselabmed</vt:lpstr>
      <vt:lpstr>data_waterusetypes</vt:lpstr>
      <vt:lpstr>data_wurip</vt:lpstr>
      <vt:lpstr>data_wuripother</vt:lpstr>
      <vt:lpstr>data_wursi</vt:lpstr>
      <vt:lpstr>data_wursiother</vt:lpstr>
      <vt:lpstr>inputs_appawu</vt:lpstr>
      <vt:lpstr>inputs_appdumv</vt:lpstr>
      <vt:lpstr>inputs_appiid</vt:lpstr>
      <vt:lpstr>inputs_appiqty</vt:lpstr>
      <vt:lpstr>inputs_appiwut</vt:lpstr>
      <vt:lpstr>inputs_appno</vt:lpstr>
      <vt:lpstr>inputs_apppiado</vt:lpstr>
      <vt:lpstr>inputs_apppicpd</vt:lpstr>
      <vt:lpstr>inputs_apptotas</vt:lpstr>
      <vt:lpstr>inputs_appwurb</vt:lpstr>
      <vt:lpstr>inputs_appwurd</vt:lpstr>
      <vt:lpstr>inputs_bdffwub</vt:lpstr>
      <vt:lpstr>inputs_bdffwud</vt:lpstr>
      <vt:lpstr>inputs_bdffwuwa</vt:lpstr>
      <vt:lpstr>inputs_bdoutwub</vt:lpstr>
      <vt:lpstr>inputs_bdoutwud</vt:lpstr>
      <vt:lpstr>inputs_bdoutwuwa</vt:lpstr>
      <vt:lpstr>inputs_hvacno</vt:lpstr>
      <vt:lpstr>inputs_kitchiid</vt:lpstr>
      <vt:lpstr>inputs_kitchiqty</vt:lpstr>
      <vt:lpstr>inputs_kitchium</vt:lpstr>
      <vt:lpstr>inputs_kitchiwut</vt:lpstr>
      <vt:lpstr>inputs_kitchno</vt:lpstr>
      <vt:lpstr>inputs_kitchtotas</vt:lpstr>
      <vt:lpstr>inputs_kitchtotb</vt:lpstr>
      <vt:lpstr>inputs_kitchtots</vt:lpstr>
      <vt:lpstr>inputs_kitchwuau</vt:lpstr>
      <vt:lpstr>inputs_kitchwub</vt:lpstr>
      <vt:lpstr>inputs_kitchwud</vt:lpstr>
      <vt:lpstr>inputs_lbmdiid</vt:lpstr>
      <vt:lpstr>inputs_lbmdiqty</vt:lpstr>
      <vt:lpstr>inputs_lbmdium</vt:lpstr>
      <vt:lpstr>inputs_lbmdiwut</vt:lpstr>
      <vt:lpstr>inputs_lbmdno</vt:lpstr>
      <vt:lpstr>inputs_lbmdtotas</vt:lpstr>
      <vt:lpstr>inputs_lbmdtotb</vt:lpstr>
      <vt:lpstr>inputs_lbmdtots</vt:lpstr>
      <vt:lpstr>inputs_lbmdwuau</vt:lpstr>
      <vt:lpstr>inputs_lbmdwub</vt:lpstr>
      <vt:lpstr>inputs_lbmdwud</vt:lpstr>
      <vt:lpstr>inputs_lbmdwuprca</vt:lpstr>
      <vt:lpstr>inputs_othiid</vt:lpstr>
      <vt:lpstr>inputs_othiqty</vt:lpstr>
      <vt:lpstr>inputs_othium</vt:lpstr>
      <vt:lpstr>inputs_othno</vt:lpstr>
      <vt:lpstr>inputs_othtotas</vt:lpstr>
      <vt:lpstr>inputs_othtotb</vt:lpstr>
      <vt:lpstr>inputs_othtots</vt:lpstr>
      <vt:lpstr>inputs_othwuau</vt:lpstr>
      <vt:lpstr>inputs_othwub</vt:lpstr>
      <vt:lpstr>inputs_othwud</vt:lpstr>
      <vt:lpstr>inputs_prjtyp</vt:lpstr>
      <vt:lpstr>inputs_units</vt:lpstr>
      <vt:lpstr>logic_appawuawa</vt:lpstr>
      <vt:lpstr>logic_appawub</vt:lpstr>
      <vt:lpstr>logic_appawud</vt:lpstr>
      <vt:lpstr>logic_appawudwoaw</vt:lpstr>
      <vt:lpstr>logic_appawusa</vt:lpstr>
      <vt:lpstr>logic_appawusp</vt:lpstr>
      <vt:lpstr>logic_appno</vt:lpstr>
      <vt:lpstr>logic_bdffwuasam</vt:lpstr>
      <vt:lpstr>logic_bdffwuasprc</vt:lpstr>
      <vt:lpstr>logic_bdoutwuasam</vt:lpstr>
      <vt:lpstr>logic_bdoutwuasprc</vt:lpstr>
      <vt:lpstr>logic_dumuapp</vt:lpstr>
      <vt:lpstr>logic_dumukitch</vt:lpstr>
      <vt:lpstr>logic_dumulabmed</vt:lpstr>
      <vt:lpstr>logic_hvacawuawa</vt:lpstr>
      <vt:lpstr>logic_hvacawub</vt:lpstr>
      <vt:lpstr>logic_hvacawud</vt:lpstr>
      <vt:lpstr>logic_hvacawudwoaw</vt:lpstr>
      <vt:lpstr>logic_hvacawusa</vt:lpstr>
      <vt:lpstr>logic_hvacawusp</vt:lpstr>
      <vt:lpstr>logic_hvacno</vt:lpstr>
      <vt:lpstr>logic_kitchawuawa</vt:lpstr>
      <vt:lpstr>logic_kitchawub</vt:lpstr>
      <vt:lpstr>logic_kitchawud</vt:lpstr>
      <vt:lpstr>logic_kitchawudwoaw</vt:lpstr>
      <vt:lpstr>logic_kitchawusa</vt:lpstr>
      <vt:lpstr>logic_kitchawusp</vt:lpstr>
      <vt:lpstr>logic_kitchno</vt:lpstr>
      <vt:lpstr>logic_labmedawuawa</vt:lpstr>
      <vt:lpstr>logic_labmedawub</vt:lpstr>
      <vt:lpstr>logic_labmedawud</vt:lpstr>
      <vt:lpstr>logic_labmedawudwoaw</vt:lpstr>
      <vt:lpstr>logic_labmedawusa</vt:lpstr>
      <vt:lpstr>logic_labmedawusp</vt:lpstr>
      <vt:lpstr>logic_labmedno</vt:lpstr>
      <vt:lpstr>logic_othawuawa</vt:lpstr>
      <vt:lpstr>logic_othawub</vt:lpstr>
      <vt:lpstr>logic_othawud</vt:lpstr>
      <vt:lpstr>logic_othawudwoaw</vt:lpstr>
      <vt:lpstr>logic_othawusa</vt:lpstr>
      <vt:lpstr>logic_othawusp</vt:lpstr>
      <vt:lpstr>logic_othno</vt:lpstr>
      <vt:lpstr>logic_prjtyp</vt:lpstr>
      <vt:lpstr>logic_sumappawuawa</vt:lpstr>
      <vt:lpstr>logic_sumappawub</vt:lpstr>
      <vt:lpstr>logic_sumappawud</vt:lpstr>
      <vt:lpstr>logic_sumappawudwoaw</vt:lpstr>
      <vt:lpstr>logic_sumappawusa</vt:lpstr>
      <vt:lpstr>logic_sumappawusp</vt:lpstr>
      <vt:lpstr>logic_sumhvacawuawa</vt:lpstr>
      <vt:lpstr>logic_sumhvacawub</vt:lpstr>
      <vt:lpstr>logic_sumhvacawud</vt:lpstr>
      <vt:lpstr>logic_sumhvacawudwoaw</vt:lpstr>
      <vt:lpstr>logic_sumhvacawusa</vt:lpstr>
      <vt:lpstr>logic_sumhvacawusp</vt:lpstr>
      <vt:lpstr>logic_sumkitchawuawa</vt:lpstr>
      <vt:lpstr>logic_sumkitchawub</vt:lpstr>
      <vt:lpstr>logic_sumkitchawud</vt:lpstr>
      <vt:lpstr>logic_sumkitchawudwoaw</vt:lpstr>
      <vt:lpstr>logic_sumkitchawusa</vt:lpstr>
      <vt:lpstr>logic_sumkitchawusp</vt:lpstr>
      <vt:lpstr>logic_sumlabmedawuawa</vt:lpstr>
      <vt:lpstr>logic_sumlabmedawub</vt:lpstr>
      <vt:lpstr>logic_sumlabmedawud</vt:lpstr>
      <vt:lpstr>logic_sumlabmedawudwoaw</vt:lpstr>
      <vt:lpstr>logic_sumlabmedawusa</vt:lpstr>
      <vt:lpstr>logic_sumlabmedawusp</vt:lpstr>
      <vt:lpstr>logic_sumothawuawa</vt:lpstr>
      <vt:lpstr>logic_sumothawub</vt:lpstr>
      <vt:lpstr>logic_sumothawud</vt:lpstr>
      <vt:lpstr>logic_sumothawudwoaw</vt:lpstr>
      <vt:lpstr>logic_sumothawusa</vt:lpstr>
      <vt:lpstr>logic_sumothawusp</vt:lpstr>
      <vt:lpstr>logic_totalwuaw</vt:lpstr>
      <vt:lpstr>logic_totalwuawyn</vt:lpstr>
      <vt:lpstr>logic_totalwub</vt:lpstr>
      <vt:lpstr>logic_totalwud</vt:lpstr>
      <vt:lpstr>logic_totalwus</vt:lpstr>
      <vt:lpstr>logic_totalwusprc</vt:lpstr>
      <vt:lpstr>logic_units</vt:lpstr>
      <vt:lpstr>logic_wuruapp</vt:lpstr>
      <vt:lpstr>logic_wurukitch</vt:lpstr>
      <vt:lpstr>logic_wurulabmed</vt:lpstr>
      <vt:lpstr>logic_wuruoth</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Laurie Kerr</dc:creator>
  <cp:keywords/>
  <dc:description/>
  <cp:lastModifiedBy>Corey Enck</cp:lastModifiedBy>
  <cp:revision/>
  <dcterms:created xsi:type="dcterms:W3CDTF">2025-03-06T17:46:42Z</dcterms:created>
  <dcterms:modified xsi:type="dcterms:W3CDTF">2025-10-31T20:53:20Z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0x01010001FF25DD9E404D47B4D42F6BE6E7B1CE</vt:lpwstr>
  </property>
  <property fmtid="{D5CDD505-2E9C-101B-9397-08002B2CF9AE}" pid="3" name="MediaServiceImageTags">
    <vt:lpwstr/>
  </property>
</Properties>
</file>